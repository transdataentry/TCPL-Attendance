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5F0BBC00-491E-44F7-8235-FFD183D869FC}" xr6:coauthVersionLast="47" xr6:coauthVersionMax="47" xr10:uidLastSave="{00000000-0000-0000-0000-000000000000}"/>
  <bookViews>
    <workbookView xWindow="-120" yWindow="-120" windowWidth="20730" windowHeight="11160" tabRatio="807" firstSheet="6" activeTab="6" xr2:uid="{00000000-000D-0000-FFFF-FFFF00000000}"/>
  </bookViews>
  <sheets>
    <sheet name="OTHER PLANT ATTN." sheetId="127" state="hidden" r:id="rId1"/>
    <sheet name="DATA " sheetId="121" state="hidden" r:id="rId2"/>
    <sheet name="WHATSAPP" sheetId="102" state="hidden" r:id="rId3"/>
    <sheet name="RJ ATTENDENCE SHEET" sheetId="81" state="hidden" r:id="rId4"/>
    <sheet name="SALARY" sheetId="114" state="hidden" r:id="rId5"/>
    <sheet name="WAGES" sheetId="128" state="hidden" r:id="rId6"/>
    <sheet name="SALARY ESI (P)" sheetId="123" r:id="rId7"/>
    <sheet name="WAGES ESI (P)" sheetId="124" r:id="rId8"/>
    <sheet name="CONTRACT TOTAL (P)" sheetId="125" state="hidden" r:id="rId9"/>
    <sheet name="BANK TRANSFER" sheetId="126" state="hidden" r:id="rId10"/>
  </sheets>
  <externalReferences>
    <externalReference r:id="rId11"/>
  </externalReferences>
  <definedNames>
    <definedName name="d">OFFSET([1]DATA!$M$3,,,COUNTIF([1]DATA!$M$1:$M$65536,"?*"))</definedName>
    <definedName name="DRIVER">'DATA '!$AH$1:$AH$2</definedName>
    <definedName name="PLANT">'DATA '!$AG$1:$AG$3</definedName>
    <definedName name="_xlnm.Print_Area" localSheetId="3">'RJ ATTENDENCE SHEET'!$A$1:$DM$266</definedName>
    <definedName name="_xlnm.Print_Area" localSheetId="6">'SALARY ESI (P)'!$A$1:$U$51</definedName>
    <definedName name="_xlnm.Print_Area" localSheetId="7">'WAGES ESI (P)'!$A$1:$W$109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81" l="1"/>
  <c r="O26" i="81" l="1"/>
  <c r="O43" i="81" l="1"/>
  <c r="O78" i="81"/>
  <c r="O68" i="81"/>
  <c r="O66" i="81"/>
  <c r="O65" i="81"/>
  <c r="T7" i="81" l="1"/>
  <c r="O52" i="81" l="1"/>
  <c r="O44" i="81"/>
  <c r="O94" i="81" l="1"/>
  <c r="O45" i="81"/>
  <c r="O14" i="81"/>
  <c r="O36" i="81" l="1"/>
  <c r="O33" i="81"/>
  <c r="O37" i="81"/>
  <c r="O53" i="81"/>
  <c r="O92" i="81"/>
  <c r="O91" i="81"/>
  <c r="O81" i="81"/>
  <c r="O75" i="81"/>
  <c r="O73" i="81"/>
  <c r="O72" i="81"/>
  <c r="O71" i="81"/>
  <c r="O69" i="81"/>
  <c r="O64" i="81"/>
  <c r="O63" i="81"/>
  <c r="O57" i="81"/>
  <c r="O55" i="81"/>
  <c r="O54" i="81"/>
  <c r="O49" i="81"/>
  <c r="O48" i="81"/>
  <c r="O47" i="81"/>
  <c r="O46" i="81"/>
  <c r="O88" i="81"/>
  <c r="O87" i="81"/>
  <c r="O84" i="81"/>
  <c r="O82" i="81"/>
  <c r="O76" i="81"/>
  <c r="O74" i="81"/>
  <c r="O67" i="81"/>
  <c r="O61" i="81"/>
  <c r="T31" i="81" l="1"/>
  <c r="H57" i="81" l="1"/>
  <c r="W83" i="81" l="1"/>
  <c r="O34" i="81" l="1"/>
  <c r="J37" i="124" l="1"/>
  <c r="O89" i="81" l="1"/>
  <c r="W45" i="81" l="1"/>
  <c r="O25" i="81" l="1"/>
  <c r="O50" i="81" l="1"/>
  <c r="T87" i="81" l="1"/>
  <c r="H71" i="81" l="1"/>
  <c r="H72" i="81"/>
  <c r="H73" i="81"/>
  <c r="H74" i="81"/>
  <c r="H75" i="81"/>
  <c r="H76" i="81"/>
  <c r="H77" i="81"/>
  <c r="H78" i="81"/>
  <c r="H79" i="81"/>
  <c r="H80" i="81"/>
  <c r="H81" i="81"/>
  <c r="H82" i="81"/>
  <c r="H83" i="81"/>
  <c r="H84" i="81"/>
  <c r="H85" i="81"/>
  <c r="H86" i="81"/>
  <c r="H87" i="81"/>
  <c r="H88" i="81"/>
  <c r="H89" i="81"/>
  <c r="H90" i="81"/>
  <c r="H91" i="81"/>
  <c r="H93" i="81"/>
  <c r="H94" i="81"/>
  <c r="H95" i="81"/>
  <c r="H96" i="81"/>
  <c r="H97" i="81"/>
  <c r="H98" i="81"/>
  <c r="H99" i="81"/>
  <c r="H100" i="81"/>
  <c r="H101" i="81"/>
  <c r="W16" i="81" l="1"/>
  <c r="W27" i="81"/>
  <c r="W41" i="81"/>
  <c r="W50" i="81"/>
  <c r="W58" i="81"/>
  <c r="W59" i="81"/>
  <c r="W61" i="81"/>
  <c r="O62" i="81" l="1"/>
  <c r="O51" i="81"/>
  <c r="O41" i="81"/>
  <c r="O40" i="81"/>
  <c r="O39" i="81"/>
  <c r="O38" i="81"/>
  <c r="O32" i="81"/>
  <c r="O31" i="81"/>
  <c r="O27" i="81"/>
  <c r="O24" i="81"/>
  <c r="O23" i="81"/>
  <c r="O22" i="81"/>
  <c r="O19" i="81"/>
  <c r="O18" i="81"/>
  <c r="O16" i="81"/>
  <c r="O13" i="81"/>
  <c r="O12" i="81"/>
  <c r="O11" i="81"/>
  <c r="O10" i="81"/>
  <c r="O8" i="81"/>
  <c r="O7" i="81"/>
  <c r="H70" i="81"/>
  <c r="H60" i="81"/>
  <c r="H42" i="81"/>
  <c r="H29" i="81"/>
  <c r="H28" i="81"/>
  <c r="H21" i="81"/>
  <c r="H20" i="81"/>
  <c r="H17" i="81"/>
  <c r="H9" i="81"/>
  <c r="H6" i="81"/>
  <c r="H5" i="81"/>
  <c r="H4" i="81"/>
  <c r="H3" i="81"/>
  <c r="O102" i="81" l="1"/>
  <c r="T16" i="81" l="1"/>
  <c r="T23" i="81" l="1"/>
  <c r="V23" i="81" s="1"/>
  <c r="W23" i="81"/>
  <c r="T93" i="81" l="1"/>
  <c r="O1" i="125" l="1"/>
  <c r="M1" i="125"/>
  <c r="J108" i="124"/>
  <c r="J107" i="124"/>
  <c r="J106" i="124"/>
  <c r="J105" i="124"/>
  <c r="J104" i="124"/>
  <c r="J103" i="124"/>
  <c r="J102" i="124"/>
  <c r="J101" i="124"/>
  <c r="J100" i="124"/>
  <c r="J99" i="124"/>
  <c r="J98" i="124"/>
  <c r="J97" i="124"/>
  <c r="J96" i="124"/>
  <c r="J95" i="124"/>
  <c r="J94" i="124"/>
  <c r="J93" i="124"/>
  <c r="J92" i="124"/>
  <c r="J91" i="124"/>
  <c r="J90" i="124"/>
  <c r="J89" i="124"/>
  <c r="J88" i="124"/>
  <c r="J87" i="124"/>
  <c r="J86" i="124"/>
  <c r="J85" i="124"/>
  <c r="J84" i="124"/>
  <c r="J83" i="124"/>
  <c r="J82" i="124"/>
  <c r="J81" i="124"/>
  <c r="J80" i="124"/>
  <c r="J79" i="124"/>
  <c r="J78" i="124"/>
  <c r="J77" i="124"/>
  <c r="J76" i="124"/>
  <c r="J75" i="124"/>
  <c r="J74" i="124"/>
  <c r="J73" i="124"/>
  <c r="J72" i="124"/>
  <c r="J71" i="124"/>
  <c r="J70" i="124"/>
  <c r="J69" i="124"/>
  <c r="J68" i="124"/>
  <c r="J67" i="124"/>
  <c r="J66" i="124"/>
  <c r="J65" i="124"/>
  <c r="J64" i="124"/>
  <c r="J63" i="124"/>
  <c r="J62" i="124"/>
  <c r="J61" i="124"/>
  <c r="J60" i="124"/>
  <c r="J59" i="124"/>
  <c r="J58" i="124"/>
  <c r="J57" i="124"/>
  <c r="J56" i="124"/>
  <c r="J55" i="124"/>
  <c r="J54" i="124"/>
  <c r="J53" i="124"/>
  <c r="J52" i="124"/>
  <c r="J51" i="124"/>
  <c r="J50" i="124"/>
  <c r="J49" i="124"/>
  <c r="J48" i="124"/>
  <c r="J47" i="124"/>
  <c r="J46" i="124"/>
  <c r="J45" i="124"/>
  <c r="J44" i="124"/>
  <c r="J43" i="124"/>
  <c r="J42" i="124"/>
  <c r="J41" i="124"/>
  <c r="J40" i="124"/>
  <c r="J39" i="124"/>
  <c r="J38" i="124"/>
  <c r="J36" i="124"/>
  <c r="J35" i="124"/>
  <c r="J34" i="124"/>
  <c r="J33" i="124"/>
  <c r="J32" i="124"/>
  <c r="J31" i="124"/>
  <c r="J30" i="124"/>
  <c r="J29" i="124"/>
  <c r="J28" i="124"/>
  <c r="J27" i="124"/>
  <c r="J26" i="124"/>
  <c r="J25" i="124"/>
  <c r="J24" i="124"/>
  <c r="J23" i="124"/>
  <c r="J22" i="124"/>
  <c r="J21" i="124"/>
  <c r="J20" i="124"/>
  <c r="J19" i="124"/>
  <c r="J18" i="124"/>
  <c r="J17" i="124"/>
  <c r="J16" i="124"/>
  <c r="J15" i="124"/>
  <c r="J14" i="124"/>
  <c r="J13" i="124"/>
  <c r="J12" i="124"/>
  <c r="J11" i="124"/>
  <c r="J10" i="124"/>
  <c r="J9" i="124"/>
  <c r="W1" i="124"/>
  <c r="U1" i="124"/>
  <c r="I50" i="123"/>
  <c r="I49" i="123"/>
  <c r="I48" i="123"/>
  <c r="I47" i="123"/>
  <c r="I46" i="123"/>
  <c r="I45" i="123"/>
  <c r="I44" i="123"/>
  <c r="I43" i="123"/>
  <c r="I42" i="123"/>
  <c r="I41" i="123"/>
  <c r="I40" i="123"/>
  <c r="I39" i="123"/>
  <c r="I38" i="123"/>
  <c r="I37" i="123"/>
  <c r="I36" i="123"/>
  <c r="I35" i="123"/>
  <c r="I34" i="123"/>
  <c r="I33" i="123"/>
  <c r="I32" i="123"/>
  <c r="I31" i="123"/>
  <c r="I30" i="123"/>
  <c r="I29" i="123"/>
  <c r="I28" i="123"/>
  <c r="I27" i="123"/>
  <c r="I26" i="123"/>
  <c r="I25" i="123"/>
  <c r="I24" i="123"/>
  <c r="I23" i="123"/>
  <c r="I22" i="123"/>
  <c r="I21" i="123"/>
  <c r="I20" i="123"/>
  <c r="I19" i="123"/>
  <c r="I18" i="123"/>
  <c r="I17" i="123"/>
  <c r="I16" i="123"/>
  <c r="I15" i="123"/>
  <c r="I14" i="123"/>
  <c r="I13" i="123"/>
  <c r="I12" i="123"/>
  <c r="I11" i="123"/>
  <c r="I10" i="123"/>
  <c r="I9" i="123"/>
  <c r="U1" i="123"/>
  <c r="S1" i="123"/>
  <c r="O1" i="128"/>
  <c r="M1" i="128"/>
  <c r="H38" i="114"/>
  <c r="H37" i="114"/>
  <c r="H36" i="114"/>
  <c r="H35" i="114"/>
  <c r="H34" i="114"/>
  <c r="H33" i="114"/>
  <c r="H32" i="114"/>
  <c r="H31" i="114"/>
  <c r="H30" i="114"/>
  <c r="H29" i="114"/>
  <c r="H28" i="114"/>
  <c r="H27" i="114"/>
  <c r="H26" i="114"/>
  <c r="H25" i="114"/>
  <c r="H24" i="114"/>
  <c r="H23" i="114"/>
  <c r="H22" i="114"/>
  <c r="H21" i="114"/>
  <c r="H20" i="114"/>
  <c r="H19" i="114"/>
  <c r="H18" i="114"/>
  <c r="H17" i="114"/>
  <c r="H16" i="114"/>
  <c r="H15" i="114"/>
  <c r="H14" i="114"/>
  <c r="H13" i="114"/>
  <c r="H12" i="114"/>
  <c r="H11" i="114"/>
  <c r="H10" i="114"/>
  <c r="H9" i="114"/>
  <c r="H8" i="114"/>
  <c r="H7" i="114"/>
  <c r="H6" i="114"/>
  <c r="H5" i="114"/>
  <c r="H4" i="114"/>
  <c r="P1" i="114"/>
  <c r="N1" i="114"/>
  <c r="W284" i="81"/>
  <c r="T284" i="81"/>
  <c r="V284" i="81" s="1"/>
  <c r="O284" i="81"/>
  <c r="H284" i="81"/>
  <c r="W283" i="81"/>
  <c r="T283" i="81"/>
  <c r="V283" i="81" s="1"/>
  <c r="O283" i="81"/>
  <c r="H283" i="81"/>
  <c r="W282" i="81"/>
  <c r="T282" i="81"/>
  <c r="V282" i="81" s="1"/>
  <c r="O282" i="81"/>
  <c r="H282" i="81"/>
  <c r="W281" i="81"/>
  <c r="T281" i="81"/>
  <c r="V281" i="81" s="1"/>
  <c r="O281" i="81"/>
  <c r="H281" i="81"/>
  <c r="W280" i="81"/>
  <c r="T280" i="81"/>
  <c r="V280" i="81" s="1"/>
  <c r="O280" i="81"/>
  <c r="H280" i="81"/>
  <c r="W279" i="81"/>
  <c r="T279" i="81"/>
  <c r="V279" i="81" s="1"/>
  <c r="O279" i="81"/>
  <c r="H279" i="81"/>
  <c r="W278" i="81"/>
  <c r="T278" i="81"/>
  <c r="V278" i="81" s="1"/>
  <c r="O278" i="81"/>
  <c r="H278" i="81"/>
  <c r="W277" i="81"/>
  <c r="T277" i="81"/>
  <c r="V277" i="81" s="1"/>
  <c r="O277" i="81"/>
  <c r="H277" i="81"/>
  <c r="W276" i="81"/>
  <c r="T276" i="81"/>
  <c r="V276" i="81" s="1"/>
  <c r="O276" i="81"/>
  <c r="H276" i="81"/>
  <c r="W275" i="81"/>
  <c r="T275" i="81"/>
  <c r="V275" i="81" s="1"/>
  <c r="O275" i="81"/>
  <c r="H275" i="81"/>
  <c r="W274" i="81"/>
  <c r="T274" i="81"/>
  <c r="V274" i="81" s="1"/>
  <c r="O274" i="81"/>
  <c r="H274" i="81"/>
  <c r="W273" i="81"/>
  <c r="T273" i="81"/>
  <c r="V273" i="81" s="1"/>
  <c r="O273" i="81"/>
  <c r="H273" i="81"/>
  <c r="W272" i="81"/>
  <c r="T272" i="81"/>
  <c r="V272" i="81" s="1"/>
  <c r="O272" i="81"/>
  <c r="H272" i="81"/>
  <c r="W271" i="81"/>
  <c r="T271" i="81"/>
  <c r="V271" i="81" s="1"/>
  <c r="O271" i="81"/>
  <c r="H271" i="81"/>
  <c r="W270" i="81"/>
  <c r="T270" i="81"/>
  <c r="V270" i="81" s="1"/>
  <c r="O270" i="81"/>
  <c r="H270" i="81"/>
  <c r="W269" i="81"/>
  <c r="T269" i="81"/>
  <c r="V269" i="81" s="1"/>
  <c r="O269" i="81"/>
  <c r="H269" i="81"/>
  <c r="W268" i="81"/>
  <c r="T268" i="81"/>
  <c r="V268" i="81" s="1"/>
  <c r="O268" i="81"/>
  <c r="H268" i="81"/>
  <c r="W267" i="81"/>
  <c r="T267" i="81"/>
  <c r="V267" i="81" s="1"/>
  <c r="O267" i="81"/>
  <c r="H267" i="81"/>
  <c r="W266" i="81"/>
  <c r="T266" i="81"/>
  <c r="V266" i="81" s="1"/>
  <c r="O266" i="81"/>
  <c r="H266" i="81"/>
  <c r="W265" i="81"/>
  <c r="T265" i="81"/>
  <c r="V265" i="81" s="1"/>
  <c r="O265" i="81"/>
  <c r="H265" i="81"/>
  <c r="W264" i="81"/>
  <c r="T264" i="81"/>
  <c r="V264" i="81" s="1"/>
  <c r="O264" i="81"/>
  <c r="H264" i="81"/>
  <c r="W263" i="81"/>
  <c r="T263" i="81"/>
  <c r="V263" i="81" s="1"/>
  <c r="O263" i="81"/>
  <c r="H263" i="81"/>
  <c r="W262" i="81"/>
  <c r="T262" i="81"/>
  <c r="V262" i="81" s="1"/>
  <c r="O262" i="81"/>
  <c r="H262" i="81"/>
  <c r="W261" i="81"/>
  <c r="T261" i="81"/>
  <c r="V261" i="81" s="1"/>
  <c r="O261" i="81"/>
  <c r="H261" i="81"/>
  <c r="W260" i="81"/>
  <c r="T260" i="81"/>
  <c r="V260" i="81" s="1"/>
  <c r="O260" i="81"/>
  <c r="H260" i="81"/>
  <c r="W259" i="81"/>
  <c r="T259" i="81"/>
  <c r="V259" i="81" s="1"/>
  <c r="O259" i="81"/>
  <c r="H259" i="81"/>
  <c r="W258" i="81"/>
  <c r="T258" i="81"/>
  <c r="V258" i="81" s="1"/>
  <c r="O258" i="81"/>
  <c r="H258" i="81"/>
  <c r="W257" i="81"/>
  <c r="T257" i="81"/>
  <c r="V257" i="81" s="1"/>
  <c r="O257" i="81"/>
  <c r="H257" i="81"/>
  <c r="W256" i="81"/>
  <c r="T256" i="81"/>
  <c r="V256" i="81" s="1"/>
  <c r="O256" i="81"/>
  <c r="H256" i="81"/>
  <c r="W255" i="81"/>
  <c r="T255" i="81"/>
  <c r="V255" i="81" s="1"/>
  <c r="O255" i="81"/>
  <c r="H255" i="81"/>
  <c r="W254" i="81"/>
  <c r="T254" i="81"/>
  <c r="V254" i="81" s="1"/>
  <c r="O254" i="81"/>
  <c r="H254" i="81"/>
  <c r="W253" i="81"/>
  <c r="T253" i="81"/>
  <c r="V253" i="81" s="1"/>
  <c r="O253" i="81"/>
  <c r="H253" i="81"/>
  <c r="W252" i="81"/>
  <c r="T252" i="81"/>
  <c r="V252" i="81" s="1"/>
  <c r="O252" i="81"/>
  <c r="H252" i="81"/>
  <c r="W251" i="81"/>
  <c r="T251" i="81"/>
  <c r="V251" i="81" s="1"/>
  <c r="O251" i="81"/>
  <c r="H251" i="81"/>
  <c r="W250" i="81"/>
  <c r="T250" i="81"/>
  <c r="V250" i="81" s="1"/>
  <c r="O250" i="81"/>
  <c r="H250" i="81"/>
  <c r="W249" i="81"/>
  <c r="T249" i="81"/>
  <c r="V249" i="81" s="1"/>
  <c r="O249" i="81"/>
  <c r="H249" i="81"/>
  <c r="W248" i="81"/>
  <c r="T248" i="81"/>
  <c r="V248" i="81" s="1"/>
  <c r="O248" i="81"/>
  <c r="H248" i="81"/>
  <c r="W247" i="81"/>
  <c r="T247" i="81"/>
  <c r="V247" i="81" s="1"/>
  <c r="O247" i="81"/>
  <c r="H247" i="81"/>
  <c r="W246" i="81"/>
  <c r="T246" i="81"/>
  <c r="V246" i="81" s="1"/>
  <c r="O246" i="81"/>
  <c r="H246" i="81"/>
  <c r="W245" i="81"/>
  <c r="T245" i="81"/>
  <c r="V245" i="81" s="1"/>
  <c r="O245" i="81"/>
  <c r="H245" i="81"/>
  <c r="W244" i="81"/>
  <c r="T244" i="81"/>
  <c r="V244" i="81" s="1"/>
  <c r="O244" i="81"/>
  <c r="H244" i="81"/>
  <c r="W243" i="81"/>
  <c r="T243" i="81"/>
  <c r="V243" i="81" s="1"/>
  <c r="O243" i="81"/>
  <c r="H243" i="81"/>
  <c r="W242" i="81"/>
  <c r="T242" i="81"/>
  <c r="V242" i="81" s="1"/>
  <c r="O242" i="81"/>
  <c r="H242" i="81"/>
  <c r="W241" i="81"/>
  <c r="T241" i="81"/>
  <c r="V241" i="81" s="1"/>
  <c r="O241" i="81"/>
  <c r="H241" i="81"/>
  <c r="W240" i="81"/>
  <c r="T240" i="81"/>
  <c r="V240" i="81" s="1"/>
  <c r="O240" i="81"/>
  <c r="H240" i="81"/>
  <c r="W239" i="81"/>
  <c r="T239" i="81"/>
  <c r="V239" i="81" s="1"/>
  <c r="O239" i="81"/>
  <c r="H239" i="81"/>
  <c r="W238" i="81"/>
  <c r="T238" i="81"/>
  <c r="V238" i="81" s="1"/>
  <c r="O238" i="81"/>
  <c r="H238" i="81"/>
  <c r="W237" i="81"/>
  <c r="T237" i="81"/>
  <c r="V237" i="81" s="1"/>
  <c r="O237" i="81"/>
  <c r="H237" i="81"/>
  <c r="W236" i="81"/>
  <c r="T236" i="81"/>
  <c r="V236" i="81" s="1"/>
  <c r="O236" i="81"/>
  <c r="H236" i="81"/>
  <c r="W235" i="81"/>
  <c r="T235" i="81"/>
  <c r="V235" i="81" s="1"/>
  <c r="O235" i="81"/>
  <c r="H235" i="81"/>
  <c r="W234" i="81"/>
  <c r="T234" i="81"/>
  <c r="V234" i="81" s="1"/>
  <c r="O234" i="81"/>
  <c r="H234" i="81"/>
  <c r="W233" i="81"/>
  <c r="T233" i="81"/>
  <c r="V233" i="81" s="1"/>
  <c r="O233" i="81"/>
  <c r="H233" i="81"/>
  <c r="W232" i="81"/>
  <c r="T232" i="81"/>
  <c r="V232" i="81" s="1"/>
  <c r="O232" i="81"/>
  <c r="H232" i="81"/>
  <c r="W231" i="81"/>
  <c r="T231" i="81"/>
  <c r="V231" i="81" s="1"/>
  <c r="O231" i="81"/>
  <c r="H231" i="81"/>
  <c r="W230" i="81"/>
  <c r="T230" i="81"/>
  <c r="V230" i="81" s="1"/>
  <c r="O230" i="81"/>
  <c r="H230" i="81"/>
  <c r="W229" i="81"/>
  <c r="T229" i="81"/>
  <c r="V229" i="81" s="1"/>
  <c r="O229" i="81"/>
  <c r="H229" i="81"/>
  <c r="W228" i="81"/>
  <c r="T228" i="81"/>
  <c r="V228" i="81" s="1"/>
  <c r="O228" i="81"/>
  <c r="H228" i="81"/>
  <c r="W227" i="81"/>
  <c r="T227" i="81"/>
  <c r="V227" i="81" s="1"/>
  <c r="O227" i="81"/>
  <c r="H227" i="81"/>
  <c r="W226" i="81"/>
  <c r="T226" i="81"/>
  <c r="V226" i="81" s="1"/>
  <c r="O226" i="81"/>
  <c r="H226" i="81"/>
  <c r="W225" i="81"/>
  <c r="T225" i="81"/>
  <c r="V225" i="81" s="1"/>
  <c r="O225" i="81"/>
  <c r="H225" i="81"/>
  <c r="W224" i="81"/>
  <c r="T224" i="81"/>
  <c r="V224" i="81" s="1"/>
  <c r="O224" i="81"/>
  <c r="H224" i="81"/>
  <c r="W223" i="81"/>
  <c r="T223" i="81"/>
  <c r="V223" i="81" s="1"/>
  <c r="O223" i="81"/>
  <c r="H223" i="81"/>
  <c r="W222" i="81"/>
  <c r="T222" i="81"/>
  <c r="V222" i="81" s="1"/>
  <c r="O222" i="81"/>
  <c r="H222" i="81"/>
  <c r="W221" i="81"/>
  <c r="T221" i="81"/>
  <c r="V221" i="81" s="1"/>
  <c r="O221" i="81"/>
  <c r="H221" i="81"/>
  <c r="W220" i="81"/>
  <c r="T220" i="81"/>
  <c r="V220" i="81" s="1"/>
  <c r="O220" i="81"/>
  <c r="H220" i="81"/>
  <c r="W219" i="81"/>
  <c r="T219" i="81"/>
  <c r="V219" i="81" s="1"/>
  <c r="O219" i="81"/>
  <c r="H219" i="81"/>
  <c r="W218" i="81"/>
  <c r="T218" i="81"/>
  <c r="V218" i="81" s="1"/>
  <c r="O218" i="81"/>
  <c r="H218" i="81"/>
  <c r="W217" i="81"/>
  <c r="T217" i="81"/>
  <c r="V217" i="81" s="1"/>
  <c r="O217" i="81"/>
  <c r="H217" i="81"/>
  <c r="W216" i="81"/>
  <c r="T216" i="81"/>
  <c r="V216" i="81" s="1"/>
  <c r="O216" i="81"/>
  <c r="H216" i="81"/>
  <c r="W215" i="81"/>
  <c r="T215" i="81"/>
  <c r="V215" i="81" s="1"/>
  <c r="O215" i="81"/>
  <c r="H215" i="81"/>
  <c r="W214" i="81"/>
  <c r="T214" i="81"/>
  <c r="V214" i="81" s="1"/>
  <c r="O214" i="81"/>
  <c r="H214" i="81"/>
  <c r="W213" i="81"/>
  <c r="T213" i="81"/>
  <c r="V213" i="81" s="1"/>
  <c r="O213" i="81"/>
  <c r="H213" i="81"/>
  <c r="W212" i="81"/>
  <c r="T212" i="81"/>
  <c r="V212" i="81" s="1"/>
  <c r="O212" i="81"/>
  <c r="H212" i="81"/>
  <c r="W211" i="81"/>
  <c r="T211" i="81"/>
  <c r="V211" i="81" s="1"/>
  <c r="O211" i="81"/>
  <c r="H211" i="81"/>
  <c r="W210" i="81"/>
  <c r="T210" i="81"/>
  <c r="V210" i="81" s="1"/>
  <c r="O210" i="81"/>
  <c r="H210" i="81"/>
  <c r="W209" i="81"/>
  <c r="T209" i="81"/>
  <c r="V209" i="81" s="1"/>
  <c r="O209" i="81"/>
  <c r="H209" i="81"/>
  <c r="W208" i="81"/>
  <c r="T208" i="81"/>
  <c r="V208" i="81" s="1"/>
  <c r="O208" i="81"/>
  <c r="H208" i="81"/>
  <c r="W207" i="81"/>
  <c r="T207" i="81"/>
  <c r="V207" i="81" s="1"/>
  <c r="O207" i="81"/>
  <c r="H207" i="81"/>
  <c r="W206" i="81"/>
  <c r="T206" i="81"/>
  <c r="V206" i="81" s="1"/>
  <c r="O206" i="81"/>
  <c r="H206" i="81"/>
  <c r="W205" i="81"/>
  <c r="T205" i="81"/>
  <c r="V205" i="81" s="1"/>
  <c r="O205" i="81"/>
  <c r="H205" i="81"/>
  <c r="W204" i="81"/>
  <c r="T204" i="81"/>
  <c r="V204" i="81" s="1"/>
  <c r="O204" i="81"/>
  <c r="H204" i="81"/>
  <c r="W203" i="81"/>
  <c r="T203" i="81"/>
  <c r="V203" i="81" s="1"/>
  <c r="O203" i="81"/>
  <c r="H203" i="81"/>
  <c r="W202" i="81"/>
  <c r="T202" i="81"/>
  <c r="V202" i="81" s="1"/>
  <c r="O202" i="81"/>
  <c r="H202" i="81"/>
  <c r="W201" i="81"/>
  <c r="T201" i="81"/>
  <c r="V201" i="81" s="1"/>
  <c r="O201" i="81"/>
  <c r="H201" i="81"/>
  <c r="W200" i="81"/>
  <c r="T200" i="81"/>
  <c r="V200" i="81" s="1"/>
  <c r="O200" i="81"/>
  <c r="H200" i="81"/>
  <c r="W199" i="81"/>
  <c r="T199" i="81"/>
  <c r="V199" i="81" s="1"/>
  <c r="O199" i="81"/>
  <c r="H199" i="81"/>
  <c r="W198" i="81"/>
  <c r="T198" i="81"/>
  <c r="V198" i="81" s="1"/>
  <c r="O198" i="81"/>
  <c r="H198" i="81"/>
  <c r="W197" i="81"/>
  <c r="T197" i="81"/>
  <c r="V197" i="81" s="1"/>
  <c r="O197" i="81"/>
  <c r="H197" i="81"/>
  <c r="W196" i="81"/>
  <c r="T196" i="81"/>
  <c r="V196" i="81" s="1"/>
  <c r="O196" i="81"/>
  <c r="H196" i="81"/>
  <c r="W195" i="81"/>
  <c r="T195" i="81"/>
  <c r="V195" i="81" s="1"/>
  <c r="O195" i="81"/>
  <c r="H195" i="81"/>
  <c r="W194" i="81"/>
  <c r="T194" i="81"/>
  <c r="V194" i="81" s="1"/>
  <c r="O194" i="81"/>
  <c r="H194" i="81"/>
  <c r="W193" i="81"/>
  <c r="T193" i="81"/>
  <c r="V193" i="81" s="1"/>
  <c r="O193" i="81"/>
  <c r="H193" i="81"/>
  <c r="W192" i="81"/>
  <c r="T192" i="81"/>
  <c r="V192" i="81" s="1"/>
  <c r="O192" i="81"/>
  <c r="H192" i="81"/>
  <c r="W191" i="81"/>
  <c r="T191" i="81"/>
  <c r="V191" i="81" s="1"/>
  <c r="O191" i="81"/>
  <c r="H191" i="81"/>
  <c r="W190" i="81"/>
  <c r="T190" i="81"/>
  <c r="V190" i="81" s="1"/>
  <c r="O190" i="81"/>
  <c r="H190" i="81"/>
  <c r="W189" i="81"/>
  <c r="T189" i="81"/>
  <c r="V189" i="81" s="1"/>
  <c r="O189" i="81"/>
  <c r="H189" i="81"/>
  <c r="W188" i="81"/>
  <c r="T188" i="81"/>
  <c r="V188" i="81" s="1"/>
  <c r="O188" i="81"/>
  <c r="H188" i="81"/>
  <c r="W187" i="81"/>
  <c r="T187" i="81"/>
  <c r="V187" i="81" s="1"/>
  <c r="O187" i="81"/>
  <c r="H187" i="81"/>
  <c r="W186" i="81"/>
  <c r="T186" i="81"/>
  <c r="V186" i="81" s="1"/>
  <c r="O186" i="81"/>
  <c r="H186" i="81"/>
  <c r="W185" i="81"/>
  <c r="T185" i="81"/>
  <c r="V185" i="81" s="1"/>
  <c r="O185" i="81"/>
  <c r="H185" i="81"/>
  <c r="W184" i="81"/>
  <c r="T184" i="81"/>
  <c r="V184" i="81" s="1"/>
  <c r="O184" i="81"/>
  <c r="H184" i="81"/>
  <c r="W183" i="81"/>
  <c r="T183" i="81"/>
  <c r="V183" i="81" s="1"/>
  <c r="O183" i="81"/>
  <c r="H183" i="81"/>
  <c r="W182" i="81"/>
  <c r="T182" i="81"/>
  <c r="V182" i="81" s="1"/>
  <c r="O182" i="81"/>
  <c r="H182" i="81"/>
  <c r="W181" i="81"/>
  <c r="T181" i="81"/>
  <c r="V181" i="81" s="1"/>
  <c r="O181" i="81"/>
  <c r="H181" i="81"/>
  <c r="W180" i="81"/>
  <c r="T180" i="81"/>
  <c r="V180" i="81" s="1"/>
  <c r="O180" i="81"/>
  <c r="H180" i="81"/>
  <c r="W179" i="81"/>
  <c r="T179" i="81"/>
  <c r="V179" i="81" s="1"/>
  <c r="O179" i="81"/>
  <c r="H179" i="81"/>
  <c r="W178" i="81"/>
  <c r="T178" i="81"/>
  <c r="V178" i="81" s="1"/>
  <c r="O178" i="81"/>
  <c r="H178" i="81"/>
  <c r="W177" i="81"/>
  <c r="T177" i="81"/>
  <c r="V177" i="81" s="1"/>
  <c r="O177" i="81"/>
  <c r="H177" i="81"/>
  <c r="W176" i="81"/>
  <c r="T176" i="81"/>
  <c r="V176" i="81" s="1"/>
  <c r="O176" i="81"/>
  <c r="H176" i="81"/>
  <c r="W175" i="81"/>
  <c r="T175" i="81"/>
  <c r="V175" i="81" s="1"/>
  <c r="O175" i="81"/>
  <c r="H175" i="81"/>
  <c r="W174" i="81"/>
  <c r="T174" i="81"/>
  <c r="V174" i="81" s="1"/>
  <c r="O174" i="81"/>
  <c r="H174" i="81"/>
  <c r="W173" i="81"/>
  <c r="T173" i="81"/>
  <c r="V173" i="81" s="1"/>
  <c r="O173" i="81"/>
  <c r="H173" i="81"/>
  <c r="W172" i="81"/>
  <c r="T172" i="81"/>
  <c r="V172" i="81" s="1"/>
  <c r="O172" i="81"/>
  <c r="H172" i="81"/>
  <c r="W171" i="81"/>
  <c r="T171" i="81"/>
  <c r="V171" i="81" s="1"/>
  <c r="O171" i="81"/>
  <c r="H171" i="81"/>
  <c r="W170" i="81"/>
  <c r="T170" i="81"/>
  <c r="V170" i="81" s="1"/>
  <c r="O170" i="81"/>
  <c r="H170" i="81"/>
  <c r="W169" i="81"/>
  <c r="T169" i="81"/>
  <c r="V169" i="81" s="1"/>
  <c r="O169" i="81"/>
  <c r="H169" i="81"/>
  <c r="W168" i="81"/>
  <c r="T168" i="81"/>
  <c r="V168" i="81" s="1"/>
  <c r="O168" i="81"/>
  <c r="H168" i="81"/>
  <c r="W167" i="81"/>
  <c r="T167" i="81"/>
  <c r="V167" i="81" s="1"/>
  <c r="O167" i="81"/>
  <c r="H167" i="81"/>
  <c r="W166" i="81"/>
  <c r="T166" i="81"/>
  <c r="V166" i="81" s="1"/>
  <c r="O166" i="81"/>
  <c r="H166" i="81"/>
  <c r="W165" i="81"/>
  <c r="T165" i="81"/>
  <c r="V165" i="81" s="1"/>
  <c r="O165" i="81"/>
  <c r="H165" i="81"/>
  <c r="W164" i="81"/>
  <c r="T164" i="81"/>
  <c r="V164" i="81" s="1"/>
  <c r="O164" i="81"/>
  <c r="H164" i="81"/>
  <c r="W163" i="81"/>
  <c r="T163" i="81"/>
  <c r="V163" i="81" s="1"/>
  <c r="O163" i="81"/>
  <c r="H163" i="81"/>
  <c r="W162" i="81"/>
  <c r="T162" i="81"/>
  <c r="V162" i="81" s="1"/>
  <c r="O162" i="81"/>
  <c r="H162" i="81"/>
  <c r="W161" i="81"/>
  <c r="T161" i="81"/>
  <c r="V161" i="81" s="1"/>
  <c r="O161" i="81"/>
  <c r="H161" i="81"/>
  <c r="W160" i="81"/>
  <c r="T160" i="81"/>
  <c r="V160" i="81" s="1"/>
  <c r="O160" i="81"/>
  <c r="H160" i="81"/>
  <c r="W159" i="81"/>
  <c r="T159" i="81"/>
  <c r="V159" i="81" s="1"/>
  <c r="O159" i="81"/>
  <c r="H159" i="81"/>
  <c r="W158" i="81"/>
  <c r="T158" i="81"/>
  <c r="V158" i="81" s="1"/>
  <c r="O158" i="81"/>
  <c r="H158" i="81"/>
  <c r="W157" i="81"/>
  <c r="T157" i="81"/>
  <c r="V157" i="81" s="1"/>
  <c r="O157" i="81"/>
  <c r="H157" i="81"/>
  <c r="W156" i="81"/>
  <c r="T156" i="81"/>
  <c r="V156" i="81" s="1"/>
  <c r="O156" i="81"/>
  <c r="H156" i="81"/>
  <c r="W155" i="81"/>
  <c r="T155" i="81"/>
  <c r="V155" i="81" s="1"/>
  <c r="O155" i="81"/>
  <c r="H155" i="81"/>
  <c r="W154" i="81"/>
  <c r="T154" i="81"/>
  <c r="V154" i="81" s="1"/>
  <c r="O154" i="81"/>
  <c r="H154" i="81"/>
  <c r="W153" i="81"/>
  <c r="T153" i="81"/>
  <c r="V153" i="81" s="1"/>
  <c r="O153" i="81"/>
  <c r="H153" i="81"/>
  <c r="W152" i="81"/>
  <c r="T152" i="81"/>
  <c r="V152" i="81" s="1"/>
  <c r="O152" i="81"/>
  <c r="H152" i="81"/>
  <c r="W151" i="81"/>
  <c r="T151" i="81"/>
  <c r="V151" i="81" s="1"/>
  <c r="O151" i="81"/>
  <c r="H151" i="81"/>
  <c r="W150" i="81"/>
  <c r="T150" i="81"/>
  <c r="V150" i="81" s="1"/>
  <c r="O150" i="81"/>
  <c r="H150" i="81"/>
  <c r="W149" i="81"/>
  <c r="T149" i="81"/>
  <c r="V149" i="81" s="1"/>
  <c r="O149" i="81"/>
  <c r="H149" i="81"/>
  <c r="W148" i="81"/>
  <c r="T148" i="81"/>
  <c r="V148" i="81" s="1"/>
  <c r="O148" i="81"/>
  <c r="H148" i="81"/>
  <c r="W147" i="81"/>
  <c r="T147" i="81"/>
  <c r="V147" i="81" s="1"/>
  <c r="O147" i="81"/>
  <c r="H147" i="81"/>
  <c r="W146" i="81"/>
  <c r="T146" i="81"/>
  <c r="V146" i="81" s="1"/>
  <c r="O146" i="81"/>
  <c r="H146" i="81"/>
  <c r="W145" i="81"/>
  <c r="T145" i="81"/>
  <c r="V145" i="81" s="1"/>
  <c r="O145" i="81"/>
  <c r="H145" i="81"/>
  <c r="W144" i="81"/>
  <c r="T144" i="81"/>
  <c r="V144" i="81" s="1"/>
  <c r="O144" i="81"/>
  <c r="H144" i="81"/>
  <c r="W143" i="81"/>
  <c r="T143" i="81"/>
  <c r="V143" i="81" s="1"/>
  <c r="O143" i="81"/>
  <c r="H143" i="81"/>
  <c r="W142" i="81"/>
  <c r="T142" i="81"/>
  <c r="V142" i="81" s="1"/>
  <c r="O142" i="81"/>
  <c r="H142" i="81"/>
  <c r="W141" i="81"/>
  <c r="T141" i="81"/>
  <c r="V141" i="81" s="1"/>
  <c r="O141" i="81"/>
  <c r="H141" i="81"/>
  <c r="W140" i="81"/>
  <c r="T140" i="81"/>
  <c r="V140" i="81" s="1"/>
  <c r="O140" i="81"/>
  <c r="H140" i="81"/>
  <c r="W139" i="81"/>
  <c r="T139" i="81"/>
  <c r="V139" i="81" s="1"/>
  <c r="O139" i="81"/>
  <c r="H139" i="81"/>
  <c r="W138" i="81"/>
  <c r="T138" i="81"/>
  <c r="V138" i="81" s="1"/>
  <c r="O138" i="81"/>
  <c r="H138" i="81"/>
  <c r="W137" i="81"/>
  <c r="T137" i="81"/>
  <c r="V137" i="81" s="1"/>
  <c r="O137" i="81"/>
  <c r="H137" i="81"/>
  <c r="W136" i="81"/>
  <c r="T136" i="81"/>
  <c r="V136" i="81" s="1"/>
  <c r="O136" i="81"/>
  <c r="H136" i="81"/>
  <c r="W135" i="81"/>
  <c r="T135" i="81"/>
  <c r="V135" i="81" s="1"/>
  <c r="O135" i="81"/>
  <c r="H135" i="81"/>
  <c r="W134" i="81"/>
  <c r="T134" i="81"/>
  <c r="V134" i="81" s="1"/>
  <c r="O134" i="81"/>
  <c r="H134" i="81"/>
  <c r="W133" i="81"/>
  <c r="T133" i="81"/>
  <c r="V133" i="81" s="1"/>
  <c r="O133" i="81"/>
  <c r="H133" i="81"/>
  <c r="W132" i="81"/>
  <c r="T132" i="81"/>
  <c r="V132" i="81" s="1"/>
  <c r="O132" i="81"/>
  <c r="H132" i="81"/>
  <c r="W131" i="81"/>
  <c r="T131" i="81"/>
  <c r="V131" i="81" s="1"/>
  <c r="O131" i="81"/>
  <c r="H131" i="81"/>
  <c r="W130" i="81"/>
  <c r="T130" i="81"/>
  <c r="V130" i="81" s="1"/>
  <c r="O130" i="81"/>
  <c r="H130" i="81"/>
  <c r="W129" i="81"/>
  <c r="T129" i="81"/>
  <c r="V129" i="81" s="1"/>
  <c r="O129" i="81"/>
  <c r="H129" i="81"/>
  <c r="W128" i="81"/>
  <c r="T128" i="81"/>
  <c r="V128" i="81" s="1"/>
  <c r="O128" i="81"/>
  <c r="H128" i="81"/>
  <c r="W127" i="81"/>
  <c r="T127" i="81"/>
  <c r="V127" i="81" s="1"/>
  <c r="O127" i="81"/>
  <c r="H127" i="81"/>
  <c r="W126" i="81"/>
  <c r="T126" i="81"/>
  <c r="V126" i="81" s="1"/>
  <c r="O126" i="81"/>
  <c r="H126" i="81"/>
  <c r="W125" i="81"/>
  <c r="T125" i="81"/>
  <c r="V125" i="81" s="1"/>
  <c r="O125" i="81"/>
  <c r="H125" i="81"/>
  <c r="W124" i="81"/>
  <c r="T124" i="81"/>
  <c r="V124" i="81" s="1"/>
  <c r="O124" i="81"/>
  <c r="H124" i="81"/>
  <c r="W123" i="81"/>
  <c r="T123" i="81"/>
  <c r="V123" i="81" s="1"/>
  <c r="O123" i="81"/>
  <c r="H123" i="81"/>
  <c r="W122" i="81"/>
  <c r="T122" i="81"/>
  <c r="V122" i="81" s="1"/>
  <c r="O122" i="81"/>
  <c r="H122" i="81"/>
  <c r="W121" i="81"/>
  <c r="T121" i="81"/>
  <c r="V121" i="81" s="1"/>
  <c r="O121" i="81"/>
  <c r="H121" i="81"/>
  <c r="W120" i="81"/>
  <c r="T120" i="81"/>
  <c r="V120" i="81" s="1"/>
  <c r="O120" i="81"/>
  <c r="H120" i="81"/>
  <c r="W119" i="81"/>
  <c r="T119" i="81"/>
  <c r="V119" i="81" s="1"/>
  <c r="O119" i="81"/>
  <c r="H119" i="81"/>
  <c r="W118" i="81"/>
  <c r="T118" i="81"/>
  <c r="V118" i="81" s="1"/>
  <c r="O118" i="81"/>
  <c r="H118" i="81"/>
  <c r="W117" i="81"/>
  <c r="T117" i="81"/>
  <c r="V117" i="81" s="1"/>
  <c r="O117" i="81"/>
  <c r="H117" i="81"/>
  <c r="W116" i="81"/>
  <c r="T116" i="81"/>
  <c r="V116" i="81" s="1"/>
  <c r="O116" i="81"/>
  <c r="H116" i="81"/>
  <c r="W115" i="81"/>
  <c r="T115" i="81"/>
  <c r="V115" i="81" s="1"/>
  <c r="O115" i="81"/>
  <c r="H115" i="81"/>
  <c r="W114" i="81"/>
  <c r="T114" i="81"/>
  <c r="V114" i="81" s="1"/>
  <c r="O114" i="81"/>
  <c r="H114" i="81"/>
  <c r="W113" i="81"/>
  <c r="T113" i="81"/>
  <c r="V113" i="81" s="1"/>
  <c r="O113" i="81"/>
  <c r="H113" i="81"/>
  <c r="W112" i="81"/>
  <c r="T112" i="81"/>
  <c r="V112" i="81" s="1"/>
  <c r="O112" i="81"/>
  <c r="H112" i="81"/>
  <c r="W111" i="81"/>
  <c r="T111" i="81"/>
  <c r="V111" i="81" s="1"/>
  <c r="O111" i="81"/>
  <c r="H111" i="81"/>
  <c r="W110" i="81"/>
  <c r="T110" i="81"/>
  <c r="V110" i="81" s="1"/>
  <c r="O110" i="81"/>
  <c r="H110" i="81"/>
  <c r="W109" i="81"/>
  <c r="T109" i="81"/>
  <c r="V109" i="81" s="1"/>
  <c r="O109" i="81"/>
  <c r="H109" i="81"/>
  <c r="W108" i="81"/>
  <c r="T108" i="81"/>
  <c r="V108" i="81" s="1"/>
  <c r="O108" i="81"/>
  <c r="H108" i="81"/>
  <c r="W107" i="81"/>
  <c r="T107" i="81"/>
  <c r="V107" i="81" s="1"/>
  <c r="O107" i="81"/>
  <c r="H107" i="81"/>
  <c r="W106" i="81"/>
  <c r="T106" i="81"/>
  <c r="V106" i="81" s="1"/>
  <c r="O106" i="81"/>
  <c r="H106" i="81"/>
  <c r="W105" i="81"/>
  <c r="T105" i="81"/>
  <c r="V105" i="81" s="1"/>
  <c r="O105" i="81"/>
  <c r="H105" i="81"/>
  <c r="W104" i="81"/>
  <c r="T104" i="81"/>
  <c r="V104" i="81" s="1"/>
  <c r="O104" i="81"/>
  <c r="H104" i="81"/>
  <c r="W103" i="81"/>
  <c r="T103" i="81"/>
  <c r="V103" i="81" s="1"/>
  <c r="O103" i="81"/>
  <c r="H103" i="81"/>
  <c r="W102" i="81"/>
  <c r="T102" i="81"/>
  <c r="V102" i="81" s="1"/>
  <c r="H102" i="81"/>
  <c r="W101" i="81"/>
  <c r="T101" i="81"/>
  <c r="V101" i="81" s="1"/>
  <c r="W100" i="81"/>
  <c r="T100" i="81"/>
  <c r="V100" i="81" s="1"/>
  <c r="W99" i="81"/>
  <c r="T99" i="81"/>
  <c r="V99" i="81" s="1"/>
  <c r="W98" i="81"/>
  <c r="T98" i="81"/>
  <c r="V98" i="81" s="1"/>
  <c r="W97" i="81"/>
  <c r="T97" i="81"/>
  <c r="V97" i="81" s="1"/>
  <c r="W96" i="81"/>
  <c r="T96" i="81"/>
  <c r="V96" i="81" s="1"/>
  <c r="W95" i="81"/>
  <c r="T95" i="81"/>
  <c r="V95" i="81" s="1"/>
  <c r="W94" i="81"/>
  <c r="T94" i="81"/>
  <c r="V94" i="81" s="1"/>
  <c r="W93" i="81"/>
  <c r="V93" i="81"/>
  <c r="W92" i="81"/>
  <c r="T92" i="81"/>
  <c r="V92" i="81" s="1"/>
  <c r="W91" i="81"/>
  <c r="T91" i="81"/>
  <c r="V91" i="81" s="1"/>
  <c r="W90" i="81"/>
  <c r="T90" i="81"/>
  <c r="V90" i="81" s="1"/>
  <c r="W89" i="81"/>
  <c r="T89" i="81"/>
  <c r="V89" i="81" s="1"/>
  <c r="W88" i="81"/>
  <c r="T88" i="81"/>
  <c r="V88" i="81" s="1"/>
  <c r="W87" i="81"/>
  <c r="V87" i="81"/>
  <c r="W86" i="81"/>
  <c r="T86" i="81"/>
  <c r="V86" i="81" s="1"/>
  <c r="W85" i="81"/>
  <c r="T85" i="81"/>
  <c r="V85" i="81" s="1"/>
  <c r="W84" i="81"/>
  <c r="T84" i="81"/>
  <c r="V84" i="81" s="1"/>
  <c r="T83" i="81"/>
  <c r="W82" i="81"/>
  <c r="T82" i="81"/>
  <c r="V82" i="81" s="1"/>
  <c r="W81" i="81"/>
  <c r="T81" i="81"/>
  <c r="V81" i="81" s="1"/>
  <c r="W80" i="81"/>
  <c r="T80" i="81"/>
  <c r="V80" i="81" s="1"/>
  <c r="W79" i="81"/>
  <c r="T79" i="81"/>
  <c r="V79" i="81" s="1"/>
  <c r="W78" i="81"/>
  <c r="T78" i="81"/>
  <c r="V78" i="81" s="1"/>
  <c r="W77" i="81"/>
  <c r="T77" i="81"/>
  <c r="V77" i="81" s="1"/>
  <c r="W76" i="81"/>
  <c r="T76" i="81"/>
  <c r="V76" i="81" s="1"/>
  <c r="W75" i="81"/>
  <c r="T75" i="81"/>
  <c r="V75" i="81" s="1"/>
  <c r="W74" i="81"/>
  <c r="T74" i="81"/>
  <c r="V74" i="81" s="1"/>
  <c r="W73" i="81"/>
  <c r="T73" i="81"/>
  <c r="V73" i="81" s="1"/>
  <c r="W72" i="81"/>
  <c r="T72" i="81"/>
  <c r="V72" i="81" s="1"/>
  <c r="W71" i="81"/>
  <c r="T71" i="81"/>
  <c r="V71" i="81" s="1"/>
  <c r="W70" i="81"/>
  <c r="T70" i="81"/>
  <c r="V70" i="81" s="1"/>
  <c r="W69" i="81"/>
  <c r="T69" i="81"/>
  <c r="V69" i="81" s="1"/>
  <c r="W68" i="81"/>
  <c r="T68" i="81"/>
  <c r="V68" i="81" s="1"/>
  <c r="W67" i="81"/>
  <c r="T67" i="81"/>
  <c r="V67" i="81" s="1"/>
  <c r="W66" i="81"/>
  <c r="T66" i="81"/>
  <c r="V66" i="81" s="1"/>
  <c r="W65" i="81"/>
  <c r="T65" i="81"/>
  <c r="V65" i="81" s="1"/>
  <c r="W64" i="81"/>
  <c r="T64" i="81"/>
  <c r="V64" i="81" s="1"/>
  <c r="W63" i="81"/>
  <c r="T63" i="81"/>
  <c r="V63" i="81" s="1"/>
  <c r="W62" i="81"/>
  <c r="T62" i="81"/>
  <c r="V62" i="81" s="1"/>
  <c r="T61" i="81"/>
  <c r="V61" i="81" s="1"/>
  <c r="W60" i="81"/>
  <c r="T60" i="81"/>
  <c r="V60" i="81" s="1"/>
  <c r="T59" i="81"/>
  <c r="V59" i="81" s="1"/>
  <c r="T58" i="81"/>
  <c r="V58" i="81" s="1"/>
  <c r="W57" i="81"/>
  <c r="T57" i="81"/>
  <c r="V57" i="81" s="1"/>
  <c r="W56" i="81"/>
  <c r="T56" i="81"/>
  <c r="V56" i="81" s="1"/>
  <c r="W55" i="81"/>
  <c r="T55" i="81"/>
  <c r="V55" i="81" s="1"/>
  <c r="W54" i="81"/>
  <c r="T54" i="81"/>
  <c r="V54" i="81" s="1"/>
  <c r="W53" i="81"/>
  <c r="T53" i="81"/>
  <c r="V53" i="81" s="1"/>
  <c r="W52" i="81"/>
  <c r="T52" i="81"/>
  <c r="V52" i="81" s="1"/>
  <c r="W51" i="81"/>
  <c r="T51" i="81"/>
  <c r="V51" i="81" s="1"/>
  <c r="T50" i="81"/>
  <c r="V50" i="81" s="1"/>
  <c r="W49" i="81"/>
  <c r="T49" i="81"/>
  <c r="V49" i="81" s="1"/>
  <c r="W48" i="81"/>
  <c r="T48" i="81"/>
  <c r="V48" i="81" s="1"/>
  <c r="W47" i="81"/>
  <c r="T47" i="81"/>
  <c r="V47" i="81" s="1"/>
  <c r="W46" i="81"/>
  <c r="T46" i="81"/>
  <c r="V46" i="81" s="1"/>
  <c r="T45" i="81"/>
  <c r="V45" i="81" s="1"/>
  <c r="W44" i="81"/>
  <c r="T44" i="81"/>
  <c r="V44" i="81" s="1"/>
  <c r="W43" i="81"/>
  <c r="T43" i="81"/>
  <c r="V43" i="81" s="1"/>
  <c r="W42" i="81"/>
  <c r="T42" i="81"/>
  <c r="V42" i="81" s="1"/>
  <c r="T41" i="81"/>
  <c r="V41" i="81" s="1"/>
  <c r="W40" i="81"/>
  <c r="T40" i="81"/>
  <c r="V40" i="81" s="1"/>
  <c r="W39" i="81"/>
  <c r="T39" i="81"/>
  <c r="V39" i="81" s="1"/>
  <c r="W38" i="81"/>
  <c r="T38" i="81"/>
  <c r="V38" i="81" s="1"/>
  <c r="W37" i="81"/>
  <c r="T37" i="81"/>
  <c r="V37" i="81" s="1"/>
  <c r="W36" i="81"/>
  <c r="T36" i="81"/>
  <c r="V36" i="81" s="1"/>
  <c r="W35" i="81"/>
  <c r="T35" i="81"/>
  <c r="V35" i="81" s="1"/>
  <c r="W34" i="81"/>
  <c r="T34" i="81"/>
  <c r="V34" i="81" s="1"/>
  <c r="W33" i="81"/>
  <c r="T33" i="81"/>
  <c r="V33" i="81" s="1"/>
  <c r="W32" i="81"/>
  <c r="T32" i="81"/>
  <c r="V32" i="81" s="1"/>
  <c r="W31" i="81"/>
  <c r="V31" i="81"/>
  <c r="W30" i="81"/>
  <c r="T30" i="81"/>
  <c r="V30" i="81" s="1"/>
  <c r="W29" i="81"/>
  <c r="T29" i="81"/>
  <c r="V29" i="81" s="1"/>
  <c r="W28" i="81"/>
  <c r="T28" i="81"/>
  <c r="V28" i="81" s="1"/>
  <c r="T27" i="81"/>
  <c r="V27" i="81" s="1"/>
  <c r="W26" i="81"/>
  <c r="T26" i="81"/>
  <c r="V26" i="81" s="1"/>
  <c r="W25" i="81"/>
  <c r="T25" i="81"/>
  <c r="V25" i="81" s="1"/>
  <c r="W24" i="81"/>
  <c r="T24" i="81"/>
  <c r="V24" i="81" s="1"/>
  <c r="W22" i="81"/>
  <c r="T22" i="81"/>
  <c r="V22" i="81" s="1"/>
  <c r="W21" i="81"/>
  <c r="T21" i="81"/>
  <c r="V21" i="81" s="1"/>
  <c r="W20" i="81"/>
  <c r="T20" i="81"/>
  <c r="V20" i="81" s="1"/>
  <c r="W19" i="81"/>
  <c r="T19" i="81"/>
  <c r="V19" i="81" s="1"/>
  <c r="W18" i="81"/>
  <c r="T18" i="81"/>
  <c r="V18" i="81" s="1"/>
  <c r="W17" i="81"/>
  <c r="T17" i="81"/>
  <c r="V17" i="81" s="1"/>
  <c r="V16" i="81"/>
  <c r="W15" i="81"/>
  <c r="T15" i="81"/>
  <c r="V15" i="81" s="1"/>
  <c r="W14" i="81"/>
  <c r="T14" i="81"/>
  <c r="V14" i="81" s="1"/>
  <c r="W13" i="81"/>
  <c r="T13" i="81"/>
  <c r="V13" i="81" s="1"/>
  <c r="W12" i="81"/>
  <c r="T12" i="81"/>
  <c r="V12" i="81" s="1"/>
  <c r="W11" i="81"/>
  <c r="T11" i="81"/>
  <c r="V11" i="81" s="1"/>
  <c r="W10" i="81"/>
  <c r="T10" i="81"/>
  <c r="V10" i="81" s="1"/>
  <c r="W9" i="81"/>
  <c r="T9" i="81"/>
  <c r="V9" i="81" s="1"/>
  <c r="W8" i="81"/>
  <c r="T8" i="81"/>
  <c r="W7" i="81"/>
  <c r="V7" i="81"/>
  <c r="W6" i="81"/>
  <c r="T6" i="81"/>
  <c r="V6" i="81" s="1"/>
  <c r="W5" i="81"/>
  <c r="T5" i="81"/>
  <c r="V5" i="81" s="1"/>
  <c r="W4" i="81"/>
  <c r="T4" i="81"/>
  <c r="V4" i="81" s="1"/>
  <c r="W3" i="81"/>
  <c r="T3" i="81"/>
  <c r="V3" i="81" s="1"/>
  <c r="D1000" i="121"/>
  <c r="C1000" i="121"/>
  <c r="E1000" i="121" s="1"/>
  <c r="B1000" i="121"/>
  <c r="D999" i="121"/>
  <c r="C999" i="121"/>
  <c r="E999" i="121" s="1"/>
  <c r="B999" i="121"/>
  <c r="D998" i="121"/>
  <c r="C998" i="121"/>
  <c r="E998" i="121" s="1"/>
  <c r="B998" i="121"/>
  <c r="D997" i="121"/>
  <c r="C997" i="121"/>
  <c r="E997" i="121" s="1"/>
  <c r="B997" i="121"/>
  <c r="D996" i="121"/>
  <c r="C996" i="121"/>
  <c r="E996" i="121" s="1"/>
  <c r="B996" i="121"/>
  <c r="D995" i="121"/>
  <c r="C995" i="121"/>
  <c r="E995" i="121" s="1"/>
  <c r="B995" i="121"/>
  <c r="D994" i="121"/>
  <c r="C994" i="121"/>
  <c r="E994" i="121" s="1"/>
  <c r="B994" i="121"/>
  <c r="D993" i="121"/>
  <c r="C993" i="121"/>
  <c r="E993" i="121" s="1"/>
  <c r="B993" i="121"/>
  <c r="D992" i="121"/>
  <c r="C992" i="121"/>
  <c r="E992" i="121" s="1"/>
  <c r="B992" i="121"/>
  <c r="D991" i="121"/>
  <c r="C991" i="121"/>
  <c r="E991" i="121" s="1"/>
  <c r="B991" i="121"/>
  <c r="D990" i="121"/>
  <c r="C990" i="121"/>
  <c r="E990" i="121" s="1"/>
  <c r="B990" i="121"/>
  <c r="D989" i="121"/>
  <c r="C989" i="121"/>
  <c r="E989" i="121" s="1"/>
  <c r="B989" i="121"/>
  <c r="D988" i="121"/>
  <c r="C988" i="121"/>
  <c r="E988" i="121" s="1"/>
  <c r="B988" i="121"/>
  <c r="D987" i="121"/>
  <c r="C987" i="121"/>
  <c r="E987" i="121" s="1"/>
  <c r="B987" i="121"/>
  <c r="D986" i="121"/>
  <c r="C986" i="121"/>
  <c r="E986" i="121" s="1"/>
  <c r="B986" i="121"/>
  <c r="D985" i="121"/>
  <c r="C985" i="121"/>
  <c r="E985" i="121" s="1"/>
  <c r="B985" i="121"/>
  <c r="D984" i="121"/>
  <c r="C984" i="121"/>
  <c r="E984" i="121" s="1"/>
  <c r="B984" i="121"/>
  <c r="D983" i="121"/>
  <c r="C983" i="121"/>
  <c r="E983" i="121" s="1"/>
  <c r="B983" i="121"/>
  <c r="D982" i="121"/>
  <c r="C982" i="121"/>
  <c r="E982" i="121" s="1"/>
  <c r="B982" i="121"/>
  <c r="D981" i="121"/>
  <c r="C981" i="121"/>
  <c r="E981" i="121" s="1"/>
  <c r="B981" i="121"/>
  <c r="D980" i="121"/>
  <c r="C980" i="121"/>
  <c r="E980" i="121" s="1"/>
  <c r="B980" i="121"/>
  <c r="D979" i="121"/>
  <c r="C979" i="121"/>
  <c r="E979" i="121" s="1"/>
  <c r="B979" i="121"/>
  <c r="D978" i="121"/>
  <c r="C978" i="121"/>
  <c r="E978" i="121" s="1"/>
  <c r="B978" i="121"/>
  <c r="D977" i="121"/>
  <c r="C977" i="121"/>
  <c r="E977" i="121" s="1"/>
  <c r="B977" i="121"/>
  <c r="D976" i="121"/>
  <c r="C976" i="121"/>
  <c r="E976" i="121" s="1"/>
  <c r="B976" i="121"/>
  <c r="D975" i="121"/>
  <c r="C975" i="121"/>
  <c r="E975" i="121" s="1"/>
  <c r="B975" i="121"/>
  <c r="D974" i="121"/>
  <c r="C974" i="121"/>
  <c r="E974" i="121" s="1"/>
  <c r="B974" i="121"/>
  <c r="D973" i="121"/>
  <c r="C973" i="121"/>
  <c r="E973" i="121" s="1"/>
  <c r="B973" i="121"/>
  <c r="D972" i="121"/>
  <c r="C972" i="121"/>
  <c r="E972" i="121" s="1"/>
  <c r="B972" i="121"/>
  <c r="D971" i="121"/>
  <c r="C971" i="121"/>
  <c r="B971" i="121"/>
  <c r="D970" i="121"/>
  <c r="C970" i="121"/>
  <c r="E970" i="121" s="1"/>
  <c r="B970" i="121"/>
  <c r="D969" i="121"/>
  <c r="C969" i="121"/>
  <c r="B969" i="121"/>
  <c r="D968" i="121"/>
  <c r="C968" i="121"/>
  <c r="E968" i="121" s="1"/>
  <c r="B968" i="121"/>
  <c r="D967" i="121"/>
  <c r="C967" i="121"/>
  <c r="B967" i="121"/>
  <c r="D966" i="121"/>
  <c r="C966" i="121"/>
  <c r="E966" i="121" s="1"/>
  <c r="B966" i="121"/>
  <c r="D965" i="121"/>
  <c r="C965" i="121"/>
  <c r="B965" i="121"/>
  <c r="D964" i="121"/>
  <c r="C964" i="121"/>
  <c r="E964" i="121" s="1"/>
  <c r="B964" i="121"/>
  <c r="D963" i="121"/>
  <c r="C963" i="121"/>
  <c r="B963" i="121"/>
  <c r="D962" i="121"/>
  <c r="C962" i="121"/>
  <c r="E962" i="121" s="1"/>
  <c r="B962" i="121"/>
  <c r="D961" i="121"/>
  <c r="C961" i="121"/>
  <c r="B961" i="121"/>
  <c r="D960" i="121"/>
  <c r="C960" i="121"/>
  <c r="E960" i="121" s="1"/>
  <c r="B960" i="121"/>
  <c r="D959" i="121"/>
  <c r="C959" i="121"/>
  <c r="B959" i="121"/>
  <c r="D958" i="121"/>
  <c r="C958" i="121"/>
  <c r="E958" i="121" s="1"/>
  <c r="B958" i="121"/>
  <c r="D957" i="121"/>
  <c r="C957" i="121"/>
  <c r="B957" i="121"/>
  <c r="D956" i="121"/>
  <c r="C956" i="121"/>
  <c r="E956" i="121" s="1"/>
  <c r="B956" i="121"/>
  <c r="D955" i="121"/>
  <c r="C955" i="121"/>
  <c r="B955" i="121"/>
  <c r="D954" i="121"/>
  <c r="C954" i="121"/>
  <c r="E954" i="121" s="1"/>
  <c r="B954" i="121"/>
  <c r="D953" i="121"/>
  <c r="C953" i="121"/>
  <c r="B953" i="121"/>
  <c r="D952" i="121"/>
  <c r="C952" i="121"/>
  <c r="E952" i="121" s="1"/>
  <c r="B952" i="121"/>
  <c r="D951" i="121"/>
  <c r="C951" i="121"/>
  <c r="B951" i="121"/>
  <c r="D950" i="121"/>
  <c r="C950" i="121"/>
  <c r="E950" i="121" s="1"/>
  <c r="B950" i="121"/>
  <c r="D949" i="121"/>
  <c r="C949" i="121"/>
  <c r="B949" i="121"/>
  <c r="D948" i="121"/>
  <c r="C948" i="121"/>
  <c r="B948" i="121"/>
  <c r="D947" i="121"/>
  <c r="C947" i="121"/>
  <c r="B947" i="121"/>
  <c r="D946" i="121"/>
  <c r="C946" i="121"/>
  <c r="E946" i="121" s="1"/>
  <c r="B946" i="121"/>
  <c r="D945" i="121"/>
  <c r="C945" i="121"/>
  <c r="E945" i="121" s="1"/>
  <c r="B945" i="121"/>
  <c r="D944" i="121"/>
  <c r="C944" i="121"/>
  <c r="E944" i="121" s="1"/>
  <c r="B944" i="121"/>
  <c r="D943" i="121"/>
  <c r="C943" i="121"/>
  <c r="E943" i="121" s="1"/>
  <c r="B943" i="121"/>
  <c r="D942" i="121"/>
  <c r="C942" i="121"/>
  <c r="E942" i="121" s="1"/>
  <c r="B942" i="121"/>
  <c r="D941" i="121"/>
  <c r="C941" i="121"/>
  <c r="E941" i="121" s="1"/>
  <c r="B941" i="121"/>
  <c r="D940" i="121"/>
  <c r="C940" i="121"/>
  <c r="E940" i="121" s="1"/>
  <c r="B940" i="121"/>
  <c r="D939" i="121"/>
  <c r="C939" i="121"/>
  <c r="E939" i="121" s="1"/>
  <c r="B939" i="121"/>
  <c r="D938" i="121"/>
  <c r="C938" i="121"/>
  <c r="E938" i="121" s="1"/>
  <c r="B938" i="121"/>
  <c r="D937" i="121"/>
  <c r="C937" i="121"/>
  <c r="E937" i="121" s="1"/>
  <c r="B937" i="121"/>
  <c r="D936" i="121"/>
  <c r="C936" i="121"/>
  <c r="E936" i="121" s="1"/>
  <c r="B936" i="121"/>
  <c r="D935" i="121"/>
  <c r="C935" i="121"/>
  <c r="E935" i="121" s="1"/>
  <c r="B935" i="121"/>
  <c r="D934" i="121"/>
  <c r="C934" i="121"/>
  <c r="E934" i="121" s="1"/>
  <c r="B934" i="121"/>
  <c r="D933" i="121"/>
  <c r="C933" i="121"/>
  <c r="E933" i="121" s="1"/>
  <c r="B933" i="121"/>
  <c r="D932" i="121"/>
  <c r="C932" i="121"/>
  <c r="E932" i="121" s="1"/>
  <c r="B932" i="121"/>
  <c r="D931" i="121"/>
  <c r="C931" i="121"/>
  <c r="E931" i="121" s="1"/>
  <c r="B931" i="121"/>
  <c r="D930" i="121"/>
  <c r="C930" i="121"/>
  <c r="E930" i="121" s="1"/>
  <c r="B930" i="121"/>
  <c r="D929" i="121"/>
  <c r="C929" i="121"/>
  <c r="E929" i="121" s="1"/>
  <c r="B929" i="121"/>
  <c r="D928" i="121"/>
  <c r="C928" i="121"/>
  <c r="E928" i="121" s="1"/>
  <c r="B928" i="121"/>
  <c r="D927" i="121"/>
  <c r="C927" i="121"/>
  <c r="E927" i="121" s="1"/>
  <c r="B927" i="121"/>
  <c r="D926" i="121"/>
  <c r="C926" i="121"/>
  <c r="E926" i="121" s="1"/>
  <c r="B926" i="121"/>
  <c r="D925" i="121"/>
  <c r="C925" i="121"/>
  <c r="E925" i="121" s="1"/>
  <c r="B925" i="121"/>
  <c r="D924" i="121"/>
  <c r="C924" i="121"/>
  <c r="E924" i="121" s="1"/>
  <c r="B924" i="121"/>
  <c r="D923" i="121"/>
  <c r="C923" i="121"/>
  <c r="E923" i="121" s="1"/>
  <c r="B923" i="121"/>
  <c r="D922" i="121"/>
  <c r="C922" i="121"/>
  <c r="E922" i="121" s="1"/>
  <c r="B922" i="121"/>
  <c r="D921" i="121"/>
  <c r="C921" i="121"/>
  <c r="E921" i="121" s="1"/>
  <c r="B921" i="121"/>
  <c r="D920" i="121"/>
  <c r="C920" i="121"/>
  <c r="E920" i="121" s="1"/>
  <c r="B920" i="121"/>
  <c r="D919" i="121"/>
  <c r="C919" i="121"/>
  <c r="E919" i="121" s="1"/>
  <c r="B919" i="121"/>
  <c r="D918" i="121"/>
  <c r="C918" i="121"/>
  <c r="E918" i="121" s="1"/>
  <c r="B918" i="121"/>
  <c r="D917" i="121"/>
  <c r="C917" i="121"/>
  <c r="E917" i="121" s="1"/>
  <c r="B917" i="121"/>
  <c r="D916" i="121"/>
  <c r="C916" i="121"/>
  <c r="E916" i="121" s="1"/>
  <c r="B916" i="121"/>
  <c r="D915" i="121"/>
  <c r="C915" i="121"/>
  <c r="E915" i="121" s="1"/>
  <c r="B915" i="121"/>
  <c r="D914" i="121"/>
  <c r="C914" i="121"/>
  <c r="E914" i="121" s="1"/>
  <c r="B914" i="121"/>
  <c r="D913" i="121"/>
  <c r="C913" i="121"/>
  <c r="E913" i="121" s="1"/>
  <c r="B913" i="121"/>
  <c r="D912" i="121"/>
  <c r="C912" i="121"/>
  <c r="E912" i="121" s="1"/>
  <c r="B912" i="121"/>
  <c r="D911" i="121"/>
  <c r="C911" i="121"/>
  <c r="E911" i="121" s="1"/>
  <c r="B911" i="121"/>
  <c r="D910" i="121"/>
  <c r="C910" i="121"/>
  <c r="E910" i="121" s="1"/>
  <c r="B910" i="121"/>
  <c r="D909" i="121"/>
  <c r="C909" i="121"/>
  <c r="E909" i="121" s="1"/>
  <c r="B909" i="121"/>
  <c r="D908" i="121"/>
  <c r="C908" i="121"/>
  <c r="E908" i="121" s="1"/>
  <c r="B908" i="121"/>
  <c r="D907" i="121"/>
  <c r="C907" i="121"/>
  <c r="E907" i="121" s="1"/>
  <c r="B907" i="121"/>
  <c r="D906" i="121"/>
  <c r="C906" i="121"/>
  <c r="E906" i="121" s="1"/>
  <c r="B906" i="121"/>
  <c r="D905" i="121"/>
  <c r="C905" i="121"/>
  <c r="E905" i="121" s="1"/>
  <c r="B905" i="121"/>
  <c r="D904" i="121"/>
  <c r="C904" i="121"/>
  <c r="E904" i="121" s="1"/>
  <c r="B904" i="121"/>
  <c r="D903" i="121"/>
  <c r="C903" i="121"/>
  <c r="E903" i="121" s="1"/>
  <c r="B903" i="121"/>
  <c r="D902" i="121"/>
  <c r="C902" i="121"/>
  <c r="E902" i="121" s="1"/>
  <c r="B902" i="121"/>
  <c r="D901" i="121"/>
  <c r="C901" i="121"/>
  <c r="E901" i="121" s="1"/>
  <c r="B901" i="121"/>
  <c r="D900" i="121"/>
  <c r="C900" i="121"/>
  <c r="E900" i="121" s="1"/>
  <c r="B900" i="121"/>
  <c r="D899" i="121"/>
  <c r="C899" i="121"/>
  <c r="E899" i="121" s="1"/>
  <c r="B899" i="121"/>
  <c r="D898" i="121"/>
  <c r="C898" i="121"/>
  <c r="E898" i="121" s="1"/>
  <c r="B898" i="121"/>
  <c r="D897" i="121"/>
  <c r="C897" i="121"/>
  <c r="E897" i="121" s="1"/>
  <c r="B897" i="121"/>
  <c r="D896" i="121"/>
  <c r="C896" i="121"/>
  <c r="E896" i="121" s="1"/>
  <c r="B896" i="121"/>
  <c r="D895" i="121"/>
  <c r="C895" i="121"/>
  <c r="E895" i="121" s="1"/>
  <c r="B895" i="121"/>
  <c r="D894" i="121"/>
  <c r="C894" i="121"/>
  <c r="E894" i="121" s="1"/>
  <c r="B894" i="121"/>
  <c r="D893" i="121"/>
  <c r="C893" i="121"/>
  <c r="E893" i="121" s="1"/>
  <c r="B893" i="121"/>
  <c r="D892" i="121"/>
  <c r="C892" i="121"/>
  <c r="E892" i="121" s="1"/>
  <c r="B892" i="121"/>
  <c r="D891" i="121"/>
  <c r="C891" i="121"/>
  <c r="E891" i="121" s="1"/>
  <c r="B891" i="121"/>
  <c r="D890" i="121"/>
  <c r="C890" i="121"/>
  <c r="E890" i="121" s="1"/>
  <c r="B890" i="121"/>
  <c r="D889" i="121"/>
  <c r="C889" i="121"/>
  <c r="E889" i="121" s="1"/>
  <c r="B889" i="121"/>
  <c r="D888" i="121"/>
  <c r="C888" i="121"/>
  <c r="E888" i="121" s="1"/>
  <c r="B888" i="121"/>
  <c r="D887" i="121"/>
  <c r="C887" i="121"/>
  <c r="E887" i="121" s="1"/>
  <c r="B887" i="121"/>
  <c r="D886" i="121"/>
  <c r="C886" i="121"/>
  <c r="E886" i="121" s="1"/>
  <c r="B886" i="121"/>
  <c r="D885" i="121"/>
  <c r="C885" i="121"/>
  <c r="E885" i="121" s="1"/>
  <c r="B885" i="121"/>
  <c r="D884" i="121"/>
  <c r="C884" i="121"/>
  <c r="E884" i="121" s="1"/>
  <c r="B884" i="121"/>
  <c r="D883" i="121"/>
  <c r="C883" i="121"/>
  <c r="E883" i="121" s="1"/>
  <c r="B883" i="121"/>
  <c r="D882" i="121"/>
  <c r="C882" i="121"/>
  <c r="E882" i="121" s="1"/>
  <c r="B882" i="121"/>
  <c r="D881" i="121"/>
  <c r="C881" i="121"/>
  <c r="E881" i="121" s="1"/>
  <c r="B881" i="121"/>
  <c r="D880" i="121"/>
  <c r="C880" i="121"/>
  <c r="E880" i="121" s="1"/>
  <c r="B880" i="121"/>
  <c r="D879" i="121"/>
  <c r="C879" i="121"/>
  <c r="E879" i="121" s="1"/>
  <c r="B879" i="121"/>
  <c r="D878" i="121"/>
  <c r="C878" i="121"/>
  <c r="E878" i="121" s="1"/>
  <c r="B878" i="121"/>
  <c r="D877" i="121"/>
  <c r="C877" i="121"/>
  <c r="E877" i="121" s="1"/>
  <c r="B877" i="121"/>
  <c r="D876" i="121"/>
  <c r="C876" i="121"/>
  <c r="E876" i="121" s="1"/>
  <c r="B876" i="121"/>
  <c r="D875" i="121"/>
  <c r="C875" i="121"/>
  <c r="E875" i="121" s="1"/>
  <c r="B875" i="121"/>
  <c r="D874" i="121"/>
  <c r="C874" i="121"/>
  <c r="E874" i="121" s="1"/>
  <c r="B874" i="121"/>
  <c r="D873" i="121"/>
  <c r="C873" i="121"/>
  <c r="E873" i="121" s="1"/>
  <c r="B873" i="121"/>
  <c r="D872" i="121"/>
  <c r="C872" i="121"/>
  <c r="E872" i="121" s="1"/>
  <c r="B872" i="121"/>
  <c r="D871" i="121"/>
  <c r="C871" i="121"/>
  <c r="E871" i="121" s="1"/>
  <c r="B871" i="121"/>
  <c r="D870" i="121"/>
  <c r="C870" i="121"/>
  <c r="E870" i="121" s="1"/>
  <c r="B870" i="121"/>
  <c r="D869" i="121"/>
  <c r="C869" i="121"/>
  <c r="E869" i="121" s="1"/>
  <c r="B869" i="121"/>
  <c r="D868" i="121"/>
  <c r="C868" i="121"/>
  <c r="E868" i="121" s="1"/>
  <c r="B868" i="121"/>
  <c r="D867" i="121"/>
  <c r="C867" i="121"/>
  <c r="E867" i="121" s="1"/>
  <c r="B867" i="121"/>
  <c r="D866" i="121"/>
  <c r="C866" i="121"/>
  <c r="E866" i="121" s="1"/>
  <c r="B866" i="121"/>
  <c r="D865" i="121"/>
  <c r="C865" i="121"/>
  <c r="E865" i="121" s="1"/>
  <c r="B865" i="121"/>
  <c r="D864" i="121"/>
  <c r="C864" i="121"/>
  <c r="E864" i="121" s="1"/>
  <c r="B864" i="121"/>
  <c r="D863" i="121"/>
  <c r="C863" i="121"/>
  <c r="E863" i="121" s="1"/>
  <c r="B863" i="121"/>
  <c r="D862" i="121"/>
  <c r="C862" i="121"/>
  <c r="E862" i="121" s="1"/>
  <c r="B862" i="121"/>
  <c r="D861" i="121"/>
  <c r="C861" i="121"/>
  <c r="E861" i="121" s="1"/>
  <c r="B861" i="121"/>
  <c r="D860" i="121"/>
  <c r="C860" i="121"/>
  <c r="E860" i="121" s="1"/>
  <c r="B860" i="121"/>
  <c r="D859" i="121"/>
  <c r="C859" i="121"/>
  <c r="E859" i="121" s="1"/>
  <c r="B859" i="121"/>
  <c r="D858" i="121"/>
  <c r="C858" i="121"/>
  <c r="E858" i="121" s="1"/>
  <c r="B858" i="121"/>
  <c r="D857" i="121"/>
  <c r="C857" i="121"/>
  <c r="E857" i="121" s="1"/>
  <c r="B857" i="121"/>
  <c r="D856" i="121"/>
  <c r="C856" i="121"/>
  <c r="E856" i="121" s="1"/>
  <c r="B856" i="121"/>
  <c r="D855" i="121"/>
  <c r="C855" i="121"/>
  <c r="E855" i="121" s="1"/>
  <c r="B855" i="121"/>
  <c r="D854" i="121"/>
  <c r="C854" i="121"/>
  <c r="E854" i="121" s="1"/>
  <c r="B854" i="121"/>
  <c r="D853" i="121"/>
  <c r="C853" i="121"/>
  <c r="E853" i="121" s="1"/>
  <c r="B853" i="121"/>
  <c r="D852" i="121"/>
  <c r="C852" i="121"/>
  <c r="E852" i="121" s="1"/>
  <c r="B852" i="121"/>
  <c r="D851" i="121"/>
  <c r="C851" i="121"/>
  <c r="E851" i="121" s="1"/>
  <c r="B851" i="121"/>
  <c r="D850" i="121"/>
  <c r="C850" i="121"/>
  <c r="E850" i="121" s="1"/>
  <c r="B850" i="121"/>
  <c r="D849" i="121"/>
  <c r="C849" i="121"/>
  <c r="E849" i="121" s="1"/>
  <c r="B849" i="121"/>
  <c r="D848" i="121"/>
  <c r="C848" i="121"/>
  <c r="E848" i="121" s="1"/>
  <c r="B848" i="121"/>
  <c r="D847" i="121"/>
  <c r="C847" i="121"/>
  <c r="E847" i="121" s="1"/>
  <c r="B847" i="121"/>
  <c r="D846" i="121"/>
  <c r="C846" i="121"/>
  <c r="E846" i="121" s="1"/>
  <c r="B846" i="121"/>
  <c r="D845" i="121"/>
  <c r="C845" i="121"/>
  <c r="E845" i="121" s="1"/>
  <c r="B845" i="121"/>
  <c r="D844" i="121"/>
  <c r="C844" i="121"/>
  <c r="E844" i="121" s="1"/>
  <c r="B844" i="121"/>
  <c r="D843" i="121"/>
  <c r="C843" i="121"/>
  <c r="E843" i="121" s="1"/>
  <c r="B843" i="121"/>
  <c r="D842" i="121"/>
  <c r="C842" i="121"/>
  <c r="E842" i="121" s="1"/>
  <c r="B842" i="121"/>
  <c r="D841" i="121"/>
  <c r="C841" i="121"/>
  <c r="E841" i="121" s="1"/>
  <c r="B841" i="121"/>
  <c r="D840" i="121"/>
  <c r="C840" i="121"/>
  <c r="E840" i="121" s="1"/>
  <c r="B840" i="121"/>
  <c r="D839" i="121"/>
  <c r="C839" i="121"/>
  <c r="E839" i="121" s="1"/>
  <c r="B839" i="121"/>
  <c r="D838" i="121"/>
  <c r="C838" i="121"/>
  <c r="E838" i="121" s="1"/>
  <c r="B838" i="121"/>
  <c r="D837" i="121"/>
  <c r="C837" i="121"/>
  <c r="E837" i="121" s="1"/>
  <c r="B837" i="121"/>
  <c r="D836" i="121"/>
  <c r="C836" i="121"/>
  <c r="E836" i="121" s="1"/>
  <c r="B836" i="121"/>
  <c r="D835" i="121"/>
  <c r="C835" i="121"/>
  <c r="E835" i="121" s="1"/>
  <c r="B835" i="121"/>
  <c r="D834" i="121"/>
  <c r="C834" i="121"/>
  <c r="E834" i="121" s="1"/>
  <c r="B834" i="121"/>
  <c r="D833" i="121"/>
  <c r="C833" i="121"/>
  <c r="E833" i="121" s="1"/>
  <c r="B833" i="121"/>
  <c r="D832" i="121"/>
  <c r="C832" i="121"/>
  <c r="E832" i="121" s="1"/>
  <c r="B832" i="121"/>
  <c r="D831" i="121"/>
  <c r="C831" i="121"/>
  <c r="E831" i="121" s="1"/>
  <c r="B831" i="121"/>
  <c r="D830" i="121"/>
  <c r="C830" i="121"/>
  <c r="E830" i="121" s="1"/>
  <c r="B830" i="121"/>
  <c r="D829" i="121"/>
  <c r="C829" i="121"/>
  <c r="E829" i="121" s="1"/>
  <c r="B829" i="121"/>
  <c r="D828" i="121"/>
  <c r="C828" i="121"/>
  <c r="E828" i="121" s="1"/>
  <c r="B828" i="121"/>
  <c r="D827" i="121"/>
  <c r="C827" i="121"/>
  <c r="E827" i="121" s="1"/>
  <c r="B827" i="121"/>
  <c r="D826" i="121"/>
  <c r="C826" i="121"/>
  <c r="E826" i="121" s="1"/>
  <c r="B826" i="121"/>
  <c r="D825" i="121"/>
  <c r="C825" i="121"/>
  <c r="E825" i="121" s="1"/>
  <c r="B825" i="121"/>
  <c r="D824" i="121"/>
  <c r="C824" i="121"/>
  <c r="E824" i="121" s="1"/>
  <c r="B824" i="121"/>
  <c r="D823" i="121"/>
  <c r="C823" i="121"/>
  <c r="E823" i="121" s="1"/>
  <c r="B823" i="121"/>
  <c r="D822" i="121"/>
  <c r="C822" i="121"/>
  <c r="E822" i="121" s="1"/>
  <c r="B822" i="121"/>
  <c r="D821" i="121"/>
  <c r="C821" i="121"/>
  <c r="E821" i="121" s="1"/>
  <c r="B821" i="121"/>
  <c r="D820" i="121"/>
  <c r="C820" i="121"/>
  <c r="E820" i="121" s="1"/>
  <c r="B820" i="121"/>
  <c r="D819" i="121"/>
  <c r="C819" i="121"/>
  <c r="E819" i="121" s="1"/>
  <c r="B819" i="121"/>
  <c r="D818" i="121"/>
  <c r="C818" i="121"/>
  <c r="E818" i="121" s="1"/>
  <c r="B818" i="121"/>
  <c r="D817" i="121"/>
  <c r="C817" i="121"/>
  <c r="E817" i="121" s="1"/>
  <c r="B817" i="121"/>
  <c r="D816" i="121"/>
  <c r="C816" i="121"/>
  <c r="E816" i="121" s="1"/>
  <c r="B816" i="121"/>
  <c r="D815" i="121"/>
  <c r="C815" i="121"/>
  <c r="E815" i="121" s="1"/>
  <c r="B815" i="121"/>
  <c r="D814" i="121"/>
  <c r="C814" i="121"/>
  <c r="E814" i="121" s="1"/>
  <c r="B814" i="121"/>
  <c r="D813" i="121"/>
  <c r="C813" i="121"/>
  <c r="E813" i="121" s="1"/>
  <c r="B813" i="121"/>
  <c r="D812" i="121"/>
  <c r="C812" i="121"/>
  <c r="E812" i="121" s="1"/>
  <c r="B812" i="121"/>
  <c r="D811" i="121"/>
  <c r="C811" i="121"/>
  <c r="E811" i="121" s="1"/>
  <c r="B811" i="121"/>
  <c r="D810" i="121"/>
  <c r="C810" i="121"/>
  <c r="E810" i="121" s="1"/>
  <c r="B810" i="121"/>
  <c r="D809" i="121"/>
  <c r="C809" i="121"/>
  <c r="E809" i="121" s="1"/>
  <c r="B809" i="121"/>
  <c r="D808" i="121"/>
  <c r="C808" i="121"/>
  <c r="E808" i="121" s="1"/>
  <c r="B808" i="121"/>
  <c r="D807" i="121"/>
  <c r="C807" i="121"/>
  <c r="E807" i="121" s="1"/>
  <c r="B807" i="121"/>
  <c r="D806" i="121"/>
  <c r="C806" i="121"/>
  <c r="E806" i="121" s="1"/>
  <c r="B806" i="121"/>
  <c r="D805" i="121"/>
  <c r="C805" i="121"/>
  <c r="E805" i="121" s="1"/>
  <c r="B805" i="121"/>
  <c r="D804" i="121"/>
  <c r="C804" i="121"/>
  <c r="E804" i="121" s="1"/>
  <c r="B804" i="121"/>
  <c r="D803" i="121"/>
  <c r="C803" i="121"/>
  <c r="E803" i="121" s="1"/>
  <c r="B803" i="121"/>
  <c r="D802" i="121"/>
  <c r="C802" i="121"/>
  <c r="E802" i="121" s="1"/>
  <c r="B802" i="121"/>
  <c r="D801" i="121"/>
  <c r="C801" i="121"/>
  <c r="E801" i="121" s="1"/>
  <c r="B801" i="121"/>
  <c r="D800" i="121"/>
  <c r="C800" i="121"/>
  <c r="E800" i="121" s="1"/>
  <c r="B800" i="121"/>
  <c r="D799" i="121"/>
  <c r="C799" i="121"/>
  <c r="E799" i="121" s="1"/>
  <c r="B799" i="121"/>
  <c r="D798" i="121"/>
  <c r="C798" i="121"/>
  <c r="E798" i="121" s="1"/>
  <c r="B798" i="121"/>
  <c r="D797" i="121"/>
  <c r="C797" i="121"/>
  <c r="E797" i="121" s="1"/>
  <c r="B797" i="121"/>
  <c r="D796" i="121"/>
  <c r="C796" i="121"/>
  <c r="E796" i="121" s="1"/>
  <c r="B796" i="121"/>
  <c r="D795" i="121"/>
  <c r="C795" i="121"/>
  <c r="E795" i="121" s="1"/>
  <c r="B795" i="121"/>
  <c r="D794" i="121"/>
  <c r="C794" i="121"/>
  <c r="E794" i="121" s="1"/>
  <c r="B794" i="121"/>
  <c r="D793" i="121"/>
  <c r="C793" i="121"/>
  <c r="E793" i="121" s="1"/>
  <c r="B793" i="121"/>
  <c r="D792" i="121"/>
  <c r="C792" i="121"/>
  <c r="E792" i="121" s="1"/>
  <c r="B792" i="121"/>
  <c r="D791" i="121"/>
  <c r="C791" i="121"/>
  <c r="E791" i="121" s="1"/>
  <c r="B791" i="121"/>
  <c r="D790" i="121"/>
  <c r="C790" i="121"/>
  <c r="E790" i="121" s="1"/>
  <c r="B790" i="121"/>
  <c r="D789" i="121"/>
  <c r="C789" i="121"/>
  <c r="E789" i="121" s="1"/>
  <c r="B789" i="121"/>
  <c r="D788" i="121"/>
  <c r="C788" i="121"/>
  <c r="E788" i="121" s="1"/>
  <c r="B788" i="121"/>
  <c r="D787" i="121"/>
  <c r="C787" i="121"/>
  <c r="E787" i="121" s="1"/>
  <c r="B787" i="121"/>
  <c r="D786" i="121"/>
  <c r="C786" i="121"/>
  <c r="E786" i="121" s="1"/>
  <c r="B786" i="121"/>
  <c r="D785" i="121"/>
  <c r="C785" i="121"/>
  <c r="E785" i="121" s="1"/>
  <c r="B785" i="121"/>
  <c r="D784" i="121"/>
  <c r="C784" i="121"/>
  <c r="E784" i="121" s="1"/>
  <c r="B784" i="121"/>
  <c r="D783" i="121"/>
  <c r="C783" i="121"/>
  <c r="E783" i="121" s="1"/>
  <c r="B783" i="121"/>
  <c r="D782" i="121"/>
  <c r="C782" i="121"/>
  <c r="E782" i="121" s="1"/>
  <c r="B782" i="121"/>
  <c r="D781" i="121"/>
  <c r="C781" i="121"/>
  <c r="E781" i="121" s="1"/>
  <c r="B781" i="121"/>
  <c r="D780" i="121"/>
  <c r="C780" i="121"/>
  <c r="E780" i="121" s="1"/>
  <c r="B780" i="121"/>
  <c r="D779" i="121"/>
  <c r="C779" i="121"/>
  <c r="E779" i="121" s="1"/>
  <c r="B779" i="121"/>
  <c r="D778" i="121"/>
  <c r="C778" i="121"/>
  <c r="E778" i="121" s="1"/>
  <c r="B778" i="121"/>
  <c r="D777" i="121"/>
  <c r="C777" i="121"/>
  <c r="E777" i="121" s="1"/>
  <c r="B777" i="121"/>
  <c r="D776" i="121"/>
  <c r="C776" i="121"/>
  <c r="E776" i="121" s="1"/>
  <c r="B776" i="121"/>
  <c r="D775" i="121"/>
  <c r="C775" i="121"/>
  <c r="E775" i="121" s="1"/>
  <c r="B775" i="121"/>
  <c r="D774" i="121"/>
  <c r="C774" i="121"/>
  <c r="E774" i="121" s="1"/>
  <c r="B774" i="121"/>
  <c r="D773" i="121"/>
  <c r="C773" i="121"/>
  <c r="E773" i="121" s="1"/>
  <c r="B773" i="121"/>
  <c r="D772" i="121"/>
  <c r="C772" i="121"/>
  <c r="E772" i="121" s="1"/>
  <c r="B772" i="121"/>
  <c r="D771" i="121"/>
  <c r="C771" i="121"/>
  <c r="E771" i="121" s="1"/>
  <c r="B771" i="121"/>
  <c r="D770" i="121"/>
  <c r="C770" i="121"/>
  <c r="E770" i="121" s="1"/>
  <c r="B770" i="121"/>
  <c r="D769" i="121"/>
  <c r="C769" i="121"/>
  <c r="E769" i="121" s="1"/>
  <c r="B769" i="121"/>
  <c r="D768" i="121"/>
  <c r="C768" i="121"/>
  <c r="E768" i="121" s="1"/>
  <c r="B768" i="121"/>
  <c r="D767" i="121"/>
  <c r="C767" i="121"/>
  <c r="E767" i="121" s="1"/>
  <c r="B767" i="121"/>
  <c r="D766" i="121"/>
  <c r="C766" i="121"/>
  <c r="E766" i="121" s="1"/>
  <c r="B766" i="121"/>
  <c r="D765" i="121"/>
  <c r="C765" i="121"/>
  <c r="E765" i="121" s="1"/>
  <c r="B765" i="121"/>
  <c r="D764" i="121"/>
  <c r="C764" i="121"/>
  <c r="E764" i="121" s="1"/>
  <c r="B764" i="121"/>
  <c r="D763" i="121"/>
  <c r="C763" i="121"/>
  <c r="E763" i="121" s="1"/>
  <c r="B763" i="121"/>
  <c r="D762" i="121"/>
  <c r="C762" i="121"/>
  <c r="E762" i="121" s="1"/>
  <c r="B762" i="121"/>
  <c r="D761" i="121"/>
  <c r="C761" i="121"/>
  <c r="E761" i="121" s="1"/>
  <c r="B761" i="121"/>
  <c r="D760" i="121"/>
  <c r="C760" i="121"/>
  <c r="E760" i="121" s="1"/>
  <c r="B760" i="121"/>
  <c r="D759" i="121"/>
  <c r="C759" i="121"/>
  <c r="E759" i="121" s="1"/>
  <c r="B759" i="121"/>
  <c r="D758" i="121"/>
  <c r="C758" i="121"/>
  <c r="E758" i="121" s="1"/>
  <c r="B758" i="121"/>
  <c r="D757" i="121"/>
  <c r="C757" i="121"/>
  <c r="E757" i="121" s="1"/>
  <c r="B757" i="121"/>
  <c r="D756" i="121"/>
  <c r="C756" i="121"/>
  <c r="E756" i="121" s="1"/>
  <c r="B756" i="121"/>
  <c r="D755" i="121"/>
  <c r="C755" i="121"/>
  <c r="E755" i="121" s="1"/>
  <c r="B755" i="121"/>
  <c r="D754" i="121"/>
  <c r="C754" i="121"/>
  <c r="E754" i="121" s="1"/>
  <c r="B754" i="121"/>
  <c r="D753" i="121"/>
  <c r="C753" i="121"/>
  <c r="E753" i="121" s="1"/>
  <c r="B753" i="121"/>
  <c r="D752" i="121"/>
  <c r="C752" i="121"/>
  <c r="E752" i="121" s="1"/>
  <c r="B752" i="121"/>
  <c r="D751" i="121"/>
  <c r="C751" i="121"/>
  <c r="E751" i="121" s="1"/>
  <c r="B751" i="121"/>
  <c r="D750" i="121"/>
  <c r="C750" i="121"/>
  <c r="E750" i="121" s="1"/>
  <c r="B750" i="121"/>
  <c r="D749" i="121"/>
  <c r="C749" i="121"/>
  <c r="E749" i="121" s="1"/>
  <c r="B749" i="121"/>
  <c r="D748" i="121"/>
  <c r="C748" i="121"/>
  <c r="E748" i="121" s="1"/>
  <c r="B748" i="121"/>
  <c r="D747" i="121"/>
  <c r="C747" i="121"/>
  <c r="E747" i="121" s="1"/>
  <c r="B747" i="121"/>
  <c r="D746" i="121"/>
  <c r="C746" i="121"/>
  <c r="E746" i="121" s="1"/>
  <c r="B746" i="121"/>
  <c r="D745" i="121"/>
  <c r="C745" i="121"/>
  <c r="E745" i="121" s="1"/>
  <c r="B745" i="121"/>
  <c r="D744" i="121"/>
  <c r="C744" i="121"/>
  <c r="E744" i="121" s="1"/>
  <c r="B744" i="121"/>
  <c r="D743" i="121"/>
  <c r="C743" i="121"/>
  <c r="E743" i="121" s="1"/>
  <c r="B743" i="121"/>
  <c r="D742" i="121"/>
  <c r="C742" i="121"/>
  <c r="E742" i="121" s="1"/>
  <c r="B742" i="121"/>
  <c r="D741" i="121"/>
  <c r="C741" i="121"/>
  <c r="E741" i="121" s="1"/>
  <c r="B741" i="121"/>
  <c r="D740" i="121"/>
  <c r="C740" i="121"/>
  <c r="E740" i="121" s="1"/>
  <c r="B740" i="121"/>
  <c r="D739" i="121"/>
  <c r="C739" i="121"/>
  <c r="E739" i="121" s="1"/>
  <c r="B739" i="121"/>
  <c r="D738" i="121"/>
  <c r="C738" i="121"/>
  <c r="E738" i="121" s="1"/>
  <c r="B738" i="121"/>
  <c r="D737" i="121"/>
  <c r="C737" i="121"/>
  <c r="E737" i="121" s="1"/>
  <c r="B737" i="121"/>
  <c r="D736" i="121"/>
  <c r="C736" i="121"/>
  <c r="E736" i="121" s="1"/>
  <c r="B736" i="121"/>
  <c r="D735" i="121"/>
  <c r="C735" i="121"/>
  <c r="E735" i="121" s="1"/>
  <c r="B735" i="121"/>
  <c r="D734" i="121"/>
  <c r="C734" i="121"/>
  <c r="E734" i="121" s="1"/>
  <c r="B734" i="121"/>
  <c r="D733" i="121"/>
  <c r="C733" i="121"/>
  <c r="E733" i="121" s="1"/>
  <c r="B733" i="121"/>
  <c r="D732" i="121"/>
  <c r="C732" i="121"/>
  <c r="E732" i="121" s="1"/>
  <c r="B732" i="121"/>
  <c r="D731" i="121"/>
  <c r="C731" i="121"/>
  <c r="E731" i="121" s="1"/>
  <c r="B731" i="121"/>
  <c r="D730" i="121"/>
  <c r="C730" i="121"/>
  <c r="E730" i="121" s="1"/>
  <c r="B730" i="121"/>
  <c r="D729" i="121"/>
  <c r="C729" i="121"/>
  <c r="E729" i="121" s="1"/>
  <c r="B729" i="121"/>
  <c r="D728" i="121"/>
  <c r="C728" i="121"/>
  <c r="E728" i="121" s="1"/>
  <c r="B728" i="121"/>
  <c r="D727" i="121"/>
  <c r="C727" i="121"/>
  <c r="E727" i="121" s="1"/>
  <c r="B727" i="121"/>
  <c r="D726" i="121"/>
  <c r="C726" i="121"/>
  <c r="E726" i="121" s="1"/>
  <c r="B726" i="121"/>
  <c r="D725" i="121"/>
  <c r="C725" i="121"/>
  <c r="E725" i="121" s="1"/>
  <c r="B725" i="121"/>
  <c r="D724" i="121"/>
  <c r="C724" i="121"/>
  <c r="E724" i="121" s="1"/>
  <c r="B724" i="121"/>
  <c r="D723" i="121"/>
  <c r="C723" i="121"/>
  <c r="E723" i="121" s="1"/>
  <c r="B723" i="121"/>
  <c r="D722" i="121"/>
  <c r="C722" i="121"/>
  <c r="E722" i="121" s="1"/>
  <c r="B722" i="121"/>
  <c r="D721" i="121"/>
  <c r="C721" i="121"/>
  <c r="E721" i="121" s="1"/>
  <c r="B721" i="121"/>
  <c r="D720" i="121"/>
  <c r="C720" i="121"/>
  <c r="E720" i="121" s="1"/>
  <c r="B720" i="121"/>
  <c r="D719" i="121"/>
  <c r="C719" i="121"/>
  <c r="E719" i="121" s="1"/>
  <c r="B719" i="121"/>
  <c r="D718" i="121"/>
  <c r="C718" i="121"/>
  <c r="E718" i="121" s="1"/>
  <c r="B718" i="121"/>
  <c r="D717" i="121"/>
  <c r="C717" i="121"/>
  <c r="E717" i="121" s="1"/>
  <c r="B717" i="121"/>
  <c r="D716" i="121"/>
  <c r="C716" i="121"/>
  <c r="E716" i="121" s="1"/>
  <c r="B716" i="121"/>
  <c r="D715" i="121"/>
  <c r="C715" i="121"/>
  <c r="E715" i="121" s="1"/>
  <c r="B715" i="121"/>
  <c r="D714" i="121"/>
  <c r="C714" i="121"/>
  <c r="E714" i="121" s="1"/>
  <c r="B714" i="121"/>
  <c r="D713" i="121"/>
  <c r="C713" i="121"/>
  <c r="E713" i="121" s="1"/>
  <c r="B713" i="121"/>
  <c r="D712" i="121"/>
  <c r="C712" i="121"/>
  <c r="E712" i="121" s="1"/>
  <c r="B712" i="121"/>
  <c r="D711" i="121"/>
  <c r="C711" i="121"/>
  <c r="E711" i="121" s="1"/>
  <c r="B711" i="121"/>
  <c r="D710" i="121"/>
  <c r="C710" i="121"/>
  <c r="E710" i="121" s="1"/>
  <c r="B710" i="121"/>
  <c r="D709" i="121"/>
  <c r="C709" i="121"/>
  <c r="E709" i="121" s="1"/>
  <c r="B709" i="121"/>
  <c r="D708" i="121"/>
  <c r="C708" i="121"/>
  <c r="E708" i="121" s="1"/>
  <c r="B708" i="121"/>
  <c r="D707" i="121"/>
  <c r="C707" i="121"/>
  <c r="E707" i="121" s="1"/>
  <c r="B707" i="121"/>
  <c r="D706" i="121"/>
  <c r="C706" i="121"/>
  <c r="E706" i="121" s="1"/>
  <c r="B706" i="121"/>
  <c r="D705" i="121"/>
  <c r="C705" i="121"/>
  <c r="E705" i="121" s="1"/>
  <c r="B705" i="121"/>
  <c r="D704" i="121"/>
  <c r="C704" i="121"/>
  <c r="E704" i="121" s="1"/>
  <c r="B704" i="121"/>
  <c r="D703" i="121"/>
  <c r="C703" i="121"/>
  <c r="E703" i="121" s="1"/>
  <c r="B703" i="121"/>
  <c r="D702" i="121"/>
  <c r="C702" i="121"/>
  <c r="E702" i="121" s="1"/>
  <c r="B702" i="121"/>
  <c r="D701" i="121"/>
  <c r="C701" i="121"/>
  <c r="E701" i="121" s="1"/>
  <c r="B701" i="121"/>
  <c r="D700" i="121"/>
  <c r="C700" i="121"/>
  <c r="E700" i="121" s="1"/>
  <c r="B700" i="121"/>
  <c r="D699" i="121"/>
  <c r="C699" i="121"/>
  <c r="E699" i="121" s="1"/>
  <c r="B699" i="121"/>
  <c r="D698" i="121"/>
  <c r="C698" i="121"/>
  <c r="E698" i="121" s="1"/>
  <c r="B698" i="121"/>
  <c r="D697" i="121"/>
  <c r="C697" i="121"/>
  <c r="E697" i="121" s="1"/>
  <c r="B697" i="121"/>
  <c r="D696" i="121"/>
  <c r="C696" i="121"/>
  <c r="E696" i="121" s="1"/>
  <c r="B696" i="121"/>
  <c r="D695" i="121"/>
  <c r="C695" i="121"/>
  <c r="E695" i="121" s="1"/>
  <c r="B695" i="121"/>
  <c r="D694" i="121"/>
  <c r="C694" i="121"/>
  <c r="E694" i="121" s="1"/>
  <c r="B694" i="121"/>
  <c r="D693" i="121"/>
  <c r="C693" i="121"/>
  <c r="E693" i="121" s="1"/>
  <c r="B693" i="121"/>
  <c r="D692" i="121"/>
  <c r="C692" i="121"/>
  <c r="E692" i="121" s="1"/>
  <c r="B692" i="121"/>
  <c r="D691" i="121"/>
  <c r="C691" i="121"/>
  <c r="E691" i="121" s="1"/>
  <c r="B691" i="121"/>
  <c r="D690" i="121"/>
  <c r="C690" i="121"/>
  <c r="E690" i="121" s="1"/>
  <c r="B690" i="121"/>
  <c r="D689" i="121"/>
  <c r="C689" i="121"/>
  <c r="E689" i="121" s="1"/>
  <c r="B689" i="121"/>
  <c r="D688" i="121"/>
  <c r="C688" i="121"/>
  <c r="E688" i="121" s="1"/>
  <c r="B688" i="121"/>
  <c r="D687" i="121"/>
  <c r="C687" i="121"/>
  <c r="E687" i="121" s="1"/>
  <c r="B687" i="121"/>
  <c r="D686" i="121"/>
  <c r="C686" i="121"/>
  <c r="E686" i="121" s="1"/>
  <c r="B686" i="121"/>
  <c r="D685" i="121"/>
  <c r="C685" i="121"/>
  <c r="E685" i="121" s="1"/>
  <c r="B685" i="121"/>
  <c r="D684" i="121"/>
  <c r="C684" i="121"/>
  <c r="E684" i="121" s="1"/>
  <c r="B684" i="121"/>
  <c r="D683" i="121"/>
  <c r="C683" i="121"/>
  <c r="E683" i="121" s="1"/>
  <c r="B683" i="121"/>
  <c r="D682" i="121"/>
  <c r="C682" i="121"/>
  <c r="E682" i="121" s="1"/>
  <c r="B682" i="121"/>
  <c r="D681" i="121"/>
  <c r="C681" i="121"/>
  <c r="E681" i="121" s="1"/>
  <c r="B681" i="121"/>
  <c r="D680" i="121"/>
  <c r="C680" i="121"/>
  <c r="E680" i="121" s="1"/>
  <c r="B680" i="121"/>
  <c r="D679" i="121"/>
  <c r="C679" i="121"/>
  <c r="E679" i="121" s="1"/>
  <c r="B679" i="121"/>
  <c r="D678" i="121"/>
  <c r="C678" i="121"/>
  <c r="E678" i="121" s="1"/>
  <c r="B678" i="121"/>
  <c r="D677" i="121"/>
  <c r="C677" i="121"/>
  <c r="E677" i="121" s="1"/>
  <c r="B677" i="121"/>
  <c r="D676" i="121"/>
  <c r="C676" i="121"/>
  <c r="E676" i="121" s="1"/>
  <c r="B676" i="121"/>
  <c r="D675" i="121"/>
  <c r="C675" i="121"/>
  <c r="E675" i="121" s="1"/>
  <c r="B675" i="121"/>
  <c r="D674" i="121"/>
  <c r="C674" i="121"/>
  <c r="E674" i="121" s="1"/>
  <c r="B674" i="121"/>
  <c r="D673" i="121"/>
  <c r="C673" i="121"/>
  <c r="E673" i="121" s="1"/>
  <c r="B673" i="121"/>
  <c r="D672" i="121"/>
  <c r="C672" i="121"/>
  <c r="E672" i="121" s="1"/>
  <c r="B672" i="121"/>
  <c r="D671" i="121"/>
  <c r="C671" i="121"/>
  <c r="E671" i="121" s="1"/>
  <c r="B671" i="121"/>
  <c r="D670" i="121"/>
  <c r="C670" i="121"/>
  <c r="E670" i="121" s="1"/>
  <c r="B670" i="121"/>
  <c r="D669" i="121"/>
  <c r="C669" i="121"/>
  <c r="E669" i="121" s="1"/>
  <c r="B669" i="121"/>
  <c r="D668" i="121"/>
  <c r="C668" i="121"/>
  <c r="E668" i="121" s="1"/>
  <c r="B668" i="121"/>
  <c r="D667" i="121"/>
  <c r="C667" i="121"/>
  <c r="E667" i="121" s="1"/>
  <c r="B667" i="121"/>
  <c r="D666" i="121"/>
  <c r="C666" i="121"/>
  <c r="E666" i="121" s="1"/>
  <c r="B666" i="121"/>
  <c r="D665" i="121"/>
  <c r="C665" i="121"/>
  <c r="E665" i="121" s="1"/>
  <c r="B665" i="121"/>
  <c r="D664" i="121"/>
  <c r="C664" i="121"/>
  <c r="E664" i="121" s="1"/>
  <c r="B664" i="121"/>
  <c r="D663" i="121"/>
  <c r="C663" i="121"/>
  <c r="E663" i="121" s="1"/>
  <c r="B663" i="121"/>
  <c r="D662" i="121"/>
  <c r="C662" i="121"/>
  <c r="E662" i="121" s="1"/>
  <c r="B662" i="121"/>
  <c r="D661" i="121"/>
  <c r="C661" i="121"/>
  <c r="E661" i="121" s="1"/>
  <c r="B661" i="121"/>
  <c r="D660" i="121"/>
  <c r="C660" i="121"/>
  <c r="E660" i="121" s="1"/>
  <c r="B660" i="121"/>
  <c r="D659" i="121"/>
  <c r="C659" i="121"/>
  <c r="E659" i="121" s="1"/>
  <c r="B659" i="121"/>
  <c r="D658" i="121"/>
  <c r="C658" i="121"/>
  <c r="E658" i="121" s="1"/>
  <c r="B658" i="121"/>
  <c r="D657" i="121"/>
  <c r="C657" i="121"/>
  <c r="E657" i="121" s="1"/>
  <c r="B657" i="121"/>
  <c r="D656" i="121"/>
  <c r="C656" i="121"/>
  <c r="E656" i="121" s="1"/>
  <c r="B656" i="121"/>
  <c r="D655" i="121"/>
  <c r="C655" i="121"/>
  <c r="E655" i="121" s="1"/>
  <c r="B655" i="121"/>
  <c r="D654" i="121"/>
  <c r="C654" i="121"/>
  <c r="E654" i="121" s="1"/>
  <c r="B654" i="121"/>
  <c r="D653" i="121"/>
  <c r="C653" i="121"/>
  <c r="E653" i="121" s="1"/>
  <c r="B653" i="121"/>
  <c r="D652" i="121"/>
  <c r="C652" i="121"/>
  <c r="E652" i="121" s="1"/>
  <c r="B652" i="121"/>
  <c r="D651" i="121"/>
  <c r="C651" i="121"/>
  <c r="E651" i="121" s="1"/>
  <c r="B651" i="121"/>
  <c r="D650" i="121"/>
  <c r="C650" i="121"/>
  <c r="E650" i="121" s="1"/>
  <c r="B650" i="121"/>
  <c r="D649" i="121"/>
  <c r="C649" i="121"/>
  <c r="E649" i="121" s="1"/>
  <c r="B649" i="121"/>
  <c r="D648" i="121"/>
  <c r="C648" i="121"/>
  <c r="E648" i="121" s="1"/>
  <c r="B648" i="121"/>
  <c r="D647" i="121"/>
  <c r="C647" i="121"/>
  <c r="E647" i="121" s="1"/>
  <c r="B647" i="121"/>
  <c r="D646" i="121"/>
  <c r="C646" i="121"/>
  <c r="E646" i="121" s="1"/>
  <c r="B646" i="121"/>
  <c r="D645" i="121"/>
  <c r="C645" i="121"/>
  <c r="E645" i="121" s="1"/>
  <c r="B645" i="121"/>
  <c r="D644" i="121"/>
  <c r="C644" i="121"/>
  <c r="E644" i="121" s="1"/>
  <c r="B644" i="121"/>
  <c r="D643" i="121"/>
  <c r="C643" i="121"/>
  <c r="E643" i="121" s="1"/>
  <c r="B643" i="121"/>
  <c r="D642" i="121"/>
  <c r="C642" i="121"/>
  <c r="E642" i="121" s="1"/>
  <c r="B642" i="121"/>
  <c r="D641" i="121"/>
  <c r="C641" i="121"/>
  <c r="E641" i="121" s="1"/>
  <c r="B641" i="121"/>
  <c r="D640" i="121"/>
  <c r="C640" i="121"/>
  <c r="E640" i="121" s="1"/>
  <c r="B640" i="121"/>
  <c r="D639" i="121"/>
  <c r="C639" i="121"/>
  <c r="E639" i="121" s="1"/>
  <c r="B639" i="121"/>
  <c r="D638" i="121"/>
  <c r="C638" i="121"/>
  <c r="E638" i="121" s="1"/>
  <c r="B638" i="121"/>
  <c r="D637" i="121"/>
  <c r="C637" i="121"/>
  <c r="E637" i="121" s="1"/>
  <c r="B637" i="121"/>
  <c r="D636" i="121"/>
  <c r="C636" i="121"/>
  <c r="E636" i="121" s="1"/>
  <c r="B636" i="121"/>
  <c r="D635" i="121"/>
  <c r="C635" i="121"/>
  <c r="E635" i="121" s="1"/>
  <c r="B635" i="121"/>
  <c r="D634" i="121"/>
  <c r="C634" i="121"/>
  <c r="E634" i="121" s="1"/>
  <c r="B634" i="121"/>
  <c r="D633" i="121"/>
  <c r="C633" i="121"/>
  <c r="E633" i="121" s="1"/>
  <c r="B633" i="121"/>
  <c r="D632" i="121"/>
  <c r="C632" i="121"/>
  <c r="E632" i="121" s="1"/>
  <c r="B632" i="121"/>
  <c r="D631" i="121"/>
  <c r="C631" i="121"/>
  <c r="E631" i="121" s="1"/>
  <c r="B631" i="121"/>
  <c r="D630" i="121"/>
  <c r="C630" i="121"/>
  <c r="E630" i="121" s="1"/>
  <c r="B630" i="121"/>
  <c r="D629" i="121"/>
  <c r="C629" i="121"/>
  <c r="E629" i="121" s="1"/>
  <c r="B629" i="121"/>
  <c r="D628" i="121"/>
  <c r="C628" i="121"/>
  <c r="E628" i="121" s="1"/>
  <c r="B628" i="121"/>
  <c r="D627" i="121"/>
  <c r="C627" i="121"/>
  <c r="E627" i="121" s="1"/>
  <c r="B627" i="121"/>
  <c r="D626" i="121"/>
  <c r="C626" i="121"/>
  <c r="E626" i="121" s="1"/>
  <c r="B626" i="121"/>
  <c r="D625" i="121"/>
  <c r="C625" i="121"/>
  <c r="E625" i="121" s="1"/>
  <c r="B625" i="121"/>
  <c r="D624" i="121"/>
  <c r="C624" i="121"/>
  <c r="E624" i="121" s="1"/>
  <c r="B624" i="121"/>
  <c r="D623" i="121"/>
  <c r="C623" i="121"/>
  <c r="E623" i="121" s="1"/>
  <c r="B623" i="121"/>
  <c r="D622" i="121"/>
  <c r="C622" i="121"/>
  <c r="E622" i="121" s="1"/>
  <c r="B622" i="121"/>
  <c r="D621" i="121"/>
  <c r="C621" i="121"/>
  <c r="E621" i="121" s="1"/>
  <c r="B621" i="121"/>
  <c r="D620" i="121"/>
  <c r="C620" i="121"/>
  <c r="E620" i="121" s="1"/>
  <c r="B620" i="121"/>
  <c r="D619" i="121"/>
  <c r="C619" i="121"/>
  <c r="E619" i="121" s="1"/>
  <c r="B619" i="121"/>
  <c r="D618" i="121"/>
  <c r="C618" i="121"/>
  <c r="E618" i="121" s="1"/>
  <c r="B618" i="121"/>
  <c r="D617" i="121"/>
  <c r="C617" i="121"/>
  <c r="E617" i="121" s="1"/>
  <c r="B617" i="121"/>
  <c r="D616" i="121"/>
  <c r="C616" i="121"/>
  <c r="E616" i="121" s="1"/>
  <c r="B616" i="121"/>
  <c r="D615" i="121"/>
  <c r="C615" i="121"/>
  <c r="E615" i="121" s="1"/>
  <c r="B615" i="121"/>
  <c r="D614" i="121"/>
  <c r="C614" i="121"/>
  <c r="E614" i="121" s="1"/>
  <c r="B614" i="121"/>
  <c r="D613" i="121"/>
  <c r="C613" i="121"/>
  <c r="E613" i="121" s="1"/>
  <c r="B613" i="121"/>
  <c r="D612" i="121"/>
  <c r="C612" i="121"/>
  <c r="E612" i="121" s="1"/>
  <c r="B612" i="121"/>
  <c r="D611" i="121"/>
  <c r="C611" i="121"/>
  <c r="E611" i="121" s="1"/>
  <c r="B611" i="121"/>
  <c r="D610" i="121"/>
  <c r="C610" i="121"/>
  <c r="E610" i="121" s="1"/>
  <c r="B610" i="121"/>
  <c r="D609" i="121"/>
  <c r="C609" i="121"/>
  <c r="E609" i="121" s="1"/>
  <c r="B609" i="121"/>
  <c r="D608" i="121"/>
  <c r="C608" i="121"/>
  <c r="E608" i="121" s="1"/>
  <c r="B608" i="121"/>
  <c r="D607" i="121"/>
  <c r="C607" i="121"/>
  <c r="E607" i="121" s="1"/>
  <c r="B607" i="121"/>
  <c r="D606" i="121"/>
  <c r="C606" i="121"/>
  <c r="E606" i="121" s="1"/>
  <c r="B606" i="121"/>
  <c r="D605" i="121"/>
  <c r="C605" i="121"/>
  <c r="E605" i="121" s="1"/>
  <c r="B605" i="121"/>
  <c r="D604" i="121"/>
  <c r="C604" i="121"/>
  <c r="E604" i="121" s="1"/>
  <c r="B604" i="121"/>
  <c r="D603" i="121"/>
  <c r="C603" i="121"/>
  <c r="E603" i="121" s="1"/>
  <c r="B603" i="121"/>
  <c r="D602" i="121"/>
  <c r="C602" i="121"/>
  <c r="E602" i="121" s="1"/>
  <c r="B602" i="121"/>
  <c r="D601" i="121"/>
  <c r="C601" i="121"/>
  <c r="E601" i="121" s="1"/>
  <c r="B601" i="121"/>
  <c r="D600" i="121"/>
  <c r="C600" i="121"/>
  <c r="E600" i="121" s="1"/>
  <c r="B600" i="121"/>
  <c r="D599" i="121"/>
  <c r="C599" i="121"/>
  <c r="E599" i="121" s="1"/>
  <c r="B599" i="121"/>
  <c r="D598" i="121"/>
  <c r="C598" i="121"/>
  <c r="E598" i="121" s="1"/>
  <c r="B598" i="121"/>
  <c r="D597" i="121"/>
  <c r="C597" i="121"/>
  <c r="E597" i="121" s="1"/>
  <c r="B597" i="121"/>
  <c r="D596" i="121"/>
  <c r="C596" i="121"/>
  <c r="E596" i="121" s="1"/>
  <c r="B596" i="121"/>
  <c r="D595" i="121"/>
  <c r="C595" i="121"/>
  <c r="E595" i="121" s="1"/>
  <c r="B595" i="121"/>
  <c r="D594" i="121"/>
  <c r="C594" i="121"/>
  <c r="E594" i="121" s="1"/>
  <c r="B594" i="121"/>
  <c r="D593" i="121"/>
  <c r="C593" i="121"/>
  <c r="E593" i="121" s="1"/>
  <c r="B593" i="121"/>
  <c r="D592" i="121"/>
  <c r="C592" i="121"/>
  <c r="E592" i="121" s="1"/>
  <c r="B592" i="121"/>
  <c r="D591" i="121"/>
  <c r="C591" i="121"/>
  <c r="E591" i="121" s="1"/>
  <c r="B591" i="121"/>
  <c r="D590" i="121"/>
  <c r="C590" i="121"/>
  <c r="E590" i="121" s="1"/>
  <c r="B590" i="121"/>
  <c r="D589" i="121"/>
  <c r="C589" i="121"/>
  <c r="E589" i="121" s="1"/>
  <c r="B589" i="121"/>
  <c r="D588" i="121"/>
  <c r="C588" i="121"/>
  <c r="E588" i="121" s="1"/>
  <c r="B588" i="121"/>
  <c r="D587" i="121"/>
  <c r="C587" i="121"/>
  <c r="E587" i="121" s="1"/>
  <c r="B587" i="121"/>
  <c r="D586" i="121"/>
  <c r="C586" i="121"/>
  <c r="E586" i="121" s="1"/>
  <c r="B586" i="121"/>
  <c r="D585" i="121"/>
  <c r="C585" i="121"/>
  <c r="E585" i="121" s="1"/>
  <c r="B585" i="121"/>
  <c r="D584" i="121"/>
  <c r="C584" i="121"/>
  <c r="E584" i="121" s="1"/>
  <c r="B584" i="121"/>
  <c r="D583" i="121"/>
  <c r="C583" i="121"/>
  <c r="E583" i="121" s="1"/>
  <c r="B583" i="121"/>
  <c r="D582" i="121"/>
  <c r="C582" i="121"/>
  <c r="E582" i="121" s="1"/>
  <c r="B582" i="121"/>
  <c r="D581" i="121"/>
  <c r="C581" i="121"/>
  <c r="E581" i="121" s="1"/>
  <c r="B581" i="121"/>
  <c r="D580" i="121"/>
  <c r="C580" i="121"/>
  <c r="E580" i="121" s="1"/>
  <c r="B580" i="121"/>
  <c r="D579" i="121"/>
  <c r="C579" i="121"/>
  <c r="E579" i="121" s="1"/>
  <c r="B579" i="121"/>
  <c r="D578" i="121"/>
  <c r="C578" i="121"/>
  <c r="E578" i="121" s="1"/>
  <c r="B578" i="121"/>
  <c r="D577" i="121"/>
  <c r="C577" i="121"/>
  <c r="E577" i="121" s="1"/>
  <c r="B577" i="121"/>
  <c r="D576" i="121"/>
  <c r="C576" i="121"/>
  <c r="E576" i="121" s="1"/>
  <c r="B576" i="121"/>
  <c r="D575" i="121"/>
  <c r="C575" i="121"/>
  <c r="E575" i="121" s="1"/>
  <c r="B575" i="121"/>
  <c r="D574" i="121"/>
  <c r="C574" i="121"/>
  <c r="E574" i="121" s="1"/>
  <c r="B574" i="121"/>
  <c r="D573" i="121"/>
  <c r="C573" i="121"/>
  <c r="E573" i="121" s="1"/>
  <c r="B573" i="121"/>
  <c r="D572" i="121"/>
  <c r="C572" i="121"/>
  <c r="E572" i="121" s="1"/>
  <c r="B572" i="121"/>
  <c r="D571" i="121"/>
  <c r="C571" i="121"/>
  <c r="E571" i="121" s="1"/>
  <c r="B571" i="121"/>
  <c r="D570" i="121"/>
  <c r="C570" i="121"/>
  <c r="E570" i="121" s="1"/>
  <c r="B570" i="121"/>
  <c r="D569" i="121"/>
  <c r="C569" i="121"/>
  <c r="E569" i="121" s="1"/>
  <c r="B569" i="121"/>
  <c r="D568" i="121"/>
  <c r="C568" i="121"/>
  <c r="E568" i="121" s="1"/>
  <c r="B568" i="121"/>
  <c r="D567" i="121"/>
  <c r="C567" i="121"/>
  <c r="E567" i="121" s="1"/>
  <c r="B567" i="121"/>
  <c r="D566" i="121"/>
  <c r="C566" i="121"/>
  <c r="E566" i="121" s="1"/>
  <c r="B566" i="121"/>
  <c r="D565" i="121"/>
  <c r="C565" i="121"/>
  <c r="E565" i="121" s="1"/>
  <c r="B565" i="121"/>
  <c r="D564" i="121"/>
  <c r="C564" i="121"/>
  <c r="E564" i="121" s="1"/>
  <c r="B564" i="121"/>
  <c r="D563" i="121"/>
  <c r="C563" i="121"/>
  <c r="E563" i="121" s="1"/>
  <c r="B563" i="121"/>
  <c r="D562" i="121"/>
  <c r="C562" i="121"/>
  <c r="E562" i="121" s="1"/>
  <c r="B562" i="121"/>
  <c r="D561" i="121"/>
  <c r="C561" i="121"/>
  <c r="E561" i="121" s="1"/>
  <c r="B561" i="121"/>
  <c r="D560" i="121"/>
  <c r="C560" i="121"/>
  <c r="E560" i="121" s="1"/>
  <c r="B560" i="121"/>
  <c r="D559" i="121"/>
  <c r="C559" i="121"/>
  <c r="E559" i="121" s="1"/>
  <c r="B559" i="121"/>
  <c r="D558" i="121"/>
  <c r="C558" i="121"/>
  <c r="E558" i="121" s="1"/>
  <c r="B558" i="121"/>
  <c r="D557" i="121"/>
  <c r="C557" i="121"/>
  <c r="E557" i="121" s="1"/>
  <c r="B557" i="121"/>
  <c r="D556" i="121"/>
  <c r="C556" i="121"/>
  <c r="E556" i="121" s="1"/>
  <c r="B556" i="121"/>
  <c r="D555" i="121"/>
  <c r="C555" i="121"/>
  <c r="E555" i="121" s="1"/>
  <c r="B555" i="121"/>
  <c r="D554" i="121"/>
  <c r="C554" i="121"/>
  <c r="E554" i="121" s="1"/>
  <c r="B554" i="121"/>
  <c r="D553" i="121"/>
  <c r="C553" i="121"/>
  <c r="E553" i="121" s="1"/>
  <c r="B553" i="121"/>
  <c r="D552" i="121"/>
  <c r="C552" i="121"/>
  <c r="E552" i="121" s="1"/>
  <c r="B552" i="121"/>
  <c r="D551" i="121"/>
  <c r="C551" i="121"/>
  <c r="E551" i="121" s="1"/>
  <c r="B551" i="121"/>
  <c r="D550" i="121"/>
  <c r="C550" i="121"/>
  <c r="E550" i="121" s="1"/>
  <c r="B550" i="121"/>
  <c r="D549" i="121"/>
  <c r="C549" i="121"/>
  <c r="E549" i="121" s="1"/>
  <c r="B549" i="121"/>
  <c r="D548" i="121"/>
  <c r="C548" i="121"/>
  <c r="E548" i="121" s="1"/>
  <c r="B548" i="121"/>
  <c r="D547" i="121"/>
  <c r="C547" i="121"/>
  <c r="E547" i="121" s="1"/>
  <c r="B547" i="121"/>
  <c r="D546" i="121"/>
  <c r="C546" i="121"/>
  <c r="E546" i="121" s="1"/>
  <c r="B546" i="121"/>
  <c r="D545" i="121"/>
  <c r="C545" i="121"/>
  <c r="E545" i="121" s="1"/>
  <c r="B545" i="121"/>
  <c r="D544" i="121"/>
  <c r="C544" i="121"/>
  <c r="E544" i="121" s="1"/>
  <c r="B544" i="121"/>
  <c r="D543" i="121"/>
  <c r="C543" i="121"/>
  <c r="E543" i="121" s="1"/>
  <c r="B543" i="121"/>
  <c r="D542" i="121"/>
  <c r="C542" i="121"/>
  <c r="E542" i="121" s="1"/>
  <c r="B542" i="121"/>
  <c r="D541" i="121"/>
  <c r="C541" i="121"/>
  <c r="E541" i="121" s="1"/>
  <c r="B541" i="121"/>
  <c r="D540" i="121"/>
  <c r="C540" i="121"/>
  <c r="E540" i="121" s="1"/>
  <c r="B540" i="121"/>
  <c r="D539" i="121"/>
  <c r="C539" i="121"/>
  <c r="E539" i="121" s="1"/>
  <c r="B539" i="121"/>
  <c r="D538" i="121"/>
  <c r="C538" i="121"/>
  <c r="E538" i="121" s="1"/>
  <c r="B538" i="121"/>
  <c r="D537" i="121"/>
  <c r="C537" i="121"/>
  <c r="E537" i="121" s="1"/>
  <c r="B537" i="121"/>
  <c r="D536" i="121"/>
  <c r="C536" i="121"/>
  <c r="E536" i="121" s="1"/>
  <c r="B536" i="121"/>
  <c r="D535" i="121"/>
  <c r="C535" i="121"/>
  <c r="E535" i="121" s="1"/>
  <c r="B535" i="121"/>
  <c r="D534" i="121"/>
  <c r="C534" i="121"/>
  <c r="E534" i="121" s="1"/>
  <c r="B534" i="121"/>
  <c r="D533" i="121"/>
  <c r="C533" i="121"/>
  <c r="E533" i="121" s="1"/>
  <c r="B533" i="121"/>
  <c r="D532" i="121"/>
  <c r="C532" i="121"/>
  <c r="E532" i="121" s="1"/>
  <c r="B532" i="121"/>
  <c r="D531" i="121"/>
  <c r="C531" i="121"/>
  <c r="E531" i="121" s="1"/>
  <c r="B531" i="121"/>
  <c r="D530" i="121"/>
  <c r="C530" i="121"/>
  <c r="E530" i="121" s="1"/>
  <c r="B530" i="121"/>
  <c r="D529" i="121"/>
  <c r="C529" i="121"/>
  <c r="E529" i="121" s="1"/>
  <c r="B529" i="121"/>
  <c r="D528" i="121"/>
  <c r="C528" i="121"/>
  <c r="E528" i="121" s="1"/>
  <c r="B528" i="121"/>
  <c r="D527" i="121"/>
  <c r="C527" i="121"/>
  <c r="E527" i="121" s="1"/>
  <c r="B527" i="121"/>
  <c r="D526" i="121"/>
  <c r="C526" i="121"/>
  <c r="E526" i="121" s="1"/>
  <c r="B526" i="121"/>
  <c r="D525" i="121"/>
  <c r="C525" i="121"/>
  <c r="E525" i="121" s="1"/>
  <c r="B525" i="121"/>
  <c r="D524" i="121"/>
  <c r="C524" i="121"/>
  <c r="E524" i="121" s="1"/>
  <c r="B524" i="121"/>
  <c r="D523" i="121"/>
  <c r="C523" i="121"/>
  <c r="E523" i="121" s="1"/>
  <c r="B523" i="121"/>
  <c r="D522" i="121"/>
  <c r="C522" i="121"/>
  <c r="E522" i="121" s="1"/>
  <c r="B522" i="121"/>
  <c r="D521" i="121"/>
  <c r="C521" i="121"/>
  <c r="E521" i="121" s="1"/>
  <c r="B521" i="121"/>
  <c r="D520" i="121"/>
  <c r="C520" i="121"/>
  <c r="E520" i="121" s="1"/>
  <c r="B520" i="121"/>
  <c r="D519" i="121"/>
  <c r="C519" i="121"/>
  <c r="E519" i="121" s="1"/>
  <c r="B519" i="121"/>
  <c r="D518" i="121"/>
  <c r="C518" i="121"/>
  <c r="E518" i="121" s="1"/>
  <c r="B518" i="121"/>
  <c r="D517" i="121"/>
  <c r="C517" i="121"/>
  <c r="E517" i="121" s="1"/>
  <c r="B517" i="121"/>
  <c r="D516" i="121"/>
  <c r="C516" i="121"/>
  <c r="E516" i="121" s="1"/>
  <c r="B516" i="121"/>
  <c r="D515" i="121"/>
  <c r="C515" i="121"/>
  <c r="E515" i="121" s="1"/>
  <c r="B515" i="121"/>
  <c r="D514" i="121"/>
  <c r="C514" i="121"/>
  <c r="E514" i="121" s="1"/>
  <c r="B514" i="121"/>
  <c r="D513" i="121"/>
  <c r="C513" i="121"/>
  <c r="E513" i="121" s="1"/>
  <c r="B513" i="121"/>
  <c r="D512" i="121"/>
  <c r="C512" i="121"/>
  <c r="E512" i="121" s="1"/>
  <c r="B512" i="121"/>
  <c r="D511" i="121"/>
  <c r="C511" i="121"/>
  <c r="E511" i="121" s="1"/>
  <c r="B511" i="121"/>
  <c r="D510" i="121"/>
  <c r="C510" i="121"/>
  <c r="E510" i="121" s="1"/>
  <c r="B510" i="121"/>
  <c r="D509" i="121"/>
  <c r="C509" i="121"/>
  <c r="E509" i="121" s="1"/>
  <c r="B509" i="121"/>
  <c r="D508" i="121"/>
  <c r="C508" i="121"/>
  <c r="E508" i="121" s="1"/>
  <c r="B508" i="121"/>
  <c r="D507" i="121"/>
  <c r="C507" i="121"/>
  <c r="E507" i="121" s="1"/>
  <c r="B507" i="121"/>
  <c r="D506" i="121"/>
  <c r="C506" i="121"/>
  <c r="E506" i="121" s="1"/>
  <c r="B506" i="121"/>
  <c r="D505" i="121"/>
  <c r="C505" i="121"/>
  <c r="E505" i="121" s="1"/>
  <c r="B505" i="121"/>
  <c r="D504" i="121"/>
  <c r="C504" i="121"/>
  <c r="E504" i="121" s="1"/>
  <c r="B504" i="121"/>
  <c r="D503" i="121"/>
  <c r="C503" i="121"/>
  <c r="E503" i="121" s="1"/>
  <c r="B503" i="121"/>
  <c r="D502" i="121"/>
  <c r="C502" i="121"/>
  <c r="E502" i="121" s="1"/>
  <c r="B502" i="121"/>
  <c r="D501" i="121"/>
  <c r="C501" i="121"/>
  <c r="E501" i="121" s="1"/>
  <c r="B501" i="121"/>
  <c r="D500" i="121"/>
  <c r="C500" i="121"/>
  <c r="E500" i="121" s="1"/>
  <c r="B500" i="121"/>
  <c r="D499" i="121"/>
  <c r="C499" i="121"/>
  <c r="E499" i="121" s="1"/>
  <c r="B499" i="121"/>
  <c r="D498" i="121"/>
  <c r="C498" i="121"/>
  <c r="E498" i="121" s="1"/>
  <c r="B498" i="121"/>
  <c r="D497" i="121"/>
  <c r="C497" i="121"/>
  <c r="E497" i="121" s="1"/>
  <c r="B497" i="121"/>
  <c r="D496" i="121"/>
  <c r="C496" i="121"/>
  <c r="E496" i="121" s="1"/>
  <c r="B496" i="121"/>
  <c r="D495" i="121"/>
  <c r="C495" i="121"/>
  <c r="E495" i="121" s="1"/>
  <c r="B495" i="121"/>
  <c r="D494" i="121"/>
  <c r="C494" i="121"/>
  <c r="E494" i="121" s="1"/>
  <c r="B494" i="121"/>
  <c r="D493" i="121"/>
  <c r="C493" i="121"/>
  <c r="E493" i="121" s="1"/>
  <c r="B493" i="121"/>
  <c r="D492" i="121"/>
  <c r="C492" i="121"/>
  <c r="E492" i="121" s="1"/>
  <c r="B492" i="121"/>
  <c r="D491" i="121"/>
  <c r="C491" i="121"/>
  <c r="E491" i="121" s="1"/>
  <c r="B491" i="121"/>
  <c r="D490" i="121"/>
  <c r="C490" i="121"/>
  <c r="E490" i="121" s="1"/>
  <c r="B490" i="121"/>
  <c r="D489" i="121"/>
  <c r="C489" i="121"/>
  <c r="E489" i="121" s="1"/>
  <c r="B489" i="121"/>
  <c r="D488" i="121"/>
  <c r="C488" i="121"/>
  <c r="E488" i="121" s="1"/>
  <c r="B488" i="121"/>
  <c r="D487" i="121"/>
  <c r="C487" i="121"/>
  <c r="E487" i="121" s="1"/>
  <c r="B487" i="121"/>
  <c r="D486" i="121"/>
  <c r="C486" i="121"/>
  <c r="E486" i="121" s="1"/>
  <c r="B486" i="121"/>
  <c r="D485" i="121"/>
  <c r="C485" i="121"/>
  <c r="E485" i="121" s="1"/>
  <c r="B485" i="121"/>
  <c r="D484" i="121"/>
  <c r="C484" i="121"/>
  <c r="E484" i="121" s="1"/>
  <c r="B484" i="121"/>
  <c r="D483" i="121"/>
  <c r="C483" i="121"/>
  <c r="E483" i="121" s="1"/>
  <c r="B483" i="121"/>
  <c r="D482" i="121"/>
  <c r="C482" i="121"/>
  <c r="E482" i="121" s="1"/>
  <c r="B482" i="121"/>
  <c r="D481" i="121"/>
  <c r="C481" i="121"/>
  <c r="E481" i="121" s="1"/>
  <c r="B481" i="121"/>
  <c r="D480" i="121"/>
  <c r="C480" i="121"/>
  <c r="E480" i="121" s="1"/>
  <c r="B480" i="121"/>
  <c r="D479" i="121"/>
  <c r="C479" i="121"/>
  <c r="E479" i="121" s="1"/>
  <c r="B479" i="121"/>
  <c r="D478" i="121"/>
  <c r="C478" i="121"/>
  <c r="E478" i="121" s="1"/>
  <c r="B478" i="121"/>
  <c r="D477" i="121"/>
  <c r="C477" i="121"/>
  <c r="E477" i="121" s="1"/>
  <c r="B477" i="121"/>
  <c r="D476" i="121"/>
  <c r="C476" i="121"/>
  <c r="E476" i="121" s="1"/>
  <c r="B476" i="121"/>
  <c r="D475" i="121"/>
  <c r="C475" i="121"/>
  <c r="E475" i="121" s="1"/>
  <c r="B475" i="121"/>
  <c r="D474" i="121"/>
  <c r="C474" i="121"/>
  <c r="E474" i="121" s="1"/>
  <c r="B474" i="121"/>
  <c r="D473" i="121"/>
  <c r="C473" i="121"/>
  <c r="E473" i="121" s="1"/>
  <c r="B473" i="121"/>
  <c r="D472" i="121"/>
  <c r="C472" i="121"/>
  <c r="E472" i="121" s="1"/>
  <c r="B472" i="121"/>
  <c r="D471" i="121"/>
  <c r="C471" i="121"/>
  <c r="E471" i="121" s="1"/>
  <c r="B471" i="121"/>
  <c r="D470" i="121"/>
  <c r="C470" i="121"/>
  <c r="E470" i="121" s="1"/>
  <c r="B470" i="121"/>
  <c r="D469" i="121"/>
  <c r="C469" i="121"/>
  <c r="E469" i="121" s="1"/>
  <c r="B469" i="121"/>
  <c r="D468" i="121"/>
  <c r="C468" i="121"/>
  <c r="E468" i="121" s="1"/>
  <c r="B468" i="121"/>
  <c r="D467" i="121"/>
  <c r="C467" i="121"/>
  <c r="E467" i="121" s="1"/>
  <c r="B467" i="121"/>
  <c r="D466" i="121"/>
  <c r="C466" i="121"/>
  <c r="E466" i="121" s="1"/>
  <c r="B466" i="121"/>
  <c r="D465" i="121"/>
  <c r="C465" i="121"/>
  <c r="E465" i="121" s="1"/>
  <c r="B465" i="121"/>
  <c r="D464" i="121"/>
  <c r="C464" i="121"/>
  <c r="E464" i="121" s="1"/>
  <c r="B464" i="121"/>
  <c r="D463" i="121"/>
  <c r="C463" i="121"/>
  <c r="E463" i="121" s="1"/>
  <c r="B463" i="121"/>
  <c r="D462" i="121"/>
  <c r="C462" i="121"/>
  <c r="E462" i="121" s="1"/>
  <c r="B462" i="121"/>
  <c r="D461" i="121"/>
  <c r="C461" i="121"/>
  <c r="E461" i="121" s="1"/>
  <c r="B461" i="121"/>
  <c r="D460" i="121"/>
  <c r="C460" i="121"/>
  <c r="E460" i="121" s="1"/>
  <c r="B460" i="121"/>
  <c r="D459" i="121"/>
  <c r="C459" i="121"/>
  <c r="E459" i="121" s="1"/>
  <c r="B459" i="121"/>
  <c r="D458" i="121"/>
  <c r="C458" i="121"/>
  <c r="E458" i="121" s="1"/>
  <c r="B458" i="121"/>
  <c r="D457" i="121"/>
  <c r="C457" i="121"/>
  <c r="E457" i="121" s="1"/>
  <c r="B457" i="121"/>
  <c r="D456" i="121"/>
  <c r="C456" i="121"/>
  <c r="E456" i="121" s="1"/>
  <c r="B456" i="121"/>
  <c r="D455" i="121"/>
  <c r="C455" i="121"/>
  <c r="E455" i="121" s="1"/>
  <c r="B455" i="121"/>
  <c r="D454" i="121"/>
  <c r="C454" i="121"/>
  <c r="E454" i="121" s="1"/>
  <c r="B454" i="121"/>
  <c r="D453" i="121"/>
  <c r="C453" i="121"/>
  <c r="E453" i="121" s="1"/>
  <c r="B453" i="121"/>
  <c r="D452" i="121"/>
  <c r="C452" i="121"/>
  <c r="E452" i="121" s="1"/>
  <c r="B452" i="121"/>
  <c r="D451" i="121"/>
  <c r="C451" i="121"/>
  <c r="E451" i="121" s="1"/>
  <c r="B451" i="121"/>
  <c r="D450" i="121"/>
  <c r="C450" i="121"/>
  <c r="E450" i="121" s="1"/>
  <c r="B450" i="121"/>
  <c r="D449" i="121"/>
  <c r="C449" i="121"/>
  <c r="E449" i="121" s="1"/>
  <c r="B449" i="121"/>
  <c r="D448" i="121"/>
  <c r="C448" i="121"/>
  <c r="E448" i="121" s="1"/>
  <c r="B448" i="121"/>
  <c r="D447" i="121"/>
  <c r="C447" i="121"/>
  <c r="E447" i="121" s="1"/>
  <c r="B447" i="121"/>
  <c r="D446" i="121"/>
  <c r="C446" i="121"/>
  <c r="E446" i="121" s="1"/>
  <c r="B446" i="121"/>
  <c r="D445" i="121"/>
  <c r="C445" i="121"/>
  <c r="E445" i="121" s="1"/>
  <c r="B445" i="121"/>
  <c r="D444" i="121"/>
  <c r="C444" i="121"/>
  <c r="E444" i="121" s="1"/>
  <c r="B444" i="121"/>
  <c r="D443" i="121"/>
  <c r="C443" i="121"/>
  <c r="E443" i="121" s="1"/>
  <c r="B443" i="121"/>
  <c r="D442" i="121"/>
  <c r="C442" i="121"/>
  <c r="E442" i="121" s="1"/>
  <c r="B442" i="121"/>
  <c r="D441" i="121"/>
  <c r="C441" i="121"/>
  <c r="E441" i="121" s="1"/>
  <c r="B441" i="121"/>
  <c r="D440" i="121"/>
  <c r="C440" i="121"/>
  <c r="B440" i="121"/>
  <c r="D439" i="121"/>
  <c r="C439" i="121"/>
  <c r="E439" i="121" s="1"/>
  <c r="B439" i="121"/>
  <c r="Z438" i="121"/>
  <c r="Y438" i="121"/>
  <c r="X438" i="121"/>
  <c r="D438" i="121"/>
  <c r="C438" i="121"/>
  <c r="E438" i="121" s="1"/>
  <c r="B438" i="121"/>
  <c r="Z437" i="121"/>
  <c r="Y437" i="121"/>
  <c r="X437" i="121"/>
  <c r="D437" i="121"/>
  <c r="C437" i="121"/>
  <c r="E437" i="121" s="1"/>
  <c r="B437" i="121"/>
  <c r="Z436" i="121"/>
  <c r="Y436" i="121"/>
  <c r="X436" i="121"/>
  <c r="D436" i="121"/>
  <c r="C436" i="121"/>
  <c r="E436" i="121" s="1"/>
  <c r="B436" i="121"/>
  <c r="Z435" i="121"/>
  <c r="Y435" i="121"/>
  <c r="X435" i="121"/>
  <c r="D435" i="121"/>
  <c r="C435" i="121"/>
  <c r="E435" i="121" s="1"/>
  <c r="B435" i="121"/>
  <c r="Z434" i="121"/>
  <c r="Y434" i="121"/>
  <c r="X434" i="121"/>
  <c r="D434" i="121"/>
  <c r="C434" i="121"/>
  <c r="E434" i="121" s="1"/>
  <c r="B434" i="121"/>
  <c r="Z433" i="121"/>
  <c r="Y433" i="121"/>
  <c r="X433" i="121"/>
  <c r="D433" i="121"/>
  <c r="C433" i="121"/>
  <c r="E433" i="121" s="1"/>
  <c r="B433" i="121"/>
  <c r="Z432" i="121"/>
  <c r="Y432" i="121"/>
  <c r="X432" i="121"/>
  <c r="D432" i="121"/>
  <c r="C432" i="121"/>
  <c r="B432" i="121"/>
  <c r="Z431" i="121"/>
  <c r="Y431" i="121"/>
  <c r="X431" i="121"/>
  <c r="D431" i="121"/>
  <c r="C431" i="121"/>
  <c r="E431" i="121" s="1"/>
  <c r="B431" i="121"/>
  <c r="Z430" i="121"/>
  <c r="Y430" i="121"/>
  <c r="X430" i="121"/>
  <c r="D430" i="121"/>
  <c r="C430" i="121"/>
  <c r="E430" i="121" s="1"/>
  <c r="B430" i="121"/>
  <c r="Z429" i="121"/>
  <c r="Y429" i="121"/>
  <c r="X429" i="121"/>
  <c r="D429" i="121"/>
  <c r="C429" i="121"/>
  <c r="E429" i="121" s="1"/>
  <c r="B429" i="121"/>
  <c r="Z428" i="121"/>
  <c r="Y428" i="121"/>
  <c r="X428" i="121"/>
  <c r="D428" i="121"/>
  <c r="C428" i="121"/>
  <c r="B428" i="121"/>
  <c r="Z427" i="121"/>
  <c r="Y427" i="121"/>
  <c r="X427" i="121"/>
  <c r="D427" i="121"/>
  <c r="C427" i="121"/>
  <c r="E427" i="121" s="1"/>
  <c r="B427" i="121"/>
  <c r="Z426" i="121"/>
  <c r="Y426" i="121"/>
  <c r="X426" i="121"/>
  <c r="D426" i="121"/>
  <c r="C426" i="121"/>
  <c r="E426" i="121" s="1"/>
  <c r="B426" i="121"/>
  <c r="Z425" i="121"/>
  <c r="Y425" i="121"/>
  <c r="X425" i="121"/>
  <c r="D425" i="121"/>
  <c r="C425" i="121"/>
  <c r="E425" i="121" s="1"/>
  <c r="B425" i="121"/>
  <c r="Z424" i="121"/>
  <c r="Y424" i="121"/>
  <c r="X424" i="121"/>
  <c r="D424" i="121"/>
  <c r="C424" i="121"/>
  <c r="E424" i="121" s="1"/>
  <c r="B424" i="121"/>
  <c r="Z423" i="121"/>
  <c r="Y423" i="121"/>
  <c r="X423" i="121"/>
  <c r="D423" i="121"/>
  <c r="C423" i="121"/>
  <c r="E423" i="121" s="1"/>
  <c r="B423" i="121"/>
  <c r="Z422" i="121"/>
  <c r="Y422" i="121"/>
  <c r="X422" i="121"/>
  <c r="D422" i="121"/>
  <c r="C422" i="121"/>
  <c r="E422" i="121" s="1"/>
  <c r="B422" i="121"/>
  <c r="Z421" i="121"/>
  <c r="Y421" i="121"/>
  <c r="X421" i="121"/>
  <c r="D421" i="121"/>
  <c r="C421" i="121"/>
  <c r="E421" i="121" s="1"/>
  <c r="B421" i="121"/>
  <c r="Z420" i="121"/>
  <c r="Y420" i="121"/>
  <c r="X420" i="121"/>
  <c r="D420" i="121"/>
  <c r="C420" i="121"/>
  <c r="B420" i="121"/>
  <c r="Z419" i="121"/>
  <c r="Y419" i="121"/>
  <c r="X419" i="121"/>
  <c r="D419" i="121"/>
  <c r="C419" i="121"/>
  <c r="E419" i="121" s="1"/>
  <c r="B419" i="121"/>
  <c r="Z418" i="121"/>
  <c r="Y418" i="121"/>
  <c r="X418" i="121"/>
  <c r="D418" i="121"/>
  <c r="C418" i="121"/>
  <c r="E418" i="121" s="1"/>
  <c r="B418" i="121"/>
  <c r="Z417" i="121"/>
  <c r="Y417" i="121"/>
  <c r="X417" i="121"/>
  <c r="D417" i="121"/>
  <c r="C417" i="121"/>
  <c r="E417" i="121" s="1"/>
  <c r="B417" i="121"/>
  <c r="Z416" i="121"/>
  <c r="Y416" i="121"/>
  <c r="X416" i="121"/>
  <c r="D416" i="121"/>
  <c r="C416" i="121"/>
  <c r="B416" i="121"/>
  <c r="Z415" i="121"/>
  <c r="Y415" i="121"/>
  <c r="X415" i="121"/>
  <c r="D415" i="121"/>
  <c r="C415" i="121"/>
  <c r="E415" i="121" s="1"/>
  <c r="B415" i="121"/>
  <c r="Z414" i="121"/>
  <c r="Y414" i="121"/>
  <c r="X414" i="121"/>
  <c r="D414" i="121"/>
  <c r="C414" i="121"/>
  <c r="E414" i="121" s="1"/>
  <c r="B414" i="121"/>
  <c r="Z413" i="121"/>
  <c r="Y413" i="121"/>
  <c r="X413" i="121"/>
  <c r="D413" i="121"/>
  <c r="C413" i="121"/>
  <c r="E413" i="121" s="1"/>
  <c r="B413" i="121"/>
  <c r="Z412" i="121"/>
  <c r="Y412" i="121"/>
  <c r="X412" i="121"/>
  <c r="D412" i="121"/>
  <c r="C412" i="121"/>
  <c r="B412" i="121"/>
  <c r="Z411" i="121"/>
  <c r="Y411" i="121"/>
  <c r="X411" i="121"/>
  <c r="D411" i="121"/>
  <c r="C411" i="121"/>
  <c r="E411" i="121" s="1"/>
  <c r="B411" i="121"/>
  <c r="Z410" i="121"/>
  <c r="Y410" i="121"/>
  <c r="X410" i="121"/>
  <c r="D410" i="121"/>
  <c r="C410" i="121"/>
  <c r="E410" i="121" s="1"/>
  <c r="B410" i="121"/>
  <c r="Z409" i="121"/>
  <c r="Y409" i="121"/>
  <c r="X409" i="121"/>
  <c r="D409" i="121"/>
  <c r="C409" i="121"/>
  <c r="E409" i="121" s="1"/>
  <c r="B409" i="121"/>
  <c r="Z408" i="121"/>
  <c r="Y408" i="121"/>
  <c r="X408" i="121"/>
  <c r="D408" i="121"/>
  <c r="C408" i="121"/>
  <c r="E408" i="121" s="1"/>
  <c r="B408" i="121"/>
  <c r="Z407" i="121"/>
  <c r="Y407" i="121"/>
  <c r="X407" i="121"/>
  <c r="D407" i="121"/>
  <c r="C407" i="121"/>
  <c r="E407" i="121" s="1"/>
  <c r="B407" i="121"/>
  <c r="Z406" i="121"/>
  <c r="Y406" i="121"/>
  <c r="X406" i="121"/>
  <c r="D406" i="121"/>
  <c r="C406" i="121"/>
  <c r="E406" i="121" s="1"/>
  <c r="B406" i="121"/>
  <c r="Z405" i="121"/>
  <c r="Y405" i="121"/>
  <c r="X405" i="121"/>
  <c r="D405" i="121"/>
  <c r="C405" i="121"/>
  <c r="E405" i="121" s="1"/>
  <c r="B405" i="121"/>
  <c r="Z404" i="121"/>
  <c r="Y404" i="121"/>
  <c r="X404" i="121"/>
  <c r="D404" i="121"/>
  <c r="C404" i="121"/>
  <c r="E404" i="121" s="1"/>
  <c r="B404" i="121"/>
  <c r="Z403" i="121"/>
  <c r="Y403" i="121"/>
  <c r="X403" i="121"/>
  <c r="D403" i="121"/>
  <c r="C403" i="121"/>
  <c r="E403" i="121" s="1"/>
  <c r="B403" i="121"/>
  <c r="Z402" i="121"/>
  <c r="Y402" i="121"/>
  <c r="X402" i="121"/>
  <c r="D402" i="121"/>
  <c r="C402" i="121"/>
  <c r="E402" i="121" s="1"/>
  <c r="B402" i="121"/>
  <c r="Z401" i="121"/>
  <c r="Y401" i="121"/>
  <c r="X401" i="121"/>
  <c r="D401" i="121"/>
  <c r="C401" i="121"/>
  <c r="E401" i="121" s="1"/>
  <c r="B401" i="121"/>
  <c r="Z400" i="121"/>
  <c r="Y400" i="121"/>
  <c r="X400" i="121"/>
  <c r="D400" i="121"/>
  <c r="C400" i="121"/>
  <c r="B400" i="121"/>
  <c r="Z399" i="121"/>
  <c r="Y399" i="121"/>
  <c r="X399" i="121"/>
  <c r="D399" i="121"/>
  <c r="C399" i="121"/>
  <c r="E399" i="121" s="1"/>
  <c r="B399" i="121"/>
  <c r="Z398" i="121"/>
  <c r="Y398" i="121"/>
  <c r="X398" i="121"/>
  <c r="D398" i="121"/>
  <c r="C398" i="121"/>
  <c r="E398" i="121" s="1"/>
  <c r="B398" i="121"/>
  <c r="Z397" i="121"/>
  <c r="Y397" i="121"/>
  <c r="X397" i="121"/>
  <c r="D397" i="121"/>
  <c r="C397" i="121"/>
  <c r="E397" i="121" s="1"/>
  <c r="B397" i="121"/>
  <c r="Z396" i="121"/>
  <c r="Y396" i="121"/>
  <c r="X396" i="121"/>
  <c r="D396" i="121"/>
  <c r="C396" i="121"/>
  <c r="E396" i="121" s="1"/>
  <c r="B396" i="121"/>
  <c r="Z395" i="121"/>
  <c r="Y395" i="121"/>
  <c r="X395" i="121"/>
  <c r="D395" i="121"/>
  <c r="C395" i="121"/>
  <c r="E395" i="121" s="1"/>
  <c r="B395" i="121"/>
  <c r="Z394" i="121"/>
  <c r="Y394" i="121"/>
  <c r="X394" i="121"/>
  <c r="D394" i="121"/>
  <c r="C394" i="121"/>
  <c r="B394" i="121"/>
  <c r="Z393" i="121"/>
  <c r="Y393" i="121"/>
  <c r="X393" i="121"/>
  <c r="D393" i="121"/>
  <c r="C393" i="121"/>
  <c r="E393" i="121" s="1"/>
  <c r="B393" i="121"/>
  <c r="Z392" i="121"/>
  <c r="Y392" i="121"/>
  <c r="X392" i="121"/>
  <c r="D392" i="121"/>
  <c r="C392" i="121"/>
  <c r="B392" i="121"/>
  <c r="Z391" i="121"/>
  <c r="Y391" i="121"/>
  <c r="X391" i="121"/>
  <c r="D391" i="121"/>
  <c r="C391" i="121"/>
  <c r="E391" i="121" s="1"/>
  <c r="B391" i="121"/>
  <c r="Z390" i="121"/>
  <c r="Y390" i="121"/>
  <c r="X390" i="121"/>
  <c r="D390" i="121"/>
  <c r="C390" i="121"/>
  <c r="E390" i="121" s="1"/>
  <c r="B390" i="121"/>
  <c r="Z389" i="121"/>
  <c r="Y389" i="121"/>
  <c r="X389" i="121"/>
  <c r="D389" i="121"/>
  <c r="C389" i="121"/>
  <c r="E389" i="121" s="1"/>
  <c r="B389" i="121"/>
  <c r="Z388" i="121"/>
  <c r="Y388" i="121"/>
  <c r="X388" i="121"/>
  <c r="D388" i="121"/>
  <c r="C388" i="121"/>
  <c r="E388" i="121" s="1"/>
  <c r="B388" i="121"/>
  <c r="Z387" i="121"/>
  <c r="Y387" i="121"/>
  <c r="X387" i="121"/>
  <c r="D387" i="121"/>
  <c r="C387" i="121"/>
  <c r="E387" i="121" s="1"/>
  <c r="B387" i="121"/>
  <c r="Z386" i="121"/>
  <c r="Y386" i="121"/>
  <c r="X386" i="121"/>
  <c r="D386" i="121"/>
  <c r="C386" i="121"/>
  <c r="B386" i="121"/>
  <c r="Z385" i="121"/>
  <c r="Y385" i="121"/>
  <c r="X385" i="121"/>
  <c r="D385" i="121"/>
  <c r="C385" i="121"/>
  <c r="E385" i="121" s="1"/>
  <c r="B385" i="121"/>
  <c r="Z384" i="121"/>
  <c r="Y384" i="121"/>
  <c r="X384" i="121"/>
  <c r="D384" i="121"/>
  <c r="C384" i="121"/>
  <c r="B384" i="121"/>
  <c r="Z383" i="121"/>
  <c r="Y383" i="121"/>
  <c r="X383" i="121"/>
  <c r="D383" i="121"/>
  <c r="C383" i="121"/>
  <c r="E383" i="121" s="1"/>
  <c r="B383" i="121"/>
  <c r="Z382" i="121"/>
  <c r="Y382" i="121"/>
  <c r="X382" i="121"/>
  <c r="D382" i="121"/>
  <c r="C382" i="121"/>
  <c r="E382" i="121" s="1"/>
  <c r="B382" i="121"/>
  <c r="Z381" i="121"/>
  <c r="Y381" i="121"/>
  <c r="X381" i="121"/>
  <c r="D381" i="121"/>
  <c r="C381" i="121"/>
  <c r="E381" i="121" s="1"/>
  <c r="B381" i="121"/>
  <c r="Z380" i="121"/>
  <c r="Y380" i="121"/>
  <c r="X380" i="121"/>
  <c r="D380" i="121"/>
  <c r="C380" i="121"/>
  <c r="E380" i="121" s="1"/>
  <c r="B380" i="121"/>
  <c r="Z379" i="121"/>
  <c r="Y379" i="121"/>
  <c r="X379" i="121"/>
  <c r="D379" i="121"/>
  <c r="C379" i="121"/>
  <c r="E379" i="121" s="1"/>
  <c r="B379" i="121"/>
  <c r="Z378" i="121"/>
  <c r="Y378" i="121"/>
  <c r="X378" i="121"/>
  <c r="D378" i="121"/>
  <c r="C378" i="121"/>
  <c r="B378" i="121"/>
  <c r="Z377" i="121"/>
  <c r="Y377" i="121"/>
  <c r="X377" i="121"/>
  <c r="D377" i="121"/>
  <c r="C377" i="121"/>
  <c r="E377" i="121" s="1"/>
  <c r="B377" i="121"/>
  <c r="Z376" i="121"/>
  <c r="Y376" i="121"/>
  <c r="X376" i="121"/>
  <c r="D376" i="121"/>
  <c r="C376" i="121"/>
  <c r="E376" i="121" s="1"/>
  <c r="B376" i="121"/>
  <c r="Z375" i="121"/>
  <c r="Y375" i="121"/>
  <c r="X375" i="121"/>
  <c r="D375" i="121"/>
  <c r="C375" i="121"/>
  <c r="E375" i="121" s="1"/>
  <c r="B375" i="121"/>
  <c r="Z374" i="121"/>
  <c r="Y374" i="121"/>
  <c r="X374" i="121"/>
  <c r="D374" i="121"/>
  <c r="C374" i="121"/>
  <c r="E374" i="121" s="1"/>
  <c r="B374" i="121"/>
  <c r="Z373" i="121"/>
  <c r="Y373" i="121"/>
  <c r="X373" i="121"/>
  <c r="D373" i="121"/>
  <c r="C373" i="121"/>
  <c r="E373" i="121" s="1"/>
  <c r="B373" i="121"/>
  <c r="Z372" i="121"/>
  <c r="Y372" i="121"/>
  <c r="X372" i="121"/>
  <c r="D372" i="121"/>
  <c r="C372" i="121"/>
  <c r="E372" i="121" s="1"/>
  <c r="B372" i="121"/>
  <c r="Z371" i="121"/>
  <c r="Y371" i="121"/>
  <c r="X371" i="121"/>
  <c r="D371" i="121"/>
  <c r="C371" i="121"/>
  <c r="E371" i="121" s="1"/>
  <c r="B371" i="121"/>
  <c r="Z370" i="121"/>
  <c r="Y370" i="121"/>
  <c r="X370" i="121"/>
  <c r="D370" i="121"/>
  <c r="C370" i="121"/>
  <c r="B370" i="121"/>
  <c r="Z369" i="121"/>
  <c r="Y369" i="121"/>
  <c r="X369" i="121"/>
  <c r="D369" i="121"/>
  <c r="C369" i="121"/>
  <c r="E369" i="121" s="1"/>
  <c r="B369" i="121"/>
  <c r="Z368" i="121"/>
  <c r="Y368" i="121"/>
  <c r="X368" i="121"/>
  <c r="D368" i="121"/>
  <c r="C368" i="121"/>
  <c r="B368" i="121"/>
  <c r="Z367" i="121"/>
  <c r="Y367" i="121"/>
  <c r="X367" i="121"/>
  <c r="D367" i="121"/>
  <c r="C367" i="121"/>
  <c r="E367" i="121" s="1"/>
  <c r="B367" i="121"/>
  <c r="Z366" i="121"/>
  <c r="Y366" i="121"/>
  <c r="X366" i="121"/>
  <c r="D366" i="121"/>
  <c r="C366" i="121"/>
  <c r="E366" i="121" s="1"/>
  <c r="B366" i="121"/>
  <c r="Z365" i="121"/>
  <c r="Y365" i="121"/>
  <c r="X365" i="121"/>
  <c r="D365" i="121"/>
  <c r="C365" i="121"/>
  <c r="E365" i="121" s="1"/>
  <c r="B365" i="121"/>
  <c r="Z364" i="121"/>
  <c r="Y364" i="121"/>
  <c r="X364" i="121"/>
  <c r="D364" i="121"/>
  <c r="C364" i="121"/>
  <c r="E364" i="121" s="1"/>
  <c r="B364" i="121"/>
  <c r="Z363" i="121"/>
  <c r="Y363" i="121"/>
  <c r="X363" i="121"/>
  <c r="D363" i="121"/>
  <c r="C363" i="121"/>
  <c r="E363" i="121" s="1"/>
  <c r="B363" i="121"/>
  <c r="Z362" i="121"/>
  <c r="Y362" i="121"/>
  <c r="X362" i="121"/>
  <c r="D362" i="121"/>
  <c r="C362" i="121"/>
  <c r="E362" i="121" s="1"/>
  <c r="B362" i="121"/>
  <c r="Z361" i="121"/>
  <c r="Y361" i="121"/>
  <c r="X361" i="121"/>
  <c r="D361" i="121"/>
  <c r="C361" i="121"/>
  <c r="E361" i="121" s="1"/>
  <c r="B361" i="121"/>
  <c r="Z360" i="121"/>
  <c r="Y360" i="121"/>
  <c r="X360" i="121"/>
  <c r="D360" i="121"/>
  <c r="C360" i="121"/>
  <c r="B360" i="121"/>
  <c r="Z359" i="121"/>
  <c r="Y359" i="121"/>
  <c r="X359" i="121"/>
  <c r="D359" i="121"/>
  <c r="C359" i="121"/>
  <c r="E359" i="121" s="1"/>
  <c r="B359" i="121"/>
  <c r="Z358" i="121"/>
  <c r="Y358" i="121"/>
  <c r="X358" i="121"/>
  <c r="D358" i="121"/>
  <c r="C358" i="121"/>
  <c r="E358" i="121" s="1"/>
  <c r="B358" i="121"/>
  <c r="Z357" i="121"/>
  <c r="Y357" i="121"/>
  <c r="X357" i="121"/>
  <c r="D357" i="121"/>
  <c r="C357" i="121"/>
  <c r="E357" i="121" s="1"/>
  <c r="B357" i="121"/>
  <c r="Z356" i="121"/>
  <c r="Y356" i="121"/>
  <c r="X356" i="121"/>
  <c r="D356" i="121"/>
  <c r="C356" i="121"/>
  <c r="E356" i="121" s="1"/>
  <c r="B356" i="121"/>
  <c r="Z355" i="121"/>
  <c r="Y355" i="121"/>
  <c r="X355" i="121"/>
  <c r="D355" i="121"/>
  <c r="C355" i="121"/>
  <c r="E355" i="121" s="1"/>
  <c r="B355" i="121"/>
  <c r="Z354" i="121"/>
  <c r="Y354" i="121"/>
  <c r="X354" i="121"/>
  <c r="D354" i="121"/>
  <c r="C354" i="121"/>
  <c r="E354" i="121" s="1"/>
  <c r="B354" i="121"/>
  <c r="Z353" i="121"/>
  <c r="Y353" i="121"/>
  <c r="X353" i="121"/>
  <c r="D353" i="121"/>
  <c r="C353" i="121"/>
  <c r="E353" i="121" s="1"/>
  <c r="B353" i="121"/>
  <c r="Z352" i="121"/>
  <c r="Y352" i="121"/>
  <c r="X352" i="121"/>
  <c r="D352" i="121"/>
  <c r="C352" i="121"/>
  <c r="B352" i="121"/>
  <c r="Z351" i="121"/>
  <c r="Y351" i="121"/>
  <c r="X351" i="121"/>
  <c r="D351" i="121"/>
  <c r="C351" i="121"/>
  <c r="E351" i="121" s="1"/>
  <c r="B351" i="121"/>
  <c r="Z350" i="121"/>
  <c r="Y350" i="121"/>
  <c r="X350" i="121"/>
  <c r="D350" i="121"/>
  <c r="C350" i="121"/>
  <c r="E350" i="121" s="1"/>
  <c r="B350" i="121"/>
  <c r="Z349" i="121"/>
  <c r="Y349" i="121"/>
  <c r="X349" i="121"/>
  <c r="D349" i="121"/>
  <c r="C349" i="121"/>
  <c r="E349" i="121" s="1"/>
  <c r="B349" i="121"/>
  <c r="Z348" i="121"/>
  <c r="Y348" i="121"/>
  <c r="X348" i="121"/>
  <c r="D348" i="121"/>
  <c r="C348" i="121"/>
  <c r="B348" i="121"/>
  <c r="Z347" i="121"/>
  <c r="Y347" i="121"/>
  <c r="X347" i="121"/>
  <c r="D347" i="121"/>
  <c r="C347" i="121"/>
  <c r="E347" i="121" s="1"/>
  <c r="B347" i="121"/>
  <c r="Z346" i="121"/>
  <c r="Y346" i="121"/>
  <c r="X346" i="121"/>
  <c r="D346" i="121"/>
  <c r="C346" i="121"/>
  <c r="E346" i="121" s="1"/>
  <c r="B346" i="121"/>
  <c r="Z345" i="121"/>
  <c r="Y345" i="121"/>
  <c r="X345" i="121"/>
  <c r="D345" i="121"/>
  <c r="C345" i="121"/>
  <c r="E345" i="121" s="1"/>
  <c r="B345" i="121"/>
  <c r="Z344" i="121"/>
  <c r="Y344" i="121"/>
  <c r="X344" i="121"/>
  <c r="D344" i="121"/>
  <c r="C344" i="121"/>
  <c r="B344" i="121"/>
  <c r="Z343" i="121"/>
  <c r="Y343" i="121"/>
  <c r="X343" i="121"/>
  <c r="D343" i="121"/>
  <c r="C343" i="121"/>
  <c r="E343" i="121" s="1"/>
  <c r="B343" i="121"/>
  <c r="Z342" i="121"/>
  <c r="Y342" i="121"/>
  <c r="X342" i="121"/>
  <c r="D342" i="121"/>
  <c r="C342" i="121"/>
  <c r="E342" i="121" s="1"/>
  <c r="B342" i="121"/>
  <c r="Z341" i="121"/>
  <c r="Y341" i="121"/>
  <c r="X341" i="121"/>
  <c r="D341" i="121"/>
  <c r="C341" i="121"/>
  <c r="E341" i="121" s="1"/>
  <c r="B341" i="121"/>
  <c r="Z340" i="121"/>
  <c r="Y340" i="121"/>
  <c r="X340" i="121"/>
  <c r="D340" i="121"/>
  <c r="C340" i="121"/>
  <c r="E340" i="121" s="1"/>
  <c r="B340" i="121"/>
  <c r="Z339" i="121"/>
  <c r="Y339" i="121"/>
  <c r="X339" i="121"/>
  <c r="D339" i="121"/>
  <c r="C339" i="121"/>
  <c r="E339" i="121" s="1"/>
  <c r="B339" i="121"/>
  <c r="Z338" i="121"/>
  <c r="Y338" i="121"/>
  <c r="X338" i="121"/>
  <c r="D338" i="121"/>
  <c r="C338" i="121"/>
  <c r="B338" i="121"/>
  <c r="Z337" i="121"/>
  <c r="Y337" i="121"/>
  <c r="X337" i="121"/>
  <c r="D337" i="121"/>
  <c r="C337" i="121"/>
  <c r="E337" i="121" s="1"/>
  <c r="B337" i="121"/>
  <c r="Z336" i="121"/>
  <c r="Y336" i="121"/>
  <c r="X336" i="121"/>
  <c r="D336" i="121"/>
  <c r="C336" i="121"/>
  <c r="B336" i="121"/>
  <c r="Z335" i="121"/>
  <c r="Y335" i="121"/>
  <c r="X335" i="121"/>
  <c r="D335" i="121"/>
  <c r="C335" i="121"/>
  <c r="E335" i="121" s="1"/>
  <c r="B335" i="121"/>
  <c r="Z334" i="121"/>
  <c r="Y334" i="121"/>
  <c r="X334" i="121"/>
  <c r="D334" i="121"/>
  <c r="C334" i="121"/>
  <c r="E334" i="121" s="1"/>
  <c r="B334" i="121"/>
  <c r="Z333" i="121"/>
  <c r="Y333" i="121"/>
  <c r="X333" i="121"/>
  <c r="D333" i="121"/>
  <c r="C333" i="121"/>
  <c r="E333" i="121" s="1"/>
  <c r="B333" i="121"/>
  <c r="Z332" i="121"/>
  <c r="Y332" i="121"/>
  <c r="X332" i="121"/>
  <c r="D332" i="121"/>
  <c r="C332" i="121"/>
  <c r="E332" i="121" s="1"/>
  <c r="B332" i="121"/>
  <c r="Z331" i="121"/>
  <c r="Y331" i="121"/>
  <c r="X331" i="121"/>
  <c r="D331" i="121"/>
  <c r="C331" i="121"/>
  <c r="E331" i="121" s="1"/>
  <c r="B331" i="121"/>
  <c r="Z330" i="121"/>
  <c r="Y330" i="121"/>
  <c r="X330" i="121"/>
  <c r="D330" i="121"/>
  <c r="C330" i="121"/>
  <c r="B330" i="121"/>
  <c r="Z329" i="121"/>
  <c r="Y329" i="121"/>
  <c r="X329" i="121"/>
  <c r="D329" i="121"/>
  <c r="C329" i="121"/>
  <c r="E329" i="121" s="1"/>
  <c r="B329" i="121"/>
  <c r="Z328" i="121"/>
  <c r="Y328" i="121"/>
  <c r="X328" i="121"/>
  <c r="D328" i="121"/>
  <c r="C328" i="121"/>
  <c r="E328" i="121" s="1"/>
  <c r="B328" i="121"/>
  <c r="Z327" i="121"/>
  <c r="Y327" i="121"/>
  <c r="X327" i="121"/>
  <c r="D327" i="121"/>
  <c r="C327" i="121"/>
  <c r="E327" i="121" s="1"/>
  <c r="B327" i="121"/>
  <c r="Z326" i="121"/>
  <c r="Y326" i="121"/>
  <c r="X326" i="121"/>
  <c r="D326" i="121"/>
  <c r="C326" i="121"/>
  <c r="E326" i="121" s="1"/>
  <c r="B326" i="121"/>
  <c r="Z325" i="121"/>
  <c r="Y325" i="121"/>
  <c r="X325" i="121"/>
  <c r="D325" i="121"/>
  <c r="C325" i="121"/>
  <c r="E325" i="121" s="1"/>
  <c r="B325" i="121"/>
  <c r="Z324" i="121"/>
  <c r="Y324" i="121"/>
  <c r="X324" i="121"/>
  <c r="D324" i="121"/>
  <c r="C324" i="121"/>
  <c r="E324" i="121" s="1"/>
  <c r="B324" i="121"/>
  <c r="Z323" i="121"/>
  <c r="Y323" i="121"/>
  <c r="X323" i="121"/>
  <c r="D323" i="121"/>
  <c r="C323" i="121"/>
  <c r="E323" i="121" s="1"/>
  <c r="B323" i="121"/>
  <c r="Z322" i="121"/>
  <c r="Y322" i="121"/>
  <c r="X322" i="121"/>
  <c r="D322" i="121"/>
  <c r="C322" i="121"/>
  <c r="B322" i="121"/>
  <c r="Z321" i="121"/>
  <c r="Y321" i="121"/>
  <c r="X321" i="121"/>
  <c r="D321" i="121"/>
  <c r="C321" i="121"/>
  <c r="E321" i="121" s="1"/>
  <c r="B321" i="121"/>
  <c r="Z320" i="121"/>
  <c r="Y320" i="121"/>
  <c r="X320" i="121"/>
  <c r="D320" i="121"/>
  <c r="C320" i="121"/>
  <c r="E320" i="121" s="1"/>
  <c r="B320" i="121"/>
  <c r="Z319" i="121"/>
  <c r="Y319" i="121"/>
  <c r="X319" i="121"/>
  <c r="D319" i="121"/>
  <c r="C319" i="121"/>
  <c r="E319" i="121" s="1"/>
  <c r="B319" i="121"/>
  <c r="Z318" i="121"/>
  <c r="Y318" i="121"/>
  <c r="X318" i="121"/>
  <c r="D318" i="121"/>
  <c r="C318" i="121"/>
  <c r="E318" i="121" s="1"/>
  <c r="B318" i="121"/>
  <c r="Z317" i="121"/>
  <c r="Y317" i="121"/>
  <c r="X317" i="121"/>
  <c r="D317" i="121"/>
  <c r="C317" i="121"/>
  <c r="E317" i="121" s="1"/>
  <c r="B317" i="121"/>
  <c r="Z316" i="121"/>
  <c r="Y316" i="121"/>
  <c r="X316" i="121"/>
  <c r="D316" i="121"/>
  <c r="C316" i="121"/>
  <c r="E316" i="121" s="1"/>
  <c r="B316" i="121"/>
  <c r="Z315" i="121"/>
  <c r="Y315" i="121"/>
  <c r="X315" i="121"/>
  <c r="D315" i="121"/>
  <c r="C315" i="121"/>
  <c r="E315" i="121" s="1"/>
  <c r="B315" i="121"/>
  <c r="Z314" i="121"/>
  <c r="Y314" i="121"/>
  <c r="X314" i="121"/>
  <c r="D314" i="121"/>
  <c r="C314" i="121"/>
  <c r="E314" i="121" s="1"/>
  <c r="B314" i="121"/>
  <c r="Z313" i="121"/>
  <c r="Y313" i="121"/>
  <c r="X313" i="121"/>
  <c r="D313" i="121"/>
  <c r="C313" i="121"/>
  <c r="E313" i="121" s="1"/>
  <c r="B313" i="121"/>
  <c r="Z312" i="121"/>
  <c r="Y312" i="121"/>
  <c r="X312" i="121"/>
  <c r="D312" i="121"/>
  <c r="C312" i="121"/>
  <c r="E312" i="121" s="1"/>
  <c r="B312" i="121"/>
  <c r="Z311" i="121"/>
  <c r="Y311" i="121"/>
  <c r="X311" i="121"/>
  <c r="D311" i="121"/>
  <c r="C311" i="121"/>
  <c r="E311" i="121" s="1"/>
  <c r="B311" i="121"/>
  <c r="Z310" i="121"/>
  <c r="Y310" i="121"/>
  <c r="X310" i="121"/>
  <c r="D310" i="121"/>
  <c r="C310" i="121"/>
  <c r="E310" i="121" s="1"/>
  <c r="B310" i="121"/>
  <c r="Z309" i="121"/>
  <c r="Y309" i="121"/>
  <c r="X309" i="121"/>
  <c r="D309" i="121"/>
  <c r="C309" i="121"/>
  <c r="E309" i="121" s="1"/>
  <c r="B309" i="121"/>
  <c r="Z308" i="121"/>
  <c r="Y308" i="121"/>
  <c r="X308" i="121"/>
  <c r="D308" i="121"/>
  <c r="C308" i="121"/>
  <c r="E308" i="121" s="1"/>
  <c r="B308" i="121"/>
  <c r="Z307" i="121"/>
  <c r="Y307" i="121"/>
  <c r="X307" i="121"/>
  <c r="D307" i="121"/>
  <c r="C307" i="121"/>
  <c r="E307" i="121" s="1"/>
  <c r="B307" i="121"/>
  <c r="Z306" i="121"/>
  <c r="Y306" i="121"/>
  <c r="X306" i="121"/>
  <c r="D306" i="121"/>
  <c r="C306" i="121"/>
  <c r="E306" i="121" s="1"/>
  <c r="B306" i="121"/>
  <c r="Z305" i="121"/>
  <c r="Y305" i="121"/>
  <c r="X305" i="121"/>
  <c r="D305" i="121"/>
  <c r="C305" i="121"/>
  <c r="E305" i="121" s="1"/>
  <c r="B305" i="121"/>
  <c r="Z304" i="121"/>
  <c r="Y304" i="121"/>
  <c r="X304" i="121"/>
  <c r="D304" i="121"/>
  <c r="C304" i="121"/>
  <c r="B304" i="121"/>
  <c r="Z303" i="121"/>
  <c r="Y303" i="121"/>
  <c r="X303" i="121"/>
  <c r="D303" i="121"/>
  <c r="C303" i="121"/>
  <c r="E303" i="121" s="1"/>
  <c r="B303" i="121"/>
  <c r="Z302" i="121"/>
  <c r="Y302" i="121"/>
  <c r="X302" i="121"/>
  <c r="D302" i="121"/>
  <c r="C302" i="121"/>
  <c r="E302" i="121" s="1"/>
  <c r="B302" i="121"/>
  <c r="Z301" i="121"/>
  <c r="Y301" i="121"/>
  <c r="X301" i="121"/>
  <c r="D301" i="121"/>
  <c r="C301" i="121"/>
  <c r="E301" i="121" s="1"/>
  <c r="B301" i="121"/>
  <c r="Z300" i="121"/>
  <c r="Y300" i="121"/>
  <c r="X300" i="121"/>
  <c r="D300" i="121"/>
  <c r="C300" i="121"/>
  <c r="E300" i="121" s="1"/>
  <c r="B300" i="121"/>
  <c r="Z299" i="121"/>
  <c r="Y299" i="121"/>
  <c r="X299" i="121"/>
  <c r="D299" i="121"/>
  <c r="C299" i="121"/>
  <c r="E299" i="121" s="1"/>
  <c r="B299" i="121"/>
  <c r="Z298" i="121"/>
  <c r="Y298" i="121"/>
  <c r="X298" i="121"/>
  <c r="D298" i="121"/>
  <c r="C298" i="121"/>
  <c r="E298" i="121" s="1"/>
  <c r="B298" i="121"/>
  <c r="Z297" i="121"/>
  <c r="Y297" i="121"/>
  <c r="X297" i="121"/>
  <c r="D297" i="121"/>
  <c r="C297" i="121"/>
  <c r="E297" i="121" s="1"/>
  <c r="B297" i="121"/>
  <c r="Z296" i="121"/>
  <c r="Y296" i="121"/>
  <c r="X296" i="121"/>
  <c r="D296" i="121"/>
  <c r="C296" i="121"/>
  <c r="B296" i="121"/>
  <c r="Z295" i="121"/>
  <c r="Y295" i="121"/>
  <c r="X295" i="121"/>
  <c r="D295" i="121"/>
  <c r="C295" i="121"/>
  <c r="E295" i="121" s="1"/>
  <c r="B295" i="121"/>
  <c r="Z294" i="121"/>
  <c r="Y294" i="121"/>
  <c r="X294" i="121"/>
  <c r="D294" i="121"/>
  <c r="C294" i="121"/>
  <c r="E294" i="121" s="1"/>
  <c r="B294" i="121"/>
  <c r="Z293" i="121"/>
  <c r="Y293" i="121"/>
  <c r="X293" i="121"/>
  <c r="D293" i="121"/>
  <c r="C293" i="121"/>
  <c r="E293" i="121" s="1"/>
  <c r="B293" i="121"/>
  <c r="Z292" i="121"/>
  <c r="Y292" i="121"/>
  <c r="X292" i="121"/>
  <c r="D292" i="121"/>
  <c r="C292" i="121"/>
  <c r="E292" i="121" s="1"/>
  <c r="B292" i="121"/>
  <c r="Z291" i="121"/>
  <c r="Y291" i="121"/>
  <c r="X291" i="121"/>
  <c r="D291" i="121"/>
  <c r="C291" i="121"/>
  <c r="E291" i="121" s="1"/>
  <c r="B291" i="121"/>
  <c r="Z290" i="121"/>
  <c r="Y290" i="121"/>
  <c r="X290" i="121"/>
  <c r="D290" i="121"/>
  <c r="C290" i="121"/>
  <c r="E290" i="121" s="1"/>
  <c r="B290" i="121"/>
  <c r="Z289" i="121"/>
  <c r="Y289" i="121"/>
  <c r="X289" i="121"/>
  <c r="D289" i="121"/>
  <c r="C289" i="121"/>
  <c r="E289" i="121" s="1"/>
  <c r="B289" i="121"/>
  <c r="Z288" i="121"/>
  <c r="Y288" i="121"/>
  <c r="X288" i="121"/>
  <c r="D288" i="121"/>
  <c r="C288" i="121"/>
  <c r="B288" i="121"/>
  <c r="Z287" i="121"/>
  <c r="Y287" i="121"/>
  <c r="X287" i="121"/>
  <c r="D287" i="121"/>
  <c r="C287" i="121"/>
  <c r="E287" i="121" s="1"/>
  <c r="B287" i="121"/>
  <c r="Z286" i="121"/>
  <c r="Y286" i="121"/>
  <c r="X286" i="121"/>
  <c r="D286" i="121"/>
  <c r="C286" i="121"/>
  <c r="E286" i="121" s="1"/>
  <c r="B286" i="121"/>
  <c r="Z285" i="121"/>
  <c r="Y285" i="121"/>
  <c r="X285" i="121"/>
  <c r="D285" i="121"/>
  <c r="C285" i="121"/>
  <c r="E285" i="121" s="1"/>
  <c r="B285" i="121"/>
  <c r="Z284" i="121"/>
  <c r="Y284" i="121"/>
  <c r="X284" i="121"/>
  <c r="D284" i="121"/>
  <c r="C284" i="121"/>
  <c r="E284" i="121" s="1"/>
  <c r="B284" i="121"/>
  <c r="Z283" i="121"/>
  <c r="Y283" i="121"/>
  <c r="X283" i="121"/>
  <c r="D283" i="121"/>
  <c r="C283" i="121"/>
  <c r="E283" i="121" s="1"/>
  <c r="B283" i="121"/>
  <c r="Z282" i="121"/>
  <c r="Y282" i="121"/>
  <c r="X282" i="121"/>
  <c r="D282" i="121"/>
  <c r="C282" i="121"/>
  <c r="E282" i="121" s="1"/>
  <c r="B282" i="121"/>
  <c r="Z281" i="121"/>
  <c r="Y281" i="121"/>
  <c r="X281" i="121"/>
  <c r="D281" i="121"/>
  <c r="C281" i="121"/>
  <c r="E281" i="121" s="1"/>
  <c r="B281" i="121"/>
  <c r="Z280" i="121"/>
  <c r="Y280" i="121"/>
  <c r="X280" i="121"/>
  <c r="D280" i="121"/>
  <c r="C280" i="121"/>
  <c r="E280" i="121" s="1"/>
  <c r="B280" i="121"/>
  <c r="Z279" i="121"/>
  <c r="Y279" i="121"/>
  <c r="X279" i="121"/>
  <c r="D279" i="121"/>
  <c r="C279" i="121"/>
  <c r="E279" i="121" s="1"/>
  <c r="B279" i="121"/>
  <c r="Z278" i="121"/>
  <c r="Y278" i="121"/>
  <c r="X278" i="121"/>
  <c r="D278" i="121"/>
  <c r="C278" i="121"/>
  <c r="E278" i="121" s="1"/>
  <c r="B278" i="121"/>
  <c r="Z277" i="121"/>
  <c r="Y277" i="121"/>
  <c r="X277" i="121"/>
  <c r="D277" i="121"/>
  <c r="C277" i="121"/>
  <c r="E277" i="121" s="1"/>
  <c r="B277" i="121"/>
  <c r="Z276" i="121"/>
  <c r="Y276" i="121"/>
  <c r="X276" i="121"/>
  <c r="D276" i="121"/>
  <c r="C276" i="121"/>
  <c r="E276" i="121" s="1"/>
  <c r="B276" i="121"/>
  <c r="Z275" i="121"/>
  <c r="Y275" i="121"/>
  <c r="X275" i="121"/>
  <c r="D275" i="121"/>
  <c r="C275" i="121"/>
  <c r="E275" i="121" s="1"/>
  <c r="B275" i="121"/>
  <c r="Z274" i="121"/>
  <c r="Y274" i="121"/>
  <c r="X274" i="121"/>
  <c r="D274" i="121"/>
  <c r="C274" i="121"/>
  <c r="E274" i="121" s="1"/>
  <c r="B274" i="121"/>
  <c r="Z273" i="121"/>
  <c r="Y273" i="121"/>
  <c r="X273" i="121"/>
  <c r="D273" i="121"/>
  <c r="C273" i="121"/>
  <c r="E273" i="121" s="1"/>
  <c r="B273" i="121"/>
  <c r="Z272" i="121"/>
  <c r="Y272" i="121"/>
  <c r="X272" i="121"/>
  <c r="D272" i="121"/>
  <c r="C272" i="121"/>
  <c r="B272" i="121"/>
  <c r="Z271" i="121"/>
  <c r="Y271" i="121"/>
  <c r="X271" i="121"/>
  <c r="D271" i="121"/>
  <c r="C271" i="121"/>
  <c r="E271" i="121" s="1"/>
  <c r="B271" i="121"/>
  <c r="Z270" i="121"/>
  <c r="Y270" i="121"/>
  <c r="X270" i="121"/>
  <c r="D270" i="121"/>
  <c r="C270" i="121"/>
  <c r="E270" i="121" s="1"/>
  <c r="B270" i="121"/>
  <c r="Z269" i="121"/>
  <c r="Y269" i="121"/>
  <c r="X269" i="121"/>
  <c r="D269" i="121"/>
  <c r="C269" i="121"/>
  <c r="E269" i="121" s="1"/>
  <c r="B269" i="121"/>
  <c r="Z268" i="121"/>
  <c r="Y268" i="121"/>
  <c r="X268" i="121"/>
  <c r="D268" i="121"/>
  <c r="C268" i="121"/>
  <c r="E268" i="121" s="1"/>
  <c r="B268" i="121"/>
  <c r="Z267" i="121"/>
  <c r="Y267" i="121"/>
  <c r="X267" i="121"/>
  <c r="D267" i="121"/>
  <c r="C267" i="121"/>
  <c r="E267" i="121" s="1"/>
  <c r="B267" i="121"/>
  <c r="Z266" i="121"/>
  <c r="Y266" i="121"/>
  <c r="X266" i="121"/>
  <c r="D266" i="121"/>
  <c r="C266" i="121"/>
  <c r="E266" i="121" s="1"/>
  <c r="B266" i="121"/>
  <c r="Z265" i="121"/>
  <c r="Y265" i="121"/>
  <c r="X265" i="121"/>
  <c r="D265" i="121"/>
  <c r="C265" i="121"/>
  <c r="E265" i="121" s="1"/>
  <c r="B265" i="121"/>
  <c r="Z264" i="121"/>
  <c r="Y264" i="121"/>
  <c r="X264" i="121"/>
  <c r="D264" i="121"/>
  <c r="C264" i="121"/>
  <c r="E264" i="121" s="1"/>
  <c r="B264" i="121"/>
  <c r="Z263" i="121"/>
  <c r="Y263" i="121"/>
  <c r="X263" i="121"/>
  <c r="D263" i="121"/>
  <c r="C263" i="121"/>
  <c r="E263" i="121" s="1"/>
  <c r="B263" i="121"/>
  <c r="Z262" i="121"/>
  <c r="Y262" i="121"/>
  <c r="X262" i="121"/>
  <c r="D262" i="121"/>
  <c r="C262" i="121"/>
  <c r="E262" i="121" s="1"/>
  <c r="B262" i="121"/>
  <c r="Z261" i="121"/>
  <c r="Y261" i="121"/>
  <c r="X261" i="121"/>
  <c r="D261" i="121"/>
  <c r="C261" i="121"/>
  <c r="E261" i="121" s="1"/>
  <c r="B261" i="121"/>
  <c r="Z260" i="121"/>
  <c r="Y260" i="121"/>
  <c r="X260" i="121"/>
  <c r="D260" i="121"/>
  <c r="C260" i="121"/>
  <c r="E260" i="121" s="1"/>
  <c r="B260" i="121"/>
  <c r="Z259" i="121"/>
  <c r="Y259" i="121"/>
  <c r="X259" i="121"/>
  <c r="D259" i="121"/>
  <c r="C259" i="121"/>
  <c r="E259" i="121" s="1"/>
  <c r="B259" i="121"/>
  <c r="Z258" i="121"/>
  <c r="Y258" i="121"/>
  <c r="X258" i="121"/>
  <c r="D258" i="121"/>
  <c r="C258" i="121"/>
  <c r="E258" i="121" s="1"/>
  <c r="B258" i="121"/>
  <c r="Z257" i="121"/>
  <c r="Y257" i="121"/>
  <c r="X257" i="121"/>
  <c r="D257" i="121"/>
  <c r="C257" i="121"/>
  <c r="E257" i="121" s="1"/>
  <c r="B257" i="121"/>
  <c r="Z256" i="121"/>
  <c r="Y256" i="121"/>
  <c r="X256" i="121"/>
  <c r="D256" i="121"/>
  <c r="C256" i="121"/>
  <c r="B256" i="121"/>
  <c r="Z255" i="121"/>
  <c r="Y255" i="121"/>
  <c r="X255" i="121"/>
  <c r="D255" i="121"/>
  <c r="C255" i="121"/>
  <c r="E255" i="121" s="1"/>
  <c r="B255" i="121"/>
  <c r="Z254" i="121"/>
  <c r="Y254" i="121"/>
  <c r="X254" i="121"/>
  <c r="D254" i="121"/>
  <c r="C254" i="121"/>
  <c r="B254" i="121"/>
  <c r="Z253" i="121"/>
  <c r="Y253" i="121"/>
  <c r="X253" i="121"/>
  <c r="D253" i="121"/>
  <c r="C253" i="121"/>
  <c r="E253" i="121" s="1"/>
  <c r="B253" i="121"/>
  <c r="Z252" i="121"/>
  <c r="Y252" i="121"/>
  <c r="X252" i="121"/>
  <c r="D252" i="121"/>
  <c r="C252" i="121"/>
  <c r="E252" i="121" s="1"/>
  <c r="B252" i="121"/>
  <c r="Z251" i="121"/>
  <c r="Y251" i="121"/>
  <c r="X251" i="121"/>
  <c r="D251" i="121"/>
  <c r="C251" i="121"/>
  <c r="E251" i="121" s="1"/>
  <c r="B251" i="121"/>
  <c r="Z250" i="121"/>
  <c r="Y250" i="121"/>
  <c r="X250" i="121"/>
  <c r="D250" i="121"/>
  <c r="C250" i="121"/>
  <c r="E250" i="121" s="1"/>
  <c r="B250" i="121"/>
  <c r="Z249" i="121"/>
  <c r="Y249" i="121"/>
  <c r="X249" i="121"/>
  <c r="D249" i="121"/>
  <c r="C249" i="121"/>
  <c r="E249" i="121" s="1"/>
  <c r="B249" i="121"/>
  <c r="Z248" i="121"/>
  <c r="Y248" i="121"/>
  <c r="X248" i="121"/>
  <c r="D248" i="121"/>
  <c r="C248" i="121"/>
  <c r="E248" i="121" s="1"/>
  <c r="B248" i="121"/>
  <c r="Z247" i="121"/>
  <c r="Y247" i="121"/>
  <c r="X247" i="121"/>
  <c r="D247" i="121"/>
  <c r="C247" i="121"/>
  <c r="E247" i="121" s="1"/>
  <c r="B247" i="121"/>
  <c r="Z246" i="121"/>
  <c r="Y246" i="121"/>
  <c r="X246" i="121"/>
  <c r="D246" i="121"/>
  <c r="C246" i="121"/>
  <c r="B246" i="121"/>
  <c r="Z245" i="121"/>
  <c r="Y245" i="121"/>
  <c r="X245" i="121"/>
  <c r="D245" i="121"/>
  <c r="C245" i="121"/>
  <c r="E245" i="121" s="1"/>
  <c r="B245" i="121"/>
  <c r="Z244" i="121"/>
  <c r="Y244" i="121"/>
  <c r="X244" i="121"/>
  <c r="D244" i="121"/>
  <c r="C244" i="121"/>
  <c r="E244" i="121" s="1"/>
  <c r="B244" i="121"/>
  <c r="Z243" i="121"/>
  <c r="Y243" i="121"/>
  <c r="X243" i="121"/>
  <c r="D243" i="121"/>
  <c r="C243" i="121"/>
  <c r="E243" i="121" s="1"/>
  <c r="B243" i="121"/>
  <c r="Z242" i="121"/>
  <c r="Y242" i="121"/>
  <c r="X242" i="121"/>
  <c r="D242" i="121"/>
  <c r="C242" i="121"/>
  <c r="E242" i="121" s="1"/>
  <c r="B242" i="121"/>
  <c r="Z241" i="121"/>
  <c r="Y241" i="121"/>
  <c r="X241" i="121"/>
  <c r="D241" i="121"/>
  <c r="C241" i="121"/>
  <c r="E241" i="121" s="1"/>
  <c r="B241" i="121"/>
  <c r="Z240" i="121"/>
  <c r="Y240" i="121"/>
  <c r="X240" i="121"/>
  <c r="D240" i="121"/>
  <c r="C240" i="121"/>
  <c r="E240" i="121" s="1"/>
  <c r="B240" i="121"/>
  <c r="Z239" i="121"/>
  <c r="Y239" i="121"/>
  <c r="X239" i="121"/>
  <c r="D239" i="121"/>
  <c r="C239" i="121"/>
  <c r="E239" i="121" s="1"/>
  <c r="B239" i="121"/>
  <c r="Z238" i="121"/>
  <c r="Y238" i="121"/>
  <c r="X238" i="121"/>
  <c r="D238" i="121"/>
  <c r="C238" i="121"/>
  <c r="B238" i="121"/>
  <c r="Z237" i="121"/>
  <c r="Y237" i="121"/>
  <c r="X237" i="121"/>
  <c r="D237" i="121"/>
  <c r="C237" i="121"/>
  <c r="E237" i="121" s="1"/>
  <c r="B237" i="121"/>
  <c r="Z236" i="121"/>
  <c r="Y236" i="121"/>
  <c r="X236" i="121"/>
  <c r="D236" i="121"/>
  <c r="C236" i="121"/>
  <c r="E236" i="121" s="1"/>
  <c r="B236" i="121"/>
  <c r="Z235" i="121"/>
  <c r="Y235" i="121"/>
  <c r="X235" i="121"/>
  <c r="D235" i="121"/>
  <c r="C235" i="121"/>
  <c r="E235" i="121" s="1"/>
  <c r="B235" i="121"/>
  <c r="Z234" i="121"/>
  <c r="Y234" i="121"/>
  <c r="X234" i="121"/>
  <c r="D234" i="121"/>
  <c r="C234" i="121"/>
  <c r="E234" i="121" s="1"/>
  <c r="B234" i="121"/>
  <c r="Z233" i="121"/>
  <c r="Y233" i="121"/>
  <c r="X233" i="121"/>
  <c r="D233" i="121"/>
  <c r="C233" i="121"/>
  <c r="E233" i="121" s="1"/>
  <c r="B233" i="121"/>
  <c r="Z232" i="121"/>
  <c r="Y232" i="121"/>
  <c r="X232" i="121"/>
  <c r="D232" i="121"/>
  <c r="C232" i="121"/>
  <c r="E232" i="121" s="1"/>
  <c r="B232" i="121"/>
  <c r="Z231" i="121"/>
  <c r="Y231" i="121"/>
  <c r="X231" i="121"/>
  <c r="D231" i="121"/>
  <c r="C231" i="121"/>
  <c r="E231" i="121" s="1"/>
  <c r="B231" i="121"/>
  <c r="Z230" i="121"/>
  <c r="Y230" i="121"/>
  <c r="X230" i="121"/>
  <c r="D230" i="121"/>
  <c r="C230" i="121"/>
  <c r="B230" i="121"/>
  <c r="Z229" i="121"/>
  <c r="Y229" i="121"/>
  <c r="X229" i="121"/>
  <c r="D229" i="121"/>
  <c r="C229" i="121"/>
  <c r="E229" i="121" s="1"/>
  <c r="B229" i="121"/>
  <c r="Z228" i="121"/>
  <c r="Y228" i="121"/>
  <c r="X228" i="121"/>
  <c r="D228" i="121"/>
  <c r="C228" i="121"/>
  <c r="E228" i="121" s="1"/>
  <c r="B228" i="121"/>
  <c r="Z227" i="121"/>
  <c r="Y227" i="121"/>
  <c r="X227" i="121"/>
  <c r="D227" i="121"/>
  <c r="C227" i="121"/>
  <c r="E227" i="121" s="1"/>
  <c r="B227" i="121"/>
  <c r="Z226" i="121"/>
  <c r="Y226" i="121"/>
  <c r="X226" i="121"/>
  <c r="D226" i="121"/>
  <c r="C226" i="121"/>
  <c r="E226" i="121" s="1"/>
  <c r="B226" i="121"/>
  <c r="Z225" i="121"/>
  <c r="Y225" i="121"/>
  <c r="X225" i="121"/>
  <c r="D225" i="121"/>
  <c r="C225" i="121"/>
  <c r="E225" i="121" s="1"/>
  <c r="B225" i="121"/>
  <c r="Z224" i="121"/>
  <c r="Y224" i="121"/>
  <c r="X224" i="121"/>
  <c r="D224" i="121"/>
  <c r="C224" i="121"/>
  <c r="E224" i="121" s="1"/>
  <c r="B224" i="121"/>
  <c r="Z223" i="121"/>
  <c r="Y223" i="121"/>
  <c r="X223" i="121"/>
  <c r="D223" i="121"/>
  <c r="C223" i="121"/>
  <c r="E223" i="121" s="1"/>
  <c r="B223" i="121"/>
  <c r="Z222" i="121"/>
  <c r="Y222" i="121"/>
  <c r="X222" i="121"/>
  <c r="D222" i="121"/>
  <c r="C222" i="121"/>
  <c r="B222" i="121"/>
  <c r="Z221" i="121"/>
  <c r="Y221" i="121"/>
  <c r="X221" i="121"/>
  <c r="D221" i="121"/>
  <c r="C221" i="121"/>
  <c r="E221" i="121" s="1"/>
  <c r="B221" i="121"/>
  <c r="Z220" i="121"/>
  <c r="Y220" i="121"/>
  <c r="X220" i="121"/>
  <c r="D220" i="121"/>
  <c r="C220" i="121"/>
  <c r="E220" i="121" s="1"/>
  <c r="B220" i="121"/>
  <c r="Z219" i="121"/>
  <c r="Y219" i="121"/>
  <c r="X219" i="121"/>
  <c r="D219" i="121"/>
  <c r="C219" i="121"/>
  <c r="E219" i="121" s="1"/>
  <c r="B219" i="121"/>
  <c r="Z218" i="121"/>
  <c r="Y218" i="121"/>
  <c r="X218" i="121"/>
  <c r="D218" i="121"/>
  <c r="C218" i="121"/>
  <c r="E218" i="121" s="1"/>
  <c r="B218" i="121"/>
  <c r="Z217" i="121"/>
  <c r="Y217" i="121"/>
  <c r="X217" i="121"/>
  <c r="D217" i="121"/>
  <c r="C217" i="121"/>
  <c r="E217" i="121" s="1"/>
  <c r="B217" i="121"/>
  <c r="Z216" i="121"/>
  <c r="Y216" i="121"/>
  <c r="X216" i="121"/>
  <c r="D216" i="121"/>
  <c r="C216" i="121"/>
  <c r="E216" i="121" s="1"/>
  <c r="B216" i="121"/>
  <c r="Z215" i="121"/>
  <c r="Y215" i="121"/>
  <c r="X215" i="121"/>
  <c r="D215" i="121"/>
  <c r="C215" i="121"/>
  <c r="E215" i="121" s="1"/>
  <c r="B215" i="121"/>
  <c r="Z214" i="121"/>
  <c r="Y214" i="121"/>
  <c r="X214" i="121"/>
  <c r="D214" i="121"/>
  <c r="C214" i="121"/>
  <c r="B214" i="121"/>
  <c r="Z213" i="121"/>
  <c r="Y213" i="121"/>
  <c r="X213" i="121"/>
  <c r="D213" i="121"/>
  <c r="C213" i="121"/>
  <c r="B213" i="121"/>
  <c r="Z212" i="121"/>
  <c r="Y212" i="121"/>
  <c r="X212" i="121"/>
  <c r="D212" i="121"/>
  <c r="C212" i="121"/>
  <c r="B212" i="121"/>
  <c r="Z211" i="121"/>
  <c r="Y211" i="121"/>
  <c r="X211" i="121"/>
  <c r="D211" i="121"/>
  <c r="C211" i="121"/>
  <c r="E211" i="121" s="1"/>
  <c r="B211" i="121"/>
  <c r="Z210" i="121"/>
  <c r="Y210" i="121"/>
  <c r="X210" i="121"/>
  <c r="D210" i="121"/>
  <c r="C210" i="121"/>
  <c r="E210" i="121" s="1"/>
  <c r="B210" i="121"/>
  <c r="Z209" i="121"/>
  <c r="Y209" i="121"/>
  <c r="X209" i="121"/>
  <c r="D209" i="121"/>
  <c r="C209" i="121"/>
  <c r="E209" i="121" s="1"/>
  <c r="B209" i="121"/>
  <c r="Z208" i="121"/>
  <c r="Y208" i="121"/>
  <c r="X208" i="121"/>
  <c r="D208" i="121"/>
  <c r="C208" i="121"/>
  <c r="E208" i="121" s="1"/>
  <c r="B208" i="121"/>
  <c r="Z207" i="121"/>
  <c r="Y207" i="121"/>
  <c r="X207" i="121"/>
  <c r="D207" i="121"/>
  <c r="C207" i="121"/>
  <c r="B207" i="121"/>
  <c r="Z206" i="121"/>
  <c r="Y206" i="121"/>
  <c r="X206" i="121"/>
  <c r="D206" i="121"/>
  <c r="C206" i="121"/>
  <c r="E206" i="121" s="1"/>
  <c r="B206" i="121"/>
  <c r="Z205" i="121"/>
  <c r="Y205" i="121"/>
  <c r="X205" i="121"/>
  <c r="D205" i="121"/>
  <c r="C205" i="121"/>
  <c r="B205" i="121"/>
  <c r="Z204" i="121"/>
  <c r="Y204" i="121"/>
  <c r="X204" i="121"/>
  <c r="D204" i="121"/>
  <c r="C204" i="121"/>
  <c r="E204" i="121" s="1"/>
  <c r="B204" i="121"/>
  <c r="Z203" i="121"/>
  <c r="Y203" i="121"/>
  <c r="X203" i="121"/>
  <c r="D203" i="121"/>
  <c r="C203" i="121"/>
  <c r="B203" i="121"/>
  <c r="Z202" i="121"/>
  <c r="Y202" i="121"/>
  <c r="X202" i="121"/>
  <c r="D202" i="121"/>
  <c r="C202" i="121"/>
  <c r="B202" i="121"/>
  <c r="Z201" i="121"/>
  <c r="Y201" i="121"/>
  <c r="X201" i="121"/>
  <c r="D201" i="121"/>
  <c r="C201" i="121"/>
  <c r="E201" i="121" s="1"/>
  <c r="B201" i="121"/>
  <c r="Z200" i="121"/>
  <c r="Y200" i="121"/>
  <c r="X200" i="121"/>
  <c r="D200" i="121"/>
  <c r="C200" i="121"/>
  <c r="E200" i="121" s="1"/>
  <c r="B200" i="121"/>
  <c r="Z199" i="121"/>
  <c r="Y199" i="121"/>
  <c r="X199" i="121"/>
  <c r="D199" i="121"/>
  <c r="C199" i="121"/>
  <c r="E199" i="121" s="1"/>
  <c r="B199" i="121"/>
  <c r="Z198" i="121"/>
  <c r="Y198" i="121"/>
  <c r="X198" i="121"/>
  <c r="D198" i="121"/>
  <c r="C198" i="121"/>
  <c r="E198" i="121" s="1"/>
  <c r="B198" i="121"/>
  <c r="Z197" i="121"/>
  <c r="Y197" i="121"/>
  <c r="X197" i="121"/>
  <c r="D197" i="121"/>
  <c r="C197" i="121"/>
  <c r="B197" i="121"/>
  <c r="Z196" i="121"/>
  <c r="Y196" i="121"/>
  <c r="X196" i="121"/>
  <c r="D196" i="121"/>
  <c r="C196" i="121"/>
  <c r="E196" i="121" s="1"/>
  <c r="B196" i="121"/>
  <c r="Z195" i="121"/>
  <c r="Y195" i="121"/>
  <c r="X195" i="121"/>
  <c r="D195" i="121"/>
  <c r="C195" i="121"/>
  <c r="E195" i="121" s="1"/>
  <c r="B195" i="121"/>
  <c r="Z194" i="121"/>
  <c r="Y194" i="121"/>
  <c r="X194" i="121"/>
  <c r="D194" i="121"/>
  <c r="C194" i="121"/>
  <c r="E194" i="121" s="1"/>
  <c r="B194" i="121"/>
  <c r="Z193" i="121"/>
  <c r="Y193" i="121"/>
  <c r="X193" i="121"/>
  <c r="D193" i="121"/>
  <c r="C193" i="121"/>
  <c r="E193" i="121" s="1"/>
  <c r="B193" i="121"/>
  <c r="Z192" i="121"/>
  <c r="Y192" i="121"/>
  <c r="X192" i="121"/>
  <c r="D192" i="121"/>
  <c r="C192" i="121"/>
  <c r="E192" i="121" s="1"/>
  <c r="B192" i="121"/>
  <c r="Z191" i="121"/>
  <c r="Y191" i="121"/>
  <c r="X191" i="121"/>
  <c r="D191" i="121"/>
  <c r="C191" i="121"/>
  <c r="E191" i="121" s="1"/>
  <c r="B191" i="121"/>
  <c r="Z190" i="121"/>
  <c r="Y190" i="121"/>
  <c r="X190" i="121"/>
  <c r="D190" i="121"/>
  <c r="C190" i="121"/>
  <c r="E190" i="121" s="1"/>
  <c r="B190" i="121"/>
  <c r="Z189" i="121"/>
  <c r="Y189" i="121"/>
  <c r="X189" i="121"/>
  <c r="D189" i="121"/>
  <c r="C189" i="121"/>
  <c r="E189" i="121" s="1"/>
  <c r="B189" i="121"/>
  <c r="Z188" i="121"/>
  <c r="Y188" i="121"/>
  <c r="X188" i="121"/>
  <c r="D188" i="121"/>
  <c r="C188" i="121"/>
  <c r="E188" i="121" s="1"/>
  <c r="B188" i="121"/>
  <c r="Z187" i="121"/>
  <c r="Y187" i="121"/>
  <c r="X187" i="121"/>
  <c r="D187" i="121"/>
  <c r="C187" i="121"/>
  <c r="E187" i="121" s="1"/>
  <c r="B187" i="121"/>
  <c r="Z186" i="121"/>
  <c r="Y186" i="121"/>
  <c r="X186" i="121"/>
  <c r="D186" i="121"/>
  <c r="C186" i="121"/>
  <c r="E186" i="121" s="1"/>
  <c r="B186" i="121"/>
  <c r="Z185" i="121"/>
  <c r="Y185" i="121"/>
  <c r="X185" i="121"/>
  <c r="D185" i="121"/>
  <c r="C185" i="121"/>
  <c r="E185" i="121" s="1"/>
  <c r="B185" i="121"/>
  <c r="Z184" i="121"/>
  <c r="Y184" i="121"/>
  <c r="X184" i="121"/>
  <c r="D184" i="121"/>
  <c r="C184" i="121"/>
  <c r="E184" i="121" s="1"/>
  <c r="B184" i="121"/>
  <c r="Z183" i="121"/>
  <c r="Y183" i="121"/>
  <c r="X183" i="121"/>
  <c r="D183" i="121"/>
  <c r="C183" i="121"/>
  <c r="E183" i="121" s="1"/>
  <c r="B183" i="121"/>
  <c r="Z182" i="121"/>
  <c r="Y182" i="121"/>
  <c r="X182" i="121"/>
  <c r="D182" i="121"/>
  <c r="C182" i="121"/>
  <c r="E182" i="121" s="1"/>
  <c r="B182" i="121"/>
  <c r="Z181" i="121"/>
  <c r="Y181" i="121"/>
  <c r="X181" i="121"/>
  <c r="D181" i="121"/>
  <c r="C181" i="121"/>
  <c r="E181" i="121" s="1"/>
  <c r="B181" i="121"/>
  <c r="Z180" i="121"/>
  <c r="Y180" i="121"/>
  <c r="X180" i="121"/>
  <c r="D180" i="121"/>
  <c r="C180" i="121"/>
  <c r="E180" i="121" s="1"/>
  <c r="B180" i="121"/>
  <c r="Z179" i="121"/>
  <c r="Y179" i="121"/>
  <c r="X179" i="121"/>
  <c r="D179" i="121"/>
  <c r="C179" i="121"/>
  <c r="E179" i="121" s="1"/>
  <c r="B179" i="121"/>
  <c r="Z178" i="121"/>
  <c r="Y178" i="121"/>
  <c r="X178" i="121"/>
  <c r="D178" i="121"/>
  <c r="C178" i="121"/>
  <c r="E178" i="121" s="1"/>
  <c r="B178" i="121"/>
  <c r="Z177" i="121"/>
  <c r="Y177" i="121"/>
  <c r="X177" i="121"/>
  <c r="D177" i="121"/>
  <c r="C177" i="121"/>
  <c r="E177" i="121" s="1"/>
  <c r="B177" i="121"/>
  <c r="Z176" i="121"/>
  <c r="Y176" i="121"/>
  <c r="X176" i="121"/>
  <c r="D176" i="121"/>
  <c r="C176" i="121"/>
  <c r="E176" i="121" s="1"/>
  <c r="B176" i="121"/>
  <c r="Z175" i="121"/>
  <c r="Y175" i="121"/>
  <c r="X175" i="121"/>
  <c r="D175" i="121"/>
  <c r="C175" i="121"/>
  <c r="E175" i="121" s="1"/>
  <c r="B175" i="121"/>
  <c r="Z174" i="121"/>
  <c r="Y174" i="121"/>
  <c r="X174" i="121"/>
  <c r="D174" i="121"/>
  <c r="C174" i="121"/>
  <c r="E174" i="121" s="1"/>
  <c r="B174" i="121"/>
  <c r="Z173" i="121"/>
  <c r="Y173" i="121"/>
  <c r="X173" i="121"/>
  <c r="D173" i="121"/>
  <c r="C173" i="121"/>
  <c r="E173" i="121" s="1"/>
  <c r="B173" i="121"/>
  <c r="Z172" i="121"/>
  <c r="Y172" i="121"/>
  <c r="X172" i="121"/>
  <c r="D172" i="121"/>
  <c r="C172" i="121"/>
  <c r="E172" i="121" s="1"/>
  <c r="B172" i="121"/>
  <c r="Z171" i="121"/>
  <c r="Y171" i="121"/>
  <c r="X171" i="121"/>
  <c r="D171" i="121"/>
  <c r="C171" i="121"/>
  <c r="E171" i="121" s="1"/>
  <c r="B171" i="121"/>
  <c r="Z170" i="121"/>
  <c r="Y170" i="121"/>
  <c r="X170" i="121"/>
  <c r="D170" i="121"/>
  <c r="C170" i="121"/>
  <c r="E170" i="121" s="1"/>
  <c r="B170" i="121"/>
  <c r="Z169" i="121"/>
  <c r="Y169" i="121"/>
  <c r="X169" i="121"/>
  <c r="D169" i="121"/>
  <c r="C169" i="121"/>
  <c r="E169" i="121" s="1"/>
  <c r="B169" i="121"/>
  <c r="Z168" i="121"/>
  <c r="Y168" i="121"/>
  <c r="X168" i="121"/>
  <c r="D168" i="121"/>
  <c r="C168" i="121"/>
  <c r="E168" i="121" s="1"/>
  <c r="B168" i="121"/>
  <c r="Z167" i="121"/>
  <c r="Y167" i="121"/>
  <c r="X167" i="121"/>
  <c r="D167" i="121"/>
  <c r="C167" i="121"/>
  <c r="E167" i="121" s="1"/>
  <c r="B167" i="121"/>
  <c r="Z166" i="121"/>
  <c r="Y166" i="121"/>
  <c r="X166" i="121"/>
  <c r="D166" i="121"/>
  <c r="C166" i="121"/>
  <c r="E166" i="121" s="1"/>
  <c r="B166" i="121"/>
  <c r="Z165" i="121"/>
  <c r="Y165" i="121"/>
  <c r="X165" i="121"/>
  <c r="D165" i="121"/>
  <c r="C165" i="121"/>
  <c r="E165" i="121" s="1"/>
  <c r="B165" i="121"/>
  <c r="Z164" i="121"/>
  <c r="Y164" i="121"/>
  <c r="X164" i="121"/>
  <c r="D164" i="121"/>
  <c r="C164" i="121"/>
  <c r="E164" i="121" s="1"/>
  <c r="B164" i="121"/>
  <c r="Z163" i="121"/>
  <c r="Y163" i="121"/>
  <c r="X163" i="121"/>
  <c r="D163" i="121"/>
  <c r="C163" i="121"/>
  <c r="E163" i="121" s="1"/>
  <c r="B163" i="121"/>
  <c r="Z162" i="121"/>
  <c r="Y162" i="121"/>
  <c r="X162" i="121"/>
  <c r="D162" i="121"/>
  <c r="C162" i="121"/>
  <c r="E162" i="121" s="1"/>
  <c r="B162" i="121"/>
  <c r="Z161" i="121"/>
  <c r="Y161" i="121"/>
  <c r="X161" i="121"/>
  <c r="D161" i="121"/>
  <c r="C161" i="121"/>
  <c r="E161" i="121" s="1"/>
  <c r="B161" i="121"/>
  <c r="Z160" i="121"/>
  <c r="Y160" i="121"/>
  <c r="X160" i="121"/>
  <c r="D160" i="121"/>
  <c r="C160" i="121"/>
  <c r="E160" i="121" s="1"/>
  <c r="B160" i="121"/>
  <c r="Z159" i="121"/>
  <c r="Y159" i="121"/>
  <c r="X159" i="121"/>
  <c r="D159" i="121"/>
  <c r="C159" i="121"/>
  <c r="E159" i="121" s="1"/>
  <c r="B159" i="121"/>
  <c r="Z158" i="121"/>
  <c r="Y158" i="121"/>
  <c r="X158" i="121"/>
  <c r="D158" i="121"/>
  <c r="C158" i="121"/>
  <c r="E158" i="121" s="1"/>
  <c r="B158" i="121"/>
  <c r="Z157" i="121"/>
  <c r="Y157" i="121"/>
  <c r="X157" i="121"/>
  <c r="D157" i="121"/>
  <c r="C157" i="121"/>
  <c r="E157" i="121" s="1"/>
  <c r="B157" i="121"/>
  <c r="Z156" i="121"/>
  <c r="Y156" i="121"/>
  <c r="X156" i="121"/>
  <c r="D156" i="121"/>
  <c r="C156" i="121"/>
  <c r="E156" i="121" s="1"/>
  <c r="B156" i="121"/>
  <c r="Z155" i="121"/>
  <c r="Y155" i="121"/>
  <c r="X155" i="121"/>
  <c r="D155" i="121"/>
  <c r="C155" i="121"/>
  <c r="E155" i="121" s="1"/>
  <c r="B155" i="121"/>
  <c r="Z154" i="121"/>
  <c r="Y154" i="121"/>
  <c r="X154" i="121"/>
  <c r="D154" i="121"/>
  <c r="C154" i="121"/>
  <c r="E154" i="121" s="1"/>
  <c r="B154" i="121"/>
  <c r="Z153" i="121"/>
  <c r="Y153" i="121"/>
  <c r="X153" i="121"/>
  <c r="D153" i="121"/>
  <c r="C153" i="121"/>
  <c r="E153" i="121" s="1"/>
  <c r="B153" i="121"/>
  <c r="Z152" i="121"/>
  <c r="Y152" i="121"/>
  <c r="X152" i="121"/>
  <c r="D152" i="121"/>
  <c r="C152" i="121"/>
  <c r="E152" i="121" s="1"/>
  <c r="B152" i="121"/>
  <c r="Z151" i="121"/>
  <c r="Y151" i="121"/>
  <c r="X151" i="121"/>
  <c r="D151" i="121"/>
  <c r="C151" i="121"/>
  <c r="E151" i="121" s="1"/>
  <c r="B151" i="121"/>
  <c r="Z150" i="121"/>
  <c r="Y150" i="121"/>
  <c r="X150" i="121"/>
  <c r="D150" i="121"/>
  <c r="C150" i="121"/>
  <c r="E150" i="121" s="1"/>
  <c r="B150" i="121"/>
  <c r="Z149" i="121"/>
  <c r="Y149" i="121"/>
  <c r="X149" i="121"/>
  <c r="D149" i="121"/>
  <c r="C149" i="121"/>
  <c r="E149" i="121" s="1"/>
  <c r="B149" i="121"/>
  <c r="Z148" i="121"/>
  <c r="Y148" i="121"/>
  <c r="X148" i="121"/>
  <c r="D148" i="121"/>
  <c r="C148" i="121"/>
  <c r="E148" i="121" s="1"/>
  <c r="B148" i="121"/>
  <c r="Z147" i="121"/>
  <c r="Y147" i="121"/>
  <c r="X147" i="121"/>
  <c r="D147" i="121"/>
  <c r="C147" i="121"/>
  <c r="E147" i="121" s="1"/>
  <c r="B147" i="121"/>
  <c r="Z146" i="121"/>
  <c r="Y146" i="121"/>
  <c r="X146" i="121"/>
  <c r="D146" i="121"/>
  <c r="C146" i="121"/>
  <c r="E146" i="121" s="1"/>
  <c r="B146" i="121"/>
  <c r="Z145" i="121"/>
  <c r="Y145" i="121"/>
  <c r="X145" i="121"/>
  <c r="D145" i="121"/>
  <c r="C145" i="121"/>
  <c r="E145" i="121" s="1"/>
  <c r="B145" i="121"/>
  <c r="Z144" i="121"/>
  <c r="Y144" i="121"/>
  <c r="X144" i="121"/>
  <c r="D144" i="121"/>
  <c r="C144" i="121"/>
  <c r="E144" i="121" s="1"/>
  <c r="B144" i="121"/>
  <c r="Z143" i="121"/>
  <c r="Y143" i="121"/>
  <c r="X143" i="121"/>
  <c r="D143" i="121"/>
  <c r="C143" i="121"/>
  <c r="E143" i="121" s="1"/>
  <c r="B143" i="121"/>
  <c r="Z142" i="121"/>
  <c r="Y142" i="121"/>
  <c r="X142" i="121"/>
  <c r="D142" i="121"/>
  <c r="C142" i="121"/>
  <c r="E142" i="121" s="1"/>
  <c r="B142" i="121"/>
  <c r="Z141" i="121"/>
  <c r="Y141" i="121"/>
  <c r="X141" i="121"/>
  <c r="D141" i="121"/>
  <c r="C141" i="121"/>
  <c r="E141" i="121" s="1"/>
  <c r="B141" i="121"/>
  <c r="Z140" i="121"/>
  <c r="Y140" i="121"/>
  <c r="X140" i="121"/>
  <c r="D140" i="121"/>
  <c r="C140" i="121"/>
  <c r="E140" i="121" s="1"/>
  <c r="B140" i="121"/>
  <c r="Z139" i="121"/>
  <c r="Y139" i="121"/>
  <c r="X139" i="121"/>
  <c r="D139" i="121"/>
  <c r="C139" i="121"/>
  <c r="E139" i="121" s="1"/>
  <c r="B139" i="121"/>
  <c r="Z138" i="121"/>
  <c r="Y138" i="121"/>
  <c r="X138" i="121"/>
  <c r="D138" i="121"/>
  <c r="C138" i="121"/>
  <c r="E138" i="121" s="1"/>
  <c r="B138" i="121"/>
  <c r="Z137" i="121"/>
  <c r="Y137" i="121"/>
  <c r="X137" i="121"/>
  <c r="D137" i="121"/>
  <c r="C137" i="121"/>
  <c r="E137" i="121" s="1"/>
  <c r="B137" i="121"/>
  <c r="Z136" i="121"/>
  <c r="Y136" i="121"/>
  <c r="X136" i="121"/>
  <c r="D136" i="121"/>
  <c r="C136" i="121"/>
  <c r="E136" i="121" s="1"/>
  <c r="B136" i="121"/>
  <c r="Z135" i="121"/>
  <c r="Y135" i="121"/>
  <c r="X135" i="121"/>
  <c r="D135" i="121"/>
  <c r="C135" i="121"/>
  <c r="E135" i="121" s="1"/>
  <c r="B135" i="121"/>
  <c r="Z134" i="121"/>
  <c r="Y134" i="121"/>
  <c r="X134" i="121"/>
  <c r="D134" i="121"/>
  <c r="C134" i="121"/>
  <c r="E134" i="121" s="1"/>
  <c r="B134" i="121"/>
  <c r="Z133" i="121"/>
  <c r="Y133" i="121"/>
  <c r="X133" i="121"/>
  <c r="D133" i="121"/>
  <c r="C133" i="121"/>
  <c r="E133" i="121" s="1"/>
  <c r="B133" i="121"/>
  <c r="Z132" i="121"/>
  <c r="Y132" i="121"/>
  <c r="X132" i="121"/>
  <c r="D132" i="121"/>
  <c r="C132" i="121"/>
  <c r="E132" i="121" s="1"/>
  <c r="B132" i="121"/>
  <c r="Z131" i="121"/>
  <c r="Y131" i="121"/>
  <c r="X131" i="121"/>
  <c r="D131" i="121"/>
  <c r="C131" i="121"/>
  <c r="E131" i="121" s="1"/>
  <c r="B131" i="121"/>
  <c r="Z130" i="121"/>
  <c r="Y130" i="121"/>
  <c r="X130" i="121"/>
  <c r="D130" i="121"/>
  <c r="C130" i="121"/>
  <c r="E130" i="121" s="1"/>
  <c r="B130" i="121"/>
  <c r="Z129" i="121"/>
  <c r="Y129" i="121"/>
  <c r="X129" i="121"/>
  <c r="D129" i="121"/>
  <c r="C129" i="121"/>
  <c r="E129" i="121" s="1"/>
  <c r="B129" i="121"/>
  <c r="Z128" i="121"/>
  <c r="Y128" i="121"/>
  <c r="X128" i="121"/>
  <c r="D128" i="121"/>
  <c r="C128" i="121"/>
  <c r="E128" i="121" s="1"/>
  <c r="B128" i="121"/>
  <c r="Z127" i="121"/>
  <c r="Y127" i="121"/>
  <c r="X127" i="121"/>
  <c r="D127" i="121"/>
  <c r="C127" i="121"/>
  <c r="E127" i="121" s="1"/>
  <c r="B127" i="121"/>
  <c r="Z126" i="121"/>
  <c r="Y126" i="121"/>
  <c r="X126" i="121"/>
  <c r="D126" i="121"/>
  <c r="C126" i="121"/>
  <c r="E126" i="121" s="1"/>
  <c r="B126" i="121"/>
  <c r="Z125" i="121"/>
  <c r="Y125" i="121"/>
  <c r="X125" i="121"/>
  <c r="D125" i="121"/>
  <c r="C125" i="121"/>
  <c r="E125" i="121" s="1"/>
  <c r="B125" i="121"/>
  <c r="Z124" i="121"/>
  <c r="Y124" i="121"/>
  <c r="X124" i="121"/>
  <c r="D124" i="121"/>
  <c r="C124" i="121"/>
  <c r="E124" i="121" s="1"/>
  <c r="B124" i="121"/>
  <c r="Z123" i="121"/>
  <c r="Y123" i="121"/>
  <c r="X123" i="121"/>
  <c r="D123" i="121"/>
  <c r="C123" i="121"/>
  <c r="E123" i="121" s="1"/>
  <c r="B123" i="121"/>
  <c r="Z122" i="121"/>
  <c r="Y122" i="121"/>
  <c r="X122" i="121"/>
  <c r="D122" i="121"/>
  <c r="C122" i="121"/>
  <c r="E122" i="121" s="1"/>
  <c r="B122" i="121"/>
  <c r="Z121" i="121"/>
  <c r="Y121" i="121"/>
  <c r="X121" i="121"/>
  <c r="D121" i="121"/>
  <c r="C121" i="121"/>
  <c r="E121" i="121" s="1"/>
  <c r="B121" i="121"/>
  <c r="Z120" i="121"/>
  <c r="Y120" i="121"/>
  <c r="X120" i="121"/>
  <c r="D120" i="121"/>
  <c r="C120" i="121"/>
  <c r="E120" i="121" s="1"/>
  <c r="B120" i="121"/>
  <c r="Z119" i="121"/>
  <c r="Y119" i="121"/>
  <c r="X119" i="121"/>
  <c r="D119" i="121"/>
  <c r="C119" i="121"/>
  <c r="E119" i="121" s="1"/>
  <c r="B119" i="121"/>
  <c r="Z118" i="121"/>
  <c r="Y118" i="121"/>
  <c r="X118" i="121"/>
  <c r="D118" i="121"/>
  <c r="C118" i="121"/>
  <c r="E118" i="121" s="1"/>
  <c r="B118" i="121"/>
  <c r="Z117" i="121"/>
  <c r="Y117" i="121"/>
  <c r="X117" i="121"/>
  <c r="D117" i="121"/>
  <c r="C117" i="121"/>
  <c r="E117" i="121" s="1"/>
  <c r="B117" i="121"/>
  <c r="Z116" i="121"/>
  <c r="Y116" i="121"/>
  <c r="X116" i="121"/>
  <c r="D116" i="121"/>
  <c r="C116" i="121"/>
  <c r="E116" i="121" s="1"/>
  <c r="B116" i="121"/>
  <c r="Z115" i="121"/>
  <c r="Y115" i="121"/>
  <c r="X115" i="121"/>
  <c r="D115" i="121"/>
  <c r="C115" i="121"/>
  <c r="E115" i="121" s="1"/>
  <c r="B115" i="121"/>
  <c r="Z114" i="121"/>
  <c r="Y114" i="121"/>
  <c r="X114" i="121"/>
  <c r="D114" i="121"/>
  <c r="C114" i="121"/>
  <c r="E114" i="121" s="1"/>
  <c r="B114" i="121"/>
  <c r="Z113" i="121"/>
  <c r="Y113" i="121"/>
  <c r="X113" i="121"/>
  <c r="D113" i="121"/>
  <c r="C113" i="121"/>
  <c r="E113" i="121" s="1"/>
  <c r="B113" i="121"/>
  <c r="Z112" i="121"/>
  <c r="Y112" i="121"/>
  <c r="X112" i="121"/>
  <c r="D112" i="121"/>
  <c r="C112" i="121"/>
  <c r="E112" i="121" s="1"/>
  <c r="B112" i="121"/>
  <c r="Z111" i="121"/>
  <c r="Y111" i="121"/>
  <c r="X111" i="121"/>
  <c r="D111" i="121"/>
  <c r="C111" i="121"/>
  <c r="E111" i="121" s="1"/>
  <c r="B111" i="121"/>
  <c r="Z110" i="121"/>
  <c r="Y110" i="121"/>
  <c r="X110" i="121"/>
  <c r="D110" i="121"/>
  <c r="C110" i="121"/>
  <c r="E110" i="121" s="1"/>
  <c r="B110" i="121"/>
  <c r="Z109" i="121"/>
  <c r="Y109" i="121"/>
  <c r="X109" i="121"/>
  <c r="D109" i="121"/>
  <c r="C109" i="121"/>
  <c r="E109" i="121" s="1"/>
  <c r="B109" i="121"/>
  <c r="Z108" i="121"/>
  <c r="Y108" i="121"/>
  <c r="X108" i="121"/>
  <c r="D108" i="121"/>
  <c r="C108" i="121"/>
  <c r="E108" i="121" s="1"/>
  <c r="B108" i="121"/>
  <c r="Z107" i="121"/>
  <c r="Y107" i="121"/>
  <c r="X107" i="121"/>
  <c r="D107" i="121"/>
  <c r="C107" i="121"/>
  <c r="E107" i="121" s="1"/>
  <c r="B107" i="121"/>
  <c r="Z106" i="121"/>
  <c r="Y106" i="121"/>
  <c r="X106" i="121"/>
  <c r="D106" i="121"/>
  <c r="C106" i="121"/>
  <c r="E106" i="121" s="1"/>
  <c r="B106" i="121"/>
  <c r="Z105" i="121"/>
  <c r="Y105" i="121"/>
  <c r="X105" i="121"/>
  <c r="D105" i="121"/>
  <c r="C105" i="121"/>
  <c r="E105" i="121" s="1"/>
  <c r="B105" i="121"/>
  <c r="Z104" i="121"/>
  <c r="Y104" i="121"/>
  <c r="X104" i="121"/>
  <c r="D104" i="121"/>
  <c r="C104" i="121"/>
  <c r="E104" i="121" s="1"/>
  <c r="B104" i="121"/>
  <c r="Z103" i="121"/>
  <c r="Y103" i="121"/>
  <c r="X103" i="121"/>
  <c r="D103" i="121"/>
  <c r="C103" i="121"/>
  <c r="E103" i="121" s="1"/>
  <c r="B103" i="121"/>
  <c r="Z102" i="121"/>
  <c r="Y102" i="121"/>
  <c r="X102" i="121"/>
  <c r="D102" i="121"/>
  <c r="C102" i="121"/>
  <c r="E102" i="121" s="1"/>
  <c r="B102" i="121"/>
  <c r="Z101" i="121"/>
  <c r="Y101" i="121"/>
  <c r="X101" i="121"/>
  <c r="D101" i="121"/>
  <c r="C101" i="121"/>
  <c r="E101" i="121" s="1"/>
  <c r="B101" i="121"/>
  <c r="Z100" i="121"/>
  <c r="Y100" i="121"/>
  <c r="X100" i="121"/>
  <c r="D100" i="121"/>
  <c r="C100" i="121"/>
  <c r="E100" i="121" s="1"/>
  <c r="B100" i="121"/>
  <c r="Z99" i="121"/>
  <c r="Y99" i="121"/>
  <c r="X99" i="121"/>
  <c r="D99" i="121"/>
  <c r="C99" i="121"/>
  <c r="E99" i="121" s="1"/>
  <c r="B99" i="121"/>
  <c r="Z98" i="121"/>
  <c r="Y98" i="121"/>
  <c r="X98" i="121"/>
  <c r="D98" i="121"/>
  <c r="C98" i="121"/>
  <c r="E98" i="121" s="1"/>
  <c r="B98" i="121"/>
  <c r="Z97" i="121"/>
  <c r="Y97" i="121"/>
  <c r="X97" i="121"/>
  <c r="D97" i="121"/>
  <c r="C97" i="121"/>
  <c r="E97" i="121" s="1"/>
  <c r="B97" i="121"/>
  <c r="Z96" i="121"/>
  <c r="Y96" i="121"/>
  <c r="X96" i="121"/>
  <c r="D96" i="121"/>
  <c r="C96" i="121"/>
  <c r="E96" i="121" s="1"/>
  <c r="B96" i="121"/>
  <c r="Z95" i="121"/>
  <c r="Y95" i="121"/>
  <c r="X95" i="121"/>
  <c r="D95" i="121"/>
  <c r="C95" i="121"/>
  <c r="E95" i="121" s="1"/>
  <c r="B95" i="121"/>
  <c r="Z94" i="121"/>
  <c r="Y94" i="121"/>
  <c r="X94" i="121"/>
  <c r="D94" i="121"/>
  <c r="C94" i="121"/>
  <c r="E94" i="121" s="1"/>
  <c r="B94" i="121"/>
  <c r="Z93" i="121"/>
  <c r="Y93" i="121"/>
  <c r="X93" i="121"/>
  <c r="D93" i="121"/>
  <c r="C93" i="121"/>
  <c r="E93" i="121" s="1"/>
  <c r="B93" i="121"/>
  <c r="Z92" i="121"/>
  <c r="Y92" i="121"/>
  <c r="X92" i="121"/>
  <c r="D92" i="121"/>
  <c r="C92" i="121"/>
  <c r="E92" i="121" s="1"/>
  <c r="B92" i="121"/>
  <c r="Z91" i="121"/>
  <c r="Y91" i="121"/>
  <c r="X91" i="121"/>
  <c r="D91" i="121"/>
  <c r="C91" i="121"/>
  <c r="E91" i="121" s="1"/>
  <c r="B91" i="121"/>
  <c r="Z90" i="121"/>
  <c r="Y90" i="121"/>
  <c r="X90" i="121"/>
  <c r="D90" i="121"/>
  <c r="C90" i="121"/>
  <c r="E90" i="121" s="1"/>
  <c r="B90" i="121"/>
  <c r="Z89" i="121"/>
  <c r="Y89" i="121"/>
  <c r="X89" i="121"/>
  <c r="D89" i="121"/>
  <c r="C89" i="121"/>
  <c r="E89" i="121" s="1"/>
  <c r="B89" i="121"/>
  <c r="Z88" i="121"/>
  <c r="Y88" i="121"/>
  <c r="X88" i="121"/>
  <c r="D88" i="121"/>
  <c r="C88" i="121"/>
  <c r="E88" i="121" s="1"/>
  <c r="B88" i="121"/>
  <c r="Z87" i="121"/>
  <c r="Y87" i="121"/>
  <c r="X87" i="121"/>
  <c r="D87" i="121"/>
  <c r="C87" i="121"/>
  <c r="E87" i="121" s="1"/>
  <c r="B87" i="121"/>
  <c r="Z86" i="121"/>
  <c r="Y86" i="121"/>
  <c r="X86" i="121"/>
  <c r="D86" i="121"/>
  <c r="C86" i="121"/>
  <c r="E86" i="121" s="1"/>
  <c r="B86" i="121"/>
  <c r="Z85" i="121"/>
  <c r="Y85" i="121"/>
  <c r="X85" i="121"/>
  <c r="D85" i="121"/>
  <c r="C85" i="121"/>
  <c r="E85" i="121" s="1"/>
  <c r="B85" i="121"/>
  <c r="Z84" i="121"/>
  <c r="Y84" i="121"/>
  <c r="X84" i="121"/>
  <c r="D84" i="121"/>
  <c r="C84" i="121"/>
  <c r="E84" i="121" s="1"/>
  <c r="B84" i="121"/>
  <c r="Z83" i="121"/>
  <c r="Y83" i="121"/>
  <c r="X83" i="121"/>
  <c r="D83" i="121"/>
  <c r="C83" i="121"/>
  <c r="E83" i="121" s="1"/>
  <c r="B83" i="121"/>
  <c r="Z82" i="121"/>
  <c r="Y82" i="121"/>
  <c r="X82" i="121"/>
  <c r="D82" i="121"/>
  <c r="C82" i="121"/>
  <c r="E82" i="121" s="1"/>
  <c r="B82" i="121"/>
  <c r="Z81" i="121"/>
  <c r="Y81" i="121"/>
  <c r="X81" i="121"/>
  <c r="D81" i="121"/>
  <c r="C81" i="121"/>
  <c r="E81" i="121" s="1"/>
  <c r="B81" i="121"/>
  <c r="Z80" i="121"/>
  <c r="Y80" i="121"/>
  <c r="X80" i="121"/>
  <c r="D80" i="121"/>
  <c r="C80" i="121"/>
  <c r="E80" i="121" s="1"/>
  <c r="B80" i="121"/>
  <c r="Z79" i="121"/>
  <c r="Y79" i="121"/>
  <c r="X79" i="121"/>
  <c r="D79" i="121"/>
  <c r="C79" i="121"/>
  <c r="E79" i="121" s="1"/>
  <c r="B79" i="121"/>
  <c r="Z78" i="121"/>
  <c r="Y78" i="121"/>
  <c r="X78" i="121"/>
  <c r="D78" i="121"/>
  <c r="C78" i="121"/>
  <c r="E78" i="121" s="1"/>
  <c r="B78" i="121"/>
  <c r="Z77" i="121"/>
  <c r="Y77" i="121"/>
  <c r="X77" i="121"/>
  <c r="D77" i="121"/>
  <c r="C77" i="121"/>
  <c r="E77" i="121" s="1"/>
  <c r="B77" i="121"/>
  <c r="Z76" i="121"/>
  <c r="Y76" i="121"/>
  <c r="X76" i="121"/>
  <c r="D76" i="121"/>
  <c r="C76" i="121"/>
  <c r="E76" i="121" s="1"/>
  <c r="B76" i="121"/>
  <c r="Z75" i="121"/>
  <c r="Y75" i="121"/>
  <c r="X75" i="121"/>
  <c r="D75" i="121"/>
  <c r="C75" i="121"/>
  <c r="E75" i="121" s="1"/>
  <c r="B75" i="121"/>
  <c r="Z74" i="121"/>
  <c r="Y74" i="121"/>
  <c r="X74" i="121"/>
  <c r="D74" i="121"/>
  <c r="C74" i="121"/>
  <c r="E74" i="121" s="1"/>
  <c r="B74" i="121"/>
  <c r="Z73" i="121"/>
  <c r="Y73" i="121"/>
  <c r="X73" i="121"/>
  <c r="D73" i="121"/>
  <c r="C73" i="121"/>
  <c r="E73" i="121" s="1"/>
  <c r="B73" i="121"/>
  <c r="Z72" i="121"/>
  <c r="Y72" i="121"/>
  <c r="X72" i="121"/>
  <c r="D72" i="121"/>
  <c r="C72" i="121"/>
  <c r="E72" i="121" s="1"/>
  <c r="B72" i="121"/>
  <c r="Z71" i="121"/>
  <c r="Y71" i="121"/>
  <c r="X71" i="121"/>
  <c r="D71" i="121"/>
  <c r="C71" i="121"/>
  <c r="E71" i="121" s="1"/>
  <c r="B71" i="121"/>
  <c r="Z70" i="121"/>
  <c r="Y70" i="121"/>
  <c r="X70" i="121"/>
  <c r="D70" i="121"/>
  <c r="C70" i="121"/>
  <c r="E70" i="121" s="1"/>
  <c r="B70" i="121"/>
  <c r="Z69" i="121"/>
  <c r="Y69" i="121"/>
  <c r="X69" i="121"/>
  <c r="D69" i="121"/>
  <c r="C69" i="121"/>
  <c r="E69" i="121" s="1"/>
  <c r="B69" i="121"/>
  <c r="Z68" i="121"/>
  <c r="Y68" i="121"/>
  <c r="X68" i="121"/>
  <c r="D68" i="121"/>
  <c r="C68" i="121"/>
  <c r="E68" i="121" s="1"/>
  <c r="B68" i="121"/>
  <c r="Z67" i="121"/>
  <c r="Y67" i="121"/>
  <c r="X67" i="121"/>
  <c r="D67" i="121"/>
  <c r="C67" i="121"/>
  <c r="E67" i="121" s="1"/>
  <c r="B67" i="121"/>
  <c r="Z66" i="121"/>
  <c r="Y66" i="121"/>
  <c r="X66" i="121"/>
  <c r="D66" i="121"/>
  <c r="C66" i="121"/>
  <c r="E66" i="121" s="1"/>
  <c r="B66" i="121"/>
  <c r="Z65" i="121"/>
  <c r="Y65" i="121"/>
  <c r="X65" i="121"/>
  <c r="D65" i="121"/>
  <c r="C65" i="121"/>
  <c r="E65" i="121" s="1"/>
  <c r="B65" i="121"/>
  <c r="Z64" i="121"/>
  <c r="Y64" i="121"/>
  <c r="X64" i="121"/>
  <c r="D64" i="121"/>
  <c r="C64" i="121"/>
  <c r="E64" i="121" s="1"/>
  <c r="B64" i="121"/>
  <c r="Z63" i="121"/>
  <c r="Y63" i="121"/>
  <c r="X63" i="121"/>
  <c r="D63" i="121"/>
  <c r="C63" i="121"/>
  <c r="E63" i="121" s="1"/>
  <c r="B63" i="121"/>
  <c r="Z62" i="121"/>
  <c r="Y62" i="121"/>
  <c r="X62" i="121"/>
  <c r="D62" i="121"/>
  <c r="C62" i="121"/>
  <c r="E62" i="121" s="1"/>
  <c r="B62" i="121"/>
  <c r="Z61" i="121"/>
  <c r="Y61" i="121"/>
  <c r="X61" i="121"/>
  <c r="D61" i="121"/>
  <c r="C61" i="121"/>
  <c r="E61" i="121" s="1"/>
  <c r="B61" i="121"/>
  <c r="Z60" i="121"/>
  <c r="Y60" i="121"/>
  <c r="X60" i="121"/>
  <c r="D60" i="121"/>
  <c r="C60" i="121"/>
  <c r="E60" i="121" s="1"/>
  <c r="B60" i="121"/>
  <c r="Z59" i="121"/>
  <c r="Y59" i="121"/>
  <c r="X59" i="121"/>
  <c r="D59" i="121"/>
  <c r="C59" i="121"/>
  <c r="E59" i="121" s="1"/>
  <c r="B59" i="121"/>
  <c r="Z58" i="121"/>
  <c r="Y58" i="121"/>
  <c r="X58" i="121"/>
  <c r="D58" i="121"/>
  <c r="C58" i="121"/>
  <c r="E58" i="121" s="1"/>
  <c r="B58" i="121"/>
  <c r="Z57" i="121"/>
  <c r="Y57" i="121"/>
  <c r="X57" i="121"/>
  <c r="D57" i="121"/>
  <c r="C57" i="121"/>
  <c r="E57" i="121" s="1"/>
  <c r="B57" i="121"/>
  <c r="Z56" i="121"/>
  <c r="Y56" i="121"/>
  <c r="X56" i="121"/>
  <c r="D56" i="121"/>
  <c r="C56" i="121"/>
  <c r="E56" i="121" s="1"/>
  <c r="B56" i="121"/>
  <c r="Z55" i="121"/>
  <c r="Y55" i="121"/>
  <c r="X55" i="121"/>
  <c r="D55" i="121"/>
  <c r="C55" i="121"/>
  <c r="E55" i="121" s="1"/>
  <c r="B55" i="121"/>
  <c r="Z54" i="121"/>
  <c r="Y54" i="121"/>
  <c r="X54" i="121"/>
  <c r="D54" i="121"/>
  <c r="C54" i="121"/>
  <c r="E54" i="121" s="1"/>
  <c r="B54" i="121"/>
  <c r="Z53" i="121"/>
  <c r="Y53" i="121"/>
  <c r="X53" i="121"/>
  <c r="D53" i="121"/>
  <c r="C53" i="121"/>
  <c r="E53" i="121" s="1"/>
  <c r="B53" i="121"/>
  <c r="Z52" i="121"/>
  <c r="Y52" i="121"/>
  <c r="X52" i="121"/>
  <c r="D52" i="121"/>
  <c r="C52" i="121"/>
  <c r="E52" i="121" s="1"/>
  <c r="B52" i="121"/>
  <c r="Z51" i="121"/>
  <c r="Y51" i="121"/>
  <c r="X51" i="121"/>
  <c r="D51" i="121"/>
  <c r="C51" i="121"/>
  <c r="E51" i="121" s="1"/>
  <c r="B51" i="121"/>
  <c r="Z50" i="121"/>
  <c r="Y50" i="121"/>
  <c r="X50" i="121"/>
  <c r="D50" i="121"/>
  <c r="C50" i="121"/>
  <c r="E50" i="121" s="1"/>
  <c r="B50" i="121"/>
  <c r="Z49" i="121"/>
  <c r="Y49" i="121"/>
  <c r="X49" i="121"/>
  <c r="D49" i="121"/>
  <c r="C49" i="121"/>
  <c r="E49" i="121" s="1"/>
  <c r="B49" i="121"/>
  <c r="Z48" i="121"/>
  <c r="Y48" i="121"/>
  <c r="X48" i="121"/>
  <c r="D48" i="121"/>
  <c r="C48" i="121"/>
  <c r="E48" i="121" s="1"/>
  <c r="B48" i="121"/>
  <c r="Z47" i="121"/>
  <c r="Y47" i="121"/>
  <c r="X47" i="121"/>
  <c r="D47" i="121"/>
  <c r="C47" i="121"/>
  <c r="E47" i="121" s="1"/>
  <c r="B47" i="121"/>
  <c r="Z46" i="121"/>
  <c r="Y46" i="121"/>
  <c r="X46" i="121"/>
  <c r="D46" i="121"/>
  <c r="C46" i="121"/>
  <c r="E46" i="121" s="1"/>
  <c r="B46" i="121"/>
  <c r="Z45" i="121"/>
  <c r="Y45" i="121"/>
  <c r="X45" i="121"/>
  <c r="D45" i="121"/>
  <c r="C45" i="121"/>
  <c r="E45" i="121" s="1"/>
  <c r="B45" i="121"/>
  <c r="Z44" i="121"/>
  <c r="Y44" i="121"/>
  <c r="X44" i="121"/>
  <c r="D44" i="121"/>
  <c r="C44" i="121"/>
  <c r="E44" i="121" s="1"/>
  <c r="B44" i="121"/>
  <c r="Z43" i="121"/>
  <c r="Y43" i="121"/>
  <c r="X43" i="121"/>
  <c r="D43" i="121"/>
  <c r="C43" i="121"/>
  <c r="E43" i="121" s="1"/>
  <c r="B43" i="121"/>
  <c r="Z42" i="121"/>
  <c r="Y42" i="121"/>
  <c r="X42" i="121"/>
  <c r="D42" i="121"/>
  <c r="C42" i="121"/>
  <c r="E42" i="121" s="1"/>
  <c r="B42" i="121"/>
  <c r="Z41" i="121"/>
  <c r="Y41" i="121"/>
  <c r="X41" i="121"/>
  <c r="D41" i="121"/>
  <c r="C41" i="121"/>
  <c r="E41" i="121" s="1"/>
  <c r="B41" i="121"/>
  <c r="Z40" i="121"/>
  <c r="Y40" i="121"/>
  <c r="X40" i="121"/>
  <c r="D40" i="121"/>
  <c r="C40" i="121"/>
  <c r="E40" i="121" s="1"/>
  <c r="B40" i="121"/>
  <c r="Z39" i="121"/>
  <c r="Y39" i="121"/>
  <c r="X39" i="121"/>
  <c r="D39" i="121"/>
  <c r="C39" i="121"/>
  <c r="E39" i="121" s="1"/>
  <c r="B39" i="121"/>
  <c r="Z38" i="121"/>
  <c r="Y38" i="121"/>
  <c r="X38" i="121"/>
  <c r="D38" i="121"/>
  <c r="C38" i="121"/>
  <c r="E38" i="121" s="1"/>
  <c r="B38" i="121"/>
  <c r="Z37" i="121"/>
  <c r="Y37" i="121"/>
  <c r="X37" i="121"/>
  <c r="D37" i="121"/>
  <c r="C37" i="121"/>
  <c r="E37" i="121" s="1"/>
  <c r="B37" i="121"/>
  <c r="Z36" i="121"/>
  <c r="Y36" i="121"/>
  <c r="X36" i="121"/>
  <c r="D36" i="121"/>
  <c r="C36" i="121"/>
  <c r="E36" i="121" s="1"/>
  <c r="B36" i="121"/>
  <c r="Z35" i="121"/>
  <c r="Y35" i="121"/>
  <c r="X35" i="121"/>
  <c r="D35" i="121"/>
  <c r="C35" i="121"/>
  <c r="E35" i="121" s="1"/>
  <c r="B35" i="121"/>
  <c r="Z34" i="121"/>
  <c r="Y34" i="121"/>
  <c r="X34" i="121"/>
  <c r="D34" i="121"/>
  <c r="C34" i="121"/>
  <c r="E34" i="121" s="1"/>
  <c r="B34" i="121"/>
  <c r="Z33" i="121"/>
  <c r="Y33" i="121"/>
  <c r="X33" i="121"/>
  <c r="D33" i="121"/>
  <c r="C33" i="121"/>
  <c r="E33" i="121" s="1"/>
  <c r="B33" i="121"/>
  <c r="Z32" i="121"/>
  <c r="Y32" i="121"/>
  <c r="X32" i="121"/>
  <c r="D32" i="121"/>
  <c r="C32" i="121"/>
  <c r="E32" i="121" s="1"/>
  <c r="B32" i="121"/>
  <c r="Z31" i="121"/>
  <c r="Y31" i="121"/>
  <c r="X31" i="121"/>
  <c r="D31" i="121"/>
  <c r="C31" i="121"/>
  <c r="E31" i="121" s="1"/>
  <c r="B31" i="121"/>
  <c r="Z30" i="121"/>
  <c r="Y30" i="121"/>
  <c r="X30" i="121"/>
  <c r="D30" i="121"/>
  <c r="C30" i="121"/>
  <c r="E30" i="121" s="1"/>
  <c r="B30" i="121"/>
  <c r="Z29" i="121"/>
  <c r="Y29" i="121"/>
  <c r="X29" i="121"/>
  <c r="D29" i="121"/>
  <c r="C29" i="121"/>
  <c r="E29" i="121" s="1"/>
  <c r="B29" i="121"/>
  <c r="Z28" i="121"/>
  <c r="Y28" i="121"/>
  <c r="X28" i="121"/>
  <c r="D28" i="121"/>
  <c r="C28" i="121"/>
  <c r="E28" i="121" s="1"/>
  <c r="B28" i="121"/>
  <c r="Z27" i="121"/>
  <c r="Y27" i="121"/>
  <c r="X27" i="121"/>
  <c r="D27" i="121"/>
  <c r="C27" i="121"/>
  <c r="E27" i="121" s="1"/>
  <c r="B27" i="121"/>
  <c r="Z26" i="121"/>
  <c r="Y26" i="121"/>
  <c r="X26" i="121"/>
  <c r="D26" i="121"/>
  <c r="C26" i="121"/>
  <c r="E26" i="121" s="1"/>
  <c r="B26" i="121"/>
  <c r="Z25" i="121"/>
  <c r="Y25" i="121"/>
  <c r="X25" i="121"/>
  <c r="D25" i="121"/>
  <c r="C25" i="121"/>
  <c r="E25" i="121" s="1"/>
  <c r="B25" i="121"/>
  <c r="Z24" i="121"/>
  <c r="Y24" i="121"/>
  <c r="X24" i="121"/>
  <c r="D24" i="121"/>
  <c r="C24" i="121"/>
  <c r="E24" i="121" s="1"/>
  <c r="B24" i="121"/>
  <c r="Z23" i="121"/>
  <c r="Y23" i="121"/>
  <c r="X23" i="121"/>
  <c r="D119" i="102" s="1"/>
  <c r="D23" i="121"/>
  <c r="C23" i="121"/>
  <c r="E23" i="121" s="1"/>
  <c r="B23" i="121"/>
  <c r="Z22" i="121"/>
  <c r="Y22" i="121"/>
  <c r="X22" i="121"/>
  <c r="D118" i="102" s="1"/>
  <c r="D22" i="121"/>
  <c r="C22" i="121"/>
  <c r="E22" i="121" s="1"/>
  <c r="B22" i="121"/>
  <c r="Z21" i="121"/>
  <c r="Y21" i="121"/>
  <c r="X21" i="121"/>
  <c r="D117" i="102" s="1"/>
  <c r="D21" i="121"/>
  <c r="C21" i="121"/>
  <c r="E21" i="121" s="1"/>
  <c r="B21" i="121"/>
  <c r="Z20" i="121"/>
  <c r="Y20" i="121"/>
  <c r="X20" i="121"/>
  <c r="D116" i="102" s="1"/>
  <c r="D20" i="121"/>
  <c r="C20" i="121"/>
  <c r="E20" i="121" s="1"/>
  <c r="B20" i="121"/>
  <c r="Z19" i="121"/>
  <c r="Y19" i="121"/>
  <c r="X19" i="121"/>
  <c r="D115" i="102" s="1"/>
  <c r="D19" i="121"/>
  <c r="C19" i="121"/>
  <c r="E19" i="121" s="1"/>
  <c r="B19" i="121"/>
  <c r="Z18" i="121"/>
  <c r="Y18" i="121"/>
  <c r="X18" i="121"/>
  <c r="D114" i="102" s="1"/>
  <c r="D18" i="121"/>
  <c r="C18" i="121"/>
  <c r="E18" i="121" s="1"/>
  <c r="B18" i="121"/>
  <c r="Z17" i="121"/>
  <c r="Y17" i="121"/>
  <c r="X17" i="121"/>
  <c r="D113" i="102" s="1"/>
  <c r="D17" i="121"/>
  <c r="C17" i="121"/>
  <c r="E17" i="121" s="1"/>
  <c r="B17" i="121"/>
  <c r="Z16" i="121"/>
  <c r="Y16" i="121"/>
  <c r="X16" i="121"/>
  <c r="D112" i="102" s="1"/>
  <c r="D16" i="121"/>
  <c r="C16" i="121"/>
  <c r="E16" i="121" s="1"/>
  <c r="B16" i="121"/>
  <c r="Z15" i="121"/>
  <c r="Y15" i="121"/>
  <c r="X15" i="121"/>
  <c r="D111" i="102" s="1"/>
  <c r="D15" i="121"/>
  <c r="C15" i="121"/>
  <c r="E15" i="121" s="1"/>
  <c r="B15" i="121"/>
  <c r="Z14" i="121"/>
  <c r="Y14" i="121"/>
  <c r="X14" i="121"/>
  <c r="D110" i="102" s="1"/>
  <c r="D14" i="121"/>
  <c r="C14" i="121"/>
  <c r="E14" i="121" s="1"/>
  <c r="B14" i="121"/>
  <c r="Z13" i="121"/>
  <c r="Y13" i="121"/>
  <c r="X13" i="121"/>
  <c r="D109" i="102" s="1"/>
  <c r="D13" i="121"/>
  <c r="C13" i="121"/>
  <c r="E13" i="121" s="1"/>
  <c r="B13" i="121"/>
  <c r="Z12" i="121"/>
  <c r="Y12" i="121"/>
  <c r="X12" i="121"/>
  <c r="D108" i="102" s="1"/>
  <c r="D12" i="121"/>
  <c r="C12" i="121"/>
  <c r="E12" i="121" s="1"/>
  <c r="B12" i="121"/>
  <c r="Z11" i="121"/>
  <c r="Y11" i="121"/>
  <c r="X11" i="121"/>
  <c r="D107" i="102" s="1"/>
  <c r="D11" i="121"/>
  <c r="C11" i="121"/>
  <c r="E11" i="121" s="1"/>
  <c r="B11" i="121"/>
  <c r="Z10" i="121"/>
  <c r="Y10" i="121"/>
  <c r="X10" i="121"/>
  <c r="D106" i="102" s="1"/>
  <c r="D10" i="121"/>
  <c r="C10" i="121"/>
  <c r="E10" i="121" s="1"/>
  <c r="B10" i="121"/>
  <c r="Z9" i="121"/>
  <c r="Y9" i="121"/>
  <c r="X9" i="121"/>
  <c r="D105" i="102" s="1"/>
  <c r="D9" i="121"/>
  <c r="C9" i="121"/>
  <c r="E9" i="121" s="1"/>
  <c r="B9" i="121"/>
  <c r="Z8" i="121"/>
  <c r="Y8" i="121"/>
  <c r="X8" i="121"/>
  <c r="D104" i="102" s="1"/>
  <c r="D8" i="121"/>
  <c r="C8" i="121"/>
  <c r="E8" i="121" s="1"/>
  <c r="B8" i="121"/>
  <c r="Z7" i="121"/>
  <c r="Y7" i="121"/>
  <c r="X7" i="121"/>
  <c r="D103" i="102" s="1"/>
  <c r="D7" i="121"/>
  <c r="C7" i="121"/>
  <c r="E7" i="121" s="1"/>
  <c r="B7" i="121"/>
  <c r="Z6" i="121"/>
  <c r="Y6" i="121"/>
  <c r="X6" i="121"/>
  <c r="D102" i="102" s="1"/>
  <c r="D6" i="121"/>
  <c r="C6" i="121"/>
  <c r="E6" i="121" s="1"/>
  <c r="B6" i="121"/>
  <c r="Z5" i="121"/>
  <c r="Y5" i="121"/>
  <c r="X5" i="121"/>
  <c r="D101" i="102" s="1"/>
  <c r="D5" i="121"/>
  <c r="C5" i="121"/>
  <c r="E5" i="121" s="1"/>
  <c r="B5" i="121"/>
  <c r="Z4" i="121"/>
  <c r="Y4" i="121"/>
  <c r="X4" i="121"/>
  <c r="D100" i="102" s="1"/>
  <c r="D4" i="121"/>
  <c r="C4" i="121"/>
  <c r="E4" i="121" s="1"/>
  <c r="B4" i="121"/>
  <c r="AA3" i="121"/>
  <c r="Z3" i="121"/>
  <c r="Y3" i="121"/>
  <c r="X3" i="121"/>
  <c r="D99" i="102" s="1"/>
  <c r="D3" i="121"/>
  <c r="C3" i="121"/>
  <c r="E3" i="121" s="1"/>
  <c r="B3" i="121"/>
  <c r="Z2" i="121"/>
  <c r="Y2" i="121"/>
  <c r="X2" i="121"/>
  <c r="D2" i="121"/>
  <c r="C2" i="121"/>
  <c r="E2" i="121" s="1"/>
  <c r="X1" i="121"/>
  <c r="D1" i="121"/>
  <c r="C1" i="121"/>
  <c r="E1" i="121" s="1"/>
  <c r="A1" i="127"/>
  <c r="V83" i="81" l="1"/>
  <c r="W286" i="121"/>
  <c r="W295" i="121"/>
  <c r="W362" i="121"/>
  <c r="V8" i="81"/>
  <c r="W331" i="121"/>
  <c r="W339" i="121"/>
  <c r="W343" i="121"/>
  <c r="W423" i="121"/>
  <c r="W329" i="121"/>
  <c r="W337" i="121"/>
  <c r="W345" i="121"/>
  <c r="W393" i="121"/>
  <c r="W287" i="121"/>
  <c r="W296" i="121"/>
  <c r="W360" i="121"/>
  <c r="W195" i="121"/>
  <c r="W231" i="121"/>
  <c r="W415" i="121"/>
  <c r="W424" i="121"/>
  <c r="W203" i="121"/>
  <c r="W215" i="121"/>
  <c r="W359" i="121"/>
  <c r="W387" i="121"/>
  <c r="W234" i="121"/>
  <c r="W435" i="121"/>
  <c r="W249" i="121"/>
  <c r="W426" i="121"/>
  <c r="W201" i="121"/>
  <c r="W209" i="121"/>
  <c r="W217" i="121"/>
  <c r="W265" i="121"/>
  <c r="W313" i="121"/>
  <c r="W377" i="121"/>
  <c r="W232" i="121"/>
  <c r="W204" i="121"/>
  <c r="W233" i="121"/>
  <c r="W241" i="121"/>
  <c r="W293" i="121"/>
  <c r="W317" i="121"/>
  <c r="W363" i="121"/>
  <c r="W375" i="121"/>
  <c r="W391" i="121"/>
  <c r="W223" i="121"/>
  <c r="W273" i="121"/>
  <c r="W281" i="121"/>
  <c r="W395" i="121"/>
  <c r="W407" i="121"/>
  <c r="W199" i="121"/>
  <c r="W239" i="121"/>
  <c r="W268" i="121"/>
  <c r="W297" i="121"/>
  <c r="W305" i="121"/>
  <c r="W341" i="121"/>
  <c r="W357" i="121"/>
  <c r="W381" i="121"/>
  <c r="W198" i="121"/>
  <c r="W247" i="121"/>
  <c r="W263" i="121"/>
  <c r="W332" i="121"/>
  <c r="W361" i="121"/>
  <c r="W369" i="121"/>
  <c r="W405" i="121"/>
  <c r="W421" i="121"/>
  <c r="W222" i="121"/>
  <c r="W267" i="121"/>
  <c r="W279" i="121"/>
  <c r="W351" i="121"/>
  <c r="W401" i="121"/>
  <c r="W409" i="121"/>
  <c r="W229" i="121"/>
  <c r="W253" i="121"/>
  <c r="W299" i="121"/>
  <c r="W307" i="121"/>
  <c r="W311" i="121"/>
  <c r="W327" i="121"/>
  <c r="W396" i="121"/>
  <c r="W425" i="121"/>
  <c r="W433" i="121"/>
  <c r="W17" i="121"/>
  <c r="W25" i="121"/>
  <c r="W45" i="121"/>
  <c r="W57" i="121"/>
  <c r="W85" i="121"/>
  <c r="W89" i="121"/>
  <c r="W93" i="121"/>
  <c r="W97" i="121"/>
  <c r="W109" i="121"/>
  <c r="W117" i="121"/>
  <c r="W121" i="121"/>
  <c r="W125" i="121"/>
  <c r="W129" i="121"/>
  <c r="W133" i="121"/>
  <c r="W137" i="121"/>
  <c r="W141" i="121"/>
  <c r="W149" i="121"/>
  <c r="W157" i="121"/>
  <c r="W161" i="121"/>
  <c r="W165" i="121"/>
  <c r="W169" i="121"/>
  <c r="W173" i="121"/>
  <c r="W177" i="121"/>
  <c r="W181" i="121"/>
  <c r="W185" i="121"/>
  <c r="W189" i="121"/>
  <c r="W193" i="121"/>
  <c r="W205" i="121"/>
  <c r="W219" i="121"/>
  <c r="W248" i="121"/>
  <c r="W257" i="121"/>
  <c r="W269" i="121"/>
  <c r="W283" i="121"/>
  <c r="W291" i="121"/>
  <c r="W303" i="121"/>
  <c r="W312" i="121"/>
  <c r="W321" i="121"/>
  <c r="W333" i="121"/>
  <c r="W347" i="121"/>
  <c r="W355" i="121"/>
  <c r="W367" i="121"/>
  <c r="W376" i="121"/>
  <c r="W385" i="121"/>
  <c r="W397" i="121"/>
  <c r="W411" i="121"/>
  <c r="W431" i="121"/>
  <c r="W227" i="121"/>
  <c r="W325" i="121"/>
  <c r="W364" i="121"/>
  <c r="W389" i="121"/>
  <c r="W21" i="121"/>
  <c r="W37" i="121"/>
  <c r="W41" i="121"/>
  <c r="W53" i="121"/>
  <c r="W65" i="121"/>
  <c r="W105" i="121"/>
  <c r="W113" i="121"/>
  <c r="W153" i="121"/>
  <c r="W213" i="121"/>
  <c r="W218" i="121"/>
  <c r="W243" i="121"/>
  <c r="W252" i="121"/>
  <c r="W277" i="121"/>
  <c r="W282" i="121"/>
  <c r="W316" i="121"/>
  <c r="W346" i="121"/>
  <c r="W371" i="121"/>
  <c r="W380" i="121"/>
  <c r="W410" i="121"/>
  <c r="W197" i="121"/>
  <c r="W300" i="121"/>
  <c r="W394" i="121"/>
  <c r="W419" i="121"/>
  <c r="W5" i="121"/>
  <c r="W13" i="121"/>
  <c r="W29" i="121"/>
  <c r="W33" i="121"/>
  <c r="W49" i="121"/>
  <c r="W61" i="121"/>
  <c r="W69" i="121"/>
  <c r="W73" i="121"/>
  <c r="W77" i="121"/>
  <c r="W81" i="121"/>
  <c r="W101" i="121"/>
  <c r="W145" i="121"/>
  <c r="W221" i="121"/>
  <c r="W235" i="121"/>
  <c r="W255" i="121"/>
  <c r="W264" i="121"/>
  <c r="W285" i="121"/>
  <c r="W319" i="121"/>
  <c r="W328" i="121"/>
  <c r="W349" i="121"/>
  <c r="W383" i="121"/>
  <c r="W392" i="121"/>
  <c r="W413" i="121"/>
  <c r="W427" i="121"/>
  <c r="W330" i="121"/>
  <c r="W9" i="121"/>
  <c r="W261" i="121"/>
  <c r="W103" i="121"/>
  <c r="W107" i="121"/>
  <c r="W111" i="121"/>
  <c r="W115" i="121"/>
  <c r="W119" i="121"/>
  <c r="W123" i="121"/>
  <c r="W127" i="121"/>
  <c r="W131" i="121"/>
  <c r="W135" i="121"/>
  <c r="W139" i="121"/>
  <c r="W143" i="121"/>
  <c r="W147" i="121"/>
  <c r="W151" i="121"/>
  <c r="W155" i="121"/>
  <c r="W159" i="121"/>
  <c r="W163" i="121"/>
  <c r="W167" i="121"/>
  <c r="W171" i="121"/>
  <c r="W175" i="121"/>
  <c r="W179" i="121"/>
  <c r="W183" i="121"/>
  <c r="W187" i="121"/>
  <c r="W191" i="121"/>
  <c r="W207" i="121"/>
  <c r="W216" i="121"/>
  <c r="W225" i="121"/>
  <c r="W237" i="121"/>
  <c r="W251" i="121"/>
  <c r="W259" i="121"/>
  <c r="W271" i="121"/>
  <c r="W280" i="121"/>
  <c r="W289" i="121"/>
  <c r="W301" i="121"/>
  <c r="W302" i="121"/>
  <c r="W315" i="121"/>
  <c r="W323" i="121"/>
  <c r="W335" i="121"/>
  <c r="W344" i="121"/>
  <c r="W353" i="121"/>
  <c r="W365" i="121"/>
  <c r="W379" i="121"/>
  <c r="W399" i="121"/>
  <c r="W408" i="121"/>
  <c r="W417" i="121"/>
  <c r="W429" i="121"/>
  <c r="W236" i="121"/>
  <c r="W266" i="121"/>
  <c r="W211" i="121"/>
  <c r="W220" i="121"/>
  <c r="W245" i="121"/>
  <c r="W250" i="121"/>
  <c r="W275" i="121"/>
  <c r="W284" i="121"/>
  <c r="W309" i="121"/>
  <c r="W314" i="121"/>
  <c r="W348" i="121"/>
  <c r="W373" i="121"/>
  <c r="W378" i="121"/>
  <c r="W403" i="121"/>
  <c r="W437" i="121"/>
  <c r="W3" i="121"/>
  <c r="W4" i="121"/>
  <c r="W8" i="121"/>
  <c r="W12" i="121"/>
  <c r="W16" i="121"/>
  <c r="W20" i="121"/>
  <c r="W24" i="121"/>
  <c r="W28" i="121"/>
  <c r="W32" i="121"/>
  <c r="W36" i="121"/>
  <c r="W40" i="121"/>
  <c r="W44" i="121"/>
  <c r="W48" i="121"/>
  <c r="W52" i="121"/>
  <c r="W56" i="121"/>
  <c r="W60" i="121"/>
  <c r="W64" i="121"/>
  <c r="W68" i="121"/>
  <c r="W72" i="121"/>
  <c r="W76" i="121"/>
  <c r="W80" i="121"/>
  <c r="W84" i="121"/>
  <c r="W88" i="121"/>
  <c r="W92" i="121"/>
  <c r="W96" i="121"/>
  <c r="W100" i="121"/>
  <c r="W104" i="121"/>
  <c r="W108" i="121"/>
  <c r="W112" i="121"/>
  <c r="W116" i="121"/>
  <c r="W120" i="121"/>
  <c r="W124" i="121"/>
  <c r="W128" i="121"/>
  <c r="W132" i="121"/>
  <c r="W136" i="121"/>
  <c r="W140" i="121"/>
  <c r="W144" i="121"/>
  <c r="W148" i="121"/>
  <c r="W152" i="121"/>
  <c r="W156" i="121"/>
  <c r="W160" i="121"/>
  <c r="W164" i="121"/>
  <c r="W168" i="121"/>
  <c r="W172" i="121"/>
  <c r="W176" i="121"/>
  <c r="W180" i="121"/>
  <c r="W184" i="121"/>
  <c r="W188" i="121"/>
  <c r="W192" i="121"/>
  <c r="W196" i="121"/>
  <c r="W202" i="121"/>
  <c r="W212" i="121"/>
  <c r="W228" i="121"/>
  <c r="W244" i="121"/>
  <c r="W260" i="121"/>
  <c r="W276" i="121"/>
  <c r="W298" i="121"/>
  <c r="W308" i="121"/>
  <c r="W324" i="121"/>
  <c r="W340" i="121"/>
  <c r="W356" i="121"/>
  <c r="W372" i="121"/>
  <c r="W388" i="121"/>
  <c r="W404" i="121"/>
  <c r="W420" i="121"/>
  <c r="W436" i="121"/>
  <c r="W206" i="121"/>
  <c r="W238" i="121"/>
  <c r="W254" i="121"/>
  <c r="W270" i="121"/>
  <c r="W292" i="121"/>
  <c r="W318" i="121"/>
  <c r="W334" i="121"/>
  <c r="W350" i="121"/>
  <c r="W366" i="121"/>
  <c r="W382" i="121"/>
  <c r="W398" i="121"/>
  <c r="W414" i="121"/>
  <c r="W430" i="121"/>
  <c r="W19" i="121"/>
  <c r="W43" i="121"/>
  <c r="W95" i="121"/>
  <c r="W7" i="121"/>
  <c r="W11" i="121"/>
  <c r="W15" i="121"/>
  <c r="W51" i="121"/>
  <c r="W63" i="121"/>
  <c r="W87" i="121"/>
  <c r="W91" i="121"/>
  <c r="W99" i="121"/>
  <c r="W242" i="121"/>
  <c r="W258" i="121"/>
  <c r="W274" i="121"/>
  <c r="W306" i="121"/>
  <c r="W322" i="121"/>
  <c r="W338" i="121"/>
  <c r="W354" i="121"/>
  <c r="W370" i="121"/>
  <c r="W386" i="121"/>
  <c r="W402" i="121"/>
  <c r="W418" i="121"/>
  <c r="W434" i="121"/>
  <c r="W27" i="121"/>
  <c r="W31" i="121"/>
  <c r="W55" i="121"/>
  <c r="W67" i="121"/>
  <c r="W71" i="121"/>
  <c r="W83" i="121"/>
  <c r="W6" i="121"/>
  <c r="W10" i="121"/>
  <c r="W14" i="121"/>
  <c r="W18" i="121"/>
  <c r="W22" i="121"/>
  <c r="W26" i="121"/>
  <c r="W30" i="121"/>
  <c r="W34" i="121"/>
  <c r="W38" i="121"/>
  <c r="W42" i="121"/>
  <c r="W46" i="121"/>
  <c r="W50" i="121"/>
  <c r="W54" i="121"/>
  <c r="W58" i="121"/>
  <c r="W62" i="121"/>
  <c r="W66" i="121"/>
  <c r="W70" i="121"/>
  <c r="W74" i="121"/>
  <c r="W78" i="121"/>
  <c r="W82" i="121"/>
  <c r="W86" i="121"/>
  <c r="W90" i="121"/>
  <c r="W94" i="121"/>
  <c r="W98" i="121"/>
  <c r="W102" i="121"/>
  <c r="W106" i="121"/>
  <c r="W110" i="121"/>
  <c r="W114" i="121"/>
  <c r="W118" i="121"/>
  <c r="W122" i="121"/>
  <c r="W126" i="121"/>
  <c r="W130" i="121"/>
  <c r="W134" i="121"/>
  <c r="W138" i="121"/>
  <c r="W142" i="121"/>
  <c r="W146" i="121"/>
  <c r="W150" i="121"/>
  <c r="W154" i="121"/>
  <c r="W158" i="121"/>
  <c r="W162" i="121"/>
  <c r="W166" i="121"/>
  <c r="W170" i="121"/>
  <c r="W174" i="121"/>
  <c r="W178" i="121"/>
  <c r="W182" i="121"/>
  <c r="W186" i="121"/>
  <c r="W190" i="121"/>
  <c r="W194" i="121"/>
  <c r="W210" i="121"/>
  <c r="W226" i="121"/>
  <c r="W290" i="121"/>
  <c r="W412" i="121"/>
  <c r="W428" i="121"/>
  <c r="W23" i="121"/>
  <c r="W35" i="121"/>
  <c r="W39" i="121"/>
  <c r="W47" i="121"/>
  <c r="W59" i="121"/>
  <c r="W75" i="121"/>
  <c r="W79" i="121"/>
  <c r="W214" i="121"/>
  <c r="W230" i="121"/>
  <c r="W246" i="121"/>
  <c r="W262" i="121"/>
  <c r="W278" i="121"/>
  <c r="W294" i="121"/>
  <c r="W310" i="121"/>
  <c r="W326" i="121"/>
  <c r="W342" i="121"/>
  <c r="W358" i="121"/>
  <c r="W374" i="121"/>
  <c r="W390" i="121"/>
  <c r="W406" i="121"/>
  <c r="W422" i="121"/>
  <c r="W438" i="121"/>
  <c r="W208" i="121"/>
  <c r="W224" i="121"/>
  <c r="W240" i="121"/>
  <c r="W256" i="121"/>
  <c r="W272" i="121"/>
  <c r="W288" i="121"/>
  <c r="W304" i="121"/>
  <c r="W320" i="121"/>
  <c r="W336" i="121"/>
  <c r="W352" i="121"/>
  <c r="W368" i="121"/>
  <c r="W384" i="121"/>
  <c r="W400" i="121"/>
  <c r="W416" i="121"/>
  <c r="W432" i="121"/>
  <c r="A316" i="121"/>
  <c r="F316" i="121" s="1"/>
  <c r="A324" i="121"/>
  <c r="F324" i="121" s="1"/>
  <c r="A638" i="121"/>
  <c r="M638" i="121" s="1"/>
  <c r="A842" i="121"/>
  <c r="F842" i="121" s="1"/>
  <c r="A310" i="121"/>
  <c r="F310" i="121" s="1"/>
  <c r="A127" i="121"/>
  <c r="T127" i="121" s="1"/>
  <c r="A151" i="121"/>
  <c r="A56" i="121"/>
  <c r="A64" i="121"/>
  <c r="M64" i="121" s="1"/>
  <c r="A991" i="121"/>
  <c r="F991" i="121" s="1"/>
  <c r="A512" i="121"/>
  <c r="M512" i="121" s="1"/>
  <c r="A520" i="121"/>
  <c r="I520" i="121" s="1"/>
  <c r="A524" i="121"/>
  <c r="M524" i="121" s="1"/>
  <c r="A528" i="121"/>
  <c r="F528" i="121" s="1"/>
  <c r="A536" i="121"/>
  <c r="I536" i="121" s="1"/>
  <c r="A540" i="121"/>
  <c r="A548" i="121"/>
  <c r="F548" i="121" s="1"/>
  <c r="A552" i="121"/>
  <c r="T552" i="121" s="1"/>
  <c r="A556" i="121"/>
  <c r="A560" i="121"/>
  <c r="A568" i="121"/>
  <c r="F568" i="121" s="1"/>
  <c r="A572" i="121"/>
  <c r="F572" i="121" s="1"/>
  <c r="A576" i="121"/>
  <c r="Q576" i="121" s="1"/>
  <c r="A608" i="121"/>
  <c r="F608" i="121" s="1"/>
  <c r="A346" i="121"/>
  <c r="F346" i="121" s="1"/>
  <c r="A418" i="121"/>
  <c r="F418" i="121" s="1"/>
  <c r="A426" i="121"/>
  <c r="M426" i="121" s="1"/>
  <c r="A937" i="121"/>
  <c r="T937" i="121" s="1"/>
  <c r="A941" i="121"/>
  <c r="T941" i="121" s="1"/>
  <c r="A609" i="121"/>
  <c r="M609" i="121" s="1"/>
  <c r="A613" i="121"/>
  <c r="F613" i="121" s="1"/>
  <c r="A621" i="121"/>
  <c r="A721" i="121"/>
  <c r="F721" i="121" s="1"/>
  <c r="A986" i="121"/>
  <c r="M986" i="121" s="1"/>
  <c r="A204" i="121"/>
  <c r="A364" i="121"/>
  <c r="A388" i="121"/>
  <c r="F388" i="121" s="1"/>
  <c r="A396" i="121"/>
  <c r="F396" i="121" s="1"/>
  <c r="A436" i="121"/>
  <c r="A499" i="121"/>
  <c r="A579" i="121"/>
  <c r="T579" i="121" s="1"/>
  <c r="A583" i="121"/>
  <c r="F583" i="121" s="1"/>
  <c r="A684" i="121"/>
  <c r="Q684" i="121" s="1"/>
  <c r="A692" i="121"/>
  <c r="A700" i="121"/>
  <c r="T700" i="121" s="1"/>
  <c r="A772" i="121"/>
  <c r="F772" i="121" s="1"/>
  <c r="A789" i="121"/>
  <c r="I789" i="121" s="1"/>
  <c r="A226" i="121"/>
  <c r="A242" i="121"/>
  <c r="F242" i="121" s="1"/>
  <c r="A294" i="121"/>
  <c r="F294" i="121" s="1"/>
  <c r="A305" i="121"/>
  <c r="A526" i="121"/>
  <c r="A530" i="121"/>
  <c r="M530" i="121" s="1"/>
  <c r="A538" i="121"/>
  <c r="M538" i="121" s="1"/>
  <c r="A546" i="121"/>
  <c r="F546" i="121" s="1"/>
  <c r="A703" i="121"/>
  <c r="Q703" i="121" s="1"/>
  <c r="A804" i="121"/>
  <c r="F804" i="121" s="1"/>
  <c r="A844" i="121"/>
  <c r="F844" i="121" s="1"/>
  <c r="A848" i="121"/>
  <c r="F848" i="121" s="1"/>
  <c r="A852" i="121"/>
  <c r="F852" i="121" s="1"/>
  <c r="A864" i="121"/>
  <c r="F864" i="121" s="1"/>
  <c r="A868" i="121"/>
  <c r="F868" i="121" s="1"/>
  <c r="A43" i="121"/>
  <c r="A106" i="121"/>
  <c r="Q106" i="121" s="1"/>
  <c r="A110" i="121"/>
  <c r="T110" i="121" s="1"/>
  <c r="A276" i="121"/>
  <c r="F276" i="121" s="1"/>
  <c r="A280" i="121"/>
  <c r="A933" i="121"/>
  <c r="T933" i="121" s="1"/>
  <c r="A104" i="121"/>
  <c r="Q104" i="121" s="1"/>
  <c r="A108" i="121"/>
  <c r="T108" i="121" s="1"/>
  <c r="A112" i="121"/>
  <c r="A67" i="121"/>
  <c r="A154" i="121"/>
  <c r="M154" i="121" s="1"/>
  <c r="A191" i="121"/>
  <c r="M191" i="121" s="1"/>
  <c r="A198" i="121"/>
  <c r="M198" i="121" s="1"/>
  <c r="A302" i="121"/>
  <c r="A334" i="121"/>
  <c r="F334" i="121" s="1"/>
  <c r="A342" i="121"/>
  <c r="F342" i="121" s="1"/>
  <c r="A354" i="121"/>
  <c r="A374" i="121"/>
  <c r="A382" i="121"/>
  <c r="F382" i="121" s="1"/>
  <c r="A406" i="121"/>
  <c r="F406" i="121" s="1"/>
  <c r="A468" i="121"/>
  <c r="A476" i="121"/>
  <c r="A488" i="121"/>
  <c r="Q488" i="121" s="1"/>
  <c r="A500" i="121"/>
  <c r="Q500" i="121" s="1"/>
  <c r="A504" i="121"/>
  <c r="T504" i="121" s="1"/>
  <c r="A616" i="121"/>
  <c r="A620" i="121"/>
  <c r="T620" i="121" s="1"/>
  <c r="A733" i="121"/>
  <c r="T733" i="121" s="1"/>
  <c r="A741" i="121"/>
  <c r="F741" i="121" s="1"/>
  <c r="A749" i="121"/>
  <c r="I749" i="121" s="1"/>
  <c r="A757" i="121"/>
  <c r="M757" i="121" s="1"/>
  <c r="A773" i="121"/>
  <c r="T773" i="121" s="1"/>
  <c r="A782" i="121"/>
  <c r="M782" i="121" s="1"/>
  <c r="A786" i="121"/>
  <c r="I786" i="121" s="1"/>
  <c r="A820" i="121"/>
  <c r="F820" i="121" s="1"/>
  <c r="A914" i="121"/>
  <c r="F914" i="121" s="1"/>
  <c r="A918" i="121"/>
  <c r="F918" i="121" s="1"/>
  <c r="A926" i="121"/>
  <c r="F926" i="121" s="1"/>
  <c r="A977" i="121"/>
  <c r="M977" i="121" s="1"/>
  <c r="A981" i="121"/>
  <c r="Q981" i="121" s="1"/>
  <c r="A178" i="121"/>
  <c r="A220" i="121"/>
  <c r="A227" i="121"/>
  <c r="M227" i="121" s="1"/>
  <c r="A292" i="121"/>
  <c r="F292" i="121" s="1"/>
  <c r="A300" i="121"/>
  <c r="I300" i="121" s="1"/>
  <c r="A358" i="121"/>
  <c r="A402" i="121"/>
  <c r="F402" i="121" s="1"/>
  <c r="A408" i="121"/>
  <c r="F408" i="121" s="1"/>
  <c r="A470" i="121"/>
  <c r="A474" i="121"/>
  <c r="A478" i="121"/>
  <c r="T478" i="121" s="1"/>
  <c r="A486" i="121"/>
  <c r="I486" i="121" s="1"/>
  <c r="A507" i="121"/>
  <c r="I507" i="121" s="1"/>
  <c r="A511" i="121"/>
  <c r="A515" i="121"/>
  <c r="F515" i="121" s="1"/>
  <c r="A519" i="121"/>
  <c r="T519" i="121" s="1"/>
  <c r="A555" i="121"/>
  <c r="A563" i="121"/>
  <c r="A567" i="121"/>
  <c r="M567" i="121" s="1"/>
  <c r="A600" i="121"/>
  <c r="M600" i="121" s="1"/>
  <c r="A639" i="121"/>
  <c r="M639" i="121" s="1"/>
  <c r="A687" i="121"/>
  <c r="Q687" i="121" s="1"/>
  <c r="A691" i="121"/>
  <c r="M691" i="121" s="1"/>
  <c r="A759" i="121"/>
  <c r="T759" i="121" s="1"/>
  <c r="A767" i="121"/>
  <c r="Q767" i="121" s="1"/>
  <c r="A779" i="121"/>
  <c r="Q779" i="121" s="1"/>
  <c r="A788" i="121"/>
  <c r="T788" i="121" s="1"/>
  <c r="A822" i="121"/>
  <c r="F822" i="121" s="1"/>
  <c r="A19" i="121"/>
  <c r="I19" i="121" s="1"/>
  <c r="A88" i="121"/>
  <c r="A162" i="121"/>
  <c r="F162" i="121" s="1"/>
  <c r="A206" i="121"/>
  <c r="M206" i="121" s="1"/>
  <c r="A218" i="121"/>
  <c r="A297" i="121"/>
  <c r="A332" i="121"/>
  <c r="F332" i="121" s="1"/>
  <c r="A340" i="121"/>
  <c r="I340" i="121" s="1"/>
  <c r="A424" i="121"/>
  <c r="A545" i="121"/>
  <c r="I545" i="121" s="1"/>
  <c r="A571" i="121"/>
  <c r="Q571" i="121" s="1"/>
  <c r="A597" i="121"/>
  <c r="M597" i="121" s="1"/>
  <c r="A601" i="121"/>
  <c r="Q601" i="121" s="1"/>
  <c r="A605" i="121"/>
  <c r="A624" i="121"/>
  <c r="T624" i="121" s="1"/>
  <c r="A625" i="121"/>
  <c r="M625" i="121" s="1"/>
  <c r="A682" i="121"/>
  <c r="A695" i="121"/>
  <c r="A699" i="121"/>
  <c r="Q699" i="121" s="1"/>
  <c r="A704" i="121"/>
  <c r="F704" i="121" s="1"/>
  <c r="A708" i="121"/>
  <c r="M708" i="121" s="1"/>
  <c r="A764" i="121"/>
  <c r="I764" i="121" s="1"/>
  <c r="A765" i="121"/>
  <c r="F765" i="121" s="1"/>
  <c r="A778" i="121"/>
  <c r="F778" i="121" s="1"/>
  <c r="A791" i="121"/>
  <c r="Q791" i="121" s="1"/>
  <c r="A796" i="121"/>
  <c r="T796" i="121" s="1"/>
  <c r="A797" i="121"/>
  <c r="I797" i="121" s="1"/>
  <c r="A805" i="121"/>
  <c r="Q805" i="121" s="1"/>
  <c r="A814" i="121"/>
  <c r="F814" i="121" s="1"/>
  <c r="A828" i="121"/>
  <c r="F828" i="121" s="1"/>
  <c r="A832" i="121"/>
  <c r="F832" i="121" s="1"/>
  <c r="A859" i="121"/>
  <c r="I859" i="121" s="1"/>
  <c r="A887" i="121"/>
  <c r="F887" i="121" s="1"/>
  <c r="A894" i="121"/>
  <c r="F894" i="121" s="1"/>
  <c r="A898" i="121"/>
  <c r="F898" i="121" s="1"/>
  <c r="A902" i="121"/>
  <c r="F902" i="121" s="1"/>
  <c r="A942" i="121"/>
  <c r="F942" i="121" s="1"/>
  <c r="A979" i="121"/>
  <c r="Q979" i="121" s="1"/>
  <c r="A983" i="121"/>
  <c r="T983" i="121" s="1"/>
  <c r="A75" i="121"/>
  <c r="M75" i="121" s="1"/>
  <c r="A135" i="121"/>
  <c r="I135" i="121" s="1"/>
  <c r="A138" i="121"/>
  <c r="A250" i="121"/>
  <c r="F250" i="121" s="1"/>
  <c r="A372" i="121"/>
  <c r="M372" i="121" s="1"/>
  <c r="A380" i="121"/>
  <c r="T380" i="121" s="1"/>
  <c r="A799" i="121"/>
  <c r="T799" i="121" s="1"/>
  <c r="A807" i="121"/>
  <c r="F807" i="121" s="1"/>
  <c r="A812" i="121"/>
  <c r="F812" i="121" s="1"/>
  <c r="A40" i="121"/>
  <c r="A91" i="121"/>
  <c r="M91" i="121" s="1"/>
  <c r="A175" i="121"/>
  <c r="I175" i="121" s="1"/>
  <c r="A234" i="121"/>
  <c r="Q234" i="121" s="1"/>
  <c r="A252" i="121"/>
  <c r="A308" i="121"/>
  <c r="M308" i="121" s="1"/>
  <c r="A314" i="121"/>
  <c r="F314" i="121" s="1"/>
  <c r="A356" i="121"/>
  <c r="M356" i="121" s="1"/>
  <c r="A390" i="121"/>
  <c r="A398" i="121"/>
  <c r="A404" i="121"/>
  <c r="F404" i="121" s="1"/>
  <c r="A410" i="121"/>
  <c r="I410" i="121" s="1"/>
  <c r="A934" i="121"/>
  <c r="F934" i="121" s="1"/>
  <c r="A988" i="121"/>
  <c r="M988" i="121" s="1"/>
  <c r="A989" i="121"/>
  <c r="I989" i="121" s="1"/>
  <c r="A997" i="121"/>
  <c r="Q997" i="121" s="1"/>
  <c r="A24" i="121"/>
  <c r="A35" i="121"/>
  <c r="A59" i="121"/>
  <c r="I59" i="121" s="1"/>
  <c r="A72" i="121"/>
  <c r="M72" i="121" s="1"/>
  <c r="A96" i="121"/>
  <c r="I96" i="121" s="1"/>
  <c r="A99" i="121"/>
  <c r="A117" i="121"/>
  <c r="F117" i="121" s="1"/>
  <c r="A119" i="121"/>
  <c r="Q119" i="121" s="1"/>
  <c r="A122" i="121"/>
  <c r="A146" i="121"/>
  <c r="Q146" i="121" s="1"/>
  <c r="A159" i="121"/>
  <c r="F159" i="121" s="1"/>
  <c r="A183" i="121"/>
  <c r="M183" i="121" s="1"/>
  <c r="A186" i="121"/>
  <c r="F186" i="121" s="1"/>
  <c r="A208" i="121"/>
  <c r="A236" i="121"/>
  <c r="F236" i="121" s="1"/>
  <c r="A260" i="121"/>
  <c r="M260" i="121" s="1"/>
  <c r="A268" i="121"/>
  <c r="A284" i="121"/>
  <c r="A285" i="121"/>
  <c r="Q285" i="121" s="1"/>
  <c r="A330" i="121"/>
  <c r="M330" i="121" s="1"/>
  <c r="E330" i="121"/>
  <c r="E338" i="121"/>
  <c r="A338" i="121"/>
  <c r="F338" i="121" s="1"/>
  <c r="E428" i="121"/>
  <c r="A428" i="121"/>
  <c r="A394" i="121"/>
  <c r="E394" i="121"/>
  <c r="A412" i="121"/>
  <c r="Q412" i="121" s="1"/>
  <c r="E412" i="121"/>
  <c r="A80" i="121"/>
  <c r="A83" i="121"/>
  <c r="F83" i="121" s="1"/>
  <c r="A130" i="121"/>
  <c r="F130" i="121" s="1"/>
  <c r="A143" i="121"/>
  <c r="A167" i="121"/>
  <c r="A170" i="121"/>
  <c r="F170" i="121" s="1"/>
  <c r="A194" i="121"/>
  <c r="M194" i="121" s="1"/>
  <c r="A210" i="121"/>
  <c r="A232" i="121"/>
  <c r="A258" i="121"/>
  <c r="F258" i="121" s="1"/>
  <c r="A262" i="121"/>
  <c r="Q262" i="121" s="1"/>
  <c r="A266" i="121"/>
  <c r="F266" i="121" s="1"/>
  <c r="E947" i="121"/>
  <c r="A947" i="121"/>
  <c r="Q947" i="121" s="1"/>
  <c r="E951" i="121"/>
  <c r="A951" i="121"/>
  <c r="F951" i="121" s="1"/>
  <c r="E955" i="121"/>
  <c r="A955" i="121"/>
  <c r="F955" i="121" s="1"/>
  <c r="E959" i="121"/>
  <c r="A959" i="121"/>
  <c r="F959" i="121" s="1"/>
  <c r="E963" i="121"/>
  <c r="A963" i="121"/>
  <c r="F963" i="121" s="1"/>
  <c r="E967" i="121"/>
  <c r="A967" i="121"/>
  <c r="F967" i="121" s="1"/>
  <c r="E971" i="121"/>
  <c r="A971" i="121"/>
  <c r="F971" i="121" s="1"/>
  <c r="A370" i="121"/>
  <c r="I370" i="121" s="1"/>
  <c r="E370" i="121"/>
  <c r="E378" i="121"/>
  <c r="A378" i="121"/>
  <c r="F378" i="121" s="1"/>
  <c r="A386" i="121"/>
  <c r="Q386" i="121" s="1"/>
  <c r="E386" i="121"/>
  <c r="E322" i="121"/>
  <c r="A322" i="121"/>
  <c r="F322" i="121" s="1"/>
  <c r="A48" i="121"/>
  <c r="M48" i="121" s="1"/>
  <c r="A51" i="121"/>
  <c r="F51" i="121" s="1"/>
  <c r="A348" i="121"/>
  <c r="M348" i="121" s="1"/>
  <c r="E348" i="121"/>
  <c r="E420" i="121"/>
  <c r="A420" i="121"/>
  <c r="E949" i="121"/>
  <c r="A949" i="121"/>
  <c r="F949" i="121" s="1"/>
  <c r="E953" i="121"/>
  <c r="A953" i="121"/>
  <c r="F953" i="121" s="1"/>
  <c r="E957" i="121"/>
  <c r="A957" i="121"/>
  <c r="F957" i="121" s="1"/>
  <c r="E961" i="121"/>
  <c r="A961" i="121"/>
  <c r="F961" i="121" s="1"/>
  <c r="E965" i="121"/>
  <c r="A965" i="121"/>
  <c r="F965" i="121" s="1"/>
  <c r="E969" i="121"/>
  <c r="A969" i="121"/>
  <c r="F969" i="121" s="1"/>
  <c r="A483" i="121"/>
  <c r="F483" i="121" s="1"/>
  <c r="A925" i="121"/>
  <c r="T925" i="121" s="1"/>
  <c r="A975" i="121"/>
  <c r="Q975" i="121" s="1"/>
  <c r="A290" i="121"/>
  <c r="A16" i="121"/>
  <c r="A27" i="121"/>
  <c r="F27" i="121" s="1"/>
  <c r="A228" i="121"/>
  <c r="I228" i="121" s="1"/>
  <c r="A270" i="121"/>
  <c r="A274" i="121"/>
  <c r="A286" i="121"/>
  <c r="F286" i="121" s="1"/>
  <c r="A293" i="121"/>
  <c r="T293" i="121" s="1"/>
  <c r="A301" i="121"/>
  <c r="A318" i="121"/>
  <c r="A326" i="121"/>
  <c r="F326" i="121" s="1"/>
  <c r="A362" i="121"/>
  <c r="Q362" i="121" s="1"/>
  <c r="A366" i="121"/>
  <c r="F366" i="121" s="1"/>
  <c r="A434" i="121"/>
  <c r="I434" i="121" s="1"/>
  <c r="A438" i="121"/>
  <c r="F438" i="121" s="1"/>
  <c r="A442" i="121"/>
  <c r="T442" i="121" s="1"/>
  <c r="A446" i="121"/>
  <c r="I446" i="121" s="1"/>
  <c r="A450" i="121"/>
  <c r="A454" i="121"/>
  <c r="M454" i="121" s="1"/>
  <c r="A458" i="121"/>
  <c r="T458" i="121" s="1"/>
  <c r="A462" i="121"/>
  <c r="A466" i="121"/>
  <c r="A473" i="121"/>
  <c r="T473" i="121" s="1"/>
  <c r="A480" i="121"/>
  <c r="T480" i="121" s="1"/>
  <c r="A484" i="121"/>
  <c r="Q484" i="121" s="1"/>
  <c r="A491" i="121"/>
  <c r="A494" i="121"/>
  <c r="T494" i="121" s="1"/>
  <c r="A498" i="121"/>
  <c r="T498" i="121" s="1"/>
  <c r="A503" i="121"/>
  <c r="A508" i="121"/>
  <c r="A513" i="121"/>
  <c r="Q513" i="121" s="1"/>
  <c r="A514" i="121"/>
  <c r="M514" i="121" s="1"/>
  <c r="A518" i="121"/>
  <c r="A523" i="121"/>
  <c r="F523" i="121" s="1"/>
  <c r="A535" i="121"/>
  <c r="F535" i="121" s="1"/>
  <c r="A539" i="121"/>
  <c r="M539" i="121" s="1"/>
  <c r="A543" i="121"/>
  <c r="A544" i="121"/>
  <c r="A553" i="121"/>
  <c r="Q553" i="121" s="1"/>
  <c r="A554" i="121"/>
  <c r="T554" i="121" s="1"/>
  <c r="A559" i="121"/>
  <c r="Q559" i="121" s="1"/>
  <c r="A564" i="121"/>
  <c r="T564" i="121" s="1"/>
  <c r="A569" i="121"/>
  <c r="Q569" i="121" s="1"/>
  <c r="A570" i="121"/>
  <c r="T570" i="121" s="1"/>
  <c r="A575" i="121"/>
  <c r="I575" i="121" s="1"/>
  <c r="A580" i="121"/>
  <c r="Q580" i="121" s="1"/>
  <c r="A584" i="121"/>
  <c r="M584" i="121" s="1"/>
  <c r="A594" i="121"/>
  <c r="T594" i="121" s="1"/>
  <c r="A604" i="121"/>
  <c r="F604" i="121" s="1"/>
  <c r="A630" i="121"/>
  <c r="A634" i="121"/>
  <c r="I634" i="121" s="1"/>
  <c r="A635" i="121"/>
  <c r="F635" i="121" s="1"/>
  <c r="A8" i="121"/>
  <c r="A11" i="121"/>
  <c r="A32" i="121"/>
  <c r="T32" i="121" s="1"/>
  <c r="A200" i="121"/>
  <c r="F200" i="121" s="1"/>
  <c r="A240" i="121"/>
  <c r="A244" i="121"/>
  <c r="A278" i="121"/>
  <c r="F278" i="121" s="1"/>
  <c r="A298" i="121"/>
  <c r="M298" i="121" s="1"/>
  <c r="A306" i="121"/>
  <c r="A350" i="121"/>
  <c r="A414" i="121"/>
  <c r="F414" i="121" s="1"/>
  <c r="A422" i="121"/>
  <c r="T422" i="121" s="1"/>
  <c r="A430" i="121"/>
  <c r="A444" i="121"/>
  <c r="I444" i="121" s="1"/>
  <c r="A448" i="121"/>
  <c r="M448" i="121" s="1"/>
  <c r="A452" i="121"/>
  <c r="M452" i="121" s="1"/>
  <c r="A456" i="121"/>
  <c r="A460" i="121"/>
  <c r="A464" i="121"/>
  <c r="F464" i="121" s="1"/>
  <c r="A505" i="121"/>
  <c r="M505" i="121" s="1"/>
  <c r="A506" i="121"/>
  <c r="A516" i="121"/>
  <c r="I516" i="121" s="1"/>
  <c r="A521" i="121"/>
  <c r="F521" i="121" s="1"/>
  <c r="A525" i="121"/>
  <c r="F525" i="121" s="1"/>
  <c r="A529" i="121"/>
  <c r="A533" i="121"/>
  <c r="A547" i="121"/>
  <c r="F547" i="121" s="1"/>
  <c r="A551" i="121"/>
  <c r="M551" i="121" s="1"/>
  <c r="A561" i="121"/>
  <c r="F561" i="121" s="1"/>
  <c r="A562" i="121"/>
  <c r="A587" i="121"/>
  <c r="I587" i="121" s="1"/>
  <c r="A588" i="121"/>
  <c r="F588" i="121" s="1"/>
  <c r="A592" i="121"/>
  <c r="A612" i="121"/>
  <c r="A617" i="121"/>
  <c r="T617" i="121" s="1"/>
  <c r="A628" i="121"/>
  <c r="Q628" i="121" s="1"/>
  <c r="A632" i="121"/>
  <c r="I632" i="121" s="1"/>
  <c r="A909" i="121"/>
  <c r="T909" i="121" s="1"/>
  <c r="A643" i="121"/>
  <c r="F643" i="121" s="1"/>
  <c r="A648" i="121"/>
  <c r="F648" i="121" s="1"/>
  <c r="A652" i="121"/>
  <c r="A656" i="121"/>
  <c r="I656" i="121" s="1"/>
  <c r="A660" i="121"/>
  <c r="T660" i="121" s="1"/>
  <c r="A664" i="121"/>
  <c r="Q664" i="121" s="1"/>
  <c r="A668" i="121"/>
  <c r="A672" i="121"/>
  <c r="T672" i="121" s="1"/>
  <c r="A677" i="121"/>
  <c r="F677" i="121" s="1"/>
  <c r="A678" i="121"/>
  <c r="M678" i="121" s="1"/>
  <c r="A688" i="121"/>
  <c r="T688" i="121" s="1"/>
  <c r="A729" i="121"/>
  <c r="A740" i="121"/>
  <c r="Q740" i="121" s="1"/>
  <c r="A744" i="121"/>
  <c r="Q744" i="121" s="1"/>
  <c r="A745" i="121"/>
  <c r="A756" i="121"/>
  <c r="A766" i="121"/>
  <c r="Q766" i="121" s="1"/>
  <c r="A770" i="121"/>
  <c r="Q770" i="121" s="1"/>
  <c r="A771" i="121"/>
  <c r="M771" i="121" s="1"/>
  <c r="A783" i="121"/>
  <c r="A787" i="121"/>
  <c r="T787" i="121" s="1"/>
  <c r="A798" i="121"/>
  <c r="M798" i="121" s="1"/>
  <c r="A802" i="121"/>
  <c r="Q802" i="121" s="1"/>
  <c r="A803" i="121"/>
  <c r="I803" i="121" s="1"/>
  <c r="A818" i="121"/>
  <c r="F818" i="121" s="1"/>
  <c r="A825" i="121"/>
  <c r="T825" i="121" s="1"/>
  <c r="A834" i="121"/>
  <c r="F834" i="121" s="1"/>
  <c r="A856" i="121"/>
  <c r="F856" i="121" s="1"/>
  <c r="A860" i="121"/>
  <c r="F860" i="121" s="1"/>
  <c r="A867" i="121"/>
  <c r="F867" i="121" s="1"/>
  <c r="A878" i="121"/>
  <c r="F878" i="121" s="1"/>
  <c r="A906" i="121"/>
  <c r="F906" i="121" s="1"/>
  <c r="A910" i="121"/>
  <c r="F910" i="121" s="1"/>
  <c r="A917" i="121"/>
  <c r="T917" i="121" s="1"/>
  <c r="A930" i="121"/>
  <c r="F930" i="121" s="1"/>
  <c r="A946" i="121"/>
  <c r="Q946" i="121" s="1"/>
  <c r="A964" i="121"/>
  <c r="T964" i="121" s="1"/>
  <c r="A966" i="121"/>
  <c r="T966" i="121" s="1"/>
  <c r="A968" i="121"/>
  <c r="F968" i="121" s="1"/>
  <c r="A970" i="121"/>
  <c r="F970" i="121" s="1"/>
  <c r="A972" i="121"/>
  <c r="I972" i="121" s="1"/>
  <c r="A980" i="121"/>
  <c r="Q980" i="121" s="1"/>
  <c r="A990" i="121"/>
  <c r="T990" i="121" s="1"/>
  <c r="A995" i="121"/>
  <c r="I995" i="121" s="1"/>
  <c r="A641" i="121"/>
  <c r="F641" i="121" s="1"/>
  <c r="A646" i="121"/>
  <c r="Q646" i="121" s="1"/>
  <c r="A650" i="121"/>
  <c r="T650" i="121" s="1"/>
  <c r="A654" i="121"/>
  <c r="F654" i="121" s="1"/>
  <c r="A658" i="121"/>
  <c r="Q658" i="121" s="1"/>
  <c r="A662" i="121"/>
  <c r="Q662" i="121" s="1"/>
  <c r="A666" i="121"/>
  <c r="M666" i="121" s="1"/>
  <c r="A670" i="121"/>
  <c r="F670" i="121" s="1"/>
  <c r="A675" i="121"/>
  <c r="F675" i="121" s="1"/>
  <c r="A681" i="121"/>
  <c r="I681" i="121" s="1"/>
  <c r="A696" i="121"/>
  <c r="M696" i="121" s="1"/>
  <c r="A712" i="121"/>
  <c r="A716" i="121"/>
  <c r="M716" i="121" s="1"/>
  <c r="A732" i="121"/>
  <c r="Q732" i="121" s="1"/>
  <c r="A736" i="121"/>
  <c r="T736" i="121" s="1"/>
  <c r="A737" i="121"/>
  <c r="A748" i="121"/>
  <c r="I748" i="121" s="1"/>
  <c r="A752" i="121"/>
  <c r="Q752" i="121" s="1"/>
  <c r="A753" i="121"/>
  <c r="Q753" i="121" s="1"/>
  <c r="A758" i="121"/>
  <c r="A762" i="121"/>
  <c r="M762" i="121" s="1"/>
  <c r="A763" i="121"/>
  <c r="I763" i="121" s="1"/>
  <c r="A774" i="121"/>
  <c r="Q774" i="121" s="1"/>
  <c r="A775" i="121"/>
  <c r="A780" i="121"/>
  <c r="F780" i="121" s="1"/>
  <c r="A781" i="121"/>
  <c r="M781" i="121" s="1"/>
  <c r="A790" i="121"/>
  <c r="Q790" i="121" s="1"/>
  <c r="A794" i="121"/>
  <c r="A795" i="121"/>
  <c r="I795" i="121" s="1"/>
  <c r="A806" i="121"/>
  <c r="Q806" i="121" s="1"/>
  <c r="A817" i="121"/>
  <c r="T817" i="121" s="1"/>
  <c r="A826" i="121"/>
  <c r="F826" i="121" s="1"/>
  <c r="A836" i="121"/>
  <c r="F836" i="121" s="1"/>
  <c r="A840" i="121"/>
  <c r="F840" i="121" s="1"/>
  <c r="A851" i="121"/>
  <c r="Q851" i="121" s="1"/>
  <c r="A872" i="121"/>
  <c r="F872" i="121" s="1"/>
  <c r="A880" i="121"/>
  <c r="F880" i="121" s="1"/>
  <c r="A884" i="121"/>
  <c r="F884" i="121" s="1"/>
  <c r="A888" i="121"/>
  <c r="F888" i="121" s="1"/>
  <c r="A901" i="121"/>
  <c r="T901" i="121" s="1"/>
  <c r="A922" i="121"/>
  <c r="F922" i="121" s="1"/>
  <c r="A938" i="121"/>
  <c r="F938" i="121" s="1"/>
  <c r="A1000" i="121"/>
  <c r="T1000" i="121" s="1"/>
  <c r="E384" i="121"/>
  <c r="A384" i="121"/>
  <c r="F384" i="121" s="1"/>
  <c r="E440" i="121"/>
  <c r="A440" i="121"/>
  <c r="A5" i="121"/>
  <c r="F5" i="121" s="1"/>
  <c r="A10" i="121"/>
  <c r="Q10" i="121" s="1"/>
  <c r="E202" i="121"/>
  <c r="A202" i="121"/>
  <c r="F202" i="121" s="1"/>
  <c r="E212" i="121"/>
  <c r="A212" i="121"/>
  <c r="E222" i="121"/>
  <c r="A222" i="121"/>
  <c r="F222" i="121" s="1"/>
  <c r="A224" i="121"/>
  <c r="I224" i="121" s="1"/>
  <c r="E254" i="121"/>
  <c r="A254" i="121"/>
  <c r="F254" i="121" s="1"/>
  <c r="E230" i="121"/>
  <c r="A230" i="121"/>
  <c r="Q230" i="121" s="1"/>
  <c r="E336" i="121"/>
  <c r="A336" i="121"/>
  <c r="Q336" i="121" s="1"/>
  <c r="E392" i="121"/>
  <c r="A392" i="121"/>
  <c r="Q392" i="121" s="1"/>
  <c r="A4" i="121"/>
  <c r="A7" i="121"/>
  <c r="A12" i="121"/>
  <c r="F12" i="121" s="1"/>
  <c r="E214" i="121"/>
  <c r="A214" i="121"/>
  <c r="A216" i="121"/>
  <c r="Q216" i="121" s="1"/>
  <c r="E246" i="121"/>
  <c r="A246" i="121"/>
  <c r="A248" i="121"/>
  <c r="E288" i="121"/>
  <c r="A288" i="121"/>
  <c r="I288" i="121" s="1"/>
  <c r="E368" i="121"/>
  <c r="A368" i="121"/>
  <c r="A6" i="121"/>
  <c r="Q6" i="121" s="1"/>
  <c r="A9" i="121"/>
  <c r="Q9" i="121" s="1"/>
  <c r="A196" i="121"/>
  <c r="E238" i="121"/>
  <c r="A238" i="121"/>
  <c r="F238" i="121" s="1"/>
  <c r="A13" i="121"/>
  <c r="F13" i="121" s="1"/>
  <c r="A18" i="121"/>
  <c r="T18" i="121" s="1"/>
  <c r="A21" i="121"/>
  <c r="I21" i="121" s="1"/>
  <c r="A26" i="121"/>
  <c r="Q26" i="121" s="1"/>
  <c r="A29" i="121"/>
  <c r="I29" i="121" s="1"/>
  <c r="A34" i="121"/>
  <c r="I34" i="121" s="1"/>
  <c r="A37" i="121"/>
  <c r="F37" i="121" s="1"/>
  <c r="A42" i="121"/>
  <c r="M42" i="121" s="1"/>
  <c r="A45" i="121"/>
  <c r="A50" i="121"/>
  <c r="A53" i="121"/>
  <c r="M53" i="121" s="1"/>
  <c r="A58" i="121"/>
  <c r="M58" i="121" s="1"/>
  <c r="A61" i="121"/>
  <c r="A66" i="121"/>
  <c r="A69" i="121"/>
  <c r="I69" i="121" s="1"/>
  <c r="A74" i="121"/>
  <c r="M74" i="121" s="1"/>
  <c r="A77" i="121"/>
  <c r="A82" i="121"/>
  <c r="Q82" i="121" s="1"/>
  <c r="A85" i="121"/>
  <c r="Q85" i="121" s="1"/>
  <c r="A90" i="121"/>
  <c r="M90" i="121" s="1"/>
  <c r="A93" i="121"/>
  <c r="A98" i="121"/>
  <c r="A101" i="121"/>
  <c r="M101" i="121" s="1"/>
  <c r="A114" i="121"/>
  <c r="M114" i="121" s="1"/>
  <c r="A121" i="121"/>
  <c r="A124" i="121"/>
  <c r="A129" i="121"/>
  <c r="F129" i="121" s="1"/>
  <c r="A132" i="121"/>
  <c r="M132" i="121" s="1"/>
  <c r="A137" i="121"/>
  <c r="A140" i="121"/>
  <c r="T140" i="121" s="1"/>
  <c r="A145" i="121"/>
  <c r="I145" i="121" s="1"/>
  <c r="A148" i="121"/>
  <c r="F148" i="121" s="1"/>
  <c r="A153" i="121"/>
  <c r="F153" i="121" s="1"/>
  <c r="A156" i="121"/>
  <c r="Q156" i="121" s="1"/>
  <c r="A161" i="121"/>
  <c r="I161" i="121" s="1"/>
  <c r="A164" i="121"/>
  <c r="F164" i="121" s="1"/>
  <c r="A169" i="121"/>
  <c r="A172" i="121"/>
  <c r="I172" i="121" s="1"/>
  <c r="A177" i="121"/>
  <c r="Q177" i="121" s="1"/>
  <c r="A180" i="121"/>
  <c r="F180" i="121" s="1"/>
  <c r="A185" i="121"/>
  <c r="T185" i="121" s="1"/>
  <c r="A188" i="121"/>
  <c r="A193" i="121"/>
  <c r="M193" i="121" s="1"/>
  <c r="A209" i="121"/>
  <c r="I209" i="121" s="1"/>
  <c r="A282" i="121"/>
  <c r="E344" i="121"/>
  <c r="A344" i="121"/>
  <c r="F344" i="121" s="1"/>
  <c r="E360" i="121"/>
  <c r="A360" i="121"/>
  <c r="Q360" i="121" s="1"/>
  <c r="E400" i="121"/>
  <c r="A400" i="121"/>
  <c r="F400" i="121" s="1"/>
  <c r="E416" i="121"/>
  <c r="A416" i="121"/>
  <c r="E432" i="121"/>
  <c r="A432" i="121"/>
  <c r="F432" i="121" s="1"/>
  <c r="A15" i="121"/>
  <c r="T15" i="121" s="1"/>
  <c r="A20" i="121"/>
  <c r="Q20" i="121" s="1"/>
  <c r="A23" i="121"/>
  <c r="T23" i="121" s="1"/>
  <c r="A28" i="121"/>
  <c r="M28" i="121" s="1"/>
  <c r="A31" i="121"/>
  <c r="F31" i="121" s="1"/>
  <c r="A36" i="121"/>
  <c r="Q36" i="121" s="1"/>
  <c r="A39" i="121"/>
  <c r="I39" i="121" s="1"/>
  <c r="A44" i="121"/>
  <c r="F44" i="121" s="1"/>
  <c r="A47" i="121"/>
  <c r="T47" i="121" s="1"/>
  <c r="A52" i="121"/>
  <c r="A55" i="121"/>
  <c r="T55" i="121" s="1"/>
  <c r="A60" i="121"/>
  <c r="Q60" i="121" s="1"/>
  <c r="A63" i="121"/>
  <c r="F63" i="121" s="1"/>
  <c r="A68" i="121"/>
  <c r="Q68" i="121" s="1"/>
  <c r="A71" i="121"/>
  <c r="A76" i="121"/>
  <c r="M76" i="121" s="1"/>
  <c r="A79" i="121"/>
  <c r="T79" i="121" s="1"/>
  <c r="A84" i="121"/>
  <c r="A87" i="121"/>
  <c r="A92" i="121"/>
  <c r="F92" i="121" s="1"/>
  <c r="A95" i="121"/>
  <c r="F95" i="121" s="1"/>
  <c r="A100" i="121"/>
  <c r="Q100" i="121" s="1"/>
  <c r="A103" i="121"/>
  <c r="I103" i="121" s="1"/>
  <c r="A105" i="121"/>
  <c r="I105" i="121" s="1"/>
  <c r="A107" i="121"/>
  <c r="M107" i="121" s="1"/>
  <c r="A109" i="121"/>
  <c r="A111" i="121"/>
  <c r="I111" i="121" s="1"/>
  <c r="A113" i="121"/>
  <c r="F113" i="121" s="1"/>
  <c r="A116" i="121"/>
  <c r="Q116" i="121" s="1"/>
  <c r="A118" i="121"/>
  <c r="A123" i="121"/>
  <c r="A126" i="121"/>
  <c r="Q126" i="121" s="1"/>
  <c r="A131" i="121"/>
  <c r="Q131" i="121" s="1"/>
  <c r="A134" i="121"/>
  <c r="Q134" i="121" s="1"/>
  <c r="A139" i="121"/>
  <c r="A142" i="121"/>
  <c r="T142" i="121" s="1"/>
  <c r="A147" i="121"/>
  <c r="M147" i="121" s="1"/>
  <c r="A150" i="121"/>
  <c r="Q150" i="121" s="1"/>
  <c r="A155" i="121"/>
  <c r="A158" i="121"/>
  <c r="F158" i="121" s="1"/>
  <c r="A163" i="121"/>
  <c r="Q163" i="121" s="1"/>
  <c r="A166" i="121"/>
  <c r="A171" i="121"/>
  <c r="A174" i="121"/>
  <c r="M174" i="121" s="1"/>
  <c r="A179" i="121"/>
  <c r="M179" i="121" s="1"/>
  <c r="A182" i="121"/>
  <c r="A187" i="121"/>
  <c r="I187" i="121" s="1"/>
  <c r="A190" i="121"/>
  <c r="T190" i="121" s="1"/>
  <c r="A195" i="121"/>
  <c r="I195" i="121" s="1"/>
  <c r="A215" i="121"/>
  <c r="A223" i="121"/>
  <c r="A231" i="121"/>
  <c r="M231" i="121" s="1"/>
  <c r="E256" i="121"/>
  <c r="A256" i="121"/>
  <c r="A312" i="121"/>
  <c r="E352" i="121"/>
  <c r="A352" i="121"/>
  <c r="M352" i="121" s="1"/>
  <c r="A14" i="121"/>
  <c r="A17" i="121"/>
  <c r="I17" i="121" s="1"/>
  <c r="A22" i="121"/>
  <c r="F22" i="121" s="1"/>
  <c r="A25" i="121"/>
  <c r="F25" i="121" s="1"/>
  <c r="A30" i="121"/>
  <c r="A33" i="121"/>
  <c r="A38" i="121"/>
  <c r="M38" i="121" s="1"/>
  <c r="A41" i="121"/>
  <c r="Q41" i="121" s="1"/>
  <c r="A46" i="121"/>
  <c r="F46" i="121" s="1"/>
  <c r="A49" i="121"/>
  <c r="A54" i="121"/>
  <c r="Q54" i="121" s="1"/>
  <c r="A57" i="121"/>
  <c r="I57" i="121" s="1"/>
  <c r="A62" i="121"/>
  <c r="M62" i="121" s="1"/>
  <c r="A65" i="121"/>
  <c r="A70" i="121"/>
  <c r="T70" i="121" s="1"/>
  <c r="A73" i="121"/>
  <c r="I73" i="121" s="1"/>
  <c r="A78" i="121"/>
  <c r="A81" i="121"/>
  <c r="A86" i="121"/>
  <c r="F86" i="121" s="1"/>
  <c r="A89" i="121"/>
  <c r="I89" i="121" s="1"/>
  <c r="A94" i="121"/>
  <c r="A97" i="121"/>
  <c r="T97" i="121" s="1"/>
  <c r="A102" i="121"/>
  <c r="Q102" i="121" s="1"/>
  <c r="A115" i="121"/>
  <c r="Q115" i="121" s="1"/>
  <c r="A120" i="121"/>
  <c r="M120" i="121" s="1"/>
  <c r="A125" i="121"/>
  <c r="Q125" i="121" s="1"/>
  <c r="A128" i="121"/>
  <c r="M128" i="121" s="1"/>
  <c r="A133" i="121"/>
  <c r="I133" i="121" s="1"/>
  <c r="A136" i="121"/>
  <c r="M136" i="121" s="1"/>
  <c r="A141" i="121"/>
  <c r="A144" i="121"/>
  <c r="T144" i="121" s="1"/>
  <c r="A149" i="121"/>
  <c r="Q149" i="121" s="1"/>
  <c r="A152" i="121"/>
  <c r="M152" i="121" s="1"/>
  <c r="A157" i="121"/>
  <c r="A160" i="121"/>
  <c r="Q160" i="121" s="1"/>
  <c r="A165" i="121"/>
  <c r="I165" i="121" s="1"/>
  <c r="A168" i="121"/>
  <c r="M168" i="121" s="1"/>
  <c r="A173" i="121"/>
  <c r="A176" i="121"/>
  <c r="M176" i="121" s="1"/>
  <c r="A181" i="121"/>
  <c r="I181" i="121" s="1"/>
  <c r="A184" i="121"/>
  <c r="A189" i="121"/>
  <c r="Q189" i="121" s="1"/>
  <c r="A192" i="121"/>
  <c r="M192" i="121" s="1"/>
  <c r="A201" i="121"/>
  <c r="I201" i="121" s="1"/>
  <c r="A229" i="121"/>
  <c r="T229" i="121" s="1"/>
  <c r="A264" i="121"/>
  <c r="E272" i="121"/>
  <c r="A272" i="121"/>
  <c r="I272" i="121" s="1"/>
  <c r="E296" i="121"/>
  <c r="A296" i="121"/>
  <c r="E304" i="121"/>
  <c r="A304" i="121"/>
  <c r="Q304" i="121" s="1"/>
  <c r="A320" i="121"/>
  <c r="A328" i="121"/>
  <c r="A376" i="121"/>
  <c r="F376" i="121" s="1"/>
  <c r="A291" i="121"/>
  <c r="I291" i="121" s="1"/>
  <c r="A465" i="121"/>
  <c r="A471" i="121"/>
  <c r="M471" i="121" s="1"/>
  <c r="A489" i="121"/>
  <c r="Q489" i="121" s="1"/>
  <c r="A577" i="121"/>
  <c r="M577" i="121" s="1"/>
  <c r="A578" i="121"/>
  <c r="A585" i="121"/>
  <c r="F585" i="121" s="1"/>
  <c r="A586" i="121"/>
  <c r="T586" i="121" s="1"/>
  <c r="A598" i="121"/>
  <c r="Q598" i="121" s="1"/>
  <c r="A599" i="121"/>
  <c r="I599" i="121" s="1"/>
  <c r="A606" i="121"/>
  <c r="M606" i="121" s="1"/>
  <c r="A607" i="121"/>
  <c r="M607" i="121" s="1"/>
  <c r="A614" i="121"/>
  <c r="F614" i="121" s="1"/>
  <c r="A615" i="121"/>
  <c r="I615" i="121" s="1"/>
  <c r="A622" i="121"/>
  <c r="M622" i="121" s="1"/>
  <c r="A623" i="121"/>
  <c r="F623" i="121" s="1"/>
  <c r="A629" i="121"/>
  <c r="I629" i="121" s="1"/>
  <c r="A633" i="121"/>
  <c r="A640" i="121"/>
  <c r="M640" i="121" s="1"/>
  <c r="A644" i="121"/>
  <c r="I644" i="121" s="1"/>
  <c r="A645" i="121"/>
  <c r="I645" i="121" s="1"/>
  <c r="A649" i="121"/>
  <c r="I649" i="121" s="1"/>
  <c r="A653" i="121"/>
  <c r="I653" i="121" s="1"/>
  <c r="A657" i="121"/>
  <c r="F657" i="121" s="1"/>
  <c r="A661" i="121"/>
  <c r="M661" i="121" s="1"/>
  <c r="A665" i="121"/>
  <c r="I665" i="121" s="1"/>
  <c r="A669" i="121"/>
  <c r="I669" i="121" s="1"/>
  <c r="A673" i="121"/>
  <c r="F673" i="121" s="1"/>
  <c r="A674" i="121"/>
  <c r="Q674" i="121" s="1"/>
  <c r="A679" i="121"/>
  <c r="A680" i="121"/>
  <c r="M680" i="121" s="1"/>
  <c r="A685" i="121"/>
  <c r="I685" i="121" s="1"/>
  <c r="A686" i="121"/>
  <c r="Q686" i="121" s="1"/>
  <c r="A693" i="121"/>
  <c r="I693" i="121" s="1"/>
  <c r="A694" i="121"/>
  <c r="M694" i="121" s="1"/>
  <c r="A701" i="121"/>
  <c r="Q701" i="121" s="1"/>
  <c r="A702" i="121"/>
  <c r="M702" i="121" s="1"/>
  <c r="A710" i="121"/>
  <c r="A730" i="121"/>
  <c r="F730" i="121" s="1"/>
  <c r="A731" i="121"/>
  <c r="F731" i="121" s="1"/>
  <c r="A738" i="121"/>
  <c r="M738" i="121" s="1"/>
  <c r="A739" i="121"/>
  <c r="T739" i="121" s="1"/>
  <c r="A746" i="121"/>
  <c r="A747" i="121"/>
  <c r="T747" i="121" s="1"/>
  <c r="A754" i="121"/>
  <c r="F754" i="121" s="1"/>
  <c r="A755" i="121"/>
  <c r="Q755" i="121" s="1"/>
  <c r="A289" i="121"/>
  <c r="M289" i="121" s="1"/>
  <c r="A469" i="121"/>
  <c r="Q469" i="121" s="1"/>
  <c r="A481" i="121"/>
  <c r="F481" i="121" s="1"/>
  <c r="A487" i="121"/>
  <c r="I487" i="121" s="1"/>
  <c r="A492" i="121"/>
  <c r="M492" i="121" s="1"/>
  <c r="A534" i="121"/>
  <c r="T534" i="121" s="1"/>
  <c r="A287" i="121"/>
  <c r="M287" i="121" s="1"/>
  <c r="A303" i="121"/>
  <c r="A311" i="121"/>
  <c r="A467" i="121"/>
  <c r="F467" i="121" s="1"/>
  <c r="A472" i="121"/>
  <c r="M472" i="121" s="1"/>
  <c r="A475" i="121"/>
  <c r="I475" i="121" s="1"/>
  <c r="A479" i="121"/>
  <c r="I479" i="121" s="1"/>
  <c r="A482" i="121"/>
  <c r="M482" i="121" s="1"/>
  <c r="A485" i="121"/>
  <c r="I485" i="121" s="1"/>
  <c r="A490" i="121"/>
  <c r="A493" i="121"/>
  <c r="A496" i="121"/>
  <c r="T496" i="121" s="1"/>
  <c r="A501" i="121"/>
  <c r="Q501" i="121" s="1"/>
  <c r="A502" i="121"/>
  <c r="A509" i="121"/>
  <c r="I509" i="121" s="1"/>
  <c r="A510" i="121"/>
  <c r="Q510" i="121" s="1"/>
  <c r="A517" i="121"/>
  <c r="I517" i="121" s="1"/>
  <c r="A522" i="121"/>
  <c r="A527" i="121"/>
  <c r="A531" i="121"/>
  <c r="T531" i="121" s="1"/>
  <c r="A532" i="121"/>
  <c r="M532" i="121" s="1"/>
  <c r="A537" i="121"/>
  <c r="A541" i="121"/>
  <c r="I541" i="121" s="1"/>
  <c r="A542" i="121"/>
  <c r="M542" i="121" s="1"/>
  <c r="A549" i="121"/>
  <c r="Q549" i="121" s="1"/>
  <c r="A550" i="121"/>
  <c r="F550" i="121" s="1"/>
  <c r="A557" i="121"/>
  <c r="A558" i="121"/>
  <c r="Q558" i="121" s="1"/>
  <c r="A565" i="121"/>
  <c r="M565" i="121" s="1"/>
  <c r="A566" i="121"/>
  <c r="A573" i="121"/>
  <c r="I573" i="121" s="1"/>
  <c r="A574" i="121"/>
  <c r="F574" i="121" s="1"/>
  <c r="A581" i="121"/>
  <c r="I581" i="121" s="1"/>
  <c r="A582" i="121"/>
  <c r="A589" i="121"/>
  <c r="I589" i="121" s="1"/>
  <c r="A590" i="121"/>
  <c r="F590" i="121" s="1"/>
  <c r="A596" i="121"/>
  <c r="F596" i="121" s="1"/>
  <c r="A602" i="121"/>
  <c r="A603" i="121"/>
  <c r="I603" i="121" s="1"/>
  <c r="A610" i="121"/>
  <c r="Q610" i="121" s="1"/>
  <c r="A611" i="121"/>
  <c r="Q611" i="121" s="1"/>
  <c r="A618" i="121"/>
  <c r="M618" i="121" s="1"/>
  <c r="A619" i="121"/>
  <c r="I619" i="121" s="1"/>
  <c r="A626" i="121"/>
  <c r="T626" i="121" s="1"/>
  <c r="A627" i="121"/>
  <c r="A631" i="121"/>
  <c r="A636" i="121"/>
  <c r="M636" i="121" s="1"/>
  <c r="A637" i="121"/>
  <c r="Q637" i="121" s="1"/>
  <c r="A642" i="121"/>
  <c r="A647" i="121"/>
  <c r="A651" i="121"/>
  <c r="I651" i="121" s="1"/>
  <c r="A655" i="121"/>
  <c r="F655" i="121" s="1"/>
  <c r="A659" i="121"/>
  <c r="F659" i="121" s="1"/>
  <c r="A663" i="121"/>
  <c r="I663" i="121" s="1"/>
  <c r="A667" i="121"/>
  <c r="I667" i="121" s="1"/>
  <c r="A671" i="121"/>
  <c r="F671" i="121" s="1"/>
  <c r="A676" i="121"/>
  <c r="A683" i="121"/>
  <c r="A689" i="121"/>
  <c r="I689" i="121" s="1"/>
  <c r="A690" i="121"/>
  <c r="I690" i="121" s="1"/>
  <c r="A697" i="121"/>
  <c r="M697" i="121" s="1"/>
  <c r="A698" i="121"/>
  <c r="M698" i="121" s="1"/>
  <c r="A705" i="121"/>
  <c r="I705" i="121" s="1"/>
  <c r="A706" i="121"/>
  <c r="I706" i="121" s="1"/>
  <c r="A714" i="121"/>
  <c r="A722" i="121"/>
  <c r="A723" i="121"/>
  <c r="A724" i="121"/>
  <c r="T724" i="121" s="1"/>
  <c r="A734" i="121"/>
  <c r="Q734" i="121" s="1"/>
  <c r="A735" i="121"/>
  <c r="A742" i="121"/>
  <c r="Q742" i="121" s="1"/>
  <c r="A743" i="121"/>
  <c r="F743" i="121" s="1"/>
  <c r="A750" i="121"/>
  <c r="M750" i="121" s="1"/>
  <c r="A751" i="121"/>
  <c r="Q751" i="121" s="1"/>
  <c r="A815" i="121"/>
  <c r="F815" i="121" s="1"/>
  <c r="A823" i="121"/>
  <c r="T823" i="121" s="1"/>
  <c r="A831" i="121"/>
  <c r="T831" i="121" s="1"/>
  <c r="A837" i="121"/>
  <c r="Q837" i="121" s="1"/>
  <c r="A846" i="121"/>
  <c r="F846" i="121" s="1"/>
  <c r="A849" i="121"/>
  <c r="I849" i="121" s="1"/>
  <c r="A854" i="121"/>
  <c r="F854" i="121" s="1"/>
  <c r="A857" i="121"/>
  <c r="Q857" i="121" s="1"/>
  <c r="A862" i="121"/>
  <c r="F862" i="121" s="1"/>
  <c r="A865" i="121"/>
  <c r="Q865" i="121" s="1"/>
  <c r="A870" i="121"/>
  <c r="F870" i="121" s="1"/>
  <c r="A873" i="121"/>
  <c r="Q873" i="121" s="1"/>
  <c r="A876" i="121"/>
  <c r="Q876" i="121" s="1"/>
  <c r="A882" i="121"/>
  <c r="F882" i="121" s="1"/>
  <c r="A885" i="121"/>
  <c r="F885" i="121" s="1"/>
  <c r="A890" i="121"/>
  <c r="F890" i="121" s="1"/>
  <c r="A896" i="121"/>
  <c r="T896" i="121" s="1"/>
  <c r="A899" i="121"/>
  <c r="T899" i="121" s="1"/>
  <c r="A904" i="121"/>
  <c r="F904" i="121" s="1"/>
  <c r="A907" i="121"/>
  <c r="T907" i="121" s="1"/>
  <c r="A912" i="121"/>
  <c r="M912" i="121" s="1"/>
  <c r="A915" i="121"/>
  <c r="T915" i="121" s="1"/>
  <c r="A920" i="121"/>
  <c r="F920" i="121" s="1"/>
  <c r="A923" i="121"/>
  <c r="T923" i="121" s="1"/>
  <c r="A928" i="121"/>
  <c r="M928" i="121" s="1"/>
  <c r="A931" i="121"/>
  <c r="T931" i="121" s="1"/>
  <c r="A935" i="121"/>
  <c r="T935" i="121" s="1"/>
  <c r="A936" i="121"/>
  <c r="F936" i="121" s="1"/>
  <c r="A943" i="121"/>
  <c r="I943" i="121" s="1"/>
  <c r="A944" i="121"/>
  <c r="F944" i="121" s="1"/>
  <c r="A984" i="121"/>
  <c r="F984" i="121" s="1"/>
  <c r="A985" i="121"/>
  <c r="Q985" i="121" s="1"/>
  <c r="A998" i="121"/>
  <c r="T998" i="121" s="1"/>
  <c r="A813" i="121"/>
  <c r="T813" i="121" s="1"/>
  <c r="A821" i="121"/>
  <c r="T821" i="121" s="1"/>
  <c r="A829" i="121"/>
  <c r="Q829" i="121" s="1"/>
  <c r="A835" i="121"/>
  <c r="A847" i="121"/>
  <c r="I847" i="121" s="1"/>
  <c r="A855" i="121"/>
  <c r="Q855" i="121" s="1"/>
  <c r="A863" i="121"/>
  <c r="Q863" i="121" s="1"/>
  <c r="A871" i="121"/>
  <c r="F871" i="121" s="1"/>
  <c r="A883" i="121"/>
  <c r="Q883" i="121" s="1"/>
  <c r="A891" i="121"/>
  <c r="I891" i="121" s="1"/>
  <c r="A897" i="121"/>
  <c r="T897" i="121" s="1"/>
  <c r="A905" i="121"/>
  <c r="T905" i="121" s="1"/>
  <c r="A913" i="121"/>
  <c r="T913" i="121" s="1"/>
  <c r="A921" i="121"/>
  <c r="T921" i="121" s="1"/>
  <c r="A929" i="121"/>
  <c r="T929" i="121" s="1"/>
  <c r="A973" i="121"/>
  <c r="Q973" i="121" s="1"/>
  <c r="A993" i="121"/>
  <c r="F993" i="121" s="1"/>
  <c r="A996" i="121"/>
  <c r="F996" i="121" s="1"/>
  <c r="A760" i="121"/>
  <c r="F760" i="121" s="1"/>
  <c r="A761" i="121"/>
  <c r="F761" i="121" s="1"/>
  <c r="A768" i="121"/>
  <c r="F768" i="121" s="1"/>
  <c r="A769" i="121"/>
  <c r="Q769" i="121" s="1"/>
  <c r="A776" i="121"/>
  <c r="Q776" i="121" s="1"/>
  <c r="A777" i="121"/>
  <c r="T777" i="121" s="1"/>
  <c r="A784" i="121"/>
  <c r="I784" i="121" s="1"/>
  <c r="A785" i="121"/>
  <c r="I785" i="121" s="1"/>
  <c r="A792" i="121"/>
  <c r="Q792" i="121" s="1"/>
  <c r="A793" i="121"/>
  <c r="T793" i="121" s="1"/>
  <c r="A800" i="121"/>
  <c r="M800" i="121" s="1"/>
  <c r="A801" i="121"/>
  <c r="F801" i="121" s="1"/>
  <c r="A808" i="121"/>
  <c r="M808" i="121" s="1"/>
  <c r="A811" i="121"/>
  <c r="M811" i="121" s="1"/>
  <c r="A816" i="121"/>
  <c r="F816" i="121" s="1"/>
  <c r="A819" i="121"/>
  <c r="T819" i="121" s="1"/>
  <c r="A824" i="121"/>
  <c r="F824" i="121" s="1"/>
  <c r="A827" i="121"/>
  <c r="T827" i="121" s="1"/>
  <c r="A830" i="121"/>
  <c r="F830" i="121" s="1"/>
  <c r="A833" i="121"/>
  <c r="Q833" i="121" s="1"/>
  <c r="A838" i="121"/>
  <c r="F838" i="121" s="1"/>
  <c r="A850" i="121"/>
  <c r="F850" i="121" s="1"/>
  <c r="A853" i="121"/>
  <c r="I853" i="121" s="1"/>
  <c r="A858" i="121"/>
  <c r="F858" i="121" s="1"/>
  <c r="A861" i="121"/>
  <c r="Q861" i="121" s="1"/>
  <c r="A866" i="121"/>
  <c r="F866" i="121" s="1"/>
  <c r="A869" i="121"/>
  <c r="I869" i="121" s="1"/>
  <c r="A874" i="121"/>
  <c r="F874" i="121" s="1"/>
  <c r="A886" i="121"/>
  <c r="F886" i="121" s="1"/>
  <c r="A889" i="121"/>
  <c r="A892" i="121"/>
  <c r="F892" i="121" s="1"/>
  <c r="A895" i="121"/>
  <c r="T895" i="121" s="1"/>
  <c r="A900" i="121"/>
  <c r="F900" i="121" s="1"/>
  <c r="A903" i="121"/>
  <c r="T903" i="121" s="1"/>
  <c r="A908" i="121"/>
  <c r="F908" i="121" s="1"/>
  <c r="A911" i="121"/>
  <c r="T911" i="121" s="1"/>
  <c r="A916" i="121"/>
  <c r="F916" i="121" s="1"/>
  <c r="A919" i="121"/>
  <c r="T919" i="121" s="1"/>
  <c r="A924" i="121"/>
  <c r="F924" i="121" s="1"/>
  <c r="A927" i="121"/>
  <c r="T927" i="121" s="1"/>
  <c r="A932" i="121"/>
  <c r="F932" i="121" s="1"/>
  <c r="A939" i="121"/>
  <c r="Q939" i="121" s="1"/>
  <c r="A940" i="121"/>
  <c r="F940" i="121" s="1"/>
  <c r="A974" i="121"/>
  <c r="F974" i="121" s="1"/>
  <c r="A978" i="121"/>
  <c r="F978" i="121" s="1"/>
  <c r="A982" i="121"/>
  <c r="M982" i="121" s="1"/>
  <c r="A987" i="121"/>
  <c r="Q987" i="121" s="1"/>
  <c r="A992" i="121"/>
  <c r="T992" i="121" s="1"/>
  <c r="A994" i="121"/>
  <c r="F994" i="121" s="1"/>
  <c r="A999" i="121"/>
  <c r="I999" i="121" s="1"/>
  <c r="C99" i="102"/>
  <c r="B99" i="102"/>
  <c r="F99" i="102"/>
  <c r="E197" i="121"/>
  <c r="A197" i="121"/>
  <c r="W200" i="121"/>
  <c r="E205" i="121"/>
  <c r="A205" i="121"/>
  <c r="A211" i="121"/>
  <c r="E213" i="121"/>
  <c r="A213" i="121"/>
  <c r="F101" i="102"/>
  <c r="C101" i="102"/>
  <c r="B101" i="102"/>
  <c r="C103" i="102"/>
  <c r="B103" i="102"/>
  <c r="F103" i="102"/>
  <c r="C105" i="102"/>
  <c r="B105" i="102"/>
  <c r="F105" i="102"/>
  <c r="C107" i="102"/>
  <c r="B107" i="102"/>
  <c r="F107" i="102"/>
  <c r="C109" i="102"/>
  <c r="B109" i="102"/>
  <c r="F109" i="102"/>
  <c r="C111" i="102"/>
  <c r="B111" i="102"/>
  <c r="F111" i="102"/>
  <c r="C113" i="102"/>
  <c r="B113" i="102"/>
  <c r="F113" i="102"/>
  <c r="C115" i="102"/>
  <c r="B115" i="102"/>
  <c r="F115" i="102"/>
  <c r="C117" i="102"/>
  <c r="B117" i="102"/>
  <c r="F117" i="102"/>
  <c r="C119" i="102"/>
  <c r="B119" i="102"/>
  <c r="F119" i="102"/>
  <c r="E203" i="121"/>
  <c r="A203" i="121"/>
  <c r="A3" i="121"/>
  <c r="A199" i="121"/>
  <c r="E85" i="102"/>
  <c r="D84" i="102"/>
  <c r="E81" i="102"/>
  <c r="D80" i="102"/>
  <c r="E86" i="102"/>
  <c r="D85" i="102"/>
  <c r="E82" i="102"/>
  <c r="D81" i="102"/>
  <c r="D86" i="102"/>
  <c r="E83" i="102"/>
  <c r="D82" i="102"/>
  <c r="E79" i="102"/>
  <c r="E80" i="102"/>
  <c r="D79" i="102"/>
  <c r="E84" i="102"/>
  <c r="D83" i="102"/>
  <c r="B100" i="102"/>
  <c r="F100" i="102"/>
  <c r="C100" i="102"/>
  <c r="C102" i="102"/>
  <c r="B102" i="102"/>
  <c r="F102" i="102"/>
  <c r="C104" i="102"/>
  <c r="B104" i="102"/>
  <c r="F104" i="102"/>
  <c r="C106" i="102"/>
  <c r="B106" i="102"/>
  <c r="F106" i="102"/>
  <c r="C108" i="102"/>
  <c r="B108" i="102"/>
  <c r="F108" i="102"/>
  <c r="C110" i="102"/>
  <c r="B110" i="102"/>
  <c r="F110" i="102"/>
  <c r="C112" i="102"/>
  <c r="B112" i="102"/>
  <c r="F112" i="102"/>
  <c r="C114" i="102"/>
  <c r="B114" i="102"/>
  <c r="F114" i="102"/>
  <c r="C116" i="102"/>
  <c r="B116" i="102"/>
  <c r="F116" i="102"/>
  <c r="C118" i="102"/>
  <c r="B118" i="102"/>
  <c r="F118" i="102"/>
  <c r="E207" i="121"/>
  <c r="A207" i="121"/>
  <c r="A217" i="121"/>
  <c r="A219" i="121"/>
  <c r="A221" i="121"/>
  <c r="A225" i="121"/>
  <c r="A233" i="121"/>
  <c r="A235" i="121"/>
  <c r="A237" i="121"/>
  <c r="A239" i="121"/>
  <c r="A241" i="121"/>
  <c r="A243" i="121"/>
  <c r="A245" i="121"/>
  <c r="A247" i="121"/>
  <c r="A249" i="121"/>
  <c r="A251" i="121"/>
  <c r="A253" i="121"/>
  <c r="A255" i="121"/>
  <c r="A257" i="121"/>
  <c r="A259" i="121"/>
  <c r="A261" i="121"/>
  <c r="A263" i="121"/>
  <c r="A265" i="121"/>
  <c r="A267" i="121"/>
  <c r="A269" i="121"/>
  <c r="A271" i="121"/>
  <c r="A273" i="121"/>
  <c r="A275" i="121"/>
  <c r="A277" i="121"/>
  <c r="A279" i="121"/>
  <c r="A281" i="121"/>
  <c r="A283" i="121"/>
  <c r="A295" i="121"/>
  <c r="A299" i="121"/>
  <c r="A307" i="121"/>
  <c r="A309" i="121"/>
  <c r="A313" i="121"/>
  <c r="A315" i="121"/>
  <c r="A317" i="121"/>
  <c r="A319" i="121"/>
  <c r="A321" i="121"/>
  <c r="A323" i="121"/>
  <c r="A325" i="121"/>
  <c r="A327" i="121"/>
  <c r="A329" i="121"/>
  <c r="A331" i="121"/>
  <c r="A333" i="121"/>
  <c r="A335" i="121"/>
  <c r="A337" i="121"/>
  <c r="A339" i="121"/>
  <c r="A341" i="121"/>
  <c r="A343" i="121"/>
  <c r="A345" i="121"/>
  <c r="A347" i="121"/>
  <c r="A349" i="121"/>
  <c r="A351" i="121"/>
  <c r="A353" i="121"/>
  <c r="A355" i="121"/>
  <c r="A357" i="121"/>
  <c r="A359" i="121"/>
  <c r="A361" i="121"/>
  <c r="A363" i="121"/>
  <c r="A365" i="121"/>
  <c r="A367" i="121"/>
  <c r="A369" i="121"/>
  <c r="A371" i="121"/>
  <c r="A373" i="121"/>
  <c r="A375" i="121"/>
  <c r="A377" i="121"/>
  <c r="A379" i="121"/>
  <c r="A381" i="121"/>
  <c r="A383" i="121"/>
  <c r="A385" i="121"/>
  <c r="A387" i="121"/>
  <c r="A389" i="121"/>
  <c r="A391" i="121"/>
  <c r="A393" i="121"/>
  <c r="A395" i="121"/>
  <c r="A397" i="121"/>
  <c r="A399" i="121"/>
  <c r="A401" i="121"/>
  <c r="A403" i="121"/>
  <c r="A405" i="121"/>
  <c r="A407" i="121"/>
  <c r="A409" i="121"/>
  <c r="A411" i="121"/>
  <c r="A413" i="121"/>
  <c r="A415" i="121"/>
  <c r="A417" i="121"/>
  <c r="A419" i="121"/>
  <c r="A421" i="121"/>
  <c r="A423" i="121"/>
  <c r="A425" i="121"/>
  <c r="A427" i="121"/>
  <c r="A429" i="121"/>
  <c r="A431" i="121"/>
  <c r="A433" i="121"/>
  <c r="A435" i="121"/>
  <c r="A437" i="121"/>
  <c r="A439" i="121"/>
  <c r="A441" i="121"/>
  <c r="A443" i="121"/>
  <c r="A445" i="121"/>
  <c r="A447" i="121"/>
  <c r="A449" i="121"/>
  <c r="A451" i="121"/>
  <c r="A453" i="121"/>
  <c r="A455" i="121"/>
  <c r="A457" i="121"/>
  <c r="A459" i="121"/>
  <c r="A461" i="121"/>
  <c r="A463" i="121"/>
  <c r="A477" i="121"/>
  <c r="A495" i="121"/>
  <c r="A497" i="121"/>
  <c r="A707" i="121"/>
  <c r="A711" i="121"/>
  <c r="A715" i="121"/>
  <c r="A719" i="121"/>
  <c r="A720" i="121"/>
  <c r="A727" i="121"/>
  <c r="A728" i="121"/>
  <c r="A591" i="121"/>
  <c r="A593" i="121"/>
  <c r="A595" i="121"/>
  <c r="A709" i="121"/>
  <c r="A713" i="121"/>
  <c r="A717" i="121"/>
  <c r="A718" i="121"/>
  <c r="A725" i="121"/>
  <c r="A726" i="121"/>
  <c r="A809" i="121"/>
  <c r="A810" i="121"/>
  <c r="A839" i="121"/>
  <c r="A841" i="121"/>
  <c r="A843" i="121"/>
  <c r="A845" i="121"/>
  <c r="A875" i="121"/>
  <c r="A877" i="121"/>
  <c r="A879" i="121"/>
  <c r="A881" i="121"/>
  <c r="A893" i="121"/>
  <c r="E948" i="121"/>
  <c r="A948" i="121"/>
  <c r="A945" i="121"/>
  <c r="A950" i="121"/>
  <c r="A952" i="121"/>
  <c r="A954" i="121"/>
  <c r="A956" i="121"/>
  <c r="A958" i="121"/>
  <c r="A960" i="121"/>
  <c r="A962" i="121"/>
  <c r="A976" i="121"/>
  <c r="T22" i="121" l="1"/>
  <c r="T613" i="121"/>
  <c r="T951" i="121"/>
  <c r="I968" i="121"/>
  <c r="M934" i="121"/>
  <c r="M888" i="121"/>
  <c r="F851" i="121"/>
  <c r="Q969" i="121"/>
  <c r="F753" i="121"/>
  <c r="M967" i="121"/>
  <c r="Q848" i="121"/>
  <c r="T930" i="121"/>
  <c r="M817" i="121"/>
  <c r="M814" i="121"/>
  <c r="I504" i="121"/>
  <c r="T968" i="121"/>
  <c r="T942" i="121"/>
  <c r="T814" i="121"/>
  <c r="M961" i="121"/>
  <c r="M942" i="121"/>
  <c r="I918" i="121"/>
  <c r="M951" i="121"/>
  <c r="M1000" i="121"/>
  <c r="T934" i="121"/>
  <c r="T878" i="121"/>
  <c r="T753" i="121"/>
  <c r="T969" i="121"/>
  <c r="T959" i="121"/>
  <c r="I774" i="121"/>
  <c r="M989" i="121"/>
  <c r="Q959" i="121"/>
  <c r="I887" i="121"/>
  <c r="Q887" i="121"/>
  <c r="F699" i="121"/>
  <c r="M162" i="121"/>
  <c r="I334" i="121"/>
  <c r="T691" i="121"/>
  <c r="T887" i="121"/>
  <c r="Q918" i="121"/>
  <c r="I959" i="121"/>
  <c r="I848" i="121"/>
  <c r="M736" i="121"/>
  <c r="I953" i="121"/>
  <c r="M990" i="121"/>
  <c r="I834" i="121"/>
  <c r="T404" i="121"/>
  <c r="M898" i="121"/>
  <c r="F488" i="121"/>
  <c r="Q898" i="121"/>
  <c r="M941" i="121"/>
  <c r="Q524" i="121"/>
  <c r="M59" i="121"/>
  <c r="F524" i="121"/>
  <c r="Q402" i="121"/>
  <c r="F571" i="121"/>
  <c r="M402" i="121"/>
  <c r="T977" i="121"/>
  <c r="T780" i="121"/>
  <c r="I568" i="121"/>
  <c r="I515" i="121"/>
  <c r="M957" i="121"/>
  <c r="F947" i="121"/>
  <c r="T757" i="121"/>
  <c r="M700" i="121"/>
  <c r="M515" i="121"/>
  <c r="I250" i="121"/>
  <c r="M175" i="121"/>
  <c r="T740" i="121"/>
  <c r="Q691" i="121"/>
  <c r="M568" i="121"/>
  <c r="Q59" i="121"/>
  <c r="Q977" i="121"/>
  <c r="Q941" i="121"/>
  <c r="Q757" i="121"/>
  <c r="T571" i="121"/>
  <c r="M388" i="121"/>
  <c r="Q175" i="121"/>
  <c r="F977" i="121"/>
  <c r="F757" i="121"/>
  <c r="F691" i="121"/>
  <c r="T568" i="121"/>
  <c r="I571" i="121"/>
  <c r="I488" i="121"/>
  <c r="I388" i="121"/>
  <c r="T334" i="121"/>
  <c r="I162" i="121"/>
  <c r="M797" i="121"/>
  <c r="I963" i="121"/>
  <c r="Q700" i="121"/>
  <c r="T488" i="121"/>
  <c r="Q310" i="121"/>
  <c r="T162" i="121"/>
  <c r="M864" i="121"/>
  <c r="Q797" i="121"/>
  <c r="T699" i="121"/>
  <c r="Q584" i="121"/>
  <c r="F553" i="121"/>
  <c r="Q530" i="121"/>
  <c r="I104" i="121"/>
  <c r="T963" i="121"/>
  <c r="Q864" i="121"/>
  <c r="I699" i="121"/>
  <c r="F530" i="121"/>
  <c r="Q404" i="121"/>
  <c r="I286" i="121"/>
  <c r="T104" i="121"/>
  <c r="I964" i="121"/>
  <c r="I977" i="121"/>
  <c r="M947" i="121"/>
  <c r="T864" i="121"/>
  <c r="T860" i="121"/>
  <c r="T836" i="121"/>
  <c r="F941" i="121"/>
  <c r="I922" i="121"/>
  <c r="T898" i="121"/>
  <c r="I787" i="121"/>
  <c r="T797" i="121"/>
  <c r="F797" i="121"/>
  <c r="I757" i="121"/>
  <c r="M748" i="121"/>
  <c r="F700" i="121"/>
  <c r="M699" i="121"/>
  <c r="I691" i="121"/>
  <c r="Q641" i="121"/>
  <c r="Q568" i="121"/>
  <c r="I524" i="121"/>
  <c r="T524" i="121"/>
  <c r="M571" i="121"/>
  <c r="I530" i="121"/>
  <c r="T530" i="121"/>
  <c r="Q515" i="121"/>
  <c r="M488" i="121"/>
  <c r="I473" i="121"/>
  <c r="M404" i="121"/>
  <c r="I402" i="121"/>
  <c r="Q334" i="121"/>
  <c r="M310" i="121"/>
  <c r="Q250" i="121"/>
  <c r="T402" i="121"/>
  <c r="T310" i="121"/>
  <c r="I285" i="121"/>
  <c r="T175" i="121"/>
  <c r="F175" i="121"/>
  <c r="Q162" i="121"/>
  <c r="M104" i="121"/>
  <c r="T59" i="121"/>
  <c r="F59" i="121"/>
  <c r="T947" i="121"/>
  <c r="I864" i="121"/>
  <c r="I860" i="121"/>
  <c r="I836" i="121"/>
  <c r="I941" i="121"/>
  <c r="M922" i="121"/>
  <c r="I898" i="121"/>
  <c r="I700" i="121"/>
  <c r="F660" i="121"/>
  <c r="F620" i="121"/>
  <c r="Q675" i="121"/>
  <c r="I617" i="121"/>
  <c r="I553" i="121"/>
  <c r="F513" i="121"/>
  <c r="T515" i="121"/>
  <c r="T464" i="121"/>
  <c r="I404" i="121"/>
  <c r="Q388" i="121"/>
  <c r="M334" i="121"/>
  <c r="I310" i="121"/>
  <c r="M250" i="121"/>
  <c r="T388" i="121"/>
  <c r="T250" i="121"/>
  <c r="T170" i="121"/>
  <c r="F104" i="121"/>
  <c r="T547" i="121"/>
  <c r="T286" i="121"/>
  <c r="M414" i="121"/>
  <c r="I129" i="121"/>
  <c r="F85" i="121"/>
  <c r="F706" i="121"/>
  <c r="Q913" i="121"/>
  <c r="I800" i="121"/>
  <c r="I673" i="121"/>
  <c r="T400" i="121"/>
  <c r="I743" i="121"/>
  <c r="Q644" i="121"/>
  <c r="M915" i="121"/>
  <c r="F534" i="121"/>
  <c r="Q607" i="121"/>
  <c r="T637" i="121"/>
  <c r="F21" i="121"/>
  <c r="Q847" i="121"/>
  <c r="M768" i="121"/>
  <c r="Q882" i="121"/>
  <c r="M944" i="121"/>
  <c r="Q747" i="121"/>
  <c r="M610" i="121"/>
  <c r="F193" i="121"/>
  <c r="F869" i="121"/>
  <c r="F489" i="121"/>
  <c r="Q924" i="121"/>
  <c r="I908" i="121"/>
  <c r="F790" i="121"/>
  <c r="M790" i="121"/>
  <c r="Q696" i="121"/>
  <c r="T696" i="121"/>
  <c r="I696" i="121"/>
  <c r="Q666" i="121"/>
  <c r="T666" i="121"/>
  <c r="I666" i="121"/>
  <c r="M650" i="121"/>
  <c r="F650" i="121"/>
  <c r="F802" i="121"/>
  <c r="M802" i="121"/>
  <c r="I771" i="121"/>
  <c r="Q771" i="121"/>
  <c r="F745" i="121"/>
  <c r="T745" i="121"/>
  <c r="M745" i="121"/>
  <c r="M688" i="121"/>
  <c r="F688" i="121"/>
  <c r="T668" i="121"/>
  <c r="I668" i="121"/>
  <c r="Q668" i="121"/>
  <c r="Q652" i="121"/>
  <c r="T652" i="121"/>
  <c r="I652" i="121"/>
  <c r="F632" i="121"/>
  <c r="M632" i="121"/>
  <c r="F592" i="121"/>
  <c r="T592" i="121"/>
  <c r="M592" i="121"/>
  <c r="I561" i="121"/>
  <c r="Q561" i="121"/>
  <c r="I529" i="121"/>
  <c r="F529" i="121"/>
  <c r="Q529" i="121"/>
  <c r="Q506" i="121"/>
  <c r="M506" i="121"/>
  <c r="T506" i="121"/>
  <c r="I506" i="121"/>
  <c r="Q456" i="121"/>
  <c r="T456" i="121"/>
  <c r="F456" i="121"/>
  <c r="M456" i="121"/>
  <c r="F430" i="121"/>
  <c r="Q430" i="121"/>
  <c r="F306" i="121"/>
  <c r="Q306" i="121"/>
  <c r="F240" i="121"/>
  <c r="I240" i="121"/>
  <c r="T8" i="121"/>
  <c r="Q8" i="121"/>
  <c r="T604" i="121"/>
  <c r="I604" i="121"/>
  <c r="Q604" i="121"/>
  <c r="F575" i="121"/>
  <c r="T575" i="121"/>
  <c r="M575" i="121"/>
  <c r="M559" i="121"/>
  <c r="F559" i="121"/>
  <c r="T559" i="121"/>
  <c r="I543" i="121"/>
  <c r="Q543" i="121"/>
  <c r="F518" i="121"/>
  <c r="M518" i="121"/>
  <c r="F503" i="121"/>
  <c r="T503" i="121"/>
  <c r="M503" i="121"/>
  <c r="F484" i="121"/>
  <c r="M484" i="121"/>
  <c r="Q462" i="121"/>
  <c r="T462" i="121"/>
  <c r="I462" i="121"/>
  <c r="M446" i="121"/>
  <c r="F446" i="121"/>
  <c r="Q301" i="121"/>
  <c r="I301" i="121"/>
  <c r="F270" i="121"/>
  <c r="Q270" i="121"/>
  <c r="F290" i="121"/>
  <c r="T290" i="121"/>
  <c r="Q290" i="121"/>
  <c r="Q210" i="121"/>
  <c r="F210" i="121"/>
  <c r="M143" i="121"/>
  <c r="F143" i="121"/>
  <c r="T143" i="121"/>
  <c r="F428" i="121"/>
  <c r="I428" i="121"/>
  <c r="M428" i="121"/>
  <c r="F268" i="121"/>
  <c r="M268" i="121"/>
  <c r="Q122" i="121"/>
  <c r="T122" i="121"/>
  <c r="I122" i="121"/>
  <c r="Q96" i="121"/>
  <c r="T96" i="121"/>
  <c r="Q24" i="121"/>
  <c r="T24" i="121"/>
  <c r="I24" i="121"/>
  <c r="F390" i="121"/>
  <c r="Q390" i="121"/>
  <c r="I390" i="121"/>
  <c r="F252" i="121"/>
  <c r="I252" i="121"/>
  <c r="M252" i="121"/>
  <c r="M40" i="121"/>
  <c r="F40" i="121"/>
  <c r="F380" i="121"/>
  <c r="I380" i="121"/>
  <c r="M380" i="121"/>
  <c r="Q380" i="121"/>
  <c r="F791" i="121"/>
  <c r="T791" i="121"/>
  <c r="M791" i="121"/>
  <c r="Q708" i="121"/>
  <c r="I708" i="121"/>
  <c r="T682" i="121"/>
  <c r="I682" i="121"/>
  <c r="Q682" i="121"/>
  <c r="M601" i="121"/>
  <c r="F601" i="121"/>
  <c r="T601" i="121"/>
  <c r="F424" i="121"/>
  <c r="M424" i="121"/>
  <c r="Q424" i="121"/>
  <c r="F218" i="121"/>
  <c r="Q218" i="121"/>
  <c r="T218" i="121"/>
  <c r="I218" i="121"/>
  <c r="F767" i="121"/>
  <c r="T767" i="121"/>
  <c r="M767" i="121"/>
  <c r="I639" i="121"/>
  <c r="Q639" i="121"/>
  <c r="I555" i="121"/>
  <c r="F555" i="121"/>
  <c r="T555" i="121"/>
  <c r="Q555" i="121"/>
  <c r="F507" i="121"/>
  <c r="T507" i="121"/>
  <c r="Q507" i="121"/>
  <c r="M507" i="121"/>
  <c r="M470" i="121"/>
  <c r="T470" i="121"/>
  <c r="I470" i="121"/>
  <c r="F470" i="121"/>
  <c r="F300" i="121"/>
  <c r="M300" i="121"/>
  <c r="Q300" i="121"/>
  <c r="M178" i="121"/>
  <c r="F178" i="121"/>
  <c r="Q782" i="121"/>
  <c r="T782" i="121"/>
  <c r="I782" i="121"/>
  <c r="I741" i="121"/>
  <c r="Q741" i="121"/>
  <c r="M504" i="121"/>
  <c r="F504" i="121"/>
  <c r="T468" i="121"/>
  <c r="I468" i="121"/>
  <c r="F468" i="121"/>
  <c r="Q468" i="121"/>
  <c r="F354" i="121"/>
  <c r="I354" i="121"/>
  <c r="T354" i="121"/>
  <c r="M354" i="121"/>
  <c r="Q198" i="121"/>
  <c r="F198" i="121"/>
  <c r="F112" i="121"/>
  <c r="M112" i="121"/>
  <c r="F280" i="121"/>
  <c r="T280" i="121"/>
  <c r="Q280" i="121"/>
  <c r="I280" i="121"/>
  <c r="M43" i="121"/>
  <c r="T43" i="121"/>
  <c r="Q546" i="121"/>
  <c r="T546" i="121"/>
  <c r="I546" i="121"/>
  <c r="Q305" i="121"/>
  <c r="F305" i="121"/>
  <c r="M305" i="121"/>
  <c r="I305" i="121"/>
  <c r="F789" i="121"/>
  <c r="T789" i="121"/>
  <c r="M789" i="121"/>
  <c r="M684" i="121"/>
  <c r="F684" i="121"/>
  <c r="F436" i="121"/>
  <c r="T436" i="121"/>
  <c r="I436" i="121"/>
  <c r="M436" i="121"/>
  <c r="F204" i="121"/>
  <c r="Q204" i="121"/>
  <c r="T204" i="121"/>
  <c r="M204" i="121"/>
  <c r="I204" i="121"/>
  <c r="I613" i="121"/>
  <c r="Q613" i="121"/>
  <c r="F426" i="121"/>
  <c r="T426" i="121"/>
  <c r="Q426" i="121"/>
  <c r="I426" i="121"/>
  <c r="M576" i="121"/>
  <c r="F576" i="121"/>
  <c r="Q556" i="121"/>
  <c r="M556" i="121"/>
  <c r="T556" i="121"/>
  <c r="I556" i="121"/>
  <c r="F536" i="121"/>
  <c r="Q536" i="121"/>
  <c r="M536" i="121"/>
  <c r="Q512" i="121"/>
  <c r="T512" i="121"/>
  <c r="I512" i="121"/>
  <c r="M151" i="121"/>
  <c r="I151" i="121"/>
  <c r="F151" i="121"/>
  <c r="T151" i="121"/>
  <c r="T638" i="121"/>
  <c r="I638" i="121"/>
  <c r="Q638" i="121"/>
  <c r="M969" i="121"/>
  <c r="I967" i="121"/>
  <c r="I961" i="121"/>
  <c r="Q951" i="121"/>
  <c r="T967" i="121"/>
  <c r="T953" i="121"/>
  <c r="Q990" i="121"/>
  <c r="M968" i="121"/>
  <c r="Q1000" i="121"/>
  <c r="Q888" i="121"/>
  <c r="T848" i="121"/>
  <c r="M834" i="121"/>
  <c r="Q817" i="121"/>
  <c r="T851" i="121"/>
  <c r="I942" i="121"/>
  <c r="I934" i="121"/>
  <c r="I930" i="121"/>
  <c r="M918" i="121"/>
  <c r="M887" i="121"/>
  <c r="I878" i="121"/>
  <c r="I851" i="121"/>
  <c r="Q814" i="121"/>
  <c r="I753" i="121"/>
  <c r="I745" i="121"/>
  <c r="T802" i="121"/>
  <c r="F771" i="121"/>
  <c r="I791" i="121"/>
  <c r="T790" i="121"/>
  <c r="F708" i="121"/>
  <c r="T684" i="121"/>
  <c r="M652" i="121"/>
  <c r="F639" i="121"/>
  <c r="Q632" i="121"/>
  <c r="M613" i="121"/>
  <c r="I592" i="121"/>
  <c r="F696" i="121"/>
  <c r="M682" i="121"/>
  <c r="F666" i="121"/>
  <c r="I576" i="121"/>
  <c r="Q575" i="121"/>
  <c r="T543" i="121"/>
  <c r="I518" i="121"/>
  <c r="F512" i="121"/>
  <c r="I503" i="121"/>
  <c r="T484" i="121"/>
  <c r="Q446" i="121"/>
  <c r="T529" i="121"/>
  <c r="F506" i="121"/>
  <c r="F556" i="121"/>
  <c r="T536" i="121"/>
  <c r="I456" i="121"/>
  <c r="I424" i="121"/>
  <c r="M390" i="121"/>
  <c r="Q354" i="121"/>
  <c r="T252" i="121"/>
  <c r="M774" i="121"/>
  <c r="F774" i="121"/>
  <c r="F990" i="121"/>
  <c r="F1000" i="121"/>
  <c r="T888" i="121"/>
  <c r="Q834" i="121"/>
  <c r="F817" i="121"/>
  <c r="M930" i="121"/>
  <c r="M878" i="121"/>
  <c r="M851" i="121"/>
  <c r="M753" i="121"/>
  <c r="Q745" i="121"/>
  <c r="T774" i="121"/>
  <c r="M668" i="121"/>
  <c r="F652" i="121"/>
  <c r="T632" i="121"/>
  <c r="Q592" i="121"/>
  <c r="I688" i="121"/>
  <c r="F682" i="121"/>
  <c r="I650" i="121"/>
  <c r="M462" i="121"/>
  <c r="T446" i="121"/>
  <c r="M186" i="121"/>
  <c r="Q151" i="121"/>
  <c r="F43" i="121"/>
  <c r="I736" i="121"/>
  <c r="Q736" i="121"/>
  <c r="F420" i="121"/>
  <c r="I420" i="121"/>
  <c r="M420" i="121"/>
  <c r="Q420" i="121"/>
  <c r="I969" i="121"/>
  <c r="Q953" i="121"/>
  <c r="Q968" i="121"/>
  <c r="M543" i="121"/>
  <c r="Q518" i="121"/>
  <c r="Q503" i="121"/>
  <c r="T561" i="121"/>
  <c r="M529" i="121"/>
  <c r="M555" i="121"/>
  <c r="Q436" i="121"/>
  <c r="M280" i="121"/>
  <c r="Q967" i="121"/>
  <c r="Q961" i="121"/>
  <c r="M959" i="121"/>
  <c r="M953" i="121"/>
  <c r="I951" i="121"/>
  <c r="T961" i="121"/>
  <c r="I990" i="121"/>
  <c r="I1000" i="121"/>
  <c r="I888" i="121"/>
  <c r="M848" i="121"/>
  <c r="T834" i="121"/>
  <c r="I817" i="121"/>
  <c r="Q942" i="121"/>
  <c r="Q934" i="121"/>
  <c r="Q930" i="121"/>
  <c r="T918" i="121"/>
  <c r="Q878" i="121"/>
  <c r="I814" i="121"/>
  <c r="T741" i="121"/>
  <c r="I802" i="121"/>
  <c r="T771" i="121"/>
  <c r="Q789" i="121"/>
  <c r="M741" i="121"/>
  <c r="I790" i="121"/>
  <c r="F782" i="121"/>
  <c r="I767" i="121"/>
  <c r="F736" i="121"/>
  <c r="T708" i="121"/>
  <c r="I684" i="121"/>
  <c r="F668" i="121"/>
  <c r="T639" i="121"/>
  <c r="F638" i="121"/>
  <c r="M604" i="121"/>
  <c r="Q688" i="121"/>
  <c r="Q650" i="121"/>
  <c r="I601" i="121"/>
  <c r="T576" i="121"/>
  <c r="I559" i="121"/>
  <c r="F543" i="121"/>
  <c r="T518" i="121"/>
  <c r="Q504" i="121"/>
  <c r="I484" i="121"/>
  <c r="F462" i="121"/>
  <c r="M561" i="121"/>
  <c r="M546" i="121"/>
  <c r="M468" i="121"/>
  <c r="Q470" i="121"/>
  <c r="Q428" i="121"/>
  <c r="I266" i="121"/>
  <c r="M218" i="121"/>
  <c r="T300" i="121"/>
  <c r="T305" i="121"/>
  <c r="Q135" i="121"/>
  <c r="Q19" i="121"/>
  <c r="Q915" i="121"/>
  <c r="F913" i="121"/>
  <c r="T847" i="121"/>
  <c r="T944" i="121"/>
  <c r="M908" i="121"/>
  <c r="M849" i="121"/>
  <c r="F847" i="121"/>
  <c r="Q800" i="121"/>
  <c r="T768" i="121"/>
  <c r="F747" i="121"/>
  <c r="Q731" i="121"/>
  <c r="M743" i="121"/>
  <c r="I701" i="121"/>
  <c r="M673" i="121"/>
  <c r="F644" i="121"/>
  <c r="Q706" i="121"/>
  <c r="I637" i="121"/>
  <c r="Q400" i="121"/>
  <c r="T161" i="121"/>
  <c r="Q129" i="121"/>
  <c r="T53" i="121"/>
  <c r="T830" i="121"/>
  <c r="M701" i="121"/>
  <c r="Q673" i="121"/>
  <c r="T607" i="121"/>
  <c r="I671" i="121"/>
  <c r="F637" i="121"/>
  <c r="I400" i="121"/>
  <c r="M574" i="121"/>
  <c r="T193" i="121"/>
  <c r="Q161" i="121"/>
  <c r="T85" i="121"/>
  <c r="F53" i="121"/>
  <c r="F987" i="121"/>
  <c r="F915" i="121"/>
  <c r="I882" i="121"/>
  <c r="T940" i="121"/>
  <c r="M869" i="121"/>
  <c r="Q849" i="121"/>
  <c r="T800" i="121"/>
  <c r="M913" i="121"/>
  <c r="M882" i="121"/>
  <c r="T869" i="121"/>
  <c r="Q944" i="121"/>
  <c r="Q940" i="121"/>
  <c r="T908" i="121"/>
  <c r="Q869" i="121"/>
  <c r="F849" i="121"/>
  <c r="Q830" i="121"/>
  <c r="I768" i="121"/>
  <c r="I747" i="121"/>
  <c r="T743" i="121"/>
  <c r="F701" i="121"/>
  <c r="M644" i="121"/>
  <c r="I607" i="121"/>
  <c r="Q671" i="121"/>
  <c r="I610" i="121"/>
  <c r="M534" i="121"/>
  <c r="M489" i="121"/>
  <c r="F482" i="121"/>
  <c r="Q193" i="121"/>
  <c r="F161" i="121"/>
  <c r="I85" i="121"/>
  <c r="M21" i="121"/>
  <c r="T510" i="121"/>
  <c r="I542" i="121"/>
  <c r="T21" i="121"/>
  <c r="I53" i="121"/>
  <c r="M51" i="121"/>
  <c r="I574" i="121"/>
  <c r="M510" i="121"/>
  <c r="I510" i="121"/>
  <c r="I231" i="121"/>
  <c r="F108" i="121"/>
  <c r="I773" i="121"/>
  <c r="T482" i="121"/>
  <c r="I915" i="121"/>
  <c r="I913" i="121"/>
  <c r="T882" i="121"/>
  <c r="T849" i="121"/>
  <c r="I944" i="121"/>
  <c r="M940" i="121"/>
  <c r="M847" i="121"/>
  <c r="I830" i="121"/>
  <c r="F800" i="121"/>
  <c r="Q768" i="121"/>
  <c r="M747" i="121"/>
  <c r="Q743" i="121"/>
  <c r="T701" i="121"/>
  <c r="T673" i="121"/>
  <c r="T644" i="121"/>
  <c r="F607" i="121"/>
  <c r="T706" i="121"/>
  <c r="M671" i="121"/>
  <c r="M637" i="121"/>
  <c r="T610" i="121"/>
  <c r="Q534" i="121"/>
  <c r="T489" i="121"/>
  <c r="M400" i="121"/>
  <c r="Q542" i="121"/>
  <c r="I482" i="121"/>
  <c r="T231" i="121"/>
  <c r="I193" i="121"/>
  <c r="M161" i="121"/>
  <c r="M129" i="121"/>
  <c r="M85" i="121"/>
  <c r="Q53" i="121"/>
  <c r="Q21" i="121"/>
  <c r="M706" i="121"/>
  <c r="T671" i="121"/>
  <c r="F610" i="121"/>
  <c r="I534" i="121"/>
  <c r="I489" i="121"/>
  <c r="T574" i="121"/>
  <c r="T542" i="121"/>
  <c r="F510" i="121"/>
  <c r="Q482" i="121"/>
  <c r="F231" i="121"/>
  <c r="Q231" i="121"/>
  <c r="T129" i="121"/>
  <c r="T60" i="121"/>
  <c r="Q574" i="121"/>
  <c r="F542" i="121"/>
  <c r="M985" i="121"/>
  <c r="M921" i="121"/>
  <c r="I855" i="121"/>
  <c r="M10" i="121"/>
  <c r="I902" i="121"/>
  <c r="Q538" i="121"/>
  <c r="M412" i="121"/>
  <c r="F981" i="121"/>
  <c r="M938" i="121"/>
  <c r="F752" i="121"/>
  <c r="M254" i="121"/>
  <c r="M890" i="121"/>
  <c r="F609" i="121"/>
  <c r="M528" i="121"/>
  <c r="I572" i="121"/>
  <c r="M396" i="121"/>
  <c r="T868" i="121"/>
  <c r="Q867" i="121"/>
  <c r="M805" i="121"/>
  <c r="T781" i="121"/>
  <c r="I772" i="121"/>
  <c r="I759" i="121"/>
  <c r="I594" i="121"/>
  <c r="Q551" i="121"/>
  <c r="F538" i="121"/>
  <c r="T528" i="121"/>
  <c r="I480" i="121"/>
  <c r="M572" i="121"/>
  <c r="Q422" i="121"/>
  <c r="Q408" i="121"/>
  <c r="I254" i="121"/>
  <c r="Q978" i="121"/>
  <c r="I966" i="121"/>
  <c r="M975" i="121"/>
  <c r="M868" i="121"/>
  <c r="M857" i="121"/>
  <c r="I744" i="121"/>
  <c r="F805" i="121"/>
  <c r="F781" i="121"/>
  <c r="Q772" i="121"/>
  <c r="M759" i="121"/>
  <c r="M664" i="121"/>
  <c r="I609" i="121"/>
  <c r="T514" i="121"/>
  <c r="M480" i="121"/>
  <c r="T572" i="121"/>
  <c r="M422" i="121"/>
  <c r="I372" i="121"/>
  <c r="M342" i="121"/>
  <c r="T254" i="121"/>
  <c r="T206" i="121"/>
  <c r="I127" i="121"/>
  <c r="F966" i="121"/>
  <c r="M981" i="121"/>
  <c r="F975" i="121"/>
  <c r="Q868" i="121"/>
  <c r="T867" i="121"/>
  <c r="I938" i="121"/>
  <c r="T902" i="121"/>
  <c r="M752" i="121"/>
  <c r="F744" i="121"/>
  <c r="T772" i="121"/>
  <c r="T798" i="121"/>
  <c r="T664" i="121"/>
  <c r="M681" i="121"/>
  <c r="M646" i="121"/>
  <c r="Q609" i="121"/>
  <c r="I538" i="121"/>
  <c r="I528" i="121"/>
  <c r="F500" i="121"/>
  <c r="Q396" i="121"/>
  <c r="I342" i="121"/>
  <c r="I330" i="121"/>
  <c r="Q254" i="121"/>
  <c r="T396" i="121"/>
  <c r="T342" i="121"/>
  <c r="M200" i="121"/>
  <c r="M127" i="121"/>
  <c r="M108" i="121"/>
  <c r="M964" i="121"/>
  <c r="I925" i="121"/>
  <c r="M860" i="121"/>
  <c r="Q922" i="121"/>
  <c r="M787" i="121"/>
  <c r="I780" i="121"/>
  <c r="Q748" i="121"/>
  <c r="F740" i="121"/>
  <c r="M617" i="121"/>
  <c r="F584" i="121"/>
  <c r="T513" i="121"/>
  <c r="I547" i="121"/>
  <c r="M473" i="121"/>
  <c r="I464" i="121"/>
  <c r="I414" i="121"/>
  <c r="Q378" i="121"/>
  <c r="T378" i="121"/>
  <c r="F10" i="121"/>
  <c r="I170" i="121"/>
  <c r="M836" i="121"/>
  <c r="T957" i="121"/>
  <c r="Q964" i="121"/>
  <c r="M925" i="121"/>
  <c r="Q860" i="121"/>
  <c r="Q836" i="121"/>
  <c r="T833" i="121"/>
  <c r="Q787" i="121"/>
  <c r="M780" i="121"/>
  <c r="F748" i="121"/>
  <c r="I740" i="121"/>
  <c r="I660" i="121"/>
  <c r="T675" i="121"/>
  <c r="T641" i="121"/>
  <c r="Q617" i="121"/>
  <c r="T584" i="121"/>
  <c r="I513" i="121"/>
  <c r="M547" i="121"/>
  <c r="Q473" i="121"/>
  <c r="M464" i="121"/>
  <c r="Q438" i="121"/>
  <c r="M378" i="121"/>
  <c r="T414" i="121"/>
  <c r="M170" i="121"/>
  <c r="Q780" i="121"/>
  <c r="T748" i="121"/>
  <c r="M740" i="121"/>
  <c r="M660" i="121"/>
  <c r="I675" i="121"/>
  <c r="I641" i="121"/>
  <c r="F617" i="121"/>
  <c r="M513" i="121"/>
  <c r="Q547" i="121"/>
  <c r="F473" i="121"/>
  <c r="Q464" i="121"/>
  <c r="M438" i="121"/>
  <c r="I378" i="121"/>
  <c r="F285" i="121"/>
  <c r="Q170" i="121"/>
  <c r="T159" i="121"/>
  <c r="Q963" i="121"/>
  <c r="F964" i="121"/>
  <c r="Q925" i="121"/>
  <c r="F787" i="121"/>
  <c r="M963" i="121"/>
  <c r="Q957" i="121"/>
  <c r="I947" i="121"/>
  <c r="F925" i="121"/>
  <c r="Q660" i="121"/>
  <c r="M675" i="121"/>
  <c r="M641" i="121"/>
  <c r="T553" i="121"/>
  <c r="I438" i="121"/>
  <c r="T285" i="121"/>
  <c r="I159" i="121"/>
  <c r="M159" i="121"/>
  <c r="I957" i="121"/>
  <c r="T922" i="121"/>
  <c r="I584" i="121"/>
  <c r="Q577" i="121"/>
  <c r="M553" i="121"/>
  <c r="Q286" i="121"/>
  <c r="T438" i="121"/>
  <c r="M285" i="121"/>
  <c r="Q159" i="121"/>
  <c r="M32" i="121"/>
  <c r="M874" i="121"/>
  <c r="Q414" i="121"/>
  <c r="M286" i="121"/>
  <c r="Q32" i="121"/>
  <c r="Q972" i="121"/>
  <c r="T117" i="121"/>
  <c r="T521" i="121"/>
  <c r="M314" i="121"/>
  <c r="M721" i="121"/>
  <c r="Q765" i="121"/>
  <c r="I880" i="121"/>
  <c r="F921" i="121"/>
  <c r="I885" i="121"/>
  <c r="F833" i="121"/>
  <c r="Q989" i="121"/>
  <c r="M972" i="121"/>
  <c r="F911" i="121"/>
  <c r="T885" i="121"/>
  <c r="M820" i="121"/>
  <c r="M765" i="121"/>
  <c r="I32" i="121"/>
  <c r="I974" i="121"/>
  <c r="F855" i="121"/>
  <c r="T762" i="121"/>
  <c r="Q788" i="121"/>
  <c r="I569" i="121"/>
  <c r="M587" i="121"/>
  <c r="F32" i="121"/>
  <c r="I762" i="121"/>
  <c r="T974" i="121"/>
  <c r="M754" i="121"/>
  <c r="F788" i="121"/>
  <c r="I677" i="121"/>
  <c r="F702" i="121"/>
  <c r="F478" i="121"/>
  <c r="I579" i="121"/>
  <c r="I724" i="121"/>
  <c r="I731" i="121"/>
  <c r="F145" i="121"/>
  <c r="Q932" i="121"/>
  <c r="Q994" i="121"/>
  <c r="I907" i="121"/>
  <c r="I210" i="121"/>
  <c r="M766" i="121"/>
  <c r="Q677" i="121"/>
  <c r="M634" i="121"/>
  <c r="M535" i="121"/>
  <c r="Q579" i="121"/>
  <c r="Q332" i="121"/>
  <c r="M496" i="121"/>
  <c r="T432" i="121"/>
  <c r="Q154" i="121"/>
  <c r="I110" i="121"/>
  <c r="I955" i="121"/>
  <c r="T971" i="121"/>
  <c r="T955" i="121"/>
  <c r="M974" i="121"/>
  <c r="I983" i="121"/>
  <c r="T975" i="121"/>
  <c r="I931" i="121"/>
  <c r="I911" i="121"/>
  <c r="M832" i="121"/>
  <c r="M840" i="121"/>
  <c r="T910" i="121"/>
  <c r="Q885" i="121"/>
  <c r="Q853" i="121"/>
  <c r="M818" i="121"/>
  <c r="T754" i="121"/>
  <c r="Q804" i="121"/>
  <c r="Q781" i="121"/>
  <c r="M773" i="121"/>
  <c r="Q721" i="121"/>
  <c r="T766" i="121"/>
  <c r="Q597" i="121"/>
  <c r="Q634" i="121"/>
  <c r="I505" i="121"/>
  <c r="M500" i="121"/>
  <c r="I408" i="121"/>
  <c r="M258" i="121"/>
  <c r="F177" i="121"/>
  <c r="T37" i="121"/>
  <c r="T154" i="121"/>
  <c r="M110" i="121"/>
  <c r="M949" i="121"/>
  <c r="Q880" i="121"/>
  <c r="I823" i="121"/>
  <c r="Q910" i="121"/>
  <c r="Q816" i="121"/>
  <c r="I807" i="121"/>
  <c r="T623" i="121"/>
  <c r="I567" i="121"/>
  <c r="I346" i="121"/>
  <c r="I242" i="121"/>
  <c r="M531" i="121"/>
  <c r="T332" i="121"/>
  <c r="I37" i="121"/>
  <c r="F989" i="121"/>
  <c r="I832" i="121"/>
  <c r="M804" i="121"/>
  <c r="Q983" i="121"/>
  <c r="F931" i="121"/>
  <c r="M795" i="121"/>
  <c r="T804" i="121"/>
  <c r="I643" i="121"/>
  <c r="M69" i="121"/>
  <c r="Q965" i="121"/>
  <c r="F983" i="121"/>
  <c r="M854" i="121"/>
  <c r="T920" i="121"/>
  <c r="F883" i="121"/>
  <c r="F784" i="121"/>
  <c r="F795" i="121"/>
  <c r="M807" i="121"/>
  <c r="Q716" i="121"/>
  <c r="Q643" i="121"/>
  <c r="M628" i="121"/>
  <c r="Q685" i="121"/>
  <c r="Q657" i="121"/>
  <c r="M623" i="121"/>
  <c r="I658" i="121"/>
  <c r="F624" i="121"/>
  <c r="I655" i="121"/>
  <c r="Q567" i="121"/>
  <c r="I519" i="121"/>
  <c r="I548" i="121"/>
  <c r="T500" i="121"/>
  <c r="Q322" i="121"/>
  <c r="T386" i="121"/>
  <c r="T242" i="121"/>
  <c r="Q69" i="121"/>
  <c r="M83" i="121"/>
  <c r="Q820" i="121"/>
  <c r="M883" i="121"/>
  <c r="M784" i="121"/>
  <c r="M624" i="121"/>
  <c r="I798" i="121"/>
  <c r="I750" i="121"/>
  <c r="I716" i="121"/>
  <c r="F628" i="121"/>
  <c r="M674" i="121"/>
  <c r="M645" i="121"/>
  <c r="I614" i="121"/>
  <c r="M658" i="121"/>
  <c r="F567" i="121"/>
  <c r="I478" i="121"/>
  <c r="I454" i="121"/>
  <c r="M519" i="121"/>
  <c r="Q548" i="121"/>
  <c r="F448" i="121"/>
  <c r="M384" i="121"/>
  <c r="Q376" i="121"/>
  <c r="M316" i="121"/>
  <c r="T410" i="121"/>
  <c r="T382" i="121"/>
  <c r="T27" i="121"/>
  <c r="I892" i="121"/>
  <c r="T83" i="121"/>
  <c r="M971" i="121"/>
  <c r="I965" i="121"/>
  <c r="T965" i="121"/>
  <c r="T949" i="121"/>
  <c r="I993" i="121"/>
  <c r="Q984" i="121"/>
  <c r="I899" i="121"/>
  <c r="Q920" i="121"/>
  <c r="I801" i="121"/>
  <c r="I769" i="121"/>
  <c r="T989" i="121"/>
  <c r="T984" i="121"/>
  <c r="Q899" i="121"/>
  <c r="T855" i="121"/>
  <c r="M865" i="121"/>
  <c r="M833" i="121"/>
  <c r="Q801" i="121"/>
  <c r="M769" i="121"/>
  <c r="T805" i="121"/>
  <c r="I788" i="121"/>
  <c r="T765" i="121"/>
  <c r="F798" i="121"/>
  <c r="F750" i="121"/>
  <c r="T716" i="121"/>
  <c r="M620" i="121"/>
  <c r="F674" i="121"/>
  <c r="Q645" i="121"/>
  <c r="T614" i="121"/>
  <c r="Q690" i="121"/>
  <c r="T590" i="121"/>
  <c r="Q478" i="121"/>
  <c r="Q454" i="121"/>
  <c r="M554" i="121"/>
  <c r="I514" i="121"/>
  <c r="T587" i="121"/>
  <c r="T548" i="121"/>
  <c r="T525" i="121"/>
  <c r="I442" i="121"/>
  <c r="M392" i="121"/>
  <c r="M382" i="121"/>
  <c r="Q314" i="121"/>
  <c r="Q278" i="121"/>
  <c r="T558" i="121"/>
  <c r="T408" i="121"/>
  <c r="Q227" i="121"/>
  <c r="F64" i="121"/>
  <c r="Q974" i="121"/>
  <c r="I984" i="121"/>
  <c r="F972" i="121"/>
  <c r="M966" i="121"/>
  <c r="T981" i="121"/>
  <c r="M911" i="121"/>
  <c r="T874" i="121"/>
  <c r="T854" i="121"/>
  <c r="T832" i="121"/>
  <c r="T883" i="121"/>
  <c r="T840" i="121"/>
  <c r="Q938" i="121"/>
  <c r="I920" i="121"/>
  <c r="I910" i="121"/>
  <c r="M902" i="121"/>
  <c r="I867" i="121"/>
  <c r="M855" i="121"/>
  <c r="T818" i="121"/>
  <c r="F769" i="121"/>
  <c r="T731" i="121"/>
  <c r="Q762" i="121"/>
  <c r="I804" i="121"/>
  <c r="M788" i="121"/>
  <c r="Q773" i="121"/>
  <c r="I765" i="121"/>
  <c r="T807" i="121"/>
  <c r="Q759" i="121"/>
  <c r="T628" i="121"/>
  <c r="T597" i="121"/>
  <c r="I702" i="121"/>
  <c r="T685" i="121"/>
  <c r="M614" i="121"/>
  <c r="M594" i="121"/>
  <c r="Q704" i="121"/>
  <c r="F658" i="121"/>
  <c r="F634" i="121"/>
  <c r="F611" i="121"/>
  <c r="T538" i="121"/>
  <c r="Q528" i="121"/>
  <c r="F469" i="121"/>
  <c r="F454" i="121"/>
  <c r="T535" i="121"/>
  <c r="Q519" i="121"/>
  <c r="Q587" i="121"/>
  <c r="Q572" i="121"/>
  <c r="I521" i="121"/>
  <c r="I448" i="121"/>
  <c r="M410" i="121"/>
  <c r="I396" i="121"/>
  <c r="I338" i="121"/>
  <c r="Q326" i="121"/>
  <c r="I314" i="121"/>
  <c r="M236" i="121"/>
  <c r="T406" i="121"/>
  <c r="T316" i="121"/>
  <c r="M145" i="121"/>
  <c r="Q101" i="121"/>
  <c r="F69" i="121"/>
  <c r="M37" i="121"/>
  <c r="Q127" i="121"/>
  <c r="Q110" i="121"/>
  <c r="I64" i="121"/>
  <c r="T126" i="121"/>
  <c r="F997" i="121"/>
  <c r="M984" i="121"/>
  <c r="T972" i="121"/>
  <c r="Q966" i="121"/>
  <c r="I981" i="121"/>
  <c r="Q911" i="121"/>
  <c r="I874" i="121"/>
  <c r="I854" i="121"/>
  <c r="F813" i="121"/>
  <c r="I840" i="121"/>
  <c r="M920" i="121"/>
  <c r="M910" i="121"/>
  <c r="Q902" i="121"/>
  <c r="M867" i="121"/>
  <c r="I833" i="121"/>
  <c r="I818" i="121"/>
  <c r="T880" i="121"/>
  <c r="T801" i="121"/>
  <c r="T795" i="121"/>
  <c r="F762" i="121"/>
  <c r="F773" i="121"/>
  <c r="I766" i="121"/>
  <c r="F759" i="121"/>
  <c r="T677" i="121"/>
  <c r="T643" i="121"/>
  <c r="I620" i="121"/>
  <c r="I597" i="121"/>
  <c r="Q702" i="121"/>
  <c r="M685" i="121"/>
  <c r="Q614" i="121"/>
  <c r="T658" i="121"/>
  <c r="I624" i="121"/>
  <c r="M690" i="121"/>
  <c r="T655" i="121"/>
  <c r="T454" i="121"/>
  <c r="I535" i="121"/>
  <c r="F519" i="121"/>
  <c r="F494" i="121"/>
  <c r="F587" i="121"/>
  <c r="Q448" i="121"/>
  <c r="I326" i="121"/>
  <c r="I236" i="121"/>
  <c r="I531" i="121"/>
  <c r="I496" i="121"/>
  <c r="T314" i="121"/>
  <c r="Q145" i="121"/>
  <c r="I154" i="121"/>
  <c r="F127" i="121"/>
  <c r="I108" i="121"/>
  <c r="Q64" i="121"/>
  <c r="M955" i="121"/>
  <c r="Q949" i="121"/>
  <c r="M987" i="121"/>
  <c r="I975" i="121"/>
  <c r="I921" i="121"/>
  <c r="Q874" i="121"/>
  <c r="Q854" i="121"/>
  <c r="Q832" i="121"/>
  <c r="T892" i="121"/>
  <c r="T865" i="121"/>
  <c r="Q840" i="121"/>
  <c r="M885" i="121"/>
  <c r="M853" i="121"/>
  <c r="Q818" i="121"/>
  <c r="M880" i="121"/>
  <c r="M801" i="121"/>
  <c r="Q784" i="121"/>
  <c r="M744" i="121"/>
  <c r="Q795" i="121"/>
  <c r="I754" i="121"/>
  <c r="F724" i="121"/>
  <c r="M772" i="121"/>
  <c r="M731" i="121"/>
  <c r="Q807" i="121"/>
  <c r="F766" i="121"/>
  <c r="Q750" i="121"/>
  <c r="F716" i="121"/>
  <c r="M677" i="121"/>
  <c r="I664" i="121"/>
  <c r="M643" i="121"/>
  <c r="Q620" i="121"/>
  <c r="F597" i="121"/>
  <c r="T702" i="121"/>
  <c r="F685" i="121"/>
  <c r="Q624" i="121"/>
  <c r="T609" i="121"/>
  <c r="F690" i="121"/>
  <c r="T567" i="121"/>
  <c r="T569" i="121"/>
  <c r="I554" i="121"/>
  <c r="M579" i="121"/>
  <c r="M548" i="121"/>
  <c r="I500" i="121"/>
  <c r="T448" i="121"/>
  <c r="M408" i="121"/>
  <c r="Q382" i="121"/>
  <c r="Q346" i="121"/>
  <c r="Q316" i="121"/>
  <c r="Q258" i="121"/>
  <c r="F558" i="121"/>
  <c r="Q531" i="121"/>
  <c r="T346" i="121"/>
  <c r="T236" i="121"/>
  <c r="F154" i="121"/>
  <c r="Q108" i="121"/>
  <c r="T64" i="121"/>
  <c r="I27" i="121"/>
  <c r="T996" i="121"/>
  <c r="I971" i="121"/>
  <c r="M965" i="121"/>
  <c r="I949" i="121"/>
  <c r="T993" i="121"/>
  <c r="M983" i="121"/>
  <c r="Q931" i="121"/>
  <c r="Q921" i="121"/>
  <c r="M899" i="121"/>
  <c r="I868" i="121"/>
  <c r="M892" i="121"/>
  <c r="T938" i="121"/>
  <c r="F865" i="121"/>
  <c r="F853" i="121"/>
  <c r="I820" i="121"/>
  <c r="T844" i="121"/>
  <c r="T769" i="121"/>
  <c r="T744" i="121"/>
  <c r="Q754" i="121"/>
  <c r="M724" i="121"/>
  <c r="I805" i="121"/>
  <c r="I781" i="121"/>
  <c r="I721" i="121"/>
  <c r="Q798" i="121"/>
  <c r="T750" i="121"/>
  <c r="F664" i="121"/>
  <c r="I628" i="121"/>
  <c r="I623" i="121"/>
  <c r="Q590" i="121"/>
  <c r="M478" i="121"/>
  <c r="F569" i="121"/>
  <c r="F579" i="121"/>
  <c r="I382" i="121"/>
  <c r="M376" i="121"/>
  <c r="Q342" i="121"/>
  <c r="M332" i="121"/>
  <c r="I316" i="121"/>
  <c r="I258" i="121"/>
  <c r="T338" i="121"/>
  <c r="I227" i="121"/>
  <c r="I83" i="121"/>
  <c r="M859" i="121"/>
  <c r="Q986" i="121"/>
  <c r="Q884" i="121"/>
  <c r="M917" i="121"/>
  <c r="Q971" i="121"/>
  <c r="Q955" i="121"/>
  <c r="M993" i="121"/>
  <c r="F899" i="121"/>
  <c r="M823" i="121"/>
  <c r="I813" i="121"/>
  <c r="Q892" i="121"/>
  <c r="T853" i="121"/>
  <c r="I940" i="121"/>
  <c r="T924" i="121"/>
  <c r="M914" i="121"/>
  <c r="Q908" i="121"/>
  <c r="T820" i="121"/>
  <c r="T816" i="121"/>
  <c r="T812" i="121"/>
  <c r="M830" i="121"/>
  <c r="T784" i="121"/>
  <c r="T721" i="121"/>
  <c r="Q724" i="121"/>
  <c r="T657" i="121"/>
  <c r="Q623" i="121"/>
  <c r="T634" i="121"/>
  <c r="T690" i="121"/>
  <c r="M655" i="121"/>
  <c r="I626" i="121"/>
  <c r="I586" i="121"/>
  <c r="M569" i="121"/>
  <c r="Q535" i="121"/>
  <c r="I494" i="121"/>
  <c r="M521" i="121"/>
  <c r="Q432" i="121"/>
  <c r="I376" i="121"/>
  <c r="M346" i="121"/>
  <c r="Q338" i="121"/>
  <c r="I332" i="121"/>
  <c r="M322" i="121"/>
  <c r="M278" i="121"/>
  <c r="Q242" i="121"/>
  <c r="M230" i="121"/>
  <c r="F531" i="121"/>
  <c r="Q496" i="121"/>
  <c r="T467" i="121"/>
  <c r="T376" i="121"/>
  <c r="T326" i="121"/>
  <c r="Q37" i="121"/>
  <c r="I117" i="121"/>
  <c r="F110" i="121"/>
  <c r="Q83" i="121"/>
  <c r="M27" i="121"/>
  <c r="T987" i="121"/>
  <c r="Q993" i="121"/>
  <c r="Q823" i="121"/>
  <c r="M813" i="121"/>
  <c r="I831" i="121"/>
  <c r="I924" i="121"/>
  <c r="M891" i="121"/>
  <c r="I816" i="121"/>
  <c r="I678" i="121"/>
  <c r="I657" i="121"/>
  <c r="I625" i="121"/>
  <c r="Q655" i="121"/>
  <c r="M626" i="121"/>
  <c r="T469" i="121"/>
  <c r="M586" i="121"/>
  <c r="M494" i="121"/>
  <c r="Q521" i="121"/>
  <c r="M432" i="121"/>
  <c r="M338" i="121"/>
  <c r="I322" i="121"/>
  <c r="I278" i="121"/>
  <c r="M242" i="121"/>
  <c r="F496" i="121"/>
  <c r="I467" i="121"/>
  <c r="T322" i="121"/>
  <c r="T278" i="121"/>
  <c r="F227" i="121"/>
  <c r="T177" i="121"/>
  <c r="M117" i="121"/>
  <c r="Q27" i="121"/>
  <c r="Q600" i="121"/>
  <c r="I292" i="121"/>
  <c r="I987" i="121"/>
  <c r="F980" i="121"/>
  <c r="F823" i="121"/>
  <c r="Q813" i="121"/>
  <c r="M924" i="121"/>
  <c r="I883" i="121"/>
  <c r="I865" i="121"/>
  <c r="M816" i="121"/>
  <c r="I686" i="121"/>
  <c r="M657" i="121"/>
  <c r="Q626" i="121"/>
  <c r="I469" i="121"/>
  <c r="Q586" i="121"/>
  <c r="Q494" i="121"/>
  <c r="M486" i="121"/>
  <c r="Q452" i="121"/>
  <c r="I432" i="121"/>
  <c r="Q418" i="121"/>
  <c r="Q384" i="121"/>
  <c r="Q344" i="121"/>
  <c r="I558" i="121"/>
  <c r="M467" i="121"/>
  <c r="T258" i="121"/>
  <c r="T227" i="121"/>
  <c r="I177" i="121"/>
  <c r="Q117" i="121"/>
  <c r="F819" i="121"/>
  <c r="T635" i="121"/>
  <c r="F626" i="121"/>
  <c r="I590" i="121"/>
  <c r="M469" i="121"/>
  <c r="F586" i="121"/>
  <c r="Q356" i="121"/>
  <c r="M344" i="121"/>
  <c r="M558" i="121"/>
  <c r="Q467" i="121"/>
  <c r="T344" i="121"/>
  <c r="M177" i="121"/>
  <c r="T145" i="121"/>
  <c r="T69" i="121"/>
  <c r="Q191" i="121"/>
  <c r="T763" i="121"/>
  <c r="I324" i="121"/>
  <c r="I732" i="121"/>
  <c r="M931" i="121"/>
  <c r="M590" i="121"/>
  <c r="I384" i="121"/>
  <c r="I344" i="121"/>
  <c r="M326" i="121"/>
  <c r="Q236" i="121"/>
  <c r="T384" i="121"/>
  <c r="T980" i="121"/>
  <c r="T991" i="121"/>
  <c r="F986" i="121"/>
  <c r="Q917" i="121"/>
  <c r="T870" i="121"/>
  <c r="T858" i="121"/>
  <c r="I825" i="121"/>
  <c r="I821" i="121"/>
  <c r="M831" i="121"/>
  <c r="I935" i="121"/>
  <c r="Q914" i="121"/>
  <c r="Q891" i="121"/>
  <c r="Q859" i="121"/>
  <c r="I812" i="121"/>
  <c r="I844" i="121"/>
  <c r="M763" i="121"/>
  <c r="M732" i="121"/>
  <c r="Q678" i="121"/>
  <c r="M686" i="121"/>
  <c r="T661" i="121"/>
  <c r="Q635" i="121"/>
  <c r="F600" i="121"/>
  <c r="T697" i="121"/>
  <c r="I552" i="121"/>
  <c r="Q486" i="121"/>
  <c r="Q525" i="121"/>
  <c r="M418" i="121"/>
  <c r="Q298" i="121"/>
  <c r="M228" i="121"/>
  <c r="T228" i="121"/>
  <c r="F191" i="121"/>
  <c r="T54" i="121"/>
  <c r="F917" i="121"/>
  <c r="M821" i="121"/>
  <c r="T904" i="121"/>
  <c r="F859" i="121"/>
  <c r="M812" i="121"/>
  <c r="Q763" i="121"/>
  <c r="I733" i="121"/>
  <c r="I806" i="121"/>
  <c r="T732" i="121"/>
  <c r="F678" i="121"/>
  <c r="F686" i="121"/>
  <c r="I661" i="121"/>
  <c r="T629" i="121"/>
  <c r="T600" i="121"/>
  <c r="M552" i="121"/>
  <c r="I498" i="121"/>
  <c r="F486" i="121"/>
  <c r="I418" i="121"/>
  <c r="Q260" i="121"/>
  <c r="T276" i="121"/>
  <c r="T986" i="121"/>
  <c r="I870" i="121"/>
  <c r="M935" i="121"/>
  <c r="F891" i="121"/>
  <c r="T785" i="121"/>
  <c r="M991" i="121"/>
  <c r="I927" i="121"/>
  <c r="M870" i="121"/>
  <c r="M858" i="121"/>
  <c r="Q825" i="121"/>
  <c r="Q821" i="121"/>
  <c r="F831" i="121"/>
  <c r="Q935" i="121"/>
  <c r="I904" i="121"/>
  <c r="Q812" i="121"/>
  <c r="Q844" i="121"/>
  <c r="M785" i="121"/>
  <c r="F763" i="121"/>
  <c r="M733" i="121"/>
  <c r="M806" i="121"/>
  <c r="F738" i="121"/>
  <c r="T678" i="121"/>
  <c r="T686" i="121"/>
  <c r="Q661" i="121"/>
  <c r="M629" i="121"/>
  <c r="Q596" i="121"/>
  <c r="T583" i="121"/>
  <c r="Q552" i="121"/>
  <c r="I570" i="121"/>
  <c r="M498" i="121"/>
  <c r="T486" i="121"/>
  <c r="Q294" i="121"/>
  <c r="Q276" i="121"/>
  <c r="I991" i="121"/>
  <c r="I858" i="121"/>
  <c r="M825" i="121"/>
  <c r="Q831" i="121"/>
  <c r="M844" i="121"/>
  <c r="I992" i="121"/>
  <c r="M992" i="121"/>
  <c r="I996" i="121"/>
  <c r="T997" i="121"/>
  <c r="Q991" i="121"/>
  <c r="M927" i="121"/>
  <c r="I895" i="121"/>
  <c r="Q870" i="121"/>
  <c r="Q858" i="121"/>
  <c r="F825" i="121"/>
  <c r="F821" i="121"/>
  <c r="T859" i="121"/>
  <c r="F935" i="121"/>
  <c r="M904" i="121"/>
  <c r="T822" i="121"/>
  <c r="Q785" i="121"/>
  <c r="M778" i="121"/>
  <c r="I770" i="121"/>
  <c r="Q733" i="121"/>
  <c r="F806" i="121"/>
  <c r="I738" i="121"/>
  <c r="I734" i="121"/>
  <c r="I648" i="121"/>
  <c r="F661" i="121"/>
  <c r="Q629" i="121"/>
  <c r="I598" i="121"/>
  <c r="I659" i="121"/>
  <c r="I583" i="121"/>
  <c r="F552" i="121"/>
  <c r="F570" i="121"/>
  <c r="Q588" i="121"/>
  <c r="M294" i="121"/>
  <c r="M276" i="121"/>
  <c r="T418" i="121"/>
  <c r="T370" i="121"/>
  <c r="T294" i="121"/>
  <c r="I980" i="121"/>
  <c r="M895" i="121"/>
  <c r="I819" i="121"/>
  <c r="Q904" i="121"/>
  <c r="I822" i="121"/>
  <c r="F785" i="121"/>
  <c r="Q778" i="121"/>
  <c r="M770" i="121"/>
  <c r="F733" i="121"/>
  <c r="T806" i="121"/>
  <c r="Q738" i="121"/>
  <c r="M734" i="121"/>
  <c r="M648" i="121"/>
  <c r="F629" i="121"/>
  <c r="M662" i="121"/>
  <c r="M583" i="121"/>
  <c r="Q481" i="121"/>
  <c r="I458" i="121"/>
  <c r="I539" i="121"/>
  <c r="Q406" i="121"/>
  <c r="I294" i="121"/>
  <c r="I276" i="121"/>
  <c r="T362" i="121"/>
  <c r="T292" i="121"/>
  <c r="T191" i="121"/>
  <c r="Q992" i="121"/>
  <c r="M996" i="121"/>
  <c r="I997" i="121"/>
  <c r="T884" i="121"/>
  <c r="I986" i="121"/>
  <c r="F927" i="121"/>
  <c r="M819" i="121"/>
  <c r="T891" i="121"/>
  <c r="T738" i="121"/>
  <c r="Q648" i="121"/>
  <c r="I600" i="121"/>
  <c r="Q583" i="121"/>
  <c r="F458" i="121"/>
  <c r="M406" i="121"/>
  <c r="M340" i="121"/>
  <c r="Q324" i="121"/>
  <c r="Q292" i="121"/>
  <c r="T324" i="121"/>
  <c r="I191" i="121"/>
  <c r="Q927" i="121"/>
  <c r="F992" i="121"/>
  <c r="Q996" i="121"/>
  <c r="M980" i="121"/>
  <c r="M997" i="121"/>
  <c r="Q895" i="121"/>
  <c r="I884" i="121"/>
  <c r="T914" i="121"/>
  <c r="M822" i="121"/>
  <c r="F770" i="121"/>
  <c r="I917" i="121"/>
  <c r="F895" i="121"/>
  <c r="M884" i="121"/>
  <c r="Q819" i="121"/>
  <c r="I914" i="121"/>
  <c r="Q822" i="121"/>
  <c r="T770" i="121"/>
  <c r="F732" i="121"/>
  <c r="T648" i="121"/>
  <c r="I406" i="121"/>
  <c r="M324" i="121"/>
  <c r="M292" i="121"/>
  <c r="T856" i="121"/>
  <c r="M842" i="121"/>
  <c r="Q988" i="121"/>
  <c r="T803" i="121"/>
  <c r="M998" i="121"/>
  <c r="M946" i="121"/>
  <c r="F946" i="121"/>
  <c r="T973" i="121"/>
  <c r="T970" i="121"/>
  <c r="I827" i="121"/>
  <c r="T101" i="121"/>
  <c r="F101" i="121"/>
  <c r="I101" i="121"/>
  <c r="T734" i="121"/>
  <c r="F734" i="121"/>
  <c r="I714" i="121"/>
  <c r="F714" i="121"/>
  <c r="F676" i="121"/>
  <c r="Q676" i="121"/>
  <c r="M642" i="121"/>
  <c r="T642" i="121"/>
  <c r="M627" i="121"/>
  <c r="I627" i="121"/>
  <c r="T674" i="121"/>
  <c r="I674" i="121"/>
  <c r="F645" i="121"/>
  <c r="T645" i="121"/>
  <c r="F598" i="121"/>
  <c r="M598" i="121"/>
  <c r="F6" i="121"/>
  <c r="M6" i="121"/>
  <c r="T6" i="121"/>
  <c r="I6" i="121"/>
  <c r="F216" i="121"/>
  <c r="M216" i="121"/>
  <c r="T216" i="121"/>
  <c r="I216" i="121"/>
  <c r="F392" i="121"/>
  <c r="I392" i="121"/>
  <c r="T392" i="121"/>
  <c r="F230" i="121"/>
  <c r="I230" i="121"/>
  <c r="T230" i="121"/>
  <c r="T752" i="121"/>
  <c r="I752" i="121"/>
  <c r="Q681" i="121"/>
  <c r="F681" i="121"/>
  <c r="T681" i="121"/>
  <c r="F662" i="121"/>
  <c r="T662" i="121"/>
  <c r="I662" i="121"/>
  <c r="F646" i="121"/>
  <c r="T646" i="121"/>
  <c r="I646" i="121"/>
  <c r="T588" i="121"/>
  <c r="I588" i="121"/>
  <c r="M588" i="121"/>
  <c r="F551" i="121"/>
  <c r="T551" i="121"/>
  <c r="I551" i="121"/>
  <c r="I525" i="121"/>
  <c r="M525" i="121"/>
  <c r="Q505" i="121"/>
  <c r="F505" i="121"/>
  <c r="T505" i="121"/>
  <c r="F452" i="121"/>
  <c r="T452" i="121"/>
  <c r="I452" i="121"/>
  <c r="F422" i="121"/>
  <c r="I422" i="121"/>
  <c r="F298" i="121"/>
  <c r="I298" i="121"/>
  <c r="T298" i="121"/>
  <c r="Q200" i="121"/>
  <c r="T200" i="121"/>
  <c r="I200" i="121"/>
  <c r="I635" i="121"/>
  <c r="M635" i="121"/>
  <c r="F594" i="121"/>
  <c r="Q594" i="121"/>
  <c r="M570" i="121"/>
  <c r="Q570" i="121"/>
  <c r="Q554" i="121"/>
  <c r="F554" i="121"/>
  <c r="Q539" i="121"/>
  <c r="F539" i="121"/>
  <c r="T539" i="121"/>
  <c r="Q514" i="121"/>
  <c r="F514" i="121"/>
  <c r="Q498" i="121"/>
  <c r="F498" i="121"/>
  <c r="Q480" i="121"/>
  <c r="F480" i="121"/>
  <c r="M458" i="121"/>
  <c r="Q458" i="121"/>
  <c r="F442" i="121"/>
  <c r="M442" i="121"/>
  <c r="Q442" i="121"/>
  <c r="F362" i="121"/>
  <c r="M362" i="121"/>
  <c r="I362" i="121"/>
  <c r="I293" i="121"/>
  <c r="Q293" i="121"/>
  <c r="F293" i="121"/>
  <c r="M293" i="121"/>
  <c r="F228" i="121"/>
  <c r="Q228" i="121"/>
  <c r="Q48" i="121"/>
  <c r="T48" i="121"/>
  <c r="I48" i="121"/>
  <c r="F48" i="121"/>
  <c r="F386" i="121"/>
  <c r="M386" i="121"/>
  <c r="I386" i="121"/>
  <c r="F370" i="121"/>
  <c r="Q370" i="121"/>
  <c r="M370" i="121"/>
  <c r="F262" i="121"/>
  <c r="M262" i="121"/>
  <c r="T262" i="121"/>
  <c r="I262" i="121"/>
  <c r="Q194" i="121"/>
  <c r="T194" i="121"/>
  <c r="I194" i="121"/>
  <c r="F194" i="121"/>
  <c r="T130" i="121"/>
  <c r="I130" i="121"/>
  <c r="Q130" i="121"/>
  <c r="M130" i="121"/>
  <c r="F412" i="121"/>
  <c r="I412" i="121"/>
  <c r="T412" i="121"/>
  <c r="F330" i="121"/>
  <c r="T330" i="121"/>
  <c r="Q330" i="121"/>
  <c r="F260" i="121"/>
  <c r="I260" i="121"/>
  <c r="T260" i="121"/>
  <c r="Q183" i="121"/>
  <c r="I183" i="121"/>
  <c r="F183" i="121"/>
  <c r="T183" i="121"/>
  <c r="F119" i="121"/>
  <c r="T119" i="121"/>
  <c r="M119" i="121"/>
  <c r="I119" i="121"/>
  <c r="Q72" i="121"/>
  <c r="T72" i="121"/>
  <c r="I72" i="121"/>
  <c r="F72" i="121"/>
  <c r="F410" i="121"/>
  <c r="Q410" i="121"/>
  <c r="F356" i="121"/>
  <c r="T356" i="121"/>
  <c r="I356" i="121"/>
  <c r="F234" i="121"/>
  <c r="M234" i="121"/>
  <c r="T234" i="121"/>
  <c r="I234" i="121"/>
  <c r="F372" i="121"/>
  <c r="T372" i="121"/>
  <c r="Q372" i="121"/>
  <c r="Q75" i="121"/>
  <c r="I75" i="121"/>
  <c r="F75" i="121"/>
  <c r="T75" i="121"/>
  <c r="T778" i="121"/>
  <c r="I778" i="121"/>
  <c r="T704" i="121"/>
  <c r="I704" i="121"/>
  <c r="M704" i="121"/>
  <c r="Q625" i="121"/>
  <c r="F625" i="121"/>
  <c r="T625" i="121"/>
  <c r="F340" i="121"/>
  <c r="T340" i="121"/>
  <c r="Q340" i="121"/>
  <c r="F206" i="121"/>
  <c r="M999" i="121"/>
  <c r="Q982" i="121"/>
  <c r="F973" i="121"/>
  <c r="M995" i="121"/>
  <c r="F933" i="121"/>
  <c r="M905" i="121"/>
  <c r="M872" i="121"/>
  <c r="T852" i="121"/>
  <c r="I815" i="121"/>
  <c r="Q943" i="121"/>
  <c r="M926" i="121"/>
  <c r="Q842" i="121"/>
  <c r="T979" i="121"/>
  <c r="M919" i="121"/>
  <c r="M903" i="121"/>
  <c r="I866" i="121"/>
  <c r="I850" i="121"/>
  <c r="F811" i="121"/>
  <c r="M937" i="121"/>
  <c r="I906" i="121"/>
  <c r="T842" i="121"/>
  <c r="M828" i="121"/>
  <c r="F793" i="121"/>
  <c r="F979" i="121"/>
  <c r="I970" i="121"/>
  <c r="I909" i="121"/>
  <c r="M901" i="121"/>
  <c r="I862" i="121"/>
  <c r="I846" i="121"/>
  <c r="T894" i="121"/>
  <c r="I842" i="121"/>
  <c r="M826" i="121"/>
  <c r="F106" i="121"/>
  <c r="Q206" i="121"/>
  <c r="I206" i="121"/>
  <c r="T598" i="121"/>
  <c r="I596" i="121"/>
  <c r="T714" i="121"/>
  <c r="F697" i="121"/>
  <c r="M676" i="121"/>
  <c r="F642" i="121"/>
  <c r="T627" i="121"/>
  <c r="M611" i="121"/>
  <c r="I481" i="121"/>
  <c r="I577" i="121"/>
  <c r="I366" i="121"/>
  <c r="M304" i="121"/>
  <c r="Q288" i="121"/>
  <c r="Q268" i="121"/>
  <c r="M266" i="121"/>
  <c r="M240" i="121"/>
  <c r="F565" i="121"/>
  <c r="T532" i="121"/>
  <c r="T428" i="121"/>
  <c r="T420" i="121"/>
  <c r="T390" i="121"/>
  <c r="T306" i="121"/>
  <c r="T266" i="121"/>
  <c r="T240" i="121"/>
  <c r="T198" i="121"/>
  <c r="T301" i="121"/>
  <c r="T210" i="121"/>
  <c r="I186" i="121"/>
  <c r="T186" i="121"/>
  <c r="Q178" i="121"/>
  <c r="Q143" i="121"/>
  <c r="M135" i="121"/>
  <c r="F122" i="121"/>
  <c r="I112" i="121"/>
  <c r="T112" i="121"/>
  <c r="F96" i="121"/>
  <c r="I51" i="121"/>
  <c r="Q43" i="121"/>
  <c r="Q40" i="121"/>
  <c r="F24" i="121"/>
  <c r="M19" i="121"/>
  <c r="M8" i="121"/>
  <c r="I149" i="121"/>
  <c r="I198" i="121"/>
  <c r="T596" i="121"/>
  <c r="Q714" i="121"/>
  <c r="I697" i="121"/>
  <c r="T676" i="121"/>
  <c r="M659" i="121"/>
  <c r="I642" i="121"/>
  <c r="Q627" i="121"/>
  <c r="T611" i="121"/>
  <c r="M430" i="121"/>
  <c r="Q366" i="121"/>
  <c r="I352" i="121"/>
  <c r="M306" i="121"/>
  <c r="M290" i="121"/>
  <c r="M270" i="121"/>
  <c r="I268" i="121"/>
  <c r="Q252" i="121"/>
  <c r="Q238" i="121"/>
  <c r="Q581" i="121"/>
  <c r="F549" i="121"/>
  <c r="T424" i="121"/>
  <c r="T366" i="121"/>
  <c r="T270" i="121"/>
  <c r="M301" i="121"/>
  <c r="F74" i="121"/>
  <c r="Q186" i="121"/>
  <c r="I178" i="121"/>
  <c r="T178" i="121"/>
  <c r="I143" i="121"/>
  <c r="T135" i="121"/>
  <c r="F135" i="121"/>
  <c r="M122" i="121"/>
  <c r="Q112" i="121"/>
  <c r="M96" i="121"/>
  <c r="Q51" i="121"/>
  <c r="I43" i="121"/>
  <c r="I40" i="121"/>
  <c r="T40" i="121"/>
  <c r="M24" i="121"/>
  <c r="T19" i="121"/>
  <c r="F19" i="121"/>
  <c r="F8" i="121"/>
  <c r="F179" i="121"/>
  <c r="M210" i="121"/>
  <c r="M714" i="121"/>
  <c r="Q697" i="121"/>
  <c r="I676" i="121"/>
  <c r="Q659" i="121"/>
  <c r="Q642" i="121"/>
  <c r="F627" i="121"/>
  <c r="I611" i="121"/>
  <c r="I430" i="121"/>
  <c r="M366" i="121"/>
  <c r="I306" i="121"/>
  <c r="I290" i="121"/>
  <c r="I270" i="121"/>
  <c r="Q266" i="121"/>
  <c r="Q240" i="121"/>
  <c r="I222" i="121"/>
  <c r="I501" i="121"/>
  <c r="T430" i="121"/>
  <c r="T268" i="121"/>
  <c r="F301" i="121"/>
  <c r="T51" i="121"/>
  <c r="I8" i="121"/>
  <c r="T794" i="121"/>
  <c r="I794" i="121"/>
  <c r="F794" i="121"/>
  <c r="I775" i="121"/>
  <c r="F775" i="121"/>
  <c r="T775" i="121"/>
  <c r="Q775" i="121"/>
  <c r="M737" i="121"/>
  <c r="I737" i="121"/>
  <c r="F737" i="121"/>
  <c r="Q670" i="121"/>
  <c r="M670" i="121"/>
  <c r="T670" i="121"/>
  <c r="I670" i="121"/>
  <c r="Q783" i="121"/>
  <c r="M783" i="121"/>
  <c r="I783" i="121"/>
  <c r="I729" i="121"/>
  <c r="T729" i="121"/>
  <c r="F729" i="121"/>
  <c r="Q729" i="121"/>
  <c r="F672" i="121"/>
  <c r="Q672" i="121"/>
  <c r="M672" i="121"/>
  <c r="F656" i="121"/>
  <c r="Q656" i="121"/>
  <c r="M656" i="121"/>
  <c r="T612" i="121"/>
  <c r="I612" i="121"/>
  <c r="F612" i="121"/>
  <c r="Q612" i="121"/>
  <c r="I533" i="121"/>
  <c r="F533" i="121"/>
  <c r="T533" i="121"/>
  <c r="Q533" i="121"/>
  <c r="Q460" i="121"/>
  <c r="F460" i="121"/>
  <c r="M460" i="121"/>
  <c r="I460" i="121"/>
  <c r="F350" i="121"/>
  <c r="M350" i="121"/>
  <c r="Q350" i="121"/>
  <c r="F244" i="121"/>
  <c r="I244" i="121"/>
  <c r="M244" i="121"/>
  <c r="T630" i="121"/>
  <c r="I630" i="121"/>
  <c r="F630" i="121"/>
  <c r="Q630" i="121"/>
  <c r="F564" i="121"/>
  <c r="Q564" i="121"/>
  <c r="M564" i="121"/>
  <c r="I564" i="121"/>
  <c r="M544" i="121"/>
  <c r="T544" i="121"/>
  <c r="I544" i="121"/>
  <c r="F544" i="121"/>
  <c r="M508" i="121"/>
  <c r="F508" i="121"/>
  <c r="Q508" i="121"/>
  <c r="I508" i="121"/>
  <c r="Q466" i="121"/>
  <c r="M466" i="121"/>
  <c r="T466" i="121"/>
  <c r="I466" i="121"/>
  <c r="Q450" i="121"/>
  <c r="M450" i="121"/>
  <c r="T450" i="121"/>
  <c r="I450" i="121"/>
  <c r="F318" i="121"/>
  <c r="M318" i="121"/>
  <c r="F274" i="121"/>
  <c r="I274" i="121"/>
  <c r="Q274" i="121"/>
  <c r="Q483" i="121"/>
  <c r="M483" i="121"/>
  <c r="I483" i="121"/>
  <c r="T483" i="121"/>
  <c r="F232" i="121"/>
  <c r="M232" i="121"/>
  <c r="Q232" i="121"/>
  <c r="F80" i="121"/>
  <c r="I80" i="121"/>
  <c r="F394" i="121"/>
  <c r="T394" i="121"/>
  <c r="M394" i="121"/>
  <c r="Q394" i="121"/>
  <c r="F284" i="121"/>
  <c r="T284" i="121"/>
  <c r="I284" i="121"/>
  <c r="Q284" i="121"/>
  <c r="F99" i="121"/>
  <c r="I99" i="121"/>
  <c r="T138" i="121"/>
  <c r="M138" i="121"/>
  <c r="F796" i="121"/>
  <c r="Q796" i="121"/>
  <c r="F764" i="121"/>
  <c r="Q764" i="121"/>
  <c r="M764" i="121"/>
  <c r="F695" i="121"/>
  <c r="T695" i="121"/>
  <c r="Q695" i="121"/>
  <c r="M695" i="121"/>
  <c r="F545" i="121"/>
  <c r="T545" i="121"/>
  <c r="Q545" i="121"/>
  <c r="M545" i="121"/>
  <c r="Q297" i="121"/>
  <c r="T297" i="121"/>
  <c r="M297" i="121"/>
  <c r="M88" i="121"/>
  <c r="Q88" i="121"/>
  <c r="I779" i="121"/>
  <c r="F779" i="121"/>
  <c r="T779" i="121"/>
  <c r="M687" i="121"/>
  <c r="I687" i="121"/>
  <c r="F687" i="121"/>
  <c r="T687" i="121"/>
  <c r="M563" i="121"/>
  <c r="I563" i="121"/>
  <c r="F563" i="121"/>
  <c r="T563" i="121"/>
  <c r="F511" i="121"/>
  <c r="T511" i="121"/>
  <c r="Q511" i="121"/>
  <c r="M511" i="121"/>
  <c r="T474" i="121"/>
  <c r="I474" i="121"/>
  <c r="F474" i="121"/>
  <c r="Q474" i="121"/>
  <c r="F358" i="121"/>
  <c r="T358" i="121"/>
  <c r="M358" i="121"/>
  <c r="F220" i="121"/>
  <c r="M220" i="121"/>
  <c r="Q220" i="121"/>
  <c r="Q786" i="121"/>
  <c r="M786" i="121"/>
  <c r="F749" i="121"/>
  <c r="T749" i="121"/>
  <c r="Q749" i="121"/>
  <c r="M749" i="121"/>
  <c r="T616" i="121"/>
  <c r="I616" i="121"/>
  <c r="F616" i="121"/>
  <c r="Q616" i="121"/>
  <c r="Q476" i="121"/>
  <c r="M476" i="121"/>
  <c r="T476" i="121"/>
  <c r="I476" i="121"/>
  <c r="F374" i="121"/>
  <c r="M374" i="121"/>
  <c r="F302" i="121"/>
  <c r="I302" i="121"/>
  <c r="Q302" i="121"/>
  <c r="F67" i="121"/>
  <c r="I67" i="121"/>
  <c r="M703" i="121"/>
  <c r="I703" i="121"/>
  <c r="F703" i="121"/>
  <c r="T703" i="121"/>
  <c r="Q526" i="121"/>
  <c r="M526" i="121"/>
  <c r="T526" i="121"/>
  <c r="I526" i="121"/>
  <c r="F226" i="121"/>
  <c r="T226" i="121"/>
  <c r="I226" i="121"/>
  <c r="Q226" i="121"/>
  <c r="T692" i="121"/>
  <c r="I692" i="121"/>
  <c r="F692" i="121"/>
  <c r="Q692" i="121"/>
  <c r="F499" i="121"/>
  <c r="T499" i="121"/>
  <c r="Q499" i="121"/>
  <c r="M499" i="121"/>
  <c r="F364" i="121"/>
  <c r="M364" i="121"/>
  <c r="Q364" i="121"/>
  <c r="Q621" i="121"/>
  <c r="M621" i="121"/>
  <c r="I621" i="121"/>
  <c r="Q608" i="121"/>
  <c r="M608" i="121"/>
  <c r="T608" i="121"/>
  <c r="I608" i="121"/>
  <c r="M560" i="121"/>
  <c r="T560" i="121"/>
  <c r="I560" i="121"/>
  <c r="F560" i="121"/>
  <c r="M540" i="121"/>
  <c r="T540" i="121"/>
  <c r="I540" i="121"/>
  <c r="F540" i="121"/>
  <c r="M56" i="121"/>
  <c r="Q56" i="121"/>
  <c r="F988" i="121"/>
  <c r="I979" i="121"/>
  <c r="Q995" i="121"/>
  <c r="M970" i="121"/>
  <c r="I933" i="121"/>
  <c r="M929" i="121"/>
  <c r="M909" i="121"/>
  <c r="Q901" i="121"/>
  <c r="M886" i="121"/>
  <c r="Q872" i="121"/>
  <c r="I856" i="121"/>
  <c r="I852" i="121"/>
  <c r="T946" i="121"/>
  <c r="Q937" i="121"/>
  <c r="Q926" i="121"/>
  <c r="M906" i="121"/>
  <c r="I894" i="121"/>
  <c r="M873" i="121"/>
  <c r="M837" i="121"/>
  <c r="Q828" i="121"/>
  <c r="Q826" i="121"/>
  <c r="T737" i="121"/>
  <c r="M794" i="121"/>
  <c r="F786" i="121"/>
  <c r="T764" i="121"/>
  <c r="M775" i="121"/>
  <c r="T656" i="121"/>
  <c r="T621" i="121"/>
  <c r="M612" i="121"/>
  <c r="Q560" i="121"/>
  <c r="Q544" i="121"/>
  <c r="M533" i="121"/>
  <c r="F466" i="121"/>
  <c r="F450" i="121"/>
  <c r="Q563" i="121"/>
  <c r="F526" i="121"/>
  <c r="I499" i="121"/>
  <c r="F476" i="121"/>
  <c r="T460" i="121"/>
  <c r="I364" i="121"/>
  <c r="Q358" i="121"/>
  <c r="T244" i="121"/>
  <c r="F146" i="121"/>
  <c r="T80" i="121"/>
  <c r="M735" i="121"/>
  <c r="F735" i="121"/>
  <c r="M739" i="121"/>
  <c r="Q739" i="121"/>
  <c r="T758" i="121"/>
  <c r="I758" i="121"/>
  <c r="F758" i="121"/>
  <c r="Q758" i="121"/>
  <c r="T712" i="121"/>
  <c r="F712" i="121"/>
  <c r="I712" i="121"/>
  <c r="M712" i="121"/>
  <c r="Q654" i="121"/>
  <c r="M654" i="121"/>
  <c r="T654" i="121"/>
  <c r="I654" i="121"/>
  <c r="Q803" i="121"/>
  <c r="M803" i="121"/>
  <c r="M756" i="121"/>
  <c r="T756" i="121"/>
  <c r="I756" i="121"/>
  <c r="F756" i="121"/>
  <c r="F562" i="121"/>
  <c r="I562" i="121"/>
  <c r="T562" i="121"/>
  <c r="Q562" i="121"/>
  <c r="F516" i="121"/>
  <c r="T516" i="121"/>
  <c r="Q516" i="121"/>
  <c r="M516" i="121"/>
  <c r="Q444" i="121"/>
  <c r="T444" i="121"/>
  <c r="F444" i="121"/>
  <c r="M444" i="121"/>
  <c r="M11" i="121"/>
  <c r="Q11" i="121"/>
  <c r="F580" i="121"/>
  <c r="M580" i="121"/>
  <c r="I580" i="121"/>
  <c r="T580" i="121"/>
  <c r="Q523" i="121"/>
  <c r="M523" i="121"/>
  <c r="I523" i="121"/>
  <c r="I491" i="121"/>
  <c r="F491" i="121"/>
  <c r="Q491" i="121"/>
  <c r="M491" i="121"/>
  <c r="F434" i="121"/>
  <c r="M434" i="121"/>
  <c r="Q434" i="121"/>
  <c r="F16" i="121"/>
  <c r="T16" i="121"/>
  <c r="F348" i="121"/>
  <c r="Q348" i="121"/>
  <c r="I348" i="121"/>
  <c r="Q167" i="121"/>
  <c r="F167" i="121"/>
  <c r="T167" i="121"/>
  <c r="Q208" i="121"/>
  <c r="M208" i="121"/>
  <c r="F35" i="121"/>
  <c r="I35" i="121"/>
  <c r="F398" i="121"/>
  <c r="I398" i="121"/>
  <c r="M398" i="121"/>
  <c r="F308" i="121"/>
  <c r="T308" i="121"/>
  <c r="Q308" i="121"/>
  <c r="Q799" i="121"/>
  <c r="M799" i="121"/>
  <c r="I799" i="121"/>
  <c r="Q605" i="121"/>
  <c r="M605" i="121"/>
  <c r="I605" i="121"/>
  <c r="F520" i="121"/>
  <c r="Q520" i="121"/>
  <c r="M520" i="121"/>
  <c r="I988" i="121"/>
  <c r="T988" i="121"/>
  <c r="M979" i="121"/>
  <c r="T995" i="121"/>
  <c r="F995" i="121"/>
  <c r="Q970" i="121"/>
  <c r="M933" i="121"/>
  <c r="M923" i="121"/>
  <c r="Q909" i="121"/>
  <c r="F901" i="121"/>
  <c r="T872" i="121"/>
  <c r="M856" i="121"/>
  <c r="M852" i="121"/>
  <c r="M838" i="121"/>
  <c r="T837" i="121"/>
  <c r="I946" i="121"/>
  <c r="F937" i="121"/>
  <c r="T926" i="121"/>
  <c r="M916" i="121"/>
  <c r="Q906" i="121"/>
  <c r="M894" i="121"/>
  <c r="M863" i="121"/>
  <c r="T828" i="121"/>
  <c r="T826" i="121"/>
  <c r="I824" i="121"/>
  <c r="Q760" i="121"/>
  <c r="F803" i="121"/>
  <c r="Q794" i="121"/>
  <c r="T786" i="121"/>
  <c r="M755" i="121"/>
  <c r="I796" i="121"/>
  <c r="Q737" i="121"/>
  <c r="F799" i="121"/>
  <c r="T783" i="121"/>
  <c r="M758" i="121"/>
  <c r="M692" i="121"/>
  <c r="F621" i="121"/>
  <c r="T605" i="121"/>
  <c r="Q712" i="121"/>
  <c r="I695" i="121"/>
  <c r="M630" i="121"/>
  <c r="M616" i="121"/>
  <c r="T520" i="121"/>
  <c r="Q540" i="121"/>
  <c r="T508" i="121"/>
  <c r="T491" i="121"/>
  <c r="I16" i="121"/>
  <c r="Q933" i="121"/>
  <c r="F909" i="121"/>
  <c r="I901" i="121"/>
  <c r="Q897" i="121"/>
  <c r="I872" i="121"/>
  <c r="Q856" i="121"/>
  <c r="Q852" i="121"/>
  <c r="M829" i="121"/>
  <c r="T861" i="121"/>
  <c r="I937" i="121"/>
  <c r="Q936" i="121"/>
  <c r="I926" i="121"/>
  <c r="T906" i="121"/>
  <c r="M900" i="121"/>
  <c r="Q894" i="121"/>
  <c r="M861" i="121"/>
  <c r="I828" i="121"/>
  <c r="I826" i="121"/>
  <c r="Q808" i="121"/>
  <c r="M792" i="121"/>
  <c r="M776" i="121"/>
  <c r="M779" i="121"/>
  <c r="M796" i="121"/>
  <c r="Q756" i="121"/>
  <c r="M729" i="121"/>
  <c r="F783" i="121"/>
  <c r="I672" i="121"/>
  <c r="F605" i="121"/>
  <c r="T523" i="121"/>
  <c r="I511" i="121"/>
  <c r="M474" i="121"/>
  <c r="M562" i="121"/>
  <c r="I374" i="121"/>
  <c r="Q318" i="121"/>
  <c r="T350" i="121"/>
  <c r="I297" i="121"/>
  <c r="Q91" i="121"/>
  <c r="M481" i="121"/>
  <c r="T577" i="121"/>
  <c r="F577" i="121"/>
  <c r="I304" i="121"/>
  <c r="M288" i="121"/>
  <c r="Q272" i="121"/>
  <c r="M238" i="121"/>
  <c r="T348" i="121"/>
  <c r="T318" i="121"/>
  <c r="I208" i="121"/>
  <c r="Q209" i="121"/>
  <c r="I167" i="121"/>
  <c r="I146" i="121"/>
  <c r="T146" i="121"/>
  <c r="Q138" i="121"/>
  <c r="I106" i="121"/>
  <c r="T106" i="121"/>
  <c r="M99" i="121"/>
  <c r="T91" i="121"/>
  <c r="F91" i="121"/>
  <c r="F88" i="121"/>
  <c r="M80" i="121"/>
  <c r="M67" i="121"/>
  <c r="F56" i="121"/>
  <c r="M35" i="121"/>
  <c r="M16" i="121"/>
  <c r="T11" i="121"/>
  <c r="F11" i="121"/>
  <c r="Q133" i="121"/>
  <c r="Q352" i="121"/>
  <c r="M272" i="121"/>
  <c r="I238" i="121"/>
  <c r="Q222" i="121"/>
  <c r="T581" i="121"/>
  <c r="T565" i="121"/>
  <c r="T549" i="121"/>
  <c r="I532" i="121"/>
  <c r="Q517" i="121"/>
  <c r="F472" i="121"/>
  <c r="T434" i="121"/>
  <c r="T274" i="121"/>
  <c r="T232" i="121"/>
  <c r="T222" i="121"/>
  <c r="T208" i="121"/>
  <c r="F287" i="121"/>
  <c r="M167" i="121"/>
  <c r="M146" i="121"/>
  <c r="F138" i="121"/>
  <c r="M106" i="121"/>
  <c r="Q99" i="121"/>
  <c r="I91" i="121"/>
  <c r="I88" i="121"/>
  <c r="T88" i="121"/>
  <c r="Q80" i="121"/>
  <c r="Q67" i="121"/>
  <c r="I56" i="121"/>
  <c r="T56" i="121"/>
  <c r="Q35" i="121"/>
  <c r="Q16" i="121"/>
  <c r="I11" i="121"/>
  <c r="M5" i="121"/>
  <c r="M596" i="121"/>
  <c r="T659" i="121"/>
  <c r="T481" i="121"/>
  <c r="Q398" i="121"/>
  <c r="I394" i="121"/>
  <c r="Q374" i="121"/>
  <c r="I358" i="121"/>
  <c r="I350" i="121"/>
  <c r="I318" i="121"/>
  <c r="I308" i="121"/>
  <c r="M302" i="121"/>
  <c r="M284" i="121"/>
  <c r="M274" i="121"/>
  <c r="Q244" i="121"/>
  <c r="I232" i="121"/>
  <c r="M226" i="121"/>
  <c r="M222" i="121"/>
  <c r="I220" i="121"/>
  <c r="M581" i="121"/>
  <c r="I565" i="121"/>
  <c r="I549" i="121"/>
  <c r="Q532" i="121"/>
  <c r="T398" i="121"/>
  <c r="T374" i="121"/>
  <c r="T364" i="121"/>
  <c r="T302" i="121"/>
  <c r="T238" i="121"/>
  <c r="T220" i="121"/>
  <c r="F297" i="121"/>
  <c r="F208" i="121"/>
  <c r="M180" i="121"/>
  <c r="M148" i="121"/>
  <c r="F42" i="121"/>
  <c r="I138" i="121"/>
  <c r="T99" i="121"/>
  <c r="T67" i="121"/>
  <c r="T35" i="121"/>
  <c r="I9" i="121"/>
  <c r="M195" i="121"/>
  <c r="Q5" i="121"/>
  <c r="F128" i="121"/>
  <c r="M105" i="121"/>
  <c r="I38" i="121"/>
  <c r="I176" i="121"/>
  <c r="T86" i="121"/>
  <c r="Q158" i="121"/>
  <c r="I76" i="121"/>
  <c r="Q28" i="121"/>
  <c r="Q192" i="121"/>
  <c r="I160" i="121"/>
  <c r="F102" i="121"/>
  <c r="F70" i="121"/>
  <c r="M190" i="121"/>
  <c r="T174" i="121"/>
  <c r="F142" i="121"/>
  <c r="Q113" i="121"/>
  <c r="M92" i="121"/>
  <c r="Q44" i="121"/>
  <c r="T192" i="121"/>
  <c r="F160" i="121"/>
  <c r="I128" i="121"/>
  <c r="M86" i="121"/>
  <c r="M54" i="121"/>
  <c r="F190" i="121"/>
  <c r="I158" i="121"/>
  <c r="M126" i="121"/>
  <c r="T92" i="121"/>
  <c r="M60" i="121"/>
  <c r="I22" i="121"/>
  <c r="F176" i="121"/>
  <c r="Q144" i="121"/>
  <c r="I102" i="121"/>
  <c r="M70" i="121"/>
  <c r="Q174" i="121"/>
  <c r="M142" i="121"/>
  <c r="I113" i="121"/>
  <c r="F105" i="121"/>
  <c r="F76" i="121"/>
  <c r="I44" i="121"/>
  <c r="T28" i="121"/>
  <c r="T38" i="121"/>
  <c r="T722" i="121"/>
  <c r="I722" i="121"/>
  <c r="M647" i="121"/>
  <c r="F647" i="121"/>
  <c r="T647" i="121"/>
  <c r="Q647" i="121"/>
  <c r="F566" i="121"/>
  <c r="M566" i="121"/>
  <c r="T566" i="121"/>
  <c r="T490" i="121"/>
  <c r="F490" i="121"/>
  <c r="M490" i="121"/>
  <c r="T710" i="121"/>
  <c r="Q710" i="121"/>
  <c r="M710" i="121"/>
  <c r="F710" i="121"/>
  <c r="M229" i="121"/>
  <c r="I229" i="121"/>
  <c r="F416" i="121"/>
  <c r="I416" i="121"/>
  <c r="T416" i="121"/>
  <c r="Q416" i="121"/>
  <c r="M169" i="121"/>
  <c r="Q169" i="121"/>
  <c r="I93" i="121"/>
  <c r="M93" i="121"/>
  <c r="I61" i="121"/>
  <c r="F61" i="121"/>
  <c r="M61" i="121"/>
  <c r="Q7" i="121"/>
  <c r="F7" i="121"/>
  <c r="I994" i="121"/>
  <c r="T994" i="121"/>
  <c r="I978" i="121"/>
  <c r="T978" i="121"/>
  <c r="T985" i="121"/>
  <c r="F985" i="121"/>
  <c r="F929" i="121"/>
  <c r="F923" i="121"/>
  <c r="Q907" i="121"/>
  <c r="I897" i="121"/>
  <c r="T890" i="121"/>
  <c r="T886" i="121"/>
  <c r="T838" i="121"/>
  <c r="T829" i="121"/>
  <c r="F829" i="121"/>
  <c r="T857" i="121"/>
  <c r="I936" i="121"/>
  <c r="I932" i="121"/>
  <c r="T916" i="121"/>
  <c r="T900" i="121"/>
  <c r="F873" i="121"/>
  <c r="F863" i="121"/>
  <c r="F861" i="121"/>
  <c r="F857" i="121"/>
  <c r="F837" i="121"/>
  <c r="Q824" i="121"/>
  <c r="I808" i="121"/>
  <c r="F792" i="121"/>
  <c r="F776" i="121"/>
  <c r="I760" i="121"/>
  <c r="T760" i="121"/>
  <c r="T735" i="121"/>
  <c r="T755" i="121"/>
  <c r="F755" i="121"/>
  <c r="I735" i="121"/>
  <c r="M722" i="121"/>
  <c r="M751" i="121"/>
  <c r="I169" i="121"/>
  <c r="I136" i="121"/>
  <c r="M683" i="121"/>
  <c r="F683" i="121"/>
  <c r="T683" i="121"/>
  <c r="Q683" i="121"/>
  <c r="M631" i="121"/>
  <c r="F631" i="121"/>
  <c r="T631" i="121"/>
  <c r="Q631" i="121"/>
  <c r="Q602" i="121"/>
  <c r="T602" i="121"/>
  <c r="I602" i="121"/>
  <c r="F602" i="121"/>
  <c r="T550" i="121"/>
  <c r="M550" i="121"/>
  <c r="T522" i="121"/>
  <c r="M522" i="121"/>
  <c r="M303" i="121"/>
  <c r="I303" i="121"/>
  <c r="M679" i="121"/>
  <c r="F679" i="121"/>
  <c r="T679" i="121"/>
  <c r="Q679" i="121"/>
  <c r="M633" i="121"/>
  <c r="F633" i="121"/>
  <c r="T633" i="121"/>
  <c r="Q633" i="121"/>
  <c r="Q578" i="121"/>
  <c r="T578" i="121"/>
  <c r="I578" i="121"/>
  <c r="F578" i="121"/>
  <c r="F256" i="121"/>
  <c r="T256" i="121"/>
  <c r="M256" i="121"/>
  <c r="Q256" i="121"/>
  <c r="Q182" i="121"/>
  <c r="F182" i="121"/>
  <c r="Q118" i="121"/>
  <c r="F118" i="121"/>
  <c r="Q84" i="121"/>
  <c r="F84" i="121"/>
  <c r="Q52" i="121"/>
  <c r="T52" i="121"/>
  <c r="F282" i="121"/>
  <c r="Q282" i="121"/>
  <c r="T282" i="121"/>
  <c r="I137" i="121"/>
  <c r="F137" i="121"/>
  <c r="M137" i="121"/>
  <c r="I77" i="121"/>
  <c r="M77" i="121"/>
  <c r="T77" i="121"/>
  <c r="F246" i="121"/>
  <c r="T246" i="121"/>
  <c r="Q246" i="121"/>
  <c r="I246" i="121"/>
  <c r="M246" i="121"/>
  <c r="M994" i="121"/>
  <c r="M978" i="121"/>
  <c r="I985" i="121"/>
  <c r="I929" i="121"/>
  <c r="I923" i="121"/>
  <c r="F907" i="121"/>
  <c r="M897" i="121"/>
  <c r="I890" i="121"/>
  <c r="I886" i="121"/>
  <c r="I838" i="121"/>
  <c r="I829" i="121"/>
  <c r="T873" i="121"/>
  <c r="T863" i="121"/>
  <c r="M936" i="121"/>
  <c r="M932" i="121"/>
  <c r="I916" i="121"/>
  <c r="I900" i="121"/>
  <c r="I873" i="121"/>
  <c r="I863" i="121"/>
  <c r="I861" i="121"/>
  <c r="I857" i="121"/>
  <c r="I837" i="121"/>
  <c r="T824" i="121"/>
  <c r="F808" i="121"/>
  <c r="T808" i="121"/>
  <c r="I792" i="121"/>
  <c r="T792" i="121"/>
  <c r="I776" i="121"/>
  <c r="T776" i="121"/>
  <c r="M760" i="121"/>
  <c r="I755" i="121"/>
  <c r="I739" i="121"/>
  <c r="Q735" i="121"/>
  <c r="Q722" i="121"/>
  <c r="I710" i="121"/>
  <c r="I679" i="121"/>
  <c r="I633" i="121"/>
  <c r="I683" i="121"/>
  <c r="I647" i="121"/>
  <c r="I631" i="121"/>
  <c r="M602" i="121"/>
  <c r="M578" i="121"/>
  <c r="M416" i="121"/>
  <c r="M282" i="121"/>
  <c r="F522" i="121"/>
  <c r="Q137" i="121"/>
  <c r="Q93" i="121"/>
  <c r="M29" i="121"/>
  <c r="F751" i="121"/>
  <c r="T751" i="121"/>
  <c r="M663" i="121"/>
  <c r="F663" i="121"/>
  <c r="T663" i="121"/>
  <c r="Q663" i="121"/>
  <c r="Q582" i="121"/>
  <c r="I582" i="121"/>
  <c r="F582" i="121"/>
  <c r="M582" i="121"/>
  <c r="T502" i="121"/>
  <c r="F502" i="121"/>
  <c r="M487" i="121"/>
  <c r="F487" i="121"/>
  <c r="T487" i="121"/>
  <c r="Q487" i="121"/>
  <c r="M665" i="121"/>
  <c r="F665" i="121"/>
  <c r="T665" i="121"/>
  <c r="Q665" i="121"/>
  <c r="M615" i="121"/>
  <c r="F615" i="121"/>
  <c r="T615" i="121"/>
  <c r="Q615" i="121"/>
  <c r="F465" i="121"/>
  <c r="T465" i="121"/>
  <c r="M465" i="121"/>
  <c r="I465" i="121"/>
  <c r="M94" i="121"/>
  <c r="T94" i="121"/>
  <c r="Q14" i="121"/>
  <c r="M14" i="121"/>
  <c r="M185" i="121"/>
  <c r="F185" i="121"/>
  <c r="I121" i="121"/>
  <c r="F121" i="121"/>
  <c r="T121" i="121"/>
  <c r="I45" i="121"/>
  <c r="T45" i="121"/>
  <c r="F45" i="121"/>
  <c r="F196" i="121"/>
  <c r="I196" i="121"/>
  <c r="F336" i="121"/>
  <c r="M336" i="121"/>
  <c r="I336" i="121"/>
  <c r="Q698" i="121"/>
  <c r="T698" i="121"/>
  <c r="I698" i="121"/>
  <c r="F698" i="121"/>
  <c r="Q618" i="121"/>
  <c r="T618" i="121"/>
  <c r="I618" i="121"/>
  <c r="F618" i="121"/>
  <c r="Q537" i="121"/>
  <c r="T537" i="121"/>
  <c r="F537" i="121"/>
  <c r="Q475" i="121"/>
  <c r="F475" i="121"/>
  <c r="M693" i="121"/>
  <c r="F693" i="121"/>
  <c r="T693" i="121"/>
  <c r="Q693" i="121"/>
  <c r="M649" i="121"/>
  <c r="F649" i="121"/>
  <c r="T649" i="121"/>
  <c r="Q649" i="121"/>
  <c r="M599" i="121"/>
  <c r="F599" i="121"/>
  <c r="T599" i="121"/>
  <c r="Q599" i="121"/>
  <c r="F320" i="121"/>
  <c r="Q320" i="121"/>
  <c r="T320" i="121"/>
  <c r="I320" i="121"/>
  <c r="M184" i="121"/>
  <c r="Q184" i="121"/>
  <c r="M78" i="121"/>
  <c r="F78" i="121"/>
  <c r="M30" i="121"/>
  <c r="T30" i="121"/>
  <c r="M215" i="121"/>
  <c r="Q215" i="121"/>
  <c r="I215" i="121"/>
  <c r="Q166" i="121"/>
  <c r="T166" i="121"/>
  <c r="M109" i="121"/>
  <c r="F109" i="121"/>
  <c r="F360" i="121"/>
  <c r="M360" i="121"/>
  <c r="T360" i="121"/>
  <c r="I360" i="121"/>
  <c r="M153" i="121"/>
  <c r="I153" i="121"/>
  <c r="F224" i="121"/>
  <c r="M224" i="121"/>
  <c r="Q224" i="121"/>
  <c r="Q929" i="121"/>
  <c r="Q923" i="121"/>
  <c r="M907" i="121"/>
  <c r="F897" i="121"/>
  <c r="Q890" i="121"/>
  <c r="Q886" i="121"/>
  <c r="Q838" i="121"/>
  <c r="T936" i="121"/>
  <c r="T932" i="121"/>
  <c r="Q916" i="121"/>
  <c r="Q900" i="121"/>
  <c r="M824" i="121"/>
  <c r="F739" i="121"/>
  <c r="F722" i="121"/>
  <c r="I751" i="121"/>
  <c r="Q465" i="121"/>
  <c r="I566" i="121"/>
  <c r="Q490" i="121"/>
  <c r="T196" i="121"/>
  <c r="M121" i="121"/>
  <c r="Q46" i="121"/>
  <c r="I192" i="121"/>
  <c r="T176" i="121"/>
  <c r="T160" i="121"/>
  <c r="F144" i="121"/>
  <c r="Q128" i="121"/>
  <c r="M102" i="121"/>
  <c r="I86" i="121"/>
  <c r="I54" i="121"/>
  <c r="F174" i="121"/>
  <c r="M158" i="121"/>
  <c r="Q142" i="121"/>
  <c r="F126" i="121"/>
  <c r="M113" i="121"/>
  <c r="T105" i="121"/>
  <c r="I92" i="121"/>
  <c r="T76" i="121"/>
  <c r="F60" i="121"/>
  <c r="M44" i="121"/>
  <c r="I28" i="121"/>
  <c r="F192" i="121"/>
  <c r="Q176" i="121"/>
  <c r="M160" i="121"/>
  <c r="M144" i="121"/>
  <c r="T128" i="121"/>
  <c r="T102" i="121"/>
  <c r="Q86" i="121"/>
  <c r="Q70" i="121"/>
  <c r="F54" i="121"/>
  <c r="Q190" i="121"/>
  <c r="I174" i="121"/>
  <c r="T158" i="121"/>
  <c r="I126" i="121"/>
  <c r="Q105" i="121"/>
  <c r="Q92" i="121"/>
  <c r="Q76" i="121"/>
  <c r="I60" i="121"/>
  <c r="T44" i="121"/>
  <c r="F28" i="121"/>
  <c r="I5" i="121"/>
  <c r="Q38" i="121"/>
  <c r="Q22" i="121"/>
  <c r="T582" i="121"/>
  <c r="F581" i="121"/>
  <c r="Q566" i="121"/>
  <c r="Q565" i="121"/>
  <c r="Q550" i="121"/>
  <c r="M549" i="121"/>
  <c r="M537" i="121"/>
  <c r="F532" i="121"/>
  <c r="Q522" i="121"/>
  <c r="M502" i="121"/>
  <c r="Q485" i="121"/>
  <c r="M475" i="121"/>
  <c r="F229" i="121"/>
  <c r="F303" i="121"/>
  <c r="F215" i="121"/>
  <c r="Q185" i="121"/>
  <c r="T169" i="121"/>
  <c r="T153" i="121"/>
  <c r="F114" i="121"/>
  <c r="F93" i="121"/>
  <c r="F77" i="121"/>
  <c r="Q61" i="121"/>
  <c r="M45" i="121"/>
  <c r="T46" i="121"/>
  <c r="Q165" i="121"/>
  <c r="Q89" i="121"/>
  <c r="F147" i="121"/>
  <c r="F134" i="121"/>
  <c r="M68" i="121"/>
  <c r="F20" i="121"/>
  <c r="M320" i="121"/>
  <c r="I282" i="121"/>
  <c r="I256" i="121"/>
  <c r="I550" i="121"/>
  <c r="I537" i="121"/>
  <c r="Q502" i="121"/>
  <c r="T475" i="121"/>
  <c r="T336" i="121"/>
  <c r="T224" i="121"/>
  <c r="Q303" i="121"/>
  <c r="T215" i="121"/>
  <c r="I185" i="121"/>
  <c r="F169" i="121"/>
  <c r="Q153" i="121"/>
  <c r="T137" i="121"/>
  <c r="F132" i="121"/>
  <c r="Q121" i="121"/>
  <c r="T93" i="121"/>
  <c r="F90" i="121"/>
  <c r="Q77" i="121"/>
  <c r="T61" i="121"/>
  <c r="F58" i="121"/>
  <c r="Q45" i="121"/>
  <c r="T26" i="121"/>
  <c r="T10" i="121"/>
  <c r="T14" i="121"/>
  <c r="I30" i="121"/>
  <c r="Q181" i="121"/>
  <c r="I115" i="121"/>
  <c r="Q73" i="121"/>
  <c r="Q57" i="121"/>
  <c r="I150" i="121"/>
  <c r="F52" i="121"/>
  <c r="T7" i="121"/>
  <c r="I184" i="121"/>
  <c r="Q168" i="121"/>
  <c r="I144" i="121"/>
  <c r="Q120" i="121"/>
  <c r="I70" i="121"/>
  <c r="I190" i="121"/>
  <c r="I142" i="121"/>
  <c r="T113" i="121"/>
  <c r="T5" i="121"/>
  <c r="F38" i="121"/>
  <c r="M22" i="121"/>
  <c r="F152" i="121"/>
  <c r="T136" i="121"/>
  <c r="T120" i="121"/>
  <c r="I94" i="121"/>
  <c r="I78" i="121"/>
  <c r="T62" i="121"/>
  <c r="I166" i="121"/>
  <c r="T131" i="121"/>
  <c r="F100" i="121"/>
  <c r="T84" i="121"/>
  <c r="T36" i="121"/>
  <c r="T20" i="121"/>
  <c r="F29" i="121"/>
  <c r="F291" i="121"/>
  <c r="Q229" i="121"/>
  <c r="T303" i="121"/>
  <c r="M164" i="121"/>
  <c r="M46" i="121"/>
  <c r="F14" i="121"/>
  <c r="F184" i="121"/>
  <c r="T168" i="121"/>
  <c r="T152" i="121"/>
  <c r="Q136" i="121"/>
  <c r="Q78" i="121"/>
  <c r="Q62" i="121"/>
  <c r="T182" i="121"/>
  <c r="F166" i="121"/>
  <c r="M150" i="121"/>
  <c r="M134" i="121"/>
  <c r="M118" i="121"/>
  <c r="T109" i="121"/>
  <c r="M100" i="121"/>
  <c r="I84" i="121"/>
  <c r="I68" i="121"/>
  <c r="M36" i="121"/>
  <c r="M20" i="121"/>
  <c r="I7" i="121"/>
  <c r="I13" i="121"/>
  <c r="I522" i="121"/>
  <c r="I502" i="121"/>
  <c r="I490" i="121"/>
  <c r="I10" i="121"/>
  <c r="I46" i="121"/>
  <c r="I14" i="121"/>
  <c r="Q30" i="121"/>
  <c r="F168" i="121"/>
  <c r="I152" i="121"/>
  <c r="I120" i="121"/>
  <c r="Q94" i="121"/>
  <c r="F62" i="121"/>
  <c r="T41" i="121"/>
  <c r="M182" i="121"/>
  <c r="T163" i="121"/>
  <c r="T150" i="121"/>
  <c r="I134" i="121"/>
  <c r="T118" i="121"/>
  <c r="Q109" i="121"/>
  <c r="I100" i="121"/>
  <c r="F68" i="121"/>
  <c r="M52" i="121"/>
  <c r="I36" i="121"/>
  <c r="T29" i="121"/>
  <c r="M13" i="121"/>
  <c r="F30" i="121"/>
  <c r="T184" i="121"/>
  <c r="I168" i="121"/>
  <c r="Q152" i="121"/>
  <c r="F136" i="121"/>
  <c r="F120" i="121"/>
  <c r="F94" i="121"/>
  <c r="T78" i="121"/>
  <c r="I62" i="121"/>
  <c r="I182" i="121"/>
  <c r="M166" i="121"/>
  <c r="F150" i="121"/>
  <c r="T134" i="121"/>
  <c r="I118" i="121"/>
  <c r="I109" i="121"/>
  <c r="T100" i="121"/>
  <c r="M84" i="121"/>
  <c r="T68" i="121"/>
  <c r="I52" i="121"/>
  <c r="F36" i="121"/>
  <c r="I20" i="121"/>
  <c r="M7" i="121"/>
  <c r="Q29" i="121"/>
  <c r="Q13" i="121"/>
  <c r="I777" i="121"/>
  <c r="Q777" i="121"/>
  <c r="M777" i="121"/>
  <c r="I835" i="121"/>
  <c r="Q835" i="121"/>
  <c r="M835" i="121"/>
  <c r="M705" i="121"/>
  <c r="Q705" i="121"/>
  <c r="T705" i="121"/>
  <c r="F705" i="121"/>
  <c r="Q636" i="121"/>
  <c r="T636" i="121"/>
  <c r="I636" i="121"/>
  <c r="F636" i="121"/>
  <c r="M557" i="121"/>
  <c r="F557" i="121"/>
  <c r="T557" i="121"/>
  <c r="Q557" i="121"/>
  <c r="M527" i="121"/>
  <c r="F527" i="121"/>
  <c r="T527" i="121"/>
  <c r="Q527" i="121"/>
  <c r="M311" i="121"/>
  <c r="T311" i="121"/>
  <c r="I311" i="121"/>
  <c r="F311" i="121"/>
  <c r="M746" i="121"/>
  <c r="F746" i="121"/>
  <c r="Q746" i="121"/>
  <c r="M653" i="121"/>
  <c r="F653" i="121"/>
  <c r="T653" i="121"/>
  <c r="Q653" i="121"/>
  <c r="Q471" i="121"/>
  <c r="I471" i="121"/>
  <c r="F471" i="121"/>
  <c r="T471" i="121"/>
  <c r="M173" i="121"/>
  <c r="F173" i="121"/>
  <c r="I173" i="121"/>
  <c r="Q173" i="121"/>
  <c r="M81" i="121"/>
  <c r="F81" i="121"/>
  <c r="I81" i="121"/>
  <c r="T81" i="121"/>
  <c r="Q81" i="121"/>
  <c r="Q155" i="121"/>
  <c r="T155" i="121"/>
  <c r="M155" i="121"/>
  <c r="F155" i="121"/>
  <c r="I155" i="121"/>
  <c r="Q87" i="121"/>
  <c r="F87" i="121"/>
  <c r="I87" i="121"/>
  <c r="M87" i="121"/>
  <c r="M98" i="121"/>
  <c r="F98" i="121"/>
  <c r="Q98" i="121"/>
  <c r="T98" i="121"/>
  <c r="Q999" i="121"/>
  <c r="I973" i="121"/>
  <c r="Q998" i="121"/>
  <c r="Q919" i="121"/>
  <c r="Q905" i="121"/>
  <c r="Q903" i="121"/>
  <c r="M850" i="121"/>
  <c r="T999" i="121"/>
  <c r="F999" i="121"/>
  <c r="I982" i="121"/>
  <c r="T982" i="121"/>
  <c r="M973" i="121"/>
  <c r="F998" i="121"/>
  <c r="F919" i="121"/>
  <c r="F905" i="121"/>
  <c r="F903" i="121"/>
  <c r="Q866" i="121"/>
  <c r="Q862" i="121"/>
  <c r="Q850" i="121"/>
  <c r="Q846" i="121"/>
  <c r="Q827" i="121"/>
  <c r="I876" i="121"/>
  <c r="I746" i="121"/>
  <c r="I557" i="121"/>
  <c r="I527" i="121"/>
  <c r="T173" i="121"/>
  <c r="T87" i="121"/>
  <c r="F928" i="121"/>
  <c r="I928" i="121"/>
  <c r="Q928" i="121"/>
  <c r="F742" i="121"/>
  <c r="M742" i="121"/>
  <c r="T742" i="121"/>
  <c r="I742" i="121"/>
  <c r="M689" i="121"/>
  <c r="F689" i="121"/>
  <c r="T689" i="121"/>
  <c r="Q689" i="121"/>
  <c r="M619" i="121"/>
  <c r="F619" i="121"/>
  <c r="T619" i="121"/>
  <c r="Q619" i="121"/>
  <c r="M589" i="121"/>
  <c r="F589" i="121"/>
  <c r="Q589" i="121"/>
  <c r="T589" i="121"/>
  <c r="M541" i="121"/>
  <c r="F541" i="121"/>
  <c r="T541" i="121"/>
  <c r="Q541" i="121"/>
  <c r="F479" i="121"/>
  <c r="T479" i="121"/>
  <c r="M479" i="121"/>
  <c r="Q479" i="121"/>
  <c r="Q492" i="121"/>
  <c r="T492" i="121"/>
  <c r="I492" i="121"/>
  <c r="F492" i="121"/>
  <c r="Q694" i="121"/>
  <c r="T694" i="121"/>
  <c r="I694" i="121"/>
  <c r="F694" i="121"/>
  <c r="M669" i="121"/>
  <c r="F669" i="121"/>
  <c r="T669" i="121"/>
  <c r="Q669" i="121"/>
  <c r="Q640" i="121"/>
  <c r="T640" i="121"/>
  <c r="I640" i="121"/>
  <c r="F640" i="121"/>
  <c r="I585" i="121"/>
  <c r="Q585" i="121"/>
  <c r="M585" i="121"/>
  <c r="F296" i="121"/>
  <c r="T296" i="121"/>
  <c r="Q296" i="121"/>
  <c r="I296" i="121"/>
  <c r="M296" i="121"/>
  <c r="M157" i="121"/>
  <c r="F157" i="121"/>
  <c r="I157" i="121"/>
  <c r="T157" i="121"/>
  <c r="Q157" i="121"/>
  <c r="M97" i="121"/>
  <c r="F97" i="121"/>
  <c r="I97" i="121"/>
  <c r="Q97" i="121"/>
  <c r="M33" i="121"/>
  <c r="F33" i="121"/>
  <c r="I33" i="121"/>
  <c r="Q33" i="121"/>
  <c r="T33" i="121"/>
  <c r="F312" i="121"/>
  <c r="T312" i="121"/>
  <c r="Q312" i="121"/>
  <c r="I312" i="121"/>
  <c r="M312" i="121"/>
  <c r="Q171" i="121"/>
  <c r="I171" i="121"/>
  <c r="F171" i="121"/>
  <c r="T171" i="121"/>
  <c r="M171" i="121"/>
  <c r="Q111" i="121"/>
  <c r="M111" i="121"/>
  <c r="T111" i="121"/>
  <c r="F111" i="121"/>
  <c r="Q71" i="121"/>
  <c r="T71" i="121"/>
  <c r="M71" i="121"/>
  <c r="F71" i="121"/>
  <c r="Q23" i="121"/>
  <c r="F23" i="121"/>
  <c r="I23" i="121"/>
  <c r="M23" i="121"/>
  <c r="M172" i="121"/>
  <c r="F172" i="121"/>
  <c r="Q172" i="121"/>
  <c r="T172" i="121"/>
  <c r="M140" i="121"/>
  <c r="F140" i="121"/>
  <c r="Q140" i="121"/>
  <c r="I140" i="121"/>
  <c r="M66" i="121"/>
  <c r="F66" i="121"/>
  <c r="Q66" i="121"/>
  <c r="I66" i="121"/>
  <c r="F18" i="121"/>
  <c r="M18" i="121"/>
  <c r="Q18" i="121"/>
  <c r="I18" i="121"/>
  <c r="F368" i="121"/>
  <c r="T368" i="121"/>
  <c r="Q368" i="121"/>
  <c r="I368" i="121"/>
  <c r="M368" i="121"/>
  <c r="F214" i="121"/>
  <c r="M214" i="121"/>
  <c r="I214" i="121"/>
  <c r="I212" i="121"/>
  <c r="F212" i="121"/>
  <c r="T212" i="121"/>
  <c r="F440" i="121"/>
  <c r="T440" i="121"/>
  <c r="Q440" i="121"/>
  <c r="I440" i="121"/>
  <c r="M440" i="121"/>
  <c r="F982" i="121"/>
  <c r="I998" i="121"/>
  <c r="I919" i="121"/>
  <c r="I905" i="121"/>
  <c r="I903" i="121"/>
  <c r="T866" i="121"/>
  <c r="T862" i="121"/>
  <c r="T850" i="121"/>
  <c r="T846" i="121"/>
  <c r="F827" i="121"/>
  <c r="T835" i="121"/>
  <c r="T928" i="121"/>
  <c r="F835" i="121"/>
  <c r="T746" i="121"/>
  <c r="T214" i="121"/>
  <c r="Q311" i="121"/>
  <c r="T66" i="121"/>
  <c r="I889" i="121"/>
  <c r="T889" i="121"/>
  <c r="Q889" i="121"/>
  <c r="M889" i="121"/>
  <c r="T811" i="121"/>
  <c r="Q811" i="121"/>
  <c r="I811" i="121"/>
  <c r="I761" i="121"/>
  <c r="Q761" i="121"/>
  <c r="M761" i="121"/>
  <c r="F896" i="121"/>
  <c r="I896" i="121"/>
  <c r="Q896" i="121"/>
  <c r="M896" i="121"/>
  <c r="T815" i="121"/>
  <c r="Q815" i="121"/>
  <c r="M667" i="121"/>
  <c r="F667" i="121"/>
  <c r="T667" i="121"/>
  <c r="Q667" i="121"/>
  <c r="M573" i="121"/>
  <c r="F573" i="121"/>
  <c r="T573" i="121"/>
  <c r="Q573" i="121"/>
  <c r="F493" i="121"/>
  <c r="T493" i="121"/>
  <c r="M493" i="121"/>
  <c r="Q493" i="121"/>
  <c r="I493" i="121"/>
  <c r="I730" i="121"/>
  <c r="Q730" i="121"/>
  <c r="M730" i="121"/>
  <c r="Q606" i="121"/>
  <c r="T606" i="121"/>
  <c r="I606" i="121"/>
  <c r="F606" i="121"/>
  <c r="F264" i="121"/>
  <c r="T264" i="121"/>
  <c r="Q264" i="121"/>
  <c r="I264" i="121"/>
  <c r="M264" i="121"/>
  <c r="M141" i="121"/>
  <c r="F141" i="121"/>
  <c r="I141" i="121"/>
  <c r="Q141" i="121"/>
  <c r="T141" i="121"/>
  <c r="M49" i="121"/>
  <c r="F49" i="121"/>
  <c r="T49" i="121"/>
  <c r="I49" i="121"/>
  <c r="Q49" i="121"/>
  <c r="Q223" i="121"/>
  <c r="F223" i="121"/>
  <c r="I223" i="121"/>
  <c r="T223" i="121"/>
  <c r="M223" i="121"/>
  <c r="Q139" i="121"/>
  <c r="F139" i="121"/>
  <c r="I139" i="121"/>
  <c r="T139" i="121"/>
  <c r="Q55" i="121"/>
  <c r="I55" i="121"/>
  <c r="F55" i="121"/>
  <c r="M55" i="121"/>
  <c r="F188" i="121"/>
  <c r="M188" i="121"/>
  <c r="I188" i="121"/>
  <c r="T188" i="121"/>
  <c r="Q188" i="121"/>
  <c r="F124" i="121"/>
  <c r="M124" i="121"/>
  <c r="I124" i="121"/>
  <c r="T124" i="121"/>
  <c r="Q124" i="121"/>
  <c r="F248" i="121"/>
  <c r="T248" i="121"/>
  <c r="Q248" i="121"/>
  <c r="I248" i="121"/>
  <c r="M248" i="121"/>
  <c r="T939" i="121"/>
  <c r="M939" i="121"/>
  <c r="F939" i="121"/>
  <c r="I793" i="121"/>
  <c r="Q793" i="121"/>
  <c r="M793" i="121"/>
  <c r="I871" i="121"/>
  <c r="Q871" i="121"/>
  <c r="M871" i="121"/>
  <c r="T943" i="121"/>
  <c r="M943" i="121"/>
  <c r="F943" i="121"/>
  <c r="F912" i="121"/>
  <c r="I912" i="121"/>
  <c r="Q912" i="121"/>
  <c r="F876" i="121"/>
  <c r="T876" i="121"/>
  <c r="M876" i="121"/>
  <c r="I723" i="121"/>
  <c r="Q723" i="121"/>
  <c r="M723" i="121"/>
  <c r="M651" i="121"/>
  <c r="F651" i="121"/>
  <c r="T651" i="121"/>
  <c r="Q651" i="121"/>
  <c r="M603" i="121"/>
  <c r="F603" i="121"/>
  <c r="T603" i="121"/>
  <c r="Q603" i="121"/>
  <c r="F509" i="121"/>
  <c r="T509" i="121"/>
  <c r="M509" i="121"/>
  <c r="Q509" i="121"/>
  <c r="Q289" i="121"/>
  <c r="F289" i="121"/>
  <c r="I289" i="121"/>
  <c r="T289" i="121"/>
  <c r="Q680" i="121"/>
  <c r="T680" i="121"/>
  <c r="I680" i="121"/>
  <c r="F680" i="121"/>
  <c r="Q622" i="121"/>
  <c r="T622" i="121"/>
  <c r="I622" i="121"/>
  <c r="F622" i="121"/>
  <c r="F328" i="121"/>
  <c r="T328" i="121"/>
  <c r="Q328" i="121"/>
  <c r="I328" i="121"/>
  <c r="M328" i="121"/>
  <c r="M189" i="121"/>
  <c r="F189" i="121"/>
  <c r="I189" i="121"/>
  <c r="T189" i="121"/>
  <c r="M125" i="121"/>
  <c r="F125" i="121"/>
  <c r="I125" i="121"/>
  <c r="T125" i="121"/>
  <c r="M65" i="121"/>
  <c r="F65" i="121"/>
  <c r="I65" i="121"/>
  <c r="Q65" i="121"/>
  <c r="T65" i="121"/>
  <c r="F17" i="121"/>
  <c r="T17" i="121"/>
  <c r="M17" i="121"/>
  <c r="Q17" i="121"/>
  <c r="Q187" i="121"/>
  <c r="M187" i="121"/>
  <c r="T187" i="121"/>
  <c r="F187" i="121"/>
  <c r="Q123" i="121"/>
  <c r="M123" i="121"/>
  <c r="T123" i="121"/>
  <c r="F123" i="121"/>
  <c r="Q103" i="121"/>
  <c r="M103" i="121"/>
  <c r="T103" i="121"/>
  <c r="F103" i="121"/>
  <c r="Q39" i="121"/>
  <c r="M39" i="121"/>
  <c r="T39" i="121"/>
  <c r="F39" i="121"/>
  <c r="F156" i="121"/>
  <c r="M156" i="121"/>
  <c r="T156" i="121"/>
  <c r="I156" i="121"/>
  <c r="F82" i="121"/>
  <c r="M82" i="121"/>
  <c r="T82" i="121"/>
  <c r="I82" i="121"/>
  <c r="F50" i="121"/>
  <c r="M50" i="121"/>
  <c r="I50" i="121"/>
  <c r="T50" i="121"/>
  <c r="Q50" i="121"/>
  <c r="M34" i="121"/>
  <c r="F34" i="121"/>
  <c r="Q34" i="121"/>
  <c r="T34" i="121"/>
  <c r="T12" i="121"/>
  <c r="Q12" i="121"/>
  <c r="M12" i="121"/>
  <c r="M866" i="121"/>
  <c r="M862" i="121"/>
  <c r="M846" i="121"/>
  <c r="M827" i="121"/>
  <c r="M815" i="121"/>
  <c r="T871" i="121"/>
  <c r="I939" i="121"/>
  <c r="T912" i="121"/>
  <c r="F889" i="121"/>
  <c r="F777" i="121"/>
  <c r="T761" i="121"/>
  <c r="T730" i="121"/>
  <c r="T585" i="121"/>
  <c r="Q214" i="121"/>
  <c r="T202" i="121"/>
  <c r="I98" i="121"/>
  <c r="M139" i="121"/>
  <c r="I123" i="121"/>
  <c r="I71" i="121"/>
  <c r="M517" i="121"/>
  <c r="F517" i="121"/>
  <c r="T517" i="121"/>
  <c r="M501" i="121"/>
  <c r="F501" i="121"/>
  <c r="T501" i="121"/>
  <c r="M485" i="121"/>
  <c r="F485" i="121"/>
  <c r="T485" i="121"/>
  <c r="Q472" i="121"/>
  <c r="T472" i="121"/>
  <c r="I472" i="121"/>
  <c r="T287" i="121"/>
  <c r="I287" i="121"/>
  <c r="Q287" i="121"/>
  <c r="M291" i="121"/>
  <c r="Q291" i="121"/>
  <c r="T291" i="121"/>
  <c r="F304" i="121"/>
  <c r="T304" i="121"/>
  <c r="F272" i="121"/>
  <c r="T272" i="121"/>
  <c r="Q201" i="121"/>
  <c r="M201" i="121"/>
  <c r="T201" i="121"/>
  <c r="F181" i="121"/>
  <c r="M181" i="121"/>
  <c r="F165" i="121"/>
  <c r="M165" i="121"/>
  <c r="F149" i="121"/>
  <c r="M149" i="121"/>
  <c r="F133" i="121"/>
  <c r="M133" i="121"/>
  <c r="F115" i="121"/>
  <c r="M115" i="121"/>
  <c r="F89" i="121"/>
  <c r="M89" i="121"/>
  <c r="F73" i="121"/>
  <c r="M73" i="121"/>
  <c r="F57" i="121"/>
  <c r="M57" i="121"/>
  <c r="M41" i="121"/>
  <c r="F41" i="121"/>
  <c r="I41" i="121"/>
  <c r="Q25" i="121"/>
  <c r="T25" i="121"/>
  <c r="F352" i="121"/>
  <c r="T352" i="121"/>
  <c r="Q195" i="121"/>
  <c r="T195" i="121"/>
  <c r="F195" i="121"/>
  <c r="I179" i="121"/>
  <c r="Q179" i="121"/>
  <c r="T179" i="121"/>
  <c r="I163" i="121"/>
  <c r="M163" i="121"/>
  <c r="F163" i="121"/>
  <c r="I147" i="121"/>
  <c r="T147" i="121"/>
  <c r="Q147" i="121"/>
  <c r="I131" i="121"/>
  <c r="F131" i="121"/>
  <c r="M131" i="121"/>
  <c r="F116" i="121"/>
  <c r="T116" i="121"/>
  <c r="I116" i="121"/>
  <c r="Q107" i="121"/>
  <c r="F107" i="121"/>
  <c r="T107" i="121"/>
  <c r="Q95" i="121"/>
  <c r="T95" i="121"/>
  <c r="Q79" i="121"/>
  <c r="F79" i="121"/>
  <c r="Q63" i="121"/>
  <c r="T63" i="121"/>
  <c r="Q47" i="121"/>
  <c r="F47" i="121"/>
  <c r="Q31" i="121"/>
  <c r="T31" i="121"/>
  <c r="Q15" i="121"/>
  <c r="F15" i="121"/>
  <c r="T209" i="121"/>
  <c r="M209" i="121"/>
  <c r="F209" i="121"/>
  <c r="T180" i="121"/>
  <c r="Q180" i="121"/>
  <c r="T164" i="121"/>
  <c r="Q164" i="121"/>
  <c r="T148" i="121"/>
  <c r="Q148" i="121"/>
  <c r="T132" i="121"/>
  <c r="Q132" i="121"/>
  <c r="T114" i="121"/>
  <c r="Q114" i="121"/>
  <c r="T90" i="121"/>
  <c r="Q90" i="121"/>
  <c r="T74" i="121"/>
  <c r="Q74" i="121"/>
  <c r="T58" i="121"/>
  <c r="Q58" i="121"/>
  <c r="T42" i="121"/>
  <c r="Q42" i="121"/>
  <c r="M26" i="121"/>
  <c r="I26" i="121"/>
  <c r="F26" i="121"/>
  <c r="F9" i="121"/>
  <c r="M9" i="121"/>
  <c r="F288" i="121"/>
  <c r="T288" i="121"/>
  <c r="F4" i="121"/>
  <c r="I4" i="121"/>
  <c r="F201" i="121"/>
  <c r="I180" i="121"/>
  <c r="I164" i="121"/>
  <c r="I148" i="121"/>
  <c r="I132" i="121"/>
  <c r="I114" i="121"/>
  <c r="I90" i="121"/>
  <c r="I74" i="121"/>
  <c r="I58" i="121"/>
  <c r="I42" i="121"/>
  <c r="T9" i="121"/>
  <c r="T181" i="121"/>
  <c r="T165" i="121"/>
  <c r="T149" i="121"/>
  <c r="T133" i="121"/>
  <c r="T115" i="121"/>
  <c r="T89" i="121"/>
  <c r="T73" i="121"/>
  <c r="T57" i="121"/>
  <c r="M116" i="121"/>
  <c r="I107" i="121"/>
  <c r="I95" i="121"/>
  <c r="I79" i="121"/>
  <c r="I63" i="121"/>
  <c r="I47" i="121"/>
  <c r="I31" i="121"/>
  <c r="I15" i="121"/>
  <c r="I12" i="121"/>
  <c r="M4" i="121"/>
  <c r="T13" i="121"/>
  <c r="I25" i="121"/>
  <c r="M95" i="121"/>
  <c r="M79" i="121"/>
  <c r="M63" i="121"/>
  <c r="M47" i="121"/>
  <c r="M31" i="121"/>
  <c r="M15" i="121"/>
  <c r="Q4" i="121"/>
  <c r="M25" i="121"/>
  <c r="T4" i="121"/>
  <c r="T723" i="121"/>
  <c r="F723" i="121"/>
  <c r="Q212" i="121"/>
  <c r="M212" i="121"/>
  <c r="I202" i="121"/>
  <c r="Q202" i="121"/>
  <c r="M202" i="121"/>
  <c r="Q196" i="121"/>
  <c r="M196" i="121"/>
  <c r="T976" i="121"/>
  <c r="F976" i="121"/>
  <c r="Q976" i="121"/>
  <c r="M976" i="121"/>
  <c r="I976" i="121"/>
  <c r="T956" i="121"/>
  <c r="F956" i="121"/>
  <c r="Q956" i="121"/>
  <c r="M956" i="121"/>
  <c r="I956" i="121"/>
  <c r="F893" i="121"/>
  <c r="Q893" i="121"/>
  <c r="M893" i="121"/>
  <c r="I893" i="121"/>
  <c r="T893" i="121"/>
  <c r="F875" i="121"/>
  <c r="Q875" i="121"/>
  <c r="M875" i="121"/>
  <c r="I875" i="121"/>
  <c r="T875" i="121"/>
  <c r="F839" i="121"/>
  <c r="Q839" i="121"/>
  <c r="M839" i="121"/>
  <c r="I839" i="121"/>
  <c r="T839" i="121"/>
  <c r="Q718" i="121"/>
  <c r="M718" i="121"/>
  <c r="I718" i="121"/>
  <c r="F718" i="121"/>
  <c r="T718" i="121"/>
  <c r="Q709" i="121"/>
  <c r="M709" i="121"/>
  <c r="I709" i="121"/>
  <c r="F709" i="121"/>
  <c r="T709" i="121"/>
  <c r="Q727" i="121"/>
  <c r="M727" i="121"/>
  <c r="I727" i="121"/>
  <c r="F727" i="121"/>
  <c r="T727" i="121"/>
  <c r="Q711" i="121"/>
  <c r="M711" i="121"/>
  <c r="I711" i="121"/>
  <c r="F711" i="121"/>
  <c r="T711" i="121"/>
  <c r="F463" i="121"/>
  <c r="Q463" i="121"/>
  <c r="M463" i="121"/>
  <c r="I463" i="121"/>
  <c r="T463" i="121"/>
  <c r="F455" i="121"/>
  <c r="Q455" i="121"/>
  <c r="M455" i="121"/>
  <c r="I455" i="121"/>
  <c r="T455" i="121"/>
  <c r="F447" i="121"/>
  <c r="Q447" i="121"/>
  <c r="M447" i="121"/>
  <c r="I447" i="121"/>
  <c r="T447" i="121"/>
  <c r="T441" i="121"/>
  <c r="M441" i="121"/>
  <c r="I441" i="121"/>
  <c r="Q441" i="121"/>
  <c r="F441" i="121"/>
  <c r="Q433" i="121"/>
  <c r="M433" i="121"/>
  <c r="I433" i="121"/>
  <c r="T433" i="121"/>
  <c r="F433" i="121"/>
  <c r="Q425" i="121"/>
  <c r="M425" i="121"/>
  <c r="I425" i="121"/>
  <c r="T425" i="121"/>
  <c r="F425" i="121"/>
  <c r="Q417" i="121"/>
  <c r="M417" i="121"/>
  <c r="I417" i="121"/>
  <c r="T417" i="121"/>
  <c r="F417" i="121"/>
  <c r="Q409" i="121"/>
  <c r="M409" i="121"/>
  <c r="I409" i="121"/>
  <c r="T409" i="121"/>
  <c r="F409" i="121"/>
  <c r="Q401" i="121"/>
  <c r="M401" i="121"/>
  <c r="I401" i="121"/>
  <c r="T401" i="121"/>
  <c r="F401" i="121"/>
  <c r="Q393" i="121"/>
  <c r="M393" i="121"/>
  <c r="I393" i="121"/>
  <c r="T393" i="121"/>
  <c r="F393" i="121"/>
  <c r="Q385" i="121"/>
  <c r="M385" i="121"/>
  <c r="I385" i="121"/>
  <c r="T385" i="121"/>
  <c r="F385" i="121"/>
  <c r="Q377" i="121"/>
  <c r="M377" i="121"/>
  <c r="I377" i="121"/>
  <c r="T377" i="121"/>
  <c r="F377" i="121"/>
  <c r="Q369" i="121"/>
  <c r="M369" i="121"/>
  <c r="I369" i="121"/>
  <c r="T369" i="121"/>
  <c r="F369" i="121"/>
  <c r="Q361" i="121"/>
  <c r="M361" i="121"/>
  <c r="I361" i="121"/>
  <c r="T361" i="121"/>
  <c r="F361" i="121"/>
  <c r="Q353" i="121"/>
  <c r="M353" i="121"/>
  <c r="I353" i="121"/>
  <c r="T353" i="121"/>
  <c r="F353" i="121"/>
  <c r="Q345" i="121"/>
  <c r="M345" i="121"/>
  <c r="I345" i="121"/>
  <c r="T345" i="121"/>
  <c r="F345" i="121"/>
  <c r="Q337" i="121"/>
  <c r="M337" i="121"/>
  <c r="I337" i="121"/>
  <c r="T337" i="121"/>
  <c r="F337" i="121"/>
  <c r="Q329" i="121"/>
  <c r="M329" i="121"/>
  <c r="I329" i="121"/>
  <c r="T329" i="121"/>
  <c r="F329" i="121"/>
  <c r="Q321" i="121"/>
  <c r="M321" i="121"/>
  <c r="I321" i="121"/>
  <c r="T321" i="121"/>
  <c r="F321" i="121"/>
  <c r="Q313" i="121"/>
  <c r="M313" i="121"/>
  <c r="I313" i="121"/>
  <c r="T313" i="121"/>
  <c r="F313" i="121"/>
  <c r="Q295" i="121"/>
  <c r="M295" i="121"/>
  <c r="I295" i="121"/>
  <c r="T295" i="121"/>
  <c r="F295" i="121"/>
  <c r="Q277" i="121"/>
  <c r="M277" i="121"/>
  <c r="I277" i="121"/>
  <c r="T277" i="121"/>
  <c r="F277" i="121"/>
  <c r="Q269" i="121"/>
  <c r="M269" i="121"/>
  <c r="I269" i="121"/>
  <c r="T269" i="121"/>
  <c r="F269" i="121"/>
  <c r="Q261" i="121"/>
  <c r="M261" i="121"/>
  <c r="I261" i="121"/>
  <c r="T261" i="121"/>
  <c r="F261" i="121"/>
  <c r="Q253" i="121"/>
  <c r="M253" i="121"/>
  <c r="I253" i="121"/>
  <c r="T253" i="121"/>
  <c r="F253" i="121"/>
  <c r="Q245" i="121"/>
  <c r="M245" i="121"/>
  <c r="I245" i="121"/>
  <c r="T245" i="121"/>
  <c r="F245" i="121"/>
  <c r="Q237" i="121"/>
  <c r="M237" i="121"/>
  <c r="I237" i="121"/>
  <c r="T237" i="121"/>
  <c r="F237" i="121"/>
  <c r="Q221" i="121"/>
  <c r="M221" i="121"/>
  <c r="I221" i="121"/>
  <c r="T221" i="121"/>
  <c r="F221" i="121"/>
  <c r="T962" i="121"/>
  <c r="F962" i="121"/>
  <c r="Q962" i="121"/>
  <c r="M962" i="121"/>
  <c r="I962" i="121"/>
  <c r="T954" i="121"/>
  <c r="F954" i="121"/>
  <c r="Q954" i="121"/>
  <c r="M954" i="121"/>
  <c r="I954" i="121"/>
  <c r="F881" i="121"/>
  <c r="Q881" i="121"/>
  <c r="M881" i="121"/>
  <c r="I881" i="121"/>
  <c r="T881" i="121"/>
  <c r="F845" i="121"/>
  <c r="Q845" i="121"/>
  <c r="M845" i="121"/>
  <c r="I845" i="121"/>
  <c r="T845" i="121"/>
  <c r="Q810" i="121"/>
  <c r="M810" i="121"/>
  <c r="I810" i="121"/>
  <c r="T810" i="121"/>
  <c r="F810" i="121"/>
  <c r="F809" i="121"/>
  <c r="Q809" i="121"/>
  <c r="T809" i="121"/>
  <c r="I809" i="121"/>
  <c r="M809" i="121"/>
  <c r="Q726" i="121"/>
  <c r="M726" i="121"/>
  <c r="I726" i="121"/>
  <c r="F726" i="121"/>
  <c r="T726" i="121"/>
  <c r="F595" i="121"/>
  <c r="Q595" i="121"/>
  <c r="M595" i="121"/>
  <c r="I595" i="121"/>
  <c r="T595" i="121"/>
  <c r="Q720" i="121"/>
  <c r="M720" i="121"/>
  <c r="I720" i="121"/>
  <c r="T720" i="121"/>
  <c r="F720" i="121"/>
  <c r="Q707" i="121"/>
  <c r="M707" i="121"/>
  <c r="I707" i="121"/>
  <c r="F707" i="121"/>
  <c r="T707" i="121"/>
  <c r="F497" i="121"/>
  <c r="Q497" i="121"/>
  <c r="M497" i="121"/>
  <c r="I497" i="121"/>
  <c r="T497" i="121"/>
  <c r="F461" i="121"/>
  <c r="Q461" i="121"/>
  <c r="M461" i="121"/>
  <c r="I461" i="121"/>
  <c r="T461" i="121"/>
  <c r="F453" i="121"/>
  <c r="Q453" i="121"/>
  <c r="M453" i="121"/>
  <c r="I453" i="121"/>
  <c r="T453" i="121"/>
  <c r="F445" i="121"/>
  <c r="Q445" i="121"/>
  <c r="M445" i="121"/>
  <c r="I445" i="121"/>
  <c r="T445" i="121"/>
  <c r="Q439" i="121"/>
  <c r="M439" i="121"/>
  <c r="I439" i="121"/>
  <c r="T439" i="121"/>
  <c r="F439" i="121"/>
  <c r="Q431" i="121"/>
  <c r="M431" i="121"/>
  <c r="I431" i="121"/>
  <c r="T431" i="121"/>
  <c r="F431" i="121"/>
  <c r="Q423" i="121"/>
  <c r="M423" i="121"/>
  <c r="I423" i="121"/>
  <c r="T423" i="121"/>
  <c r="F423" i="121"/>
  <c r="Q415" i="121"/>
  <c r="M415" i="121"/>
  <c r="I415" i="121"/>
  <c r="T415" i="121"/>
  <c r="F415" i="121"/>
  <c r="Q407" i="121"/>
  <c r="M407" i="121"/>
  <c r="I407" i="121"/>
  <c r="T407" i="121"/>
  <c r="F407" i="121"/>
  <c r="Q399" i="121"/>
  <c r="M399" i="121"/>
  <c r="I399" i="121"/>
  <c r="T399" i="121"/>
  <c r="F399" i="121"/>
  <c r="Q391" i="121"/>
  <c r="M391" i="121"/>
  <c r="I391" i="121"/>
  <c r="T391" i="121"/>
  <c r="F391" i="121"/>
  <c r="Q383" i="121"/>
  <c r="M383" i="121"/>
  <c r="I383" i="121"/>
  <c r="T383" i="121"/>
  <c r="F383" i="121"/>
  <c r="Q375" i="121"/>
  <c r="M375" i="121"/>
  <c r="I375" i="121"/>
  <c r="T375" i="121"/>
  <c r="F375" i="121"/>
  <c r="Q367" i="121"/>
  <c r="M367" i="121"/>
  <c r="I367" i="121"/>
  <c r="T367" i="121"/>
  <c r="F367" i="121"/>
  <c r="Q359" i="121"/>
  <c r="M359" i="121"/>
  <c r="I359" i="121"/>
  <c r="T359" i="121"/>
  <c r="F359" i="121"/>
  <c r="Q351" i="121"/>
  <c r="M351" i="121"/>
  <c r="I351" i="121"/>
  <c r="T351" i="121"/>
  <c r="F351" i="121"/>
  <c r="Q343" i="121"/>
  <c r="M343" i="121"/>
  <c r="I343" i="121"/>
  <c r="T343" i="121"/>
  <c r="F343" i="121"/>
  <c r="Q335" i="121"/>
  <c r="M335" i="121"/>
  <c r="I335" i="121"/>
  <c r="T335" i="121"/>
  <c r="F335" i="121"/>
  <c r="Q327" i="121"/>
  <c r="M327" i="121"/>
  <c r="I327" i="121"/>
  <c r="T327" i="121"/>
  <c r="F327" i="121"/>
  <c r="Q319" i="121"/>
  <c r="M319" i="121"/>
  <c r="I319" i="121"/>
  <c r="T319" i="121"/>
  <c r="F319" i="121"/>
  <c r="Q309" i="121"/>
  <c r="M309" i="121"/>
  <c r="I309" i="121"/>
  <c r="T309" i="121"/>
  <c r="F309" i="121"/>
  <c r="Q283" i="121"/>
  <c r="M283" i="121"/>
  <c r="I283" i="121"/>
  <c r="T283" i="121"/>
  <c r="F283" i="121"/>
  <c r="Q275" i="121"/>
  <c r="M275" i="121"/>
  <c r="I275" i="121"/>
  <c r="T275" i="121"/>
  <c r="F275" i="121"/>
  <c r="Q267" i="121"/>
  <c r="M267" i="121"/>
  <c r="I267" i="121"/>
  <c r="T267" i="121"/>
  <c r="F267" i="121"/>
  <c r="Q259" i="121"/>
  <c r="M259" i="121"/>
  <c r="I259" i="121"/>
  <c r="T259" i="121"/>
  <c r="F259" i="121"/>
  <c r="Q251" i="121"/>
  <c r="M251" i="121"/>
  <c r="I251" i="121"/>
  <c r="T251" i="121"/>
  <c r="F251" i="121"/>
  <c r="Q243" i="121"/>
  <c r="M243" i="121"/>
  <c r="I243" i="121"/>
  <c r="T243" i="121"/>
  <c r="F243" i="121"/>
  <c r="Q235" i="121"/>
  <c r="M235" i="121"/>
  <c r="I235" i="121"/>
  <c r="T235" i="121"/>
  <c r="F235" i="121"/>
  <c r="Q219" i="121"/>
  <c r="M219" i="121"/>
  <c r="I219" i="121"/>
  <c r="T219" i="121"/>
  <c r="F219" i="121"/>
  <c r="Q205" i="121"/>
  <c r="M205" i="121"/>
  <c r="I205" i="121"/>
  <c r="T205" i="121"/>
  <c r="F205" i="121"/>
  <c r="T960" i="121"/>
  <c r="F960" i="121"/>
  <c r="Q960" i="121"/>
  <c r="M960" i="121"/>
  <c r="I960" i="121"/>
  <c r="T952" i="121"/>
  <c r="F952" i="121"/>
  <c r="Q952" i="121"/>
  <c r="M952" i="121"/>
  <c r="I952" i="121"/>
  <c r="F879" i="121"/>
  <c r="Q879" i="121"/>
  <c r="M879" i="121"/>
  <c r="I879" i="121"/>
  <c r="T879" i="121"/>
  <c r="F843" i="121"/>
  <c r="Q843" i="121"/>
  <c r="M843" i="121"/>
  <c r="I843" i="121"/>
  <c r="T843" i="121"/>
  <c r="Q725" i="121"/>
  <c r="M725" i="121"/>
  <c r="I725" i="121"/>
  <c r="F725" i="121"/>
  <c r="T725" i="121"/>
  <c r="Q717" i="121"/>
  <c r="M717" i="121"/>
  <c r="I717" i="121"/>
  <c r="T717" i="121"/>
  <c r="F717" i="121"/>
  <c r="F593" i="121"/>
  <c r="Q593" i="121"/>
  <c r="M593" i="121"/>
  <c r="I593" i="121"/>
  <c r="T593" i="121"/>
  <c r="Q719" i="121"/>
  <c r="M719" i="121"/>
  <c r="I719" i="121"/>
  <c r="F719" i="121"/>
  <c r="T719" i="121"/>
  <c r="F495" i="121"/>
  <c r="Q495" i="121"/>
  <c r="M495" i="121"/>
  <c r="I495" i="121"/>
  <c r="T495" i="121"/>
  <c r="F459" i="121"/>
  <c r="Q459" i="121"/>
  <c r="M459" i="121"/>
  <c r="I459" i="121"/>
  <c r="T459" i="121"/>
  <c r="F451" i="121"/>
  <c r="Q451" i="121"/>
  <c r="M451" i="121"/>
  <c r="I451" i="121"/>
  <c r="T451" i="121"/>
  <c r="F443" i="121"/>
  <c r="Q443" i="121"/>
  <c r="M443" i="121"/>
  <c r="I443" i="121"/>
  <c r="T443" i="121"/>
  <c r="Q437" i="121"/>
  <c r="M437" i="121"/>
  <c r="I437" i="121"/>
  <c r="T437" i="121"/>
  <c r="F437" i="121"/>
  <c r="Q429" i="121"/>
  <c r="M429" i="121"/>
  <c r="I429" i="121"/>
  <c r="T429" i="121"/>
  <c r="F429" i="121"/>
  <c r="Q421" i="121"/>
  <c r="M421" i="121"/>
  <c r="I421" i="121"/>
  <c r="T421" i="121"/>
  <c r="F421" i="121"/>
  <c r="Q413" i="121"/>
  <c r="M413" i="121"/>
  <c r="I413" i="121"/>
  <c r="T413" i="121"/>
  <c r="F413" i="121"/>
  <c r="Q405" i="121"/>
  <c r="M405" i="121"/>
  <c r="I405" i="121"/>
  <c r="T405" i="121"/>
  <c r="F405" i="121"/>
  <c r="Q397" i="121"/>
  <c r="M397" i="121"/>
  <c r="I397" i="121"/>
  <c r="T397" i="121"/>
  <c r="F397" i="121"/>
  <c r="Q389" i="121"/>
  <c r="M389" i="121"/>
  <c r="I389" i="121"/>
  <c r="T389" i="121"/>
  <c r="F389" i="121"/>
  <c r="Q381" i="121"/>
  <c r="M381" i="121"/>
  <c r="I381" i="121"/>
  <c r="T381" i="121"/>
  <c r="F381" i="121"/>
  <c r="Q373" i="121"/>
  <c r="M373" i="121"/>
  <c r="I373" i="121"/>
  <c r="T373" i="121"/>
  <c r="F373" i="121"/>
  <c r="Q365" i="121"/>
  <c r="M365" i="121"/>
  <c r="I365" i="121"/>
  <c r="T365" i="121"/>
  <c r="F365" i="121"/>
  <c r="Q357" i="121"/>
  <c r="M357" i="121"/>
  <c r="I357" i="121"/>
  <c r="T357" i="121"/>
  <c r="F357" i="121"/>
  <c r="Q349" i="121"/>
  <c r="M349" i="121"/>
  <c r="I349" i="121"/>
  <c r="T349" i="121"/>
  <c r="F349" i="121"/>
  <c r="Q341" i="121"/>
  <c r="M341" i="121"/>
  <c r="I341" i="121"/>
  <c r="T341" i="121"/>
  <c r="F341" i="121"/>
  <c r="Q333" i="121"/>
  <c r="M333" i="121"/>
  <c r="I333" i="121"/>
  <c r="T333" i="121"/>
  <c r="F333" i="121"/>
  <c r="Q325" i="121"/>
  <c r="M325" i="121"/>
  <c r="I325" i="121"/>
  <c r="T325" i="121"/>
  <c r="F325" i="121"/>
  <c r="Q317" i="121"/>
  <c r="M317" i="121"/>
  <c r="I317" i="121"/>
  <c r="T317" i="121"/>
  <c r="F317" i="121"/>
  <c r="Q307" i="121"/>
  <c r="M307" i="121"/>
  <c r="I307" i="121"/>
  <c r="T307" i="121"/>
  <c r="F307" i="121"/>
  <c r="Q281" i="121"/>
  <c r="M281" i="121"/>
  <c r="I281" i="121"/>
  <c r="T281" i="121"/>
  <c r="F281" i="121"/>
  <c r="Q273" i="121"/>
  <c r="M273" i="121"/>
  <c r="I273" i="121"/>
  <c r="T273" i="121"/>
  <c r="F273" i="121"/>
  <c r="Q265" i="121"/>
  <c r="M265" i="121"/>
  <c r="I265" i="121"/>
  <c r="T265" i="121"/>
  <c r="F265" i="121"/>
  <c r="Q257" i="121"/>
  <c r="M257" i="121"/>
  <c r="I257" i="121"/>
  <c r="T257" i="121"/>
  <c r="F257" i="121"/>
  <c r="Q249" i="121"/>
  <c r="M249" i="121"/>
  <c r="I249" i="121"/>
  <c r="T249" i="121"/>
  <c r="F249" i="121"/>
  <c r="Q241" i="121"/>
  <c r="M241" i="121"/>
  <c r="I241" i="121"/>
  <c r="T241" i="121"/>
  <c r="F241" i="121"/>
  <c r="Q233" i="121"/>
  <c r="M233" i="121"/>
  <c r="I233" i="121"/>
  <c r="T233" i="121"/>
  <c r="F233" i="121"/>
  <c r="Q217" i="121"/>
  <c r="M217" i="121"/>
  <c r="I217" i="121"/>
  <c r="T217" i="121"/>
  <c r="F217" i="121"/>
  <c r="F3" i="121"/>
  <c r="Q3" i="121"/>
  <c r="M3" i="121"/>
  <c r="I3" i="121"/>
  <c r="T3" i="121"/>
  <c r="Q203" i="121"/>
  <c r="M203" i="121"/>
  <c r="I203" i="121"/>
  <c r="T203" i="121"/>
  <c r="F203" i="121"/>
  <c r="Q211" i="121"/>
  <c r="M211" i="121"/>
  <c r="I211" i="121"/>
  <c r="T211" i="121"/>
  <c r="F211" i="121"/>
  <c r="F128" i="102"/>
  <c r="T958" i="121"/>
  <c r="F958" i="121"/>
  <c r="Q958" i="121"/>
  <c r="M958" i="121"/>
  <c r="I958" i="121"/>
  <c r="T950" i="121"/>
  <c r="F950" i="121"/>
  <c r="Q950" i="121"/>
  <c r="M950" i="121"/>
  <c r="I950" i="121"/>
  <c r="F945" i="121"/>
  <c r="T945" i="121"/>
  <c r="M945" i="121"/>
  <c r="Q945" i="121"/>
  <c r="I945" i="121"/>
  <c r="T948" i="121"/>
  <c r="F948" i="121"/>
  <c r="Q948" i="121"/>
  <c r="M948" i="121"/>
  <c r="I948" i="121"/>
  <c r="F877" i="121"/>
  <c r="Q877" i="121"/>
  <c r="M877" i="121"/>
  <c r="I877" i="121"/>
  <c r="T877" i="121"/>
  <c r="F841" i="121"/>
  <c r="Q841" i="121"/>
  <c r="M841" i="121"/>
  <c r="I841" i="121"/>
  <c r="T841" i="121"/>
  <c r="Q713" i="121"/>
  <c r="M713" i="121"/>
  <c r="I713" i="121"/>
  <c r="F713" i="121"/>
  <c r="T713" i="121"/>
  <c r="F591" i="121"/>
  <c r="Q591" i="121"/>
  <c r="M591" i="121"/>
  <c r="I591" i="121"/>
  <c r="T591" i="121"/>
  <c r="T728" i="121"/>
  <c r="Q728" i="121"/>
  <c r="M728" i="121"/>
  <c r="I728" i="121"/>
  <c r="F728" i="121"/>
  <c r="Q715" i="121"/>
  <c r="M715" i="121"/>
  <c r="I715" i="121"/>
  <c r="F715" i="121"/>
  <c r="T715" i="121"/>
  <c r="F477" i="121"/>
  <c r="Q477" i="121"/>
  <c r="M477" i="121"/>
  <c r="I477" i="121"/>
  <c r="T477" i="121"/>
  <c r="F457" i="121"/>
  <c r="Q457" i="121"/>
  <c r="M457" i="121"/>
  <c r="I457" i="121"/>
  <c r="T457" i="121"/>
  <c r="F449" i="121"/>
  <c r="Q449" i="121"/>
  <c r="M449" i="121"/>
  <c r="I449" i="121"/>
  <c r="T449" i="121"/>
  <c r="Q435" i="121"/>
  <c r="M435" i="121"/>
  <c r="I435" i="121"/>
  <c r="T435" i="121"/>
  <c r="F435" i="121"/>
  <c r="Q427" i="121"/>
  <c r="M427" i="121"/>
  <c r="I427" i="121"/>
  <c r="T427" i="121"/>
  <c r="F427" i="121"/>
  <c r="Q419" i="121"/>
  <c r="M419" i="121"/>
  <c r="I419" i="121"/>
  <c r="T419" i="121"/>
  <c r="F419" i="121"/>
  <c r="Q411" i="121"/>
  <c r="M411" i="121"/>
  <c r="I411" i="121"/>
  <c r="T411" i="121"/>
  <c r="F411" i="121"/>
  <c r="Q403" i="121"/>
  <c r="M403" i="121"/>
  <c r="I403" i="121"/>
  <c r="T403" i="121"/>
  <c r="F403" i="121"/>
  <c r="Q395" i="121"/>
  <c r="M395" i="121"/>
  <c r="I395" i="121"/>
  <c r="T395" i="121"/>
  <c r="F395" i="121"/>
  <c r="Q387" i="121"/>
  <c r="M387" i="121"/>
  <c r="I387" i="121"/>
  <c r="T387" i="121"/>
  <c r="F387" i="121"/>
  <c r="Q379" i="121"/>
  <c r="M379" i="121"/>
  <c r="I379" i="121"/>
  <c r="T379" i="121"/>
  <c r="F379" i="121"/>
  <c r="Q371" i="121"/>
  <c r="M371" i="121"/>
  <c r="I371" i="121"/>
  <c r="T371" i="121"/>
  <c r="F371" i="121"/>
  <c r="Q363" i="121"/>
  <c r="M363" i="121"/>
  <c r="I363" i="121"/>
  <c r="T363" i="121"/>
  <c r="F363" i="121"/>
  <c r="Q355" i="121"/>
  <c r="M355" i="121"/>
  <c r="I355" i="121"/>
  <c r="T355" i="121"/>
  <c r="F355" i="121"/>
  <c r="Q347" i="121"/>
  <c r="M347" i="121"/>
  <c r="I347" i="121"/>
  <c r="T347" i="121"/>
  <c r="F347" i="121"/>
  <c r="Q339" i="121"/>
  <c r="M339" i="121"/>
  <c r="I339" i="121"/>
  <c r="T339" i="121"/>
  <c r="F339" i="121"/>
  <c r="Q331" i="121"/>
  <c r="M331" i="121"/>
  <c r="I331" i="121"/>
  <c r="T331" i="121"/>
  <c r="F331" i="121"/>
  <c r="Q323" i="121"/>
  <c r="M323" i="121"/>
  <c r="I323" i="121"/>
  <c r="T323" i="121"/>
  <c r="F323" i="121"/>
  <c r="Q315" i="121"/>
  <c r="M315" i="121"/>
  <c r="I315" i="121"/>
  <c r="T315" i="121"/>
  <c r="F315" i="121"/>
  <c r="Q299" i="121"/>
  <c r="M299" i="121"/>
  <c r="I299" i="121"/>
  <c r="T299" i="121"/>
  <c r="F299" i="121"/>
  <c r="Q279" i="121"/>
  <c r="M279" i="121"/>
  <c r="I279" i="121"/>
  <c r="T279" i="121"/>
  <c r="F279" i="121"/>
  <c r="Q271" i="121"/>
  <c r="M271" i="121"/>
  <c r="I271" i="121"/>
  <c r="T271" i="121"/>
  <c r="F271" i="121"/>
  <c r="Q263" i="121"/>
  <c r="M263" i="121"/>
  <c r="I263" i="121"/>
  <c r="T263" i="121"/>
  <c r="F263" i="121"/>
  <c r="Q255" i="121"/>
  <c r="M255" i="121"/>
  <c r="I255" i="121"/>
  <c r="T255" i="121"/>
  <c r="F255" i="121"/>
  <c r="Q247" i="121"/>
  <c r="M247" i="121"/>
  <c r="I247" i="121"/>
  <c r="T247" i="121"/>
  <c r="F247" i="121"/>
  <c r="Q239" i="121"/>
  <c r="M239" i="121"/>
  <c r="I239" i="121"/>
  <c r="T239" i="121"/>
  <c r="F239" i="121"/>
  <c r="Q225" i="121"/>
  <c r="M225" i="121"/>
  <c r="I225" i="121"/>
  <c r="T225" i="121"/>
  <c r="F225" i="121"/>
  <c r="Q207" i="121"/>
  <c r="M207" i="121"/>
  <c r="I207" i="121"/>
  <c r="T207" i="121"/>
  <c r="F207" i="121"/>
  <c r="Q199" i="121"/>
  <c r="M199" i="121"/>
  <c r="I199" i="121"/>
  <c r="T199" i="121"/>
  <c r="F199" i="121"/>
  <c r="Q213" i="121"/>
  <c r="M213" i="121"/>
  <c r="I213" i="121"/>
  <c r="T213" i="121"/>
  <c r="F213" i="121"/>
  <c r="Q197" i="121"/>
  <c r="M197" i="121"/>
  <c r="I197" i="121"/>
  <c r="T197" i="121"/>
  <c r="F197" i="121"/>
  <c r="R191" i="121" l="1"/>
  <c r="R195" i="121"/>
  <c r="N30" i="121"/>
  <c r="N132" i="121"/>
  <c r="R20" i="121"/>
  <c r="R84" i="121"/>
  <c r="R77" i="121"/>
  <c r="R144" i="121"/>
  <c r="R73" i="121"/>
  <c r="R24" i="121"/>
  <c r="N64" i="121"/>
  <c r="R26" i="121"/>
  <c r="N109" i="121"/>
  <c r="R127" i="121"/>
  <c r="R121" i="121"/>
  <c r="R88" i="121"/>
  <c r="U18" i="121"/>
  <c r="G193" i="121"/>
  <c r="R38" i="121"/>
  <c r="R134" i="121"/>
  <c r="R176" i="121"/>
  <c r="R159" i="121"/>
  <c r="R153" i="121"/>
  <c r="J80" i="121"/>
  <c r="J94" i="121"/>
  <c r="R52" i="121"/>
  <c r="R166" i="121"/>
  <c r="R102" i="121"/>
  <c r="R45" i="121"/>
  <c r="R185" i="121"/>
  <c r="R56" i="121"/>
  <c r="R113" i="121"/>
  <c r="R117" i="121"/>
  <c r="N4" i="121"/>
  <c r="R36" i="121"/>
  <c r="R68" i="121"/>
  <c r="R100" i="121"/>
  <c r="R118" i="121"/>
  <c r="R150" i="121"/>
  <c r="R182" i="121"/>
  <c r="R57" i="121"/>
  <c r="R89" i="121"/>
  <c r="R128" i="121"/>
  <c r="R160" i="121"/>
  <c r="R192" i="121"/>
  <c r="R110" i="121"/>
  <c r="R143" i="121"/>
  <c r="R175" i="121"/>
  <c r="R49" i="121"/>
  <c r="R61" i="121"/>
  <c r="R93" i="121"/>
  <c r="R137" i="121"/>
  <c r="R169" i="121"/>
  <c r="R13" i="121"/>
  <c r="R8" i="121"/>
  <c r="R40" i="121"/>
  <c r="R72" i="121"/>
  <c r="R104" i="121"/>
  <c r="R7" i="121"/>
  <c r="R39" i="121"/>
  <c r="R71" i="121"/>
  <c r="R103" i="121"/>
  <c r="R123" i="121"/>
  <c r="R155" i="121"/>
  <c r="R187" i="121"/>
  <c r="R70" i="121"/>
  <c r="R133" i="121"/>
  <c r="R165" i="121"/>
  <c r="R122" i="121"/>
  <c r="R154" i="121"/>
  <c r="R186" i="121"/>
  <c r="R42" i="121"/>
  <c r="R74" i="121"/>
  <c r="R114" i="121"/>
  <c r="R148" i="121"/>
  <c r="R180" i="121"/>
  <c r="R105" i="121"/>
  <c r="R11" i="121"/>
  <c r="R43" i="121"/>
  <c r="R75" i="121"/>
  <c r="R112" i="121"/>
  <c r="R5" i="121"/>
  <c r="R23" i="121"/>
  <c r="R55" i="121"/>
  <c r="R87" i="121"/>
  <c r="R111" i="121"/>
  <c r="R139" i="121"/>
  <c r="R171" i="121"/>
  <c r="R54" i="121"/>
  <c r="R86" i="121"/>
  <c r="R115" i="121"/>
  <c r="R149" i="121"/>
  <c r="R181" i="121"/>
  <c r="N67" i="121"/>
  <c r="R138" i="121"/>
  <c r="R170" i="121"/>
  <c r="R46" i="121"/>
  <c r="R58" i="121"/>
  <c r="R90" i="121"/>
  <c r="R132" i="121"/>
  <c r="R164" i="121"/>
  <c r="R9" i="121"/>
  <c r="R27" i="121"/>
  <c r="R59" i="121"/>
  <c r="R91" i="121"/>
  <c r="J44" i="121"/>
  <c r="J78" i="121"/>
  <c r="J189" i="121"/>
  <c r="J126" i="121"/>
  <c r="J62" i="121"/>
  <c r="J141" i="121"/>
  <c r="J195" i="121"/>
  <c r="J120" i="121"/>
  <c r="J146" i="121"/>
  <c r="J22" i="121"/>
  <c r="J29" i="121"/>
  <c r="J15" i="121"/>
  <c r="J76" i="121"/>
  <c r="J163" i="121"/>
  <c r="J178" i="121"/>
  <c r="J17" i="121"/>
  <c r="J37" i="121"/>
  <c r="J53" i="121"/>
  <c r="J69" i="121"/>
  <c r="J85" i="121"/>
  <c r="J101" i="121"/>
  <c r="J129" i="121"/>
  <c r="J145" i="121"/>
  <c r="J161" i="121"/>
  <c r="J177" i="121"/>
  <c r="J193" i="121"/>
  <c r="J30" i="121"/>
  <c r="J25" i="121"/>
  <c r="J60" i="121"/>
  <c r="J142" i="121"/>
  <c r="J157" i="121"/>
  <c r="J162" i="121"/>
  <c r="J12" i="121"/>
  <c r="J28" i="121"/>
  <c r="J92" i="121"/>
  <c r="J179" i="121"/>
  <c r="J41" i="121"/>
  <c r="J65" i="121"/>
  <c r="J81" i="121"/>
  <c r="J97" i="121"/>
  <c r="J125" i="121"/>
  <c r="J106" i="121"/>
  <c r="J130" i="121"/>
  <c r="J194" i="121"/>
  <c r="J34" i="121"/>
  <c r="J50" i="121"/>
  <c r="J66" i="121"/>
  <c r="J82" i="121"/>
  <c r="J98" i="121"/>
  <c r="J124" i="121"/>
  <c r="J140" i="121"/>
  <c r="J156" i="121"/>
  <c r="J172" i="121"/>
  <c r="J188" i="121"/>
  <c r="J197" i="121"/>
  <c r="J4" i="121"/>
  <c r="J48" i="121"/>
  <c r="U59" i="121"/>
  <c r="N165" i="121"/>
  <c r="N182" i="121"/>
  <c r="U94" i="121"/>
  <c r="N19" i="121"/>
  <c r="N18" i="121"/>
  <c r="J19" i="121"/>
  <c r="J64" i="121"/>
  <c r="N127" i="121"/>
  <c r="N23" i="121"/>
  <c r="U193" i="121"/>
  <c r="G13" i="121"/>
  <c r="U28" i="121"/>
  <c r="U158" i="121"/>
  <c r="U105" i="121"/>
  <c r="G113" i="121"/>
  <c r="G24" i="121"/>
  <c r="G112" i="121"/>
  <c r="J31" i="121"/>
  <c r="J47" i="121"/>
  <c r="J63" i="121"/>
  <c r="J79" i="121"/>
  <c r="J95" i="121"/>
  <c r="J107" i="121"/>
  <c r="N116" i="121"/>
  <c r="J131" i="121"/>
  <c r="J147" i="121"/>
  <c r="J158" i="121"/>
  <c r="J174" i="121"/>
  <c r="J190" i="121"/>
  <c r="J173" i="121"/>
  <c r="N35" i="121"/>
  <c r="N96" i="121"/>
  <c r="J119" i="121"/>
  <c r="J135" i="121"/>
  <c r="J151" i="121"/>
  <c r="N57" i="121"/>
  <c r="N74" i="121"/>
  <c r="U106" i="121"/>
  <c r="U162" i="121"/>
  <c r="N111" i="121"/>
  <c r="N45" i="121"/>
  <c r="U76" i="121"/>
  <c r="J136" i="121"/>
  <c r="J152" i="121"/>
  <c r="J168" i="121"/>
  <c r="J184" i="121"/>
  <c r="N16" i="121"/>
  <c r="N48" i="121"/>
  <c r="N83" i="121"/>
  <c r="N108" i="121"/>
  <c r="J167" i="121"/>
  <c r="J183" i="121"/>
  <c r="J14" i="121"/>
  <c r="J10" i="121"/>
  <c r="N55" i="121"/>
  <c r="J116" i="121"/>
  <c r="G120" i="121"/>
  <c r="J108" i="121"/>
  <c r="J21" i="121"/>
  <c r="N121" i="121"/>
  <c r="U82" i="121"/>
  <c r="U13" i="121"/>
  <c r="U12" i="121"/>
  <c r="U92" i="121"/>
  <c r="U62" i="121"/>
  <c r="N33" i="121"/>
  <c r="N32" i="121"/>
  <c r="N51" i="121"/>
  <c r="N80" i="121"/>
  <c r="N99" i="121"/>
  <c r="U156" i="121"/>
  <c r="N5" i="121"/>
  <c r="N36" i="121"/>
  <c r="J109" i="121"/>
  <c r="G147" i="121"/>
  <c r="U81" i="121"/>
  <c r="N176" i="121"/>
  <c r="J35" i="121"/>
  <c r="J51" i="121"/>
  <c r="J96" i="121"/>
  <c r="J18" i="121"/>
  <c r="N61" i="121"/>
  <c r="G161" i="121"/>
  <c r="U60" i="121"/>
  <c r="U190" i="121"/>
  <c r="U168" i="121"/>
  <c r="U9" i="121"/>
  <c r="G43" i="121"/>
  <c r="G88" i="121"/>
  <c r="G26" i="121"/>
  <c r="U79" i="121"/>
  <c r="N144" i="121"/>
  <c r="U151" i="121"/>
  <c r="N90" i="121"/>
  <c r="U10" i="121"/>
  <c r="G178" i="121"/>
  <c r="U22" i="121"/>
  <c r="U44" i="121"/>
  <c r="G105" i="121"/>
  <c r="U174" i="121"/>
  <c r="U78" i="121"/>
  <c r="G56" i="121"/>
  <c r="G75" i="121"/>
  <c r="U91" i="121"/>
  <c r="U117" i="121"/>
  <c r="U130" i="121"/>
  <c r="G6" i="121"/>
  <c r="N21" i="121"/>
  <c r="U124" i="121"/>
  <c r="N197" i="121"/>
  <c r="G31" i="121"/>
  <c r="N68" i="121"/>
  <c r="N100" i="121"/>
  <c r="N139" i="121"/>
  <c r="N171" i="121"/>
  <c r="N70" i="121"/>
  <c r="N102" i="121"/>
  <c r="U157" i="121"/>
  <c r="G184" i="121"/>
  <c r="J32" i="121"/>
  <c r="U48" i="121"/>
  <c r="J83" i="121"/>
  <c r="J99" i="121"/>
  <c r="N110" i="121"/>
  <c r="N138" i="121"/>
  <c r="N170" i="121"/>
  <c r="N46" i="121"/>
  <c r="U37" i="121"/>
  <c r="G69" i="121"/>
  <c r="G98" i="121"/>
  <c r="N153" i="121"/>
  <c r="N185" i="121"/>
  <c r="U113" i="121"/>
  <c r="U126" i="121"/>
  <c r="U136" i="121"/>
  <c r="G11" i="121"/>
  <c r="U27" i="121"/>
  <c r="U194" i="121"/>
  <c r="U50" i="121"/>
  <c r="U188" i="121"/>
  <c r="U197" i="121"/>
  <c r="G22" i="121"/>
  <c r="U15" i="121"/>
  <c r="G44" i="121"/>
  <c r="N87" i="121"/>
  <c r="N118" i="121"/>
  <c r="N150" i="121"/>
  <c r="N89" i="121"/>
  <c r="N133" i="121"/>
  <c r="G173" i="121"/>
  <c r="U108" i="121"/>
  <c r="N159" i="121"/>
  <c r="N186" i="121"/>
  <c r="U53" i="121"/>
  <c r="G82" i="121"/>
  <c r="U129" i="121"/>
  <c r="N169" i="121"/>
  <c r="G95" i="121"/>
  <c r="U131" i="121"/>
  <c r="G158" i="121"/>
  <c r="G97" i="121"/>
  <c r="G167" i="121"/>
  <c r="G194" i="121"/>
  <c r="U145" i="121"/>
  <c r="U177" i="121"/>
  <c r="U152" i="121"/>
  <c r="U11" i="121"/>
  <c r="G27" i="121"/>
  <c r="G40" i="121"/>
  <c r="U75" i="121"/>
  <c r="G91" i="121"/>
  <c r="G104" i="121"/>
  <c r="U146" i="121"/>
  <c r="U34" i="121"/>
  <c r="U98" i="121"/>
  <c r="U172" i="121"/>
  <c r="G197" i="121"/>
  <c r="R197" i="121"/>
  <c r="U196" i="121"/>
  <c r="G25" i="121"/>
  <c r="N7" i="121"/>
  <c r="N20" i="121"/>
  <c r="U31" i="121"/>
  <c r="G47" i="121"/>
  <c r="G60" i="121"/>
  <c r="N71" i="121"/>
  <c r="N84" i="121"/>
  <c r="U95" i="121"/>
  <c r="G107" i="121"/>
  <c r="N123" i="121"/>
  <c r="N134" i="121"/>
  <c r="U147" i="121"/>
  <c r="G163" i="121"/>
  <c r="G174" i="121"/>
  <c r="N187" i="121"/>
  <c r="G41" i="121"/>
  <c r="G62" i="121"/>
  <c r="N73" i="121"/>
  <c r="N86" i="121"/>
  <c r="U97" i="121"/>
  <c r="G125" i="121"/>
  <c r="G136" i="121"/>
  <c r="N149" i="121"/>
  <c r="N160" i="121"/>
  <c r="U173" i="121"/>
  <c r="G189" i="121"/>
  <c r="U30" i="121"/>
  <c r="U64" i="121"/>
  <c r="G119" i="121"/>
  <c r="G130" i="121"/>
  <c r="N143" i="121"/>
  <c r="N154" i="121"/>
  <c r="U167" i="121"/>
  <c r="G183" i="121"/>
  <c r="G14" i="121"/>
  <c r="N49" i="121"/>
  <c r="N42" i="121"/>
  <c r="N58" i="121"/>
  <c r="U69" i="121"/>
  <c r="G85" i="121"/>
  <c r="U101" i="121"/>
  <c r="N137" i="121"/>
  <c r="N148" i="121"/>
  <c r="N164" i="121"/>
  <c r="N180" i="121"/>
  <c r="U25" i="121"/>
  <c r="G29" i="121"/>
  <c r="G12" i="121"/>
  <c r="U47" i="121"/>
  <c r="G63" i="121"/>
  <c r="G76" i="121"/>
  <c r="U107" i="121"/>
  <c r="U116" i="121"/>
  <c r="G126" i="121"/>
  <c r="U163" i="121"/>
  <c r="G179" i="121"/>
  <c r="G190" i="121"/>
  <c r="U41" i="121"/>
  <c r="G65" i="121"/>
  <c r="G78" i="121"/>
  <c r="U125" i="121"/>
  <c r="G141" i="121"/>
  <c r="G152" i="121"/>
  <c r="U189" i="121"/>
  <c r="U16" i="121"/>
  <c r="U80" i="121"/>
  <c r="U119" i="121"/>
  <c r="G135" i="121"/>
  <c r="G146" i="121"/>
  <c r="G17" i="121"/>
  <c r="G10" i="121"/>
  <c r="G140" i="121"/>
  <c r="U142" i="121"/>
  <c r="U120" i="121"/>
  <c r="U184" i="121"/>
  <c r="G9" i="121"/>
  <c r="G8" i="121"/>
  <c r="U43" i="121"/>
  <c r="G59" i="121"/>
  <c r="G72" i="121"/>
  <c r="G117" i="121"/>
  <c r="U178" i="121"/>
  <c r="U14" i="121"/>
  <c r="U66" i="121"/>
  <c r="U140" i="121"/>
  <c r="U213" i="121"/>
  <c r="J215" i="121"/>
  <c r="N38" i="121"/>
  <c r="U29" i="121"/>
  <c r="G15" i="121"/>
  <c r="G28" i="121"/>
  <c r="N39" i="121"/>
  <c r="N52" i="121"/>
  <c r="U63" i="121"/>
  <c r="G79" i="121"/>
  <c r="G92" i="121"/>
  <c r="N103" i="121"/>
  <c r="G131" i="121"/>
  <c r="G142" i="121"/>
  <c r="N155" i="121"/>
  <c r="N166" i="121"/>
  <c r="U179" i="121"/>
  <c r="U195" i="121"/>
  <c r="N54" i="121"/>
  <c r="U65" i="121"/>
  <c r="G81" i="121"/>
  <c r="G94" i="121"/>
  <c r="N115" i="121"/>
  <c r="N128" i="121"/>
  <c r="U141" i="121"/>
  <c r="G157" i="121"/>
  <c r="G168" i="121"/>
  <c r="N181" i="121"/>
  <c r="N192" i="121"/>
  <c r="J33" i="121"/>
  <c r="J16" i="121"/>
  <c r="U32" i="121"/>
  <c r="J67" i="121"/>
  <c r="U96" i="121"/>
  <c r="G106" i="121"/>
  <c r="N122" i="121"/>
  <c r="U135" i="121"/>
  <c r="G151" i="121"/>
  <c r="G162" i="121"/>
  <c r="N175" i="121"/>
  <c r="N191" i="121"/>
  <c r="U17" i="121"/>
  <c r="G34" i="121"/>
  <c r="G53" i="121"/>
  <c r="G66" i="121"/>
  <c r="N77" i="121"/>
  <c r="N93" i="121"/>
  <c r="G129" i="121"/>
  <c r="G145" i="121"/>
  <c r="G156" i="121"/>
  <c r="G172" i="121"/>
  <c r="J204" i="121"/>
  <c r="J201" i="121"/>
  <c r="J199" i="121"/>
  <c r="N114" i="121"/>
  <c r="N285" i="121"/>
  <c r="N199" i="121"/>
  <c r="J982" i="121"/>
  <c r="N989" i="121"/>
  <c r="J213" i="121"/>
  <c r="J287" i="121"/>
  <c r="N207" i="121"/>
  <c r="R992" i="121"/>
  <c r="R223" i="121"/>
  <c r="U303" i="121"/>
  <c r="G208" i="121"/>
  <c r="U293" i="121"/>
  <c r="U227" i="121"/>
  <c r="G207" i="121"/>
  <c r="R207" i="121"/>
  <c r="N305" i="121"/>
  <c r="U242" i="121"/>
  <c r="U274" i="121"/>
  <c r="U306" i="121"/>
  <c r="U338" i="121"/>
  <c r="U370" i="121"/>
  <c r="U402" i="121"/>
  <c r="U434" i="121"/>
  <c r="N475" i="121"/>
  <c r="J485" i="121"/>
  <c r="J496" i="121"/>
  <c r="U510" i="121"/>
  <c r="R527" i="121"/>
  <c r="N537" i="121"/>
  <c r="J549" i="121"/>
  <c r="J558" i="121"/>
  <c r="U574" i="121"/>
  <c r="U589" i="121"/>
  <c r="J224" i="121"/>
  <c r="N234" i="121"/>
  <c r="R244" i="121"/>
  <c r="J256" i="121"/>
  <c r="N266" i="121"/>
  <c r="R276" i="121"/>
  <c r="J288" i="121"/>
  <c r="N298" i="121"/>
  <c r="R308" i="121"/>
  <c r="J320" i="121"/>
  <c r="N330" i="121"/>
  <c r="R340" i="121"/>
  <c r="J352" i="121"/>
  <c r="N362" i="121"/>
  <c r="R372" i="121"/>
  <c r="J384" i="121"/>
  <c r="N394" i="121"/>
  <c r="R404" i="121"/>
  <c r="J416" i="121"/>
  <c r="N426" i="121"/>
  <c r="R436" i="121"/>
  <c r="U448" i="121"/>
  <c r="G460" i="121"/>
  <c r="N473" i="121"/>
  <c r="N488" i="121"/>
  <c r="J500" i="121"/>
  <c r="U516" i="121"/>
  <c r="G526" i="121"/>
  <c r="R540" i="121"/>
  <c r="J555" i="121"/>
  <c r="J564" i="121"/>
  <c r="U580" i="121"/>
  <c r="R465" i="121"/>
  <c r="R480" i="121"/>
  <c r="N494" i="121"/>
  <c r="J506" i="121"/>
  <c r="U520" i="121"/>
  <c r="R535" i="121"/>
  <c r="R546" i="121"/>
  <c r="J561" i="121"/>
  <c r="J570" i="121"/>
  <c r="U586" i="121"/>
  <c r="J225" i="121"/>
  <c r="U239" i="121"/>
  <c r="G247" i="121"/>
  <c r="R247" i="121"/>
  <c r="N255" i="121"/>
  <c r="J263" i="121"/>
  <c r="U271" i="121"/>
  <c r="G279" i="121"/>
  <c r="R279" i="121"/>
  <c r="N299" i="121"/>
  <c r="J315" i="121"/>
  <c r="U323" i="121"/>
  <c r="G331" i="121"/>
  <c r="R331" i="121"/>
  <c r="N339" i="121"/>
  <c r="J347" i="121"/>
  <c r="U355" i="121"/>
  <c r="G363" i="121"/>
  <c r="R363" i="121"/>
  <c r="N371" i="121"/>
  <c r="J379" i="121"/>
  <c r="U387" i="121"/>
  <c r="G395" i="121"/>
  <c r="R395" i="121"/>
  <c r="N403" i="121"/>
  <c r="J411" i="121"/>
  <c r="U419" i="121"/>
  <c r="G427" i="121"/>
  <c r="R427" i="121"/>
  <c r="N435" i="121"/>
  <c r="N450" i="121"/>
  <c r="J462" i="121"/>
  <c r="U478" i="121"/>
  <c r="R487" i="121"/>
  <c r="R504" i="121"/>
  <c r="N518" i="121"/>
  <c r="U533" i="121"/>
  <c r="U544" i="121"/>
  <c r="R559" i="121"/>
  <c r="R568" i="121"/>
  <c r="J583" i="121"/>
  <c r="J602" i="121"/>
  <c r="U618" i="121"/>
  <c r="R627" i="121"/>
  <c r="N637" i="121"/>
  <c r="J651" i="121"/>
  <c r="U663" i="121"/>
  <c r="G683" i="121"/>
  <c r="R697" i="121"/>
  <c r="U706" i="121"/>
  <c r="G601" i="121"/>
  <c r="G616" i="121"/>
  <c r="N625" i="121"/>
  <c r="J635" i="121"/>
  <c r="J650" i="121"/>
  <c r="U666" i="121"/>
  <c r="R681" i="121"/>
  <c r="R688" i="121"/>
  <c r="J703" i="121"/>
  <c r="J449" i="121"/>
  <c r="U457" i="121"/>
  <c r="G457" i="121"/>
  <c r="R477" i="121"/>
  <c r="G599" i="121"/>
  <c r="G614" i="121"/>
  <c r="N623" i="121"/>
  <c r="N640" i="121"/>
  <c r="U649" i="121"/>
  <c r="G665" i="121"/>
  <c r="G674" i="121"/>
  <c r="N685" i="121"/>
  <c r="N694" i="121"/>
  <c r="N710" i="121"/>
  <c r="G605" i="121"/>
  <c r="G620" i="121"/>
  <c r="R632" i="121"/>
  <c r="J643" i="121"/>
  <c r="J656" i="121"/>
  <c r="U672" i="121"/>
  <c r="G684" i="121"/>
  <c r="N699" i="121"/>
  <c r="R716" i="121"/>
  <c r="N715" i="121"/>
  <c r="N728" i="121"/>
  <c r="N732" i="121"/>
  <c r="J738" i="121"/>
  <c r="U743" i="121"/>
  <c r="G759" i="121"/>
  <c r="G774" i="121"/>
  <c r="N783" i="121"/>
  <c r="N798" i="121"/>
  <c r="U807" i="121"/>
  <c r="N733" i="121"/>
  <c r="N741" i="121"/>
  <c r="J756" i="121"/>
  <c r="U772" i="121"/>
  <c r="R781" i="121"/>
  <c r="R796" i="121"/>
  <c r="J805" i="121"/>
  <c r="R591" i="121"/>
  <c r="J713" i="121"/>
  <c r="G724" i="121"/>
  <c r="G755" i="121"/>
  <c r="G770" i="121"/>
  <c r="N779" i="121"/>
  <c r="N794" i="121"/>
  <c r="U803" i="121"/>
  <c r="R744" i="121"/>
  <c r="J753" i="121"/>
  <c r="J768" i="121"/>
  <c r="U784" i="121"/>
  <c r="R793" i="121"/>
  <c r="N808" i="121"/>
  <c r="J812" i="121"/>
  <c r="J820" i="121"/>
  <c r="J828" i="121"/>
  <c r="N842" i="121"/>
  <c r="R853" i="121"/>
  <c r="R861" i="121"/>
  <c r="R869" i="121"/>
  <c r="G883" i="121"/>
  <c r="G891" i="121"/>
  <c r="J898" i="121"/>
  <c r="J906" i="121"/>
  <c r="J914" i="121"/>
  <c r="J922" i="121"/>
  <c r="J930" i="121"/>
  <c r="J936" i="121"/>
  <c r="J940" i="121"/>
  <c r="J944" i="121"/>
  <c r="N840" i="121"/>
  <c r="U873" i="121"/>
  <c r="R811" i="121"/>
  <c r="R819" i="121"/>
  <c r="R827" i="121"/>
  <c r="U836" i="121"/>
  <c r="J850" i="121"/>
  <c r="J858" i="121"/>
  <c r="J866" i="121"/>
  <c r="J874" i="121"/>
  <c r="N888" i="121"/>
  <c r="R899" i="121"/>
  <c r="R907" i="121"/>
  <c r="R915" i="121"/>
  <c r="R923" i="121"/>
  <c r="R931" i="121"/>
  <c r="U975" i="121"/>
  <c r="G991" i="121"/>
  <c r="U841" i="121"/>
  <c r="G841" i="121"/>
  <c r="R877" i="121"/>
  <c r="N966" i="121"/>
  <c r="J972" i="121"/>
  <c r="U990" i="121"/>
  <c r="J948" i="121"/>
  <c r="U948" i="121"/>
  <c r="U988" i="121"/>
  <c r="G996" i="121"/>
  <c r="U945" i="121"/>
  <c r="G982" i="121"/>
  <c r="R994" i="121"/>
  <c r="R950" i="121"/>
  <c r="N958" i="121"/>
  <c r="U949" i="121"/>
  <c r="N951" i="121"/>
  <c r="R961" i="121"/>
  <c r="J211" i="121"/>
  <c r="N223" i="121"/>
  <c r="G303" i="121"/>
  <c r="G203" i="121"/>
  <c r="R203" i="121"/>
  <c r="J285" i="121"/>
  <c r="U3" i="121"/>
  <c r="U722" i="121"/>
  <c r="U825" i="121"/>
  <c r="U909" i="121"/>
  <c r="U925" i="121"/>
  <c r="U935" i="121"/>
  <c r="U903" i="121"/>
  <c r="U919" i="121"/>
  <c r="U939" i="121"/>
  <c r="U723" i="121"/>
  <c r="U724" i="121"/>
  <c r="U823" i="121"/>
  <c r="U907" i="121"/>
  <c r="U923" i="121"/>
  <c r="U813" i="121"/>
  <c r="U905" i="121"/>
  <c r="U921" i="121"/>
  <c r="U941" i="121"/>
  <c r="U819" i="121"/>
  <c r="U817" i="121"/>
  <c r="U901" i="121"/>
  <c r="U917" i="121"/>
  <c r="U933" i="121"/>
  <c r="U943" i="121"/>
  <c r="U895" i="121"/>
  <c r="U911" i="121"/>
  <c r="U927" i="121"/>
  <c r="U937" i="121"/>
  <c r="U815" i="121"/>
  <c r="U899" i="121"/>
  <c r="U915" i="121"/>
  <c r="U931" i="121"/>
  <c r="U821" i="121"/>
  <c r="U897" i="121"/>
  <c r="U913" i="121"/>
  <c r="U929" i="121"/>
  <c r="U811" i="121"/>
  <c r="U827" i="121"/>
  <c r="G3" i="121"/>
  <c r="G246" i="121"/>
  <c r="G278" i="121"/>
  <c r="G302" i="121"/>
  <c r="G318" i="121"/>
  <c r="G350" i="121"/>
  <c r="G382" i="121"/>
  <c r="G414" i="121"/>
  <c r="G236" i="121"/>
  <c r="G268" i="121"/>
  <c r="G292" i="121"/>
  <c r="G308" i="121"/>
  <c r="G340" i="121"/>
  <c r="G372" i="121"/>
  <c r="G404" i="121"/>
  <c r="G436" i="121"/>
  <c r="G226" i="121"/>
  <c r="G250" i="121"/>
  <c r="G282" i="121"/>
  <c r="G306" i="121"/>
  <c r="G338" i="121"/>
  <c r="G370" i="121"/>
  <c r="G402" i="121"/>
  <c r="G434" i="121"/>
  <c r="G240" i="121"/>
  <c r="G272" i="121"/>
  <c r="G296" i="121"/>
  <c r="G312" i="121"/>
  <c r="G344" i="121"/>
  <c r="G376" i="121"/>
  <c r="G408" i="121"/>
  <c r="G440" i="121"/>
  <c r="G596" i="121"/>
  <c r="G721" i="121"/>
  <c r="G856" i="121"/>
  <c r="G884" i="121"/>
  <c r="G938" i="121"/>
  <c r="G723" i="121"/>
  <c r="G820" i="121"/>
  <c r="G846" i="121"/>
  <c r="G882" i="121"/>
  <c r="G904" i="121"/>
  <c r="G920" i="121"/>
  <c r="G826" i="121"/>
  <c r="G868" i="121"/>
  <c r="G902" i="121"/>
  <c r="G918" i="121"/>
  <c r="G934" i="121"/>
  <c r="G816" i="121"/>
  <c r="G838" i="121"/>
  <c r="G874" i="121"/>
  <c r="G953" i="121"/>
  <c r="G961" i="121"/>
  <c r="G969" i="121"/>
  <c r="G830" i="121"/>
  <c r="G214" i="121"/>
  <c r="G230" i="121"/>
  <c r="G254" i="121"/>
  <c r="G286" i="121"/>
  <c r="G326" i="121"/>
  <c r="G358" i="121"/>
  <c r="G390" i="121"/>
  <c r="G422" i="121"/>
  <c r="G220" i="121"/>
  <c r="G244" i="121"/>
  <c r="G276" i="121"/>
  <c r="G316" i="121"/>
  <c r="G348" i="121"/>
  <c r="G380" i="121"/>
  <c r="G412" i="121"/>
  <c r="G258" i="121"/>
  <c r="G290" i="121"/>
  <c r="G314" i="121"/>
  <c r="G346" i="121"/>
  <c r="G378" i="121"/>
  <c r="G410" i="121"/>
  <c r="G216" i="121"/>
  <c r="G248" i="121"/>
  <c r="G280" i="121"/>
  <c r="G320" i="121"/>
  <c r="G352" i="121"/>
  <c r="G384" i="121"/>
  <c r="G416" i="121"/>
  <c r="G442" i="121"/>
  <c r="G590" i="121"/>
  <c r="G814" i="121"/>
  <c r="G836" i="121"/>
  <c r="G864" i="121"/>
  <c r="G898" i="121"/>
  <c r="G914" i="121"/>
  <c r="G930" i="121"/>
  <c r="G854" i="121"/>
  <c r="G890" i="121"/>
  <c r="G936" i="121"/>
  <c r="G832" i="121"/>
  <c r="G888" i="121"/>
  <c r="G850" i="121"/>
  <c r="G886" i="121"/>
  <c r="G908" i="121"/>
  <c r="G924" i="121"/>
  <c r="G940" i="121"/>
  <c r="G955" i="121"/>
  <c r="G963" i="121"/>
  <c r="G971" i="121"/>
  <c r="G892" i="121"/>
  <c r="G844" i="121"/>
  <c r="G262" i="121"/>
  <c r="G310" i="121"/>
  <c r="G334" i="121"/>
  <c r="G366" i="121"/>
  <c r="G398" i="121"/>
  <c r="G430" i="121"/>
  <c r="G228" i="121"/>
  <c r="G252" i="121"/>
  <c r="G284" i="121"/>
  <c r="G300" i="121"/>
  <c r="G324" i="121"/>
  <c r="G356" i="121"/>
  <c r="G388" i="121"/>
  <c r="G420" i="121"/>
  <c r="G234" i="121"/>
  <c r="G266" i="121"/>
  <c r="G322" i="121"/>
  <c r="G354" i="121"/>
  <c r="G386" i="121"/>
  <c r="G418" i="121"/>
  <c r="G224" i="121"/>
  <c r="G256" i="121"/>
  <c r="G288" i="121"/>
  <c r="G304" i="121"/>
  <c r="G328" i="121"/>
  <c r="G360" i="121"/>
  <c r="G392" i="121"/>
  <c r="G424" i="121"/>
  <c r="G594" i="121"/>
  <c r="G842" i="121"/>
  <c r="G872" i="121"/>
  <c r="G812" i="121"/>
  <c r="G828" i="121"/>
  <c r="G862" i="121"/>
  <c r="G896" i="121"/>
  <c r="G912" i="121"/>
  <c r="G928" i="121"/>
  <c r="G818" i="121"/>
  <c r="G852" i="121"/>
  <c r="G894" i="121"/>
  <c r="G910" i="121"/>
  <c r="G926" i="121"/>
  <c r="G942" i="121"/>
  <c r="G824" i="121"/>
  <c r="G858" i="121"/>
  <c r="G949" i="121"/>
  <c r="G957" i="121"/>
  <c r="G965" i="121"/>
  <c r="G840" i="121"/>
  <c r="G880" i="121"/>
  <c r="G222" i="121"/>
  <c r="G238" i="121"/>
  <c r="G270" i="121"/>
  <c r="G294" i="121"/>
  <c r="G342" i="121"/>
  <c r="G374" i="121"/>
  <c r="G406" i="121"/>
  <c r="G438" i="121"/>
  <c r="G260" i="121"/>
  <c r="G332" i="121"/>
  <c r="G364" i="121"/>
  <c r="G396" i="121"/>
  <c r="G428" i="121"/>
  <c r="G218" i="121"/>
  <c r="G242" i="121"/>
  <c r="G274" i="121"/>
  <c r="G298" i="121"/>
  <c r="G330" i="121"/>
  <c r="G362" i="121"/>
  <c r="G394" i="121"/>
  <c r="G426" i="121"/>
  <c r="G232" i="121"/>
  <c r="G264" i="121"/>
  <c r="G336" i="121"/>
  <c r="G368" i="121"/>
  <c r="G400" i="121"/>
  <c r="G432" i="121"/>
  <c r="G592" i="121"/>
  <c r="G822" i="121"/>
  <c r="G848" i="121"/>
  <c r="G878" i="121"/>
  <c r="G906" i="121"/>
  <c r="G922" i="121"/>
  <c r="G834" i="121"/>
  <c r="G870" i="121"/>
  <c r="G944" i="121"/>
  <c r="G860" i="121"/>
  <c r="G866" i="121"/>
  <c r="G900" i="121"/>
  <c r="G916" i="121"/>
  <c r="G932" i="121"/>
  <c r="G951" i="121"/>
  <c r="G959" i="121"/>
  <c r="G967" i="121"/>
  <c r="G876" i="121"/>
  <c r="G227" i="121"/>
  <c r="J289" i="121"/>
  <c r="U220" i="121"/>
  <c r="U252" i="121"/>
  <c r="U284" i="121"/>
  <c r="U316" i="121"/>
  <c r="U348" i="121"/>
  <c r="U380" i="121"/>
  <c r="U412" i="121"/>
  <c r="R467" i="121"/>
  <c r="N479" i="121"/>
  <c r="N490" i="121"/>
  <c r="U501" i="121"/>
  <c r="G517" i="121"/>
  <c r="R531" i="121"/>
  <c r="N541" i="121"/>
  <c r="N550" i="121"/>
  <c r="U565" i="121"/>
  <c r="G581" i="121"/>
  <c r="J214" i="121"/>
  <c r="N224" i="121"/>
  <c r="R234" i="121"/>
  <c r="J246" i="121"/>
  <c r="N256" i="121"/>
  <c r="R266" i="121"/>
  <c r="J278" i="121"/>
  <c r="N288" i="121"/>
  <c r="R298" i="121"/>
  <c r="J310" i="121"/>
  <c r="N320" i="121"/>
  <c r="R330" i="121"/>
  <c r="J342" i="121"/>
  <c r="N352" i="121"/>
  <c r="R362" i="121"/>
  <c r="J374" i="121"/>
  <c r="N384" i="121"/>
  <c r="R394" i="121"/>
  <c r="J406" i="121"/>
  <c r="N416" i="121"/>
  <c r="R426" i="121"/>
  <c r="J438" i="121"/>
  <c r="G448" i="121"/>
  <c r="R460" i="121"/>
  <c r="J473" i="121"/>
  <c r="J488" i="121"/>
  <c r="G507" i="121"/>
  <c r="G516" i="121"/>
  <c r="R526" i="121"/>
  <c r="N540" i="121"/>
  <c r="U555" i="121"/>
  <c r="G571" i="121"/>
  <c r="G580" i="121"/>
  <c r="N465" i="121"/>
  <c r="N480" i="121"/>
  <c r="J494" i="121"/>
  <c r="G513" i="121"/>
  <c r="G520" i="121"/>
  <c r="N535" i="121"/>
  <c r="N546" i="121"/>
  <c r="U561" i="121"/>
  <c r="G577" i="121"/>
  <c r="G586" i="121"/>
  <c r="N217" i="121"/>
  <c r="J233" i="121"/>
  <c r="U241" i="121"/>
  <c r="G249" i="121"/>
  <c r="R249" i="121"/>
  <c r="N257" i="121"/>
  <c r="J265" i="121"/>
  <c r="U273" i="121"/>
  <c r="G281" i="121"/>
  <c r="R281" i="121"/>
  <c r="N307" i="121"/>
  <c r="J317" i="121"/>
  <c r="U325" i="121"/>
  <c r="G333" i="121"/>
  <c r="R333" i="121"/>
  <c r="N341" i="121"/>
  <c r="J349" i="121"/>
  <c r="U357" i="121"/>
  <c r="G365" i="121"/>
  <c r="R365" i="121"/>
  <c r="N373" i="121"/>
  <c r="J381" i="121"/>
  <c r="U389" i="121"/>
  <c r="G397" i="121"/>
  <c r="R397" i="121"/>
  <c r="N405" i="121"/>
  <c r="J413" i="121"/>
  <c r="U421" i="121"/>
  <c r="G429" i="121"/>
  <c r="R429" i="121"/>
  <c r="N437" i="121"/>
  <c r="J450" i="121"/>
  <c r="U466" i="121"/>
  <c r="G478" i="121"/>
  <c r="N487" i="121"/>
  <c r="N504" i="121"/>
  <c r="J518" i="121"/>
  <c r="U534" i="121"/>
  <c r="G544" i="121"/>
  <c r="N559" i="121"/>
  <c r="N568" i="121"/>
  <c r="U583" i="121"/>
  <c r="G603" i="121"/>
  <c r="G618" i="121"/>
  <c r="N627" i="121"/>
  <c r="J637" i="121"/>
  <c r="U651" i="121"/>
  <c r="G667" i="121"/>
  <c r="R683" i="121"/>
  <c r="N697" i="121"/>
  <c r="J706" i="121"/>
  <c r="R601" i="121"/>
  <c r="R616" i="121"/>
  <c r="J625" i="121"/>
  <c r="U635" i="121"/>
  <c r="U654" i="121"/>
  <c r="G666" i="121"/>
  <c r="N681" i="121"/>
  <c r="N688" i="121"/>
  <c r="U703" i="121"/>
  <c r="J443" i="121"/>
  <c r="U451" i="121"/>
  <c r="G451" i="121"/>
  <c r="R459" i="121"/>
  <c r="N495" i="121"/>
  <c r="R598" i="121"/>
  <c r="J607" i="121"/>
  <c r="J622" i="121"/>
  <c r="U640" i="121"/>
  <c r="R649" i="121"/>
  <c r="N661" i="121"/>
  <c r="J673" i="121"/>
  <c r="J680" i="121"/>
  <c r="U694" i="121"/>
  <c r="G710" i="121"/>
  <c r="R605" i="121"/>
  <c r="R620" i="121"/>
  <c r="N632" i="121"/>
  <c r="U643" i="121"/>
  <c r="U660" i="121"/>
  <c r="G672" i="121"/>
  <c r="R684" i="121"/>
  <c r="J699" i="121"/>
  <c r="G716" i="121"/>
  <c r="N719" i="121"/>
  <c r="J732" i="121"/>
  <c r="G738" i="121"/>
  <c r="U750" i="121"/>
  <c r="R759" i="121"/>
  <c r="R774" i="121"/>
  <c r="J783" i="121"/>
  <c r="J798" i="121"/>
  <c r="R721" i="121"/>
  <c r="J733" i="121"/>
  <c r="J741" i="121"/>
  <c r="G757" i="121"/>
  <c r="G772" i="121"/>
  <c r="N781" i="121"/>
  <c r="N796" i="121"/>
  <c r="U805" i="121"/>
  <c r="R593" i="121"/>
  <c r="J717" i="121"/>
  <c r="U746" i="121"/>
  <c r="R755" i="121"/>
  <c r="R770" i="121"/>
  <c r="J779" i="121"/>
  <c r="J794" i="121"/>
  <c r="U725" i="121"/>
  <c r="R725" i="121"/>
  <c r="N745" i="121"/>
  <c r="N760" i="121"/>
  <c r="U769" i="121"/>
  <c r="G785" i="121"/>
  <c r="G800" i="121"/>
  <c r="U830" i="121"/>
  <c r="U814" i="121"/>
  <c r="U822" i="121"/>
  <c r="J833" i="121"/>
  <c r="N847" i="121"/>
  <c r="N855" i="121"/>
  <c r="N863" i="121"/>
  <c r="N871" i="121"/>
  <c r="R885" i="121"/>
  <c r="U894" i="121"/>
  <c r="U902" i="121"/>
  <c r="U910" i="121"/>
  <c r="U918" i="121"/>
  <c r="U926" i="121"/>
  <c r="U934" i="121"/>
  <c r="U938" i="121"/>
  <c r="U942" i="121"/>
  <c r="N831" i="121"/>
  <c r="U859" i="121"/>
  <c r="R892" i="121"/>
  <c r="N815" i="121"/>
  <c r="N823" i="121"/>
  <c r="R832" i="121"/>
  <c r="U846" i="121"/>
  <c r="U854" i="121"/>
  <c r="U862" i="121"/>
  <c r="U870" i="121"/>
  <c r="J884" i="121"/>
  <c r="N895" i="121"/>
  <c r="N903" i="121"/>
  <c r="N911" i="121"/>
  <c r="N919" i="121"/>
  <c r="N927" i="121"/>
  <c r="R947" i="121"/>
  <c r="J981" i="121"/>
  <c r="U997" i="121"/>
  <c r="N843" i="121"/>
  <c r="J879" i="121"/>
  <c r="G964" i="121"/>
  <c r="R970" i="121"/>
  <c r="N984" i="121"/>
  <c r="U995" i="121"/>
  <c r="J979" i="121"/>
  <c r="U989" i="121"/>
  <c r="J974" i="121"/>
  <c r="U992" i="121"/>
  <c r="J952" i="121"/>
  <c r="U952" i="121"/>
  <c r="G960" i="121"/>
  <c r="U967" i="121"/>
  <c r="N957" i="121"/>
  <c r="R967" i="121"/>
  <c r="U38" i="121"/>
  <c r="R29" i="121"/>
  <c r="R12" i="121"/>
  <c r="J23" i="121"/>
  <c r="J36" i="121"/>
  <c r="U52" i="121"/>
  <c r="R63" i="121"/>
  <c r="R76" i="121"/>
  <c r="J87" i="121"/>
  <c r="J100" i="121"/>
  <c r="G109" i="121"/>
  <c r="G116" i="121"/>
  <c r="R126" i="121"/>
  <c r="J139" i="121"/>
  <c r="J150" i="121"/>
  <c r="U166" i="121"/>
  <c r="R179" i="121"/>
  <c r="R190" i="121"/>
  <c r="J54" i="121"/>
  <c r="U70" i="121"/>
  <c r="R81" i="121"/>
  <c r="R94" i="121"/>
  <c r="J115" i="121"/>
  <c r="J128" i="121"/>
  <c r="U144" i="121"/>
  <c r="R157" i="121"/>
  <c r="R168" i="121"/>
  <c r="J181" i="121"/>
  <c r="J192" i="121"/>
  <c r="U33" i="121"/>
  <c r="G19" i="121"/>
  <c r="G32" i="121"/>
  <c r="N43" i="121"/>
  <c r="N56" i="121"/>
  <c r="U67" i="121"/>
  <c r="G83" i="121"/>
  <c r="G96" i="121"/>
  <c r="R106" i="121"/>
  <c r="N112" i="121"/>
  <c r="J122" i="121"/>
  <c r="U138" i="121"/>
  <c r="R151" i="121"/>
  <c r="R162" i="121"/>
  <c r="J175" i="121"/>
  <c r="J186" i="121"/>
  <c r="R14" i="121"/>
  <c r="J49" i="121"/>
  <c r="U21" i="121"/>
  <c r="U42" i="121"/>
  <c r="R53" i="121"/>
  <c r="R66" i="121"/>
  <c r="J77" i="121"/>
  <c r="J90" i="121"/>
  <c r="U114" i="121"/>
  <c r="R129" i="121"/>
  <c r="R140" i="121"/>
  <c r="J153" i="121"/>
  <c r="J164" i="121"/>
  <c r="U180" i="121"/>
  <c r="R193" i="121"/>
  <c r="U205" i="121"/>
  <c r="J212" i="121"/>
  <c r="R231" i="121"/>
  <c r="N303" i="121"/>
  <c r="R209" i="121"/>
  <c r="N293" i="121"/>
  <c r="R291" i="121"/>
  <c r="N297" i="121"/>
  <c r="U230" i="121"/>
  <c r="U262" i="121"/>
  <c r="U294" i="121"/>
  <c r="U326" i="121"/>
  <c r="U358" i="121"/>
  <c r="U390" i="121"/>
  <c r="U422" i="121"/>
  <c r="G472" i="121"/>
  <c r="R482" i="121"/>
  <c r="J493" i="121"/>
  <c r="J502" i="121"/>
  <c r="U522" i="121"/>
  <c r="G532" i="121"/>
  <c r="R542" i="121"/>
  <c r="J557" i="121"/>
  <c r="J566" i="121"/>
  <c r="U582" i="121"/>
  <c r="R216" i="121"/>
  <c r="J228" i="121"/>
  <c r="N238" i="121"/>
  <c r="R248" i="121"/>
  <c r="J260" i="121"/>
  <c r="N270" i="121"/>
  <c r="R280" i="121"/>
  <c r="J292" i="121"/>
  <c r="N302" i="121"/>
  <c r="R312" i="121"/>
  <c r="J324" i="121"/>
  <c r="N334" i="121"/>
  <c r="R344" i="121"/>
  <c r="J356" i="121"/>
  <c r="N366" i="121"/>
  <c r="R376" i="121"/>
  <c r="J388" i="121"/>
  <c r="N398" i="121"/>
  <c r="R408" i="121"/>
  <c r="J420" i="121"/>
  <c r="N430" i="121"/>
  <c r="R440" i="121"/>
  <c r="G452" i="121"/>
  <c r="R464" i="121"/>
  <c r="N476" i="121"/>
  <c r="U491" i="121"/>
  <c r="U508" i="121"/>
  <c r="R521" i="121"/>
  <c r="R530" i="121"/>
  <c r="J547" i="121"/>
  <c r="J556" i="121"/>
  <c r="U572" i="121"/>
  <c r="R587" i="121"/>
  <c r="R468" i="121"/>
  <c r="N486" i="121"/>
  <c r="J498" i="121"/>
  <c r="U514" i="121"/>
  <c r="G524" i="121"/>
  <c r="N539" i="121"/>
  <c r="J553" i="121"/>
  <c r="J562" i="121"/>
  <c r="U578" i="121"/>
  <c r="G219" i="121"/>
  <c r="R219" i="121"/>
  <c r="N235" i="121"/>
  <c r="J243" i="121"/>
  <c r="U251" i="121"/>
  <c r="G259" i="121"/>
  <c r="R259" i="121"/>
  <c r="N267" i="121"/>
  <c r="J275" i="121"/>
  <c r="U283" i="121"/>
  <c r="G309" i="121"/>
  <c r="R309" i="121"/>
  <c r="N319" i="121"/>
  <c r="J327" i="121"/>
  <c r="U335" i="121"/>
  <c r="G343" i="121"/>
  <c r="R343" i="121"/>
  <c r="N351" i="121"/>
  <c r="J359" i="121"/>
  <c r="U367" i="121"/>
  <c r="G375" i="121"/>
  <c r="R375" i="121"/>
  <c r="N383" i="121"/>
  <c r="J391" i="121"/>
  <c r="U399" i="121"/>
  <c r="G407" i="121"/>
  <c r="R407" i="121"/>
  <c r="N415" i="121"/>
  <c r="J423" i="121"/>
  <c r="U431" i="121"/>
  <c r="G439" i="121"/>
  <c r="R439" i="121"/>
  <c r="J454" i="121"/>
  <c r="G469" i="121"/>
  <c r="R481" i="121"/>
  <c r="R492" i="121"/>
  <c r="J511" i="121"/>
  <c r="U523" i="121"/>
  <c r="U538" i="121"/>
  <c r="R551" i="121"/>
  <c r="R560" i="121"/>
  <c r="J575" i="121"/>
  <c r="J584" i="121"/>
  <c r="U610" i="121"/>
  <c r="R619" i="121"/>
  <c r="N631" i="121"/>
  <c r="N642" i="121"/>
  <c r="U655" i="121"/>
  <c r="G671" i="121"/>
  <c r="R689" i="121"/>
  <c r="R698" i="121"/>
  <c r="J714" i="121"/>
  <c r="G608" i="121"/>
  <c r="N617" i="121"/>
  <c r="N630" i="121"/>
  <c r="U641" i="121"/>
  <c r="U658" i="121"/>
  <c r="G670" i="121"/>
  <c r="R682" i="121"/>
  <c r="J695" i="121"/>
  <c r="J704" i="121"/>
  <c r="N445" i="121"/>
  <c r="J453" i="121"/>
  <c r="U461" i="121"/>
  <c r="G461" i="121"/>
  <c r="R497" i="121"/>
  <c r="N599" i="121"/>
  <c r="N614" i="121"/>
  <c r="U623" i="121"/>
  <c r="U644" i="121"/>
  <c r="R653" i="121"/>
  <c r="N665" i="121"/>
  <c r="N674" i="121"/>
  <c r="U685" i="121"/>
  <c r="G701" i="121"/>
  <c r="U592" i="121"/>
  <c r="N605" i="121"/>
  <c r="N620" i="121"/>
  <c r="J632" i="121"/>
  <c r="U648" i="121"/>
  <c r="G660" i="121"/>
  <c r="R672" i="121"/>
  <c r="N684" i="121"/>
  <c r="U699" i="121"/>
  <c r="U707" i="121"/>
  <c r="R707" i="121"/>
  <c r="N720" i="121"/>
  <c r="G732" i="121"/>
  <c r="U740" i="121"/>
  <c r="G750" i="121"/>
  <c r="N759" i="121"/>
  <c r="N774" i="121"/>
  <c r="U783" i="121"/>
  <c r="G799" i="121"/>
  <c r="N721" i="121"/>
  <c r="G733" i="121"/>
  <c r="G741" i="121"/>
  <c r="R756" i="121"/>
  <c r="J765" i="121"/>
  <c r="J780" i="121"/>
  <c r="U796" i="121"/>
  <c r="R805" i="121"/>
  <c r="R595" i="121"/>
  <c r="G746" i="121"/>
  <c r="N755" i="121"/>
  <c r="N770" i="121"/>
  <c r="U779" i="121"/>
  <c r="G795" i="121"/>
  <c r="U726" i="121"/>
  <c r="R726" i="121"/>
  <c r="J745" i="121"/>
  <c r="J760" i="121"/>
  <c r="U776" i="121"/>
  <c r="R785" i="121"/>
  <c r="R800" i="121"/>
  <c r="R830" i="121"/>
  <c r="R814" i="121"/>
  <c r="R822" i="121"/>
  <c r="G833" i="121"/>
  <c r="J847" i="121"/>
  <c r="J855" i="121"/>
  <c r="J863" i="121"/>
  <c r="J871" i="121"/>
  <c r="N885" i="121"/>
  <c r="R894" i="121"/>
  <c r="R902" i="121"/>
  <c r="R910" i="121"/>
  <c r="R918" i="121"/>
  <c r="R926" i="121"/>
  <c r="R934" i="121"/>
  <c r="R938" i="121"/>
  <c r="R942" i="121"/>
  <c r="N809" i="121"/>
  <c r="G809" i="121"/>
  <c r="U853" i="121"/>
  <c r="U885" i="121"/>
  <c r="J810" i="121"/>
  <c r="J813" i="121"/>
  <c r="J821" i="121"/>
  <c r="J829" i="121"/>
  <c r="N838" i="121"/>
  <c r="R852" i="121"/>
  <c r="R860" i="121"/>
  <c r="R868" i="121"/>
  <c r="U882" i="121"/>
  <c r="U890" i="121"/>
  <c r="J901" i="121"/>
  <c r="J909" i="121"/>
  <c r="J917" i="121"/>
  <c r="J925" i="121"/>
  <c r="J933" i="121"/>
  <c r="G981" i="121"/>
  <c r="R997" i="121"/>
  <c r="J845" i="121"/>
  <c r="U881" i="121"/>
  <c r="G881" i="121"/>
  <c r="J968" i="121"/>
  <c r="U984" i="121"/>
  <c r="R995" i="121"/>
  <c r="G979" i="121"/>
  <c r="R989" i="121"/>
  <c r="G974" i="121"/>
  <c r="N987" i="121"/>
  <c r="J999" i="121"/>
  <c r="G954" i="121"/>
  <c r="R962" i="121"/>
  <c r="U961" i="121"/>
  <c r="N955" i="121"/>
  <c r="R965" i="121"/>
  <c r="N25" i="121"/>
  <c r="J13" i="121"/>
  <c r="U7" i="121"/>
  <c r="G23" i="121"/>
  <c r="G36" i="121"/>
  <c r="N47" i="121"/>
  <c r="N60" i="121"/>
  <c r="U71" i="121"/>
  <c r="G87" i="121"/>
  <c r="G100" i="121"/>
  <c r="N107" i="121"/>
  <c r="J113" i="121"/>
  <c r="U123" i="121"/>
  <c r="G139" i="121"/>
  <c r="G150" i="121"/>
  <c r="N163" i="121"/>
  <c r="N174" i="121"/>
  <c r="U187" i="121"/>
  <c r="G54" i="121"/>
  <c r="N65" i="121"/>
  <c r="N78" i="121"/>
  <c r="U89" i="121"/>
  <c r="G115" i="121"/>
  <c r="G128" i="121"/>
  <c r="N141" i="121"/>
  <c r="N152" i="121"/>
  <c r="U165" i="121"/>
  <c r="G181" i="121"/>
  <c r="G192" i="121"/>
  <c r="U8" i="121"/>
  <c r="R19" i="121"/>
  <c r="R32" i="121"/>
  <c r="J43" i="121"/>
  <c r="J56" i="121"/>
  <c r="U72" i="121"/>
  <c r="R83" i="121"/>
  <c r="R96" i="121"/>
  <c r="N106" i="121"/>
  <c r="J112" i="121"/>
  <c r="G127" i="121"/>
  <c r="G138" i="121"/>
  <c r="N151" i="121"/>
  <c r="N162" i="121"/>
  <c r="U175" i="121"/>
  <c r="G191" i="121"/>
  <c r="J6" i="121"/>
  <c r="G49" i="121"/>
  <c r="R21" i="121"/>
  <c r="N37" i="121"/>
  <c r="N50" i="121"/>
  <c r="U61" i="121"/>
  <c r="G77" i="121"/>
  <c r="G90" i="121"/>
  <c r="N101" i="121"/>
  <c r="N124" i="121"/>
  <c r="U137" i="121"/>
  <c r="G153" i="121"/>
  <c r="G164" i="121"/>
  <c r="N177" i="121"/>
  <c r="N188" i="121"/>
  <c r="N215" i="121"/>
  <c r="J303" i="121"/>
  <c r="N209" i="121"/>
  <c r="G285" i="121"/>
  <c r="U198" i="121"/>
  <c r="G196" i="121"/>
  <c r="J297" i="121"/>
  <c r="U224" i="121"/>
  <c r="U256" i="121"/>
  <c r="U288" i="121"/>
  <c r="U320" i="121"/>
  <c r="U352" i="121"/>
  <c r="U384" i="121"/>
  <c r="U416" i="121"/>
  <c r="J467" i="121"/>
  <c r="U479" i="121"/>
  <c r="G493" i="121"/>
  <c r="G502" i="121"/>
  <c r="N517" i="121"/>
  <c r="J531" i="121"/>
  <c r="U541" i="121"/>
  <c r="G557" i="121"/>
  <c r="G566" i="121"/>
  <c r="N581" i="121"/>
  <c r="R214" i="121"/>
  <c r="J226" i="121"/>
  <c r="N236" i="121"/>
  <c r="R246" i="121"/>
  <c r="J258" i="121"/>
  <c r="N268" i="121"/>
  <c r="R278" i="121"/>
  <c r="J290" i="121"/>
  <c r="N300" i="121"/>
  <c r="R310" i="121"/>
  <c r="J322" i="121"/>
  <c r="N332" i="121"/>
  <c r="R342" i="121"/>
  <c r="J354" i="121"/>
  <c r="N364" i="121"/>
  <c r="R374" i="121"/>
  <c r="J386" i="121"/>
  <c r="N396" i="121"/>
  <c r="R406" i="121"/>
  <c r="J418" i="121"/>
  <c r="N428" i="121"/>
  <c r="R438" i="121"/>
  <c r="N448" i="121"/>
  <c r="J460" i="121"/>
  <c r="U476" i="121"/>
  <c r="R491" i="121"/>
  <c r="N507" i="121"/>
  <c r="N516" i="121"/>
  <c r="J526" i="121"/>
  <c r="G547" i="121"/>
  <c r="G556" i="121"/>
  <c r="N571" i="121"/>
  <c r="N580" i="121"/>
  <c r="U465" i="121"/>
  <c r="U486" i="121"/>
  <c r="G498" i="121"/>
  <c r="N513" i="121"/>
  <c r="N520" i="121"/>
  <c r="U535" i="121"/>
  <c r="G553" i="121"/>
  <c r="G562" i="121"/>
  <c r="N577" i="121"/>
  <c r="N586" i="121"/>
  <c r="N221" i="121"/>
  <c r="J237" i="121"/>
  <c r="U245" i="121"/>
  <c r="G253" i="121"/>
  <c r="R253" i="121"/>
  <c r="N261" i="121"/>
  <c r="J269" i="121"/>
  <c r="U277" i="121"/>
  <c r="G295" i="121"/>
  <c r="R295" i="121"/>
  <c r="N313" i="121"/>
  <c r="J321" i="121"/>
  <c r="U329" i="121"/>
  <c r="G337" i="121"/>
  <c r="R337" i="121"/>
  <c r="N345" i="121"/>
  <c r="J353" i="121"/>
  <c r="U361" i="121"/>
  <c r="G369" i="121"/>
  <c r="R369" i="121"/>
  <c r="N377" i="121"/>
  <c r="J385" i="121"/>
  <c r="U393" i="121"/>
  <c r="G401" i="121"/>
  <c r="R401" i="121"/>
  <c r="N409" i="121"/>
  <c r="J417" i="121"/>
  <c r="U425" i="121"/>
  <c r="G433" i="121"/>
  <c r="R433" i="121"/>
  <c r="N441" i="121"/>
  <c r="G454" i="121"/>
  <c r="R466" i="121"/>
  <c r="N478" i="121"/>
  <c r="U487" i="121"/>
  <c r="G511" i="121"/>
  <c r="R523" i="121"/>
  <c r="R534" i="121"/>
  <c r="N544" i="121"/>
  <c r="U559" i="121"/>
  <c r="G575" i="121"/>
  <c r="G584" i="121"/>
  <c r="G610" i="121"/>
  <c r="N619" i="121"/>
  <c r="J631" i="121"/>
  <c r="J642" i="121"/>
  <c r="G659" i="121"/>
  <c r="R671" i="121"/>
  <c r="N689" i="121"/>
  <c r="N698" i="121"/>
  <c r="N714" i="121"/>
  <c r="J601" i="121"/>
  <c r="J616" i="121"/>
  <c r="U630" i="121"/>
  <c r="R641" i="121"/>
  <c r="R654" i="121"/>
  <c r="N666" i="121"/>
  <c r="U681" i="121"/>
  <c r="G695" i="121"/>
  <c r="G704" i="121"/>
  <c r="J447" i="121"/>
  <c r="U455" i="121"/>
  <c r="G455" i="121"/>
  <c r="R463" i="121"/>
  <c r="J598" i="121"/>
  <c r="U614" i="121"/>
  <c r="R623" i="121"/>
  <c r="R640" i="121"/>
  <c r="J649" i="121"/>
  <c r="U661" i="121"/>
  <c r="U674" i="121"/>
  <c r="R685" i="121"/>
  <c r="R694" i="121"/>
  <c r="J710" i="121"/>
  <c r="J604" i="121"/>
  <c r="U620" i="121"/>
  <c r="G632" i="121"/>
  <c r="N643" i="121"/>
  <c r="N656" i="121"/>
  <c r="J668" i="121"/>
  <c r="U684" i="121"/>
  <c r="R699" i="121"/>
  <c r="N716" i="121"/>
  <c r="N711" i="121"/>
  <c r="J727" i="121"/>
  <c r="R732" i="121"/>
  <c r="N738" i="121"/>
  <c r="J743" i="121"/>
  <c r="J758" i="121"/>
  <c r="U774" i="121"/>
  <c r="R783" i="121"/>
  <c r="R798" i="121"/>
  <c r="J807" i="121"/>
  <c r="R731" i="121"/>
  <c r="R739" i="121"/>
  <c r="U749" i="121"/>
  <c r="G765" i="121"/>
  <c r="G780" i="121"/>
  <c r="N789" i="121"/>
  <c r="N804" i="121"/>
  <c r="J709" i="121"/>
  <c r="J724" i="121"/>
  <c r="J754" i="121"/>
  <c r="U770" i="121"/>
  <c r="R779" i="121"/>
  <c r="R794" i="121"/>
  <c r="J803" i="121"/>
  <c r="N718" i="121"/>
  <c r="G744" i="121"/>
  <c r="N753" i="121"/>
  <c r="N768" i="121"/>
  <c r="U777" i="121"/>
  <c r="G793" i="121"/>
  <c r="J808" i="121"/>
  <c r="N812" i="121"/>
  <c r="N820" i="121"/>
  <c r="N828" i="121"/>
  <c r="R842" i="121"/>
  <c r="G853" i="121"/>
  <c r="G861" i="121"/>
  <c r="G869" i="121"/>
  <c r="J883" i="121"/>
  <c r="J891" i="121"/>
  <c r="N900" i="121"/>
  <c r="N908" i="121"/>
  <c r="N916" i="121"/>
  <c r="N924" i="121"/>
  <c r="N932" i="121"/>
  <c r="R937" i="121"/>
  <c r="R941" i="121"/>
  <c r="G946" i="121"/>
  <c r="U847" i="121"/>
  <c r="J876" i="121"/>
  <c r="G813" i="121"/>
  <c r="G821" i="121"/>
  <c r="G829" i="121"/>
  <c r="J836" i="121"/>
  <c r="N850" i="121"/>
  <c r="N858" i="121"/>
  <c r="N866" i="121"/>
  <c r="N874" i="121"/>
  <c r="R888" i="121"/>
  <c r="G899" i="121"/>
  <c r="G907" i="121"/>
  <c r="G915" i="121"/>
  <c r="G923" i="121"/>
  <c r="G931" i="121"/>
  <c r="J975" i="121"/>
  <c r="J986" i="121"/>
  <c r="U839" i="121"/>
  <c r="G839" i="121"/>
  <c r="R875" i="121"/>
  <c r="N893" i="121"/>
  <c r="R966" i="121"/>
  <c r="N972" i="121"/>
  <c r="U985" i="121"/>
  <c r="N973" i="121"/>
  <c r="N988" i="121"/>
  <c r="J996" i="121"/>
  <c r="G999" i="121"/>
  <c r="R956" i="121"/>
  <c r="N976" i="121"/>
  <c r="U955" i="121"/>
  <c r="N953" i="121"/>
  <c r="R963" i="121"/>
  <c r="U210" i="121"/>
  <c r="N213" i="121"/>
  <c r="G223" i="121"/>
  <c r="N311" i="121"/>
  <c r="J209" i="121"/>
  <c r="N301" i="121"/>
  <c r="J291" i="121"/>
  <c r="U207" i="121"/>
  <c r="U212" i="121"/>
  <c r="U218" i="121"/>
  <c r="U250" i="121"/>
  <c r="U282" i="121"/>
  <c r="U314" i="121"/>
  <c r="U346" i="121"/>
  <c r="U378" i="121"/>
  <c r="U410" i="121"/>
  <c r="G467" i="121"/>
  <c r="R479" i="121"/>
  <c r="R490" i="121"/>
  <c r="J501" i="121"/>
  <c r="J510" i="121"/>
  <c r="G531" i="121"/>
  <c r="R541" i="121"/>
  <c r="R550" i="121"/>
  <c r="J565" i="121"/>
  <c r="J574" i="121"/>
  <c r="J216" i="121"/>
  <c r="N226" i="121"/>
  <c r="R236" i="121"/>
  <c r="J248" i="121"/>
  <c r="N258" i="121"/>
  <c r="R268" i="121"/>
  <c r="J280" i="121"/>
  <c r="N290" i="121"/>
  <c r="R300" i="121"/>
  <c r="J312" i="121"/>
  <c r="N322" i="121"/>
  <c r="R332" i="121"/>
  <c r="J344" i="121"/>
  <c r="N354" i="121"/>
  <c r="R364" i="121"/>
  <c r="J376" i="121"/>
  <c r="N386" i="121"/>
  <c r="R396" i="121"/>
  <c r="J408" i="121"/>
  <c r="N418" i="121"/>
  <c r="R428" i="121"/>
  <c r="J440" i="121"/>
  <c r="J448" i="121"/>
  <c r="U464" i="121"/>
  <c r="G476" i="121"/>
  <c r="N491" i="121"/>
  <c r="J507" i="121"/>
  <c r="J516" i="121"/>
  <c r="U530" i="121"/>
  <c r="R547" i="121"/>
  <c r="R556" i="121"/>
  <c r="J571" i="121"/>
  <c r="J580" i="121"/>
  <c r="U468" i="121"/>
  <c r="G486" i="121"/>
  <c r="R498" i="121"/>
  <c r="J513" i="121"/>
  <c r="J520" i="121"/>
  <c r="G539" i="121"/>
  <c r="R553" i="121"/>
  <c r="R562" i="121"/>
  <c r="J577" i="121"/>
  <c r="J586" i="121"/>
  <c r="N225" i="121"/>
  <c r="J239" i="121"/>
  <c r="U247" i="121"/>
  <c r="G255" i="121"/>
  <c r="R255" i="121"/>
  <c r="N263" i="121"/>
  <c r="J271" i="121"/>
  <c r="U279" i="121"/>
  <c r="G299" i="121"/>
  <c r="R299" i="121"/>
  <c r="N315" i="121"/>
  <c r="J323" i="121"/>
  <c r="U331" i="121"/>
  <c r="G339" i="121"/>
  <c r="R339" i="121"/>
  <c r="N347" i="121"/>
  <c r="J355" i="121"/>
  <c r="U363" i="121"/>
  <c r="G371" i="121"/>
  <c r="R371" i="121"/>
  <c r="N379" i="121"/>
  <c r="J387" i="121"/>
  <c r="U395" i="121"/>
  <c r="G403" i="121"/>
  <c r="R403" i="121"/>
  <c r="N411" i="121"/>
  <c r="J419" i="121"/>
  <c r="U427" i="121"/>
  <c r="G435" i="121"/>
  <c r="R435" i="121"/>
  <c r="R454" i="121"/>
  <c r="N466" i="121"/>
  <c r="J478" i="121"/>
  <c r="U492" i="121"/>
  <c r="R511" i="121"/>
  <c r="N523" i="121"/>
  <c r="N534" i="121"/>
  <c r="J544" i="121"/>
  <c r="U560" i="121"/>
  <c r="R575" i="121"/>
  <c r="R584" i="121"/>
  <c r="J603" i="121"/>
  <c r="J618" i="121"/>
  <c r="G631" i="121"/>
  <c r="G642" i="121"/>
  <c r="N655" i="121"/>
  <c r="J667" i="121"/>
  <c r="U683" i="121"/>
  <c r="U698" i="121"/>
  <c r="G714" i="121"/>
  <c r="U601" i="121"/>
  <c r="G617" i="121"/>
  <c r="G630" i="121"/>
  <c r="N641" i="121"/>
  <c r="N654" i="121"/>
  <c r="J666" i="121"/>
  <c r="U682" i="121"/>
  <c r="R695" i="121"/>
  <c r="R704" i="121"/>
  <c r="N449" i="121"/>
  <c r="J457" i="121"/>
  <c r="U477" i="121"/>
  <c r="G477" i="121"/>
  <c r="U599" i="121"/>
  <c r="G615" i="121"/>
  <c r="R629" i="121"/>
  <c r="R644" i="121"/>
  <c r="J653" i="121"/>
  <c r="U665" i="121"/>
  <c r="G679" i="121"/>
  <c r="G686" i="121"/>
  <c r="N701" i="121"/>
  <c r="N592" i="121"/>
  <c r="U605" i="121"/>
  <c r="G621" i="121"/>
  <c r="G638" i="121"/>
  <c r="R648" i="121"/>
  <c r="N660" i="121"/>
  <c r="J672" i="121"/>
  <c r="G691" i="121"/>
  <c r="G700" i="121"/>
  <c r="U715" i="121"/>
  <c r="R715" i="121"/>
  <c r="R728" i="121"/>
  <c r="R734" i="121"/>
  <c r="N740" i="121"/>
  <c r="N750" i="121"/>
  <c r="U759" i="121"/>
  <c r="G775" i="121"/>
  <c r="G790" i="121"/>
  <c r="N799" i="121"/>
  <c r="R722" i="121"/>
  <c r="N735" i="121"/>
  <c r="R748" i="121"/>
  <c r="J757" i="121"/>
  <c r="J772" i="121"/>
  <c r="U788" i="121"/>
  <c r="R797" i="121"/>
  <c r="U591" i="121"/>
  <c r="G591" i="121"/>
  <c r="N713" i="121"/>
  <c r="N746" i="121"/>
  <c r="U755" i="121"/>
  <c r="G771" i="121"/>
  <c r="G786" i="121"/>
  <c r="N795" i="121"/>
  <c r="U721" i="121"/>
  <c r="R745" i="121"/>
  <c r="R760" i="121"/>
  <c r="J769" i="121"/>
  <c r="J784" i="121"/>
  <c r="U800" i="121"/>
  <c r="J830" i="121"/>
  <c r="J814" i="121"/>
  <c r="J822" i="121"/>
  <c r="N833" i="121"/>
  <c r="R847" i="121"/>
  <c r="R855" i="121"/>
  <c r="R863" i="121"/>
  <c r="R871" i="121"/>
  <c r="G885" i="121"/>
  <c r="U891" i="121"/>
  <c r="J900" i="121"/>
  <c r="J908" i="121"/>
  <c r="J916" i="121"/>
  <c r="J924" i="121"/>
  <c r="J932" i="121"/>
  <c r="N937" i="121"/>
  <c r="N941" i="121"/>
  <c r="R946" i="121"/>
  <c r="U849" i="121"/>
  <c r="U876" i="121"/>
  <c r="R813" i="121"/>
  <c r="R821" i="121"/>
  <c r="R829" i="121"/>
  <c r="U838" i="121"/>
  <c r="J852" i="121"/>
  <c r="J860" i="121"/>
  <c r="J868" i="121"/>
  <c r="N882" i="121"/>
  <c r="N890" i="121"/>
  <c r="R901" i="121"/>
  <c r="R909" i="121"/>
  <c r="R917" i="121"/>
  <c r="R925" i="121"/>
  <c r="R933" i="121"/>
  <c r="J977" i="121"/>
  <c r="U991" i="121"/>
  <c r="J841" i="121"/>
  <c r="U877" i="121"/>
  <c r="G877" i="121"/>
  <c r="R968" i="121"/>
  <c r="N980" i="121"/>
  <c r="J990" i="121"/>
  <c r="N948" i="121"/>
  <c r="J973" i="121"/>
  <c r="J988" i="121"/>
  <c r="J945" i="121"/>
  <c r="G945" i="121"/>
  <c r="G987" i="121"/>
  <c r="R999" i="121"/>
  <c r="G950" i="121"/>
  <c r="R958" i="121"/>
  <c r="U957" i="121"/>
  <c r="R953" i="121"/>
  <c r="J965" i="121"/>
  <c r="N211" i="121"/>
  <c r="U231" i="121"/>
  <c r="J311" i="121"/>
  <c r="U203" i="121"/>
  <c r="U208" i="121"/>
  <c r="R293" i="121"/>
  <c r="J3" i="121"/>
  <c r="J198" i="121"/>
  <c r="J206" i="121"/>
  <c r="J202" i="121"/>
  <c r="J210" i="121"/>
  <c r="J200" i="121"/>
  <c r="U291" i="121"/>
  <c r="R297" i="121"/>
  <c r="U228" i="121"/>
  <c r="U260" i="121"/>
  <c r="U292" i="121"/>
  <c r="U324" i="121"/>
  <c r="U356" i="121"/>
  <c r="U388" i="121"/>
  <c r="U420" i="121"/>
  <c r="U472" i="121"/>
  <c r="G482" i="121"/>
  <c r="N493" i="121"/>
  <c r="N502" i="121"/>
  <c r="U517" i="121"/>
  <c r="U532" i="121"/>
  <c r="G542" i="121"/>
  <c r="N557" i="121"/>
  <c r="N566" i="121"/>
  <c r="U581" i="121"/>
  <c r="N216" i="121"/>
  <c r="R226" i="121"/>
  <c r="J238" i="121"/>
  <c r="N248" i="121"/>
  <c r="R258" i="121"/>
  <c r="J270" i="121"/>
  <c r="N280" i="121"/>
  <c r="R290" i="121"/>
  <c r="J302" i="121"/>
  <c r="N312" i="121"/>
  <c r="R322" i="121"/>
  <c r="J334" i="121"/>
  <c r="N344" i="121"/>
  <c r="R354" i="121"/>
  <c r="J366" i="121"/>
  <c r="N376" i="121"/>
  <c r="R386" i="121"/>
  <c r="J398" i="121"/>
  <c r="N408" i="121"/>
  <c r="R418" i="121"/>
  <c r="J430" i="121"/>
  <c r="N440" i="121"/>
  <c r="U452" i="121"/>
  <c r="G464" i="121"/>
  <c r="R476" i="121"/>
  <c r="J491" i="121"/>
  <c r="U507" i="121"/>
  <c r="G521" i="121"/>
  <c r="G530" i="121"/>
  <c r="N547" i="121"/>
  <c r="N556" i="121"/>
  <c r="U571" i="121"/>
  <c r="G587" i="121"/>
  <c r="G468" i="121"/>
  <c r="R486" i="121"/>
  <c r="N498" i="121"/>
  <c r="U513" i="121"/>
  <c r="U524" i="121"/>
  <c r="R539" i="121"/>
  <c r="N553" i="121"/>
  <c r="N562" i="121"/>
  <c r="U577" i="121"/>
  <c r="G217" i="121"/>
  <c r="R217" i="121"/>
  <c r="N233" i="121"/>
  <c r="J241" i="121"/>
  <c r="U249" i="121"/>
  <c r="G257" i="121"/>
  <c r="R257" i="121"/>
  <c r="N265" i="121"/>
  <c r="J273" i="121"/>
  <c r="U281" i="121"/>
  <c r="G307" i="121"/>
  <c r="R307" i="121"/>
  <c r="N317" i="121"/>
  <c r="J325" i="121"/>
  <c r="U333" i="121"/>
  <c r="G341" i="121"/>
  <c r="R341" i="121"/>
  <c r="N349" i="121"/>
  <c r="J357" i="121"/>
  <c r="U365" i="121"/>
  <c r="G373" i="121"/>
  <c r="R373" i="121"/>
  <c r="N381" i="121"/>
  <c r="J389" i="121"/>
  <c r="U397" i="121"/>
  <c r="G405" i="121"/>
  <c r="R405" i="121"/>
  <c r="N413" i="121"/>
  <c r="J421" i="121"/>
  <c r="U429" i="121"/>
  <c r="G437" i="121"/>
  <c r="R437" i="121"/>
  <c r="N454" i="121"/>
  <c r="J466" i="121"/>
  <c r="G481" i="121"/>
  <c r="G492" i="121"/>
  <c r="N511" i="121"/>
  <c r="J523" i="121"/>
  <c r="J534" i="121"/>
  <c r="G551" i="121"/>
  <c r="G560" i="121"/>
  <c r="N575" i="121"/>
  <c r="N584" i="121"/>
  <c r="U603" i="121"/>
  <c r="G619" i="121"/>
  <c r="R631" i="121"/>
  <c r="R642" i="121"/>
  <c r="J655" i="121"/>
  <c r="U667" i="121"/>
  <c r="G689" i="121"/>
  <c r="G698" i="121"/>
  <c r="U714" i="121"/>
  <c r="U608" i="121"/>
  <c r="R617" i="121"/>
  <c r="R630" i="121"/>
  <c r="J641" i="121"/>
  <c r="J654" i="121"/>
  <c r="U670" i="121"/>
  <c r="G682" i="121"/>
  <c r="N695" i="121"/>
  <c r="N704" i="121"/>
  <c r="N443" i="121"/>
  <c r="J451" i="121"/>
  <c r="U459" i="121"/>
  <c r="G459" i="121"/>
  <c r="R495" i="121"/>
  <c r="R599" i="121"/>
  <c r="R614" i="121"/>
  <c r="J623" i="121"/>
  <c r="J640" i="121"/>
  <c r="G653" i="121"/>
  <c r="R665" i="121"/>
  <c r="R674" i="121"/>
  <c r="J685" i="121"/>
  <c r="J694" i="121"/>
  <c r="J592" i="121"/>
  <c r="U612" i="121"/>
  <c r="R621" i="121"/>
  <c r="R638" i="121"/>
  <c r="N648" i="121"/>
  <c r="J660" i="121"/>
  <c r="G677" i="121"/>
  <c r="R691" i="121"/>
  <c r="R700" i="121"/>
  <c r="U719" i="121"/>
  <c r="R719" i="121"/>
  <c r="N734" i="121"/>
  <c r="J740" i="121"/>
  <c r="J750" i="121"/>
  <c r="U766" i="121"/>
  <c r="R775" i="121"/>
  <c r="R790" i="121"/>
  <c r="J799" i="121"/>
  <c r="N722" i="121"/>
  <c r="J735" i="121"/>
  <c r="N748" i="121"/>
  <c r="U757" i="121"/>
  <c r="G773" i="121"/>
  <c r="G788" i="121"/>
  <c r="N797" i="121"/>
  <c r="U593" i="121"/>
  <c r="G593" i="121"/>
  <c r="N717" i="121"/>
  <c r="J746" i="121"/>
  <c r="U762" i="121"/>
  <c r="R771" i="121"/>
  <c r="R786" i="121"/>
  <c r="J795" i="121"/>
  <c r="G725" i="121"/>
  <c r="U733" i="121"/>
  <c r="G752" i="121"/>
  <c r="N761" i="121"/>
  <c r="N776" i="121"/>
  <c r="U785" i="121"/>
  <c r="G801" i="121"/>
  <c r="U844" i="121"/>
  <c r="U816" i="121"/>
  <c r="U824" i="121"/>
  <c r="J835" i="121"/>
  <c r="N849" i="121"/>
  <c r="N857" i="121"/>
  <c r="N865" i="121"/>
  <c r="N873" i="121"/>
  <c r="R887" i="121"/>
  <c r="U896" i="121"/>
  <c r="U904" i="121"/>
  <c r="U912" i="121"/>
  <c r="U920" i="121"/>
  <c r="U928" i="121"/>
  <c r="J935" i="121"/>
  <c r="J939" i="121"/>
  <c r="J943" i="121"/>
  <c r="U835" i="121"/>
  <c r="U867" i="121"/>
  <c r="N946" i="121"/>
  <c r="N817" i="121"/>
  <c r="N825" i="121"/>
  <c r="R834" i="121"/>
  <c r="U848" i="121"/>
  <c r="U856" i="121"/>
  <c r="U864" i="121"/>
  <c r="U872" i="121"/>
  <c r="J886" i="121"/>
  <c r="N897" i="121"/>
  <c r="N905" i="121"/>
  <c r="N913" i="121"/>
  <c r="N921" i="121"/>
  <c r="N929" i="121"/>
  <c r="R975" i="121"/>
  <c r="R986" i="121"/>
  <c r="N1000" i="121"/>
  <c r="R843" i="121"/>
  <c r="N879" i="121"/>
  <c r="U966" i="121"/>
  <c r="G972" i="121"/>
  <c r="N985" i="121"/>
  <c r="N998" i="121"/>
  <c r="N983" i="121"/>
  <c r="J993" i="121"/>
  <c r="N978" i="121"/>
  <c r="J992" i="121"/>
  <c r="N952" i="121"/>
  <c r="J960" i="121"/>
  <c r="U960" i="121"/>
  <c r="N949" i="121"/>
  <c r="R959" i="121"/>
  <c r="J971" i="121"/>
  <c r="J38" i="121"/>
  <c r="G4" i="121"/>
  <c r="R15" i="121"/>
  <c r="R28" i="121"/>
  <c r="J39" i="121"/>
  <c r="J52" i="121"/>
  <c r="U68" i="121"/>
  <c r="R79" i="121"/>
  <c r="R92" i="121"/>
  <c r="J103" i="121"/>
  <c r="U109" i="121"/>
  <c r="U118" i="121"/>
  <c r="R131" i="121"/>
  <c r="R142" i="121"/>
  <c r="J155" i="121"/>
  <c r="J166" i="121"/>
  <c r="U182" i="121"/>
  <c r="N195" i="121"/>
  <c r="J57" i="121"/>
  <c r="J70" i="121"/>
  <c r="U86" i="121"/>
  <c r="R97" i="121"/>
  <c r="R120" i="121"/>
  <c r="J133" i="121"/>
  <c r="J144" i="121"/>
  <c r="U160" i="121"/>
  <c r="R173" i="121"/>
  <c r="R184" i="121"/>
  <c r="N9" i="121"/>
  <c r="N8" i="121"/>
  <c r="U19" i="121"/>
  <c r="G35" i="121"/>
  <c r="G48" i="121"/>
  <c r="N59" i="121"/>
  <c r="N72" i="121"/>
  <c r="U83" i="121"/>
  <c r="G99" i="121"/>
  <c r="G108" i="121"/>
  <c r="N117" i="121"/>
  <c r="J127" i="121"/>
  <c r="J138" i="121"/>
  <c r="U154" i="121"/>
  <c r="R167" i="121"/>
  <c r="R178" i="121"/>
  <c r="J191" i="121"/>
  <c r="R17" i="121"/>
  <c r="R10" i="121"/>
  <c r="N26" i="121"/>
  <c r="J42" i="121"/>
  <c r="U58" i="121"/>
  <c r="R69" i="121"/>
  <c r="R82" i="121"/>
  <c r="J93" i="121"/>
  <c r="J114" i="121"/>
  <c r="U132" i="121"/>
  <c r="R145" i="121"/>
  <c r="R156" i="121"/>
  <c r="J169" i="121"/>
  <c r="J180" i="121"/>
  <c r="J196" i="121"/>
  <c r="J205" i="121"/>
  <c r="R215" i="121"/>
  <c r="G231" i="121"/>
  <c r="U311" i="121"/>
  <c r="G209" i="121"/>
  <c r="U301" i="121"/>
  <c r="G291" i="121"/>
  <c r="U305" i="121"/>
  <c r="U238" i="121"/>
  <c r="U270" i="121"/>
  <c r="U302" i="121"/>
  <c r="U334" i="121"/>
  <c r="U366" i="121"/>
  <c r="U398" i="121"/>
  <c r="U430" i="121"/>
  <c r="G475" i="121"/>
  <c r="R485" i="121"/>
  <c r="R496" i="121"/>
  <c r="J509" i="121"/>
  <c r="J522" i="121"/>
  <c r="G537" i="121"/>
  <c r="R549" i="121"/>
  <c r="R558" i="121"/>
  <c r="J573" i="121"/>
  <c r="J582" i="121"/>
  <c r="J220" i="121"/>
  <c r="N230" i="121"/>
  <c r="R240" i="121"/>
  <c r="J252" i="121"/>
  <c r="N262" i="121"/>
  <c r="R272" i="121"/>
  <c r="J284" i="121"/>
  <c r="N294" i="121"/>
  <c r="R304" i="121"/>
  <c r="J316" i="121"/>
  <c r="N326" i="121"/>
  <c r="R336" i="121"/>
  <c r="J348" i="121"/>
  <c r="N358" i="121"/>
  <c r="R368" i="121"/>
  <c r="J380" i="121"/>
  <c r="N390" i="121"/>
  <c r="R400" i="121"/>
  <c r="J412" i="121"/>
  <c r="N422" i="121"/>
  <c r="R432" i="121"/>
  <c r="J442" i="121"/>
  <c r="U456" i="121"/>
  <c r="G470" i="121"/>
  <c r="N483" i="121"/>
  <c r="J499" i="121"/>
  <c r="J508" i="121"/>
  <c r="G525" i="121"/>
  <c r="G536" i="121"/>
  <c r="R548" i="121"/>
  <c r="J563" i="121"/>
  <c r="J572" i="121"/>
  <c r="U588" i="121"/>
  <c r="R471" i="121"/>
  <c r="N489" i="121"/>
  <c r="J505" i="121"/>
  <c r="J514" i="121"/>
  <c r="G529" i="121"/>
  <c r="R545" i="121"/>
  <c r="R554" i="121"/>
  <c r="J569" i="121"/>
  <c r="J578" i="121"/>
  <c r="U219" i="121"/>
  <c r="G235" i="121"/>
  <c r="R235" i="121"/>
  <c r="N243" i="121"/>
  <c r="J251" i="121"/>
  <c r="U259" i="121"/>
  <c r="G267" i="121"/>
  <c r="R267" i="121"/>
  <c r="N275" i="121"/>
  <c r="J283" i="121"/>
  <c r="U309" i="121"/>
  <c r="G319" i="121"/>
  <c r="R319" i="121"/>
  <c r="N327" i="121"/>
  <c r="J335" i="121"/>
  <c r="U343" i="121"/>
  <c r="G351" i="121"/>
  <c r="R351" i="121"/>
  <c r="N359" i="121"/>
  <c r="J367" i="121"/>
  <c r="U375" i="121"/>
  <c r="G383" i="121"/>
  <c r="R383" i="121"/>
  <c r="N391" i="121"/>
  <c r="J399" i="121"/>
  <c r="U407" i="121"/>
  <c r="G415" i="121"/>
  <c r="R415" i="121"/>
  <c r="N423" i="121"/>
  <c r="J431" i="121"/>
  <c r="U439" i="121"/>
  <c r="R446" i="121"/>
  <c r="N458" i="121"/>
  <c r="U469" i="121"/>
  <c r="U484" i="121"/>
  <c r="R503" i="121"/>
  <c r="R512" i="121"/>
  <c r="N528" i="121"/>
  <c r="J538" i="121"/>
  <c r="U552" i="121"/>
  <c r="R567" i="121"/>
  <c r="R576" i="121"/>
  <c r="N590" i="121"/>
  <c r="J610" i="121"/>
  <c r="U626" i="121"/>
  <c r="G636" i="121"/>
  <c r="N647" i="121"/>
  <c r="J659" i="121"/>
  <c r="U671" i="121"/>
  <c r="U690" i="121"/>
  <c r="G705" i="121"/>
  <c r="J596" i="121"/>
  <c r="G609" i="121"/>
  <c r="G624" i="121"/>
  <c r="R634" i="121"/>
  <c r="N646" i="121"/>
  <c r="J658" i="121"/>
  <c r="G675" i="121"/>
  <c r="R687" i="121"/>
  <c r="R696" i="121"/>
  <c r="R712" i="121"/>
  <c r="R445" i="121"/>
  <c r="N453" i="121"/>
  <c r="J461" i="121"/>
  <c r="U497" i="121"/>
  <c r="G497" i="121"/>
  <c r="G606" i="121"/>
  <c r="N615" i="121"/>
  <c r="J629" i="121"/>
  <c r="J644" i="121"/>
  <c r="G657" i="121"/>
  <c r="R669" i="121"/>
  <c r="N679" i="121"/>
  <c r="N686" i="121"/>
  <c r="U701" i="121"/>
  <c r="G597" i="121"/>
  <c r="G612" i="121"/>
  <c r="N621" i="121"/>
  <c r="N638" i="121"/>
  <c r="J648" i="121"/>
  <c r="U664" i="121"/>
  <c r="R677" i="121"/>
  <c r="N691" i="121"/>
  <c r="N700" i="121"/>
  <c r="G707" i="121"/>
  <c r="G720" i="121"/>
  <c r="R720" i="121"/>
  <c r="J734" i="121"/>
  <c r="G740" i="121"/>
  <c r="G751" i="121"/>
  <c r="G766" i="121"/>
  <c r="N775" i="121"/>
  <c r="N790" i="121"/>
  <c r="U799" i="121"/>
  <c r="J722" i="121"/>
  <c r="G735" i="121"/>
  <c r="U748" i="121"/>
  <c r="R757" i="121"/>
  <c r="R772" i="121"/>
  <c r="J781" i="121"/>
  <c r="J796" i="121"/>
  <c r="U595" i="121"/>
  <c r="G595" i="121"/>
  <c r="G747" i="121"/>
  <c r="G762" i="121"/>
  <c r="N771" i="121"/>
  <c r="N786" i="121"/>
  <c r="U795" i="121"/>
  <c r="G726" i="121"/>
  <c r="U735" i="121"/>
  <c r="R752" i="121"/>
  <c r="J761" i="121"/>
  <c r="J776" i="121"/>
  <c r="U792" i="121"/>
  <c r="R801" i="121"/>
  <c r="R844" i="121"/>
  <c r="R816" i="121"/>
  <c r="R824" i="121"/>
  <c r="G835" i="121"/>
  <c r="J849" i="121"/>
  <c r="J857" i="121"/>
  <c r="J865" i="121"/>
  <c r="J873" i="121"/>
  <c r="N887" i="121"/>
  <c r="R896" i="121"/>
  <c r="R904" i="121"/>
  <c r="R912" i="121"/>
  <c r="R920" i="121"/>
  <c r="R928" i="121"/>
  <c r="G935" i="121"/>
  <c r="G939" i="121"/>
  <c r="G943" i="121"/>
  <c r="J809" i="121"/>
  <c r="J831" i="121"/>
  <c r="U861" i="121"/>
  <c r="N892" i="121"/>
  <c r="N810" i="121"/>
  <c r="J815" i="121"/>
  <c r="J823" i="121"/>
  <c r="N832" i="121"/>
  <c r="R846" i="121"/>
  <c r="R854" i="121"/>
  <c r="R862" i="121"/>
  <c r="R870" i="121"/>
  <c r="U884" i="121"/>
  <c r="J895" i="121"/>
  <c r="J903" i="121"/>
  <c r="J911" i="121"/>
  <c r="J919" i="121"/>
  <c r="J927" i="121"/>
  <c r="N947" i="121"/>
  <c r="U981" i="121"/>
  <c r="U1000" i="121"/>
  <c r="N845" i="121"/>
  <c r="J881" i="121"/>
  <c r="R964" i="121"/>
  <c r="N970" i="121"/>
  <c r="J984" i="121"/>
  <c r="U998" i="121"/>
  <c r="U979" i="121"/>
  <c r="G993" i="121"/>
  <c r="U978" i="121"/>
  <c r="G992" i="121"/>
  <c r="J954" i="121"/>
  <c r="U954" i="121"/>
  <c r="G962" i="121"/>
  <c r="U969" i="121"/>
  <c r="R957" i="121"/>
  <c r="J969" i="121"/>
  <c r="G38" i="121"/>
  <c r="N29" i="121"/>
  <c r="N12" i="121"/>
  <c r="U23" i="121"/>
  <c r="G39" i="121"/>
  <c r="G52" i="121"/>
  <c r="N63" i="121"/>
  <c r="N76" i="121"/>
  <c r="U87" i="121"/>
  <c r="G103" i="121"/>
  <c r="R109" i="121"/>
  <c r="R116" i="121"/>
  <c r="N126" i="121"/>
  <c r="U139" i="121"/>
  <c r="G155" i="121"/>
  <c r="G166" i="121"/>
  <c r="N179" i="121"/>
  <c r="N190" i="121"/>
  <c r="G57" i="121"/>
  <c r="G70" i="121"/>
  <c r="N81" i="121"/>
  <c r="N94" i="121"/>
  <c r="U115" i="121"/>
  <c r="G133" i="121"/>
  <c r="G144" i="121"/>
  <c r="N157" i="121"/>
  <c r="N168" i="121"/>
  <c r="U181" i="121"/>
  <c r="J9" i="121"/>
  <c r="J8" i="121"/>
  <c r="U24" i="121"/>
  <c r="R35" i="121"/>
  <c r="R48" i="121"/>
  <c r="J59" i="121"/>
  <c r="J72" i="121"/>
  <c r="U88" i="121"/>
  <c r="R99" i="121"/>
  <c r="R108" i="121"/>
  <c r="J117" i="121"/>
  <c r="U127" i="121"/>
  <c r="G143" i="121"/>
  <c r="G154" i="121"/>
  <c r="N167" i="121"/>
  <c r="N178" i="121"/>
  <c r="U191" i="121"/>
  <c r="N14" i="121"/>
  <c r="U49" i="121"/>
  <c r="U26" i="121"/>
  <c r="G42" i="121"/>
  <c r="N53" i="121"/>
  <c r="N66" i="121"/>
  <c r="U77" i="121"/>
  <c r="G93" i="121"/>
  <c r="G114" i="121"/>
  <c r="N129" i="121"/>
  <c r="N140" i="121"/>
  <c r="U153" i="121"/>
  <c r="G169" i="121"/>
  <c r="G180" i="121"/>
  <c r="N193" i="121"/>
  <c r="U223" i="121"/>
  <c r="R311" i="121"/>
  <c r="R229" i="121"/>
  <c r="J293" i="121"/>
  <c r="G206" i="121"/>
  <c r="G212" i="121"/>
  <c r="R305" i="121"/>
  <c r="U232" i="121"/>
  <c r="U264" i="121"/>
  <c r="U296" i="121"/>
  <c r="U328" i="121"/>
  <c r="U360" i="121"/>
  <c r="U392" i="121"/>
  <c r="U424" i="121"/>
  <c r="R472" i="121"/>
  <c r="N482" i="121"/>
  <c r="U493" i="121"/>
  <c r="G509" i="121"/>
  <c r="G522" i="121"/>
  <c r="R532" i="121"/>
  <c r="N542" i="121"/>
  <c r="U557" i="121"/>
  <c r="G573" i="121"/>
  <c r="G582" i="121"/>
  <c r="J218" i="121"/>
  <c r="N228" i="121"/>
  <c r="R238" i="121"/>
  <c r="J250" i="121"/>
  <c r="N260" i="121"/>
  <c r="R270" i="121"/>
  <c r="J282" i="121"/>
  <c r="N292" i="121"/>
  <c r="R302" i="121"/>
  <c r="J314" i="121"/>
  <c r="N324" i="121"/>
  <c r="R334" i="121"/>
  <c r="J346" i="121"/>
  <c r="N356" i="121"/>
  <c r="R366" i="121"/>
  <c r="J378" i="121"/>
  <c r="N388" i="121"/>
  <c r="R398" i="121"/>
  <c r="J410" i="121"/>
  <c r="N420" i="121"/>
  <c r="R430" i="121"/>
  <c r="U442" i="121"/>
  <c r="R452" i="121"/>
  <c r="N464" i="121"/>
  <c r="J476" i="121"/>
  <c r="G499" i="121"/>
  <c r="G508" i="121"/>
  <c r="N521" i="121"/>
  <c r="N530" i="121"/>
  <c r="U547" i="121"/>
  <c r="G563" i="121"/>
  <c r="G572" i="121"/>
  <c r="N587" i="121"/>
  <c r="N468" i="121"/>
  <c r="J486" i="121"/>
  <c r="G505" i="121"/>
  <c r="G514" i="121"/>
  <c r="R524" i="121"/>
  <c r="J539" i="121"/>
  <c r="U553" i="121"/>
  <c r="G569" i="121"/>
  <c r="G578" i="121"/>
  <c r="G221" i="121"/>
  <c r="R221" i="121"/>
  <c r="N237" i="121"/>
  <c r="J245" i="121"/>
  <c r="U253" i="121"/>
  <c r="G261" i="121"/>
  <c r="R261" i="121"/>
  <c r="N269" i="121"/>
  <c r="J277" i="121"/>
  <c r="U295" i="121"/>
  <c r="G313" i="121"/>
  <c r="R313" i="121"/>
  <c r="N321" i="121"/>
  <c r="J329" i="121"/>
  <c r="U337" i="121"/>
  <c r="G345" i="121"/>
  <c r="R345" i="121"/>
  <c r="N353" i="121"/>
  <c r="J361" i="121"/>
  <c r="U369" i="121"/>
  <c r="G377" i="121"/>
  <c r="R377" i="121"/>
  <c r="N385" i="121"/>
  <c r="J393" i="121"/>
  <c r="U401" i="121"/>
  <c r="G409" i="121"/>
  <c r="R409" i="121"/>
  <c r="N417" i="121"/>
  <c r="J425" i="121"/>
  <c r="U433" i="121"/>
  <c r="G441" i="121"/>
  <c r="U441" i="121"/>
  <c r="U458" i="121"/>
  <c r="R469" i="121"/>
  <c r="N481" i="121"/>
  <c r="N492" i="121"/>
  <c r="U511" i="121"/>
  <c r="U528" i="121"/>
  <c r="G538" i="121"/>
  <c r="N551" i="121"/>
  <c r="N560" i="121"/>
  <c r="U575" i="121"/>
  <c r="J590" i="121"/>
  <c r="G611" i="121"/>
  <c r="G626" i="121"/>
  <c r="R636" i="121"/>
  <c r="J647" i="121"/>
  <c r="U659" i="121"/>
  <c r="U676" i="121"/>
  <c r="G690" i="121"/>
  <c r="N705" i="121"/>
  <c r="U596" i="121"/>
  <c r="R608" i="121"/>
  <c r="J617" i="121"/>
  <c r="J630" i="121"/>
  <c r="U646" i="121"/>
  <c r="G658" i="121"/>
  <c r="R670" i="121"/>
  <c r="N682" i="121"/>
  <c r="U695" i="121"/>
  <c r="U712" i="121"/>
  <c r="N447" i="121"/>
  <c r="J455" i="121"/>
  <c r="U463" i="121"/>
  <c r="G463" i="121"/>
  <c r="J599" i="121"/>
  <c r="J614" i="121"/>
  <c r="G629" i="121"/>
  <c r="G644" i="121"/>
  <c r="N653" i="121"/>
  <c r="J665" i="121"/>
  <c r="J674" i="121"/>
  <c r="U686" i="121"/>
  <c r="R701" i="121"/>
  <c r="R592" i="121"/>
  <c r="J605" i="121"/>
  <c r="J620" i="121"/>
  <c r="U638" i="121"/>
  <c r="G648" i="121"/>
  <c r="R660" i="121"/>
  <c r="N672" i="121"/>
  <c r="J684" i="121"/>
  <c r="U700" i="121"/>
  <c r="U711" i="121"/>
  <c r="R711" i="121"/>
  <c r="N727" i="121"/>
  <c r="U734" i="121"/>
  <c r="R740" i="121"/>
  <c r="R750" i="121"/>
  <c r="J759" i="121"/>
  <c r="J774" i="121"/>
  <c r="U790" i="121"/>
  <c r="R799" i="121"/>
  <c r="J721" i="121"/>
  <c r="R733" i="121"/>
  <c r="R741" i="121"/>
  <c r="N756" i="121"/>
  <c r="U765" i="121"/>
  <c r="G781" i="121"/>
  <c r="G796" i="121"/>
  <c r="N805" i="121"/>
  <c r="N709" i="121"/>
  <c r="R746" i="121"/>
  <c r="J755" i="121"/>
  <c r="J770" i="121"/>
  <c r="U786" i="121"/>
  <c r="R795" i="121"/>
  <c r="U718" i="121"/>
  <c r="R718" i="121"/>
  <c r="G745" i="121"/>
  <c r="G760" i="121"/>
  <c r="N769" i="121"/>
  <c r="N784" i="121"/>
  <c r="U793" i="121"/>
  <c r="N830" i="121"/>
  <c r="N814" i="121"/>
  <c r="N822" i="121"/>
  <c r="R833" i="121"/>
  <c r="G847" i="121"/>
  <c r="G855" i="121"/>
  <c r="G863" i="121"/>
  <c r="G871" i="121"/>
  <c r="J885" i="121"/>
  <c r="N894" i="121"/>
  <c r="N902" i="121"/>
  <c r="N910" i="121"/>
  <c r="N918" i="121"/>
  <c r="N926" i="121"/>
  <c r="N934" i="121"/>
  <c r="N938" i="121"/>
  <c r="N942" i="121"/>
  <c r="G831" i="121"/>
  <c r="U855" i="121"/>
  <c r="U887" i="121"/>
  <c r="G815" i="121"/>
  <c r="G823" i="121"/>
  <c r="U829" i="121"/>
  <c r="J838" i="121"/>
  <c r="N852" i="121"/>
  <c r="N860" i="121"/>
  <c r="N868" i="121"/>
  <c r="R882" i="121"/>
  <c r="R890" i="121"/>
  <c r="G901" i="121"/>
  <c r="G909" i="121"/>
  <c r="G917" i="121"/>
  <c r="G925" i="121"/>
  <c r="G933" i="121"/>
  <c r="N977" i="121"/>
  <c r="J991" i="121"/>
  <c r="J839" i="121"/>
  <c r="U875" i="121"/>
  <c r="G875" i="121"/>
  <c r="R893" i="121"/>
  <c r="G968" i="121"/>
  <c r="R980" i="121"/>
  <c r="N990" i="121"/>
  <c r="R979" i="121"/>
  <c r="R974" i="121"/>
  <c r="J987" i="121"/>
  <c r="U999" i="121"/>
  <c r="G956" i="121"/>
  <c r="R976" i="121"/>
  <c r="U963" i="121"/>
  <c r="R955" i="121"/>
  <c r="J967" i="121"/>
  <c r="G213" i="121"/>
  <c r="R213" i="121"/>
  <c r="J231" i="121"/>
  <c r="G200" i="121"/>
  <c r="N229" i="121"/>
  <c r="G199" i="121"/>
  <c r="R199" i="121"/>
  <c r="J207" i="121"/>
  <c r="N289" i="121"/>
  <c r="U226" i="121"/>
  <c r="U258" i="121"/>
  <c r="U290" i="121"/>
  <c r="U322" i="121"/>
  <c r="U354" i="121"/>
  <c r="U386" i="121"/>
  <c r="U418" i="121"/>
  <c r="U467" i="121"/>
  <c r="U482" i="121"/>
  <c r="R493" i="121"/>
  <c r="R502" i="121"/>
  <c r="J517" i="121"/>
  <c r="U531" i="121"/>
  <c r="U542" i="121"/>
  <c r="R557" i="121"/>
  <c r="R566" i="121"/>
  <c r="J581" i="121"/>
  <c r="N218" i="121"/>
  <c r="R228" i="121"/>
  <c r="J240" i="121"/>
  <c r="N250" i="121"/>
  <c r="R260" i="121"/>
  <c r="J272" i="121"/>
  <c r="N282" i="121"/>
  <c r="R292" i="121"/>
  <c r="J304" i="121"/>
  <c r="N314" i="121"/>
  <c r="R324" i="121"/>
  <c r="J336" i="121"/>
  <c r="N346" i="121"/>
  <c r="R356" i="121"/>
  <c r="J368" i="121"/>
  <c r="N378" i="121"/>
  <c r="R388" i="121"/>
  <c r="J400" i="121"/>
  <c r="N410" i="121"/>
  <c r="R420" i="121"/>
  <c r="J432" i="121"/>
  <c r="R442" i="121"/>
  <c r="N452" i="121"/>
  <c r="J464" i="121"/>
  <c r="G483" i="121"/>
  <c r="R499" i="121"/>
  <c r="R508" i="121"/>
  <c r="J521" i="121"/>
  <c r="J530" i="121"/>
  <c r="U548" i="121"/>
  <c r="R563" i="121"/>
  <c r="R572" i="121"/>
  <c r="J587" i="121"/>
  <c r="J468" i="121"/>
  <c r="G489" i="121"/>
  <c r="R505" i="121"/>
  <c r="R514" i="121"/>
  <c r="N524" i="121"/>
  <c r="U539" i="121"/>
  <c r="U554" i="121"/>
  <c r="R569" i="121"/>
  <c r="R578" i="121"/>
  <c r="G225" i="121"/>
  <c r="R225" i="121"/>
  <c r="N239" i="121"/>
  <c r="J247" i="121"/>
  <c r="U255" i="121"/>
  <c r="G263" i="121"/>
  <c r="R263" i="121"/>
  <c r="N271" i="121"/>
  <c r="J279" i="121"/>
  <c r="U299" i="121"/>
  <c r="G315" i="121"/>
  <c r="R315" i="121"/>
  <c r="N323" i="121"/>
  <c r="J331" i="121"/>
  <c r="U339" i="121"/>
  <c r="G347" i="121"/>
  <c r="R347" i="121"/>
  <c r="N355" i="121"/>
  <c r="J363" i="121"/>
  <c r="U371" i="121"/>
  <c r="G379" i="121"/>
  <c r="R379" i="121"/>
  <c r="N387" i="121"/>
  <c r="J395" i="121"/>
  <c r="U403" i="121"/>
  <c r="G411" i="121"/>
  <c r="R411" i="121"/>
  <c r="N419" i="121"/>
  <c r="J427" i="121"/>
  <c r="U435" i="121"/>
  <c r="U446" i="121"/>
  <c r="G458" i="121"/>
  <c r="N469" i="121"/>
  <c r="J481" i="121"/>
  <c r="J492" i="121"/>
  <c r="U512" i="121"/>
  <c r="G528" i="121"/>
  <c r="R538" i="121"/>
  <c r="J551" i="121"/>
  <c r="J560" i="121"/>
  <c r="U576" i="121"/>
  <c r="U590" i="121"/>
  <c r="R610" i="121"/>
  <c r="J619" i="121"/>
  <c r="U631" i="121"/>
  <c r="G647" i="121"/>
  <c r="R659" i="121"/>
  <c r="N671" i="121"/>
  <c r="J689" i="121"/>
  <c r="J698" i="121"/>
  <c r="R596" i="121"/>
  <c r="N608" i="121"/>
  <c r="U617" i="121"/>
  <c r="U634" i="121"/>
  <c r="G646" i="121"/>
  <c r="R658" i="121"/>
  <c r="N670" i="121"/>
  <c r="J682" i="121"/>
  <c r="U696" i="121"/>
  <c r="J712" i="121"/>
  <c r="R449" i="121"/>
  <c r="N457" i="121"/>
  <c r="J477" i="121"/>
  <c r="R594" i="121"/>
  <c r="N606" i="121"/>
  <c r="U615" i="121"/>
  <c r="G633" i="121"/>
  <c r="R645" i="121"/>
  <c r="N657" i="121"/>
  <c r="J669" i="121"/>
  <c r="U679" i="121"/>
  <c r="G693" i="121"/>
  <c r="G702" i="121"/>
  <c r="N597" i="121"/>
  <c r="N612" i="121"/>
  <c r="U621" i="121"/>
  <c r="G639" i="121"/>
  <c r="G652" i="121"/>
  <c r="R664" i="121"/>
  <c r="J677" i="121"/>
  <c r="U691" i="121"/>
  <c r="U708" i="121"/>
  <c r="G715" i="121"/>
  <c r="G728" i="121"/>
  <c r="U728" i="121"/>
  <c r="U736" i="121"/>
  <c r="G742" i="121"/>
  <c r="N751" i="121"/>
  <c r="N766" i="121"/>
  <c r="U775" i="121"/>
  <c r="G791" i="121"/>
  <c r="G806" i="121"/>
  <c r="N729" i="121"/>
  <c r="N737" i="121"/>
  <c r="R749" i="121"/>
  <c r="R764" i="121"/>
  <c r="J773" i="121"/>
  <c r="J788" i="121"/>
  <c r="U804" i="121"/>
  <c r="J591" i="121"/>
  <c r="U713" i="121"/>
  <c r="R713" i="121"/>
  <c r="N747" i="121"/>
  <c r="N762" i="121"/>
  <c r="U771" i="121"/>
  <c r="G787" i="121"/>
  <c r="G802" i="121"/>
  <c r="U731" i="121"/>
  <c r="U752" i="121"/>
  <c r="R761" i="121"/>
  <c r="R776" i="121"/>
  <c r="J785" i="121"/>
  <c r="J800" i="121"/>
  <c r="J844" i="121"/>
  <c r="J816" i="121"/>
  <c r="J824" i="121"/>
  <c r="N835" i="121"/>
  <c r="R849" i="121"/>
  <c r="R857" i="121"/>
  <c r="R865" i="121"/>
  <c r="R873" i="121"/>
  <c r="G887" i="121"/>
  <c r="J894" i="121"/>
  <c r="J902" i="121"/>
  <c r="J910" i="121"/>
  <c r="J918" i="121"/>
  <c r="J926" i="121"/>
  <c r="J934" i="121"/>
  <c r="J938" i="121"/>
  <c r="J942" i="121"/>
  <c r="R831" i="121"/>
  <c r="U857" i="121"/>
  <c r="U889" i="121"/>
  <c r="R815" i="121"/>
  <c r="R823" i="121"/>
  <c r="U832" i="121"/>
  <c r="J846" i="121"/>
  <c r="J854" i="121"/>
  <c r="J862" i="121"/>
  <c r="J870" i="121"/>
  <c r="N884" i="121"/>
  <c r="R895" i="121"/>
  <c r="R903" i="121"/>
  <c r="R911" i="121"/>
  <c r="R919" i="121"/>
  <c r="R927" i="121"/>
  <c r="U947" i="121"/>
  <c r="N981" i="121"/>
  <c r="J997" i="121"/>
  <c r="N841" i="121"/>
  <c r="J877" i="121"/>
  <c r="U964" i="121"/>
  <c r="G970" i="121"/>
  <c r="R984" i="121"/>
  <c r="J995" i="121"/>
  <c r="R948" i="121"/>
  <c r="N979" i="121"/>
  <c r="J989" i="121"/>
  <c r="R945" i="121"/>
  <c r="N974" i="121"/>
  <c r="U987" i="121"/>
  <c r="J950" i="121"/>
  <c r="U950" i="121"/>
  <c r="G958" i="121"/>
  <c r="U965" i="121"/>
  <c r="J957" i="121"/>
  <c r="N967" i="121"/>
  <c r="U183" i="121"/>
  <c r="R6" i="121"/>
  <c r="G37" i="121"/>
  <c r="G50" i="121"/>
  <c r="U85" i="121"/>
  <c r="G101" i="121"/>
  <c r="G124" i="121"/>
  <c r="U161" i="121"/>
  <c r="G177" i="121"/>
  <c r="G188" i="121"/>
  <c r="G211" i="121"/>
  <c r="R211" i="121"/>
  <c r="U287" i="121"/>
  <c r="U200" i="121"/>
  <c r="J203" i="121"/>
  <c r="U209" i="121"/>
  <c r="G293" i="121"/>
  <c r="N3" i="121"/>
  <c r="N212" i="121"/>
  <c r="N206" i="121"/>
  <c r="N196" i="121"/>
  <c r="N204" i="121"/>
  <c r="N202" i="121"/>
  <c r="N210" i="121"/>
  <c r="N198" i="121"/>
  <c r="J208" i="121"/>
  <c r="U204" i="121"/>
  <c r="G297" i="121"/>
  <c r="U236" i="121"/>
  <c r="U268" i="121"/>
  <c r="U300" i="121"/>
  <c r="U332" i="121"/>
  <c r="U364" i="121"/>
  <c r="U396" i="121"/>
  <c r="U428" i="121"/>
  <c r="J472" i="121"/>
  <c r="G485" i="121"/>
  <c r="G496" i="121"/>
  <c r="N509" i="121"/>
  <c r="N522" i="121"/>
  <c r="J532" i="121"/>
  <c r="G549" i="121"/>
  <c r="G558" i="121"/>
  <c r="N573" i="121"/>
  <c r="N582" i="121"/>
  <c r="R218" i="121"/>
  <c r="J230" i="121"/>
  <c r="N240" i="121"/>
  <c r="R250" i="121"/>
  <c r="J262" i="121"/>
  <c r="N272" i="121"/>
  <c r="R282" i="121"/>
  <c r="J294" i="121"/>
  <c r="N304" i="121"/>
  <c r="R314" i="121"/>
  <c r="J326" i="121"/>
  <c r="N336" i="121"/>
  <c r="R346" i="121"/>
  <c r="J358" i="121"/>
  <c r="N368" i="121"/>
  <c r="R378" i="121"/>
  <c r="J390" i="121"/>
  <c r="N400" i="121"/>
  <c r="R410" i="121"/>
  <c r="J422" i="121"/>
  <c r="N432" i="121"/>
  <c r="N442" i="121"/>
  <c r="J452" i="121"/>
  <c r="U470" i="121"/>
  <c r="R483" i="121"/>
  <c r="N499" i="121"/>
  <c r="N508" i="121"/>
  <c r="U521" i="121"/>
  <c r="U536" i="121"/>
  <c r="G548" i="121"/>
  <c r="N563" i="121"/>
  <c r="N572" i="121"/>
  <c r="U587" i="121"/>
  <c r="G471" i="121"/>
  <c r="R489" i="121"/>
  <c r="N505" i="121"/>
  <c r="N514" i="121"/>
  <c r="J524" i="121"/>
  <c r="G545" i="121"/>
  <c r="G554" i="121"/>
  <c r="N569" i="121"/>
  <c r="N578" i="121"/>
  <c r="U217" i="121"/>
  <c r="G233" i="121"/>
  <c r="R233" i="121"/>
  <c r="N241" i="121"/>
  <c r="J249" i="121"/>
  <c r="U257" i="121"/>
  <c r="G265" i="121"/>
  <c r="R265" i="121"/>
  <c r="N273" i="121"/>
  <c r="J281" i="121"/>
  <c r="U307" i="121"/>
  <c r="G317" i="121"/>
  <c r="R317" i="121"/>
  <c r="N325" i="121"/>
  <c r="J333" i="121"/>
  <c r="U341" i="121"/>
  <c r="G349" i="121"/>
  <c r="R349" i="121"/>
  <c r="N357" i="121"/>
  <c r="J365" i="121"/>
  <c r="U373" i="121"/>
  <c r="G381" i="121"/>
  <c r="R381" i="121"/>
  <c r="N389" i="121"/>
  <c r="J397" i="121"/>
  <c r="U405" i="121"/>
  <c r="G413" i="121"/>
  <c r="R413" i="121"/>
  <c r="N421" i="121"/>
  <c r="J429" i="121"/>
  <c r="U437" i="121"/>
  <c r="G446" i="121"/>
  <c r="R458" i="121"/>
  <c r="J469" i="121"/>
  <c r="U481" i="121"/>
  <c r="G503" i="121"/>
  <c r="G512" i="121"/>
  <c r="R528" i="121"/>
  <c r="N538" i="121"/>
  <c r="U551" i="121"/>
  <c r="G567" i="121"/>
  <c r="G576" i="121"/>
  <c r="R590" i="121"/>
  <c r="N610" i="121"/>
  <c r="U619" i="121"/>
  <c r="U636" i="121"/>
  <c r="R647" i="121"/>
  <c r="N659" i="121"/>
  <c r="J671" i="121"/>
  <c r="U689" i="121"/>
  <c r="R705" i="121"/>
  <c r="N596" i="121"/>
  <c r="J608" i="121"/>
  <c r="U624" i="121"/>
  <c r="G634" i="121"/>
  <c r="R646" i="121"/>
  <c r="N658" i="121"/>
  <c r="J670" i="121"/>
  <c r="G687" i="121"/>
  <c r="G696" i="121"/>
  <c r="N712" i="121"/>
  <c r="R443" i="121"/>
  <c r="N451" i="121"/>
  <c r="J459" i="121"/>
  <c r="U495" i="121"/>
  <c r="G495" i="121"/>
  <c r="U606" i="121"/>
  <c r="R615" i="121"/>
  <c r="N629" i="121"/>
  <c r="N644" i="121"/>
  <c r="U653" i="121"/>
  <c r="G669" i="121"/>
  <c r="R679" i="121"/>
  <c r="R686" i="121"/>
  <c r="J701" i="121"/>
  <c r="J597" i="121"/>
  <c r="J612" i="121"/>
  <c r="U628" i="121"/>
  <c r="R639" i="121"/>
  <c r="R652" i="121"/>
  <c r="N664" i="121"/>
  <c r="U677" i="121"/>
  <c r="U692" i="121"/>
  <c r="J708" i="121"/>
  <c r="G719" i="121"/>
  <c r="U730" i="121"/>
  <c r="R736" i="121"/>
  <c r="R742" i="121"/>
  <c r="J751" i="121"/>
  <c r="J766" i="121"/>
  <c r="U782" i="121"/>
  <c r="R791" i="121"/>
  <c r="R806" i="121"/>
  <c r="J729" i="121"/>
  <c r="J737" i="121"/>
  <c r="N749" i="121"/>
  <c r="N764" i="121"/>
  <c r="U773" i="121"/>
  <c r="G789" i="121"/>
  <c r="G804" i="121"/>
  <c r="J593" i="121"/>
  <c r="G717" i="121"/>
  <c r="R717" i="121"/>
  <c r="J747" i="121"/>
  <c r="J762" i="121"/>
  <c r="U778" i="121"/>
  <c r="R787" i="121"/>
  <c r="R802" i="121"/>
  <c r="J725" i="121"/>
  <c r="U741" i="121"/>
  <c r="G753" i="121"/>
  <c r="G768" i="121"/>
  <c r="N777" i="121"/>
  <c r="N792" i="121"/>
  <c r="U801" i="121"/>
  <c r="U880" i="121"/>
  <c r="U818" i="121"/>
  <c r="U826" i="121"/>
  <c r="J837" i="121"/>
  <c r="N851" i="121"/>
  <c r="N859" i="121"/>
  <c r="N867" i="121"/>
  <c r="N878" i="121"/>
  <c r="R889" i="121"/>
  <c r="U898" i="121"/>
  <c r="U906" i="121"/>
  <c r="U914" i="121"/>
  <c r="U922" i="121"/>
  <c r="U930" i="121"/>
  <c r="U936" i="121"/>
  <c r="U940" i="121"/>
  <c r="R944" i="121"/>
  <c r="J840" i="121"/>
  <c r="R876" i="121"/>
  <c r="N811" i="121"/>
  <c r="N819" i="121"/>
  <c r="N827" i="121"/>
  <c r="R836" i="121"/>
  <c r="U850" i="121"/>
  <c r="U858" i="121"/>
  <c r="U866" i="121"/>
  <c r="U874" i="121"/>
  <c r="J888" i="121"/>
  <c r="N899" i="121"/>
  <c r="N907" i="121"/>
  <c r="N915" i="121"/>
  <c r="N923" i="121"/>
  <c r="N931" i="121"/>
  <c r="G977" i="121"/>
  <c r="R991" i="121"/>
  <c r="U843" i="121"/>
  <c r="G843" i="121"/>
  <c r="R879" i="121"/>
  <c r="J966" i="121"/>
  <c r="U980" i="121"/>
  <c r="G990" i="121"/>
  <c r="G973" i="121"/>
  <c r="G988" i="121"/>
  <c r="R996" i="121"/>
  <c r="R982" i="121"/>
  <c r="N994" i="121"/>
  <c r="R952" i="121"/>
  <c r="N960" i="121"/>
  <c r="U951" i="121"/>
  <c r="R951" i="121"/>
  <c r="J963" i="121"/>
  <c r="R22" i="121"/>
  <c r="J5" i="121"/>
  <c r="U4" i="121"/>
  <c r="U20" i="121"/>
  <c r="R31" i="121"/>
  <c r="R44" i="121"/>
  <c r="J55" i="121"/>
  <c r="J68" i="121"/>
  <c r="U84" i="121"/>
  <c r="R95" i="121"/>
  <c r="N105" i="121"/>
  <c r="J111" i="121"/>
  <c r="J118" i="121"/>
  <c r="U134" i="121"/>
  <c r="R147" i="121"/>
  <c r="R158" i="121"/>
  <c r="J171" i="121"/>
  <c r="J182" i="121"/>
  <c r="R41" i="121"/>
  <c r="R62" i="121"/>
  <c r="J73" i="121"/>
  <c r="J86" i="121"/>
  <c r="U102" i="121"/>
  <c r="R125" i="121"/>
  <c r="R136" i="121"/>
  <c r="J149" i="121"/>
  <c r="J160" i="121"/>
  <c r="U176" i="121"/>
  <c r="R189" i="121"/>
  <c r="G30" i="121"/>
  <c r="N11" i="121"/>
  <c r="N24" i="121"/>
  <c r="U35" i="121"/>
  <c r="G51" i="121"/>
  <c r="G64" i="121"/>
  <c r="N75" i="121"/>
  <c r="N88" i="121"/>
  <c r="U99" i="121"/>
  <c r="U110" i="121"/>
  <c r="R119" i="121"/>
  <c r="R130" i="121"/>
  <c r="J143" i="121"/>
  <c r="J154" i="121"/>
  <c r="U170" i="121"/>
  <c r="R183" i="121"/>
  <c r="R194" i="121"/>
  <c r="U46" i="121"/>
  <c r="G18" i="121"/>
  <c r="R34" i="121"/>
  <c r="J45" i="121"/>
  <c r="J58" i="121"/>
  <c r="U74" i="121"/>
  <c r="R85" i="121"/>
  <c r="R98" i="121"/>
  <c r="J121" i="121"/>
  <c r="J132" i="121"/>
  <c r="U148" i="121"/>
  <c r="R161" i="121"/>
  <c r="R172" i="121"/>
  <c r="J185" i="121"/>
  <c r="G202" i="121"/>
  <c r="N205" i="121"/>
  <c r="G215" i="121"/>
  <c r="R287" i="121"/>
  <c r="R201" i="121"/>
  <c r="U229" i="121"/>
  <c r="G198" i="121"/>
  <c r="N200" i="121"/>
  <c r="U214" i="121"/>
  <c r="U246" i="121"/>
  <c r="U278" i="121"/>
  <c r="U310" i="121"/>
  <c r="U342" i="121"/>
  <c r="U374" i="121"/>
  <c r="U406" i="121"/>
  <c r="U438" i="121"/>
  <c r="U475" i="121"/>
  <c r="U490" i="121"/>
  <c r="R501" i="121"/>
  <c r="R510" i="121"/>
  <c r="J527" i="121"/>
  <c r="U537" i="121"/>
  <c r="U550" i="121"/>
  <c r="R565" i="121"/>
  <c r="R574" i="121"/>
  <c r="J589" i="121"/>
  <c r="N222" i="121"/>
  <c r="R232" i="121"/>
  <c r="J244" i="121"/>
  <c r="N254" i="121"/>
  <c r="R264" i="121"/>
  <c r="J276" i="121"/>
  <c r="N286" i="121"/>
  <c r="R296" i="121"/>
  <c r="J308" i="121"/>
  <c r="N318" i="121"/>
  <c r="R328" i="121"/>
  <c r="J340" i="121"/>
  <c r="N350" i="121"/>
  <c r="R360" i="121"/>
  <c r="J372" i="121"/>
  <c r="N382" i="121"/>
  <c r="R392" i="121"/>
  <c r="J404" i="121"/>
  <c r="N414" i="121"/>
  <c r="R424" i="121"/>
  <c r="J436" i="121"/>
  <c r="N444" i="121"/>
  <c r="J456" i="121"/>
  <c r="G473" i="121"/>
  <c r="G488" i="121"/>
  <c r="R500" i="121"/>
  <c r="J515" i="121"/>
  <c r="U525" i="121"/>
  <c r="U540" i="121"/>
  <c r="R555" i="121"/>
  <c r="R564" i="121"/>
  <c r="J579" i="121"/>
  <c r="J588" i="121"/>
  <c r="U480" i="121"/>
  <c r="G494" i="121"/>
  <c r="R506" i="121"/>
  <c r="J519" i="121"/>
  <c r="U529" i="121"/>
  <c r="U546" i="121"/>
  <c r="R561" i="121"/>
  <c r="R570" i="121"/>
  <c r="J585" i="121"/>
  <c r="J219" i="121"/>
  <c r="U235" i="121"/>
  <c r="G243" i="121"/>
  <c r="R243" i="121"/>
  <c r="N251" i="121"/>
  <c r="J259" i="121"/>
  <c r="U267" i="121"/>
  <c r="G275" i="121"/>
  <c r="R275" i="121"/>
  <c r="N283" i="121"/>
  <c r="J309" i="121"/>
  <c r="U319" i="121"/>
  <c r="G327" i="121"/>
  <c r="R327" i="121"/>
  <c r="N335" i="121"/>
  <c r="J343" i="121"/>
  <c r="U351" i="121"/>
  <c r="G359" i="121"/>
  <c r="R359" i="121"/>
  <c r="N367" i="121"/>
  <c r="J375" i="121"/>
  <c r="U383" i="121"/>
  <c r="G391" i="121"/>
  <c r="R391" i="121"/>
  <c r="N399" i="121"/>
  <c r="J407" i="121"/>
  <c r="U415" i="121"/>
  <c r="G423" i="121"/>
  <c r="R423" i="121"/>
  <c r="N431" i="121"/>
  <c r="J439" i="121"/>
  <c r="G450" i="121"/>
  <c r="R462" i="121"/>
  <c r="N474" i="121"/>
  <c r="J484" i="121"/>
  <c r="U504" i="121"/>
  <c r="G518" i="121"/>
  <c r="N533" i="121"/>
  <c r="J543" i="121"/>
  <c r="J552" i="121"/>
  <c r="U568" i="121"/>
  <c r="R583" i="121"/>
  <c r="R602" i="121"/>
  <c r="J611" i="121"/>
  <c r="J626" i="121"/>
  <c r="G637" i="121"/>
  <c r="R651" i="121"/>
  <c r="N663" i="121"/>
  <c r="N676" i="121"/>
  <c r="J690" i="121"/>
  <c r="R706" i="121"/>
  <c r="N600" i="121"/>
  <c r="U609" i="121"/>
  <c r="G625" i="121"/>
  <c r="R635" i="121"/>
  <c r="R650" i="121"/>
  <c r="N662" i="121"/>
  <c r="U675" i="121"/>
  <c r="U688" i="121"/>
  <c r="R703" i="121"/>
  <c r="U445" i="121"/>
  <c r="G445" i="121"/>
  <c r="R453" i="121"/>
  <c r="N461" i="121"/>
  <c r="J497" i="121"/>
  <c r="J594" i="121"/>
  <c r="G607" i="121"/>
  <c r="G622" i="121"/>
  <c r="N633" i="121"/>
  <c r="J645" i="121"/>
  <c r="U657" i="121"/>
  <c r="G673" i="121"/>
  <c r="G680" i="121"/>
  <c r="N693" i="121"/>
  <c r="N702" i="121"/>
  <c r="U597" i="121"/>
  <c r="G613" i="121"/>
  <c r="G628" i="121"/>
  <c r="N639" i="121"/>
  <c r="N652" i="121"/>
  <c r="J664" i="121"/>
  <c r="U678" i="121"/>
  <c r="G692" i="121"/>
  <c r="N708" i="121"/>
  <c r="J707" i="121"/>
  <c r="U720" i="121"/>
  <c r="R730" i="121"/>
  <c r="N736" i="121"/>
  <c r="N742" i="121"/>
  <c r="U751" i="121"/>
  <c r="G767" i="121"/>
  <c r="G782" i="121"/>
  <c r="N791" i="121"/>
  <c r="N806" i="121"/>
  <c r="G729" i="121"/>
  <c r="G737" i="121"/>
  <c r="J748" i="121"/>
  <c r="U764" i="121"/>
  <c r="R773" i="121"/>
  <c r="R788" i="121"/>
  <c r="J797" i="121"/>
  <c r="J595" i="121"/>
  <c r="R723" i="121"/>
  <c r="U747" i="121"/>
  <c r="G763" i="121"/>
  <c r="G778" i="121"/>
  <c r="N787" i="121"/>
  <c r="N802" i="121"/>
  <c r="J726" i="121"/>
  <c r="U744" i="121"/>
  <c r="R753" i="121"/>
  <c r="R768" i="121"/>
  <c r="J777" i="121"/>
  <c r="J792" i="121"/>
  <c r="U808" i="121"/>
  <c r="R880" i="121"/>
  <c r="R818" i="121"/>
  <c r="R826" i="121"/>
  <c r="G837" i="121"/>
  <c r="J851" i="121"/>
  <c r="J859" i="121"/>
  <c r="J867" i="121"/>
  <c r="J878" i="121"/>
  <c r="N889" i="121"/>
  <c r="R898" i="121"/>
  <c r="R906" i="121"/>
  <c r="R914" i="121"/>
  <c r="R922" i="121"/>
  <c r="R930" i="121"/>
  <c r="R936" i="121"/>
  <c r="R940" i="121"/>
  <c r="U944" i="121"/>
  <c r="U809" i="121"/>
  <c r="U837" i="121"/>
  <c r="U869" i="121"/>
  <c r="G810" i="121"/>
  <c r="R810" i="121"/>
  <c r="J817" i="121"/>
  <c r="J825" i="121"/>
  <c r="N834" i="121"/>
  <c r="R848" i="121"/>
  <c r="R856" i="121"/>
  <c r="R864" i="121"/>
  <c r="R872" i="121"/>
  <c r="U886" i="121"/>
  <c r="J897" i="121"/>
  <c r="J905" i="121"/>
  <c r="J913" i="121"/>
  <c r="J921" i="121"/>
  <c r="J929" i="121"/>
  <c r="N975" i="121"/>
  <c r="N986" i="121"/>
  <c r="J1000" i="121"/>
  <c r="R845" i="121"/>
  <c r="N881" i="121"/>
  <c r="G966" i="121"/>
  <c r="R972" i="121"/>
  <c r="J985" i="121"/>
  <c r="J998" i="121"/>
  <c r="J983" i="121"/>
  <c r="U993" i="121"/>
  <c r="J978" i="121"/>
  <c r="U994" i="121"/>
  <c r="N954" i="121"/>
  <c r="J962" i="121"/>
  <c r="U962" i="121"/>
  <c r="R949" i="121"/>
  <c r="J961" i="121"/>
  <c r="N971" i="121"/>
  <c r="G5" i="121"/>
  <c r="R4" i="121"/>
  <c r="N15" i="121"/>
  <c r="N28" i="121"/>
  <c r="U39" i="121"/>
  <c r="G55" i="121"/>
  <c r="G68" i="121"/>
  <c r="N79" i="121"/>
  <c r="N92" i="121"/>
  <c r="U103" i="121"/>
  <c r="G111" i="121"/>
  <c r="G118" i="121"/>
  <c r="N131" i="121"/>
  <c r="N142" i="121"/>
  <c r="U155" i="121"/>
  <c r="G171" i="121"/>
  <c r="G182" i="121"/>
  <c r="G195" i="121"/>
  <c r="U57" i="121"/>
  <c r="G73" i="121"/>
  <c r="G86" i="121"/>
  <c r="N97" i="121"/>
  <c r="N120" i="121"/>
  <c r="U133" i="121"/>
  <c r="G149" i="121"/>
  <c r="G160" i="121"/>
  <c r="N173" i="121"/>
  <c r="N184" i="121"/>
  <c r="R30" i="121"/>
  <c r="J11" i="121"/>
  <c r="J24" i="121"/>
  <c r="U40" i="121"/>
  <c r="R51" i="121"/>
  <c r="R64" i="121"/>
  <c r="J75" i="121"/>
  <c r="J88" i="121"/>
  <c r="U104" i="121"/>
  <c r="G110" i="121"/>
  <c r="N119" i="121"/>
  <c r="N130" i="121"/>
  <c r="U143" i="121"/>
  <c r="G159" i="121"/>
  <c r="G170" i="121"/>
  <c r="N183" i="121"/>
  <c r="N194" i="121"/>
  <c r="N17" i="121"/>
  <c r="N10" i="121"/>
  <c r="J26" i="121"/>
  <c r="G45" i="121"/>
  <c r="G58" i="121"/>
  <c r="N69" i="121"/>
  <c r="N82" i="121"/>
  <c r="U93" i="121"/>
  <c r="G121" i="121"/>
  <c r="G132" i="121"/>
  <c r="N145" i="121"/>
  <c r="N156" i="121"/>
  <c r="U169" i="121"/>
  <c r="G185" i="121"/>
  <c r="U202" i="121"/>
  <c r="N231" i="121"/>
  <c r="G311" i="121"/>
  <c r="G229" i="121"/>
  <c r="R301" i="121"/>
  <c r="J227" i="121"/>
  <c r="R289" i="121"/>
  <c r="G305" i="121"/>
  <c r="U240" i="121"/>
  <c r="U272" i="121"/>
  <c r="U304" i="121"/>
  <c r="U336" i="121"/>
  <c r="U368" i="121"/>
  <c r="U400" i="121"/>
  <c r="U432" i="121"/>
  <c r="R475" i="121"/>
  <c r="N485" i="121"/>
  <c r="N496" i="121"/>
  <c r="U509" i="121"/>
  <c r="G527" i="121"/>
  <c r="R537" i="121"/>
  <c r="N549" i="121"/>
  <c r="N558" i="121"/>
  <c r="U573" i="121"/>
  <c r="G589" i="121"/>
  <c r="N220" i="121"/>
  <c r="R230" i="121"/>
  <c r="J242" i="121"/>
  <c r="N252" i="121"/>
  <c r="R262" i="121"/>
  <c r="J274" i="121"/>
  <c r="N284" i="121"/>
  <c r="R294" i="121"/>
  <c r="J306" i="121"/>
  <c r="N316" i="121"/>
  <c r="R326" i="121"/>
  <c r="J338" i="121"/>
  <c r="N348" i="121"/>
  <c r="R358" i="121"/>
  <c r="J370" i="121"/>
  <c r="N380" i="121"/>
  <c r="R390" i="121"/>
  <c r="J402" i="121"/>
  <c r="N412" i="121"/>
  <c r="R422" i="121"/>
  <c r="J434" i="121"/>
  <c r="U444" i="121"/>
  <c r="G456" i="121"/>
  <c r="R470" i="121"/>
  <c r="J483" i="121"/>
  <c r="U499" i="121"/>
  <c r="G515" i="121"/>
  <c r="R525" i="121"/>
  <c r="R536" i="121"/>
  <c r="N548" i="121"/>
  <c r="U563" i="121"/>
  <c r="G579" i="121"/>
  <c r="G588" i="121"/>
  <c r="N471" i="121"/>
  <c r="J489" i="121"/>
  <c r="U505" i="121"/>
  <c r="G519" i="121"/>
  <c r="R529" i="121"/>
  <c r="N545" i="121"/>
  <c r="N554" i="121"/>
  <c r="U569" i="121"/>
  <c r="G585" i="121"/>
  <c r="U221" i="121"/>
  <c r="G237" i="121"/>
  <c r="R237" i="121"/>
  <c r="N245" i="121"/>
  <c r="J253" i="121"/>
  <c r="U261" i="121"/>
  <c r="G269" i="121"/>
  <c r="R269" i="121"/>
  <c r="N277" i="121"/>
  <c r="J295" i="121"/>
  <c r="U313" i="121"/>
  <c r="G321" i="121"/>
  <c r="R321" i="121"/>
  <c r="N329" i="121"/>
  <c r="J337" i="121"/>
  <c r="U345" i="121"/>
  <c r="G353" i="121"/>
  <c r="R353" i="121"/>
  <c r="N361" i="121"/>
  <c r="J369" i="121"/>
  <c r="U377" i="121"/>
  <c r="G385" i="121"/>
  <c r="R385" i="121"/>
  <c r="N393" i="121"/>
  <c r="J401" i="121"/>
  <c r="U409" i="121"/>
  <c r="G417" i="121"/>
  <c r="R417" i="121"/>
  <c r="N425" i="121"/>
  <c r="J433" i="121"/>
  <c r="R441" i="121"/>
  <c r="N446" i="121"/>
  <c r="J458" i="121"/>
  <c r="U474" i="121"/>
  <c r="G484" i="121"/>
  <c r="N503" i="121"/>
  <c r="N512" i="121"/>
  <c r="J528" i="121"/>
  <c r="G543" i="121"/>
  <c r="G552" i="121"/>
  <c r="N567" i="121"/>
  <c r="N576" i="121"/>
  <c r="N602" i="121"/>
  <c r="U611" i="121"/>
  <c r="G627" i="121"/>
  <c r="R637" i="121"/>
  <c r="N651" i="121"/>
  <c r="J663" i="121"/>
  <c r="J676" i="121"/>
  <c r="G697" i="121"/>
  <c r="G706" i="121"/>
  <c r="U600" i="121"/>
  <c r="R609" i="121"/>
  <c r="R624" i="121"/>
  <c r="N634" i="121"/>
  <c r="J646" i="121"/>
  <c r="U662" i="121"/>
  <c r="R675" i="121"/>
  <c r="N687" i="121"/>
  <c r="N696" i="121"/>
  <c r="G712" i="121"/>
  <c r="R447" i="121"/>
  <c r="N455" i="121"/>
  <c r="J463" i="121"/>
  <c r="U594" i="121"/>
  <c r="R606" i="121"/>
  <c r="J615" i="121"/>
  <c r="U629" i="121"/>
  <c r="G645" i="121"/>
  <c r="R657" i="121"/>
  <c r="N669" i="121"/>
  <c r="J679" i="121"/>
  <c r="J686" i="121"/>
  <c r="U702" i="121"/>
  <c r="R597" i="121"/>
  <c r="R612" i="121"/>
  <c r="J621" i="121"/>
  <c r="J638" i="121"/>
  <c r="U652" i="121"/>
  <c r="G664" i="121"/>
  <c r="N677" i="121"/>
  <c r="J691" i="121"/>
  <c r="J700" i="121"/>
  <c r="G711" i="121"/>
  <c r="U727" i="121"/>
  <c r="R727" i="121"/>
  <c r="G734" i="121"/>
  <c r="U742" i="121"/>
  <c r="R751" i="121"/>
  <c r="R766" i="121"/>
  <c r="J775" i="121"/>
  <c r="J790" i="121"/>
  <c r="U806" i="121"/>
  <c r="G722" i="121"/>
  <c r="R735" i="121"/>
  <c r="G748" i="121"/>
  <c r="N757" i="121"/>
  <c r="N772" i="121"/>
  <c r="U781" i="121"/>
  <c r="G797" i="121"/>
  <c r="U709" i="121"/>
  <c r="R709" i="121"/>
  <c r="R747" i="121"/>
  <c r="R762" i="121"/>
  <c r="J771" i="121"/>
  <c r="J786" i="121"/>
  <c r="U802" i="121"/>
  <c r="G718" i="121"/>
  <c r="U729" i="121"/>
  <c r="U745" i="121"/>
  <c r="G761" i="121"/>
  <c r="G776" i="121"/>
  <c r="N785" i="121"/>
  <c r="N800" i="121"/>
  <c r="N844" i="121"/>
  <c r="N816" i="121"/>
  <c r="N824" i="121"/>
  <c r="R835" i="121"/>
  <c r="G849" i="121"/>
  <c r="G857" i="121"/>
  <c r="G865" i="121"/>
  <c r="G873" i="121"/>
  <c r="J887" i="121"/>
  <c r="N896" i="121"/>
  <c r="N904" i="121"/>
  <c r="N912" i="121"/>
  <c r="N920" i="121"/>
  <c r="N928" i="121"/>
  <c r="R935" i="121"/>
  <c r="R939" i="121"/>
  <c r="R943" i="121"/>
  <c r="U831" i="121"/>
  <c r="U863" i="121"/>
  <c r="J892" i="121"/>
  <c r="G817" i="121"/>
  <c r="G825" i="121"/>
  <c r="J832" i="121"/>
  <c r="N846" i="121"/>
  <c r="N854" i="121"/>
  <c r="N862" i="121"/>
  <c r="N870" i="121"/>
  <c r="R884" i="121"/>
  <c r="G895" i="121"/>
  <c r="G903" i="121"/>
  <c r="G911" i="121"/>
  <c r="G919" i="121"/>
  <c r="G927" i="121"/>
  <c r="G947" i="121"/>
  <c r="R981" i="121"/>
  <c r="N997" i="121"/>
  <c r="N839" i="121"/>
  <c r="J875" i="121"/>
  <c r="U893" i="121"/>
  <c r="G893" i="121"/>
  <c r="U970" i="121"/>
  <c r="G984" i="121"/>
  <c r="N995" i="121"/>
  <c r="G983" i="121"/>
  <c r="R993" i="121"/>
  <c r="G978" i="121"/>
  <c r="J956" i="121"/>
  <c r="U956" i="121"/>
  <c r="G976" i="121"/>
  <c r="U971" i="121"/>
  <c r="J959" i="121"/>
  <c r="N969" i="121"/>
  <c r="U199" i="121"/>
  <c r="U206" i="121"/>
  <c r="G204" i="121"/>
  <c r="U297" i="121"/>
  <c r="U234" i="121"/>
  <c r="U266" i="121"/>
  <c r="U298" i="121"/>
  <c r="U330" i="121"/>
  <c r="U362" i="121"/>
  <c r="U394" i="121"/>
  <c r="U426" i="121"/>
  <c r="N472" i="121"/>
  <c r="J482" i="121"/>
  <c r="U496" i="121"/>
  <c r="R509" i="121"/>
  <c r="R522" i="121"/>
  <c r="N532" i="121"/>
  <c r="J542" i="121"/>
  <c r="U558" i="121"/>
  <c r="R573" i="121"/>
  <c r="R582" i="121"/>
  <c r="R220" i="121"/>
  <c r="J232" i="121"/>
  <c r="N242" i="121"/>
  <c r="R252" i="121"/>
  <c r="J264" i="121"/>
  <c r="N274" i="121"/>
  <c r="R284" i="121"/>
  <c r="J296" i="121"/>
  <c r="N306" i="121"/>
  <c r="R316" i="121"/>
  <c r="J328" i="121"/>
  <c r="N338" i="121"/>
  <c r="R348" i="121"/>
  <c r="J360" i="121"/>
  <c r="N370" i="121"/>
  <c r="R380" i="121"/>
  <c r="J392" i="121"/>
  <c r="N402" i="121"/>
  <c r="R412" i="121"/>
  <c r="J424" i="121"/>
  <c r="N434" i="121"/>
  <c r="G444" i="121"/>
  <c r="R456" i="121"/>
  <c r="N470" i="121"/>
  <c r="U483" i="121"/>
  <c r="U500" i="121"/>
  <c r="R515" i="121"/>
  <c r="N525" i="121"/>
  <c r="N536" i="121"/>
  <c r="J548" i="121"/>
  <c r="U564" i="121"/>
  <c r="R579" i="121"/>
  <c r="R588" i="121"/>
  <c r="J471" i="121"/>
  <c r="U489" i="121"/>
  <c r="U506" i="121"/>
  <c r="R519" i="121"/>
  <c r="N529" i="121"/>
  <c r="J545" i="121"/>
  <c r="J554" i="121"/>
  <c r="U570" i="121"/>
  <c r="R585" i="121"/>
  <c r="U225" i="121"/>
  <c r="G239" i="121"/>
  <c r="R239" i="121"/>
  <c r="N247" i="121"/>
  <c r="J255" i="121"/>
  <c r="U263" i="121"/>
  <c r="G271" i="121"/>
  <c r="R271" i="121"/>
  <c r="N279" i="121"/>
  <c r="J299" i="121"/>
  <c r="U315" i="121"/>
  <c r="G323" i="121"/>
  <c r="R323" i="121"/>
  <c r="N331" i="121"/>
  <c r="J339" i="121"/>
  <c r="U347" i="121"/>
  <c r="G355" i="121"/>
  <c r="R355" i="121"/>
  <c r="N363" i="121"/>
  <c r="J371" i="121"/>
  <c r="U379" i="121"/>
  <c r="G387" i="121"/>
  <c r="R387" i="121"/>
  <c r="N395" i="121"/>
  <c r="J403" i="121"/>
  <c r="U411" i="121"/>
  <c r="G419" i="121"/>
  <c r="R419" i="121"/>
  <c r="N427" i="121"/>
  <c r="J435" i="121"/>
  <c r="J446" i="121"/>
  <c r="U462" i="121"/>
  <c r="G474" i="121"/>
  <c r="R484" i="121"/>
  <c r="J503" i="121"/>
  <c r="J512" i="121"/>
  <c r="G533" i="121"/>
  <c r="R543" i="121"/>
  <c r="R552" i="121"/>
  <c r="J567" i="121"/>
  <c r="J576" i="121"/>
  <c r="U602" i="121"/>
  <c r="R611" i="121"/>
  <c r="R626" i="121"/>
  <c r="N636" i="121"/>
  <c r="U647" i="121"/>
  <c r="G663" i="121"/>
  <c r="G676" i="121"/>
  <c r="R690" i="121"/>
  <c r="J705" i="121"/>
  <c r="G600" i="121"/>
  <c r="N609" i="121"/>
  <c r="N624" i="121"/>
  <c r="J634" i="121"/>
  <c r="U650" i="121"/>
  <c r="G662" i="121"/>
  <c r="N675" i="121"/>
  <c r="J687" i="121"/>
  <c r="J696" i="121"/>
  <c r="U449" i="121"/>
  <c r="G449" i="121"/>
  <c r="R457" i="121"/>
  <c r="N477" i="121"/>
  <c r="G598" i="121"/>
  <c r="N607" i="121"/>
  <c r="N622" i="121"/>
  <c r="U633" i="121"/>
  <c r="G649" i="121"/>
  <c r="R661" i="121"/>
  <c r="N673" i="121"/>
  <c r="N680" i="121"/>
  <c r="U693" i="121"/>
  <c r="R710" i="121"/>
  <c r="G604" i="121"/>
  <c r="N613" i="121"/>
  <c r="N628" i="121"/>
  <c r="U639" i="121"/>
  <c r="U656" i="121"/>
  <c r="G668" i="121"/>
  <c r="R678" i="121"/>
  <c r="N692" i="121"/>
  <c r="G708" i="121"/>
  <c r="J715" i="121"/>
  <c r="J728" i="121"/>
  <c r="J730" i="121"/>
  <c r="G736" i="121"/>
  <c r="G743" i="121"/>
  <c r="G758" i="121"/>
  <c r="N767" i="121"/>
  <c r="N782" i="121"/>
  <c r="U791" i="121"/>
  <c r="G807" i="121"/>
  <c r="N731" i="121"/>
  <c r="N739" i="121"/>
  <c r="U756" i="121"/>
  <c r="R765" i="121"/>
  <c r="R780" i="121"/>
  <c r="J789" i="121"/>
  <c r="J804" i="121"/>
  <c r="N591" i="121"/>
  <c r="G713" i="121"/>
  <c r="J723" i="121"/>
  <c r="G754" i="121"/>
  <c r="N763" i="121"/>
  <c r="N778" i="121"/>
  <c r="U787" i="121"/>
  <c r="G803" i="121"/>
  <c r="U739" i="121"/>
  <c r="J752" i="121"/>
  <c r="U768" i="121"/>
  <c r="R777" i="121"/>
  <c r="R792" i="121"/>
  <c r="J801" i="121"/>
  <c r="J880" i="121"/>
  <c r="J818" i="121"/>
  <c r="J826" i="121"/>
  <c r="N837" i="121"/>
  <c r="R851" i="121"/>
  <c r="R859" i="121"/>
  <c r="R867" i="121"/>
  <c r="R878" i="121"/>
  <c r="G889" i="121"/>
  <c r="J896" i="121"/>
  <c r="J904" i="121"/>
  <c r="J912" i="121"/>
  <c r="J920" i="121"/>
  <c r="J928" i="121"/>
  <c r="N935" i="121"/>
  <c r="N939" i="121"/>
  <c r="N943" i="121"/>
  <c r="U833" i="121"/>
  <c r="U865" i="121"/>
  <c r="U892" i="121"/>
  <c r="R817" i="121"/>
  <c r="R825" i="121"/>
  <c r="U834" i="121"/>
  <c r="J848" i="121"/>
  <c r="J856" i="121"/>
  <c r="J864" i="121"/>
  <c r="J872" i="121"/>
  <c r="N886" i="121"/>
  <c r="R897" i="121"/>
  <c r="R905" i="121"/>
  <c r="R913" i="121"/>
  <c r="R921" i="121"/>
  <c r="R929" i="121"/>
  <c r="G975" i="121"/>
  <c r="G986" i="121"/>
  <c r="R1000" i="121"/>
  <c r="R841" i="121"/>
  <c r="N877" i="121"/>
  <c r="J964" i="121"/>
  <c r="U972" i="121"/>
  <c r="R985" i="121"/>
  <c r="R998" i="121"/>
  <c r="G948" i="121"/>
  <c r="R983" i="121"/>
  <c r="N993" i="121"/>
  <c r="N945" i="121"/>
  <c r="R978" i="121"/>
  <c r="N992" i="121"/>
  <c r="N950" i="121"/>
  <c r="J958" i="121"/>
  <c r="U958" i="121"/>
  <c r="J949" i="121"/>
  <c r="N959" i="121"/>
  <c r="R969" i="121"/>
  <c r="U211" i="121"/>
  <c r="U215" i="121"/>
  <c r="R303" i="121"/>
  <c r="U201" i="121"/>
  <c r="N203" i="121"/>
  <c r="J229" i="121"/>
  <c r="J301" i="121"/>
  <c r="R3" i="121"/>
  <c r="R212" i="121"/>
  <c r="R204" i="121"/>
  <c r="R196" i="121"/>
  <c r="R208" i="121"/>
  <c r="R210" i="121"/>
  <c r="R200" i="121"/>
  <c r="R198" i="121"/>
  <c r="R206" i="121"/>
  <c r="R202" i="121"/>
  <c r="R227" i="121"/>
  <c r="N208" i="121"/>
  <c r="J305" i="121"/>
  <c r="U244" i="121"/>
  <c r="U276" i="121"/>
  <c r="U308" i="121"/>
  <c r="U340" i="121"/>
  <c r="U372" i="121"/>
  <c r="U404" i="121"/>
  <c r="U436" i="121"/>
  <c r="J475" i="121"/>
  <c r="U485" i="121"/>
  <c r="G501" i="121"/>
  <c r="G510" i="121"/>
  <c r="N527" i="121"/>
  <c r="J537" i="121"/>
  <c r="U549" i="121"/>
  <c r="G565" i="121"/>
  <c r="G574" i="121"/>
  <c r="N589" i="121"/>
  <c r="J222" i="121"/>
  <c r="N232" i="121"/>
  <c r="R242" i="121"/>
  <c r="J254" i="121"/>
  <c r="N264" i="121"/>
  <c r="R274" i="121"/>
  <c r="J286" i="121"/>
  <c r="N296" i="121"/>
  <c r="R306" i="121"/>
  <c r="J318" i="121"/>
  <c r="N328" i="121"/>
  <c r="R338" i="121"/>
  <c r="J350" i="121"/>
  <c r="N360" i="121"/>
  <c r="R370" i="121"/>
  <c r="J382" i="121"/>
  <c r="N392" i="121"/>
  <c r="R402" i="121"/>
  <c r="J414" i="121"/>
  <c r="N424" i="121"/>
  <c r="R434" i="121"/>
  <c r="R444" i="121"/>
  <c r="N456" i="121"/>
  <c r="J470" i="121"/>
  <c r="U488" i="121"/>
  <c r="G500" i="121"/>
  <c r="N515" i="121"/>
  <c r="J525" i="121"/>
  <c r="J536" i="121"/>
  <c r="G555" i="121"/>
  <c r="G564" i="121"/>
  <c r="N579" i="121"/>
  <c r="N588" i="121"/>
  <c r="U471" i="121"/>
  <c r="U494" i="121"/>
  <c r="G506" i="121"/>
  <c r="N519" i="121"/>
  <c r="J529" i="121"/>
  <c r="U545" i="121"/>
  <c r="G561" i="121"/>
  <c r="G570" i="121"/>
  <c r="N585" i="121"/>
  <c r="J217" i="121"/>
  <c r="U233" i="121"/>
  <c r="G241" i="121"/>
  <c r="R241" i="121"/>
  <c r="N249" i="121"/>
  <c r="J257" i="121"/>
  <c r="U265" i="121"/>
  <c r="G273" i="121"/>
  <c r="R273" i="121"/>
  <c r="N281" i="121"/>
  <c r="J307" i="121"/>
  <c r="U317" i="121"/>
  <c r="G325" i="121"/>
  <c r="R325" i="121"/>
  <c r="N333" i="121"/>
  <c r="J341" i="121"/>
  <c r="U349" i="121"/>
  <c r="G357" i="121"/>
  <c r="R357" i="121"/>
  <c r="N365" i="121"/>
  <c r="J373" i="121"/>
  <c r="U381" i="121"/>
  <c r="G389" i="121"/>
  <c r="R389" i="121"/>
  <c r="N397" i="121"/>
  <c r="J405" i="121"/>
  <c r="U413" i="121"/>
  <c r="G421" i="121"/>
  <c r="R421" i="121"/>
  <c r="N429" i="121"/>
  <c r="J437" i="121"/>
  <c r="U450" i="121"/>
  <c r="G462" i="121"/>
  <c r="R474" i="121"/>
  <c r="N484" i="121"/>
  <c r="U503" i="121"/>
  <c r="U518" i="121"/>
  <c r="R533" i="121"/>
  <c r="N543" i="121"/>
  <c r="N552" i="121"/>
  <c r="U567" i="121"/>
  <c r="G583" i="121"/>
  <c r="G602" i="121"/>
  <c r="N611" i="121"/>
  <c r="N626" i="121"/>
  <c r="J636" i="121"/>
  <c r="G651" i="121"/>
  <c r="R663" i="121"/>
  <c r="R676" i="121"/>
  <c r="N690" i="121"/>
  <c r="U705" i="121"/>
  <c r="R600" i="121"/>
  <c r="J609" i="121"/>
  <c r="J624" i="121"/>
  <c r="G635" i="121"/>
  <c r="G650" i="121"/>
  <c r="R662" i="121"/>
  <c r="J675" i="121"/>
  <c r="U687" i="121"/>
  <c r="G703" i="121"/>
  <c r="U443" i="121"/>
  <c r="G443" i="121"/>
  <c r="R451" i="121"/>
  <c r="N459" i="121"/>
  <c r="J495" i="121"/>
  <c r="N594" i="121"/>
  <c r="J606" i="121"/>
  <c r="U622" i="121"/>
  <c r="R633" i="121"/>
  <c r="N645" i="121"/>
  <c r="J657" i="121"/>
  <c r="U669" i="121"/>
  <c r="U680" i="121"/>
  <c r="R693" i="121"/>
  <c r="R702" i="121"/>
  <c r="R604" i="121"/>
  <c r="J613" i="121"/>
  <c r="J628" i="121"/>
  <c r="G643" i="121"/>
  <c r="G656" i="121"/>
  <c r="R668" i="121"/>
  <c r="N678" i="121"/>
  <c r="J692" i="121"/>
  <c r="U716" i="121"/>
  <c r="J719" i="121"/>
  <c r="G730" i="121"/>
  <c r="U738" i="121"/>
  <c r="R743" i="121"/>
  <c r="R758" i="121"/>
  <c r="J767" i="121"/>
  <c r="J782" i="121"/>
  <c r="U798" i="121"/>
  <c r="R807" i="121"/>
  <c r="J731" i="121"/>
  <c r="J739" i="121"/>
  <c r="G756" i="121"/>
  <c r="N765" i="121"/>
  <c r="N780" i="121"/>
  <c r="U789" i="121"/>
  <c r="G805" i="121"/>
  <c r="N593" i="121"/>
  <c r="U717" i="121"/>
  <c r="R724" i="121"/>
  <c r="R754" i="121"/>
  <c r="J763" i="121"/>
  <c r="J778" i="121"/>
  <c r="U794" i="121"/>
  <c r="R803" i="121"/>
  <c r="N725" i="121"/>
  <c r="N744" i="121"/>
  <c r="U753" i="121"/>
  <c r="G769" i="121"/>
  <c r="G784" i="121"/>
  <c r="N793" i="121"/>
  <c r="R808" i="121"/>
  <c r="U812" i="121"/>
  <c r="U820" i="121"/>
  <c r="U828" i="121"/>
  <c r="J842" i="121"/>
  <c r="N853" i="121"/>
  <c r="N861" i="121"/>
  <c r="N869" i="121"/>
  <c r="R883" i="121"/>
  <c r="R891" i="121"/>
  <c r="U900" i="121"/>
  <c r="U908" i="121"/>
  <c r="U916" i="121"/>
  <c r="U924" i="121"/>
  <c r="U932" i="121"/>
  <c r="J937" i="121"/>
  <c r="J941" i="121"/>
  <c r="J946" i="121"/>
  <c r="U851" i="121"/>
  <c r="U883" i="121"/>
  <c r="N813" i="121"/>
  <c r="N821" i="121"/>
  <c r="N829" i="121"/>
  <c r="R838" i="121"/>
  <c r="U852" i="121"/>
  <c r="U860" i="121"/>
  <c r="U868" i="121"/>
  <c r="J882" i="121"/>
  <c r="J890" i="121"/>
  <c r="N901" i="121"/>
  <c r="N909" i="121"/>
  <c r="N917" i="121"/>
  <c r="N925" i="121"/>
  <c r="N933" i="121"/>
  <c r="U977" i="121"/>
  <c r="G997" i="121"/>
  <c r="J843" i="121"/>
  <c r="U879" i="121"/>
  <c r="G879" i="121"/>
  <c r="N968" i="121"/>
  <c r="J980" i="121"/>
  <c r="G995" i="121"/>
  <c r="U973" i="121"/>
  <c r="G989" i="121"/>
  <c r="U974" i="121"/>
  <c r="R987" i="121"/>
  <c r="N999" i="121"/>
  <c r="G952" i="121"/>
  <c r="R960" i="121"/>
  <c r="U959" i="121"/>
  <c r="J955" i="121"/>
  <c r="N965" i="121"/>
  <c r="R25" i="121"/>
  <c r="N13" i="121"/>
  <c r="J7" i="121"/>
  <c r="J20" i="121"/>
  <c r="U36" i="121"/>
  <c r="R47" i="121"/>
  <c r="R60" i="121"/>
  <c r="J71" i="121"/>
  <c r="J84" i="121"/>
  <c r="U100" i="121"/>
  <c r="R107" i="121"/>
  <c r="N113" i="121"/>
  <c r="J123" i="121"/>
  <c r="J134" i="121"/>
  <c r="U150" i="121"/>
  <c r="R163" i="121"/>
  <c r="R174" i="121"/>
  <c r="J187" i="121"/>
  <c r="U54" i="121"/>
  <c r="R65" i="121"/>
  <c r="R78" i="121"/>
  <c r="J89" i="121"/>
  <c r="J102" i="121"/>
  <c r="U128" i="121"/>
  <c r="R141" i="121"/>
  <c r="R152" i="121"/>
  <c r="J165" i="121"/>
  <c r="J176" i="121"/>
  <c r="U192" i="121"/>
  <c r="G33" i="121"/>
  <c r="G16" i="121"/>
  <c r="N27" i="121"/>
  <c r="N40" i="121"/>
  <c r="U51" i="121"/>
  <c r="G67" i="121"/>
  <c r="G80" i="121"/>
  <c r="N91" i="121"/>
  <c r="N104" i="121"/>
  <c r="J110" i="121"/>
  <c r="U122" i="121"/>
  <c r="R135" i="121"/>
  <c r="R146" i="121"/>
  <c r="J159" i="121"/>
  <c r="J170" i="121"/>
  <c r="U186" i="121"/>
  <c r="N6" i="121"/>
  <c r="J46" i="121"/>
  <c r="G21" i="121"/>
  <c r="R37" i="121"/>
  <c r="R50" i="121"/>
  <c r="J61" i="121"/>
  <c r="J74" i="121"/>
  <c r="U90" i="121"/>
  <c r="R101" i="121"/>
  <c r="R124" i="121"/>
  <c r="J137" i="121"/>
  <c r="J148" i="121"/>
  <c r="U164" i="121"/>
  <c r="R177" i="121"/>
  <c r="R188" i="121"/>
  <c r="G205" i="121"/>
  <c r="R205" i="121"/>
  <c r="J223" i="121"/>
  <c r="G287" i="121"/>
  <c r="G201" i="121"/>
  <c r="U285" i="121"/>
  <c r="N227" i="121"/>
  <c r="U289" i="121"/>
  <c r="U222" i="121"/>
  <c r="U254" i="121"/>
  <c r="U286" i="121"/>
  <c r="U318" i="121"/>
  <c r="U350" i="121"/>
  <c r="U382" i="121"/>
  <c r="U414" i="121"/>
  <c r="N467" i="121"/>
  <c r="J479" i="121"/>
  <c r="J490" i="121"/>
  <c r="U502" i="121"/>
  <c r="R517" i="121"/>
  <c r="N531" i="121"/>
  <c r="J541" i="121"/>
  <c r="J550" i="121"/>
  <c r="U566" i="121"/>
  <c r="R581" i="121"/>
  <c r="N214" i="121"/>
  <c r="R224" i="121"/>
  <c r="J236" i="121"/>
  <c r="N246" i="121"/>
  <c r="R256" i="121"/>
  <c r="J268" i="121"/>
  <c r="N278" i="121"/>
  <c r="R288" i="121"/>
  <c r="J300" i="121"/>
  <c r="N310" i="121"/>
  <c r="R320" i="121"/>
  <c r="J332" i="121"/>
  <c r="N342" i="121"/>
  <c r="R352" i="121"/>
  <c r="J364" i="121"/>
  <c r="N374" i="121"/>
  <c r="R384" i="121"/>
  <c r="J396" i="121"/>
  <c r="N406" i="121"/>
  <c r="R416" i="121"/>
  <c r="J428" i="121"/>
  <c r="N438" i="121"/>
  <c r="R448" i="121"/>
  <c r="N460" i="121"/>
  <c r="U473" i="121"/>
  <c r="G491" i="121"/>
  <c r="R507" i="121"/>
  <c r="R516" i="121"/>
  <c r="N526" i="121"/>
  <c r="J540" i="121"/>
  <c r="U556" i="121"/>
  <c r="R571" i="121"/>
  <c r="R580" i="121"/>
  <c r="J465" i="121"/>
  <c r="J480" i="121"/>
  <c r="U498" i="121"/>
  <c r="R513" i="121"/>
  <c r="R520" i="121"/>
  <c r="J535" i="121"/>
  <c r="J546" i="121"/>
  <c r="U562" i="121"/>
  <c r="R577" i="121"/>
  <c r="R586" i="121"/>
  <c r="N219" i="121"/>
  <c r="J235" i="121"/>
  <c r="U243" i="121"/>
  <c r="G251" i="121"/>
  <c r="R251" i="121"/>
  <c r="N259" i="121"/>
  <c r="J267" i="121"/>
  <c r="U275" i="121"/>
  <c r="G283" i="121"/>
  <c r="R283" i="121"/>
  <c r="N309" i="121"/>
  <c r="J319" i="121"/>
  <c r="U327" i="121"/>
  <c r="G335" i="121"/>
  <c r="R335" i="121"/>
  <c r="N343" i="121"/>
  <c r="J351" i="121"/>
  <c r="U359" i="121"/>
  <c r="G367" i="121"/>
  <c r="R367" i="121"/>
  <c r="N375" i="121"/>
  <c r="J383" i="121"/>
  <c r="U391" i="121"/>
  <c r="G399" i="121"/>
  <c r="R399" i="121"/>
  <c r="N407" i="121"/>
  <c r="J415" i="121"/>
  <c r="U423" i="121"/>
  <c r="G431" i="121"/>
  <c r="R431" i="121"/>
  <c r="N439" i="121"/>
  <c r="U454" i="121"/>
  <c r="G466" i="121"/>
  <c r="R478" i="121"/>
  <c r="J487" i="121"/>
  <c r="J504" i="121"/>
  <c r="G523" i="121"/>
  <c r="G534" i="121"/>
  <c r="R544" i="121"/>
  <c r="J559" i="121"/>
  <c r="J568" i="121"/>
  <c r="U584" i="121"/>
  <c r="R603" i="121"/>
  <c r="R618" i="121"/>
  <c r="J627" i="121"/>
  <c r="U637" i="121"/>
  <c r="G655" i="121"/>
  <c r="R667" i="121"/>
  <c r="N683" i="121"/>
  <c r="J697" i="121"/>
  <c r="N706" i="121"/>
  <c r="N601" i="121"/>
  <c r="N616" i="121"/>
  <c r="U625" i="121"/>
  <c r="G641" i="121"/>
  <c r="G654" i="121"/>
  <c r="R666" i="121"/>
  <c r="J681" i="121"/>
  <c r="J688" i="121"/>
  <c r="U704" i="121"/>
  <c r="J445" i="121"/>
  <c r="U453" i="121"/>
  <c r="G453" i="121"/>
  <c r="R461" i="121"/>
  <c r="N497" i="121"/>
  <c r="N598" i="121"/>
  <c r="U607" i="121"/>
  <c r="G623" i="121"/>
  <c r="G640" i="121"/>
  <c r="N649" i="121"/>
  <c r="J661" i="121"/>
  <c r="U673" i="121"/>
  <c r="G685" i="121"/>
  <c r="G694" i="121"/>
  <c r="U710" i="121"/>
  <c r="N604" i="121"/>
  <c r="U613" i="121"/>
  <c r="U632" i="121"/>
  <c r="R643" i="121"/>
  <c r="R656" i="121"/>
  <c r="N668" i="121"/>
  <c r="J678" i="121"/>
  <c r="G699" i="121"/>
  <c r="J716" i="121"/>
  <c r="N707" i="121"/>
  <c r="J720" i="121"/>
  <c r="U732" i="121"/>
  <c r="R738" i="121"/>
  <c r="N743" i="121"/>
  <c r="N758" i="121"/>
  <c r="U767" i="121"/>
  <c r="G783" i="121"/>
  <c r="G798" i="121"/>
  <c r="N807" i="121"/>
  <c r="G731" i="121"/>
  <c r="G739" i="121"/>
  <c r="J749" i="121"/>
  <c r="J764" i="121"/>
  <c r="U780" i="121"/>
  <c r="R789" i="121"/>
  <c r="R804" i="121"/>
  <c r="N595" i="121"/>
  <c r="N724" i="121"/>
  <c r="N754" i="121"/>
  <c r="U763" i="121"/>
  <c r="G779" i="121"/>
  <c r="G794" i="121"/>
  <c r="N803" i="121"/>
  <c r="N726" i="121"/>
  <c r="J744" i="121"/>
  <c r="U760" i="121"/>
  <c r="R769" i="121"/>
  <c r="R784" i="121"/>
  <c r="J793" i="121"/>
  <c r="G808" i="121"/>
  <c r="R812" i="121"/>
  <c r="R820" i="121"/>
  <c r="R828" i="121"/>
  <c r="U842" i="121"/>
  <c r="J853" i="121"/>
  <c r="J861" i="121"/>
  <c r="J869" i="121"/>
  <c r="N883" i="121"/>
  <c r="N891" i="121"/>
  <c r="R900" i="121"/>
  <c r="R908" i="121"/>
  <c r="R916" i="121"/>
  <c r="R924" i="121"/>
  <c r="R932" i="121"/>
  <c r="G937" i="121"/>
  <c r="G941" i="121"/>
  <c r="U946" i="121"/>
  <c r="R809" i="121"/>
  <c r="U840" i="121"/>
  <c r="N876" i="121"/>
  <c r="U810" i="121"/>
  <c r="J811" i="121"/>
  <c r="J819" i="121"/>
  <c r="J827" i="121"/>
  <c r="N836" i="121"/>
  <c r="R850" i="121"/>
  <c r="R858" i="121"/>
  <c r="R866" i="121"/>
  <c r="R874" i="121"/>
  <c r="U888" i="121"/>
  <c r="J899" i="121"/>
  <c r="J907" i="121"/>
  <c r="J915" i="121"/>
  <c r="J923" i="121"/>
  <c r="J931" i="121"/>
  <c r="R977" i="121"/>
  <c r="N991" i="121"/>
  <c r="U845" i="121"/>
  <c r="G845" i="121"/>
  <c r="R881" i="121"/>
  <c r="U968" i="121"/>
  <c r="G980" i="121"/>
  <c r="R990" i="121"/>
  <c r="R973" i="121"/>
  <c r="R988" i="121"/>
  <c r="N996" i="121"/>
  <c r="N982" i="121"/>
  <c r="J994" i="121"/>
  <c r="R954" i="121"/>
  <c r="N962" i="121"/>
  <c r="U953" i="121"/>
  <c r="J953" i="121"/>
  <c r="N963" i="121"/>
  <c r="N22" i="121"/>
  <c r="U5" i="121"/>
  <c r="G7" i="121"/>
  <c r="G20" i="121"/>
  <c r="N31" i="121"/>
  <c r="N44" i="121"/>
  <c r="U55" i="121"/>
  <c r="G71" i="121"/>
  <c r="G84" i="121"/>
  <c r="N95" i="121"/>
  <c r="J105" i="121"/>
  <c r="U111" i="121"/>
  <c r="G123" i="121"/>
  <c r="G134" i="121"/>
  <c r="N147" i="121"/>
  <c r="N158" i="121"/>
  <c r="U171" i="121"/>
  <c r="G187" i="121"/>
  <c r="N41" i="121"/>
  <c r="N62" i="121"/>
  <c r="U73" i="121"/>
  <c r="G89" i="121"/>
  <c r="G102" i="121"/>
  <c r="N125" i="121"/>
  <c r="N136" i="121"/>
  <c r="U149" i="121"/>
  <c r="G165" i="121"/>
  <c r="G176" i="121"/>
  <c r="N189" i="121"/>
  <c r="R33" i="121"/>
  <c r="R16" i="121"/>
  <c r="J27" i="121"/>
  <c r="J40" i="121"/>
  <c r="U56" i="121"/>
  <c r="R67" i="121"/>
  <c r="R80" i="121"/>
  <c r="J91" i="121"/>
  <c r="J104" i="121"/>
  <c r="U112" i="121"/>
  <c r="G122" i="121"/>
  <c r="N135" i="121"/>
  <c r="N146" i="121"/>
  <c r="U159" i="121"/>
  <c r="G175" i="121"/>
  <c r="G186" i="121"/>
  <c r="U6" i="121"/>
  <c r="G46" i="121"/>
  <c r="R18" i="121"/>
  <c r="N34" i="121"/>
  <c r="U45" i="121"/>
  <c r="G61" i="121"/>
  <c r="G74" i="121"/>
  <c r="N85" i="121"/>
  <c r="N98" i="121"/>
  <c r="U121" i="121"/>
  <c r="G137" i="121"/>
  <c r="G148" i="121"/>
  <c r="N161" i="121"/>
  <c r="N172" i="121"/>
  <c r="U185" i="121"/>
  <c r="G210" i="121"/>
  <c r="N287" i="121"/>
  <c r="N201" i="121"/>
  <c r="R285" i="121"/>
  <c r="G301" i="121"/>
  <c r="N291" i="121"/>
  <c r="G289" i="121"/>
  <c r="U216" i="121"/>
  <c r="U248" i="121"/>
  <c r="U280" i="121"/>
  <c r="U312" i="121"/>
  <c r="U344" i="121"/>
  <c r="U376" i="121"/>
  <c r="U408" i="121"/>
  <c r="U440" i="121"/>
  <c r="G479" i="121"/>
  <c r="G490" i="121"/>
  <c r="N501" i="121"/>
  <c r="N510" i="121"/>
  <c r="U527" i="121"/>
  <c r="G541" i="121"/>
  <c r="G550" i="121"/>
  <c r="N565" i="121"/>
  <c r="N574" i="121"/>
  <c r="R589" i="121"/>
  <c r="R222" i="121"/>
  <c r="J234" i="121"/>
  <c r="N244" i="121"/>
  <c r="R254" i="121"/>
  <c r="J266" i="121"/>
  <c r="N276" i="121"/>
  <c r="R286" i="121"/>
  <c r="J298" i="121"/>
  <c r="N308" i="121"/>
  <c r="R318" i="121"/>
  <c r="J330" i="121"/>
  <c r="N340" i="121"/>
  <c r="R350" i="121"/>
  <c r="J362" i="121"/>
  <c r="N372" i="121"/>
  <c r="R382" i="121"/>
  <c r="J394" i="121"/>
  <c r="N404" i="121"/>
  <c r="R414" i="121"/>
  <c r="J426" i="121"/>
  <c r="N436" i="121"/>
  <c r="J444" i="121"/>
  <c r="U460" i="121"/>
  <c r="R473" i="121"/>
  <c r="R488" i="121"/>
  <c r="N500" i="121"/>
  <c r="U515" i="121"/>
  <c r="U526" i="121"/>
  <c r="G540" i="121"/>
  <c r="N555" i="121"/>
  <c r="N564" i="121"/>
  <c r="U579" i="121"/>
  <c r="G465" i="121"/>
  <c r="G480" i="121"/>
  <c r="R494" i="121"/>
  <c r="N506" i="121"/>
  <c r="U519" i="121"/>
  <c r="G535" i="121"/>
  <c r="G546" i="121"/>
  <c r="N561" i="121"/>
  <c r="N570" i="121"/>
  <c r="U585" i="121"/>
  <c r="J221" i="121"/>
  <c r="U237" i="121"/>
  <c r="G245" i="121"/>
  <c r="R245" i="121"/>
  <c r="N253" i="121"/>
  <c r="J261" i="121"/>
  <c r="U269" i="121"/>
  <c r="G277" i="121"/>
  <c r="R277" i="121"/>
  <c r="N295" i="121"/>
  <c r="J313" i="121"/>
  <c r="U321" i="121"/>
  <c r="G329" i="121"/>
  <c r="R329" i="121"/>
  <c r="N337" i="121"/>
  <c r="J345" i="121"/>
  <c r="U353" i="121"/>
  <c r="G361" i="121"/>
  <c r="R361" i="121"/>
  <c r="N369" i="121"/>
  <c r="J377" i="121"/>
  <c r="U385" i="121"/>
  <c r="G393" i="121"/>
  <c r="R393" i="121"/>
  <c r="N401" i="121"/>
  <c r="J409" i="121"/>
  <c r="U417" i="121"/>
  <c r="G425" i="121"/>
  <c r="R425" i="121"/>
  <c r="N433" i="121"/>
  <c r="J441" i="121"/>
  <c r="R450" i="121"/>
  <c r="N462" i="121"/>
  <c r="J474" i="121"/>
  <c r="G487" i="121"/>
  <c r="G504" i="121"/>
  <c r="R518" i="121"/>
  <c r="J533" i="121"/>
  <c r="U543" i="121"/>
  <c r="G559" i="121"/>
  <c r="G568" i="121"/>
  <c r="N583" i="121"/>
  <c r="N603" i="121"/>
  <c r="N618" i="121"/>
  <c r="U627" i="121"/>
  <c r="U642" i="121"/>
  <c r="R655" i="121"/>
  <c r="N667" i="121"/>
  <c r="J683" i="121"/>
  <c r="U697" i="121"/>
  <c r="R714" i="121"/>
  <c r="J600" i="121"/>
  <c r="U616" i="121"/>
  <c r="R625" i="121"/>
  <c r="N635" i="121"/>
  <c r="N650" i="121"/>
  <c r="J662" i="121"/>
  <c r="G681" i="121"/>
  <c r="G688" i="121"/>
  <c r="N703" i="121"/>
  <c r="U447" i="121"/>
  <c r="G447" i="121"/>
  <c r="R455" i="121"/>
  <c r="N463" i="121"/>
  <c r="U598" i="121"/>
  <c r="R607" i="121"/>
  <c r="R622" i="121"/>
  <c r="J633" i="121"/>
  <c r="U645" i="121"/>
  <c r="G661" i="121"/>
  <c r="R673" i="121"/>
  <c r="R680" i="121"/>
  <c r="J693" i="121"/>
  <c r="J702" i="121"/>
  <c r="U604" i="121"/>
  <c r="R613" i="121"/>
  <c r="R628" i="121"/>
  <c r="J639" i="121"/>
  <c r="J652" i="121"/>
  <c r="U668" i="121"/>
  <c r="G678" i="121"/>
  <c r="R692" i="121"/>
  <c r="R708" i="121"/>
  <c r="J711" i="121"/>
  <c r="G727" i="121"/>
  <c r="N730" i="121"/>
  <c r="J736" i="121"/>
  <c r="J742" i="121"/>
  <c r="U758" i="121"/>
  <c r="R767" i="121"/>
  <c r="R782" i="121"/>
  <c r="J791" i="121"/>
  <c r="J806" i="121"/>
  <c r="R729" i="121"/>
  <c r="R737" i="121"/>
  <c r="G749" i="121"/>
  <c r="G764" i="121"/>
  <c r="N773" i="121"/>
  <c r="N788" i="121"/>
  <c r="U797" i="121"/>
  <c r="G709" i="121"/>
  <c r="N723" i="121"/>
  <c r="U754" i="121"/>
  <c r="R763" i="121"/>
  <c r="R778" i="121"/>
  <c r="J787" i="121"/>
  <c r="J802" i="121"/>
  <c r="J718" i="121"/>
  <c r="U737" i="121"/>
  <c r="N752" i="121"/>
  <c r="U761" i="121"/>
  <c r="G777" i="121"/>
  <c r="G792" i="121"/>
  <c r="N801" i="121"/>
  <c r="N880" i="121"/>
  <c r="N818" i="121"/>
  <c r="N826" i="121"/>
  <c r="R837" i="121"/>
  <c r="G851" i="121"/>
  <c r="G859" i="121"/>
  <c r="G867" i="121"/>
  <c r="U878" i="121"/>
  <c r="J889" i="121"/>
  <c r="N898" i="121"/>
  <c r="N906" i="121"/>
  <c r="N914" i="121"/>
  <c r="N922" i="121"/>
  <c r="N930" i="121"/>
  <c r="N936" i="121"/>
  <c r="N940" i="121"/>
  <c r="N944" i="121"/>
  <c r="R840" i="121"/>
  <c r="U871" i="121"/>
  <c r="G811" i="121"/>
  <c r="G819" i="121"/>
  <c r="G827" i="121"/>
  <c r="J834" i="121"/>
  <c r="N848" i="121"/>
  <c r="N856" i="121"/>
  <c r="N864" i="121"/>
  <c r="N872" i="121"/>
  <c r="R886" i="121"/>
  <c r="G897" i="121"/>
  <c r="G905" i="121"/>
  <c r="G913" i="121"/>
  <c r="G921" i="121"/>
  <c r="G929" i="121"/>
  <c r="J947" i="121"/>
  <c r="U986" i="121"/>
  <c r="G1000" i="121"/>
  <c r="R839" i="121"/>
  <c r="N875" i="121"/>
  <c r="J893" i="121"/>
  <c r="N964" i="121"/>
  <c r="J970" i="121"/>
  <c r="G985" i="121"/>
  <c r="G998" i="121"/>
  <c r="U983" i="121"/>
  <c r="U996" i="121"/>
  <c r="U982" i="121"/>
  <c r="G994" i="121"/>
  <c r="N956" i="121"/>
  <c r="J976" i="121"/>
  <c r="U976" i="121"/>
  <c r="J951" i="121"/>
  <c r="N961" i="121"/>
  <c r="R971" i="121"/>
  <c r="S1000" i="121" l="1"/>
  <c r="S998" i="121"/>
  <c r="S996" i="121"/>
  <c r="S994" i="121"/>
  <c r="S992" i="121"/>
  <c r="S990" i="121"/>
  <c r="S988" i="121"/>
  <c r="S986" i="121"/>
  <c r="S984" i="121"/>
  <c r="S982" i="121"/>
  <c r="S980" i="121"/>
  <c r="S978" i="121"/>
  <c r="S976" i="121"/>
  <c r="S974" i="121"/>
  <c r="S972" i="121"/>
  <c r="S970" i="121"/>
  <c r="S968" i="121"/>
  <c r="S966" i="121"/>
  <c r="S964" i="121"/>
  <c r="S962" i="121"/>
  <c r="S960" i="121"/>
  <c r="S958" i="121"/>
  <c r="S956" i="121"/>
  <c r="S954" i="121"/>
  <c r="S952" i="121"/>
  <c r="S950" i="121"/>
  <c r="S948" i="121"/>
  <c r="S999" i="121"/>
  <c r="S997" i="121"/>
  <c r="S995" i="121"/>
  <c r="S993" i="121"/>
  <c r="S991" i="121"/>
  <c r="S989" i="121"/>
  <c r="S987" i="121"/>
  <c r="S985" i="121"/>
  <c r="S983" i="121"/>
  <c r="S981" i="121"/>
  <c r="S979" i="121"/>
  <c r="S977" i="121"/>
  <c r="S975" i="121"/>
  <c r="S973" i="121"/>
  <c r="S971" i="121"/>
  <c r="S969" i="121"/>
  <c r="S967" i="121"/>
  <c r="S965" i="121"/>
  <c r="S963" i="121"/>
  <c r="S961" i="121"/>
  <c r="S959" i="121"/>
  <c r="S957" i="121"/>
  <c r="S955" i="121"/>
  <c r="S953" i="121"/>
  <c r="S951" i="121"/>
  <c r="S949" i="121"/>
  <c r="S947" i="121"/>
  <c r="S946" i="121"/>
  <c r="S943" i="121"/>
  <c r="S941" i="121"/>
  <c r="S939" i="121"/>
  <c r="S937" i="121"/>
  <c r="S935" i="121"/>
  <c r="S933" i="121"/>
  <c r="S931" i="121"/>
  <c r="S929" i="121"/>
  <c r="S927" i="121"/>
  <c r="S925" i="121"/>
  <c r="S923" i="121"/>
  <c r="S921" i="121"/>
  <c r="S919" i="121"/>
  <c r="S917" i="121"/>
  <c r="S915" i="121"/>
  <c r="S913" i="121"/>
  <c r="S911" i="121"/>
  <c r="S909" i="121"/>
  <c r="S907" i="121"/>
  <c r="S905" i="121"/>
  <c r="S903" i="121"/>
  <c r="S901" i="121"/>
  <c r="S899" i="121"/>
  <c r="S897" i="121"/>
  <c r="S895" i="121"/>
  <c r="S893" i="121"/>
  <c r="S891" i="121"/>
  <c r="S889" i="121"/>
  <c r="S887" i="121"/>
  <c r="S885" i="121"/>
  <c r="S883" i="121"/>
  <c r="S881" i="121"/>
  <c r="S879" i="121"/>
  <c r="S877" i="121"/>
  <c r="S875" i="121"/>
  <c r="S873" i="121"/>
  <c r="S871" i="121"/>
  <c r="S869" i="121"/>
  <c r="S867" i="121"/>
  <c r="S865" i="121"/>
  <c r="S863" i="121"/>
  <c r="S861" i="121"/>
  <c r="S859" i="121"/>
  <c r="S857" i="121"/>
  <c r="S855" i="121"/>
  <c r="S853" i="121"/>
  <c r="S851" i="121"/>
  <c r="S849" i="121"/>
  <c r="S847" i="121"/>
  <c r="S845" i="121"/>
  <c r="S843" i="121"/>
  <c r="S841" i="121"/>
  <c r="S839" i="121"/>
  <c r="S837" i="121"/>
  <c r="S835" i="121"/>
  <c r="S833" i="121"/>
  <c r="S831" i="121"/>
  <c r="S829" i="121"/>
  <c r="S827" i="121"/>
  <c r="S825" i="121"/>
  <c r="S823" i="121"/>
  <c r="S821" i="121"/>
  <c r="S819" i="121"/>
  <c r="S817" i="121"/>
  <c r="S815" i="121"/>
  <c r="S813" i="121"/>
  <c r="S811" i="121"/>
  <c r="S945" i="121"/>
  <c r="S942" i="121"/>
  <c r="S940" i="121"/>
  <c r="S938" i="121"/>
  <c r="S936" i="121"/>
  <c r="S934" i="121"/>
  <c r="S932" i="121"/>
  <c r="S930" i="121"/>
  <c r="S928" i="121"/>
  <c r="S926" i="121"/>
  <c r="S924" i="121"/>
  <c r="S922" i="121"/>
  <c r="S920" i="121"/>
  <c r="S918" i="121"/>
  <c r="S916" i="121"/>
  <c r="S914" i="121"/>
  <c r="S912" i="121"/>
  <c r="S910" i="121"/>
  <c r="S908" i="121"/>
  <c r="S906" i="121"/>
  <c r="S904" i="121"/>
  <c r="S902" i="121"/>
  <c r="S900" i="121"/>
  <c r="S898" i="121"/>
  <c r="S896" i="121"/>
  <c r="S894" i="121"/>
  <c r="S892" i="121"/>
  <c r="S890" i="121"/>
  <c r="S888" i="121"/>
  <c r="S886" i="121"/>
  <c r="S884" i="121"/>
  <c r="S882" i="121"/>
  <c r="S880" i="121"/>
  <c r="S878" i="121"/>
  <c r="S876" i="121"/>
  <c r="S874" i="121"/>
  <c r="S872" i="121"/>
  <c r="S870" i="121"/>
  <c r="S868" i="121"/>
  <c r="S866" i="121"/>
  <c r="S864" i="121"/>
  <c r="S862" i="121"/>
  <c r="S860" i="121"/>
  <c r="S858" i="121"/>
  <c r="S856" i="121"/>
  <c r="S854" i="121"/>
  <c r="S852" i="121"/>
  <c r="S850" i="121"/>
  <c r="S848" i="121"/>
  <c r="S846" i="121"/>
  <c r="S844" i="121"/>
  <c r="S842" i="121"/>
  <c r="S840" i="121"/>
  <c r="S838" i="121"/>
  <c r="S836" i="121"/>
  <c r="S834" i="121"/>
  <c r="S832" i="121"/>
  <c r="S830" i="121"/>
  <c r="S828" i="121"/>
  <c r="S826" i="121"/>
  <c r="S824" i="121"/>
  <c r="S822" i="121"/>
  <c r="S820" i="121"/>
  <c r="S818" i="121"/>
  <c r="S816" i="121"/>
  <c r="S814" i="121"/>
  <c r="S812" i="121"/>
  <c r="S944" i="121"/>
  <c r="S810" i="121"/>
  <c r="S808" i="121"/>
  <c r="S806" i="121"/>
  <c r="S804" i="121"/>
  <c r="S802" i="121"/>
  <c r="S800" i="121"/>
  <c r="S798" i="121"/>
  <c r="S796" i="121"/>
  <c r="S794" i="121"/>
  <c r="S792" i="121"/>
  <c r="S790" i="121"/>
  <c r="S788" i="121"/>
  <c r="S786" i="121"/>
  <c r="S784" i="121"/>
  <c r="S782" i="121"/>
  <c r="S780" i="121"/>
  <c r="S778" i="121"/>
  <c r="S776" i="121"/>
  <c r="S774" i="121"/>
  <c r="S772" i="121"/>
  <c r="S770" i="121"/>
  <c r="S768" i="121"/>
  <c r="S766" i="121"/>
  <c r="S764" i="121"/>
  <c r="S762" i="121"/>
  <c r="S760" i="121"/>
  <c r="S758" i="121"/>
  <c r="S756" i="121"/>
  <c r="S754" i="121"/>
  <c r="S752" i="121"/>
  <c r="S750" i="121"/>
  <c r="S748" i="121"/>
  <c r="S746" i="121"/>
  <c r="S744" i="121"/>
  <c r="S742" i="121"/>
  <c r="S740" i="121"/>
  <c r="S738" i="121"/>
  <c r="S736" i="121"/>
  <c r="S734" i="121"/>
  <c r="S732" i="121"/>
  <c r="S730" i="121"/>
  <c r="S728" i="121"/>
  <c r="S726" i="121"/>
  <c r="S724" i="121"/>
  <c r="S722" i="121"/>
  <c r="S720" i="121"/>
  <c r="S718" i="121"/>
  <c r="S716" i="121"/>
  <c r="S714" i="121"/>
  <c r="S712" i="121"/>
  <c r="S710" i="121"/>
  <c r="S708" i="121"/>
  <c r="S706" i="121"/>
  <c r="S809" i="121"/>
  <c r="S807" i="121"/>
  <c r="S805" i="121"/>
  <c r="S803" i="121"/>
  <c r="S801" i="121"/>
  <c r="S799" i="121"/>
  <c r="S797" i="121"/>
  <c r="S795" i="121"/>
  <c r="S793" i="121"/>
  <c r="S791" i="121"/>
  <c r="S789" i="121"/>
  <c r="S787" i="121"/>
  <c r="S785" i="121"/>
  <c r="S783" i="121"/>
  <c r="S781" i="121"/>
  <c r="S779" i="121"/>
  <c r="S777" i="121"/>
  <c r="S775" i="121"/>
  <c r="S773" i="121"/>
  <c r="S771" i="121"/>
  <c r="S769" i="121"/>
  <c r="S767" i="121"/>
  <c r="S765" i="121"/>
  <c r="S763" i="121"/>
  <c r="S761" i="121"/>
  <c r="S759" i="121"/>
  <c r="S757" i="121"/>
  <c r="S755" i="121"/>
  <c r="S753" i="121"/>
  <c r="S751" i="121"/>
  <c r="S749" i="121"/>
  <c r="S747" i="121"/>
  <c r="S745" i="121"/>
  <c r="S743" i="121"/>
  <c r="S741" i="121"/>
  <c r="S739" i="121"/>
  <c r="S737" i="121"/>
  <c r="S735" i="121"/>
  <c r="S733" i="121"/>
  <c r="S731" i="121"/>
  <c r="S729" i="121"/>
  <c r="S727" i="121"/>
  <c r="S725" i="121"/>
  <c r="S723" i="121"/>
  <c r="S721" i="121"/>
  <c r="S719" i="121"/>
  <c r="S717" i="121"/>
  <c r="S713" i="121"/>
  <c r="S709" i="121"/>
  <c r="S705" i="121"/>
  <c r="S704" i="121"/>
  <c r="S702" i="121"/>
  <c r="S700" i="121"/>
  <c r="S698" i="121"/>
  <c r="S696" i="121"/>
  <c r="S694" i="121"/>
  <c r="S692" i="121"/>
  <c r="S690" i="121"/>
  <c r="S688" i="121"/>
  <c r="S686" i="121"/>
  <c r="S684" i="121"/>
  <c r="S682" i="121"/>
  <c r="S680" i="121"/>
  <c r="S678" i="121"/>
  <c r="S676" i="121"/>
  <c r="S674" i="121"/>
  <c r="S672" i="121"/>
  <c r="S670" i="121"/>
  <c r="S668" i="121"/>
  <c r="S666" i="121"/>
  <c r="S664" i="121"/>
  <c r="S662" i="121"/>
  <c r="S660" i="121"/>
  <c r="S658" i="121"/>
  <c r="S656" i="121"/>
  <c r="S654" i="121"/>
  <c r="S652" i="121"/>
  <c r="S650" i="121"/>
  <c r="S648" i="121"/>
  <c r="S646" i="121"/>
  <c r="S644" i="121"/>
  <c r="S642" i="121"/>
  <c r="S640" i="121"/>
  <c r="S638" i="121"/>
  <c r="S636" i="121"/>
  <c r="S634" i="121"/>
  <c r="S632" i="121"/>
  <c r="S630" i="121"/>
  <c r="S628" i="121"/>
  <c r="S626" i="121"/>
  <c r="S624" i="121"/>
  <c r="S622" i="121"/>
  <c r="S620" i="121"/>
  <c r="S618" i="121"/>
  <c r="S616" i="121"/>
  <c r="S614" i="121"/>
  <c r="S612" i="121"/>
  <c r="S610" i="121"/>
  <c r="S608" i="121"/>
  <c r="S606" i="121"/>
  <c r="S604" i="121"/>
  <c r="S602" i="121"/>
  <c r="S600" i="121"/>
  <c r="S598" i="121"/>
  <c r="S596" i="121"/>
  <c r="S594" i="121"/>
  <c r="S592" i="121"/>
  <c r="S590" i="121"/>
  <c r="S715" i="121"/>
  <c r="S711" i="121"/>
  <c r="S707" i="121"/>
  <c r="S703" i="121"/>
  <c r="S701" i="121"/>
  <c r="S699" i="121"/>
  <c r="S697" i="121"/>
  <c r="S695" i="121"/>
  <c r="S693" i="121"/>
  <c r="S691" i="121"/>
  <c r="S689" i="121"/>
  <c r="S687" i="121"/>
  <c r="S685" i="121"/>
  <c r="S683" i="121"/>
  <c r="S681" i="121"/>
  <c r="S679" i="121"/>
  <c r="S677" i="121"/>
  <c r="S675" i="121"/>
  <c r="S673" i="121"/>
  <c r="S671" i="121"/>
  <c r="S669" i="121"/>
  <c r="S667" i="121"/>
  <c r="S665" i="121"/>
  <c r="S663" i="121"/>
  <c r="S661" i="121"/>
  <c r="S659" i="121"/>
  <c r="S657" i="121"/>
  <c r="S655" i="121"/>
  <c r="S653" i="121"/>
  <c r="S651" i="121"/>
  <c r="S649" i="121"/>
  <c r="S647" i="121"/>
  <c r="S645" i="121"/>
  <c r="S643" i="121"/>
  <c r="S641" i="121"/>
  <c r="S639" i="121"/>
  <c r="S637" i="121"/>
  <c r="S635" i="121"/>
  <c r="S633" i="121"/>
  <c r="S631" i="121"/>
  <c r="S629" i="121"/>
  <c r="S627" i="121"/>
  <c r="S625" i="121"/>
  <c r="S623" i="121"/>
  <c r="S621" i="121"/>
  <c r="S619" i="121"/>
  <c r="S617" i="121"/>
  <c r="S615" i="121"/>
  <c r="S613" i="121"/>
  <c r="S611" i="121"/>
  <c r="S609" i="121"/>
  <c r="S607" i="121"/>
  <c r="S605" i="121"/>
  <c r="S603" i="121"/>
  <c r="S601" i="121"/>
  <c r="S599" i="121"/>
  <c r="S597" i="121"/>
  <c r="S595" i="121"/>
  <c r="S593" i="121"/>
  <c r="S591" i="121"/>
  <c r="S589" i="121"/>
  <c r="S588" i="121"/>
  <c r="S586" i="121"/>
  <c r="S584" i="121"/>
  <c r="S582" i="121"/>
  <c r="S580" i="121"/>
  <c r="S578" i="121"/>
  <c r="S576" i="121"/>
  <c r="S574" i="121"/>
  <c r="S572" i="121"/>
  <c r="S570" i="121"/>
  <c r="S568" i="121"/>
  <c r="S566" i="121"/>
  <c r="S564" i="121"/>
  <c r="S562" i="121"/>
  <c r="S560" i="121"/>
  <c r="S558" i="121"/>
  <c r="S556" i="121"/>
  <c r="S554" i="121"/>
  <c r="S552" i="121"/>
  <c r="S550" i="121"/>
  <c r="S548" i="121"/>
  <c r="S546" i="121"/>
  <c r="S544" i="121"/>
  <c r="S542" i="121"/>
  <c r="S540" i="121"/>
  <c r="S538" i="121"/>
  <c r="S536" i="121"/>
  <c r="S534" i="121"/>
  <c r="S532" i="121"/>
  <c r="S530" i="121"/>
  <c r="S528" i="121"/>
  <c r="S526" i="121"/>
  <c r="S524" i="121"/>
  <c r="S522" i="121"/>
  <c r="S520" i="121"/>
  <c r="S518" i="121"/>
  <c r="S516" i="121"/>
  <c r="S514" i="121"/>
  <c r="S512" i="121"/>
  <c r="S510" i="121"/>
  <c r="S508" i="121"/>
  <c r="S506" i="121"/>
  <c r="S504" i="121"/>
  <c r="S502" i="121"/>
  <c r="S500" i="121"/>
  <c r="S498" i="121"/>
  <c r="S496" i="121"/>
  <c r="S494" i="121"/>
  <c r="S492" i="121"/>
  <c r="S490" i="121"/>
  <c r="S488" i="121"/>
  <c r="S486" i="121"/>
  <c r="S484" i="121"/>
  <c r="S482" i="121"/>
  <c r="S480" i="121"/>
  <c r="S478" i="121"/>
  <c r="S476" i="121"/>
  <c r="S474" i="121"/>
  <c r="S472" i="121"/>
  <c r="S470" i="121"/>
  <c r="S468" i="121"/>
  <c r="S466" i="121"/>
  <c r="S464" i="121"/>
  <c r="S462" i="121"/>
  <c r="S460" i="121"/>
  <c r="S458" i="121"/>
  <c r="S456" i="121"/>
  <c r="S454" i="121"/>
  <c r="S452" i="121"/>
  <c r="S450" i="121"/>
  <c r="S448" i="121"/>
  <c r="S446" i="121"/>
  <c r="S444" i="121"/>
  <c r="S442" i="121"/>
  <c r="S587" i="121"/>
  <c r="S585" i="121"/>
  <c r="S583" i="121"/>
  <c r="S581" i="121"/>
  <c r="S579" i="121"/>
  <c r="S577" i="121"/>
  <c r="S575" i="121"/>
  <c r="S573" i="121"/>
  <c r="S571" i="121"/>
  <c r="S569" i="121"/>
  <c r="S567" i="121"/>
  <c r="S565" i="121"/>
  <c r="S563" i="121"/>
  <c r="S561" i="121"/>
  <c r="S559" i="121"/>
  <c r="S557" i="121"/>
  <c r="S555" i="121"/>
  <c r="S553" i="121"/>
  <c r="S551" i="121"/>
  <c r="S549" i="121"/>
  <c r="S547" i="121"/>
  <c r="S545" i="121"/>
  <c r="S543" i="121"/>
  <c r="S541" i="121"/>
  <c r="S539" i="121"/>
  <c r="S537" i="121"/>
  <c r="S535" i="121"/>
  <c r="S533" i="121"/>
  <c r="S531" i="121"/>
  <c r="S529" i="121"/>
  <c r="S527" i="121"/>
  <c r="S525" i="121"/>
  <c r="S523" i="121"/>
  <c r="S521" i="121"/>
  <c r="S519" i="121"/>
  <c r="S517" i="121"/>
  <c r="S515" i="121"/>
  <c r="S513" i="121"/>
  <c r="S511" i="121"/>
  <c r="S509" i="121"/>
  <c r="S507" i="121"/>
  <c r="S505" i="121"/>
  <c r="S503" i="121"/>
  <c r="S501" i="121"/>
  <c r="S499" i="121"/>
  <c r="S497" i="121"/>
  <c r="S495" i="121"/>
  <c r="S493" i="121"/>
  <c r="S491" i="121"/>
  <c r="S489" i="121"/>
  <c r="S487" i="121"/>
  <c r="S485" i="121"/>
  <c r="S483" i="121"/>
  <c r="S481" i="121"/>
  <c r="S479" i="121"/>
  <c r="S477" i="121"/>
  <c r="S475" i="121"/>
  <c r="S473" i="121"/>
  <c r="S471" i="121"/>
  <c r="S469" i="121"/>
  <c r="S467" i="121"/>
  <c r="S465" i="121"/>
  <c r="S463" i="121"/>
  <c r="S461" i="121"/>
  <c r="S459" i="121"/>
  <c r="S457" i="121"/>
  <c r="S455" i="121"/>
  <c r="S453" i="121"/>
  <c r="S451" i="121"/>
  <c r="S449" i="121"/>
  <c r="S447" i="121"/>
  <c r="S445" i="121"/>
  <c r="S443" i="121"/>
  <c r="S441" i="121"/>
  <c r="S440" i="121"/>
  <c r="S438" i="121"/>
  <c r="S436" i="121"/>
  <c r="S434" i="121"/>
  <c r="S432" i="121"/>
  <c r="S430" i="121"/>
  <c r="S428" i="121"/>
  <c r="S426" i="121"/>
  <c r="S424" i="121"/>
  <c r="S422" i="121"/>
  <c r="S420" i="121"/>
  <c r="S418" i="121"/>
  <c r="S416" i="121"/>
  <c r="S414" i="121"/>
  <c r="S412" i="121"/>
  <c r="S410" i="121"/>
  <c r="S408" i="121"/>
  <c r="S406" i="121"/>
  <c r="S404" i="121"/>
  <c r="S402" i="121"/>
  <c r="S400" i="121"/>
  <c r="S398" i="121"/>
  <c r="S396" i="121"/>
  <c r="S394" i="121"/>
  <c r="S392" i="121"/>
  <c r="S390" i="121"/>
  <c r="S388" i="121"/>
  <c r="S386" i="121"/>
  <c r="S384" i="121"/>
  <c r="S382" i="121"/>
  <c r="S380" i="121"/>
  <c r="S378" i="121"/>
  <c r="S376" i="121"/>
  <c r="S374" i="121"/>
  <c r="S372" i="121"/>
  <c r="S370" i="121"/>
  <c r="S368" i="121"/>
  <c r="S366" i="121"/>
  <c r="S364" i="121"/>
  <c r="S362" i="121"/>
  <c r="S360" i="121"/>
  <c r="S358" i="121"/>
  <c r="S356" i="121"/>
  <c r="S354" i="121"/>
  <c r="S352" i="121"/>
  <c r="S350" i="121"/>
  <c r="S348" i="121"/>
  <c r="S346" i="121"/>
  <c r="S344" i="121"/>
  <c r="S342" i="121"/>
  <c r="S340" i="121"/>
  <c r="S338" i="121"/>
  <c r="S336" i="121"/>
  <c r="S334" i="121"/>
  <c r="S332" i="121"/>
  <c r="S330" i="121"/>
  <c r="S328" i="121"/>
  <c r="S326" i="121"/>
  <c r="S324" i="121"/>
  <c r="S322" i="121"/>
  <c r="S320" i="121"/>
  <c r="S318" i="121"/>
  <c r="S316" i="121"/>
  <c r="S314" i="121"/>
  <c r="S312" i="121"/>
  <c r="S310" i="121"/>
  <c r="S308" i="121"/>
  <c r="S306" i="121"/>
  <c r="S304" i="121"/>
  <c r="S302" i="121"/>
  <c r="S300" i="121"/>
  <c r="S298" i="121"/>
  <c r="S296" i="121"/>
  <c r="S294" i="121"/>
  <c r="S292" i="121"/>
  <c r="S290" i="121"/>
  <c r="S288" i="121"/>
  <c r="S286" i="121"/>
  <c r="S284" i="121"/>
  <c r="S282" i="121"/>
  <c r="S280" i="121"/>
  <c r="S278" i="121"/>
  <c r="S276" i="121"/>
  <c r="S274" i="121"/>
  <c r="S272" i="121"/>
  <c r="S270" i="121"/>
  <c r="S268" i="121"/>
  <c r="S266" i="121"/>
  <c r="S264" i="121"/>
  <c r="S262" i="121"/>
  <c r="S260" i="121"/>
  <c r="S258" i="121"/>
  <c r="S256" i="121"/>
  <c r="S254" i="121"/>
  <c r="S252" i="121"/>
  <c r="S250" i="121"/>
  <c r="S248" i="121"/>
  <c r="S246" i="121"/>
  <c r="S244" i="121"/>
  <c r="S242" i="121"/>
  <c r="S240" i="121"/>
  <c r="S238" i="121"/>
  <c r="S236" i="121"/>
  <c r="S234" i="121"/>
  <c r="S232" i="121"/>
  <c r="S230" i="121"/>
  <c r="S228" i="121"/>
  <c r="S226" i="121"/>
  <c r="S224" i="121"/>
  <c r="S222" i="121"/>
  <c r="S220" i="121"/>
  <c r="S218" i="121"/>
  <c r="S216" i="121"/>
  <c r="S214" i="121"/>
  <c r="S212" i="121"/>
  <c r="S210" i="121"/>
  <c r="S208" i="121"/>
  <c r="S206" i="121"/>
  <c r="S204" i="121"/>
  <c r="S202" i="121"/>
  <c r="S200" i="121"/>
  <c r="S198" i="121"/>
  <c r="S196" i="121"/>
  <c r="S439" i="121"/>
  <c r="S437" i="121"/>
  <c r="S435" i="121"/>
  <c r="S433" i="121"/>
  <c r="S431" i="121"/>
  <c r="S429" i="121"/>
  <c r="S427" i="121"/>
  <c r="S425" i="121"/>
  <c r="S423" i="121"/>
  <c r="S421" i="121"/>
  <c r="S419" i="121"/>
  <c r="S417" i="121"/>
  <c r="S415" i="121"/>
  <c r="S413" i="121"/>
  <c r="S411" i="121"/>
  <c r="S409" i="121"/>
  <c r="S407" i="121"/>
  <c r="S405" i="121"/>
  <c r="S403" i="121"/>
  <c r="S401" i="121"/>
  <c r="S399" i="121"/>
  <c r="S397" i="121"/>
  <c r="S395" i="121"/>
  <c r="S393" i="121"/>
  <c r="S391" i="121"/>
  <c r="S389" i="121"/>
  <c r="S387" i="121"/>
  <c r="S385" i="121"/>
  <c r="S383" i="121"/>
  <c r="S381" i="121"/>
  <c r="S379" i="121"/>
  <c r="S377" i="121"/>
  <c r="S375" i="121"/>
  <c r="S373" i="121"/>
  <c r="S371" i="121"/>
  <c r="S369" i="121"/>
  <c r="S367" i="121"/>
  <c r="S365" i="121"/>
  <c r="S363" i="121"/>
  <c r="S361" i="121"/>
  <c r="S359" i="121"/>
  <c r="S357" i="121"/>
  <c r="S355" i="121"/>
  <c r="S353" i="121"/>
  <c r="S351" i="121"/>
  <c r="S349" i="121"/>
  <c r="S347" i="121"/>
  <c r="S345" i="121"/>
  <c r="S343" i="121"/>
  <c r="S341" i="121"/>
  <c r="S339" i="121"/>
  <c r="S337" i="121"/>
  <c r="S335" i="121"/>
  <c r="S333" i="121"/>
  <c r="S331" i="121"/>
  <c r="S329" i="121"/>
  <c r="S327" i="121"/>
  <c r="S325" i="121"/>
  <c r="S323" i="121"/>
  <c r="S321" i="121"/>
  <c r="S319" i="121"/>
  <c r="S317" i="121"/>
  <c r="S315" i="121"/>
  <c r="S313" i="121"/>
  <c r="S311" i="121"/>
  <c r="S309" i="121"/>
  <c r="S307" i="121"/>
  <c r="S305" i="121"/>
  <c r="S303" i="121"/>
  <c r="S301" i="121"/>
  <c r="S299" i="121"/>
  <c r="S297" i="121"/>
  <c r="S295" i="121"/>
  <c r="S293" i="121"/>
  <c r="S291" i="121"/>
  <c r="S289" i="121"/>
  <c r="S287" i="121"/>
  <c r="S285" i="121"/>
  <c r="S283" i="121"/>
  <c r="S281" i="121"/>
  <c r="S279" i="121"/>
  <c r="S277" i="121"/>
  <c r="S275" i="121"/>
  <c r="S273" i="121"/>
  <c r="S271" i="121"/>
  <c r="S269" i="121"/>
  <c r="S267" i="121"/>
  <c r="S265" i="121"/>
  <c r="S263" i="121"/>
  <c r="S261" i="121"/>
  <c r="S259" i="121"/>
  <c r="S257" i="121"/>
  <c r="S255" i="121"/>
  <c r="S253" i="121"/>
  <c r="S251" i="121"/>
  <c r="S249" i="121"/>
  <c r="S247" i="121"/>
  <c r="S245" i="121"/>
  <c r="S243" i="121"/>
  <c r="S241" i="121"/>
  <c r="S239" i="121"/>
  <c r="S237" i="121"/>
  <c r="S235" i="121"/>
  <c r="S233" i="121"/>
  <c r="S231" i="121"/>
  <c r="S229" i="121"/>
  <c r="S227" i="121"/>
  <c r="S225" i="121"/>
  <c r="S223" i="121"/>
  <c r="S221" i="121"/>
  <c r="S219" i="121"/>
  <c r="S217" i="121"/>
  <c r="S215" i="121"/>
  <c r="S213" i="121"/>
  <c r="S209" i="121"/>
  <c r="S201" i="121"/>
  <c r="S211" i="121"/>
  <c r="S203" i="121"/>
  <c r="S195" i="121"/>
  <c r="S194" i="121"/>
  <c r="S192" i="121"/>
  <c r="S190" i="121"/>
  <c r="S188" i="121"/>
  <c r="S186" i="121"/>
  <c r="S184" i="121"/>
  <c r="S182" i="121"/>
  <c r="S180" i="121"/>
  <c r="S178" i="121"/>
  <c r="S176" i="121"/>
  <c r="S174" i="121"/>
  <c r="S172" i="121"/>
  <c r="S170" i="121"/>
  <c r="S168" i="121"/>
  <c r="S166" i="121"/>
  <c r="S164" i="121"/>
  <c r="S162" i="121"/>
  <c r="S160" i="121"/>
  <c r="S158" i="121"/>
  <c r="S156" i="121"/>
  <c r="S154" i="121"/>
  <c r="S152" i="121"/>
  <c r="S150" i="121"/>
  <c r="S148" i="121"/>
  <c r="S146" i="121"/>
  <c r="S144" i="121"/>
  <c r="S142" i="121"/>
  <c r="S140" i="121"/>
  <c r="S138" i="121"/>
  <c r="S136" i="121"/>
  <c r="S134" i="121"/>
  <c r="S132" i="121"/>
  <c r="S130" i="121"/>
  <c r="S128" i="121"/>
  <c r="S126" i="121"/>
  <c r="S124" i="121"/>
  <c r="S122" i="121"/>
  <c r="S120" i="121"/>
  <c r="S118" i="121"/>
  <c r="S116" i="121"/>
  <c r="S114" i="121"/>
  <c r="S112" i="121"/>
  <c r="S110" i="121"/>
  <c r="S108" i="121"/>
  <c r="S106" i="121"/>
  <c r="S104" i="121"/>
  <c r="S102" i="121"/>
  <c r="S100" i="121"/>
  <c r="S98" i="121"/>
  <c r="S96" i="121"/>
  <c r="S94" i="121"/>
  <c r="S92" i="121"/>
  <c r="S90" i="121"/>
  <c r="S88" i="121"/>
  <c r="S86" i="121"/>
  <c r="S84" i="121"/>
  <c r="S82" i="121"/>
  <c r="S80" i="121"/>
  <c r="S78" i="121"/>
  <c r="S76" i="121"/>
  <c r="S74" i="121"/>
  <c r="S72" i="121"/>
  <c r="S70" i="121"/>
  <c r="S68" i="121"/>
  <c r="S66" i="121"/>
  <c r="S64" i="121"/>
  <c r="S62" i="121"/>
  <c r="S60" i="121"/>
  <c r="S58" i="121"/>
  <c r="S56" i="121"/>
  <c r="S54" i="121"/>
  <c r="S52" i="121"/>
  <c r="S50" i="121"/>
  <c r="S48" i="121"/>
  <c r="S46" i="121"/>
  <c r="S44" i="121"/>
  <c r="S42" i="121"/>
  <c r="S40" i="121"/>
  <c r="S38" i="121"/>
  <c r="S36" i="121"/>
  <c r="B41" i="102" s="1"/>
  <c r="S34" i="121"/>
  <c r="B39" i="102" s="1"/>
  <c r="S32" i="121"/>
  <c r="B37" i="102" s="1"/>
  <c r="S30" i="121"/>
  <c r="B35" i="102" s="1"/>
  <c r="S28" i="121"/>
  <c r="B33" i="102" s="1"/>
  <c r="S26" i="121"/>
  <c r="B31" i="102" s="1"/>
  <c r="S24" i="121"/>
  <c r="B29" i="102" s="1"/>
  <c r="S22" i="121"/>
  <c r="B27" i="102" s="1"/>
  <c r="S20" i="121"/>
  <c r="B25" i="102" s="1"/>
  <c r="S18" i="121"/>
  <c r="B23" i="102" s="1"/>
  <c r="S16" i="121"/>
  <c r="B21" i="102" s="1"/>
  <c r="S14" i="121"/>
  <c r="B19" i="102" s="1"/>
  <c r="S12" i="121"/>
  <c r="B17" i="102" s="1"/>
  <c r="S10" i="121"/>
  <c r="B15" i="102" s="1"/>
  <c r="S8" i="121"/>
  <c r="B13" i="102" s="1"/>
  <c r="S6" i="121"/>
  <c r="B11" i="102" s="1"/>
  <c r="S4" i="121"/>
  <c r="B9" i="102" s="1"/>
  <c r="S205" i="121"/>
  <c r="S197" i="121"/>
  <c r="S207" i="121"/>
  <c r="S199" i="121"/>
  <c r="S193" i="121"/>
  <c r="S191" i="121"/>
  <c r="S189" i="121"/>
  <c r="S187" i="121"/>
  <c r="S185" i="121"/>
  <c r="S183" i="121"/>
  <c r="S181" i="121"/>
  <c r="S179" i="121"/>
  <c r="S177" i="121"/>
  <c r="S175" i="121"/>
  <c r="S173" i="121"/>
  <c r="S171" i="121"/>
  <c r="S169" i="121"/>
  <c r="S167" i="121"/>
  <c r="S165" i="121"/>
  <c r="S163" i="121"/>
  <c r="S161" i="121"/>
  <c r="S159" i="121"/>
  <c r="S157" i="121"/>
  <c r="S155" i="121"/>
  <c r="S153" i="121"/>
  <c r="S151" i="121"/>
  <c r="S149" i="121"/>
  <c r="S147" i="121"/>
  <c r="S145" i="121"/>
  <c r="S143" i="121"/>
  <c r="S141" i="121"/>
  <c r="S139" i="121"/>
  <c r="S137" i="121"/>
  <c r="S135" i="121"/>
  <c r="S133" i="121"/>
  <c r="S131" i="121"/>
  <c r="S129" i="121"/>
  <c r="S127" i="121"/>
  <c r="S125" i="121"/>
  <c r="S123" i="121"/>
  <c r="S121" i="121"/>
  <c r="S119" i="121"/>
  <c r="S117" i="121"/>
  <c r="S115" i="121"/>
  <c r="S113" i="121"/>
  <c r="S111" i="121"/>
  <c r="S109" i="121"/>
  <c r="S107" i="121"/>
  <c r="S105" i="121"/>
  <c r="S103" i="121"/>
  <c r="S101" i="121"/>
  <c r="S99" i="121"/>
  <c r="S97" i="121"/>
  <c r="S95" i="121"/>
  <c r="S93" i="121"/>
  <c r="S91" i="121"/>
  <c r="S89" i="121"/>
  <c r="S87" i="121"/>
  <c r="S85" i="121"/>
  <c r="S83" i="121"/>
  <c r="S81" i="121"/>
  <c r="S79" i="121"/>
  <c r="S77" i="121"/>
  <c r="S75" i="121"/>
  <c r="S73" i="121"/>
  <c r="S71" i="121"/>
  <c r="S69" i="121"/>
  <c r="S67" i="121"/>
  <c r="S65" i="121"/>
  <c r="S63" i="121"/>
  <c r="S61" i="121"/>
  <c r="S59" i="121"/>
  <c r="S57" i="121"/>
  <c r="S55" i="121"/>
  <c r="S53" i="121"/>
  <c r="S51" i="121"/>
  <c r="S49" i="121"/>
  <c r="S47" i="121"/>
  <c r="S45" i="121"/>
  <c r="S43" i="121"/>
  <c r="S41" i="121"/>
  <c r="S39" i="121"/>
  <c r="S37" i="121"/>
  <c r="B42" i="102" s="1"/>
  <c r="S35" i="121"/>
  <c r="B40" i="102" s="1"/>
  <c r="S33" i="121"/>
  <c r="B38" i="102" s="1"/>
  <c r="S31" i="121"/>
  <c r="B36" i="102" s="1"/>
  <c r="S29" i="121"/>
  <c r="B34" i="102" s="1"/>
  <c r="S27" i="121"/>
  <c r="B32" i="102" s="1"/>
  <c r="S25" i="121"/>
  <c r="B30" i="102" s="1"/>
  <c r="S23" i="121"/>
  <c r="B28" i="102" s="1"/>
  <c r="S21" i="121"/>
  <c r="B26" i="102" s="1"/>
  <c r="S19" i="121"/>
  <c r="B24" i="102" s="1"/>
  <c r="S17" i="121"/>
  <c r="B22" i="102" s="1"/>
  <c r="S15" i="121"/>
  <c r="B20" i="102" s="1"/>
  <c r="S13" i="121"/>
  <c r="B18" i="102" s="1"/>
  <c r="S11" i="121"/>
  <c r="B16" i="102" s="1"/>
  <c r="S9" i="121"/>
  <c r="B14" i="102" s="1"/>
  <c r="S7" i="121"/>
  <c r="B12" i="102" s="1"/>
  <c r="S5" i="121"/>
  <c r="B10" i="102" s="1"/>
  <c r="S3" i="121"/>
  <c r="B8" i="102" s="1"/>
  <c r="K1000" i="121"/>
  <c r="L1000" i="121" s="1"/>
  <c r="K998" i="121"/>
  <c r="L998" i="121" s="1"/>
  <c r="K996" i="121"/>
  <c r="L996" i="121" s="1"/>
  <c r="K994" i="121"/>
  <c r="L994" i="121" s="1"/>
  <c r="K992" i="121"/>
  <c r="L992" i="121" s="1"/>
  <c r="K990" i="121"/>
  <c r="L990" i="121" s="1"/>
  <c r="K988" i="121"/>
  <c r="L988" i="121" s="1"/>
  <c r="K986" i="121"/>
  <c r="L986" i="121" s="1"/>
  <c r="K984" i="121"/>
  <c r="L984" i="121" s="1"/>
  <c r="K982" i="121"/>
  <c r="L982" i="121" s="1"/>
  <c r="K980" i="121"/>
  <c r="L980" i="121" s="1"/>
  <c r="K978" i="121"/>
  <c r="L978" i="121" s="1"/>
  <c r="K976" i="121"/>
  <c r="L976" i="121" s="1"/>
  <c r="K974" i="121"/>
  <c r="L974" i="121" s="1"/>
  <c r="K972" i="121"/>
  <c r="L972" i="121" s="1"/>
  <c r="K970" i="121"/>
  <c r="L970" i="121" s="1"/>
  <c r="K968" i="121"/>
  <c r="L968" i="121" s="1"/>
  <c r="K966" i="121"/>
  <c r="L966" i="121" s="1"/>
  <c r="K964" i="121"/>
  <c r="L964" i="121" s="1"/>
  <c r="K962" i="121"/>
  <c r="L962" i="121" s="1"/>
  <c r="K960" i="121"/>
  <c r="L960" i="121" s="1"/>
  <c r="K958" i="121"/>
  <c r="L958" i="121" s="1"/>
  <c r="K956" i="121"/>
  <c r="L956" i="121" s="1"/>
  <c r="K954" i="121"/>
  <c r="L954" i="121" s="1"/>
  <c r="K952" i="121"/>
  <c r="L952" i="121" s="1"/>
  <c r="K950" i="121"/>
  <c r="L950" i="121" s="1"/>
  <c r="K948" i="121"/>
  <c r="L948" i="121" s="1"/>
  <c r="K999" i="121"/>
  <c r="L999" i="121" s="1"/>
  <c r="K997" i="121"/>
  <c r="L997" i="121" s="1"/>
  <c r="K995" i="121"/>
  <c r="L995" i="121" s="1"/>
  <c r="K993" i="121"/>
  <c r="L993" i="121" s="1"/>
  <c r="K991" i="121"/>
  <c r="L991" i="121" s="1"/>
  <c r="K989" i="121"/>
  <c r="L989" i="121" s="1"/>
  <c r="K987" i="121"/>
  <c r="L987" i="121" s="1"/>
  <c r="K985" i="121"/>
  <c r="L985" i="121" s="1"/>
  <c r="K983" i="121"/>
  <c r="L983" i="121" s="1"/>
  <c r="K981" i="121"/>
  <c r="L981" i="121" s="1"/>
  <c r="K979" i="121"/>
  <c r="L979" i="121" s="1"/>
  <c r="K977" i="121"/>
  <c r="L977" i="121" s="1"/>
  <c r="K975" i="121"/>
  <c r="L975" i="121" s="1"/>
  <c r="K973" i="121"/>
  <c r="L973" i="121" s="1"/>
  <c r="K971" i="121"/>
  <c r="L971" i="121" s="1"/>
  <c r="K969" i="121"/>
  <c r="L969" i="121" s="1"/>
  <c r="K967" i="121"/>
  <c r="L967" i="121" s="1"/>
  <c r="K965" i="121"/>
  <c r="L965" i="121" s="1"/>
  <c r="K963" i="121"/>
  <c r="L963" i="121" s="1"/>
  <c r="K961" i="121"/>
  <c r="L961" i="121" s="1"/>
  <c r="K959" i="121"/>
  <c r="L959" i="121" s="1"/>
  <c r="K957" i="121"/>
  <c r="L957" i="121" s="1"/>
  <c r="K955" i="121"/>
  <c r="L955" i="121" s="1"/>
  <c r="K953" i="121"/>
  <c r="L953" i="121" s="1"/>
  <c r="K951" i="121"/>
  <c r="L951" i="121" s="1"/>
  <c r="K949" i="121"/>
  <c r="L949" i="121" s="1"/>
  <c r="K947" i="121"/>
  <c r="L947" i="121" s="1"/>
  <c r="K946" i="121"/>
  <c r="L946" i="121" s="1"/>
  <c r="K943" i="121"/>
  <c r="L943" i="121" s="1"/>
  <c r="K941" i="121"/>
  <c r="L941" i="121" s="1"/>
  <c r="K939" i="121"/>
  <c r="L939" i="121" s="1"/>
  <c r="K937" i="121"/>
  <c r="L937" i="121" s="1"/>
  <c r="K935" i="121"/>
  <c r="L935" i="121" s="1"/>
  <c r="K933" i="121"/>
  <c r="L933" i="121" s="1"/>
  <c r="K931" i="121"/>
  <c r="L931" i="121" s="1"/>
  <c r="K929" i="121"/>
  <c r="L929" i="121" s="1"/>
  <c r="K927" i="121"/>
  <c r="L927" i="121" s="1"/>
  <c r="K925" i="121"/>
  <c r="L925" i="121" s="1"/>
  <c r="K923" i="121"/>
  <c r="L923" i="121" s="1"/>
  <c r="K921" i="121"/>
  <c r="L921" i="121" s="1"/>
  <c r="K919" i="121"/>
  <c r="L919" i="121" s="1"/>
  <c r="K917" i="121"/>
  <c r="L917" i="121" s="1"/>
  <c r="K915" i="121"/>
  <c r="L915" i="121" s="1"/>
  <c r="K913" i="121"/>
  <c r="L913" i="121" s="1"/>
  <c r="K911" i="121"/>
  <c r="L911" i="121" s="1"/>
  <c r="K909" i="121"/>
  <c r="L909" i="121" s="1"/>
  <c r="K907" i="121"/>
  <c r="L907" i="121" s="1"/>
  <c r="K905" i="121"/>
  <c r="L905" i="121" s="1"/>
  <c r="K903" i="121"/>
  <c r="L903" i="121" s="1"/>
  <c r="K901" i="121"/>
  <c r="L901" i="121" s="1"/>
  <c r="K899" i="121"/>
  <c r="L899" i="121" s="1"/>
  <c r="K897" i="121"/>
  <c r="L897" i="121" s="1"/>
  <c r="K895" i="121"/>
  <c r="L895" i="121" s="1"/>
  <c r="K893" i="121"/>
  <c r="L893" i="121" s="1"/>
  <c r="K891" i="121"/>
  <c r="L891" i="121" s="1"/>
  <c r="K889" i="121"/>
  <c r="L889" i="121" s="1"/>
  <c r="K887" i="121"/>
  <c r="L887" i="121" s="1"/>
  <c r="K885" i="121"/>
  <c r="L885" i="121" s="1"/>
  <c r="K883" i="121"/>
  <c r="L883" i="121" s="1"/>
  <c r="K881" i="121"/>
  <c r="L881" i="121" s="1"/>
  <c r="K879" i="121"/>
  <c r="L879" i="121" s="1"/>
  <c r="K877" i="121"/>
  <c r="L877" i="121" s="1"/>
  <c r="K875" i="121"/>
  <c r="L875" i="121" s="1"/>
  <c r="K873" i="121"/>
  <c r="L873" i="121" s="1"/>
  <c r="K871" i="121"/>
  <c r="L871" i="121" s="1"/>
  <c r="K869" i="121"/>
  <c r="L869" i="121" s="1"/>
  <c r="K867" i="121"/>
  <c r="L867" i="121" s="1"/>
  <c r="K865" i="121"/>
  <c r="L865" i="121" s="1"/>
  <c r="K863" i="121"/>
  <c r="L863" i="121" s="1"/>
  <c r="K861" i="121"/>
  <c r="L861" i="121" s="1"/>
  <c r="K859" i="121"/>
  <c r="L859" i="121" s="1"/>
  <c r="K857" i="121"/>
  <c r="L857" i="121" s="1"/>
  <c r="K855" i="121"/>
  <c r="L855" i="121" s="1"/>
  <c r="K853" i="121"/>
  <c r="L853" i="121" s="1"/>
  <c r="K851" i="121"/>
  <c r="L851" i="121" s="1"/>
  <c r="K849" i="121"/>
  <c r="L849" i="121" s="1"/>
  <c r="K847" i="121"/>
  <c r="L847" i="121" s="1"/>
  <c r="K845" i="121"/>
  <c r="L845" i="121" s="1"/>
  <c r="K843" i="121"/>
  <c r="L843" i="121" s="1"/>
  <c r="K841" i="121"/>
  <c r="L841" i="121" s="1"/>
  <c r="K839" i="121"/>
  <c r="L839" i="121" s="1"/>
  <c r="K837" i="121"/>
  <c r="L837" i="121" s="1"/>
  <c r="K835" i="121"/>
  <c r="L835" i="121" s="1"/>
  <c r="K833" i="121"/>
  <c r="L833" i="121" s="1"/>
  <c r="K831" i="121"/>
  <c r="L831" i="121" s="1"/>
  <c r="K829" i="121"/>
  <c r="L829" i="121" s="1"/>
  <c r="K827" i="121"/>
  <c r="L827" i="121" s="1"/>
  <c r="K825" i="121"/>
  <c r="L825" i="121" s="1"/>
  <c r="K823" i="121"/>
  <c r="L823" i="121" s="1"/>
  <c r="K821" i="121"/>
  <c r="L821" i="121" s="1"/>
  <c r="K819" i="121"/>
  <c r="L819" i="121" s="1"/>
  <c r="K817" i="121"/>
  <c r="L817" i="121" s="1"/>
  <c r="K815" i="121"/>
  <c r="L815" i="121" s="1"/>
  <c r="K813" i="121"/>
  <c r="L813" i="121" s="1"/>
  <c r="K811" i="121"/>
  <c r="L811" i="121" s="1"/>
  <c r="K945" i="121"/>
  <c r="L945" i="121" s="1"/>
  <c r="K944" i="121"/>
  <c r="L944" i="121" s="1"/>
  <c r="K942" i="121"/>
  <c r="L942" i="121" s="1"/>
  <c r="K940" i="121"/>
  <c r="L940" i="121" s="1"/>
  <c r="K938" i="121"/>
  <c r="L938" i="121" s="1"/>
  <c r="K936" i="121"/>
  <c r="L936" i="121" s="1"/>
  <c r="K934" i="121"/>
  <c r="L934" i="121" s="1"/>
  <c r="K932" i="121"/>
  <c r="L932" i="121" s="1"/>
  <c r="K930" i="121"/>
  <c r="L930" i="121" s="1"/>
  <c r="K928" i="121"/>
  <c r="L928" i="121" s="1"/>
  <c r="K926" i="121"/>
  <c r="L926" i="121" s="1"/>
  <c r="K924" i="121"/>
  <c r="L924" i="121" s="1"/>
  <c r="K922" i="121"/>
  <c r="L922" i="121" s="1"/>
  <c r="K920" i="121"/>
  <c r="L920" i="121" s="1"/>
  <c r="K918" i="121"/>
  <c r="L918" i="121" s="1"/>
  <c r="K916" i="121"/>
  <c r="L916" i="121" s="1"/>
  <c r="K914" i="121"/>
  <c r="L914" i="121" s="1"/>
  <c r="K912" i="121"/>
  <c r="L912" i="121" s="1"/>
  <c r="K910" i="121"/>
  <c r="L910" i="121" s="1"/>
  <c r="K908" i="121"/>
  <c r="L908" i="121" s="1"/>
  <c r="K906" i="121"/>
  <c r="L906" i="121" s="1"/>
  <c r="K904" i="121"/>
  <c r="L904" i="121" s="1"/>
  <c r="K902" i="121"/>
  <c r="L902" i="121" s="1"/>
  <c r="K900" i="121"/>
  <c r="L900" i="121" s="1"/>
  <c r="K898" i="121"/>
  <c r="L898" i="121" s="1"/>
  <c r="K896" i="121"/>
  <c r="L896" i="121" s="1"/>
  <c r="K894" i="121"/>
  <c r="L894" i="121" s="1"/>
  <c r="K892" i="121"/>
  <c r="L892" i="121" s="1"/>
  <c r="K890" i="121"/>
  <c r="L890" i="121" s="1"/>
  <c r="K888" i="121"/>
  <c r="L888" i="121" s="1"/>
  <c r="K886" i="121"/>
  <c r="L886" i="121" s="1"/>
  <c r="K884" i="121"/>
  <c r="L884" i="121" s="1"/>
  <c r="K882" i="121"/>
  <c r="L882" i="121" s="1"/>
  <c r="K880" i="121"/>
  <c r="L880" i="121" s="1"/>
  <c r="K878" i="121"/>
  <c r="L878" i="121" s="1"/>
  <c r="K876" i="121"/>
  <c r="L876" i="121" s="1"/>
  <c r="K874" i="121"/>
  <c r="L874" i="121" s="1"/>
  <c r="K872" i="121"/>
  <c r="L872" i="121" s="1"/>
  <c r="K870" i="121"/>
  <c r="L870" i="121" s="1"/>
  <c r="K868" i="121"/>
  <c r="L868" i="121" s="1"/>
  <c r="K866" i="121"/>
  <c r="L866" i="121" s="1"/>
  <c r="K864" i="121"/>
  <c r="L864" i="121" s="1"/>
  <c r="K862" i="121"/>
  <c r="L862" i="121" s="1"/>
  <c r="K860" i="121"/>
  <c r="L860" i="121" s="1"/>
  <c r="K858" i="121"/>
  <c r="L858" i="121" s="1"/>
  <c r="K856" i="121"/>
  <c r="L856" i="121" s="1"/>
  <c r="K854" i="121"/>
  <c r="L854" i="121" s="1"/>
  <c r="K852" i="121"/>
  <c r="L852" i="121" s="1"/>
  <c r="K850" i="121"/>
  <c r="L850" i="121" s="1"/>
  <c r="K848" i="121"/>
  <c r="L848" i="121" s="1"/>
  <c r="K846" i="121"/>
  <c r="L846" i="121" s="1"/>
  <c r="K844" i="121"/>
  <c r="L844" i="121" s="1"/>
  <c r="K842" i="121"/>
  <c r="L842" i="121" s="1"/>
  <c r="K840" i="121"/>
  <c r="L840" i="121" s="1"/>
  <c r="K838" i="121"/>
  <c r="L838" i="121" s="1"/>
  <c r="K836" i="121"/>
  <c r="L836" i="121" s="1"/>
  <c r="K834" i="121"/>
  <c r="L834" i="121" s="1"/>
  <c r="K832" i="121"/>
  <c r="L832" i="121" s="1"/>
  <c r="K830" i="121"/>
  <c r="L830" i="121" s="1"/>
  <c r="K828" i="121"/>
  <c r="L828" i="121" s="1"/>
  <c r="K826" i="121"/>
  <c r="L826" i="121" s="1"/>
  <c r="K824" i="121"/>
  <c r="L824" i="121" s="1"/>
  <c r="K822" i="121"/>
  <c r="L822" i="121" s="1"/>
  <c r="K820" i="121"/>
  <c r="L820" i="121" s="1"/>
  <c r="K818" i="121"/>
  <c r="L818" i="121" s="1"/>
  <c r="K816" i="121"/>
  <c r="L816" i="121" s="1"/>
  <c r="K814" i="121"/>
  <c r="L814" i="121" s="1"/>
  <c r="K812" i="121"/>
  <c r="L812" i="121" s="1"/>
  <c r="K810" i="121"/>
  <c r="L810" i="121" s="1"/>
  <c r="K809" i="121"/>
  <c r="L809" i="121" s="1"/>
  <c r="K806" i="121"/>
  <c r="L806" i="121" s="1"/>
  <c r="K804" i="121"/>
  <c r="L804" i="121" s="1"/>
  <c r="K802" i="121"/>
  <c r="L802" i="121" s="1"/>
  <c r="K800" i="121"/>
  <c r="L800" i="121" s="1"/>
  <c r="K798" i="121"/>
  <c r="L798" i="121" s="1"/>
  <c r="K796" i="121"/>
  <c r="L796" i="121" s="1"/>
  <c r="K794" i="121"/>
  <c r="L794" i="121" s="1"/>
  <c r="K792" i="121"/>
  <c r="L792" i="121" s="1"/>
  <c r="K790" i="121"/>
  <c r="L790" i="121" s="1"/>
  <c r="K788" i="121"/>
  <c r="L788" i="121" s="1"/>
  <c r="K786" i="121"/>
  <c r="L786" i="121" s="1"/>
  <c r="K784" i="121"/>
  <c r="L784" i="121" s="1"/>
  <c r="K782" i="121"/>
  <c r="L782" i="121" s="1"/>
  <c r="K780" i="121"/>
  <c r="L780" i="121" s="1"/>
  <c r="K778" i="121"/>
  <c r="L778" i="121" s="1"/>
  <c r="K776" i="121"/>
  <c r="L776" i="121" s="1"/>
  <c r="K774" i="121"/>
  <c r="L774" i="121" s="1"/>
  <c r="K772" i="121"/>
  <c r="L772" i="121" s="1"/>
  <c r="K770" i="121"/>
  <c r="L770" i="121" s="1"/>
  <c r="K768" i="121"/>
  <c r="L768" i="121" s="1"/>
  <c r="K766" i="121"/>
  <c r="L766" i="121" s="1"/>
  <c r="K764" i="121"/>
  <c r="L764" i="121" s="1"/>
  <c r="K762" i="121"/>
  <c r="L762" i="121" s="1"/>
  <c r="K760" i="121"/>
  <c r="L760" i="121" s="1"/>
  <c r="K758" i="121"/>
  <c r="L758" i="121" s="1"/>
  <c r="K756" i="121"/>
  <c r="L756" i="121" s="1"/>
  <c r="K754" i="121"/>
  <c r="L754" i="121" s="1"/>
  <c r="K752" i="121"/>
  <c r="L752" i="121" s="1"/>
  <c r="K750" i="121"/>
  <c r="L750" i="121" s="1"/>
  <c r="K748" i="121"/>
  <c r="L748" i="121" s="1"/>
  <c r="K746" i="121"/>
  <c r="L746" i="121" s="1"/>
  <c r="K744" i="121"/>
  <c r="L744" i="121" s="1"/>
  <c r="K742" i="121"/>
  <c r="L742" i="121" s="1"/>
  <c r="K740" i="121"/>
  <c r="L740" i="121" s="1"/>
  <c r="K738" i="121"/>
  <c r="L738" i="121" s="1"/>
  <c r="K736" i="121"/>
  <c r="L736" i="121" s="1"/>
  <c r="K734" i="121"/>
  <c r="L734" i="121" s="1"/>
  <c r="K732" i="121"/>
  <c r="L732" i="121" s="1"/>
  <c r="K730" i="121"/>
  <c r="L730" i="121" s="1"/>
  <c r="K728" i="121"/>
  <c r="L728" i="121" s="1"/>
  <c r="K726" i="121"/>
  <c r="L726" i="121" s="1"/>
  <c r="K724" i="121"/>
  <c r="L724" i="121" s="1"/>
  <c r="K722" i="121"/>
  <c r="L722" i="121" s="1"/>
  <c r="K720" i="121"/>
  <c r="L720" i="121" s="1"/>
  <c r="K718" i="121"/>
  <c r="L718" i="121" s="1"/>
  <c r="K716" i="121"/>
  <c r="L716" i="121" s="1"/>
  <c r="K714" i="121"/>
  <c r="L714" i="121" s="1"/>
  <c r="K712" i="121"/>
  <c r="L712" i="121" s="1"/>
  <c r="K710" i="121"/>
  <c r="L710" i="121" s="1"/>
  <c r="K708" i="121"/>
  <c r="L708" i="121" s="1"/>
  <c r="K706" i="121"/>
  <c r="L706" i="121" s="1"/>
  <c r="K808" i="121"/>
  <c r="L808" i="121" s="1"/>
  <c r="K807" i="121"/>
  <c r="L807" i="121" s="1"/>
  <c r="K805" i="121"/>
  <c r="L805" i="121" s="1"/>
  <c r="K803" i="121"/>
  <c r="L803" i="121" s="1"/>
  <c r="K801" i="121"/>
  <c r="L801" i="121" s="1"/>
  <c r="K799" i="121"/>
  <c r="L799" i="121" s="1"/>
  <c r="K797" i="121"/>
  <c r="L797" i="121" s="1"/>
  <c r="K795" i="121"/>
  <c r="L795" i="121" s="1"/>
  <c r="K793" i="121"/>
  <c r="L793" i="121" s="1"/>
  <c r="K791" i="121"/>
  <c r="L791" i="121" s="1"/>
  <c r="K789" i="121"/>
  <c r="L789" i="121" s="1"/>
  <c r="K787" i="121"/>
  <c r="L787" i="121" s="1"/>
  <c r="K785" i="121"/>
  <c r="L785" i="121" s="1"/>
  <c r="K783" i="121"/>
  <c r="L783" i="121" s="1"/>
  <c r="K781" i="121"/>
  <c r="L781" i="121" s="1"/>
  <c r="K779" i="121"/>
  <c r="L779" i="121" s="1"/>
  <c r="K777" i="121"/>
  <c r="L777" i="121" s="1"/>
  <c r="K775" i="121"/>
  <c r="L775" i="121" s="1"/>
  <c r="K773" i="121"/>
  <c r="L773" i="121" s="1"/>
  <c r="K771" i="121"/>
  <c r="L771" i="121" s="1"/>
  <c r="K769" i="121"/>
  <c r="L769" i="121" s="1"/>
  <c r="K767" i="121"/>
  <c r="L767" i="121" s="1"/>
  <c r="K765" i="121"/>
  <c r="L765" i="121" s="1"/>
  <c r="K763" i="121"/>
  <c r="L763" i="121" s="1"/>
  <c r="K761" i="121"/>
  <c r="L761" i="121" s="1"/>
  <c r="K759" i="121"/>
  <c r="L759" i="121" s="1"/>
  <c r="K757" i="121"/>
  <c r="L757" i="121" s="1"/>
  <c r="K755" i="121"/>
  <c r="L755" i="121" s="1"/>
  <c r="K753" i="121"/>
  <c r="L753" i="121" s="1"/>
  <c r="K751" i="121"/>
  <c r="L751" i="121" s="1"/>
  <c r="K749" i="121"/>
  <c r="L749" i="121" s="1"/>
  <c r="K747" i="121"/>
  <c r="L747" i="121" s="1"/>
  <c r="K745" i="121"/>
  <c r="L745" i="121" s="1"/>
  <c r="K743" i="121"/>
  <c r="L743" i="121" s="1"/>
  <c r="K741" i="121"/>
  <c r="L741" i="121" s="1"/>
  <c r="K739" i="121"/>
  <c r="L739" i="121" s="1"/>
  <c r="K737" i="121"/>
  <c r="L737" i="121" s="1"/>
  <c r="K735" i="121"/>
  <c r="L735" i="121" s="1"/>
  <c r="K733" i="121"/>
  <c r="L733" i="121" s="1"/>
  <c r="K731" i="121"/>
  <c r="L731" i="121" s="1"/>
  <c r="K729" i="121"/>
  <c r="L729" i="121" s="1"/>
  <c r="K727" i="121"/>
  <c r="L727" i="121" s="1"/>
  <c r="K725" i="121"/>
  <c r="L725" i="121" s="1"/>
  <c r="K723" i="121"/>
  <c r="L723" i="121" s="1"/>
  <c r="K721" i="121"/>
  <c r="L721" i="121" s="1"/>
  <c r="K719" i="121"/>
  <c r="L719" i="121" s="1"/>
  <c r="K717" i="121"/>
  <c r="L717" i="121" s="1"/>
  <c r="K715" i="121"/>
  <c r="L715" i="121" s="1"/>
  <c r="K711" i="121"/>
  <c r="L711" i="121" s="1"/>
  <c r="K707" i="121"/>
  <c r="L707" i="121" s="1"/>
  <c r="K704" i="121"/>
  <c r="L704" i="121" s="1"/>
  <c r="K702" i="121"/>
  <c r="L702" i="121" s="1"/>
  <c r="K700" i="121"/>
  <c r="L700" i="121" s="1"/>
  <c r="K698" i="121"/>
  <c r="L698" i="121" s="1"/>
  <c r="K696" i="121"/>
  <c r="L696" i="121" s="1"/>
  <c r="K694" i="121"/>
  <c r="L694" i="121" s="1"/>
  <c r="K692" i="121"/>
  <c r="L692" i="121" s="1"/>
  <c r="K690" i="121"/>
  <c r="L690" i="121" s="1"/>
  <c r="K688" i="121"/>
  <c r="L688" i="121" s="1"/>
  <c r="K686" i="121"/>
  <c r="L686" i="121" s="1"/>
  <c r="K684" i="121"/>
  <c r="L684" i="121" s="1"/>
  <c r="K682" i="121"/>
  <c r="L682" i="121" s="1"/>
  <c r="K680" i="121"/>
  <c r="L680" i="121" s="1"/>
  <c r="K678" i="121"/>
  <c r="L678" i="121" s="1"/>
  <c r="K676" i="121"/>
  <c r="L676" i="121" s="1"/>
  <c r="K674" i="121"/>
  <c r="L674" i="121" s="1"/>
  <c r="K672" i="121"/>
  <c r="L672" i="121" s="1"/>
  <c r="K670" i="121"/>
  <c r="L670" i="121" s="1"/>
  <c r="K668" i="121"/>
  <c r="L668" i="121" s="1"/>
  <c r="K666" i="121"/>
  <c r="L666" i="121" s="1"/>
  <c r="K664" i="121"/>
  <c r="L664" i="121" s="1"/>
  <c r="K662" i="121"/>
  <c r="L662" i="121" s="1"/>
  <c r="K660" i="121"/>
  <c r="L660" i="121" s="1"/>
  <c r="K658" i="121"/>
  <c r="L658" i="121" s="1"/>
  <c r="K656" i="121"/>
  <c r="L656" i="121" s="1"/>
  <c r="K654" i="121"/>
  <c r="L654" i="121" s="1"/>
  <c r="K652" i="121"/>
  <c r="L652" i="121" s="1"/>
  <c r="K650" i="121"/>
  <c r="L650" i="121" s="1"/>
  <c r="K648" i="121"/>
  <c r="L648" i="121" s="1"/>
  <c r="K646" i="121"/>
  <c r="L646" i="121" s="1"/>
  <c r="K644" i="121"/>
  <c r="L644" i="121" s="1"/>
  <c r="K642" i="121"/>
  <c r="L642" i="121" s="1"/>
  <c r="K640" i="121"/>
  <c r="L640" i="121" s="1"/>
  <c r="K638" i="121"/>
  <c r="L638" i="121" s="1"/>
  <c r="K636" i="121"/>
  <c r="L636" i="121" s="1"/>
  <c r="K634" i="121"/>
  <c r="L634" i="121" s="1"/>
  <c r="K632" i="121"/>
  <c r="L632" i="121" s="1"/>
  <c r="K630" i="121"/>
  <c r="L630" i="121" s="1"/>
  <c r="K628" i="121"/>
  <c r="L628" i="121" s="1"/>
  <c r="K626" i="121"/>
  <c r="L626" i="121" s="1"/>
  <c r="K624" i="121"/>
  <c r="L624" i="121" s="1"/>
  <c r="K622" i="121"/>
  <c r="L622" i="121" s="1"/>
  <c r="K620" i="121"/>
  <c r="L620" i="121" s="1"/>
  <c r="K618" i="121"/>
  <c r="L618" i="121" s="1"/>
  <c r="K616" i="121"/>
  <c r="L616" i="121" s="1"/>
  <c r="K614" i="121"/>
  <c r="L614" i="121" s="1"/>
  <c r="K612" i="121"/>
  <c r="L612" i="121" s="1"/>
  <c r="K610" i="121"/>
  <c r="L610" i="121" s="1"/>
  <c r="K608" i="121"/>
  <c r="L608" i="121" s="1"/>
  <c r="K606" i="121"/>
  <c r="L606" i="121" s="1"/>
  <c r="K604" i="121"/>
  <c r="L604" i="121" s="1"/>
  <c r="K602" i="121"/>
  <c r="L602" i="121" s="1"/>
  <c r="K600" i="121"/>
  <c r="L600" i="121" s="1"/>
  <c r="K598" i="121"/>
  <c r="L598" i="121" s="1"/>
  <c r="K596" i="121"/>
  <c r="L596" i="121" s="1"/>
  <c r="K594" i="121"/>
  <c r="L594" i="121" s="1"/>
  <c r="K592" i="121"/>
  <c r="L592" i="121" s="1"/>
  <c r="K590" i="121"/>
  <c r="L590" i="121" s="1"/>
  <c r="K713" i="121"/>
  <c r="L713" i="121" s="1"/>
  <c r="K709" i="121"/>
  <c r="L709" i="121" s="1"/>
  <c r="K705" i="121"/>
  <c r="L705" i="121" s="1"/>
  <c r="K703" i="121"/>
  <c r="L703" i="121" s="1"/>
  <c r="K701" i="121"/>
  <c r="L701" i="121" s="1"/>
  <c r="K699" i="121"/>
  <c r="L699" i="121" s="1"/>
  <c r="K697" i="121"/>
  <c r="L697" i="121" s="1"/>
  <c r="K695" i="121"/>
  <c r="L695" i="121" s="1"/>
  <c r="K693" i="121"/>
  <c r="L693" i="121" s="1"/>
  <c r="K691" i="121"/>
  <c r="L691" i="121" s="1"/>
  <c r="K689" i="121"/>
  <c r="L689" i="121" s="1"/>
  <c r="K687" i="121"/>
  <c r="L687" i="121" s="1"/>
  <c r="K685" i="121"/>
  <c r="L685" i="121" s="1"/>
  <c r="K683" i="121"/>
  <c r="L683" i="121" s="1"/>
  <c r="K681" i="121"/>
  <c r="L681" i="121" s="1"/>
  <c r="K679" i="121"/>
  <c r="L679" i="121" s="1"/>
  <c r="K677" i="121"/>
  <c r="L677" i="121" s="1"/>
  <c r="K675" i="121"/>
  <c r="L675" i="121" s="1"/>
  <c r="K673" i="121"/>
  <c r="L673" i="121" s="1"/>
  <c r="K671" i="121"/>
  <c r="L671" i="121" s="1"/>
  <c r="K669" i="121"/>
  <c r="L669" i="121" s="1"/>
  <c r="K667" i="121"/>
  <c r="L667" i="121" s="1"/>
  <c r="K665" i="121"/>
  <c r="L665" i="121" s="1"/>
  <c r="K663" i="121"/>
  <c r="L663" i="121" s="1"/>
  <c r="K661" i="121"/>
  <c r="L661" i="121" s="1"/>
  <c r="K659" i="121"/>
  <c r="L659" i="121" s="1"/>
  <c r="K657" i="121"/>
  <c r="L657" i="121" s="1"/>
  <c r="K655" i="121"/>
  <c r="L655" i="121" s="1"/>
  <c r="K653" i="121"/>
  <c r="L653" i="121" s="1"/>
  <c r="K651" i="121"/>
  <c r="L651" i="121" s="1"/>
  <c r="K649" i="121"/>
  <c r="L649" i="121" s="1"/>
  <c r="K647" i="121"/>
  <c r="L647" i="121" s="1"/>
  <c r="K645" i="121"/>
  <c r="L645" i="121" s="1"/>
  <c r="K643" i="121"/>
  <c r="L643" i="121" s="1"/>
  <c r="K641" i="121"/>
  <c r="L641" i="121" s="1"/>
  <c r="K639" i="121"/>
  <c r="L639" i="121" s="1"/>
  <c r="K637" i="121"/>
  <c r="L637" i="121" s="1"/>
  <c r="K635" i="121"/>
  <c r="L635" i="121" s="1"/>
  <c r="K633" i="121"/>
  <c r="L633" i="121" s="1"/>
  <c r="K631" i="121"/>
  <c r="L631" i="121" s="1"/>
  <c r="K629" i="121"/>
  <c r="L629" i="121" s="1"/>
  <c r="K627" i="121"/>
  <c r="L627" i="121" s="1"/>
  <c r="K625" i="121"/>
  <c r="L625" i="121" s="1"/>
  <c r="K623" i="121"/>
  <c r="L623" i="121" s="1"/>
  <c r="K621" i="121"/>
  <c r="L621" i="121" s="1"/>
  <c r="K619" i="121"/>
  <c r="L619" i="121" s="1"/>
  <c r="K617" i="121"/>
  <c r="L617" i="121" s="1"/>
  <c r="K615" i="121"/>
  <c r="L615" i="121" s="1"/>
  <c r="K613" i="121"/>
  <c r="L613" i="121" s="1"/>
  <c r="K611" i="121"/>
  <c r="L611" i="121" s="1"/>
  <c r="K609" i="121"/>
  <c r="L609" i="121" s="1"/>
  <c r="K607" i="121"/>
  <c r="L607" i="121" s="1"/>
  <c r="K605" i="121"/>
  <c r="L605" i="121" s="1"/>
  <c r="K603" i="121"/>
  <c r="L603" i="121" s="1"/>
  <c r="K601" i="121"/>
  <c r="L601" i="121" s="1"/>
  <c r="K599" i="121"/>
  <c r="L599" i="121" s="1"/>
  <c r="K597" i="121"/>
  <c r="L597" i="121" s="1"/>
  <c r="K595" i="121"/>
  <c r="L595" i="121" s="1"/>
  <c r="K593" i="121"/>
  <c r="L593" i="121" s="1"/>
  <c r="K591" i="121"/>
  <c r="L591" i="121" s="1"/>
  <c r="K588" i="121"/>
  <c r="L588" i="121" s="1"/>
  <c r="K586" i="121"/>
  <c r="L586" i="121" s="1"/>
  <c r="K584" i="121"/>
  <c r="L584" i="121" s="1"/>
  <c r="K582" i="121"/>
  <c r="L582" i="121" s="1"/>
  <c r="K580" i="121"/>
  <c r="L580" i="121" s="1"/>
  <c r="K578" i="121"/>
  <c r="L578" i="121" s="1"/>
  <c r="K576" i="121"/>
  <c r="L576" i="121" s="1"/>
  <c r="K574" i="121"/>
  <c r="L574" i="121" s="1"/>
  <c r="K572" i="121"/>
  <c r="L572" i="121" s="1"/>
  <c r="K570" i="121"/>
  <c r="L570" i="121" s="1"/>
  <c r="K568" i="121"/>
  <c r="L568" i="121" s="1"/>
  <c r="K566" i="121"/>
  <c r="L566" i="121" s="1"/>
  <c r="K564" i="121"/>
  <c r="L564" i="121" s="1"/>
  <c r="K562" i="121"/>
  <c r="L562" i="121" s="1"/>
  <c r="K560" i="121"/>
  <c r="L560" i="121" s="1"/>
  <c r="K558" i="121"/>
  <c r="L558" i="121" s="1"/>
  <c r="K556" i="121"/>
  <c r="L556" i="121" s="1"/>
  <c r="K554" i="121"/>
  <c r="L554" i="121" s="1"/>
  <c r="K552" i="121"/>
  <c r="L552" i="121" s="1"/>
  <c r="K550" i="121"/>
  <c r="L550" i="121" s="1"/>
  <c r="K548" i="121"/>
  <c r="L548" i="121" s="1"/>
  <c r="K546" i="121"/>
  <c r="L546" i="121" s="1"/>
  <c r="K544" i="121"/>
  <c r="L544" i="121" s="1"/>
  <c r="K542" i="121"/>
  <c r="L542" i="121" s="1"/>
  <c r="K540" i="121"/>
  <c r="L540" i="121" s="1"/>
  <c r="K538" i="121"/>
  <c r="L538" i="121" s="1"/>
  <c r="K536" i="121"/>
  <c r="L536" i="121" s="1"/>
  <c r="K534" i="121"/>
  <c r="L534" i="121" s="1"/>
  <c r="K532" i="121"/>
  <c r="L532" i="121" s="1"/>
  <c r="K530" i="121"/>
  <c r="L530" i="121" s="1"/>
  <c r="K528" i="121"/>
  <c r="L528" i="121" s="1"/>
  <c r="K526" i="121"/>
  <c r="L526" i="121" s="1"/>
  <c r="K524" i="121"/>
  <c r="L524" i="121" s="1"/>
  <c r="K522" i="121"/>
  <c r="L522" i="121" s="1"/>
  <c r="K520" i="121"/>
  <c r="L520" i="121" s="1"/>
  <c r="K518" i="121"/>
  <c r="L518" i="121" s="1"/>
  <c r="K516" i="121"/>
  <c r="L516" i="121" s="1"/>
  <c r="K514" i="121"/>
  <c r="L514" i="121" s="1"/>
  <c r="K512" i="121"/>
  <c r="L512" i="121" s="1"/>
  <c r="K510" i="121"/>
  <c r="L510" i="121" s="1"/>
  <c r="K508" i="121"/>
  <c r="L508" i="121" s="1"/>
  <c r="K506" i="121"/>
  <c r="L506" i="121" s="1"/>
  <c r="K504" i="121"/>
  <c r="L504" i="121" s="1"/>
  <c r="K502" i="121"/>
  <c r="L502" i="121" s="1"/>
  <c r="K500" i="121"/>
  <c r="L500" i="121" s="1"/>
  <c r="K498" i="121"/>
  <c r="L498" i="121" s="1"/>
  <c r="K496" i="121"/>
  <c r="L496" i="121" s="1"/>
  <c r="K494" i="121"/>
  <c r="L494" i="121" s="1"/>
  <c r="K492" i="121"/>
  <c r="L492" i="121" s="1"/>
  <c r="K490" i="121"/>
  <c r="L490" i="121" s="1"/>
  <c r="K488" i="121"/>
  <c r="L488" i="121" s="1"/>
  <c r="K486" i="121"/>
  <c r="L486" i="121" s="1"/>
  <c r="K484" i="121"/>
  <c r="L484" i="121" s="1"/>
  <c r="K482" i="121"/>
  <c r="L482" i="121" s="1"/>
  <c r="K480" i="121"/>
  <c r="L480" i="121" s="1"/>
  <c r="K478" i="121"/>
  <c r="L478" i="121" s="1"/>
  <c r="K476" i="121"/>
  <c r="L476" i="121" s="1"/>
  <c r="K474" i="121"/>
  <c r="L474" i="121" s="1"/>
  <c r="K472" i="121"/>
  <c r="L472" i="121" s="1"/>
  <c r="K470" i="121"/>
  <c r="L470" i="121" s="1"/>
  <c r="K468" i="121"/>
  <c r="L468" i="121" s="1"/>
  <c r="K466" i="121"/>
  <c r="L466" i="121" s="1"/>
  <c r="K464" i="121"/>
  <c r="L464" i="121" s="1"/>
  <c r="K462" i="121"/>
  <c r="L462" i="121" s="1"/>
  <c r="K460" i="121"/>
  <c r="L460" i="121" s="1"/>
  <c r="K458" i="121"/>
  <c r="L458" i="121" s="1"/>
  <c r="K456" i="121"/>
  <c r="L456" i="121" s="1"/>
  <c r="K454" i="121"/>
  <c r="L454" i="121" s="1"/>
  <c r="K452" i="121"/>
  <c r="L452" i="121" s="1"/>
  <c r="K450" i="121"/>
  <c r="L450" i="121" s="1"/>
  <c r="K448" i="121"/>
  <c r="L448" i="121" s="1"/>
  <c r="K446" i="121"/>
  <c r="L446" i="121" s="1"/>
  <c r="K444" i="121"/>
  <c r="L444" i="121" s="1"/>
  <c r="K442" i="121"/>
  <c r="L442" i="121" s="1"/>
  <c r="K589" i="121"/>
  <c r="L589" i="121" s="1"/>
  <c r="K587" i="121"/>
  <c r="L587" i="121" s="1"/>
  <c r="K585" i="121"/>
  <c r="L585" i="121" s="1"/>
  <c r="K583" i="121"/>
  <c r="L583" i="121" s="1"/>
  <c r="K581" i="121"/>
  <c r="L581" i="121" s="1"/>
  <c r="K579" i="121"/>
  <c r="L579" i="121" s="1"/>
  <c r="K577" i="121"/>
  <c r="L577" i="121" s="1"/>
  <c r="K575" i="121"/>
  <c r="L575" i="121" s="1"/>
  <c r="K573" i="121"/>
  <c r="L573" i="121" s="1"/>
  <c r="K571" i="121"/>
  <c r="L571" i="121" s="1"/>
  <c r="K569" i="121"/>
  <c r="L569" i="121" s="1"/>
  <c r="K567" i="121"/>
  <c r="L567" i="121" s="1"/>
  <c r="K565" i="121"/>
  <c r="L565" i="121" s="1"/>
  <c r="K563" i="121"/>
  <c r="L563" i="121" s="1"/>
  <c r="K561" i="121"/>
  <c r="L561" i="121" s="1"/>
  <c r="K559" i="121"/>
  <c r="L559" i="121" s="1"/>
  <c r="K557" i="121"/>
  <c r="L557" i="121" s="1"/>
  <c r="K555" i="121"/>
  <c r="L555" i="121" s="1"/>
  <c r="K553" i="121"/>
  <c r="L553" i="121" s="1"/>
  <c r="K551" i="121"/>
  <c r="L551" i="121" s="1"/>
  <c r="K549" i="121"/>
  <c r="L549" i="121" s="1"/>
  <c r="K547" i="121"/>
  <c r="L547" i="121" s="1"/>
  <c r="K545" i="121"/>
  <c r="L545" i="121" s="1"/>
  <c r="K543" i="121"/>
  <c r="L543" i="121" s="1"/>
  <c r="K541" i="121"/>
  <c r="L541" i="121" s="1"/>
  <c r="K539" i="121"/>
  <c r="L539" i="121" s="1"/>
  <c r="K537" i="121"/>
  <c r="L537" i="121" s="1"/>
  <c r="K535" i="121"/>
  <c r="L535" i="121" s="1"/>
  <c r="K533" i="121"/>
  <c r="L533" i="121" s="1"/>
  <c r="K531" i="121"/>
  <c r="L531" i="121" s="1"/>
  <c r="K529" i="121"/>
  <c r="L529" i="121" s="1"/>
  <c r="K527" i="121"/>
  <c r="L527" i="121" s="1"/>
  <c r="K525" i="121"/>
  <c r="L525" i="121" s="1"/>
  <c r="K523" i="121"/>
  <c r="L523" i="121" s="1"/>
  <c r="K521" i="121"/>
  <c r="L521" i="121" s="1"/>
  <c r="K519" i="121"/>
  <c r="L519" i="121" s="1"/>
  <c r="K517" i="121"/>
  <c r="L517" i="121" s="1"/>
  <c r="K515" i="121"/>
  <c r="L515" i="121" s="1"/>
  <c r="K513" i="121"/>
  <c r="L513" i="121" s="1"/>
  <c r="K511" i="121"/>
  <c r="L511" i="121" s="1"/>
  <c r="K509" i="121"/>
  <c r="L509" i="121" s="1"/>
  <c r="K507" i="121"/>
  <c r="L507" i="121" s="1"/>
  <c r="K505" i="121"/>
  <c r="L505" i="121" s="1"/>
  <c r="K503" i="121"/>
  <c r="L503" i="121" s="1"/>
  <c r="K501" i="121"/>
  <c r="L501" i="121" s="1"/>
  <c r="K499" i="121"/>
  <c r="L499" i="121" s="1"/>
  <c r="K497" i="121"/>
  <c r="L497" i="121" s="1"/>
  <c r="K495" i="121"/>
  <c r="L495" i="121" s="1"/>
  <c r="K493" i="121"/>
  <c r="L493" i="121" s="1"/>
  <c r="K491" i="121"/>
  <c r="L491" i="121" s="1"/>
  <c r="K489" i="121"/>
  <c r="L489" i="121" s="1"/>
  <c r="K487" i="121"/>
  <c r="L487" i="121" s="1"/>
  <c r="K485" i="121"/>
  <c r="L485" i="121" s="1"/>
  <c r="K483" i="121"/>
  <c r="L483" i="121" s="1"/>
  <c r="K481" i="121"/>
  <c r="L481" i="121" s="1"/>
  <c r="K479" i="121"/>
  <c r="L479" i="121" s="1"/>
  <c r="K477" i="121"/>
  <c r="L477" i="121" s="1"/>
  <c r="K475" i="121"/>
  <c r="L475" i="121" s="1"/>
  <c r="K473" i="121"/>
  <c r="L473" i="121" s="1"/>
  <c r="K471" i="121"/>
  <c r="L471" i="121" s="1"/>
  <c r="K469" i="121"/>
  <c r="L469" i="121" s="1"/>
  <c r="K467" i="121"/>
  <c r="L467" i="121" s="1"/>
  <c r="K465" i="121"/>
  <c r="L465" i="121" s="1"/>
  <c r="K463" i="121"/>
  <c r="L463" i="121" s="1"/>
  <c r="K461" i="121"/>
  <c r="L461" i="121" s="1"/>
  <c r="K459" i="121"/>
  <c r="L459" i="121" s="1"/>
  <c r="K457" i="121"/>
  <c r="L457" i="121" s="1"/>
  <c r="K455" i="121"/>
  <c r="L455" i="121" s="1"/>
  <c r="K453" i="121"/>
  <c r="L453" i="121" s="1"/>
  <c r="K451" i="121"/>
  <c r="L451" i="121" s="1"/>
  <c r="K449" i="121"/>
  <c r="L449" i="121" s="1"/>
  <c r="K447" i="121"/>
  <c r="L447" i="121" s="1"/>
  <c r="K445" i="121"/>
  <c r="L445" i="121" s="1"/>
  <c r="K443" i="121"/>
  <c r="L443" i="121" s="1"/>
  <c r="K440" i="121"/>
  <c r="L440" i="121" s="1"/>
  <c r="K438" i="121"/>
  <c r="L438" i="121" s="1"/>
  <c r="K436" i="121"/>
  <c r="L436" i="121" s="1"/>
  <c r="K434" i="121"/>
  <c r="L434" i="121" s="1"/>
  <c r="K432" i="121"/>
  <c r="L432" i="121" s="1"/>
  <c r="K430" i="121"/>
  <c r="L430" i="121" s="1"/>
  <c r="K428" i="121"/>
  <c r="L428" i="121" s="1"/>
  <c r="K426" i="121"/>
  <c r="L426" i="121" s="1"/>
  <c r="K424" i="121"/>
  <c r="L424" i="121" s="1"/>
  <c r="K422" i="121"/>
  <c r="L422" i="121" s="1"/>
  <c r="K420" i="121"/>
  <c r="L420" i="121" s="1"/>
  <c r="K418" i="121"/>
  <c r="L418" i="121" s="1"/>
  <c r="K416" i="121"/>
  <c r="L416" i="121" s="1"/>
  <c r="K414" i="121"/>
  <c r="L414" i="121" s="1"/>
  <c r="K412" i="121"/>
  <c r="L412" i="121" s="1"/>
  <c r="K410" i="121"/>
  <c r="L410" i="121" s="1"/>
  <c r="K408" i="121"/>
  <c r="L408" i="121" s="1"/>
  <c r="K406" i="121"/>
  <c r="L406" i="121" s="1"/>
  <c r="K404" i="121"/>
  <c r="L404" i="121" s="1"/>
  <c r="K402" i="121"/>
  <c r="L402" i="121" s="1"/>
  <c r="K400" i="121"/>
  <c r="L400" i="121" s="1"/>
  <c r="K398" i="121"/>
  <c r="L398" i="121" s="1"/>
  <c r="K396" i="121"/>
  <c r="L396" i="121" s="1"/>
  <c r="K394" i="121"/>
  <c r="L394" i="121" s="1"/>
  <c r="K392" i="121"/>
  <c r="L392" i="121" s="1"/>
  <c r="K390" i="121"/>
  <c r="L390" i="121" s="1"/>
  <c r="K388" i="121"/>
  <c r="L388" i="121" s="1"/>
  <c r="K386" i="121"/>
  <c r="L386" i="121" s="1"/>
  <c r="K384" i="121"/>
  <c r="L384" i="121" s="1"/>
  <c r="K382" i="121"/>
  <c r="L382" i="121" s="1"/>
  <c r="K380" i="121"/>
  <c r="L380" i="121" s="1"/>
  <c r="K378" i="121"/>
  <c r="L378" i="121" s="1"/>
  <c r="K376" i="121"/>
  <c r="L376" i="121" s="1"/>
  <c r="K374" i="121"/>
  <c r="L374" i="121" s="1"/>
  <c r="K372" i="121"/>
  <c r="L372" i="121" s="1"/>
  <c r="K370" i="121"/>
  <c r="L370" i="121" s="1"/>
  <c r="K368" i="121"/>
  <c r="L368" i="121" s="1"/>
  <c r="K366" i="121"/>
  <c r="L366" i="121" s="1"/>
  <c r="K364" i="121"/>
  <c r="L364" i="121" s="1"/>
  <c r="K362" i="121"/>
  <c r="L362" i="121" s="1"/>
  <c r="K360" i="121"/>
  <c r="L360" i="121" s="1"/>
  <c r="K358" i="121"/>
  <c r="L358" i="121" s="1"/>
  <c r="K356" i="121"/>
  <c r="L356" i="121" s="1"/>
  <c r="K354" i="121"/>
  <c r="L354" i="121" s="1"/>
  <c r="K352" i="121"/>
  <c r="L352" i="121" s="1"/>
  <c r="K350" i="121"/>
  <c r="L350" i="121" s="1"/>
  <c r="K348" i="121"/>
  <c r="L348" i="121" s="1"/>
  <c r="K346" i="121"/>
  <c r="L346" i="121" s="1"/>
  <c r="K344" i="121"/>
  <c r="L344" i="121" s="1"/>
  <c r="K342" i="121"/>
  <c r="L342" i="121" s="1"/>
  <c r="K340" i="121"/>
  <c r="L340" i="121" s="1"/>
  <c r="K338" i="121"/>
  <c r="L338" i="121" s="1"/>
  <c r="K336" i="121"/>
  <c r="L336" i="121" s="1"/>
  <c r="K334" i="121"/>
  <c r="L334" i="121" s="1"/>
  <c r="K332" i="121"/>
  <c r="L332" i="121" s="1"/>
  <c r="K330" i="121"/>
  <c r="L330" i="121" s="1"/>
  <c r="K328" i="121"/>
  <c r="L328" i="121" s="1"/>
  <c r="K326" i="121"/>
  <c r="L326" i="121" s="1"/>
  <c r="K324" i="121"/>
  <c r="L324" i="121" s="1"/>
  <c r="K322" i="121"/>
  <c r="L322" i="121" s="1"/>
  <c r="K320" i="121"/>
  <c r="L320" i="121" s="1"/>
  <c r="K318" i="121"/>
  <c r="L318" i="121" s="1"/>
  <c r="K316" i="121"/>
  <c r="L316" i="121" s="1"/>
  <c r="K314" i="121"/>
  <c r="L314" i="121" s="1"/>
  <c r="K312" i="121"/>
  <c r="L312" i="121" s="1"/>
  <c r="K310" i="121"/>
  <c r="L310" i="121" s="1"/>
  <c r="K308" i="121"/>
  <c r="L308" i="121" s="1"/>
  <c r="K306" i="121"/>
  <c r="L306" i="121" s="1"/>
  <c r="K304" i="121"/>
  <c r="L304" i="121" s="1"/>
  <c r="K302" i="121"/>
  <c r="L302" i="121" s="1"/>
  <c r="K300" i="121"/>
  <c r="L300" i="121" s="1"/>
  <c r="K298" i="121"/>
  <c r="L298" i="121" s="1"/>
  <c r="K296" i="121"/>
  <c r="L296" i="121" s="1"/>
  <c r="K294" i="121"/>
  <c r="L294" i="121" s="1"/>
  <c r="K292" i="121"/>
  <c r="L292" i="121" s="1"/>
  <c r="K290" i="121"/>
  <c r="L290" i="121" s="1"/>
  <c r="K288" i="121"/>
  <c r="L288" i="121" s="1"/>
  <c r="K286" i="121"/>
  <c r="L286" i="121" s="1"/>
  <c r="K284" i="121"/>
  <c r="L284" i="121" s="1"/>
  <c r="K282" i="121"/>
  <c r="L282" i="121" s="1"/>
  <c r="K280" i="121"/>
  <c r="L280" i="121" s="1"/>
  <c r="K278" i="121"/>
  <c r="L278" i="121" s="1"/>
  <c r="K276" i="121"/>
  <c r="L276" i="121" s="1"/>
  <c r="K274" i="121"/>
  <c r="L274" i="121" s="1"/>
  <c r="K272" i="121"/>
  <c r="L272" i="121" s="1"/>
  <c r="K270" i="121"/>
  <c r="L270" i="121" s="1"/>
  <c r="K268" i="121"/>
  <c r="L268" i="121" s="1"/>
  <c r="K266" i="121"/>
  <c r="L266" i="121" s="1"/>
  <c r="K264" i="121"/>
  <c r="L264" i="121" s="1"/>
  <c r="K262" i="121"/>
  <c r="L262" i="121" s="1"/>
  <c r="K260" i="121"/>
  <c r="L260" i="121" s="1"/>
  <c r="K258" i="121"/>
  <c r="L258" i="121" s="1"/>
  <c r="K256" i="121"/>
  <c r="L256" i="121" s="1"/>
  <c r="K254" i="121"/>
  <c r="L254" i="121" s="1"/>
  <c r="K252" i="121"/>
  <c r="L252" i="121" s="1"/>
  <c r="K250" i="121"/>
  <c r="L250" i="121" s="1"/>
  <c r="K248" i="121"/>
  <c r="L248" i="121" s="1"/>
  <c r="K246" i="121"/>
  <c r="L246" i="121" s="1"/>
  <c r="K244" i="121"/>
  <c r="L244" i="121" s="1"/>
  <c r="K242" i="121"/>
  <c r="L242" i="121" s="1"/>
  <c r="K240" i="121"/>
  <c r="L240" i="121" s="1"/>
  <c r="K238" i="121"/>
  <c r="L238" i="121" s="1"/>
  <c r="K236" i="121"/>
  <c r="L236" i="121" s="1"/>
  <c r="K234" i="121"/>
  <c r="L234" i="121" s="1"/>
  <c r="K232" i="121"/>
  <c r="L232" i="121" s="1"/>
  <c r="K230" i="121"/>
  <c r="L230" i="121" s="1"/>
  <c r="K228" i="121"/>
  <c r="L228" i="121" s="1"/>
  <c r="K226" i="121"/>
  <c r="L226" i="121" s="1"/>
  <c r="K224" i="121"/>
  <c r="L224" i="121" s="1"/>
  <c r="K222" i="121"/>
  <c r="L222" i="121" s="1"/>
  <c r="K220" i="121"/>
  <c r="L220" i="121" s="1"/>
  <c r="K218" i="121"/>
  <c r="L218" i="121" s="1"/>
  <c r="K216" i="121"/>
  <c r="L216" i="121" s="1"/>
  <c r="K214" i="121"/>
  <c r="L214" i="121" s="1"/>
  <c r="K212" i="121"/>
  <c r="L212" i="121" s="1"/>
  <c r="K210" i="121"/>
  <c r="L210" i="121" s="1"/>
  <c r="K208" i="121"/>
  <c r="L208" i="121" s="1"/>
  <c r="K206" i="121"/>
  <c r="L206" i="121" s="1"/>
  <c r="K204" i="121"/>
  <c r="L204" i="121" s="1"/>
  <c r="K202" i="121"/>
  <c r="L202" i="121" s="1"/>
  <c r="K200" i="121"/>
  <c r="L200" i="121" s="1"/>
  <c r="K198" i="121"/>
  <c r="L198" i="121" s="1"/>
  <c r="K196" i="121"/>
  <c r="L196" i="121" s="1"/>
  <c r="K441" i="121"/>
  <c r="L441" i="121" s="1"/>
  <c r="K439" i="121"/>
  <c r="L439" i="121" s="1"/>
  <c r="K437" i="121"/>
  <c r="L437" i="121" s="1"/>
  <c r="K435" i="121"/>
  <c r="L435" i="121" s="1"/>
  <c r="K433" i="121"/>
  <c r="L433" i="121" s="1"/>
  <c r="K431" i="121"/>
  <c r="L431" i="121" s="1"/>
  <c r="K429" i="121"/>
  <c r="L429" i="121" s="1"/>
  <c r="K427" i="121"/>
  <c r="L427" i="121" s="1"/>
  <c r="K425" i="121"/>
  <c r="L425" i="121" s="1"/>
  <c r="K423" i="121"/>
  <c r="L423" i="121" s="1"/>
  <c r="K421" i="121"/>
  <c r="L421" i="121" s="1"/>
  <c r="K419" i="121"/>
  <c r="L419" i="121" s="1"/>
  <c r="K417" i="121"/>
  <c r="L417" i="121" s="1"/>
  <c r="K415" i="121"/>
  <c r="L415" i="121" s="1"/>
  <c r="K413" i="121"/>
  <c r="L413" i="121" s="1"/>
  <c r="K411" i="121"/>
  <c r="L411" i="121" s="1"/>
  <c r="K409" i="121"/>
  <c r="L409" i="121" s="1"/>
  <c r="K407" i="121"/>
  <c r="L407" i="121" s="1"/>
  <c r="K405" i="121"/>
  <c r="L405" i="121" s="1"/>
  <c r="K403" i="121"/>
  <c r="L403" i="121" s="1"/>
  <c r="K401" i="121"/>
  <c r="L401" i="121" s="1"/>
  <c r="K399" i="121"/>
  <c r="L399" i="121" s="1"/>
  <c r="K397" i="121"/>
  <c r="L397" i="121" s="1"/>
  <c r="K395" i="121"/>
  <c r="L395" i="121" s="1"/>
  <c r="K393" i="121"/>
  <c r="L393" i="121" s="1"/>
  <c r="K391" i="121"/>
  <c r="L391" i="121" s="1"/>
  <c r="K389" i="121"/>
  <c r="L389" i="121" s="1"/>
  <c r="K387" i="121"/>
  <c r="L387" i="121" s="1"/>
  <c r="K385" i="121"/>
  <c r="L385" i="121" s="1"/>
  <c r="K383" i="121"/>
  <c r="L383" i="121" s="1"/>
  <c r="K381" i="121"/>
  <c r="L381" i="121" s="1"/>
  <c r="K379" i="121"/>
  <c r="L379" i="121" s="1"/>
  <c r="K377" i="121"/>
  <c r="L377" i="121" s="1"/>
  <c r="K375" i="121"/>
  <c r="L375" i="121" s="1"/>
  <c r="K373" i="121"/>
  <c r="L373" i="121" s="1"/>
  <c r="K371" i="121"/>
  <c r="L371" i="121" s="1"/>
  <c r="K369" i="121"/>
  <c r="L369" i="121" s="1"/>
  <c r="K367" i="121"/>
  <c r="L367" i="121" s="1"/>
  <c r="K365" i="121"/>
  <c r="L365" i="121" s="1"/>
  <c r="K363" i="121"/>
  <c r="L363" i="121" s="1"/>
  <c r="K361" i="121"/>
  <c r="L361" i="121" s="1"/>
  <c r="K359" i="121"/>
  <c r="L359" i="121" s="1"/>
  <c r="K357" i="121"/>
  <c r="L357" i="121" s="1"/>
  <c r="K355" i="121"/>
  <c r="L355" i="121" s="1"/>
  <c r="K353" i="121"/>
  <c r="L353" i="121" s="1"/>
  <c r="K351" i="121"/>
  <c r="L351" i="121" s="1"/>
  <c r="K349" i="121"/>
  <c r="L349" i="121" s="1"/>
  <c r="K347" i="121"/>
  <c r="L347" i="121" s="1"/>
  <c r="K345" i="121"/>
  <c r="L345" i="121" s="1"/>
  <c r="K343" i="121"/>
  <c r="L343" i="121" s="1"/>
  <c r="K341" i="121"/>
  <c r="L341" i="121" s="1"/>
  <c r="K339" i="121"/>
  <c r="L339" i="121" s="1"/>
  <c r="K337" i="121"/>
  <c r="L337" i="121" s="1"/>
  <c r="K335" i="121"/>
  <c r="L335" i="121" s="1"/>
  <c r="K333" i="121"/>
  <c r="L333" i="121" s="1"/>
  <c r="K331" i="121"/>
  <c r="L331" i="121" s="1"/>
  <c r="K329" i="121"/>
  <c r="L329" i="121" s="1"/>
  <c r="K327" i="121"/>
  <c r="L327" i="121" s="1"/>
  <c r="K325" i="121"/>
  <c r="L325" i="121" s="1"/>
  <c r="K323" i="121"/>
  <c r="L323" i="121" s="1"/>
  <c r="K321" i="121"/>
  <c r="L321" i="121" s="1"/>
  <c r="K319" i="121"/>
  <c r="L319" i="121" s="1"/>
  <c r="K317" i="121"/>
  <c r="L317" i="121" s="1"/>
  <c r="K315" i="121"/>
  <c r="L315" i="121" s="1"/>
  <c r="K313" i="121"/>
  <c r="L313" i="121" s="1"/>
  <c r="K311" i="121"/>
  <c r="L311" i="121" s="1"/>
  <c r="K309" i="121"/>
  <c r="L309" i="121" s="1"/>
  <c r="K307" i="121"/>
  <c r="L307" i="121" s="1"/>
  <c r="K305" i="121"/>
  <c r="L305" i="121" s="1"/>
  <c r="K303" i="121"/>
  <c r="L303" i="121" s="1"/>
  <c r="K301" i="121"/>
  <c r="L301" i="121" s="1"/>
  <c r="K299" i="121"/>
  <c r="L299" i="121" s="1"/>
  <c r="K297" i="121"/>
  <c r="L297" i="121" s="1"/>
  <c r="K295" i="121"/>
  <c r="L295" i="121" s="1"/>
  <c r="K293" i="121"/>
  <c r="L293" i="121" s="1"/>
  <c r="K291" i="121"/>
  <c r="L291" i="121" s="1"/>
  <c r="K289" i="121"/>
  <c r="L289" i="121" s="1"/>
  <c r="K287" i="121"/>
  <c r="L287" i="121" s="1"/>
  <c r="K285" i="121"/>
  <c r="L285" i="121" s="1"/>
  <c r="K283" i="121"/>
  <c r="L283" i="121" s="1"/>
  <c r="K281" i="121"/>
  <c r="L281" i="121" s="1"/>
  <c r="K279" i="121"/>
  <c r="L279" i="121" s="1"/>
  <c r="K277" i="121"/>
  <c r="L277" i="121" s="1"/>
  <c r="K275" i="121"/>
  <c r="L275" i="121" s="1"/>
  <c r="K273" i="121"/>
  <c r="L273" i="121" s="1"/>
  <c r="K271" i="121"/>
  <c r="L271" i="121" s="1"/>
  <c r="K269" i="121"/>
  <c r="L269" i="121" s="1"/>
  <c r="K267" i="121"/>
  <c r="L267" i="121" s="1"/>
  <c r="K265" i="121"/>
  <c r="L265" i="121" s="1"/>
  <c r="K263" i="121"/>
  <c r="L263" i="121" s="1"/>
  <c r="K261" i="121"/>
  <c r="L261" i="121" s="1"/>
  <c r="K259" i="121"/>
  <c r="L259" i="121" s="1"/>
  <c r="K257" i="121"/>
  <c r="L257" i="121" s="1"/>
  <c r="K255" i="121"/>
  <c r="L255" i="121" s="1"/>
  <c r="K253" i="121"/>
  <c r="L253" i="121" s="1"/>
  <c r="K251" i="121"/>
  <c r="L251" i="121" s="1"/>
  <c r="K249" i="121"/>
  <c r="L249" i="121" s="1"/>
  <c r="K247" i="121"/>
  <c r="L247" i="121" s="1"/>
  <c r="K245" i="121"/>
  <c r="L245" i="121" s="1"/>
  <c r="K243" i="121"/>
  <c r="L243" i="121" s="1"/>
  <c r="K241" i="121"/>
  <c r="L241" i="121" s="1"/>
  <c r="K239" i="121"/>
  <c r="L239" i="121" s="1"/>
  <c r="K237" i="121"/>
  <c r="L237" i="121" s="1"/>
  <c r="K235" i="121"/>
  <c r="L235" i="121" s="1"/>
  <c r="K233" i="121"/>
  <c r="L233" i="121" s="1"/>
  <c r="K231" i="121"/>
  <c r="L231" i="121" s="1"/>
  <c r="K229" i="121"/>
  <c r="L229" i="121" s="1"/>
  <c r="K227" i="121"/>
  <c r="L227" i="121" s="1"/>
  <c r="K225" i="121"/>
  <c r="L225" i="121" s="1"/>
  <c r="K223" i="121"/>
  <c r="L223" i="121" s="1"/>
  <c r="K221" i="121"/>
  <c r="L221" i="121" s="1"/>
  <c r="K219" i="121"/>
  <c r="L219" i="121" s="1"/>
  <c r="K217" i="121"/>
  <c r="L217" i="121" s="1"/>
  <c r="K215" i="121"/>
  <c r="L215" i="121" s="1"/>
  <c r="K213" i="121"/>
  <c r="L213" i="121" s="1"/>
  <c r="K205" i="121"/>
  <c r="L205" i="121" s="1"/>
  <c r="K197" i="121"/>
  <c r="L197" i="121" s="1"/>
  <c r="K3" i="121"/>
  <c r="K207" i="121"/>
  <c r="L207" i="121" s="1"/>
  <c r="K199" i="121"/>
  <c r="L199" i="121" s="1"/>
  <c r="K195" i="121"/>
  <c r="L195" i="121" s="1"/>
  <c r="K194" i="121"/>
  <c r="L194" i="121" s="1"/>
  <c r="K192" i="121"/>
  <c r="L192" i="121" s="1"/>
  <c r="K190" i="121"/>
  <c r="L190" i="121" s="1"/>
  <c r="K188" i="121"/>
  <c r="L188" i="121" s="1"/>
  <c r="K186" i="121"/>
  <c r="L186" i="121" s="1"/>
  <c r="K184" i="121"/>
  <c r="L184" i="121" s="1"/>
  <c r="K182" i="121"/>
  <c r="L182" i="121" s="1"/>
  <c r="K180" i="121"/>
  <c r="L180" i="121" s="1"/>
  <c r="K178" i="121"/>
  <c r="L178" i="121" s="1"/>
  <c r="K176" i="121"/>
  <c r="L176" i="121" s="1"/>
  <c r="K174" i="121"/>
  <c r="L174" i="121" s="1"/>
  <c r="K172" i="121"/>
  <c r="L172" i="121" s="1"/>
  <c r="K170" i="121"/>
  <c r="L170" i="121" s="1"/>
  <c r="K168" i="121"/>
  <c r="L168" i="121" s="1"/>
  <c r="K166" i="121"/>
  <c r="L166" i="121" s="1"/>
  <c r="K164" i="121"/>
  <c r="L164" i="121" s="1"/>
  <c r="K162" i="121"/>
  <c r="L162" i="121" s="1"/>
  <c r="K160" i="121"/>
  <c r="L160" i="121" s="1"/>
  <c r="K158" i="121"/>
  <c r="L158" i="121" s="1"/>
  <c r="K156" i="121"/>
  <c r="L156" i="121" s="1"/>
  <c r="K154" i="121"/>
  <c r="L154" i="121" s="1"/>
  <c r="K152" i="121"/>
  <c r="L152" i="121" s="1"/>
  <c r="K150" i="121"/>
  <c r="L150" i="121" s="1"/>
  <c r="K148" i="121"/>
  <c r="L148" i="121" s="1"/>
  <c r="K146" i="121"/>
  <c r="L146" i="121" s="1"/>
  <c r="K144" i="121"/>
  <c r="L144" i="121" s="1"/>
  <c r="K142" i="121"/>
  <c r="L142" i="121" s="1"/>
  <c r="K140" i="121"/>
  <c r="L140" i="121" s="1"/>
  <c r="K138" i="121"/>
  <c r="L138" i="121" s="1"/>
  <c r="K136" i="121"/>
  <c r="L136" i="121" s="1"/>
  <c r="K134" i="121"/>
  <c r="L134" i="121" s="1"/>
  <c r="K132" i="121"/>
  <c r="L132" i="121" s="1"/>
  <c r="K130" i="121"/>
  <c r="L130" i="121" s="1"/>
  <c r="K128" i="121"/>
  <c r="L128" i="121" s="1"/>
  <c r="K126" i="121"/>
  <c r="L126" i="121" s="1"/>
  <c r="K124" i="121"/>
  <c r="L124" i="121" s="1"/>
  <c r="K122" i="121"/>
  <c r="L122" i="121" s="1"/>
  <c r="K120" i="121"/>
  <c r="L120" i="121" s="1"/>
  <c r="K118" i="121"/>
  <c r="L118" i="121" s="1"/>
  <c r="K116" i="121"/>
  <c r="L116" i="121" s="1"/>
  <c r="K114" i="121"/>
  <c r="L114" i="121" s="1"/>
  <c r="K112" i="121"/>
  <c r="L112" i="121" s="1"/>
  <c r="K110" i="121"/>
  <c r="L110" i="121" s="1"/>
  <c r="K108" i="121"/>
  <c r="L108" i="121" s="1"/>
  <c r="K106" i="121"/>
  <c r="L106" i="121" s="1"/>
  <c r="K104" i="121"/>
  <c r="L104" i="121" s="1"/>
  <c r="K102" i="121"/>
  <c r="K100" i="121"/>
  <c r="K98" i="121"/>
  <c r="K96" i="121"/>
  <c r="K94" i="121"/>
  <c r="K92" i="121"/>
  <c r="K90" i="121"/>
  <c r="K88" i="121"/>
  <c r="K86" i="121"/>
  <c r="K84" i="121"/>
  <c r="K82" i="121"/>
  <c r="K80" i="121"/>
  <c r="K78" i="121"/>
  <c r="K76" i="121"/>
  <c r="K74" i="121"/>
  <c r="K72" i="121"/>
  <c r="K70" i="121"/>
  <c r="K68" i="121"/>
  <c r="K66" i="121"/>
  <c r="K64" i="121"/>
  <c r="K62" i="121"/>
  <c r="K60" i="121"/>
  <c r="K58" i="121"/>
  <c r="K56" i="121"/>
  <c r="K54" i="121"/>
  <c r="K52" i="121"/>
  <c r="K50" i="121"/>
  <c r="K48" i="121"/>
  <c r="K46" i="121"/>
  <c r="K44" i="121"/>
  <c r="K42" i="121"/>
  <c r="K40" i="121"/>
  <c r="K38" i="121"/>
  <c r="K36" i="121"/>
  <c r="K34" i="121"/>
  <c r="K32" i="121"/>
  <c r="K30" i="121"/>
  <c r="K28" i="121"/>
  <c r="K26" i="121"/>
  <c r="K24" i="121"/>
  <c r="K22" i="121"/>
  <c r="K20" i="121"/>
  <c r="K18" i="121"/>
  <c r="K16" i="121"/>
  <c r="K14" i="121"/>
  <c r="K12" i="121"/>
  <c r="K10" i="121"/>
  <c r="K8" i="121"/>
  <c r="K6" i="121"/>
  <c r="K4" i="121"/>
  <c r="K209" i="121"/>
  <c r="L209" i="121" s="1"/>
  <c r="K201" i="121"/>
  <c r="L201" i="121" s="1"/>
  <c r="K211" i="121"/>
  <c r="L211" i="121" s="1"/>
  <c r="K203" i="121"/>
  <c r="L203" i="121" s="1"/>
  <c r="K193" i="121"/>
  <c r="L193" i="121" s="1"/>
  <c r="K191" i="121"/>
  <c r="L191" i="121" s="1"/>
  <c r="K189" i="121"/>
  <c r="L189" i="121" s="1"/>
  <c r="K187" i="121"/>
  <c r="L187" i="121" s="1"/>
  <c r="K185" i="121"/>
  <c r="L185" i="121" s="1"/>
  <c r="K183" i="121"/>
  <c r="L183" i="121" s="1"/>
  <c r="K181" i="121"/>
  <c r="L181" i="121" s="1"/>
  <c r="K179" i="121"/>
  <c r="L179" i="121" s="1"/>
  <c r="K177" i="121"/>
  <c r="L177" i="121" s="1"/>
  <c r="K175" i="121"/>
  <c r="L175" i="121" s="1"/>
  <c r="K173" i="121"/>
  <c r="L173" i="121" s="1"/>
  <c r="K171" i="121"/>
  <c r="L171" i="121" s="1"/>
  <c r="K169" i="121"/>
  <c r="L169" i="121" s="1"/>
  <c r="K167" i="121"/>
  <c r="L167" i="121" s="1"/>
  <c r="K165" i="121"/>
  <c r="L165" i="121" s="1"/>
  <c r="K163" i="121"/>
  <c r="L163" i="121" s="1"/>
  <c r="K161" i="121"/>
  <c r="L161" i="121" s="1"/>
  <c r="K159" i="121"/>
  <c r="L159" i="121" s="1"/>
  <c r="K157" i="121"/>
  <c r="L157" i="121" s="1"/>
  <c r="K155" i="121"/>
  <c r="L155" i="121" s="1"/>
  <c r="K153" i="121"/>
  <c r="L153" i="121" s="1"/>
  <c r="K151" i="121"/>
  <c r="L151" i="121" s="1"/>
  <c r="K149" i="121"/>
  <c r="L149" i="121" s="1"/>
  <c r="K147" i="121"/>
  <c r="L147" i="121" s="1"/>
  <c r="K145" i="121"/>
  <c r="L145" i="121" s="1"/>
  <c r="K143" i="121"/>
  <c r="L143" i="121" s="1"/>
  <c r="K141" i="121"/>
  <c r="L141" i="121" s="1"/>
  <c r="K139" i="121"/>
  <c r="L139" i="121" s="1"/>
  <c r="K137" i="121"/>
  <c r="L137" i="121" s="1"/>
  <c r="K135" i="121"/>
  <c r="L135" i="121" s="1"/>
  <c r="K133" i="121"/>
  <c r="L133" i="121" s="1"/>
  <c r="K131" i="121"/>
  <c r="L131" i="121" s="1"/>
  <c r="K129" i="121"/>
  <c r="L129" i="121" s="1"/>
  <c r="K127" i="121"/>
  <c r="L127" i="121" s="1"/>
  <c r="K125" i="121"/>
  <c r="L125" i="121" s="1"/>
  <c r="K123" i="121"/>
  <c r="L123" i="121" s="1"/>
  <c r="K121" i="121"/>
  <c r="L121" i="121" s="1"/>
  <c r="K119" i="121"/>
  <c r="L119" i="121" s="1"/>
  <c r="K117" i="121"/>
  <c r="L117" i="121" s="1"/>
  <c r="K115" i="121"/>
  <c r="L115" i="121" s="1"/>
  <c r="K113" i="121"/>
  <c r="L113" i="121" s="1"/>
  <c r="K111" i="121"/>
  <c r="L111" i="121" s="1"/>
  <c r="K109" i="121"/>
  <c r="L109" i="121" s="1"/>
  <c r="K107" i="121"/>
  <c r="L107" i="121" s="1"/>
  <c r="K105" i="121"/>
  <c r="L105" i="121" s="1"/>
  <c r="K103" i="121"/>
  <c r="L103" i="121" s="1"/>
  <c r="K101" i="121"/>
  <c r="K99" i="121"/>
  <c r="K97" i="121"/>
  <c r="K95" i="121"/>
  <c r="K93" i="121"/>
  <c r="K91" i="121"/>
  <c r="K89" i="121"/>
  <c r="K87" i="121"/>
  <c r="K85" i="121"/>
  <c r="K83" i="121"/>
  <c r="K81" i="121"/>
  <c r="K79" i="121"/>
  <c r="K77" i="121"/>
  <c r="K75" i="121"/>
  <c r="K73" i="121"/>
  <c r="K71" i="121"/>
  <c r="K69" i="121"/>
  <c r="K67" i="121"/>
  <c r="K65" i="121"/>
  <c r="K63" i="121"/>
  <c r="K61" i="121"/>
  <c r="K59" i="121"/>
  <c r="K57" i="121"/>
  <c r="K55" i="121"/>
  <c r="K53" i="121"/>
  <c r="K51" i="121"/>
  <c r="K49" i="121"/>
  <c r="K47" i="121"/>
  <c r="K45" i="121"/>
  <c r="K43" i="121"/>
  <c r="K41" i="121"/>
  <c r="K39" i="121"/>
  <c r="K37" i="121"/>
  <c r="K35" i="121"/>
  <c r="K33" i="121"/>
  <c r="K31" i="121"/>
  <c r="K29" i="121"/>
  <c r="K27" i="121"/>
  <c r="K25" i="121"/>
  <c r="K23" i="121"/>
  <c r="K21" i="121"/>
  <c r="K19" i="121"/>
  <c r="K17" i="121"/>
  <c r="K15" i="121"/>
  <c r="K13" i="121"/>
  <c r="K11" i="121"/>
  <c r="K9" i="121"/>
  <c r="K7" i="121"/>
  <c r="K5" i="121"/>
  <c r="V999" i="121"/>
  <c r="V997" i="121"/>
  <c r="V995" i="121"/>
  <c r="V993" i="121"/>
  <c r="V991" i="121"/>
  <c r="V989" i="121"/>
  <c r="V987" i="121"/>
  <c r="V985" i="121"/>
  <c r="V983" i="121"/>
  <c r="V981" i="121"/>
  <c r="V979" i="121"/>
  <c r="V977" i="121"/>
  <c r="V975" i="121"/>
  <c r="V973" i="121"/>
  <c r="V971" i="121"/>
  <c r="V969" i="121"/>
  <c r="V967" i="121"/>
  <c r="V965" i="121"/>
  <c r="V963" i="121"/>
  <c r="V961" i="121"/>
  <c r="V959" i="121"/>
  <c r="V957" i="121"/>
  <c r="V955" i="121"/>
  <c r="V953" i="121"/>
  <c r="V951" i="121"/>
  <c r="V949" i="121"/>
  <c r="V947" i="121"/>
  <c r="V945" i="121"/>
  <c r="V998" i="121"/>
  <c r="V996" i="121"/>
  <c r="V994" i="121"/>
  <c r="V992" i="121"/>
  <c r="V990" i="121"/>
  <c r="V988" i="121"/>
  <c r="V986" i="121"/>
  <c r="V984" i="121"/>
  <c r="V982" i="121"/>
  <c r="V980" i="121"/>
  <c r="V978" i="121"/>
  <c r="V976" i="121"/>
  <c r="V974" i="121"/>
  <c r="V972" i="121"/>
  <c r="V970" i="121"/>
  <c r="V968" i="121"/>
  <c r="V966" i="121"/>
  <c r="V964" i="121"/>
  <c r="V962" i="121"/>
  <c r="V960" i="121"/>
  <c r="V958" i="121"/>
  <c r="V956" i="121"/>
  <c r="V954" i="121"/>
  <c r="V952" i="121"/>
  <c r="V950" i="121"/>
  <c r="V948" i="121"/>
  <c r="V946" i="121"/>
  <c r="V1000" i="121"/>
  <c r="V944" i="121"/>
  <c r="V943" i="121"/>
  <c r="V941" i="121"/>
  <c r="V939" i="121"/>
  <c r="V937" i="121"/>
  <c r="V935" i="121"/>
  <c r="V933" i="121"/>
  <c r="V931" i="121"/>
  <c r="V929" i="121"/>
  <c r="V927" i="121"/>
  <c r="V925" i="121"/>
  <c r="V923" i="121"/>
  <c r="V921" i="121"/>
  <c r="V919" i="121"/>
  <c r="V917" i="121"/>
  <c r="V915" i="121"/>
  <c r="V913" i="121"/>
  <c r="V911" i="121"/>
  <c r="V909" i="121"/>
  <c r="V907" i="121"/>
  <c r="V905" i="121"/>
  <c r="V903" i="121"/>
  <c r="V901" i="121"/>
  <c r="V899" i="121"/>
  <c r="V897" i="121"/>
  <c r="V895" i="121"/>
  <c r="V893" i="121"/>
  <c r="V891" i="121"/>
  <c r="V889" i="121"/>
  <c r="V887" i="121"/>
  <c r="V885" i="121"/>
  <c r="V883" i="121"/>
  <c r="V881" i="121"/>
  <c r="V879" i="121"/>
  <c r="V877" i="121"/>
  <c r="V875" i="121"/>
  <c r="V873" i="121"/>
  <c r="V871" i="121"/>
  <c r="V869" i="121"/>
  <c r="V867" i="121"/>
  <c r="V865" i="121"/>
  <c r="V863" i="121"/>
  <c r="V861" i="121"/>
  <c r="V859" i="121"/>
  <c r="V857" i="121"/>
  <c r="V855" i="121"/>
  <c r="V853" i="121"/>
  <c r="V851" i="121"/>
  <c r="V849" i="121"/>
  <c r="V847" i="121"/>
  <c r="V845" i="121"/>
  <c r="V843" i="121"/>
  <c r="V841" i="121"/>
  <c r="V839" i="121"/>
  <c r="V837" i="121"/>
  <c r="V835" i="121"/>
  <c r="V833" i="121"/>
  <c r="V831" i="121"/>
  <c r="V829" i="121"/>
  <c r="V827" i="121"/>
  <c r="V825" i="121"/>
  <c r="V823" i="121"/>
  <c r="V821" i="121"/>
  <c r="V819" i="121"/>
  <c r="V817" i="121"/>
  <c r="V815" i="121"/>
  <c r="V813" i="121"/>
  <c r="V811" i="121"/>
  <c r="V809" i="121"/>
  <c r="V880" i="121"/>
  <c r="V844" i="121"/>
  <c r="V830" i="121"/>
  <c r="V807" i="121"/>
  <c r="V805" i="121"/>
  <c r="V803" i="121"/>
  <c r="V801" i="121"/>
  <c r="V799" i="121"/>
  <c r="V797" i="121"/>
  <c r="V795" i="121"/>
  <c r="V793" i="121"/>
  <c r="V791" i="121"/>
  <c r="V789" i="121"/>
  <c r="V787" i="121"/>
  <c r="V785" i="121"/>
  <c r="V783" i="121"/>
  <c r="V781" i="121"/>
  <c r="V779" i="121"/>
  <c r="V777" i="121"/>
  <c r="V775" i="121"/>
  <c r="V773" i="121"/>
  <c r="V771" i="121"/>
  <c r="V769" i="121"/>
  <c r="V767" i="121"/>
  <c r="V765" i="121"/>
  <c r="V763" i="121"/>
  <c r="V761" i="121"/>
  <c r="V759" i="121"/>
  <c r="V757" i="121"/>
  <c r="V755" i="121"/>
  <c r="V753" i="121"/>
  <c r="V751" i="121"/>
  <c r="V749" i="121"/>
  <c r="V747" i="121"/>
  <c r="V745" i="121"/>
  <c r="V743" i="121"/>
  <c r="V741" i="121"/>
  <c r="V739" i="121"/>
  <c r="V737" i="121"/>
  <c r="V735" i="121"/>
  <c r="V733" i="121"/>
  <c r="V731" i="121"/>
  <c r="V729" i="121"/>
  <c r="V890" i="121"/>
  <c r="V888" i="121"/>
  <c r="V886" i="121"/>
  <c r="V884" i="121"/>
  <c r="V882" i="121"/>
  <c r="V874" i="121"/>
  <c r="V872" i="121"/>
  <c r="V870" i="121"/>
  <c r="V868" i="121"/>
  <c r="V866" i="121"/>
  <c r="V864" i="121"/>
  <c r="V862" i="121"/>
  <c r="V860" i="121"/>
  <c r="V858" i="121"/>
  <c r="V856" i="121"/>
  <c r="V854" i="121"/>
  <c r="V852" i="121"/>
  <c r="V850" i="121"/>
  <c r="V848" i="121"/>
  <c r="V846" i="121"/>
  <c r="V838" i="121"/>
  <c r="V836" i="121"/>
  <c r="V834" i="121"/>
  <c r="V832" i="121"/>
  <c r="V892" i="121"/>
  <c r="V876" i="121"/>
  <c r="V840" i="121"/>
  <c r="V808" i="121"/>
  <c r="V806" i="121"/>
  <c r="V804" i="121"/>
  <c r="V802" i="121"/>
  <c r="V800" i="121"/>
  <c r="V798" i="121"/>
  <c r="V796" i="121"/>
  <c r="V794" i="121"/>
  <c r="V792" i="121"/>
  <c r="V790" i="121"/>
  <c r="V788" i="121"/>
  <c r="V786" i="121"/>
  <c r="V784" i="121"/>
  <c r="V782" i="121"/>
  <c r="V780" i="121"/>
  <c r="V778" i="121"/>
  <c r="V776" i="121"/>
  <c r="V774" i="121"/>
  <c r="V772" i="121"/>
  <c r="V770" i="121"/>
  <c r="V768" i="121"/>
  <c r="V766" i="121"/>
  <c r="V764" i="121"/>
  <c r="V762" i="121"/>
  <c r="V760" i="121"/>
  <c r="V758" i="121"/>
  <c r="V756" i="121"/>
  <c r="V754" i="121"/>
  <c r="V752" i="121"/>
  <c r="V750" i="121"/>
  <c r="V748" i="121"/>
  <c r="V746" i="121"/>
  <c r="V744" i="121"/>
  <c r="V742" i="121"/>
  <c r="V942" i="121"/>
  <c r="V940" i="121"/>
  <c r="V938" i="121"/>
  <c r="V936" i="121"/>
  <c r="V934" i="121"/>
  <c r="V932" i="121"/>
  <c r="V930" i="121"/>
  <c r="V928" i="121"/>
  <c r="V926" i="121"/>
  <c r="V924" i="121"/>
  <c r="V922" i="121"/>
  <c r="V920" i="121"/>
  <c r="V918" i="121"/>
  <c r="V916" i="121"/>
  <c r="V914" i="121"/>
  <c r="V912" i="121"/>
  <c r="V910" i="121"/>
  <c r="V908" i="121"/>
  <c r="V906" i="121"/>
  <c r="V904" i="121"/>
  <c r="V902" i="121"/>
  <c r="V900" i="121"/>
  <c r="V898" i="121"/>
  <c r="V896" i="121"/>
  <c r="V894" i="121"/>
  <c r="V878" i="121"/>
  <c r="V842" i="121"/>
  <c r="V828" i="121"/>
  <c r="V826" i="121"/>
  <c r="V824" i="121"/>
  <c r="V822" i="121"/>
  <c r="V820" i="121"/>
  <c r="V818" i="121"/>
  <c r="V816" i="121"/>
  <c r="V814" i="121"/>
  <c r="V812" i="121"/>
  <c r="V810" i="121"/>
  <c r="V727" i="121"/>
  <c r="V726" i="121"/>
  <c r="V719" i="121"/>
  <c r="V718" i="121"/>
  <c r="V715" i="121"/>
  <c r="V714" i="121"/>
  <c r="V711" i="121"/>
  <c r="V710" i="121"/>
  <c r="V707" i="121"/>
  <c r="V706" i="121"/>
  <c r="V703" i="121"/>
  <c r="V701" i="121"/>
  <c r="V699" i="121"/>
  <c r="V697" i="121"/>
  <c r="V695" i="121"/>
  <c r="V693" i="121"/>
  <c r="V691" i="121"/>
  <c r="V689" i="121"/>
  <c r="V687" i="121"/>
  <c r="V685" i="121"/>
  <c r="V683" i="121"/>
  <c r="V681" i="121"/>
  <c r="V679" i="121"/>
  <c r="V677" i="121"/>
  <c r="V675" i="121"/>
  <c r="V673" i="121"/>
  <c r="V671" i="121"/>
  <c r="V669" i="121"/>
  <c r="V667" i="121"/>
  <c r="V665" i="121"/>
  <c r="V663" i="121"/>
  <c r="V661" i="121"/>
  <c r="V659" i="121"/>
  <c r="V657" i="121"/>
  <c r="V655" i="121"/>
  <c r="V653" i="121"/>
  <c r="V651" i="121"/>
  <c r="V649" i="121"/>
  <c r="V647" i="121"/>
  <c r="V645" i="121"/>
  <c r="V643" i="121"/>
  <c r="V641" i="121"/>
  <c r="V639" i="121"/>
  <c r="V637" i="121"/>
  <c r="V635" i="121"/>
  <c r="V633" i="121"/>
  <c r="V631" i="121"/>
  <c r="V629" i="121"/>
  <c r="V627" i="121"/>
  <c r="V625" i="121"/>
  <c r="V623" i="121"/>
  <c r="V621" i="121"/>
  <c r="V619" i="121"/>
  <c r="V617" i="121"/>
  <c r="V615" i="121"/>
  <c r="V613" i="121"/>
  <c r="V611" i="121"/>
  <c r="V609" i="121"/>
  <c r="V607" i="121"/>
  <c r="V605" i="121"/>
  <c r="V603" i="121"/>
  <c r="V601" i="121"/>
  <c r="V599" i="121"/>
  <c r="V597" i="121"/>
  <c r="V595" i="121"/>
  <c r="V593" i="121"/>
  <c r="V591" i="121"/>
  <c r="V589" i="121"/>
  <c r="V725" i="121"/>
  <c r="V724" i="121"/>
  <c r="V717" i="121"/>
  <c r="V723" i="121"/>
  <c r="V722" i="121"/>
  <c r="V716" i="121"/>
  <c r="V713" i="121"/>
  <c r="V712" i="121"/>
  <c r="V709" i="121"/>
  <c r="V708" i="121"/>
  <c r="V705" i="121"/>
  <c r="V704" i="121"/>
  <c r="V702" i="121"/>
  <c r="V700" i="121"/>
  <c r="V698" i="121"/>
  <c r="V696" i="121"/>
  <c r="V694" i="121"/>
  <c r="V692" i="121"/>
  <c r="V690" i="121"/>
  <c r="V688" i="121"/>
  <c r="V686" i="121"/>
  <c r="V684" i="121"/>
  <c r="V682" i="121"/>
  <c r="V680" i="121"/>
  <c r="V678" i="121"/>
  <c r="V676" i="121"/>
  <c r="V674" i="121"/>
  <c r="V672" i="121"/>
  <c r="V670" i="121"/>
  <c r="V668" i="121"/>
  <c r="V666" i="121"/>
  <c r="V664" i="121"/>
  <c r="V662" i="121"/>
  <c r="V660" i="121"/>
  <c r="V658" i="121"/>
  <c r="V656" i="121"/>
  <c r="V654" i="121"/>
  <c r="V652" i="121"/>
  <c r="V650" i="121"/>
  <c r="V648" i="121"/>
  <c r="V646" i="121"/>
  <c r="V644" i="121"/>
  <c r="V642" i="121"/>
  <c r="V640" i="121"/>
  <c r="V638" i="121"/>
  <c r="V636" i="121"/>
  <c r="V634" i="121"/>
  <c r="V632" i="121"/>
  <c r="V630" i="121"/>
  <c r="V628" i="121"/>
  <c r="V626" i="121"/>
  <c r="V624" i="121"/>
  <c r="V622" i="121"/>
  <c r="V620" i="121"/>
  <c r="V618" i="121"/>
  <c r="V616" i="121"/>
  <c r="V614" i="121"/>
  <c r="V612" i="121"/>
  <c r="V610" i="121"/>
  <c r="V608" i="121"/>
  <c r="V606" i="121"/>
  <c r="V604" i="121"/>
  <c r="V602" i="121"/>
  <c r="V600" i="121"/>
  <c r="V598" i="121"/>
  <c r="V596" i="121"/>
  <c r="V740" i="121"/>
  <c r="V738" i="121"/>
  <c r="V736" i="121"/>
  <c r="V734" i="121"/>
  <c r="V732" i="121"/>
  <c r="V730" i="121"/>
  <c r="V728" i="121"/>
  <c r="V721" i="121"/>
  <c r="V720" i="121"/>
  <c r="V590" i="121"/>
  <c r="V587" i="121"/>
  <c r="V585" i="121"/>
  <c r="V583" i="121"/>
  <c r="V581" i="121"/>
  <c r="V579" i="121"/>
  <c r="V577" i="121"/>
  <c r="V575" i="121"/>
  <c r="V573" i="121"/>
  <c r="V571" i="121"/>
  <c r="V569" i="121"/>
  <c r="V567" i="121"/>
  <c r="V565" i="121"/>
  <c r="V563" i="121"/>
  <c r="V561" i="121"/>
  <c r="V559" i="121"/>
  <c r="V557" i="121"/>
  <c r="V555" i="121"/>
  <c r="V553" i="121"/>
  <c r="V551" i="121"/>
  <c r="V549" i="121"/>
  <c r="V547" i="121"/>
  <c r="V545" i="121"/>
  <c r="V543" i="121"/>
  <c r="V541" i="121"/>
  <c r="V539" i="121"/>
  <c r="V537" i="121"/>
  <c r="V535" i="121"/>
  <c r="V533" i="121"/>
  <c r="V531" i="121"/>
  <c r="V529" i="121"/>
  <c r="V527" i="121"/>
  <c r="V525" i="121"/>
  <c r="V523" i="121"/>
  <c r="V521" i="121"/>
  <c r="V519" i="121"/>
  <c r="V517" i="121"/>
  <c r="V515" i="121"/>
  <c r="V513" i="121"/>
  <c r="V511" i="121"/>
  <c r="V509" i="121"/>
  <c r="V507" i="121"/>
  <c r="V505" i="121"/>
  <c r="V503" i="121"/>
  <c r="V501" i="121"/>
  <c r="V499" i="121"/>
  <c r="V497" i="121"/>
  <c r="V495" i="121"/>
  <c r="V493" i="121"/>
  <c r="V491" i="121"/>
  <c r="V489" i="121"/>
  <c r="V487" i="121"/>
  <c r="V485" i="121"/>
  <c r="V483" i="121"/>
  <c r="V481" i="121"/>
  <c r="V479" i="121"/>
  <c r="V477" i="121"/>
  <c r="V475" i="121"/>
  <c r="V473" i="121"/>
  <c r="V471" i="121"/>
  <c r="V469" i="121"/>
  <c r="V467" i="121"/>
  <c r="V465" i="121"/>
  <c r="V463" i="121"/>
  <c r="V461" i="121"/>
  <c r="V459" i="121"/>
  <c r="V457" i="121"/>
  <c r="V455" i="121"/>
  <c r="V453" i="121"/>
  <c r="V451" i="121"/>
  <c r="V449" i="121"/>
  <c r="V447" i="121"/>
  <c r="V445" i="121"/>
  <c r="V443" i="121"/>
  <c r="V441" i="121"/>
  <c r="V592" i="121"/>
  <c r="V594" i="121"/>
  <c r="V588" i="121"/>
  <c r="V586" i="121"/>
  <c r="V584" i="121"/>
  <c r="V582" i="121"/>
  <c r="V580" i="121"/>
  <c r="V578" i="121"/>
  <c r="V576" i="121"/>
  <c r="V574" i="121"/>
  <c r="V572" i="121"/>
  <c r="V570" i="121"/>
  <c r="V568" i="121"/>
  <c r="V566" i="121"/>
  <c r="V564" i="121"/>
  <c r="V562" i="121"/>
  <c r="V560" i="121"/>
  <c r="V558" i="121"/>
  <c r="V556" i="121"/>
  <c r="V554" i="121"/>
  <c r="V552" i="121"/>
  <c r="V550" i="121"/>
  <c r="V548" i="121"/>
  <c r="V546" i="121"/>
  <c r="V544" i="121"/>
  <c r="V542" i="121"/>
  <c r="V540" i="121"/>
  <c r="V538" i="121"/>
  <c r="V536" i="121"/>
  <c r="V534" i="121"/>
  <c r="V532" i="121"/>
  <c r="V530" i="121"/>
  <c r="V528" i="121"/>
  <c r="V526" i="121"/>
  <c r="V524" i="121"/>
  <c r="V522" i="121"/>
  <c r="V520" i="121"/>
  <c r="V518" i="121"/>
  <c r="V516" i="121"/>
  <c r="V514" i="121"/>
  <c r="V512" i="121"/>
  <c r="V510" i="121"/>
  <c r="V508" i="121"/>
  <c r="V506" i="121"/>
  <c r="V504" i="121"/>
  <c r="V502" i="121"/>
  <c r="V500" i="121"/>
  <c r="V498" i="121"/>
  <c r="V496" i="121"/>
  <c r="V494" i="121"/>
  <c r="V492" i="121"/>
  <c r="V490" i="121"/>
  <c r="V488" i="121"/>
  <c r="V486" i="121"/>
  <c r="V484" i="121"/>
  <c r="V482" i="121"/>
  <c r="V480" i="121"/>
  <c r="V478" i="121"/>
  <c r="V476" i="121"/>
  <c r="V474" i="121"/>
  <c r="V472" i="121"/>
  <c r="V470" i="121"/>
  <c r="V468" i="121"/>
  <c r="V466" i="121"/>
  <c r="V464" i="121"/>
  <c r="V462" i="121"/>
  <c r="V460" i="121"/>
  <c r="V458" i="121"/>
  <c r="V456" i="121"/>
  <c r="V454" i="121"/>
  <c r="V452" i="121"/>
  <c r="V450" i="121"/>
  <c r="V448" i="121"/>
  <c r="V446" i="121"/>
  <c r="V444" i="121"/>
  <c r="V442" i="121"/>
  <c r="V440" i="121"/>
  <c r="V438" i="121"/>
  <c r="V436" i="121"/>
  <c r="V434" i="121"/>
  <c r="V432" i="121"/>
  <c r="V430" i="121"/>
  <c r="V428" i="121"/>
  <c r="V426" i="121"/>
  <c r="V424" i="121"/>
  <c r="V422" i="121"/>
  <c r="V420" i="121"/>
  <c r="V418" i="121"/>
  <c r="V416" i="121"/>
  <c r="V414" i="121"/>
  <c r="V412" i="121"/>
  <c r="V410" i="121"/>
  <c r="V408" i="121"/>
  <c r="V406" i="121"/>
  <c r="V404" i="121"/>
  <c r="V402" i="121"/>
  <c r="V400" i="121"/>
  <c r="V398" i="121"/>
  <c r="V396" i="121"/>
  <c r="V394" i="121"/>
  <c r="V392" i="121"/>
  <c r="V390" i="121"/>
  <c r="V388" i="121"/>
  <c r="V386" i="121"/>
  <c r="V384" i="121"/>
  <c r="V382" i="121"/>
  <c r="V380" i="121"/>
  <c r="V378" i="121"/>
  <c r="V376" i="121"/>
  <c r="V374" i="121"/>
  <c r="V372" i="121"/>
  <c r="V370" i="121"/>
  <c r="V368" i="121"/>
  <c r="V366" i="121"/>
  <c r="V364" i="121"/>
  <c r="V362" i="121"/>
  <c r="V360" i="121"/>
  <c r="V358" i="121"/>
  <c r="V356" i="121"/>
  <c r="V354" i="121"/>
  <c r="V352" i="121"/>
  <c r="V350" i="121"/>
  <c r="V348" i="121"/>
  <c r="V346" i="121"/>
  <c r="V344" i="121"/>
  <c r="V342" i="121"/>
  <c r="V340" i="121"/>
  <c r="V338" i="121"/>
  <c r="V336" i="121"/>
  <c r="V334" i="121"/>
  <c r="V332" i="121"/>
  <c r="V330" i="121"/>
  <c r="V328" i="121"/>
  <c r="V326" i="121"/>
  <c r="V324" i="121"/>
  <c r="V322" i="121"/>
  <c r="V320" i="121"/>
  <c r="V318" i="121"/>
  <c r="V316" i="121"/>
  <c r="V314" i="121"/>
  <c r="V312" i="121"/>
  <c r="V310" i="121"/>
  <c r="V308" i="121"/>
  <c r="V306" i="121"/>
  <c r="V304" i="121"/>
  <c r="V302" i="121"/>
  <c r="V300" i="121"/>
  <c r="V298" i="121"/>
  <c r="V296" i="121"/>
  <c r="V294" i="121"/>
  <c r="V292" i="121"/>
  <c r="V290" i="121"/>
  <c r="V288" i="121"/>
  <c r="V286" i="121"/>
  <c r="V284" i="121"/>
  <c r="V282" i="121"/>
  <c r="V280" i="121"/>
  <c r="V278" i="121"/>
  <c r="V276" i="121"/>
  <c r="V274" i="121"/>
  <c r="V272" i="121"/>
  <c r="V270" i="121"/>
  <c r="V268" i="121"/>
  <c r="V266" i="121"/>
  <c r="V264" i="121"/>
  <c r="V262" i="121"/>
  <c r="V260" i="121"/>
  <c r="V258" i="121"/>
  <c r="V256" i="121"/>
  <c r="V254" i="121"/>
  <c r="V252" i="121"/>
  <c r="V250" i="121"/>
  <c r="V248" i="121"/>
  <c r="V246" i="121"/>
  <c r="V244" i="121"/>
  <c r="V242" i="121"/>
  <c r="V240" i="121"/>
  <c r="V238" i="121"/>
  <c r="V236" i="121"/>
  <c r="V234" i="121"/>
  <c r="V232" i="121"/>
  <c r="V230" i="121"/>
  <c r="V228" i="121"/>
  <c r="V226" i="121"/>
  <c r="V224" i="121"/>
  <c r="V222" i="121"/>
  <c r="V220" i="121"/>
  <c r="V218" i="121"/>
  <c r="V216" i="121"/>
  <c r="V214" i="121"/>
  <c r="V212" i="121"/>
  <c r="V210" i="121"/>
  <c r="V208" i="121"/>
  <c r="V206" i="121"/>
  <c r="V204" i="121"/>
  <c r="V202" i="121"/>
  <c r="V200" i="121"/>
  <c r="V198" i="121"/>
  <c r="V196" i="121"/>
  <c r="V439" i="121"/>
  <c r="V437" i="121"/>
  <c r="V435" i="121"/>
  <c r="V433" i="121"/>
  <c r="V431" i="121"/>
  <c r="V429" i="121"/>
  <c r="V427" i="121"/>
  <c r="V425" i="121"/>
  <c r="V423" i="121"/>
  <c r="V421" i="121"/>
  <c r="V419" i="121"/>
  <c r="V417" i="121"/>
  <c r="V415" i="121"/>
  <c r="V413" i="121"/>
  <c r="V411" i="121"/>
  <c r="V409" i="121"/>
  <c r="V407" i="121"/>
  <c r="V405" i="121"/>
  <c r="V403" i="121"/>
  <c r="V401" i="121"/>
  <c r="V399" i="121"/>
  <c r="V397" i="121"/>
  <c r="V395" i="121"/>
  <c r="V393" i="121"/>
  <c r="V391" i="121"/>
  <c r="V389" i="121"/>
  <c r="V387" i="121"/>
  <c r="V385" i="121"/>
  <c r="V383" i="121"/>
  <c r="V381" i="121"/>
  <c r="V379" i="121"/>
  <c r="V377" i="121"/>
  <c r="V375" i="121"/>
  <c r="V373" i="121"/>
  <c r="V371" i="121"/>
  <c r="V369" i="121"/>
  <c r="V367" i="121"/>
  <c r="V365" i="121"/>
  <c r="V363" i="121"/>
  <c r="V361" i="121"/>
  <c r="V359" i="121"/>
  <c r="V357" i="121"/>
  <c r="V355" i="121"/>
  <c r="V353" i="121"/>
  <c r="V351" i="121"/>
  <c r="V349" i="121"/>
  <c r="V347" i="121"/>
  <c r="V345" i="121"/>
  <c r="V343" i="121"/>
  <c r="V341" i="121"/>
  <c r="V339" i="121"/>
  <c r="V337" i="121"/>
  <c r="V335" i="121"/>
  <c r="V333" i="121"/>
  <c r="V331" i="121"/>
  <c r="V329" i="121"/>
  <c r="V327" i="121"/>
  <c r="V325" i="121"/>
  <c r="V323" i="121"/>
  <c r="V321" i="121"/>
  <c r="V319" i="121"/>
  <c r="V317" i="121"/>
  <c r="V315" i="121"/>
  <c r="V313" i="121"/>
  <c r="V311" i="121"/>
  <c r="V309" i="121"/>
  <c r="V307" i="121"/>
  <c r="V305" i="121"/>
  <c r="V303" i="121"/>
  <c r="V301" i="121"/>
  <c r="V299" i="121"/>
  <c r="V297" i="121"/>
  <c r="V295" i="121"/>
  <c r="V293" i="121"/>
  <c r="V291" i="121"/>
  <c r="V289" i="121"/>
  <c r="V287" i="121"/>
  <c r="V285" i="121"/>
  <c r="V283" i="121"/>
  <c r="V281" i="121"/>
  <c r="V279" i="121"/>
  <c r="V277" i="121"/>
  <c r="V275" i="121"/>
  <c r="V273" i="121"/>
  <c r="V271" i="121"/>
  <c r="V269" i="121"/>
  <c r="V267" i="121"/>
  <c r="V265" i="121"/>
  <c r="V263" i="121"/>
  <c r="V261" i="121"/>
  <c r="V259" i="121"/>
  <c r="V257" i="121"/>
  <c r="V255" i="121"/>
  <c r="V253" i="121"/>
  <c r="V251" i="121"/>
  <c r="V249" i="121"/>
  <c r="V247" i="121"/>
  <c r="V245" i="121"/>
  <c r="V243" i="121"/>
  <c r="V241" i="121"/>
  <c r="V239" i="121"/>
  <c r="V237" i="121"/>
  <c r="V235" i="121"/>
  <c r="V233" i="121"/>
  <c r="V231" i="121"/>
  <c r="V229" i="121"/>
  <c r="V227" i="121"/>
  <c r="V225" i="121"/>
  <c r="V223" i="121"/>
  <c r="V221" i="121"/>
  <c r="V219" i="121"/>
  <c r="V217" i="121"/>
  <c r="V215" i="121"/>
  <c r="V213" i="121"/>
  <c r="V211" i="121"/>
  <c r="V209" i="121"/>
  <c r="V207" i="121"/>
  <c r="V205" i="121"/>
  <c r="V203" i="121"/>
  <c r="V201" i="121"/>
  <c r="V199" i="121"/>
  <c r="V197" i="121"/>
  <c r="V195" i="121"/>
  <c r="V193" i="121"/>
  <c r="V191" i="121"/>
  <c r="V189" i="121"/>
  <c r="V187" i="121"/>
  <c r="V185" i="121"/>
  <c r="V183" i="121"/>
  <c r="V181" i="121"/>
  <c r="V179" i="121"/>
  <c r="V177" i="121"/>
  <c r="V175" i="121"/>
  <c r="V173" i="121"/>
  <c r="V171" i="121"/>
  <c r="V169" i="121"/>
  <c r="V167" i="121"/>
  <c r="V165" i="121"/>
  <c r="V163" i="121"/>
  <c r="V161" i="121"/>
  <c r="V159" i="121"/>
  <c r="V157" i="121"/>
  <c r="V155" i="121"/>
  <c r="V153" i="121"/>
  <c r="V151" i="121"/>
  <c r="V149" i="121"/>
  <c r="V147" i="121"/>
  <c r="V145" i="121"/>
  <c r="V143" i="121"/>
  <c r="V141" i="121"/>
  <c r="V139" i="121"/>
  <c r="V137" i="121"/>
  <c r="V135" i="121"/>
  <c r="V133" i="121"/>
  <c r="V131" i="121"/>
  <c r="V129" i="121"/>
  <c r="V127" i="121"/>
  <c r="V125" i="121"/>
  <c r="V123" i="121"/>
  <c r="V121" i="121"/>
  <c r="V119" i="121"/>
  <c r="V117" i="121"/>
  <c r="V115" i="121"/>
  <c r="V113" i="121"/>
  <c r="V111" i="121"/>
  <c r="V109" i="121"/>
  <c r="V107" i="121"/>
  <c r="V105" i="121"/>
  <c r="V103" i="121"/>
  <c r="V101" i="121"/>
  <c r="V99" i="121"/>
  <c r="V97" i="121"/>
  <c r="V95" i="121"/>
  <c r="V93" i="121"/>
  <c r="V91" i="121"/>
  <c r="V89" i="121"/>
  <c r="V87" i="121"/>
  <c r="V85" i="121"/>
  <c r="V83" i="121"/>
  <c r="V81" i="121"/>
  <c r="V79" i="121"/>
  <c r="V77" i="121"/>
  <c r="V75" i="121"/>
  <c r="V73" i="121"/>
  <c r="V71" i="121"/>
  <c r="V69" i="121"/>
  <c r="V67" i="121"/>
  <c r="V65" i="121"/>
  <c r="V63" i="121"/>
  <c r="V61" i="121"/>
  <c r="V59" i="121"/>
  <c r="V57" i="121"/>
  <c r="V55" i="121"/>
  <c r="V53" i="121"/>
  <c r="V51" i="121"/>
  <c r="V49" i="121"/>
  <c r="V47" i="121"/>
  <c r="V45" i="121"/>
  <c r="V43" i="121"/>
  <c r="V41" i="121"/>
  <c r="V39" i="121"/>
  <c r="V37" i="121"/>
  <c r="V35" i="121"/>
  <c r="V33" i="121"/>
  <c r="V31" i="121"/>
  <c r="V29" i="121"/>
  <c r="V27" i="121"/>
  <c r="V25" i="121"/>
  <c r="V23" i="121"/>
  <c r="V21" i="121"/>
  <c r="V19" i="121"/>
  <c r="V17" i="121"/>
  <c r="V15" i="121"/>
  <c r="V13" i="121"/>
  <c r="V11" i="121"/>
  <c r="V9" i="121"/>
  <c r="V7" i="121"/>
  <c r="V3" i="121"/>
  <c r="V8" i="121"/>
  <c r="V6" i="121"/>
  <c r="V4" i="121"/>
  <c r="V194" i="121"/>
  <c r="V192" i="121"/>
  <c r="V190" i="121"/>
  <c r="V188" i="121"/>
  <c r="V186" i="121"/>
  <c r="V184" i="121"/>
  <c r="V182" i="121"/>
  <c r="V180" i="121"/>
  <c r="V178" i="121"/>
  <c r="V176" i="121"/>
  <c r="V174" i="121"/>
  <c r="V172" i="121"/>
  <c r="V170" i="121"/>
  <c r="V168" i="121"/>
  <c r="V166" i="121"/>
  <c r="V164" i="121"/>
  <c r="V162" i="121"/>
  <c r="V160" i="121"/>
  <c r="V158" i="121"/>
  <c r="V156" i="121"/>
  <c r="V154" i="121"/>
  <c r="V152" i="121"/>
  <c r="V150" i="121"/>
  <c r="V148" i="121"/>
  <c r="V146" i="121"/>
  <c r="V144" i="121"/>
  <c r="V142" i="121"/>
  <c r="V140" i="121"/>
  <c r="V138" i="121"/>
  <c r="V136" i="121"/>
  <c r="V134" i="121"/>
  <c r="V132" i="121"/>
  <c r="V130" i="121"/>
  <c r="V128" i="121"/>
  <c r="V126" i="121"/>
  <c r="V124" i="121"/>
  <c r="V122" i="121"/>
  <c r="V120" i="121"/>
  <c r="V118" i="121"/>
  <c r="V116" i="121"/>
  <c r="V114" i="121"/>
  <c r="V112" i="121"/>
  <c r="V110" i="121"/>
  <c r="V108" i="121"/>
  <c r="V106" i="121"/>
  <c r="V104" i="121"/>
  <c r="V102" i="121"/>
  <c r="V100" i="121"/>
  <c r="V98" i="121"/>
  <c r="V96" i="121"/>
  <c r="V94" i="121"/>
  <c r="V92" i="121"/>
  <c r="V90" i="121"/>
  <c r="V88" i="121"/>
  <c r="V86" i="121"/>
  <c r="V84" i="121"/>
  <c r="V82" i="121"/>
  <c r="V80" i="121"/>
  <c r="V78" i="121"/>
  <c r="V76" i="121"/>
  <c r="V74" i="121"/>
  <c r="V72" i="121"/>
  <c r="V70" i="121"/>
  <c r="V68" i="121"/>
  <c r="V66" i="121"/>
  <c r="V64" i="121"/>
  <c r="V62" i="121"/>
  <c r="V60" i="121"/>
  <c r="V58" i="121"/>
  <c r="V56" i="121"/>
  <c r="V54" i="121"/>
  <c r="V52" i="121"/>
  <c r="V50" i="121"/>
  <c r="V48" i="121"/>
  <c r="V46" i="121"/>
  <c r="V44" i="121"/>
  <c r="V42" i="121"/>
  <c r="V40" i="121"/>
  <c r="V38" i="121"/>
  <c r="V36" i="121"/>
  <c r="V34" i="121"/>
  <c r="V32" i="121"/>
  <c r="V30" i="121"/>
  <c r="V28" i="121"/>
  <c r="V26" i="121"/>
  <c r="V24" i="121"/>
  <c r="V22" i="121"/>
  <c r="V20" i="121"/>
  <c r="V18" i="121"/>
  <c r="V16" i="121"/>
  <c r="V14" i="121"/>
  <c r="V12" i="121"/>
  <c r="V10" i="121"/>
  <c r="V5" i="121"/>
  <c r="O1000" i="121"/>
  <c r="P1000" i="121" s="1"/>
  <c r="O998" i="121"/>
  <c r="P998" i="121" s="1"/>
  <c r="O996" i="121"/>
  <c r="P996" i="121" s="1"/>
  <c r="O994" i="121"/>
  <c r="P994" i="121" s="1"/>
  <c r="O992" i="121"/>
  <c r="P992" i="121" s="1"/>
  <c r="O990" i="121"/>
  <c r="P990" i="121" s="1"/>
  <c r="O988" i="121"/>
  <c r="P988" i="121" s="1"/>
  <c r="O986" i="121"/>
  <c r="P986" i="121" s="1"/>
  <c r="O984" i="121"/>
  <c r="P984" i="121" s="1"/>
  <c r="O982" i="121"/>
  <c r="P982" i="121" s="1"/>
  <c r="O980" i="121"/>
  <c r="P980" i="121" s="1"/>
  <c r="O978" i="121"/>
  <c r="P978" i="121" s="1"/>
  <c r="O976" i="121"/>
  <c r="P976" i="121" s="1"/>
  <c r="O974" i="121"/>
  <c r="P974" i="121" s="1"/>
  <c r="O972" i="121"/>
  <c r="P972" i="121" s="1"/>
  <c r="O970" i="121"/>
  <c r="P970" i="121" s="1"/>
  <c r="O968" i="121"/>
  <c r="P968" i="121" s="1"/>
  <c r="O966" i="121"/>
  <c r="P966" i="121" s="1"/>
  <c r="O964" i="121"/>
  <c r="P964" i="121" s="1"/>
  <c r="O962" i="121"/>
  <c r="P962" i="121" s="1"/>
  <c r="O960" i="121"/>
  <c r="P960" i="121" s="1"/>
  <c r="O958" i="121"/>
  <c r="P958" i="121" s="1"/>
  <c r="O956" i="121"/>
  <c r="P956" i="121" s="1"/>
  <c r="O954" i="121"/>
  <c r="P954" i="121" s="1"/>
  <c r="O952" i="121"/>
  <c r="P952" i="121" s="1"/>
  <c r="O950" i="121"/>
  <c r="P950" i="121" s="1"/>
  <c r="O948" i="121"/>
  <c r="P948" i="121" s="1"/>
  <c r="O999" i="121"/>
  <c r="P999" i="121" s="1"/>
  <c r="O997" i="121"/>
  <c r="P997" i="121" s="1"/>
  <c r="O995" i="121"/>
  <c r="P995" i="121" s="1"/>
  <c r="O993" i="121"/>
  <c r="P993" i="121" s="1"/>
  <c r="O991" i="121"/>
  <c r="P991" i="121" s="1"/>
  <c r="O989" i="121"/>
  <c r="P989" i="121" s="1"/>
  <c r="O987" i="121"/>
  <c r="P987" i="121" s="1"/>
  <c r="O985" i="121"/>
  <c r="P985" i="121" s="1"/>
  <c r="O983" i="121"/>
  <c r="P983" i="121" s="1"/>
  <c r="O981" i="121"/>
  <c r="P981" i="121" s="1"/>
  <c r="O979" i="121"/>
  <c r="P979" i="121" s="1"/>
  <c r="O977" i="121"/>
  <c r="P977" i="121" s="1"/>
  <c r="O975" i="121"/>
  <c r="P975" i="121" s="1"/>
  <c r="O973" i="121"/>
  <c r="P973" i="121" s="1"/>
  <c r="O971" i="121"/>
  <c r="P971" i="121" s="1"/>
  <c r="O969" i="121"/>
  <c r="P969" i="121" s="1"/>
  <c r="O967" i="121"/>
  <c r="P967" i="121" s="1"/>
  <c r="O965" i="121"/>
  <c r="P965" i="121" s="1"/>
  <c r="O963" i="121"/>
  <c r="P963" i="121" s="1"/>
  <c r="O961" i="121"/>
  <c r="P961" i="121" s="1"/>
  <c r="O959" i="121"/>
  <c r="P959" i="121" s="1"/>
  <c r="O957" i="121"/>
  <c r="P957" i="121" s="1"/>
  <c r="O955" i="121"/>
  <c r="P955" i="121" s="1"/>
  <c r="O953" i="121"/>
  <c r="P953" i="121" s="1"/>
  <c r="O951" i="121"/>
  <c r="P951" i="121" s="1"/>
  <c r="O949" i="121"/>
  <c r="P949" i="121" s="1"/>
  <c r="O947" i="121"/>
  <c r="P947" i="121" s="1"/>
  <c r="O943" i="121"/>
  <c r="P943" i="121" s="1"/>
  <c r="O941" i="121"/>
  <c r="P941" i="121" s="1"/>
  <c r="O939" i="121"/>
  <c r="P939" i="121" s="1"/>
  <c r="O937" i="121"/>
  <c r="P937" i="121" s="1"/>
  <c r="O935" i="121"/>
  <c r="P935" i="121" s="1"/>
  <c r="O933" i="121"/>
  <c r="P933" i="121" s="1"/>
  <c r="O931" i="121"/>
  <c r="P931" i="121" s="1"/>
  <c r="O929" i="121"/>
  <c r="P929" i="121" s="1"/>
  <c r="O927" i="121"/>
  <c r="P927" i="121" s="1"/>
  <c r="O925" i="121"/>
  <c r="P925" i="121" s="1"/>
  <c r="O923" i="121"/>
  <c r="P923" i="121" s="1"/>
  <c r="O921" i="121"/>
  <c r="P921" i="121" s="1"/>
  <c r="O919" i="121"/>
  <c r="P919" i="121" s="1"/>
  <c r="O917" i="121"/>
  <c r="P917" i="121" s="1"/>
  <c r="O915" i="121"/>
  <c r="P915" i="121" s="1"/>
  <c r="O913" i="121"/>
  <c r="P913" i="121" s="1"/>
  <c r="O911" i="121"/>
  <c r="P911" i="121" s="1"/>
  <c r="O909" i="121"/>
  <c r="P909" i="121" s="1"/>
  <c r="O907" i="121"/>
  <c r="P907" i="121" s="1"/>
  <c r="O905" i="121"/>
  <c r="P905" i="121" s="1"/>
  <c r="O903" i="121"/>
  <c r="P903" i="121" s="1"/>
  <c r="O901" i="121"/>
  <c r="P901" i="121" s="1"/>
  <c r="O899" i="121"/>
  <c r="P899" i="121" s="1"/>
  <c r="O897" i="121"/>
  <c r="P897" i="121" s="1"/>
  <c r="O895" i="121"/>
  <c r="P895" i="121" s="1"/>
  <c r="O893" i="121"/>
  <c r="P893" i="121" s="1"/>
  <c r="O891" i="121"/>
  <c r="P891" i="121" s="1"/>
  <c r="O889" i="121"/>
  <c r="P889" i="121" s="1"/>
  <c r="O887" i="121"/>
  <c r="P887" i="121" s="1"/>
  <c r="O885" i="121"/>
  <c r="P885" i="121" s="1"/>
  <c r="O883" i="121"/>
  <c r="P883" i="121" s="1"/>
  <c r="O881" i="121"/>
  <c r="P881" i="121" s="1"/>
  <c r="O879" i="121"/>
  <c r="P879" i="121" s="1"/>
  <c r="O877" i="121"/>
  <c r="P877" i="121" s="1"/>
  <c r="O875" i="121"/>
  <c r="P875" i="121" s="1"/>
  <c r="O873" i="121"/>
  <c r="P873" i="121" s="1"/>
  <c r="O871" i="121"/>
  <c r="P871" i="121" s="1"/>
  <c r="O869" i="121"/>
  <c r="P869" i="121" s="1"/>
  <c r="O867" i="121"/>
  <c r="P867" i="121" s="1"/>
  <c r="O865" i="121"/>
  <c r="P865" i="121" s="1"/>
  <c r="O863" i="121"/>
  <c r="P863" i="121" s="1"/>
  <c r="O861" i="121"/>
  <c r="P861" i="121" s="1"/>
  <c r="O859" i="121"/>
  <c r="P859" i="121" s="1"/>
  <c r="O857" i="121"/>
  <c r="P857" i="121" s="1"/>
  <c r="O855" i="121"/>
  <c r="P855" i="121" s="1"/>
  <c r="O853" i="121"/>
  <c r="P853" i="121" s="1"/>
  <c r="O851" i="121"/>
  <c r="P851" i="121" s="1"/>
  <c r="O849" i="121"/>
  <c r="P849" i="121" s="1"/>
  <c r="O847" i="121"/>
  <c r="P847" i="121" s="1"/>
  <c r="O845" i="121"/>
  <c r="P845" i="121" s="1"/>
  <c r="O843" i="121"/>
  <c r="P843" i="121" s="1"/>
  <c r="O841" i="121"/>
  <c r="P841" i="121" s="1"/>
  <c r="O839" i="121"/>
  <c r="P839" i="121" s="1"/>
  <c r="O837" i="121"/>
  <c r="P837" i="121" s="1"/>
  <c r="O835" i="121"/>
  <c r="P835" i="121" s="1"/>
  <c r="O833" i="121"/>
  <c r="P833" i="121" s="1"/>
  <c r="O831" i="121"/>
  <c r="P831" i="121" s="1"/>
  <c r="O829" i="121"/>
  <c r="P829" i="121" s="1"/>
  <c r="O827" i="121"/>
  <c r="P827" i="121" s="1"/>
  <c r="O825" i="121"/>
  <c r="P825" i="121" s="1"/>
  <c r="O823" i="121"/>
  <c r="P823" i="121" s="1"/>
  <c r="O821" i="121"/>
  <c r="P821" i="121" s="1"/>
  <c r="O819" i="121"/>
  <c r="P819" i="121" s="1"/>
  <c r="O817" i="121"/>
  <c r="P817" i="121" s="1"/>
  <c r="O815" i="121"/>
  <c r="P815" i="121" s="1"/>
  <c r="O813" i="121"/>
  <c r="P813" i="121" s="1"/>
  <c r="O811" i="121"/>
  <c r="P811" i="121" s="1"/>
  <c r="O946" i="121"/>
  <c r="P946" i="121" s="1"/>
  <c r="O944" i="121"/>
  <c r="P944" i="121" s="1"/>
  <c r="O942" i="121"/>
  <c r="P942" i="121" s="1"/>
  <c r="O940" i="121"/>
  <c r="P940" i="121" s="1"/>
  <c r="O938" i="121"/>
  <c r="P938" i="121" s="1"/>
  <c r="O936" i="121"/>
  <c r="P936" i="121" s="1"/>
  <c r="O934" i="121"/>
  <c r="P934" i="121" s="1"/>
  <c r="O932" i="121"/>
  <c r="P932" i="121" s="1"/>
  <c r="O930" i="121"/>
  <c r="P930" i="121" s="1"/>
  <c r="O928" i="121"/>
  <c r="P928" i="121" s="1"/>
  <c r="O926" i="121"/>
  <c r="P926" i="121" s="1"/>
  <c r="O924" i="121"/>
  <c r="P924" i="121" s="1"/>
  <c r="O922" i="121"/>
  <c r="P922" i="121" s="1"/>
  <c r="O920" i="121"/>
  <c r="P920" i="121" s="1"/>
  <c r="O918" i="121"/>
  <c r="P918" i="121" s="1"/>
  <c r="O916" i="121"/>
  <c r="P916" i="121" s="1"/>
  <c r="O914" i="121"/>
  <c r="P914" i="121" s="1"/>
  <c r="O912" i="121"/>
  <c r="P912" i="121" s="1"/>
  <c r="O910" i="121"/>
  <c r="P910" i="121" s="1"/>
  <c r="O908" i="121"/>
  <c r="P908" i="121" s="1"/>
  <c r="O906" i="121"/>
  <c r="P906" i="121" s="1"/>
  <c r="O904" i="121"/>
  <c r="P904" i="121" s="1"/>
  <c r="O902" i="121"/>
  <c r="P902" i="121" s="1"/>
  <c r="O900" i="121"/>
  <c r="P900" i="121" s="1"/>
  <c r="O898" i="121"/>
  <c r="P898" i="121" s="1"/>
  <c r="O896" i="121"/>
  <c r="P896" i="121" s="1"/>
  <c r="O894" i="121"/>
  <c r="P894" i="121" s="1"/>
  <c r="O892" i="121"/>
  <c r="P892" i="121" s="1"/>
  <c r="O890" i="121"/>
  <c r="P890" i="121" s="1"/>
  <c r="O888" i="121"/>
  <c r="P888" i="121" s="1"/>
  <c r="O886" i="121"/>
  <c r="P886" i="121" s="1"/>
  <c r="O884" i="121"/>
  <c r="P884" i="121" s="1"/>
  <c r="O882" i="121"/>
  <c r="P882" i="121" s="1"/>
  <c r="O880" i="121"/>
  <c r="P880" i="121" s="1"/>
  <c r="O878" i="121"/>
  <c r="P878" i="121" s="1"/>
  <c r="O876" i="121"/>
  <c r="P876" i="121" s="1"/>
  <c r="O874" i="121"/>
  <c r="P874" i="121" s="1"/>
  <c r="O872" i="121"/>
  <c r="P872" i="121" s="1"/>
  <c r="O870" i="121"/>
  <c r="P870" i="121" s="1"/>
  <c r="O868" i="121"/>
  <c r="P868" i="121" s="1"/>
  <c r="O866" i="121"/>
  <c r="P866" i="121" s="1"/>
  <c r="O864" i="121"/>
  <c r="P864" i="121" s="1"/>
  <c r="O862" i="121"/>
  <c r="P862" i="121" s="1"/>
  <c r="O860" i="121"/>
  <c r="P860" i="121" s="1"/>
  <c r="O858" i="121"/>
  <c r="P858" i="121" s="1"/>
  <c r="O856" i="121"/>
  <c r="P856" i="121" s="1"/>
  <c r="O854" i="121"/>
  <c r="P854" i="121" s="1"/>
  <c r="O852" i="121"/>
  <c r="P852" i="121" s="1"/>
  <c r="O850" i="121"/>
  <c r="P850" i="121" s="1"/>
  <c r="O848" i="121"/>
  <c r="P848" i="121" s="1"/>
  <c r="O846" i="121"/>
  <c r="P846" i="121" s="1"/>
  <c r="O844" i="121"/>
  <c r="P844" i="121" s="1"/>
  <c r="O842" i="121"/>
  <c r="P842" i="121" s="1"/>
  <c r="O840" i="121"/>
  <c r="P840" i="121" s="1"/>
  <c r="O838" i="121"/>
  <c r="P838" i="121" s="1"/>
  <c r="O836" i="121"/>
  <c r="P836" i="121" s="1"/>
  <c r="O834" i="121"/>
  <c r="P834" i="121" s="1"/>
  <c r="O832" i="121"/>
  <c r="P832" i="121" s="1"/>
  <c r="O830" i="121"/>
  <c r="P830" i="121" s="1"/>
  <c r="O828" i="121"/>
  <c r="P828" i="121" s="1"/>
  <c r="O826" i="121"/>
  <c r="P826" i="121" s="1"/>
  <c r="O824" i="121"/>
  <c r="P824" i="121" s="1"/>
  <c r="O822" i="121"/>
  <c r="P822" i="121" s="1"/>
  <c r="O820" i="121"/>
  <c r="P820" i="121" s="1"/>
  <c r="O818" i="121"/>
  <c r="P818" i="121" s="1"/>
  <c r="O816" i="121"/>
  <c r="P816" i="121" s="1"/>
  <c r="O814" i="121"/>
  <c r="P814" i="121" s="1"/>
  <c r="O812" i="121"/>
  <c r="P812" i="121" s="1"/>
  <c r="O806" i="121"/>
  <c r="P806" i="121" s="1"/>
  <c r="O804" i="121"/>
  <c r="P804" i="121" s="1"/>
  <c r="O802" i="121"/>
  <c r="P802" i="121" s="1"/>
  <c r="O800" i="121"/>
  <c r="P800" i="121" s="1"/>
  <c r="O798" i="121"/>
  <c r="P798" i="121" s="1"/>
  <c r="O796" i="121"/>
  <c r="P796" i="121" s="1"/>
  <c r="O794" i="121"/>
  <c r="P794" i="121" s="1"/>
  <c r="O792" i="121"/>
  <c r="P792" i="121" s="1"/>
  <c r="O790" i="121"/>
  <c r="P790" i="121" s="1"/>
  <c r="O788" i="121"/>
  <c r="P788" i="121" s="1"/>
  <c r="O786" i="121"/>
  <c r="P786" i="121" s="1"/>
  <c r="O784" i="121"/>
  <c r="P784" i="121" s="1"/>
  <c r="O782" i="121"/>
  <c r="P782" i="121" s="1"/>
  <c r="O780" i="121"/>
  <c r="P780" i="121" s="1"/>
  <c r="O778" i="121"/>
  <c r="P778" i="121" s="1"/>
  <c r="O776" i="121"/>
  <c r="P776" i="121" s="1"/>
  <c r="O774" i="121"/>
  <c r="P774" i="121" s="1"/>
  <c r="O772" i="121"/>
  <c r="P772" i="121" s="1"/>
  <c r="O770" i="121"/>
  <c r="P770" i="121" s="1"/>
  <c r="O768" i="121"/>
  <c r="P768" i="121" s="1"/>
  <c r="O766" i="121"/>
  <c r="P766" i="121" s="1"/>
  <c r="O764" i="121"/>
  <c r="P764" i="121" s="1"/>
  <c r="O762" i="121"/>
  <c r="P762" i="121" s="1"/>
  <c r="O760" i="121"/>
  <c r="P760" i="121" s="1"/>
  <c r="O758" i="121"/>
  <c r="P758" i="121" s="1"/>
  <c r="O756" i="121"/>
  <c r="P756" i="121" s="1"/>
  <c r="O754" i="121"/>
  <c r="P754" i="121" s="1"/>
  <c r="O752" i="121"/>
  <c r="P752" i="121" s="1"/>
  <c r="O750" i="121"/>
  <c r="P750" i="121" s="1"/>
  <c r="O748" i="121"/>
  <c r="P748" i="121" s="1"/>
  <c r="O746" i="121"/>
  <c r="P746" i="121" s="1"/>
  <c r="O744" i="121"/>
  <c r="P744" i="121" s="1"/>
  <c r="O742" i="121"/>
  <c r="P742" i="121" s="1"/>
  <c r="O740" i="121"/>
  <c r="P740" i="121" s="1"/>
  <c r="O738" i="121"/>
  <c r="P738" i="121" s="1"/>
  <c r="O736" i="121"/>
  <c r="P736" i="121" s="1"/>
  <c r="O734" i="121"/>
  <c r="P734" i="121" s="1"/>
  <c r="O732" i="121"/>
  <c r="P732" i="121" s="1"/>
  <c r="O730" i="121"/>
  <c r="P730" i="121" s="1"/>
  <c r="O728" i="121"/>
  <c r="P728" i="121" s="1"/>
  <c r="O726" i="121"/>
  <c r="P726" i="121" s="1"/>
  <c r="O724" i="121"/>
  <c r="P724" i="121" s="1"/>
  <c r="O722" i="121"/>
  <c r="P722" i="121" s="1"/>
  <c r="O720" i="121"/>
  <c r="P720" i="121" s="1"/>
  <c r="O718" i="121"/>
  <c r="P718" i="121" s="1"/>
  <c r="O716" i="121"/>
  <c r="P716" i="121" s="1"/>
  <c r="O714" i="121"/>
  <c r="P714" i="121" s="1"/>
  <c r="O712" i="121"/>
  <c r="P712" i="121" s="1"/>
  <c r="O710" i="121"/>
  <c r="P710" i="121" s="1"/>
  <c r="O708" i="121"/>
  <c r="P708" i="121" s="1"/>
  <c r="O706" i="121"/>
  <c r="P706" i="121" s="1"/>
  <c r="O810" i="121"/>
  <c r="P810" i="121" s="1"/>
  <c r="O809" i="121"/>
  <c r="P809" i="121" s="1"/>
  <c r="O945" i="121"/>
  <c r="P945" i="121" s="1"/>
  <c r="O808" i="121"/>
  <c r="P808" i="121" s="1"/>
  <c r="O807" i="121"/>
  <c r="P807" i="121" s="1"/>
  <c r="O805" i="121"/>
  <c r="P805" i="121" s="1"/>
  <c r="O803" i="121"/>
  <c r="P803" i="121" s="1"/>
  <c r="O801" i="121"/>
  <c r="P801" i="121" s="1"/>
  <c r="O799" i="121"/>
  <c r="P799" i="121" s="1"/>
  <c r="O797" i="121"/>
  <c r="P797" i="121" s="1"/>
  <c r="O795" i="121"/>
  <c r="P795" i="121" s="1"/>
  <c r="O793" i="121"/>
  <c r="P793" i="121" s="1"/>
  <c r="O791" i="121"/>
  <c r="P791" i="121" s="1"/>
  <c r="O789" i="121"/>
  <c r="P789" i="121" s="1"/>
  <c r="O787" i="121"/>
  <c r="P787" i="121" s="1"/>
  <c r="O785" i="121"/>
  <c r="P785" i="121" s="1"/>
  <c r="O783" i="121"/>
  <c r="P783" i="121" s="1"/>
  <c r="O781" i="121"/>
  <c r="P781" i="121" s="1"/>
  <c r="O779" i="121"/>
  <c r="P779" i="121" s="1"/>
  <c r="O777" i="121"/>
  <c r="P777" i="121" s="1"/>
  <c r="O775" i="121"/>
  <c r="P775" i="121" s="1"/>
  <c r="O773" i="121"/>
  <c r="P773" i="121" s="1"/>
  <c r="O771" i="121"/>
  <c r="P771" i="121" s="1"/>
  <c r="O769" i="121"/>
  <c r="P769" i="121" s="1"/>
  <c r="O767" i="121"/>
  <c r="P767" i="121" s="1"/>
  <c r="O765" i="121"/>
  <c r="P765" i="121" s="1"/>
  <c r="O763" i="121"/>
  <c r="P763" i="121" s="1"/>
  <c r="O761" i="121"/>
  <c r="P761" i="121" s="1"/>
  <c r="O759" i="121"/>
  <c r="P759" i="121" s="1"/>
  <c r="O757" i="121"/>
  <c r="P757" i="121" s="1"/>
  <c r="O755" i="121"/>
  <c r="P755" i="121" s="1"/>
  <c r="O753" i="121"/>
  <c r="P753" i="121" s="1"/>
  <c r="O751" i="121"/>
  <c r="P751" i="121" s="1"/>
  <c r="O749" i="121"/>
  <c r="P749" i="121" s="1"/>
  <c r="O747" i="121"/>
  <c r="P747" i="121" s="1"/>
  <c r="O745" i="121"/>
  <c r="P745" i="121" s="1"/>
  <c r="O743" i="121"/>
  <c r="P743" i="121" s="1"/>
  <c r="O741" i="121"/>
  <c r="P741" i="121" s="1"/>
  <c r="O739" i="121"/>
  <c r="P739" i="121" s="1"/>
  <c r="O737" i="121"/>
  <c r="P737" i="121" s="1"/>
  <c r="O735" i="121"/>
  <c r="P735" i="121" s="1"/>
  <c r="O733" i="121"/>
  <c r="P733" i="121" s="1"/>
  <c r="O731" i="121"/>
  <c r="P731" i="121" s="1"/>
  <c r="O729" i="121"/>
  <c r="P729" i="121" s="1"/>
  <c r="O727" i="121"/>
  <c r="P727" i="121" s="1"/>
  <c r="O725" i="121"/>
  <c r="P725" i="121" s="1"/>
  <c r="O723" i="121"/>
  <c r="P723" i="121" s="1"/>
  <c r="O721" i="121"/>
  <c r="P721" i="121" s="1"/>
  <c r="O719" i="121"/>
  <c r="P719" i="121" s="1"/>
  <c r="O717" i="121"/>
  <c r="P717" i="121" s="1"/>
  <c r="O715" i="121"/>
  <c r="P715" i="121" s="1"/>
  <c r="O711" i="121"/>
  <c r="P711" i="121" s="1"/>
  <c r="O707" i="121"/>
  <c r="P707" i="121" s="1"/>
  <c r="O704" i="121"/>
  <c r="P704" i="121" s="1"/>
  <c r="O702" i="121"/>
  <c r="P702" i="121" s="1"/>
  <c r="O700" i="121"/>
  <c r="P700" i="121" s="1"/>
  <c r="O698" i="121"/>
  <c r="P698" i="121" s="1"/>
  <c r="O696" i="121"/>
  <c r="P696" i="121" s="1"/>
  <c r="O694" i="121"/>
  <c r="P694" i="121" s="1"/>
  <c r="O692" i="121"/>
  <c r="P692" i="121" s="1"/>
  <c r="O690" i="121"/>
  <c r="P690" i="121" s="1"/>
  <c r="O688" i="121"/>
  <c r="P688" i="121" s="1"/>
  <c r="O686" i="121"/>
  <c r="P686" i="121" s="1"/>
  <c r="O684" i="121"/>
  <c r="P684" i="121" s="1"/>
  <c r="O682" i="121"/>
  <c r="P682" i="121" s="1"/>
  <c r="O680" i="121"/>
  <c r="P680" i="121" s="1"/>
  <c r="O678" i="121"/>
  <c r="P678" i="121" s="1"/>
  <c r="O676" i="121"/>
  <c r="P676" i="121" s="1"/>
  <c r="O674" i="121"/>
  <c r="P674" i="121" s="1"/>
  <c r="O672" i="121"/>
  <c r="P672" i="121" s="1"/>
  <c r="O670" i="121"/>
  <c r="P670" i="121" s="1"/>
  <c r="O668" i="121"/>
  <c r="P668" i="121" s="1"/>
  <c r="O666" i="121"/>
  <c r="P666" i="121" s="1"/>
  <c r="O664" i="121"/>
  <c r="P664" i="121" s="1"/>
  <c r="O662" i="121"/>
  <c r="P662" i="121" s="1"/>
  <c r="O660" i="121"/>
  <c r="P660" i="121" s="1"/>
  <c r="O658" i="121"/>
  <c r="P658" i="121" s="1"/>
  <c r="O656" i="121"/>
  <c r="P656" i="121" s="1"/>
  <c r="O654" i="121"/>
  <c r="P654" i="121" s="1"/>
  <c r="O652" i="121"/>
  <c r="P652" i="121" s="1"/>
  <c r="O650" i="121"/>
  <c r="P650" i="121" s="1"/>
  <c r="O648" i="121"/>
  <c r="P648" i="121" s="1"/>
  <c r="O646" i="121"/>
  <c r="P646" i="121" s="1"/>
  <c r="O644" i="121"/>
  <c r="P644" i="121" s="1"/>
  <c r="O642" i="121"/>
  <c r="P642" i="121" s="1"/>
  <c r="O640" i="121"/>
  <c r="P640" i="121" s="1"/>
  <c r="O638" i="121"/>
  <c r="P638" i="121" s="1"/>
  <c r="O636" i="121"/>
  <c r="P636" i="121" s="1"/>
  <c r="O634" i="121"/>
  <c r="P634" i="121" s="1"/>
  <c r="O632" i="121"/>
  <c r="P632" i="121" s="1"/>
  <c r="O630" i="121"/>
  <c r="P630" i="121" s="1"/>
  <c r="O628" i="121"/>
  <c r="P628" i="121" s="1"/>
  <c r="O626" i="121"/>
  <c r="P626" i="121" s="1"/>
  <c r="O624" i="121"/>
  <c r="P624" i="121" s="1"/>
  <c r="O622" i="121"/>
  <c r="P622" i="121" s="1"/>
  <c r="O620" i="121"/>
  <c r="P620" i="121" s="1"/>
  <c r="O618" i="121"/>
  <c r="P618" i="121" s="1"/>
  <c r="O616" i="121"/>
  <c r="P616" i="121" s="1"/>
  <c r="O614" i="121"/>
  <c r="P614" i="121" s="1"/>
  <c r="O612" i="121"/>
  <c r="P612" i="121" s="1"/>
  <c r="O610" i="121"/>
  <c r="P610" i="121" s="1"/>
  <c r="O608" i="121"/>
  <c r="P608" i="121" s="1"/>
  <c r="O606" i="121"/>
  <c r="P606" i="121" s="1"/>
  <c r="O604" i="121"/>
  <c r="P604" i="121" s="1"/>
  <c r="O602" i="121"/>
  <c r="P602" i="121" s="1"/>
  <c r="O600" i="121"/>
  <c r="P600" i="121" s="1"/>
  <c r="O598" i="121"/>
  <c r="P598" i="121" s="1"/>
  <c r="O596" i="121"/>
  <c r="P596" i="121" s="1"/>
  <c r="O594" i="121"/>
  <c r="P594" i="121" s="1"/>
  <c r="O592" i="121"/>
  <c r="P592" i="121" s="1"/>
  <c r="O590" i="121"/>
  <c r="P590" i="121" s="1"/>
  <c r="O713" i="121"/>
  <c r="P713" i="121" s="1"/>
  <c r="O709" i="121"/>
  <c r="P709" i="121" s="1"/>
  <c r="O705" i="121"/>
  <c r="P705" i="121" s="1"/>
  <c r="O703" i="121"/>
  <c r="P703" i="121" s="1"/>
  <c r="O701" i="121"/>
  <c r="P701" i="121" s="1"/>
  <c r="O699" i="121"/>
  <c r="P699" i="121" s="1"/>
  <c r="O697" i="121"/>
  <c r="P697" i="121" s="1"/>
  <c r="O695" i="121"/>
  <c r="P695" i="121" s="1"/>
  <c r="O693" i="121"/>
  <c r="P693" i="121" s="1"/>
  <c r="O691" i="121"/>
  <c r="P691" i="121" s="1"/>
  <c r="O689" i="121"/>
  <c r="P689" i="121" s="1"/>
  <c r="O687" i="121"/>
  <c r="P687" i="121" s="1"/>
  <c r="O685" i="121"/>
  <c r="P685" i="121" s="1"/>
  <c r="O683" i="121"/>
  <c r="P683" i="121" s="1"/>
  <c r="O681" i="121"/>
  <c r="P681" i="121" s="1"/>
  <c r="O679" i="121"/>
  <c r="P679" i="121" s="1"/>
  <c r="O677" i="121"/>
  <c r="P677" i="121" s="1"/>
  <c r="O675" i="121"/>
  <c r="P675" i="121" s="1"/>
  <c r="O673" i="121"/>
  <c r="P673" i="121" s="1"/>
  <c r="O671" i="121"/>
  <c r="P671" i="121" s="1"/>
  <c r="O669" i="121"/>
  <c r="P669" i="121" s="1"/>
  <c r="O667" i="121"/>
  <c r="P667" i="121" s="1"/>
  <c r="O665" i="121"/>
  <c r="P665" i="121" s="1"/>
  <c r="O663" i="121"/>
  <c r="P663" i="121" s="1"/>
  <c r="O661" i="121"/>
  <c r="P661" i="121" s="1"/>
  <c r="O659" i="121"/>
  <c r="P659" i="121" s="1"/>
  <c r="O657" i="121"/>
  <c r="P657" i="121" s="1"/>
  <c r="O655" i="121"/>
  <c r="P655" i="121" s="1"/>
  <c r="O653" i="121"/>
  <c r="P653" i="121" s="1"/>
  <c r="O651" i="121"/>
  <c r="P651" i="121" s="1"/>
  <c r="O649" i="121"/>
  <c r="P649" i="121" s="1"/>
  <c r="O647" i="121"/>
  <c r="P647" i="121" s="1"/>
  <c r="O645" i="121"/>
  <c r="P645" i="121" s="1"/>
  <c r="O643" i="121"/>
  <c r="P643" i="121" s="1"/>
  <c r="O641" i="121"/>
  <c r="P641" i="121" s="1"/>
  <c r="O639" i="121"/>
  <c r="P639" i="121" s="1"/>
  <c r="O637" i="121"/>
  <c r="P637" i="121" s="1"/>
  <c r="O635" i="121"/>
  <c r="P635" i="121" s="1"/>
  <c r="O633" i="121"/>
  <c r="P633" i="121" s="1"/>
  <c r="O631" i="121"/>
  <c r="P631" i="121" s="1"/>
  <c r="O629" i="121"/>
  <c r="P629" i="121" s="1"/>
  <c r="O627" i="121"/>
  <c r="P627" i="121" s="1"/>
  <c r="O625" i="121"/>
  <c r="P625" i="121" s="1"/>
  <c r="O623" i="121"/>
  <c r="P623" i="121" s="1"/>
  <c r="O621" i="121"/>
  <c r="P621" i="121" s="1"/>
  <c r="O619" i="121"/>
  <c r="P619" i="121" s="1"/>
  <c r="O617" i="121"/>
  <c r="P617" i="121" s="1"/>
  <c r="O615" i="121"/>
  <c r="P615" i="121" s="1"/>
  <c r="O613" i="121"/>
  <c r="P613" i="121" s="1"/>
  <c r="O611" i="121"/>
  <c r="P611" i="121" s="1"/>
  <c r="O609" i="121"/>
  <c r="P609" i="121" s="1"/>
  <c r="O607" i="121"/>
  <c r="P607" i="121" s="1"/>
  <c r="O605" i="121"/>
  <c r="P605" i="121" s="1"/>
  <c r="O603" i="121"/>
  <c r="P603" i="121" s="1"/>
  <c r="O601" i="121"/>
  <c r="P601" i="121" s="1"/>
  <c r="O599" i="121"/>
  <c r="P599" i="121" s="1"/>
  <c r="O597" i="121"/>
  <c r="P597" i="121" s="1"/>
  <c r="O595" i="121"/>
  <c r="P595" i="121" s="1"/>
  <c r="O593" i="121"/>
  <c r="P593" i="121" s="1"/>
  <c r="O591" i="121"/>
  <c r="P591" i="121" s="1"/>
  <c r="O589" i="121"/>
  <c r="P589" i="121" s="1"/>
  <c r="O588" i="121"/>
  <c r="P588" i="121" s="1"/>
  <c r="O586" i="121"/>
  <c r="P586" i="121" s="1"/>
  <c r="O584" i="121"/>
  <c r="P584" i="121" s="1"/>
  <c r="O582" i="121"/>
  <c r="P582" i="121" s="1"/>
  <c r="O580" i="121"/>
  <c r="P580" i="121" s="1"/>
  <c r="O578" i="121"/>
  <c r="P578" i="121" s="1"/>
  <c r="O576" i="121"/>
  <c r="P576" i="121" s="1"/>
  <c r="O574" i="121"/>
  <c r="P574" i="121" s="1"/>
  <c r="O572" i="121"/>
  <c r="P572" i="121" s="1"/>
  <c r="O570" i="121"/>
  <c r="P570" i="121" s="1"/>
  <c r="O568" i="121"/>
  <c r="P568" i="121" s="1"/>
  <c r="O566" i="121"/>
  <c r="P566" i="121" s="1"/>
  <c r="O564" i="121"/>
  <c r="P564" i="121" s="1"/>
  <c r="O562" i="121"/>
  <c r="P562" i="121" s="1"/>
  <c r="O560" i="121"/>
  <c r="P560" i="121" s="1"/>
  <c r="O558" i="121"/>
  <c r="P558" i="121" s="1"/>
  <c r="O556" i="121"/>
  <c r="P556" i="121" s="1"/>
  <c r="O554" i="121"/>
  <c r="P554" i="121" s="1"/>
  <c r="O552" i="121"/>
  <c r="P552" i="121" s="1"/>
  <c r="O550" i="121"/>
  <c r="P550" i="121" s="1"/>
  <c r="O548" i="121"/>
  <c r="P548" i="121" s="1"/>
  <c r="O546" i="121"/>
  <c r="P546" i="121" s="1"/>
  <c r="O544" i="121"/>
  <c r="P544" i="121" s="1"/>
  <c r="O542" i="121"/>
  <c r="P542" i="121" s="1"/>
  <c r="O540" i="121"/>
  <c r="P540" i="121" s="1"/>
  <c r="O538" i="121"/>
  <c r="P538" i="121" s="1"/>
  <c r="O536" i="121"/>
  <c r="P536" i="121" s="1"/>
  <c r="O534" i="121"/>
  <c r="P534" i="121" s="1"/>
  <c r="O532" i="121"/>
  <c r="P532" i="121" s="1"/>
  <c r="O530" i="121"/>
  <c r="P530" i="121" s="1"/>
  <c r="O528" i="121"/>
  <c r="P528" i="121" s="1"/>
  <c r="O526" i="121"/>
  <c r="P526" i="121" s="1"/>
  <c r="O524" i="121"/>
  <c r="P524" i="121" s="1"/>
  <c r="O522" i="121"/>
  <c r="P522" i="121" s="1"/>
  <c r="O520" i="121"/>
  <c r="P520" i="121" s="1"/>
  <c r="O518" i="121"/>
  <c r="P518" i="121" s="1"/>
  <c r="O516" i="121"/>
  <c r="P516" i="121" s="1"/>
  <c r="O514" i="121"/>
  <c r="P514" i="121" s="1"/>
  <c r="O512" i="121"/>
  <c r="P512" i="121" s="1"/>
  <c r="O510" i="121"/>
  <c r="P510" i="121" s="1"/>
  <c r="O508" i="121"/>
  <c r="P508" i="121" s="1"/>
  <c r="O506" i="121"/>
  <c r="P506" i="121" s="1"/>
  <c r="O504" i="121"/>
  <c r="P504" i="121" s="1"/>
  <c r="O502" i="121"/>
  <c r="P502" i="121" s="1"/>
  <c r="O500" i="121"/>
  <c r="P500" i="121" s="1"/>
  <c r="O498" i="121"/>
  <c r="P498" i="121" s="1"/>
  <c r="O496" i="121"/>
  <c r="P496" i="121" s="1"/>
  <c r="O494" i="121"/>
  <c r="P494" i="121" s="1"/>
  <c r="O492" i="121"/>
  <c r="P492" i="121" s="1"/>
  <c r="O490" i="121"/>
  <c r="P490" i="121" s="1"/>
  <c r="O488" i="121"/>
  <c r="P488" i="121" s="1"/>
  <c r="O486" i="121"/>
  <c r="P486" i="121" s="1"/>
  <c r="O484" i="121"/>
  <c r="P484" i="121" s="1"/>
  <c r="O482" i="121"/>
  <c r="P482" i="121" s="1"/>
  <c r="O480" i="121"/>
  <c r="P480" i="121" s="1"/>
  <c r="O478" i="121"/>
  <c r="P478" i="121" s="1"/>
  <c r="O476" i="121"/>
  <c r="P476" i="121" s="1"/>
  <c r="O474" i="121"/>
  <c r="P474" i="121" s="1"/>
  <c r="O472" i="121"/>
  <c r="P472" i="121" s="1"/>
  <c r="O470" i="121"/>
  <c r="P470" i="121" s="1"/>
  <c r="O468" i="121"/>
  <c r="P468" i="121" s="1"/>
  <c r="O466" i="121"/>
  <c r="P466" i="121" s="1"/>
  <c r="O464" i="121"/>
  <c r="P464" i="121" s="1"/>
  <c r="O462" i="121"/>
  <c r="P462" i="121" s="1"/>
  <c r="O460" i="121"/>
  <c r="P460" i="121" s="1"/>
  <c r="O458" i="121"/>
  <c r="P458" i="121" s="1"/>
  <c r="O456" i="121"/>
  <c r="P456" i="121" s="1"/>
  <c r="O454" i="121"/>
  <c r="P454" i="121" s="1"/>
  <c r="O452" i="121"/>
  <c r="P452" i="121" s="1"/>
  <c r="O450" i="121"/>
  <c r="P450" i="121" s="1"/>
  <c r="O448" i="121"/>
  <c r="P448" i="121" s="1"/>
  <c r="O446" i="121"/>
  <c r="P446" i="121" s="1"/>
  <c r="O444" i="121"/>
  <c r="P444" i="121" s="1"/>
  <c r="O442" i="121"/>
  <c r="P442" i="121" s="1"/>
  <c r="O587" i="121"/>
  <c r="P587" i="121" s="1"/>
  <c r="O585" i="121"/>
  <c r="P585" i="121" s="1"/>
  <c r="O583" i="121"/>
  <c r="P583" i="121" s="1"/>
  <c r="O581" i="121"/>
  <c r="P581" i="121" s="1"/>
  <c r="O579" i="121"/>
  <c r="P579" i="121" s="1"/>
  <c r="O577" i="121"/>
  <c r="P577" i="121" s="1"/>
  <c r="O575" i="121"/>
  <c r="P575" i="121" s="1"/>
  <c r="O573" i="121"/>
  <c r="P573" i="121" s="1"/>
  <c r="O571" i="121"/>
  <c r="P571" i="121" s="1"/>
  <c r="O569" i="121"/>
  <c r="P569" i="121" s="1"/>
  <c r="O567" i="121"/>
  <c r="P567" i="121" s="1"/>
  <c r="O565" i="121"/>
  <c r="P565" i="121" s="1"/>
  <c r="O563" i="121"/>
  <c r="P563" i="121" s="1"/>
  <c r="O561" i="121"/>
  <c r="P561" i="121" s="1"/>
  <c r="O559" i="121"/>
  <c r="P559" i="121" s="1"/>
  <c r="O557" i="121"/>
  <c r="P557" i="121" s="1"/>
  <c r="O555" i="121"/>
  <c r="P555" i="121" s="1"/>
  <c r="O553" i="121"/>
  <c r="P553" i="121" s="1"/>
  <c r="O551" i="121"/>
  <c r="P551" i="121" s="1"/>
  <c r="O549" i="121"/>
  <c r="P549" i="121" s="1"/>
  <c r="O547" i="121"/>
  <c r="P547" i="121" s="1"/>
  <c r="O545" i="121"/>
  <c r="P545" i="121" s="1"/>
  <c r="O543" i="121"/>
  <c r="P543" i="121" s="1"/>
  <c r="O541" i="121"/>
  <c r="P541" i="121" s="1"/>
  <c r="O539" i="121"/>
  <c r="P539" i="121" s="1"/>
  <c r="O537" i="121"/>
  <c r="P537" i="121" s="1"/>
  <c r="O535" i="121"/>
  <c r="P535" i="121" s="1"/>
  <c r="O533" i="121"/>
  <c r="P533" i="121" s="1"/>
  <c r="O531" i="121"/>
  <c r="P531" i="121" s="1"/>
  <c r="O529" i="121"/>
  <c r="P529" i="121" s="1"/>
  <c r="O527" i="121"/>
  <c r="P527" i="121" s="1"/>
  <c r="O525" i="121"/>
  <c r="P525" i="121" s="1"/>
  <c r="O523" i="121"/>
  <c r="P523" i="121" s="1"/>
  <c r="O521" i="121"/>
  <c r="P521" i="121" s="1"/>
  <c r="O519" i="121"/>
  <c r="P519" i="121" s="1"/>
  <c r="O517" i="121"/>
  <c r="P517" i="121" s="1"/>
  <c r="O515" i="121"/>
  <c r="P515" i="121" s="1"/>
  <c r="O513" i="121"/>
  <c r="P513" i="121" s="1"/>
  <c r="O511" i="121"/>
  <c r="P511" i="121" s="1"/>
  <c r="O509" i="121"/>
  <c r="P509" i="121" s="1"/>
  <c r="O507" i="121"/>
  <c r="P507" i="121" s="1"/>
  <c r="O505" i="121"/>
  <c r="P505" i="121" s="1"/>
  <c r="O503" i="121"/>
  <c r="P503" i="121" s="1"/>
  <c r="O501" i="121"/>
  <c r="P501" i="121" s="1"/>
  <c r="O499" i="121"/>
  <c r="P499" i="121" s="1"/>
  <c r="O497" i="121"/>
  <c r="P497" i="121" s="1"/>
  <c r="O495" i="121"/>
  <c r="P495" i="121" s="1"/>
  <c r="O493" i="121"/>
  <c r="P493" i="121" s="1"/>
  <c r="O491" i="121"/>
  <c r="P491" i="121" s="1"/>
  <c r="O489" i="121"/>
  <c r="P489" i="121" s="1"/>
  <c r="O487" i="121"/>
  <c r="P487" i="121" s="1"/>
  <c r="O485" i="121"/>
  <c r="P485" i="121" s="1"/>
  <c r="O483" i="121"/>
  <c r="P483" i="121" s="1"/>
  <c r="O481" i="121"/>
  <c r="P481" i="121" s="1"/>
  <c r="O479" i="121"/>
  <c r="P479" i="121" s="1"/>
  <c r="O477" i="121"/>
  <c r="P477" i="121" s="1"/>
  <c r="O475" i="121"/>
  <c r="P475" i="121" s="1"/>
  <c r="O473" i="121"/>
  <c r="P473" i="121" s="1"/>
  <c r="O471" i="121"/>
  <c r="P471" i="121" s="1"/>
  <c r="O469" i="121"/>
  <c r="P469" i="121" s="1"/>
  <c r="O467" i="121"/>
  <c r="P467" i="121" s="1"/>
  <c r="O465" i="121"/>
  <c r="P465" i="121" s="1"/>
  <c r="O463" i="121"/>
  <c r="P463" i="121" s="1"/>
  <c r="O461" i="121"/>
  <c r="P461" i="121" s="1"/>
  <c r="O459" i="121"/>
  <c r="P459" i="121" s="1"/>
  <c r="O457" i="121"/>
  <c r="P457" i="121" s="1"/>
  <c r="O455" i="121"/>
  <c r="P455" i="121" s="1"/>
  <c r="O453" i="121"/>
  <c r="P453" i="121" s="1"/>
  <c r="O451" i="121"/>
  <c r="P451" i="121" s="1"/>
  <c r="O449" i="121"/>
  <c r="P449" i="121" s="1"/>
  <c r="O447" i="121"/>
  <c r="P447" i="121" s="1"/>
  <c r="O445" i="121"/>
  <c r="P445" i="121" s="1"/>
  <c r="O443" i="121"/>
  <c r="P443" i="121" s="1"/>
  <c r="O440" i="121"/>
  <c r="P440" i="121" s="1"/>
  <c r="O438" i="121"/>
  <c r="P438" i="121" s="1"/>
  <c r="O436" i="121"/>
  <c r="P436" i="121" s="1"/>
  <c r="O434" i="121"/>
  <c r="P434" i="121" s="1"/>
  <c r="O432" i="121"/>
  <c r="P432" i="121" s="1"/>
  <c r="O430" i="121"/>
  <c r="P430" i="121" s="1"/>
  <c r="O428" i="121"/>
  <c r="P428" i="121" s="1"/>
  <c r="O426" i="121"/>
  <c r="P426" i="121" s="1"/>
  <c r="O424" i="121"/>
  <c r="P424" i="121" s="1"/>
  <c r="O422" i="121"/>
  <c r="P422" i="121" s="1"/>
  <c r="O420" i="121"/>
  <c r="P420" i="121" s="1"/>
  <c r="O418" i="121"/>
  <c r="P418" i="121" s="1"/>
  <c r="O416" i="121"/>
  <c r="P416" i="121" s="1"/>
  <c r="O414" i="121"/>
  <c r="P414" i="121" s="1"/>
  <c r="O412" i="121"/>
  <c r="P412" i="121" s="1"/>
  <c r="O410" i="121"/>
  <c r="P410" i="121" s="1"/>
  <c r="O408" i="121"/>
  <c r="P408" i="121" s="1"/>
  <c r="O406" i="121"/>
  <c r="P406" i="121" s="1"/>
  <c r="O404" i="121"/>
  <c r="P404" i="121" s="1"/>
  <c r="O402" i="121"/>
  <c r="P402" i="121" s="1"/>
  <c r="O400" i="121"/>
  <c r="P400" i="121" s="1"/>
  <c r="O398" i="121"/>
  <c r="P398" i="121" s="1"/>
  <c r="O396" i="121"/>
  <c r="P396" i="121" s="1"/>
  <c r="O394" i="121"/>
  <c r="P394" i="121" s="1"/>
  <c r="O392" i="121"/>
  <c r="P392" i="121" s="1"/>
  <c r="O390" i="121"/>
  <c r="P390" i="121" s="1"/>
  <c r="O388" i="121"/>
  <c r="P388" i="121" s="1"/>
  <c r="O386" i="121"/>
  <c r="P386" i="121" s="1"/>
  <c r="O384" i="121"/>
  <c r="P384" i="121" s="1"/>
  <c r="O382" i="121"/>
  <c r="P382" i="121" s="1"/>
  <c r="O380" i="121"/>
  <c r="P380" i="121" s="1"/>
  <c r="O378" i="121"/>
  <c r="P378" i="121" s="1"/>
  <c r="O376" i="121"/>
  <c r="P376" i="121" s="1"/>
  <c r="O374" i="121"/>
  <c r="P374" i="121" s="1"/>
  <c r="O372" i="121"/>
  <c r="P372" i="121" s="1"/>
  <c r="O370" i="121"/>
  <c r="P370" i="121" s="1"/>
  <c r="O368" i="121"/>
  <c r="P368" i="121" s="1"/>
  <c r="O366" i="121"/>
  <c r="P366" i="121" s="1"/>
  <c r="O364" i="121"/>
  <c r="P364" i="121" s="1"/>
  <c r="O362" i="121"/>
  <c r="P362" i="121" s="1"/>
  <c r="O360" i="121"/>
  <c r="P360" i="121" s="1"/>
  <c r="O358" i="121"/>
  <c r="P358" i="121" s="1"/>
  <c r="O356" i="121"/>
  <c r="P356" i="121" s="1"/>
  <c r="O354" i="121"/>
  <c r="P354" i="121" s="1"/>
  <c r="O352" i="121"/>
  <c r="P352" i="121" s="1"/>
  <c r="O350" i="121"/>
  <c r="P350" i="121" s="1"/>
  <c r="O348" i="121"/>
  <c r="P348" i="121" s="1"/>
  <c r="O346" i="121"/>
  <c r="P346" i="121" s="1"/>
  <c r="O344" i="121"/>
  <c r="P344" i="121" s="1"/>
  <c r="O342" i="121"/>
  <c r="P342" i="121" s="1"/>
  <c r="O340" i="121"/>
  <c r="P340" i="121" s="1"/>
  <c r="O338" i="121"/>
  <c r="P338" i="121" s="1"/>
  <c r="O336" i="121"/>
  <c r="P336" i="121" s="1"/>
  <c r="O334" i="121"/>
  <c r="P334" i="121" s="1"/>
  <c r="O332" i="121"/>
  <c r="P332" i="121" s="1"/>
  <c r="O330" i="121"/>
  <c r="P330" i="121" s="1"/>
  <c r="O328" i="121"/>
  <c r="P328" i="121" s="1"/>
  <c r="O326" i="121"/>
  <c r="P326" i="121" s="1"/>
  <c r="O324" i="121"/>
  <c r="P324" i="121" s="1"/>
  <c r="O322" i="121"/>
  <c r="P322" i="121" s="1"/>
  <c r="O320" i="121"/>
  <c r="P320" i="121" s="1"/>
  <c r="O318" i="121"/>
  <c r="P318" i="121" s="1"/>
  <c r="O316" i="121"/>
  <c r="P316" i="121" s="1"/>
  <c r="O314" i="121"/>
  <c r="P314" i="121" s="1"/>
  <c r="O312" i="121"/>
  <c r="P312" i="121" s="1"/>
  <c r="O310" i="121"/>
  <c r="P310" i="121" s="1"/>
  <c r="O308" i="121"/>
  <c r="P308" i="121" s="1"/>
  <c r="O306" i="121"/>
  <c r="P306" i="121" s="1"/>
  <c r="O304" i="121"/>
  <c r="P304" i="121" s="1"/>
  <c r="O302" i="121"/>
  <c r="P302" i="121" s="1"/>
  <c r="O300" i="121"/>
  <c r="P300" i="121" s="1"/>
  <c r="O298" i="121"/>
  <c r="P298" i="121" s="1"/>
  <c r="O296" i="121"/>
  <c r="P296" i="121" s="1"/>
  <c r="O294" i="121"/>
  <c r="P294" i="121" s="1"/>
  <c r="O292" i="121"/>
  <c r="P292" i="121" s="1"/>
  <c r="O290" i="121"/>
  <c r="P290" i="121" s="1"/>
  <c r="O288" i="121"/>
  <c r="P288" i="121" s="1"/>
  <c r="O286" i="121"/>
  <c r="P286" i="121" s="1"/>
  <c r="O284" i="121"/>
  <c r="P284" i="121" s="1"/>
  <c r="O282" i="121"/>
  <c r="P282" i="121" s="1"/>
  <c r="O280" i="121"/>
  <c r="P280" i="121" s="1"/>
  <c r="O278" i="121"/>
  <c r="P278" i="121" s="1"/>
  <c r="O276" i="121"/>
  <c r="P276" i="121" s="1"/>
  <c r="O274" i="121"/>
  <c r="P274" i="121" s="1"/>
  <c r="O272" i="121"/>
  <c r="P272" i="121" s="1"/>
  <c r="O270" i="121"/>
  <c r="P270" i="121" s="1"/>
  <c r="O268" i="121"/>
  <c r="P268" i="121" s="1"/>
  <c r="O266" i="121"/>
  <c r="P266" i="121" s="1"/>
  <c r="O264" i="121"/>
  <c r="P264" i="121" s="1"/>
  <c r="O262" i="121"/>
  <c r="P262" i="121" s="1"/>
  <c r="O260" i="121"/>
  <c r="P260" i="121" s="1"/>
  <c r="O258" i="121"/>
  <c r="P258" i="121" s="1"/>
  <c r="O256" i="121"/>
  <c r="P256" i="121" s="1"/>
  <c r="O254" i="121"/>
  <c r="P254" i="121" s="1"/>
  <c r="O252" i="121"/>
  <c r="P252" i="121" s="1"/>
  <c r="O250" i="121"/>
  <c r="P250" i="121" s="1"/>
  <c r="O248" i="121"/>
  <c r="P248" i="121" s="1"/>
  <c r="O246" i="121"/>
  <c r="P246" i="121" s="1"/>
  <c r="O244" i="121"/>
  <c r="P244" i="121" s="1"/>
  <c r="O242" i="121"/>
  <c r="P242" i="121" s="1"/>
  <c r="O240" i="121"/>
  <c r="P240" i="121" s="1"/>
  <c r="O238" i="121"/>
  <c r="P238" i="121" s="1"/>
  <c r="O236" i="121"/>
  <c r="P236" i="121" s="1"/>
  <c r="O234" i="121"/>
  <c r="P234" i="121" s="1"/>
  <c r="O232" i="121"/>
  <c r="P232" i="121" s="1"/>
  <c r="O230" i="121"/>
  <c r="P230" i="121" s="1"/>
  <c r="O228" i="121"/>
  <c r="P228" i="121" s="1"/>
  <c r="O226" i="121"/>
  <c r="P226" i="121" s="1"/>
  <c r="O224" i="121"/>
  <c r="P224" i="121" s="1"/>
  <c r="O222" i="121"/>
  <c r="P222" i="121" s="1"/>
  <c r="O220" i="121"/>
  <c r="P220" i="121" s="1"/>
  <c r="O218" i="121"/>
  <c r="P218" i="121" s="1"/>
  <c r="O216" i="121"/>
  <c r="P216" i="121" s="1"/>
  <c r="O214" i="121"/>
  <c r="P214" i="121" s="1"/>
  <c r="O212" i="121"/>
  <c r="P212" i="121" s="1"/>
  <c r="O210" i="121"/>
  <c r="P210" i="121" s="1"/>
  <c r="O208" i="121"/>
  <c r="P208" i="121" s="1"/>
  <c r="O206" i="121"/>
  <c r="P206" i="121" s="1"/>
  <c r="O204" i="121"/>
  <c r="P204" i="121" s="1"/>
  <c r="O202" i="121"/>
  <c r="P202" i="121" s="1"/>
  <c r="O200" i="121"/>
  <c r="P200" i="121" s="1"/>
  <c r="O198" i="121"/>
  <c r="P198" i="121" s="1"/>
  <c r="O196" i="121"/>
  <c r="P196" i="121" s="1"/>
  <c r="O439" i="121"/>
  <c r="P439" i="121" s="1"/>
  <c r="O437" i="121"/>
  <c r="P437" i="121" s="1"/>
  <c r="O435" i="121"/>
  <c r="P435" i="121" s="1"/>
  <c r="O433" i="121"/>
  <c r="P433" i="121" s="1"/>
  <c r="O431" i="121"/>
  <c r="P431" i="121" s="1"/>
  <c r="O429" i="121"/>
  <c r="P429" i="121" s="1"/>
  <c r="O427" i="121"/>
  <c r="P427" i="121" s="1"/>
  <c r="O425" i="121"/>
  <c r="P425" i="121" s="1"/>
  <c r="O423" i="121"/>
  <c r="P423" i="121" s="1"/>
  <c r="O421" i="121"/>
  <c r="P421" i="121" s="1"/>
  <c r="O419" i="121"/>
  <c r="P419" i="121" s="1"/>
  <c r="O417" i="121"/>
  <c r="P417" i="121" s="1"/>
  <c r="O415" i="121"/>
  <c r="P415" i="121" s="1"/>
  <c r="O413" i="121"/>
  <c r="P413" i="121" s="1"/>
  <c r="O411" i="121"/>
  <c r="P411" i="121" s="1"/>
  <c r="O409" i="121"/>
  <c r="P409" i="121" s="1"/>
  <c r="O407" i="121"/>
  <c r="P407" i="121" s="1"/>
  <c r="O405" i="121"/>
  <c r="P405" i="121" s="1"/>
  <c r="O403" i="121"/>
  <c r="P403" i="121" s="1"/>
  <c r="O401" i="121"/>
  <c r="P401" i="121" s="1"/>
  <c r="O399" i="121"/>
  <c r="P399" i="121" s="1"/>
  <c r="O397" i="121"/>
  <c r="P397" i="121" s="1"/>
  <c r="O395" i="121"/>
  <c r="P395" i="121" s="1"/>
  <c r="O393" i="121"/>
  <c r="P393" i="121" s="1"/>
  <c r="O391" i="121"/>
  <c r="P391" i="121" s="1"/>
  <c r="O389" i="121"/>
  <c r="P389" i="121" s="1"/>
  <c r="O387" i="121"/>
  <c r="P387" i="121" s="1"/>
  <c r="O385" i="121"/>
  <c r="P385" i="121" s="1"/>
  <c r="O383" i="121"/>
  <c r="P383" i="121" s="1"/>
  <c r="O381" i="121"/>
  <c r="P381" i="121" s="1"/>
  <c r="O379" i="121"/>
  <c r="P379" i="121" s="1"/>
  <c r="O377" i="121"/>
  <c r="P377" i="121" s="1"/>
  <c r="O375" i="121"/>
  <c r="P375" i="121" s="1"/>
  <c r="O373" i="121"/>
  <c r="P373" i="121" s="1"/>
  <c r="O371" i="121"/>
  <c r="P371" i="121" s="1"/>
  <c r="O369" i="121"/>
  <c r="P369" i="121" s="1"/>
  <c r="O367" i="121"/>
  <c r="P367" i="121" s="1"/>
  <c r="O365" i="121"/>
  <c r="P365" i="121" s="1"/>
  <c r="O363" i="121"/>
  <c r="P363" i="121" s="1"/>
  <c r="O361" i="121"/>
  <c r="P361" i="121" s="1"/>
  <c r="O359" i="121"/>
  <c r="P359" i="121" s="1"/>
  <c r="O357" i="121"/>
  <c r="P357" i="121" s="1"/>
  <c r="O355" i="121"/>
  <c r="P355" i="121" s="1"/>
  <c r="O353" i="121"/>
  <c r="P353" i="121" s="1"/>
  <c r="O351" i="121"/>
  <c r="P351" i="121" s="1"/>
  <c r="O349" i="121"/>
  <c r="P349" i="121" s="1"/>
  <c r="O347" i="121"/>
  <c r="P347" i="121" s="1"/>
  <c r="O345" i="121"/>
  <c r="P345" i="121" s="1"/>
  <c r="O343" i="121"/>
  <c r="P343" i="121" s="1"/>
  <c r="O341" i="121"/>
  <c r="P341" i="121" s="1"/>
  <c r="O339" i="121"/>
  <c r="P339" i="121" s="1"/>
  <c r="O337" i="121"/>
  <c r="P337" i="121" s="1"/>
  <c r="O335" i="121"/>
  <c r="P335" i="121" s="1"/>
  <c r="O333" i="121"/>
  <c r="P333" i="121" s="1"/>
  <c r="O331" i="121"/>
  <c r="P331" i="121" s="1"/>
  <c r="O329" i="121"/>
  <c r="P329" i="121" s="1"/>
  <c r="O327" i="121"/>
  <c r="P327" i="121" s="1"/>
  <c r="O325" i="121"/>
  <c r="P325" i="121" s="1"/>
  <c r="O323" i="121"/>
  <c r="P323" i="121" s="1"/>
  <c r="O321" i="121"/>
  <c r="P321" i="121" s="1"/>
  <c r="O319" i="121"/>
  <c r="P319" i="121" s="1"/>
  <c r="O317" i="121"/>
  <c r="P317" i="121" s="1"/>
  <c r="O315" i="121"/>
  <c r="P315" i="121" s="1"/>
  <c r="O313" i="121"/>
  <c r="P313" i="121" s="1"/>
  <c r="O311" i="121"/>
  <c r="P311" i="121" s="1"/>
  <c r="O309" i="121"/>
  <c r="P309" i="121" s="1"/>
  <c r="O307" i="121"/>
  <c r="P307" i="121" s="1"/>
  <c r="O305" i="121"/>
  <c r="P305" i="121" s="1"/>
  <c r="O303" i="121"/>
  <c r="P303" i="121" s="1"/>
  <c r="O301" i="121"/>
  <c r="P301" i="121" s="1"/>
  <c r="O299" i="121"/>
  <c r="P299" i="121" s="1"/>
  <c r="O297" i="121"/>
  <c r="P297" i="121" s="1"/>
  <c r="O295" i="121"/>
  <c r="P295" i="121" s="1"/>
  <c r="O293" i="121"/>
  <c r="P293" i="121" s="1"/>
  <c r="O291" i="121"/>
  <c r="P291" i="121" s="1"/>
  <c r="O289" i="121"/>
  <c r="P289" i="121" s="1"/>
  <c r="O287" i="121"/>
  <c r="P287" i="121" s="1"/>
  <c r="O285" i="121"/>
  <c r="P285" i="121" s="1"/>
  <c r="O283" i="121"/>
  <c r="P283" i="121" s="1"/>
  <c r="O281" i="121"/>
  <c r="P281" i="121" s="1"/>
  <c r="O279" i="121"/>
  <c r="P279" i="121" s="1"/>
  <c r="O277" i="121"/>
  <c r="P277" i="121" s="1"/>
  <c r="O275" i="121"/>
  <c r="P275" i="121" s="1"/>
  <c r="O273" i="121"/>
  <c r="P273" i="121" s="1"/>
  <c r="O271" i="121"/>
  <c r="P271" i="121" s="1"/>
  <c r="O269" i="121"/>
  <c r="P269" i="121" s="1"/>
  <c r="O267" i="121"/>
  <c r="P267" i="121" s="1"/>
  <c r="O265" i="121"/>
  <c r="P265" i="121" s="1"/>
  <c r="O263" i="121"/>
  <c r="P263" i="121" s="1"/>
  <c r="O261" i="121"/>
  <c r="P261" i="121" s="1"/>
  <c r="O259" i="121"/>
  <c r="P259" i="121" s="1"/>
  <c r="O257" i="121"/>
  <c r="P257" i="121" s="1"/>
  <c r="O255" i="121"/>
  <c r="P255" i="121" s="1"/>
  <c r="O253" i="121"/>
  <c r="P253" i="121" s="1"/>
  <c r="O251" i="121"/>
  <c r="P251" i="121" s="1"/>
  <c r="O249" i="121"/>
  <c r="P249" i="121" s="1"/>
  <c r="O247" i="121"/>
  <c r="P247" i="121" s="1"/>
  <c r="O245" i="121"/>
  <c r="P245" i="121" s="1"/>
  <c r="O243" i="121"/>
  <c r="P243" i="121" s="1"/>
  <c r="O241" i="121"/>
  <c r="P241" i="121" s="1"/>
  <c r="O239" i="121"/>
  <c r="P239" i="121" s="1"/>
  <c r="O237" i="121"/>
  <c r="P237" i="121" s="1"/>
  <c r="O235" i="121"/>
  <c r="P235" i="121" s="1"/>
  <c r="O233" i="121"/>
  <c r="P233" i="121" s="1"/>
  <c r="O231" i="121"/>
  <c r="P231" i="121" s="1"/>
  <c r="O229" i="121"/>
  <c r="P229" i="121" s="1"/>
  <c r="O227" i="121"/>
  <c r="P227" i="121" s="1"/>
  <c r="O225" i="121"/>
  <c r="P225" i="121" s="1"/>
  <c r="O223" i="121"/>
  <c r="P223" i="121" s="1"/>
  <c r="O221" i="121"/>
  <c r="P221" i="121" s="1"/>
  <c r="O219" i="121"/>
  <c r="P219" i="121" s="1"/>
  <c r="O217" i="121"/>
  <c r="P217" i="121" s="1"/>
  <c r="O215" i="121"/>
  <c r="P215" i="121" s="1"/>
  <c r="O213" i="121"/>
  <c r="P213" i="121" s="1"/>
  <c r="O441" i="121"/>
  <c r="P441" i="121" s="1"/>
  <c r="O207" i="121"/>
  <c r="P207" i="121" s="1"/>
  <c r="O199" i="121"/>
  <c r="P199" i="121" s="1"/>
  <c r="O209" i="121"/>
  <c r="P209" i="121" s="1"/>
  <c r="O201" i="121"/>
  <c r="P201" i="121" s="1"/>
  <c r="O194" i="121"/>
  <c r="P194" i="121" s="1"/>
  <c r="O192" i="121"/>
  <c r="P192" i="121" s="1"/>
  <c r="O190" i="121"/>
  <c r="P190" i="121" s="1"/>
  <c r="O188" i="121"/>
  <c r="P188" i="121" s="1"/>
  <c r="O186" i="121"/>
  <c r="P186" i="121" s="1"/>
  <c r="O184" i="121"/>
  <c r="P184" i="121" s="1"/>
  <c r="O182" i="121"/>
  <c r="P182" i="121" s="1"/>
  <c r="O180" i="121"/>
  <c r="P180" i="121" s="1"/>
  <c r="O178" i="121"/>
  <c r="P178" i="121" s="1"/>
  <c r="O176" i="121"/>
  <c r="P176" i="121" s="1"/>
  <c r="O174" i="121"/>
  <c r="P174" i="121" s="1"/>
  <c r="O172" i="121"/>
  <c r="P172" i="121" s="1"/>
  <c r="O170" i="121"/>
  <c r="P170" i="121" s="1"/>
  <c r="O168" i="121"/>
  <c r="P168" i="121" s="1"/>
  <c r="O166" i="121"/>
  <c r="P166" i="121" s="1"/>
  <c r="O164" i="121"/>
  <c r="P164" i="121" s="1"/>
  <c r="O162" i="121"/>
  <c r="P162" i="121" s="1"/>
  <c r="O160" i="121"/>
  <c r="P160" i="121" s="1"/>
  <c r="O158" i="121"/>
  <c r="P158" i="121" s="1"/>
  <c r="O156" i="121"/>
  <c r="P156" i="121" s="1"/>
  <c r="O154" i="121"/>
  <c r="P154" i="121" s="1"/>
  <c r="O152" i="121"/>
  <c r="P152" i="121" s="1"/>
  <c r="O150" i="121"/>
  <c r="P150" i="121" s="1"/>
  <c r="O148" i="121"/>
  <c r="P148" i="121" s="1"/>
  <c r="O146" i="121"/>
  <c r="P146" i="121" s="1"/>
  <c r="O144" i="121"/>
  <c r="P144" i="121" s="1"/>
  <c r="O142" i="121"/>
  <c r="P142" i="121" s="1"/>
  <c r="O140" i="121"/>
  <c r="P140" i="121" s="1"/>
  <c r="O138" i="121"/>
  <c r="P138" i="121" s="1"/>
  <c r="O136" i="121"/>
  <c r="P136" i="121" s="1"/>
  <c r="O134" i="121"/>
  <c r="P134" i="121" s="1"/>
  <c r="O132" i="121"/>
  <c r="P132" i="121" s="1"/>
  <c r="O130" i="121"/>
  <c r="P130" i="121" s="1"/>
  <c r="O128" i="121"/>
  <c r="P128" i="121" s="1"/>
  <c r="O126" i="121"/>
  <c r="P126" i="121" s="1"/>
  <c r="O124" i="121"/>
  <c r="P124" i="121" s="1"/>
  <c r="O122" i="121"/>
  <c r="P122" i="121" s="1"/>
  <c r="O120" i="121"/>
  <c r="P120" i="121" s="1"/>
  <c r="O118" i="121"/>
  <c r="P118" i="121" s="1"/>
  <c r="O116" i="121"/>
  <c r="P116" i="121" s="1"/>
  <c r="O114" i="121"/>
  <c r="P114" i="121" s="1"/>
  <c r="O112" i="121"/>
  <c r="P112" i="121" s="1"/>
  <c r="O110" i="121"/>
  <c r="P110" i="121" s="1"/>
  <c r="O108" i="121"/>
  <c r="P108" i="121" s="1"/>
  <c r="O106" i="121"/>
  <c r="P106" i="121" s="1"/>
  <c r="O104" i="121"/>
  <c r="P104" i="121" s="1"/>
  <c r="O102" i="121"/>
  <c r="P102" i="121" s="1"/>
  <c r="O100" i="121"/>
  <c r="P100" i="121" s="1"/>
  <c r="O98" i="121"/>
  <c r="P98" i="121" s="1"/>
  <c r="O96" i="121"/>
  <c r="P96" i="121" s="1"/>
  <c r="O94" i="121"/>
  <c r="P94" i="121" s="1"/>
  <c r="O92" i="121"/>
  <c r="P92" i="121" s="1"/>
  <c r="O90" i="121"/>
  <c r="O88" i="121"/>
  <c r="O86" i="121"/>
  <c r="O84" i="121"/>
  <c r="O82" i="121"/>
  <c r="O80" i="121"/>
  <c r="O78" i="121"/>
  <c r="O76" i="121"/>
  <c r="O74" i="121"/>
  <c r="O72" i="121"/>
  <c r="O70" i="121"/>
  <c r="O68" i="121"/>
  <c r="O66" i="121"/>
  <c r="O64" i="121"/>
  <c r="O62" i="121"/>
  <c r="O60" i="121"/>
  <c r="O58" i="121"/>
  <c r="O56" i="121"/>
  <c r="O54" i="121"/>
  <c r="O52" i="121"/>
  <c r="O50" i="121"/>
  <c r="O48" i="121"/>
  <c r="O46" i="121"/>
  <c r="O44" i="121"/>
  <c r="O42" i="121"/>
  <c r="O40" i="121"/>
  <c r="O38" i="121"/>
  <c r="O36" i="121"/>
  <c r="O34" i="121"/>
  <c r="O32" i="121"/>
  <c r="O30" i="121"/>
  <c r="O28" i="121"/>
  <c r="O26" i="121"/>
  <c r="O24" i="121"/>
  <c r="O22" i="121"/>
  <c r="O20" i="121"/>
  <c r="O18" i="121"/>
  <c r="O16" i="121"/>
  <c r="O14" i="121"/>
  <c r="O12" i="121"/>
  <c r="O10" i="121"/>
  <c r="O8" i="121"/>
  <c r="O6" i="121"/>
  <c r="O4" i="121"/>
  <c r="O211" i="121"/>
  <c r="P211" i="121" s="1"/>
  <c r="O203" i="121"/>
  <c r="P203" i="121" s="1"/>
  <c r="O205" i="121"/>
  <c r="P205" i="121" s="1"/>
  <c r="O197" i="121"/>
  <c r="P197" i="121" s="1"/>
  <c r="O195" i="121"/>
  <c r="P195" i="121" s="1"/>
  <c r="O193" i="121"/>
  <c r="P193" i="121" s="1"/>
  <c r="O191" i="121"/>
  <c r="P191" i="121" s="1"/>
  <c r="O189" i="121"/>
  <c r="P189" i="121" s="1"/>
  <c r="O187" i="121"/>
  <c r="P187" i="121" s="1"/>
  <c r="O185" i="121"/>
  <c r="P185" i="121" s="1"/>
  <c r="O183" i="121"/>
  <c r="P183" i="121" s="1"/>
  <c r="O181" i="121"/>
  <c r="P181" i="121" s="1"/>
  <c r="O179" i="121"/>
  <c r="P179" i="121" s="1"/>
  <c r="O177" i="121"/>
  <c r="P177" i="121" s="1"/>
  <c r="O175" i="121"/>
  <c r="P175" i="121" s="1"/>
  <c r="O173" i="121"/>
  <c r="P173" i="121" s="1"/>
  <c r="O171" i="121"/>
  <c r="P171" i="121" s="1"/>
  <c r="O169" i="121"/>
  <c r="P169" i="121" s="1"/>
  <c r="O167" i="121"/>
  <c r="P167" i="121" s="1"/>
  <c r="O165" i="121"/>
  <c r="P165" i="121" s="1"/>
  <c r="O163" i="121"/>
  <c r="P163" i="121" s="1"/>
  <c r="O161" i="121"/>
  <c r="P161" i="121" s="1"/>
  <c r="O159" i="121"/>
  <c r="P159" i="121" s="1"/>
  <c r="O157" i="121"/>
  <c r="P157" i="121" s="1"/>
  <c r="O155" i="121"/>
  <c r="P155" i="121" s="1"/>
  <c r="O153" i="121"/>
  <c r="P153" i="121" s="1"/>
  <c r="O151" i="121"/>
  <c r="P151" i="121" s="1"/>
  <c r="O149" i="121"/>
  <c r="P149" i="121" s="1"/>
  <c r="O147" i="121"/>
  <c r="P147" i="121" s="1"/>
  <c r="O145" i="121"/>
  <c r="P145" i="121" s="1"/>
  <c r="O143" i="121"/>
  <c r="P143" i="121" s="1"/>
  <c r="O141" i="121"/>
  <c r="P141" i="121" s="1"/>
  <c r="O139" i="121"/>
  <c r="P139" i="121" s="1"/>
  <c r="O137" i="121"/>
  <c r="P137" i="121" s="1"/>
  <c r="O135" i="121"/>
  <c r="P135" i="121" s="1"/>
  <c r="O133" i="121"/>
  <c r="P133" i="121" s="1"/>
  <c r="O131" i="121"/>
  <c r="P131" i="121" s="1"/>
  <c r="O129" i="121"/>
  <c r="P129" i="121" s="1"/>
  <c r="O127" i="121"/>
  <c r="P127" i="121" s="1"/>
  <c r="O125" i="121"/>
  <c r="P125" i="121" s="1"/>
  <c r="O123" i="121"/>
  <c r="P123" i="121" s="1"/>
  <c r="O121" i="121"/>
  <c r="P121" i="121" s="1"/>
  <c r="O119" i="121"/>
  <c r="P119" i="121" s="1"/>
  <c r="O117" i="121"/>
  <c r="P117" i="121" s="1"/>
  <c r="O115" i="121"/>
  <c r="P115" i="121" s="1"/>
  <c r="O113" i="121"/>
  <c r="P113" i="121" s="1"/>
  <c r="O111" i="121"/>
  <c r="P111" i="121" s="1"/>
  <c r="O109" i="121"/>
  <c r="P109" i="121" s="1"/>
  <c r="O107" i="121"/>
  <c r="P107" i="121" s="1"/>
  <c r="O105" i="121"/>
  <c r="P105" i="121" s="1"/>
  <c r="O103" i="121"/>
  <c r="P103" i="121" s="1"/>
  <c r="O101" i="121"/>
  <c r="P101" i="121" s="1"/>
  <c r="O99" i="121"/>
  <c r="P99" i="121" s="1"/>
  <c r="O97" i="121"/>
  <c r="P97" i="121" s="1"/>
  <c r="O95" i="121"/>
  <c r="P95" i="121" s="1"/>
  <c r="O93" i="121"/>
  <c r="P93" i="121" s="1"/>
  <c r="O91" i="121"/>
  <c r="O89" i="121"/>
  <c r="O87" i="121"/>
  <c r="O85" i="121"/>
  <c r="O83" i="121"/>
  <c r="O81" i="121"/>
  <c r="O79" i="121"/>
  <c r="O77" i="121"/>
  <c r="O75" i="121"/>
  <c r="O73" i="121"/>
  <c r="O71" i="121"/>
  <c r="O69" i="121"/>
  <c r="O67" i="121"/>
  <c r="O65" i="121"/>
  <c r="O63" i="121"/>
  <c r="O61" i="121"/>
  <c r="O59" i="121"/>
  <c r="O57" i="121"/>
  <c r="O55" i="121"/>
  <c r="O53" i="121"/>
  <c r="O51" i="121"/>
  <c r="O49" i="121"/>
  <c r="O47" i="121"/>
  <c r="O45" i="121"/>
  <c r="O43" i="121"/>
  <c r="O41" i="121"/>
  <c r="O39" i="121"/>
  <c r="O37" i="121"/>
  <c r="O35" i="121"/>
  <c r="O33" i="121"/>
  <c r="O31" i="121"/>
  <c r="O29" i="121"/>
  <c r="O27" i="121"/>
  <c r="O25" i="121"/>
  <c r="O23" i="121"/>
  <c r="O21" i="121"/>
  <c r="O19" i="121"/>
  <c r="O17" i="121"/>
  <c r="O15" i="121"/>
  <c r="O13" i="121"/>
  <c r="O11" i="121"/>
  <c r="O9" i="121"/>
  <c r="O7" i="121"/>
  <c r="O5" i="121"/>
  <c r="O3" i="121"/>
  <c r="H1000" i="121"/>
  <c r="H998" i="121"/>
  <c r="H996" i="121"/>
  <c r="H994" i="121"/>
  <c r="H992" i="121"/>
  <c r="H990" i="121"/>
  <c r="H988" i="121"/>
  <c r="H986" i="121"/>
  <c r="H984" i="121"/>
  <c r="H982" i="121"/>
  <c r="H980" i="121"/>
  <c r="H978" i="121"/>
  <c r="H976" i="121"/>
  <c r="H974" i="121"/>
  <c r="H972" i="121"/>
  <c r="H970" i="121"/>
  <c r="H968" i="121"/>
  <c r="H966" i="121"/>
  <c r="H964" i="121"/>
  <c r="H962" i="121"/>
  <c r="H960" i="121"/>
  <c r="H958" i="121"/>
  <c r="H956" i="121"/>
  <c r="H954" i="121"/>
  <c r="H952" i="121"/>
  <c r="H950" i="121"/>
  <c r="H948" i="121"/>
  <c r="H946" i="121"/>
  <c r="H999" i="121"/>
  <c r="H997" i="121"/>
  <c r="H995" i="121"/>
  <c r="H993" i="121"/>
  <c r="H991" i="121"/>
  <c r="H989" i="121"/>
  <c r="H987" i="121"/>
  <c r="H985" i="121"/>
  <c r="H983" i="121"/>
  <c r="H981" i="121"/>
  <c r="H979" i="121"/>
  <c r="H977" i="121"/>
  <c r="H975" i="121"/>
  <c r="H973" i="121"/>
  <c r="H971" i="121"/>
  <c r="H969" i="121"/>
  <c r="H967" i="121"/>
  <c r="H965" i="121"/>
  <c r="H963" i="121"/>
  <c r="H961" i="121"/>
  <c r="H959" i="121"/>
  <c r="H957" i="121"/>
  <c r="H955" i="121"/>
  <c r="H953" i="121"/>
  <c r="H951" i="121"/>
  <c r="H949" i="121"/>
  <c r="H947" i="121"/>
  <c r="H945" i="121"/>
  <c r="H944" i="121"/>
  <c r="H942" i="121"/>
  <c r="H940" i="121"/>
  <c r="H938" i="121"/>
  <c r="H936" i="121"/>
  <c r="H934" i="121"/>
  <c r="H932" i="121"/>
  <c r="H930" i="121"/>
  <c r="H928" i="121"/>
  <c r="H926" i="121"/>
  <c r="H924" i="121"/>
  <c r="H922" i="121"/>
  <c r="H920" i="121"/>
  <c r="H918" i="121"/>
  <c r="H916" i="121"/>
  <c r="H914" i="121"/>
  <c r="H912" i="121"/>
  <c r="H910" i="121"/>
  <c r="H908" i="121"/>
  <c r="H906" i="121"/>
  <c r="H904" i="121"/>
  <c r="H902" i="121"/>
  <c r="H900" i="121"/>
  <c r="H898" i="121"/>
  <c r="H896" i="121"/>
  <c r="H894" i="121"/>
  <c r="H892" i="121"/>
  <c r="H890" i="121"/>
  <c r="H888" i="121"/>
  <c r="H886" i="121"/>
  <c r="H884" i="121"/>
  <c r="H882" i="121"/>
  <c r="H880" i="121"/>
  <c r="H878" i="121"/>
  <c r="H876" i="121"/>
  <c r="H874" i="121"/>
  <c r="H872" i="121"/>
  <c r="H870" i="121"/>
  <c r="H868" i="121"/>
  <c r="H866" i="121"/>
  <c r="H864" i="121"/>
  <c r="H862" i="121"/>
  <c r="H860" i="121"/>
  <c r="H858" i="121"/>
  <c r="H856" i="121"/>
  <c r="H854" i="121"/>
  <c r="H852" i="121"/>
  <c r="H850" i="121"/>
  <c r="H848" i="121"/>
  <c r="H846" i="121"/>
  <c r="H844" i="121"/>
  <c r="H842" i="121"/>
  <c r="H840" i="121"/>
  <c r="H838" i="121"/>
  <c r="H836" i="121"/>
  <c r="H834" i="121"/>
  <c r="H832" i="121"/>
  <c r="H830" i="121"/>
  <c r="H828" i="121"/>
  <c r="H826" i="121"/>
  <c r="H824" i="121"/>
  <c r="H822" i="121"/>
  <c r="H820" i="121"/>
  <c r="H818" i="121"/>
  <c r="H816" i="121"/>
  <c r="H814" i="121"/>
  <c r="H812" i="121"/>
  <c r="H810" i="121"/>
  <c r="H808" i="121"/>
  <c r="H889" i="121"/>
  <c r="H887" i="121"/>
  <c r="H885" i="121"/>
  <c r="H883" i="121"/>
  <c r="H881" i="121"/>
  <c r="H873" i="121"/>
  <c r="H871" i="121"/>
  <c r="H869" i="121"/>
  <c r="H867" i="121"/>
  <c r="H865" i="121"/>
  <c r="H863" i="121"/>
  <c r="H861" i="121"/>
  <c r="H859" i="121"/>
  <c r="H857" i="121"/>
  <c r="H855" i="121"/>
  <c r="H853" i="121"/>
  <c r="H851" i="121"/>
  <c r="H849" i="121"/>
  <c r="H847" i="121"/>
  <c r="H845" i="121"/>
  <c r="H837" i="121"/>
  <c r="H835" i="121"/>
  <c r="H833" i="121"/>
  <c r="H831" i="121"/>
  <c r="H806" i="121"/>
  <c r="H804" i="121"/>
  <c r="H802" i="121"/>
  <c r="H800" i="121"/>
  <c r="H798" i="121"/>
  <c r="H796" i="121"/>
  <c r="H794" i="121"/>
  <c r="H792" i="121"/>
  <c r="H790" i="121"/>
  <c r="H788" i="121"/>
  <c r="H786" i="121"/>
  <c r="H784" i="121"/>
  <c r="H782" i="121"/>
  <c r="H780" i="121"/>
  <c r="H778" i="121"/>
  <c r="H776" i="121"/>
  <c r="H774" i="121"/>
  <c r="H772" i="121"/>
  <c r="H770" i="121"/>
  <c r="H768" i="121"/>
  <c r="H766" i="121"/>
  <c r="H764" i="121"/>
  <c r="H762" i="121"/>
  <c r="H760" i="121"/>
  <c r="H758" i="121"/>
  <c r="H756" i="121"/>
  <c r="H754" i="121"/>
  <c r="H752" i="121"/>
  <c r="H750" i="121"/>
  <c r="H748" i="121"/>
  <c r="H746" i="121"/>
  <c r="H744" i="121"/>
  <c r="H742" i="121"/>
  <c r="H740" i="121"/>
  <c r="H738" i="121"/>
  <c r="H736" i="121"/>
  <c r="H734" i="121"/>
  <c r="H732" i="121"/>
  <c r="H730" i="121"/>
  <c r="H728" i="121"/>
  <c r="H891" i="121"/>
  <c r="H875" i="121"/>
  <c r="H839" i="121"/>
  <c r="H943" i="121"/>
  <c r="H941" i="121"/>
  <c r="H939" i="121"/>
  <c r="H937" i="121"/>
  <c r="H935" i="121"/>
  <c r="H933" i="121"/>
  <c r="H931" i="121"/>
  <c r="H929" i="121"/>
  <c r="H927" i="121"/>
  <c r="H925" i="121"/>
  <c r="H923" i="121"/>
  <c r="H921" i="121"/>
  <c r="H919" i="121"/>
  <c r="H917" i="121"/>
  <c r="H915" i="121"/>
  <c r="H913" i="121"/>
  <c r="H911" i="121"/>
  <c r="H909" i="121"/>
  <c r="H907" i="121"/>
  <c r="H905" i="121"/>
  <c r="H903" i="121"/>
  <c r="H901" i="121"/>
  <c r="H899" i="121"/>
  <c r="H897" i="121"/>
  <c r="H895" i="121"/>
  <c r="H893" i="121"/>
  <c r="H877" i="121"/>
  <c r="H841" i="121"/>
  <c r="H827" i="121"/>
  <c r="H825" i="121"/>
  <c r="H823" i="121"/>
  <c r="H821" i="121"/>
  <c r="H819" i="121"/>
  <c r="H817" i="121"/>
  <c r="H815" i="121"/>
  <c r="H813" i="121"/>
  <c r="H811" i="121"/>
  <c r="H807" i="121"/>
  <c r="H805" i="121"/>
  <c r="H803" i="121"/>
  <c r="H801" i="121"/>
  <c r="H799" i="121"/>
  <c r="H797" i="121"/>
  <c r="H795" i="121"/>
  <c r="H793" i="121"/>
  <c r="H791" i="121"/>
  <c r="H789" i="121"/>
  <c r="H787" i="121"/>
  <c r="H785" i="121"/>
  <c r="H783" i="121"/>
  <c r="H781" i="121"/>
  <c r="H779" i="121"/>
  <c r="H777" i="121"/>
  <c r="H775" i="121"/>
  <c r="H773" i="121"/>
  <c r="H771" i="121"/>
  <c r="H769" i="121"/>
  <c r="H767" i="121"/>
  <c r="H765" i="121"/>
  <c r="H763" i="121"/>
  <c r="H761" i="121"/>
  <c r="H759" i="121"/>
  <c r="H757" i="121"/>
  <c r="H755" i="121"/>
  <c r="H753" i="121"/>
  <c r="H751" i="121"/>
  <c r="H749" i="121"/>
  <c r="H747" i="121"/>
  <c r="H745" i="121"/>
  <c r="H743" i="121"/>
  <c r="H879" i="121"/>
  <c r="H843" i="121"/>
  <c r="H829" i="121"/>
  <c r="H809" i="121"/>
  <c r="H725" i="121"/>
  <c r="H724" i="121"/>
  <c r="H717" i="121"/>
  <c r="H713" i="121"/>
  <c r="H709" i="121"/>
  <c r="H704" i="121"/>
  <c r="H702" i="121"/>
  <c r="H700" i="121"/>
  <c r="H698" i="121"/>
  <c r="H696" i="121"/>
  <c r="H694" i="121"/>
  <c r="H692" i="121"/>
  <c r="H690" i="121"/>
  <c r="H688" i="121"/>
  <c r="H686" i="121"/>
  <c r="H684" i="121"/>
  <c r="H682" i="121"/>
  <c r="H680" i="121"/>
  <c r="H678" i="121"/>
  <c r="H676" i="121"/>
  <c r="H674" i="121"/>
  <c r="H672" i="121"/>
  <c r="H670" i="121"/>
  <c r="H668" i="121"/>
  <c r="H666" i="121"/>
  <c r="H664" i="121"/>
  <c r="H662" i="121"/>
  <c r="H660" i="121"/>
  <c r="H658" i="121"/>
  <c r="H656" i="121"/>
  <c r="H654" i="121"/>
  <c r="H652" i="121"/>
  <c r="H650" i="121"/>
  <c r="H648" i="121"/>
  <c r="H646" i="121"/>
  <c r="H644" i="121"/>
  <c r="H642" i="121"/>
  <c r="H640" i="121"/>
  <c r="H638" i="121"/>
  <c r="H636" i="121"/>
  <c r="H634" i="121"/>
  <c r="H632" i="121"/>
  <c r="H630" i="121"/>
  <c r="H628" i="121"/>
  <c r="H626" i="121"/>
  <c r="H624" i="121"/>
  <c r="H622" i="121"/>
  <c r="H620" i="121"/>
  <c r="H618" i="121"/>
  <c r="H616" i="121"/>
  <c r="H614" i="121"/>
  <c r="H612" i="121"/>
  <c r="H610" i="121"/>
  <c r="H608" i="121"/>
  <c r="H606" i="121"/>
  <c r="H604" i="121"/>
  <c r="H602" i="121"/>
  <c r="H600" i="121"/>
  <c r="H598" i="121"/>
  <c r="H596" i="121"/>
  <c r="H594" i="121"/>
  <c r="H592" i="121"/>
  <c r="H590" i="121"/>
  <c r="H723" i="121"/>
  <c r="H722" i="121"/>
  <c r="H716" i="121"/>
  <c r="H712" i="121"/>
  <c r="H708" i="121"/>
  <c r="H721" i="121"/>
  <c r="H720" i="121"/>
  <c r="H715" i="121"/>
  <c r="H711" i="121"/>
  <c r="H707" i="121"/>
  <c r="H705" i="121"/>
  <c r="H703" i="121"/>
  <c r="H701" i="121"/>
  <c r="H699" i="121"/>
  <c r="H697" i="121"/>
  <c r="H695" i="121"/>
  <c r="H693" i="121"/>
  <c r="H691" i="121"/>
  <c r="H689" i="121"/>
  <c r="H687" i="121"/>
  <c r="H685" i="121"/>
  <c r="H683" i="121"/>
  <c r="H681" i="121"/>
  <c r="H679" i="121"/>
  <c r="H677" i="121"/>
  <c r="H675" i="121"/>
  <c r="H673" i="121"/>
  <c r="H671" i="121"/>
  <c r="H669" i="121"/>
  <c r="H667" i="121"/>
  <c r="H665" i="121"/>
  <c r="H663" i="121"/>
  <c r="H661" i="121"/>
  <c r="H659" i="121"/>
  <c r="H657" i="121"/>
  <c r="H655" i="121"/>
  <c r="H653" i="121"/>
  <c r="H651" i="121"/>
  <c r="H649" i="121"/>
  <c r="H647" i="121"/>
  <c r="H645" i="121"/>
  <c r="H643" i="121"/>
  <c r="H641" i="121"/>
  <c r="H639" i="121"/>
  <c r="H637" i="121"/>
  <c r="H635" i="121"/>
  <c r="H633" i="121"/>
  <c r="H631" i="121"/>
  <c r="H629" i="121"/>
  <c r="H627" i="121"/>
  <c r="H625" i="121"/>
  <c r="H623" i="121"/>
  <c r="H621" i="121"/>
  <c r="H619" i="121"/>
  <c r="H617" i="121"/>
  <c r="H615" i="121"/>
  <c r="H613" i="121"/>
  <c r="H611" i="121"/>
  <c r="H609" i="121"/>
  <c r="H607" i="121"/>
  <c r="H605" i="121"/>
  <c r="H603" i="121"/>
  <c r="H601" i="121"/>
  <c r="H599" i="121"/>
  <c r="H597" i="121"/>
  <c r="H741" i="121"/>
  <c r="H739" i="121"/>
  <c r="H737" i="121"/>
  <c r="H735" i="121"/>
  <c r="H733" i="121"/>
  <c r="H731" i="121"/>
  <c r="H729" i="121"/>
  <c r="H727" i="121"/>
  <c r="H726" i="121"/>
  <c r="H719" i="121"/>
  <c r="H718" i="121"/>
  <c r="H714" i="121"/>
  <c r="H710" i="121"/>
  <c r="H706" i="121"/>
  <c r="H591" i="121"/>
  <c r="H588" i="121"/>
  <c r="H586" i="121"/>
  <c r="H584" i="121"/>
  <c r="H582" i="121"/>
  <c r="H580" i="121"/>
  <c r="H578" i="121"/>
  <c r="H576" i="121"/>
  <c r="H574" i="121"/>
  <c r="H572" i="121"/>
  <c r="H570" i="121"/>
  <c r="H568" i="121"/>
  <c r="H566" i="121"/>
  <c r="H564" i="121"/>
  <c r="H562" i="121"/>
  <c r="H560" i="121"/>
  <c r="H558" i="121"/>
  <c r="H556" i="121"/>
  <c r="H554" i="121"/>
  <c r="H552" i="121"/>
  <c r="H550" i="121"/>
  <c r="H548" i="121"/>
  <c r="H546" i="121"/>
  <c r="H544" i="121"/>
  <c r="H542" i="121"/>
  <c r="H540" i="121"/>
  <c r="H538" i="121"/>
  <c r="H536" i="121"/>
  <c r="H534" i="121"/>
  <c r="H532" i="121"/>
  <c r="H530" i="121"/>
  <c r="H528" i="121"/>
  <c r="H526" i="121"/>
  <c r="H524" i="121"/>
  <c r="H522" i="121"/>
  <c r="H520" i="121"/>
  <c r="H518" i="121"/>
  <c r="H516" i="121"/>
  <c r="H514" i="121"/>
  <c r="H512" i="121"/>
  <c r="H510" i="121"/>
  <c r="H508" i="121"/>
  <c r="H506" i="121"/>
  <c r="H504" i="121"/>
  <c r="H502" i="121"/>
  <c r="H500" i="121"/>
  <c r="H498" i="121"/>
  <c r="H496" i="121"/>
  <c r="H494" i="121"/>
  <c r="H492" i="121"/>
  <c r="H490" i="121"/>
  <c r="H488" i="121"/>
  <c r="H486" i="121"/>
  <c r="H484" i="121"/>
  <c r="H482" i="121"/>
  <c r="H480" i="121"/>
  <c r="H478" i="121"/>
  <c r="H476" i="121"/>
  <c r="H474" i="121"/>
  <c r="H472" i="121"/>
  <c r="H470" i="121"/>
  <c r="H468" i="121"/>
  <c r="H466" i="121"/>
  <c r="H464" i="121"/>
  <c r="H462" i="121"/>
  <c r="H460" i="121"/>
  <c r="H458" i="121"/>
  <c r="H456" i="121"/>
  <c r="H454" i="121"/>
  <c r="H452" i="121"/>
  <c r="H450" i="121"/>
  <c r="H448" i="121"/>
  <c r="H446" i="121"/>
  <c r="H444" i="121"/>
  <c r="H442" i="121"/>
  <c r="H593" i="121"/>
  <c r="H595" i="121"/>
  <c r="H589" i="121"/>
  <c r="H587" i="121"/>
  <c r="H585" i="121"/>
  <c r="H583" i="121"/>
  <c r="H581" i="121"/>
  <c r="H579" i="121"/>
  <c r="H577" i="121"/>
  <c r="H575" i="121"/>
  <c r="H573" i="121"/>
  <c r="H571" i="121"/>
  <c r="H569" i="121"/>
  <c r="H567" i="121"/>
  <c r="H565" i="121"/>
  <c r="H563" i="121"/>
  <c r="H561" i="121"/>
  <c r="H559" i="121"/>
  <c r="H557" i="121"/>
  <c r="H555" i="121"/>
  <c r="H553" i="121"/>
  <c r="H551" i="121"/>
  <c r="H549" i="121"/>
  <c r="H547" i="121"/>
  <c r="H545" i="121"/>
  <c r="H543" i="121"/>
  <c r="H541" i="121"/>
  <c r="H539" i="121"/>
  <c r="H537" i="121"/>
  <c r="H535" i="121"/>
  <c r="H533" i="121"/>
  <c r="H531" i="121"/>
  <c r="H529" i="121"/>
  <c r="H527" i="121"/>
  <c r="H525" i="121"/>
  <c r="H523" i="121"/>
  <c r="H521" i="121"/>
  <c r="H519" i="121"/>
  <c r="H517" i="121"/>
  <c r="H515" i="121"/>
  <c r="H513" i="121"/>
  <c r="H511" i="121"/>
  <c r="H509" i="121"/>
  <c r="H507" i="121"/>
  <c r="H505" i="121"/>
  <c r="H503" i="121"/>
  <c r="H501" i="121"/>
  <c r="H499" i="121"/>
  <c r="H497" i="121"/>
  <c r="H495" i="121"/>
  <c r="H493" i="121"/>
  <c r="H491" i="121"/>
  <c r="H489" i="121"/>
  <c r="H487" i="121"/>
  <c r="H485" i="121"/>
  <c r="H483" i="121"/>
  <c r="H481" i="121"/>
  <c r="H479" i="121"/>
  <c r="H477" i="121"/>
  <c r="H475" i="121"/>
  <c r="H473" i="121"/>
  <c r="H471" i="121"/>
  <c r="H469" i="121"/>
  <c r="H467" i="121"/>
  <c r="H465" i="121"/>
  <c r="H463" i="121"/>
  <c r="H461" i="121"/>
  <c r="H459" i="121"/>
  <c r="H457" i="121"/>
  <c r="H455" i="121"/>
  <c r="H453" i="121"/>
  <c r="H451" i="121"/>
  <c r="H449" i="121"/>
  <c r="H447" i="121"/>
  <c r="H445" i="121"/>
  <c r="H443" i="121"/>
  <c r="H441" i="121"/>
  <c r="H439" i="121"/>
  <c r="H437" i="121"/>
  <c r="H435" i="121"/>
  <c r="H433" i="121"/>
  <c r="H431" i="121"/>
  <c r="H429" i="121"/>
  <c r="H427" i="121"/>
  <c r="H425" i="121"/>
  <c r="H423" i="121"/>
  <c r="H421" i="121"/>
  <c r="H419" i="121"/>
  <c r="H417" i="121"/>
  <c r="H415" i="121"/>
  <c r="H413" i="121"/>
  <c r="H411" i="121"/>
  <c r="H409" i="121"/>
  <c r="H407" i="121"/>
  <c r="H405" i="121"/>
  <c r="H403" i="121"/>
  <c r="H401" i="121"/>
  <c r="H399" i="121"/>
  <c r="H397" i="121"/>
  <c r="H395" i="121"/>
  <c r="H393" i="121"/>
  <c r="H391" i="121"/>
  <c r="H389" i="121"/>
  <c r="H387" i="121"/>
  <c r="H385" i="121"/>
  <c r="H383" i="121"/>
  <c r="H381" i="121"/>
  <c r="H379" i="121"/>
  <c r="H377" i="121"/>
  <c r="H375" i="121"/>
  <c r="H373" i="121"/>
  <c r="H371" i="121"/>
  <c r="H369" i="121"/>
  <c r="H367" i="121"/>
  <c r="H365" i="121"/>
  <c r="H363" i="121"/>
  <c r="H361" i="121"/>
  <c r="H359" i="121"/>
  <c r="H357" i="121"/>
  <c r="H355" i="121"/>
  <c r="H353" i="121"/>
  <c r="H351" i="121"/>
  <c r="H349" i="121"/>
  <c r="H347" i="121"/>
  <c r="H345" i="121"/>
  <c r="H343" i="121"/>
  <c r="H341" i="121"/>
  <c r="H339" i="121"/>
  <c r="H337" i="121"/>
  <c r="H335" i="121"/>
  <c r="H333" i="121"/>
  <c r="H331" i="121"/>
  <c r="H329" i="121"/>
  <c r="H327" i="121"/>
  <c r="H325" i="121"/>
  <c r="H323" i="121"/>
  <c r="H321" i="121"/>
  <c r="H319" i="121"/>
  <c r="H317" i="121"/>
  <c r="H315" i="121"/>
  <c r="H313" i="121"/>
  <c r="H311" i="121"/>
  <c r="H309" i="121"/>
  <c r="H307" i="121"/>
  <c r="H305" i="121"/>
  <c r="H303" i="121"/>
  <c r="H301" i="121"/>
  <c r="H299" i="121"/>
  <c r="H297" i="121"/>
  <c r="H295" i="121"/>
  <c r="H293" i="121"/>
  <c r="H291" i="121"/>
  <c r="H289" i="121"/>
  <c r="H287" i="121"/>
  <c r="H285" i="121"/>
  <c r="H283" i="121"/>
  <c r="H281" i="121"/>
  <c r="H279" i="121"/>
  <c r="H277" i="121"/>
  <c r="H275" i="121"/>
  <c r="H273" i="121"/>
  <c r="H271" i="121"/>
  <c r="H269" i="121"/>
  <c r="H267" i="121"/>
  <c r="H265" i="121"/>
  <c r="H263" i="121"/>
  <c r="H261" i="121"/>
  <c r="H259" i="121"/>
  <c r="H257" i="121"/>
  <c r="H255" i="121"/>
  <c r="H253" i="121"/>
  <c r="H251" i="121"/>
  <c r="H249" i="121"/>
  <c r="H247" i="121"/>
  <c r="H245" i="121"/>
  <c r="H243" i="121"/>
  <c r="H241" i="121"/>
  <c r="H239" i="121"/>
  <c r="H237" i="121"/>
  <c r="H235" i="121"/>
  <c r="H233" i="121"/>
  <c r="H231" i="121"/>
  <c r="H229" i="121"/>
  <c r="H227" i="121"/>
  <c r="H225" i="121"/>
  <c r="H223" i="121"/>
  <c r="H221" i="121"/>
  <c r="H219" i="121"/>
  <c r="H217" i="121"/>
  <c r="H215" i="121"/>
  <c r="H213" i="121"/>
  <c r="H211" i="121"/>
  <c r="H209" i="121"/>
  <c r="H207" i="121"/>
  <c r="H205" i="121"/>
  <c r="H203" i="121"/>
  <c r="H201" i="121"/>
  <c r="H199" i="121"/>
  <c r="H197" i="121"/>
  <c r="H195" i="121"/>
  <c r="H440" i="121"/>
  <c r="H438" i="121"/>
  <c r="H436" i="121"/>
  <c r="H434" i="121"/>
  <c r="H432" i="121"/>
  <c r="H430" i="121"/>
  <c r="H428" i="121"/>
  <c r="H426" i="121"/>
  <c r="H424" i="121"/>
  <c r="H422" i="121"/>
  <c r="H420" i="121"/>
  <c r="H418" i="121"/>
  <c r="H416" i="121"/>
  <c r="H414" i="121"/>
  <c r="H412" i="121"/>
  <c r="H410" i="121"/>
  <c r="H408" i="121"/>
  <c r="H406" i="121"/>
  <c r="H404" i="121"/>
  <c r="H402" i="121"/>
  <c r="H400" i="121"/>
  <c r="H398" i="121"/>
  <c r="H396" i="121"/>
  <c r="H394" i="121"/>
  <c r="H392" i="121"/>
  <c r="H390" i="121"/>
  <c r="H388" i="121"/>
  <c r="H386" i="121"/>
  <c r="H384" i="121"/>
  <c r="H382" i="121"/>
  <c r="H380" i="121"/>
  <c r="H378" i="121"/>
  <c r="H376" i="121"/>
  <c r="H374" i="121"/>
  <c r="H372" i="121"/>
  <c r="H370" i="121"/>
  <c r="H368" i="121"/>
  <c r="H366" i="121"/>
  <c r="H364" i="121"/>
  <c r="H362" i="121"/>
  <c r="H360" i="121"/>
  <c r="H358" i="121"/>
  <c r="H356" i="121"/>
  <c r="H354" i="121"/>
  <c r="H352" i="121"/>
  <c r="H350" i="121"/>
  <c r="H348" i="121"/>
  <c r="H346" i="121"/>
  <c r="H344" i="121"/>
  <c r="H342" i="121"/>
  <c r="H340" i="121"/>
  <c r="H338" i="121"/>
  <c r="H336" i="121"/>
  <c r="H334" i="121"/>
  <c r="H332" i="121"/>
  <c r="H330" i="121"/>
  <c r="H328" i="121"/>
  <c r="H326" i="121"/>
  <c r="H324" i="121"/>
  <c r="H322" i="121"/>
  <c r="H320" i="121"/>
  <c r="H318" i="121"/>
  <c r="H316" i="121"/>
  <c r="H314" i="121"/>
  <c r="H312" i="121"/>
  <c r="H310" i="121"/>
  <c r="H308" i="121"/>
  <c r="H306" i="121"/>
  <c r="H304" i="121"/>
  <c r="H302" i="121"/>
  <c r="H300" i="121"/>
  <c r="H298" i="121"/>
  <c r="H296" i="121"/>
  <c r="H294" i="121"/>
  <c r="H292" i="121"/>
  <c r="H290" i="121"/>
  <c r="H288" i="121"/>
  <c r="H286" i="121"/>
  <c r="H284" i="121"/>
  <c r="H282" i="121"/>
  <c r="H280" i="121"/>
  <c r="H278" i="121"/>
  <c r="H276" i="121"/>
  <c r="H274" i="121"/>
  <c r="H272" i="121"/>
  <c r="H270" i="121"/>
  <c r="H268" i="121"/>
  <c r="H266" i="121"/>
  <c r="H264" i="121"/>
  <c r="H262" i="121"/>
  <c r="H260" i="121"/>
  <c r="H258" i="121"/>
  <c r="H256" i="121"/>
  <c r="H254" i="121"/>
  <c r="H252" i="121"/>
  <c r="H250" i="121"/>
  <c r="H248" i="121"/>
  <c r="H246" i="121"/>
  <c r="H244" i="121"/>
  <c r="H242" i="121"/>
  <c r="H240" i="121"/>
  <c r="H238" i="121"/>
  <c r="H236" i="121"/>
  <c r="H234" i="121"/>
  <c r="H232" i="121"/>
  <c r="H230" i="121"/>
  <c r="H228" i="121"/>
  <c r="H226" i="121"/>
  <c r="H224" i="121"/>
  <c r="H222" i="121"/>
  <c r="H220" i="121"/>
  <c r="H218" i="121"/>
  <c r="H216" i="121"/>
  <c r="H214" i="121"/>
  <c r="H212" i="121"/>
  <c r="H210" i="121"/>
  <c r="H208" i="121"/>
  <c r="H206" i="121"/>
  <c r="H204" i="121"/>
  <c r="H202" i="121"/>
  <c r="H200" i="121"/>
  <c r="H198" i="121"/>
  <c r="H196" i="121"/>
  <c r="H194" i="121"/>
  <c r="H192" i="121"/>
  <c r="H190" i="121"/>
  <c r="H188" i="121"/>
  <c r="H186" i="121"/>
  <c r="H184" i="121"/>
  <c r="H182" i="121"/>
  <c r="H180" i="121"/>
  <c r="H178" i="121"/>
  <c r="H176" i="121"/>
  <c r="H174" i="121"/>
  <c r="H172" i="121"/>
  <c r="H170" i="121"/>
  <c r="H168" i="121"/>
  <c r="H166" i="121"/>
  <c r="H164" i="121"/>
  <c r="H162" i="121"/>
  <c r="H160" i="121"/>
  <c r="H158" i="121"/>
  <c r="H156" i="121"/>
  <c r="H154" i="121"/>
  <c r="H152" i="121"/>
  <c r="H150" i="121"/>
  <c r="H148" i="121"/>
  <c r="H146" i="121"/>
  <c r="H144" i="121"/>
  <c r="H142" i="121"/>
  <c r="H140" i="121"/>
  <c r="H138" i="121"/>
  <c r="H136" i="121"/>
  <c r="H134" i="121"/>
  <c r="H132" i="121"/>
  <c r="H130" i="121"/>
  <c r="H128" i="121"/>
  <c r="H126" i="121"/>
  <c r="H124" i="121"/>
  <c r="H122" i="121"/>
  <c r="H120" i="121"/>
  <c r="H118" i="121"/>
  <c r="H116" i="121"/>
  <c r="H114" i="121"/>
  <c r="H112" i="121"/>
  <c r="H110" i="121"/>
  <c r="H108" i="121"/>
  <c r="H106" i="121"/>
  <c r="H104" i="121"/>
  <c r="H102" i="121"/>
  <c r="H100" i="121"/>
  <c r="H98" i="121"/>
  <c r="H96" i="121"/>
  <c r="H94" i="121"/>
  <c r="H92" i="121"/>
  <c r="H90" i="121"/>
  <c r="H88" i="121"/>
  <c r="H86" i="121"/>
  <c r="H84" i="121"/>
  <c r="H82" i="121"/>
  <c r="H80" i="121"/>
  <c r="H78" i="121"/>
  <c r="H76" i="121"/>
  <c r="H74" i="121"/>
  <c r="H72" i="121"/>
  <c r="H70" i="121"/>
  <c r="H68" i="121"/>
  <c r="H66" i="121"/>
  <c r="H64" i="121"/>
  <c r="H62" i="121"/>
  <c r="H60" i="121"/>
  <c r="H58" i="121"/>
  <c r="H56" i="121"/>
  <c r="H54" i="121"/>
  <c r="H52" i="121"/>
  <c r="B53" i="126" s="1"/>
  <c r="H50" i="121"/>
  <c r="B51" i="126" s="1"/>
  <c r="H48" i="121"/>
  <c r="B49" i="126" s="1"/>
  <c r="H46" i="121"/>
  <c r="B47" i="126" s="1"/>
  <c r="H44" i="121"/>
  <c r="H42" i="121"/>
  <c r="H40" i="121"/>
  <c r="H38" i="121"/>
  <c r="H36" i="121"/>
  <c r="H34" i="121"/>
  <c r="H32" i="121"/>
  <c r="H30" i="121"/>
  <c r="H28" i="121"/>
  <c r="H26" i="121"/>
  <c r="H24" i="121"/>
  <c r="H22" i="121"/>
  <c r="H20" i="121"/>
  <c r="H18" i="121"/>
  <c r="C24" i="123" s="1"/>
  <c r="H16" i="121"/>
  <c r="H14" i="121"/>
  <c r="H12" i="121"/>
  <c r="H10" i="121"/>
  <c r="H8" i="121"/>
  <c r="H6" i="121"/>
  <c r="H4" i="121"/>
  <c r="H5" i="121"/>
  <c r="H193" i="121"/>
  <c r="H191" i="121"/>
  <c r="H189" i="121"/>
  <c r="H187" i="121"/>
  <c r="H185" i="121"/>
  <c r="H183" i="121"/>
  <c r="H181" i="121"/>
  <c r="H179" i="121"/>
  <c r="H177" i="121"/>
  <c r="H175" i="121"/>
  <c r="H173" i="121"/>
  <c r="H171" i="121"/>
  <c r="H169" i="121"/>
  <c r="H167" i="121"/>
  <c r="H165" i="121"/>
  <c r="H163" i="121"/>
  <c r="H161" i="121"/>
  <c r="H159" i="121"/>
  <c r="H157" i="121"/>
  <c r="H155" i="121"/>
  <c r="H153" i="121"/>
  <c r="H151" i="121"/>
  <c r="H149" i="121"/>
  <c r="H147" i="121"/>
  <c r="H145" i="121"/>
  <c r="H143" i="121"/>
  <c r="H141" i="121"/>
  <c r="H139" i="121"/>
  <c r="H137" i="121"/>
  <c r="H135" i="121"/>
  <c r="H133" i="121"/>
  <c r="H131" i="121"/>
  <c r="H129" i="121"/>
  <c r="H127" i="121"/>
  <c r="H125" i="121"/>
  <c r="H123" i="121"/>
  <c r="H121" i="121"/>
  <c r="H119" i="121"/>
  <c r="H117" i="121"/>
  <c r="H115" i="121"/>
  <c r="H113" i="121"/>
  <c r="H111" i="121"/>
  <c r="H109" i="121"/>
  <c r="H107" i="121"/>
  <c r="H105" i="121"/>
  <c r="H103" i="121"/>
  <c r="H101" i="121"/>
  <c r="H99" i="121"/>
  <c r="H97" i="121"/>
  <c r="H95" i="121"/>
  <c r="H93" i="121"/>
  <c r="H91" i="121"/>
  <c r="H89" i="121"/>
  <c r="H87" i="121"/>
  <c r="H85" i="121"/>
  <c r="H83" i="121"/>
  <c r="H81" i="121"/>
  <c r="H79" i="121"/>
  <c r="H77" i="121"/>
  <c r="H75" i="121"/>
  <c r="H73" i="121"/>
  <c r="H71" i="121"/>
  <c r="H69" i="121"/>
  <c r="H67" i="121"/>
  <c r="H65" i="121"/>
  <c r="H63" i="121"/>
  <c r="H61" i="121"/>
  <c r="H59" i="121"/>
  <c r="H57" i="121"/>
  <c r="H55" i="121"/>
  <c r="H53" i="121"/>
  <c r="B54" i="126" s="1"/>
  <c r="H51" i="121"/>
  <c r="B52" i="126" s="1"/>
  <c r="H49" i="121"/>
  <c r="B50" i="126" s="1"/>
  <c r="H47" i="121"/>
  <c r="B48" i="126" s="1"/>
  <c r="H45" i="121"/>
  <c r="H43" i="121"/>
  <c r="H41" i="121"/>
  <c r="H39" i="121"/>
  <c r="H37" i="121"/>
  <c r="H35" i="121"/>
  <c r="H33" i="121"/>
  <c r="H31" i="121"/>
  <c r="H29" i="121"/>
  <c r="H27" i="121"/>
  <c r="H25" i="121"/>
  <c r="H23" i="121"/>
  <c r="H21" i="121"/>
  <c r="H19" i="121"/>
  <c r="H17" i="121"/>
  <c r="H15" i="121"/>
  <c r="H13" i="121"/>
  <c r="H11" i="121"/>
  <c r="H9" i="121"/>
  <c r="H7" i="121"/>
  <c r="H3" i="121"/>
  <c r="B5" i="126" l="1"/>
  <c r="C5" i="114"/>
  <c r="C10" i="123"/>
  <c r="B29" i="126"/>
  <c r="C33" i="123"/>
  <c r="C29" i="114"/>
  <c r="C64" i="125"/>
  <c r="J68" i="102"/>
  <c r="P63" i="121"/>
  <c r="J84" i="102"/>
  <c r="P79" i="121"/>
  <c r="B16" i="126"/>
  <c r="C21" i="123"/>
  <c r="C16" i="114"/>
  <c r="B18" i="126"/>
  <c r="C23" i="123"/>
  <c r="C18" i="114"/>
  <c r="B34" i="126"/>
  <c r="C38" i="123"/>
  <c r="C34" i="114"/>
  <c r="C50" i="126"/>
  <c r="E50" i="126"/>
  <c r="D50" i="126"/>
  <c r="B17" i="126"/>
  <c r="C17" i="114"/>
  <c r="C22" i="123"/>
  <c r="B33" i="126"/>
  <c r="C37" i="123"/>
  <c r="C33" i="114"/>
  <c r="E49" i="126"/>
  <c r="D49" i="126"/>
  <c r="C49" i="126"/>
  <c r="C4" i="125"/>
  <c r="M4" i="125" s="1"/>
  <c r="J8" i="102"/>
  <c r="P3" i="121"/>
  <c r="C12" i="125"/>
  <c r="J16" i="102"/>
  <c r="P11" i="121"/>
  <c r="C20" i="125"/>
  <c r="J24" i="102"/>
  <c r="P19" i="121"/>
  <c r="C28" i="125"/>
  <c r="J32" i="102"/>
  <c r="P27" i="121"/>
  <c r="C36" i="125"/>
  <c r="J40" i="102"/>
  <c r="P35" i="121"/>
  <c r="C44" i="125"/>
  <c r="J48" i="102"/>
  <c r="P43" i="121"/>
  <c r="C52" i="125"/>
  <c r="J56" i="102"/>
  <c r="P51" i="121"/>
  <c r="C60" i="125"/>
  <c r="J64" i="102"/>
  <c r="P59" i="121"/>
  <c r="C68" i="125"/>
  <c r="J72" i="102"/>
  <c r="P67" i="121"/>
  <c r="J80" i="102"/>
  <c r="P75" i="121"/>
  <c r="J88" i="102"/>
  <c r="P83" i="121"/>
  <c r="J96" i="102"/>
  <c r="P91" i="121"/>
  <c r="C11" i="125"/>
  <c r="J15" i="102"/>
  <c r="P10" i="121"/>
  <c r="C19" i="125"/>
  <c r="J23" i="102"/>
  <c r="P18" i="121"/>
  <c r="C27" i="125"/>
  <c r="J31" i="102"/>
  <c r="P26" i="121"/>
  <c r="C35" i="125"/>
  <c r="J39" i="102"/>
  <c r="P34" i="121"/>
  <c r="C43" i="125"/>
  <c r="J47" i="102"/>
  <c r="P42" i="121"/>
  <c r="C51" i="125"/>
  <c r="J55" i="102"/>
  <c r="P50" i="121"/>
  <c r="C59" i="125"/>
  <c r="J63" i="102"/>
  <c r="P58" i="121"/>
  <c r="C67" i="125"/>
  <c r="J71" i="102"/>
  <c r="P66" i="121"/>
  <c r="J79" i="102"/>
  <c r="P74" i="121"/>
  <c r="J87" i="102"/>
  <c r="P82" i="121"/>
  <c r="J95" i="102"/>
  <c r="P90" i="121"/>
  <c r="J6" i="126"/>
  <c r="D11" i="124"/>
  <c r="C6" i="128"/>
  <c r="C54" i="102"/>
  <c r="L5" i="121"/>
  <c r="J14" i="126"/>
  <c r="D19" i="124"/>
  <c r="C14" i="128"/>
  <c r="C62" i="102"/>
  <c r="L13" i="121"/>
  <c r="J22" i="126"/>
  <c r="D27" i="124"/>
  <c r="C22" i="128"/>
  <c r="C70" i="102"/>
  <c r="L21" i="121"/>
  <c r="J30" i="126"/>
  <c r="D35" i="124"/>
  <c r="C30" i="128"/>
  <c r="C78" i="102"/>
  <c r="L29" i="121"/>
  <c r="J38" i="126"/>
  <c r="D43" i="124"/>
  <c r="C38" i="128"/>
  <c r="L37" i="121"/>
  <c r="J46" i="126"/>
  <c r="D51" i="124"/>
  <c r="L45" i="121"/>
  <c r="J54" i="126"/>
  <c r="D59" i="124"/>
  <c r="L53" i="121"/>
  <c r="D67" i="124"/>
  <c r="L61" i="121"/>
  <c r="D75" i="124"/>
  <c r="L69" i="121"/>
  <c r="D83" i="124"/>
  <c r="L77" i="121"/>
  <c r="D91" i="124"/>
  <c r="L85" i="121"/>
  <c r="D99" i="124"/>
  <c r="L93" i="121"/>
  <c r="D107" i="124"/>
  <c r="L101" i="121"/>
  <c r="J7" i="126"/>
  <c r="D12" i="124"/>
  <c r="C7" i="128"/>
  <c r="C55" i="102"/>
  <c r="L6" i="121"/>
  <c r="J15" i="126"/>
  <c r="D20" i="124"/>
  <c r="C15" i="128"/>
  <c r="C63" i="102"/>
  <c r="L14" i="121"/>
  <c r="J23" i="126"/>
  <c r="D28" i="124"/>
  <c r="C23" i="128"/>
  <c r="C71" i="102"/>
  <c r="L22" i="121"/>
  <c r="J31" i="126"/>
  <c r="D36" i="124"/>
  <c r="C31" i="128"/>
  <c r="L30" i="121"/>
  <c r="J39" i="126"/>
  <c r="D44" i="124"/>
  <c r="C39" i="128"/>
  <c r="L38" i="121"/>
  <c r="J47" i="126"/>
  <c r="D52" i="124"/>
  <c r="L46" i="121"/>
  <c r="D60" i="124"/>
  <c r="L54" i="121"/>
  <c r="D68" i="124"/>
  <c r="L62" i="121"/>
  <c r="D76" i="124"/>
  <c r="L70" i="121"/>
  <c r="D84" i="124"/>
  <c r="L78" i="121"/>
  <c r="D92" i="124"/>
  <c r="L86" i="121"/>
  <c r="D100" i="124"/>
  <c r="L94" i="121"/>
  <c r="D108" i="124"/>
  <c r="L102" i="121"/>
  <c r="D12" i="102"/>
  <c r="E12" i="102"/>
  <c r="D20" i="102"/>
  <c r="E20" i="102"/>
  <c r="D28" i="102"/>
  <c r="E28" i="102"/>
  <c r="D36" i="102"/>
  <c r="E36" i="102"/>
  <c r="D13" i="102"/>
  <c r="E13" i="102"/>
  <c r="D21" i="102"/>
  <c r="E21" i="102"/>
  <c r="D29" i="102"/>
  <c r="E29" i="102"/>
  <c r="D37" i="102"/>
  <c r="E37" i="102"/>
  <c r="B22" i="126"/>
  <c r="C26" i="123"/>
  <c r="C22" i="114"/>
  <c r="B46" i="126"/>
  <c r="C50" i="123"/>
  <c r="B21" i="126"/>
  <c r="C25" i="123"/>
  <c r="C21" i="114"/>
  <c r="E53" i="126"/>
  <c r="D53" i="126"/>
  <c r="C53" i="126"/>
  <c r="B8" i="126"/>
  <c r="C13" i="123"/>
  <c r="C8" i="114"/>
  <c r="C48" i="126"/>
  <c r="E48" i="126"/>
  <c r="D48" i="126"/>
  <c r="B10" i="126"/>
  <c r="C15" i="123"/>
  <c r="C10" i="114"/>
  <c r="B26" i="126"/>
  <c r="C30" i="123"/>
  <c r="C26" i="114"/>
  <c r="B42" i="126"/>
  <c r="C46" i="123"/>
  <c r="B9" i="126"/>
  <c r="C9" i="114"/>
  <c r="C14" i="123"/>
  <c r="B25" i="126"/>
  <c r="C29" i="123"/>
  <c r="C25" i="114"/>
  <c r="B41" i="126"/>
  <c r="C45" i="123"/>
  <c r="B12" i="126"/>
  <c r="C17" i="123"/>
  <c r="C12" i="114"/>
  <c r="B20" i="126"/>
  <c r="C20" i="114"/>
  <c r="B28" i="126"/>
  <c r="C32" i="123"/>
  <c r="C28" i="114"/>
  <c r="B36" i="126"/>
  <c r="C40" i="123"/>
  <c r="C36" i="114"/>
  <c r="B44" i="126"/>
  <c r="C48" i="123"/>
  <c r="C52" i="126"/>
  <c r="E52" i="126"/>
  <c r="D52" i="126"/>
  <c r="B6" i="126"/>
  <c r="C11" i="123"/>
  <c r="C6" i="114"/>
  <c r="B11" i="126"/>
  <c r="C16" i="123"/>
  <c r="C11" i="114"/>
  <c r="B19" i="126"/>
  <c r="C19" i="114"/>
  <c r="B27" i="126"/>
  <c r="C27" i="114"/>
  <c r="C31" i="123"/>
  <c r="B35" i="126"/>
  <c r="C35" i="114"/>
  <c r="C39" i="123"/>
  <c r="B43" i="126"/>
  <c r="C47" i="123"/>
  <c r="E51" i="126"/>
  <c r="D51" i="126"/>
  <c r="C51" i="126"/>
  <c r="C6" i="125"/>
  <c r="J10" i="102"/>
  <c r="P5" i="121"/>
  <c r="C14" i="125"/>
  <c r="J18" i="102"/>
  <c r="P13" i="121"/>
  <c r="C22" i="125"/>
  <c r="M22" i="125" s="1"/>
  <c r="J26" i="102"/>
  <c r="P21" i="121"/>
  <c r="C30" i="125"/>
  <c r="J34" i="102"/>
  <c r="P29" i="121"/>
  <c r="C38" i="125"/>
  <c r="J42" i="102"/>
  <c r="P37" i="121"/>
  <c r="C46" i="125"/>
  <c r="J50" i="102"/>
  <c r="P45" i="121"/>
  <c r="C54" i="125"/>
  <c r="J58" i="102"/>
  <c r="P53" i="121"/>
  <c r="C62" i="125"/>
  <c r="J66" i="102"/>
  <c r="P61" i="121"/>
  <c r="C70" i="125"/>
  <c r="J74" i="102"/>
  <c r="P69" i="121"/>
  <c r="J82" i="102"/>
  <c r="P77" i="121"/>
  <c r="J90" i="102"/>
  <c r="P85" i="121"/>
  <c r="C5" i="125"/>
  <c r="M5" i="125" s="1"/>
  <c r="J9" i="102"/>
  <c r="P4" i="121"/>
  <c r="C13" i="125"/>
  <c r="J17" i="102"/>
  <c r="P12" i="121"/>
  <c r="C21" i="125"/>
  <c r="J25" i="102"/>
  <c r="P20" i="121"/>
  <c r="C29" i="125"/>
  <c r="J33" i="102"/>
  <c r="P28" i="121"/>
  <c r="C37" i="125"/>
  <c r="J41" i="102"/>
  <c r="P36" i="121"/>
  <c r="C45" i="125"/>
  <c r="J49" i="102"/>
  <c r="P44" i="121"/>
  <c r="C53" i="125"/>
  <c r="J57" i="102"/>
  <c r="P52" i="121"/>
  <c r="C61" i="125"/>
  <c r="J65" i="102"/>
  <c r="P60" i="121"/>
  <c r="C69" i="125"/>
  <c r="J73" i="102"/>
  <c r="P68" i="121"/>
  <c r="J81" i="102"/>
  <c r="P76" i="121"/>
  <c r="J89" i="102"/>
  <c r="P84" i="121"/>
  <c r="J8" i="126"/>
  <c r="D13" i="124"/>
  <c r="C8" i="128"/>
  <c r="C56" i="102"/>
  <c r="L7" i="121"/>
  <c r="J16" i="126"/>
  <c r="D21" i="124"/>
  <c r="C16" i="128"/>
  <c r="C64" i="102"/>
  <c r="L15" i="121"/>
  <c r="J24" i="126"/>
  <c r="C24" i="128"/>
  <c r="D29" i="124"/>
  <c r="C72" i="102"/>
  <c r="L23" i="121"/>
  <c r="J32" i="126"/>
  <c r="C32" i="128"/>
  <c r="D37" i="124"/>
  <c r="L31" i="121"/>
  <c r="J40" i="126"/>
  <c r="D45" i="124"/>
  <c r="C40" i="128"/>
  <c r="L39" i="121"/>
  <c r="J48" i="126"/>
  <c r="D53" i="124"/>
  <c r="L47" i="121"/>
  <c r="D61" i="124"/>
  <c r="L55" i="121"/>
  <c r="D69" i="124"/>
  <c r="L63" i="121"/>
  <c r="D77" i="124"/>
  <c r="L71" i="121"/>
  <c r="D85" i="124"/>
  <c r="L79" i="121"/>
  <c r="D93" i="124"/>
  <c r="L87" i="121"/>
  <c r="D101" i="124"/>
  <c r="L95" i="121"/>
  <c r="J9" i="126"/>
  <c r="D14" i="124"/>
  <c r="C9" i="128"/>
  <c r="C57" i="102"/>
  <c r="L8" i="121"/>
  <c r="J17" i="126"/>
  <c r="D22" i="124"/>
  <c r="C17" i="128"/>
  <c r="C65" i="102"/>
  <c r="L16" i="121"/>
  <c r="J25" i="126"/>
  <c r="D30" i="124"/>
  <c r="C73" i="102"/>
  <c r="C25" i="128"/>
  <c r="L24" i="121"/>
  <c r="J33" i="126"/>
  <c r="D38" i="124"/>
  <c r="C33" i="128"/>
  <c r="L32" i="121"/>
  <c r="J41" i="126"/>
  <c r="D46" i="124"/>
  <c r="C41" i="128"/>
  <c r="L40" i="121"/>
  <c r="J49" i="126"/>
  <c r="D54" i="124"/>
  <c r="L48" i="121"/>
  <c r="D62" i="124"/>
  <c r="L56" i="121"/>
  <c r="D70" i="124"/>
  <c r="L64" i="121"/>
  <c r="D78" i="124"/>
  <c r="L72" i="121"/>
  <c r="D86" i="124"/>
  <c r="L80" i="121"/>
  <c r="D94" i="124"/>
  <c r="L88" i="121"/>
  <c r="D102" i="124"/>
  <c r="L96" i="121"/>
  <c r="D14" i="102"/>
  <c r="E14" i="102"/>
  <c r="D22" i="102"/>
  <c r="E22" i="102"/>
  <c r="D30" i="102"/>
  <c r="E30" i="102"/>
  <c r="D38" i="102"/>
  <c r="E38" i="102"/>
  <c r="D15" i="102"/>
  <c r="E15" i="102"/>
  <c r="D23" i="102"/>
  <c r="E23" i="102"/>
  <c r="D31" i="102"/>
  <c r="E31" i="102"/>
  <c r="D39" i="102"/>
  <c r="E39" i="102"/>
  <c r="B4" i="126"/>
  <c r="C9" i="123"/>
  <c r="C4" i="114"/>
  <c r="B30" i="126"/>
  <c r="C34" i="123"/>
  <c r="C30" i="114"/>
  <c r="C54" i="126"/>
  <c r="E54" i="126"/>
  <c r="D54" i="126"/>
  <c r="B13" i="126"/>
  <c r="C13" i="114"/>
  <c r="C18" i="123"/>
  <c r="B45" i="126"/>
  <c r="C49" i="123"/>
  <c r="C16" i="125"/>
  <c r="J20" i="102"/>
  <c r="P15" i="121"/>
  <c r="C32" i="125"/>
  <c r="J36" i="102"/>
  <c r="P31" i="121"/>
  <c r="C40" i="125"/>
  <c r="J44" i="102"/>
  <c r="P39" i="121"/>
  <c r="C56" i="125"/>
  <c r="J60" i="102"/>
  <c r="P55" i="121"/>
  <c r="C7" i="125"/>
  <c r="J11" i="102"/>
  <c r="P6" i="121"/>
  <c r="C15" i="125"/>
  <c r="J19" i="102"/>
  <c r="P14" i="121"/>
  <c r="C23" i="125"/>
  <c r="J27" i="102"/>
  <c r="P22" i="121"/>
  <c r="C31" i="125"/>
  <c r="J35" i="102"/>
  <c r="P30" i="121"/>
  <c r="C39" i="125"/>
  <c r="J43" i="102"/>
  <c r="P38" i="121"/>
  <c r="C47" i="125"/>
  <c r="J51" i="102"/>
  <c r="P46" i="121"/>
  <c r="C55" i="125"/>
  <c r="J59" i="102"/>
  <c r="P54" i="121"/>
  <c r="C63" i="125"/>
  <c r="J67" i="102"/>
  <c r="P62" i="121"/>
  <c r="C71" i="125"/>
  <c r="J75" i="102"/>
  <c r="P70" i="121"/>
  <c r="J83" i="102"/>
  <c r="P78" i="121"/>
  <c r="J91" i="102"/>
  <c r="P86" i="121"/>
  <c r="J10" i="126"/>
  <c r="D15" i="124"/>
  <c r="C10" i="128"/>
  <c r="C58" i="102"/>
  <c r="L9" i="121"/>
  <c r="J18" i="126"/>
  <c r="D23" i="124"/>
  <c r="C18" i="128"/>
  <c r="C66" i="102"/>
  <c r="L17" i="121"/>
  <c r="J26" i="126"/>
  <c r="D31" i="124"/>
  <c r="C26" i="128"/>
  <c r="C74" i="102"/>
  <c r="L25" i="121"/>
  <c r="J34" i="126"/>
  <c r="D39" i="124"/>
  <c r="C34" i="128"/>
  <c r="L33" i="121"/>
  <c r="J42" i="126"/>
  <c r="D47" i="124"/>
  <c r="C42" i="128"/>
  <c r="L41" i="121"/>
  <c r="J50" i="126"/>
  <c r="D55" i="124"/>
  <c r="L49" i="121"/>
  <c r="D63" i="124"/>
  <c r="L57" i="121"/>
  <c r="D71" i="124"/>
  <c r="L65" i="121"/>
  <c r="D79" i="124"/>
  <c r="L73" i="121"/>
  <c r="D87" i="124"/>
  <c r="L81" i="121"/>
  <c r="D95" i="124"/>
  <c r="L89" i="121"/>
  <c r="D103" i="124"/>
  <c r="L97" i="121"/>
  <c r="J11" i="126"/>
  <c r="D16" i="124"/>
  <c r="C11" i="128"/>
  <c r="C59" i="102"/>
  <c r="L10" i="121"/>
  <c r="J19" i="126"/>
  <c r="D24" i="124"/>
  <c r="C19" i="128"/>
  <c r="C67" i="102"/>
  <c r="L18" i="121"/>
  <c r="J27" i="126"/>
  <c r="D32" i="124"/>
  <c r="C27" i="128"/>
  <c r="C75" i="102"/>
  <c r="L26" i="121"/>
  <c r="J35" i="126"/>
  <c r="D40" i="124"/>
  <c r="C35" i="128"/>
  <c r="L34" i="121"/>
  <c r="J43" i="126"/>
  <c r="D48" i="124"/>
  <c r="C43" i="128"/>
  <c r="L42" i="121"/>
  <c r="J51" i="126"/>
  <c r="D56" i="124"/>
  <c r="L50" i="121"/>
  <c r="D64" i="124"/>
  <c r="L58" i="121"/>
  <c r="D72" i="124"/>
  <c r="L66" i="121"/>
  <c r="D80" i="124"/>
  <c r="L74" i="121"/>
  <c r="D88" i="124"/>
  <c r="L82" i="121"/>
  <c r="D96" i="124"/>
  <c r="L90" i="121"/>
  <c r="D104" i="124"/>
  <c r="L98" i="121"/>
  <c r="J4" i="126"/>
  <c r="D9" i="124"/>
  <c r="C4" i="128"/>
  <c r="C52" i="102"/>
  <c r="L3" i="121"/>
  <c r="D8" i="102"/>
  <c r="E8" i="102"/>
  <c r="D16" i="102"/>
  <c r="E16" i="102"/>
  <c r="D24" i="102"/>
  <c r="E24" i="102"/>
  <c r="D32" i="102"/>
  <c r="E32" i="102"/>
  <c r="D40" i="102"/>
  <c r="E40" i="102"/>
  <c r="D9" i="102"/>
  <c r="E9" i="102"/>
  <c r="D17" i="102"/>
  <c r="E17" i="102"/>
  <c r="D25" i="102"/>
  <c r="E25" i="102"/>
  <c r="D33" i="102"/>
  <c r="E33" i="102"/>
  <c r="D41" i="102"/>
  <c r="E41" i="102"/>
  <c r="B14" i="126"/>
  <c r="C19" i="123"/>
  <c r="C14" i="114"/>
  <c r="B38" i="126"/>
  <c r="C42" i="123"/>
  <c r="C38" i="114"/>
  <c r="B37" i="126"/>
  <c r="C41" i="123"/>
  <c r="C37" i="114"/>
  <c r="C8" i="125"/>
  <c r="J12" i="102"/>
  <c r="P7" i="121"/>
  <c r="C24" i="125"/>
  <c r="J28" i="102"/>
  <c r="P23" i="121"/>
  <c r="C48" i="125"/>
  <c r="J52" i="102"/>
  <c r="P47" i="121"/>
  <c r="C72" i="125"/>
  <c r="J76" i="102"/>
  <c r="P71" i="121"/>
  <c r="J92" i="102"/>
  <c r="P87" i="121"/>
  <c r="B24" i="126"/>
  <c r="C28" i="123"/>
  <c r="C24" i="114"/>
  <c r="B32" i="126"/>
  <c r="C36" i="123"/>
  <c r="C32" i="114"/>
  <c r="B40" i="126"/>
  <c r="C44" i="123"/>
  <c r="B7" i="126"/>
  <c r="C12" i="123"/>
  <c r="R12" i="123" s="1"/>
  <c r="C7" i="114"/>
  <c r="B15" i="126"/>
  <c r="C20" i="123"/>
  <c r="C15" i="114"/>
  <c r="B23" i="126"/>
  <c r="C23" i="114"/>
  <c r="C27" i="123"/>
  <c r="B31" i="126"/>
  <c r="C31" i="114"/>
  <c r="C35" i="123"/>
  <c r="B39" i="126"/>
  <c r="C43" i="123"/>
  <c r="E47" i="126"/>
  <c r="D47" i="126"/>
  <c r="C47" i="126"/>
  <c r="C10" i="125"/>
  <c r="J14" i="102"/>
  <c r="P9" i="121"/>
  <c r="C18" i="125"/>
  <c r="J22" i="102"/>
  <c r="P17" i="121"/>
  <c r="C26" i="125"/>
  <c r="J30" i="102"/>
  <c r="P25" i="121"/>
  <c r="C34" i="125"/>
  <c r="J38" i="102"/>
  <c r="P33" i="121"/>
  <c r="C42" i="125"/>
  <c r="J46" i="102"/>
  <c r="P41" i="121"/>
  <c r="C50" i="125"/>
  <c r="J54" i="102"/>
  <c r="P49" i="121"/>
  <c r="C58" i="125"/>
  <c r="J62" i="102"/>
  <c r="P57" i="121"/>
  <c r="C66" i="125"/>
  <c r="J70" i="102"/>
  <c r="P65" i="121"/>
  <c r="C74" i="125"/>
  <c r="J78" i="102"/>
  <c r="P73" i="121"/>
  <c r="J86" i="102"/>
  <c r="P81" i="121"/>
  <c r="J94" i="102"/>
  <c r="P89" i="121"/>
  <c r="C9" i="125"/>
  <c r="J13" i="102"/>
  <c r="P8" i="121"/>
  <c r="C17" i="125"/>
  <c r="J21" i="102"/>
  <c r="P16" i="121"/>
  <c r="C25" i="125"/>
  <c r="J29" i="102"/>
  <c r="P24" i="121"/>
  <c r="C33" i="125"/>
  <c r="J37" i="102"/>
  <c r="P32" i="121"/>
  <c r="C41" i="125"/>
  <c r="J45" i="102"/>
  <c r="P40" i="121"/>
  <c r="C49" i="125"/>
  <c r="J53" i="102"/>
  <c r="P48" i="121"/>
  <c r="C57" i="125"/>
  <c r="J61" i="102"/>
  <c r="P56" i="121"/>
  <c r="C65" i="125"/>
  <c r="J69" i="102"/>
  <c r="P64" i="121"/>
  <c r="C73" i="125"/>
  <c r="J77" i="102"/>
  <c r="P72" i="121"/>
  <c r="J85" i="102"/>
  <c r="P80" i="121"/>
  <c r="J93" i="102"/>
  <c r="P88" i="121"/>
  <c r="J12" i="126"/>
  <c r="D17" i="124"/>
  <c r="C12" i="128"/>
  <c r="C60" i="102"/>
  <c r="L11" i="121"/>
  <c r="J20" i="126"/>
  <c r="D25" i="124"/>
  <c r="C20" i="128"/>
  <c r="C68" i="102"/>
  <c r="L19" i="121"/>
  <c r="J28" i="126"/>
  <c r="C28" i="128"/>
  <c r="D33" i="124"/>
  <c r="C76" i="102"/>
  <c r="L27" i="121"/>
  <c r="J36" i="126"/>
  <c r="D41" i="124"/>
  <c r="C36" i="128"/>
  <c r="L35" i="121"/>
  <c r="J44" i="126"/>
  <c r="D49" i="124"/>
  <c r="C44" i="128"/>
  <c r="L43" i="121"/>
  <c r="J52" i="126"/>
  <c r="D57" i="124"/>
  <c r="L51" i="121"/>
  <c r="D65" i="124"/>
  <c r="L59" i="121"/>
  <c r="D73" i="124"/>
  <c r="L67" i="121"/>
  <c r="D81" i="124"/>
  <c r="L75" i="121"/>
  <c r="D89" i="124"/>
  <c r="L83" i="121"/>
  <c r="D97" i="124"/>
  <c r="L91" i="121"/>
  <c r="D105" i="124"/>
  <c r="L99" i="121"/>
  <c r="J5" i="126"/>
  <c r="D10" i="124"/>
  <c r="C5" i="128"/>
  <c r="C53" i="102"/>
  <c r="L4" i="121"/>
  <c r="J13" i="126"/>
  <c r="D18" i="124"/>
  <c r="C13" i="128"/>
  <c r="C61" i="102"/>
  <c r="L12" i="121"/>
  <c r="J21" i="126"/>
  <c r="D26" i="124"/>
  <c r="C21" i="128"/>
  <c r="C69" i="102"/>
  <c r="L20" i="121"/>
  <c r="J29" i="126"/>
  <c r="D34" i="124"/>
  <c r="C77" i="102"/>
  <c r="C29" i="128"/>
  <c r="L28" i="121"/>
  <c r="J37" i="126"/>
  <c r="D42" i="124"/>
  <c r="C37" i="128"/>
  <c r="L36" i="121"/>
  <c r="J45" i="126"/>
  <c r="D50" i="124"/>
  <c r="L44" i="121"/>
  <c r="J53" i="126"/>
  <c r="D58" i="124"/>
  <c r="L52" i="121"/>
  <c r="D66" i="124"/>
  <c r="L60" i="121"/>
  <c r="D74" i="124"/>
  <c r="L68" i="121"/>
  <c r="D82" i="124"/>
  <c r="L76" i="121"/>
  <c r="D90" i="124"/>
  <c r="L84" i="121"/>
  <c r="D98" i="124"/>
  <c r="L92" i="121"/>
  <c r="D106" i="124"/>
  <c r="L100" i="121"/>
  <c r="D10" i="102"/>
  <c r="E10" i="102"/>
  <c r="D18" i="102"/>
  <c r="E18" i="102"/>
  <c r="D26" i="102"/>
  <c r="E26" i="102"/>
  <c r="D34" i="102"/>
  <c r="E34" i="102"/>
  <c r="D42" i="102"/>
  <c r="E42" i="102"/>
  <c r="D11" i="102"/>
  <c r="E11" i="102"/>
  <c r="D19" i="102"/>
  <c r="E19" i="102"/>
  <c r="D27" i="102"/>
  <c r="E27" i="102"/>
  <c r="D35" i="102"/>
  <c r="E35" i="102"/>
  <c r="C19" i="126" l="1"/>
  <c r="E19" i="126"/>
  <c r="D19" i="126"/>
  <c r="F23" i="123"/>
  <c r="G23" i="123"/>
  <c r="K8" i="126"/>
  <c r="M8" i="126"/>
  <c r="L8" i="126"/>
  <c r="M5" i="126"/>
  <c r="L5" i="126"/>
  <c r="K5" i="126"/>
  <c r="G50" i="124"/>
  <c r="M50" i="124" s="1"/>
  <c r="C50" i="124"/>
  <c r="H50" i="124"/>
  <c r="N50" i="124" s="1"/>
  <c r="B50" i="124"/>
  <c r="E50" i="124" s="1"/>
  <c r="T50" i="124"/>
  <c r="F50" i="124"/>
  <c r="T42" i="124"/>
  <c r="G42" i="124"/>
  <c r="M42" i="124" s="1"/>
  <c r="C42" i="124"/>
  <c r="H42" i="124"/>
  <c r="N42" i="124" s="1"/>
  <c r="B42" i="124"/>
  <c r="E42" i="124" s="1"/>
  <c r="F42" i="124"/>
  <c r="E77" i="102"/>
  <c r="D77" i="102"/>
  <c r="B77" i="102"/>
  <c r="F69" i="102"/>
  <c r="B69" i="102"/>
  <c r="D69" i="102"/>
  <c r="E69" i="102"/>
  <c r="L13" i="126"/>
  <c r="K13" i="126"/>
  <c r="M13" i="126"/>
  <c r="H10" i="124"/>
  <c r="N10" i="124" s="1"/>
  <c r="G10" i="124"/>
  <c r="M10" i="124" s="1"/>
  <c r="B10" i="124"/>
  <c r="E10" i="124" s="1"/>
  <c r="F10" i="124"/>
  <c r="T10" i="124"/>
  <c r="C10" i="124"/>
  <c r="M52" i="126"/>
  <c r="L52" i="126"/>
  <c r="K52" i="126"/>
  <c r="M44" i="126"/>
  <c r="L44" i="126"/>
  <c r="K44" i="126"/>
  <c r="M36" i="126"/>
  <c r="L36" i="126"/>
  <c r="K36" i="126"/>
  <c r="B28" i="128"/>
  <c r="I28" i="128"/>
  <c r="H28" i="128"/>
  <c r="M28" i="128"/>
  <c r="B20" i="128"/>
  <c r="I20" i="128"/>
  <c r="H20" i="128"/>
  <c r="M20" i="128"/>
  <c r="D60" i="102"/>
  <c r="F60" i="102"/>
  <c r="B60" i="102"/>
  <c r="E60" i="102"/>
  <c r="L69" i="102"/>
  <c r="M69" i="102"/>
  <c r="K69" i="102"/>
  <c r="I69" i="102"/>
  <c r="B57" i="125"/>
  <c r="M57" i="125"/>
  <c r="H57" i="125"/>
  <c r="I57" i="125"/>
  <c r="M37" i="102"/>
  <c r="I37" i="102"/>
  <c r="K37" i="102"/>
  <c r="L37" i="102"/>
  <c r="M25" i="125"/>
  <c r="I25" i="125"/>
  <c r="H25" i="125"/>
  <c r="B25" i="125"/>
  <c r="L94" i="102"/>
  <c r="K94" i="102"/>
  <c r="M94" i="102"/>
  <c r="I94" i="102"/>
  <c r="M78" i="102"/>
  <c r="I78" i="102"/>
  <c r="K78" i="102"/>
  <c r="L78" i="102"/>
  <c r="B66" i="125"/>
  <c r="M66" i="125"/>
  <c r="I66" i="125"/>
  <c r="H66" i="125"/>
  <c r="M46" i="102"/>
  <c r="I46" i="102"/>
  <c r="K46" i="102"/>
  <c r="L46" i="102"/>
  <c r="H34" i="125"/>
  <c r="B34" i="125"/>
  <c r="M34" i="125"/>
  <c r="I34" i="125"/>
  <c r="M14" i="102"/>
  <c r="I14" i="102"/>
  <c r="K14" i="102"/>
  <c r="L14" i="102"/>
  <c r="E35" i="123"/>
  <c r="B35" i="123"/>
  <c r="D35" i="123" s="1"/>
  <c r="G35" i="123"/>
  <c r="J35" i="123"/>
  <c r="R35" i="123"/>
  <c r="F35" i="123"/>
  <c r="D23" i="114"/>
  <c r="F23" i="114"/>
  <c r="E23" i="114"/>
  <c r="I23" i="114"/>
  <c r="B23" i="114"/>
  <c r="N23" i="114"/>
  <c r="E15" i="126"/>
  <c r="D15" i="126"/>
  <c r="C15" i="126"/>
  <c r="R44" i="123"/>
  <c r="J44" i="123"/>
  <c r="F44" i="123"/>
  <c r="B44" i="123"/>
  <c r="D44" i="123" s="1"/>
  <c r="E44" i="123"/>
  <c r="G44" i="123"/>
  <c r="C32" i="126"/>
  <c r="E32" i="126"/>
  <c r="D32" i="126"/>
  <c r="H72" i="125"/>
  <c r="B72" i="125"/>
  <c r="I72" i="125"/>
  <c r="M72" i="125"/>
  <c r="M12" i="102"/>
  <c r="I12" i="102"/>
  <c r="K12" i="102"/>
  <c r="L12" i="102"/>
  <c r="E37" i="126"/>
  <c r="D37" i="126"/>
  <c r="C37" i="126"/>
  <c r="N14" i="114"/>
  <c r="F14" i="114"/>
  <c r="B14" i="114"/>
  <c r="E14" i="114"/>
  <c r="D14" i="114"/>
  <c r="I14" i="114"/>
  <c r="D52" i="102"/>
  <c r="F52" i="102"/>
  <c r="B52" i="102"/>
  <c r="E52" i="102"/>
  <c r="H43" i="128"/>
  <c r="M43" i="128"/>
  <c r="B43" i="128"/>
  <c r="I43" i="128"/>
  <c r="H35" i="128"/>
  <c r="M35" i="128"/>
  <c r="B35" i="128"/>
  <c r="I35" i="128"/>
  <c r="E75" i="102"/>
  <c r="D75" i="102"/>
  <c r="F75" i="102"/>
  <c r="B75" i="102"/>
  <c r="L19" i="126"/>
  <c r="K19" i="126"/>
  <c r="M19" i="126"/>
  <c r="H16" i="124"/>
  <c r="N16" i="124" s="1"/>
  <c r="T16" i="124"/>
  <c r="C16" i="124"/>
  <c r="B16" i="124"/>
  <c r="E16" i="124" s="1"/>
  <c r="F16" i="124"/>
  <c r="G16" i="124"/>
  <c r="M16" i="124" s="1"/>
  <c r="M50" i="126"/>
  <c r="L50" i="126"/>
  <c r="K50" i="126"/>
  <c r="M42" i="126"/>
  <c r="L42" i="126"/>
  <c r="K42" i="126"/>
  <c r="M34" i="126"/>
  <c r="L34" i="126"/>
  <c r="K34" i="126"/>
  <c r="T31" i="124"/>
  <c r="H31" i="124"/>
  <c r="N31" i="124" s="1"/>
  <c r="C31" i="124"/>
  <c r="F31" i="124"/>
  <c r="B31" i="124"/>
  <c r="E31" i="124" s="1"/>
  <c r="G31" i="124"/>
  <c r="M31" i="124" s="1"/>
  <c r="M18" i="128"/>
  <c r="I18" i="128"/>
  <c r="H18" i="128"/>
  <c r="B18" i="128"/>
  <c r="D58" i="102"/>
  <c r="F58" i="102"/>
  <c r="B58" i="102"/>
  <c r="E58" i="102"/>
  <c r="L67" i="102"/>
  <c r="I67" i="102"/>
  <c r="M67" i="102"/>
  <c r="K67" i="102"/>
  <c r="M55" i="125"/>
  <c r="I55" i="125"/>
  <c r="H55" i="125"/>
  <c r="B55" i="125"/>
  <c r="M35" i="102"/>
  <c r="I35" i="102"/>
  <c r="K35" i="102"/>
  <c r="L35" i="102"/>
  <c r="B23" i="125"/>
  <c r="M23" i="125"/>
  <c r="I23" i="125"/>
  <c r="H23" i="125"/>
  <c r="L60" i="102"/>
  <c r="M60" i="102"/>
  <c r="K60" i="102"/>
  <c r="I60" i="102"/>
  <c r="B40" i="125"/>
  <c r="M40" i="125"/>
  <c r="I40" i="125"/>
  <c r="H40" i="125"/>
  <c r="E45" i="126"/>
  <c r="D45" i="126"/>
  <c r="C45" i="126"/>
  <c r="N30" i="114"/>
  <c r="F30" i="114"/>
  <c r="B30" i="114"/>
  <c r="E30" i="114"/>
  <c r="D30" i="114"/>
  <c r="I30" i="114"/>
  <c r="E9" i="123"/>
  <c r="R9" i="123"/>
  <c r="J9" i="123"/>
  <c r="B9" i="123"/>
  <c r="D9" i="123" s="1"/>
  <c r="G9" i="123"/>
  <c r="F9" i="123"/>
  <c r="L49" i="126"/>
  <c r="K49" i="126"/>
  <c r="M49" i="126"/>
  <c r="L41" i="126"/>
  <c r="K41" i="126"/>
  <c r="M41" i="126"/>
  <c r="L33" i="126"/>
  <c r="K33" i="126"/>
  <c r="M33" i="126"/>
  <c r="T30" i="124"/>
  <c r="H30" i="124"/>
  <c r="N30" i="124" s="1"/>
  <c r="C30" i="124"/>
  <c r="G30" i="124"/>
  <c r="M30" i="124" s="1"/>
  <c r="B30" i="124"/>
  <c r="E30" i="124" s="1"/>
  <c r="F30" i="124"/>
  <c r="B17" i="128"/>
  <c r="M17" i="128"/>
  <c r="I17" i="128"/>
  <c r="H17" i="128"/>
  <c r="F57" i="102"/>
  <c r="B57" i="102"/>
  <c r="D57" i="102"/>
  <c r="E57" i="102"/>
  <c r="B40" i="128"/>
  <c r="M40" i="128"/>
  <c r="I40" i="128"/>
  <c r="H40" i="128"/>
  <c r="G37" i="124"/>
  <c r="M37" i="124" s="1"/>
  <c r="B37" i="124"/>
  <c r="F37" i="124"/>
  <c r="C37" i="124"/>
  <c r="T37" i="124"/>
  <c r="H37" i="124"/>
  <c r="N37" i="124" s="1"/>
  <c r="E72" i="102"/>
  <c r="B72" i="102"/>
  <c r="F72" i="102"/>
  <c r="D72" i="102"/>
  <c r="M16" i="126"/>
  <c r="L16" i="126"/>
  <c r="K16" i="126"/>
  <c r="H13" i="124"/>
  <c r="N13" i="124" s="1"/>
  <c r="F13" i="124"/>
  <c r="T13" i="124"/>
  <c r="B13" i="124"/>
  <c r="E13" i="124" s="1"/>
  <c r="G13" i="124"/>
  <c r="M13" i="124" s="1"/>
  <c r="C13" i="124"/>
  <c r="B69" i="125"/>
  <c r="I69" i="125"/>
  <c r="H69" i="125"/>
  <c r="M69" i="125"/>
  <c r="L49" i="102"/>
  <c r="K49" i="102"/>
  <c r="I49" i="102"/>
  <c r="M49" i="102"/>
  <c r="M37" i="125"/>
  <c r="I37" i="125"/>
  <c r="H37" i="125"/>
  <c r="B37" i="125"/>
  <c r="M17" i="102"/>
  <c r="I17" i="102"/>
  <c r="K17" i="102"/>
  <c r="L17" i="102"/>
  <c r="I5" i="125"/>
  <c r="H5" i="125"/>
  <c r="B5" i="125"/>
  <c r="M82" i="102"/>
  <c r="I82" i="102"/>
  <c r="L82" i="102"/>
  <c r="K82" i="102"/>
  <c r="L58" i="102"/>
  <c r="K58" i="102"/>
  <c r="I58" i="102"/>
  <c r="M58" i="102"/>
  <c r="B46" i="125"/>
  <c r="M46" i="125"/>
  <c r="I46" i="125"/>
  <c r="H46" i="125"/>
  <c r="M26" i="102"/>
  <c r="I26" i="102"/>
  <c r="K26" i="102"/>
  <c r="L26" i="102"/>
  <c r="H14" i="125"/>
  <c r="B14" i="125"/>
  <c r="I14" i="125"/>
  <c r="M14" i="125"/>
  <c r="E47" i="123"/>
  <c r="B47" i="123"/>
  <c r="D47" i="123" s="1"/>
  <c r="G47" i="123"/>
  <c r="R47" i="123"/>
  <c r="F47" i="123"/>
  <c r="J47" i="123"/>
  <c r="E35" i="126"/>
  <c r="D35" i="126"/>
  <c r="C35" i="126"/>
  <c r="D19" i="114"/>
  <c r="F19" i="114"/>
  <c r="E19" i="114"/>
  <c r="I19" i="114"/>
  <c r="B19" i="114"/>
  <c r="N19" i="114"/>
  <c r="E11" i="126"/>
  <c r="D11" i="126"/>
  <c r="C11" i="126"/>
  <c r="R48" i="123"/>
  <c r="J48" i="123"/>
  <c r="F48" i="123"/>
  <c r="B48" i="123"/>
  <c r="D48" i="123" s="1"/>
  <c r="E48" i="123"/>
  <c r="G48" i="123"/>
  <c r="C36" i="126"/>
  <c r="E36" i="126"/>
  <c r="D36" i="126"/>
  <c r="I20" i="114"/>
  <c r="E20" i="114"/>
  <c r="D20" i="114"/>
  <c r="F20" i="114"/>
  <c r="B20" i="114"/>
  <c r="N20" i="114"/>
  <c r="E17" i="123"/>
  <c r="R17" i="123"/>
  <c r="J17" i="123"/>
  <c r="B17" i="123"/>
  <c r="D17" i="123" s="1"/>
  <c r="G17" i="123"/>
  <c r="F17" i="123"/>
  <c r="N25" i="114"/>
  <c r="F25" i="114"/>
  <c r="B25" i="114"/>
  <c r="I25" i="114"/>
  <c r="E25" i="114"/>
  <c r="D25" i="114"/>
  <c r="N9" i="114"/>
  <c r="F9" i="114"/>
  <c r="B9" i="114"/>
  <c r="I9" i="114"/>
  <c r="E9" i="114"/>
  <c r="D9" i="114"/>
  <c r="N26" i="114"/>
  <c r="F26" i="114"/>
  <c r="B26" i="114"/>
  <c r="E26" i="114"/>
  <c r="D26" i="114"/>
  <c r="I26" i="114"/>
  <c r="G15" i="123"/>
  <c r="R15" i="123"/>
  <c r="J15" i="123"/>
  <c r="F15" i="123"/>
  <c r="B15" i="123"/>
  <c r="D15" i="123" s="1"/>
  <c r="E15" i="123"/>
  <c r="D8" i="126"/>
  <c r="C8" i="126"/>
  <c r="E8" i="126"/>
  <c r="G50" i="123"/>
  <c r="E50" i="123"/>
  <c r="R50" i="123"/>
  <c r="J50" i="123"/>
  <c r="B50" i="123"/>
  <c r="D50" i="123" s="1"/>
  <c r="F50" i="123"/>
  <c r="C22" i="126"/>
  <c r="E22" i="126"/>
  <c r="D22" i="126"/>
  <c r="H100" i="124"/>
  <c r="N100" i="124" s="1"/>
  <c r="G100" i="124"/>
  <c r="M100" i="124" s="1"/>
  <c r="T100" i="124"/>
  <c r="C100" i="124"/>
  <c r="B100" i="124"/>
  <c r="E100" i="124" s="1"/>
  <c r="F100" i="124"/>
  <c r="H84" i="124"/>
  <c r="N84" i="124" s="1"/>
  <c r="G84" i="124"/>
  <c r="M84" i="124" s="1"/>
  <c r="T84" i="124"/>
  <c r="C84" i="124"/>
  <c r="B84" i="124"/>
  <c r="E84" i="124" s="1"/>
  <c r="F84" i="124"/>
  <c r="H68" i="124"/>
  <c r="N68" i="124" s="1"/>
  <c r="G68" i="124"/>
  <c r="M68" i="124" s="1"/>
  <c r="T68" i="124"/>
  <c r="C68" i="124"/>
  <c r="B68" i="124"/>
  <c r="E68" i="124" s="1"/>
  <c r="F68" i="124"/>
  <c r="G52" i="124"/>
  <c r="M52" i="124" s="1"/>
  <c r="B52" i="124"/>
  <c r="E52" i="124" s="1"/>
  <c r="T52" i="124"/>
  <c r="H52" i="124"/>
  <c r="N52" i="124" s="1"/>
  <c r="C52" i="124"/>
  <c r="F52" i="124"/>
  <c r="T44" i="124"/>
  <c r="G44" i="124"/>
  <c r="M44" i="124" s="1"/>
  <c r="C44" i="124"/>
  <c r="F44" i="124"/>
  <c r="B44" i="124"/>
  <c r="E44" i="124" s="1"/>
  <c r="H44" i="124"/>
  <c r="N44" i="124" s="1"/>
  <c r="F36" i="124"/>
  <c r="C36" i="124"/>
  <c r="T36" i="124"/>
  <c r="B36" i="124"/>
  <c r="H36" i="124"/>
  <c r="N36" i="124" s="1"/>
  <c r="G36" i="124"/>
  <c r="M36" i="124" s="1"/>
  <c r="H23" i="128"/>
  <c r="B23" i="128"/>
  <c r="I23" i="128"/>
  <c r="M23" i="128"/>
  <c r="F63" i="102"/>
  <c r="B63" i="102"/>
  <c r="D63" i="102"/>
  <c r="E63" i="102"/>
  <c r="M7" i="126"/>
  <c r="L7" i="126"/>
  <c r="K7" i="126"/>
  <c r="H99" i="124"/>
  <c r="N99" i="124" s="1"/>
  <c r="T99" i="124"/>
  <c r="C99" i="124"/>
  <c r="G99" i="124"/>
  <c r="M99" i="124" s="1"/>
  <c r="F99" i="124"/>
  <c r="B99" i="124"/>
  <c r="E99" i="124" s="1"/>
  <c r="H83" i="124"/>
  <c r="N83" i="124" s="1"/>
  <c r="T83" i="124"/>
  <c r="C83" i="124"/>
  <c r="G83" i="124"/>
  <c r="M83" i="124" s="1"/>
  <c r="F83" i="124"/>
  <c r="B83" i="124"/>
  <c r="E83" i="124" s="1"/>
  <c r="H67" i="124"/>
  <c r="N67" i="124" s="1"/>
  <c r="T67" i="124"/>
  <c r="C67" i="124"/>
  <c r="G67" i="124"/>
  <c r="M67" i="124" s="1"/>
  <c r="F67" i="124"/>
  <c r="B67" i="124"/>
  <c r="E67" i="124" s="1"/>
  <c r="M38" i="128"/>
  <c r="I38" i="128"/>
  <c r="H38" i="128"/>
  <c r="B38" i="128"/>
  <c r="B78" i="102"/>
  <c r="D78" i="102"/>
  <c r="E78" i="102"/>
  <c r="M22" i="126"/>
  <c r="L22" i="126"/>
  <c r="K22" i="126"/>
  <c r="H19" i="124"/>
  <c r="N19" i="124" s="1"/>
  <c r="T19" i="124"/>
  <c r="C19" i="124"/>
  <c r="G19" i="124"/>
  <c r="M19" i="124" s="1"/>
  <c r="B19" i="124"/>
  <c r="E19" i="124" s="1"/>
  <c r="F19" i="124"/>
  <c r="M6" i="128"/>
  <c r="I6" i="128"/>
  <c r="H6" i="128"/>
  <c r="B6" i="128"/>
  <c r="K95" i="102"/>
  <c r="I95" i="102"/>
  <c r="L95" i="102"/>
  <c r="M79" i="102"/>
  <c r="I79" i="102"/>
  <c r="L79" i="102"/>
  <c r="K79" i="102"/>
  <c r="L55" i="102"/>
  <c r="I55" i="102"/>
  <c r="M55" i="102"/>
  <c r="K55" i="102"/>
  <c r="M43" i="125"/>
  <c r="I43" i="125"/>
  <c r="H43" i="125"/>
  <c r="B43" i="125"/>
  <c r="M23" i="102"/>
  <c r="I23" i="102"/>
  <c r="K23" i="102"/>
  <c r="L23" i="102"/>
  <c r="B11" i="125"/>
  <c r="M11" i="125"/>
  <c r="I11" i="125"/>
  <c r="H11" i="125"/>
  <c r="M88" i="102"/>
  <c r="I88" i="102"/>
  <c r="L88" i="102"/>
  <c r="K88" i="102"/>
  <c r="K72" i="102"/>
  <c r="M72" i="102"/>
  <c r="I72" i="102"/>
  <c r="L72" i="102"/>
  <c r="H60" i="125"/>
  <c r="M60" i="125"/>
  <c r="I60" i="125"/>
  <c r="B60" i="125"/>
  <c r="M40" i="102"/>
  <c r="I40" i="102"/>
  <c r="K40" i="102"/>
  <c r="L40" i="102"/>
  <c r="B28" i="125"/>
  <c r="M28" i="125"/>
  <c r="I28" i="125"/>
  <c r="H28" i="125"/>
  <c r="K8" i="102"/>
  <c r="I8" i="102"/>
  <c r="M8" i="102"/>
  <c r="L8" i="102"/>
  <c r="E33" i="126"/>
  <c r="D33" i="126"/>
  <c r="C33" i="126"/>
  <c r="N34" i="114"/>
  <c r="F34" i="114"/>
  <c r="B34" i="114"/>
  <c r="E34" i="114"/>
  <c r="D34" i="114"/>
  <c r="I34" i="114"/>
  <c r="J23" i="123"/>
  <c r="R23" i="123"/>
  <c r="E23" i="123"/>
  <c r="C16" i="126"/>
  <c r="D16" i="126"/>
  <c r="E16" i="126"/>
  <c r="L68" i="102"/>
  <c r="M68" i="102"/>
  <c r="K68" i="102"/>
  <c r="I68" i="102"/>
  <c r="E29" i="126"/>
  <c r="D29" i="126"/>
  <c r="C29" i="126"/>
  <c r="H106" i="124"/>
  <c r="N106" i="124" s="1"/>
  <c r="G106" i="124"/>
  <c r="M106" i="124" s="1"/>
  <c r="T106" i="124"/>
  <c r="C106" i="124"/>
  <c r="F106" i="124"/>
  <c r="B106" i="124"/>
  <c r="E106" i="124" s="1"/>
  <c r="H90" i="124"/>
  <c r="N90" i="124" s="1"/>
  <c r="G90" i="124"/>
  <c r="M90" i="124" s="1"/>
  <c r="T90" i="124"/>
  <c r="C90" i="124"/>
  <c r="F90" i="124"/>
  <c r="B90" i="124"/>
  <c r="E90" i="124" s="1"/>
  <c r="H74" i="124"/>
  <c r="N74" i="124" s="1"/>
  <c r="G74" i="124"/>
  <c r="M74" i="124" s="1"/>
  <c r="T74" i="124"/>
  <c r="C74" i="124"/>
  <c r="F74" i="124"/>
  <c r="B74" i="124"/>
  <c r="E74" i="124" s="1"/>
  <c r="H58" i="124"/>
  <c r="N58" i="124" s="1"/>
  <c r="G58" i="124"/>
  <c r="M58" i="124" s="1"/>
  <c r="T58" i="124"/>
  <c r="C58" i="124"/>
  <c r="F58" i="124"/>
  <c r="B58" i="124"/>
  <c r="E58" i="124" s="1"/>
  <c r="L45" i="126"/>
  <c r="K45" i="126"/>
  <c r="M45" i="126"/>
  <c r="L37" i="126"/>
  <c r="K37" i="126"/>
  <c r="M37" i="126"/>
  <c r="T34" i="124"/>
  <c r="H34" i="124"/>
  <c r="N34" i="124" s="1"/>
  <c r="C34" i="124"/>
  <c r="G34" i="124"/>
  <c r="M34" i="124" s="1"/>
  <c r="B34" i="124"/>
  <c r="E34" i="124" s="1"/>
  <c r="F34" i="124"/>
  <c r="B21" i="128"/>
  <c r="M21" i="128"/>
  <c r="I21" i="128"/>
  <c r="H21" i="128"/>
  <c r="F61" i="102"/>
  <c r="B61" i="102"/>
  <c r="D61" i="102"/>
  <c r="E61" i="102"/>
  <c r="H97" i="124"/>
  <c r="N97" i="124" s="1"/>
  <c r="T97" i="124"/>
  <c r="C97" i="124"/>
  <c r="G97" i="124"/>
  <c r="M97" i="124" s="1"/>
  <c r="F97" i="124"/>
  <c r="B97" i="124"/>
  <c r="E97" i="124" s="1"/>
  <c r="M28" i="126"/>
  <c r="L28" i="126"/>
  <c r="K28" i="126"/>
  <c r="H25" i="124"/>
  <c r="N25" i="124" s="1"/>
  <c r="F25" i="124"/>
  <c r="T25" i="124"/>
  <c r="B25" i="124"/>
  <c r="E25" i="124" s="1"/>
  <c r="G25" i="124"/>
  <c r="M25" i="124" s="1"/>
  <c r="C25" i="124"/>
  <c r="B12" i="128"/>
  <c r="I12" i="128"/>
  <c r="H12" i="128"/>
  <c r="M12" i="128"/>
  <c r="M93" i="102"/>
  <c r="I93" i="102"/>
  <c r="L93" i="102"/>
  <c r="K93" i="102"/>
  <c r="L77" i="102"/>
  <c r="K77" i="102"/>
  <c r="M77" i="102"/>
  <c r="I77" i="102"/>
  <c r="B65" i="125"/>
  <c r="M65" i="125"/>
  <c r="I65" i="125"/>
  <c r="H65" i="125"/>
  <c r="L45" i="102"/>
  <c r="M45" i="102"/>
  <c r="K45" i="102"/>
  <c r="I45" i="102"/>
  <c r="M33" i="125"/>
  <c r="I33" i="125"/>
  <c r="H33" i="125"/>
  <c r="B33" i="125"/>
  <c r="M13" i="102"/>
  <c r="I13" i="102"/>
  <c r="K13" i="102"/>
  <c r="L13" i="102"/>
  <c r="B74" i="125"/>
  <c r="M74" i="125"/>
  <c r="I74" i="125"/>
  <c r="H74" i="125"/>
  <c r="L54" i="102"/>
  <c r="K54" i="102"/>
  <c r="I54" i="102"/>
  <c r="M54" i="102"/>
  <c r="M42" i="125"/>
  <c r="I42" i="125"/>
  <c r="H42" i="125"/>
  <c r="B42" i="125"/>
  <c r="M22" i="102"/>
  <c r="I22" i="102"/>
  <c r="K22" i="102"/>
  <c r="L22" i="102"/>
  <c r="H10" i="125"/>
  <c r="B10" i="125"/>
  <c r="M10" i="125"/>
  <c r="I10" i="125"/>
  <c r="D31" i="114"/>
  <c r="F31" i="114"/>
  <c r="E31" i="114"/>
  <c r="I31" i="114"/>
  <c r="B31" i="114"/>
  <c r="N31" i="114"/>
  <c r="E23" i="126"/>
  <c r="D23" i="126"/>
  <c r="C23" i="126"/>
  <c r="D7" i="114"/>
  <c r="F7" i="114"/>
  <c r="E7" i="114"/>
  <c r="I7" i="114"/>
  <c r="B7" i="114"/>
  <c r="N7" i="114"/>
  <c r="C40" i="126"/>
  <c r="E40" i="126"/>
  <c r="D40" i="126"/>
  <c r="I24" i="114"/>
  <c r="E24" i="114"/>
  <c r="D24" i="114"/>
  <c r="F24" i="114"/>
  <c r="B24" i="114"/>
  <c r="N24" i="114"/>
  <c r="M92" i="102"/>
  <c r="I92" i="102"/>
  <c r="L92" i="102"/>
  <c r="K92" i="102"/>
  <c r="M28" i="102"/>
  <c r="I28" i="102"/>
  <c r="K28" i="102"/>
  <c r="L28" i="102"/>
  <c r="B8" i="125"/>
  <c r="M8" i="125"/>
  <c r="I8" i="125"/>
  <c r="H8" i="125"/>
  <c r="N38" i="114"/>
  <c r="F38" i="114"/>
  <c r="B38" i="114"/>
  <c r="E38" i="114"/>
  <c r="D38" i="114"/>
  <c r="I38" i="114"/>
  <c r="G19" i="123"/>
  <c r="R19" i="123"/>
  <c r="J19" i="123"/>
  <c r="F19" i="123"/>
  <c r="B19" i="123"/>
  <c r="D19" i="123" s="1"/>
  <c r="E19" i="123"/>
  <c r="B4" i="128"/>
  <c r="I4" i="128"/>
  <c r="H4" i="128"/>
  <c r="M4" i="128"/>
  <c r="H104" i="124"/>
  <c r="N104" i="124" s="1"/>
  <c r="G104" i="124"/>
  <c r="M104" i="124" s="1"/>
  <c r="T104" i="124"/>
  <c r="C104" i="124"/>
  <c r="B104" i="124"/>
  <c r="E104" i="124" s="1"/>
  <c r="F104" i="124"/>
  <c r="H88" i="124"/>
  <c r="N88" i="124" s="1"/>
  <c r="G88" i="124"/>
  <c r="M88" i="124" s="1"/>
  <c r="T88" i="124"/>
  <c r="C88" i="124"/>
  <c r="B88" i="124"/>
  <c r="E88" i="124" s="1"/>
  <c r="F88" i="124"/>
  <c r="H72" i="124"/>
  <c r="N72" i="124" s="1"/>
  <c r="G72" i="124"/>
  <c r="M72" i="124" s="1"/>
  <c r="T72" i="124"/>
  <c r="C72" i="124"/>
  <c r="B72" i="124"/>
  <c r="E72" i="124" s="1"/>
  <c r="F72" i="124"/>
  <c r="H56" i="124"/>
  <c r="N56" i="124" s="1"/>
  <c r="G56" i="124"/>
  <c r="M56" i="124" s="1"/>
  <c r="T56" i="124"/>
  <c r="C56" i="124"/>
  <c r="B56" i="124"/>
  <c r="E56" i="124" s="1"/>
  <c r="F56" i="124"/>
  <c r="T48" i="124"/>
  <c r="G48" i="124"/>
  <c r="M48" i="124" s="1"/>
  <c r="C48" i="124"/>
  <c r="F48" i="124"/>
  <c r="B48" i="124"/>
  <c r="E48" i="124" s="1"/>
  <c r="H48" i="124"/>
  <c r="N48" i="124" s="1"/>
  <c r="T40" i="124"/>
  <c r="F40" i="124"/>
  <c r="B40" i="124"/>
  <c r="E40" i="124" s="1"/>
  <c r="G40" i="124"/>
  <c r="M40" i="124" s="1"/>
  <c r="C40" i="124"/>
  <c r="H40" i="124"/>
  <c r="N40" i="124" s="1"/>
  <c r="H27" i="128"/>
  <c r="M27" i="128"/>
  <c r="B27" i="128"/>
  <c r="I27" i="128"/>
  <c r="F67" i="102"/>
  <c r="B67" i="102"/>
  <c r="D67" i="102"/>
  <c r="E67" i="102"/>
  <c r="L11" i="126"/>
  <c r="K11" i="126"/>
  <c r="M11" i="126"/>
  <c r="H95" i="124"/>
  <c r="N95" i="124" s="1"/>
  <c r="T95" i="124"/>
  <c r="C95" i="124"/>
  <c r="G95" i="124"/>
  <c r="M95" i="124" s="1"/>
  <c r="F95" i="124"/>
  <c r="B95" i="124"/>
  <c r="E95" i="124" s="1"/>
  <c r="H79" i="124"/>
  <c r="N79" i="124" s="1"/>
  <c r="T79" i="124"/>
  <c r="C79" i="124"/>
  <c r="G79" i="124"/>
  <c r="M79" i="124" s="1"/>
  <c r="F79" i="124"/>
  <c r="B79" i="124"/>
  <c r="E79" i="124" s="1"/>
  <c r="H63" i="124"/>
  <c r="N63" i="124" s="1"/>
  <c r="T63" i="124"/>
  <c r="C63" i="124"/>
  <c r="G63" i="124"/>
  <c r="M63" i="124" s="1"/>
  <c r="F63" i="124"/>
  <c r="B63" i="124"/>
  <c r="E63" i="124" s="1"/>
  <c r="M26" i="126"/>
  <c r="L26" i="126"/>
  <c r="K26" i="126"/>
  <c r="H23" i="124"/>
  <c r="N23" i="124" s="1"/>
  <c r="T23" i="124"/>
  <c r="C23" i="124"/>
  <c r="G23" i="124"/>
  <c r="M23" i="124" s="1"/>
  <c r="B23" i="124"/>
  <c r="E23" i="124" s="1"/>
  <c r="F23" i="124"/>
  <c r="M10" i="128"/>
  <c r="I10" i="128"/>
  <c r="H10" i="128"/>
  <c r="B10" i="128"/>
  <c r="K91" i="102"/>
  <c r="M91" i="102"/>
  <c r="I91" i="102"/>
  <c r="L91" i="102"/>
  <c r="M75" i="102"/>
  <c r="I75" i="102"/>
  <c r="K75" i="102"/>
  <c r="L75" i="102"/>
  <c r="M63" i="125"/>
  <c r="I63" i="125"/>
  <c r="H63" i="125"/>
  <c r="B63" i="125"/>
  <c r="L43" i="102"/>
  <c r="I43" i="102"/>
  <c r="M43" i="102"/>
  <c r="K43" i="102"/>
  <c r="B31" i="125"/>
  <c r="M31" i="125"/>
  <c r="I31" i="125"/>
  <c r="H31" i="125"/>
  <c r="M11" i="102"/>
  <c r="I11" i="102"/>
  <c r="K11" i="102"/>
  <c r="L11" i="102"/>
  <c r="H56" i="125"/>
  <c r="B56" i="125"/>
  <c r="I56" i="125"/>
  <c r="M56" i="125"/>
  <c r="M20" i="102"/>
  <c r="I20" i="102"/>
  <c r="K20" i="102"/>
  <c r="L20" i="102"/>
  <c r="R18" i="123"/>
  <c r="J18" i="123"/>
  <c r="F18" i="123"/>
  <c r="B18" i="123"/>
  <c r="D18" i="123" s="1"/>
  <c r="E18" i="123"/>
  <c r="G18" i="123"/>
  <c r="G34" i="123"/>
  <c r="E34" i="123"/>
  <c r="R34" i="123"/>
  <c r="J34" i="123"/>
  <c r="B34" i="123"/>
  <c r="D34" i="123" s="1"/>
  <c r="F34" i="123"/>
  <c r="D4" i="126"/>
  <c r="C4" i="126"/>
  <c r="E4" i="126"/>
  <c r="H94" i="124"/>
  <c r="N94" i="124" s="1"/>
  <c r="G94" i="124"/>
  <c r="M94" i="124" s="1"/>
  <c r="T94" i="124"/>
  <c r="C94" i="124"/>
  <c r="F94" i="124"/>
  <c r="B94" i="124"/>
  <c r="E94" i="124" s="1"/>
  <c r="H78" i="124"/>
  <c r="N78" i="124" s="1"/>
  <c r="G78" i="124"/>
  <c r="M78" i="124" s="1"/>
  <c r="T78" i="124"/>
  <c r="C78" i="124"/>
  <c r="F78" i="124"/>
  <c r="B78" i="124"/>
  <c r="E78" i="124" s="1"/>
  <c r="H62" i="124"/>
  <c r="N62" i="124" s="1"/>
  <c r="G62" i="124"/>
  <c r="M62" i="124" s="1"/>
  <c r="T62" i="124"/>
  <c r="C62" i="124"/>
  <c r="F62" i="124"/>
  <c r="B62" i="124"/>
  <c r="E62" i="124" s="1"/>
  <c r="L25" i="126"/>
  <c r="K25" i="126"/>
  <c r="M25" i="126"/>
  <c r="H22" i="124"/>
  <c r="N22" i="124" s="1"/>
  <c r="G22" i="124"/>
  <c r="M22" i="124" s="1"/>
  <c r="B22" i="124"/>
  <c r="E22" i="124" s="1"/>
  <c r="F22" i="124"/>
  <c r="T22" i="124"/>
  <c r="C22" i="124"/>
  <c r="B9" i="128"/>
  <c r="M9" i="128"/>
  <c r="I9" i="128"/>
  <c r="H9" i="128"/>
  <c r="H101" i="124"/>
  <c r="N101" i="124" s="1"/>
  <c r="T101" i="124"/>
  <c r="C101" i="124"/>
  <c r="G101" i="124"/>
  <c r="M101" i="124" s="1"/>
  <c r="F101" i="124"/>
  <c r="B101" i="124"/>
  <c r="E101" i="124" s="1"/>
  <c r="H85" i="124"/>
  <c r="N85" i="124" s="1"/>
  <c r="T85" i="124"/>
  <c r="C85" i="124"/>
  <c r="G85" i="124"/>
  <c r="M85" i="124" s="1"/>
  <c r="F85" i="124"/>
  <c r="B85" i="124"/>
  <c r="E85" i="124" s="1"/>
  <c r="H69" i="124"/>
  <c r="N69" i="124" s="1"/>
  <c r="T69" i="124"/>
  <c r="C69" i="124"/>
  <c r="G69" i="124"/>
  <c r="M69" i="124" s="1"/>
  <c r="F69" i="124"/>
  <c r="B69" i="124"/>
  <c r="E69" i="124" s="1"/>
  <c r="F53" i="124"/>
  <c r="T53" i="124"/>
  <c r="H53" i="124"/>
  <c r="N53" i="124" s="1"/>
  <c r="C53" i="124"/>
  <c r="G53" i="124"/>
  <c r="M53" i="124" s="1"/>
  <c r="B53" i="124"/>
  <c r="E53" i="124" s="1"/>
  <c r="T45" i="124"/>
  <c r="G45" i="124"/>
  <c r="M45" i="124" s="1"/>
  <c r="C45" i="124"/>
  <c r="H45" i="124"/>
  <c r="N45" i="124" s="1"/>
  <c r="B45" i="124"/>
  <c r="E45" i="124" s="1"/>
  <c r="F45" i="124"/>
  <c r="B32" i="128"/>
  <c r="M32" i="128"/>
  <c r="I32" i="128"/>
  <c r="H32" i="128"/>
  <c r="G29" i="124"/>
  <c r="M29" i="124" s="1"/>
  <c r="B29" i="124"/>
  <c r="E29" i="124" s="1"/>
  <c r="F29" i="124"/>
  <c r="C29" i="124"/>
  <c r="T29" i="124"/>
  <c r="H29" i="124"/>
  <c r="N29" i="124" s="1"/>
  <c r="D64" i="102"/>
  <c r="F64" i="102"/>
  <c r="B64" i="102"/>
  <c r="E64" i="102"/>
  <c r="L81" i="102"/>
  <c r="K81" i="102"/>
  <c r="I81" i="102"/>
  <c r="M81" i="102"/>
  <c r="L57" i="102"/>
  <c r="M57" i="102"/>
  <c r="K57" i="102"/>
  <c r="I57" i="102"/>
  <c r="B45" i="125"/>
  <c r="H45" i="125"/>
  <c r="M45" i="125"/>
  <c r="I45" i="125"/>
  <c r="M25" i="102"/>
  <c r="I25" i="102"/>
  <c r="K25" i="102"/>
  <c r="L25" i="102"/>
  <c r="M13" i="125"/>
  <c r="I13" i="125"/>
  <c r="H13" i="125"/>
  <c r="B13" i="125"/>
  <c r="L66" i="102"/>
  <c r="K66" i="102"/>
  <c r="I66" i="102"/>
  <c r="M66" i="102"/>
  <c r="B54" i="125"/>
  <c r="M54" i="125"/>
  <c r="I54" i="125"/>
  <c r="H54" i="125"/>
  <c r="M34" i="102"/>
  <c r="I34" i="102"/>
  <c r="K34" i="102"/>
  <c r="L34" i="102"/>
  <c r="H22" i="125"/>
  <c r="B22" i="125"/>
  <c r="I22" i="125"/>
  <c r="E43" i="126"/>
  <c r="D43" i="126"/>
  <c r="C43" i="126"/>
  <c r="E31" i="123"/>
  <c r="B31" i="123"/>
  <c r="D31" i="123" s="1"/>
  <c r="G31" i="123"/>
  <c r="R31" i="123"/>
  <c r="F31" i="123"/>
  <c r="J31" i="123"/>
  <c r="N6" i="114"/>
  <c r="F6" i="114"/>
  <c r="B6" i="114"/>
  <c r="E6" i="114"/>
  <c r="D6" i="114"/>
  <c r="I6" i="114"/>
  <c r="C44" i="126"/>
  <c r="E44" i="126"/>
  <c r="D44" i="126"/>
  <c r="I28" i="114"/>
  <c r="E28" i="114"/>
  <c r="D28" i="114"/>
  <c r="F28" i="114"/>
  <c r="B28" i="114"/>
  <c r="N28" i="114"/>
  <c r="E24" i="123"/>
  <c r="R24" i="123"/>
  <c r="F24" i="123"/>
  <c r="J24" i="123"/>
  <c r="B24" i="123"/>
  <c r="D24" i="123" s="1"/>
  <c r="G24" i="123"/>
  <c r="C12" i="126"/>
  <c r="E12" i="126"/>
  <c r="D12" i="126"/>
  <c r="G29" i="123"/>
  <c r="R29" i="123"/>
  <c r="J29" i="123"/>
  <c r="F29" i="123"/>
  <c r="B29" i="123"/>
  <c r="D29" i="123" s="1"/>
  <c r="E29" i="123"/>
  <c r="E9" i="126"/>
  <c r="D9" i="126"/>
  <c r="C9" i="126"/>
  <c r="G30" i="123"/>
  <c r="E30" i="123"/>
  <c r="R30" i="123"/>
  <c r="J30" i="123"/>
  <c r="B30" i="123"/>
  <c r="D30" i="123" s="1"/>
  <c r="F30" i="123"/>
  <c r="C10" i="126"/>
  <c r="E10" i="126"/>
  <c r="D10" i="126"/>
  <c r="N21" i="114"/>
  <c r="F21" i="114"/>
  <c r="B21" i="114"/>
  <c r="I21" i="114"/>
  <c r="E21" i="114"/>
  <c r="D21" i="114"/>
  <c r="C46" i="126"/>
  <c r="E46" i="126"/>
  <c r="D46" i="126"/>
  <c r="L47" i="126"/>
  <c r="K47" i="126"/>
  <c r="M47" i="126"/>
  <c r="L39" i="126"/>
  <c r="K39" i="126"/>
  <c r="M39" i="126"/>
  <c r="L31" i="126"/>
  <c r="K31" i="126"/>
  <c r="M31" i="126"/>
  <c r="H28" i="124"/>
  <c r="N28" i="124" s="1"/>
  <c r="C28" i="124"/>
  <c r="B28" i="124"/>
  <c r="E28" i="124" s="1"/>
  <c r="T28" i="124"/>
  <c r="G28" i="124"/>
  <c r="M28" i="124" s="1"/>
  <c r="F28" i="124"/>
  <c r="H15" i="128"/>
  <c r="B15" i="128"/>
  <c r="I15" i="128"/>
  <c r="M15" i="128"/>
  <c r="F55" i="102"/>
  <c r="B55" i="102"/>
  <c r="D55" i="102"/>
  <c r="E55" i="102"/>
  <c r="T51" i="124"/>
  <c r="H51" i="124"/>
  <c r="N51" i="124" s="1"/>
  <c r="C51" i="124"/>
  <c r="B51" i="124"/>
  <c r="E51" i="124" s="1"/>
  <c r="G51" i="124"/>
  <c r="M51" i="124" s="1"/>
  <c r="F51" i="124"/>
  <c r="T43" i="124"/>
  <c r="G43" i="124"/>
  <c r="M43" i="124" s="1"/>
  <c r="C43" i="124"/>
  <c r="F43" i="124"/>
  <c r="B43" i="124"/>
  <c r="E43" i="124" s="1"/>
  <c r="H43" i="124"/>
  <c r="N43" i="124" s="1"/>
  <c r="M30" i="128"/>
  <c r="I30" i="128"/>
  <c r="H30" i="128"/>
  <c r="B30" i="128"/>
  <c r="D70" i="102"/>
  <c r="F70" i="102"/>
  <c r="B70" i="102"/>
  <c r="E70" i="102"/>
  <c r="M14" i="126"/>
  <c r="K14" i="126"/>
  <c r="L14" i="126"/>
  <c r="H11" i="124"/>
  <c r="N11" i="124" s="1"/>
  <c r="T11" i="124"/>
  <c r="C11" i="124"/>
  <c r="G11" i="124"/>
  <c r="M11" i="124" s="1"/>
  <c r="B11" i="124"/>
  <c r="E11" i="124" s="1"/>
  <c r="F11" i="124"/>
  <c r="L63" i="102"/>
  <c r="I63" i="102"/>
  <c r="M63" i="102"/>
  <c r="K63" i="102"/>
  <c r="M51" i="125"/>
  <c r="I51" i="125"/>
  <c r="H51" i="125"/>
  <c r="B51" i="125"/>
  <c r="M31" i="102"/>
  <c r="I31" i="102"/>
  <c r="K31" i="102"/>
  <c r="L31" i="102"/>
  <c r="B19" i="125"/>
  <c r="M19" i="125"/>
  <c r="I19" i="125"/>
  <c r="H19" i="125"/>
  <c r="H68" i="125"/>
  <c r="M68" i="125"/>
  <c r="I68" i="125"/>
  <c r="B68" i="125"/>
  <c r="K48" i="102"/>
  <c r="M48" i="102"/>
  <c r="I48" i="102"/>
  <c r="L48" i="102"/>
  <c r="B36" i="125"/>
  <c r="M36" i="125"/>
  <c r="I36" i="125"/>
  <c r="H36" i="125"/>
  <c r="M16" i="102"/>
  <c r="I16" i="102"/>
  <c r="K16" i="102"/>
  <c r="L16" i="102"/>
  <c r="I4" i="125"/>
  <c r="H4" i="125"/>
  <c r="B4" i="125"/>
  <c r="E22" i="123"/>
  <c r="J22" i="123"/>
  <c r="F22" i="123"/>
  <c r="R22" i="123"/>
  <c r="B22" i="123"/>
  <c r="D22" i="123" s="1"/>
  <c r="G22" i="123"/>
  <c r="G38" i="123"/>
  <c r="E38" i="123"/>
  <c r="R38" i="123"/>
  <c r="J38" i="123"/>
  <c r="B38" i="123"/>
  <c r="D38" i="123" s="1"/>
  <c r="F38" i="123"/>
  <c r="C18" i="126"/>
  <c r="E18" i="126"/>
  <c r="D18" i="126"/>
  <c r="H64" i="125"/>
  <c r="B64" i="125"/>
  <c r="I64" i="125"/>
  <c r="M64" i="125"/>
  <c r="R10" i="123"/>
  <c r="J10" i="123"/>
  <c r="F10" i="123"/>
  <c r="B10" i="123"/>
  <c r="D10" i="123" s="1"/>
  <c r="E10" i="123"/>
  <c r="G10" i="123"/>
  <c r="H81" i="124"/>
  <c r="N81" i="124" s="1"/>
  <c r="T81" i="124"/>
  <c r="C81" i="124"/>
  <c r="G81" i="124"/>
  <c r="M81" i="124" s="1"/>
  <c r="F81" i="124"/>
  <c r="B81" i="124"/>
  <c r="E81" i="124" s="1"/>
  <c r="L53" i="126"/>
  <c r="K53" i="126"/>
  <c r="M53" i="126"/>
  <c r="B73" i="125"/>
  <c r="M73" i="125"/>
  <c r="H73" i="125"/>
  <c r="I73" i="125"/>
  <c r="L53" i="102"/>
  <c r="M53" i="102"/>
  <c r="K53" i="102"/>
  <c r="I53" i="102"/>
  <c r="M41" i="125"/>
  <c r="I41" i="125"/>
  <c r="H41" i="125"/>
  <c r="B41" i="125"/>
  <c r="M21" i="102"/>
  <c r="I21" i="102"/>
  <c r="K21" i="102"/>
  <c r="L21" i="102"/>
  <c r="M9" i="125"/>
  <c r="I9" i="125"/>
  <c r="H9" i="125"/>
  <c r="B9" i="125"/>
  <c r="L62" i="102"/>
  <c r="K62" i="102"/>
  <c r="I62" i="102"/>
  <c r="M62" i="102"/>
  <c r="B50" i="125"/>
  <c r="M50" i="125"/>
  <c r="I50" i="125"/>
  <c r="H50" i="125"/>
  <c r="M30" i="102"/>
  <c r="I30" i="102"/>
  <c r="K30" i="102"/>
  <c r="L30" i="102"/>
  <c r="H18" i="125"/>
  <c r="B18" i="125"/>
  <c r="M18" i="125"/>
  <c r="I18" i="125"/>
  <c r="E43" i="123"/>
  <c r="B43" i="123"/>
  <c r="D43" i="123" s="1"/>
  <c r="G43" i="123"/>
  <c r="J43" i="123"/>
  <c r="R43" i="123"/>
  <c r="F43" i="123"/>
  <c r="E31" i="126"/>
  <c r="D31" i="126"/>
  <c r="C31" i="126"/>
  <c r="D15" i="114"/>
  <c r="F15" i="114"/>
  <c r="E15" i="114"/>
  <c r="I15" i="114"/>
  <c r="B15" i="114"/>
  <c r="N15" i="114"/>
  <c r="G12" i="123"/>
  <c r="F12" i="123"/>
  <c r="E12" i="123"/>
  <c r="J12" i="123"/>
  <c r="B12" i="123"/>
  <c r="D12" i="123" s="1"/>
  <c r="I32" i="114"/>
  <c r="E32" i="114"/>
  <c r="D32" i="114"/>
  <c r="F32" i="114"/>
  <c r="B32" i="114"/>
  <c r="N32" i="114"/>
  <c r="R28" i="123"/>
  <c r="J28" i="123"/>
  <c r="F28" i="123"/>
  <c r="B28" i="123"/>
  <c r="D28" i="123" s="1"/>
  <c r="E28" i="123"/>
  <c r="G28" i="123"/>
  <c r="L52" i="102"/>
  <c r="M52" i="102"/>
  <c r="K52" i="102"/>
  <c r="I52" i="102"/>
  <c r="B24" i="125"/>
  <c r="M24" i="125"/>
  <c r="I24" i="125"/>
  <c r="H24" i="125"/>
  <c r="N37" i="114"/>
  <c r="F37" i="114"/>
  <c r="B37" i="114"/>
  <c r="I37" i="114"/>
  <c r="E37" i="114"/>
  <c r="D37" i="114"/>
  <c r="G42" i="123"/>
  <c r="E42" i="123"/>
  <c r="R42" i="123"/>
  <c r="J42" i="123"/>
  <c r="B42" i="123"/>
  <c r="D42" i="123" s="1"/>
  <c r="F42" i="123"/>
  <c r="C14" i="126"/>
  <c r="E14" i="126"/>
  <c r="D14" i="126"/>
  <c r="H9" i="124"/>
  <c r="N9" i="124" s="1"/>
  <c r="F9" i="124"/>
  <c r="T9" i="124"/>
  <c r="B9" i="124"/>
  <c r="E9" i="124" s="1"/>
  <c r="G9" i="124"/>
  <c r="M9" i="124" s="1"/>
  <c r="C9" i="124"/>
  <c r="L51" i="126"/>
  <c r="K51" i="126"/>
  <c r="M51" i="126"/>
  <c r="L43" i="126"/>
  <c r="K43" i="126"/>
  <c r="M43" i="126"/>
  <c r="L35" i="126"/>
  <c r="K35" i="126"/>
  <c r="M35" i="126"/>
  <c r="F32" i="124"/>
  <c r="C32" i="124"/>
  <c r="T32" i="124"/>
  <c r="B32" i="124"/>
  <c r="E32" i="124" s="1"/>
  <c r="H32" i="124"/>
  <c r="N32" i="124" s="1"/>
  <c r="G32" i="124"/>
  <c r="M32" i="124" s="1"/>
  <c r="H19" i="128"/>
  <c r="M19" i="128"/>
  <c r="B19" i="128"/>
  <c r="I19" i="128"/>
  <c r="F59" i="102"/>
  <c r="B59" i="102"/>
  <c r="D59" i="102"/>
  <c r="E59" i="102"/>
  <c r="M42" i="128"/>
  <c r="I42" i="128"/>
  <c r="H42" i="128"/>
  <c r="B42" i="128"/>
  <c r="M34" i="128"/>
  <c r="I34" i="128"/>
  <c r="H34" i="128"/>
  <c r="B34" i="128"/>
  <c r="E74" i="102"/>
  <c r="F74" i="102"/>
  <c r="B74" i="102"/>
  <c r="D74" i="102"/>
  <c r="M18" i="126"/>
  <c r="L18" i="126"/>
  <c r="K18" i="126"/>
  <c r="H15" i="124"/>
  <c r="N15" i="124" s="1"/>
  <c r="T15" i="124"/>
  <c r="C15" i="124"/>
  <c r="G15" i="124"/>
  <c r="M15" i="124" s="1"/>
  <c r="B15" i="124"/>
  <c r="E15" i="124" s="1"/>
  <c r="F15" i="124"/>
  <c r="M71" i="125"/>
  <c r="I71" i="125"/>
  <c r="H71" i="125"/>
  <c r="B71" i="125"/>
  <c r="L51" i="102"/>
  <c r="I51" i="102"/>
  <c r="M51" i="102"/>
  <c r="K51" i="102"/>
  <c r="B39" i="125"/>
  <c r="M39" i="125"/>
  <c r="I39" i="125"/>
  <c r="H39" i="125"/>
  <c r="M19" i="102"/>
  <c r="I19" i="102"/>
  <c r="K19" i="102"/>
  <c r="L19" i="102"/>
  <c r="B7" i="125"/>
  <c r="M7" i="125"/>
  <c r="I7" i="125"/>
  <c r="H7" i="125"/>
  <c r="M36" i="102"/>
  <c r="I36" i="102"/>
  <c r="K36" i="102"/>
  <c r="L36" i="102"/>
  <c r="B16" i="125"/>
  <c r="M16" i="125"/>
  <c r="I16" i="125"/>
  <c r="H16" i="125"/>
  <c r="N13" i="114"/>
  <c r="F13" i="114"/>
  <c r="B13" i="114"/>
  <c r="I13" i="114"/>
  <c r="E13" i="114"/>
  <c r="D13" i="114"/>
  <c r="C30" i="126"/>
  <c r="E30" i="126"/>
  <c r="D30" i="126"/>
  <c r="B41" i="128"/>
  <c r="M41" i="128"/>
  <c r="I41" i="128"/>
  <c r="H41" i="128"/>
  <c r="B33" i="128"/>
  <c r="M33" i="128"/>
  <c r="I33" i="128"/>
  <c r="H33" i="128"/>
  <c r="B25" i="128"/>
  <c r="M25" i="128"/>
  <c r="I25" i="128"/>
  <c r="H25" i="128"/>
  <c r="L17" i="126"/>
  <c r="K17" i="126"/>
  <c r="M17" i="126"/>
  <c r="H14" i="124"/>
  <c r="N14" i="124" s="1"/>
  <c r="G14" i="124"/>
  <c r="M14" i="124" s="1"/>
  <c r="B14" i="124"/>
  <c r="E14" i="124" s="1"/>
  <c r="F14" i="124"/>
  <c r="T14" i="124"/>
  <c r="C14" i="124"/>
  <c r="M48" i="126"/>
  <c r="L48" i="126"/>
  <c r="K48" i="126"/>
  <c r="M40" i="126"/>
  <c r="L40" i="126"/>
  <c r="K40" i="126"/>
  <c r="M32" i="126"/>
  <c r="L32" i="126"/>
  <c r="K32" i="126"/>
  <c r="B24" i="128"/>
  <c r="M24" i="128"/>
  <c r="I24" i="128"/>
  <c r="H24" i="128"/>
  <c r="B16" i="128"/>
  <c r="M16" i="128"/>
  <c r="I16" i="128"/>
  <c r="H16" i="128"/>
  <c r="D56" i="102"/>
  <c r="F56" i="102"/>
  <c r="B56" i="102"/>
  <c r="E56" i="102"/>
  <c r="L65" i="102"/>
  <c r="M65" i="102"/>
  <c r="K65" i="102"/>
  <c r="I65" i="102"/>
  <c r="B53" i="125"/>
  <c r="I53" i="125"/>
  <c r="H53" i="125"/>
  <c r="M53" i="125"/>
  <c r="M33" i="102"/>
  <c r="I33" i="102"/>
  <c r="K33" i="102"/>
  <c r="L33" i="102"/>
  <c r="M21" i="125"/>
  <c r="I21" i="125"/>
  <c r="H21" i="125"/>
  <c r="B21" i="125"/>
  <c r="L90" i="102"/>
  <c r="K90" i="102"/>
  <c r="I90" i="102"/>
  <c r="M90" i="102"/>
  <c r="K74" i="102"/>
  <c r="M74" i="102"/>
  <c r="I74" i="102"/>
  <c r="L74" i="102"/>
  <c r="B62" i="125"/>
  <c r="M62" i="125"/>
  <c r="I62" i="125"/>
  <c r="H62" i="125"/>
  <c r="M42" i="102"/>
  <c r="I42" i="102"/>
  <c r="K42" i="102"/>
  <c r="L42" i="102"/>
  <c r="H30" i="125"/>
  <c r="B30" i="125"/>
  <c r="I30" i="125"/>
  <c r="M30" i="125"/>
  <c r="M10" i="102"/>
  <c r="I10" i="102"/>
  <c r="K10" i="102"/>
  <c r="L10" i="102"/>
  <c r="E39" i="123"/>
  <c r="B39" i="123"/>
  <c r="D39" i="123" s="1"/>
  <c r="G39" i="123"/>
  <c r="R39" i="123"/>
  <c r="F39" i="123"/>
  <c r="J39" i="123"/>
  <c r="D27" i="114"/>
  <c r="F27" i="114"/>
  <c r="E27" i="114"/>
  <c r="I27" i="114"/>
  <c r="B27" i="114"/>
  <c r="N27" i="114"/>
  <c r="D11" i="114"/>
  <c r="F11" i="114"/>
  <c r="E11" i="114"/>
  <c r="I11" i="114"/>
  <c r="B11" i="114"/>
  <c r="N11" i="114"/>
  <c r="G11" i="123"/>
  <c r="R11" i="123"/>
  <c r="J11" i="123"/>
  <c r="F11" i="123"/>
  <c r="B11" i="123"/>
  <c r="D11" i="123" s="1"/>
  <c r="E11" i="123"/>
  <c r="I36" i="114"/>
  <c r="E36" i="114"/>
  <c r="D36" i="114"/>
  <c r="F36" i="114"/>
  <c r="B36" i="114"/>
  <c r="N36" i="114"/>
  <c r="R32" i="123"/>
  <c r="J32" i="123"/>
  <c r="F32" i="123"/>
  <c r="B32" i="123"/>
  <c r="D32" i="123" s="1"/>
  <c r="E32" i="123"/>
  <c r="G32" i="123"/>
  <c r="C20" i="126"/>
  <c r="E20" i="126"/>
  <c r="D20" i="126"/>
  <c r="G45" i="123"/>
  <c r="R45" i="123"/>
  <c r="J45" i="123"/>
  <c r="F45" i="123"/>
  <c r="B45" i="123"/>
  <c r="D45" i="123" s="1"/>
  <c r="E45" i="123"/>
  <c r="E25" i="126"/>
  <c r="D25" i="126"/>
  <c r="C25" i="126"/>
  <c r="G46" i="123"/>
  <c r="E46" i="123"/>
  <c r="R46" i="123"/>
  <c r="J46" i="123"/>
  <c r="B46" i="123"/>
  <c r="D46" i="123" s="1"/>
  <c r="F46" i="123"/>
  <c r="C26" i="126"/>
  <c r="E26" i="126"/>
  <c r="D26" i="126"/>
  <c r="I8" i="114"/>
  <c r="E8" i="114"/>
  <c r="D8" i="114"/>
  <c r="F8" i="114"/>
  <c r="B8" i="114"/>
  <c r="N8" i="114"/>
  <c r="R25" i="123"/>
  <c r="J25" i="123"/>
  <c r="F25" i="123"/>
  <c r="B25" i="123"/>
  <c r="D25" i="123" s="1"/>
  <c r="E25" i="123"/>
  <c r="G25" i="123"/>
  <c r="N22" i="114"/>
  <c r="F22" i="114"/>
  <c r="B22" i="114"/>
  <c r="E22" i="114"/>
  <c r="D22" i="114"/>
  <c r="I22" i="114"/>
  <c r="H108" i="124"/>
  <c r="N108" i="124" s="1"/>
  <c r="G108" i="124"/>
  <c r="M108" i="124" s="1"/>
  <c r="F108" i="124"/>
  <c r="T108" i="124"/>
  <c r="C108" i="124"/>
  <c r="B108" i="124"/>
  <c r="E108" i="124" s="1"/>
  <c r="H92" i="124"/>
  <c r="N92" i="124" s="1"/>
  <c r="G92" i="124"/>
  <c r="M92" i="124" s="1"/>
  <c r="T92" i="124"/>
  <c r="C92" i="124"/>
  <c r="B92" i="124"/>
  <c r="E92" i="124" s="1"/>
  <c r="F92" i="124"/>
  <c r="H76" i="124"/>
  <c r="N76" i="124" s="1"/>
  <c r="G76" i="124"/>
  <c r="M76" i="124" s="1"/>
  <c r="T76" i="124"/>
  <c r="C76" i="124"/>
  <c r="B76" i="124"/>
  <c r="E76" i="124" s="1"/>
  <c r="F76" i="124"/>
  <c r="H60" i="124"/>
  <c r="N60" i="124" s="1"/>
  <c r="G60" i="124"/>
  <c r="M60" i="124" s="1"/>
  <c r="T60" i="124"/>
  <c r="C60" i="124"/>
  <c r="B60" i="124"/>
  <c r="E60" i="124" s="1"/>
  <c r="F60" i="124"/>
  <c r="L23" i="126"/>
  <c r="K23" i="126"/>
  <c r="M23" i="126"/>
  <c r="H20" i="124"/>
  <c r="N20" i="124" s="1"/>
  <c r="T20" i="124"/>
  <c r="C20" i="124"/>
  <c r="B20" i="124"/>
  <c r="E20" i="124" s="1"/>
  <c r="F20" i="124"/>
  <c r="G20" i="124"/>
  <c r="M20" i="124" s="1"/>
  <c r="H7" i="128"/>
  <c r="B7" i="128"/>
  <c r="I7" i="128"/>
  <c r="M7" i="128"/>
  <c r="H107" i="124"/>
  <c r="N107" i="124" s="1"/>
  <c r="T107" i="124"/>
  <c r="C107" i="124"/>
  <c r="G107" i="124"/>
  <c r="M107" i="124" s="1"/>
  <c r="F107" i="124"/>
  <c r="B107" i="124"/>
  <c r="E107" i="124" s="1"/>
  <c r="H91" i="124"/>
  <c r="N91" i="124" s="1"/>
  <c r="T91" i="124"/>
  <c r="C91" i="124"/>
  <c r="G91" i="124"/>
  <c r="M91" i="124" s="1"/>
  <c r="F91" i="124"/>
  <c r="B91" i="124"/>
  <c r="E91" i="124" s="1"/>
  <c r="H75" i="124"/>
  <c r="N75" i="124" s="1"/>
  <c r="T75" i="124"/>
  <c r="C75" i="124"/>
  <c r="G75" i="124"/>
  <c r="M75" i="124" s="1"/>
  <c r="F75" i="124"/>
  <c r="B75" i="124"/>
  <c r="E75" i="124" s="1"/>
  <c r="H59" i="124"/>
  <c r="N59" i="124" s="1"/>
  <c r="T59" i="124"/>
  <c r="C59" i="124"/>
  <c r="G59" i="124"/>
  <c r="M59" i="124" s="1"/>
  <c r="F59" i="124"/>
  <c r="B59" i="124"/>
  <c r="E59" i="124" s="1"/>
  <c r="M46" i="126"/>
  <c r="L46" i="126"/>
  <c r="K46" i="126"/>
  <c r="M38" i="126"/>
  <c r="L38" i="126"/>
  <c r="K38" i="126"/>
  <c r="T35" i="124"/>
  <c r="H35" i="124"/>
  <c r="N35" i="124" s="1"/>
  <c r="C35" i="124"/>
  <c r="F35" i="124"/>
  <c r="B35" i="124"/>
  <c r="E35" i="124" s="1"/>
  <c r="G35" i="124"/>
  <c r="M35" i="124" s="1"/>
  <c r="M22" i="128"/>
  <c r="I22" i="128"/>
  <c r="H22" i="128"/>
  <c r="B22" i="128"/>
  <c r="D62" i="102"/>
  <c r="F62" i="102"/>
  <c r="B62" i="102"/>
  <c r="E62" i="102"/>
  <c r="K6" i="126"/>
  <c r="M6" i="126"/>
  <c r="L6" i="126"/>
  <c r="K87" i="102"/>
  <c r="M87" i="102"/>
  <c r="I87" i="102"/>
  <c r="L87" i="102"/>
  <c r="M71" i="102"/>
  <c r="K71" i="102"/>
  <c r="I71" i="102"/>
  <c r="L71" i="102"/>
  <c r="M59" i="125"/>
  <c r="I59" i="125"/>
  <c r="H59" i="125"/>
  <c r="B59" i="125"/>
  <c r="M39" i="102"/>
  <c r="I39" i="102"/>
  <c r="K39" i="102"/>
  <c r="L39" i="102"/>
  <c r="B27" i="125"/>
  <c r="M27" i="125"/>
  <c r="I27" i="125"/>
  <c r="H27" i="125"/>
  <c r="K96" i="102"/>
  <c r="I96" i="102"/>
  <c r="L96" i="102"/>
  <c r="K80" i="102"/>
  <c r="M80" i="102"/>
  <c r="I80" i="102"/>
  <c r="L80" i="102"/>
  <c r="L56" i="102"/>
  <c r="M56" i="102"/>
  <c r="K56" i="102"/>
  <c r="I56" i="102"/>
  <c r="H44" i="125"/>
  <c r="M44" i="125"/>
  <c r="B44" i="125"/>
  <c r="I44" i="125"/>
  <c r="M24" i="102"/>
  <c r="I24" i="102"/>
  <c r="K24" i="102"/>
  <c r="L24" i="102"/>
  <c r="B12" i="125"/>
  <c r="M12" i="125"/>
  <c r="I12" i="125"/>
  <c r="H12" i="125"/>
  <c r="N33" i="114"/>
  <c r="F33" i="114"/>
  <c r="B33" i="114"/>
  <c r="I33" i="114"/>
  <c r="E33" i="114"/>
  <c r="D33" i="114"/>
  <c r="N17" i="114"/>
  <c r="F17" i="114"/>
  <c r="B17" i="114"/>
  <c r="I17" i="114"/>
  <c r="E17" i="114"/>
  <c r="D17" i="114"/>
  <c r="C34" i="126"/>
  <c r="E34" i="126"/>
  <c r="D34" i="126"/>
  <c r="I16" i="114"/>
  <c r="E16" i="114"/>
  <c r="D16" i="114"/>
  <c r="F16" i="114"/>
  <c r="B16" i="114"/>
  <c r="N16" i="114"/>
  <c r="K84" i="102"/>
  <c r="M84" i="102"/>
  <c r="I84" i="102"/>
  <c r="L84" i="102"/>
  <c r="N29" i="114"/>
  <c r="F29" i="114"/>
  <c r="B29" i="114"/>
  <c r="I29" i="114"/>
  <c r="E29" i="114"/>
  <c r="D29" i="114"/>
  <c r="N5" i="114"/>
  <c r="F5" i="114"/>
  <c r="B5" i="114"/>
  <c r="I5" i="114"/>
  <c r="E5" i="114"/>
  <c r="D5" i="114"/>
  <c r="H65" i="124"/>
  <c r="N65" i="124" s="1"/>
  <c r="T65" i="124"/>
  <c r="C65" i="124"/>
  <c r="G65" i="124"/>
  <c r="M65" i="124" s="1"/>
  <c r="F65" i="124"/>
  <c r="B65" i="124"/>
  <c r="E65" i="124" s="1"/>
  <c r="L29" i="126"/>
  <c r="K29" i="126"/>
  <c r="M29" i="126"/>
  <c r="H26" i="124"/>
  <c r="N26" i="124" s="1"/>
  <c r="G26" i="124"/>
  <c r="M26" i="124" s="1"/>
  <c r="B26" i="124"/>
  <c r="E26" i="124" s="1"/>
  <c r="F26" i="124"/>
  <c r="T26" i="124"/>
  <c r="C26" i="124"/>
  <c r="B13" i="128"/>
  <c r="M13" i="128"/>
  <c r="I13" i="128"/>
  <c r="H13" i="128"/>
  <c r="F53" i="102"/>
  <c r="B53" i="102"/>
  <c r="D53" i="102"/>
  <c r="E53" i="102"/>
  <c r="B44" i="128"/>
  <c r="I44" i="128"/>
  <c r="H44" i="128"/>
  <c r="M44" i="128"/>
  <c r="B36" i="128"/>
  <c r="I36" i="128"/>
  <c r="H36" i="128"/>
  <c r="M36" i="128"/>
  <c r="E76" i="102"/>
  <c r="B76" i="102"/>
  <c r="F76" i="102"/>
  <c r="D76" i="102"/>
  <c r="M20" i="126"/>
  <c r="L20" i="126"/>
  <c r="K20" i="126"/>
  <c r="H17" i="124"/>
  <c r="N17" i="124" s="1"/>
  <c r="F17" i="124"/>
  <c r="T17" i="124"/>
  <c r="B17" i="124"/>
  <c r="E17" i="124" s="1"/>
  <c r="G17" i="124"/>
  <c r="M17" i="124" s="1"/>
  <c r="C17" i="124"/>
  <c r="M86" i="102"/>
  <c r="I86" i="102"/>
  <c r="L86" i="102"/>
  <c r="K86" i="102"/>
  <c r="H98" i="124"/>
  <c r="N98" i="124" s="1"/>
  <c r="G98" i="124"/>
  <c r="M98" i="124" s="1"/>
  <c r="T98" i="124"/>
  <c r="C98" i="124"/>
  <c r="F98" i="124"/>
  <c r="B98" i="124"/>
  <c r="E98" i="124" s="1"/>
  <c r="H82" i="124"/>
  <c r="N82" i="124" s="1"/>
  <c r="G82" i="124"/>
  <c r="M82" i="124" s="1"/>
  <c r="T82" i="124"/>
  <c r="C82" i="124"/>
  <c r="F82" i="124"/>
  <c r="B82" i="124"/>
  <c r="E82" i="124" s="1"/>
  <c r="H66" i="124"/>
  <c r="N66" i="124" s="1"/>
  <c r="G66" i="124"/>
  <c r="M66" i="124" s="1"/>
  <c r="T66" i="124"/>
  <c r="C66" i="124"/>
  <c r="F66" i="124"/>
  <c r="B66" i="124"/>
  <c r="E66" i="124" s="1"/>
  <c r="B37" i="128"/>
  <c r="M37" i="128"/>
  <c r="I37" i="128"/>
  <c r="H37" i="128"/>
  <c r="B29" i="128"/>
  <c r="M29" i="128"/>
  <c r="I29" i="128"/>
  <c r="H29" i="128"/>
  <c r="L21" i="126"/>
  <c r="K21" i="126"/>
  <c r="M21" i="126"/>
  <c r="H18" i="124"/>
  <c r="N18" i="124" s="1"/>
  <c r="G18" i="124"/>
  <c r="M18" i="124" s="1"/>
  <c r="B18" i="124"/>
  <c r="E18" i="124" s="1"/>
  <c r="F18" i="124"/>
  <c r="T18" i="124"/>
  <c r="C18" i="124"/>
  <c r="B5" i="128"/>
  <c r="M5" i="128"/>
  <c r="I5" i="128"/>
  <c r="H5" i="128"/>
  <c r="H105" i="124"/>
  <c r="N105" i="124" s="1"/>
  <c r="T105" i="124"/>
  <c r="C105" i="124"/>
  <c r="G105" i="124"/>
  <c r="M105" i="124" s="1"/>
  <c r="F105" i="124"/>
  <c r="B105" i="124"/>
  <c r="E105" i="124" s="1"/>
  <c r="H89" i="124"/>
  <c r="N89" i="124" s="1"/>
  <c r="T89" i="124"/>
  <c r="C89" i="124"/>
  <c r="G89" i="124"/>
  <c r="M89" i="124" s="1"/>
  <c r="F89" i="124"/>
  <c r="B89" i="124"/>
  <c r="E89" i="124" s="1"/>
  <c r="H73" i="124"/>
  <c r="N73" i="124" s="1"/>
  <c r="T73" i="124"/>
  <c r="C73" i="124"/>
  <c r="G73" i="124"/>
  <c r="M73" i="124" s="1"/>
  <c r="F73" i="124"/>
  <c r="B73" i="124"/>
  <c r="E73" i="124" s="1"/>
  <c r="H57" i="124"/>
  <c r="N57" i="124" s="1"/>
  <c r="T57" i="124"/>
  <c r="C57" i="124"/>
  <c r="G57" i="124"/>
  <c r="M57" i="124" s="1"/>
  <c r="F57" i="124"/>
  <c r="B57" i="124"/>
  <c r="E57" i="124" s="1"/>
  <c r="T49" i="124"/>
  <c r="G49" i="124"/>
  <c r="M49" i="124" s="1"/>
  <c r="C49" i="124"/>
  <c r="H49" i="124"/>
  <c r="N49" i="124" s="1"/>
  <c r="B49" i="124"/>
  <c r="E49" i="124" s="1"/>
  <c r="F49" i="124"/>
  <c r="T41" i="124"/>
  <c r="G41" i="124"/>
  <c r="M41" i="124" s="1"/>
  <c r="C41" i="124"/>
  <c r="H41" i="124"/>
  <c r="N41" i="124" s="1"/>
  <c r="B41" i="124"/>
  <c r="E41" i="124" s="1"/>
  <c r="F41" i="124"/>
  <c r="G33" i="124"/>
  <c r="M33" i="124" s="1"/>
  <c r="B33" i="124"/>
  <c r="E33" i="124" s="1"/>
  <c r="F33" i="124"/>
  <c r="C33" i="124"/>
  <c r="T33" i="124"/>
  <c r="H33" i="124"/>
  <c r="N33" i="124" s="1"/>
  <c r="D68" i="102"/>
  <c r="F68" i="102"/>
  <c r="B68" i="102"/>
  <c r="E68" i="102"/>
  <c r="M12" i="126"/>
  <c r="L12" i="126"/>
  <c r="K12" i="126"/>
  <c r="L85" i="102"/>
  <c r="K85" i="102"/>
  <c r="M85" i="102"/>
  <c r="I85" i="102"/>
  <c r="L61" i="102"/>
  <c r="M61" i="102"/>
  <c r="K61" i="102"/>
  <c r="I61" i="102"/>
  <c r="B49" i="125"/>
  <c r="M49" i="125"/>
  <c r="I49" i="125"/>
  <c r="H49" i="125"/>
  <c r="M29" i="102"/>
  <c r="I29" i="102"/>
  <c r="K29" i="102"/>
  <c r="L29" i="102"/>
  <c r="M17" i="125"/>
  <c r="I17" i="125"/>
  <c r="H17" i="125"/>
  <c r="B17" i="125"/>
  <c r="L70" i="102"/>
  <c r="K70" i="102"/>
  <c r="I70" i="102"/>
  <c r="M70" i="102"/>
  <c r="B58" i="125"/>
  <c r="M58" i="125"/>
  <c r="I58" i="125"/>
  <c r="H58" i="125"/>
  <c r="M38" i="102"/>
  <c r="I38" i="102"/>
  <c r="K38" i="102"/>
  <c r="L38" i="102"/>
  <c r="H26" i="125"/>
  <c r="B26" i="125"/>
  <c r="M26" i="125"/>
  <c r="I26" i="125"/>
  <c r="E39" i="126"/>
  <c r="D39" i="126"/>
  <c r="C39" i="126"/>
  <c r="E27" i="123"/>
  <c r="B27" i="123"/>
  <c r="D27" i="123" s="1"/>
  <c r="G27" i="123"/>
  <c r="J27" i="123"/>
  <c r="R27" i="123"/>
  <c r="F27" i="123"/>
  <c r="G20" i="123"/>
  <c r="F20" i="123"/>
  <c r="E20" i="123"/>
  <c r="R20" i="123"/>
  <c r="J20" i="123"/>
  <c r="B20" i="123"/>
  <c r="D20" i="123" s="1"/>
  <c r="E7" i="126"/>
  <c r="D7" i="126"/>
  <c r="C7" i="126"/>
  <c r="R36" i="123"/>
  <c r="J36" i="123"/>
  <c r="F36" i="123"/>
  <c r="B36" i="123"/>
  <c r="D36" i="123" s="1"/>
  <c r="E36" i="123"/>
  <c r="G36" i="123"/>
  <c r="C24" i="126"/>
  <c r="E24" i="126"/>
  <c r="D24" i="126"/>
  <c r="K76" i="102"/>
  <c r="M76" i="102"/>
  <c r="I76" i="102"/>
  <c r="L76" i="102"/>
  <c r="H48" i="125"/>
  <c r="I48" i="125"/>
  <c r="M48" i="125"/>
  <c r="B48" i="125"/>
  <c r="G41" i="123"/>
  <c r="R41" i="123"/>
  <c r="J41" i="123"/>
  <c r="F41" i="123"/>
  <c r="B41" i="123"/>
  <c r="D41" i="123" s="1"/>
  <c r="E41" i="123"/>
  <c r="C38" i="126"/>
  <c r="E38" i="126"/>
  <c r="D38" i="126"/>
  <c r="K4" i="126"/>
  <c r="L4" i="126"/>
  <c r="M4" i="126"/>
  <c r="H96" i="124"/>
  <c r="N96" i="124" s="1"/>
  <c r="G96" i="124"/>
  <c r="M96" i="124" s="1"/>
  <c r="T96" i="124"/>
  <c r="C96" i="124"/>
  <c r="B96" i="124"/>
  <c r="E96" i="124" s="1"/>
  <c r="F96" i="124"/>
  <c r="H80" i="124"/>
  <c r="N80" i="124" s="1"/>
  <c r="G80" i="124"/>
  <c r="M80" i="124" s="1"/>
  <c r="T80" i="124"/>
  <c r="C80" i="124"/>
  <c r="B80" i="124"/>
  <c r="E80" i="124" s="1"/>
  <c r="F80" i="124"/>
  <c r="H64" i="124"/>
  <c r="N64" i="124" s="1"/>
  <c r="G64" i="124"/>
  <c r="M64" i="124" s="1"/>
  <c r="T64" i="124"/>
  <c r="C64" i="124"/>
  <c r="B64" i="124"/>
  <c r="E64" i="124" s="1"/>
  <c r="F64" i="124"/>
  <c r="L27" i="126"/>
  <c r="K27" i="126"/>
  <c r="M27" i="126"/>
  <c r="H24" i="124"/>
  <c r="N24" i="124" s="1"/>
  <c r="T24" i="124"/>
  <c r="C24" i="124"/>
  <c r="B24" i="124"/>
  <c r="E24" i="124" s="1"/>
  <c r="F24" i="124"/>
  <c r="G24" i="124"/>
  <c r="M24" i="124" s="1"/>
  <c r="H11" i="128"/>
  <c r="M11" i="128"/>
  <c r="B11" i="128"/>
  <c r="I11" i="128"/>
  <c r="H103" i="124"/>
  <c r="N103" i="124" s="1"/>
  <c r="T103" i="124"/>
  <c r="C103" i="124"/>
  <c r="G103" i="124"/>
  <c r="M103" i="124" s="1"/>
  <c r="F103" i="124"/>
  <c r="B103" i="124"/>
  <c r="E103" i="124" s="1"/>
  <c r="H87" i="124"/>
  <c r="N87" i="124" s="1"/>
  <c r="T87" i="124"/>
  <c r="C87" i="124"/>
  <c r="G87" i="124"/>
  <c r="M87" i="124" s="1"/>
  <c r="F87" i="124"/>
  <c r="B87" i="124"/>
  <c r="E87" i="124" s="1"/>
  <c r="H71" i="124"/>
  <c r="N71" i="124" s="1"/>
  <c r="T71" i="124"/>
  <c r="C71" i="124"/>
  <c r="G71" i="124"/>
  <c r="M71" i="124" s="1"/>
  <c r="F71" i="124"/>
  <c r="B71" i="124"/>
  <c r="E71" i="124" s="1"/>
  <c r="T55" i="124"/>
  <c r="H55" i="124"/>
  <c r="N55" i="124" s="1"/>
  <c r="C55" i="124"/>
  <c r="F55" i="124"/>
  <c r="G55" i="124"/>
  <c r="M55" i="124" s="1"/>
  <c r="B55" i="124"/>
  <c r="E55" i="124" s="1"/>
  <c r="T47" i="124"/>
  <c r="G47" i="124"/>
  <c r="M47" i="124" s="1"/>
  <c r="C47" i="124"/>
  <c r="F47" i="124"/>
  <c r="B47" i="124"/>
  <c r="E47" i="124" s="1"/>
  <c r="H47" i="124"/>
  <c r="N47" i="124" s="1"/>
  <c r="H39" i="124"/>
  <c r="N39" i="124" s="1"/>
  <c r="C39" i="124"/>
  <c r="F39" i="124"/>
  <c r="B39" i="124"/>
  <c r="E39" i="124" s="1"/>
  <c r="T39" i="124"/>
  <c r="G39" i="124"/>
  <c r="M39" i="124" s="1"/>
  <c r="M26" i="128"/>
  <c r="I26" i="128"/>
  <c r="H26" i="128"/>
  <c r="B26" i="128"/>
  <c r="D66" i="102"/>
  <c r="F66" i="102"/>
  <c r="B66" i="102"/>
  <c r="E66" i="102"/>
  <c r="M10" i="126"/>
  <c r="L10" i="126"/>
  <c r="K10" i="126"/>
  <c r="M83" i="102"/>
  <c r="I83" i="102"/>
  <c r="L83" i="102"/>
  <c r="K83" i="102"/>
  <c r="L59" i="102"/>
  <c r="I59" i="102"/>
  <c r="M59" i="102"/>
  <c r="K59" i="102"/>
  <c r="M47" i="125"/>
  <c r="I47" i="125"/>
  <c r="H47" i="125"/>
  <c r="B47" i="125"/>
  <c r="M27" i="102"/>
  <c r="I27" i="102"/>
  <c r="K27" i="102"/>
  <c r="L27" i="102"/>
  <c r="B15" i="125"/>
  <c r="M15" i="125"/>
  <c r="I15" i="125"/>
  <c r="H15" i="125"/>
  <c r="K44" i="102"/>
  <c r="M44" i="102"/>
  <c r="I44" i="102"/>
  <c r="L44" i="102"/>
  <c r="B32" i="125"/>
  <c r="M32" i="125"/>
  <c r="I32" i="125"/>
  <c r="H32" i="125"/>
  <c r="G49" i="123"/>
  <c r="R49" i="123"/>
  <c r="J49" i="123"/>
  <c r="F49" i="123"/>
  <c r="B49" i="123"/>
  <c r="D49" i="123" s="1"/>
  <c r="E49" i="123"/>
  <c r="E13" i="126"/>
  <c r="D13" i="126"/>
  <c r="C13" i="126"/>
  <c r="I4" i="114"/>
  <c r="E4" i="114"/>
  <c r="D4" i="114"/>
  <c r="F4" i="114"/>
  <c r="B4" i="114"/>
  <c r="N4" i="114"/>
  <c r="H102" i="124"/>
  <c r="N102" i="124" s="1"/>
  <c r="G102" i="124"/>
  <c r="M102" i="124" s="1"/>
  <c r="T102" i="124"/>
  <c r="C102" i="124"/>
  <c r="F102" i="124"/>
  <c r="B102" i="124"/>
  <c r="E102" i="124" s="1"/>
  <c r="H86" i="124"/>
  <c r="N86" i="124" s="1"/>
  <c r="G86" i="124"/>
  <c r="M86" i="124" s="1"/>
  <c r="T86" i="124"/>
  <c r="C86" i="124"/>
  <c r="F86" i="124"/>
  <c r="B86" i="124"/>
  <c r="E86" i="124" s="1"/>
  <c r="H70" i="124"/>
  <c r="N70" i="124" s="1"/>
  <c r="G70" i="124"/>
  <c r="M70" i="124" s="1"/>
  <c r="T70" i="124"/>
  <c r="C70" i="124"/>
  <c r="F70" i="124"/>
  <c r="B70" i="124"/>
  <c r="E70" i="124" s="1"/>
  <c r="G54" i="124"/>
  <c r="M54" i="124" s="1"/>
  <c r="B54" i="124"/>
  <c r="E54" i="124" s="1"/>
  <c r="T54" i="124"/>
  <c r="H54" i="124"/>
  <c r="N54" i="124" s="1"/>
  <c r="F54" i="124"/>
  <c r="C54" i="124"/>
  <c r="T46" i="124"/>
  <c r="G46" i="124"/>
  <c r="M46" i="124" s="1"/>
  <c r="C46" i="124"/>
  <c r="H46" i="124"/>
  <c r="N46" i="124" s="1"/>
  <c r="B46" i="124"/>
  <c r="E46" i="124" s="1"/>
  <c r="F46" i="124"/>
  <c r="T38" i="124"/>
  <c r="H38" i="124"/>
  <c r="N38" i="124" s="1"/>
  <c r="C38" i="124"/>
  <c r="G38" i="124"/>
  <c r="M38" i="124" s="1"/>
  <c r="B38" i="124"/>
  <c r="F38" i="124"/>
  <c r="E73" i="102"/>
  <c r="D73" i="102"/>
  <c r="B73" i="102"/>
  <c r="F73" i="102"/>
  <c r="F65" i="102"/>
  <c r="B65" i="102"/>
  <c r="D65" i="102"/>
  <c r="E65" i="102"/>
  <c r="L9" i="126"/>
  <c r="K9" i="126"/>
  <c r="M9" i="126"/>
  <c r="H93" i="124"/>
  <c r="N93" i="124" s="1"/>
  <c r="T93" i="124"/>
  <c r="C93" i="124"/>
  <c r="G93" i="124"/>
  <c r="M93" i="124" s="1"/>
  <c r="F93" i="124"/>
  <c r="B93" i="124"/>
  <c r="E93" i="124" s="1"/>
  <c r="H77" i="124"/>
  <c r="N77" i="124" s="1"/>
  <c r="T77" i="124"/>
  <c r="C77" i="124"/>
  <c r="G77" i="124"/>
  <c r="M77" i="124" s="1"/>
  <c r="F77" i="124"/>
  <c r="B77" i="124"/>
  <c r="E77" i="124" s="1"/>
  <c r="H61" i="124"/>
  <c r="N61" i="124" s="1"/>
  <c r="T61" i="124"/>
  <c r="C61" i="124"/>
  <c r="G61" i="124"/>
  <c r="M61" i="124" s="1"/>
  <c r="F61" i="124"/>
  <c r="B61" i="124"/>
  <c r="E61" i="124" s="1"/>
  <c r="M24" i="126"/>
  <c r="L24" i="126"/>
  <c r="K24" i="126"/>
  <c r="H21" i="124"/>
  <c r="N21" i="124" s="1"/>
  <c r="F21" i="124"/>
  <c r="T21" i="124"/>
  <c r="B21" i="124"/>
  <c r="E21" i="124" s="1"/>
  <c r="G21" i="124"/>
  <c r="M21" i="124" s="1"/>
  <c r="C21" i="124"/>
  <c r="B8" i="128"/>
  <c r="M8" i="128"/>
  <c r="I8" i="128"/>
  <c r="H8" i="128"/>
  <c r="M89" i="102"/>
  <c r="I89" i="102"/>
  <c r="L89" i="102"/>
  <c r="K89" i="102"/>
  <c r="M73" i="102"/>
  <c r="I73" i="102"/>
  <c r="K73" i="102"/>
  <c r="L73" i="102"/>
  <c r="B61" i="125"/>
  <c r="I61" i="125"/>
  <c r="H61" i="125"/>
  <c r="M61" i="125"/>
  <c r="M41" i="102"/>
  <c r="I41" i="102"/>
  <c r="K41" i="102"/>
  <c r="L41" i="102"/>
  <c r="M29" i="125"/>
  <c r="I29" i="125"/>
  <c r="H29" i="125"/>
  <c r="B29" i="125"/>
  <c r="M9" i="102"/>
  <c r="I9" i="102"/>
  <c r="K9" i="102"/>
  <c r="L9" i="102"/>
  <c r="B70" i="125"/>
  <c r="M70" i="125"/>
  <c r="I70" i="125"/>
  <c r="H70" i="125"/>
  <c r="M50" i="102"/>
  <c r="I50" i="102"/>
  <c r="K50" i="102"/>
  <c r="L50" i="102"/>
  <c r="H38" i="125"/>
  <c r="B38" i="125"/>
  <c r="M38" i="125"/>
  <c r="I38" i="125"/>
  <c r="M18" i="102"/>
  <c r="I18" i="102"/>
  <c r="K18" i="102"/>
  <c r="L18" i="102"/>
  <c r="H6" i="125"/>
  <c r="B6" i="125"/>
  <c r="M6" i="125"/>
  <c r="I6" i="125"/>
  <c r="D35" i="114"/>
  <c r="F35" i="114"/>
  <c r="E35" i="114"/>
  <c r="I35" i="114"/>
  <c r="B35" i="114"/>
  <c r="N35" i="114"/>
  <c r="E27" i="126"/>
  <c r="D27" i="126"/>
  <c r="C27" i="126"/>
  <c r="G16" i="123"/>
  <c r="F16" i="123"/>
  <c r="E16" i="123"/>
  <c r="R16" i="123"/>
  <c r="J16" i="123"/>
  <c r="B16" i="123"/>
  <c r="D16" i="123" s="1"/>
  <c r="D6" i="126"/>
  <c r="C6" i="126"/>
  <c r="E6" i="126"/>
  <c r="R40" i="123"/>
  <c r="J40" i="123"/>
  <c r="F40" i="123"/>
  <c r="B40" i="123"/>
  <c r="D40" i="123" s="1"/>
  <c r="E40" i="123"/>
  <c r="G40" i="123"/>
  <c r="C28" i="126"/>
  <c r="E28" i="126"/>
  <c r="D28" i="126"/>
  <c r="I12" i="114"/>
  <c r="E12" i="114"/>
  <c r="D12" i="114"/>
  <c r="F12" i="114"/>
  <c r="B12" i="114"/>
  <c r="N12" i="114"/>
  <c r="E41" i="126"/>
  <c r="D41" i="126"/>
  <c r="C41" i="126"/>
  <c r="R14" i="123"/>
  <c r="J14" i="123"/>
  <c r="F14" i="123"/>
  <c r="B14" i="123"/>
  <c r="D14" i="123" s="1"/>
  <c r="E14" i="123"/>
  <c r="G14" i="123"/>
  <c r="C42" i="126"/>
  <c r="E42" i="126"/>
  <c r="D42" i="126"/>
  <c r="N10" i="114"/>
  <c r="F10" i="114"/>
  <c r="B10" i="114"/>
  <c r="E10" i="114"/>
  <c r="D10" i="114"/>
  <c r="I10" i="114"/>
  <c r="E13" i="123"/>
  <c r="R13" i="123"/>
  <c r="J13" i="123"/>
  <c r="B13" i="123"/>
  <c r="D13" i="123" s="1"/>
  <c r="G13" i="123"/>
  <c r="F13" i="123"/>
  <c r="E21" i="126"/>
  <c r="D21" i="126"/>
  <c r="C21" i="126"/>
  <c r="G26" i="123"/>
  <c r="E26" i="123"/>
  <c r="R26" i="123"/>
  <c r="J26" i="123"/>
  <c r="B26" i="123"/>
  <c r="D26" i="123" s="1"/>
  <c r="F26" i="123"/>
  <c r="H39" i="128"/>
  <c r="B39" i="128"/>
  <c r="I39" i="128"/>
  <c r="M39" i="128"/>
  <c r="H31" i="128"/>
  <c r="B31" i="128"/>
  <c r="I31" i="128"/>
  <c r="M31" i="128"/>
  <c r="F71" i="102"/>
  <c r="B71" i="102"/>
  <c r="D71" i="102"/>
  <c r="E71" i="102"/>
  <c r="L15" i="126"/>
  <c r="K15" i="126"/>
  <c r="M15" i="126"/>
  <c r="H12" i="124"/>
  <c r="N12" i="124" s="1"/>
  <c r="T12" i="124"/>
  <c r="C12" i="124"/>
  <c r="B12" i="124"/>
  <c r="E12" i="124" s="1"/>
  <c r="F12" i="124"/>
  <c r="G12" i="124"/>
  <c r="M12" i="124" s="1"/>
  <c r="M54" i="126"/>
  <c r="L54" i="126"/>
  <c r="K54" i="126"/>
  <c r="M30" i="126"/>
  <c r="L30" i="126"/>
  <c r="K30" i="126"/>
  <c r="H27" i="124"/>
  <c r="N27" i="124" s="1"/>
  <c r="T27" i="124"/>
  <c r="C27" i="124"/>
  <c r="G27" i="124"/>
  <c r="M27" i="124" s="1"/>
  <c r="B27" i="124"/>
  <c r="E27" i="124" s="1"/>
  <c r="F27" i="124"/>
  <c r="M14" i="128"/>
  <c r="I14" i="128"/>
  <c r="H14" i="128"/>
  <c r="B14" i="128"/>
  <c r="D54" i="102"/>
  <c r="F54" i="102"/>
  <c r="B54" i="102"/>
  <c r="E54" i="102"/>
  <c r="M67" i="125"/>
  <c r="I67" i="125"/>
  <c r="H67" i="125"/>
  <c r="B67" i="125"/>
  <c r="L47" i="102"/>
  <c r="M47" i="102"/>
  <c r="K47" i="102"/>
  <c r="I47" i="102"/>
  <c r="B35" i="125"/>
  <c r="M35" i="125"/>
  <c r="I35" i="125"/>
  <c r="H35" i="125"/>
  <c r="M15" i="102"/>
  <c r="I15" i="102"/>
  <c r="K15" i="102"/>
  <c r="L15" i="102"/>
  <c r="L64" i="102"/>
  <c r="M64" i="102"/>
  <c r="K64" i="102"/>
  <c r="I64" i="102"/>
  <c r="H52" i="125"/>
  <c r="M52" i="125"/>
  <c r="I52" i="125"/>
  <c r="B52" i="125"/>
  <c r="M32" i="102"/>
  <c r="I32" i="102"/>
  <c r="K32" i="102"/>
  <c r="L32" i="102"/>
  <c r="B20" i="125"/>
  <c r="M20" i="125"/>
  <c r="I20" i="125"/>
  <c r="H20" i="125"/>
  <c r="G37" i="123"/>
  <c r="R37" i="123"/>
  <c r="J37" i="123"/>
  <c r="F37" i="123"/>
  <c r="B37" i="123"/>
  <c r="D37" i="123" s="1"/>
  <c r="E37" i="123"/>
  <c r="E17" i="126"/>
  <c r="D17" i="126"/>
  <c r="C17" i="126"/>
  <c r="N18" i="114"/>
  <c r="F18" i="114"/>
  <c r="B18" i="114"/>
  <c r="E18" i="114"/>
  <c r="D18" i="114"/>
  <c r="I18" i="114"/>
  <c r="E21" i="123"/>
  <c r="R21" i="123"/>
  <c r="J21" i="123"/>
  <c r="B21" i="123"/>
  <c r="D21" i="123" s="1"/>
  <c r="G21" i="123"/>
  <c r="F21" i="123"/>
  <c r="G33" i="123"/>
  <c r="R33" i="123"/>
  <c r="J33" i="123"/>
  <c r="F33" i="123"/>
  <c r="B33" i="123"/>
  <c r="D33" i="123" s="1"/>
  <c r="E33" i="123"/>
  <c r="E5" i="126"/>
  <c r="D5" i="126"/>
  <c r="C5" i="126"/>
  <c r="K23" i="123" l="1"/>
  <c r="E36" i="124"/>
  <c r="E37" i="124"/>
  <c r="E38" i="124"/>
  <c r="M23" i="123"/>
  <c r="L23" i="123"/>
  <c r="M18" i="123"/>
  <c r="M48" i="123"/>
  <c r="M10" i="123"/>
  <c r="M32" i="123"/>
  <c r="M44" i="123"/>
  <c r="L27" i="123"/>
  <c r="M36" i="123"/>
  <c r="M22" i="123"/>
  <c r="M14" i="123"/>
  <c r="M50" i="123"/>
  <c r="G9" i="114"/>
  <c r="J9" i="114" s="1"/>
  <c r="L50" i="123"/>
  <c r="M27" i="123"/>
  <c r="M45" i="123"/>
  <c r="M21" i="123"/>
  <c r="G33" i="114"/>
  <c r="J33" i="114" s="1"/>
  <c r="M38" i="123"/>
  <c r="L22" i="123"/>
  <c r="M37" i="123"/>
  <c r="L10" i="123"/>
  <c r="G10" i="114"/>
  <c r="J10" i="114" s="1"/>
  <c r="L45" i="123"/>
  <c r="M24" i="123"/>
  <c r="G14" i="114"/>
  <c r="J14" i="114" s="1"/>
  <c r="L11" i="123"/>
  <c r="G21" i="114"/>
  <c r="J21" i="114" s="1"/>
  <c r="L18" i="123"/>
  <c r="G38" i="114"/>
  <c r="J38" i="114" s="1"/>
  <c r="G24" i="114"/>
  <c r="J24" i="114" s="1"/>
  <c r="L48" i="123"/>
  <c r="G16" i="114"/>
  <c r="J16" i="114" s="1"/>
  <c r="L24" i="123"/>
  <c r="G36" i="114"/>
  <c r="J36" i="114" s="1"/>
  <c r="M39" i="123"/>
  <c r="M42" i="123"/>
  <c r="G6" i="114"/>
  <c r="J6" i="114" s="1"/>
  <c r="G20" i="114"/>
  <c r="J20" i="114" s="1"/>
  <c r="L41" i="123"/>
  <c r="M35" i="123"/>
  <c r="M20" i="123"/>
  <c r="G29" i="114"/>
  <c r="J29" i="114" s="1"/>
  <c r="M46" i="123"/>
  <c r="L32" i="123"/>
  <c r="L39" i="123"/>
  <c r="L30" i="123"/>
  <c r="L44" i="123"/>
  <c r="L35" i="123"/>
  <c r="L37" i="123"/>
  <c r="L36" i="123"/>
  <c r="G30" i="114"/>
  <c r="J30" i="114" s="1"/>
  <c r="I27" i="124"/>
  <c r="L27" i="124"/>
  <c r="Q27" i="124" s="1"/>
  <c r="I12" i="124"/>
  <c r="L12" i="124"/>
  <c r="Q12" i="124" s="1"/>
  <c r="L39" i="128"/>
  <c r="N39" i="128" s="1"/>
  <c r="D39" i="128"/>
  <c r="E39" i="128" s="1"/>
  <c r="G39" i="128"/>
  <c r="K39" i="128" s="1"/>
  <c r="F39" i="128"/>
  <c r="J39" i="128" s="1"/>
  <c r="F70" i="125"/>
  <c r="J70" i="125" s="1"/>
  <c r="L70" i="125"/>
  <c r="N70" i="125" s="1"/>
  <c r="D70" i="125"/>
  <c r="E70" i="125" s="1"/>
  <c r="G70" i="125"/>
  <c r="K70" i="125" s="1"/>
  <c r="I77" i="124"/>
  <c r="Q77" i="124"/>
  <c r="L77" i="124"/>
  <c r="L46" i="124"/>
  <c r="I46" i="124"/>
  <c r="Q46" i="124"/>
  <c r="I70" i="124"/>
  <c r="Q70" i="124"/>
  <c r="L70" i="124"/>
  <c r="I103" i="124"/>
  <c r="Q103" i="124"/>
  <c r="L103" i="124"/>
  <c r="O33" i="123"/>
  <c r="K33" i="123"/>
  <c r="H33" i="123"/>
  <c r="H21" i="123"/>
  <c r="K21" i="123"/>
  <c r="F20" i="125"/>
  <c r="J20" i="125" s="1"/>
  <c r="D20" i="125"/>
  <c r="E20" i="125" s="1"/>
  <c r="G20" i="125"/>
  <c r="K20" i="125" s="1"/>
  <c r="G35" i="125"/>
  <c r="K35" i="125" s="1"/>
  <c r="F35" i="125"/>
  <c r="J35" i="125" s="1"/>
  <c r="D35" i="125"/>
  <c r="E35" i="125" s="1"/>
  <c r="M26" i="123"/>
  <c r="L14" i="123"/>
  <c r="M40" i="123"/>
  <c r="L40" i="123"/>
  <c r="M16" i="123"/>
  <c r="G35" i="114"/>
  <c r="J35" i="114" s="1"/>
  <c r="D6" i="125"/>
  <c r="E6" i="125" s="1"/>
  <c r="G6" i="125"/>
  <c r="K6" i="125" s="1"/>
  <c r="F6" i="125"/>
  <c r="J6" i="125" s="1"/>
  <c r="D38" i="125"/>
  <c r="E38" i="125" s="1"/>
  <c r="G38" i="125"/>
  <c r="K38" i="125" s="1"/>
  <c r="F38" i="125"/>
  <c r="J38" i="125" s="1"/>
  <c r="I93" i="124"/>
  <c r="Q93" i="124"/>
  <c r="L93" i="124"/>
  <c r="I86" i="124"/>
  <c r="Q86" i="124"/>
  <c r="L86" i="124"/>
  <c r="N39" i="114"/>
  <c r="D39" i="114"/>
  <c r="G4" i="114"/>
  <c r="L49" i="123"/>
  <c r="D47" i="125"/>
  <c r="E47" i="125" s="1"/>
  <c r="F47" i="125"/>
  <c r="J47" i="125" s="1"/>
  <c r="G47" i="125"/>
  <c r="K47" i="125" s="1"/>
  <c r="D26" i="128"/>
  <c r="E26" i="128" s="1"/>
  <c r="G26" i="128"/>
  <c r="K26" i="128" s="1"/>
  <c r="F26" i="128"/>
  <c r="J26" i="128" s="1"/>
  <c r="I55" i="124"/>
  <c r="Q55" i="124"/>
  <c r="L55" i="124"/>
  <c r="I80" i="124"/>
  <c r="Q80" i="124"/>
  <c r="L80" i="124"/>
  <c r="M41" i="123"/>
  <c r="L20" i="123"/>
  <c r="H27" i="123"/>
  <c r="O27" i="123"/>
  <c r="K27" i="123"/>
  <c r="F58" i="125"/>
  <c r="J58" i="125" s="1"/>
  <c r="G58" i="125"/>
  <c r="K58" i="125" s="1"/>
  <c r="D58" i="125"/>
  <c r="E58" i="125" s="1"/>
  <c r="G49" i="125"/>
  <c r="K49" i="125" s="1"/>
  <c r="F49" i="125"/>
  <c r="J49" i="125" s="1"/>
  <c r="D49" i="125"/>
  <c r="E49" i="125" s="1"/>
  <c r="L49" i="124"/>
  <c r="I49" i="124"/>
  <c r="Q49" i="124"/>
  <c r="I105" i="124"/>
  <c r="Q105" i="124"/>
  <c r="L105" i="124"/>
  <c r="F29" i="128"/>
  <c r="J29" i="128" s="1"/>
  <c r="D29" i="128"/>
  <c r="E29" i="128" s="1"/>
  <c r="G29" i="128"/>
  <c r="K29" i="128" s="1"/>
  <c r="F37" i="128"/>
  <c r="J37" i="128" s="1"/>
  <c r="D37" i="128"/>
  <c r="E37" i="128" s="1"/>
  <c r="L37" i="128" s="1"/>
  <c r="N37" i="128" s="1"/>
  <c r="G37" i="128"/>
  <c r="K37" i="128" s="1"/>
  <c r="G36" i="128"/>
  <c r="K36" i="128" s="1"/>
  <c r="F36" i="128"/>
  <c r="J36" i="128" s="1"/>
  <c r="D36" i="128"/>
  <c r="E36" i="128" s="1"/>
  <c r="G44" i="128"/>
  <c r="K44" i="128" s="1"/>
  <c r="F44" i="128"/>
  <c r="J44" i="128" s="1"/>
  <c r="L44" i="128"/>
  <c r="N44" i="128" s="1"/>
  <c r="D44" i="128"/>
  <c r="E44" i="128" s="1"/>
  <c r="F13" i="128"/>
  <c r="J13" i="128" s="1"/>
  <c r="D13" i="128"/>
  <c r="E13" i="128" s="1"/>
  <c r="G13" i="128"/>
  <c r="K13" i="128" s="1"/>
  <c r="L26" i="124"/>
  <c r="Q26" i="124" s="1"/>
  <c r="I26" i="124"/>
  <c r="G5" i="114"/>
  <c r="J5" i="114" s="1"/>
  <c r="G17" i="114"/>
  <c r="J17" i="114" s="1"/>
  <c r="G27" i="125"/>
  <c r="K27" i="125" s="1"/>
  <c r="F27" i="125"/>
  <c r="J27" i="125" s="1"/>
  <c r="D27" i="125"/>
  <c r="E27" i="125" s="1"/>
  <c r="I91" i="124"/>
  <c r="Q91" i="124"/>
  <c r="L91" i="124"/>
  <c r="G22" i="114"/>
  <c r="J22" i="114" s="1"/>
  <c r="M25" i="123"/>
  <c r="L25" i="123"/>
  <c r="L46" i="123"/>
  <c r="H46" i="123"/>
  <c r="O46" i="123"/>
  <c r="K46" i="123"/>
  <c r="K32" i="123"/>
  <c r="H32" i="123"/>
  <c r="O32" i="123"/>
  <c r="M11" i="123"/>
  <c r="G11" i="114"/>
  <c r="J11" i="114" s="1"/>
  <c r="D30" i="125"/>
  <c r="E30" i="125" s="1"/>
  <c r="G30" i="125"/>
  <c r="K30" i="125" s="1"/>
  <c r="F30" i="125"/>
  <c r="J30" i="125" s="1"/>
  <c r="F25" i="128"/>
  <c r="J25" i="128" s="1"/>
  <c r="G25" i="128"/>
  <c r="K25" i="128" s="1"/>
  <c r="D25" i="128"/>
  <c r="E25" i="128" s="1"/>
  <c r="F33" i="128"/>
  <c r="J33" i="128" s="1"/>
  <c r="G33" i="128"/>
  <c r="K33" i="128" s="1"/>
  <c r="D33" i="128"/>
  <c r="E33" i="128" s="1"/>
  <c r="F41" i="128"/>
  <c r="J41" i="128" s="1"/>
  <c r="G41" i="128"/>
  <c r="K41" i="128" s="1"/>
  <c r="L41" i="128"/>
  <c r="N41" i="128" s="1"/>
  <c r="D41" i="128"/>
  <c r="E41" i="128" s="1"/>
  <c r="I32" i="124"/>
  <c r="L32" i="124"/>
  <c r="L42" i="123"/>
  <c r="H42" i="123"/>
  <c r="O42" i="123"/>
  <c r="K42" i="123"/>
  <c r="G37" i="114"/>
  <c r="J37" i="114" s="1"/>
  <c r="M28" i="123"/>
  <c r="L28" i="123"/>
  <c r="L12" i="123"/>
  <c r="I81" i="124"/>
  <c r="Q81" i="124"/>
  <c r="L81" i="124"/>
  <c r="L38" i="123"/>
  <c r="H38" i="123"/>
  <c r="O38" i="123"/>
  <c r="K38" i="123"/>
  <c r="H22" i="123"/>
  <c r="K22" i="123"/>
  <c r="O22" i="123" s="1"/>
  <c r="M98" i="125"/>
  <c r="F36" i="125"/>
  <c r="J36" i="125" s="1"/>
  <c r="D36" i="125"/>
  <c r="E36" i="125" s="1"/>
  <c r="G36" i="125"/>
  <c r="K36" i="125" s="1"/>
  <c r="G19" i="125"/>
  <c r="K19" i="125" s="1"/>
  <c r="F19" i="125"/>
  <c r="J19" i="125" s="1"/>
  <c r="D19" i="125"/>
  <c r="E19" i="125" s="1"/>
  <c r="D30" i="128"/>
  <c r="E30" i="128" s="1"/>
  <c r="G30" i="128"/>
  <c r="K30" i="128" s="1"/>
  <c r="F30" i="128"/>
  <c r="J30" i="128" s="1"/>
  <c r="D15" i="128"/>
  <c r="E15" i="128" s="1"/>
  <c r="G15" i="128"/>
  <c r="K15" i="128" s="1"/>
  <c r="F15" i="128"/>
  <c r="J15" i="128" s="1"/>
  <c r="L29" i="123"/>
  <c r="M31" i="123"/>
  <c r="D13" i="125"/>
  <c r="E13" i="125" s="1"/>
  <c r="G13" i="125"/>
  <c r="K13" i="125" s="1"/>
  <c r="F13" i="125"/>
  <c r="J13" i="125" s="1"/>
  <c r="I62" i="124"/>
  <c r="Q62" i="124"/>
  <c r="L62" i="124"/>
  <c r="M34" i="123"/>
  <c r="L63" i="125"/>
  <c r="N63" i="125" s="1"/>
  <c r="D63" i="125"/>
  <c r="E63" i="125" s="1"/>
  <c r="G63" i="125"/>
  <c r="K63" i="125" s="1"/>
  <c r="F63" i="125"/>
  <c r="J63" i="125" s="1"/>
  <c r="D10" i="128"/>
  <c r="E10" i="128" s="1"/>
  <c r="G10" i="128"/>
  <c r="K10" i="128" s="1"/>
  <c r="F10" i="128"/>
  <c r="J10" i="128" s="1"/>
  <c r="I23" i="124"/>
  <c r="L23" i="124"/>
  <c r="Q23" i="124" s="1"/>
  <c r="I79" i="124"/>
  <c r="Q79" i="124"/>
  <c r="L79" i="124"/>
  <c r="L40" i="124"/>
  <c r="Q40" i="124" s="1"/>
  <c r="I40" i="124"/>
  <c r="I88" i="124"/>
  <c r="Q88" i="124"/>
  <c r="L88" i="124"/>
  <c r="L19" i="123"/>
  <c r="F8" i="125"/>
  <c r="J8" i="125" s="1"/>
  <c r="D8" i="125"/>
  <c r="E8" i="125" s="1"/>
  <c r="G8" i="125"/>
  <c r="K8" i="125" s="1"/>
  <c r="G42" i="125"/>
  <c r="K42" i="125" s="1"/>
  <c r="D42" i="125"/>
  <c r="E42" i="125" s="1"/>
  <c r="F42" i="125"/>
  <c r="J42" i="125" s="1"/>
  <c r="D33" i="125"/>
  <c r="E33" i="125" s="1"/>
  <c r="G33" i="125"/>
  <c r="K33" i="125" s="1"/>
  <c r="F33" i="125"/>
  <c r="J33" i="125" s="1"/>
  <c r="I97" i="124"/>
  <c r="Q97" i="124"/>
  <c r="L97" i="124"/>
  <c r="I106" i="124"/>
  <c r="Q106" i="124"/>
  <c r="L106" i="124"/>
  <c r="F28" i="125"/>
  <c r="J28" i="125" s="1"/>
  <c r="D28" i="125"/>
  <c r="E28" i="125" s="1"/>
  <c r="G28" i="125"/>
  <c r="K28" i="125" s="1"/>
  <c r="G11" i="125"/>
  <c r="K11" i="125" s="1"/>
  <c r="F11" i="125"/>
  <c r="J11" i="125" s="1"/>
  <c r="D11" i="125"/>
  <c r="E11" i="125" s="1"/>
  <c r="D6" i="128"/>
  <c r="E6" i="128" s="1"/>
  <c r="G6" i="128"/>
  <c r="K6" i="128" s="1"/>
  <c r="F6" i="128"/>
  <c r="J6" i="128" s="1"/>
  <c r="I19" i="124"/>
  <c r="L19" i="124"/>
  <c r="Q19" i="124" s="1"/>
  <c r="I67" i="124"/>
  <c r="Q67" i="124"/>
  <c r="L67" i="124"/>
  <c r="I68" i="124"/>
  <c r="Q68" i="124"/>
  <c r="L68" i="124"/>
  <c r="G26" i="114"/>
  <c r="J26" i="114" s="1"/>
  <c r="M47" i="123"/>
  <c r="F46" i="125"/>
  <c r="J46" i="125" s="1"/>
  <c r="G46" i="125"/>
  <c r="K46" i="125" s="1"/>
  <c r="D46" i="125"/>
  <c r="E46" i="125" s="1"/>
  <c r="G69" i="125"/>
  <c r="K69" i="125" s="1"/>
  <c r="F69" i="125"/>
  <c r="J69" i="125" s="1"/>
  <c r="L69" i="125"/>
  <c r="N69" i="125" s="1"/>
  <c r="D69" i="125"/>
  <c r="E69" i="125" s="1"/>
  <c r="I37" i="124"/>
  <c r="L37" i="124"/>
  <c r="F40" i="125"/>
  <c r="J40" i="125" s="1"/>
  <c r="D40" i="125"/>
  <c r="E40" i="125" s="1"/>
  <c r="G40" i="125"/>
  <c r="K40" i="125" s="1"/>
  <c r="G23" i="125"/>
  <c r="K23" i="125" s="1"/>
  <c r="F23" i="125"/>
  <c r="J23" i="125" s="1"/>
  <c r="D23" i="125"/>
  <c r="E23" i="125" s="1"/>
  <c r="D35" i="128"/>
  <c r="E35" i="128" s="1"/>
  <c r="G35" i="128"/>
  <c r="K35" i="128" s="1"/>
  <c r="F35" i="128"/>
  <c r="J35" i="128" s="1"/>
  <c r="L43" i="128"/>
  <c r="N43" i="128" s="1"/>
  <c r="D43" i="128"/>
  <c r="E43" i="128" s="1"/>
  <c r="G43" i="128"/>
  <c r="K43" i="128" s="1"/>
  <c r="F43" i="128"/>
  <c r="J43" i="128" s="1"/>
  <c r="I50" i="124"/>
  <c r="Q50" i="124"/>
  <c r="L50" i="124"/>
  <c r="D52" i="125"/>
  <c r="E52" i="125" s="1"/>
  <c r="G52" i="125"/>
  <c r="K52" i="125" s="1"/>
  <c r="F52" i="125"/>
  <c r="J52" i="125" s="1"/>
  <c r="D31" i="128"/>
  <c r="E31" i="128" s="1"/>
  <c r="G31" i="128"/>
  <c r="K31" i="128" s="1"/>
  <c r="F31" i="128"/>
  <c r="J31" i="128" s="1"/>
  <c r="G61" i="125"/>
  <c r="K61" i="125" s="1"/>
  <c r="F61" i="125"/>
  <c r="J61" i="125" s="1"/>
  <c r="D61" i="125"/>
  <c r="E61" i="125" s="1"/>
  <c r="G8" i="128"/>
  <c r="K8" i="128" s="1"/>
  <c r="F8" i="128"/>
  <c r="J8" i="128" s="1"/>
  <c r="D8" i="128"/>
  <c r="E8" i="128" s="1"/>
  <c r="O49" i="123"/>
  <c r="K49" i="123"/>
  <c r="H49" i="123"/>
  <c r="D17" i="125"/>
  <c r="E17" i="125" s="1"/>
  <c r="G17" i="125"/>
  <c r="K17" i="125" s="1"/>
  <c r="F17" i="125"/>
  <c r="J17" i="125" s="1"/>
  <c r="I33" i="124"/>
  <c r="L33" i="124"/>
  <c r="L41" i="124"/>
  <c r="Q41" i="124" s="1"/>
  <c r="I41" i="124"/>
  <c r="I89" i="124"/>
  <c r="Q89" i="124"/>
  <c r="L89" i="124"/>
  <c r="F5" i="128"/>
  <c r="J5" i="128" s="1"/>
  <c r="D5" i="128"/>
  <c r="E5" i="128" s="1"/>
  <c r="G5" i="128"/>
  <c r="K5" i="128" s="1"/>
  <c r="L18" i="124"/>
  <c r="I18" i="124"/>
  <c r="I98" i="124"/>
  <c r="Q98" i="124"/>
  <c r="L98" i="124"/>
  <c r="I65" i="124"/>
  <c r="Q65" i="124"/>
  <c r="L65" i="124"/>
  <c r="F12" i="125"/>
  <c r="J12" i="125" s="1"/>
  <c r="D12" i="125"/>
  <c r="E12" i="125" s="1"/>
  <c r="G12" i="125"/>
  <c r="K12" i="125" s="1"/>
  <c r="D59" i="125"/>
  <c r="E59" i="125" s="1"/>
  <c r="G59" i="125"/>
  <c r="K59" i="125" s="1"/>
  <c r="F59" i="125"/>
  <c r="J59" i="125" s="1"/>
  <c r="D22" i="128"/>
  <c r="E22" i="128" s="1"/>
  <c r="G22" i="128"/>
  <c r="K22" i="128" s="1"/>
  <c r="F22" i="128"/>
  <c r="J22" i="128" s="1"/>
  <c r="I75" i="124"/>
  <c r="Q75" i="124"/>
  <c r="L75" i="124"/>
  <c r="I20" i="124"/>
  <c r="L20" i="124"/>
  <c r="Q20" i="124" s="1"/>
  <c r="I92" i="124"/>
  <c r="Q92" i="124"/>
  <c r="L92" i="124"/>
  <c r="K25" i="123"/>
  <c r="O25" i="123"/>
  <c r="H25" i="123"/>
  <c r="G27" i="114"/>
  <c r="J27" i="114" s="1"/>
  <c r="H39" i="123"/>
  <c r="O39" i="123"/>
  <c r="K39" i="123"/>
  <c r="F62" i="125"/>
  <c r="J62" i="125" s="1"/>
  <c r="D62" i="125"/>
  <c r="E62" i="125" s="1"/>
  <c r="G62" i="125"/>
  <c r="K62" i="125" s="1"/>
  <c r="G53" i="125"/>
  <c r="K53" i="125" s="1"/>
  <c r="F53" i="125"/>
  <c r="J53" i="125" s="1"/>
  <c r="D53" i="125"/>
  <c r="E53" i="125" s="1"/>
  <c r="G16" i="128"/>
  <c r="K16" i="128" s="1"/>
  <c r="F16" i="128"/>
  <c r="J16" i="128" s="1"/>
  <c r="D16" i="128"/>
  <c r="E16" i="128" s="1"/>
  <c r="G24" i="128"/>
  <c r="K24" i="128" s="1"/>
  <c r="F24" i="128"/>
  <c r="J24" i="128" s="1"/>
  <c r="D24" i="128"/>
  <c r="E24" i="128" s="1"/>
  <c r="L14" i="124"/>
  <c r="Q14" i="124" s="1"/>
  <c r="I14" i="124"/>
  <c r="T109" i="124"/>
  <c r="M12" i="123"/>
  <c r="G15" i="114"/>
  <c r="J15" i="114" s="1"/>
  <c r="H43" i="123"/>
  <c r="O43" i="123"/>
  <c r="K43" i="123"/>
  <c r="D18" i="125"/>
  <c r="E18" i="125" s="1"/>
  <c r="G18" i="125"/>
  <c r="K18" i="125" s="1"/>
  <c r="F18" i="125"/>
  <c r="J18" i="125" s="1"/>
  <c r="G4" i="125"/>
  <c r="K4" i="125" s="1"/>
  <c r="F4" i="125"/>
  <c r="J4" i="125" s="1"/>
  <c r="D4" i="125"/>
  <c r="E4" i="125" s="1"/>
  <c r="L68" i="125"/>
  <c r="N68" i="125" s="1"/>
  <c r="D68" i="125"/>
  <c r="E68" i="125" s="1"/>
  <c r="G68" i="125"/>
  <c r="K68" i="125" s="1"/>
  <c r="F68" i="125"/>
  <c r="J68" i="125" s="1"/>
  <c r="D51" i="125"/>
  <c r="E51" i="125" s="1"/>
  <c r="G51" i="125"/>
  <c r="K51" i="125" s="1"/>
  <c r="F51" i="125"/>
  <c r="J51" i="125" s="1"/>
  <c r="I11" i="124"/>
  <c r="L11" i="124"/>
  <c r="Q11" i="124" s="1"/>
  <c r="O29" i="123"/>
  <c r="K29" i="123"/>
  <c r="H29" i="123"/>
  <c r="I29" i="124"/>
  <c r="L29" i="124"/>
  <c r="Q29" i="124" s="1"/>
  <c r="L45" i="124"/>
  <c r="I45" i="124"/>
  <c r="Q45" i="124"/>
  <c r="I53" i="124"/>
  <c r="Q53" i="124"/>
  <c r="L53" i="124"/>
  <c r="I101" i="124"/>
  <c r="Q101" i="124"/>
  <c r="L101" i="124"/>
  <c r="I63" i="124"/>
  <c r="Q63" i="124"/>
  <c r="L63" i="124"/>
  <c r="D27" i="128"/>
  <c r="E27" i="128" s="1"/>
  <c r="G27" i="128"/>
  <c r="K27" i="128" s="1"/>
  <c r="F27" i="128"/>
  <c r="J27" i="128" s="1"/>
  <c r="I72" i="124"/>
  <c r="Q72" i="124"/>
  <c r="L72" i="124"/>
  <c r="G4" i="128"/>
  <c r="K4" i="128" s="1"/>
  <c r="F4" i="128"/>
  <c r="J4" i="128" s="1"/>
  <c r="D4" i="128"/>
  <c r="E4" i="128" s="1"/>
  <c r="G7" i="114"/>
  <c r="J7" i="114" s="1"/>
  <c r="L25" i="124"/>
  <c r="Q25" i="124" s="1"/>
  <c r="I25" i="124"/>
  <c r="F21" i="128"/>
  <c r="J21" i="128" s="1"/>
  <c r="D21" i="128"/>
  <c r="E21" i="128" s="1"/>
  <c r="G21" i="128"/>
  <c r="K21" i="128" s="1"/>
  <c r="I90" i="124"/>
  <c r="Q90" i="124"/>
  <c r="L90" i="124"/>
  <c r="H23" i="123"/>
  <c r="G34" i="114"/>
  <c r="J34" i="114" s="1"/>
  <c r="D60" i="125"/>
  <c r="E60" i="125" s="1"/>
  <c r="G60" i="125"/>
  <c r="K60" i="125" s="1"/>
  <c r="F60" i="125"/>
  <c r="J60" i="125" s="1"/>
  <c r="D43" i="125"/>
  <c r="E43" i="125" s="1"/>
  <c r="G43" i="125"/>
  <c r="K43" i="125" s="1"/>
  <c r="F43" i="125"/>
  <c r="J43" i="125" s="1"/>
  <c r="D23" i="128"/>
  <c r="E23" i="128" s="1"/>
  <c r="G23" i="128"/>
  <c r="K23" i="128" s="1"/>
  <c r="F23" i="128"/>
  <c r="J23" i="128" s="1"/>
  <c r="I36" i="124"/>
  <c r="L36" i="124"/>
  <c r="Q36" i="124" s="1"/>
  <c r="L44" i="124"/>
  <c r="Q44" i="124"/>
  <c r="I44" i="124"/>
  <c r="I52" i="124"/>
  <c r="Q52" i="124"/>
  <c r="L52" i="124"/>
  <c r="H50" i="123"/>
  <c r="O50" i="123"/>
  <c r="K50" i="123"/>
  <c r="K15" i="123"/>
  <c r="O15" i="123" s="1"/>
  <c r="H15" i="123"/>
  <c r="D5" i="125"/>
  <c r="E5" i="125" s="1"/>
  <c r="G5" i="125"/>
  <c r="K5" i="125" s="1"/>
  <c r="F5" i="125"/>
  <c r="J5" i="125" s="1"/>
  <c r="D37" i="125"/>
  <c r="E37" i="125" s="1"/>
  <c r="G37" i="125"/>
  <c r="K37" i="125" s="1"/>
  <c r="F37" i="125"/>
  <c r="J37" i="125" s="1"/>
  <c r="D55" i="125"/>
  <c r="E55" i="125" s="1"/>
  <c r="G55" i="125"/>
  <c r="K55" i="125" s="1"/>
  <c r="F55" i="125"/>
  <c r="J55" i="125" s="1"/>
  <c r="D18" i="128"/>
  <c r="E18" i="128" s="1"/>
  <c r="G18" i="128"/>
  <c r="K18" i="128" s="1"/>
  <c r="F18" i="128"/>
  <c r="J18" i="128" s="1"/>
  <c r="I16" i="124"/>
  <c r="L16" i="124"/>
  <c r="Q16" i="124" s="1"/>
  <c r="F87" i="102"/>
  <c r="D34" i="125"/>
  <c r="E34" i="125" s="1"/>
  <c r="G34" i="125"/>
  <c r="K34" i="125" s="1"/>
  <c r="F34" i="125"/>
  <c r="J34" i="125" s="1"/>
  <c r="L42" i="124"/>
  <c r="Q42" i="124" s="1"/>
  <c r="I42" i="124"/>
  <c r="L47" i="124"/>
  <c r="Q47" i="124"/>
  <c r="I47" i="124"/>
  <c r="I64" i="124"/>
  <c r="Q64" i="124"/>
  <c r="L64" i="124"/>
  <c r="D48" i="125"/>
  <c r="E48" i="125" s="1"/>
  <c r="G48" i="125"/>
  <c r="K48" i="125" s="1"/>
  <c r="F48" i="125"/>
  <c r="J48" i="125" s="1"/>
  <c r="M33" i="123"/>
  <c r="L13" i="123"/>
  <c r="K40" i="123"/>
  <c r="H40" i="123"/>
  <c r="O40" i="123"/>
  <c r="I61" i="124"/>
  <c r="Q61" i="124"/>
  <c r="L61" i="124"/>
  <c r="F39" i="114"/>
  <c r="I87" i="124"/>
  <c r="Q87" i="124"/>
  <c r="L87" i="124"/>
  <c r="O41" i="123"/>
  <c r="K41" i="123"/>
  <c r="H41" i="123"/>
  <c r="I73" i="124"/>
  <c r="Q73" i="124"/>
  <c r="L73" i="124"/>
  <c r="I82" i="124"/>
  <c r="Q82" i="124"/>
  <c r="L82" i="124"/>
  <c r="I59" i="124"/>
  <c r="Q59" i="124"/>
  <c r="L59" i="124"/>
  <c r="D7" i="128"/>
  <c r="E7" i="128" s="1"/>
  <c r="G7" i="128"/>
  <c r="K7" i="128" s="1"/>
  <c r="F7" i="128"/>
  <c r="J7" i="128" s="1"/>
  <c r="I76" i="124"/>
  <c r="Q76" i="124"/>
  <c r="L76" i="124"/>
  <c r="D21" i="125"/>
  <c r="E21" i="125" s="1"/>
  <c r="G21" i="125"/>
  <c r="K21" i="125" s="1"/>
  <c r="F21" i="125"/>
  <c r="J21" i="125" s="1"/>
  <c r="F16" i="125"/>
  <c r="J16" i="125" s="1"/>
  <c r="D16" i="125"/>
  <c r="E16" i="125" s="1"/>
  <c r="G16" i="125"/>
  <c r="K16" i="125" s="1"/>
  <c r="G7" i="125"/>
  <c r="K7" i="125" s="1"/>
  <c r="F7" i="125"/>
  <c r="J7" i="125" s="1"/>
  <c r="D7" i="125"/>
  <c r="E7" i="125" s="1"/>
  <c r="G39" i="125"/>
  <c r="K39" i="125" s="1"/>
  <c r="F39" i="125"/>
  <c r="J39" i="125" s="1"/>
  <c r="D39" i="125"/>
  <c r="E39" i="125" s="1"/>
  <c r="D34" i="128"/>
  <c r="E34" i="128" s="1"/>
  <c r="G34" i="128"/>
  <c r="K34" i="128" s="1"/>
  <c r="F34" i="128"/>
  <c r="J34" i="128" s="1"/>
  <c r="L42" i="128"/>
  <c r="N42" i="128" s="1"/>
  <c r="D42" i="128"/>
  <c r="E42" i="128" s="1"/>
  <c r="G42" i="128"/>
  <c r="K42" i="128" s="1"/>
  <c r="F42" i="128"/>
  <c r="J42" i="128" s="1"/>
  <c r="L9" i="124"/>
  <c r="Q9" i="124" s="1"/>
  <c r="I9" i="124"/>
  <c r="K28" i="123"/>
  <c r="H28" i="123"/>
  <c r="O28" i="123"/>
  <c r="M43" i="123"/>
  <c r="F50" i="125"/>
  <c r="J50" i="125" s="1"/>
  <c r="G50" i="125"/>
  <c r="K50" i="125" s="1"/>
  <c r="D50" i="125"/>
  <c r="E50" i="125" s="1"/>
  <c r="G73" i="125"/>
  <c r="K73" i="125" s="1"/>
  <c r="F73" i="125"/>
  <c r="J73" i="125" s="1"/>
  <c r="L73" i="125"/>
  <c r="N73" i="125" s="1"/>
  <c r="D73" i="125"/>
  <c r="E73" i="125" s="1"/>
  <c r="L64" i="125"/>
  <c r="N64" i="125" s="1"/>
  <c r="D64" i="125"/>
  <c r="E64" i="125" s="1"/>
  <c r="G64" i="125"/>
  <c r="K64" i="125" s="1"/>
  <c r="F64" i="125"/>
  <c r="J64" i="125" s="1"/>
  <c r="L43" i="124"/>
  <c r="Q43" i="124" s="1"/>
  <c r="I43" i="124"/>
  <c r="I28" i="124"/>
  <c r="L28" i="124"/>
  <c r="Q28" i="124" s="1"/>
  <c r="H30" i="123"/>
  <c r="O30" i="123"/>
  <c r="K30" i="123"/>
  <c r="H24" i="123"/>
  <c r="P24" i="123" s="1"/>
  <c r="K24" i="123"/>
  <c r="O24" i="123"/>
  <c r="L31" i="123"/>
  <c r="D22" i="125"/>
  <c r="E22" i="125" s="1"/>
  <c r="G22" i="125"/>
  <c r="K22" i="125" s="1"/>
  <c r="F22" i="125"/>
  <c r="J22" i="125" s="1"/>
  <c r="I85" i="124"/>
  <c r="Q85" i="124"/>
  <c r="L85" i="124"/>
  <c r="F9" i="128"/>
  <c r="J9" i="128" s="1"/>
  <c r="G9" i="128"/>
  <c r="K9" i="128" s="1"/>
  <c r="D9" i="128"/>
  <c r="E9" i="128" s="1"/>
  <c r="L22" i="124"/>
  <c r="Q22" i="124" s="1"/>
  <c r="I22" i="124"/>
  <c r="I94" i="124"/>
  <c r="Q94" i="124"/>
  <c r="L94" i="124"/>
  <c r="D56" i="125"/>
  <c r="E56" i="125" s="1"/>
  <c r="G56" i="125"/>
  <c r="K56" i="125" s="1"/>
  <c r="F56" i="125"/>
  <c r="J56" i="125" s="1"/>
  <c r="L48" i="124"/>
  <c r="Q48" i="124"/>
  <c r="I48" i="124"/>
  <c r="I56" i="124"/>
  <c r="Q56" i="124"/>
  <c r="L56" i="124"/>
  <c r="M45" i="128"/>
  <c r="K19" i="123"/>
  <c r="O19" i="123" s="1"/>
  <c r="H19" i="123"/>
  <c r="G31" i="114"/>
  <c r="J31" i="114" s="1"/>
  <c r="D10" i="125"/>
  <c r="E10" i="125" s="1"/>
  <c r="G10" i="125"/>
  <c r="K10" i="125" s="1"/>
  <c r="F10" i="125"/>
  <c r="J10" i="125" s="1"/>
  <c r="I34" i="124"/>
  <c r="L34" i="124"/>
  <c r="Q34" i="124" s="1"/>
  <c r="I74" i="124"/>
  <c r="Q74" i="124"/>
  <c r="L74" i="124"/>
  <c r="M97" i="102"/>
  <c r="D38" i="128"/>
  <c r="E38" i="128" s="1"/>
  <c r="L38" i="128" s="1"/>
  <c r="N38" i="128" s="1"/>
  <c r="G38" i="128"/>
  <c r="K38" i="128" s="1"/>
  <c r="F38" i="128"/>
  <c r="J38" i="128" s="1"/>
  <c r="I99" i="124"/>
  <c r="Q99" i="124"/>
  <c r="L99" i="124"/>
  <c r="I100" i="124"/>
  <c r="Q100" i="124"/>
  <c r="L100" i="124"/>
  <c r="M15" i="123"/>
  <c r="G25" i="114"/>
  <c r="J25" i="114" s="1"/>
  <c r="L17" i="123"/>
  <c r="L47" i="123"/>
  <c r="L13" i="124"/>
  <c r="Q13" i="124" s="1"/>
  <c r="I13" i="124"/>
  <c r="G40" i="128"/>
  <c r="K40" i="128" s="1"/>
  <c r="F40" i="128"/>
  <c r="J40" i="128" s="1"/>
  <c r="L40" i="128"/>
  <c r="N40" i="128" s="1"/>
  <c r="D40" i="128"/>
  <c r="E40" i="128" s="1"/>
  <c r="F17" i="128"/>
  <c r="J17" i="128" s="1"/>
  <c r="G17" i="128"/>
  <c r="K17" i="128" s="1"/>
  <c r="D17" i="128"/>
  <c r="E17" i="128" s="1"/>
  <c r="L9" i="123"/>
  <c r="R51" i="123"/>
  <c r="L72" i="125"/>
  <c r="N72" i="125" s="1"/>
  <c r="D72" i="125"/>
  <c r="E72" i="125" s="1"/>
  <c r="G72" i="125"/>
  <c r="K72" i="125" s="1"/>
  <c r="F72" i="125"/>
  <c r="J72" i="125" s="1"/>
  <c r="K44" i="123"/>
  <c r="H44" i="123"/>
  <c r="O44" i="123"/>
  <c r="G23" i="114"/>
  <c r="J23" i="114" s="1"/>
  <c r="H35" i="123"/>
  <c r="O35" i="123"/>
  <c r="K35" i="123"/>
  <c r="F66" i="125"/>
  <c r="J66" i="125" s="1"/>
  <c r="G66" i="125"/>
  <c r="K66" i="125" s="1"/>
  <c r="L66" i="125"/>
  <c r="N66" i="125" s="1"/>
  <c r="D66" i="125"/>
  <c r="E66" i="125" s="1"/>
  <c r="G57" i="125"/>
  <c r="K57" i="125" s="1"/>
  <c r="F57" i="125"/>
  <c r="J57" i="125" s="1"/>
  <c r="D57" i="125"/>
  <c r="E57" i="125" s="1"/>
  <c r="G20" i="128"/>
  <c r="K20" i="128" s="1"/>
  <c r="F20" i="128"/>
  <c r="J20" i="128" s="1"/>
  <c r="D20" i="128"/>
  <c r="E20" i="128" s="1"/>
  <c r="G28" i="128"/>
  <c r="K28" i="128" s="1"/>
  <c r="F28" i="128"/>
  <c r="J28" i="128" s="1"/>
  <c r="D28" i="128"/>
  <c r="E28" i="128" s="1"/>
  <c r="L10" i="124"/>
  <c r="Q10" i="124" s="1"/>
  <c r="I10" i="124"/>
  <c r="L67" i="125"/>
  <c r="N67" i="125" s="1"/>
  <c r="D67" i="125"/>
  <c r="E67" i="125" s="1"/>
  <c r="F67" i="125"/>
  <c r="J67" i="125" s="1"/>
  <c r="G67" i="125"/>
  <c r="K67" i="125" s="1"/>
  <c r="D14" i="128"/>
  <c r="E14" i="128" s="1"/>
  <c r="G14" i="128"/>
  <c r="K14" i="128" s="1"/>
  <c r="F14" i="128"/>
  <c r="J14" i="128" s="1"/>
  <c r="G18" i="114"/>
  <c r="J18" i="114" s="1"/>
  <c r="O37" i="123"/>
  <c r="K37" i="123"/>
  <c r="H37" i="123"/>
  <c r="K14" i="123"/>
  <c r="H14" i="123"/>
  <c r="H16" i="123"/>
  <c r="K16" i="123"/>
  <c r="O16" i="123" s="1"/>
  <c r="D29" i="125"/>
  <c r="E29" i="125" s="1"/>
  <c r="G29" i="125"/>
  <c r="K29" i="125" s="1"/>
  <c r="F29" i="125"/>
  <c r="J29" i="125" s="1"/>
  <c r="I38" i="124"/>
  <c r="L38" i="124"/>
  <c r="I54" i="124"/>
  <c r="Q54" i="124"/>
  <c r="L54" i="124"/>
  <c r="E39" i="114"/>
  <c r="L33" i="123"/>
  <c r="L21" i="123"/>
  <c r="L26" i="123"/>
  <c r="H26" i="123"/>
  <c r="O26" i="123"/>
  <c r="K26" i="123"/>
  <c r="M13" i="123"/>
  <c r="H13" i="123"/>
  <c r="K13" i="123"/>
  <c r="O13" i="123" s="1"/>
  <c r="G12" i="114"/>
  <c r="J12" i="114" s="1"/>
  <c r="L16" i="123"/>
  <c r="L21" i="124"/>
  <c r="Q21" i="124" s="1"/>
  <c r="I21" i="124"/>
  <c r="I102" i="124"/>
  <c r="Q102" i="124"/>
  <c r="L102" i="124"/>
  <c r="M49" i="123"/>
  <c r="F32" i="125"/>
  <c r="J32" i="125" s="1"/>
  <c r="D32" i="125"/>
  <c r="E32" i="125" s="1"/>
  <c r="G32" i="125"/>
  <c r="K32" i="125" s="1"/>
  <c r="G15" i="125"/>
  <c r="K15" i="125" s="1"/>
  <c r="F15" i="125"/>
  <c r="J15" i="125" s="1"/>
  <c r="D15" i="125"/>
  <c r="E15" i="125" s="1"/>
  <c r="I39" i="124"/>
  <c r="L39" i="124"/>
  <c r="Q39" i="124" s="1"/>
  <c r="I71" i="124"/>
  <c r="Q71" i="124"/>
  <c r="L71" i="124"/>
  <c r="D11" i="128"/>
  <c r="E11" i="128" s="1"/>
  <c r="G11" i="128"/>
  <c r="K11" i="128" s="1"/>
  <c r="F11" i="128"/>
  <c r="J11" i="128" s="1"/>
  <c r="I24" i="124"/>
  <c r="L24" i="124"/>
  <c r="I96" i="124"/>
  <c r="Q96" i="124"/>
  <c r="L96" i="124"/>
  <c r="K36" i="123"/>
  <c r="H36" i="123"/>
  <c r="O36" i="123"/>
  <c r="H20" i="123"/>
  <c r="K20" i="123"/>
  <c r="D26" i="125"/>
  <c r="E26" i="125" s="1"/>
  <c r="G26" i="125"/>
  <c r="K26" i="125" s="1"/>
  <c r="F26" i="125"/>
  <c r="J26" i="125" s="1"/>
  <c r="I57" i="124"/>
  <c r="Q57" i="124"/>
  <c r="L57" i="124"/>
  <c r="I66" i="124"/>
  <c r="Q66" i="124"/>
  <c r="L66" i="124"/>
  <c r="L17" i="124"/>
  <c r="Q17" i="124" s="1"/>
  <c r="I17" i="124"/>
  <c r="D44" i="125"/>
  <c r="E44" i="125" s="1"/>
  <c r="G44" i="125"/>
  <c r="K44" i="125" s="1"/>
  <c r="F44" i="125"/>
  <c r="J44" i="125" s="1"/>
  <c r="I35" i="124"/>
  <c r="L35" i="124"/>
  <c r="Q35" i="124" s="1"/>
  <c r="I107" i="124"/>
  <c r="Q107" i="124"/>
  <c r="L107" i="124"/>
  <c r="I60" i="124"/>
  <c r="Q60" i="124"/>
  <c r="L60" i="124"/>
  <c r="I108" i="124"/>
  <c r="Q108" i="124"/>
  <c r="L108" i="124"/>
  <c r="G8" i="114"/>
  <c r="J8" i="114" s="1"/>
  <c r="O45" i="123"/>
  <c r="K45" i="123"/>
  <c r="H45" i="123"/>
  <c r="K11" i="123"/>
  <c r="H11" i="123"/>
  <c r="G13" i="114"/>
  <c r="J13" i="114" s="1"/>
  <c r="L71" i="125"/>
  <c r="N71" i="125" s="1"/>
  <c r="D71" i="125"/>
  <c r="E71" i="125" s="1"/>
  <c r="G71" i="125"/>
  <c r="K71" i="125" s="1"/>
  <c r="F71" i="125"/>
  <c r="J71" i="125" s="1"/>
  <c r="I15" i="124"/>
  <c r="L15" i="124"/>
  <c r="Q15" i="124" s="1"/>
  <c r="D19" i="128"/>
  <c r="E19" i="128" s="1"/>
  <c r="G19" i="128"/>
  <c r="K19" i="128" s="1"/>
  <c r="F19" i="128"/>
  <c r="J19" i="128" s="1"/>
  <c r="M109" i="124"/>
  <c r="N109" i="124"/>
  <c r="F24" i="125"/>
  <c r="J24" i="125" s="1"/>
  <c r="D24" i="125"/>
  <c r="E24" i="125" s="1"/>
  <c r="G24" i="125"/>
  <c r="K24" i="125" s="1"/>
  <c r="G32" i="114"/>
  <c r="J32" i="114" s="1"/>
  <c r="H12" i="123"/>
  <c r="K12" i="123"/>
  <c r="L43" i="123"/>
  <c r="D9" i="125"/>
  <c r="E9" i="125" s="1"/>
  <c r="G9" i="125"/>
  <c r="K9" i="125" s="1"/>
  <c r="F9" i="125"/>
  <c r="J9" i="125" s="1"/>
  <c r="D41" i="125"/>
  <c r="E41" i="125" s="1"/>
  <c r="G41" i="125"/>
  <c r="K41" i="125" s="1"/>
  <c r="F41" i="125"/>
  <c r="J41" i="125" s="1"/>
  <c r="K10" i="123"/>
  <c r="H10" i="123"/>
  <c r="I51" i="124"/>
  <c r="Q51" i="124"/>
  <c r="L51" i="124"/>
  <c r="M30" i="123"/>
  <c r="M29" i="123"/>
  <c r="G28" i="114"/>
  <c r="J28" i="114" s="1"/>
  <c r="H31" i="123"/>
  <c r="O31" i="123"/>
  <c r="K31" i="123"/>
  <c r="F54" i="125"/>
  <c r="J54" i="125" s="1"/>
  <c r="D54" i="125"/>
  <c r="E54" i="125" s="1"/>
  <c r="G54" i="125"/>
  <c r="K54" i="125" s="1"/>
  <c r="G45" i="125"/>
  <c r="K45" i="125" s="1"/>
  <c r="F45" i="125"/>
  <c r="J45" i="125" s="1"/>
  <c r="D45" i="125"/>
  <c r="E45" i="125" s="1"/>
  <c r="G32" i="128"/>
  <c r="K32" i="128" s="1"/>
  <c r="F32" i="128"/>
  <c r="J32" i="128" s="1"/>
  <c r="D32" i="128"/>
  <c r="E32" i="128" s="1"/>
  <c r="I69" i="124"/>
  <c r="Q69" i="124"/>
  <c r="L69" i="124"/>
  <c r="I78" i="124"/>
  <c r="Q78" i="124"/>
  <c r="L78" i="124"/>
  <c r="L34" i="123"/>
  <c r="H34" i="123"/>
  <c r="O34" i="123"/>
  <c r="K34" i="123"/>
  <c r="K18" i="123"/>
  <c r="H18" i="123"/>
  <c r="G31" i="125"/>
  <c r="K31" i="125" s="1"/>
  <c r="F31" i="125"/>
  <c r="J31" i="125" s="1"/>
  <c r="D31" i="125"/>
  <c r="E31" i="125" s="1"/>
  <c r="I95" i="124"/>
  <c r="Q95" i="124"/>
  <c r="L95" i="124"/>
  <c r="I104" i="124"/>
  <c r="Q104" i="124"/>
  <c r="L104" i="124"/>
  <c r="M19" i="123"/>
  <c r="F74" i="125"/>
  <c r="J74" i="125" s="1"/>
  <c r="G74" i="125"/>
  <c r="K74" i="125" s="1"/>
  <c r="D74" i="125"/>
  <c r="E74" i="125" s="1"/>
  <c r="L74" i="125"/>
  <c r="N74" i="125" s="1"/>
  <c r="G65" i="125"/>
  <c r="K65" i="125" s="1"/>
  <c r="F65" i="125"/>
  <c r="J65" i="125" s="1"/>
  <c r="L65" i="125"/>
  <c r="N65" i="125" s="1"/>
  <c r="D65" i="125"/>
  <c r="E65" i="125" s="1"/>
  <c r="G12" i="128"/>
  <c r="K12" i="128" s="1"/>
  <c r="F12" i="128"/>
  <c r="J12" i="128" s="1"/>
  <c r="D12" i="128"/>
  <c r="E12" i="128" s="1"/>
  <c r="I58" i="124"/>
  <c r="Q58" i="124"/>
  <c r="L58" i="124"/>
  <c r="I83" i="124"/>
  <c r="Q83" i="124"/>
  <c r="L83" i="124"/>
  <c r="I84" i="124"/>
  <c r="Q84" i="124"/>
  <c r="L84" i="124"/>
  <c r="L15" i="123"/>
  <c r="M17" i="123"/>
  <c r="H17" i="123"/>
  <c r="K17" i="123"/>
  <c r="O17" i="123" s="1"/>
  <c r="K48" i="123"/>
  <c r="H48" i="123"/>
  <c r="O48" i="123"/>
  <c r="G19" i="114"/>
  <c r="J19" i="114" s="1"/>
  <c r="H47" i="123"/>
  <c r="O47" i="123"/>
  <c r="K47" i="123"/>
  <c r="D14" i="125"/>
  <c r="E14" i="125" s="1"/>
  <c r="G14" i="125"/>
  <c r="K14" i="125" s="1"/>
  <c r="F14" i="125"/>
  <c r="J14" i="125" s="1"/>
  <c r="I30" i="124"/>
  <c r="L30" i="124"/>
  <c r="Q30" i="124" s="1"/>
  <c r="M9" i="123"/>
  <c r="H9" i="123"/>
  <c r="K9" i="123"/>
  <c r="O9" i="123" s="1"/>
  <c r="I31" i="124"/>
  <c r="L31" i="124"/>
  <c r="Q31" i="124" s="1"/>
  <c r="D25" i="125"/>
  <c r="E25" i="125" s="1"/>
  <c r="G25" i="125"/>
  <c r="K25" i="125" s="1"/>
  <c r="F25" i="125"/>
  <c r="J25" i="125" s="1"/>
  <c r="L35" i="128" l="1"/>
  <c r="N35" i="128" s="1"/>
  <c r="L36" i="128"/>
  <c r="N36" i="128" s="1"/>
  <c r="L34" i="128"/>
  <c r="N34" i="128" s="1"/>
  <c r="L33" i="128"/>
  <c r="N33" i="128" s="1"/>
  <c r="L5" i="125"/>
  <c r="N5" i="125" s="1"/>
  <c r="L11" i="128"/>
  <c r="N11" i="128" s="1"/>
  <c r="L30" i="128"/>
  <c r="N30" i="128" s="1"/>
  <c r="N23" i="123"/>
  <c r="P23" i="123" s="1"/>
  <c r="L32" i="128"/>
  <c r="N32" i="128" s="1"/>
  <c r="L6" i="125"/>
  <c r="N6" i="125" s="1"/>
  <c r="L29" i="128"/>
  <c r="N29" i="128" s="1"/>
  <c r="L25" i="125"/>
  <c r="N25" i="125" s="1"/>
  <c r="O23" i="123"/>
  <c r="L61" i="125"/>
  <c r="N61" i="125" s="1"/>
  <c r="L59" i="125"/>
  <c r="N59" i="125" s="1"/>
  <c r="L60" i="125"/>
  <c r="N60" i="125" s="1"/>
  <c r="L28" i="128"/>
  <c r="N28" i="128" s="1"/>
  <c r="L20" i="128"/>
  <c r="N20" i="128" s="1"/>
  <c r="L22" i="128"/>
  <c r="N22" i="128" s="1"/>
  <c r="L18" i="125"/>
  <c r="N18" i="125" s="1"/>
  <c r="L27" i="125"/>
  <c r="N27" i="125" s="1"/>
  <c r="L45" i="125"/>
  <c r="N45" i="125" s="1"/>
  <c r="L49" i="125"/>
  <c r="N49" i="125" s="1"/>
  <c r="N36" i="123"/>
  <c r="Q36" i="123" s="1"/>
  <c r="N44" i="123"/>
  <c r="P44" i="123" s="1"/>
  <c r="L50" i="125"/>
  <c r="N50" i="125" s="1"/>
  <c r="L47" i="125"/>
  <c r="N47" i="125" s="1"/>
  <c r="L52" i="125"/>
  <c r="N52" i="125" s="1"/>
  <c r="L28" i="125"/>
  <c r="N28" i="125" s="1"/>
  <c r="L46" i="125"/>
  <c r="N46" i="125" s="1"/>
  <c r="L41" i="125"/>
  <c r="N41" i="125" s="1"/>
  <c r="L53" i="125"/>
  <c r="N53" i="125" s="1"/>
  <c r="L34" i="125"/>
  <c r="N34" i="125" s="1"/>
  <c r="L54" i="125"/>
  <c r="N54" i="125" s="1"/>
  <c r="L42" i="125"/>
  <c r="N42" i="125" s="1"/>
  <c r="L32" i="125"/>
  <c r="N32" i="125" s="1"/>
  <c r="L35" i="125"/>
  <c r="N35" i="125" s="1"/>
  <c r="L29" i="125"/>
  <c r="N29" i="125" s="1"/>
  <c r="L25" i="128"/>
  <c r="N25" i="128" s="1"/>
  <c r="L16" i="128"/>
  <c r="N16" i="128" s="1"/>
  <c r="N48" i="123"/>
  <c r="P48" i="123" s="1"/>
  <c r="N45" i="123"/>
  <c r="P45" i="123" s="1"/>
  <c r="N27" i="123"/>
  <c r="Q27" i="123" s="1"/>
  <c r="L62" i="125"/>
  <c r="N62" i="125" s="1"/>
  <c r="L58" i="125"/>
  <c r="N58" i="125" s="1"/>
  <c r="L57" i="125"/>
  <c r="N57" i="125" s="1"/>
  <c r="N50" i="123"/>
  <c r="Q50" i="123" s="1"/>
  <c r="N11" i="123"/>
  <c r="Q11" i="123" s="1"/>
  <c r="K99" i="102"/>
  <c r="K100" i="102" s="1"/>
  <c r="K102" i="102" s="1"/>
  <c r="N25" i="123"/>
  <c r="Q25" i="123" s="1"/>
  <c r="N12" i="123"/>
  <c r="Q12" i="123" s="1"/>
  <c r="N37" i="123"/>
  <c r="Q37" i="123" s="1"/>
  <c r="N40" i="123"/>
  <c r="Q40" i="123" s="1"/>
  <c r="N20" i="123"/>
  <c r="Q20" i="123" s="1"/>
  <c r="N41" i="123"/>
  <c r="Q41" i="123" s="1"/>
  <c r="N39" i="123"/>
  <c r="P39" i="123" s="1"/>
  <c r="L51" i="125"/>
  <c r="N51" i="125" s="1"/>
  <c r="L4" i="125"/>
  <c r="N4" i="125" s="1"/>
  <c r="N22" i="123"/>
  <c r="Q22" i="123" s="1"/>
  <c r="N18" i="123"/>
  <c r="P18" i="123" s="1"/>
  <c r="N31" i="123"/>
  <c r="Q31" i="123" s="1"/>
  <c r="N14" i="123"/>
  <c r="P14" i="123" s="1"/>
  <c r="N35" i="123"/>
  <c r="Q35" i="123" s="1"/>
  <c r="N28" i="123"/>
  <c r="Q28" i="123" s="1"/>
  <c r="L30" i="125"/>
  <c r="N30" i="125" s="1"/>
  <c r="N10" i="123"/>
  <c r="Q10" i="123" s="1"/>
  <c r="N24" i="123"/>
  <c r="Q24" i="123" s="1"/>
  <c r="N32" i="123"/>
  <c r="Q32" i="123" s="1"/>
  <c r="N47" i="123"/>
  <c r="P47" i="123" s="1"/>
  <c r="L24" i="125"/>
  <c r="N24" i="125" s="1"/>
  <c r="L12" i="128"/>
  <c r="N12" i="128" s="1"/>
  <c r="L7" i="125"/>
  <c r="N7" i="125" s="1"/>
  <c r="L9" i="125"/>
  <c r="N9" i="125" s="1"/>
  <c r="L18" i="128"/>
  <c r="N18" i="128" s="1"/>
  <c r="L16" i="125"/>
  <c r="N16" i="125" s="1"/>
  <c r="L36" i="125"/>
  <c r="N36" i="125" s="1"/>
  <c r="L19" i="128"/>
  <c r="N19" i="128" s="1"/>
  <c r="L44" i="125"/>
  <c r="N44" i="125" s="1"/>
  <c r="L55" i="125"/>
  <c r="N55" i="125" s="1"/>
  <c r="L5" i="128"/>
  <c r="N5" i="128" s="1"/>
  <c r="L31" i="128"/>
  <c r="L26" i="128"/>
  <c r="N26" i="128" s="1"/>
  <c r="L39" i="125"/>
  <c r="N39" i="125" s="1"/>
  <c r="L10" i="128"/>
  <c r="N10" i="128" s="1"/>
  <c r="L31" i="125"/>
  <c r="N31" i="125" s="1"/>
  <c r="L11" i="125"/>
  <c r="N11" i="125" s="1"/>
  <c r="M51" i="123"/>
  <c r="L14" i="125"/>
  <c r="N14" i="125" s="1"/>
  <c r="O12" i="123"/>
  <c r="O20" i="123"/>
  <c r="L9" i="128"/>
  <c r="N9" i="128" s="1"/>
  <c r="L8" i="128"/>
  <c r="N8" i="128" s="1"/>
  <c r="L23" i="125"/>
  <c r="N23" i="125" s="1"/>
  <c r="L56" i="125"/>
  <c r="N56" i="125" s="1"/>
  <c r="L17" i="125"/>
  <c r="N17" i="125" s="1"/>
  <c r="L33" i="125"/>
  <c r="N33" i="125" s="1"/>
  <c r="L13" i="125"/>
  <c r="N13" i="125" s="1"/>
  <c r="L19" i="125"/>
  <c r="N19" i="125" s="1"/>
  <c r="L4" i="128"/>
  <c r="O9" i="124" s="1"/>
  <c r="P9" i="124" s="1"/>
  <c r="L17" i="128"/>
  <c r="N17" i="128" s="1"/>
  <c r="L21" i="128"/>
  <c r="N21" i="128" s="1"/>
  <c r="L12" i="125"/>
  <c r="N12" i="125" s="1"/>
  <c r="L15" i="128"/>
  <c r="N15" i="128" s="1"/>
  <c r="L20" i="125"/>
  <c r="N20" i="125" s="1"/>
  <c r="N34" i="123"/>
  <c r="P34" i="123" s="1"/>
  <c r="L14" i="128"/>
  <c r="N14" i="128" s="1"/>
  <c r="L21" i="125"/>
  <c r="N21" i="125" s="1"/>
  <c r="N15" i="123"/>
  <c r="Q15" i="123" s="1"/>
  <c r="L40" i="125"/>
  <c r="N40" i="125" s="1"/>
  <c r="L6" i="128"/>
  <c r="N6" i="128" s="1"/>
  <c r="O18" i="123"/>
  <c r="L26" i="125"/>
  <c r="N26" i="125" s="1"/>
  <c r="L15" i="125"/>
  <c r="N15" i="125" s="1"/>
  <c r="L10" i="125"/>
  <c r="N10" i="125" s="1"/>
  <c r="N30" i="123"/>
  <c r="P30" i="123" s="1"/>
  <c r="L48" i="125"/>
  <c r="N48" i="125" s="1"/>
  <c r="L37" i="125"/>
  <c r="N37" i="125" s="1"/>
  <c r="L43" i="125"/>
  <c r="N43" i="125" s="1"/>
  <c r="L27" i="128"/>
  <c r="N27" i="128" s="1"/>
  <c r="L8" i="125"/>
  <c r="N8" i="125" s="1"/>
  <c r="L13" i="128"/>
  <c r="N13" i="128" s="1"/>
  <c r="L22" i="125"/>
  <c r="N22" i="125" s="1"/>
  <c r="L7" i="128"/>
  <c r="N7" i="128" s="1"/>
  <c r="L23" i="128"/>
  <c r="N23" i="128" s="1"/>
  <c r="L24" i="128"/>
  <c r="N24" i="128" s="1"/>
  <c r="L38" i="125"/>
  <c r="N38" i="125" s="1"/>
  <c r="K4" i="114"/>
  <c r="N43" i="123"/>
  <c r="N49" i="123"/>
  <c r="N42" i="123"/>
  <c r="N46" i="123"/>
  <c r="N21" i="123"/>
  <c r="P21" i="123" s="1"/>
  <c r="N33" i="123"/>
  <c r="O11" i="123"/>
  <c r="N13" i="123"/>
  <c r="P13" i="123" s="1"/>
  <c r="N26" i="123"/>
  <c r="Q18" i="124"/>
  <c r="Q33" i="124"/>
  <c r="N38" i="123"/>
  <c r="Q32" i="124"/>
  <c r="G39" i="114"/>
  <c r="J4" i="114"/>
  <c r="O21" i="123"/>
  <c r="K51" i="123"/>
  <c r="N9" i="123"/>
  <c r="P9" i="123" s="1"/>
  <c r="N17" i="123"/>
  <c r="O10" i="123"/>
  <c r="Q24" i="124"/>
  <c r="N16" i="123"/>
  <c r="P16" i="123" s="1"/>
  <c r="O14" i="123"/>
  <c r="N19" i="123"/>
  <c r="P19" i="123" s="1"/>
  <c r="L109" i="124"/>
  <c r="Q38" i="124"/>
  <c r="L51" i="123"/>
  <c r="N29" i="123"/>
  <c r="Q37" i="124"/>
  <c r="Q23" i="123" l="1"/>
  <c r="S23" i="123" s="1"/>
  <c r="T23" i="123" s="1"/>
  <c r="N31" i="128"/>
  <c r="O36" i="124"/>
  <c r="P36" i="124" s="1"/>
  <c r="S36" i="124" s="1"/>
  <c r="K19" i="114"/>
  <c r="K27" i="114"/>
  <c r="K30" i="114"/>
  <c r="K23" i="114"/>
  <c r="K17" i="114"/>
  <c r="K18" i="114"/>
  <c r="K38" i="114"/>
  <c r="K35" i="114"/>
  <c r="K33" i="114"/>
  <c r="K24" i="114"/>
  <c r="K31" i="114"/>
  <c r="K32" i="114"/>
  <c r="K26" i="114"/>
  <c r="O16" i="124"/>
  <c r="P16" i="124" s="1"/>
  <c r="S16" i="124" s="1"/>
  <c r="O86" i="124"/>
  <c r="P86" i="124" s="1"/>
  <c r="S86" i="124" s="1"/>
  <c r="K11" i="114"/>
  <c r="K29" i="114"/>
  <c r="K21" i="114"/>
  <c r="K36" i="114"/>
  <c r="K34" i="114"/>
  <c r="K25" i="114"/>
  <c r="K28" i="114"/>
  <c r="O58" i="124"/>
  <c r="P58" i="124" s="1"/>
  <c r="S58" i="124" s="1"/>
  <c r="K22" i="114"/>
  <c r="K20" i="114"/>
  <c r="O38" i="124"/>
  <c r="P38" i="124" s="1"/>
  <c r="R38" i="124" s="1"/>
  <c r="O27" i="124"/>
  <c r="P27" i="124" s="1"/>
  <c r="R27" i="124" s="1"/>
  <c r="O101" i="124"/>
  <c r="P101" i="124" s="1"/>
  <c r="R101" i="124" s="1"/>
  <c r="O57" i="124"/>
  <c r="P57" i="124" s="1"/>
  <c r="R57" i="124" s="1"/>
  <c r="O98" i="124"/>
  <c r="P98" i="124" s="1"/>
  <c r="R98" i="124" s="1"/>
  <c r="O77" i="124"/>
  <c r="P77" i="124" s="1"/>
  <c r="R77" i="124" s="1"/>
  <c r="O61" i="124"/>
  <c r="P61" i="124" s="1"/>
  <c r="R61" i="124" s="1"/>
  <c r="O80" i="124"/>
  <c r="P80" i="124" s="1"/>
  <c r="R80" i="124" s="1"/>
  <c r="O95" i="124"/>
  <c r="P95" i="124" s="1"/>
  <c r="R95" i="124" s="1"/>
  <c r="O60" i="124"/>
  <c r="P60" i="124" s="1"/>
  <c r="R60" i="124" s="1"/>
  <c r="O67" i="124"/>
  <c r="P67" i="124" s="1"/>
  <c r="R67" i="124" s="1"/>
  <c r="O63" i="124"/>
  <c r="P63" i="124" s="1"/>
  <c r="R63" i="124" s="1"/>
  <c r="O78" i="124"/>
  <c r="P78" i="124" s="1"/>
  <c r="R78" i="124" s="1"/>
  <c r="O73" i="124"/>
  <c r="P73" i="124" s="1"/>
  <c r="R73" i="124" s="1"/>
  <c r="O97" i="124"/>
  <c r="P97" i="124" s="1"/>
  <c r="R97" i="124" s="1"/>
  <c r="K13" i="114"/>
  <c r="K8" i="114"/>
  <c r="K10" i="114"/>
  <c r="K15" i="114"/>
  <c r="K37" i="114"/>
  <c r="K14" i="114"/>
  <c r="K12" i="114"/>
  <c r="K7" i="114"/>
  <c r="O87" i="124"/>
  <c r="P87" i="124" s="1"/>
  <c r="R87" i="124" s="1"/>
  <c r="O25" i="124"/>
  <c r="P25" i="124" s="1"/>
  <c r="S25" i="124" s="1"/>
  <c r="O108" i="124"/>
  <c r="P108" i="124" s="1"/>
  <c r="R108" i="124" s="1"/>
  <c r="O79" i="124"/>
  <c r="P79" i="124" s="1"/>
  <c r="R79" i="124" s="1"/>
  <c r="O49" i="124"/>
  <c r="P49" i="124" s="1"/>
  <c r="S49" i="124" s="1"/>
  <c r="O71" i="124"/>
  <c r="P71" i="124" s="1"/>
  <c r="S71" i="124" s="1"/>
  <c r="O82" i="124"/>
  <c r="P82" i="124" s="1"/>
  <c r="S82" i="124" s="1"/>
  <c r="O54" i="124"/>
  <c r="P54" i="124" s="1"/>
  <c r="R54" i="124" s="1"/>
  <c r="O70" i="124"/>
  <c r="P70" i="124" s="1"/>
  <c r="R70" i="124" s="1"/>
  <c r="O102" i="124"/>
  <c r="P102" i="124" s="1"/>
  <c r="R102" i="124" s="1"/>
  <c r="O42" i="124"/>
  <c r="P42" i="124" s="1"/>
  <c r="R42" i="124" s="1"/>
  <c r="O68" i="124"/>
  <c r="P68" i="124" s="1"/>
  <c r="R68" i="124" s="1"/>
  <c r="O105" i="124"/>
  <c r="P105" i="124" s="1"/>
  <c r="S105" i="124" s="1"/>
  <c r="O41" i="124"/>
  <c r="P41" i="124" s="1"/>
  <c r="S41" i="124" s="1"/>
  <c r="O59" i="124"/>
  <c r="P59" i="124" s="1"/>
  <c r="S59" i="124" s="1"/>
  <c r="O46" i="124"/>
  <c r="P46" i="124" s="1"/>
  <c r="S46" i="124" s="1"/>
  <c r="O50" i="124"/>
  <c r="P50" i="124" s="1"/>
  <c r="S50" i="124" s="1"/>
  <c r="O90" i="124"/>
  <c r="P90" i="124" s="1"/>
  <c r="R90" i="124" s="1"/>
  <c r="O74" i="124"/>
  <c r="P74" i="124" s="1"/>
  <c r="R74" i="124" s="1"/>
  <c r="O35" i="124"/>
  <c r="P35" i="124" s="1"/>
  <c r="R35" i="124" s="1"/>
  <c r="O106" i="124"/>
  <c r="P106" i="124" s="1"/>
  <c r="R106" i="124" s="1"/>
  <c r="O92" i="124"/>
  <c r="P92" i="124" s="1"/>
  <c r="R92" i="124" s="1"/>
  <c r="O52" i="124"/>
  <c r="P52" i="124" s="1"/>
  <c r="R52" i="124" s="1"/>
  <c r="O56" i="124"/>
  <c r="P56" i="124" s="1"/>
  <c r="R56" i="124" s="1"/>
  <c r="O96" i="124"/>
  <c r="P96" i="124" s="1"/>
  <c r="R96" i="124" s="1"/>
  <c r="O69" i="124"/>
  <c r="P69" i="124" s="1"/>
  <c r="R69" i="124" s="1"/>
  <c r="O76" i="124"/>
  <c r="P76" i="124" s="1"/>
  <c r="S76" i="124" s="1"/>
  <c r="O40" i="124"/>
  <c r="P40" i="124" s="1"/>
  <c r="R40" i="124" s="1"/>
  <c r="O53" i="124"/>
  <c r="P53" i="124" s="1"/>
  <c r="R53" i="124" s="1"/>
  <c r="O93" i="124"/>
  <c r="P93" i="124" s="1"/>
  <c r="R93" i="124" s="1"/>
  <c r="O72" i="124"/>
  <c r="P72" i="124" s="1"/>
  <c r="R72" i="124" s="1"/>
  <c r="O100" i="124"/>
  <c r="P100" i="124" s="1"/>
  <c r="R100" i="124" s="1"/>
  <c r="O37" i="124"/>
  <c r="P37" i="124" s="1"/>
  <c r="S37" i="124" s="1"/>
  <c r="O34" i="124"/>
  <c r="P34" i="124" s="1"/>
  <c r="R34" i="124" s="1"/>
  <c r="O83" i="124"/>
  <c r="P83" i="124" s="1"/>
  <c r="R83" i="124" s="1"/>
  <c r="O55" i="124"/>
  <c r="P55" i="124" s="1"/>
  <c r="R55" i="124" s="1"/>
  <c r="O65" i="124"/>
  <c r="P65" i="124" s="1"/>
  <c r="R65" i="124" s="1"/>
  <c r="O85" i="124"/>
  <c r="P85" i="124" s="1"/>
  <c r="R85" i="124" s="1"/>
  <c r="O84" i="124"/>
  <c r="P84" i="124" s="1"/>
  <c r="S84" i="124" s="1"/>
  <c r="O62" i="124"/>
  <c r="P62" i="124" s="1"/>
  <c r="S62" i="124" s="1"/>
  <c r="O91" i="124"/>
  <c r="P91" i="124" s="1"/>
  <c r="R91" i="124" s="1"/>
  <c r="O75" i="124"/>
  <c r="P75" i="124" s="1"/>
  <c r="R75" i="124" s="1"/>
  <c r="O64" i="124"/>
  <c r="P64" i="124" s="1"/>
  <c r="S64" i="124" s="1"/>
  <c r="O94" i="124"/>
  <c r="P94" i="124" s="1"/>
  <c r="R94" i="124" s="1"/>
  <c r="O103" i="124"/>
  <c r="P103" i="124" s="1"/>
  <c r="R103" i="124" s="1"/>
  <c r="O89" i="124"/>
  <c r="P89" i="124" s="1"/>
  <c r="R89" i="124" s="1"/>
  <c r="O44" i="124"/>
  <c r="P44" i="124" s="1"/>
  <c r="S44" i="124" s="1"/>
  <c r="O48" i="124"/>
  <c r="P48" i="124" s="1"/>
  <c r="R48" i="124" s="1"/>
  <c r="O99" i="124"/>
  <c r="P99" i="124" s="1"/>
  <c r="R99" i="124" s="1"/>
  <c r="O39" i="124"/>
  <c r="P39" i="124" s="1"/>
  <c r="S39" i="124" s="1"/>
  <c r="O51" i="124"/>
  <c r="P51" i="124" s="1"/>
  <c r="S51" i="124" s="1"/>
  <c r="O47" i="124"/>
  <c r="P47" i="124" s="1"/>
  <c r="R47" i="124" s="1"/>
  <c r="O107" i="124"/>
  <c r="P107" i="124" s="1"/>
  <c r="R107" i="124" s="1"/>
  <c r="O81" i="124"/>
  <c r="P81" i="124" s="1"/>
  <c r="R81" i="124" s="1"/>
  <c r="O45" i="124"/>
  <c r="P45" i="124" s="1"/>
  <c r="S45" i="124" s="1"/>
  <c r="O66" i="124"/>
  <c r="P66" i="124" s="1"/>
  <c r="S66" i="124" s="1"/>
  <c r="O104" i="124"/>
  <c r="P104" i="124" s="1"/>
  <c r="R104" i="124" s="1"/>
  <c r="O43" i="124"/>
  <c r="P43" i="124" s="1"/>
  <c r="S43" i="124" s="1"/>
  <c r="O88" i="124"/>
  <c r="P88" i="124" s="1"/>
  <c r="R88" i="124" s="1"/>
  <c r="O33" i="124"/>
  <c r="P33" i="124" s="1"/>
  <c r="R33" i="124" s="1"/>
  <c r="P11" i="123"/>
  <c r="S11" i="123" s="1"/>
  <c r="T11" i="123" s="1"/>
  <c r="P15" i="123"/>
  <c r="P12" i="123"/>
  <c r="S12" i="123" s="1"/>
  <c r="T12" i="123" s="1"/>
  <c r="P10" i="123"/>
  <c r="L5" i="114" s="1"/>
  <c r="P22" i="123"/>
  <c r="S22" i="123" s="1"/>
  <c r="T22" i="123" s="1"/>
  <c r="O30" i="124"/>
  <c r="P30" i="124" s="1"/>
  <c r="R30" i="124" s="1"/>
  <c r="P36" i="123"/>
  <c r="S36" i="123" s="1"/>
  <c r="T36" i="123" s="1"/>
  <c r="Q45" i="123"/>
  <c r="S45" i="123" s="1"/>
  <c r="T45" i="123" s="1"/>
  <c r="Q44" i="123"/>
  <c r="S44" i="123" s="1"/>
  <c r="T44" i="123" s="1"/>
  <c r="P50" i="123"/>
  <c r="S50" i="123" s="1"/>
  <c r="T50" i="123" s="1"/>
  <c r="Q48" i="123"/>
  <c r="S48" i="123" s="1"/>
  <c r="T48" i="123" s="1"/>
  <c r="P20" i="123"/>
  <c r="O24" i="124"/>
  <c r="P24" i="124" s="1"/>
  <c r="R24" i="124" s="1"/>
  <c r="O21" i="124"/>
  <c r="P21" i="124" s="1"/>
  <c r="R21" i="124" s="1"/>
  <c r="P27" i="123"/>
  <c r="S27" i="123" s="1"/>
  <c r="T27" i="123" s="1"/>
  <c r="O20" i="124"/>
  <c r="P20" i="124" s="1"/>
  <c r="R20" i="124" s="1"/>
  <c r="Q39" i="123"/>
  <c r="S39" i="123" s="1"/>
  <c r="T39" i="123" s="1"/>
  <c r="P32" i="123"/>
  <c r="S32" i="123" s="1"/>
  <c r="T32" i="123" s="1"/>
  <c r="P28" i="123"/>
  <c r="S28" i="123" s="1"/>
  <c r="T28" i="123" s="1"/>
  <c r="O11" i="124"/>
  <c r="P11" i="124" s="1"/>
  <c r="S11" i="124" s="1"/>
  <c r="Q47" i="123"/>
  <c r="S47" i="123" s="1"/>
  <c r="T47" i="123" s="1"/>
  <c r="Q34" i="123"/>
  <c r="S34" i="123" s="1"/>
  <c r="T34" i="123" s="1"/>
  <c r="O28" i="124"/>
  <c r="P28" i="124" s="1"/>
  <c r="S28" i="124" s="1"/>
  <c r="K101" i="102"/>
  <c r="P37" i="123"/>
  <c r="S37" i="123" s="1"/>
  <c r="T37" i="123" s="1"/>
  <c r="Q18" i="123"/>
  <c r="P40" i="123"/>
  <c r="S40" i="123" s="1"/>
  <c r="T40" i="123" s="1"/>
  <c r="P31" i="123"/>
  <c r="S31" i="123" s="1"/>
  <c r="T31" i="123" s="1"/>
  <c r="P25" i="123"/>
  <c r="S25" i="123" s="1"/>
  <c r="T25" i="123" s="1"/>
  <c r="Q14" i="123"/>
  <c r="O31" i="124"/>
  <c r="P31" i="124" s="1"/>
  <c r="R31" i="124" s="1"/>
  <c r="P35" i="123"/>
  <c r="S35" i="123" s="1"/>
  <c r="T35" i="123" s="1"/>
  <c r="O17" i="124"/>
  <c r="P17" i="124" s="1"/>
  <c r="S17" i="124" s="1"/>
  <c r="S24" i="123"/>
  <c r="T24" i="123" s="1"/>
  <c r="F19" i="126" s="1"/>
  <c r="N4" i="128"/>
  <c r="O14" i="124"/>
  <c r="P14" i="124" s="1"/>
  <c r="R14" i="124" s="1"/>
  <c r="O19" i="124"/>
  <c r="P19" i="124" s="1"/>
  <c r="S19" i="124" s="1"/>
  <c r="O29" i="124"/>
  <c r="P29" i="124" s="1"/>
  <c r="R29" i="124" s="1"/>
  <c r="P41" i="123"/>
  <c r="S41" i="123" s="1"/>
  <c r="T41" i="123" s="1"/>
  <c r="O23" i="124"/>
  <c r="P23" i="124" s="1"/>
  <c r="S23" i="124" s="1"/>
  <c r="Q109" i="124"/>
  <c r="O12" i="124"/>
  <c r="P12" i="124" s="1"/>
  <c r="S12" i="124" s="1"/>
  <c r="O10" i="124"/>
  <c r="P10" i="124" s="1"/>
  <c r="S10" i="124" s="1"/>
  <c r="L98" i="125"/>
  <c r="O15" i="124"/>
  <c r="P15" i="124" s="1"/>
  <c r="S15" i="124" s="1"/>
  <c r="O18" i="124"/>
  <c r="P18" i="124" s="1"/>
  <c r="S18" i="124" s="1"/>
  <c r="N98" i="125"/>
  <c r="O26" i="124"/>
  <c r="P26" i="124" s="1"/>
  <c r="S26" i="124" s="1"/>
  <c r="O13" i="124"/>
  <c r="P13" i="124" s="1"/>
  <c r="S13" i="124" s="1"/>
  <c r="Q30" i="123"/>
  <c r="S30" i="123" s="1"/>
  <c r="T30" i="123" s="1"/>
  <c r="O32" i="124"/>
  <c r="P32" i="124" s="1"/>
  <c r="S32" i="124" s="1"/>
  <c r="O22" i="124"/>
  <c r="P22" i="124" s="1"/>
  <c r="S22" i="124" s="1"/>
  <c r="L45" i="128"/>
  <c r="R9" i="124"/>
  <c r="S9" i="124"/>
  <c r="K5" i="114"/>
  <c r="N51" i="123"/>
  <c r="Q9" i="123"/>
  <c r="S9" i="123" s="1"/>
  <c r="Q38" i="123"/>
  <c r="P38" i="123"/>
  <c r="Q33" i="123"/>
  <c r="P33" i="123"/>
  <c r="Q42" i="123"/>
  <c r="P42" i="123"/>
  <c r="Q49" i="123"/>
  <c r="P49" i="123"/>
  <c r="K9" i="114"/>
  <c r="Q17" i="123"/>
  <c r="P17" i="123"/>
  <c r="J39" i="114"/>
  <c r="Q26" i="123"/>
  <c r="P26" i="123"/>
  <c r="K6" i="114"/>
  <c r="Q21" i="123"/>
  <c r="Q46" i="123"/>
  <c r="P46" i="123"/>
  <c r="Q19" i="123"/>
  <c r="Q16" i="123"/>
  <c r="Q13" i="123"/>
  <c r="Q43" i="123"/>
  <c r="P43" i="123"/>
  <c r="Q29" i="123"/>
  <c r="P29" i="123"/>
  <c r="L4" i="114"/>
  <c r="K16" i="114"/>
  <c r="O51" i="123"/>
  <c r="N45" i="128" l="1"/>
  <c r="R105" i="124"/>
  <c r="U105" i="124" s="1"/>
  <c r="V105" i="124" s="1"/>
  <c r="S95" i="124"/>
  <c r="U95" i="124" s="1"/>
  <c r="V95" i="124" s="1"/>
  <c r="R25" i="124"/>
  <c r="U25" i="124" s="1"/>
  <c r="V25" i="124" s="1"/>
  <c r="S69" i="124"/>
  <c r="U69" i="124" s="1"/>
  <c r="V69" i="124" s="1"/>
  <c r="R86" i="124"/>
  <c r="U86" i="124" s="1"/>
  <c r="V86" i="124" s="1"/>
  <c r="R71" i="124"/>
  <c r="U71" i="124" s="1"/>
  <c r="V71" i="124" s="1"/>
  <c r="R76" i="124"/>
  <c r="U76" i="124" s="1"/>
  <c r="V76" i="124" s="1"/>
  <c r="S60" i="124"/>
  <c r="U60" i="124" s="1"/>
  <c r="V60" i="124" s="1"/>
  <c r="S40" i="124"/>
  <c r="U40" i="124" s="1"/>
  <c r="V40" i="124" s="1"/>
  <c r="S67" i="124"/>
  <c r="U67" i="124" s="1"/>
  <c r="V67" i="124" s="1"/>
  <c r="S10" i="123"/>
  <c r="T10" i="123" s="1"/>
  <c r="R46" i="124"/>
  <c r="U46" i="124" s="1"/>
  <c r="V46" i="124" s="1"/>
  <c r="S97" i="124"/>
  <c r="U97" i="124" s="1"/>
  <c r="V97" i="124" s="1"/>
  <c r="R62" i="124"/>
  <c r="U62" i="124" s="1"/>
  <c r="V62" i="124" s="1"/>
  <c r="S101" i="124"/>
  <c r="U101" i="124" s="1"/>
  <c r="V101" i="124" s="1"/>
  <c r="S61" i="124"/>
  <c r="U61" i="124" s="1"/>
  <c r="V61" i="124" s="1"/>
  <c r="S48" i="124"/>
  <c r="U48" i="124" s="1"/>
  <c r="V48" i="124" s="1"/>
  <c r="R66" i="124"/>
  <c r="U66" i="124" s="1"/>
  <c r="V66" i="124" s="1"/>
  <c r="S47" i="124"/>
  <c r="U47" i="124" s="1"/>
  <c r="V47" i="124" s="1"/>
  <c r="L31" i="114"/>
  <c r="R37" i="124"/>
  <c r="U37" i="124" s="1"/>
  <c r="V37" i="124" s="1"/>
  <c r="S63" i="124"/>
  <c r="U63" i="124" s="1"/>
  <c r="V63" i="124" s="1"/>
  <c r="S42" i="124"/>
  <c r="U42" i="124" s="1"/>
  <c r="V42" i="124" s="1"/>
  <c r="S108" i="124"/>
  <c r="U108" i="124" s="1"/>
  <c r="V108" i="124" s="1"/>
  <c r="S73" i="124"/>
  <c r="U73" i="124" s="1"/>
  <c r="V73" i="124" s="1"/>
  <c r="S90" i="124"/>
  <c r="U90" i="124" s="1"/>
  <c r="V90" i="124" s="1"/>
  <c r="S87" i="124"/>
  <c r="U87" i="124" s="1"/>
  <c r="V87" i="124" s="1"/>
  <c r="S106" i="124"/>
  <c r="U106" i="124" s="1"/>
  <c r="V106" i="124" s="1"/>
  <c r="S57" i="124"/>
  <c r="U57" i="124" s="1"/>
  <c r="V57" i="124" s="1"/>
  <c r="R50" i="124"/>
  <c r="U50" i="124" s="1"/>
  <c r="V50" i="124" s="1"/>
  <c r="S93" i="124"/>
  <c r="U93" i="124" s="1"/>
  <c r="V93" i="124" s="1"/>
  <c r="R41" i="124"/>
  <c r="U41" i="124" s="1"/>
  <c r="V41" i="124" s="1"/>
  <c r="R43" i="124"/>
  <c r="U43" i="124" s="1"/>
  <c r="V43" i="124" s="1"/>
  <c r="R51" i="124"/>
  <c r="U51" i="124" s="1"/>
  <c r="V51" i="124" s="1"/>
  <c r="S83" i="124"/>
  <c r="U83" i="124" s="1"/>
  <c r="V83" i="124" s="1"/>
  <c r="R44" i="124"/>
  <c r="U44" i="124" s="1"/>
  <c r="V44" i="124" s="1"/>
  <c r="R45" i="124"/>
  <c r="U45" i="124" s="1"/>
  <c r="V45" i="124" s="1"/>
  <c r="S34" i="124"/>
  <c r="U34" i="124" s="1"/>
  <c r="V34" i="124" s="1"/>
  <c r="M33" i="114"/>
  <c r="S107" i="124"/>
  <c r="U107" i="124" s="1"/>
  <c r="V107" i="124" s="1"/>
  <c r="S99" i="124"/>
  <c r="U99" i="124" s="1"/>
  <c r="V99" i="124" s="1"/>
  <c r="L38" i="114"/>
  <c r="L35" i="114"/>
  <c r="L37" i="114"/>
  <c r="S88" i="124"/>
  <c r="U88" i="124" s="1"/>
  <c r="V88" i="124" s="1"/>
  <c r="S74" i="124"/>
  <c r="U74" i="124" s="1"/>
  <c r="V74" i="124" s="1"/>
  <c r="R82" i="124"/>
  <c r="U82" i="124" s="1"/>
  <c r="V82" i="124" s="1"/>
  <c r="R64" i="124"/>
  <c r="U64" i="124" s="1"/>
  <c r="V64" i="124" s="1"/>
  <c r="R58" i="124"/>
  <c r="U58" i="124" s="1"/>
  <c r="V58" i="124" s="1"/>
  <c r="S52" i="124"/>
  <c r="U52" i="124" s="1"/>
  <c r="V52" i="124" s="1"/>
  <c r="R59" i="124"/>
  <c r="U59" i="124" s="1"/>
  <c r="V59" i="124" s="1"/>
  <c r="S27" i="124"/>
  <c r="U27" i="124" s="1"/>
  <c r="V27" i="124" s="1"/>
  <c r="S72" i="124"/>
  <c r="U72" i="124" s="1"/>
  <c r="V72" i="124" s="1"/>
  <c r="S77" i="124"/>
  <c r="U77" i="124" s="1"/>
  <c r="V77" i="124" s="1"/>
  <c r="R84" i="124"/>
  <c r="U84" i="124" s="1"/>
  <c r="V84" i="124" s="1"/>
  <c r="S53" i="124"/>
  <c r="U53" i="124" s="1"/>
  <c r="V53" i="124" s="1"/>
  <c r="S65" i="124"/>
  <c r="U65" i="124" s="1"/>
  <c r="V65" i="124" s="1"/>
  <c r="S91" i="124"/>
  <c r="U91" i="124" s="1"/>
  <c r="V91" i="124" s="1"/>
  <c r="R49" i="124"/>
  <c r="U49" i="124" s="1"/>
  <c r="V49" i="124" s="1"/>
  <c r="S80" i="124"/>
  <c r="U80" i="124" s="1"/>
  <c r="V80" i="124" s="1"/>
  <c r="S70" i="124"/>
  <c r="U70" i="124" s="1"/>
  <c r="V70" i="124" s="1"/>
  <c r="S103" i="124"/>
  <c r="U103" i="124" s="1"/>
  <c r="V103" i="124" s="1"/>
  <c r="S96" i="124"/>
  <c r="U96" i="124" s="1"/>
  <c r="V96" i="124" s="1"/>
  <c r="M18" i="114"/>
  <c r="M35" i="114"/>
  <c r="M34" i="114"/>
  <c r="M26" i="114"/>
  <c r="M20" i="114"/>
  <c r="S98" i="124"/>
  <c r="U98" i="124" s="1"/>
  <c r="V98" i="124" s="1"/>
  <c r="S38" i="124"/>
  <c r="U38" i="124" s="1"/>
  <c r="V38" i="124" s="1"/>
  <c r="S89" i="124"/>
  <c r="U89" i="124" s="1"/>
  <c r="V89" i="124" s="1"/>
  <c r="S85" i="124"/>
  <c r="U85" i="124" s="1"/>
  <c r="V85" i="124" s="1"/>
  <c r="S92" i="124"/>
  <c r="U92" i="124" s="1"/>
  <c r="V92" i="124" s="1"/>
  <c r="S75" i="124"/>
  <c r="U75" i="124" s="1"/>
  <c r="V75" i="124" s="1"/>
  <c r="L26" i="114"/>
  <c r="S102" i="124"/>
  <c r="U102" i="124" s="1"/>
  <c r="V102" i="124" s="1"/>
  <c r="S78" i="124"/>
  <c r="U78" i="124" s="1"/>
  <c r="V78" i="124" s="1"/>
  <c r="R39" i="124"/>
  <c r="U39" i="124" s="1"/>
  <c r="V39" i="124" s="1"/>
  <c r="R16" i="124"/>
  <c r="U16" i="124" s="1"/>
  <c r="V16" i="124" s="1"/>
  <c r="S81" i="124"/>
  <c r="U81" i="124" s="1"/>
  <c r="V81" i="124" s="1"/>
  <c r="L28" i="114"/>
  <c r="L29" i="114"/>
  <c r="L27" i="114"/>
  <c r="L34" i="114"/>
  <c r="S104" i="124"/>
  <c r="U104" i="124" s="1"/>
  <c r="V104" i="124" s="1"/>
  <c r="L14" i="114"/>
  <c r="L24" i="114"/>
  <c r="L23" i="114"/>
  <c r="L22" i="114"/>
  <c r="L30" i="114"/>
  <c r="L36" i="114"/>
  <c r="L19" i="114"/>
  <c r="L11" i="114"/>
  <c r="L33" i="114"/>
  <c r="L18" i="114"/>
  <c r="L32" i="114"/>
  <c r="L20" i="114"/>
  <c r="L25" i="114"/>
  <c r="L15" i="114"/>
  <c r="L13" i="114"/>
  <c r="L17" i="114"/>
  <c r="L10" i="114"/>
  <c r="L8" i="114"/>
  <c r="L21" i="114"/>
  <c r="L7" i="114"/>
  <c r="L6" i="114"/>
  <c r="L16" i="114"/>
  <c r="L9" i="114"/>
  <c r="M37" i="114"/>
  <c r="M19" i="114"/>
  <c r="S15" i="123"/>
  <c r="T15" i="123" s="1"/>
  <c r="S94" i="124"/>
  <c r="U94" i="124" s="1"/>
  <c r="V94" i="124" s="1"/>
  <c r="S55" i="124"/>
  <c r="U55" i="124" s="1"/>
  <c r="V55" i="124" s="1"/>
  <c r="S68" i="124"/>
  <c r="U68" i="124" s="1"/>
  <c r="V68" i="124" s="1"/>
  <c r="S35" i="124"/>
  <c r="U35" i="124" s="1"/>
  <c r="V35" i="124" s="1"/>
  <c r="S79" i="124"/>
  <c r="U79" i="124" s="1"/>
  <c r="V79" i="124" s="1"/>
  <c r="S100" i="124"/>
  <c r="U100" i="124" s="1"/>
  <c r="V100" i="124" s="1"/>
  <c r="S56" i="124"/>
  <c r="U56" i="124" s="1"/>
  <c r="V56" i="124" s="1"/>
  <c r="S54" i="124"/>
  <c r="U54" i="124" s="1"/>
  <c r="V54" i="124" s="1"/>
  <c r="S33" i="124"/>
  <c r="U33" i="124" s="1"/>
  <c r="V33" i="124" s="1"/>
  <c r="M29" i="114"/>
  <c r="M22" i="114"/>
  <c r="M27" i="114"/>
  <c r="M8" i="114"/>
  <c r="M14" i="114"/>
  <c r="M38" i="114"/>
  <c r="M30" i="114"/>
  <c r="M36" i="114"/>
  <c r="M21" i="114"/>
  <c r="M32" i="114"/>
  <c r="M11" i="114"/>
  <c r="M16" i="114"/>
  <c r="M31" i="114"/>
  <c r="M23" i="114"/>
  <c r="M24" i="114"/>
  <c r="M25" i="114"/>
  <c r="M28" i="114"/>
  <c r="M12" i="114"/>
  <c r="M7" i="114"/>
  <c r="M10" i="114"/>
  <c r="M15" i="114"/>
  <c r="M9" i="114"/>
  <c r="M13" i="114"/>
  <c r="M6" i="114"/>
  <c r="M17" i="114"/>
  <c r="M5" i="114"/>
  <c r="O5" i="114" s="1"/>
  <c r="P5" i="114" s="1"/>
  <c r="S30" i="124"/>
  <c r="U30" i="124" s="1"/>
  <c r="V30" i="124" s="1"/>
  <c r="S20" i="123"/>
  <c r="T20" i="123" s="1"/>
  <c r="S24" i="124"/>
  <c r="U24" i="124" s="1"/>
  <c r="V24" i="124" s="1"/>
  <c r="R36" i="124"/>
  <c r="U36" i="124" s="1"/>
  <c r="V36" i="124" s="1"/>
  <c r="S18" i="123"/>
  <c r="T18" i="123" s="1"/>
  <c r="S21" i="124"/>
  <c r="U21" i="124" s="1"/>
  <c r="V21" i="124" s="1"/>
  <c r="R23" i="124"/>
  <c r="U23" i="124" s="1"/>
  <c r="V23" i="124" s="1"/>
  <c r="S14" i="124"/>
  <c r="U14" i="124" s="1"/>
  <c r="V14" i="124" s="1"/>
  <c r="S20" i="124"/>
  <c r="U20" i="124" s="1"/>
  <c r="V20" i="124" s="1"/>
  <c r="S14" i="123"/>
  <c r="T14" i="123" s="1"/>
  <c r="R28" i="124"/>
  <c r="U28" i="124" s="1"/>
  <c r="V28" i="124" s="1"/>
  <c r="R18" i="124"/>
  <c r="U18" i="124" s="1"/>
  <c r="V18" i="124" s="1"/>
  <c r="R11" i="124"/>
  <c r="U11" i="124" s="1"/>
  <c r="V11" i="124" s="1"/>
  <c r="R26" i="124"/>
  <c r="U26" i="124" s="1"/>
  <c r="V26" i="124" s="1"/>
  <c r="R19" i="124"/>
  <c r="U19" i="124" s="1"/>
  <c r="V19" i="124" s="1"/>
  <c r="R13" i="124"/>
  <c r="U13" i="124" s="1"/>
  <c r="V13" i="124" s="1"/>
  <c r="R10" i="124"/>
  <c r="U10" i="124" s="1"/>
  <c r="V10" i="124" s="1"/>
  <c r="S31" i="124"/>
  <c r="U31" i="124" s="1"/>
  <c r="V31" i="124" s="1"/>
  <c r="R17" i="124"/>
  <c r="U17" i="124" s="1"/>
  <c r="V17" i="124" s="1"/>
  <c r="S29" i="124"/>
  <c r="U29" i="124" s="1"/>
  <c r="V29" i="124" s="1"/>
  <c r="O109" i="124"/>
  <c r="R12" i="124"/>
  <c r="U12" i="124" s="1"/>
  <c r="V12" i="124" s="1"/>
  <c r="R15" i="124"/>
  <c r="U15" i="124" s="1"/>
  <c r="V15" i="124" s="1"/>
  <c r="R32" i="124"/>
  <c r="U32" i="124" s="1"/>
  <c r="V32" i="124" s="1"/>
  <c r="P109" i="124"/>
  <c r="R22" i="124"/>
  <c r="U22" i="124" s="1"/>
  <c r="V22" i="124" s="1"/>
  <c r="S49" i="123"/>
  <c r="T49" i="123" s="1"/>
  <c r="S26" i="123"/>
  <c r="T26" i="123" s="1"/>
  <c r="S33" i="123"/>
  <c r="T33" i="123" s="1"/>
  <c r="S38" i="123"/>
  <c r="T38" i="123" s="1"/>
  <c r="S43" i="123"/>
  <c r="T43" i="123" s="1"/>
  <c r="S46" i="123"/>
  <c r="T46" i="123" s="1"/>
  <c r="P51" i="123"/>
  <c r="K39" i="114"/>
  <c r="T9" i="123"/>
  <c r="U9" i="124"/>
  <c r="S16" i="123"/>
  <c r="T16" i="123" s="1"/>
  <c r="S19" i="123"/>
  <c r="T19" i="123" s="1"/>
  <c r="S29" i="123"/>
  <c r="T29" i="123" s="1"/>
  <c r="S21" i="123"/>
  <c r="T21" i="123" s="1"/>
  <c r="S42" i="123"/>
  <c r="T42" i="123" s="1"/>
  <c r="L12" i="114"/>
  <c r="S17" i="123"/>
  <c r="T17" i="123" s="1"/>
  <c r="S13" i="123"/>
  <c r="T13" i="123" s="1"/>
  <c r="Q51" i="123"/>
  <c r="M4" i="114"/>
  <c r="O17" i="114" l="1"/>
  <c r="P17" i="114" s="1"/>
  <c r="O27" i="114"/>
  <c r="P27" i="114" s="1"/>
  <c r="O24" i="114"/>
  <c r="P24" i="114" s="1"/>
  <c r="O28" i="114"/>
  <c r="P28" i="114" s="1"/>
  <c r="O26" i="114"/>
  <c r="P26" i="114" s="1"/>
  <c r="O38" i="114"/>
  <c r="P38" i="114" s="1"/>
  <c r="O31" i="114"/>
  <c r="P31" i="114" s="1"/>
  <c r="O35" i="114"/>
  <c r="P35" i="114" s="1"/>
  <c r="O11" i="114"/>
  <c r="P11" i="114" s="1"/>
  <c r="O33" i="114"/>
  <c r="P33" i="114" s="1"/>
  <c r="O15" i="114"/>
  <c r="P15" i="114" s="1"/>
  <c r="O16" i="114"/>
  <c r="P16" i="114" s="1"/>
  <c r="O36" i="114"/>
  <c r="P36" i="114" s="1"/>
  <c r="O37" i="114"/>
  <c r="P37" i="114" s="1"/>
  <c r="O20" i="114"/>
  <c r="P20" i="114" s="1"/>
  <c r="O14" i="114"/>
  <c r="P14" i="114" s="1"/>
  <c r="O29" i="114"/>
  <c r="P29" i="114" s="1"/>
  <c r="O6" i="114"/>
  <c r="P6" i="114" s="1"/>
  <c r="O10" i="114"/>
  <c r="P10" i="114" s="1"/>
  <c r="O25" i="114"/>
  <c r="P25" i="114" s="1"/>
  <c r="O7" i="114"/>
  <c r="P7" i="114" s="1"/>
  <c r="O34" i="114"/>
  <c r="P34" i="114" s="1"/>
  <c r="O30" i="114"/>
  <c r="P30" i="114" s="1"/>
  <c r="O22" i="114"/>
  <c r="P22" i="114" s="1"/>
  <c r="O18" i="114"/>
  <c r="P18" i="114" s="1"/>
  <c r="F12" i="126"/>
  <c r="F11" i="126"/>
  <c r="O19" i="114"/>
  <c r="P19" i="114" s="1"/>
  <c r="O13" i="114"/>
  <c r="P13" i="114" s="1"/>
  <c r="O9" i="114"/>
  <c r="P9" i="114" s="1"/>
  <c r="O23" i="114"/>
  <c r="P23" i="114" s="1"/>
  <c r="O32" i="114"/>
  <c r="P32" i="114" s="1"/>
  <c r="O21" i="114"/>
  <c r="P21" i="114" s="1"/>
  <c r="O8" i="114"/>
  <c r="P8" i="114" s="1"/>
  <c r="F10" i="126"/>
  <c r="M39" i="114"/>
  <c r="F8" i="126"/>
  <c r="F16" i="126"/>
  <c r="O12" i="114"/>
  <c r="P12" i="114" s="1"/>
  <c r="F14" i="126"/>
  <c r="F42" i="126"/>
  <c r="F46" i="126"/>
  <c r="F31" i="126"/>
  <c r="F30" i="126"/>
  <c r="F25" i="126"/>
  <c r="F24" i="126"/>
  <c r="F53" i="126"/>
  <c r="F52" i="126"/>
  <c r="F20" i="126"/>
  <c r="F21" i="126"/>
  <c r="F17" i="126"/>
  <c r="F22" i="126"/>
  <c r="F26" i="126"/>
  <c r="F28" i="126"/>
  <c r="F32" i="126"/>
  <c r="F44" i="126"/>
  <c r="F18" i="126"/>
  <c r="F27" i="126"/>
  <c r="F50" i="126"/>
  <c r="F43" i="126"/>
  <c r="F15" i="126"/>
  <c r="F7" i="126"/>
  <c r="F39" i="126"/>
  <c r="F45" i="126"/>
  <c r="F35" i="126"/>
  <c r="F33" i="126"/>
  <c r="F29" i="126"/>
  <c r="F47" i="126"/>
  <c r="F36" i="126"/>
  <c r="F23" i="126"/>
  <c r="F9" i="126"/>
  <c r="F13" i="126"/>
  <c r="F5" i="126"/>
  <c r="F6" i="126"/>
  <c r="F34" i="126"/>
  <c r="F37" i="126"/>
  <c r="F51" i="126"/>
  <c r="F48" i="126"/>
  <c r="F40" i="126"/>
  <c r="F38" i="126"/>
  <c r="F54" i="126"/>
  <c r="F49" i="126"/>
  <c r="F41" i="126"/>
  <c r="S109" i="124"/>
  <c r="R109" i="124"/>
  <c r="O4" i="114"/>
  <c r="U109" i="124"/>
  <c r="V9" i="124"/>
  <c r="N32" i="126" s="1"/>
  <c r="T51" i="123"/>
  <c r="F4" i="126"/>
  <c r="L39" i="114"/>
  <c r="S51" i="123"/>
  <c r="N35" i="126" l="1"/>
  <c r="O39" i="114"/>
  <c r="N47" i="126"/>
  <c r="N44" i="126"/>
  <c r="N42" i="126"/>
  <c r="N53" i="126"/>
  <c r="N43" i="126"/>
  <c r="N37" i="126"/>
  <c r="N52" i="126"/>
  <c r="N41" i="126"/>
  <c r="N50" i="126"/>
  <c r="N31" i="126"/>
  <c r="N24" i="126"/>
  <c r="N29" i="126"/>
  <c r="N6" i="126"/>
  <c r="N16" i="126"/>
  <c r="N7" i="126"/>
  <c r="N15" i="126"/>
  <c r="N5" i="126"/>
  <c r="N51" i="126"/>
  <c r="N45" i="126"/>
  <c r="N54" i="126"/>
  <c r="N49" i="126"/>
  <c r="E2" i="126"/>
  <c r="N18" i="126"/>
  <c r="N27" i="126"/>
  <c r="N9" i="126"/>
  <c r="N22" i="126"/>
  <c r="N13" i="126"/>
  <c r="N17" i="126"/>
  <c r="N10" i="126"/>
  <c r="N46" i="126"/>
  <c r="N40" i="126"/>
  <c r="N48" i="126"/>
  <c r="N39" i="126"/>
  <c r="N36" i="126"/>
  <c r="N38" i="126"/>
  <c r="N34" i="126"/>
  <c r="N28" i="126"/>
  <c r="N14" i="126"/>
  <c r="N20" i="126"/>
  <c r="N19" i="126"/>
  <c r="N21" i="126"/>
  <c r="N11" i="126"/>
  <c r="N26" i="126"/>
  <c r="N33" i="126"/>
  <c r="N25" i="126"/>
  <c r="N23" i="126"/>
  <c r="N12" i="126"/>
  <c r="N30" i="126"/>
  <c r="N8" i="126"/>
  <c r="P4" i="114"/>
  <c r="P39" i="114" s="1"/>
  <c r="V109" i="124"/>
  <c r="N4" i="126"/>
  <c r="M2" i="126" l="1"/>
  <c r="V110" i="1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W8" authorId="0" shapeId="0" xr:uid="{60D5178A-3E6A-4E0D-9246-798B0DFBADC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1TRIP BALL PASS NAVIN SOHOM</t>
        </r>
      </text>
    </comment>
    <comment ref="BA18" authorId="0" shapeId="0" xr:uid="{81930F6C-07E6-4E6D-982C-83080B1645B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9.10 PM</t>
        </r>
      </text>
    </comment>
    <comment ref="DC19" authorId="0" shapeId="0" xr:uid="{E0A47A10-9CEF-49DE-A6D9-0B57151FCF5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CF</t>
        </r>
      </text>
    </comment>
    <comment ref="CQ37" authorId="0" shapeId="0" xr:uid="{B8BE3E43-BBF4-46B2-AA12-EDFC7868166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1TRIP BALL PASS RSH</t>
        </r>
      </text>
    </comment>
    <comment ref="AY44" authorId="0" shapeId="0" xr:uid="{C99C31AE-ADFE-4FC2-9A59-58F923E7D76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8.20 PM</t>
        </r>
      </text>
    </comment>
    <comment ref="AL45" authorId="0" shapeId="0" xr:uid="{55350E8A-4256-4E51-9D97-2C10F0B356A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12.45 PM</t>
        </r>
      </text>
    </comment>
    <comment ref="CW46" authorId="0" shapeId="0" xr:uid="{2FE8C702-E331-4C3A-972C-5594CFC8E4A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1TRIP BALL PASS NAVIN SOHOM</t>
        </r>
      </text>
    </comment>
    <comment ref="AL48" authorId="0" shapeId="0" xr:uid="{D8537123-1B63-469C-900C-2E7D2B3D42D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12.45 PM</t>
        </r>
      </text>
    </comment>
    <comment ref="CQ75" authorId="0" shapeId="0" xr:uid="{E5599E6A-EFFA-4C30-9005-96E67D8EA24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1TRIP BALL PASS RSH</t>
        </r>
      </text>
    </comment>
    <comment ref="AY81" authorId="0" shapeId="0" xr:uid="{FB614ED6-AEEB-485C-A80D-49A3E569393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8.20 PM</t>
        </r>
      </text>
    </comment>
  </commentList>
</comments>
</file>

<file path=xl/sharedStrings.xml><?xml version="1.0" encoding="utf-8"?>
<sst xmlns="http://schemas.openxmlformats.org/spreadsheetml/2006/main" count="6020" uniqueCount="423">
  <si>
    <t>PLANT</t>
  </si>
  <si>
    <t xml:space="preserve">CATEGORY </t>
  </si>
  <si>
    <t>RAJARHAT / JALAN TRIP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</si>
  <si>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</si>
  <si>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</si>
  <si>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</si>
  <si>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</si>
  <si>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</si>
  <si>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</si>
  <si>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</si>
  <si>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</si>
  <si>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</si>
  <si>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</si>
  <si>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</si>
  <si>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</si>
  <si>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</si>
  <si>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</si>
  <si>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</si>
  <si>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</si>
  <si>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</si>
  <si>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</si>
  <si>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</si>
  <si>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</si>
  <si>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</si>
  <si>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</si>
  <si>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</si>
  <si>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</si>
  <si>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</si>
  <si>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</si>
  <si>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</si>
  <si>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</si>
  <si>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</si>
  <si>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</si>
  <si>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</si>
  <si>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TARATALA</t>
  </si>
  <si>
    <t>DRIVER</t>
  </si>
  <si>
    <t>MANOJ</t>
  </si>
  <si>
    <t>TAPAS</t>
  </si>
  <si>
    <t>HELPER</t>
  </si>
  <si>
    <t>KRISH</t>
  </si>
  <si>
    <t>KHAIRUL</t>
  </si>
  <si>
    <t>SAJAN</t>
  </si>
  <si>
    <t>GIASUDDIN</t>
  </si>
  <si>
    <t>JALAN</t>
  </si>
  <si>
    <t>RAKESH</t>
  </si>
  <si>
    <t>ANSAR</t>
  </si>
  <si>
    <t>RANJIT</t>
  </si>
  <si>
    <t>KAPIL</t>
  </si>
  <si>
    <t>RINTU</t>
  </si>
  <si>
    <t>RABIN</t>
  </si>
  <si>
    <t>MITHUN</t>
  </si>
  <si>
    <t>RAMU</t>
  </si>
  <si>
    <t>SANJOY</t>
  </si>
  <si>
    <t>ASIT</t>
  </si>
  <si>
    <t>BIJOY</t>
  </si>
  <si>
    <t>LOUL</t>
  </si>
  <si>
    <t>SAMIR BARMAN</t>
  </si>
  <si>
    <t>ROBIUL</t>
  </si>
  <si>
    <t>SALEK</t>
  </si>
  <si>
    <t>HASAN</t>
  </si>
  <si>
    <t>ASISH</t>
  </si>
  <si>
    <t>LALJI</t>
  </si>
  <si>
    <t>CHORUA</t>
  </si>
  <si>
    <t>NIL MADHAV</t>
  </si>
  <si>
    <t>GOUTAM</t>
  </si>
  <si>
    <t>SAJAL</t>
  </si>
  <si>
    <t>JOLADHAR</t>
  </si>
  <si>
    <t>AMIYO</t>
  </si>
  <si>
    <t>NANDAN</t>
  </si>
  <si>
    <t>NISHIKANTA</t>
  </si>
  <si>
    <t>PRANJIT</t>
  </si>
  <si>
    <t>SUMANTA</t>
  </si>
  <si>
    <t>BISWANATH</t>
  </si>
  <si>
    <t>KUNDAN</t>
  </si>
  <si>
    <t>SANJAY</t>
  </si>
  <si>
    <t>SUJOY</t>
  </si>
  <si>
    <t>ACHHEYLAL</t>
  </si>
  <si>
    <t>LAXMIKANT</t>
  </si>
  <si>
    <t>SABIR</t>
  </si>
  <si>
    <t>SALARY</t>
  </si>
  <si>
    <t>WAGES</t>
  </si>
  <si>
    <t>CONTRACT</t>
  </si>
  <si>
    <t>RAJARHAT</t>
  </si>
  <si>
    <t>OFFICE</t>
  </si>
  <si>
    <t>LAB</t>
  </si>
  <si>
    <t>OTHERS</t>
  </si>
  <si>
    <t>HOPPER</t>
  </si>
  <si>
    <t>password : admin</t>
  </si>
  <si>
    <t>password : taratala</t>
  </si>
  <si>
    <t>DAILY STAFF  ATTENDANCE REPORT OF RAJARHAT PLANT</t>
  </si>
  <si>
    <t>DATE:</t>
  </si>
  <si>
    <t>SL.NO</t>
  </si>
  <si>
    <t>NAME</t>
  </si>
  <si>
    <t>DUTY</t>
  </si>
  <si>
    <t>TRIP</t>
  </si>
  <si>
    <t>DAY</t>
  </si>
  <si>
    <t>NIGHT</t>
  </si>
  <si>
    <t>TOTAL</t>
  </si>
  <si>
    <t>SL. NO</t>
  </si>
  <si>
    <t>OTHERS PLANT TRIP</t>
  </si>
  <si>
    <t>TOTAL NO OF TRIP</t>
  </si>
  <si>
    <t>TOTAL INVOICE DESPATCH</t>
  </si>
  <si>
    <t>DRIVER TRIP</t>
  </si>
  <si>
    <t>HELPER TRIP</t>
  </si>
  <si>
    <t>BRANCH</t>
  </si>
  <si>
    <t>IFSC</t>
  </si>
  <si>
    <t>ACCOUNT NO.</t>
  </si>
  <si>
    <t>ADVANCE</t>
  </si>
  <si>
    <t xml:space="preserve"> TOTAL ATTN.</t>
  </si>
  <si>
    <t>WH</t>
  </si>
  <si>
    <t>TOTAL ATTN.</t>
  </si>
  <si>
    <t xml:space="preserve"> TOTAL TRIP</t>
  </si>
  <si>
    <t>CATEGORY</t>
  </si>
  <si>
    <t>SUB-CATEGORY</t>
  </si>
  <si>
    <t>EMP CODE</t>
  </si>
  <si>
    <t>BASIC</t>
  </si>
  <si>
    <t>HRA</t>
  </si>
  <si>
    <t>FOOD</t>
  </si>
  <si>
    <t>MONTHLY RATE</t>
  </si>
  <si>
    <t>DUTY RATE</t>
  </si>
  <si>
    <t>TRIP RATE</t>
  </si>
  <si>
    <t>ESI BASIC</t>
  </si>
  <si>
    <t>ESI HRA</t>
  </si>
  <si>
    <t>ESI FOOD</t>
  </si>
  <si>
    <t>ESI TOTAL</t>
  </si>
  <si>
    <t>Column1</t>
  </si>
  <si>
    <t>Column2</t>
  </si>
  <si>
    <t>Column3</t>
  </si>
  <si>
    <t>Column4</t>
  </si>
  <si>
    <t>DAY2</t>
  </si>
  <si>
    <t>NIGHT3</t>
  </si>
  <si>
    <t>DAY4</t>
  </si>
  <si>
    <t>NIGHT5</t>
  </si>
  <si>
    <t>DAY6</t>
  </si>
  <si>
    <t>NIGHT7</t>
  </si>
  <si>
    <t>DAY8</t>
  </si>
  <si>
    <t>NIGHT9</t>
  </si>
  <si>
    <t>DAY10</t>
  </si>
  <si>
    <t>NIGHT11</t>
  </si>
  <si>
    <t>DAY12</t>
  </si>
  <si>
    <t>NIGHT13</t>
  </si>
  <si>
    <t>DAY14</t>
  </si>
  <si>
    <t>NIGHT15</t>
  </si>
  <si>
    <t>DAY16</t>
  </si>
  <si>
    <t>NIGHT17</t>
  </si>
  <si>
    <t>DAY18</t>
  </si>
  <si>
    <t>NIGHT19</t>
  </si>
  <si>
    <t>DAY20</t>
  </si>
  <si>
    <t>NIGHT21</t>
  </si>
  <si>
    <t>DAY22</t>
  </si>
  <si>
    <t>NIGHT23</t>
  </si>
  <si>
    <t>DAY24</t>
  </si>
  <si>
    <t>NIGHT25</t>
  </si>
  <si>
    <t>P</t>
  </si>
  <si>
    <t>NIGHT27</t>
  </si>
  <si>
    <t>DAY28</t>
  </si>
  <si>
    <t>NIGHT29</t>
  </si>
  <si>
    <t>DAY30</t>
  </si>
  <si>
    <t>NIGHT31</t>
  </si>
  <si>
    <t>DAY32</t>
  </si>
  <si>
    <t>NIGHT33</t>
  </si>
  <si>
    <t>DAY34</t>
  </si>
  <si>
    <t>NIGHT35</t>
  </si>
  <si>
    <t>DAY36</t>
  </si>
  <si>
    <t>NIGHT37</t>
  </si>
  <si>
    <t>DAY38</t>
  </si>
  <si>
    <t>NIGHT39</t>
  </si>
  <si>
    <t>DAY40</t>
  </si>
  <si>
    <t>NIGHT41</t>
  </si>
  <si>
    <t>DAY42</t>
  </si>
  <si>
    <t>NIGHT43</t>
  </si>
  <si>
    <t>DAY44</t>
  </si>
  <si>
    <t>NIGHT45</t>
  </si>
  <si>
    <t>DAY46</t>
  </si>
  <si>
    <t>NIGHT47</t>
  </si>
  <si>
    <t>DAY48</t>
  </si>
  <si>
    <t>NIGHT49</t>
  </si>
  <si>
    <t>DAY50</t>
  </si>
  <si>
    <t>NIGHT51</t>
  </si>
  <si>
    <t>DAY52</t>
  </si>
  <si>
    <t>NIGHT53</t>
  </si>
  <si>
    <t>DAY54</t>
  </si>
  <si>
    <t>NIGHT55</t>
  </si>
  <si>
    <t>DAY56</t>
  </si>
  <si>
    <t>NIGHT57</t>
  </si>
  <si>
    <t>DAY58</t>
  </si>
  <si>
    <t>NIGHT59</t>
  </si>
  <si>
    <t>DAY60</t>
  </si>
  <si>
    <t>NIGHT61</t>
  </si>
  <si>
    <t>NIGHT62</t>
  </si>
  <si>
    <t>Column5</t>
  </si>
  <si>
    <t>32</t>
  </si>
  <si>
    <t>A</t>
  </si>
  <si>
    <t>NEW</t>
  </si>
  <si>
    <t xml:space="preserve">  </t>
  </si>
  <si>
    <t>STAFF RJ SALARY REGISTER FOR THE MONTH OF</t>
  </si>
  <si>
    <t>SL. NO.</t>
  </si>
  <si>
    <t>EMP.
CODE</t>
  </si>
  <si>
    <t>TOTAL PAYMENTS</t>
  </si>
  <si>
    <t>DAYS WORK</t>
  </si>
  <si>
    <t>GROSS 
AMT.</t>
  </si>
  <si>
    <t>DEDUCTIONS</t>
  </si>
  <si>
    <t>TOTAL DED.</t>
  </si>
  <si>
    <t>NET AMT.</t>
  </si>
  <si>
    <t>TOTAL DAYS</t>
  </si>
  <si>
    <t>WORK</t>
  </si>
  <si>
    <t>P.F</t>
  </si>
  <si>
    <t>ESIC</t>
  </si>
  <si>
    <t>P.TAX</t>
  </si>
  <si>
    <t>ADV.</t>
  </si>
  <si>
    <t>WAGES  WAGES REGISTER FOR THE MONTH OF</t>
  </si>
  <si>
    <t>RATE</t>
  </si>
  <si>
    <t>AMOUNT</t>
  </si>
  <si>
    <t>NET</t>
  </si>
  <si>
    <t>SIGNATURE</t>
  </si>
  <si>
    <t>MONTHLY</t>
  </si>
  <si>
    <t>DAILY</t>
  </si>
  <si>
    <t xml:space="preserve">TRIP </t>
  </si>
  <si>
    <t>DUTY AMNT.</t>
  </si>
  <si>
    <t>TRIP AMNT.</t>
  </si>
  <si>
    <t xml:space="preserve"> AMT.</t>
  </si>
  <si>
    <t>TRANS CONCRETE PVT. LTD.</t>
  </si>
  <si>
    <t>E.P.F CODE NO. WB/TLO/47167</t>
  </si>
  <si>
    <t>ESI CODE NO. 40000401100000304</t>
  </si>
  <si>
    <t>SL.</t>
  </si>
  <si>
    <t>BASIC RATE</t>
  </si>
  <si>
    <t xml:space="preserve">TOTAL </t>
  </si>
  <si>
    <t>DAYS</t>
  </si>
  <si>
    <t>AMOUNT PAYBLE</t>
  </si>
  <si>
    <t>PAYBLE  GROSS 
AMT.</t>
  </si>
  <si>
    <t>NO.</t>
  </si>
  <si>
    <t>ACTUAL</t>
  </si>
  <si>
    <t>PRESENT</t>
  </si>
  <si>
    <t>DED.</t>
  </si>
  <si>
    <t>TOTAL AMOUNT</t>
  </si>
  <si>
    <t>PAYBLE GROSS 
AMT.</t>
  </si>
  <si>
    <t>PERFOMANCE INCENTIVE</t>
  </si>
  <si>
    <t>CONTRACT  WAGES REGISTER FOR THE MONTH OF</t>
  </si>
  <si>
    <t>SALARY SHEET TRANSFER DETAILS</t>
  </si>
  <si>
    <t>WAGES SHEET TRANSFER DETAILS</t>
  </si>
  <si>
    <t>Sl. No.</t>
  </si>
  <si>
    <t>Name</t>
  </si>
  <si>
    <t>REMARKS</t>
  </si>
  <si>
    <t>TRANSFER</t>
  </si>
  <si>
    <t>ABED ALI</t>
  </si>
  <si>
    <t>ABHI MUKHERJEE</t>
  </si>
  <si>
    <t>ACHIN GUPTA</t>
  </si>
  <si>
    <t xml:space="preserve">AMIT BISWAS  </t>
  </si>
  <si>
    <t xml:space="preserve">ANISUR </t>
  </si>
  <si>
    <t>ANOWAR MOLLA</t>
  </si>
  <si>
    <t xml:space="preserve">ARMAN ALI MONDAL </t>
  </si>
  <si>
    <t xml:space="preserve">ASHIT BISWAS </t>
  </si>
  <si>
    <t>ASUTOSH SARDAR</t>
  </si>
  <si>
    <t>BUDDHADEV SEAL</t>
  </si>
  <si>
    <t>DIBAKAR MONDAL</t>
  </si>
  <si>
    <t xml:space="preserve">FARUK ALI </t>
  </si>
  <si>
    <t xml:space="preserve">GOLAM SARWAR </t>
  </si>
  <si>
    <t>IMAN ALI MOLLA</t>
  </si>
  <si>
    <t>KUTUBUDDIN MOLLA</t>
  </si>
  <si>
    <t>MOTIAR RAHAMAN</t>
  </si>
  <si>
    <t>PULIN MONDAL</t>
  </si>
  <si>
    <t>RAJU PAL</t>
  </si>
  <si>
    <t xml:space="preserve">SAMSER ALI </t>
  </si>
  <si>
    <t>SATYA NASKAR</t>
  </si>
  <si>
    <t xml:space="preserve">SIRAJUL  MOLLA  </t>
  </si>
  <si>
    <t>SK. ANARUL ISLAM</t>
  </si>
  <si>
    <t>SRISTI DHAR MONDAL</t>
  </si>
  <si>
    <t>SUDHAN MONDAL</t>
  </si>
  <si>
    <t>SWAPAN MONDAL</t>
  </si>
  <si>
    <t>UJJAL MUKHERJEE</t>
  </si>
  <si>
    <t>ISRAFIL DHALI</t>
  </si>
  <si>
    <t>ROUF MONDAL</t>
  </si>
  <si>
    <t>JAMSHED ALI</t>
  </si>
  <si>
    <t>KHALEK DHALI</t>
  </si>
  <si>
    <t>KANAK JANA</t>
  </si>
  <si>
    <t>SOUMEN GARAI</t>
  </si>
  <si>
    <t>ASHOK MONDAL</t>
  </si>
  <si>
    <t>SALAUDDIN SHAH</t>
  </si>
  <si>
    <t>EKRAMUL ALI</t>
  </si>
  <si>
    <t>REJJAK MONDAL</t>
  </si>
  <si>
    <t>TANMOY MONDAL</t>
  </si>
  <si>
    <t>TAPAS MONDAL</t>
  </si>
  <si>
    <t>NABA KUMAR  BISWAS</t>
  </si>
  <si>
    <t>ALOK MONDAL</t>
  </si>
  <si>
    <t>RAJU MONDAL</t>
  </si>
  <si>
    <t>RAJESH BAR</t>
  </si>
  <si>
    <t>JITU MAHALI</t>
  </si>
  <si>
    <t>SAMSUR</t>
  </si>
  <si>
    <t>TC 0005</t>
  </si>
  <si>
    <t>TC 0003</t>
  </si>
  <si>
    <t>TC 0001</t>
  </si>
  <si>
    <t>TC 0006</t>
  </si>
  <si>
    <t>TC 0185</t>
  </si>
  <si>
    <t>TC 0260</t>
  </si>
  <si>
    <t>TC 0122</t>
  </si>
  <si>
    <t>TC 0205</t>
  </si>
  <si>
    <t>TC 0024</t>
  </si>
  <si>
    <t>TC 0040</t>
  </si>
  <si>
    <t>TC 0032</t>
  </si>
  <si>
    <t>TC0271</t>
  </si>
  <si>
    <t>IOB</t>
  </si>
  <si>
    <t>IOBA0000013</t>
  </si>
  <si>
    <t>SBI</t>
  </si>
  <si>
    <t>SBIN0016917</t>
  </si>
  <si>
    <t>Bank of Baroda</t>
  </si>
  <si>
    <t>BARB0DBRAJR</t>
  </si>
  <si>
    <t>SBIN0012380</t>
  </si>
  <si>
    <t>CANARA BANK</t>
  </si>
  <si>
    <t>CNRB0019776</t>
  </si>
  <si>
    <t>97762010010800</t>
  </si>
  <si>
    <t xml:space="preserve">PNB </t>
  </si>
  <si>
    <t>PUNB0058400</t>
  </si>
  <si>
    <t xml:space="preserve">UCO BANK    </t>
  </si>
  <si>
    <t>UCBA0002951</t>
  </si>
  <si>
    <t>UCO BANK</t>
  </si>
  <si>
    <t>UCBA0002567</t>
  </si>
  <si>
    <t>INDIAN BANK</t>
  </si>
  <si>
    <t>IDIB000H550</t>
  </si>
  <si>
    <t>UCBA0001870</t>
  </si>
  <si>
    <t>TC 0179</t>
  </si>
  <si>
    <t>TC 0074</t>
  </si>
  <si>
    <t>TC 0187</t>
  </si>
  <si>
    <t>TC 0222</t>
  </si>
  <si>
    <t>TC 0219</t>
  </si>
  <si>
    <t>TC 0143</t>
  </si>
  <si>
    <t>TC 0072</t>
  </si>
  <si>
    <t>TC 0076</t>
  </si>
  <si>
    <t>TC 0014</t>
  </si>
  <si>
    <t>TC 0109</t>
  </si>
  <si>
    <t>TC 0023</t>
  </si>
  <si>
    <t>UNION BANK</t>
  </si>
  <si>
    <t>UBIN0912344</t>
  </si>
  <si>
    <t>123400101005434</t>
  </si>
  <si>
    <t>SBIN0006208</t>
  </si>
  <si>
    <t>BKID0004382</t>
  </si>
  <si>
    <t>UCBA0002550</t>
  </si>
  <si>
    <t>CENTRAL BANK OF INDIA</t>
  </si>
  <si>
    <t>CBIN0281927</t>
  </si>
  <si>
    <t>UCBA0001725</t>
  </si>
  <si>
    <t>SUDIP MONDAL</t>
  </si>
  <si>
    <t>TC0227</t>
  </si>
  <si>
    <t>BANK OF INDIA</t>
  </si>
  <si>
    <t>SUPRAKASH SAMANTO</t>
  </si>
  <si>
    <t>ASIM KHUNTIA</t>
  </si>
  <si>
    <t>TC 0213</t>
  </si>
  <si>
    <t>PUNB0213000</t>
  </si>
  <si>
    <t>UCBA0001119</t>
  </si>
  <si>
    <t>BARB0VJSALT</t>
  </si>
  <si>
    <t>BANK OF BARODA</t>
  </si>
  <si>
    <t>BIKRAM ROY</t>
  </si>
  <si>
    <t>BALAI CHAND ROY</t>
  </si>
  <si>
    <t>ANSWAR ALI MOLLA</t>
  </si>
  <si>
    <t>MILAN RUIDAS</t>
  </si>
  <si>
    <t>RAFIKUL MOLLA</t>
  </si>
  <si>
    <t>TC0367</t>
  </si>
  <si>
    <t>TC0361</t>
  </si>
  <si>
    <t>TC0391</t>
  </si>
  <si>
    <t>TC0390</t>
  </si>
  <si>
    <t>TC0362</t>
  </si>
  <si>
    <t>KKBK0006575</t>
  </si>
  <si>
    <t>KOTAK MAHINDRA</t>
  </si>
  <si>
    <t>SBIN0014537</t>
  </si>
  <si>
    <t>MADAN</t>
  </si>
  <si>
    <t>MANABINDU BISWAS</t>
  </si>
  <si>
    <t>TC0051</t>
  </si>
  <si>
    <t>JHANTU MONDAL</t>
  </si>
  <si>
    <t>BISWANTH MONDAL</t>
  </si>
  <si>
    <t>SUVANKAR SAMADDAR</t>
  </si>
  <si>
    <t>BKID0004190</t>
  </si>
  <si>
    <t>MOKSHED ALI</t>
  </si>
  <si>
    <t>PUNJAB NATIONAL BANK</t>
  </si>
  <si>
    <t>PUNB0104620</t>
  </si>
  <si>
    <t>PUNB0182310</t>
  </si>
  <si>
    <t>PUNB0071920</t>
  </si>
  <si>
    <t>MOMINUL HAQUE</t>
  </si>
  <si>
    <t>NAYAN MONDAL</t>
  </si>
  <si>
    <t>UJJIVAN SMALL FINANCE BANK</t>
  </si>
  <si>
    <t>UJVN0003572</t>
  </si>
  <si>
    <t>BANGIYA GRAMIN VIKASH BANK</t>
  </si>
  <si>
    <t>SHANTI  MONDAL</t>
  </si>
  <si>
    <t>PUNB0RRBBGB</t>
  </si>
  <si>
    <t>SHIB SANKAR MAJHI</t>
  </si>
  <si>
    <t>RASHID MONDAL</t>
  </si>
  <si>
    <t>0719010235143</t>
  </si>
  <si>
    <t>3572110010050084</t>
  </si>
  <si>
    <t>TC 0398</t>
  </si>
  <si>
    <t>TC 0411</t>
  </si>
  <si>
    <t>TC 0412</t>
  </si>
  <si>
    <t>TC 0427</t>
  </si>
  <si>
    <t>TC 0420</t>
  </si>
  <si>
    <t>TC 0428</t>
  </si>
  <si>
    <t>TC 0395</t>
  </si>
  <si>
    <t>TC 0421</t>
  </si>
  <si>
    <t>TC 0422</t>
  </si>
  <si>
    <t>TC 0413</t>
  </si>
  <si>
    <t>TC 0414</t>
  </si>
  <si>
    <t>TC 0415</t>
  </si>
  <si>
    <t>JAMIR ALI</t>
  </si>
  <si>
    <t>STATE BANK OF INDIA</t>
  </si>
  <si>
    <t>SBIN0006853</t>
  </si>
  <si>
    <t>BARB0GHATAL</t>
  </si>
  <si>
    <t>JULFIKAR DHALI</t>
  </si>
  <si>
    <t>MOSIAR MOLLA</t>
  </si>
  <si>
    <t>SUBRATA MONDAL</t>
  </si>
  <si>
    <t>ABUL KALAM AZAD</t>
  </si>
  <si>
    <t>NASIB KARIKAR</t>
  </si>
  <si>
    <t>ABHIJIT MONDAL</t>
  </si>
  <si>
    <t>AYAN PAUL</t>
  </si>
  <si>
    <t>MOFIJUL ALI</t>
  </si>
  <si>
    <t>PUNCH MISSING    (-100/PUNCH) ADJUST</t>
  </si>
  <si>
    <t>(16500-200)=16300</t>
  </si>
  <si>
    <t>15001-200=14801</t>
  </si>
  <si>
    <t>BASIRUDDIN KHAN</t>
  </si>
  <si>
    <t>MD. SAMIM AKRAM</t>
  </si>
  <si>
    <t>AMIN YADAV</t>
  </si>
  <si>
    <t>PROBIR GHOSH</t>
  </si>
  <si>
    <t>BABLU MONDAL</t>
  </si>
  <si>
    <t>RAFIQUE MOLLA</t>
  </si>
  <si>
    <t>DIN MOHAMMOD ALI</t>
  </si>
  <si>
    <t>ASHIK AHMED</t>
  </si>
  <si>
    <t>SAMIT MONDAL</t>
  </si>
  <si>
    <t>SIDHARTHA MONDAL</t>
  </si>
  <si>
    <t>ALMIRAJ JHAN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</si>
</sst>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F800]dddd\,\ mmmm\ dd\,\ yyyy"/>
    <numFmt numFmtId="165" formatCode="#############################"/>
    <numFmt numFmtId="166" formatCode="&quot;$&quot;#,##0.00"/>
    <numFmt numFmtId="167" formatCode="&quot;TC&quot;\ 0000"/>
    <numFmt numFmtId="168" formatCode="0;[Red]0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2" tint="-0.89996032593768116"/>
      <name val="Cambria"/>
      <family val="1"/>
      <scheme val="major"/>
    </font>
    <font>
      <sz val="12"/>
      <color theme="2" tint="-0.89996032593768116"/>
      <name val="Arial"/>
      <family val="2"/>
    </font>
    <font>
      <sz val="11"/>
      <color theme="1"/>
      <name val="Arial Black"/>
      <family val="2"/>
    </font>
    <font>
      <sz val="10"/>
      <color theme="2" tint="-0.89996032593768116"/>
      <name val="Cambria"/>
      <family val="1"/>
      <scheme val="major"/>
    </font>
    <font>
      <sz val="8"/>
      <color theme="1"/>
      <name val="Cambria"/>
      <family val="1"/>
      <scheme val="maj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24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theme="2" tint="-0.89996032593768116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18"/>
      <name val="Arial Black"/>
      <family val="2"/>
    </font>
    <font>
      <b/>
      <sz val="18"/>
      <color theme="1"/>
      <name val="Arial Black"/>
      <family val="2"/>
    </font>
    <font>
      <b/>
      <sz val="14"/>
      <color theme="1"/>
      <name val="Arial Black"/>
      <family val="2"/>
    </font>
    <font>
      <b/>
      <sz val="22"/>
      <color theme="1"/>
      <name val="Cambria"/>
      <family val="1"/>
      <scheme val="major"/>
    </font>
    <font>
      <b/>
      <sz val="11"/>
      <color theme="1"/>
      <name val="Arial Black"/>
      <family val="2"/>
    </font>
    <font>
      <sz val="11"/>
      <color theme="9" tint="0.59999389629810485"/>
      <name val="Arial Black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theme="0"/>
        <bgColor theme="4" tint="0.59999389629810485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4" fillId="0" borderId="0" applyFont="0" applyFill="0" applyBorder="0" applyAlignment="0" applyProtection="0"/>
    <xf numFmtId="0" fontId="45" fillId="0" borderId="0"/>
  </cellStyleXfs>
  <cellXfs count="443"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9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165" fontId="0" fillId="0" borderId="8" xfId="0" applyNumberFormat="1" applyBorder="1"/>
    <xf numFmtId="0" fontId="15" fillId="0" borderId="0" xfId="0" applyFont="1"/>
    <xf numFmtId="0" fontId="15" fillId="0" borderId="0" xfId="0" applyFont="1" applyAlignment="1">
      <alignment horizontal="center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1" fontId="18" fillId="0" borderId="8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1" fontId="18" fillId="0" borderId="25" xfId="0" applyNumberFormat="1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1" fontId="15" fillId="5" borderId="8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9" fillId="0" borderId="2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20" fillId="0" borderId="2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166" fontId="22" fillId="0" borderId="32" xfId="0" applyNumberFormat="1" applyFont="1" applyBorder="1" applyAlignment="1">
      <alignment horizontal="center" vertical="center" wrapText="1"/>
    </xf>
    <xf numFmtId="1" fontId="21" fillId="0" borderId="19" xfId="0" applyNumberFormat="1" applyFont="1" applyBorder="1" applyAlignment="1">
      <alignment horizontal="center" vertical="center"/>
    </xf>
    <xf numFmtId="1" fontId="21" fillId="8" borderId="19" xfId="0" applyNumberFormat="1" applyFont="1" applyFill="1" applyBorder="1" applyAlignment="1" applyProtection="1">
      <alignment horizontal="center" vertical="center"/>
      <protection locked="0"/>
    </xf>
    <xf numFmtId="0" fontId="16" fillId="0" borderId="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1" fontId="21" fillId="0" borderId="19" xfId="1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/>
    </xf>
    <xf numFmtId="1" fontId="20" fillId="0" borderId="41" xfId="0" applyNumberFormat="1" applyFont="1" applyBorder="1" applyAlignment="1">
      <alignment horizontal="center"/>
    </xf>
    <xf numFmtId="1" fontId="21" fillId="0" borderId="4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2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1" fontId="23" fillId="0" borderId="25" xfId="0" applyNumberFormat="1" applyFont="1" applyBorder="1"/>
    <xf numFmtId="1" fontId="23" fillId="0" borderId="7" xfId="0" applyNumberFormat="1" applyFont="1" applyBorder="1"/>
    <xf numFmtId="1" fontId="23" fillId="0" borderId="8" xfId="0" applyNumberFormat="1" applyFont="1" applyBorder="1" applyAlignment="1">
      <alignment horizontal="center"/>
    </xf>
    <xf numFmtId="0" fontId="19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9" fillId="9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horizontal="center" vertical="center"/>
    </xf>
    <xf numFmtId="0" fontId="0" fillId="10" borderId="0" xfId="0" applyFill="1"/>
    <xf numFmtId="0" fontId="16" fillId="11" borderId="12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left" vertical="center"/>
    </xf>
    <xf numFmtId="1" fontId="18" fillId="10" borderId="8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 wrapText="1"/>
    </xf>
    <xf numFmtId="0" fontId="16" fillId="11" borderId="23" xfId="0" applyFont="1" applyFill="1" applyBorder="1" applyAlignment="1">
      <alignment horizontal="center" vertical="center"/>
    </xf>
    <xf numFmtId="1" fontId="15" fillId="10" borderId="8" xfId="0" applyNumberFormat="1" applyFont="1" applyFill="1" applyBorder="1" applyAlignment="1">
      <alignment horizontal="center" vertical="center"/>
    </xf>
    <xf numFmtId="1" fontId="18" fillId="10" borderId="17" xfId="0" applyNumberFormat="1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1" fontId="15" fillId="10" borderId="17" xfId="0" applyNumberFormat="1" applyFont="1" applyFill="1" applyBorder="1" applyAlignment="1">
      <alignment horizontal="center" vertical="center"/>
    </xf>
    <xf numFmtId="0" fontId="15" fillId="10" borderId="8" xfId="0" applyFont="1" applyFill="1" applyBorder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/>
    <xf numFmtId="0" fontId="26" fillId="5" borderId="20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27" fillId="3" borderId="8" xfId="0" applyNumberFormat="1" applyFont="1" applyFill="1" applyBorder="1" applyAlignment="1">
      <alignment horizontal="center" vertical="center"/>
    </xf>
    <xf numFmtId="1" fontId="26" fillId="12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" fontId="15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26" fillId="0" borderId="0" xfId="0" applyFont="1" applyAlignment="1">
      <alignment horizontal="center"/>
    </xf>
    <xf numFmtId="1" fontId="26" fillId="0" borderId="0" xfId="0" applyNumberFormat="1" applyFont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1" fontId="27" fillId="3" borderId="8" xfId="0" applyNumberFormat="1" applyFont="1" applyFill="1" applyBorder="1" applyAlignment="1" applyProtection="1">
      <alignment horizontal="center" vertical="center"/>
      <protection locked="0"/>
    </xf>
    <xf numFmtId="1" fontId="15" fillId="3" borderId="8" xfId="0" applyNumberFormat="1" applyFont="1" applyFill="1" applyBorder="1" applyAlignment="1">
      <alignment horizontal="center" vertical="center"/>
    </xf>
    <xf numFmtId="1" fontId="28" fillId="3" borderId="19" xfId="0" applyNumberFormat="1" applyFont="1" applyFill="1" applyBorder="1" applyAlignment="1">
      <alignment horizontal="center" vertical="center"/>
    </xf>
    <xf numFmtId="1" fontId="18" fillId="0" borderId="0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0" borderId="20" xfId="0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center"/>
    </xf>
    <xf numFmtId="165" fontId="0" fillId="0" borderId="0" xfId="0" applyNumberFormat="1"/>
    <xf numFmtId="0" fontId="1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9" fillId="12" borderId="0" xfId="0" applyFont="1" applyFill="1" applyAlignment="1">
      <alignment horizontal="center" vertical="center"/>
    </xf>
    <xf numFmtId="0" fontId="30" fillId="13" borderId="8" xfId="0" applyFont="1" applyFill="1" applyBorder="1" applyAlignment="1" applyProtection="1">
      <alignment horizontal="center" vertical="center"/>
      <protection locked="0"/>
    </xf>
    <xf numFmtId="0" fontId="30" fillId="14" borderId="19" xfId="0" applyFont="1" applyFill="1" applyBorder="1" applyAlignment="1" applyProtection="1">
      <alignment horizontal="center" vertical="center"/>
      <protection locked="0"/>
    </xf>
    <xf numFmtId="0" fontId="31" fillId="0" borderId="8" xfId="0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31" fillId="0" borderId="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left" vertical="center"/>
      <protection locked="0"/>
    </xf>
    <xf numFmtId="1" fontId="21" fillId="0" borderId="19" xfId="0" applyNumberFormat="1" applyFont="1" applyBorder="1" applyAlignment="1" applyProtection="1">
      <alignment horizontal="center" vertical="center"/>
      <protection locked="0"/>
    </xf>
    <xf numFmtId="0" fontId="11" fillId="12" borderId="0" xfId="0" applyFont="1" applyFill="1" applyAlignment="1">
      <alignment horizontal="center" vertical="center"/>
    </xf>
    <xf numFmtId="0" fontId="35" fillId="12" borderId="42" xfId="0" applyFont="1" applyFill="1" applyBorder="1" applyAlignment="1">
      <alignment horizontal="center" vertical="center" wrapText="1"/>
    </xf>
    <xf numFmtId="0" fontId="36" fillId="14" borderId="19" xfId="0" applyFont="1" applyFill="1" applyBorder="1" applyAlignment="1" applyProtection="1">
      <alignment horizontal="center" vertical="center" wrapText="1"/>
      <protection locked="0"/>
    </xf>
    <xf numFmtId="0" fontId="30" fillId="14" borderId="19" xfId="0" applyFont="1" applyFill="1" applyBorder="1" applyAlignment="1" applyProtection="1">
      <alignment horizontal="center" vertical="center" wrapText="1"/>
      <protection locked="0"/>
    </xf>
    <xf numFmtId="0" fontId="30" fillId="15" borderId="19" xfId="0" applyFont="1" applyFill="1" applyBorder="1" applyAlignment="1" applyProtection="1">
      <alignment horizontal="center" vertical="center" wrapText="1"/>
      <protection locked="0"/>
    </xf>
    <xf numFmtId="0" fontId="30" fillId="13" borderId="19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Protection="1">
      <protection locked="0"/>
    </xf>
    <xf numFmtId="165" fontId="35" fillId="12" borderId="42" xfId="0" applyNumberFormat="1" applyFont="1" applyFill="1" applyBorder="1" applyAlignment="1">
      <alignment horizontal="center" vertical="center" wrapText="1"/>
    </xf>
    <xf numFmtId="0" fontId="35" fillId="12" borderId="28" xfId="0" applyFont="1" applyFill="1" applyBorder="1" applyAlignment="1" applyProtection="1">
      <alignment horizontal="center" vertical="center" wrapText="1"/>
      <protection locked="0"/>
    </xf>
    <xf numFmtId="0" fontId="37" fillId="12" borderId="28" xfId="0" applyFont="1" applyFill="1" applyBorder="1" applyAlignment="1">
      <alignment horizontal="center" vertical="center" wrapText="1"/>
    </xf>
    <xf numFmtId="0" fontId="35" fillId="12" borderId="28" xfId="0" applyFont="1" applyFill="1" applyBorder="1" applyAlignment="1">
      <alignment horizontal="center" vertical="center" wrapText="1"/>
    </xf>
    <xf numFmtId="165" fontId="30" fillId="13" borderId="19" xfId="0" applyNumberFormat="1" applyFont="1" applyFill="1" applyBorder="1" applyAlignment="1" applyProtection="1">
      <alignment horizontal="center" vertical="center"/>
      <protection locked="0"/>
    </xf>
    <xf numFmtId="0" fontId="30" fillId="16" borderId="19" xfId="0" applyFont="1" applyFill="1" applyBorder="1" applyAlignment="1" applyProtection="1">
      <alignment horizontal="center" vertical="center"/>
      <protection locked="0"/>
    </xf>
    <xf numFmtId="0" fontId="10" fillId="16" borderId="8" xfId="0" applyFont="1" applyFill="1" applyBorder="1" applyAlignment="1" applyProtection="1">
      <alignment horizontal="center" vertical="center"/>
      <protection locked="0"/>
    </xf>
    <xf numFmtId="0" fontId="32" fillId="0" borderId="8" xfId="0" applyFont="1" applyBorder="1" applyAlignment="1" applyProtection="1">
      <alignment horizontal="center" vertical="center"/>
      <protection locked="0"/>
    </xf>
    <xf numFmtId="1" fontId="0" fillId="0" borderId="8" xfId="0" applyNumberFormat="1" applyBorder="1"/>
    <xf numFmtId="0" fontId="32" fillId="0" borderId="7" xfId="0" applyFont="1" applyBorder="1" applyAlignment="1" applyProtection="1">
      <alignment horizontal="center" vertical="center"/>
      <protection locked="0"/>
    </xf>
    <xf numFmtId="0" fontId="32" fillId="0" borderId="13" xfId="0" applyFont="1" applyBorder="1" applyAlignment="1" applyProtection="1">
      <alignment horizontal="center" vertical="center"/>
      <protection locked="0"/>
    </xf>
    <xf numFmtId="0" fontId="32" fillId="0" borderId="12" xfId="0" applyFont="1" applyBorder="1" applyAlignment="1" applyProtection="1">
      <alignment horizontal="center" vertical="center"/>
      <protection locked="0"/>
    </xf>
    <xf numFmtId="165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165" fontId="0" fillId="0" borderId="8" xfId="0" applyNumberFormat="1" applyBorder="1" applyProtection="1">
      <protection locked="0"/>
    </xf>
    <xf numFmtId="0" fontId="33" fillId="0" borderId="13" xfId="0" applyFont="1" applyBorder="1" applyAlignment="1" applyProtection="1">
      <alignment horizontal="center" vertical="center"/>
      <protection locked="0"/>
    </xf>
    <xf numFmtId="0" fontId="33" fillId="0" borderId="8" xfId="0" applyFont="1" applyBorder="1" applyAlignment="1" applyProtection="1">
      <alignment horizontal="center" vertical="center"/>
      <protection locked="0"/>
    </xf>
    <xf numFmtId="0" fontId="33" fillId="17" borderId="8" xfId="0" applyFont="1" applyFill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18" borderId="0" xfId="0" applyFill="1"/>
    <xf numFmtId="0" fontId="40" fillId="12" borderId="7" xfId="0" applyFont="1" applyFill="1" applyBorder="1" applyAlignment="1" applyProtection="1">
      <alignment horizontal="center" vertical="center"/>
      <protection locked="0"/>
    </xf>
    <xf numFmtId="0" fontId="30" fillId="13" borderId="23" xfId="0" applyFont="1" applyFill="1" applyBorder="1" applyAlignment="1" applyProtection="1">
      <alignment horizontal="center" vertical="center"/>
      <protection locked="0"/>
    </xf>
    <xf numFmtId="0" fontId="0" fillId="18" borderId="0" xfId="0" applyFill="1" applyProtection="1">
      <protection locked="0"/>
    </xf>
    <xf numFmtId="0" fontId="30" fillId="13" borderId="18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33" fillId="0" borderId="17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31" fillId="0" borderId="12" xfId="0" applyFont="1" applyBorder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left" vertical="center"/>
      <protection locked="0"/>
    </xf>
    <xf numFmtId="1" fontId="21" fillId="0" borderId="44" xfId="0" applyNumberFormat="1" applyFont="1" applyBorder="1" applyAlignment="1" applyProtection="1">
      <alignment horizontal="center" vertical="center"/>
      <protection locked="0"/>
    </xf>
    <xf numFmtId="1" fontId="21" fillId="0" borderId="44" xfId="0" applyNumberFormat="1" applyFont="1" applyBorder="1" applyAlignment="1">
      <alignment horizontal="center" vertical="center"/>
    </xf>
    <xf numFmtId="0" fontId="0" fillId="0" borderId="13" xfId="0" applyBorder="1" applyProtection="1">
      <protection locked="0"/>
    </xf>
    <xf numFmtId="1" fontId="20" fillId="0" borderId="44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 applyProtection="1">
      <alignment horizontal="center" vertical="center"/>
      <protection locked="0"/>
    </xf>
    <xf numFmtId="165" fontId="0" fillId="0" borderId="13" xfId="0" applyNumberFormat="1" applyBorder="1" applyProtection="1">
      <protection locked="0"/>
    </xf>
    <xf numFmtId="0" fontId="10" fillId="16" borderId="13" xfId="0" applyFont="1" applyFill="1" applyBorder="1" applyAlignment="1" applyProtection="1">
      <alignment horizontal="center" vertical="center"/>
      <protection locked="0"/>
    </xf>
    <xf numFmtId="165" fontId="21" fillId="0" borderId="13" xfId="0" applyNumberFormat="1" applyFont="1" applyBorder="1" applyAlignment="1" applyProtection="1">
      <alignment horizontal="center" vertical="center"/>
      <protection locked="0"/>
    </xf>
    <xf numFmtId="1" fontId="18" fillId="16" borderId="13" xfId="0" applyNumberFormat="1" applyFont="1" applyFill="1" applyBorder="1" applyAlignment="1" applyProtection="1">
      <alignment horizontal="center" vertical="center"/>
      <protection locked="0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11" fillId="20" borderId="8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2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3" borderId="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/>
    </xf>
    <xf numFmtId="0" fontId="11" fillId="21" borderId="32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4" borderId="8" xfId="0" applyFont="1" applyFill="1" applyBorder="1" applyAlignment="1">
      <alignment horizontal="center" vertical="center"/>
    </xf>
    <xf numFmtId="0" fontId="10" fillId="25" borderId="8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21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2" fillId="12" borderId="53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43" fillId="12" borderId="18" xfId="0" applyFont="1" applyFill="1" applyBorder="1" applyAlignment="1">
      <alignment horizontal="center" vertical="center"/>
    </xf>
    <xf numFmtId="0" fontId="43" fillId="12" borderId="19" xfId="0" applyFont="1" applyFill="1" applyBorder="1" applyAlignment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43" fillId="12" borderId="20" xfId="0" applyFont="1" applyFill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center" vertical="center"/>
      <protection locked="0"/>
    </xf>
    <xf numFmtId="0" fontId="0" fillId="0" borderId="8" xfId="0" quotePrefix="1" applyBorder="1" applyAlignment="1">
      <alignment horizontal="center"/>
    </xf>
    <xf numFmtId="165" fontId="10" fillId="0" borderId="8" xfId="0" quotePrefix="1" applyNumberFormat="1" applyFont="1" applyBorder="1" applyAlignment="1">
      <alignment horizontal="center" vertical="center"/>
    </xf>
    <xf numFmtId="0" fontId="32" fillId="0" borderId="1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/>
    </xf>
    <xf numFmtId="165" fontId="0" fillId="0" borderId="8" xfId="0" applyNumberFormat="1" applyBorder="1" applyAlignment="1" applyProtection="1">
      <alignment horizontal="center"/>
      <protection locked="0"/>
    </xf>
    <xf numFmtId="0" fontId="21" fillId="26" borderId="19" xfId="0" applyFont="1" applyFill="1" applyBorder="1" applyAlignment="1">
      <alignment horizontal="center" vertical="center"/>
    </xf>
    <xf numFmtId="1" fontId="21" fillId="26" borderId="19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8" xfId="0" quotePrefix="1" applyFont="1" applyBorder="1" applyAlignment="1">
      <alignment horizontal="center"/>
    </xf>
    <xf numFmtId="0" fontId="46" fillId="0" borderId="8" xfId="0" applyFont="1" applyBorder="1" applyAlignment="1">
      <alignment horizontal="center" vertical="center"/>
    </xf>
    <xf numFmtId="165" fontId="46" fillId="0" borderId="8" xfId="0" applyNumberFormat="1" applyFon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0" fontId="47" fillId="0" borderId="8" xfId="0" applyFont="1" applyBorder="1" applyProtection="1"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6" fillId="0" borderId="8" xfId="0" applyFont="1" applyBorder="1" applyProtection="1"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Protection="1">
      <protection locked="0"/>
    </xf>
    <xf numFmtId="1" fontId="2" fillId="0" borderId="8" xfId="0" applyNumberFormat="1" applyFont="1" applyBorder="1"/>
    <xf numFmtId="1" fontId="48" fillId="0" borderId="8" xfId="0" quotePrefix="1" applyNumberFormat="1" applyFont="1" applyBorder="1" applyAlignment="1" applyProtection="1">
      <alignment horizontal="center"/>
      <protection locked="0"/>
    </xf>
    <xf numFmtId="49" fontId="48" fillId="0" borderId="8" xfId="0" applyNumberFormat="1" applyFont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5" fillId="0" borderId="17" xfId="0" applyFont="1" applyBorder="1" applyProtection="1">
      <protection locked="0"/>
    </xf>
    <xf numFmtId="0" fontId="49" fillId="0" borderId="8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21" fillId="7" borderId="19" xfId="0" applyFont="1" applyFill="1" applyBorder="1" applyAlignment="1">
      <alignment horizontal="center" vertical="center"/>
    </xf>
    <xf numFmtId="1" fontId="21" fillId="7" borderId="19" xfId="0" applyNumberFormat="1" applyFont="1" applyFill="1" applyBorder="1" applyAlignment="1">
      <alignment horizontal="center" vertical="center"/>
    </xf>
    <xf numFmtId="1" fontId="24" fillId="7" borderId="8" xfId="0" applyNumberFormat="1" applyFont="1" applyFill="1" applyBorder="1" applyAlignment="1">
      <alignment horizontal="center" vertical="center"/>
    </xf>
    <xf numFmtId="1" fontId="21" fillId="7" borderId="8" xfId="0" applyNumberFormat="1" applyFont="1" applyFill="1" applyBorder="1" applyAlignment="1">
      <alignment horizontal="center" vertical="center"/>
    </xf>
    <xf numFmtId="1" fontId="21" fillId="7" borderId="19" xfId="1" applyNumberFormat="1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 wrapText="1"/>
    </xf>
    <xf numFmtId="0" fontId="15" fillId="27" borderId="8" xfId="0" applyFont="1" applyFill="1" applyBorder="1" applyAlignment="1">
      <alignment horizontal="center" vertical="center"/>
    </xf>
    <xf numFmtId="1" fontId="21" fillId="7" borderId="19" xfId="0" applyNumberFormat="1" applyFont="1" applyFill="1" applyBorder="1" applyAlignment="1" applyProtection="1">
      <alignment horizontal="center" vertical="center"/>
      <protection locked="0"/>
    </xf>
    <xf numFmtId="0" fontId="21" fillId="26" borderId="19" xfId="0" applyFont="1" applyFill="1" applyBorder="1" applyAlignment="1">
      <alignment horizontal="center" vertical="center" wrapText="1"/>
    </xf>
    <xf numFmtId="0" fontId="15" fillId="28" borderId="8" xfId="0" applyFont="1" applyFill="1" applyBorder="1" applyAlignment="1">
      <alignment horizontal="center" vertical="center"/>
    </xf>
    <xf numFmtId="1" fontId="21" fillId="26" borderId="8" xfId="0" applyNumberFormat="1" applyFont="1" applyFill="1" applyBorder="1" applyAlignment="1">
      <alignment horizontal="center" vertical="center"/>
    </xf>
    <xf numFmtId="1" fontId="21" fillId="26" borderId="19" xfId="1" applyNumberFormat="1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0" fillId="0" borderId="2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164" fontId="34" fillId="12" borderId="17" xfId="0" applyNumberFormat="1" applyFont="1" applyFill="1" applyBorder="1" applyAlignment="1">
      <alignment horizontal="center" vertical="center"/>
    </xf>
    <xf numFmtId="164" fontId="34" fillId="12" borderId="25" xfId="0" applyNumberFormat="1" applyFont="1" applyFill="1" applyBorder="1" applyAlignment="1">
      <alignment horizontal="center" vertical="center"/>
    </xf>
    <xf numFmtId="164" fontId="34" fillId="1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1" fillId="20" borderId="8" xfId="0" applyFont="1" applyFill="1" applyBorder="1" applyAlignment="1">
      <alignment horizontal="center" vertical="center"/>
    </xf>
    <xf numFmtId="0" fontId="11" fillId="23" borderId="8" xfId="0" applyFont="1" applyFill="1" applyBorder="1" applyAlignment="1">
      <alignment horizontal="center" vertical="center"/>
    </xf>
    <xf numFmtId="0" fontId="11" fillId="23" borderId="13" xfId="0" applyFont="1" applyFill="1" applyBorder="1" applyAlignment="1">
      <alignment horizontal="center" vertical="center"/>
    </xf>
    <xf numFmtId="0" fontId="11" fillId="23" borderId="19" xfId="0" applyFont="1" applyFill="1" applyBorder="1" applyAlignment="1">
      <alignment horizontal="center" vertical="center"/>
    </xf>
    <xf numFmtId="0" fontId="11" fillId="20" borderId="22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11" fillId="20" borderId="23" xfId="0" applyFont="1" applyFill="1" applyBorder="1" applyAlignment="1">
      <alignment horizontal="center" vertical="center"/>
    </xf>
    <xf numFmtId="0" fontId="11" fillId="20" borderId="18" xfId="0" applyFont="1" applyFill="1" applyBorder="1" applyAlignment="1">
      <alignment horizontal="center" vertical="center"/>
    </xf>
    <xf numFmtId="0" fontId="10" fillId="24" borderId="17" xfId="0" applyFont="1" applyFill="1" applyBorder="1" applyAlignment="1">
      <alignment horizontal="center" vertical="center"/>
    </xf>
    <xf numFmtId="0" fontId="10" fillId="24" borderId="25" xfId="0" applyFont="1" applyFill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5" borderId="8" xfId="0" applyFont="1" applyFill="1" applyBorder="1" applyAlignment="1">
      <alignment horizontal="center" vertical="center"/>
    </xf>
    <xf numFmtId="0" fontId="11" fillId="24" borderId="8" xfId="0" applyFont="1" applyFill="1" applyBorder="1" applyAlignment="1">
      <alignment horizontal="center" vertical="center"/>
    </xf>
    <xf numFmtId="0" fontId="11" fillId="23" borderId="46" xfId="0" applyFont="1" applyFill="1" applyBorder="1" applyAlignment="1">
      <alignment horizontal="center" vertical="center"/>
    </xf>
    <xf numFmtId="0" fontId="11" fillId="23" borderId="48" xfId="0" applyFont="1" applyFill="1" applyBorder="1" applyAlignment="1">
      <alignment horizontal="center" vertical="center"/>
    </xf>
    <xf numFmtId="0" fontId="11" fillId="23" borderId="33" xfId="0" applyFont="1" applyFill="1" applyBorder="1" applyAlignment="1">
      <alignment horizontal="center" vertical="center"/>
    </xf>
    <xf numFmtId="0" fontId="11" fillId="23" borderId="49" xfId="0" applyFont="1" applyFill="1" applyBorder="1" applyAlignment="1">
      <alignment horizontal="center" vertical="center"/>
    </xf>
    <xf numFmtId="0" fontId="11" fillId="23" borderId="17" xfId="0" applyFont="1" applyFill="1" applyBorder="1" applyAlignment="1">
      <alignment horizontal="center" vertical="center"/>
    </xf>
    <xf numFmtId="0" fontId="11" fillId="23" borderId="25" xfId="0" applyFont="1" applyFill="1" applyBorder="1" applyAlignment="1">
      <alignment horizontal="center" vertical="center"/>
    </xf>
    <xf numFmtId="0" fontId="11" fillId="23" borderId="7" xfId="0" applyFont="1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1" borderId="17" xfId="0" applyFont="1" applyFill="1" applyBorder="1" applyAlignment="1">
      <alignment horizontal="center" vertical="center"/>
    </xf>
    <xf numFmtId="0" fontId="11" fillId="21" borderId="25" xfId="0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 vertical="center"/>
    </xf>
    <xf numFmtId="0" fontId="10" fillId="22" borderId="17" xfId="0" applyFont="1" applyFill="1" applyBorder="1" applyAlignment="1">
      <alignment horizontal="center" vertical="center"/>
    </xf>
    <xf numFmtId="0" fontId="10" fillId="22" borderId="7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0" fontId="41" fillId="19" borderId="2" xfId="0" applyFont="1" applyFill="1" applyBorder="1" applyAlignment="1">
      <alignment horizontal="center" vertical="center"/>
    </xf>
    <xf numFmtId="0" fontId="41" fillId="19" borderId="3" xfId="0" applyFont="1" applyFill="1" applyBorder="1" applyAlignment="1">
      <alignment horizontal="center" vertical="center"/>
    </xf>
    <xf numFmtId="14" fontId="13" fillId="10" borderId="50" xfId="0" applyNumberFormat="1" applyFont="1" applyFill="1" applyBorder="1" applyAlignment="1" applyProtection="1">
      <alignment horizontal="center" vertical="center"/>
      <protection locked="0"/>
    </xf>
    <xf numFmtId="14" fontId="13" fillId="10" borderId="2" xfId="0" applyNumberFormat="1" applyFont="1" applyFill="1" applyBorder="1" applyAlignment="1" applyProtection="1">
      <alignment horizontal="center" vertical="center"/>
      <protection locked="0"/>
    </xf>
    <xf numFmtId="14" fontId="13" fillId="10" borderId="51" xfId="0" applyNumberFormat="1" applyFont="1" applyFill="1" applyBorder="1" applyAlignment="1" applyProtection="1">
      <alignment horizontal="center" vertical="center"/>
      <protection locked="0"/>
    </xf>
    <xf numFmtId="0" fontId="11" fillId="21" borderId="5" xfId="0" applyFont="1" applyFill="1" applyBorder="1" applyAlignment="1">
      <alignment horizontal="center" vertical="center"/>
    </xf>
    <xf numFmtId="0" fontId="11" fillId="21" borderId="47" xfId="0" applyFont="1" applyFill="1" applyBorder="1" applyAlignment="1">
      <alignment horizontal="center" vertical="center"/>
    </xf>
    <xf numFmtId="0" fontId="11" fillId="21" borderId="15" xfId="0" applyFont="1" applyFill="1" applyBorder="1" applyAlignment="1">
      <alignment horizontal="center" vertical="center"/>
    </xf>
    <xf numFmtId="0" fontId="11" fillId="21" borderId="52" xfId="0" applyFont="1" applyFill="1" applyBorder="1" applyAlignment="1">
      <alignment horizontal="center" vertical="center"/>
    </xf>
    <xf numFmtId="0" fontId="11" fillId="21" borderId="45" xfId="0" applyFont="1" applyFill="1" applyBorder="1" applyAlignment="1">
      <alignment horizontal="center" vertical="center"/>
    </xf>
    <xf numFmtId="0" fontId="11" fillId="21" borderId="46" xfId="0" applyFont="1" applyFill="1" applyBorder="1" applyAlignment="1">
      <alignment horizontal="center" vertical="center"/>
    </xf>
    <xf numFmtId="0" fontId="11" fillId="21" borderId="28" xfId="0" applyFont="1" applyFill="1" applyBorder="1" applyAlignment="1">
      <alignment horizontal="center" vertical="center"/>
    </xf>
    <xf numFmtId="0" fontId="11" fillId="21" borderId="33" xfId="0" applyFont="1" applyFill="1" applyBorder="1" applyAlignment="1">
      <alignment horizontal="center" vertical="center"/>
    </xf>
    <xf numFmtId="0" fontId="11" fillId="21" borderId="42" xfId="0" applyFont="1" applyFill="1" applyBorder="1" applyAlignment="1">
      <alignment horizontal="center" vertical="center"/>
    </xf>
    <xf numFmtId="0" fontId="11" fillId="21" borderId="49" xfId="0" applyFont="1" applyFill="1" applyBorder="1" applyAlignment="1">
      <alignment horizontal="center" vertical="center"/>
    </xf>
    <xf numFmtId="0" fontId="39" fillId="12" borderId="43" xfId="0" applyFont="1" applyFill="1" applyBorder="1" applyAlignment="1" applyProtection="1">
      <alignment horizontal="center" vertical="center"/>
      <protection locked="0"/>
    </xf>
    <xf numFmtId="0" fontId="39" fillId="12" borderId="7" xfId="0" applyFont="1" applyFill="1" applyBorder="1" applyAlignment="1" applyProtection="1">
      <alignment horizontal="center" vertical="center"/>
      <protection locked="0"/>
    </xf>
    <xf numFmtId="164" fontId="34" fillId="12" borderId="17" xfId="0" applyNumberFormat="1" applyFont="1" applyFill="1" applyBorder="1" applyAlignment="1" applyProtection="1">
      <alignment horizontal="center" vertical="center"/>
      <protection locked="0"/>
    </xf>
    <xf numFmtId="164" fontId="34" fillId="12" borderId="25" xfId="0" applyNumberFormat="1" applyFont="1" applyFill="1" applyBorder="1" applyAlignment="1" applyProtection="1">
      <alignment horizontal="center" vertical="center"/>
      <protection locked="0"/>
    </xf>
    <xf numFmtId="164" fontId="34" fillId="12" borderId="7" xfId="0" applyNumberFormat="1" applyFont="1" applyFill="1" applyBorder="1" applyAlignment="1" applyProtection="1">
      <alignment horizontal="center" vertical="center"/>
      <protection locked="0"/>
    </xf>
    <xf numFmtId="0" fontId="38" fillId="12" borderId="43" xfId="0" applyFont="1" applyFill="1" applyBorder="1" applyAlignment="1" applyProtection="1">
      <alignment horizontal="center" vertical="center"/>
      <protection locked="0"/>
    </xf>
    <xf numFmtId="0" fontId="38" fillId="12" borderId="7" xfId="0" applyFont="1" applyFill="1" applyBorder="1" applyAlignment="1" applyProtection="1">
      <alignment horizontal="center" vertical="center"/>
      <protection locked="0"/>
    </xf>
    <xf numFmtId="0" fontId="26" fillId="5" borderId="13" xfId="0" applyFont="1" applyFill="1" applyBorder="1" applyAlignment="1">
      <alignment horizontal="center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25" fillId="12" borderId="17" xfId="0" applyFont="1" applyFill="1" applyBorder="1" applyAlignment="1">
      <alignment horizontal="center" vertical="center"/>
    </xf>
    <xf numFmtId="0" fontId="25" fillId="12" borderId="25" xfId="0" applyFont="1" applyFill="1" applyBorder="1" applyAlignment="1">
      <alignment horizontal="center" vertical="center"/>
    </xf>
    <xf numFmtId="0" fontId="25" fillId="12" borderId="7" xfId="0" applyFont="1" applyFill="1" applyBorder="1" applyAlignment="1">
      <alignment horizontal="center" vertical="center"/>
    </xf>
    <xf numFmtId="1" fontId="26" fillId="12" borderId="17" xfId="0" applyNumberFormat="1" applyFont="1" applyFill="1" applyBorder="1" applyAlignment="1">
      <alignment horizontal="center" vertical="center"/>
    </xf>
    <xf numFmtId="1" fontId="26" fillId="12" borderId="7" xfId="0" applyNumberFormat="1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13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28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49" fillId="0" borderId="34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21" fillId="26" borderId="19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2 3" xfId="2" xr:uid="{00000000-0005-0000-0000-000002000000}"/>
  </cellStyles>
  <dxfs count="2221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59996337778862885"/>
        </patternFill>
      </fill>
    </dxf>
    <dxf>
      <font>
        <color rgb="FFC00000"/>
      </font>
      <fill>
        <patternFill patternType="solid">
          <bgColor theme="5" tint="0.7999511703848384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ill>
        <patternFill patternType="solid">
          <bgColor theme="3" tint="-0.249977111117893"/>
        </patternFill>
      </fill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0" tint="-4.9989318521683403E-2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auto="1"/>
        <name val="Calibri"/>
        <scheme val="none"/>
      </font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mbria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mbria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mbria"/>
        <scheme val="none"/>
      </font>
      <fill>
        <patternFill patternType="solid">
          <bgColor rgb="FFFFC00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mbria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mbria"/>
        <scheme val="none"/>
      </font>
      <numFmt numFmtId="1" formatCode="0"/>
      <fill>
        <patternFill patternType="solid">
          <bgColor rgb="FFFFC00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65" formatCode="#############################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" formatCode="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" formatCode="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strike val="0"/>
        <u val="none"/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/>
    </dxf>
    <dxf>
      <font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theme="1"/>
        <name val="Cambria"/>
        <scheme val="none"/>
      </font>
      <alignment horizontal="left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8"/>
        <color theme="1"/>
        <name val="Cambria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8"/>
        <color theme="1"/>
        <name val="Cambria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protection locked="0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</dxfs>
  <tableStyles count="0" defaultTableStyle="TableStyleMedium9" defaultPivotStyle="PivotStyleLight16"/>
  <colors>
    <mruColors>
      <color rgb="FF99FFCC"/>
      <color rgb="FFFFFFFF"/>
      <color rgb="FF00FF00"/>
      <color rgb="FF99FF99"/>
      <color rgb="FFFF66FF"/>
      <color rgb="FF5B5B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RJ%20POUR%20CARD%20SEPTEMBER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DATA"/>
      <sheetName val="ENTRY"/>
      <sheetName val="PARTY MASTER"/>
      <sheetName val="OTHER DESPATCH"/>
      <sheetName val="KM, TRIP &amp; TM"/>
      <sheetName val="DRIVERS &amp; HELPERS"/>
      <sheetName val="GRA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H58" totalsRowShown="0">
  <autoFilter ref="A2:AH58" xr:uid="{00000000-0009-0000-0100-000001000000}"/>
  <tableColumns count="34">
    <tableColumn id="1" xr3:uid="{00000000-0010-0000-0000-000001000000}" name="PLANT" dataDxfId="2220"/>
    <tableColumn id="2" xr3:uid="{00000000-0010-0000-0000-000002000000}" name="CATEGORY " dataDxfId="2219"/>
    <tableColumn id="3" xr3:uid="{00000000-0010-0000-0000-000003000000}" name="RAJARHAT / JALAN TRIP" dataDxfId="2218"/>
    <tableColumn id="4" xr3:uid="{00000000-0010-0000-0000-000004000000}" name="1" dataDxfId="2217"/>
    <tableColumn id="5" xr3:uid="{00000000-0010-0000-0000-000005000000}" name="2" dataDxfId="2216"/>
    <tableColumn id="6" xr3:uid="{00000000-0010-0000-0000-000006000000}" name="3" dataDxfId="2215"/>
    <tableColumn id="7" xr3:uid="{00000000-0010-0000-0000-000007000000}" name="4" dataDxfId="2214"/>
    <tableColumn id="8" xr3:uid="{00000000-0010-0000-0000-000008000000}" name="5" dataDxfId="2213"/>
    <tableColumn id="9" xr3:uid="{00000000-0010-0000-0000-000009000000}" name="6" dataDxfId="2212"/>
    <tableColumn id="10" xr3:uid="{00000000-0010-0000-0000-00000A000000}" name="7" dataDxfId="2211"/>
    <tableColumn id="11" xr3:uid="{00000000-0010-0000-0000-00000B000000}" name="8" dataDxfId="2210"/>
    <tableColumn id="12" xr3:uid="{00000000-0010-0000-0000-00000C000000}" name="9" dataDxfId="2209"/>
    <tableColumn id="13" xr3:uid="{00000000-0010-0000-0000-00000D000000}" name="10" dataDxfId="2208"/>
    <tableColumn id="14" xr3:uid="{00000000-0010-0000-0000-00000E000000}" name="11" dataDxfId="2207"/>
    <tableColumn id="15" xr3:uid="{00000000-0010-0000-0000-00000F000000}" name="12" dataDxfId="2206"/>
    <tableColumn id="16" xr3:uid="{00000000-0010-0000-0000-000010000000}" name="13" dataDxfId="2205"/>
    <tableColumn id="17" xr3:uid="{00000000-0010-0000-0000-000011000000}" name="14" dataDxfId="2204"/>
    <tableColumn id="18" xr3:uid="{00000000-0010-0000-0000-000012000000}" name="15" dataDxfId="2203"/>
    <tableColumn id="19" xr3:uid="{00000000-0010-0000-0000-000013000000}" name="16" dataDxfId="2202"/>
    <tableColumn id="20" xr3:uid="{00000000-0010-0000-0000-000014000000}" name="17" dataDxfId="2201"/>
    <tableColumn id="21" xr3:uid="{00000000-0010-0000-0000-000015000000}" name="18" dataDxfId="2200"/>
    <tableColumn id="22" xr3:uid="{00000000-0010-0000-0000-000016000000}" name="19" dataDxfId="2199"/>
    <tableColumn id="23" xr3:uid="{00000000-0010-0000-0000-000017000000}" name="20" dataDxfId="2198"/>
    <tableColumn id="24" xr3:uid="{00000000-0010-0000-0000-000018000000}" name="21" dataDxfId="2197"/>
    <tableColumn id="25" xr3:uid="{00000000-0010-0000-0000-000019000000}" name="22" dataDxfId="2196"/>
    <tableColumn id="26" xr3:uid="{00000000-0010-0000-0000-00001A000000}" name="23" dataDxfId="2195"/>
    <tableColumn id="27" xr3:uid="{00000000-0010-0000-0000-00001B000000}" name="24" dataDxfId="2194"/>
    <tableColumn id="28" xr3:uid="{00000000-0010-0000-0000-00001C000000}" name="25" dataDxfId="2193"/>
    <tableColumn id="29" xr3:uid="{00000000-0010-0000-0000-00001D000000}" name="26" dataDxfId="2192"/>
    <tableColumn id="30" xr3:uid="{00000000-0010-0000-0000-00001E000000}" name="27" dataDxfId="2191"/>
    <tableColumn id="31" xr3:uid="{00000000-0010-0000-0000-00001F000000}" name="28" dataDxfId="2190"/>
    <tableColumn id="32" xr3:uid="{00000000-0010-0000-0000-000020000000}" name="29" dataDxfId="2189"/>
    <tableColumn id="33" xr3:uid="{00000000-0010-0000-0000-000021000000}" name="30" dataDxfId="2188"/>
    <tableColumn id="34" xr3:uid="{00000000-0010-0000-0000-000022000000}" name="31" dataDxfId="218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WAGES" displayName="WAGES" ref="AD1:AD6" totalsRowShown="0">
  <autoFilter ref="AD1:AD6" xr:uid="{00000000-0009-0000-0100-000007000000}"/>
  <tableColumns count="1">
    <tableColumn id="1" xr3:uid="{00000000-0010-0000-0100-000001000000}" name="WAGES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CONTRACT" displayName="CONTRACT" ref="AE1:AE6" totalsRowShown="0">
  <autoFilter ref="AE1:AE6" xr:uid="{00000000-0009-0000-0100-000008000000}"/>
  <tableColumns count="1">
    <tableColumn id="1" xr3:uid="{00000000-0010-0000-0200-000001000000}" name="CONTRACT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ALARY" displayName="SALARY" ref="AC1:AC3" totalsRowShown="0">
  <autoFilter ref="AC1:AC3" xr:uid="{00000000-0009-0000-0100-000005000000}"/>
  <tableColumns count="1">
    <tableColumn id="1" xr3:uid="{00000000-0010-0000-0300-000001000000}" name="SALAR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2:DN284" totalsRowShown="0">
  <autoFilter ref="A2:DN284" xr:uid="{00000000-0009-0000-0100-000004000000}">
    <filterColumn colId="0">
      <filters>
        <filter val="SALARY"/>
      </filters>
    </filterColumn>
  </autoFilter>
  <sortState xmlns:xlrd2="http://schemas.microsoft.com/office/spreadsheetml/2017/richdata2" ref="A2:DN284">
    <sortCondition descending="1" ref="A2:A430"/>
  </sortState>
  <tableColumns count="118">
    <tableColumn id="1" xr3:uid="{00000000-0010-0000-0400-000001000000}" name="CATEGORY" dataDxfId="2186"/>
    <tableColumn id="2" xr3:uid="{00000000-0010-0000-0400-000002000000}" name="SUB-CATEGORY" dataDxfId="2185"/>
    <tableColumn id="3" xr3:uid="{00000000-0010-0000-0400-000003000000}" name="NAME" dataDxfId="2184"/>
    <tableColumn id="102" xr3:uid="{00000000-0010-0000-0400-000066000000}" name="EMP CODE" dataDxfId="2183"/>
    <tableColumn id="103" xr3:uid="{00000000-0010-0000-0400-000067000000}" name="BASIC" dataDxfId="2182"/>
    <tableColumn id="104" xr3:uid="{00000000-0010-0000-0400-000068000000}" name="HRA" dataDxfId="2181"/>
    <tableColumn id="105" xr3:uid="{00000000-0010-0000-0400-000069000000}" name="FOOD" dataDxfId="2180"/>
    <tableColumn id="120" xr3:uid="{00000000-0010-0000-0400-000078000000}" name="TOTAL" dataDxfId="2179">
      <calculatedColumnFormula>SUM(Table4[[#This Row],[BASIC]:[FOOD]])</calculatedColumnFormula>
    </tableColumn>
    <tableColumn id="106" xr3:uid="{00000000-0010-0000-0400-00006A000000}" name="MONTHLY RATE" dataDxfId="2178"/>
    <tableColumn id="107" xr3:uid="{00000000-0010-0000-0400-00006B000000}" name="DUTY RATE" dataDxfId="2177"/>
    <tableColumn id="108" xr3:uid="{00000000-0010-0000-0400-00006C000000}" name="TRIP RATE" dataDxfId="2176"/>
    <tableColumn id="109" xr3:uid="{00000000-0010-0000-0400-00006D000000}" name="ESI BASIC" dataDxfId="2175"/>
    <tableColumn id="110" xr3:uid="{00000000-0010-0000-0400-00006E000000}" name="ESI HRA" dataDxfId="2174"/>
    <tableColumn id="111" xr3:uid="{00000000-0010-0000-0400-00006F000000}" name="ESI FOOD" dataDxfId="2173"/>
    <tableColumn id="112" xr3:uid="{00000000-0010-0000-0400-000070000000}" name="ESI TOTAL" dataDxfId="2172">
      <calculatedColumnFormula>SUM(Table4[[#This Row],[ESI BASIC]:[ESI FOOD]])</calculatedColumnFormula>
    </tableColumn>
    <tableColumn id="116" xr3:uid="{00000000-0010-0000-0400-000074000000}" name="BRANCH" dataDxfId="2171"/>
    <tableColumn id="117" xr3:uid="{00000000-0010-0000-0400-000075000000}" name="IFSC" dataDxfId="2170"/>
    <tableColumn id="118" xr3:uid="{00000000-0010-0000-0400-000076000000}" name="ACCOUNT NO." dataDxfId="2169"/>
    <tableColumn id="113" xr3:uid="{00000000-0010-0000-0400-000071000000}" name="ADVANCE" dataDxfId="2168"/>
    <tableColumn id="4" xr3:uid="{00000000-0010-0000-0400-000004000000}" name="Column1" dataDxfId="2167">
      <calculatedColumnFormula>COUNTIF(X3:CG3,"P")</calculatedColumnFormula>
    </tableColumn>
    <tableColumn id="5" xr3:uid="{00000000-0010-0000-0400-000005000000}" name="Column2" dataDxfId="2166"/>
    <tableColumn id="6" xr3:uid="{00000000-0010-0000-0400-000006000000}" name="Column3" dataDxfId="2165">
      <calculatedColumnFormula>T3+U3</calculatedColumnFormula>
    </tableColumn>
    <tableColumn id="7" xr3:uid="{00000000-0010-0000-0400-000007000000}" name="Column4" dataDxfId="2164">
      <calculatedColumnFormula>SUM(CI3:DM3)</calculatedColumnFormula>
    </tableColumn>
    <tableColumn id="8" xr3:uid="{00000000-0010-0000-0400-000008000000}" name="DAY" dataDxfId="2163"/>
    <tableColumn id="9" xr3:uid="{00000000-0010-0000-0400-000009000000}" name="NIGHT" dataDxfId="2162"/>
    <tableColumn id="10" xr3:uid="{00000000-0010-0000-0400-00000A000000}" name="DAY2" dataDxfId="2161"/>
    <tableColumn id="11" xr3:uid="{00000000-0010-0000-0400-00000B000000}" name="NIGHT3" dataDxfId="2160"/>
    <tableColumn id="12" xr3:uid="{00000000-0010-0000-0400-00000C000000}" name="DAY4" dataDxfId="2159"/>
    <tableColumn id="13" xr3:uid="{00000000-0010-0000-0400-00000D000000}" name="NIGHT5" dataDxfId="2158"/>
    <tableColumn id="14" xr3:uid="{00000000-0010-0000-0400-00000E000000}" name="DAY6" dataDxfId="2157"/>
    <tableColumn id="15" xr3:uid="{00000000-0010-0000-0400-00000F000000}" name="NIGHT7" dataDxfId="2156"/>
    <tableColumn id="16" xr3:uid="{00000000-0010-0000-0400-000010000000}" name="DAY8" dataDxfId="2155"/>
    <tableColumn id="17" xr3:uid="{00000000-0010-0000-0400-000011000000}" name="NIGHT9" dataDxfId="2154"/>
    <tableColumn id="18" xr3:uid="{00000000-0010-0000-0400-000012000000}" name="DAY10" dataDxfId="2153"/>
    <tableColumn id="19" xr3:uid="{00000000-0010-0000-0400-000013000000}" name="NIGHT11" dataDxfId="2152"/>
    <tableColumn id="20" xr3:uid="{00000000-0010-0000-0400-000014000000}" name="DAY12" dataDxfId="2151"/>
    <tableColumn id="21" xr3:uid="{00000000-0010-0000-0400-000015000000}" name="NIGHT13" dataDxfId="2150"/>
    <tableColumn id="22" xr3:uid="{00000000-0010-0000-0400-000016000000}" name="DAY14" dataDxfId="2149"/>
    <tableColumn id="23" xr3:uid="{00000000-0010-0000-0400-000017000000}" name="NIGHT15" dataDxfId="2148"/>
    <tableColumn id="24" xr3:uid="{00000000-0010-0000-0400-000018000000}" name="DAY16" dataDxfId="2147"/>
    <tableColumn id="25" xr3:uid="{00000000-0010-0000-0400-000019000000}" name="NIGHT17" dataDxfId="2146"/>
    <tableColumn id="26" xr3:uid="{00000000-0010-0000-0400-00001A000000}" name="DAY18" dataDxfId="2145"/>
    <tableColumn id="27" xr3:uid="{00000000-0010-0000-0400-00001B000000}" name="NIGHT19" dataDxfId="2144"/>
    <tableColumn id="28" xr3:uid="{00000000-0010-0000-0400-00001C000000}" name="DAY20" dataDxfId="2143"/>
    <tableColumn id="29" xr3:uid="{00000000-0010-0000-0400-00001D000000}" name="NIGHT21" dataDxfId="2142"/>
    <tableColumn id="30" xr3:uid="{00000000-0010-0000-0400-00001E000000}" name="DAY22" dataDxfId="2141"/>
    <tableColumn id="31" xr3:uid="{00000000-0010-0000-0400-00001F000000}" name="NIGHT23" dataDxfId="2140"/>
    <tableColumn id="32" xr3:uid="{00000000-0010-0000-0400-000020000000}" name="DAY24" dataDxfId="2139"/>
    <tableColumn id="33" xr3:uid="{00000000-0010-0000-0400-000021000000}" name="NIGHT25" dataDxfId="2138"/>
    <tableColumn id="34" xr3:uid="{00000000-0010-0000-0400-000022000000}" name="P" dataDxfId="2137"/>
    <tableColumn id="35" xr3:uid="{00000000-0010-0000-0400-000023000000}" name="NIGHT27" dataDxfId="2136"/>
    <tableColumn id="36" xr3:uid="{00000000-0010-0000-0400-000024000000}" name="DAY28" dataDxfId="2135"/>
    <tableColumn id="37" xr3:uid="{00000000-0010-0000-0400-000025000000}" name="NIGHT29" dataDxfId="2134"/>
    <tableColumn id="38" xr3:uid="{00000000-0010-0000-0400-000026000000}" name="DAY30" dataDxfId="2133"/>
    <tableColumn id="39" xr3:uid="{00000000-0010-0000-0400-000027000000}" name="NIGHT31" dataDxfId="2132"/>
    <tableColumn id="40" xr3:uid="{00000000-0010-0000-0400-000028000000}" name="DAY32" dataDxfId="2131"/>
    <tableColumn id="41" xr3:uid="{00000000-0010-0000-0400-000029000000}" name="NIGHT33" dataDxfId="2130"/>
    <tableColumn id="42" xr3:uid="{00000000-0010-0000-0400-00002A000000}" name="DAY34" dataDxfId="2129"/>
    <tableColumn id="43" xr3:uid="{00000000-0010-0000-0400-00002B000000}" name="NIGHT35" dataDxfId="2128"/>
    <tableColumn id="44" xr3:uid="{00000000-0010-0000-0400-00002C000000}" name="DAY36" dataDxfId="2127"/>
    <tableColumn id="45" xr3:uid="{00000000-0010-0000-0400-00002D000000}" name="NIGHT37" dataDxfId="2126"/>
    <tableColumn id="46" xr3:uid="{00000000-0010-0000-0400-00002E000000}" name="DAY38" dataDxfId="2125"/>
    <tableColumn id="47" xr3:uid="{00000000-0010-0000-0400-00002F000000}" name="NIGHT39" dataDxfId="2124"/>
    <tableColumn id="48" xr3:uid="{00000000-0010-0000-0400-000030000000}" name="DAY40" dataDxfId="2123"/>
    <tableColumn id="49" xr3:uid="{00000000-0010-0000-0400-000031000000}" name="NIGHT41" dataDxfId="2122"/>
    <tableColumn id="50" xr3:uid="{00000000-0010-0000-0400-000032000000}" name="DAY42" dataDxfId="2121"/>
    <tableColumn id="51" xr3:uid="{00000000-0010-0000-0400-000033000000}" name="NIGHT43" dataDxfId="2120"/>
    <tableColumn id="52" xr3:uid="{00000000-0010-0000-0400-000034000000}" name="DAY44" dataDxfId="2119"/>
    <tableColumn id="53" xr3:uid="{00000000-0010-0000-0400-000035000000}" name="NIGHT45" dataDxfId="2118"/>
    <tableColumn id="54" xr3:uid="{00000000-0010-0000-0400-000036000000}" name="DAY46" dataDxfId="2117"/>
    <tableColumn id="55" xr3:uid="{00000000-0010-0000-0400-000037000000}" name="NIGHT47" dataDxfId="2116"/>
    <tableColumn id="56" xr3:uid="{00000000-0010-0000-0400-000038000000}" name="DAY48" dataDxfId="2115"/>
    <tableColumn id="57" xr3:uid="{00000000-0010-0000-0400-000039000000}" name="NIGHT49" dataDxfId="2114"/>
    <tableColumn id="58" xr3:uid="{00000000-0010-0000-0400-00003A000000}" name="DAY50" dataDxfId="2113"/>
    <tableColumn id="59" xr3:uid="{00000000-0010-0000-0400-00003B000000}" name="NIGHT51" dataDxfId="2112"/>
    <tableColumn id="60" xr3:uid="{00000000-0010-0000-0400-00003C000000}" name="DAY52" dataDxfId="2111"/>
    <tableColumn id="61" xr3:uid="{00000000-0010-0000-0400-00003D000000}" name="NIGHT53" dataDxfId="2110"/>
    <tableColumn id="62" xr3:uid="{00000000-0010-0000-0400-00003E000000}" name="DAY54" dataDxfId="2109"/>
    <tableColumn id="63" xr3:uid="{00000000-0010-0000-0400-00003F000000}" name="NIGHT55" dataDxfId="2108"/>
    <tableColumn id="64" xr3:uid="{00000000-0010-0000-0400-000040000000}" name="DAY56" dataDxfId="2107"/>
    <tableColumn id="65" xr3:uid="{00000000-0010-0000-0400-000041000000}" name="NIGHT57" dataDxfId="2106"/>
    <tableColumn id="66" xr3:uid="{00000000-0010-0000-0400-000042000000}" name="DAY58" dataDxfId="2105"/>
    <tableColumn id="67" xr3:uid="{00000000-0010-0000-0400-000043000000}" name="NIGHT59" dataDxfId="2104"/>
    <tableColumn id="68" xr3:uid="{00000000-0010-0000-0400-000044000000}" name="DAY60" dataDxfId="2103"/>
    <tableColumn id="69" xr3:uid="{00000000-0010-0000-0400-000045000000}" name="NIGHT61" dataDxfId="2102"/>
    <tableColumn id="70" xr3:uid="{00000000-0010-0000-0400-000046000000}" name="NIGHT62" dataDxfId="2101"/>
    <tableColumn id="71" xr3:uid="{00000000-0010-0000-0400-000047000000}" name="Column5" dataDxfId="2100"/>
    <tableColumn id="72" xr3:uid="{00000000-0010-0000-0400-000048000000}" name="2" dataDxfId="2099"/>
    <tableColumn id="73" xr3:uid="{00000000-0010-0000-0400-000049000000}" name="3" dataDxfId="2098"/>
    <tableColumn id="74" xr3:uid="{00000000-0010-0000-0400-00004A000000}" name="4" dataDxfId="2097"/>
    <tableColumn id="75" xr3:uid="{00000000-0010-0000-0400-00004B000000}" name="5" dataDxfId="2096"/>
    <tableColumn id="76" xr3:uid="{00000000-0010-0000-0400-00004C000000}" name="6" dataDxfId="2095"/>
    <tableColumn id="77" xr3:uid="{00000000-0010-0000-0400-00004D000000}" name="7" dataDxfId="2094"/>
    <tableColumn id="78" xr3:uid="{00000000-0010-0000-0400-00004E000000}" name="8" dataDxfId="2093"/>
    <tableColumn id="79" xr3:uid="{00000000-0010-0000-0400-00004F000000}" name="9" dataDxfId="2092"/>
    <tableColumn id="80" xr3:uid="{00000000-0010-0000-0400-000050000000}" name="10" dataDxfId="2091"/>
    <tableColumn id="81" xr3:uid="{00000000-0010-0000-0400-000051000000}" name="11" dataDxfId="2090"/>
    <tableColumn id="82" xr3:uid="{00000000-0010-0000-0400-000052000000}" name="12" dataDxfId="2089"/>
    <tableColumn id="83" xr3:uid="{00000000-0010-0000-0400-000053000000}" name="13" dataDxfId="2088"/>
    <tableColumn id="84" xr3:uid="{00000000-0010-0000-0400-000054000000}" name="14" dataDxfId="2087"/>
    <tableColumn id="85" xr3:uid="{00000000-0010-0000-0400-000055000000}" name="15" dataDxfId="2086"/>
    <tableColumn id="86" xr3:uid="{00000000-0010-0000-0400-000056000000}" name="16" dataDxfId="2085"/>
    <tableColumn id="87" xr3:uid="{00000000-0010-0000-0400-000057000000}" name="17" dataDxfId="2084"/>
    <tableColumn id="88" xr3:uid="{00000000-0010-0000-0400-000058000000}" name="18" dataDxfId="2083"/>
    <tableColumn id="89" xr3:uid="{00000000-0010-0000-0400-000059000000}" name="19" dataDxfId="2082"/>
    <tableColumn id="90" xr3:uid="{00000000-0010-0000-0400-00005A000000}" name="20" dataDxfId="2081"/>
    <tableColumn id="91" xr3:uid="{00000000-0010-0000-0400-00005B000000}" name="21" dataDxfId="2080"/>
    <tableColumn id="92" xr3:uid="{00000000-0010-0000-0400-00005C000000}" name="22" dataDxfId="2079"/>
    <tableColumn id="93" xr3:uid="{00000000-0010-0000-0400-00005D000000}" name="23" dataDxfId="2078"/>
    <tableColumn id="94" xr3:uid="{00000000-0010-0000-0400-00005E000000}" name="24" dataDxfId="2077"/>
    <tableColumn id="95" xr3:uid="{00000000-0010-0000-0400-00005F000000}" name="25" dataDxfId="2076"/>
    <tableColumn id="96" xr3:uid="{00000000-0010-0000-0400-000060000000}" name="26" dataDxfId="2075"/>
    <tableColumn id="97" xr3:uid="{00000000-0010-0000-0400-000061000000}" name="27" dataDxfId="2074"/>
    <tableColumn id="98" xr3:uid="{00000000-0010-0000-0400-000062000000}" name="28" dataDxfId="2073"/>
    <tableColumn id="99" xr3:uid="{00000000-0010-0000-0400-000063000000}" name="29" dataDxfId="2072"/>
    <tableColumn id="100" xr3:uid="{00000000-0010-0000-0400-000064000000}" name="30" dataDxfId="2071"/>
    <tableColumn id="101" xr3:uid="{00000000-0010-0000-0400-000065000000}" name="31" dataDxfId="2070"/>
    <tableColumn id="114" xr3:uid="{00000000-0010-0000-0400-000072000000}" name="32" dataDxfId="2069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workbookViewId="0">
      <pane xSplit="3" ySplit="2" topLeftCell="O3" activePane="bottomRight" state="frozen"/>
      <selection pane="topRight"/>
      <selection pane="bottomLeft"/>
      <selection pane="bottomRight" sqref="A1:C1"/>
    </sheetView>
  </sheetViews>
  <sheetFormatPr defaultColWidth="9.125" defaultRowHeight="15"/>
  <cols>
    <col min="1" max="1" width="11.25" style="75" customWidth="1"/>
    <col min="2" max="2" width="14.625" style="75" customWidth="1"/>
    <col min="3" max="3" width="29" style="75" customWidth="1"/>
    <col min="4" max="12" width="5" style="142" customWidth="1"/>
    <col min="13" max="34" width="6" style="142" customWidth="1"/>
    <col min="35" max="16384" width="9.125" style="75"/>
  </cols>
  <sheetData>
    <row r="1" spans="1:34" ht="36.75" customHeight="1">
      <c r="A1" s="303">
        <f>'RJ ATTENDENCE SHEET'!A1</f>
        <v>46204</v>
      </c>
      <c r="B1" s="304"/>
      <c r="C1" s="305"/>
      <c r="D1" s="227">
        <v>1</v>
      </c>
      <c r="E1" s="227">
        <v>2</v>
      </c>
      <c r="F1" s="227">
        <v>3</v>
      </c>
      <c r="G1" s="227">
        <v>4</v>
      </c>
      <c r="H1" s="227">
        <v>5</v>
      </c>
      <c r="I1" s="227">
        <v>6</v>
      </c>
      <c r="J1" s="227">
        <v>7</v>
      </c>
      <c r="K1" s="227">
        <v>8</v>
      </c>
      <c r="L1" s="227">
        <v>9</v>
      </c>
      <c r="M1" s="227">
        <v>10</v>
      </c>
      <c r="N1" s="227">
        <v>11</v>
      </c>
      <c r="O1" s="227">
        <v>12</v>
      </c>
      <c r="P1" s="227">
        <v>13</v>
      </c>
      <c r="Q1" s="227">
        <v>14</v>
      </c>
      <c r="R1" s="227">
        <v>15</v>
      </c>
      <c r="S1" s="227">
        <v>16</v>
      </c>
      <c r="T1" s="227">
        <v>17</v>
      </c>
      <c r="U1" s="227">
        <v>18</v>
      </c>
      <c r="V1" s="227">
        <v>19</v>
      </c>
      <c r="W1" s="227">
        <v>20</v>
      </c>
      <c r="X1" s="227">
        <v>21</v>
      </c>
      <c r="Y1" s="227">
        <v>22</v>
      </c>
      <c r="Z1" s="227">
        <v>23</v>
      </c>
      <c r="AA1" s="227">
        <v>24</v>
      </c>
      <c r="AB1" s="227">
        <v>25</v>
      </c>
      <c r="AC1" s="227">
        <v>26</v>
      </c>
      <c r="AD1" s="227">
        <v>27</v>
      </c>
      <c r="AE1" s="227">
        <v>28</v>
      </c>
      <c r="AF1" s="227">
        <v>29</v>
      </c>
      <c r="AG1" s="227">
        <v>30</v>
      </c>
      <c r="AH1" s="227">
        <v>31</v>
      </c>
    </row>
    <row r="2" spans="1:34" s="226" customFormat="1" ht="18.75">
      <c r="A2" s="228" t="s">
        <v>0</v>
      </c>
      <c r="B2" s="229" t="s">
        <v>1</v>
      </c>
      <c r="C2" s="230" t="s">
        <v>2</v>
      </c>
      <c r="D2" s="231" t="s">
        <v>3</v>
      </c>
      <c r="E2" s="232" t="s">
        <v>4</v>
      </c>
      <c r="F2" s="232" t="s">
        <v>5</v>
      </c>
      <c r="G2" s="231" t="s">
        <v>6</v>
      </c>
      <c r="H2" s="232" t="s">
        <v>7</v>
      </c>
      <c r="I2" s="232" t="s">
        <v>8</v>
      </c>
      <c r="J2" s="231" t="s">
        <v>9</v>
      </c>
      <c r="K2" s="232" t="s">
        <v>10</v>
      </c>
      <c r="L2" s="232" t="s">
        <v>11</v>
      </c>
      <c r="M2" s="231" t="s">
        <v>12</v>
      </c>
      <c r="N2" s="232" t="s">
        <v>13</v>
      </c>
      <c r="O2" s="232" t="s">
        <v>14</v>
      </c>
      <c r="P2" s="231" t="s">
        <v>15</v>
      </c>
      <c r="Q2" s="232" t="s">
        <v>16</v>
      </c>
      <c r="R2" s="232" t="s">
        <v>17</v>
      </c>
      <c r="S2" s="231" t="s">
        <v>18</v>
      </c>
      <c r="T2" s="232" t="s">
        <v>19</v>
      </c>
      <c r="U2" s="232" t="s">
        <v>20</v>
      </c>
      <c r="V2" s="231" t="s">
        <v>21</v>
      </c>
      <c r="W2" s="232" t="s">
        <v>22</v>
      </c>
      <c r="X2" s="232" t="s">
        <v>23</v>
      </c>
      <c r="Y2" s="231" t="s">
        <v>24</v>
      </c>
      <c r="Z2" s="232" t="s">
        <v>25</v>
      </c>
      <c r="AA2" s="232" t="s">
        <v>26</v>
      </c>
      <c r="AB2" s="231" t="s">
        <v>27</v>
      </c>
      <c r="AC2" s="232" t="s">
        <v>28</v>
      </c>
      <c r="AD2" s="232" t="s">
        <v>29</v>
      </c>
      <c r="AE2" s="231" t="s">
        <v>30</v>
      </c>
      <c r="AF2" s="232" t="s">
        <v>31</v>
      </c>
      <c r="AG2" s="232" t="s">
        <v>32</v>
      </c>
      <c r="AH2" s="239" t="s">
        <v>33</v>
      </c>
    </row>
    <row r="3" spans="1:34" ht="15.75">
      <c r="A3" s="186" t="s">
        <v>34</v>
      </c>
      <c r="B3" s="179" t="s">
        <v>35</v>
      </c>
      <c r="C3" s="233" t="s">
        <v>36</v>
      </c>
      <c r="D3" s="186"/>
      <c r="E3" s="179">
        <v>1</v>
      </c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240"/>
    </row>
    <row r="4" spans="1:34" ht="15.75">
      <c r="A4" s="186" t="s">
        <v>34</v>
      </c>
      <c r="B4" s="179" t="s">
        <v>35</v>
      </c>
      <c r="C4" s="233"/>
      <c r="D4" s="186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240"/>
    </row>
    <row r="5" spans="1:34" ht="15.75">
      <c r="A5" s="186" t="s">
        <v>34</v>
      </c>
      <c r="B5" s="179" t="s">
        <v>35</v>
      </c>
      <c r="C5" s="233" t="s">
        <v>37</v>
      </c>
      <c r="D5" s="234"/>
      <c r="E5" s="235"/>
      <c r="F5" s="235">
        <v>2</v>
      </c>
      <c r="G5" s="235">
        <v>2</v>
      </c>
      <c r="H5" s="235"/>
      <c r="I5" s="235"/>
      <c r="J5" s="235">
        <v>1</v>
      </c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41"/>
    </row>
    <row r="6" spans="1:34" ht="15.75">
      <c r="A6" s="186" t="s">
        <v>34</v>
      </c>
      <c r="B6" s="179" t="s">
        <v>38</v>
      </c>
      <c r="C6" s="233" t="s">
        <v>39</v>
      </c>
      <c r="D6" s="234"/>
      <c r="E6" s="235">
        <v>1</v>
      </c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41"/>
    </row>
    <row r="7" spans="1:34" ht="15.75">
      <c r="A7" s="186" t="s">
        <v>34</v>
      </c>
      <c r="B7" s="179" t="s">
        <v>38</v>
      </c>
      <c r="C7" s="233" t="s">
        <v>40</v>
      </c>
      <c r="D7" s="234"/>
      <c r="E7" s="235"/>
      <c r="F7" s="235"/>
      <c r="G7" s="235">
        <v>1</v>
      </c>
      <c r="H7" s="235">
        <v>2</v>
      </c>
      <c r="I7" s="235">
        <v>3</v>
      </c>
      <c r="J7" s="235">
        <v>1</v>
      </c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41"/>
    </row>
    <row r="8" spans="1:34" ht="15.75">
      <c r="A8" s="186" t="s">
        <v>34</v>
      </c>
      <c r="B8" s="179" t="s">
        <v>38</v>
      </c>
      <c r="C8" s="233" t="s">
        <v>41</v>
      </c>
      <c r="D8" s="234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41"/>
    </row>
    <row r="9" spans="1:34" ht="15.75">
      <c r="A9" s="186" t="s">
        <v>34</v>
      </c>
      <c r="B9" s="179" t="s">
        <v>35</v>
      </c>
      <c r="C9" s="233" t="s">
        <v>42</v>
      </c>
      <c r="D9" s="234"/>
      <c r="E9" s="235"/>
      <c r="F9" s="235">
        <v>1</v>
      </c>
      <c r="G9" s="235"/>
      <c r="H9" s="235">
        <v>2</v>
      </c>
      <c r="I9" s="235">
        <v>3</v>
      </c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41"/>
    </row>
    <row r="10" spans="1:34" ht="15.75">
      <c r="A10" s="186" t="s">
        <v>43</v>
      </c>
      <c r="B10" s="179" t="s">
        <v>35</v>
      </c>
      <c r="C10" s="233" t="s">
        <v>44</v>
      </c>
      <c r="D10" s="186"/>
      <c r="E10" s="179"/>
      <c r="F10" s="179"/>
      <c r="G10" s="179"/>
      <c r="H10" s="179"/>
      <c r="I10" s="179">
        <v>2</v>
      </c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240"/>
    </row>
    <row r="11" spans="1:34" ht="15.75">
      <c r="A11" s="186" t="s">
        <v>34</v>
      </c>
      <c r="B11" s="179" t="s">
        <v>35</v>
      </c>
      <c r="C11" s="233" t="s">
        <v>45</v>
      </c>
      <c r="D11" s="186"/>
      <c r="E11" s="179"/>
      <c r="F11" s="179"/>
      <c r="G11" s="179"/>
      <c r="H11" s="179"/>
      <c r="I11" s="179">
        <v>2</v>
      </c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240"/>
    </row>
    <row r="12" spans="1:34" ht="15.75">
      <c r="A12" s="186" t="s">
        <v>34</v>
      </c>
      <c r="B12" s="179" t="s">
        <v>35</v>
      </c>
      <c r="C12" s="233" t="s">
        <v>46</v>
      </c>
      <c r="D12" s="186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240"/>
    </row>
    <row r="13" spans="1:34" ht="15.75">
      <c r="A13" s="186" t="s">
        <v>34</v>
      </c>
      <c r="B13" s="179" t="s">
        <v>38</v>
      </c>
      <c r="C13" s="233" t="s">
        <v>47</v>
      </c>
      <c r="D13" s="186"/>
      <c r="E13" s="179"/>
      <c r="F13" s="179"/>
      <c r="G13" s="179"/>
      <c r="H13" s="179"/>
      <c r="I13" s="179">
        <v>2</v>
      </c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240"/>
    </row>
    <row r="14" spans="1:34" ht="15.75">
      <c r="A14" s="186" t="s">
        <v>34</v>
      </c>
      <c r="B14" s="179" t="s">
        <v>38</v>
      </c>
      <c r="C14" s="233" t="s">
        <v>48</v>
      </c>
      <c r="D14" s="186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240"/>
    </row>
    <row r="15" spans="1:34" ht="15.75">
      <c r="A15" s="186" t="s">
        <v>34</v>
      </c>
      <c r="B15" s="179" t="s">
        <v>38</v>
      </c>
      <c r="C15" s="233" t="s">
        <v>49</v>
      </c>
      <c r="D15" s="186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240"/>
    </row>
    <row r="16" spans="1:34" ht="15.75">
      <c r="A16" s="186" t="s">
        <v>43</v>
      </c>
      <c r="B16" s="179" t="s">
        <v>38</v>
      </c>
      <c r="C16" s="233" t="s">
        <v>50</v>
      </c>
      <c r="D16" s="186"/>
      <c r="E16" s="179"/>
      <c r="F16" s="179"/>
      <c r="G16" s="179"/>
      <c r="H16" s="179"/>
      <c r="I16" s="179">
        <v>2</v>
      </c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240"/>
    </row>
    <row r="17" spans="1:34" ht="15.75">
      <c r="A17" s="186" t="s">
        <v>43</v>
      </c>
      <c r="B17" s="179" t="s">
        <v>38</v>
      </c>
      <c r="C17" s="233" t="s">
        <v>51</v>
      </c>
      <c r="D17" s="186"/>
      <c r="E17" s="179"/>
      <c r="F17" s="179"/>
      <c r="G17" s="179"/>
      <c r="H17" s="179"/>
      <c r="I17" s="179">
        <v>1</v>
      </c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240"/>
    </row>
    <row r="18" spans="1:34" ht="15.75">
      <c r="A18" s="186" t="s">
        <v>43</v>
      </c>
      <c r="B18" s="179" t="s">
        <v>35</v>
      </c>
      <c r="C18" s="233" t="s">
        <v>37</v>
      </c>
      <c r="D18" s="186"/>
      <c r="E18" s="179"/>
      <c r="F18" s="179"/>
      <c r="G18" s="179"/>
      <c r="H18" s="179"/>
      <c r="I18" s="179">
        <v>1</v>
      </c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240"/>
    </row>
    <row r="19" spans="1:34" ht="15.75">
      <c r="A19" s="186" t="s">
        <v>34</v>
      </c>
      <c r="B19" s="179" t="s">
        <v>35</v>
      </c>
      <c r="C19" s="233" t="s">
        <v>52</v>
      </c>
      <c r="D19" s="186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240"/>
    </row>
    <row r="20" spans="1:34" ht="15.75">
      <c r="A20" s="186" t="s">
        <v>34</v>
      </c>
      <c r="B20" s="179" t="s">
        <v>35</v>
      </c>
      <c r="C20" s="233" t="s">
        <v>53</v>
      </c>
      <c r="D20" s="186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240"/>
    </row>
    <row r="21" spans="1:34" ht="15.75">
      <c r="A21" s="186" t="s">
        <v>34</v>
      </c>
      <c r="B21" s="179" t="s">
        <v>38</v>
      </c>
      <c r="C21" s="233" t="s">
        <v>54</v>
      </c>
      <c r="D21" s="186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240"/>
    </row>
    <row r="22" spans="1:34" ht="15.75">
      <c r="A22" s="186" t="s">
        <v>34</v>
      </c>
      <c r="B22" s="179" t="s">
        <v>38</v>
      </c>
      <c r="C22" s="233" t="s">
        <v>55</v>
      </c>
      <c r="D22" s="186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240"/>
    </row>
    <row r="23" spans="1:34" ht="15.75">
      <c r="A23" s="186" t="s">
        <v>34</v>
      </c>
      <c r="B23" s="179" t="s">
        <v>38</v>
      </c>
      <c r="C23" s="233" t="s">
        <v>56</v>
      </c>
      <c r="D23" s="186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240"/>
    </row>
    <row r="24" spans="1:34" ht="15.75">
      <c r="A24" s="186" t="s">
        <v>34</v>
      </c>
      <c r="B24" s="179" t="s">
        <v>35</v>
      </c>
      <c r="C24" s="233" t="s">
        <v>57</v>
      </c>
      <c r="D24" s="186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240"/>
    </row>
    <row r="25" spans="1:34" ht="15.75">
      <c r="A25" s="186" t="s">
        <v>34</v>
      </c>
      <c r="B25" s="179" t="s">
        <v>38</v>
      </c>
      <c r="C25" s="233" t="s">
        <v>58</v>
      </c>
      <c r="D25" s="186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240"/>
    </row>
    <row r="26" spans="1:34" ht="15.75">
      <c r="A26" s="186" t="s">
        <v>34</v>
      </c>
      <c r="B26" s="179" t="s">
        <v>35</v>
      </c>
      <c r="C26" s="233" t="s">
        <v>59</v>
      </c>
      <c r="D26" s="186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240"/>
    </row>
    <row r="27" spans="1:34" ht="15.75">
      <c r="A27" s="186" t="s">
        <v>34</v>
      </c>
      <c r="B27" s="179" t="s">
        <v>38</v>
      </c>
      <c r="C27" s="233" t="s">
        <v>60</v>
      </c>
      <c r="D27" s="186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240"/>
    </row>
    <row r="28" spans="1:34" ht="15.75">
      <c r="A28" s="186" t="s">
        <v>34</v>
      </c>
      <c r="B28" s="179" t="s">
        <v>35</v>
      </c>
      <c r="C28" s="233" t="s">
        <v>61</v>
      </c>
      <c r="D28" s="186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240"/>
    </row>
    <row r="29" spans="1:34" ht="15.75">
      <c r="A29" s="186" t="s">
        <v>34</v>
      </c>
      <c r="B29" s="179" t="s">
        <v>35</v>
      </c>
      <c r="C29" s="233" t="s">
        <v>37</v>
      </c>
      <c r="D29" s="186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240"/>
    </row>
    <row r="30" spans="1:34" ht="15.75">
      <c r="A30" s="186" t="s">
        <v>43</v>
      </c>
      <c r="B30" s="179" t="s">
        <v>35</v>
      </c>
      <c r="C30" s="233" t="s">
        <v>62</v>
      </c>
      <c r="D30" s="186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240"/>
    </row>
    <row r="31" spans="1:34" ht="15.75">
      <c r="A31" s="186" t="s">
        <v>43</v>
      </c>
      <c r="B31" s="179" t="s">
        <v>38</v>
      </c>
      <c r="C31" s="233" t="s">
        <v>63</v>
      </c>
      <c r="D31" s="186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240"/>
    </row>
    <row r="32" spans="1:34" ht="15.75">
      <c r="A32" s="186" t="s">
        <v>43</v>
      </c>
      <c r="B32" s="179" t="s">
        <v>35</v>
      </c>
      <c r="C32" s="233" t="s">
        <v>64</v>
      </c>
      <c r="D32" s="186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240"/>
    </row>
    <row r="33" spans="1:34" ht="15.75">
      <c r="A33" s="186" t="s">
        <v>43</v>
      </c>
      <c r="B33" s="179" t="s">
        <v>38</v>
      </c>
      <c r="C33" s="233" t="s">
        <v>65</v>
      </c>
      <c r="D33" s="186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240"/>
    </row>
    <row r="34" spans="1:34" ht="15.75">
      <c r="A34" s="186" t="s">
        <v>43</v>
      </c>
      <c r="B34" s="179" t="s">
        <v>35</v>
      </c>
      <c r="C34" s="233" t="s">
        <v>66</v>
      </c>
      <c r="D34" s="186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240"/>
    </row>
    <row r="35" spans="1:34" ht="15.75">
      <c r="A35" s="186" t="s">
        <v>43</v>
      </c>
      <c r="B35" s="179" t="s">
        <v>38</v>
      </c>
      <c r="C35" s="233" t="s">
        <v>67</v>
      </c>
      <c r="D35" s="186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240"/>
    </row>
    <row r="36" spans="1:34" ht="15.75">
      <c r="A36" s="186" t="s">
        <v>43</v>
      </c>
      <c r="B36" s="179" t="s">
        <v>35</v>
      </c>
      <c r="C36" s="233" t="s">
        <v>68</v>
      </c>
      <c r="D36" s="186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240"/>
    </row>
    <row r="37" spans="1:34" ht="15.75">
      <c r="A37" s="186" t="s">
        <v>34</v>
      </c>
      <c r="B37" s="179" t="s">
        <v>35</v>
      </c>
      <c r="C37" s="233" t="s">
        <v>69</v>
      </c>
      <c r="D37" s="186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240"/>
    </row>
    <row r="38" spans="1:34" ht="15.75">
      <c r="A38" s="186" t="s">
        <v>34</v>
      </c>
      <c r="B38" s="179" t="s">
        <v>35</v>
      </c>
      <c r="C38" s="233" t="s">
        <v>70</v>
      </c>
      <c r="D38" s="186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240"/>
    </row>
    <row r="39" spans="1:34" ht="15.75">
      <c r="A39" s="186" t="s">
        <v>34</v>
      </c>
      <c r="B39" s="179" t="s">
        <v>38</v>
      </c>
      <c r="C39" s="233" t="s">
        <v>71</v>
      </c>
      <c r="D39" s="186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240"/>
    </row>
    <row r="40" spans="1:34" ht="15.75">
      <c r="A40" s="186"/>
      <c r="B40" s="179"/>
      <c r="C40" s="233"/>
      <c r="D40" s="186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240"/>
    </row>
    <row r="41" spans="1:34" ht="15.75">
      <c r="A41" s="186"/>
      <c r="B41" s="179"/>
      <c r="C41" s="233"/>
      <c r="D41" s="186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240"/>
    </row>
    <row r="42" spans="1:34" ht="15.75">
      <c r="A42" s="186"/>
      <c r="B42" s="179"/>
      <c r="C42" s="233"/>
      <c r="D42" s="186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240"/>
    </row>
    <row r="43" spans="1:34" ht="15.75">
      <c r="A43" s="186"/>
      <c r="B43" s="179"/>
      <c r="C43" s="233"/>
      <c r="D43" s="186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240"/>
    </row>
    <row r="44" spans="1:34" ht="15.75">
      <c r="A44" s="186"/>
      <c r="B44" s="179"/>
      <c r="C44" s="233"/>
      <c r="D44" s="186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240"/>
    </row>
    <row r="45" spans="1:34" ht="15.75">
      <c r="A45" s="186"/>
      <c r="B45" s="179"/>
      <c r="C45" s="233"/>
      <c r="D45" s="186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240"/>
    </row>
    <row r="46" spans="1:34" ht="15.75">
      <c r="A46" s="186"/>
      <c r="B46" s="179"/>
      <c r="C46" s="233"/>
      <c r="D46" s="186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240"/>
    </row>
    <row r="47" spans="1:34" ht="15.75">
      <c r="A47" s="186"/>
      <c r="B47" s="179"/>
      <c r="C47" s="233"/>
      <c r="D47" s="186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240"/>
    </row>
    <row r="48" spans="1:34" ht="15.75">
      <c r="A48" s="186"/>
      <c r="B48" s="179"/>
      <c r="C48" s="233"/>
      <c r="D48" s="186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240"/>
    </row>
    <row r="49" spans="1:34" ht="15.75">
      <c r="A49" s="186"/>
      <c r="B49" s="179"/>
      <c r="C49" s="233"/>
      <c r="D49" s="186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240"/>
    </row>
    <row r="50" spans="1:34" ht="15.75">
      <c r="A50" s="236"/>
      <c r="B50" s="204"/>
      <c r="C50" s="233"/>
      <c r="D50" s="186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240"/>
    </row>
    <row r="51" spans="1:34">
      <c r="A51" s="236" t="s">
        <v>34</v>
      </c>
      <c r="B51" s="204" t="s">
        <v>38</v>
      </c>
      <c r="C51" s="138" t="s">
        <v>72</v>
      </c>
      <c r="D51" s="236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37"/>
    </row>
    <row r="52" spans="1:34">
      <c r="A52" s="236" t="s">
        <v>34</v>
      </c>
      <c r="B52" s="237" t="s">
        <v>38</v>
      </c>
      <c r="C52" s="238" t="s">
        <v>73</v>
      </c>
      <c r="D52" s="236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37"/>
    </row>
    <row r="53" spans="1:34">
      <c r="A53" s="236" t="s">
        <v>34</v>
      </c>
      <c r="B53" s="204" t="s">
        <v>38</v>
      </c>
      <c r="C53" s="238" t="s">
        <v>74</v>
      </c>
      <c r="D53" s="236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37"/>
    </row>
    <row r="54" spans="1:34">
      <c r="A54" s="236" t="s">
        <v>34</v>
      </c>
      <c r="B54" s="204" t="s">
        <v>38</v>
      </c>
      <c r="C54" s="238" t="s">
        <v>75</v>
      </c>
      <c r="D54" s="236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37"/>
    </row>
    <row r="55" spans="1:34">
      <c r="A55" s="236" t="s">
        <v>34</v>
      </c>
      <c r="B55" s="204" t="s">
        <v>35</v>
      </c>
      <c r="C55" s="238" t="s">
        <v>76</v>
      </c>
      <c r="D55" s="236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37"/>
    </row>
    <row r="56" spans="1:34">
      <c r="A56" s="236" t="s">
        <v>34</v>
      </c>
      <c r="B56" s="204" t="s">
        <v>35</v>
      </c>
      <c r="C56" s="238" t="s">
        <v>64</v>
      </c>
      <c r="D56" s="236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37"/>
    </row>
    <row r="57" spans="1:34">
      <c r="A57" s="236" t="s">
        <v>34</v>
      </c>
      <c r="B57" s="204" t="s">
        <v>35</v>
      </c>
      <c r="C57" s="238" t="s">
        <v>77</v>
      </c>
      <c r="D57" s="236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37"/>
    </row>
    <row r="58" spans="1:34">
      <c r="A58" s="236" t="s">
        <v>34</v>
      </c>
      <c r="B58" s="204" t="s">
        <v>35</v>
      </c>
      <c r="C58" s="238" t="s">
        <v>78</v>
      </c>
      <c r="D58" s="236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37"/>
    </row>
  </sheetData>
  <mergeCells count="1">
    <mergeCell ref="A1:C1"/>
  </mergeCells>
  <conditionalFormatting sqref="D3:AH1048576">
    <cfRule type="cellIs" dxfId="2066" priority="2" operator="greaterThan">
      <formula>0</formula>
    </cfRule>
  </conditionalFormatting>
  <conditionalFormatting sqref="D39:AH39">
    <cfRule type="cellIs" dxfId="2065" priority="1" operator="greaterThan">
      <formula>0</formula>
    </cfRule>
  </conditionalFormatting>
  <dataValidations count="2">
    <dataValidation type="list" allowBlank="1" showInputMessage="1" showErrorMessage="1" sqref="A3:A23" xr:uid="{00000000-0002-0000-0000-000000000000}">
      <formula1>PLANT</formula1>
    </dataValidation>
    <dataValidation type="list" allowBlank="1" showInputMessage="1" showErrorMessage="1" sqref="B3:B23" xr:uid="{00000000-0002-0000-0000-000001000000}">
      <formula1>DRIVER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01"/>
  <sheetViews>
    <sheetView topLeftCell="A76" workbookViewId="0">
      <selection activeCell="F94" sqref="F94"/>
    </sheetView>
  </sheetViews>
  <sheetFormatPr defaultColWidth="9" defaultRowHeight="15"/>
  <cols>
    <col min="1" max="1" width="28.625" customWidth="1"/>
    <col min="4" max="4" width="26" customWidth="1"/>
    <col min="6" max="6" width="2.75" customWidth="1"/>
    <col min="7" max="7" width="2.875" customWidth="1"/>
    <col min="8" max="8" width="25.125" customWidth="1"/>
    <col min="9" max="9" width="2.75" customWidth="1"/>
    <col min="10" max="10" width="2.875" customWidth="1"/>
    <col min="11" max="11" width="25.125" customWidth="1"/>
    <col min="12" max="12" width="9" customWidth="1"/>
    <col min="13" max="13" width="2.75" customWidth="1"/>
    <col min="14" max="14" width="2.875" customWidth="1"/>
    <col min="15" max="15" width="25.125" customWidth="1"/>
    <col min="16" max="16" width="9" customWidth="1"/>
    <col min="17" max="17" width="2.75" customWidth="1"/>
    <col min="18" max="18" width="2.875" customWidth="1"/>
    <col min="19" max="19" width="25.125" customWidth="1"/>
    <col min="20" max="20" width="2.75" customWidth="1"/>
    <col min="21" max="21" width="2.875" customWidth="1"/>
    <col min="22" max="26" width="25.125" customWidth="1"/>
    <col min="29" max="30" width="9.875" customWidth="1"/>
    <col min="31" max="31" width="12.75" customWidth="1"/>
    <col min="34" max="34" width="12.25" customWidth="1"/>
  </cols>
  <sheetData>
    <row r="1" spans="1:34">
      <c r="C1">
        <f>'RJ ATTENDENCE SHEET'!B:B</f>
        <v>0</v>
      </c>
      <c r="D1">
        <f>'RJ ATTENDENCE SHEET'!C:C</f>
        <v>0</v>
      </c>
      <c r="E1">
        <f>C1</f>
        <v>0</v>
      </c>
      <c r="X1">
        <f>'OTHER PLANT ATTN.'!C:C</f>
        <v>0</v>
      </c>
      <c r="AC1" t="s">
        <v>79</v>
      </c>
      <c r="AD1" t="s">
        <v>80</v>
      </c>
      <c r="AE1" t="s">
        <v>81</v>
      </c>
      <c r="AG1" t="s">
        <v>82</v>
      </c>
      <c r="AH1" t="s">
        <v>35</v>
      </c>
    </row>
    <row r="2" spans="1:34">
      <c r="C2" t="str">
        <f>'RJ ATTENDENCE SHEET'!B:B</f>
        <v>SUB-CATEGORY</v>
      </c>
      <c r="D2" t="str">
        <f>'RJ ATTENDENCE SHEET'!C:C</f>
        <v>NAME</v>
      </c>
      <c r="E2" t="str">
        <f t="shared" ref="E2:E65" si="0">C2</f>
        <v>SUB-CATEGORY</v>
      </c>
      <c r="F2" s="306" t="s">
        <v>79</v>
      </c>
      <c r="G2" s="306"/>
      <c r="H2" s="306"/>
      <c r="I2" s="306" t="s">
        <v>80</v>
      </c>
      <c r="J2" s="306"/>
      <c r="K2" s="306"/>
      <c r="L2" s="44"/>
      <c r="M2" s="306" t="s">
        <v>81</v>
      </c>
      <c r="N2" s="306"/>
      <c r="O2" s="306"/>
      <c r="P2" s="44"/>
      <c r="Q2" s="306" t="s">
        <v>79</v>
      </c>
      <c r="R2" s="306"/>
      <c r="S2" s="306"/>
      <c r="T2" s="306" t="s">
        <v>79</v>
      </c>
      <c r="U2" s="306"/>
      <c r="V2" s="306"/>
      <c r="W2" s="44"/>
      <c r="X2" t="str">
        <f>'OTHER PLANT ATTN.'!C:C</f>
        <v>RAJARHAT / JALAN TRIP</v>
      </c>
      <c r="Y2" t="e">
        <f>Table1[[#This Row],[CATEGORY ]]</f>
        <v>#VALUE!</v>
      </c>
      <c r="Z2" t="e">
        <f>Table1[[#This Row],[PLANT]]</f>
        <v>#VALUE!</v>
      </c>
      <c r="AB2" t="s">
        <v>79</v>
      </c>
      <c r="AC2" t="s">
        <v>83</v>
      </c>
      <c r="AD2" t="s">
        <v>84</v>
      </c>
      <c r="AE2" t="s">
        <v>84</v>
      </c>
      <c r="AG2" t="s">
        <v>43</v>
      </c>
      <c r="AH2" t="s">
        <v>38</v>
      </c>
    </row>
    <row r="3" spans="1:34">
      <c r="A3" t="str">
        <f t="shared" ref="A3:A66" si="1">CONCATENATE(B3,C3,D3)</f>
        <v>SALARYOFFICEABED ALI</v>
      </c>
      <c r="B3" t="str">
        <f>Table4[[#This Row],[CATEGORY]]</f>
        <v>SALARY</v>
      </c>
      <c r="C3" t="str">
        <f>Table4[[#This Row],[SUB-CATEGORY]]</f>
        <v>OFFICE</v>
      </c>
      <c r="D3" t="str">
        <f>'RJ ATTENDENCE SHEET'!C:C</f>
        <v>ABED ALI</v>
      </c>
      <c r="E3" t="str">
        <f t="shared" si="0"/>
        <v>OFFICE</v>
      </c>
      <c r="F3">
        <f>IFERROR(SEARCH("SALARYOFFICE",$A:$A),"")</f>
        <v>1</v>
      </c>
      <c r="G3">
        <f>IFERROR(IF(F3=0,"",COUNTIF($F$3:F3,"&gt;0")),"")</f>
        <v>1</v>
      </c>
      <c r="H3" t="str">
        <f t="shared" ref="H3:H66" si="2">IFERROR(VLOOKUP(INDEX($A:$A,MATCH(ROW(F1),G:G,0)),$A:$D,4,0),"")</f>
        <v>ABED ALI</v>
      </c>
      <c r="I3" t="str">
        <f>IFERROR(SEARCH("WAGES",$A:$A),"")</f>
        <v/>
      </c>
      <c r="J3">
        <f>IFERROR(IF(I3=0,"",COUNTIF($I$3:I3,"&gt;0")),"")</f>
        <v>0</v>
      </c>
      <c r="K3" t="str">
        <f t="shared" ref="K3:K66" si="3">IFERROR(VLOOKUP(INDEX($A:$A,MATCH(ROW(I1),J:J,0)),$A:$D,4,0),"")</f>
        <v xml:space="preserve">ANISUR </v>
      </c>
      <c r="L3" t="str">
        <f>IFERROR(VLOOKUP(K3,$D:$E,2,0),"")</f>
        <v>DRIVER</v>
      </c>
      <c r="M3" t="str">
        <f>IFERROR(SEARCH("CONTRACT",$A:$A),"")</f>
        <v/>
      </c>
      <c r="N3">
        <f>IFERROR(IF(M3=0,"",COUNTIF($M$3:M3,"&gt;0")),"")</f>
        <v>0</v>
      </c>
      <c r="O3" t="str">
        <f t="shared" ref="O3:O66" si="4">IFERROR(VLOOKUP(INDEX($A:$A,MATCH(ROW(M1),N:N,0)),$A:$D,4,0),"")</f>
        <v xml:space="preserve">AMIT BISWAS  </v>
      </c>
      <c r="P3" t="str">
        <f>IFERROR(VLOOKUP(O3,$D:$E,2,0),"")</f>
        <v>HELPER</v>
      </c>
      <c r="Q3">
        <f>IFERROR(SEARCH("SALARY",$A:$A),"")</f>
        <v>1</v>
      </c>
      <c r="R3">
        <f>IFERROR(IF(Q3=0,"",COUNTIF($Q$3:Q3,"&gt;0")),"")</f>
        <v>1</v>
      </c>
      <c r="S3" t="str">
        <f t="shared" ref="S3:S66" si="5">IFERROR(VLOOKUP(INDEX($A:$A,MATCH(ROW(Q1),R:R,0)),$A:$D,4,0),"")</f>
        <v>ABED ALI</v>
      </c>
      <c r="T3" t="str">
        <f>IFERROR(SEARCH("OTHERS0",$A:$A),"")</f>
        <v/>
      </c>
      <c r="U3">
        <f>IFERROR(IF(T3=0,"",COUNTIF($T$3:T3,"&gt;0")),"")</f>
        <v>0</v>
      </c>
      <c r="V3" t="str">
        <f t="shared" ref="V3:V66" si="6">IFERROR(VLOOKUP(INDEX($A:$A,MATCH(ROW(T1),U:U,0)),$A:$D,4,0),"")</f>
        <v/>
      </c>
      <c r="W3" t="str">
        <f t="shared" ref="W3:W66" si="7">CONCATENATE(Z3,Y3,X3)</f>
        <v>TARATALADRIVERMANOJ</v>
      </c>
      <c r="X3" t="str">
        <f>'OTHER PLANT ATTN.'!C:C</f>
        <v>MANOJ</v>
      </c>
      <c r="Y3" t="str">
        <f>Table1[[#This Row],[CATEGORY ]]</f>
        <v>DRIVER</v>
      </c>
      <c r="Z3" t="str">
        <f>Table1[[#This Row],[PLANT]]</f>
        <v>TARATALA</v>
      </c>
      <c r="AA3" s="75">
        <f>DAY(WHATSAPP!$K$4)</f>
        <v>21</v>
      </c>
      <c r="AB3" t="s">
        <v>80</v>
      </c>
      <c r="AC3" t="s">
        <v>85</v>
      </c>
      <c r="AD3" t="s">
        <v>35</v>
      </c>
      <c r="AE3" t="s">
        <v>35</v>
      </c>
      <c r="AG3" t="s">
        <v>34</v>
      </c>
    </row>
    <row r="4" spans="1:34">
      <c r="A4" t="str">
        <f t="shared" si="1"/>
        <v>SALARYOFFICEABHI MUKHERJEE</v>
      </c>
      <c r="B4" t="str">
        <f>Table4[[#This Row],[CATEGORY]]</f>
        <v>SALARY</v>
      </c>
      <c r="C4" t="str">
        <f>Table4[[#This Row],[SUB-CATEGORY]]</f>
        <v>OFFICE</v>
      </c>
      <c r="D4" t="str">
        <f>'RJ ATTENDENCE SHEET'!C:C</f>
        <v>ABHI MUKHERJEE</v>
      </c>
      <c r="E4" t="str">
        <f t="shared" si="0"/>
        <v>OFFICE</v>
      </c>
      <c r="F4">
        <f t="shared" ref="F4:F67" si="8">IFERROR(SEARCH("SALARYOFFICE",$A:$A),"")</f>
        <v>1</v>
      </c>
      <c r="G4">
        <f>IFERROR(IF(F4=0,"",COUNTIF($F$3:F4,"&gt;0")),"")</f>
        <v>2</v>
      </c>
      <c r="H4" t="str">
        <f t="shared" si="2"/>
        <v>ABHI MUKHERJEE</v>
      </c>
      <c r="I4" t="str">
        <f t="shared" ref="I4:I67" si="9">IFERROR(SEARCH("WAGES",$A:$A),"")</f>
        <v/>
      </c>
      <c r="J4">
        <f>IFERROR(IF(I4=0,"",COUNTIF($I$3:I4,"&gt;0")),"")</f>
        <v>0</v>
      </c>
      <c r="K4" t="str">
        <f t="shared" si="3"/>
        <v xml:space="preserve">ARMAN ALI MONDAL </v>
      </c>
      <c r="L4" t="str">
        <f t="shared" ref="L4:L67" si="10">IFERROR(VLOOKUP(K4,$D:$E,2,0),"")</f>
        <v>DRIVER</v>
      </c>
      <c r="M4" t="str">
        <f t="shared" ref="M4:M67" si="11">IFERROR(SEARCH("CONTRACT",$A:$A),"")</f>
        <v/>
      </c>
      <c r="N4">
        <f>IFERROR(IF(M4=0,"",COUNTIF($M$3:M4,"&gt;0")),"")</f>
        <v>0</v>
      </c>
      <c r="O4" t="str">
        <f t="shared" si="4"/>
        <v>JHANTU MONDAL</v>
      </c>
      <c r="P4" t="str">
        <f t="shared" ref="P4:P67" si="12">IFERROR(VLOOKUP(O4,$D:$E,2,0),"")</f>
        <v>HELPER</v>
      </c>
      <c r="Q4">
        <f t="shared" ref="Q4:Q67" si="13">IFERROR(SEARCH("SALARY",$A:$A),"")</f>
        <v>1</v>
      </c>
      <c r="R4">
        <f>IFERROR(IF(Q4=0,"",COUNTIF($Q$3:Q4,"&gt;0")),"")</f>
        <v>2</v>
      </c>
      <c r="S4" t="str">
        <f t="shared" si="5"/>
        <v>ABHI MUKHERJEE</v>
      </c>
      <c r="T4" t="str">
        <f t="shared" ref="T4:T67" si="14">IFERROR(SEARCH("OTHERS0",$A:$A),"")</f>
        <v/>
      </c>
      <c r="U4">
        <f>IFERROR(IF(T4=0,"",COUNTIF($T$3:T4,"&gt;0")),"")</f>
        <v>0</v>
      </c>
      <c r="V4" t="str">
        <f t="shared" si="6"/>
        <v/>
      </c>
      <c r="W4" t="str">
        <f t="shared" si="7"/>
        <v>TARATALADRIVER0</v>
      </c>
      <c r="X4">
        <f>'OTHER PLANT ATTN.'!C:C</f>
        <v>0</v>
      </c>
      <c r="Y4" t="str">
        <f>Table1[[#This Row],[CATEGORY ]]</f>
        <v>DRIVER</v>
      </c>
      <c r="Z4" t="str">
        <f>Table1[[#This Row],[PLANT]]</f>
        <v>TARATALA</v>
      </c>
      <c r="AB4" t="s">
        <v>81</v>
      </c>
      <c r="AD4" t="s">
        <v>38</v>
      </c>
      <c r="AE4" t="s">
        <v>38</v>
      </c>
    </row>
    <row r="5" spans="1:34">
      <c r="A5" t="str">
        <f t="shared" si="1"/>
        <v>SALARYOFFICEACHIN GUPTA</v>
      </c>
      <c r="B5" t="str">
        <f>Table4[[#This Row],[CATEGORY]]</f>
        <v>SALARY</v>
      </c>
      <c r="C5" t="str">
        <f>Table4[[#This Row],[SUB-CATEGORY]]</f>
        <v>OFFICE</v>
      </c>
      <c r="D5" t="str">
        <f>'RJ ATTENDENCE SHEET'!C:C</f>
        <v>ACHIN GUPTA</v>
      </c>
      <c r="E5" t="str">
        <f t="shared" si="0"/>
        <v>OFFICE</v>
      </c>
      <c r="F5">
        <f t="shared" si="8"/>
        <v>1</v>
      </c>
      <c r="G5">
        <f>IFERROR(IF(F5=0,"",COUNTIF($F$3:F5,"&gt;0")),"")</f>
        <v>3</v>
      </c>
      <c r="H5" t="str">
        <f t="shared" si="2"/>
        <v>ACHIN GUPTA</v>
      </c>
      <c r="I5" t="str">
        <f t="shared" si="9"/>
        <v/>
      </c>
      <c r="J5">
        <f>IFERROR(IF(I5=0,"",COUNTIF($I$3:I5,"&gt;0")),"")</f>
        <v>0</v>
      </c>
      <c r="K5" t="str">
        <f t="shared" si="3"/>
        <v>ASUTOSH SARDAR</v>
      </c>
      <c r="L5" t="str">
        <f t="shared" si="10"/>
        <v>HELPER</v>
      </c>
      <c r="M5" t="str">
        <f t="shared" si="11"/>
        <v/>
      </c>
      <c r="N5">
        <f>IFERROR(IF(M5=0,"",COUNTIF($M$3:M5,"&gt;0")),"")</f>
        <v>0</v>
      </c>
      <c r="O5" t="str">
        <f t="shared" si="4"/>
        <v xml:space="preserve">ASHIT BISWAS </v>
      </c>
      <c r="P5" t="str">
        <f t="shared" si="12"/>
        <v>DRIVER</v>
      </c>
      <c r="Q5">
        <f t="shared" si="13"/>
        <v>1</v>
      </c>
      <c r="R5">
        <f>IFERROR(IF(Q5=0,"",COUNTIF($Q$3:Q5,"&gt;0")),"")</f>
        <v>3</v>
      </c>
      <c r="S5" t="str">
        <f t="shared" si="5"/>
        <v>ACHIN GUPTA</v>
      </c>
      <c r="T5" t="str">
        <f t="shared" si="14"/>
        <v/>
      </c>
      <c r="U5">
        <f>IFERROR(IF(T5=0,"",COUNTIF($T$3:T5,"&gt;0")),"")</f>
        <v>0</v>
      </c>
      <c r="V5" t="str">
        <f t="shared" si="6"/>
        <v/>
      </c>
      <c r="W5" t="str">
        <f t="shared" si="7"/>
        <v>TARATALADRIVERTAPAS</v>
      </c>
      <c r="X5" t="str">
        <f>'OTHER PLANT ATTN.'!C:C</f>
        <v>TAPAS</v>
      </c>
      <c r="Y5" t="str">
        <f>Table1[[#This Row],[CATEGORY ]]</f>
        <v>DRIVER</v>
      </c>
      <c r="Z5" t="str">
        <f>Table1[[#This Row],[PLANT]]</f>
        <v>TARATALA</v>
      </c>
      <c r="AD5" t="s">
        <v>86</v>
      </c>
      <c r="AE5" t="s">
        <v>86</v>
      </c>
    </row>
    <row r="6" spans="1:34">
      <c r="A6" t="str">
        <f t="shared" si="1"/>
        <v>SALARYOFFICEAMIN YADAV</v>
      </c>
      <c r="B6" t="str">
        <f>Table4[[#This Row],[CATEGORY]]</f>
        <v>SALARY</v>
      </c>
      <c r="C6" t="str">
        <f>Table4[[#This Row],[SUB-CATEGORY]]</f>
        <v>OFFICE</v>
      </c>
      <c r="D6" t="str">
        <f>'RJ ATTENDENCE SHEET'!C:C</f>
        <v>AMIN YADAV</v>
      </c>
      <c r="E6" t="str">
        <f t="shared" si="0"/>
        <v>OFFICE</v>
      </c>
      <c r="F6">
        <f t="shared" si="8"/>
        <v>1</v>
      </c>
      <c r="G6">
        <f>IFERROR(IF(F6=0,"",COUNTIF($F$3:F6,"&gt;0")),"")</f>
        <v>4</v>
      </c>
      <c r="H6" t="str">
        <f t="shared" si="2"/>
        <v>AMIN YADAV</v>
      </c>
      <c r="I6" t="str">
        <f t="shared" si="9"/>
        <v/>
      </c>
      <c r="J6">
        <f>IFERROR(IF(I6=0,"",COUNTIF($I$3:I6,"&gt;0")),"")</f>
        <v>0</v>
      </c>
      <c r="K6" t="str">
        <f t="shared" si="3"/>
        <v>BUDDHADEV SEAL</v>
      </c>
      <c r="L6" t="str">
        <f t="shared" si="10"/>
        <v>LAB</v>
      </c>
      <c r="M6" t="str">
        <f t="shared" si="11"/>
        <v/>
      </c>
      <c r="N6">
        <f>IFERROR(IF(M6=0,"",COUNTIF($M$3:M6,"&gt;0")),"")</f>
        <v>0</v>
      </c>
      <c r="O6" t="str">
        <f t="shared" si="4"/>
        <v>NASIB KARIKAR</v>
      </c>
      <c r="P6" t="str">
        <f t="shared" si="12"/>
        <v>HELPER</v>
      </c>
      <c r="Q6">
        <f t="shared" si="13"/>
        <v>1</v>
      </c>
      <c r="R6">
        <f>IFERROR(IF(Q6=0,"",COUNTIF($Q$3:Q6,"&gt;0")),"")</f>
        <v>4</v>
      </c>
      <c r="S6" t="str">
        <f t="shared" si="5"/>
        <v>AMIN YADAV</v>
      </c>
      <c r="T6" t="str">
        <f t="shared" si="14"/>
        <v/>
      </c>
      <c r="U6">
        <f>IFERROR(IF(T6=0,"",COUNTIF($T$3:T6,"&gt;0")),"")</f>
        <v>0</v>
      </c>
      <c r="V6" t="str">
        <f t="shared" si="6"/>
        <v/>
      </c>
      <c r="W6" t="str">
        <f t="shared" si="7"/>
        <v>TARATALAHELPERKRISH</v>
      </c>
      <c r="X6" t="str">
        <f>'OTHER PLANT ATTN.'!C:C</f>
        <v>KRISH</v>
      </c>
      <c r="Y6" t="str">
        <f>Table1[[#This Row],[CATEGORY ]]</f>
        <v>HELPER</v>
      </c>
      <c r="Z6" t="str">
        <f>Table1[[#This Row],[PLANT]]</f>
        <v>TARATALA</v>
      </c>
      <c r="AD6" t="s">
        <v>85</v>
      </c>
      <c r="AE6" t="s">
        <v>85</v>
      </c>
    </row>
    <row r="7" spans="1:34">
      <c r="A7" t="str">
        <f t="shared" si="1"/>
        <v xml:space="preserve">CONTRACTHELPERAMIT BISWAS  </v>
      </c>
      <c r="B7" t="str">
        <f>Table4[[#This Row],[CATEGORY]]</f>
        <v>CONTRACT</v>
      </c>
      <c r="C7" t="str">
        <f>Table4[[#This Row],[SUB-CATEGORY]]</f>
        <v>HELPER</v>
      </c>
      <c r="D7" t="str">
        <f>'RJ ATTENDENCE SHEET'!C:C</f>
        <v xml:space="preserve">AMIT BISWAS  </v>
      </c>
      <c r="E7" t="str">
        <f t="shared" si="0"/>
        <v>HELPER</v>
      </c>
      <c r="F7" t="str">
        <f t="shared" si="8"/>
        <v/>
      </c>
      <c r="G7">
        <f>IFERROR(IF(F7=0,"",COUNTIF($F$3:F7,"&gt;0")),"")</f>
        <v>4</v>
      </c>
      <c r="H7" t="str">
        <f t="shared" si="2"/>
        <v>ANOWAR MOLLA</v>
      </c>
      <c r="I7" t="str">
        <f t="shared" si="9"/>
        <v/>
      </c>
      <c r="J7">
        <f>IFERROR(IF(I7=0,"",COUNTIF($I$3:I7,"&gt;0")),"")</f>
        <v>0</v>
      </c>
      <c r="K7" t="str">
        <f t="shared" si="3"/>
        <v xml:space="preserve">FARUK ALI </v>
      </c>
      <c r="L7" t="str">
        <f t="shared" si="10"/>
        <v>DRIVER</v>
      </c>
      <c r="M7">
        <f t="shared" si="11"/>
        <v>1</v>
      </c>
      <c r="N7">
        <f>IFERROR(IF(M7=0,"",COUNTIF($M$3:M7,"&gt;0")),"")</f>
        <v>1</v>
      </c>
      <c r="O7" t="str">
        <f t="shared" si="4"/>
        <v>BASIRUDDIN KHAN</v>
      </c>
      <c r="P7" t="str">
        <f t="shared" si="12"/>
        <v>OTHERS</v>
      </c>
      <c r="Q7" t="str">
        <f t="shared" si="13"/>
        <v/>
      </c>
      <c r="R7">
        <f>IFERROR(IF(Q7=0,"",COUNTIF($Q$3:Q7,"&gt;0")),"")</f>
        <v>4</v>
      </c>
      <c r="S7" t="str">
        <f t="shared" si="5"/>
        <v>ANOWAR MOLLA</v>
      </c>
      <c r="T7" t="str">
        <f t="shared" si="14"/>
        <v/>
      </c>
      <c r="U7">
        <f>IFERROR(IF(T7=0,"",COUNTIF($T$3:T7,"&gt;0")),"")</f>
        <v>0</v>
      </c>
      <c r="V7" t="str">
        <f t="shared" si="6"/>
        <v/>
      </c>
      <c r="W7" t="str">
        <f t="shared" si="7"/>
        <v>TARATALAHELPERKHAIRUL</v>
      </c>
      <c r="X7" t="str">
        <f>'OTHER PLANT ATTN.'!C:C</f>
        <v>KHAIRUL</v>
      </c>
      <c r="Y7" t="str">
        <f>Table1[[#This Row],[CATEGORY ]]</f>
        <v>HELPER</v>
      </c>
      <c r="Z7" t="str">
        <f>Table1[[#This Row],[PLANT]]</f>
        <v>TARATALA</v>
      </c>
    </row>
    <row r="8" spans="1:34">
      <c r="A8" t="str">
        <f t="shared" si="1"/>
        <v xml:space="preserve">WAGESDRIVERANISUR </v>
      </c>
      <c r="B8" t="str">
        <f>Table4[[#This Row],[CATEGORY]]</f>
        <v>WAGES</v>
      </c>
      <c r="C8" t="str">
        <f>Table4[[#This Row],[SUB-CATEGORY]]</f>
        <v>DRIVER</v>
      </c>
      <c r="D8" t="str">
        <f>'RJ ATTENDENCE SHEET'!C:C</f>
        <v xml:space="preserve">ANISUR </v>
      </c>
      <c r="E8" t="str">
        <f t="shared" si="0"/>
        <v>DRIVER</v>
      </c>
      <c r="F8" t="str">
        <f t="shared" si="8"/>
        <v/>
      </c>
      <c r="G8">
        <f>IFERROR(IF(F8=0,"",COUNTIF($F$3:F8,"&gt;0")),"")</f>
        <v>4</v>
      </c>
      <c r="H8" t="str">
        <f t="shared" si="2"/>
        <v>DIBAKAR MONDAL</v>
      </c>
      <c r="I8">
        <f t="shared" si="9"/>
        <v>1</v>
      </c>
      <c r="J8">
        <f>IFERROR(IF(I8=0,"",COUNTIF($I$3:I8,"&gt;0")),"")</f>
        <v>1</v>
      </c>
      <c r="K8" t="str">
        <f t="shared" si="3"/>
        <v>KUTUBUDDIN MOLLA</v>
      </c>
      <c r="L8" t="str">
        <f t="shared" si="10"/>
        <v>HOPPER</v>
      </c>
      <c r="M8" t="str">
        <f t="shared" si="11"/>
        <v/>
      </c>
      <c r="N8">
        <f>IFERROR(IF(M8=0,"",COUNTIF($M$3:M8,"&gt;0")),"")</f>
        <v>1</v>
      </c>
      <c r="O8" t="str">
        <f t="shared" si="4"/>
        <v>DIN MOHAMMOD ALI</v>
      </c>
      <c r="P8" t="str">
        <f t="shared" si="12"/>
        <v>DRIVER</v>
      </c>
      <c r="Q8" t="str">
        <f t="shared" si="13"/>
        <v/>
      </c>
      <c r="R8">
        <f>IFERROR(IF(Q8=0,"",COUNTIF($Q$3:Q8,"&gt;0")),"")</f>
        <v>4</v>
      </c>
      <c r="S8" t="str">
        <f t="shared" si="5"/>
        <v>DIBAKAR MONDAL</v>
      </c>
      <c r="T8" t="str">
        <f t="shared" si="14"/>
        <v/>
      </c>
      <c r="U8">
        <f>IFERROR(IF(T8=0,"",COUNTIF($T$3:T8,"&gt;0")),"")</f>
        <v>0</v>
      </c>
      <c r="V8" t="str">
        <f t="shared" si="6"/>
        <v/>
      </c>
      <c r="W8" t="str">
        <f t="shared" si="7"/>
        <v>TARATALAHELPERSAJAN</v>
      </c>
      <c r="X8" t="str">
        <f>'OTHER PLANT ATTN.'!C:C</f>
        <v>SAJAN</v>
      </c>
      <c r="Y8" t="str">
        <f>Table1[[#This Row],[CATEGORY ]]</f>
        <v>HELPER</v>
      </c>
      <c r="Z8" t="str">
        <f>Table1[[#This Row],[PLANT]]</f>
        <v>TARATALA</v>
      </c>
    </row>
    <row r="9" spans="1:34">
      <c r="A9" t="str">
        <f t="shared" si="1"/>
        <v>SALARYOFFICEANOWAR MOLLA</v>
      </c>
      <c r="B9" t="str">
        <f>Table4[[#This Row],[CATEGORY]]</f>
        <v>SALARY</v>
      </c>
      <c r="C9" t="str">
        <f>Table4[[#This Row],[SUB-CATEGORY]]</f>
        <v>OFFICE</v>
      </c>
      <c r="D9" t="str">
        <f>'RJ ATTENDENCE SHEET'!C:C</f>
        <v>ANOWAR MOLLA</v>
      </c>
      <c r="E9" t="str">
        <f t="shared" si="0"/>
        <v>OFFICE</v>
      </c>
      <c r="F9">
        <f t="shared" si="8"/>
        <v>1</v>
      </c>
      <c r="G9">
        <f>IFERROR(IF(F9=0,"",COUNTIF($F$3:F9,"&gt;0")),"")</f>
        <v>5</v>
      </c>
      <c r="H9" t="str">
        <f t="shared" si="2"/>
        <v xml:space="preserve">GOLAM SARWAR </v>
      </c>
      <c r="I9" t="str">
        <f t="shared" si="9"/>
        <v/>
      </c>
      <c r="J9">
        <f>IFERROR(IF(I9=0,"",COUNTIF($I$3:I9,"&gt;0")),"")</f>
        <v>1</v>
      </c>
      <c r="K9" t="str">
        <f t="shared" si="3"/>
        <v>MD. SAMIM AKRAM</v>
      </c>
      <c r="L9" t="str">
        <f t="shared" si="10"/>
        <v>OTHERS</v>
      </c>
      <c r="M9" t="str">
        <f t="shared" si="11"/>
        <v/>
      </c>
      <c r="N9">
        <f>IFERROR(IF(M9=0,"",COUNTIF($M$3:M9,"&gt;0")),"")</f>
        <v>1</v>
      </c>
      <c r="O9" t="str">
        <f t="shared" si="4"/>
        <v>RAFIQUE MOLLA</v>
      </c>
      <c r="P9" t="str">
        <f t="shared" si="12"/>
        <v>DRIVER</v>
      </c>
      <c r="Q9">
        <f t="shared" si="13"/>
        <v>1</v>
      </c>
      <c r="R9">
        <f>IFERROR(IF(Q9=0,"",COUNTIF($Q$3:Q9,"&gt;0")),"")</f>
        <v>5</v>
      </c>
      <c r="S9" t="str">
        <f t="shared" si="5"/>
        <v xml:space="preserve">GOLAM SARWAR </v>
      </c>
      <c r="T9" t="str">
        <f t="shared" si="14"/>
        <v/>
      </c>
      <c r="U9">
        <f>IFERROR(IF(T9=0,"",COUNTIF($T$3:T9,"&gt;0")),"")</f>
        <v>0</v>
      </c>
      <c r="V9" t="str">
        <f t="shared" si="6"/>
        <v/>
      </c>
      <c r="W9" t="str">
        <f t="shared" si="7"/>
        <v>TARATALADRIVERGIASUDDIN</v>
      </c>
      <c r="X9" t="str">
        <f>'OTHER PLANT ATTN.'!C:C</f>
        <v>GIASUDDIN</v>
      </c>
      <c r="Y9" t="str">
        <f>Table1[[#This Row],[CATEGORY ]]</f>
        <v>DRIVER</v>
      </c>
      <c r="Z9" t="str">
        <f>Table1[[#This Row],[PLANT]]</f>
        <v>TARATALA</v>
      </c>
    </row>
    <row r="10" spans="1:34">
      <c r="A10" t="str">
        <f t="shared" si="1"/>
        <v xml:space="preserve">WAGESDRIVERARMAN ALI MONDAL </v>
      </c>
      <c r="B10" t="str">
        <f>Table4[[#This Row],[CATEGORY]]</f>
        <v>WAGES</v>
      </c>
      <c r="C10" t="str">
        <f>Table4[[#This Row],[SUB-CATEGORY]]</f>
        <v>DRIVER</v>
      </c>
      <c r="D10" t="str">
        <f>'RJ ATTENDENCE SHEET'!C:C</f>
        <v xml:space="preserve">ARMAN ALI MONDAL </v>
      </c>
      <c r="E10" t="str">
        <f t="shared" si="0"/>
        <v>DRIVER</v>
      </c>
      <c r="F10" t="str">
        <f t="shared" si="8"/>
        <v/>
      </c>
      <c r="G10">
        <f>IFERROR(IF(F10=0,"",COUNTIF($F$3:F10,"&gt;0")),"")</f>
        <v>5</v>
      </c>
      <c r="H10" t="str">
        <f t="shared" si="2"/>
        <v>IMAN ALI MOLLA</v>
      </c>
      <c r="I10">
        <f t="shared" si="9"/>
        <v>1</v>
      </c>
      <c r="J10">
        <f>IFERROR(IF(I10=0,"",COUNTIF($I$3:I10,"&gt;0")),"")</f>
        <v>2</v>
      </c>
      <c r="K10" t="str">
        <f t="shared" si="3"/>
        <v>MOTIAR RAHAMAN</v>
      </c>
      <c r="L10" t="str">
        <f t="shared" si="10"/>
        <v>DRIVER</v>
      </c>
      <c r="M10" t="str">
        <f t="shared" si="11"/>
        <v/>
      </c>
      <c r="N10">
        <f>IFERROR(IF(M10=0,"",COUNTIF($M$3:M10,"&gt;0")),"")</f>
        <v>1</v>
      </c>
      <c r="O10" t="str">
        <f t="shared" si="4"/>
        <v>RAFIKUL MOLLA</v>
      </c>
      <c r="P10" t="str">
        <f t="shared" si="12"/>
        <v>HELPER</v>
      </c>
      <c r="Q10" t="str">
        <f t="shared" si="13"/>
        <v/>
      </c>
      <c r="R10">
        <f>IFERROR(IF(Q10=0,"",COUNTIF($Q$3:Q10,"&gt;0")),"")</f>
        <v>5</v>
      </c>
      <c r="S10" t="str">
        <f t="shared" si="5"/>
        <v>IMAN ALI MOLLA</v>
      </c>
      <c r="T10" t="str">
        <f t="shared" si="14"/>
        <v/>
      </c>
      <c r="U10">
        <f>IFERROR(IF(T10=0,"",COUNTIF($T$3:T10,"&gt;0")),"")</f>
        <v>0</v>
      </c>
      <c r="V10" t="str">
        <f t="shared" si="6"/>
        <v/>
      </c>
      <c r="W10" t="str">
        <f t="shared" si="7"/>
        <v>JALANDRIVERRAKESH</v>
      </c>
      <c r="X10" t="str">
        <f>'OTHER PLANT ATTN.'!C:C</f>
        <v>RAKESH</v>
      </c>
      <c r="Y10" t="str">
        <f>Table1[[#This Row],[CATEGORY ]]</f>
        <v>DRIVER</v>
      </c>
      <c r="Z10" t="str">
        <f>Table1[[#This Row],[PLANT]]</f>
        <v>JALAN</v>
      </c>
    </row>
    <row r="11" spans="1:34">
      <c r="A11" t="str">
        <f t="shared" si="1"/>
        <v>CONTRACTHELPERJHANTU MONDAL</v>
      </c>
      <c r="B11" t="str">
        <f>Table4[[#This Row],[CATEGORY]]</f>
        <v>CONTRACT</v>
      </c>
      <c r="C11" t="str">
        <f>Table4[[#This Row],[SUB-CATEGORY]]</f>
        <v>HELPER</v>
      </c>
      <c r="D11" t="str">
        <f>'RJ ATTENDENCE SHEET'!C:C</f>
        <v>JHANTU MONDAL</v>
      </c>
      <c r="E11" t="str">
        <f t="shared" si="0"/>
        <v>HELPER</v>
      </c>
      <c r="F11" t="str">
        <f t="shared" si="8"/>
        <v/>
      </c>
      <c r="G11">
        <f>IFERROR(IF(F11=0,"",COUNTIF($F$3:F11,"&gt;0")),"")</f>
        <v>5</v>
      </c>
      <c r="H11" t="str">
        <f t="shared" si="2"/>
        <v>PULIN MONDAL</v>
      </c>
      <c r="I11" t="str">
        <f t="shared" si="9"/>
        <v/>
      </c>
      <c r="J11">
        <f>IFERROR(IF(I11=0,"",COUNTIF($I$3:I11,"&gt;0")),"")</f>
        <v>2</v>
      </c>
      <c r="K11" t="str">
        <f t="shared" si="3"/>
        <v>MOKSHED ALI</v>
      </c>
      <c r="L11" t="str">
        <f t="shared" si="10"/>
        <v>DRIVER</v>
      </c>
      <c r="M11">
        <f t="shared" si="11"/>
        <v>1</v>
      </c>
      <c r="N11">
        <f>IFERROR(IF(M11=0,"",COUNTIF($M$3:M11,"&gt;0")),"")</f>
        <v>2</v>
      </c>
      <c r="O11" t="str">
        <f t="shared" si="4"/>
        <v>AYAN PAUL</v>
      </c>
      <c r="P11" t="str">
        <f t="shared" si="12"/>
        <v>OTHERS</v>
      </c>
      <c r="Q11" t="str">
        <f t="shared" si="13"/>
        <v/>
      </c>
      <c r="R11">
        <f>IFERROR(IF(Q11=0,"",COUNTIF($Q$3:Q11,"&gt;0")),"")</f>
        <v>5</v>
      </c>
      <c r="S11" t="str">
        <f t="shared" si="5"/>
        <v>PULIN MONDAL</v>
      </c>
      <c r="T11" t="str">
        <f t="shared" si="14"/>
        <v/>
      </c>
      <c r="U11">
        <f>IFERROR(IF(T11=0,"",COUNTIF($T$3:T11,"&gt;0")),"")</f>
        <v>0</v>
      </c>
      <c r="V11" t="str">
        <f t="shared" si="6"/>
        <v/>
      </c>
      <c r="W11" t="str">
        <f t="shared" si="7"/>
        <v>TARATALADRIVERANSAR</v>
      </c>
      <c r="X11" t="str">
        <f>'OTHER PLANT ATTN.'!C:C</f>
        <v>ANSAR</v>
      </c>
      <c r="Y11" t="str">
        <f>Table1[[#This Row],[CATEGORY ]]</f>
        <v>DRIVER</v>
      </c>
      <c r="Z11" t="str">
        <f>Table1[[#This Row],[PLANT]]</f>
        <v>TARATALA</v>
      </c>
    </row>
    <row r="12" spans="1:34">
      <c r="A12" t="str">
        <f t="shared" si="1"/>
        <v xml:space="preserve">CONTRACTDRIVERASHIT BISWAS </v>
      </c>
      <c r="B12" t="str">
        <f>Table4[[#This Row],[CATEGORY]]</f>
        <v>CONTRACT</v>
      </c>
      <c r="C12" t="str">
        <f>Table4[[#This Row],[SUB-CATEGORY]]</f>
        <v>DRIVER</v>
      </c>
      <c r="D12" t="str">
        <f>'RJ ATTENDENCE SHEET'!C:C</f>
        <v xml:space="preserve">ASHIT BISWAS </v>
      </c>
      <c r="E12" t="str">
        <f t="shared" si="0"/>
        <v>DRIVER</v>
      </c>
      <c r="F12" t="str">
        <f t="shared" si="8"/>
        <v/>
      </c>
      <c r="G12">
        <f>IFERROR(IF(F12=0,"",COUNTIF($F$3:F12,"&gt;0")),"")</f>
        <v>5</v>
      </c>
      <c r="H12" t="str">
        <f t="shared" si="2"/>
        <v>RAJU PAL</v>
      </c>
      <c r="I12" t="str">
        <f t="shared" si="9"/>
        <v/>
      </c>
      <c r="J12">
        <f>IFERROR(IF(I12=0,"",COUNTIF($I$3:I12,"&gt;0")),"")</f>
        <v>2</v>
      </c>
      <c r="K12" t="str">
        <f t="shared" si="3"/>
        <v xml:space="preserve">SAMSER ALI </v>
      </c>
      <c r="L12" t="str">
        <f t="shared" si="10"/>
        <v>DRIVER</v>
      </c>
      <c r="M12">
        <f t="shared" si="11"/>
        <v>1</v>
      </c>
      <c r="N12">
        <f>IFERROR(IF(M12=0,"",COUNTIF($M$3:M12,"&gt;0")),"")</f>
        <v>3</v>
      </c>
      <c r="O12" t="str">
        <f t="shared" si="4"/>
        <v>NAYAN MONDAL</v>
      </c>
      <c r="P12" t="str">
        <f t="shared" si="12"/>
        <v>HELPER</v>
      </c>
      <c r="Q12" t="str">
        <f t="shared" si="13"/>
        <v/>
      </c>
      <c r="R12">
        <f>IFERROR(IF(Q12=0,"",COUNTIF($Q$3:Q12,"&gt;0")),"")</f>
        <v>5</v>
      </c>
      <c r="S12" t="str">
        <f t="shared" si="5"/>
        <v>RAJU PAL</v>
      </c>
      <c r="T12" t="str">
        <f t="shared" si="14"/>
        <v/>
      </c>
      <c r="U12">
        <f>IFERROR(IF(T12=0,"",COUNTIF($T$3:T12,"&gt;0")),"")</f>
        <v>0</v>
      </c>
      <c r="V12" t="str">
        <f t="shared" si="6"/>
        <v/>
      </c>
      <c r="W12" t="str">
        <f t="shared" si="7"/>
        <v>TARATALADRIVERRANJIT</v>
      </c>
      <c r="X12" t="str">
        <f>'OTHER PLANT ATTN.'!C:C</f>
        <v>RANJIT</v>
      </c>
      <c r="Y12" t="str">
        <f>Table1[[#This Row],[CATEGORY ]]</f>
        <v>DRIVER</v>
      </c>
      <c r="Z12" t="str">
        <f>Table1[[#This Row],[PLANT]]</f>
        <v>TARATALA</v>
      </c>
    </row>
    <row r="13" spans="1:34">
      <c r="A13" t="str">
        <f t="shared" si="1"/>
        <v>WAGESHELPERASUTOSH SARDAR</v>
      </c>
      <c r="B13" t="str">
        <f>Table4[[#This Row],[CATEGORY]]</f>
        <v>WAGES</v>
      </c>
      <c r="C13" t="str">
        <f>Table4[[#This Row],[SUB-CATEGORY]]</f>
        <v>HELPER</v>
      </c>
      <c r="D13" t="str">
        <f>'RJ ATTENDENCE SHEET'!C:C</f>
        <v>ASUTOSH SARDAR</v>
      </c>
      <c r="E13" t="str">
        <f t="shared" si="0"/>
        <v>HELPER</v>
      </c>
      <c r="F13" t="str">
        <f t="shared" si="8"/>
        <v/>
      </c>
      <c r="G13">
        <f>IFERROR(IF(F13=0,"",COUNTIF($F$3:F13,"&gt;0")),"")</f>
        <v>5</v>
      </c>
      <c r="H13" t="str">
        <f t="shared" si="2"/>
        <v>UJJAL MUKHERJEE</v>
      </c>
      <c r="I13">
        <f t="shared" si="9"/>
        <v>1</v>
      </c>
      <c r="J13">
        <f>IFERROR(IF(I13=0,"",COUNTIF($I$3:I13,"&gt;0")),"")</f>
        <v>3</v>
      </c>
      <c r="K13" t="str">
        <f t="shared" si="3"/>
        <v>SHANTI  MONDAL</v>
      </c>
      <c r="L13" t="str">
        <f t="shared" si="10"/>
        <v>DRIVER</v>
      </c>
      <c r="M13" t="str">
        <f t="shared" si="11"/>
        <v/>
      </c>
      <c r="N13">
        <f>IFERROR(IF(M13=0,"",COUNTIF($M$3:M13,"&gt;0")),"")</f>
        <v>3</v>
      </c>
      <c r="O13" t="str">
        <f t="shared" si="4"/>
        <v>SHIB SANKAR MAJHI</v>
      </c>
      <c r="P13" t="str">
        <f t="shared" si="12"/>
        <v>OTHERS</v>
      </c>
      <c r="Q13" t="str">
        <f t="shared" si="13"/>
        <v/>
      </c>
      <c r="R13">
        <f>IFERROR(IF(Q13=0,"",COUNTIF($Q$3:Q13,"&gt;0")),"")</f>
        <v>5</v>
      </c>
      <c r="S13" t="str">
        <f t="shared" si="5"/>
        <v>UJJAL MUKHERJEE</v>
      </c>
      <c r="T13" t="str">
        <f t="shared" si="14"/>
        <v/>
      </c>
      <c r="U13">
        <f>IFERROR(IF(T13=0,"",COUNTIF($T$3:T13,"&gt;0")),"")</f>
        <v>0</v>
      </c>
      <c r="V13" t="str">
        <f t="shared" si="6"/>
        <v/>
      </c>
      <c r="W13" t="str">
        <f t="shared" si="7"/>
        <v>TARATALAHELPERKAPIL</v>
      </c>
      <c r="X13" t="str">
        <f>'OTHER PLANT ATTN.'!C:C</f>
        <v>KAPIL</v>
      </c>
      <c r="Y13" t="str">
        <f>Table1[[#This Row],[CATEGORY ]]</f>
        <v>HELPER</v>
      </c>
      <c r="Z13" t="str">
        <f>Table1[[#This Row],[PLANT]]</f>
        <v>TARATALA</v>
      </c>
    </row>
    <row r="14" spans="1:34">
      <c r="A14" t="str">
        <f t="shared" si="1"/>
        <v>CONTRACTHELPERNASIB KARIKAR</v>
      </c>
      <c r="B14" t="str">
        <f>Table4[[#This Row],[CATEGORY]]</f>
        <v>CONTRACT</v>
      </c>
      <c r="C14" t="str">
        <f>Table4[[#This Row],[SUB-CATEGORY]]</f>
        <v>HELPER</v>
      </c>
      <c r="D14" t="str">
        <f>'RJ ATTENDENCE SHEET'!C:C</f>
        <v>NASIB KARIKAR</v>
      </c>
      <c r="E14" t="str">
        <f t="shared" si="0"/>
        <v>HELPER</v>
      </c>
      <c r="F14" t="str">
        <f t="shared" si="8"/>
        <v/>
      </c>
      <c r="G14">
        <f>IFERROR(IF(F14=0,"",COUNTIF($F$3:F14,"&gt;0")),"")</f>
        <v>5</v>
      </c>
      <c r="H14" t="str">
        <f t="shared" si="2"/>
        <v>PROBIR GHOSH</v>
      </c>
      <c r="I14" t="str">
        <f t="shared" si="9"/>
        <v/>
      </c>
      <c r="J14">
        <f>IFERROR(IF(I14=0,"",COUNTIF($I$3:I14,"&gt;0")),"")</f>
        <v>3</v>
      </c>
      <c r="K14" t="str">
        <f t="shared" si="3"/>
        <v xml:space="preserve">SIRAJUL  MOLLA  </v>
      </c>
      <c r="L14" t="str">
        <f t="shared" si="10"/>
        <v>DRIVER</v>
      </c>
      <c r="M14">
        <f t="shared" si="11"/>
        <v>1</v>
      </c>
      <c r="N14">
        <f>IFERROR(IF(M14=0,"",COUNTIF($M$3:M14,"&gt;0")),"")</f>
        <v>4</v>
      </c>
      <c r="O14" t="str">
        <f t="shared" si="4"/>
        <v>ABUL KALAM AZAD</v>
      </c>
      <c r="P14" t="str">
        <f t="shared" si="12"/>
        <v>OTHERS</v>
      </c>
      <c r="Q14" t="str">
        <f t="shared" si="13"/>
        <v/>
      </c>
      <c r="R14">
        <f>IFERROR(IF(Q14=0,"",COUNTIF($Q$3:Q14,"&gt;0")),"")</f>
        <v>5</v>
      </c>
      <c r="S14" t="str">
        <f t="shared" si="5"/>
        <v>PROBIR GHOSH</v>
      </c>
      <c r="T14" t="str">
        <f t="shared" si="14"/>
        <v/>
      </c>
      <c r="U14">
        <f>IFERROR(IF(T14=0,"",COUNTIF($T$3:T14,"&gt;0")),"")</f>
        <v>0</v>
      </c>
      <c r="V14" t="str">
        <f t="shared" si="6"/>
        <v/>
      </c>
      <c r="W14" t="str">
        <f t="shared" si="7"/>
        <v>TARATALAHELPERRINTU</v>
      </c>
      <c r="X14" t="str">
        <f>'OTHER PLANT ATTN.'!C:C</f>
        <v>RINTU</v>
      </c>
      <c r="Y14" t="str">
        <f>Table1[[#This Row],[CATEGORY ]]</f>
        <v>HELPER</v>
      </c>
      <c r="Z14" t="str">
        <f>Table1[[#This Row],[PLANT]]</f>
        <v>TARATALA</v>
      </c>
    </row>
    <row r="15" spans="1:34">
      <c r="A15" t="str">
        <f t="shared" si="1"/>
        <v>CONTRACTOTHERSBASIRUDDIN KHAN</v>
      </c>
      <c r="B15" t="str">
        <f>Table4[[#This Row],[CATEGORY]]</f>
        <v>CONTRACT</v>
      </c>
      <c r="C15" t="str">
        <f>Table4[[#This Row],[SUB-CATEGORY]]</f>
        <v>OTHERS</v>
      </c>
      <c r="D15" t="str">
        <f>'RJ ATTENDENCE SHEET'!C:C</f>
        <v>BASIRUDDIN KHAN</v>
      </c>
      <c r="E15" t="str">
        <f t="shared" si="0"/>
        <v>OTHERS</v>
      </c>
      <c r="F15" t="str">
        <f t="shared" si="8"/>
        <v/>
      </c>
      <c r="G15">
        <f>IFERROR(IF(F15=0,"",COUNTIF($F$3:F15,"&gt;0")),"")</f>
        <v>5</v>
      </c>
      <c r="H15" t="str">
        <f t="shared" si="2"/>
        <v>NABA KUMAR  BISWAS</v>
      </c>
      <c r="I15" t="str">
        <f t="shared" si="9"/>
        <v/>
      </c>
      <c r="J15">
        <f>IFERROR(IF(I15=0,"",COUNTIF($I$3:I15,"&gt;0")),"")</f>
        <v>3</v>
      </c>
      <c r="K15" t="str">
        <f t="shared" si="3"/>
        <v>SK. ANARUL ISLAM</v>
      </c>
      <c r="L15" t="str">
        <f t="shared" si="10"/>
        <v>HELPER</v>
      </c>
      <c r="M15">
        <f t="shared" si="11"/>
        <v>1</v>
      </c>
      <c r="N15">
        <f>IFERROR(IF(M15=0,"",COUNTIF($M$3:M15,"&gt;0")),"")</f>
        <v>5</v>
      </c>
      <c r="O15" t="str">
        <f t="shared" si="4"/>
        <v>SATYA NASKAR</v>
      </c>
      <c r="P15" t="str">
        <f t="shared" si="12"/>
        <v>DRIVER</v>
      </c>
      <c r="Q15" t="str">
        <f t="shared" si="13"/>
        <v/>
      </c>
      <c r="R15">
        <f>IFERROR(IF(Q15=0,"",COUNTIF($Q$3:Q15,"&gt;0")),"")</f>
        <v>5</v>
      </c>
      <c r="S15" t="str">
        <f t="shared" si="5"/>
        <v>NABA KUMAR  BISWAS</v>
      </c>
      <c r="T15" t="str">
        <f t="shared" si="14"/>
        <v/>
      </c>
      <c r="U15">
        <f>IFERROR(IF(T15=0,"",COUNTIF($T$3:T15,"&gt;0")),"")</f>
        <v>0</v>
      </c>
      <c r="V15" t="str">
        <f t="shared" si="6"/>
        <v/>
      </c>
      <c r="W15" t="str">
        <f t="shared" si="7"/>
        <v>TARATALAHELPERRABIN</v>
      </c>
      <c r="X15" t="str">
        <f>'OTHER PLANT ATTN.'!C:C</f>
        <v>RABIN</v>
      </c>
      <c r="Y15" t="str">
        <f>Table1[[#This Row],[CATEGORY ]]</f>
        <v>HELPER</v>
      </c>
      <c r="Z15" t="str">
        <f>Table1[[#This Row],[PLANT]]</f>
        <v>TARATALA</v>
      </c>
    </row>
    <row r="16" spans="1:34">
      <c r="A16" t="str">
        <f t="shared" si="1"/>
        <v>WAGESLABBUDDHADEV SEAL</v>
      </c>
      <c r="B16" t="str">
        <f>Table4[[#This Row],[CATEGORY]]</f>
        <v>WAGES</v>
      </c>
      <c r="C16" t="str">
        <f>Table4[[#This Row],[SUB-CATEGORY]]</f>
        <v>LAB</v>
      </c>
      <c r="D16" t="str">
        <f>'RJ ATTENDENCE SHEET'!C:C</f>
        <v>BUDDHADEV SEAL</v>
      </c>
      <c r="E16" t="str">
        <f t="shared" si="0"/>
        <v>LAB</v>
      </c>
      <c r="F16" t="str">
        <f t="shared" si="8"/>
        <v/>
      </c>
      <c r="G16">
        <f>IFERROR(IF(F16=0,"",COUNTIF($F$3:F16,"&gt;0")),"")</f>
        <v>5</v>
      </c>
      <c r="H16" t="str">
        <f t="shared" si="2"/>
        <v>ASIM KHUNTIA</v>
      </c>
      <c r="I16">
        <f t="shared" si="9"/>
        <v>1</v>
      </c>
      <c r="J16">
        <f>IFERROR(IF(I16=0,"",COUNTIF($I$3:I16,"&gt;0")),"")</f>
        <v>4</v>
      </c>
      <c r="K16" t="str">
        <f t="shared" si="3"/>
        <v>SRISTI DHAR MONDAL</v>
      </c>
      <c r="L16" t="str">
        <f t="shared" si="10"/>
        <v>HOPPER</v>
      </c>
      <c r="M16" t="str">
        <f t="shared" si="11"/>
        <v/>
      </c>
      <c r="N16">
        <f>IFERROR(IF(M16=0,"",COUNTIF($M$3:M16,"&gt;0")),"")</f>
        <v>5</v>
      </c>
      <c r="O16" t="str">
        <f t="shared" si="4"/>
        <v>JAMSHED ALI</v>
      </c>
      <c r="P16" t="str">
        <f t="shared" si="12"/>
        <v>HELPER</v>
      </c>
      <c r="Q16" t="str">
        <f t="shared" si="13"/>
        <v/>
      </c>
      <c r="R16">
        <f>IFERROR(IF(Q16=0,"",COUNTIF($Q$3:Q16,"&gt;0")),"")</f>
        <v>5</v>
      </c>
      <c r="S16" t="str">
        <f t="shared" si="5"/>
        <v>ASIM KHUNTIA</v>
      </c>
      <c r="T16" t="str">
        <f t="shared" si="14"/>
        <v/>
      </c>
      <c r="U16">
        <f>IFERROR(IF(T16=0,"",COUNTIF($T$3:T16,"&gt;0")),"")</f>
        <v>0</v>
      </c>
      <c r="V16" t="str">
        <f t="shared" si="6"/>
        <v/>
      </c>
      <c r="W16" t="str">
        <f t="shared" si="7"/>
        <v>JALANHELPERMITHUN</v>
      </c>
      <c r="X16" t="str">
        <f>'OTHER PLANT ATTN.'!C:C</f>
        <v>MITHUN</v>
      </c>
      <c r="Y16" t="str">
        <f>Table1[[#This Row],[CATEGORY ]]</f>
        <v>HELPER</v>
      </c>
      <c r="Z16" t="str">
        <f>Table1[[#This Row],[PLANT]]</f>
        <v>JALAN</v>
      </c>
    </row>
    <row r="17" spans="1:26">
      <c r="A17" t="str">
        <f t="shared" si="1"/>
        <v>SALARYOFFICEDIBAKAR MONDAL</v>
      </c>
      <c r="B17" t="str">
        <f>Table4[[#This Row],[CATEGORY]]</f>
        <v>SALARY</v>
      </c>
      <c r="C17" t="str">
        <f>Table4[[#This Row],[SUB-CATEGORY]]</f>
        <v>OFFICE</v>
      </c>
      <c r="D17" t="str">
        <f>'RJ ATTENDENCE SHEET'!C:C</f>
        <v>DIBAKAR MONDAL</v>
      </c>
      <c r="E17" t="str">
        <f t="shared" si="0"/>
        <v>OFFICE</v>
      </c>
      <c r="F17">
        <f t="shared" si="8"/>
        <v>1</v>
      </c>
      <c r="G17">
        <f>IFERROR(IF(F17=0,"",COUNTIF($F$3:F17,"&gt;0")),"")</f>
        <v>6</v>
      </c>
      <c r="H17" t="str">
        <f t="shared" si="2"/>
        <v>MANABINDU BISWAS</v>
      </c>
      <c r="I17" t="str">
        <f t="shared" si="9"/>
        <v/>
      </c>
      <c r="J17">
        <f>IFERROR(IF(I17=0,"",COUNTIF($I$3:I17,"&gt;0")),"")</f>
        <v>4</v>
      </c>
      <c r="K17" t="str">
        <f t="shared" si="3"/>
        <v>SUDHAN MONDAL</v>
      </c>
      <c r="L17" t="str">
        <f t="shared" si="10"/>
        <v>HOPPER</v>
      </c>
      <c r="M17" t="str">
        <f t="shared" si="11"/>
        <v/>
      </c>
      <c r="N17">
        <f>IFERROR(IF(M17=0,"",COUNTIF($M$3:M17,"&gt;0")),"")</f>
        <v>5</v>
      </c>
      <c r="O17" t="str">
        <f t="shared" si="4"/>
        <v>ABHIJIT MONDAL</v>
      </c>
      <c r="P17" t="str">
        <f t="shared" si="12"/>
        <v>HELPER</v>
      </c>
      <c r="Q17">
        <f t="shared" si="13"/>
        <v>1</v>
      </c>
      <c r="R17">
        <f>IFERROR(IF(Q17=0,"",COUNTIF($Q$3:Q17,"&gt;0")),"")</f>
        <v>6</v>
      </c>
      <c r="S17" t="str">
        <f t="shared" si="5"/>
        <v>MANABINDU BISWAS</v>
      </c>
      <c r="T17" t="str">
        <f t="shared" si="14"/>
        <v/>
      </c>
      <c r="U17">
        <f>IFERROR(IF(T17=0,"",COUNTIF($T$3:T17,"&gt;0")),"")</f>
        <v>0</v>
      </c>
      <c r="V17" t="str">
        <f t="shared" si="6"/>
        <v/>
      </c>
      <c r="W17" t="str">
        <f t="shared" si="7"/>
        <v>JALANHELPERRAMU</v>
      </c>
      <c r="X17" t="str">
        <f>'OTHER PLANT ATTN.'!C:C</f>
        <v>RAMU</v>
      </c>
      <c r="Y17" t="str">
        <f>Table1[[#This Row],[CATEGORY ]]</f>
        <v>HELPER</v>
      </c>
      <c r="Z17" t="str">
        <f>Table1[[#This Row],[PLANT]]</f>
        <v>JALAN</v>
      </c>
    </row>
    <row r="18" spans="1:26">
      <c r="A18" t="str">
        <f t="shared" si="1"/>
        <v>CONTRACTDRIVERDIN MOHAMMOD ALI</v>
      </c>
      <c r="B18" t="str">
        <f>Table4[[#This Row],[CATEGORY]]</f>
        <v>CONTRACT</v>
      </c>
      <c r="C18" t="str">
        <f>Table4[[#This Row],[SUB-CATEGORY]]</f>
        <v>DRIVER</v>
      </c>
      <c r="D18" t="str">
        <f>'RJ ATTENDENCE SHEET'!C:C</f>
        <v>DIN MOHAMMOD ALI</v>
      </c>
      <c r="E18" t="str">
        <f t="shared" si="0"/>
        <v>DRIVER</v>
      </c>
      <c r="F18" t="str">
        <f t="shared" si="8"/>
        <v/>
      </c>
      <c r="G18">
        <f>IFERROR(IF(F18=0,"",COUNTIF($F$3:F18,"&gt;0")),"")</f>
        <v>6</v>
      </c>
      <c r="H18" t="str">
        <f t="shared" si="2"/>
        <v>SUVANKAR SAMADDAR</v>
      </c>
      <c r="I18" t="str">
        <f t="shared" si="9"/>
        <v/>
      </c>
      <c r="J18">
        <f>IFERROR(IF(I18=0,"",COUNTIF($I$3:I18,"&gt;0")),"")</f>
        <v>4</v>
      </c>
      <c r="K18" t="str">
        <f t="shared" si="3"/>
        <v>SWAPAN MONDAL</v>
      </c>
      <c r="L18" t="str">
        <f t="shared" si="10"/>
        <v>LAB</v>
      </c>
      <c r="M18">
        <f t="shared" si="11"/>
        <v>1</v>
      </c>
      <c r="N18">
        <f>IFERROR(IF(M18=0,"",COUNTIF($M$3:M18,"&gt;0")),"")</f>
        <v>6</v>
      </c>
      <c r="O18" t="str">
        <f t="shared" si="4"/>
        <v>KHALEK DHALI</v>
      </c>
      <c r="P18" t="str">
        <f t="shared" si="12"/>
        <v>HELPER</v>
      </c>
      <c r="Q18" t="str">
        <f t="shared" si="13"/>
        <v/>
      </c>
      <c r="R18">
        <f>IFERROR(IF(Q18=0,"",COUNTIF($Q$3:Q18,"&gt;0")),"")</f>
        <v>6</v>
      </c>
      <c r="S18" t="str">
        <f t="shared" si="5"/>
        <v>SUVANKAR SAMADDAR</v>
      </c>
      <c r="T18" t="str">
        <f t="shared" si="14"/>
        <v/>
      </c>
      <c r="U18">
        <f>IFERROR(IF(T18=0,"",COUNTIF($T$3:T18,"&gt;0")),"")</f>
        <v>0</v>
      </c>
      <c r="V18" t="str">
        <f t="shared" si="6"/>
        <v/>
      </c>
      <c r="W18" t="str">
        <f t="shared" si="7"/>
        <v>JALANDRIVERTAPAS</v>
      </c>
      <c r="X18" t="str">
        <f>'OTHER PLANT ATTN.'!C:C</f>
        <v>TAPAS</v>
      </c>
      <c r="Y18" t="str">
        <f>Table1[[#This Row],[CATEGORY ]]</f>
        <v>DRIVER</v>
      </c>
      <c r="Z18" t="str">
        <f>Table1[[#This Row],[PLANT]]</f>
        <v>JALAN</v>
      </c>
    </row>
    <row r="19" spans="1:26">
      <c r="A19" t="str">
        <f t="shared" si="1"/>
        <v xml:space="preserve">WAGESDRIVERFARUK ALI </v>
      </c>
      <c r="B19" t="str">
        <f>Table4[[#This Row],[CATEGORY]]</f>
        <v>WAGES</v>
      </c>
      <c r="C19" t="str">
        <f>Table4[[#This Row],[SUB-CATEGORY]]</f>
        <v>DRIVER</v>
      </c>
      <c r="D19" t="str">
        <f>'RJ ATTENDENCE SHEET'!C:C</f>
        <v xml:space="preserve">FARUK ALI </v>
      </c>
      <c r="E19" t="str">
        <f t="shared" si="0"/>
        <v>DRIVER</v>
      </c>
      <c r="F19" t="str">
        <f t="shared" si="8"/>
        <v/>
      </c>
      <c r="G19">
        <f>IFERROR(IF(F19=0,"",COUNTIF($F$3:F19,"&gt;0")),"")</f>
        <v>6</v>
      </c>
      <c r="H19" t="str">
        <f t="shared" si="2"/>
        <v/>
      </c>
      <c r="I19">
        <f t="shared" si="9"/>
        <v>1</v>
      </c>
      <c r="J19">
        <f>IFERROR(IF(I19=0,"",COUNTIF($I$3:I19,"&gt;0")),"")</f>
        <v>5</v>
      </c>
      <c r="K19" t="str">
        <f t="shared" si="3"/>
        <v>MOSIAR MOLLA</v>
      </c>
      <c r="L19" t="str">
        <f t="shared" si="10"/>
        <v>DRIVER</v>
      </c>
      <c r="M19" t="str">
        <f t="shared" si="11"/>
        <v/>
      </c>
      <c r="N19">
        <f>IFERROR(IF(M19=0,"",COUNTIF($M$3:M19,"&gt;0")),"")</f>
        <v>6</v>
      </c>
      <c r="O19" t="str">
        <f t="shared" si="4"/>
        <v>JAMIR ALI</v>
      </c>
      <c r="P19" t="str">
        <f t="shared" si="12"/>
        <v>HELPER</v>
      </c>
      <c r="Q19" t="str">
        <f t="shared" si="13"/>
        <v/>
      </c>
      <c r="R19">
        <f>IFERROR(IF(Q19=0,"",COUNTIF($Q$3:Q19,"&gt;0")),"")</f>
        <v>6</v>
      </c>
      <c r="S19" t="str">
        <f t="shared" si="5"/>
        <v/>
      </c>
      <c r="T19" t="str">
        <f t="shared" si="14"/>
        <v/>
      </c>
      <c r="U19">
        <f>IFERROR(IF(T19=0,"",COUNTIF($T$3:T19,"&gt;0")),"")</f>
        <v>0</v>
      </c>
      <c r="V19" t="str">
        <f t="shared" si="6"/>
        <v/>
      </c>
      <c r="W19" t="str">
        <f t="shared" si="7"/>
        <v>TARATALADRIVERSANJOY</v>
      </c>
      <c r="X19" t="str">
        <f>'OTHER PLANT ATTN.'!C:C</f>
        <v>SANJOY</v>
      </c>
      <c r="Y19" t="str">
        <f>Table1[[#This Row],[CATEGORY ]]</f>
        <v>DRIVER</v>
      </c>
      <c r="Z19" t="str">
        <f>Table1[[#This Row],[PLANT]]</f>
        <v>TARATALA</v>
      </c>
    </row>
    <row r="20" spans="1:26">
      <c r="A20" t="str">
        <f t="shared" si="1"/>
        <v xml:space="preserve">SALARYOFFICEGOLAM SARWAR </v>
      </c>
      <c r="B20" t="str">
        <f>Table4[[#This Row],[CATEGORY]]</f>
        <v>SALARY</v>
      </c>
      <c r="C20" t="str">
        <f>Table4[[#This Row],[SUB-CATEGORY]]</f>
        <v>OFFICE</v>
      </c>
      <c r="D20" t="str">
        <f>'RJ ATTENDENCE SHEET'!C:C</f>
        <v xml:space="preserve">GOLAM SARWAR </v>
      </c>
      <c r="E20" t="str">
        <f t="shared" si="0"/>
        <v>OFFICE</v>
      </c>
      <c r="F20">
        <f t="shared" si="8"/>
        <v>1</v>
      </c>
      <c r="G20">
        <f>IFERROR(IF(F20=0,"",COUNTIF($F$3:F20,"&gt;0")),"")</f>
        <v>7</v>
      </c>
      <c r="H20" t="str">
        <f t="shared" si="2"/>
        <v/>
      </c>
      <c r="I20" t="str">
        <f t="shared" si="9"/>
        <v/>
      </c>
      <c r="J20">
        <f>IFERROR(IF(I20=0,"",COUNTIF($I$3:I20,"&gt;0")),"")</f>
        <v>5</v>
      </c>
      <c r="K20" t="str">
        <f t="shared" si="3"/>
        <v>ISRAFIL DHALI</v>
      </c>
      <c r="L20" t="str">
        <f t="shared" si="10"/>
        <v>DRIVER</v>
      </c>
      <c r="M20" t="str">
        <f t="shared" si="11"/>
        <v/>
      </c>
      <c r="N20">
        <f>IFERROR(IF(M20=0,"",COUNTIF($M$3:M20,"&gt;0")),"")</f>
        <v>6</v>
      </c>
      <c r="O20" t="str">
        <f t="shared" si="4"/>
        <v>MADAN</v>
      </c>
      <c r="P20" t="str">
        <f t="shared" si="12"/>
        <v>HELPER</v>
      </c>
      <c r="Q20">
        <f t="shared" si="13"/>
        <v>1</v>
      </c>
      <c r="R20">
        <f>IFERROR(IF(Q20=0,"",COUNTIF($Q$3:Q20,"&gt;0")),"")</f>
        <v>7</v>
      </c>
      <c r="S20" t="str">
        <f t="shared" si="5"/>
        <v/>
      </c>
      <c r="T20" t="str">
        <f t="shared" si="14"/>
        <v/>
      </c>
      <c r="U20">
        <f>IFERROR(IF(T20=0,"",COUNTIF($T$3:T20,"&gt;0")),"")</f>
        <v>0</v>
      </c>
      <c r="V20" t="str">
        <f t="shared" si="6"/>
        <v/>
      </c>
      <c r="W20" t="str">
        <f t="shared" si="7"/>
        <v>TARATALADRIVERASIT</v>
      </c>
      <c r="X20" t="str">
        <f>'OTHER PLANT ATTN.'!C:C</f>
        <v>ASIT</v>
      </c>
      <c r="Y20" t="str">
        <f>Table1[[#This Row],[CATEGORY ]]</f>
        <v>DRIVER</v>
      </c>
      <c r="Z20" t="str">
        <f>Table1[[#This Row],[PLANT]]</f>
        <v>TARATALA</v>
      </c>
    </row>
    <row r="21" spans="1:26">
      <c r="A21" t="str">
        <f t="shared" si="1"/>
        <v>SALARYOFFICEIMAN ALI MOLLA</v>
      </c>
      <c r="B21" t="str">
        <f>Table4[[#This Row],[CATEGORY]]</f>
        <v>SALARY</v>
      </c>
      <c r="C21" t="str">
        <f>Table4[[#This Row],[SUB-CATEGORY]]</f>
        <v>OFFICE</v>
      </c>
      <c r="D21" t="str">
        <f>'RJ ATTENDENCE SHEET'!C:C</f>
        <v>IMAN ALI MOLLA</v>
      </c>
      <c r="E21" t="str">
        <f t="shared" si="0"/>
        <v>OFFICE</v>
      </c>
      <c r="F21">
        <f t="shared" si="8"/>
        <v>1</v>
      </c>
      <c r="G21">
        <f>IFERROR(IF(F21=0,"",COUNTIF($F$3:F21,"&gt;0")),"")</f>
        <v>8</v>
      </c>
      <c r="H21" t="str">
        <f t="shared" si="2"/>
        <v/>
      </c>
      <c r="I21" t="str">
        <f t="shared" si="9"/>
        <v/>
      </c>
      <c r="J21">
        <f>IFERROR(IF(I21=0,"",COUNTIF($I$3:I21,"&gt;0")),"")</f>
        <v>5</v>
      </c>
      <c r="K21" t="str">
        <f t="shared" si="3"/>
        <v>ROUF MONDAL</v>
      </c>
      <c r="L21" t="str">
        <f t="shared" si="10"/>
        <v>DRIVER</v>
      </c>
      <c r="M21" t="str">
        <f t="shared" si="11"/>
        <v/>
      </c>
      <c r="N21">
        <f>IFERROR(IF(M21=0,"",COUNTIF($M$3:M21,"&gt;0")),"")</f>
        <v>6</v>
      </c>
      <c r="O21" t="str">
        <f t="shared" si="4"/>
        <v>SALAUDDIN SHAH</v>
      </c>
      <c r="P21" t="str">
        <f t="shared" si="12"/>
        <v>HELPER</v>
      </c>
      <c r="Q21">
        <f t="shared" si="13"/>
        <v>1</v>
      </c>
      <c r="R21">
        <f>IFERROR(IF(Q21=0,"",COUNTIF($Q$3:Q21,"&gt;0")),"")</f>
        <v>8</v>
      </c>
      <c r="S21" t="str">
        <f t="shared" si="5"/>
        <v/>
      </c>
      <c r="T21" t="str">
        <f t="shared" si="14"/>
        <v/>
      </c>
      <c r="U21">
        <f>IFERROR(IF(T21=0,"",COUNTIF($T$3:T21,"&gt;0")),"")</f>
        <v>0</v>
      </c>
      <c r="V21" t="str">
        <f t="shared" si="6"/>
        <v/>
      </c>
      <c r="W21" t="str">
        <f t="shared" si="7"/>
        <v>TARATALAHELPERBIJOY</v>
      </c>
      <c r="X21" t="str">
        <f>'OTHER PLANT ATTN.'!C:C</f>
        <v>BIJOY</v>
      </c>
      <c r="Y21" t="str">
        <f>Table1[[#This Row],[CATEGORY ]]</f>
        <v>HELPER</v>
      </c>
      <c r="Z21" t="str">
        <f>Table1[[#This Row],[PLANT]]</f>
        <v>TARATALA</v>
      </c>
    </row>
    <row r="22" spans="1:26">
      <c r="A22" t="str">
        <f t="shared" si="1"/>
        <v>CONTRACTDRIVERRAFIQUE MOLLA</v>
      </c>
      <c r="B22" t="str">
        <f>Table4[[#This Row],[CATEGORY]]</f>
        <v>CONTRACT</v>
      </c>
      <c r="C22" t="str">
        <f>Table4[[#This Row],[SUB-CATEGORY]]</f>
        <v>DRIVER</v>
      </c>
      <c r="D22" t="str">
        <f>'RJ ATTENDENCE SHEET'!C:C</f>
        <v>RAFIQUE MOLLA</v>
      </c>
      <c r="E22" t="str">
        <f t="shared" si="0"/>
        <v>DRIVER</v>
      </c>
      <c r="F22" t="str">
        <f t="shared" si="8"/>
        <v/>
      </c>
      <c r="G22">
        <f>IFERROR(IF(F22=0,"",COUNTIF($F$3:F22,"&gt;0")),"")</f>
        <v>8</v>
      </c>
      <c r="H22" t="str">
        <f t="shared" si="2"/>
        <v/>
      </c>
      <c r="I22" t="str">
        <f t="shared" si="9"/>
        <v/>
      </c>
      <c r="J22">
        <f>IFERROR(IF(I22=0,"",COUNTIF($I$3:I22,"&gt;0")),"")</f>
        <v>5</v>
      </c>
      <c r="K22" t="str">
        <f t="shared" si="3"/>
        <v>KANAK JANA</v>
      </c>
      <c r="L22" t="str">
        <f t="shared" si="10"/>
        <v>LAB</v>
      </c>
      <c r="M22">
        <f t="shared" si="11"/>
        <v>1</v>
      </c>
      <c r="N22">
        <f>IFERROR(IF(M22=0,"",COUNTIF($M$3:M22,"&gt;0")),"")</f>
        <v>7</v>
      </c>
      <c r="O22" t="str">
        <f t="shared" si="4"/>
        <v>MOFIJUL ALI</v>
      </c>
      <c r="P22" t="str">
        <f t="shared" si="12"/>
        <v>DRIVER</v>
      </c>
      <c r="Q22" t="str">
        <f t="shared" si="13"/>
        <v/>
      </c>
      <c r="R22">
        <f>IFERROR(IF(Q22=0,"",COUNTIF($Q$3:Q22,"&gt;0")),"")</f>
        <v>8</v>
      </c>
      <c r="S22" t="str">
        <f t="shared" si="5"/>
        <v/>
      </c>
      <c r="T22" t="str">
        <f t="shared" si="14"/>
        <v/>
      </c>
      <c r="U22">
        <f>IFERROR(IF(T22=0,"",COUNTIF($T$3:T22,"&gt;0")),"")</f>
        <v>0</v>
      </c>
      <c r="V22" t="str">
        <f t="shared" si="6"/>
        <v/>
      </c>
      <c r="W22" t="str">
        <f t="shared" si="7"/>
        <v>TARATALAHELPERLOUL</v>
      </c>
      <c r="X22" t="str">
        <f>'OTHER PLANT ATTN.'!C:C</f>
        <v>LOUL</v>
      </c>
      <c r="Y22" t="str">
        <f>Table1[[#This Row],[CATEGORY ]]</f>
        <v>HELPER</v>
      </c>
      <c r="Z22" t="str">
        <f>Table1[[#This Row],[PLANT]]</f>
        <v>TARATALA</v>
      </c>
    </row>
    <row r="23" spans="1:26">
      <c r="A23" t="str">
        <f t="shared" si="1"/>
        <v>WAGESHOPPERKUTUBUDDIN MOLLA</v>
      </c>
      <c r="B23" t="str">
        <f>Table4[[#This Row],[CATEGORY]]</f>
        <v>WAGES</v>
      </c>
      <c r="C23" t="str">
        <f>Table4[[#This Row],[SUB-CATEGORY]]</f>
        <v>HOPPER</v>
      </c>
      <c r="D23" t="str">
        <f>'RJ ATTENDENCE SHEET'!C:C</f>
        <v>KUTUBUDDIN MOLLA</v>
      </c>
      <c r="E23" t="str">
        <f t="shared" si="0"/>
        <v>HOPPER</v>
      </c>
      <c r="F23" t="str">
        <f t="shared" si="8"/>
        <v/>
      </c>
      <c r="G23">
        <f>IFERROR(IF(F23=0,"",COUNTIF($F$3:F23,"&gt;0")),"")</f>
        <v>8</v>
      </c>
      <c r="H23" t="str">
        <f t="shared" si="2"/>
        <v/>
      </c>
      <c r="I23">
        <f t="shared" si="9"/>
        <v>1</v>
      </c>
      <c r="J23">
        <f>IFERROR(IF(I23=0,"",COUNTIF($I$3:I23,"&gt;0")),"")</f>
        <v>6</v>
      </c>
      <c r="K23" t="str">
        <f t="shared" si="3"/>
        <v>SOUMEN GARAI</v>
      </c>
      <c r="L23" t="str">
        <f t="shared" si="10"/>
        <v>OTHERS</v>
      </c>
      <c r="M23" t="str">
        <f t="shared" si="11"/>
        <v/>
      </c>
      <c r="N23">
        <f>IFERROR(IF(M23=0,"",COUNTIF($M$3:M23,"&gt;0")),"")</f>
        <v>7</v>
      </c>
      <c r="O23" t="str">
        <f t="shared" si="4"/>
        <v>ASHIK AHMED</v>
      </c>
      <c r="P23" t="str">
        <f t="shared" si="12"/>
        <v>LAB</v>
      </c>
      <c r="Q23" t="str">
        <f t="shared" si="13"/>
        <v/>
      </c>
      <c r="R23">
        <f>IFERROR(IF(Q23=0,"",COUNTIF($Q$3:Q23,"&gt;0")),"")</f>
        <v>8</v>
      </c>
      <c r="S23" t="str">
        <f t="shared" si="5"/>
        <v/>
      </c>
      <c r="T23" t="str">
        <f t="shared" si="14"/>
        <v/>
      </c>
      <c r="U23">
        <f>IFERROR(IF(T23=0,"",COUNTIF($T$3:T23,"&gt;0")),"")</f>
        <v>0</v>
      </c>
      <c r="V23" t="str">
        <f t="shared" si="6"/>
        <v/>
      </c>
      <c r="W23" t="str">
        <f t="shared" si="7"/>
        <v>TARATALAHELPERSAMIR BARMAN</v>
      </c>
      <c r="X23" t="str">
        <f>'OTHER PLANT ATTN.'!C:C</f>
        <v>SAMIR BARMAN</v>
      </c>
      <c r="Y23" t="str">
        <f>Table1[[#This Row],[CATEGORY ]]</f>
        <v>HELPER</v>
      </c>
      <c r="Z23" t="str">
        <f>Table1[[#This Row],[PLANT]]</f>
        <v>TARATALA</v>
      </c>
    </row>
    <row r="24" spans="1:26">
      <c r="A24" t="str">
        <f t="shared" si="1"/>
        <v>CONTRACTHELPERRAFIKUL MOLLA</v>
      </c>
      <c r="B24" t="str">
        <f>Table4[[#This Row],[CATEGORY]]</f>
        <v>CONTRACT</v>
      </c>
      <c r="C24" t="str">
        <f>Table4[[#This Row],[SUB-CATEGORY]]</f>
        <v>HELPER</v>
      </c>
      <c r="D24" t="str">
        <f>'RJ ATTENDENCE SHEET'!C:C</f>
        <v>RAFIKUL MOLLA</v>
      </c>
      <c r="E24" t="str">
        <f t="shared" si="0"/>
        <v>HELPER</v>
      </c>
      <c r="F24" t="str">
        <f t="shared" si="8"/>
        <v/>
      </c>
      <c r="G24">
        <f>IFERROR(IF(F24=0,"",COUNTIF($F$3:F24,"&gt;0")),"")</f>
        <v>8</v>
      </c>
      <c r="H24" t="str">
        <f t="shared" si="2"/>
        <v/>
      </c>
      <c r="I24" t="str">
        <f t="shared" si="9"/>
        <v/>
      </c>
      <c r="J24">
        <f>IFERROR(IF(I24=0,"",COUNTIF($I$3:I24,"&gt;0")),"")</f>
        <v>6</v>
      </c>
      <c r="K24" t="str">
        <f t="shared" si="3"/>
        <v>ASHOK MONDAL</v>
      </c>
      <c r="L24" t="str">
        <f t="shared" si="10"/>
        <v>DRIVER</v>
      </c>
      <c r="M24">
        <f t="shared" si="11"/>
        <v>1</v>
      </c>
      <c r="N24">
        <f>IFERROR(IF(M24=0,"",COUNTIF($M$3:M24,"&gt;0")),"")</f>
        <v>8</v>
      </c>
      <c r="O24" t="str">
        <f t="shared" si="4"/>
        <v>SAMIT MONDAL</v>
      </c>
      <c r="P24" t="str">
        <f t="shared" si="12"/>
        <v>LAB</v>
      </c>
      <c r="Q24" t="str">
        <f t="shared" si="13"/>
        <v/>
      </c>
      <c r="R24">
        <f>IFERROR(IF(Q24=0,"",COUNTIF($Q$3:Q24,"&gt;0")),"")</f>
        <v>8</v>
      </c>
      <c r="S24" t="str">
        <f t="shared" si="5"/>
        <v/>
      </c>
      <c r="T24" t="str">
        <f t="shared" si="14"/>
        <v/>
      </c>
      <c r="U24">
        <f>IFERROR(IF(T24=0,"",COUNTIF($T$3:T24,"&gt;0")),"")</f>
        <v>0</v>
      </c>
      <c r="V24" t="str">
        <f t="shared" si="6"/>
        <v/>
      </c>
      <c r="W24" t="str">
        <f t="shared" si="7"/>
        <v>TARATALADRIVERROBIUL</v>
      </c>
      <c r="X24" t="str">
        <f>'OTHER PLANT ATTN.'!C:C</f>
        <v>ROBIUL</v>
      </c>
      <c r="Y24" t="str">
        <f>Table1[[#This Row],[CATEGORY ]]</f>
        <v>DRIVER</v>
      </c>
      <c r="Z24" t="str">
        <f>Table1[[#This Row],[PLANT]]</f>
        <v>TARATALA</v>
      </c>
    </row>
    <row r="25" spans="1:26">
      <c r="A25" t="str">
        <f t="shared" si="1"/>
        <v>WAGESOTHERSMD. SAMIM AKRAM</v>
      </c>
      <c r="B25" t="str">
        <f>Table4[[#This Row],[CATEGORY]]</f>
        <v>WAGES</v>
      </c>
      <c r="C25" t="str">
        <f>Table4[[#This Row],[SUB-CATEGORY]]</f>
        <v>OTHERS</v>
      </c>
      <c r="D25" t="str">
        <f>'RJ ATTENDENCE SHEET'!C:C</f>
        <v>MD. SAMIM AKRAM</v>
      </c>
      <c r="E25" t="str">
        <f t="shared" si="0"/>
        <v>OTHERS</v>
      </c>
      <c r="F25" t="str">
        <f t="shared" si="8"/>
        <v/>
      </c>
      <c r="G25">
        <f>IFERROR(IF(F25=0,"",COUNTIF($F$3:F25,"&gt;0")),"")</f>
        <v>8</v>
      </c>
      <c r="H25" t="str">
        <f t="shared" si="2"/>
        <v/>
      </c>
      <c r="I25">
        <f t="shared" si="9"/>
        <v>1</v>
      </c>
      <c r="J25">
        <f>IFERROR(IF(I25=0,"",COUNTIF($I$3:I25,"&gt;0")),"")</f>
        <v>7</v>
      </c>
      <c r="K25" t="str">
        <f t="shared" si="3"/>
        <v>ANSWAR ALI MOLLA</v>
      </c>
      <c r="L25" t="str">
        <f t="shared" si="10"/>
        <v>DRIVER</v>
      </c>
      <c r="M25" t="str">
        <f t="shared" si="11"/>
        <v/>
      </c>
      <c r="N25">
        <f>IFERROR(IF(M25=0,"",COUNTIF($M$3:M25,"&gt;0")),"")</f>
        <v>8</v>
      </c>
      <c r="O25" t="str">
        <f t="shared" si="4"/>
        <v>SIDHARTHA MONDAL</v>
      </c>
      <c r="P25" t="str">
        <f t="shared" si="12"/>
        <v>LAB</v>
      </c>
      <c r="Q25" t="str">
        <f t="shared" si="13"/>
        <v/>
      </c>
      <c r="R25">
        <f>IFERROR(IF(Q25=0,"",COUNTIF($Q$3:Q25,"&gt;0")),"")</f>
        <v>8</v>
      </c>
      <c r="S25" t="str">
        <f t="shared" si="5"/>
        <v/>
      </c>
      <c r="T25" t="str">
        <f t="shared" si="14"/>
        <v/>
      </c>
      <c r="U25">
        <f>IFERROR(IF(T25=0,"",COUNTIF($T$3:T25,"&gt;0")),"")</f>
        <v>0</v>
      </c>
      <c r="V25" t="str">
        <f t="shared" si="6"/>
        <v/>
      </c>
      <c r="W25" t="str">
        <f t="shared" si="7"/>
        <v>TARATALAHELPERSALEK</v>
      </c>
      <c r="X25" t="str">
        <f>'OTHER PLANT ATTN.'!C:C</f>
        <v>SALEK</v>
      </c>
      <c r="Y25" t="str">
        <f>Table1[[#This Row],[CATEGORY ]]</f>
        <v>HELPER</v>
      </c>
      <c r="Z25" t="str">
        <f>Table1[[#This Row],[PLANT]]</f>
        <v>TARATALA</v>
      </c>
    </row>
    <row r="26" spans="1:26">
      <c r="A26" t="str">
        <f t="shared" si="1"/>
        <v>WAGESDRIVERMOTIAR RAHAMAN</v>
      </c>
      <c r="B26" t="str">
        <f>Table4[[#This Row],[CATEGORY]]</f>
        <v>WAGES</v>
      </c>
      <c r="C26" t="str">
        <f>Table4[[#This Row],[SUB-CATEGORY]]</f>
        <v>DRIVER</v>
      </c>
      <c r="D26" t="str">
        <f>'RJ ATTENDENCE SHEET'!C:C</f>
        <v>MOTIAR RAHAMAN</v>
      </c>
      <c r="E26" t="str">
        <f t="shared" si="0"/>
        <v>DRIVER</v>
      </c>
      <c r="F26" t="str">
        <f t="shared" si="8"/>
        <v/>
      </c>
      <c r="G26">
        <f>IFERROR(IF(F26=0,"",COUNTIF($F$3:F26,"&gt;0")),"")</f>
        <v>8</v>
      </c>
      <c r="H26" t="str">
        <f t="shared" si="2"/>
        <v/>
      </c>
      <c r="I26">
        <f t="shared" si="9"/>
        <v>1</v>
      </c>
      <c r="J26">
        <f>IFERROR(IF(I26=0,"",COUNTIF($I$3:I26,"&gt;0")),"")</f>
        <v>8</v>
      </c>
      <c r="K26" t="str">
        <f t="shared" si="3"/>
        <v>MOMINUL HAQUE</v>
      </c>
      <c r="L26" t="str">
        <f t="shared" si="10"/>
        <v>LAB</v>
      </c>
      <c r="M26" t="str">
        <f t="shared" si="11"/>
        <v/>
      </c>
      <c r="N26">
        <f>IFERROR(IF(M26=0,"",COUNTIF($M$3:M26,"&gt;0")),"")</f>
        <v>8</v>
      </c>
      <c r="O26" t="str">
        <f t="shared" si="4"/>
        <v>SUBRATA MONDAL</v>
      </c>
      <c r="P26" t="str">
        <f t="shared" si="12"/>
        <v>HOPPER</v>
      </c>
      <c r="Q26" t="str">
        <f t="shared" si="13"/>
        <v/>
      </c>
      <c r="R26">
        <f>IFERROR(IF(Q26=0,"",COUNTIF($Q$3:Q26,"&gt;0")),"")</f>
        <v>8</v>
      </c>
      <c r="S26" t="str">
        <f t="shared" si="5"/>
        <v/>
      </c>
      <c r="T26" t="str">
        <f t="shared" si="14"/>
        <v/>
      </c>
      <c r="U26">
        <f>IFERROR(IF(T26=0,"",COUNTIF($T$3:T26,"&gt;0")),"")</f>
        <v>0</v>
      </c>
      <c r="V26" t="str">
        <f t="shared" si="6"/>
        <v/>
      </c>
      <c r="W26" t="str">
        <f t="shared" si="7"/>
        <v>TARATALADRIVERHASAN</v>
      </c>
      <c r="X26" t="str">
        <f>'OTHER PLANT ATTN.'!C:C</f>
        <v>HASAN</v>
      </c>
      <c r="Y26" t="str">
        <f>Table1[[#This Row],[CATEGORY ]]</f>
        <v>DRIVER</v>
      </c>
      <c r="Z26" t="str">
        <f>Table1[[#This Row],[PLANT]]</f>
        <v>TARATALA</v>
      </c>
    </row>
    <row r="27" spans="1:26">
      <c r="A27" t="str">
        <f t="shared" si="1"/>
        <v>CONTRACTOTHERSAYAN PAUL</v>
      </c>
      <c r="B27" t="str">
        <f>Table4[[#This Row],[CATEGORY]]</f>
        <v>CONTRACT</v>
      </c>
      <c r="C27" t="str">
        <f>Table4[[#This Row],[SUB-CATEGORY]]</f>
        <v>OTHERS</v>
      </c>
      <c r="D27" t="str">
        <f>'RJ ATTENDENCE SHEET'!C:C</f>
        <v>AYAN PAUL</v>
      </c>
      <c r="E27" t="str">
        <f t="shared" si="0"/>
        <v>OTHERS</v>
      </c>
      <c r="F27" t="str">
        <f t="shared" si="8"/>
        <v/>
      </c>
      <c r="G27">
        <f>IFERROR(IF(F27=0,"",COUNTIF($F$3:F27,"&gt;0")),"")</f>
        <v>8</v>
      </c>
      <c r="H27" t="str">
        <f t="shared" si="2"/>
        <v/>
      </c>
      <c r="I27" t="str">
        <f t="shared" si="9"/>
        <v/>
      </c>
      <c r="J27">
        <f>IFERROR(IF(I27=0,"",COUNTIF($I$3:I27,"&gt;0")),"")</f>
        <v>8</v>
      </c>
      <c r="K27" t="str">
        <f t="shared" si="3"/>
        <v>EKRAMUL ALI</v>
      </c>
      <c r="L27" t="str">
        <f t="shared" si="10"/>
        <v>HELPER</v>
      </c>
      <c r="M27">
        <f t="shared" si="11"/>
        <v>1</v>
      </c>
      <c r="N27">
        <f>IFERROR(IF(M27=0,"",COUNTIF($M$3:M27,"&gt;0")),"")</f>
        <v>9</v>
      </c>
      <c r="O27" t="str">
        <f t="shared" si="4"/>
        <v>REJJAK MONDAL</v>
      </c>
      <c r="P27" t="str">
        <f t="shared" si="12"/>
        <v>HELPER</v>
      </c>
      <c r="Q27" t="str">
        <f t="shared" si="13"/>
        <v/>
      </c>
      <c r="R27">
        <f>IFERROR(IF(Q27=0,"",COUNTIF($Q$3:Q27,"&gt;0")),"")</f>
        <v>8</v>
      </c>
      <c r="S27" t="str">
        <f t="shared" si="5"/>
        <v/>
      </c>
      <c r="T27" t="str">
        <f t="shared" si="14"/>
        <v/>
      </c>
      <c r="U27">
        <f>IFERROR(IF(T27=0,"",COUNTIF($T$3:T27,"&gt;0")),"")</f>
        <v>0</v>
      </c>
      <c r="V27" t="str">
        <f t="shared" si="6"/>
        <v/>
      </c>
      <c r="W27" t="str">
        <f t="shared" si="7"/>
        <v>TARATALAHELPERASISH</v>
      </c>
      <c r="X27" t="str">
        <f>'OTHER PLANT ATTN.'!C:C</f>
        <v>ASISH</v>
      </c>
      <c r="Y27" t="str">
        <f>Table1[[#This Row],[CATEGORY ]]</f>
        <v>HELPER</v>
      </c>
      <c r="Z27" t="str">
        <f>Table1[[#This Row],[PLANT]]</f>
        <v>TARATALA</v>
      </c>
    </row>
    <row r="28" spans="1:26">
      <c r="A28" t="str">
        <f t="shared" si="1"/>
        <v>SALARYOFFICEPULIN MONDAL</v>
      </c>
      <c r="B28" t="str">
        <f>Table4[[#This Row],[CATEGORY]]</f>
        <v>SALARY</v>
      </c>
      <c r="C28" t="str">
        <f>Table4[[#This Row],[SUB-CATEGORY]]</f>
        <v>OFFICE</v>
      </c>
      <c r="D28" t="str">
        <f>'RJ ATTENDENCE SHEET'!C:C</f>
        <v>PULIN MONDAL</v>
      </c>
      <c r="E28" t="str">
        <f t="shared" si="0"/>
        <v>OFFICE</v>
      </c>
      <c r="F28">
        <f t="shared" si="8"/>
        <v>1</v>
      </c>
      <c r="G28">
        <f>IFERROR(IF(F28=0,"",COUNTIF($F$3:F28,"&gt;0")),"")</f>
        <v>9</v>
      </c>
      <c r="H28" t="str">
        <f t="shared" si="2"/>
        <v/>
      </c>
      <c r="I28" t="str">
        <f t="shared" si="9"/>
        <v/>
      </c>
      <c r="J28">
        <f>IFERROR(IF(I28=0,"",COUNTIF($I$3:I28,"&gt;0")),"")</f>
        <v>8</v>
      </c>
      <c r="K28" t="str">
        <f t="shared" si="3"/>
        <v>JULFIKAR DHALI</v>
      </c>
      <c r="L28" t="str">
        <f t="shared" si="10"/>
        <v>DRIVER</v>
      </c>
      <c r="M28" t="str">
        <f t="shared" si="11"/>
        <v/>
      </c>
      <c r="N28">
        <f>IFERROR(IF(M28=0,"",COUNTIF($M$3:M28,"&gt;0")),"")</f>
        <v>9</v>
      </c>
      <c r="O28" t="str">
        <f t="shared" si="4"/>
        <v>BISWANTH MONDAL</v>
      </c>
      <c r="P28" t="str">
        <f t="shared" si="12"/>
        <v>DRIVER</v>
      </c>
      <c r="Q28">
        <f t="shared" si="13"/>
        <v>1</v>
      </c>
      <c r="R28">
        <f>IFERROR(IF(Q28=0,"",COUNTIF($Q$3:Q28,"&gt;0")),"")</f>
        <v>9</v>
      </c>
      <c r="S28" t="str">
        <f t="shared" si="5"/>
        <v/>
      </c>
      <c r="T28" t="str">
        <f t="shared" si="14"/>
        <v/>
      </c>
      <c r="U28">
        <f>IFERROR(IF(T28=0,"",COUNTIF($T$3:T28,"&gt;0")),"")</f>
        <v>0</v>
      </c>
      <c r="V28" t="str">
        <f t="shared" si="6"/>
        <v/>
      </c>
      <c r="W28" t="str">
        <f t="shared" si="7"/>
        <v>TARATALADRIVERLALJI</v>
      </c>
      <c r="X28" t="str">
        <f>'OTHER PLANT ATTN.'!C:C</f>
        <v>LALJI</v>
      </c>
      <c r="Y28" t="str">
        <f>Table1[[#This Row],[CATEGORY ]]</f>
        <v>DRIVER</v>
      </c>
      <c r="Z28" t="str">
        <f>Table1[[#This Row],[PLANT]]</f>
        <v>TARATALA</v>
      </c>
    </row>
    <row r="29" spans="1:26">
      <c r="A29" t="str">
        <f t="shared" si="1"/>
        <v>SALARYOFFICERAJU PAL</v>
      </c>
      <c r="B29" t="str">
        <f>Table4[[#This Row],[CATEGORY]]</f>
        <v>SALARY</v>
      </c>
      <c r="C29" t="str">
        <f>Table4[[#This Row],[SUB-CATEGORY]]</f>
        <v>OFFICE</v>
      </c>
      <c r="D29" t="str">
        <f>'RJ ATTENDENCE SHEET'!C:C</f>
        <v>RAJU PAL</v>
      </c>
      <c r="E29" t="str">
        <f t="shared" si="0"/>
        <v>OFFICE</v>
      </c>
      <c r="F29">
        <f t="shared" si="8"/>
        <v>1</v>
      </c>
      <c r="G29">
        <f>IFERROR(IF(F29=0,"",COUNTIF($F$3:F29,"&gt;0")),"")</f>
        <v>10</v>
      </c>
      <c r="H29" t="str">
        <f t="shared" si="2"/>
        <v/>
      </c>
      <c r="I29" t="str">
        <f t="shared" si="9"/>
        <v/>
      </c>
      <c r="J29">
        <f>IFERROR(IF(I29=0,"",COUNTIF($I$3:I29,"&gt;0")),"")</f>
        <v>8</v>
      </c>
      <c r="K29" t="str">
        <f t="shared" si="3"/>
        <v>SUPRAKASH SAMANTO</v>
      </c>
      <c r="L29" t="str">
        <f t="shared" si="10"/>
        <v>LAB</v>
      </c>
      <c r="M29" t="str">
        <f t="shared" si="11"/>
        <v/>
      </c>
      <c r="N29">
        <f>IFERROR(IF(M29=0,"",COUNTIF($M$3:M29,"&gt;0")),"")</f>
        <v>9</v>
      </c>
      <c r="O29" t="str">
        <f t="shared" si="4"/>
        <v>TAPAS MONDAL</v>
      </c>
      <c r="P29" t="str">
        <f t="shared" si="12"/>
        <v>HELPER</v>
      </c>
      <c r="Q29">
        <f t="shared" si="13"/>
        <v>1</v>
      </c>
      <c r="R29">
        <f>IFERROR(IF(Q29=0,"",COUNTIF($Q$3:Q29,"&gt;0")),"")</f>
        <v>10</v>
      </c>
      <c r="S29" t="str">
        <f t="shared" si="5"/>
        <v/>
      </c>
      <c r="T29" t="str">
        <f t="shared" si="14"/>
        <v/>
      </c>
      <c r="U29">
        <f>IFERROR(IF(T29=0,"",COUNTIF($T$3:T29,"&gt;0")),"")</f>
        <v>0</v>
      </c>
      <c r="V29" t="str">
        <f t="shared" si="6"/>
        <v/>
      </c>
      <c r="W29" t="str">
        <f t="shared" si="7"/>
        <v>TARATALADRIVERTAPAS</v>
      </c>
      <c r="X29" t="str">
        <f>'OTHER PLANT ATTN.'!C:C</f>
        <v>TAPAS</v>
      </c>
      <c r="Y29" t="str">
        <f>Table1[[#This Row],[CATEGORY ]]</f>
        <v>DRIVER</v>
      </c>
      <c r="Z29" t="str">
        <f>Table1[[#This Row],[PLANT]]</f>
        <v>TARATALA</v>
      </c>
    </row>
    <row r="30" spans="1:26">
      <c r="A30" t="str">
        <f t="shared" si="1"/>
        <v>WAGESDRIVERMOKSHED ALI</v>
      </c>
      <c r="B30" t="str">
        <f>Table4[[#This Row],[CATEGORY]]</f>
        <v>WAGES</v>
      </c>
      <c r="C30" t="str">
        <f>Table4[[#This Row],[SUB-CATEGORY]]</f>
        <v>DRIVER</v>
      </c>
      <c r="D30" t="str">
        <f>'RJ ATTENDENCE SHEET'!C:C</f>
        <v>MOKSHED ALI</v>
      </c>
      <c r="E30" t="str">
        <f t="shared" si="0"/>
        <v>DRIVER</v>
      </c>
      <c r="F30" t="str">
        <f t="shared" si="8"/>
        <v/>
      </c>
      <c r="G30">
        <f>IFERROR(IF(F30=0,"",COUNTIF($F$3:F30,"&gt;0")),"")</f>
        <v>10</v>
      </c>
      <c r="H30" t="str">
        <f t="shared" si="2"/>
        <v/>
      </c>
      <c r="I30">
        <f t="shared" si="9"/>
        <v>1</v>
      </c>
      <c r="J30">
        <f>IFERROR(IF(I30=0,"",COUNTIF($I$3:I30,"&gt;0")),"")</f>
        <v>9</v>
      </c>
      <c r="K30" t="str">
        <f t="shared" si="3"/>
        <v>TANMOY MONDAL</v>
      </c>
      <c r="L30" t="str">
        <f t="shared" si="10"/>
        <v>DRIVER</v>
      </c>
      <c r="M30" t="str">
        <f t="shared" si="11"/>
        <v/>
      </c>
      <c r="N30">
        <f>IFERROR(IF(M30=0,"",COUNTIF($M$3:M30,"&gt;0")),"")</f>
        <v>9</v>
      </c>
      <c r="O30" t="str">
        <f t="shared" si="4"/>
        <v>RASHID MONDAL</v>
      </c>
      <c r="P30" t="str">
        <f t="shared" si="12"/>
        <v>HELPER</v>
      </c>
      <c r="Q30" t="str">
        <f t="shared" si="13"/>
        <v/>
      </c>
      <c r="R30">
        <f>IFERROR(IF(Q30=0,"",COUNTIF($Q$3:Q30,"&gt;0")),"")</f>
        <v>10</v>
      </c>
      <c r="S30" t="str">
        <f t="shared" si="5"/>
        <v/>
      </c>
      <c r="T30" t="str">
        <f t="shared" si="14"/>
        <v/>
      </c>
      <c r="U30">
        <f>IFERROR(IF(T30=0,"",COUNTIF($T$3:T30,"&gt;0")),"")</f>
        <v>0</v>
      </c>
      <c r="V30" t="str">
        <f t="shared" si="6"/>
        <v/>
      </c>
      <c r="W30" t="str">
        <f t="shared" si="7"/>
        <v>JALANDRIVERCHORUA</v>
      </c>
      <c r="X30" t="str">
        <f>'OTHER PLANT ATTN.'!C:C</f>
        <v>CHORUA</v>
      </c>
      <c r="Y30" t="str">
        <f>Table1[[#This Row],[CATEGORY ]]</f>
        <v>DRIVER</v>
      </c>
      <c r="Z30" t="str">
        <f>Table1[[#This Row],[PLANT]]</f>
        <v>JALAN</v>
      </c>
    </row>
    <row r="31" spans="1:26">
      <c r="A31" t="str">
        <f t="shared" si="1"/>
        <v>CONTRACTHELPERNAYAN MONDAL</v>
      </c>
      <c r="B31" t="str">
        <f>Table4[[#This Row],[CATEGORY]]</f>
        <v>CONTRACT</v>
      </c>
      <c r="C31" t="str">
        <f>Table4[[#This Row],[SUB-CATEGORY]]</f>
        <v>HELPER</v>
      </c>
      <c r="D31" t="str">
        <f>'RJ ATTENDENCE SHEET'!C:C</f>
        <v>NAYAN MONDAL</v>
      </c>
      <c r="E31" t="str">
        <f t="shared" si="0"/>
        <v>HELPER</v>
      </c>
      <c r="F31" t="str">
        <f t="shared" si="8"/>
        <v/>
      </c>
      <c r="G31">
        <f>IFERROR(IF(F31=0,"",COUNTIF($F$3:F31,"&gt;0")),"")</f>
        <v>10</v>
      </c>
      <c r="H31" t="str">
        <f t="shared" si="2"/>
        <v/>
      </c>
      <c r="I31" t="str">
        <f t="shared" si="9"/>
        <v/>
      </c>
      <c r="J31">
        <f>IFERROR(IF(I31=0,"",COUNTIF($I$3:I31,"&gt;0")),"")</f>
        <v>9</v>
      </c>
      <c r="K31" t="str">
        <f t="shared" si="3"/>
        <v>ALOK MONDAL</v>
      </c>
      <c r="L31" t="str">
        <f t="shared" si="10"/>
        <v>HELPER</v>
      </c>
      <c r="M31">
        <f t="shared" si="11"/>
        <v>1</v>
      </c>
      <c r="N31">
        <f>IFERROR(IF(M31=0,"",COUNTIF($M$3:M31,"&gt;0")),"")</f>
        <v>10</v>
      </c>
      <c r="O31" t="str">
        <f t="shared" si="4"/>
        <v>RAJU MONDAL</v>
      </c>
      <c r="P31" t="str">
        <f t="shared" si="12"/>
        <v>HELPER</v>
      </c>
      <c r="Q31" t="str">
        <f t="shared" si="13"/>
        <v/>
      </c>
      <c r="R31">
        <f>IFERROR(IF(Q31=0,"",COUNTIF($Q$3:Q31,"&gt;0")),"")</f>
        <v>10</v>
      </c>
      <c r="S31" t="str">
        <f t="shared" si="5"/>
        <v/>
      </c>
      <c r="T31" t="str">
        <f t="shared" si="14"/>
        <v/>
      </c>
      <c r="U31">
        <f>IFERROR(IF(T31=0,"",COUNTIF($T$3:T31,"&gt;0")),"")</f>
        <v>0</v>
      </c>
      <c r="V31" t="str">
        <f t="shared" si="6"/>
        <v/>
      </c>
      <c r="W31" t="str">
        <f t="shared" si="7"/>
        <v>JALANHELPERNIL MADHAV</v>
      </c>
      <c r="X31" t="str">
        <f>'OTHER PLANT ATTN.'!C:C</f>
        <v>NIL MADHAV</v>
      </c>
      <c r="Y31" t="str">
        <f>Table1[[#This Row],[CATEGORY ]]</f>
        <v>HELPER</v>
      </c>
      <c r="Z31" t="str">
        <f>Table1[[#This Row],[PLANT]]</f>
        <v>JALAN</v>
      </c>
    </row>
    <row r="32" spans="1:26">
      <c r="A32" t="str">
        <f t="shared" si="1"/>
        <v>CONTRACTOTHERSSHIB SANKAR MAJHI</v>
      </c>
      <c r="B32" t="str">
        <f>Table4[[#This Row],[CATEGORY]]</f>
        <v>CONTRACT</v>
      </c>
      <c r="C32" t="str">
        <f>Table4[[#This Row],[SUB-CATEGORY]]</f>
        <v>OTHERS</v>
      </c>
      <c r="D32" t="str">
        <f>'RJ ATTENDENCE SHEET'!C:C</f>
        <v>SHIB SANKAR MAJHI</v>
      </c>
      <c r="E32" t="str">
        <f t="shared" si="0"/>
        <v>OTHERS</v>
      </c>
      <c r="F32" t="str">
        <f t="shared" si="8"/>
        <v/>
      </c>
      <c r="G32">
        <f>IFERROR(IF(F32=0,"",COUNTIF($F$3:F32,"&gt;0")),"")</f>
        <v>10</v>
      </c>
      <c r="H32" t="str">
        <f t="shared" si="2"/>
        <v/>
      </c>
      <c r="I32" t="str">
        <f t="shared" si="9"/>
        <v/>
      </c>
      <c r="J32">
        <f>IFERROR(IF(I32=0,"",COUNTIF($I$3:I32,"&gt;0")),"")</f>
        <v>9</v>
      </c>
      <c r="K32" t="str">
        <f t="shared" si="3"/>
        <v>RAJESH BAR</v>
      </c>
      <c r="L32" t="str">
        <f t="shared" si="10"/>
        <v>LAB</v>
      </c>
      <c r="M32">
        <f t="shared" si="11"/>
        <v>1</v>
      </c>
      <c r="N32">
        <f>IFERROR(IF(M32=0,"",COUNTIF($M$3:M32,"&gt;0")),"")</f>
        <v>11</v>
      </c>
      <c r="O32" t="str">
        <f t="shared" si="4"/>
        <v>SUDIP MONDAL</v>
      </c>
      <c r="P32" t="str">
        <f t="shared" si="12"/>
        <v>HELPER</v>
      </c>
      <c r="Q32" t="str">
        <f t="shared" si="13"/>
        <v/>
      </c>
      <c r="R32">
        <f>IFERROR(IF(Q32=0,"",COUNTIF($Q$3:Q32,"&gt;0")),"")</f>
        <v>10</v>
      </c>
      <c r="S32" t="str">
        <f t="shared" si="5"/>
        <v/>
      </c>
      <c r="T32" t="str">
        <f t="shared" si="14"/>
        <v/>
      </c>
      <c r="U32">
        <f>IFERROR(IF(T32=0,"",COUNTIF($T$3:T32,"&gt;0")),"")</f>
        <v>0</v>
      </c>
      <c r="V32" t="str">
        <f t="shared" si="6"/>
        <v/>
      </c>
      <c r="W32" t="str">
        <f t="shared" si="7"/>
        <v>JALANDRIVERGOUTAM</v>
      </c>
      <c r="X32" t="str">
        <f>'OTHER PLANT ATTN.'!C:C</f>
        <v>GOUTAM</v>
      </c>
      <c r="Y32" t="str">
        <f>Table1[[#This Row],[CATEGORY ]]</f>
        <v>DRIVER</v>
      </c>
      <c r="Z32" t="str">
        <f>Table1[[#This Row],[PLANT]]</f>
        <v>JALAN</v>
      </c>
    </row>
    <row r="33" spans="1:26">
      <c r="A33" t="str">
        <f t="shared" si="1"/>
        <v xml:space="preserve">WAGESDRIVERSAMSER ALI </v>
      </c>
      <c r="B33" t="str">
        <f>Table4[[#This Row],[CATEGORY]]</f>
        <v>WAGES</v>
      </c>
      <c r="C33" t="str">
        <f>Table4[[#This Row],[SUB-CATEGORY]]</f>
        <v>DRIVER</v>
      </c>
      <c r="D33" t="str">
        <f>'RJ ATTENDENCE SHEET'!C:C</f>
        <v xml:space="preserve">SAMSER ALI </v>
      </c>
      <c r="E33" t="str">
        <f t="shared" si="0"/>
        <v>DRIVER</v>
      </c>
      <c r="F33" t="str">
        <f t="shared" si="8"/>
        <v/>
      </c>
      <c r="G33">
        <f>IFERROR(IF(F33=0,"",COUNTIF($F$3:F33,"&gt;0")),"")</f>
        <v>10</v>
      </c>
      <c r="H33" t="str">
        <f t="shared" si="2"/>
        <v/>
      </c>
      <c r="I33">
        <f t="shared" si="9"/>
        <v>1</v>
      </c>
      <c r="J33">
        <f>IFERROR(IF(I33=0,"",COUNTIF($I$3:I33,"&gt;0")),"")</f>
        <v>10</v>
      </c>
      <c r="K33" t="str">
        <f t="shared" si="3"/>
        <v>BIKRAM ROY</v>
      </c>
      <c r="L33" t="str">
        <f t="shared" si="10"/>
        <v>LAB</v>
      </c>
      <c r="M33" t="str">
        <f t="shared" si="11"/>
        <v/>
      </c>
      <c r="N33">
        <f>IFERROR(IF(M33=0,"",COUNTIF($M$3:M33,"&gt;0")),"")</f>
        <v>11</v>
      </c>
      <c r="O33" t="str">
        <f t="shared" si="4"/>
        <v>ALMIRAJ JHAN</v>
      </c>
      <c r="P33" t="str">
        <f t="shared" si="12"/>
        <v>OTHERS</v>
      </c>
      <c r="Q33" t="str">
        <f t="shared" si="13"/>
        <v/>
      </c>
      <c r="R33">
        <f>IFERROR(IF(Q33=0,"",COUNTIF($Q$3:Q33,"&gt;0")),"")</f>
        <v>10</v>
      </c>
      <c r="S33" t="str">
        <f t="shared" si="5"/>
        <v/>
      </c>
      <c r="T33" t="str">
        <f t="shared" si="14"/>
        <v/>
      </c>
      <c r="U33">
        <f>IFERROR(IF(T33=0,"",COUNTIF($T$3:T33,"&gt;0")),"")</f>
        <v>0</v>
      </c>
      <c r="V33" t="str">
        <f t="shared" si="6"/>
        <v/>
      </c>
      <c r="W33" t="str">
        <f t="shared" si="7"/>
        <v>JALANHELPERSAJAL</v>
      </c>
      <c r="X33" t="str">
        <f>'OTHER PLANT ATTN.'!C:C</f>
        <v>SAJAL</v>
      </c>
      <c r="Y33" t="str">
        <f>Table1[[#This Row],[CATEGORY ]]</f>
        <v>HELPER</v>
      </c>
      <c r="Z33" t="str">
        <f>Table1[[#This Row],[PLANT]]</f>
        <v>JALAN</v>
      </c>
    </row>
    <row r="34" spans="1:26">
      <c r="A34" t="str">
        <f t="shared" si="1"/>
        <v>CONTRACTOTHERSABUL KALAM AZAD</v>
      </c>
      <c r="B34" t="str">
        <f>Table4[[#This Row],[CATEGORY]]</f>
        <v>CONTRACT</v>
      </c>
      <c r="C34" t="str">
        <f>Table4[[#This Row],[SUB-CATEGORY]]</f>
        <v>OTHERS</v>
      </c>
      <c r="D34" t="str">
        <f>'RJ ATTENDENCE SHEET'!C:C</f>
        <v>ABUL KALAM AZAD</v>
      </c>
      <c r="E34" t="str">
        <f t="shared" si="0"/>
        <v>OTHERS</v>
      </c>
      <c r="F34" t="str">
        <f t="shared" si="8"/>
        <v/>
      </c>
      <c r="G34">
        <f>IFERROR(IF(F34=0,"",COUNTIF($F$3:F34,"&gt;0")),"")</f>
        <v>10</v>
      </c>
      <c r="H34" t="str">
        <f t="shared" si="2"/>
        <v/>
      </c>
      <c r="I34" t="str">
        <f t="shared" si="9"/>
        <v/>
      </c>
      <c r="J34">
        <f>IFERROR(IF(I34=0,"",COUNTIF($I$3:I34,"&gt;0")),"")</f>
        <v>10</v>
      </c>
      <c r="K34" t="str">
        <f t="shared" si="3"/>
        <v>JITU MAHALI</v>
      </c>
      <c r="L34" t="str">
        <f t="shared" si="10"/>
        <v>DRIVER</v>
      </c>
      <c r="M34">
        <f t="shared" si="11"/>
        <v>1</v>
      </c>
      <c r="N34">
        <f>IFERROR(IF(M34=0,"",COUNTIF($M$3:M34,"&gt;0")),"")</f>
        <v>12</v>
      </c>
      <c r="O34" t="str">
        <f t="shared" si="4"/>
        <v>SAMSUR</v>
      </c>
      <c r="P34" t="str">
        <f t="shared" si="12"/>
        <v>HELPER</v>
      </c>
      <c r="Q34" t="str">
        <f t="shared" si="13"/>
        <v/>
      </c>
      <c r="R34">
        <f>IFERROR(IF(Q34=0,"",COUNTIF($Q$3:Q34,"&gt;0")),"")</f>
        <v>10</v>
      </c>
      <c r="S34" t="str">
        <f t="shared" si="5"/>
        <v/>
      </c>
      <c r="T34" t="str">
        <f t="shared" si="14"/>
        <v/>
      </c>
      <c r="U34">
        <f>IFERROR(IF(T34=0,"",COUNTIF($T$3:T34,"&gt;0")),"")</f>
        <v>0</v>
      </c>
      <c r="V34" t="str">
        <f t="shared" si="6"/>
        <v/>
      </c>
      <c r="W34" t="str">
        <f t="shared" si="7"/>
        <v>JALANDRIVERJOLADHAR</v>
      </c>
      <c r="X34" t="str">
        <f>'OTHER PLANT ATTN.'!C:C</f>
        <v>JOLADHAR</v>
      </c>
      <c r="Y34" t="str">
        <f>Table1[[#This Row],[CATEGORY ]]</f>
        <v>DRIVER</v>
      </c>
      <c r="Z34" t="str">
        <f>Table1[[#This Row],[PLANT]]</f>
        <v>JALAN</v>
      </c>
    </row>
    <row r="35" spans="1:26">
      <c r="A35" t="str">
        <f t="shared" si="1"/>
        <v>CONTRACTDRIVERSATYA NASKAR</v>
      </c>
      <c r="B35" t="str">
        <f>Table4[[#This Row],[CATEGORY]]</f>
        <v>CONTRACT</v>
      </c>
      <c r="C35" t="str">
        <f>Table4[[#This Row],[SUB-CATEGORY]]</f>
        <v>DRIVER</v>
      </c>
      <c r="D35" t="str">
        <f>'RJ ATTENDENCE SHEET'!C:C</f>
        <v>SATYA NASKAR</v>
      </c>
      <c r="E35" t="str">
        <f t="shared" si="0"/>
        <v>DRIVER</v>
      </c>
      <c r="F35" t="str">
        <f t="shared" si="8"/>
        <v/>
      </c>
      <c r="G35">
        <f>IFERROR(IF(F35=0,"",COUNTIF($F$3:F35,"&gt;0")),"")</f>
        <v>10</v>
      </c>
      <c r="H35" t="str">
        <f t="shared" si="2"/>
        <v/>
      </c>
      <c r="I35" t="str">
        <f t="shared" si="9"/>
        <v/>
      </c>
      <c r="J35">
        <f>IFERROR(IF(I35=0,"",COUNTIF($I$3:I35,"&gt;0")),"")</f>
        <v>10</v>
      </c>
      <c r="K35" t="str">
        <f t="shared" si="3"/>
        <v>MILAN RUIDAS</v>
      </c>
      <c r="L35" t="str">
        <f t="shared" si="10"/>
        <v>LAB</v>
      </c>
      <c r="M35">
        <f t="shared" si="11"/>
        <v>1</v>
      </c>
      <c r="N35">
        <f>IFERROR(IF(M35=0,"",COUNTIF($M$3:M35,"&gt;0")),"")</f>
        <v>13</v>
      </c>
      <c r="O35" t="str">
        <f t="shared" si="4"/>
        <v>BALAI CHAND ROY</v>
      </c>
      <c r="P35" t="str">
        <f t="shared" si="12"/>
        <v>LAB</v>
      </c>
      <c r="Q35" t="str">
        <f t="shared" si="13"/>
        <v/>
      </c>
      <c r="R35">
        <f>IFERROR(IF(Q35=0,"",COUNTIF($Q$3:Q35,"&gt;0")),"")</f>
        <v>10</v>
      </c>
      <c r="S35" t="str">
        <f t="shared" si="5"/>
        <v/>
      </c>
      <c r="T35" t="str">
        <f t="shared" si="14"/>
        <v/>
      </c>
      <c r="U35">
        <f>IFERROR(IF(T35=0,"",COUNTIF($T$3:T35,"&gt;0")),"")</f>
        <v>0</v>
      </c>
      <c r="V35" t="str">
        <f t="shared" si="6"/>
        <v/>
      </c>
      <c r="W35" t="str">
        <f t="shared" si="7"/>
        <v>JALANHELPERAMIYO</v>
      </c>
      <c r="X35" t="str">
        <f>'OTHER PLANT ATTN.'!C:C</f>
        <v>AMIYO</v>
      </c>
      <c r="Y35" t="str">
        <f>Table1[[#This Row],[CATEGORY ]]</f>
        <v>HELPER</v>
      </c>
      <c r="Z35" t="str">
        <f>Table1[[#This Row],[PLANT]]</f>
        <v>JALAN</v>
      </c>
    </row>
    <row r="36" spans="1:26">
      <c r="A36" t="str">
        <f t="shared" si="1"/>
        <v>WAGESDRIVERSHANTI  MONDAL</v>
      </c>
      <c r="B36" t="str">
        <f>Table4[[#This Row],[CATEGORY]]</f>
        <v>WAGES</v>
      </c>
      <c r="C36" t="str">
        <f>Table4[[#This Row],[SUB-CATEGORY]]</f>
        <v>DRIVER</v>
      </c>
      <c r="D36" t="str">
        <f>'RJ ATTENDENCE SHEET'!C:C</f>
        <v>SHANTI  MONDAL</v>
      </c>
      <c r="E36" t="str">
        <f t="shared" si="0"/>
        <v>DRIVER</v>
      </c>
      <c r="F36" t="str">
        <f t="shared" si="8"/>
        <v/>
      </c>
      <c r="G36">
        <f>IFERROR(IF(F36=0,"",COUNTIF($F$3:F36,"&gt;0")),"")</f>
        <v>10</v>
      </c>
      <c r="H36" t="str">
        <f t="shared" si="2"/>
        <v/>
      </c>
      <c r="I36">
        <f t="shared" si="9"/>
        <v>1</v>
      </c>
      <c r="J36">
        <f>IFERROR(IF(I36=0,"",COUNTIF($I$3:I36,"&gt;0")),"")</f>
        <v>11</v>
      </c>
      <c r="K36" t="str">
        <f t="shared" si="3"/>
        <v>BABLU MONDAL</v>
      </c>
      <c r="L36" t="str">
        <f t="shared" si="10"/>
        <v>LAB</v>
      </c>
      <c r="M36" t="str">
        <f t="shared" si="11"/>
        <v/>
      </c>
      <c r="N36">
        <f>IFERROR(IF(M36=0,"",COUNTIF($M$3:M36,"&gt;0")),"")</f>
        <v>13</v>
      </c>
      <c r="O36" t="str">
        <f t="shared" si="4"/>
        <v/>
      </c>
      <c r="P36" t="str">
        <f t="shared" si="12"/>
        <v/>
      </c>
      <c r="Q36" t="str">
        <f t="shared" si="13"/>
        <v/>
      </c>
      <c r="R36">
        <f>IFERROR(IF(Q36=0,"",COUNTIF($Q$3:Q36,"&gt;0")),"")</f>
        <v>10</v>
      </c>
      <c r="S36" t="str">
        <f t="shared" si="5"/>
        <v/>
      </c>
      <c r="T36" t="str">
        <f t="shared" si="14"/>
        <v/>
      </c>
      <c r="U36">
        <f>IFERROR(IF(T36=0,"",COUNTIF($T$3:T36,"&gt;0")),"")</f>
        <v>0</v>
      </c>
      <c r="V36" t="str">
        <f t="shared" si="6"/>
        <v/>
      </c>
      <c r="W36" t="str">
        <f t="shared" si="7"/>
        <v>JALANDRIVERNANDAN</v>
      </c>
      <c r="X36" t="str">
        <f>'OTHER PLANT ATTN.'!C:C</f>
        <v>NANDAN</v>
      </c>
      <c r="Y36" t="str">
        <f>Table1[[#This Row],[CATEGORY ]]</f>
        <v>DRIVER</v>
      </c>
      <c r="Z36" t="str">
        <f>Table1[[#This Row],[PLANT]]</f>
        <v>JALAN</v>
      </c>
    </row>
    <row r="37" spans="1:26">
      <c r="A37" t="str">
        <f t="shared" si="1"/>
        <v xml:space="preserve">WAGESDRIVERSIRAJUL  MOLLA  </v>
      </c>
      <c r="B37" t="str">
        <f>Table4[[#This Row],[CATEGORY]]</f>
        <v>WAGES</v>
      </c>
      <c r="C37" t="str">
        <f>Table4[[#This Row],[SUB-CATEGORY]]</f>
        <v>DRIVER</v>
      </c>
      <c r="D37" t="str">
        <f>'RJ ATTENDENCE SHEET'!C:C</f>
        <v xml:space="preserve">SIRAJUL  MOLLA  </v>
      </c>
      <c r="E37" t="str">
        <f t="shared" si="0"/>
        <v>DRIVER</v>
      </c>
      <c r="F37" t="str">
        <f t="shared" si="8"/>
        <v/>
      </c>
      <c r="G37">
        <f>IFERROR(IF(F37=0,"",COUNTIF($F$3:F37,"&gt;0")),"")</f>
        <v>10</v>
      </c>
      <c r="H37" t="str">
        <f t="shared" si="2"/>
        <v/>
      </c>
      <c r="I37">
        <f t="shared" si="9"/>
        <v>1</v>
      </c>
      <c r="J37">
        <f>IFERROR(IF(I37=0,"",COUNTIF($I$3:I37,"&gt;0")),"")</f>
        <v>12</v>
      </c>
      <c r="K37" t="str">
        <f t="shared" si="3"/>
        <v/>
      </c>
      <c r="L37" t="str">
        <f t="shared" si="10"/>
        <v/>
      </c>
      <c r="M37" t="str">
        <f t="shared" si="11"/>
        <v/>
      </c>
      <c r="N37">
        <f>IFERROR(IF(M37=0,"",COUNTIF($M$3:M37,"&gt;0")),"")</f>
        <v>13</v>
      </c>
      <c r="O37" t="str">
        <f t="shared" si="4"/>
        <v/>
      </c>
      <c r="P37" t="str">
        <f t="shared" si="12"/>
        <v/>
      </c>
      <c r="Q37" t="str">
        <f t="shared" si="13"/>
        <v/>
      </c>
      <c r="R37">
        <f>IFERROR(IF(Q37=0,"",COUNTIF($Q$3:Q37,"&gt;0")),"")</f>
        <v>10</v>
      </c>
      <c r="S37" t="str">
        <f t="shared" si="5"/>
        <v/>
      </c>
      <c r="T37" t="str">
        <f t="shared" si="14"/>
        <v/>
      </c>
      <c r="U37">
        <f>IFERROR(IF(T37=0,"",COUNTIF($T$3:T37,"&gt;0")),"")</f>
        <v>0</v>
      </c>
      <c r="V37" t="str">
        <f t="shared" si="6"/>
        <v/>
      </c>
      <c r="W37" t="str">
        <f t="shared" si="7"/>
        <v>TARATALADRIVERNISHIKANTA</v>
      </c>
      <c r="X37" t="str">
        <f>'OTHER PLANT ATTN.'!C:C</f>
        <v>NISHIKANTA</v>
      </c>
      <c r="Y37" t="str">
        <f>Table1[[#This Row],[CATEGORY ]]</f>
        <v>DRIVER</v>
      </c>
      <c r="Z37" t="str">
        <f>Table1[[#This Row],[PLANT]]</f>
        <v>TARATALA</v>
      </c>
    </row>
    <row r="38" spans="1:26">
      <c r="A38" t="str">
        <f t="shared" si="1"/>
        <v>WAGESHELPERSK. ANARUL ISLAM</v>
      </c>
      <c r="B38" t="str">
        <f>Table4[[#This Row],[CATEGORY]]</f>
        <v>WAGES</v>
      </c>
      <c r="C38" t="str">
        <f>Table4[[#This Row],[SUB-CATEGORY]]</f>
        <v>HELPER</v>
      </c>
      <c r="D38" t="str">
        <f>'RJ ATTENDENCE SHEET'!C:C</f>
        <v>SK. ANARUL ISLAM</v>
      </c>
      <c r="E38" t="str">
        <f t="shared" si="0"/>
        <v>HELPER</v>
      </c>
      <c r="F38" t="str">
        <f t="shared" si="8"/>
        <v/>
      </c>
      <c r="G38">
        <f>IFERROR(IF(F38=0,"",COUNTIF($F$3:F38,"&gt;0")),"")</f>
        <v>10</v>
      </c>
      <c r="H38" t="str">
        <f t="shared" si="2"/>
        <v/>
      </c>
      <c r="I38">
        <f t="shared" si="9"/>
        <v>1</v>
      </c>
      <c r="J38">
        <f>IFERROR(IF(I38=0,"",COUNTIF($I$3:I38,"&gt;0")),"")</f>
        <v>13</v>
      </c>
      <c r="K38" t="str">
        <f t="shared" si="3"/>
        <v/>
      </c>
      <c r="L38" t="str">
        <f t="shared" si="10"/>
        <v/>
      </c>
      <c r="M38" t="str">
        <f t="shared" si="11"/>
        <v/>
      </c>
      <c r="N38">
        <f>IFERROR(IF(M38=0,"",COUNTIF($M$3:M38,"&gt;0")),"")</f>
        <v>13</v>
      </c>
      <c r="O38" t="str">
        <f t="shared" si="4"/>
        <v/>
      </c>
      <c r="P38" t="str">
        <f t="shared" si="12"/>
        <v/>
      </c>
      <c r="Q38" t="str">
        <f t="shared" si="13"/>
        <v/>
      </c>
      <c r="R38">
        <f>IFERROR(IF(Q38=0,"",COUNTIF($Q$3:Q38,"&gt;0")),"")</f>
        <v>10</v>
      </c>
      <c r="S38" t="str">
        <f t="shared" si="5"/>
        <v/>
      </c>
      <c r="T38" t="str">
        <f t="shared" si="14"/>
        <v/>
      </c>
      <c r="U38">
        <f>IFERROR(IF(T38=0,"",COUNTIF($T$3:T38,"&gt;0")),"")</f>
        <v>0</v>
      </c>
      <c r="V38" t="str">
        <f t="shared" si="6"/>
        <v/>
      </c>
      <c r="W38" t="str">
        <f t="shared" si="7"/>
        <v>TARATALADRIVERPRANJIT</v>
      </c>
      <c r="X38" t="str">
        <f>'OTHER PLANT ATTN.'!C:C</f>
        <v>PRANJIT</v>
      </c>
      <c r="Y38" t="str">
        <f>Table1[[#This Row],[CATEGORY ]]</f>
        <v>DRIVER</v>
      </c>
      <c r="Z38" t="str">
        <f>Table1[[#This Row],[PLANT]]</f>
        <v>TARATALA</v>
      </c>
    </row>
    <row r="39" spans="1:26">
      <c r="A39" t="str">
        <f t="shared" si="1"/>
        <v>WAGESHOPPERSRISTI DHAR MONDAL</v>
      </c>
      <c r="B39" t="str">
        <f>Table4[[#This Row],[CATEGORY]]</f>
        <v>WAGES</v>
      </c>
      <c r="C39" t="str">
        <f>Table4[[#This Row],[SUB-CATEGORY]]</f>
        <v>HOPPER</v>
      </c>
      <c r="D39" t="str">
        <f>'RJ ATTENDENCE SHEET'!C:C</f>
        <v>SRISTI DHAR MONDAL</v>
      </c>
      <c r="E39" t="str">
        <f t="shared" si="0"/>
        <v>HOPPER</v>
      </c>
      <c r="F39" t="str">
        <f t="shared" si="8"/>
        <v/>
      </c>
      <c r="G39">
        <f>IFERROR(IF(F39=0,"",COUNTIF($F$3:F39,"&gt;0")),"")</f>
        <v>10</v>
      </c>
      <c r="H39" t="str">
        <f t="shared" si="2"/>
        <v/>
      </c>
      <c r="I39">
        <f t="shared" si="9"/>
        <v>1</v>
      </c>
      <c r="J39">
        <f>IFERROR(IF(I39=0,"",COUNTIF($I$3:I39,"&gt;0")),"")</f>
        <v>14</v>
      </c>
      <c r="K39" t="str">
        <f t="shared" si="3"/>
        <v/>
      </c>
      <c r="L39" t="str">
        <f t="shared" si="10"/>
        <v/>
      </c>
      <c r="M39" t="str">
        <f t="shared" si="11"/>
        <v/>
      </c>
      <c r="N39">
        <f>IFERROR(IF(M39=0,"",COUNTIF($M$3:M39,"&gt;0")),"")</f>
        <v>13</v>
      </c>
      <c r="O39" t="str">
        <f t="shared" si="4"/>
        <v/>
      </c>
      <c r="P39" t="str">
        <f t="shared" si="12"/>
        <v/>
      </c>
      <c r="Q39" t="str">
        <f t="shared" si="13"/>
        <v/>
      </c>
      <c r="R39">
        <f>IFERROR(IF(Q39=0,"",COUNTIF($Q$3:Q39,"&gt;0")),"")</f>
        <v>10</v>
      </c>
      <c r="S39" t="str">
        <f t="shared" si="5"/>
        <v/>
      </c>
      <c r="T39" t="str">
        <f t="shared" si="14"/>
        <v/>
      </c>
      <c r="U39">
        <f>IFERROR(IF(T39=0,"",COUNTIF($T$3:T39,"&gt;0")),"")</f>
        <v>0</v>
      </c>
      <c r="V39" t="str">
        <f t="shared" si="6"/>
        <v/>
      </c>
      <c r="W39" t="str">
        <f t="shared" si="7"/>
        <v>TARATALAHELPERSUMANTA</v>
      </c>
      <c r="X39" t="str">
        <f>'OTHER PLANT ATTN.'!C:C</f>
        <v>SUMANTA</v>
      </c>
      <c r="Y39" t="str">
        <f>Table1[[#This Row],[CATEGORY ]]</f>
        <v>HELPER</v>
      </c>
      <c r="Z39" t="str">
        <f>Table1[[#This Row],[PLANT]]</f>
        <v>TARATALA</v>
      </c>
    </row>
    <row r="40" spans="1:26">
      <c r="A40" t="str">
        <f t="shared" si="1"/>
        <v>WAGESHOPPERSUDHAN MONDAL</v>
      </c>
      <c r="B40" t="str">
        <f>Table4[[#This Row],[CATEGORY]]</f>
        <v>WAGES</v>
      </c>
      <c r="C40" t="str">
        <f>Table4[[#This Row],[SUB-CATEGORY]]</f>
        <v>HOPPER</v>
      </c>
      <c r="D40" t="str">
        <f>'RJ ATTENDENCE SHEET'!C:C</f>
        <v>SUDHAN MONDAL</v>
      </c>
      <c r="E40" t="str">
        <f t="shared" si="0"/>
        <v>HOPPER</v>
      </c>
      <c r="F40" t="str">
        <f t="shared" si="8"/>
        <v/>
      </c>
      <c r="G40">
        <f>IFERROR(IF(F40=0,"",COUNTIF($F$3:F40,"&gt;0")),"")</f>
        <v>10</v>
      </c>
      <c r="H40" t="str">
        <f t="shared" si="2"/>
        <v/>
      </c>
      <c r="I40">
        <f t="shared" si="9"/>
        <v>1</v>
      </c>
      <c r="J40">
        <f>IFERROR(IF(I40=0,"",COUNTIF($I$3:I40,"&gt;0")),"")</f>
        <v>15</v>
      </c>
      <c r="K40" t="str">
        <f t="shared" si="3"/>
        <v/>
      </c>
      <c r="L40" t="str">
        <f t="shared" si="10"/>
        <v/>
      </c>
      <c r="M40" t="str">
        <f t="shared" si="11"/>
        <v/>
      </c>
      <c r="N40">
        <f>IFERROR(IF(M40=0,"",COUNTIF($M$3:M40,"&gt;0")),"")</f>
        <v>13</v>
      </c>
      <c r="O40" t="str">
        <f t="shared" si="4"/>
        <v/>
      </c>
      <c r="P40" t="str">
        <f t="shared" si="12"/>
        <v/>
      </c>
      <c r="Q40" t="str">
        <f t="shared" si="13"/>
        <v/>
      </c>
      <c r="R40">
        <f>IFERROR(IF(Q40=0,"",COUNTIF($Q$3:Q40,"&gt;0")),"")</f>
        <v>10</v>
      </c>
      <c r="S40" t="str">
        <f t="shared" si="5"/>
        <v/>
      </c>
      <c r="T40" t="str">
        <f t="shared" si="14"/>
        <v/>
      </c>
      <c r="U40">
        <f>IFERROR(IF(T40=0,"",COUNTIF($T$3:T40,"&gt;0")),"")</f>
        <v>0</v>
      </c>
      <c r="V40" t="str">
        <f t="shared" si="6"/>
        <v/>
      </c>
      <c r="W40" t="str">
        <f t="shared" si="7"/>
        <v>000</v>
      </c>
      <c r="X40">
        <f>'OTHER PLANT ATTN.'!C:C</f>
        <v>0</v>
      </c>
      <c r="Y40">
        <f>Table1[[#This Row],[CATEGORY ]]</f>
        <v>0</v>
      </c>
      <c r="Z40">
        <f>Table1[[#This Row],[PLANT]]</f>
        <v>0</v>
      </c>
    </row>
    <row r="41" spans="1:26">
      <c r="A41" t="str">
        <f t="shared" si="1"/>
        <v>WAGESLABSWAPAN MONDAL</v>
      </c>
      <c r="B41" t="str">
        <f>Table4[[#This Row],[CATEGORY]]</f>
        <v>WAGES</v>
      </c>
      <c r="C41" t="str">
        <f>Table4[[#This Row],[SUB-CATEGORY]]</f>
        <v>LAB</v>
      </c>
      <c r="D41" t="str">
        <f>'RJ ATTENDENCE SHEET'!C:C</f>
        <v>SWAPAN MONDAL</v>
      </c>
      <c r="E41" t="str">
        <f t="shared" si="0"/>
        <v>LAB</v>
      </c>
      <c r="F41" t="str">
        <f t="shared" si="8"/>
        <v/>
      </c>
      <c r="G41">
        <f>IFERROR(IF(F41=0,"",COUNTIF($F$3:F41,"&gt;0")),"")</f>
        <v>10</v>
      </c>
      <c r="H41" t="str">
        <f t="shared" si="2"/>
        <v/>
      </c>
      <c r="I41">
        <f t="shared" si="9"/>
        <v>1</v>
      </c>
      <c r="J41">
        <f>IFERROR(IF(I41=0,"",COUNTIF($I$3:I41,"&gt;0")),"")</f>
        <v>16</v>
      </c>
      <c r="K41" t="str">
        <f t="shared" si="3"/>
        <v/>
      </c>
      <c r="L41" t="str">
        <f t="shared" si="10"/>
        <v/>
      </c>
      <c r="M41" t="str">
        <f t="shared" si="11"/>
        <v/>
      </c>
      <c r="N41">
        <f>IFERROR(IF(M41=0,"",COUNTIF($M$3:M41,"&gt;0")),"")</f>
        <v>13</v>
      </c>
      <c r="O41" t="str">
        <f t="shared" si="4"/>
        <v/>
      </c>
      <c r="P41" t="str">
        <f t="shared" si="12"/>
        <v/>
      </c>
      <c r="Q41" t="str">
        <f t="shared" si="13"/>
        <v/>
      </c>
      <c r="R41">
        <f>IFERROR(IF(Q41=0,"",COUNTIF($Q$3:Q41,"&gt;0")),"")</f>
        <v>10</v>
      </c>
      <c r="S41" t="str">
        <f t="shared" si="5"/>
        <v/>
      </c>
      <c r="T41" t="str">
        <f t="shared" si="14"/>
        <v/>
      </c>
      <c r="U41">
        <f>IFERROR(IF(T41=0,"",COUNTIF($T$3:T41,"&gt;0")),"")</f>
        <v>0</v>
      </c>
      <c r="V41" t="str">
        <f t="shared" si="6"/>
        <v/>
      </c>
      <c r="W41" t="str">
        <f t="shared" si="7"/>
        <v>000</v>
      </c>
      <c r="X41">
        <f>'OTHER PLANT ATTN.'!C:C</f>
        <v>0</v>
      </c>
      <c r="Y41">
        <f>Table1[[#This Row],[CATEGORY ]]</f>
        <v>0</v>
      </c>
      <c r="Z41">
        <f>Table1[[#This Row],[PLANT]]</f>
        <v>0</v>
      </c>
    </row>
    <row r="42" spans="1:26">
      <c r="A42" t="str">
        <f t="shared" si="1"/>
        <v>SALARYOFFICEUJJAL MUKHERJEE</v>
      </c>
      <c r="B42" t="str">
        <f>Table4[[#This Row],[CATEGORY]]</f>
        <v>SALARY</v>
      </c>
      <c r="C42" t="str">
        <f>Table4[[#This Row],[SUB-CATEGORY]]</f>
        <v>OFFICE</v>
      </c>
      <c r="D42" t="str">
        <f>'RJ ATTENDENCE SHEET'!C:C</f>
        <v>UJJAL MUKHERJEE</v>
      </c>
      <c r="E42" t="str">
        <f t="shared" si="0"/>
        <v>OFFICE</v>
      </c>
      <c r="F42">
        <f t="shared" si="8"/>
        <v>1</v>
      </c>
      <c r="G42">
        <f>IFERROR(IF(F42=0,"",COUNTIF($F$3:F42,"&gt;0")),"")</f>
        <v>11</v>
      </c>
      <c r="H42" t="str">
        <f t="shared" si="2"/>
        <v/>
      </c>
      <c r="I42" t="str">
        <f t="shared" si="9"/>
        <v/>
      </c>
      <c r="J42">
        <f>IFERROR(IF(I42=0,"",COUNTIF($I$3:I42,"&gt;0")),"")</f>
        <v>16</v>
      </c>
      <c r="K42" t="str">
        <f t="shared" si="3"/>
        <v/>
      </c>
      <c r="L42" t="str">
        <f t="shared" si="10"/>
        <v/>
      </c>
      <c r="M42" t="str">
        <f t="shared" si="11"/>
        <v/>
      </c>
      <c r="N42">
        <f>IFERROR(IF(M42=0,"",COUNTIF($M$3:M42,"&gt;0")),"")</f>
        <v>13</v>
      </c>
      <c r="O42" t="str">
        <f t="shared" si="4"/>
        <v/>
      </c>
      <c r="P42" t="str">
        <f t="shared" si="12"/>
        <v/>
      </c>
      <c r="Q42">
        <f t="shared" si="13"/>
        <v>1</v>
      </c>
      <c r="R42">
        <f>IFERROR(IF(Q42=0,"",COUNTIF($Q$3:Q42,"&gt;0")),"")</f>
        <v>11</v>
      </c>
      <c r="S42" t="str">
        <f t="shared" si="5"/>
        <v/>
      </c>
      <c r="T42" t="str">
        <f t="shared" si="14"/>
        <v/>
      </c>
      <c r="U42">
        <f>IFERROR(IF(T42=0,"",COUNTIF($T$3:T42,"&gt;0")),"")</f>
        <v>0</v>
      </c>
      <c r="V42" t="str">
        <f t="shared" si="6"/>
        <v/>
      </c>
      <c r="W42" t="str">
        <f t="shared" si="7"/>
        <v>000</v>
      </c>
      <c r="X42">
        <f>'OTHER PLANT ATTN.'!C:C</f>
        <v>0</v>
      </c>
      <c r="Y42">
        <f>Table1[[#This Row],[CATEGORY ]]</f>
        <v>0</v>
      </c>
      <c r="Z42">
        <f>Table1[[#This Row],[PLANT]]</f>
        <v>0</v>
      </c>
    </row>
    <row r="43" spans="1:26">
      <c r="A43" t="str">
        <f t="shared" si="1"/>
        <v>WAGESDRIVERMOSIAR MOLLA</v>
      </c>
      <c r="B43" t="str">
        <f>Table4[[#This Row],[CATEGORY]]</f>
        <v>WAGES</v>
      </c>
      <c r="C43" t="str">
        <f>Table4[[#This Row],[SUB-CATEGORY]]</f>
        <v>DRIVER</v>
      </c>
      <c r="D43" t="str">
        <f>'RJ ATTENDENCE SHEET'!C:C</f>
        <v>MOSIAR MOLLA</v>
      </c>
      <c r="E43" t="str">
        <f t="shared" si="0"/>
        <v>DRIVER</v>
      </c>
      <c r="F43" t="str">
        <f t="shared" si="8"/>
        <v/>
      </c>
      <c r="G43">
        <f>IFERROR(IF(F43=0,"",COUNTIF($F$3:F43,"&gt;0")),"")</f>
        <v>11</v>
      </c>
      <c r="H43" t="str">
        <f t="shared" si="2"/>
        <v/>
      </c>
      <c r="I43">
        <f t="shared" si="9"/>
        <v>1</v>
      </c>
      <c r="J43">
        <f>IFERROR(IF(I43=0,"",COUNTIF($I$3:I43,"&gt;0")),"")</f>
        <v>17</v>
      </c>
      <c r="K43" t="str">
        <f t="shared" si="3"/>
        <v/>
      </c>
      <c r="L43" t="str">
        <f t="shared" si="10"/>
        <v/>
      </c>
      <c r="M43" t="str">
        <f t="shared" si="11"/>
        <v/>
      </c>
      <c r="N43">
        <f>IFERROR(IF(M43=0,"",COUNTIF($M$3:M43,"&gt;0")),"")</f>
        <v>13</v>
      </c>
      <c r="O43" t="str">
        <f t="shared" si="4"/>
        <v/>
      </c>
      <c r="P43" t="str">
        <f t="shared" si="12"/>
        <v/>
      </c>
      <c r="Q43" t="str">
        <f t="shared" si="13"/>
        <v/>
      </c>
      <c r="R43">
        <f>IFERROR(IF(Q43=0,"",COUNTIF($Q$3:Q43,"&gt;0")),"")</f>
        <v>11</v>
      </c>
      <c r="S43" t="str">
        <f t="shared" si="5"/>
        <v/>
      </c>
      <c r="T43" t="str">
        <f t="shared" si="14"/>
        <v/>
      </c>
      <c r="U43">
        <f>IFERROR(IF(T43=0,"",COUNTIF($T$3:T43,"&gt;0")),"")</f>
        <v>0</v>
      </c>
      <c r="V43" t="str">
        <f t="shared" si="6"/>
        <v/>
      </c>
      <c r="W43" t="str">
        <f t="shared" si="7"/>
        <v>000</v>
      </c>
      <c r="X43">
        <f>'OTHER PLANT ATTN.'!C:C</f>
        <v>0</v>
      </c>
      <c r="Y43">
        <f>Table1[[#This Row],[CATEGORY ]]</f>
        <v>0</v>
      </c>
      <c r="Z43">
        <f>Table1[[#This Row],[PLANT]]</f>
        <v>0</v>
      </c>
    </row>
    <row r="44" spans="1:26">
      <c r="A44" t="str">
        <f t="shared" si="1"/>
        <v>WAGESDRIVERISRAFIL DHALI</v>
      </c>
      <c r="B44" t="str">
        <f>Table4[[#This Row],[CATEGORY]]</f>
        <v>WAGES</v>
      </c>
      <c r="C44" t="str">
        <f>Table4[[#This Row],[SUB-CATEGORY]]</f>
        <v>DRIVER</v>
      </c>
      <c r="D44" t="str">
        <f>'RJ ATTENDENCE SHEET'!C:C</f>
        <v>ISRAFIL DHALI</v>
      </c>
      <c r="E44" t="str">
        <f t="shared" si="0"/>
        <v>DRIVER</v>
      </c>
      <c r="F44" t="str">
        <f t="shared" si="8"/>
        <v/>
      </c>
      <c r="G44">
        <f>IFERROR(IF(F44=0,"",COUNTIF($F$3:F44,"&gt;0")),"")</f>
        <v>11</v>
      </c>
      <c r="H44" t="str">
        <f t="shared" si="2"/>
        <v/>
      </c>
      <c r="I44">
        <f t="shared" si="9"/>
        <v>1</v>
      </c>
      <c r="J44">
        <f>IFERROR(IF(I44=0,"",COUNTIF($I$3:I44,"&gt;0")),"")</f>
        <v>18</v>
      </c>
      <c r="K44" t="str">
        <f t="shared" si="3"/>
        <v/>
      </c>
      <c r="L44" t="str">
        <f t="shared" si="10"/>
        <v/>
      </c>
      <c r="M44" t="str">
        <f t="shared" si="11"/>
        <v/>
      </c>
      <c r="N44">
        <f>IFERROR(IF(M44=0,"",COUNTIF($M$3:M44,"&gt;0")),"")</f>
        <v>13</v>
      </c>
      <c r="O44" t="str">
        <f t="shared" si="4"/>
        <v/>
      </c>
      <c r="P44" t="str">
        <f t="shared" si="12"/>
        <v/>
      </c>
      <c r="Q44" t="str">
        <f t="shared" si="13"/>
        <v/>
      </c>
      <c r="R44">
        <f>IFERROR(IF(Q44=0,"",COUNTIF($Q$3:Q44,"&gt;0")),"")</f>
        <v>11</v>
      </c>
      <c r="S44" t="str">
        <f t="shared" si="5"/>
        <v/>
      </c>
      <c r="T44" t="str">
        <f t="shared" si="14"/>
        <v/>
      </c>
      <c r="U44">
        <f>IFERROR(IF(T44=0,"",COUNTIF($T$3:T44,"&gt;0")),"")</f>
        <v>0</v>
      </c>
      <c r="V44" t="str">
        <f t="shared" si="6"/>
        <v/>
      </c>
      <c r="W44" t="str">
        <f t="shared" si="7"/>
        <v>000</v>
      </c>
      <c r="X44">
        <f>'OTHER PLANT ATTN.'!C:C</f>
        <v>0</v>
      </c>
      <c r="Y44">
        <f>Table1[[#This Row],[CATEGORY ]]</f>
        <v>0</v>
      </c>
      <c r="Z44">
        <f>Table1[[#This Row],[PLANT]]</f>
        <v>0</v>
      </c>
    </row>
    <row r="45" spans="1:26">
      <c r="A45" t="str">
        <f t="shared" si="1"/>
        <v>WAGESDRIVERROUF MONDAL</v>
      </c>
      <c r="B45" t="str">
        <f>Table4[[#This Row],[CATEGORY]]</f>
        <v>WAGES</v>
      </c>
      <c r="C45" t="str">
        <f>Table4[[#This Row],[SUB-CATEGORY]]</f>
        <v>DRIVER</v>
      </c>
      <c r="D45" t="str">
        <f>'RJ ATTENDENCE SHEET'!C:C</f>
        <v>ROUF MONDAL</v>
      </c>
      <c r="E45" t="str">
        <f t="shared" si="0"/>
        <v>DRIVER</v>
      </c>
      <c r="F45" t="str">
        <f t="shared" si="8"/>
        <v/>
      </c>
      <c r="G45">
        <f>IFERROR(IF(F45=0,"",COUNTIF($F$3:F45,"&gt;0")),"")</f>
        <v>11</v>
      </c>
      <c r="H45" t="str">
        <f t="shared" si="2"/>
        <v/>
      </c>
      <c r="I45">
        <f t="shared" si="9"/>
        <v>1</v>
      </c>
      <c r="J45">
        <f>IFERROR(IF(I45=0,"",COUNTIF($I$3:I45,"&gt;0")),"")</f>
        <v>19</v>
      </c>
      <c r="K45" t="str">
        <f t="shared" si="3"/>
        <v/>
      </c>
      <c r="L45" t="str">
        <f t="shared" si="10"/>
        <v/>
      </c>
      <c r="M45" t="str">
        <f t="shared" si="11"/>
        <v/>
      </c>
      <c r="N45">
        <f>IFERROR(IF(M45=0,"",COUNTIF($M$3:M45,"&gt;0")),"")</f>
        <v>13</v>
      </c>
      <c r="O45" t="str">
        <f t="shared" si="4"/>
        <v/>
      </c>
      <c r="P45" t="str">
        <f t="shared" si="12"/>
        <v/>
      </c>
      <c r="Q45" t="str">
        <f t="shared" si="13"/>
        <v/>
      </c>
      <c r="R45">
        <f>IFERROR(IF(Q45=0,"",COUNTIF($Q$3:Q45,"&gt;0")),"")</f>
        <v>11</v>
      </c>
      <c r="S45" t="str">
        <f t="shared" si="5"/>
        <v/>
      </c>
      <c r="T45" t="str">
        <f t="shared" si="14"/>
        <v/>
      </c>
      <c r="U45">
        <f>IFERROR(IF(T45=0,"",COUNTIF($T$3:T45,"&gt;0")),"")</f>
        <v>0</v>
      </c>
      <c r="V45" t="str">
        <f t="shared" si="6"/>
        <v/>
      </c>
      <c r="W45" t="str">
        <f t="shared" si="7"/>
        <v>000</v>
      </c>
      <c r="X45">
        <f>'OTHER PLANT ATTN.'!C:C</f>
        <v>0</v>
      </c>
      <c r="Y45">
        <f>Table1[[#This Row],[CATEGORY ]]</f>
        <v>0</v>
      </c>
      <c r="Z45">
        <f>Table1[[#This Row],[PLANT]]</f>
        <v>0</v>
      </c>
    </row>
    <row r="46" spans="1:26">
      <c r="A46" t="str">
        <f t="shared" si="1"/>
        <v>CONTRACTHELPERJAMSHED ALI</v>
      </c>
      <c r="B46" t="str">
        <f>Table4[[#This Row],[CATEGORY]]</f>
        <v>CONTRACT</v>
      </c>
      <c r="C46" t="str">
        <f>Table4[[#This Row],[SUB-CATEGORY]]</f>
        <v>HELPER</v>
      </c>
      <c r="D46" t="str">
        <f>'RJ ATTENDENCE SHEET'!C:C</f>
        <v>JAMSHED ALI</v>
      </c>
      <c r="E46" t="str">
        <f t="shared" si="0"/>
        <v>HELPER</v>
      </c>
      <c r="F46" t="str">
        <f t="shared" si="8"/>
        <v/>
      </c>
      <c r="G46">
        <f>IFERROR(IF(F46=0,"",COUNTIF($F$3:F46,"&gt;0")),"")</f>
        <v>11</v>
      </c>
      <c r="H46" t="str">
        <f t="shared" si="2"/>
        <v/>
      </c>
      <c r="I46" t="str">
        <f t="shared" si="9"/>
        <v/>
      </c>
      <c r="J46">
        <f>IFERROR(IF(I46=0,"",COUNTIF($I$3:I46,"&gt;0")),"")</f>
        <v>19</v>
      </c>
      <c r="K46" t="str">
        <f t="shared" si="3"/>
        <v/>
      </c>
      <c r="L46" t="str">
        <f t="shared" si="10"/>
        <v/>
      </c>
      <c r="M46">
        <f t="shared" si="11"/>
        <v>1</v>
      </c>
      <c r="N46">
        <f>IFERROR(IF(M46=0,"",COUNTIF($M$3:M46,"&gt;0")),"")</f>
        <v>14</v>
      </c>
      <c r="O46" t="str">
        <f t="shared" si="4"/>
        <v/>
      </c>
      <c r="P46" t="str">
        <f t="shared" si="12"/>
        <v/>
      </c>
      <c r="Q46" t="str">
        <f t="shared" si="13"/>
        <v/>
      </c>
      <c r="R46">
        <f>IFERROR(IF(Q46=0,"",COUNTIF($Q$3:Q46,"&gt;0")),"")</f>
        <v>11</v>
      </c>
      <c r="S46" t="str">
        <f t="shared" si="5"/>
        <v/>
      </c>
      <c r="T46" t="str">
        <f t="shared" si="14"/>
        <v/>
      </c>
      <c r="U46">
        <f>IFERROR(IF(T46=0,"",COUNTIF($T$3:T46,"&gt;0")),"")</f>
        <v>0</v>
      </c>
      <c r="V46" t="str">
        <f t="shared" si="6"/>
        <v/>
      </c>
      <c r="W46" t="str">
        <f t="shared" si="7"/>
        <v>000</v>
      </c>
      <c r="X46">
        <f>'OTHER PLANT ATTN.'!C:C</f>
        <v>0</v>
      </c>
      <c r="Y46">
        <f>Table1[[#This Row],[CATEGORY ]]</f>
        <v>0</v>
      </c>
      <c r="Z46">
        <f>Table1[[#This Row],[PLANT]]</f>
        <v>0</v>
      </c>
    </row>
    <row r="47" spans="1:26">
      <c r="A47" t="str">
        <f t="shared" si="1"/>
        <v>CONTRACTHELPERABHIJIT MONDAL</v>
      </c>
      <c r="B47" t="str">
        <f>Table4[[#This Row],[CATEGORY]]</f>
        <v>CONTRACT</v>
      </c>
      <c r="C47" t="str">
        <f>Table4[[#This Row],[SUB-CATEGORY]]</f>
        <v>HELPER</v>
      </c>
      <c r="D47" t="str">
        <f>'RJ ATTENDENCE SHEET'!C:C</f>
        <v>ABHIJIT MONDAL</v>
      </c>
      <c r="E47" t="str">
        <f t="shared" si="0"/>
        <v>HELPER</v>
      </c>
      <c r="F47" t="str">
        <f t="shared" si="8"/>
        <v/>
      </c>
      <c r="G47">
        <f>IFERROR(IF(F47=0,"",COUNTIF($F$3:F47,"&gt;0")),"")</f>
        <v>11</v>
      </c>
      <c r="H47" t="str">
        <f t="shared" si="2"/>
        <v/>
      </c>
      <c r="I47" t="str">
        <f t="shared" si="9"/>
        <v/>
      </c>
      <c r="J47">
        <f>IFERROR(IF(I47=0,"",COUNTIF($I$3:I47,"&gt;0")),"")</f>
        <v>19</v>
      </c>
      <c r="K47" t="str">
        <f t="shared" si="3"/>
        <v/>
      </c>
      <c r="L47" t="str">
        <f t="shared" si="10"/>
        <v/>
      </c>
      <c r="M47">
        <f t="shared" si="11"/>
        <v>1</v>
      </c>
      <c r="N47">
        <f>IFERROR(IF(M47=0,"",COUNTIF($M$3:M47,"&gt;0")),"")</f>
        <v>15</v>
      </c>
      <c r="O47" t="str">
        <f t="shared" si="4"/>
        <v/>
      </c>
      <c r="P47" t="str">
        <f t="shared" si="12"/>
        <v/>
      </c>
      <c r="Q47" t="str">
        <f t="shared" si="13"/>
        <v/>
      </c>
      <c r="R47">
        <f>IFERROR(IF(Q47=0,"",COUNTIF($Q$3:Q47,"&gt;0")),"")</f>
        <v>11</v>
      </c>
      <c r="S47" t="str">
        <f t="shared" si="5"/>
        <v/>
      </c>
      <c r="T47" t="str">
        <f t="shared" si="14"/>
        <v/>
      </c>
      <c r="U47">
        <f>IFERROR(IF(T47=0,"",COUNTIF($T$3:T47,"&gt;0")),"")</f>
        <v>0</v>
      </c>
      <c r="V47" t="str">
        <f t="shared" si="6"/>
        <v/>
      </c>
      <c r="W47" t="str">
        <f t="shared" si="7"/>
        <v>000</v>
      </c>
      <c r="X47">
        <f>'OTHER PLANT ATTN.'!C:C</f>
        <v>0</v>
      </c>
      <c r="Y47">
        <f>Table1[[#This Row],[CATEGORY ]]</f>
        <v>0</v>
      </c>
      <c r="Z47">
        <f>Table1[[#This Row],[PLANT]]</f>
        <v>0</v>
      </c>
    </row>
    <row r="48" spans="1:26">
      <c r="A48" t="str">
        <f t="shared" si="1"/>
        <v>CONTRACTHELPERKHALEK DHALI</v>
      </c>
      <c r="B48" t="str">
        <f>Table4[[#This Row],[CATEGORY]]</f>
        <v>CONTRACT</v>
      </c>
      <c r="C48" t="str">
        <f>Table4[[#This Row],[SUB-CATEGORY]]</f>
        <v>HELPER</v>
      </c>
      <c r="D48" t="str">
        <f>'RJ ATTENDENCE SHEET'!C:C</f>
        <v>KHALEK DHALI</v>
      </c>
      <c r="E48" t="str">
        <f t="shared" si="0"/>
        <v>HELPER</v>
      </c>
      <c r="F48" t="str">
        <f t="shared" si="8"/>
        <v/>
      </c>
      <c r="G48">
        <f>IFERROR(IF(F48=0,"",COUNTIF($F$3:F48,"&gt;0")),"")</f>
        <v>11</v>
      </c>
      <c r="H48" t="str">
        <f t="shared" si="2"/>
        <v/>
      </c>
      <c r="I48" t="str">
        <f t="shared" si="9"/>
        <v/>
      </c>
      <c r="J48">
        <f>IFERROR(IF(I48=0,"",COUNTIF($I$3:I48,"&gt;0")),"")</f>
        <v>19</v>
      </c>
      <c r="K48" t="str">
        <f t="shared" si="3"/>
        <v/>
      </c>
      <c r="L48" t="str">
        <f t="shared" si="10"/>
        <v/>
      </c>
      <c r="M48">
        <f t="shared" si="11"/>
        <v>1</v>
      </c>
      <c r="N48">
        <f>IFERROR(IF(M48=0,"",COUNTIF($M$3:M48,"&gt;0")),"")</f>
        <v>16</v>
      </c>
      <c r="O48" t="str">
        <f t="shared" si="4"/>
        <v/>
      </c>
      <c r="P48" t="str">
        <f t="shared" si="12"/>
        <v/>
      </c>
      <c r="Q48" t="str">
        <f t="shared" si="13"/>
        <v/>
      </c>
      <c r="R48">
        <f>IFERROR(IF(Q48=0,"",COUNTIF($Q$3:Q48,"&gt;0")),"")</f>
        <v>11</v>
      </c>
      <c r="S48" t="str">
        <f t="shared" si="5"/>
        <v/>
      </c>
      <c r="T48" t="str">
        <f t="shared" si="14"/>
        <v/>
      </c>
      <c r="U48">
        <f>IFERROR(IF(T48=0,"",COUNTIF($T$3:T48,"&gt;0")),"")</f>
        <v>0</v>
      </c>
      <c r="V48" t="str">
        <f t="shared" si="6"/>
        <v/>
      </c>
      <c r="W48" t="str">
        <f t="shared" si="7"/>
        <v>000</v>
      </c>
      <c r="X48">
        <f>'OTHER PLANT ATTN.'!C:C</f>
        <v>0</v>
      </c>
      <c r="Y48">
        <f>Table1[[#This Row],[CATEGORY ]]</f>
        <v>0</v>
      </c>
      <c r="Z48">
        <f>Table1[[#This Row],[PLANT]]</f>
        <v>0</v>
      </c>
    </row>
    <row r="49" spans="1:26">
      <c r="A49" t="str">
        <f t="shared" si="1"/>
        <v>CONTRACTHELPERJAMIR ALI</v>
      </c>
      <c r="B49" t="str">
        <f>Table4[[#This Row],[CATEGORY]]</f>
        <v>CONTRACT</v>
      </c>
      <c r="C49" t="str">
        <f>Table4[[#This Row],[SUB-CATEGORY]]</f>
        <v>HELPER</v>
      </c>
      <c r="D49" t="str">
        <f>'RJ ATTENDENCE SHEET'!C:C</f>
        <v>JAMIR ALI</v>
      </c>
      <c r="E49" t="str">
        <f t="shared" si="0"/>
        <v>HELPER</v>
      </c>
      <c r="F49" t="str">
        <f t="shared" si="8"/>
        <v/>
      </c>
      <c r="G49">
        <f>IFERROR(IF(F49=0,"",COUNTIF($F$3:F49,"&gt;0")),"")</f>
        <v>11</v>
      </c>
      <c r="H49" t="str">
        <f t="shared" si="2"/>
        <v/>
      </c>
      <c r="I49" t="str">
        <f t="shared" si="9"/>
        <v/>
      </c>
      <c r="J49">
        <f>IFERROR(IF(I49=0,"",COUNTIF($I$3:I49,"&gt;0")),"")</f>
        <v>19</v>
      </c>
      <c r="K49" t="str">
        <f t="shared" si="3"/>
        <v/>
      </c>
      <c r="L49" t="str">
        <f t="shared" si="10"/>
        <v/>
      </c>
      <c r="M49">
        <f t="shared" si="11"/>
        <v>1</v>
      </c>
      <c r="N49">
        <f>IFERROR(IF(M49=0,"",COUNTIF($M$3:M49,"&gt;0")),"")</f>
        <v>17</v>
      </c>
      <c r="O49" t="str">
        <f t="shared" si="4"/>
        <v/>
      </c>
      <c r="P49" t="str">
        <f t="shared" si="12"/>
        <v/>
      </c>
      <c r="Q49" t="str">
        <f t="shared" si="13"/>
        <v/>
      </c>
      <c r="R49">
        <f>IFERROR(IF(Q49=0,"",COUNTIF($Q$3:Q49,"&gt;0")),"")</f>
        <v>11</v>
      </c>
      <c r="S49" t="str">
        <f t="shared" si="5"/>
        <v/>
      </c>
      <c r="T49" t="str">
        <f t="shared" si="14"/>
        <v/>
      </c>
      <c r="U49">
        <f>IFERROR(IF(T49=0,"",COUNTIF($T$3:T49,"&gt;0")),"")</f>
        <v>0</v>
      </c>
      <c r="V49" t="str">
        <f t="shared" si="6"/>
        <v/>
      </c>
      <c r="W49" t="str">
        <f t="shared" si="7"/>
        <v>000</v>
      </c>
      <c r="X49">
        <f>'OTHER PLANT ATTN.'!C:C</f>
        <v>0</v>
      </c>
      <c r="Y49">
        <f>Table1[[#This Row],[CATEGORY ]]</f>
        <v>0</v>
      </c>
      <c r="Z49">
        <f>Table1[[#This Row],[PLANT]]</f>
        <v>0</v>
      </c>
    </row>
    <row r="50" spans="1:26">
      <c r="A50" t="str">
        <f t="shared" si="1"/>
        <v>WAGESLABKANAK JANA</v>
      </c>
      <c r="B50" t="str">
        <f>Table4[[#This Row],[CATEGORY]]</f>
        <v>WAGES</v>
      </c>
      <c r="C50" t="str">
        <f>Table4[[#This Row],[SUB-CATEGORY]]</f>
        <v>LAB</v>
      </c>
      <c r="D50" t="str">
        <f>'RJ ATTENDENCE SHEET'!C:C</f>
        <v>KANAK JANA</v>
      </c>
      <c r="E50" t="str">
        <f t="shared" si="0"/>
        <v>LAB</v>
      </c>
      <c r="F50" t="str">
        <f t="shared" si="8"/>
        <v/>
      </c>
      <c r="G50">
        <f>IFERROR(IF(F50=0,"",COUNTIF($F$3:F50,"&gt;0")),"")</f>
        <v>11</v>
      </c>
      <c r="H50" t="str">
        <f t="shared" si="2"/>
        <v/>
      </c>
      <c r="I50">
        <f t="shared" si="9"/>
        <v>1</v>
      </c>
      <c r="J50">
        <f>IFERROR(IF(I50=0,"",COUNTIF($I$3:I50,"&gt;0")),"")</f>
        <v>20</v>
      </c>
      <c r="K50" t="str">
        <f t="shared" si="3"/>
        <v/>
      </c>
      <c r="L50" t="str">
        <f t="shared" si="10"/>
        <v/>
      </c>
      <c r="M50" t="str">
        <f t="shared" si="11"/>
        <v/>
      </c>
      <c r="N50">
        <f>IFERROR(IF(M50=0,"",COUNTIF($M$3:M50,"&gt;0")),"")</f>
        <v>17</v>
      </c>
      <c r="O50" t="str">
        <f t="shared" si="4"/>
        <v/>
      </c>
      <c r="P50" t="str">
        <f t="shared" si="12"/>
        <v/>
      </c>
      <c r="Q50" t="str">
        <f t="shared" si="13"/>
        <v/>
      </c>
      <c r="R50">
        <f>IFERROR(IF(Q50=0,"",COUNTIF($Q$3:Q50,"&gt;0")),"")</f>
        <v>11</v>
      </c>
      <c r="S50" t="str">
        <f t="shared" si="5"/>
        <v/>
      </c>
      <c r="T50" t="str">
        <f t="shared" si="14"/>
        <v/>
      </c>
      <c r="U50">
        <f>IFERROR(IF(T50=0,"",COUNTIF($T$3:T50,"&gt;0")),"")</f>
        <v>0</v>
      </c>
      <c r="V50" t="str">
        <f t="shared" si="6"/>
        <v/>
      </c>
      <c r="W50" t="str">
        <f t="shared" si="7"/>
        <v>000</v>
      </c>
      <c r="X50">
        <f>'OTHER PLANT ATTN.'!C:C</f>
        <v>0</v>
      </c>
      <c r="Y50">
        <f>Table1[[#This Row],[CATEGORY ]]</f>
        <v>0</v>
      </c>
      <c r="Z50">
        <f>Table1[[#This Row],[PLANT]]</f>
        <v>0</v>
      </c>
    </row>
    <row r="51" spans="1:26">
      <c r="A51" t="str">
        <f t="shared" si="1"/>
        <v>WAGESOTHERSSOUMEN GARAI</v>
      </c>
      <c r="B51" t="str">
        <f>Table4[[#This Row],[CATEGORY]]</f>
        <v>WAGES</v>
      </c>
      <c r="C51" t="str">
        <f>Table4[[#This Row],[SUB-CATEGORY]]</f>
        <v>OTHERS</v>
      </c>
      <c r="D51" t="str">
        <f>'RJ ATTENDENCE SHEET'!C:C</f>
        <v>SOUMEN GARAI</v>
      </c>
      <c r="E51" t="str">
        <f t="shared" si="0"/>
        <v>OTHERS</v>
      </c>
      <c r="F51" t="str">
        <f t="shared" si="8"/>
        <v/>
      </c>
      <c r="G51">
        <f>IFERROR(IF(F51=0,"",COUNTIF($F$3:F51,"&gt;0")),"")</f>
        <v>11</v>
      </c>
      <c r="H51" t="str">
        <f t="shared" si="2"/>
        <v/>
      </c>
      <c r="I51">
        <f t="shared" si="9"/>
        <v>1</v>
      </c>
      <c r="J51">
        <f>IFERROR(IF(I51=0,"",COUNTIF($I$3:I51,"&gt;0")),"")</f>
        <v>21</v>
      </c>
      <c r="K51" t="str">
        <f t="shared" si="3"/>
        <v/>
      </c>
      <c r="L51" t="str">
        <f t="shared" si="10"/>
        <v/>
      </c>
      <c r="M51" t="str">
        <f t="shared" si="11"/>
        <v/>
      </c>
      <c r="N51">
        <f>IFERROR(IF(M51=0,"",COUNTIF($M$3:M51,"&gt;0")),"")</f>
        <v>17</v>
      </c>
      <c r="O51" t="str">
        <f t="shared" si="4"/>
        <v/>
      </c>
      <c r="P51" t="str">
        <f t="shared" si="12"/>
        <v/>
      </c>
      <c r="Q51" t="str">
        <f t="shared" si="13"/>
        <v/>
      </c>
      <c r="R51">
        <f>IFERROR(IF(Q51=0,"",COUNTIF($Q$3:Q51,"&gt;0")),"")</f>
        <v>11</v>
      </c>
      <c r="S51" t="str">
        <f t="shared" si="5"/>
        <v/>
      </c>
      <c r="T51" t="str">
        <f t="shared" si="14"/>
        <v/>
      </c>
      <c r="U51">
        <f>IFERROR(IF(T51=0,"",COUNTIF($T$3:T51,"&gt;0")),"")</f>
        <v>0</v>
      </c>
      <c r="V51" t="str">
        <f t="shared" si="6"/>
        <v/>
      </c>
      <c r="W51" t="str">
        <f t="shared" si="7"/>
        <v>TARATALAHELPERBISWANATH</v>
      </c>
      <c r="X51" t="str">
        <f>'OTHER PLANT ATTN.'!C:C</f>
        <v>BISWANATH</v>
      </c>
      <c r="Y51" t="str">
        <f>Table1[[#This Row],[CATEGORY ]]</f>
        <v>HELPER</v>
      </c>
      <c r="Z51" t="str">
        <f>Table1[[#This Row],[PLANT]]</f>
        <v>TARATALA</v>
      </c>
    </row>
    <row r="52" spans="1:26">
      <c r="A52" t="str">
        <f t="shared" si="1"/>
        <v>WAGESDRIVERASHOK MONDAL</v>
      </c>
      <c r="B52" t="str">
        <f>Table4[[#This Row],[CATEGORY]]</f>
        <v>WAGES</v>
      </c>
      <c r="C52" t="str">
        <f>Table4[[#This Row],[SUB-CATEGORY]]</f>
        <v>DRIVER</v>
      </c>
      <c r="D52" t="str">
        <f>'RJ ATTENDENCE SHEET'!C:C</f>
        <v>ASHOK MONDAL</v>
      </c>
      <c r="E52" t="str">
        <f t="shared" si="0"/>
        <v>DRIVER</v>
      </c>
      <c r="F52" t="str">
        <f t="shared" si="8"/>
        <v/>
      </c>
      <c r="G52">
        <f>IFERROR(IF(F52=0,"",COUNTIF($F$3:F52,"&gt;0")),"")</f>
        <v>11</v>
      </c>
      <c r="H52" t="str">
        <f t="shared" si="2"/>
        <v/>
      </c>
      <c r="I52">
        <f t="shared" si="9"/>
        <v>1</v>
      </c>
      <c r="J52">
        <f>IFERROR(IF(I52=0,"",COUNTIF($I$3:I52,"&gt;0")),"")</f>
        <v>22</v>
      </c>
      <c r="K52" t="str">
        <f t="shared" si="3"/>
        <v/>
      </c>
      <c r="L52" t="str">
        <f t="shared" si="10"/>
        <v/>
      </c>
      <c r="M52" t="str">
        <f t="shared" si="11"/>
        <v/>
      </c>
      <c r="N52">
        <f>IFERROR(IF(M52=0,"",COUNTIF($M$3:M52,"&gt;0")),"")</f>
        <v>17</v>
      </c>
      <c r="O52" t="str">
        <f t="shared" si="4"/>
        <v/>
      </c>
      <c r="P52" t="str">
        <f t="shared" si="12"/>
        <v/>
      </c>
      <c r="Q52" t="str">
        <f t="shared" si="13"/>
        <v/>
      </c>
      <c r="R52">
        <f>IFERROR(IF(Q52=0,"",COUNTIF($Q$3:Q52,"&gt;0")),"")</f>
        <v>11</v>
      </c>
      <c r="S52" t="str">
        <f t="shared" si="5"/>
        <v/>
      </c>
      <c r="T52" t="str">
        <f t="shared" si="14"/>
        <v/>
      </c>
      <c r="U52">
        <f>IFERROR(IF(T52=0,"",COUNTIF($T$3:T52,"&gt;0")),"")</f>
        <v>0</v>
      </c>
      <c r="V52" t="str">
        <f t="shared" si="6"/>
        <v/>
      </c>
      <c r="W52" t="str">
        <f t="shared" si="7"/>
        <v>TARATALAHELPERKUNDAN</v>
      </c>
      <c r="X52" t="str">
        <f>'OTHER PLANT ATTN.'!C:C</f>
        <v>KUNDAN</v>
      </c>
      <c r="Y52" t="str">
        <f>Table1[[#This Row],[CATEGORY ]]</f>
        <v>HELPER</v>
      </c>
      <c r="Z52" t="str">
        <f>Table1[[#This Row],[PLANT]]</f>
        <v>TARATALA</v>
      </c>
    </row>
    <row r="53" spans="1:26">
      <c r="A53" t="str">
        <f t="shared" si="1"/>
        <v>WAGESDRIVERANSWAR ALI MOLLA</v>
      </c>
      <c r="B53" t="str">
        <f>Table4[[#This Row],[CATEGORY]]</f>
        <v>WAGES</v>
      </c>
      <c r="C53" t="str">
        <f>Table4[[#This Row],[SUB-CATEGORY]]</f>
        <v>DRIVER</v>
      </c>
      <c r="D53" t="str">
        <f>'RJ ATTENDENCE SHEET'!C:C</f>
        <v>ANSWAR ALI MOLLA</v>
      </c>
      <c r="E53" t="str">
        <f t="shared" si="0"/>
        <v>DRIVER</v>
      </c>
      <c r="F53" t="str">
        <f t="shared" si="8"/>
        <v/>
      </c>
      <c r="G53">
        <f>IFERROR(IF(F53=0,"",COUNTIF($F$3:F53,"&gt;0")),"")</f>
        <v>11</v>
      </c>
      <c r="H53" t="str">
        <f t="shared" si="2"/>
        <v/>
      </c>
      <c r="I53">
        <f t="shared" si="9"/>
        <v>1</v>
      </c>
      <c r="J53">
        <f>IFERROR(IF(I53=0,"",COUNTIF($I$3:I53,"&gt;0")),"")</f>
        <v>23</v>
      </c>
      <c r="K53" t="str">
        <f t="shared" si="3"/>
        <v/>
      </c>
      <c r="L53" t="str">
        <f t="shared" si="10"/>
        <v/>
      </c>
      <c r="M53" t="str">
        <f t="shared" si="11"/>
        <v/>
      </c>
      <c r="N53">
        <f>IFERROR(IF(M53=0,"",COUNTIF($M$3:M53,"&gt;0")),"")</f>
        <v>17</v>
      </c>
      <c r="O53" t="str">
        <f t="shared" si="4"/>
        <v/>
      </c>
      <c r="P53" t="str">
        <f t="shared" si="12"/>
        <v/>
      </c>
      <c r="Q53" t="str">
        <f t="shared" si="13"/>
        <v/>
      </c>
      <c r="R53">
        <f>IFERROR(IF(Q53=0,"",COUNTIF($Q$3:Q53,"&gt;0")),"")</f>
        <v>11</v>
      </c>
      <c r="S53" t="str">
        <f t="shared" si="5"/>
        <v/>
      </c>
      <c r="T53" t="str">
        <f t="shared" si="14"/>
        <v/>
      </c>
      <c r="U53">
        <f>IFERROR(IF(T53=0,"",COUNTIF($T$3:T53,"&gt;0")),"")</f>
        <v>0</v>
      </c>
      <c r="V53" t="str">
        <f t="shared" si="6"/>
        <v/>
      </c>
      <c r="W53" t="str">
        <f t="shared" si="7"/>
        <v>TARATALAHELPERSANJAY</v>
      </c>
      <c r="X53" t="str">
        <f>'OTHER PLANT ATTN.'!C:C</f>
        <v>SANJAY</v>
      </c>
      <c r="Y53" t="str">
        <f>Table1[[#This Row],[CATEGORY ]]</f>
        <v>HELPER</v>
      </c>
      <c r="Z53" t="str">
        <f>Table1[[#This Row],[PLANT]]</f>
        <v>TARATALA</v>
      </c>
    </row>
    <row r="54" spans="1:26">
      <c r="A54" t="str">
        <f t="shared" si="1"/>
        <v>CONTRACTHELPERMADAN</v>
      </c>
      <c r="B54" t="str">
        <f>Table4[[#This Row],[CATEGORY]]</f>
        <v>CONTRACT</v>
      </c>
      <c r="C54" t="str">
        <f>Table4[[#This Row],[SUB-CATEGORY]]</f>
        <v>HELPER</v>
      </c>
      <c r="D54" t="str">
        <f>'RJ ATTENDENCE SHEET'!C:C</f>
        <v>MADAN</v>
      </c>
      <c r="E54" t="str">
        <f t="shared" si="0"/>
        <v>HELPER</v>
      </c>
      <c r="F54" t="str">
        <f t="shared" si="8"/>
        <v/>
      </c>
      <c r="G54">
        <f>IFERROR(IF(F54=0,"",COUNTIF($F$3:F54,"&gt;0")),"")</f>
        <v>11</v>
      </c>
      <c r="H54" t="str">
        <f t="shared" si="2"/>
        <v/>
      </c>
      <c r="I54" t="str">
        <f t="shared" si="9"/>
        <v/>
      </c>
      <c r="J54">
        <f>IFERROR(IF(I54=0,"",COUNTIF($I$3:I54,"&gt;0")),"")</f>
        <v>23</v>
      </c>
      <c r="K54" t="str">
        <f t="shared" si="3"/>
        <v/>
      </c>
      <c r="L54" t="str">
        <f t="shared" si="10"/>
        <v/>
      </c>
      <c r="M54">
        <f t="shared" si="11"/>
        <v>1</v>
      </c>
      <c r="N54">
        <f>IFERROR(IF(M54=0,"",COUNTIF($M$3:M54,"&gt;0")),"")</f>
        <v>18</v>
      </c>
      <c r="O54" t="str">
        <f t="shared" si="4"/>
        <v/>
      </c>
      <c r="P54" t="str">
        <f t="shared" si="12"/>
        <v/>
      </c>
      <c r="Q54" t="str">
        <f t="shared" si="13"/>
        <v/>
      </c>
      <c r="R54">
        <f>IFERROR(IF(Q54=0,"",COUNTIF($Q$3:Q54,"&gt;0")),"")</f>
        <v>11</v>
      </c>
      <c r="S54" t="str">
        <f t="shared" si="5"/>
        <v/>
      </c>
      <c r="T54" t="str">
        <f t="shared" si="14"/>
        <v/>
      </c>
      <c r="U54">
        <f>IFERROR(IF(T54=0,"",COUNTIF($T$3:T54,"&gt;0")),"")</f>
        <v>0</v>
      </c>
      <c r="V54" t="str">
        <f t="shared" si="6"/>
        <v/>
      </c>
      <c r="W54" t="str">
        <f t="shared" si="7"/>
        <v>TARATALAHELPERSUJOY</v>
      </c>
      <c r="X54" t="str">
        <f>'OTHER PLANT ATTN.'!C:C</f>
        <v>SUJOY</v>
      </c>
      <c r="Y54" t="str">
        <f>Table1[[#This Row],[CATEGORY ]]</f>
        <v>HELPER</v>
      </c>
      <c r="Z54" t="str">
        <f>Table1[[#This Row],[PLANT]]</f>
        <v>TARATALA</v>
      </c>
    </row>
    <row r="55" spans="1:26">
      <c r="A55" t="str">
        <f t="shared" si="1"/>
        <v>CONTRACTHELPERSALAUDDIN SHAH</v>
      </c>
      <c r="B55" t="str">
        <f>Table4[[#This Row],[CATEGORY]]</f>
        <v>CONTRACT</v>
      </c>
      <c r="C55" t="str">
        <f>Table4[[#This Row],[SUB-CATEGORY]]</f>
        <v>HELPER</v>
      </c>
      <c r="D55" t="str">
        <f>'RJ ATTENDENCE SHEET'!C:C</f>
        <v>SALAUDDIN SHAH</v>
      </c>
      <c r="E55" t="str">
        <f t="shared" si="0"/>
        <v>HELPER</v>
      </c>
      <c r="F55" t="str">
        <f t="shared" si="8"/>
        <v/>
      </c>
      <c r="G55">
        <f>IFERROR(IF(F55=0,"",COUNTIF($F$3:F55,"&gt;0")),"")</f>
        <v>11</v>
      </c>
      <c r="H55" t="str">
        <f t="shared" si="2"/>
        <v/>
      </c>
      <c r="I55" t="str">
        <f t="shared" si="9"/>
        <v/>
      </c>
      <c r="J55">
        <f>IFERROR(IF(I55=0,"",COUNTIF($I$3:I55,"&gt;0")),"")</f>
        <v>23</v>
      </c>
      <c r="K55" t="str">
        <f t="shared" si="3"/>
        <v/>
      </c>
      <c r="L55" t="str">
        <f t="shared" si="10"/>
        <v/>
      </c>
      <c r="M55">
        <f t="shared" si="11"/>
        <v>1</v>
      </c>
      <c r="N55">
        <f>IFERROR(IF(M55=0,"",COUNTIF($M$3:M55,"&gt;0")),"")</f>
        <v>19</v>
      </c>
      <c r="O55" t="str">
        <f t="shared" si="4"/>
        <v/>
      </c>
      <c r="P55" t="str">
        <f t="shared" si="12"/>
        <v/>
      </c>
      <c r="Q55" t="str">
        <f t="shared" si="13"/>
        <v/>
      </c>
      <c r="R55">
        <f>IFERROR(IF(Q55=0,"",COUNTIF($Q$3:Q55,"&gt;0")),"")</f>
        <v>11</v>
      </c>
      <c r="S55" t="str">
        <f t="shared" si="5"/>
        <v/>
      </c>
      <c r="T55" t="str">
        <f t="shared" si="14"/>
        <v/>
      </c>
      <c r="U55">
        <f>IFERROR(IF(T55=0,"",COUNTIF($T$3:T55,"&gt;0")),"")</f>
        <v>0</v>
      </c>
      <c r="V55" t="str">
        <f t="shared" si="6"/>
        <v/>
      </c>
      <c r="W55" t="str">
        <f t="shared" si="7"/>
        <v>TARATALADRIVERACHHEYLAL</v>
      </c>
      <c r="X55" t="str">
        <f>'OTHER PLANT ATTN.'!C:C</f>
        <v>ACHHEYLAL</v>
      </c>
      <c r="Y55" t="str">
        <f>Table1[[#This Row],[CATEGORY ]]</f>
        <v>DRIVER</v>
      </c>
      <c r="Z55" t="str">
        <f>Table1[[#This Row],[PLANT]]</f>
        <v>TARATALA</v>
      </c>
    </row>
    <row r="56" spans="1:26">
      <c r="A56" t="str">
        <f t="shared" si="1"/>
        <v>CONTRACTDRIVERMOFIJUL ALI</v>
      </c>
      <c r="B56" t="str">
        <f>Table4[[#This Row],[CATEGORY]]</f>
        <v>CONTRACT</v>
      </c>
      <c r="C56" t="str">
        <f>Table4[[#This Row],[SUB-CATEGORY]]</f>
        <v>DRIVER</v>
      </c>
      <c r="D56" t="str">
        <f>'RJ ATTENDENCE SHEET'!C:C</f>
        <v>MOFIJUL ALI</v>
      </c>
      <c r="E56" t="str">
        <f t="shared" si="0"/>
        <v>DRIVER</v>
      </c>
      <c r="F56" t="str">
        <f t="shared" si="8"/>
        <v/>
      </c>
      <c r="G56">
        <f>IFERROR(IF(F56=0,"",COUNTIF($F$3:F56,"&gt;0")),"")</f>
        <v>11</v>
      </c>
      <c r="H56" t="str">
        <f t="shared" si="2"/>
        <v/>
      </c>
      <c r="I56" t="str">
        <f t="shared" si="9"/>
        <v/>
      </c>
      <c r="J56">
        <f>IFERROR(IF(I56=0,"",COUNTIF($I$3:I56,"&gt;0")),"")</f>
        <v>23</v>
      </c>
      <c r="K56" t="str">
        <f t="shared" si="3"/>
        <v/>
      </c>
      <c r="L56" t="str">
        <f t="shared" si="10"/>
        <v/>
      </c>
      <c r="M56">
        <f t="shared" si="11"/>
        <v>1</v>
      </c>
      <c r="N56">
        <f>IFERROR(IF(M56=0,"",COUNTIF($M$3:M56,"&gt;0")),"")</f>
        <v>20</v>
      </c>
      <c r="O56" t="str">
        <f t="shared" si="4"/>
        <v/>
      </c>
      <c r="P56" t="str">
        <f t="shared" si="12"/>
        <v/>
      </c>
      <c r="Q56" t="str">
        <f t="shared" si="13"/>
        <v/>
      </c>
      <c r="R56">
        <f>IFERROR(IF(Q56=0,"",COUNTIF($Q$3:Q56,"&gt;0")),"")</f>
        <v>11</v>
      </c>
      <c r="S56" t="str">
        <f t="shared" si="5"/>
        <v/>
      </c>
      <c r="T56" t="str">
        <f t="shared" si="14"/>
        <v/>
      </c>
      <c r="U56">
        <f>IFERROR(IF(T56=0,"",COUNTIF($T$3:T56,"&gt;0")),"")</f>
        <v>0</v>
      </c>
      <c r="V56" t="str">
        <f t="shared" si="6"/>
        <v/>
      </c>
      <c r="W56" t="str">
        <f t="shared" si="7"/>
        <v>TARATALADRIVERGOUTAM</v>
      </c>
      <c r="X56" t="str">
        <f>'OTHER PLANT ATTN.'!C:C</f>
        <v>GOUTAM</v>
      </c>
      <c r="Y56" t="str">
        <f>Table1[[#This Row],[CATEGORY ]]</f>
        <v>DRIVER</v>
      </c>
      <c r="Z56" t="str">
        <f>Table1[[#This Row],[PLANT]]</f>
        <v>TARATALA</v>
      </c>
    </row>
    <row r="57" spans="1:26">
      <c r="A57" t="str">
        <f t="shared" si="1"/>
        <v>CONTRACTLABASHIK AHMED</v>
      </c>
      <c r="B57" t="str">
        <f>Table4[[#This Row],[CATEGORY]]</f>
        <v>CONTRACT</v>
      </c>
      <c r="C57" t="str">
        <f>Table4[[#This Row],[SUB-CATEGORY]]</f>
        <v>LAB</v>
      </c>
      <c r="D57" t="str">
        <f>'RJ ATTENDENCE SHEET'!C:C</f>
        <v>ASHIK AHMED</v>
      </c>
      <c r="E57" t="str">
        <f t="shared" si="0"/>
        <v>LAB</v>
      </c>
      <c r="F57" t="str">
        <f t="shared" si="8"/>
        <v/>
      </c>
      <c r="G57">
        <f>IFERROR(IF(F57=0,"",COUNTIF($F$3:F57,"&gt;0")),"")</f>
        <v>11</v>
      </c>
      <c r="H57" t="str">
        <f t="shared" si="2"/>
        <v/>
      </c>
      <c r="I57" t="str">
        <f t="shared" si="9"/>
        <v/>
      </c>
      <c r="J57">
        <f>IFERROR(IF(I57=0,"",COUNTIF($I$3:I57,"&gt;0")),"")</f>
        <v>23</v>
      </c>
      <c r="K57" t="str">
        <f t="shared" si="3"/>
        <v/>
      </c>
      <c r="L57" t="str">
        <f t="shared" si="10"/>
        <v/>
      </c>
      <c r="M57">
        <f t="shared" si="11"/>
        <v>1</v>
      </c>
      <c r="N57">
        <f>IFERROR(IF(M57=0,"",COUNTIF($M$3:M57,"&gt;0")),"")</f>
        <v>21</v>
      </c>
      <c r="O57" t="str">
        <f t="shared" si="4"/>
        <v/>
      </c>
      <c r="P57" t="str">
        <f t="shared" si="12"/>
        <v/>
      </c>
      <c r="Q57" t="str">
        <f t="shared" si="13"/>
        <v/>
      </c>
      <c r="R57">
        <f>IFERROR(IF(Q57=0,"",COUNTIF($Q$3:Q57,"&gt;0")),"")</f>
        <v>11</v>
      </c>
      <c r="S57" t="str">
        <f t="shared" si="5"/>
        <v/>
      </c>
      <c r="T57" t="str">
        <f t="shared" si="14"/>
        <v/>
      </c>
      <c r="U57">
        <f>IFERROR(IF(T57=0,"",COUNTIF($T$3:T57,"&gt;0")),"")</f>
        <v>0</v>
      </c>
      <c r="V57" t="str">
        <f t="shared" si="6"/>
        <v/>
      </c>
      <c r="W57" t="str">
        <f t="shared" si="7"/>
        <v>TARATALADRIVERLAXMIKANT</v>
      </c>
      <c r="X57" t="str">
        <f>'OTHER PLANT ATTN.'!C:C</f>
        <v>LAXMIKANT</v>
      </c>
      <c r="Y57" t="str">
        <f>Table1[[#This Row],[CATEGORY ]]</f>
        <v>DRIVER</v>
      </c>
      <c r="Z57" t="str">
        <f>Table1[[#This Row],[PLANT]]</f>
        <v>TARATALA</v>
      </c>
    </row>
    <row r="58" spans="1:26">
      <c r="A58" t="str">
        <f t="shared" si="1"/>
        <v>CONTRACTLABSAMIT MONDAL</v>
      </c>
      <c r="B58" t="str">
        <f>Table4[[#This Row],[CATEGORY]]</f>
        <v>CONTRACT</v>
      </c>
      <c r="C58" t="str">
        <f>Table4[[#This Row],[SUB-CATEGORY]]</f>
        <v>LAB</v>
      </c>
      <c r="D58" t="str">
        <f>'RJ ATTENDENCE SHEET'!C:C</f>
        <v>SAMIT MONDAL</v>
      </c>
      <c r="E58" t="str">
        <f t="shared" si="0"/>
        <v>LAB</v>
      </c>
      <c r="F58" t="str">
        <f t="shared" si="8"/>
        <v/>
      </c>
      <c r="G58">
        <f>IFERROR(IF(F58=0,"",COUNTIF($F$3:F58,"&gt;0")),"")</f>
        <v>11</v>
      </c>
      <c r="H58" t="str">
        <f t="shared" si="2"/>
        <v/>
      </c>
      <c r="I58" t="str">
        <f t="shared" si="9"/>
        <v/>
      </c>
      <c r="J58">
        <f>IFERROR(IF(I58=0,"",COUNTIF($I$3:I58,"&gt;0")),"")</f>
        <v>23</v>
      </c>
      <c r="K58" t="str">
        <f t="shared" si="3"/>
        <v/>
      </c>
      <c r="L58" t="str">
        <f t="shared" si="10"/>
        <v/>
      </c>
      <c r="M58">
        <f t="shared" si="11"/>
        <v>1</v>
      </c>
      <c r="N58">
        <f>IFERROR(IF(M58=0,"",COUNTIF($M$3:M58,"&gt;0")),"")</f>
        <v>22</v>
      </c>
      <c r="O58" t="str">
        <f t="shared" si="4"/>
        <v/>
      </c>
      <c r="P58" t="str">
        <f t="shared" si="12"/>
        <v/>
      </c>
      <c r="Q58" t="str">
        <f t="shared" si="13"/>
        <v/>
      </c>
      <c r="R58">
        <f>IFERROR(IF(Q58=0,"",COUNTIF($Q$3:Q58,"&gt;0")),"")</f>
        <v>11</v>
      </c>
      <c r="S58" t="str">
        <f t="shared" si="5"/>
        <v/>
      </c>
      <c r="T58" t="str">
        <f t="shared" si="14"/>
        <v/>
      </c>
      <c r="U58">
        <f>IFERROR(IF(T58=0,"",COUNTIF($T$3:T58,"&gt;0")),"")</f>
        <v>0</v>
      </c>
      <c r="V58" t="str">
        <f t="shared" si="6"/>
        <v/>
      </c>
      <c r="W58" t="str">
        <f t="shared" si="7"/>
        <v>TARATALADRIVERSABIR</v>
      </c>
      <c r="X58" t="str">
        <f>'OTHER PLANT ATTN.'!C:C</f>
        <v>SABIR</v>
      </c>
      <c r="Y58" t="str">
        <f>Table1[[#This Row],[CATEGORY ]]</f>
        <v>DRIVER</v>
      </c>
      <c r="Z58" t="str">
        <f>Table1[[#This Row],[PLANT]]</f>
        <v>TARATALA</v>
      </c>
    </row>
    <row r="59" spans="1:26">
      <c r="A59" t="str">
        <f t="shared" si="1"/>
        <v>CONTRACTLABSIDHARTHA MONDAL</v>
      </c>
      <c r="B59" t="str">
        <f>Table4[[#This Row],[CATEGORY]]</f>
        <v>CONTRACT</v>
      </c>
      <c r="C59" t="str">
        <f>Table4[[#This Row],[SUB-CATEGORY]]</f>
        <v>LAB</v>
      </c>
      <c r="D59" t="str">
        <f>'RJ ATTENDENCE SHEET'!C:C</f>
        <v>SIDHARTHA MONDAL</v>
      </c>
      <c r="E59" t="str">
        <f t="shared" si="0"/>
        <v>LAB</v>
      </c>
      <c r="F59" t="str">
        <f t="shared" si="8"/>
        <v/>
      </c>
      <c r="G59">
        <f>IFERROR(IF(F59=0,"",COUNTIF($F$3:F59,"&gt;0")),"")</f>
        <v>11</v>
      </c>
      <c r="H59" t="str">
        <f t="shared" si="2"/>
        <v/>
      </c>
      <c r="I59" t="str">
        <f t="shared" si="9"/>
        <v/>
      </c>
      <c r="J59">
        <f>IFERROR(IF(I59=0,"",COUNTIF($I$3:I59,"&gt;0")),"")</f>
        <v>23</v>
      </c>
      <c r="K59" t="str">
        <f t="shared" si="3"/>
        <v/>
      </c>
      <c r="L59" t="str">
        <f t="shared" si="10"/>
        <v/>
      </c>
      <c r="M59">
        <f t="shared" si="11"/>
        <v>1</v>
      </c>
      <c r="N59">
        <f>IFERROR(IF(M59=0,"",COUNTIF($M$3:M59,"&gt;0")),"")</f>
        <v>23</v>
      </c>
      <c r="O59" t="str">
        <f t="shared" si="4"/>
        <v/>
      </c>
      <c r="P59" t="str">
        <f t="shared" si="12"/>
        <v/>
      </c>
      <c r="Q59" t="str">
        <f t="shared" si="13"/>
        <v/>
      </c>
      <c r="R59">
        <f>IFERROR(IF(Q59=0,"",COUNTIF($Q$3:Q59,"&gt;0")),"")</f>
        <v>11</v>
      </c>
      <c r="S59" t="str">
        <f t="shared" si="5"/>
        <v/>
      </c>
      <c r="T59" t="str">
        <f t="shared" si="14"/>
        <v/>
      </c>
      <c r="U59">
        <f>IFERROR(IF(T59=0,"",COUNTIF($T$3:T59,"&gt;0")),"")</f>
        <v>0</v>
      </c>
      <c r="V59" t="str">
        <f t="shared" si="6"/>
        <v/>
      </c>
      <c r="W59" t="e">
        <f t="shared" si="7"/>
        <v>#VALUE!</v>
      </c>
      <c r="X59">
        <f>'OTHER PLANT ATTN.'!C:C</f>
        <v>0</v>
      </c>
      <c r="Y59" t="e">
        <f>Table1[[#This Row],[CATEGORY ]]</f>
        <v>#VALUE!</v>
      </c>
      <c r="Z59" t="e">
        <f>Table1[[#This Row],[PLANT]]</f>
        <v>#VALUE!</v>
      </c>
    </row>
    <row r="60" spans="1:26">
      <c r="A60" t="str">
        <f t="shared" si="1"/>
        <v>SALARYOFFICEPROBIR GHOSH</v>
      </c>
      <c r="B60" t="str">
        <f>Table4[[#This Row],[CATEGORY]]</f>
        <v>SALARY</v>
      </c>
      <c r="C60" t="str">
        <f>Table4[[#This Row],[SUB-CATEGORY]]</f>
        <v>OFFICE</v>
      </c>
      <c r="D60" t="str">
        <f>'RJ ATTENDENCE SHEET'!C:C</f>
        <v>PROBIR GHOSH</v>
      </c>
      <c r="E60" t="str">
        <f t="shared" si="0"/>
        <v>OFFICE</v>
      </c>
      <c r="F60">
        <f t="shared" si="8"/>
        <v>1</v>
      </c>
      <c r="G60">
        <f>IFERROR(IF(F60=0,"",COUNTIF($F$3:F60,"&gt;0")),"")</f>
        <v>12</v>
      </c>
      <c r="H60" t="str">
        <f t="shared" si="2"/>
        <v/>
      </c>
      <c r="I60" t="str">
        <f t="shared" si="9"/>
        <v/>
      </c>
      <c r="J60">
        <f>IFERROR(IF(I60=0,"",COUNTIF($I$3:I60,"&gt;0")),"")</f>
        <v>23</v>
      </c>
      <c r="K60" t="str">
        <f t="shared" si="3"/>
        <v/>
      </c>
      <c r="L60" t="str">
        <f t="shared" si="10"/>
        <v/>
      </c>
      <c r="M60" t="str">
        <f t="shared" si="11"/>
        <v/>
      </c>
      <c r="N60">
        <f>IFERROR(IF(M60=0,"",COUNTIF($M$3:M60,"&gt;0")),"")</f>
        <v>23</v>
      </c>
      <c r="O60" t="str">
        <f t="shared" si="4"/>
        <v/>
      </c>
      <c r="P60" t="str">
        <f t="shared" si="12"/>
        <v/>
      </c>
      <c r="Q60">
        <f t="shared" si="13"/>
        <v>1</v>
      </c>
      <c r="R60">
        <f>IFERROR(IF(Q60=0,"",COUNTIF($Q$3:Q60,"&gt;0")),"")</f>
        <v>12</v>
      </c>
      <c r="S60" t="str">
        <f t="shared" si="5"/>
        <v/>
      </c>
      <c r="T60" t="str">
        <f t="shared" si="14"/>
        <v/>
      </c>
      <c r="U60">
        <f>IFERROR(IF(T60=0,"",COUNTIF($T$3:T60,"&gt;0")),"")</f>
        <v>0</v>
      </c>
      <c r="V60" t="str">
        <f t="shared" si="6"/>
        <v/>
      </c>
      <c r="W60" t="e">
        <f t="shared" si="7"/>
        <v>#VALUE!</v>
      </c>
      <c r="X60">
        <f>'OTHER PLANT ATTN.'!C:C</f>
        <v>0</v>
      </c>
      <c r="Y60" t="e">
        <f>Table1[[#This Row],[CATEGORY ]]</f>
        <v>#VALUE!</v>
      </c>
      <c r="Z60" t="e">
        <f>Table1[[#This Row],[PLANT]]</f>
        <v>#VALUE!</v>
      </c>
    </row>
    <row r="61" spans="1:26">
      <c r="A61" t="str">
        <f t="shared" si="1"/>
        <v>WAGESLABMOMINUL HAQUE</v>
      </c>
      <c r="B61" t="str">
        <f>Table4[[#This Row],[CATEGORY]]</f>
        <v>WAGES</v>
      </c>
      <c r="C61" t="str">
        <f>Table4[[#This Row],[SUB-CATEGORY]]</f>
        <v>LAB</v>
      </c>
      <c r="D61" t="str">
        <f>'RJ ATTENDENCE SHEET'!C:C</f>
        <v>MOMINUL HAQUE</v>
      </c>
      <c r="E61" t="str">
        <f t="shared" si="0"/>
        <v>LAB</v>
      </c>
      <c r="F61" t="str">
        <f t="shared" si="8"/>
        <v/>
      </c>
      <c r="G61">
        <f>IFERROR(IF(F61=0,"",COUNTIF($F$3:F61,"&gt;0")),"")</f>
        <v>12</v>
      </c>
      <c r="H61" t="str">
        <f t="shared" si="2"/>
        <v/>
      </c>
      <c r="I61">
        <f t="shared" si="9"/>
        <v>1</v>
      </c>
      <c r="J61">
        <f>IFERROR(IF(I61=0,"",COUNTIF($I$3:I61,"&gt;0")),"")</f>
        <v>24</v>
      </c>
      <c r="K61" t="str">
        <f t="shared" si="3"/>
        <v/>
      </c>
      <c r="L61" t="str">
        <f t="shared" si="10"/>
        <v/>
      </c>
      <c r="M61" t="str">
        <f t="shared" si="11"/>
        <v/>
      </c>
      <c r="N61">
        <f>IFERROR(IF(M61=0,"",COUNTIF($M$3:M61,"&gt;0")),"")</f>
        <v>23</v>
      </c>
      <c r="O61" t="str">
        <f t="shared" si="4"/>
        <v/>
      </c>
      <c r="P61" t="str">
        <f t="shared" si="12"/>
        <v/>
      </c>
      <c r="Q61" t="str">
        <f t="shared" si="13"/>
        <v/>
      </c>
      <c r="R61">
        <f>IFERROR(IF(Q61=0,"",COUNTIF($Q$3:Q61,"&gt;0")),"")</f>
        <v>12</v>
      </c>
      <c r="S61" t="str">
        <f t="shared" si="5"/>
        <v/>
      </c>
      <c r="T61" t="str">
        <f t="shared" si="14"/>
        <v/>
      </c>
      <c r="U61">
        <f>IFERROR(IF(T61=0,"",COUNTIF($T$3:T61,"&gt;0")),"")</f>
        <v>0</v>
      </c>
      <c r="V61" t="str">
        <f t="shared" si="6"/>
        <v/>
      </c>
      <c r="W61" t="e">
        <f t="shared" si="7"/>
        <v>#VALUE!</v>
      </c>
      <c r="X61">
        <f>'OTHER PLANT ATTN.'!C:C</f>
        <v>0</v>
      </c>
      <c r="Y61" t="e">
        <f>Table1[[#This Row],[CATEGORY ]]</f>
        <v>#VALUE!</v>
      </c>
      <c r="Z61" t="e">
        <f>Table1[[#This Row],[PLANT]]</f>
        <v>#VALUE!</v>
      </c>
    </row>
    <row r="62" spans="1:26">
      <c r="A62" t="str">
        <f t="shared" si="1"/>
        <v>CONTRACTHOPPERSUBRATA MONDAL</v>
      </c>
      <c r="B62" t="str">
        <f>Table4[[#This Row],[CATEGORY]]</f>
        <v>CONTRACT</v>
      </c>
      <c r="C62" t="str">
        <f>Table4[[#This Row],[SUB-CATEGORY]]</f>
        <v>HOPPER</v>
      </c>
      <c r="D62" t="str">
        <f>'RJ ATTENDENCE SHEET'!C:C</f>
        <v>SUBRATA MONDAL</v>
      </c>
      <c r="E62" t="str">
        <f t="shared" si="0"/>
        <v>HOPPER</v>
      </c>
      <c r="F62" t="str">
        <f t="shared" si="8"/>
        <v/>
      </c>
      <c r="G62">
        <f>IFERROR(IF(F62=0,"",COUNTIF($F$3:F62,"&gt;0")),"")</f>
        <v>12</v>
      </c>
      <c r="H62" t="str">
        <f t="shared" si="2"/>
        <v/>
      </c>
      <c r="I62" t="str">
        <f t="shared" si="9"/>
        <v/>
      </c>
      <c r="J62">
        <f>IFERROR(IF(I62=0,"",COUNTIF($I$3:I62,"&gt;0")),"")</f>
        <v>24</v>
      </c>
      <c r="K62" t="str">
        <f t="shared" si="3"/>
        <v/>
      </c>
      <c r="L62" t="str">
        <f t="shared" si="10"/>
        <v/>
      </c>
      <c r="M62">
        <f t="shared" si="11"/>
        <v>1</v>
      </c>
      <c r="N62">
        <f>IFERROR(IF(M62=0,"",COUNTIF($M$3:M62,"&gt;0")),"")</f>
        <v>24</v>
      </c>
      <c r="O62" t="str">
        <f t="shared" si="4"/>
        <v/>
      </c>
      <c r="P62" t="str">
        <f t="shared" si="12"/>
        <v/>
      </c>
      <c r="Q62" t="str">
        <f t="shared" si="13"/>
        <v/>
      </c>
      <c r="R62">
        <f>IFERROR(IF(Q62=0,"",COUNTIF($Q$3:Q62,"&gt;0")),"")</f>
        <v>12</v>
      </c>
      <c r="S62" t="str">
        <f t="shared" si="5"/>
        <v/>
      </c>
      <c r="T62" t="str">
        <f t="shared" si="14"/>
        <v/>
      </c>
      <c r="U62">
        <f>IFERROR(IF(T62=0,"",COUNTIF($T$3:T62,"&gt;0")),"")</f>
        <v>0</v>
      </c>
      <c r="V62" t="str">
        <f t="shared" si="6"/>
        <v/>
      </c>
      <c r="W62" t="e">
        <f t="shared" si="7"/>
        <v>#VALUE!</v>
      </c>
      <c r="X62">
        <f>'OTHER PLANT ATTN.'!C:C</f>
        <v>0</v>
      </c>
      <c r="Y62" t="e">
        <f>Table1[[#This Row],[CATEGORY ]]</f>
        <v>#VALUE!</v>
      </c>
      <c r="Z62" t="e">
        <f>Table1[[#This Row],[PLANT]]</f>
        <v>#VALUE!</v>
      </c>
    </row>
    <row r="63" spans="1:26">
      <c r="A63" t="str">
        <f t="shared" si="1"/>
        <v>WAGESHELPEREKRAMUL ALI</v>
      </c>
      <c r="B63" t="str">
        <f>Table4[[#This Row],[CATEGORY]]</f>
        <v>WAGES</v>
      </c>
      <c r="C63" t="str">
        <f>Table4[[#This Row],[SUB-CATEGORY]]</f>
        <v>HELPER</v>
      </c>
      <c r="D63" t="str">
        <f>'RJ ATTENDENCE SHEET'!C:C</f>
        <v>EKRAMUL ALI</v>
      </c>
      <c r="E63" t="str">
        <f t="shared" si="0"/>
        <v>HELPER</v>
      </c>
      <c r="F63" t="str">
        <f t="shared" si="8"/>
        <v/>
      </c>
      <c r="G63">
        <f>IFERROR(IF(F63=0,"",COUNTIF($F$3:F63,"&gt;0")),"")</f>
        <v>12</v>
      </c>
      <c r="H63" t="str">
        <f t="shared" si="2"/>
        <v/>
      </c>
      <c r="I63">
        <f t="shared" si="9"/>
        <v>1</v>
      </c>
      <c r="J63">
        <f>IFERROR(IF(I63=0,"",COUNTIF($I$3:I63,"&gt;0")),"")</f>
        <v>25</v>
      </c>
      <c r="K63" t="str">
        <f t="shared" si="3"/>
        <v/>
      </c>
      <c r="L63" t="str">
        <f t="shared" si="10"/>
        <v/>
      </c>
      <c r="M63" t="str">
        <f t="shared" si="11"/>
        <v/>
      </c>
      <c r="N63">
        <f>IFERROR(IF(M63=0,"",COUNTIF($M$3:M63,"&gt;0")),"")</f>
        <v>24</v>
      </c>
      <c r="O63" t="str">
        <f t="shared" si="4"/>
        <v/>
      </c>
      <c r="P63" t="str">
        <f t="shared" si="12"/>
        <v/>
      </c>
      <c r="Q63" t="str">
        <f t="shared" si="13"/>
        <v/>
      </c>
      <c r="R63">
        <f>IFERROR(IF(Q63=0,"",COUNTIF($Q$3:Q63,"&gt;0")),"")</f>
        <v>12</v>
      </c>
      <c r="S63" t="str">
        <f t="shared" si="5"/>
        <v/>
      </c>
      <c r="T63" t="str">
        <f t="shared" si="14"/>
        <v/>
      </c>
      <c r="U63">
        <f>IFERROR(IF(T63=0,"",COUNTIF($T$3:T63,"&gt;0")),"")</f>
        <v>0</v>
      </c>
      <c r="V63" t="str">
        <f t="shared" si="6"/>
        <v/>
      </c>
      <c r="W63" t="e">
        <f t="shared" si="7"/>
        <v>#VALUE!</v>
      </c>
      <c r="X63">
        <f>'OTHER PLANT ATTN.'!C:C</f>
        <v>0</v>
      </c>
      <c r="Y63" t="e">
        <f>Table1[[#This Row],[CATEGORY ]]</f>
        <v>#VALUE!</v>
      </c>
      <c r="Z63" t="e">
        <f>Table1[[#This Row],[PLANT]]</f>
        <v>#VALUE!</v>
      </c>
    </row>
    <row r="64" spans="1:26">
      <c r="A64" t="str">
        <f t="shared" si="1"/>
        <v>CONTRACTHELPERREJJAK MONDAL</v>
      </c>
      <c r="B64" t="str">
        <f>Table4[[#This Row],[CATEGORY]]</f>
        <v>CONTRACT</v>
      </c>
      <c r="C64" t="str">
        <f>Table4[[#This Row],[SUB-CATEGORY]]</f>
        <v>HELPER</v>
      </c>
      <c r="D64" t="str">
        <f>'RJ ATTENDENCE SHEET'!C:C</f>
        <v>REJJAK MONDAL</v>
      </c>
      <c r="E64" t="str">
        <f t="shared" si="0"/>
        <v>HELPER</v>
      </c>
      <c r="F64" t="str">
        <f t="shared" si="8"/>
        <v/>
      </c>
      <c r="G64">
        <f>IFERROR(IF(F64=0,"",COUNTIF($F$3:F64,"&gt;0")),"")</f>
        <v>12</v>
      </c>
      <c r="H64" t="str">
        <f t="shared" si="2"/>
        <v/>
      </c>
      <c r="I64" t="str">
        <f t="shared" si="9"/>
        <v/>
      </c>
      <c r="J64">
        <f>IFERROR(IF(I64=0,"",COUNTIF($I$3:I64,"&gt;0")),"")</f>
        <v>25</v>
      </c>
      <c r="K64" t="str">
        <f t="shared" si="3"/>
        <v/>
      </c>
      <c r="L64" t="str">
        <f t="shared" si="10"/>
        <v/>
      </c>
      <c r="M64">
        <f t="shared" si="11"/>
        <v>1</v>
      </c>
      <c r="N64">
        <f>IFERROR(IF(M64=0,"",COUNTIF($M$3:M64,"&gt;0")),"")</f>
        <v>25</v>
      </c>
      <c r="O64" t="str">
        <f t="shared" si="4"/>
        <v/>
      </c>
      <c r="P64" t="str">
        <f t="shared" si="12"/>
        <v/>
      </c>
      <c r="Q64" t="str">
        <f t="shared" si="13"/>
        <v/>
      </c>
      <c r="R64">
        <f>IFERROR(IF(Q64=0,"",COUNTIF($Q$3:Q64,"&gt;0")),"")</f>
        <v>12</v>
      </c>
      <c r="S64" t="str">
        <f t="shared" si="5"/>
        <v/>
      </c>
      <c r="T64" t="str">
        <f t="shared" si="14"/>
        <v/>
      </c>
      <c r="U64">
        <f>IFERROR(IF(T64=0,"",COUNTIF($T$3:T64,"&gt;0")),"")</f>
        <v>0</v>
      </c>
      <c r="V64" t="str">
        <f t="shared" si="6"/>
        <v/>
      </c>
      <c r="W64" t="e">
        <f t="shared" si="7"/>
        <v>#VALUE!</v>
      </c>
      <c r="X64">
        <f>'OTHER PLANT ATTN.'!C:C</f>
        <v>0</v>
      </c>
      <c r="Y64" t="e">
        <f>Table1[[#This Row],[CATEGORY ]]</f>
        <v>#VALUE!</v>
      </c>
      <c r="Z64" t="e">
        <f>Table1[[#This Row],[PLANT]]</f>
        <v>#VALUE!</v>
      </c>
    </row>
    <row r="65" spans="1:26">
      <c r="A65" t="str">
        <f t="shared" si="1"/>
        <v>WAGESDRIVERJULFIKAR DHALI</v>
      </c>
      <c r="B65" t="str">
        <f>Table4[[#This Row],[CATEGORY]]</f>
        <v>WAGES</v>
      </c>
      <c r="C65" t="str">
        <f>Table4[[#This Row],[SUB-CATEGORY]]</f>
        <v>DRIVER</v>
      </c>
      <c r="D65" t="str">
        <f>'RJ ATTENDENCE SHEET'!C:C</f>
        <v>JULFIKAR DHALI</v>
      </c>
      <c r="E65" t="str">
        <f t="shared" si="0"/>
        <v>DRIVER</v>
      </c>
      <c r="F65" t="str">
        <f t="shared" si="8"/>
        <v/>
      </c>
      <c r="G65">
        <f>IFERROR(IF(F65=0,"",COUNTIF($F$3:F65,"&gt;0")),"")</f>
        <v>12</v>
      </c>
      <c r="H65" t="str">
        <f t="shared" si="2"/>
        <v/>
      </c>
      <c r="I65">
        <f t="shared" si="9"/>
        <v>1</v>
      </c>
      <c r="J65">
        <f>IFERROR(IF(I65=0,"",COUNTIF($I$3:I65,"&gt;0")),"")</f>
        <v>26</v>
      </c>
      <c r="K65" t="str">
        <f t="shared" si="3"/>
        <v/>
      </c>
      <c r="L65" t="str">
        <f t="shared" si="10"/>
        <v/>
      </c>
      <c r="M65" t="str">
        <f t="shared" si="11"/>
        <v/>
      </c>
      <c r="N65">
        <f>IFERROR(IF(M65=0,"",COUNTIF($M$3:M65,"&gt;0")),"")</f>
        <v>25</v>
      </c>
      <c r="O65" t="str">
        <f t="shared" si="4"/>
        <v/>
      </c>
      <c r="P65" t="str">
        <f t="shared" si="12"/>
        <v/>
      </c>
      <c r="Q65" t="str">
        <f t="shared" si="13"/>
        <v/>
      </c>
      <c r="R65">
        <f>IFERROR(IF(Q65=0,"",COUNTIF($Q$3:Q65,"&gt;0")),"")</f>
        <v>12</v>
      </c>
      <c r="S65" t="str">
        <f t="shared" si="5"/>
        <v/>
      </c>
      <c r="T65" t="str">
        <f t="shared" si="14"/>
        <v/>
      </c>
      <c r="U65">
        <f>IFERROR(IF(T65=0,"",COUNTIF($T$3:T65,"&gt;0")),"")</f>
        <v>0</v>
      </c>
      <c r="V65" t="str">
        <f t="shared" si="6"/>
        <v/>
      </c>
      <c r="W65" t="e">
        <f t="shared" si="7"/>
        <v>#VALUE!</v>
      </c>
      <c r="X65">
        <f>'OTHER PLANT ATTN.'!C:C</f>
        <v>0</v>
      </c>
      <c r="Y65" t="e">
        <f>Table1[[#This Row],[CATEGORY ]]</f>
        <v>#VALUE!</v>
      </c>
      <c r="Z65" t="e">
        <f>Table1[[#This Row],[PLANT]]</f>
        <v>#VALUE!</v>
      </c>
    </row>
    <row r="66" spans="1:26">
      <c r="A66" t="str">
        <f t="shared" si="1"/>
        <v>CONTRACTDRIVERBISWANTH MONDAL</v>
      </c>
      <c r="B66" t="str">
        <f>Table4[[#This Row],[CATEGORY]]</f>
        <v>CONTRACT</v>
      </c>
      <c r="C66" t="str">
        <f>Table4[[#This Row],[SUB-CATEGORY]]</f>
        <v>DRIVER</v>
      </c>
      <c r="D66" t="str">
        <f>'RJ ATTENDENCE SHEET'!C:C</f>
        <v>BISWANTH MONDAL</v>
      </c>
      <c r="E66" t="str">
        <f t="shared" ref="E66:E129" si="15">C66</f>
        <v>DRIVER</v>
      </c>
      <c r="F66" t="str">
        <f t="shared" si="8"/>
        <v/>
      </c>
      <c r="G66">
        <f>IFERROR(IF(F66=0,"",COUNTIF($F$3:F66,"&gt;0")),"")</f>
        <v>12</v>
      </c>
      <c r="H66" t="str">
        <f t="shared" si="2"/>
        <v/>
      </c>
      <c r="I66" t="str">
        <f t="shared" si="9"/>
        <v/>
      </c>
      <c r="J66">
        <f>IFERROR(IF(I66=0,"",COUNTIF($I$3:I66,"&gt;0")),"")</f>
        <v>26</v>
      </c>
      <c r="K66" t="str">
        <f t="shared" si="3"/>
        <v/>
      </c>
      <c r="L66" t="str">
        <f t="shared" si="10"/>
        <v/>
      </c>
      <c r="M66">
        <f t="shared" si="11"/>
        <v>1</v>
      </c>
      <c r="N66">
        <f>IFERROR(IF(M66=0,"",COUNTIF($M$3:M66,"&gt;0")),"")</f>
        <v>26</v>
      </c>
      <c r="O66" t="str">
        <f t="shared" si="4"/>
        <v/>
      </c>
      <c r="P66" t="str">
        <f t="shared" si="12"/>
        <v/>
      </c>
      <c r="Q66" t="str">
        <f t="shared" si="13"/>
        <v/>
      </c>
      <c r="R66">
        <f>IFERROR(IF(Q66=0,"",COUNTIF($Q$3:Q66,"&gt;0")),"")</f>
        <v>12</v>
      </c>
      <c r="S66" t="str">
        <f t="shared" si="5"/>
        <v/>
      </c>
      <c r="T66" t="str">
        <f t="shared" si="14"/>
        <v/>
      </c>
      <c r="U66">
        <f>IFERROR(IF(T66=0,"",COUNTIF($T$3:T66,"&gt;0")),"")</f>
        <v>0</v>
      </c>
      <c r="V66" t="str">
        <f t="shared" si="6"/>
        <v/>
      </c>
      <c r="W66" t="e">
        <f t="shared" si="7"/>
        <v>#VALUE!</v>
      </c>
      <c r="X66">
        <f>'OTHER PLANT ATTN.'!C:C</f>
        <v>0</v>
      </c>
      <c r="Y66" t="e">
        <f>Table1[[#This Row],[CATEGORY ]]</f>
        <v>#VALUE!</v>
      </c>
      <c r="Z66" t="e">
        <f>Table1[[#This Row],[PLANT]]</f>
        <v>#VALUE!</v>
      </c>
    </row>
    <row r="67" spans="1:26">
      <c r="A67" t="str">
        <f t="shared" ref="A67:A130" si="16">CONCATENATE(B67,C67,D67)</f>
        <v>WAGESLABSUPRAKASH SAMANTO</v>
      </c>
      <c r="B67" t="str">
        <f>Table4[[#This Row],[CATEGORY]]</f>
        <v>WAGES</v>
      </c>
      <c r="C67" t="str">
        <f>Table4[[#This Row],[SUB-CATEGORY]]</f>
        <v>LAB</v>
      </c>
      <c r="D67" t="str">
        <f>'RJ ATTENDENCE SHEET'!C:C</f>
        <v>SUPRAKASH SAMANTO</v>
      </c>
      <c r="E67" t="str">
        <f t="shared" si="15"/>
        <v>LAB</v>
      </c>
      <c r="F67" t="str">
        <f t="shared" si="8"/>
        <v/>
      </c>
      <c r="G67">
        <f>IFERROR(IF(F67=0,"",COUNTIF($F$3:F67,"&gt;0")),"")</f>
        <v>12</v>
      </c>
      <c r="H67" t="str">
        <f t="shared" ref="H67:H130" si="17">IFERROR(VLOOKUP(INDEX($A:$A,MATCH(ROW(F65),G:G,0)),$A:$D,4,0),"")</f>
        <v/>
      </c>
      <c r="I67">
        <f t="shared" si="9"/>
        <v>1</v>
      </c>
      <c r="J67">
        <f>IFERROR(IF(I67=0,"",COUNTIF($I$3:I67,"&gt;0")),"")</f>
        <v>27</v>
      </c>
      <c r="K67" t="str">
        <f t="shared" ref="K67:K130" si="18">IFERROR(VLOOKUP(INDEX($A:$A,MATCH(ROW(I65),J:J,0)),$A:$D,4,0),"")</f>
        <v/>
      </c>
      <c r="L67" t="str">
        <f t="shared" si="10"/>
        <v/>
      </c>
      <c r="M67" t="str">
        <f t="shared" si="11"/>
        <v/>
      </c>
      <c r="N67">
        <f>IFERROR(IF(M67=0,"",COUNTIF($M$3:M67,"&gt;0")),"")</f>
        <v>26</v>
      </c>
      <c r="O67" t="str">
        <f t="shared" ref="O67:O130" si="19">IFERROR(VLOOKUP(INDEX($A:$A,MATCH(ROW(M65),N:N,0)),$A:$D,4,0),"")</f>
        <v/>
      </c>
      <c r="P67" t="str">
        <f t="shared" si="12"/>
        <v/>
      </c>
      <c r="Q67" t="str">
        <f t="shared" si="13"/>
        <v/>
      </c>
      <c r="R67">
        <f>IFERROR(IF(Q67=0,"",COUNTIF($Q$3:Q67,"&gt;0")),"")</f>
        <v>12</v>
      </c>
      <c r="S67" t="str">
        <f t="shared" ref="S67:S130" si="20">IFERROR(VLOOKUP(INDEX($A:$A,MATCH(ROW(Q65),R:R,0)),$A:$D,4,0),"")</f>
        <v/>
      </c>
      <c r="T67" t="str">
        <f t="shared" si="14"/>
        <v/>
      </c>
      <c r="U67">
        <f>IFERROR(IF(T67=0,"",COUNTIF($T$3:T67,"&gt;0")),"")</f>
        <v>0</v>
      </c>
      <c r="V67" t="str">
        <f t="shared" ref="V67:V130" si="21">IFERROR(VLOOKUP(INDEX($A:$A,MATCH(ROW(T65),U:U,0)),$A:$D,4,0),"")</f>
        <v/>
      </c>
      <c r="W67" t="e">
        <f t="shared" ref="W67:W130" si="22">CONCATENATE(Z67,Y67,X67)</f>
        <v>#VALUE!</v>
      </c>
      <c r="X67">
        <f>'OTHER PLANT ATTN.'!C:C</f>
        <v>0</v>
      </c>
      <c r="Y67" t="e">
        <f>Table1[[#This Row],[CATEGORY ]]</f>
        <v>#VALUE!</v>
      </c>
      <c r="Z67" t="e">
        <f>Table1[[#This Row],[PLANT]]</f>
        <v>#VALUE!</v>
      </c>
    </row>
    <row r="68" spans="1:26">
      <c r="A68" t="str">
        <f t="shared" si="16"/>
        <v>WAGESDRIVERTANMOY MONDAL</v>
      </c>
      <c r="B68" t="str">
        <f>Table4[[#This Row],[CATEGORY]]</f>
        <v>WAGES</v>
      </c>
      <c r="C68" t="str">
        <f>Table4[[#This Row],[SUB-CATEGORY]]</f>
        <v>DRIVER</v>
      </c>
      <c r="D68" t="str">
        <f>'RJ ATTENDENCE SHEET'!C:C</f>
        <v>TANMOY MONDAL</v>
      </c>
      <c r="E68" t="str">
        <f t="shared" si="15"/>
        <v>DRIVER</v>
      </c>
      <c r="F68" t="str">
        <f t="shared" ref="F68:F131" si="23">IFERROR(SEARCH("SALARYOFFICE",$A:$A),"")</f>
        <v/>
      </c>
      <c r="G68">
        <f>IFERROR(IF(F68=0,"",COUNTIF($F$3:F68,"&gt;0")),"")</f>
        <v>12</v>
      </c>
      <c r="H68" t="str">
        <f t="shared" si="17"/>
        <v/>
      </c>
      <c r="I68">
        <f t="shared" ref="I68:I131" si="24">IFERROR(SEARCH("WAGES",$A:$A),"")</f>
        <v>1</v>
      </c>
      <c r="J68">
        <f>IFERROR(IF(I68=0,"",COUNTIF($I$3:I68,"&gt;0")),"")</f>
        <v>28</v>
      </c>
      <c r="K68" t="str">
        <f t="shared" si="18"/>
        <v/>
      </c>
      <c r="L68" t="str">
        <f t="shared" ref="L68:L131" si="25">IFERROR(VLOOKUP(K68,$D:$E,2,0),"")</f>
        <v/>
      </c>
      <c r="M68" t="str">
        <f t="shared" ref="M68:M131" si="26">IFERROR(SEARCH("CONTRACT",$A:$A),"")</f>
        <v/>
      </c>
      <c r="N68">
        <f>IFERROR(IF(M68=0,"",COUNTIF($M$3:M68,"&gt;0")),"")</f>
        <v>26</v>
      </c>
      <c r="O68" t="str">
        <f t="shared" si="19"/>
        <v/>
      </c>
      <c r="P68" t="str">
        <f t="shared" ref="P68:P131" si="27">IFERROR(VLOOKUP(O68,$D:$E,2,0),"")</f>
        <v/>
      </c>
      <c r="Q68" t="str">
        <f t="shared" ref="Q68:Q131" si="28">IFERROR(SEARCH("SALARY",$A:$A),"")</f>
        <v/>
      </c>
      <c r="R68">
        <f>IFERROR(IF(Q68=0,"",COUNTIF($Q$3:Q68,"&gt;0")),"")</f>
        <v>12</v>
      </c>
      <c r="S68" t="str">
        <f t="shared" si="20"/>
        <v/>
      </c>
      <c r="T68" t="str">
        <f t="shared" ref="T68:T131" si="29">IFERROR(SEARCH("OTHERS0",$A:$A),"")</f>
        <v/>
      </c>
      <c r="U68">
        <f>IFERROR(IF(T68=0,"",COUNTIF($T$3:T68,"&gt;0")),"")</f>
        <v>0</v>
      </c>
      <c r="V68" t="str">
        <f t="shared" si="21"/>
        <v/>
      </c>
      <c r="W68" t="e">
        <f t="shared" si="22"/>
        <v>#VALUE!</v>
      </c>
      <c r="X68">
        <f>'OTHER PLANT ATTN.'!C:C</f>
        <v>0</v>
      </c>
      <c r="Y68" t="e">
        <f>Table1[[#This Row],[CATEGORY ]]</f>
        <v>#VALUE!</v>
      </c>
      <c r="Z68" t="e">
        <f>Table1[[#This Row],[PLANT]]</f>
        <v>#VALUE!</v>
      </c>
    </row>
    <row r="69" spans="1:26">
      <c r="A69" t="str">
        <f t="shared" si="16"/>
        <v>CONTRACTHELPERTAPAS MONDAL</v>
      </c>
      <c r="B69" t="str">
        <f>Table4[[#This Row],[CATEGORY]]</f>
        <v>CONTRACT</v>
      </c>
      <c r="C69" t="str">
        <f>Table4[[#This Row],[SUB-CATEGORY]]</f>
        <v>HELPER</v>
      </c>
      <c r="D69" t="str">
        <f>'RJ ATTENDENCE SHEET'!C:C</f>
        <v>TAPAS MONDAL</v>
      </c>
      <c r="E69" t="str">
        <f t="shared" si="15"/>
        <v>HELPER</v>
      </c>
      <c r="F69" t="str">
        <f t="shared" si="23"/>
        <v/>
      </c>
      <c r="G69">
        <f>IFERROR(IF(F69=0,"",COUNTIF($F$3:F69,"&gt;0")),"")</f>
        <v>12</v>
      </c>
      <c r="H69" t="str">
        <f t="shared" si="17"/>
        <v/>
      </c>
      <c r="I69" t="str">
        <f t="shared" si="24"/>
        <v/>
      </c>
      <c r="J69">
        <f>IFERROR(IF(I69=0,"",COUNTIF($I$3:I69,"&gt;0")),"")</f>
        <v>28</v>
      </c>
      <c r="K69" t="str">
        <f t="shared" si="18"/>
        <v/>
      </c>
      <c r="L69" t="str">
        <f t="shared" si="25"/>
        <v/>
      </c>
      <c r="M69">
        <f t="shared" si="26"/>
        <v>1</v>
      </c>
      <c r="N69">
        <f>IFERROR(IF(M69=0,"",COUNTIF($M$3:M69,"&gt;0")),"")</f>
        <v>27</v>
      </c>
      <c r="O69" t="str">
        <f t="shared" si="19"/>
        <v/>
      </c>
      <c r="P69" t="str">
        <f t="shared" si="27"/>
        <v/>
      </c>
      <c r="Q69" t="str">
        <f t="shared" si="28"/>
        <v/>
      </c>
      <c r="R69">
        <f>IFERROR(IF(Q69=0,"",COUNTIF($Q$3:Q69,"&gt;0")),"")</f>
        <v>12</v>
      </c>
      <c r="S69" t="str">
        <f t="shared" si="20"/>
        <v/>
      </c>
      <c r="T69" t="str">
        <f t="shared" si="29"/>
        <v/>
      </c>
      <c r="U69">
        <f>IFERROR(IF(T69=0,"",COUNTIF($T$3:T69,"&gt;0")),"")</f>
        <v>0</v>
      </c>
      <c r="V69" t="str">
        <f t="shared" si="21"/>
        <v/>
      </c>
      <c r="W69" t="e">
        <f t="shared" si="22"/>
        <v>#VALUE!</v>
      </c>
      <c r="X69">
        <f>'OTHER PLANT ATTN.'!C:C</f>
        <v>0</v>
      </c>
      <c r="Y69" t="e">
        <f>Table1[[#This Row],[CATEGORY ]]</f>
        <v>#VALUE!</v>
      </c>
      <c r="Z69" t="e">
        <f>Table1[[#This Row],[PLANT]]</f>
        <v>#VALUE!</v>
      </c>
    </row>
    <row r="70" spans="1:26">
      <c r="A70" t="str">
        <f t="shared" si="16"/>
        <v>SALARYOFFICENABA KUMAR  BISWAS</v>
      </c>
      <c r="B70" t="str">
        <f>Table4[[#This Row],[CATEGORY]]</f>
        <v>SALARY</v>
      </c>
      <c r="C70" t="str">
        <f>Table4[[#This Row],[SUB-CATEGORY]]</f>
        <v>OFFICE</v>
      </c>
      <c r="D70" t="str">
        <f>'RJ ATTENDENCE SHEET'!C:C</f>
        <v>NABA KUMAR  BISWAS</v>
      </c>
      <c r="E70" t="str">
        <f t="shared" si="15"/>
        <v>OFFICE</v>
      </c>
      <c r="F70">
        <f t="shared" si="23"/>
        <v>1</v>
      </c>
      <c r="G70">
        <f>IFERROR(IF(F70=0,"",COUNTIF($F$3:F70,"&gt;0")),"")</f>
        <v>13</v>
      </c>
      <c r="H70" t="str">
        <f t="shared" si="17"/>
        <v/>
      </c>
      <c r="I70" t="str">
        <f t="shared" si="24"/>
        <v/>
      </c>
      <c r="J70">
        <f>IFERROR(IF(I70=0,"",COUNTIF($I$3:I70,"&gt;0")),"")</f>
        <v>28</v>
      </c>
      <c r="K70" t="str">
        <f t="shared" si="18"/>
        <v/>
      </c>
      <c r="L70" t="str">
        <f t="shared" si="25"/>
        <v/>
      </c>
      <c r="M70" t="str">
        <f t="shared" si="26"/>
        <v/>
      </c>
      <c r="N70">
        <f>IFERROR(IF(M70=0,"",COUNTIF($M$3:M70,"&gt;0")),"")</f>
        <v>27</v>
      </c>
      <c r="O70" t="str">
        <f t="shared" si="19"/>
        <v/>
      </c>
      <c r="P70" t="str">
        <f t="shared" si="27"/>
        <v/>
      </c>
      <c r="Q70">
        <f t="shared" si="28"/>
        <v>1</v>
      </c>
      <c r="R70">
        <f>IFERROR(IF(Q70=0,"",COUNTIF($Q$3:Q70,"&gt;0")),"")</f>
        <v>13</v>
      </c>
      <c r="S70" t="str">
        <f t="shared" si="20"/>
        <v/>
      </c>
      <c r="T70" t="str">
        <f t="shared" si="29"/>
        <v/>
      </c>
      <c r="U70">
        <f>IFERROR(IF(T70=0,"",COUNTIF($T$3:T70,"&gt;0")),"")</f>
        <v>0</v>
      </c>
      <c r="V70" t="str">
        <f t="shared" si="21"/>
        <v/>
      </c>
      <c r="W70" t="e">
        <f t="shared" si="22"/>
        <v>#VALUE!</v>
      </c>
      <c r="X70">
        <f>'OTHER PLANT ATTN.'!C:C</f>
        <v>0</v>
      </c>
      <c r="Y70" t="e">
        <f>Table1[[#This Row],[CATEGORY ]]</f>
        <v>#VALUE!</v>
      </c>
      <c r="Z70" t="e">
        <f>Table1[[#This Row],[PLANT]]</f>
        <v>#VALUE!</v>
      </c>
    </row>
    <row r="71" spans="1:26">
      <c r="A71" t="str">
        <f t="shared" si="16"/>
        <v>WAGESHELPERALOK MONDAL</v>
      </c>
      <c r="B71" t="str">
        <f>Table4[[#This Row],[CATEGORY]]</f>
        <v>WAGES</v>
      </c>
      <c r="C71" t="str">
        <f>Table4[[#This Row],[SUB-CATEGORY]]</f>
        <v>HELPER</v>
      </c>
      <c r="D71" t="str">
        <f>'RJ ATTENDENCE SHEET'!C:C</f>
        <v>ALOK MONDAL</v>
      </c>
      <c r="E71" t="str">
        <f t="shared" si="15"/>
        <v>HELPER</v>
      </c>
      <c r="F71" t="str">
        <f t="shared" si="23"/>
        <v/>
      </c>
      <c r="G71">
        <f>IFERROR(IF(F71=0,"",COUNTIF($F$3:F71,"&gt;0")),"")</f>
        <v>13</v>
      </c>
      <c r="H71" t="str">
        <f t="shared" si="17"/>
        <v/>
      </c>
      <c r="I71">
        <f t="shared" si="24"/>
        <v>1</v>
      </c>
      <c r="J71">
        <f>IFERROR(IF(I71=0,"",COUNTIF($I$3:I71,"&gt;0")),"")</f>
        <v>29</v>
      </c>
      <c r="K71" t="str">
        <f t="shared" si="18"/>
        <v/>
      </c>
      <c r="L71" t="str">
        <f t="shared" si="25"/>
        <v/>
      </c>
      <c r="M71" t="str">
        <f t="shared" si="26"/>
        <v/>
      </c>
      <c r="N71">
        <f>IFERROR(IF(M71=0,"",COUNTIF($M$3:M71,"&gt;0")),"")</f>
        <v>27</v>
      </c>
      <c r="O71" t="str">
        <f t="shared" si="19"/>
        <v/>
      </c>
      <c r="P71" t="str">
        <f t="shared" si="27"/>
        <v/>
      </c>
      <c r="Q71" t="str">
        <f t="shared" si="28"/>
        <v/>
      </c>
      <c r="R71">
        <f>IFERROR(IF(Q71=0,"",COUNTIF($Q$3:Q71,"&gt;0")),"")</f>
        <v>13</v>
      </c>
      <c r="S71" t="str">
        <f t="shared" si="20"/>
        <v/>
      </c>
      <c r="T71" t="str">
        <f t="shared" si="29"/>
        <v/>
      </c>
      <c r="U71">
        <f>IFERROR(IF(T71=0,"",COUNTIF($T$3:T71,"&gt;0")),"")</f>
        <v>0</v>
      </c>
      <c r="V71" t="str">
        <f t="shared" si="21"/>
        <v/>
      </c>
      <c r="W71" t="e">
        <f t="shared" si="22"/>
        <v>#VALUE!</v>
      </c>
      <c r="X71">
        <f>'OTHER PLANT ATTN.'!C:C</f>
        <v>0</v>
      </c>
      <c r="Y71" t="e">
        <f>Table1[[#This Row],[CATEGORY ]]</f>
        <v>#VALUE!</v>
      </c>
      <c r="Z71" t="e">
        <f>Table1[[#This Row],[PLANT]]</f>
        <v>#VALUE!</v>
      </c>
    </row>
    <row r="72" spans="1:26">
      <c r="A72" t="str">
        <f t="shared" si="16"/>
        <v>CONTRACTHELPERRASHID MONDAL</v>
      </c>
      <c r="B72" t="str">
        <f>Table4[[#This Row],[CATEGORY]]</f>
        <v>CONTRACT</v>
      </c>
      <c r="C72" t="str">
        <f>Table4[[#This Row],[SUB-CATEGORY]]</f>
        <v>HELPER</v>
      </c>
      <c r="D72" t="str">
        <f>'RJ ATTENDENCE SHEET'!C:C</f>
        <v>RASHID MONDAL</v>
      </c>
      <c r="E72" t="str">
        <f t="shared" si="15"/>
        <v>HELPER</v>
      </c>
      <c r="F72" t="str">
        <f t="shared" si="23"/>
        <v/>
      </c>
      <c r="G72">
        <f>IFERROR(IF(F72=0,"",COUNTIF($F$3:F72,"&gt;0")),"")</f>
        <v>13</v>
      </c>
      <c r="H72" t="str">
        <f t="shared" si="17"/>
        <v/>
      </c>
      <c r="I72" t="str">
        <f t="shared" si="24"/>
        <v/>
      </c>
      <c r="J72">
        <f>IFERROR(IF(I72=0,"",COUNTIF($I$3:I72,"&gt;0")),"")</f>
        <v>29</v>
      </c>
      <c r="K72" t="str">
        <f t="shared" si="18"/>
        <v/>
      </c>
      <c r="L72" t="str">
        <f t="shared" si="25"/>
        <v/>
      </c>
      <c r="M72">
        <f t="shared" si="26"/>
        <v>1</v>
      </c>
      <c r="N72">
        <f>IFERROR(IF(M72=0,"",COUNTIF($M$3:M72,"&gt;0")),"")</f>
        <v>28</v>
      </c>
      <c r="O72" t="str">
        <f t="shared" si="19"/>
        <v/>
      </c>
      <c r="P72" t="str">
        <f t="shared" si="27"/>
        <v/>
      </c>
      <c r="Q72" t="str">
        <f t="shared" si="28"/>
        <v/>
      </c>
      <c r="R72">
        <f>IFERROR(IF(Q72=0,"",COUNTIF($Q$3:Q72,"&gt;0")),"")</f>
        <v>13</v>
      </c>
      <c r="S72" t="str">
        <f t="shared" si="20"/>
        <v/>
      </c>
      <c r="T72" t="str">
        <f t="shared" si="29"/>
        <v/>
      </c>
      <c r="U72">
        <f>IFERROR(IF(T72=0,"",COUNTIF($T$3:T72,"&gt;0")),"")</f>
        <v>0</v>
      </c>
      <c r="V72" t="str">
        <f t="shared" si="21"/>
        <v/>
      </c>
      <c r="W72" t="e">
        <f t="shared" si="22"/>
        <v>#VALUE!</v>
      </c>
      <c r="X72">
        <f>'OTHER PLANT ATTN.'!C:C</f>
        <v>0</v>
      </c>
      <c r="Y72" t="e">
        <f>Table1[[#This Row],[CATEGORY ]]</f>
        <v>#VALUE!</v>
      </c>
      <c r="Z72" t="e">
        <f>Table1[[#This Row],[PLANT]]</f>
        <v>#VALUE!</v>
      </c>
    </row>
    <row r="73" spans="1:26">
      <c r="A73" t="str">
        <f t="shared" si="16"/>
        <v>CONTRACTHELPERRAJU MONDAL</v>
      </c>
      <c r="B73" t="str">
        <f>Table4[[#This Row],[CATEGORY]]</f>
        <v>CONTRACT</v>
      </c>
      <c r="C73" t="str">
        <f>Table4[[#This Row],[SUB-CATEGORY]]</f>
        <v>HELPER</v>
      </c>
      <c r="D73" t="str">
        <f>'RJ ATTENDENCE SHEET'!C:C</f>
        <v>RAJU MONDAL</v>
      </c>
      <c r="E73" t="str">
        <f t="shared" si="15"/>
        <v>HELPER</v>
      </c>
      <c r="F73" t="str">
        <f t="shared" si="23"/>
        <v/>
      </c>
      <c r="G73">
        <f>IFERROR(IF(F73=0,"",COUNTIF($F$3:F73,"&gt;0")),"")</f>
        <v>13</v>
      </c>
      <c r="H73" t="str">
        <f t="shared" si="17"/>
        <v/>
      </c>
      <c r="I73" t="str">
        <f t="shared" si="24"/>
        <v/>
      </c>
      <c r="J73">
        <f>IFERROR(IF(I73=0,"",COUNTIF($I$3:I73,"&gt;0")),"")</f>
        <v>29</v>
      </c>
      <c r="K73" t="str">
        <f t="shared" si="18"/>
        <v/>
      </c>
      <c r="L73" t="str">
        <f t="shared" si="25"/>
        <v/>
      </c>
      <c r="M73">
        <f t="shared" si="26"/>
        <v>1</v>
      </c>
      <c r="N73">
        <f>IFERROR(IF(M73=0,"",COUNTIF($M$3:M73,"&gt;0")),"")</f>
        <v>29</v>
      </c>
      <c r="O73" t="str">
        <f t="shared" si="19"/>
        <v/>
      </c>
      <c r="P73" t="str">
        <f t="shared" si="27"/>
        <v/>
      </c>
      <c r="Q73" t="str">
        <f t="shared" si="28"/>
        <v/>
      </c>
      <c r="R73">
        <f>IFERROR(IF(Q73=0,"",COUNTIF($Q$3:Q73,"&gt;0")),"")</f>
        <v>13</v>
      </c>
      <c r="S73" t="str">
        <f t="shared" si="20"/>
        <v/>
      </c>
      <c r="T73" t="str">
        <f t="shared" si="29"/>
        <v/>
      </c>
      <c r="U73">
        <f>IFERROR(IF(T73=0,"",COUNTIF($T$3:T73,"&gt;0")),"")</f>
        <v>0</v>
      </c>
      <c r="V73" t="str">
        <f t="shared" si="21"/>
        <v/>
      </c>
      <c r="W73" t="e">
        <f t="shared" si="22"/>
        <v>#VALUE!</v>
      </c>
      <c r="X73">
        <f>'OTHER PLANT ATTN.'!C:C</f>
        <v>0</v>
      </c>
      <c r="Y73" t="e">
        <f>Table1[[#This Row],[CATEGORY ]]</f>
        <v>#VALUE!</v>
      </c>
      <c r="Z73" t="e">
        <f>Table1[[#This Row],[PLANT]]</f>
        <v>#VALUE!</v>
      </c>
    </row>
    <row r="74" spans="1:26">
      <c r="A74" t="str">
        <f t="shared" si="16"/>
        <v>WAGESLABRAJESH BAR</v>
      </c>
      <c r="B74" t="str">
        <f>Table4[[#This Row],[CATEGORY]]</f>
        <v>WAGES</v>
      </c>
      <c r="C74" t="str">
        <f>Table4[[#This Row],[SUB-CATEGORY]]</f>
        <v>LAB</v>
      </c>
      <c r="D74" t="str">
        <f>'RJ ATTENDENCE SHEET'!C:C</f>
        <v>RAJESH BAR</v>
      </c>
      <c r="E74" t="str">
        <f t="shared" si="15"/>
        <v>LAB</v>
      </c>
      <c r="F74" t="str">
        <f t="shared" si="23"/>
        <v/>
      </c>
      <c r="G74">
        <f>IFERROR(IF(F74=0,"",COUNTIF($F$3:F74,"&gt;0")),"")</f>
        <v>13</v>
      </c>
      <c r="H74" t="str">
        <f t="shared" si="17"/>
        <v/>
      </c>
      <c r="I74">
        <f t="shared" si="24"/>
        <v>1</v>
      </c>
      <c r="J74">
        <f>IFERROR(IF(I74=0,"",COUNTIF($I$3:I74,"&gt;0")),"")</f>
        <v>30</v>
      </c>
      <c r="K74" t="str">
        <f t="shared" si="18"/>
        <v/>
      </c>
      <c r="L74" t="str">
        <f t="shared" si="25"/>
        <v/>
      </c>
      <c r="M74" t="str">
        <f t="shared" si="26"/>
        <v/>
      </c>
      <c r="N74">
        <f>IFERROR(IF(M74=0,"",COUNTIF($M$3:M74,"&gt;0")),"")</f>
        <v>29</v>
      </c>
      <c r="O74" t="str">
        <f t="shared" si="19"/>
        <v/>
      </c>
      <c r="P74" t="str">
        <f t="shared" si="27"/>
        <v/>
      </c>
      <c r="Q74" t="str">
        <f t="shared" si="28"/>
        <v/>
      </c>
      <c r="R74">
        <f>IFERROR(IF(Q74=0,"",COUNTIF($Q$3:Q74,"&gt;0")),"")</f>
        <v>13</v>
      </c>
      <c r="S74" t="str">
        <f t="shared" si="20"/>
        <v/>
      </c>
      <c r="T74" t="str">
        <f t="shared" si="29"/>
        <v/>
      </c>
      <c r="U74">
        <f>IFERROR(IF(T74=0,"",COUNTIF($T$3:T74,"&gt;0")),"")</f>
        <v>0</v>
      </c>
      <c r="V74" t="str">
        <f t="shared" si="21"/>
        <v/>
      </c>
      <c r="W74" t="e">
        <f t="shared" si="22"/>
        <v>#VALUE!</v>
      </c>
      <c r="X74">
        <f>'OTHER PLANT ATTN.'!C:C</f>
        <v>0</v>
      </c>
      <c r="Y74" t="e">
        <f>Table1[[#This Row],[CATEGORY ]]</f>
        <v>#VALUE!</v>
      </c>
      <c r="Z74" t="e">
        <f>Table1[[#This Row],[PLANT]]</f>
        <v>#VALUE!</v>
      </c>
    </row>
    <row r="75" spans="1:26">
      <c r="A75" t="str">
        <f t="shared" si="16"/>
        <v>CONTRACTHELPERSUDIP MONDAL</v>
      </c>
      <c r="B75" t="str">
        <f>Table4[[#This Row],[CATEGORY]]</f>
        <v>CONTRACT</v>
      </c>
      <c r="C75" t="str">
        <f>Table4[[#This Row],[SUB-CATEGORY]]</f>
        <v>HELPER</v>
      </c>
      <c r="D75" t="str">
        <f>'RJ ATTENDENCE SHEET'!C:C</f>
        <v>SUDIP MONDAL</v>
      </c>
      <c r="E75" t="str">
        <f t="shared" si="15"/>
        <v>HELPER</v>
      </c>
      <c r="F75" t="str">
        <f t="shared" si="23"/>
        <v/>
      </c>
      <c r="G75">
        <f>IFERROR(IF(F75=0,"",COUNTIF($F$3:F75,"&gt;0")),"")</f>
        <v>13</v>
      </c>
      <c r="H75" t="str">
        <f t="shared" si="17"/>
        <v/>
      </c>
      <c r="I75" t="str">
        <f t="shared" si="24"/>
        <v/>
      </c>
      <c r="J75">
        <f>IFERROR(IF(I75=0,"",COUNTIF($I$3:I75,"&gt;0")),"")</f>
        <v>30</v>
      </c>
      <c r="K75" t="str">
        <f t="shared" si="18"/>
        <v/>
      </c>
      <c r="L75" t="str">
        <f t="shared" si="25"/>
        <v/>
      </c>
      <c r="M75">
        <f t="shared" si="26"/>
        <v>1</v>
      </c>
      <c r="N75">
        <f>IFERROR(IF(M75=0,"",COUNTIF($M$3:M75,"&gt;0")),"")</f>
        <v>30</v>
      </c>
      <c r="O75" t="str">
        <f t="shared" si="19"/>
        <v/>
      </c>
      <c r="P75" t="str">
        <f t="shared" si="27"/>
        <v/>
      </c>
      <c r="Q75" t="str">
        <f t="shared" si="28"/>
        <v/>
      </c>
      <c r="R75">
        <f>IFERROR(IF(Q75=0,"",COUNTIF($Q$3:Q75,"&gt;0")),"")</f>
        <v>13</v>
      </c>
      <c r="S75" t="str">
        <f t="shared" si="20"/>
        <v/>
      </c>
      <c r="T75" t="str">
        <f t="shared" si="29"/>
        <v/>
      </c>
      <c r="U75">
        <f>IFERROR(IF(T75=0,"",COUNTIF($T$3:T75,"&gt;0")),"")</f>
        <v>0</v>
      </c>
      <c r="V75" t="str">
        <f t="shared" si="21"/>
        <v/>
      </c>
      <c r="W75" t="e">
        <f t="shared" si="22"/>
        <v>#VALUE!</v>
      </c>
      <c r="X75">
        <f>'OTHER PLANT ATTN.'!C:C</f>
        <v>0</v>
      </c>
      <c r="Y75" t="e">
        <f>Table1[[#This Row],[CATEGORY ]]</f>
        <v>#VALUE!</v>
      </c>
      <c r="Z75" t="e">
        <f>Table1[[#This Row],[PLANT]]</f>
        <v>#VALUE!</v>
      </c>
    </row>
    <row r="76" spans="1:26">
      <c r="A76" t="str">
        <f t="shared" si="16"/>
        <v>WAGESLABBIKRAM ROY</v>
      </c>
      <c r="B76" t="str">
        <f>Table4[[#This Row],[CATEGORY]]</f>
        <v>WAGES</v>
      </c>
      <c r="C76" t="str">
        <f>Table4[[#This Row],[SUB-CATEGORY]]</f>
        <v>LAB</v>
      </c>
      <c r="D76" t="str">
        <f>'RJ ATTENDENCE SHEET'!C:C</f>
        <v>BIKRAM ROY</v>
      </c>
      <c r="E76" t="str">
        <f t="shared" si="15"/>
        <v>LAB</v>
      </c>
      <c r="F76" t="str">
        <f t="shared" si="23"/>
        <v/>
      </c>
      <c r="G76">
        <f>IFERROR(IF(F76=0,"",COUNTIF($F$3:F76,"&gt;0")),"")</f>
        <v>13</v>
      </c>
      <c r="H76" t="str">
        <f t="shared" si="17"/>
        <v/>
      </c>
      <c r="I76">
        <f t="shared" si="24"/>
        <v>1</v>
      </c>
      <c r="J76">
        <f>IFERROR(IF(I76=0,"",COUNTIF($I$3:I76,"&gt;0")),"")</f>
        <v>31</v>
      </c>
      <c r="K76" t="str">
        <f t="shared" si="18"/>
        <v/>
      </c>
      <c r="L76" t="str">
        <f t="shared" si="25"/>
        <v/>
      </c>
      <c r="M76" t="str">
        <f t="shared" si="26"/>
        <v/>
      </c>
      <c r="N76">
        <f>IFERROR(IF(M76=0,"",COUNTIF($M$3:M76,"&gt;0")),"")</f>
        <v>30</v>
      </c>
      <c r="O76" t="str">
        <f t="shared" si="19"/>
        <v/>
      </c>
      <c r="P76" t="str">
        <f t="shared" si="27"/>
        <v/>
      </c>
      <c r="Q76" t="str">
        <f t="shared" si="28"/>
        <v/>
      </c>
      <c r="R76">
        <f>IFERROR(IF(Q76=0,"",COUNTIF($Q$3:Q76,"&gt;0")),"")</f>
        <v>13</v>
      </c>
      <c r="S76" t="str">
        <f t="shared" si="20"/>
        <v/>
      </c>
      <c r="T76" t="str">
        <f t="shared" si="29"/>
        <v/>
      </c>
      <c r="U76">
        <f>IFERROR(IF(T76=0,"",COUNTIF($T$3:T76,"&gt;0")),"")</f>
        <v>0</v>
      </c>
      <c r="V76" t="str">
        <f t="shared" si="21"/>
        <v/>
      </c>
      <c r="W76" t="e">
        <f t="shared" si="22"/>
        <v>#VALUE!</v>
      </c>
      <c r="X76">
        <f>'OTHER PLANT ATTN.'!C:C</f>
        <v>0</v>
      </c>
      <c r="Y76" t="e">
        <f>Table1[[#This Row],[CATEGORY ]]</f>
        <v>#VALUE!</v>
      </c>
      <c r="Z76" t="e">
        <f>Table1[[#This Row],[PLANT]]</f>
        <v>#VALUE!</v>
      </c>
    </row>
    <row r="77" spans="1:26">
      <c r="A77" t="str">
        <f t="shared" si="16"/>
        <v>CONTRACTOTHERSALMIRAJ JHAN</v>
      </c>
      <c r="B77" t="str">
        <f>Table4[[#This Row],[CATEGORY]]</f>
        <v>CONTRACT</v>
      </c>
      <c r="C77" t="str">
        <f>Table4[[#This Row],[SUB-CATEGORY]]</f>
        <v>OTHERS</v>
      </c>
      <c r="D77" t="str">
        <f>'RJ ATTENDENCE SHEET'!C:C</f>
        <v>ALMIRAJ JHAN</v>
      </c>
      <c r="E77" t="str">
        <f t="shared" si="15"/>
        <v>OTHERS</v>
      </c>
      <c r="F77" t="str">
        <f t="shared" si="23"/>
        <v/>
      </c>
      <c r="G77">
        <f>IFERROR(IF(F77=0,"",COUNTIF($F$3:F77,"&gt;0")),"")</f>
        <v>13</v>
      </c>
      <c r="H77" t="str">
        <f t="shared" si="17"/>
        <v/>
      </c>
      <c r="I77" t="str">
        <f t="shared" si="24"/>
        <v/>
      </c>
      <c r="J77">
        <f>IFERROR(IF(I77=0,"",COUNTIF($I$3:I77,"&gt;0")),"")</f>
        <v>31</v>
      </c>
      <c r="K77" t="str">
        <f t="shared" si="18"/>
        <v/>
      </c>
      <c r="L77" t="str">
        <f t="shared" si="25"/>
        <v/>
      </c>
      <c r="M77">
        <f t="shared" si="26"/>
        <v>1</v>
      </c>
      <c r="N77">
        <f>IFERROR(IF(M77=0,"",COUNTIF($M$3:M77,"&gt;0")),"")</f>
        <v>31</v>
      </c>
      <c r="O77" t="str">
        <f t="shared" si="19"/>
        <v/>
      </c>
      <c r="P77" t="str">
        <f t="shared" si="27"/>
        <v/>
      </c>
      <c r="Q77" t="str">
        <f t="shared" si="28"/>
        <v/>
      </c>
      <c r="R77">
        <f>IFERROR(IF(Q77=0,"",COUNTIF($Q$3:Q77,"&gt;0")),"")</f>
        <v>13</v>
      </c>
      <c r="S77" t="str">
        <f t="shared" si="20"/>
        <v/>
      </c>
      <c r="T77" t="str">
        <f t="shared" si="29"/>
        <v/>
      </c>
      <c r="U77">
        <f>IFERROR(IF(T77=0,"",COUNTIF($T$3:T77,"&gt;0")),"")</f>
        <v>0</v>
      </c>
      <c r="V77" t="str">
        <f t="shared" si="21"/>
        <v/>
      </c>
      <c r="W77" t="e">
        <f t="shared" si="22"/>
        <v>#VALUE!</v>
      </c>
      <c r="X77">
        <f>'OTHER PLANT ATTN.'!C:C</f>
        <v>0</v>
      </c>
      <c r="Y77" t="e">
        <f>Table1[[#This Row],[CATEGORY ]]</f>
        <v>#VALUE!</v>
      </c>
      <c r="Z77" t="e">
        <f>Table1[[#This Row],[PLANT]]</f>
        <v>#VALUE!</v>
      </c>
    </row>
    <row r="78" spans="1:26">
      <c r="A78" t="str">
        <f t="shared" si="16"/>
        <v>WAGESDRIVERJITU MAHALI</v>
      </c>
      <c r="B78" t="str">
        <f>Table4[[#This Row],[CATEGORY]]</f>
        <v>WAGES</v>
      </c>
      <c r="C78" t="str">
        <f>Table4[[#This Row],[SUB-CATEGORY]]</f>
        <v>DRIVER</v>
      </c>
      <c r="D78" t="str">
        <f>'RJ ATTENDENCE SHEET'!C:C</f>
        <v>JITU MAHALI</v>
      </c>
      <c r="E78" t="str">
        <f t="shared" si="15"/>
        <v>DRIVER</v>
      </c>
      <c r="F78" t="str">
        <f t="shared" si="23"/>
        <v/>
      </c>
      <c r="G78">
        <f>IFERROR(IF(F78=0,"",COUNTIF($F$3:F78,"&gt;0")),"")</f>
        <v>13</v>
      </c>
      <c r="H78" t="str">
        <f t="shared" si="17"/>
        <v/>
      </c>
      <c r="I78">
        <f t="shared" si="24"/>
        <v>1</v>
      </c>
      <c r="J78">
        <f>IFERROR(IF(I78=0,"",COUNTIF($I$3:I78,"&gt;0")),"")</f>
        <v>32</v>
      </c>
      <c r="K78" t="str">
        <f t="shared" si="18"/>
        <v/>
      </c>
      <c r="L78" t="str">
        <f t="shared" si="25"/>
        <v/>
      </c>
      <c r="M78" t="str">
        <f t="shared" si="26"/>
        <v/>
      </c>
      <c r="N78">
        <f>IFERROR(IF(M78=0,"",COUNTIF($M$3:M78,"&gt;0")),"")</f>
        <v>31</v>
      </c>
      <c r="O78" t="str">
        <f t="shared" si="19"/>
        <v/>
      </c>
      <c r="P78" t="str">
        <f t="shared" si="27"/>
        <v/>
      </c>
      <c r="Q78" t="str">
        <f t="shared" si="28"/>
        <v/>
      </c>
      <c r="R78">
        <f>IFERROR(IF(Q78=0,"",COUNTIF($Q$3:Q78,"&gt;0")),"")</f>
        <v>13</v>
      </c>
      <c r="S78" t="str">
        <f t="shared" si="20"/>
        <v/>
      </c>
      <c r="T78" t="str">
        <f t="shared" si="29"/>
        <v/>
      </c>
      <c r="U78">
        <f>IFERROR(IF(T78=0,"",COUNTIF($T$3:T78,"&gt;0")),"")</f>
        <v>0</v>
      </c>
      <c r="V78" t="str">
        <f t="shared" si="21"/>
        <v/>
      </c>
      <c r="W78" t="e">
        <f t="shared" si="22"/>
        <v>#VALUE!</v>
      </c>
      <c r="X78">
        <f>'OTHER PLANT ATTN.'!C:C</f>
        <v>0</v>
      </c>
      <c r="Y78" t="e">
        <f>Table1[[#This Row],[CATEGORY ]]</f>
        <v>#VALUE!</v>
      </c>
      <c r="Z78" t="e">
        <f>Table1[[#This Row],[PLANT]]</f>
        <v>#VALUE!</v>
      </c>
    </row>
    <row r="79" spans="1:26">
      <c r="A79" t="str">
        <f t="shared" si="16"/>
        <v>000</v>
      </c>
      <c r="B79">
        <f>Table4[[#This Row],[CATEGORY]]</f>
        <v>0</v>
      </c>
      <c r="C79">
        <f>Table4[[#This Row],[SUB-CATEGORY]]</f>
        <v>0</v>
      </c>
      <c r="D79">
        <f>'RJ ATTENDENCE SHEET'!C:C</f>
        <v>0</v>
      </c>
      <c r="E79">
        <f t="shared" si="15"/>
        <v>0</v>
      </c>
      <c r="F79" t="str">
        <f t="shared" si="23"/>
        <v/>
      </c>
      <c r="G79">
        <f>IFERROR(IF(F79=0,"",COUNTIF($F$3:F79,"&gt;0")),"")</f>
        <v>13</v>
      </c>
      <c r="H79" t="str">
        <f t="shared" si="17"/>
        <v/>
      </c>
      <c r="I79" t="str">
        <f t="shared" si="24"/>
        <v/>
      </c>
      <c r="J79">
        <f>IFERROR(IF(I79=0,"",COUNTIF($I$3:I79,"&gt;0")),"")</f>
        <v>32</v>
      </c>
      <c r="K79" t="str">
        <f t="shared" si="18"/>
        <v/>
      </c>
      <c r="L79" t="str">
        <f t="shared" si="25"/>
        <v/>
      </c>
      <c r="M79" t="str">
        <f t="shared" si="26"/>
        <v/>
      </c>
      <c r="N79">
        <f>IFERROR(IF(M79=0,"",COUNTIF($M$3:M79,"&gt;0")),"")</f>
        <v>31</v>
      </c>
      <c r="O79" t="str">
        <f t="shared" si="19"/>
        <v/>
      </c>
      <c r="P79" t="str">
        <f t="shared" si="27"/>
        <v/>
      </c>
      <c r="Q79" t="str">
        <f t="shared" si="28"/>
        <v/>
      </c>
      <c r="R79">
        <f>IFERROR(IF(Q79=0,"",COUNTIF($Q$3:Q79,"&gt;0")),"")</f>
        <v>13</v>
      </c>
      <c r="S79" t="str">
        <f t="shared" si="20"/>
        <v/>
      </c>
      <c r="T79" t="str">
        <f t="shared" si="29"/>
        <v/>
      </c>
      <c r="U79">
        <f>IFERROR(IF(T79=0,"",COUNTIF($T$3:T79,"&gt;0")),"")</f>
        <v>0</v>
      </c>
      <c r="V79" t="str">
        <f t="shared" si="21"/>
        <v/>
      </c>
      <c r="W79" t="e">
        <f t="shared" si="22"/>
        <v>#VALUE!</v>
      </c>
      <c r="X79">
        <f>'OTHER PLANT ATTN.'!C:C</f>
        <v>0</v>
      </c>
      <c r="Y79" t="e">
        <f>Table1[[#This Row],[CATEGORY ]]</f>
        <v>#VALUE!</v>
      </c>
      <c r="Z79" t="e">
        <f>Table1[[#This Row],[PLANT]]</f>
        <v>#VALUE!</v>
      </c>
    </row>
    <row r="80" spans="1:26">
      <c r="A80" t="str">
        <f t="shared" si="16"/>
        <v>SALARYOFFICEASIM KHUNTIA</v>
      </c>
      <c r="B80" t="str">
        <f>Table4[[#This Row],[CATEGORY]]</f>
        <v>SALARY</v>
      </c>
      <c r="C80" t="str">
        <f>Table4[[#This Row],[SUB-CATEGORY]]</f>
        <v>OFFICE</v>
      </c>
      <c r="D80" t="str">
        <f>'RJ ATTENDENCE SHEET'!C:C</f>
        <v>ASIM KHUNTIA</v>
      </c>
      <c r="E80" t="str">
        <f t="shared" si="15"/>
        <v>OFFICE</v>
      </c>
      <c r="F80">
        <f t="shared" si="23"/>
        <v>1</v>
      </c>
      <c r="G80">
        <f>IFERROR(IF(F80=0,"",COUNTIF($F$3:F80,"&gt;0")),"")</f>
        <v>14</v>
      </c>
      <c r="H80" t="str">
        <f t="shared" si="17"/>
        <v/>
      </c>
      <c r="I80" t="str">
        <f t="shared" si="24"/>
        <v/>
      </c>
      <c r="J80">
        <f>IFERROR(IF(I80=0,"",COUNTIF($I$3:I80,"&gt;0")),"")</f>
        <v>32</v>
      </c>
      <c r="K80" t="str">
        <f t="shared" si="18"/>
        <v/>
      </c>
      <c r="L80" t="str">
        <f t="shared" si="25"/>
        <v/>
      </c>
      <c r="M80" t="str">
        <f t="shared" si="26"/>
        <v/>
      </c>
      <c r="N80">
        <f>IFERROR(IF(M80=0,"",COUNTIF($M$3:M80,"&gt;0")),"")</f>
        <v>31</v>
      </c>
      <c r="O80" t="str">
        <f t="shared" si="19"/>
        <v/>
      </c>
      <c r="P80" t="str">
        <f t="shared" si="27"/>
        <v/>
      </c>
      <c r="Q80">
        <f t="shared" si="28"/>
        <v>1</v>
      </c>
      <c r="R80">
        <f>IFERROR(IF(Q80=0,"",COUNTIF($Q$3:Q80,"&gt;0")),"")</f>
        <v>14</v>
      </c>
      <c r="S80" t="str">
        <f t="shared" si="20"/>
        <v/>
      </c>
      <c r="T80" t="str">
        <f t="shared" si="29"/>
        <v/>
      </c>
      <c r="U80">
        <f>IFERROR(IF(T80=0,"",COUNTIF($T$3:T80,"&gt;0")),"")</f>
        <v>0</v>
      </c>
      <c r="V80" t="str">
        <f t="shared" si="21"/>
        <v/>
      </c>
      <c r="W80" t="e">
        <f t="shared" si="22"/>
        <v>#VALUE!</v>
      </c>
      <c r="X80">
        <f>'OTHER PLANT ATTN.'!C:C</f>
        <v>0</v>
      </c>
      <c r="Y80" t="e">
        <f>Table1[[#This Row],[CATEGORY ]]</f>
        <v>#VALUE!</v>
      </c>
      <c r="Z80" t="e">
        <f>Table1[[#This Row],[PLANT]]</f>
        <v>#VALUE!</v>
      </c>
    </row>
    <row r="81" spans="1:26">
      <c r="A81" t="str">
        <f t="shared" si="16"/>
        <v>CONTRACTHELPERSAMSUR</v>
      </c>
      <c r="B81" t="str">
        <f>Table4[[#This Row],[CATEGORY]]</f>
        <v>CONTRACT</v>
      </c>
      <c r="C81" t="str">
        <f>Table4[[#This Row],[SUB-CATEGORY]]</f>
        <v>HELPER</v>
      </c>
      <c r="D81" t="str">
        <f>'RJ ATTENDENCE SHEET'!C:C</f>
        <v>SAMSUR</v>
      </c>
      <c r="E81" t="str">
        <f t="shared" si="15"/>
        <v>HELPER</v>
      </c>
      <c r="F81" t="str">
        <f t="shared" si="23"/>
        <v/>
      </c>
      <c r="G81">
        <f>IFERROR(IF(F81=0,"",COUNTIF($F$3:F81,"&gt;0")),"")</f>
        <v>14</v>
      </c>
      <c r="H81" t="str">
        <f t="shared" si="17"/>
        <v/>
      </c>
      <c r="I81" t="str">
        <f t="shared" si="24"/>
        <v/>
      </c>
      <c r="J81">
        <f>IFERROR(IF(I81=0,"",COUNTIF($I$3:I81,"&gt;0")),"")</f>
        <v>32</v>
      </c>
      <c r="K81" t="str">
        <f t="shared" si="18"/>
        <v/>
      </c>
      <c r="L81" t="str">
        <f t="shared" si="25"/>
        <v/>
      </c>
      <c r="M81">
        <f t="shared" si="26"/>
        <v>1</v>
      </c>
      <c r="N81">
        <f>IFERROR(IF(M81=0,"",COUNTIF($M$3:M81,"&gt;0")),"")</f>
        <v>32</v>
      </c>
      <c r="O81" t="str">
        <f t="shared" si="19"/>
        <v/>
      </c>
      <c r="P81" t="str">
        <f t="shared" si="27"/>
        <v/>
      </c>
      <c r="Q81" t="str">
        <f t="shared" si="28"/>
        <v/>
      </c>
      <c r="R81">
        <f>IFERROR(IF(Q81=0,"",COUNTIF($Q$3:Q81,"&gt;0")),"")</f>
        <v>14</v>
      </c>
      <c r="S81" t="str">
        <f t="shared" si="20"/>
        <v/>
      </c>
      <c r="T81" t="str">
        <f t="shared" si="29"/>
        <v/>
      </c>
      <c r="U81">
        <f>IFERROR(IF(T81=0,"",COUNTIF($T$3:T81,"&gt;0")),"")</f>
        <v>0</v>
      </c>
      <c r="V81" t="str">
        <f t="shared" si="21"/>
        <v/>
      </c>
      <c r="W81" t="e">
        <f t="shared" si="22"/>
        <v>#VALUE!</v>
      </c>
      <c r="X81">
        <f>'OTHER PLANT ATTN.'!C:C</f>
        <v>0</v>
      </c>
      <c r="Y81" t="e">
        <f>Table1[[#This Row],[CATEGORY ]]</f>
        <v>#VALUE!</v>
      </c>
      <c r="Z81" t="e">
        <f>Table1[[#This Row],[PLANT]]</f>
        <v>#VALUE!</v>
      </c>
    </row>
    <row r="82" spans="1:26">
      <c r="A82" t="str">
        <f t="shared" si="16"/>
        <v>CONTRACTLABBALAI CHAND ROY</v>
      </c>
      <c r="B82" t="str">
        <f>Table4[[#This Row],[CATEGORY]]</f>
        <v>CONTRACT</v>
      </c>
      <c r="C82" t="str">
        <f>Table4[[#This Row],[SUB-CATEGORY]]</f>
        <v>LAB</v>
      </c>
      <c r="D82" t="str">
        <f>'RJ ATTENDENCE SHEET'!C:C</f>
        <v>BALAI CHAND ROY</v>
      </c>
      <c r="E82" t="str">
        <f t="shared" si="15"/>
        <v>LAB</v>
      </c>
      <c r="F82" t="str">
        <f t="shared" si="23"/>
        <v/>
      </c>
      <c r="G82">
        <f>IFERROR(IF(F82=0,"",COUNTIF($F$3:F82,"&gt;0")),"")</f>
        <v>14</v>
      </c>
      <c r="H82" t="str">
        <f t="shared" si="17"/>
        <v/>
      </c>
      <c r="I82" t="str">
        <f t="shared" si="24"/>
        <v/>
      </c>
      <c r="J82">
        <f>IFERROR(IF(I82=0,"",COUNTIF($I$3:I82,"&gt;0")),"")</f>
        <v>32</v>
      </c>
      <c r="K82" t="str">
        <f t="shared" si="18"/>
        <v/>
      </c>
      <c r="L82" t="str">
        <f t="shared" si="25"/>
        <v/>
      </c>
      <c r="M82">
        <f t="shared" si="26"/>
        <v>1</v>
      </c>
      <c r="N82">
        <f>IFERROR(IF(M82=0,"",COUNTIF($M$3:M82,"&gt;0")),"")</f>
        <v>33</v>
      </c>
      <c r="O82" t="str">
        <f t="shared" si="19"/>
        <v/>
      </c>
      <c r="P82" t="str">
        <f t="shared" si="27"/>
        <v/>
      </c>
      <c r="Q82" t="str">
        <f t="shared" si="28"/>
        <v/>
      </c>
      <c r="R82">
        <f>IFERROR(IF(Q82=0,"",COUNTIF($Q$3:Q82,"&gt;0")),"")</f>
        <v>14</v>
      </c>
      <c r="S82" t="str">
        <f t="shared" si="20"/>
        <v/>
      </c>
      <c r="T82" t="str">
        <f t="shared" si="29"/>
        <v/>
      </c>
      <c r="U82">
        <f>IFERROR(IF(T82=0,"",COUNTIF($T$3:T82,"&gt;0")),"")</f>
        <v>0</v>
      </c>
      <c r="V82" t="str">
        <f t="shared" si="21"/>
        <v/>
      </c>
      <c r="W82" t="e">
        <f t="shared" si="22"/>
        <v>#VALUE!</v>
      </c>
      <c r="X82">
        <f>'OTHER PLANT ATTN.'!C:C</f>
        <v>0</v>
      </c>
      <c r="Y82" t="e">
        <f>Table1[[#This Row],[CATEGORY ]]</f>
        <v>#VALUE!</v>
      </c>
      <c r="Z82" t="e">
        <f>Table1[[#This Row],[PLANT]]</f>
        <v>#VALUE!</v>
      </c>
    </row>
    <row r="83" spans="1:26">
      <c r="A83" t="str">
        <f t="shared" si="16"/>
        <v>000</v>
      </c>
      <c r="B83">
        <f>Table4[[#This Row],[CATEGORY]]</f>
        <v>0</v>
      </c>
      <c r="C83">
        <f>Table4[[#This Row],[SUB-CATEGORY]]</f>
        <v>0</v>
      </c>
      <c r="D83">
        <f>'RJ ATTENDENCE SHEET'!C:C</f>
        <v>0</v>
      </c>
      <c r="E83">
        <f t="shared" si="15"/>
        <v>0</v>
      </c>
      <c r="F83" t="str">
        <f t="shared" si="23"/>
        <v/>
      </c>
      <c r="G83">
        <f>IFERROR(IF(F83=0,"",COUNTIF($F$3:F83,"&gt;0")),"")</f>
        <v>14</v>
      </c>
      <c r="H83" t="str">
        <f t="shared" si="17"/>
        <v/>
      </c>
      <c r="I83" t="str">
        <f t="shared" si="24"/>
        <v/>
      </c>
      <c r="J83">
        <f>IFERROR(IF(I83=0,"",COUNTIF($I$3:I83,"&gt;0")),"")</f>
        <v>32</v>
      </c>
      <c r="K83" t="str">
        <f t="shared" si="18"/>
        <v/>
      </c>
      <c r="L83" t="str">
        <f t="shared" si="25"/>
        <v/>
      </c>
      <c r="M83" t="str">
        <f t="shared" si="26"/>
        <v/>
      </c>
      <c r="N83">
        <f>IFERROR(IF(M83=0,"",COUNTIF($M$3:M83,"&gt;0")),"")</f>
        <v>33</v>
      </c>
      <c r="O83" t="str">
        <f t="shared" si="19"/>
        <v/>
      </c>
      <c r="P83" t="str">
        <f t="shared" si="27"/>
        <v/>
      </c>
      <c r="Q83" t="str">
        <f t="shared" si="28"/>
        <v/>
      </c>
      <c r="R83">
        <f>IFERROR(IF(Q83=0,"",COUNTIF($Q$3:Q83,"&gt;0")),"")</f>
        <v>14</v>
      </c>
      <c r="S83" t="str">
        <f t="shared" si="20"/>
        <v/>
      </c>
      <c r="T83" t="str">
        <f t="shared" si="29"/>
        <v/>
      </c>
      <c r="U83">
        <f>IFERROR(IF(T83=0,"",COUNTIF($T$3:T83,"&gt;0")),"")</f>
        <v>0</v>
      </c>
      <c r="V83" t="str">
        <f t="shared" si="21"/>
        <v/>
      </c>
      <c r="W83" t="e">
        <f t="shared" si="22"/>
        <v>#VALUE!</v>
      </c>
      <c r="X83">
        <f>'OTHER PLANT ATTN.'!C:C</f>
        <v>0</v>
      </c>
      <c r="Y83" t="e">
        <f>Table1[[#This Row],[CATEGORY ]]</f>
        <v>#VALUE!</v>
      </c>
      <c r="Z83" t="e">
        <f>Table1[[#This Row],[PLANT]]</f>
        <v>#VALUE!</v>
      </c>
    </row>
    <row r="84" spans="1:26">
      <c r="A84" t="str">
        <f t="shared" si="16"/>
        <v>000</v>
      </c>
      <c r="B84">
        <f>Table4[[#This Row],[CATEGORY]]</f>
        <v>0</v>
      </c>
      <c r="C84">
        <f>Table4[[#This Row],[SUB-CATEGORY]]</f>
        <v>0</v>
      </c>
      <c r="D84">
        <f>'RJ ATTENDENCE SHEET'!C:C</f>
        <v>0</v>
      </c>
      <c r="E84">
        <f t="shared" si="15"/>
        <v>0</v>
      </c>
      <c r="F84" t="str">
        <f t="shared" si="23"/>
        <v/>
      </c>
      <c r="G84">
        <f>IFERROR(IF(F84=0,"",COUNTIF($F$3:F84,"&gt;0")),"")</f>
        <v>14</v>
      </c>
      <c r="H84" t="str">
        <f t="shared" si="17"/>
        <v/>
      </c>
      <c r="I84" t="str">
        <f t="shared" si="24"/>
        <v/>
      </c>
      <c r="J84">
        <f>IFERROR(IF(I84=0,"",COUNTIF($I$3:I84,"&gt;0")),"")</f>
        <v>32</v>
      </c>
      <c r="K84" t="str">
        <f t="shared" si="18"/>
        <v/>
      </c>
      <c r="L84" t="str">
        <f t="shared" si="25"/>
        <v/>
      </c>
      <c r="M84" t="str">
        <f t="shared" si="26"/>
        <v/>
      </c>
      <c r="N84">
        <f>IFERROR(IF(M84=0,"",COUNTIF($M$3:M84,"&gt;0")),"")</f>
        <v>33</v>
      </c>
      <c r="O84" t="str">
        <f t="shared" si="19"/>
        <v/>
      </c>
      <c r="P84" t="str">
        <f t="shared" si="27"/>
        <v/>
      </c>
      <c r="Q84" t="str">
        <f t="shared" si="28"/>
        <v/>
      </c>
      <c r="R84">
        <f>IFERROR(IF(Q84=0,"",COUNTIF($Q$3:Q84,"&gt;0")),"")</f>
        <v>14</v>
      </c>
      <c r="S84" t="str">
        <f t="shared" si="20"/>
        <v/>
      </c>
      <c r="T84" t="str">
        <f t="shared" si="29"/>
        <v/>
      </c>
      <c r="U84">
        <f>IFERROR(IF(T84=0,"",COUNTIF($T$3:T84,"&gt;0")),"")</f>
        <v>0</v>
      </c>
      <c r="V84" t="str">
        <f t="shared" si="21"/>
        <v/>
      </c>
      <c r="W84" t="e">
        <f t="shared" si="22"/>
        <v>#VALUE!</v>
      </c>
      <c r="X84">
        <f>'OTHER PLANT ATTN.'!C:C</f>
        <v>0</v>
      </c>
      <c r="Y84" t="e">
        <f>Table1[[#This Row],[CATEGORY ]]</f>
        <v>#VALUE!</v>
      </c>
      <c r="Z84" t="e">
        <f>Table1[[#This Row],[PLANT]]</f>
        <v>#VALUE!</v>
      </c>
    </row>
    <row r="85" spans="1:26">
      <c r="A85" t="str">
        <f t="shared" si="16"/>
        <v>000</v>
      </c>
      <c r="B85">
        <f>Table4[[#This Row],[CATEGORY]]</f>
        <v>0</v>
      </c>
      <c r="C85">
        <f>Table4[[#This Row],[SUB-CATEGORY]]</f>
        <v>0</v>
      </c>
      <c r="D85">
        <f>'RJ ATTENDENCE SHEET'!C:C</f>
        <v>0</v>
      </c>
      <c r="E85">
        <f t="shared" si="15"/>
        <v>0</v>
      </c>
      <c r="F85" t="str">
        <f t="shared" si="23"/>
        <v/>
      </c>
      <c r="G85">
        <f>IFERROR(IF(F85=0,"",COUNTIF($F$3:F85,"&gt;0")),"")</f>
        <v>14</v>
      </c>
      <c r="H85" t="str">
        <f t="shared" si="17"/>
        <v/>
      </c>
      <c r="I85" t="str">
        <f t="shared" si="24"/>
        <v/>
      </c>
      <c r="J85">
        <f>IFERROR(IF(I85=0,"",COUNTIF($I$3:I85,"&gt;0")),"")</f>
        <v>32</v>
      </c>
      <c r="K85" t="str">
        <f t="shared" si="18"/>
        <v/>
      </c>
      <c r="L85" t="str">
        <f t="shared" si="25"/>
        <v/>
      </c>
      <c r="M85" t="str">
        <f t="shared" si="26"/>
        <v/>
      </c>
      <c r="N85">
        <f>IFERROR(IF(M85=0,"",COUNTIF($M$3:M85,"&gt;0")),"")</f>
        <v>33</v>
      </c>
      <c r="O85" t="str">
        <f t="shared" si="19"/>
        <v/>
      </c>
      <c r="P85" t="str">
        <f t="shared" si="27"/>
        <v/>
      </c>
      <c r="Q85" t="str">
        <f t="shared" si="28"/>
        <v/>
      </c>
      <c r="R85">
        <f>IFERROR(IF(Q85=0,"",COUNTIF($Q$3:Q85,"&gt;0")),"")</f>
        <v>14</v>
      </c>
      <c r="S85" t="str">
        <f t="shared" si="20"/>
        <v/>
      </c>
      <c r="T85" t="str">
        <f t="shared" si="29"/>
        <v/>
      </c>
      <c r="U85">
        <f>IFERROR(IF(T85=0,"",COUNTIF($T$3:T85,"&gt;0")),"")</f>
        <v>0</v>
      </c>
      <c r="V85" t="str">
        <f t="shared" si="21"/>
        <v/>
      </c>
      <c r="W85" t="e">
        <f t="shared" si="22"/>
        <v>#VALUE!</v>
      </c>
      <c r="X85">
        <f>'OTHER PLANT ATTN.'!C:C</f>
        <v>0</v>
      </c>
      <c r="Y85" t="e">
        <f>Table1[[#This Row],[CATEGORY ]]</f>
        <v>#VALUE!</v>
      </c>
      <c r="Z85" t="e">
        <f>Table1[[#This Row],[PLANT]]</f>
        <v>#VALUE!</v>
      </c>
    </row>
    <row r="86" spans="1:26">
      <c r="A86" t="str">
        <f t="shared" si="16"/>
        <v>SALARYOFFICEMANABINDU BISWAS</v>
      </c>
      <c r="B86" t="str">
        <f>Table4[[#This Row],[CATEGORY]]</f>
        <v>SALARY</v>
      </c>
      <c r="C86" t="str">
        <f>Table4[[#This Row],[SUB-CATEGORY]]</f>
        <v>OFFICE</v>
      </c>
      <c r="D86" t="str">
        <f>'RJ ATTENDENCE SHEET'!C:C</f>
        <v>MANABINDU BISWAS</v>
      </c>
      <c r="E86" t="str">
        <f t="shared" si="15"/>
        <v>OFFICE</v>
      </c>
      <c r="F86">
        <f t="shared" si="23"/>
        <v>1</v>
      </c>
      <c r="G86">
        <f>IFERROR(IF(F86=0,"",COUNTIF($F$3:F86,"&gt;0")),"")</f>
        <v>15</v>
      </c>
      <c r="H86" t="str">
        <f t="shared" si="17"/>
        <v/>
      </c>
      <c r="I86" t="str">
        <f t="shared" si="24"/>
        <v/>
      </c>
      <c r="J86">
        <f>IFERROR(IF(I86=0,"",COUNTIF($I$3:I86,"&gt;0")),"")</f>
        <v>32</v>
      </c>
      <c r="K86" t="str">
        <f t="shared" si="18"/>
        <v/>
      </c>
      <c r="L86" t="str">
        <f t="shared" si="25"/>
        <v/>
      </c>
      <c r="M86" t="str">
        <f t="shared" si="26"/>
        <v/>
      </c>
      <c r="N86">
        <f>IFERROR(IF(M86=0,"",COUNTIF($M$3:M86,"&gt;0")),"")</f>
        <v>33</v>
      </c>
      <c r="O86" t="str">
        <f t="shared" si="19"/>
        <v/>
      </c>
      <c r="P86" t="str">
        <f t="shared" si="27"/>
        <v/>
      </c>
      <c r="Q86">
        <f t="shared" si="28"/>
        <v>1</v>
      </c>
      <c r="R86">
        <f>IFERROR(IF(Q86=0,"",COUNTIF($Q$3:Q86,"&gt;0")),"")</f>
        <v>15</v>
      </c>
      <c r="S86" t="str">
        <f t="shared" si="20"/>
        <v/>
      </c>
      <c r="T86" t="str">
        <f t="shared" si="29"/>
        <v/>
      </c>
      <c r="U86">
        <f>IFERROR(IF(T86=0,"",COUNTIF($T$3:T86,"&gt;0")),"")</f>
        <v>0</v>
      </c>
      <c r="V86" t="str">
        <f t="shared" si="21"/>
        <v/>
      </c>
      <c r="W86" t="e">
        <f t="shared" si="22"/>
        <v>#VALUE!</v>
      </c>
      <c r="X86">
        <f>'OTHER PLANT ATTN.'!C:C</f>
        <v>0</v>
      </c>
      <c r="Y86" t="e">
        <f>Table1[[#This Row],[CATEGORY ]]</f>
        <v>#VALUE!</v>
      </c>
      <c r="Z86" t="e">
        <f>Table1[[#This Row],[PLANT]]</f>
        <v>#VALUE!</v>
      </c>
    </row>
    <row r="87" spans="1:26">
      <c r="A87" t="str">
        <f t="shared" si="16"/>
        <v>000</v>
      </c>
      <c r="B87">
        <f>Table4[[#This Row],[CATEGORY]]</f>
        <v>0</v>
      </c>
      <c r="C87">
        <f>Table4[[#This Row],[SUB-CATEGORY]]</f>
        <v>0</v>
      </c>
      <c r="D87">
        <f>'RJ ATTENDENCE SHEET'!C:C</f>
        <v>0</v>
      </c>
      <c r="E87">
        <f t="shared" si="15"/>
        <v>0</v>
      </c>
      <c r="F87" t="str">
        <f t="shared" si="23"/>
        <v/>
      </c>
      <c r="G87">
        <f>IFERROR(IF(F87=0,"",COUNTIF($F$3:F87,"&gt;0")),"")</f>
        <v>15</v>
      </c>
      <c r="H87" t="str">
        <f t="shared" si="17"/>
        <v/>
      </c>
      <c r="I87" t="str">
        <f t="shared" si="24"/>
        <v/>
      </c>
      <c r="J87">
        <f>IFERROR(IF(I87=0,"",COUNTIF($I$3:I87,"&gt;0")),"")</f>
        <v>32</v>
      </c>
      <c r="K87" t="str">
        <f t="shared" si="18"/>
        <v/>
      </c>
      <c r="L87" t="str">
        <f t="shared" si="25"/>
        <v/>
      </c>
      <c r="M87" t="str">
        <f t="shared" si="26"/>
        <v/>
      </c>
      <c r="N87">
        <f>IFERROR(IF(M87=0,"",COUNTIF($M$3:M87,"&gt;0")),"")</f>
        <v>33</v>
      </c>
      <c r="O87" t="str">
        <f t="shared" si="19"/>
        <v/>
      </c>
      <c r="P87" t="str">
        <f t="shared" si="27"/>
        <v/>
      </c>
      <c r="Q87" t="str">
        <f t="shared" si="28"/>
        <v/>
      </c>
      <c r="R87">
        <f>IFERROR(IF(Q87=0,"",COUNTIF($Q$3:Q87,"&gt;0")),"")</f>
        <v>15</v>
      </c>
      <c r="S87" t="str">
        <f t="shared" si="20"/>
        <v/>
      </c>
      <c r="T87" t="str">
        <f t="shared" si="29"/>
        <v/>
      </c>
      <c r="U87">
        <f>IFERROR(IF(T87=0,"",COUNTIF($T$3:T87,"&gt;0")),"")</f>
        <v>0</v>
      </c>
      <c r="V87" t="str">
        <f t="shared" si="21"/>
        <v/>
      </c>
      <c r="W87" t="e">
        <f t="shared" si="22"/>
        <v>#VALUE!</v>
      </c>
      <c r="X87">
        <f>'OTHER PLANT ATTN.'!C:C</f>
        <v>0</v>
      </c>
      <c r="Y87" t="e">
        <f>Table1[[#This Row],[CATEGORY ]]</f>
        <v>#VALUE!</v>
      </c>
      <c r="Z87" t="e">
        <f>Table1[[#This Row],[PLANT]]</f>
        <v>#VALUE!</v>
      </c>
    </row>
    <row r="88" spans="1:26">
      <c r="A88" t="str">
        <f t="shared" si="16"/>
        <v>WAGESLABMILAN RUIDAS</v>
      </c>
      <c r="B88" t="str">
        <f>Table4[[#This Row],[CATEGORY]]</f>
        <v>WAGES</v>
      </c>
      <c r="C88" t="str">
        <f>Table4[[#This Row],[SUB-CATEGORY]]</f>
        <v>LAB</v>
      </c>
      <c r="D88" t="str">
        <f>'RJ ATTENDENCE SHEET'!C:C</f>
        <v>MILAN RUIDAS</v>
      </c>
      <c r="E88" t="str">
        <f t="shared" si="15"/>
        <v>LAB</v>
      </c>
      <c r="F88" t="str">
        <f t="shared" si="23"/>
        <v/>
      </c>
      <c r="G88">
        <f>IFERROR(IF(F88=0,"",COUNTIF($F$3:F88,"&gt;0")),"")</f>
        <v>15</v>
      </c>
      <c r="H88" t="str">
        <f t="shared" si="17"/>
        <v/>
      </c>
      <c r="I88">
        <f t="shared" si="24"/>
        <v>1</v>
      </c>
      <c r="J88">
        <f>IFERROR(IF(I88=0,"",COUNTIF($I$3:I88,"&gt;0")),"")</f>
        <v>33</v>
      </c>
      <c r="K88" t="str">
        <f t="shared" si="18"/>
        <v/>
      </c>
      <c r="L88" t="str">
        <f t="shared" si="25"/>
        <v/>
      </c>
      <c r="M88" t="str">
        <f t="shared" si="26"/>
        <v/>
      </c>
      <c r="N88">
        <f>IFERROR(IF(M88=0,"",COUNTIF($M$3:M88,"&gt;0")),"")</f>
        <v>33</v>
      </c>
      <c r="O88" t="str">
        <f t="shared" si="19"/>
        <v/>
      </c>
      <c r="P88" t="str">
        <f t="shared" si="27"/>
        <v/>
      </c>
      <c r="Q88" t="str">
        <f t="shared" si="28"/>
        <v/>
      </c>
      <c r="R88">
        <f>IFERROR(IF(Q88=0,"",COUNTIF($Q$3:Q88,"&gt;0")),"")</f>
        <v>15</v>
      </c>
      <c r="S88" t="str">
        <f t="shared" si="20"/>
        <v/>
      </c>
      <c r="T88" t="str">
        <f t="shared" si="29"/>
        <v/>
      </c>
      <c r="U88">
        <f>IFERROR(IF(T88=0,"",COUNTIF($T$3:T88,"&gt;0")),"")</f>
        <v>0</v>
      </c>
      <c r="V88" t="str">
        <f t="shared" si="21"/>
        <v/>
      </c>
      <c r="W88" t="e">
        <f t="shared" si="22"/>
        <v>#VALUE!</v>
      </c>
      <c r="X88">
        <f>'OTHER PLANT ATTN.'!C:C</f>
        <v>0</v>
      </c>
      <c r="Y88" t="e">
        <f>Table1[[#This Row],[CATEGORY ]]</f>
        <v>#VALUE!</v>
      </c>
      <c r="Z88" t="e">
        <f>Table1[[#This Row],[PLANT]]</f>
        <v>#VALUE!</v>
      </c>
    </row>
    <row r="89" spans="1:26">
      <c r="A89" t="str">
        <f t="shared" si="16"/>
        <v>WAGESLABBABLU MONDAL</v>
      </c>
      <c r="B89" t="str">
        <f>Table4[[#This Row],[CATEGORY]]</f>
        <v>WAGES</v>
      </c>
      <c r="C89" t="str">
        <f>Table4[[#This Row],[SUB-CATEGORY]]</f>
        <v>LAB</v>
      </c>
      <c r="D89" t="str">
        <f>'RJ ATTENDENCE SHEET'!C:C</f>
        <v>BABLU MONDAL</v>
      </c>
      <c r="E89" t="str">
        <f t="shared" si="15"/>
        <v>LAB</v>
      </c>
      <c r="F89" t="str">
        <f t="shared" si="23"/>
        <v/>
      </c>
      <c r="G89">
        <f>IFERROR(IF(F89=0,"",COUNTIF($F$3:F89,"&gt;0")),"")</f>
        <v>15</v>
      </c>
      <c r="H89" t="str">
        <f t="shared" si="17"/>
        <v/>
      </c>
      <c r="I89">
        <f t="shared" si="24"/>
        <v>1</v>
      </c>
      <c r="J89">
        <f>IFERROR(IF(I89=0,"",COUNTIF($I$3:I89,"&gt;0")),"")</f>
        <v>34</v>
      </c>
      <c r="K89" t="str">
        <f t="shared" si="18"/>
        <v/>
      </c>
      <c r="L89" t="str">
        <f t="shared" si="25"/>
        <v/>
      </c>
      <c r="M89" t="str">
        <f t="shared" si="26"/>
        <v/>
      </c>
      <c r="N89">
        <f>IFERROR(IF(M89=0,"",COUNTIF($M$3:M89,"&gt;0")),"")</f>
        <v>33</v>
      </c>
      <c r="O89" t="str">
        <f t="shared" si="19"/>
        <v/>
      </c>
      <c r="P89" t="str">
        <f t="shared" si="27"/>
        <v/>
      </c>
      <c r="Q89" t="str">
        <f t="shared" si="28"/>
        <v/>
      </c>
      <c r="R89">
        <f>IFERROR(IF(Q89=0,"",COUNTIF($Q$3:Q89,"&gt;0")),"")</f>
        <v>15</v>
      </c>
      <c r="S89" t="str">
        <f t="shared" si="20"/>
        <v/>
      </c>
      <c r="T89" t="str">
        <f t="shared" si="29"/>
        <v/>
      </c>
      <c r="U89">
        <f>IFERROR(IF(T89=0,"",COUNTIF($T$3:T89,"&gt;0")),"")</f>
        <v>0</v>
      </c>
      <c r="V89" t="str">
        <f t="shared" si="21"/>
        <v/>
      </c>
      <c r="W89" t="e">
        <f t="shared" si="22"/>
        <v>#VALUE!</v>
      </c>
      <c r="X89">
        <f>'OTHER PLANT ATTN.'!C:C</f>
        <v>0</v>
      </c>
      <c r="Y89" t="e">
        <f>Table1[[#This Row],[CATEGORY ]]</f>
        <v>#VALUE!</v>
      </c>
      <c r="Z89" t="e">
        <f>Table1[[#This Row],[PLANT]]</f>
        <v>#VALUE!</v>
      </c>
    </row>
    <row r="90" spans="1:26">
      <c r="A90" t="str">
        <f t="shared" si="16"/>
        <v>000</v>
      </c>
      <c r="B90">
        <f>Table4[[#This Row],[CATEGORY]]</f>
        <v>0</v>
      </c>
      <c r="C90">
        <f>Table4[[#This Row],[SUB-CATEGORY]]</f>
        <v>0</v>
      </c>
      <c r="D90">
        <f>'RJ ATTENDENCE SHEET'!C:C</f>
        <v>0</v>
      </c>
      <c r="E90">
        <f t="shared" si="15"/>
        <v>0</v>
      </c>
      <c r="F90" t="str">
        <f t="shared" si="23"/>
        <v/>
      </c>
      <c r="G90">
        <f>IFERROR(IF(F90=0,"",COUNTIF($F$3:F90,"&gt;0")),"")</f>
        <v>15</v>
      </c>
      <c r="H90" t="str">
        <f t="shared" si="17"/>
        <v/>
      </c>
      <c r="I90" t="str">
        <f t="shared" si="24"/>
        <v/>
      </c>
      <c r="J90">
        <f>IFERROR(IF(I90=0,"",COUNTIF($I$3:I90,"&gt;0")),"")</f>
        <v>34</v>
      </c>
      <c r="K90" t="str">
        <f t="shared" si="18"/>
        <v/>
      </c>
      <c r="L90" t="str">
        <f t="shared" si="25"/>
        <v/>
      </c>
      <c r="M90" t="str">
        <f t="shared" si="26"/>
        <v/>
      </c>
      <c r="N90">
        <f>IFERROR(IF(M90=0,"",COUNTIF($M$3:M90,"&gt;0")),"")</f>
        <v>33</v>
      </c>
      <c r="O90" t="str">
        <f t="shared" si="19"/>
        <v/>
      </c>
      <c r="P90" t="str">
        <f t="shared" si="27"/>
        <v/>
      </c>
      <c r="Q90" t="str">
        <f t="shared" si="28"/>
        <v/>
      </c>
      <c r="R90">
        <f>IFERROR(IF(Q90=0,"",COUNTIF($Q$3:Q90,"&gt;0")),"")</f>
        <v>15</v>
      </c>
      <c r="S90" t="str">
        <f t="shared" si="20"/>
        <v/>
      </c>
      <c r="T90" t="str">
        <f t="shared" si="29"/>
        <v/>
      </c>
      <c r="U90">
        <f>IFERROR(IF(T90=0,"",COUNTIF($T$3:T90,"&gt;0")),"")</f>
        <v>0</v>
      </c>
      <c r="V90" t="str">
        <f t="shared" si="21"/>
        <v/>
      </c>
      <c r="W90" t="e">
        <f t="shared" si="22"/>
        <v>#VALUE!</v>
      </c>
      <c r="X90">
        <f>'OTHER PLANT ATTN.'!C:C</f>
        <v>0</v>
      </c>
      <c r="Y90" t="e">
        <f>Table1[[#This Row],[CATEGORY ]]</f>
        <v>#VALUE!</v>
      </c>
      <c r="Z90" t="e">
        <f>Table1[[#This Row],[PLANT]]</f>
        <v>#VALUE!</v>
      </c>
    </row>
    <row r="91" spans="1:26">
      <c r="A91" t="str">
        <f t="shared" si="16"/>
        <v>000</v>
      </c>
      <c r="B91">
        <f>Table4[[#This Row],[CATEGORY]]</f>
        <v>0</v>
      </c>
      <c r="C91">
        <f>Table4[[#This Row],[SUB-CATEGORY]]</f>
        <v>0</v>
      </c>
      <c r="D91">
        <f>'RJ ATTENDENCE SHEET'!C:C</f>
        <v>0</v>
      </c>
      <c r="E91">
        <f t="shared" si="15"/>
        <v>0</v>
      </c>
      <c r="F91" t="str">
        <f t="shared" si="23"/>
        <v/>
      </c>
      <c r="G91">
        <f>IFERROR(IF(F91=0,"",COUNTIF($F$3:F91,"&gt;0")),"")</f>
        <v>15</v>
      </c>
      <c r="H91" t="str">
        <f t="shared" si="17"/>
        <v/>
      </c>
      <c r="I91" t="str">
        <f t="shared" si="24"/>
        <v/>
      </c>
      <c r="J91">
        <f>IFERROR(IF(I91=0,"",COUNTIF($I$3:I91,"&gt;0")),"")</f>
        <v>34</v>
      </c>
      <c r="K91" t="str">
        <f t="shared" si="18"/>
        <v/>
      </c>
      <c r="L91" t="str">
        <f t="shared" si="25"/>
        <v/>
      </c>
      <c r="M91" t="str">
        <f t="shared" si="26"/>
        <v/>
      </c>
      <c r="N91">
        <f>IFERROR(IF(M91=0,"",COUNTIF($M$3:M91,"&gt;0")),"")</f>
        <v>33</v>
      </c>
      <c r="O91" t="str">
        <f t="shared" si="19"/>
        <v/>
      </c>
      <c r="P91" t="str">
        <f t="shared" si="27"/>
        <v/>
      </c>
      <c r="Q91" t="str">
        <f t="shared" si="28"/>
        <v/>
      </c>
      <c r="R91">
        <f>IFERROR(IF(Q91=0,"",COUNTIF($Q$3:Q91,"&gt;0")),"")</f>
        <v>15</v>
      </c>
      <c r="S91" t="str">
        <f t="shared" si="20"/>
        <v/>
      </c>
      <c r="T91" t="str">
        <f t="shared" si="29"/>
        <v/>
      </c>
      <c r="U91">
        <f>IFERROR(IF(T91=0,"",COUNTIF($T$3:T91,"&gt;0")),"")</f>
        <v>0</v>
      </c>
      <c r="V91" t="str">
        <f t="shared" si="21"/>
        <v/>
      </c>
      <c r="W91" t="e">
        <f t="shared" si="22"/>
        <v>#VALUE!</v>
      </c>
      <c r="X91">
        <f>'OTHER PLANT ATTN.'!C:C</f>
        <v>0</v>
      </c>
      <c r="Y91" t="e">
        <f>Table1[[#This Row],[CATEGORY ]]</f>
        <v>#VALUE!</v>
      </c>
      <c r="Z91" t="e">
        <f>Table1[[#This Row],[PLANT]]</f>
        <v>#VALUE!</v>
      </c>
    </row>
    <row r="92" spans="1:26">
      <c r="A92" t="str">
        <f t="shared" si="16"/>
        <v>000</v>
      </c>
      <c r="B92">
        <f>Table4[[#This Row],[CATEGORY]]</f>
        <v>0</v>
      </c>
      <c r="C92">
        <f>Table4[[#This Row],[SUB-CATEGORY]]</f>
        <v>0</v>
      </c>
      <c r="D92">
        <f>'RJ ATTENDENCE SHEET'!C:C</f>
        <v>0</v>
      </c>
      <c r="E92">
        <f t="shared" si="15"/>
        <v>0</v>
      </c>
      <c r="F92" t="str">
        <f t="shared" si="23"/>
        <v/>
      </c>
      <c r="G92">
        <f>IFERROR(IF(F92=0,"",COUNTIF($F$3:F92,"&gt;0")),"")</f>
        <v>15</v>
      </c>
      <c r="H92" t="str">
        <f t="shared" si="17"/>
        <v/>
      </c>
      <c r="I92" t="str">
        <f t="shared" si="24"/>
        <v/>
      </c>
      <c r="J92">
        <f>IFERROR(IF(I92=0,"",COUNTIF($I$3:I92,"&gt;0")),"")</f>
        <v>34</v>
      </c>
      <c r="K92" t="str">
        <f t="shared" si="18"/>
        <v/>
      </c>
      <c r="L92" t="str">
        <f t="shared" si="25"/>
        <v/>
      </c>
      <c r="M92" t="str">
        <f t="shared" si="26"/>
        <v/>
      </c>
      <c r="N92">
        <f>IFERROR(IF(M92=0,"",COUNTIF($M$3:M92,"&gt;0")),"")</f>
        <v>33</v>
      </c>
      <c r="O92" t="str">
        <f t="shared" si="19"/>
        <v/>
      </c>
      <c r="P92" t="str">
        <f t="shared" si="27"/>
        <v/>
      </c>
      <c r="Q92" t="str">
        <f t="shared" si="28"/>
        <v/>
      </c>
      <c r="R92">
        <f>IFERROR(IF(Q92=0,"",COUNTIF($Q$3:Q92,"&gt;0")),"")</f>
        <v>15</v>
      </c>
      <c r="S92" t="str">
        <f t="shared" si="20"/>
        <v/>
      </c>
      <c r="T92" t="str">
        <f t="shared" si="29"/>
        <v/>
      </c>
      <c r="U92">
        <f>IFERROR(IF(T92=0,"",COUNTIF($T$3:T92,"&gt;0")),"")</f>
        <v>0</v>
      </c>
      <c r="V92" t="str">
        <f t="shared" si="21"/>
        <v/>
      </c>
      <c r="W92" t="e">
        <f t="shared" si="22"/>
        <v>#VALUE!</v>
      </c>
      <c r="X92">
        <f>'OTHER PLANT ATTN.'!C:C</f>
        <v>0</v>
      </c>
      <c r="Y92" t="e">
        <f>Table1[[#This Row],[CATEGORY ]]</f>
        <v>#VALUE!</v>
      </c>
      <c r="Z92" t="e">
        <f>Table1[[#This Row],[PLANT]]</f>
        <v>#VALUE!</v>
      </c>
    </row>
    <row r="93" spans="1:26">
      <c r="A93" t="str">
        <f t="shared" si="16"/>
        <v>SALARYOFFICESUVANKAR SAMADDAR</v>
      </c>
      <c r="B93" t="str">
        <f>Table4[[#This Row],[CATEGORY]]</f>
        <v>SALARY</v>
      </c>
      <c r="C93" t="str">
        <f>Table4[[#This Row],[SUB-CATEGORY]]</f>
        <v>OFFICE</v>
      </c>
      <c r="D93" t="str">
        <f>'RJ ATTENDENCE SHEET'!C:C</f>
        <v>SUVANKAR SAMADDAR</v>
      </c>
      <c r="E93" t="str">
        <f t="shared" si="15"/>
        <v>OFFICE</v>
      </c>
      <c r="F93">
        <f t="shared" si="23"/>
        <v>1</v>
      </c>
      <c r="G93">
        <f>IFERROR(IF(F93=0,"",COUNTIF($F$3:F93,"&gt;0")),"")</f>
        <v>16</v>
      </c>
      <c r="H93" t="str">
        <f t="shared" si="17"/>
        <v/>
      </c>
      <c r="I93" t="str">
        <f t="shared" si="24"/>
        <v/>
      </c>
      <c r="J93">
        <f>IFERROR(IF(I93=0,"",COUNTIF($I$3:I93,"&gt;0")),"")</f>
        <v>34</v>
      </c>
      <c r="K93" t="str">
        <f t="shared" si="18"/>
        <v/>
      </c>
      <c r="L93" t="str">
        <f t="shared" si="25"/>
        <v/>
      </c>
      <c r="M93" t="str">
        <f t="shared" si="26"/>
        <v/>
      </c>
      <c r="N93">
        <f>IFERROR(IF(M93=0,"",COUNTIF($M$3:M93,"&gt;0")),"")</f>
        <v>33</v>
      </c>
      <c r="O93" t="str">
        <f t="shared" si="19"/>
        <v/>
      </c>
      <c r="P93" t="str">
        <f t="shared" si="27"/>
        <v/>
      </c>
      <c r="Q93">
        <f t="shared" si="28"/>
        <v>1</v>
      </c>
      <c r="R93">
        <f>IFERROR(IF(Q93=0,"",COUNTIF($Q$3:Q93,"&gt;0")),"")</f>
        <v>16</v>
      </c>
      <c r="S93" t="str">
        <f t="shared" si="20"/>
        <v/>
      </c>
      <c r="T93" t="str">
        <f t="shared" si="29"/>
        <v/>
      </c>
      <c r="U93">
        <f>IFERROR(IF(T93=0,"",COUNTIF($T$3:T93,"&gt;0")),"")</f>
        <v>0</v>
      </c>
      <c r="V93" t="str">
        <f t="shared" si="21"/>
        <v/>
      </c>
      <c r="W93" t="e">
        <f t="shared" si="22"/>
        <v>#VALUE!</v>
      </c>
      <c r="X93">
        <f>'OTHER PLANT ATTN.'!C:C</f>
        <v>0</v>
      </c>
      <c r="Y93" t="e">
        <f>Table1[[#This Row],[CATEGORY ]]</f>
        <v>#VALUE!</v>
      </c>
      <c r="Z93" t="e">
        <f>Table1[[#This Row],[PLANT]]</f>
        <v>#VALUE!</v>
      </c>
    </row>
    <row r="94" spans="1:26">
      <c r="A94" t="str">
        <f t="shared" si="16"/>
        <v>000</v>
      </c>
      <c r="B94">
        <f>Table4[[#This Row],[CATEGORY]]</f>
        <v>0</v>
      </c>
      <c r="C94">
        <f>Table4[[#This Row],[SUB-CATEGORY]]</f>
        <v>0</v>
      </c>
      <c r="D94">
        <f>'RJ ATTENDENCE SHEET'!C:C</f>
        <v>0</v>
      </c>
      <c r="E94">
        <f t="shared" si="15"/>
        <v>0</v>
      </c>
      <c r="F94" t="str">
        <f t="shared" si="23"/>
        <v/>
      </c>
      <c r="G94">
        <f>IFERROR(IF(F94=0,"",COUNTIF($F$3:F94,"&gt;0")),"")</f>
        <v>16</v>
      </c>
      <c r="H94" t="str">
        <f t="shared" si="17"/>
        <v/>
      </c>
      <c r="I94" t="str">
        <f t="shared" si="24"/>
        <v/>
      </c>
      <c r="J94">
        <f>IFERROR(IF(I94=0,"",COUNTIF($I$3:I94,"&gt;0")),"")</f>
        <v>34</v>
      </c>
      <c r="K94" t="str">
        <f t="shared" si="18"/>
        <v/>
      </c>
      <c r="L94" t="str">
        <f t="shared" si="25"/>
        <v/>
      </c>
      <c r="M94" t="str">
        <f t="shared" si="26"/>
        <v/>
      </c>
      <c r="N94">
        <f>IFERROR(IF(M94=0,"",COUNTIF($M$3:M94,"&gt;0")),"")</f>
        <v>33</v>
      </c>
      <c r="O94" t="str">
        <f t="shared" si="19"/>
        <v/>
      </c>
      <c r="P94" t="str">
        <f t="shared" si="27"/>
        <v/>
      </c>
      <c r="Q94" t="str">
        <f t="shared" si="28"/>
        <v/>
      </c>
      <c r="R94">
        <f>IFERROR(IF(Q94=0,"",COUNTIF($Q$3:Q94,"&gt;0")),"")</f>
        <v>16</v>
      </c>
      <c r="S94" t="str">
        <f t="shared" si="20"/>
        <v/>
      </c>
      <c r="T94" t="str">
        <f t="shared" si="29"/>
        <v/>
      </c>
      <c r="U94">
        <f>IFERROR(IF(T94=0,"",COUNTIF($T$3:T94,"&gt;0")),"")</f>
        <v>0</v>
      </c>
      <c r="V94" t="str">
        <f t="shared" si="21"/>
        <v/>
      </c>
      <c r="W94" t="e">
        <f t="shared" si="22"/>
        <v>#VALUE!</v>
      </c>
      <c r="X94">
        <f>'OTHER PLANT ATTN.'!C:C</f>
        <v>0</v>
      </c>
      <c r="Y94" t="e">
        <f>Table1[[#This Row],[CATEGORY ]]</f>
        <v>#VALUE!</v>
      </c>
      <c r="Z94" t="e">
        <f>Table1[[#This Row],[PLANT]]</f>
        <v>#VALUE!</v>
      </c>
    </row>
    <row r="95" spans="1:26">
      <c r="A95" t="str">
        <f t="shared" si="16"/>
        <v>000</v>
      </c>
      <c r="B95">
        <f>Table4[[#This Row],[CATEGORY]]</f>
        <v>0</v>
      </c>
      <c r="C95">
        <f>Table4[[#This Row],[SUB-CATEGORY]]</f>
        <v>0</v>
      </c>
      <c r="D95">
        <f>'RJ ATTENDENCE SHEET'!C:C</f>
        <v>0</v>
      </c>
      <c r="E95">
        <f t="shared" si="15"/>
        <v>0</v>
      </c>
      <c r="F95" t="str">
        <f t="shared" si="23"/>
        <v/>
      </c>
      <c r="G95">
        <f>IFERROR(IF(F95=0,"",COUNTIF($F$3:F95,"&gt;0")),"")</f>
        <v>16</v>
      </c>
      <c r="H95" t="str">
        <f t="shared" si="17"/>
        <v/>
      </c>
      <c r="I95" t="str">
        <f t="shared" si="24"/>
        <v/>
      </c>
      <c r="J95">
        <f>IFERROR(IF(I95=0,"",COUNTIF($I$3:I95,"&gt;0")),"")</f>
        <v>34</v>
      </c>
      <c r="K95" t="str">
        <f t="shared" si="18"/>
        <v/>
      </c>
      <c r="L95" t="str">
        <f t="shared" si="25"/>
        <v/>
      </c>
      <c r="M95" t="str">
        <f t="shared" si="26"/>
        <v/>
      </c>
      <c r="N95">
        <f>IFERROR(IF(M95=0,"",COUNTIF($M$3:M95,"&gt;0")),"")</f>
        <v>33</v>
      </c>
      <c r="O95" t="str">
        <f t="shared" si="19"/>
        <v/>
      </c>
      <c r="P95" t="str">
        <f t="shared" si="27"/>
        <v/>
      </c>
      <c r="Q95" t="str">
        <f t="shared" si="28"/>
        <v/>
      </c>
      <c r="R95">
        <f>IFERROR(IF(Q95=0,"",COUNTIF($Q$3:Q95,"&gt;0")),"")</f>
        <v>16</v>
      </c>
      <c r="S95" t="str">
        <f t="shared" si="20"/>
        <v/>
      </c>
      <c r="T95" t="str">
        <f t="shared" si="29"/>
        <v/>
      </c>
      <c r="U95">
        <f>IFERROR(IF(T95=0,"",COUNTIF($T$3:T95,"&gt;0")),"")</f>
        <v>0</v>
      </c>
      <c r="V95" t="str">
        <f t="shared" si="21"/>
        <v/>
      </c>
      <c r="W95" t="e">
        <f t="shared" si="22"/>
        <v>#VALUE!</v>
      </c>
      <c r="X95">
        <f>'OTHER PLANT ATTN.'!C:C</f>
        <v>0</v>
      </c>
      <c r="Y95" t="e">
        <f>Table1[[#This Row],[CATEGORY ]]</f>
        <v>#VALUE!</v>
      </c>
      <c r="Z95" t="e">
        <f>Table1[[#This Row],[PLANT]]</f>
        <v>#VALUE!</v>
      </c>
    </row>
    <row r="96" spans="1:26">
      <c r="A96" t="str">
        <f t="shared" si="16"/>
        <v>000</v>
      </c>
      <c r="B96">
        <f>Table4[[#This Row],[CATEGORY]]</f>
        <v>0</v>
      </c>
      <c r="C96">
        <f>Table4[[#This Row],[SUB-CATEGORY]]</f>
        <v>0</v>
      </c>
      <c r="D96">
        <f>'RJ ATTENDENCE SHEET'!C:C</f>
        <v>0</v>
      </c>
      <c r="E96">
        <f t="shared" si="15"/>
        <v>0</v>
      </c>
      <c r="F96" t="str">
        <f t="shared" si="23"/>
        <v/>
      </c>
      <c r="G96">
        <f>IFERROR(IF(F96=0,"",COUNTIF($F$3:F96,"&gt;0")),"")</f>
        <v>16</v>
      </c>
      <c r="H96" t="str">
        <f t="shared" si="17"/>
        <v/>
      </c>
      <c r="I96" t="str">
        <f t="shared" si="24"/>
        <v/>
      </c>
      <c r="J96">
        <f>IFERROR(IF(I96=0,"",COUNTIF($I$3:I96,"&gt;0")),"")</f>
        <v>34</v>
      </c>
      <c r="K96" t="str">
        <f t="shared" si="18"/>
        <v/>
      </c>
      <c r="L96" t="str">
        <f t="shared" si="25"/>
        <v/>
      </c>
      <c r="M96" t="str">
        <f t="shared" si="26"/>
        <v/>
      </c>
      <c r="N96">
        <f>IFERROR(IF(M96=0,"",COUNTIF($M$3:M96,"&gt;0")),"")</f>
        <v>33</v>
      </c>
      <c r="O96" t="str">
        <f t="shared" si="19"/>
        <v/>
      </c>
      <c r="P96" t="str">
        <f t="shared" si="27"/>
        <v/>
      </c>
      <c r="Q96" t="str">
        <f t="shared" si="28"/>
        <v/>
      </c>
      <c r="R96">
        <f>IFERROR(IF(Q96=0,"",COUNTIF($Q$3:Q96,"&gt;0")),"")</f>
        <v>16</v>
      </c>
      <c r="S96" t="str">
        <f t="shared" si="20"/>
        <v/>
      </c>
      <c r="T96" t="str">
        <f t="shared" si="29"/>
        <v/>
      </c>
      <c r="U96">
        <f>IFERROR(IF(T96=0,"",COUNTIF($T$3:T96,"&gt;0")),"")</f>
        <v>0</v>
      </c>
      <c r="V96" t="str">
        <f t="shared" si="21"/>
        <v/>
      </c>
      <c r="W96" t="e">
        <f t="shared" si="22"/>
        <v>#VALUE!</v>
      </c>
      <c r="X96">
        <f>'OTHER PLANT ATTN.'!C:C</f>
        <v>0</v>
      </c>
      <c r="Y96" t="e">
        <f>Table1[[#This Row],[CATEGORY ]]</f>
        <v>#VALUE!</v>
      </c>
      <c r="Z96" t="e">
        <f>Table1[[#This Row],[PLANT]]</f>
        <v>#VALUE!</v>
      </c>
    </row>
    <row r="97" spans="1:26">
      <c r="A97" t="str">
        <f t="shared" si="16"/>
        <v>000</v>
      </c>
      <c r="B97">
        <f>Table4[[#This Row],[CATEGORY]]</f>
        <v>0</v>
      </c>
      <c r="C97">
        <f>Table4[[#This Row],[SUB-CATEGORY]]</f>
        <v>0</v>
      </c>
      <c r="D97">
        <f>'RJ ATTENDENCE SHEET'!C:C</f>
        <v>0</v>
      </c>
      <c r="E97">
        <f t="shared" si="15"/>
        <v>0</v>
      </c>
      <c r="F97" t="str">
        <f t="shared" si="23"/>
        <v/>
      </c>
      <c r="G97">
        <f>IFERROR(IF(F97=0,"",COUNTIF($F$3:F97,"&gt;0")),"")</f>
        <v>16</v>
      </c>
      <c r="H97" t="str">
        <f t="shared" si="17"/>
        <v/>
      </c>
      <c r="I97" t="str">
        <f t="shared" si="24"/>
        <v/>
      </c>
      <c r="J97">
        <f>IFERROR(IF(I97=0,"",COUNTIF($I$3:I97,"&gt;0")),"")</f>
        <v>34</v>
      </c>
      <c r="K97" t="str">
        <f t="shared" si="18"/>
        <v/>
      </c>
      <c r="L97" t="str">
        <f t="shared" si="25"/>
        <v/>
      </c>
      <c r="M97" t="str">
        <f t="shared" si="26"/>
        <v/>
      </c>
      <c r="N97">
        <f>IFERROR(IF(M97=0,"",COUNTIF($M$3:M97,"&gt;0")),"")</f>
        <v>33</v>
      </c>
      <c r="O97" t="str">
        <f t="shared" si="19"/>
        <v/>
      </c>
      <c r="P97" t="str">
        <f t="shared" si="27"/>
        <v/>
      </c>
      <c r="Q97" t="str">
        <f t="shared" si="28"/>
        <v/>
      </c>
      <c r="R97">
        <f>IFERROR(IF(Q97=0,"",COUNTIF($Q$3:Q97,"&gt;0")),"")</f>
        <v>16</v>
      </c>
      <c r="S97" t="str">
        <f t="shared" si="20"/>
        <v/>
      </c>
      <c r="T97" t="str">
        <f t="shared" si="29"/>
        <v/>
      </c>
      <c r="U97">
        <f>IFERROR(IF(T97=0,"",COUNTIF($T$3:T97,"&gt;0")),"")</f>
        <v>0</v>
      </c>
      <c r="V97" t="str">
        <f t="shared" si="21"/>
        <v/>
      </c>
      <c r="W97" t="e">
        <f t="shared" si="22"/>
        <v>#VALUE!</v>
      </c>
      <c r="X97">
        <f>'OTHER PLANT ATTN.'!C:C</f>
        <v>0</v>
      </c>
      <c r="Y97" t="e">
        <f>Table1[[#This Row],[CATEGORY ]]</f>
        <v>#VALUE!</v>
      </c>
      <c r="Z97" t="e">
        <f>Table1[[#This Row],[PLANT]]</f>
        <v>#VALUE!</v>
      </c>
    </row>
    <row r="98" spans="1:26">
      <c r="A98" t="str">
        <f t="shared" si="16"/>
        <v>000</v>
      </c>
      <c r="B98">
        <f>Table4[[#This Row],[CATEGORY]]</f>
        <v>0</v>
      </c>
      <c r="C98">
        <f>Table4[[#This Row],[SUB-CATEGORY]]</f>
        <v>0</v>
      </c>
      <c r="D98">
        <f>'RJ ATTENDENCE SHEET'!C:C</f>
        <v>0</v>
      </c>
      <c r="E98">
        <f t="shared" si="15"/>
        <v>0</v>
      </c>
      <c r="F98" t="str">
        <f t="shared" si="23"/>
        <v/>
      </c>
      <c r="G98">
        <f>IFERROR(IF(F98=0,"",COUNTIF($F$3:F98,"&gt;0")),"")</f>
        <v>16</v>
      </c>
      <c r="H98" t="str">
        <f t="shared" si="17"/>
        <v/>
      </c>
      <c r="I98" t="str">
        <f t="shared" si="24"/>
        <v/>
      </c>
      <c r="J98">
        <f>IFERROR(IF(I98=0,"",COUNTIF($I$3:I98,"&gt;0")),"")</f>
        <v>34</v>
      </c>
      <c r="K98" t="str">
        <f t="shared" si="18"/>
        <v/>
      </c>
      <c r="L98" t="str">
        <f t="shared" si="25"/>
        <v/>
      </c>
      <c r="M98" t="str">
        <f t="shared" si="26"/>
        <v/>
      </c>
      <c r="N98">
        <f>IFERROR(IF(M98=0,"",COUNTIF($M$3:M98,"&gt;0")),"")</f>
        <v>33</v>
      </c>
      <c r="O98" t="str">
        <f t="shared" si="19"/>
        <v/>
      </c>
      <c r="P98" t="str">
        <f t="shared" si="27"/>
        <v/>
      </c>
      <c r="Q98" t="str">
        <f t="shared" si="28"/>
        <v/>
      </c>
      <c r="R98">
        <f>IFERROR(IF(Q98=0,"",COUNTIF($Q$3:Q98,"&gt;0")),"")</f>
        <v>16</v>
      </c>
      <c r="S98" t="str">
        <f t="shared" si="20"/>
        <v/>
      </c>
      <c r="T98" t="str">
        <f t="shared" si="29"/>
        <v/>
      </c>
      <c r="U98">
        <f>IFERROR(IF(T98=0,"",COUNTIF($T$3:T98,"&gt;0")),"")</f>
        <v>0</v>
      </c>
      <c r="V98" t="str">
        <f t="shared" si="21"/>
        <v/>
      </c>
      <c r="W98" t="e">
        <f t="shared" si="22"/>
        <v>#VALUE!</v>
      </c>
      <c r="X98">
        <f>'OTHER PLANT ATTN.'!C:C</f>
        <v>0</v>
      </c>
      <c r="Y98" t="e">
        <f>Table1[[#This Row],[CATEGORY ]]</f>
        <v>#VALUE!</v>
      </c>
      <c r="Z98" t="e">
        <f>Table1[[#This Row],[PLANT]]</f>
        <v>#VALUE!</v>
      </c>
    </row>
    <row r="99" spans="1:26">
      <c r="A99" t="str">
        <f t="shared" si="16"/>
        <v>000</v>
      </c>
      <c r="B99">
        <f>Table4[[#This Row],[CATEGORY]]</f>
        <v>0</v>
      </c>
      <c r="C99">
        <f>Table4[[#This Row],[SUB-CATEGORY]]</f>
        <v>0</v>
      </c>
      <c r="D99">
        <f>'RJ ATTENDENCE SHEET'!C:C</f>
        <v>0</v>
      </c>
      <c r="E99">
        <f t="shared" si="15"/>
        <v>0</v>
      </c>
      <c r="F99" t="str">
        <f t="shared" si="23"/>
        <v/>
      </c>
      <c r="G99">
        <f>IFERROR(IF(F99=0,"",COUNTIF($F$3:F99,"&gt;0")),"")</f>
        <v>16</v>
      </c>
      <c r="H99" t="str">
        <f t="shared" si="17"/>
        <v/>
      </c>
      <c r="I99" t="str">
        <f t="shared" si="24"/>
        <v/>
      </c>
      <c r="J99">
        <f>IFERROR(IF(I99=0,"",COUNTIF($I$3:I99,"&gt;0")),"")</f>
        <v>34</v>
      </c>
      <c r="K99" t="str">
        <f t="shared" si="18"/>
        <v/>
      </c>
      <c r="L99" t="str">
        <f t="shared" si="25"/>
        <v/>
      </c>
      <c r="M99" t="str">
        <f t="shared" si="26"/>
        <v/>
      </c>
      <c r="N99">
        <f>IFERROR(IF(M99=0,"",COUNTIF($M$3:M99,"&gt;0")),"")</f>
        <v>33</v>
      </c>
      <c r="O99" t="str">
        <f t="shared" si="19"/>
        <v/>
      </c>
      <c r="P99" t="str">
        <f t="shared" si="27"/>
        <v/>
      </c>
      <c r="Q99" t="str">
        <f t="shared" si="28"/>
        <v/>
      </c>
      <c r="R99">
        <f>IFERROR(IF(Q99=0,"",COUNTIF($Q$3:Q99,"&gt;0")),"")</f>
        <v>16</v>
      </c>
      <c r="S99" t="str">
        <f t="shared" si="20"/>
        <v/>
      </c>
      <c r="T99" t="str">
        <f t="shared" si="29"/>
        <v/>
      </c>
      <c r="U99">
        <f>IFERROR(IF(T99=0,"",COUNTIF($T$3:T99,"&gt;0")),"")</f>
        <v>0</v>
      </c>
      <c r="V99" t="str">
        <f t="shared" si="21"/>
        <v/>
      </c>
      <c r="W99" t="e">
        <f t="shared" si="22"/>
        <v>#VALUE!</v>
      </c>
      <c r="X99">
        <f>'OTHER PLANT ATTN.'!C:C</f>
        <v>0</v>
      </c>
      <c r="Y99" t="e">
        <f>Table1[[#This Row],[CATEGORY ]]</f>
        <v>#VALUE!</v>
      </c>
      <c r="Z99" t="e">
        <f>Table1[[#This Row],[PLANT]]</f>
        <v>#VALUE!</v>
      </c>
    </row>
    <row r="100" spans="1:26">
      <c r="A100" t="str">
        <f t="shared" si="16"/>
        <v>000</v>
      </c>
      <c r="B100">
        <f>Table4[[#This Row],[CATEGORY]]</f>
        <v>0</v>
      </c>
      <c r="C100">
        <f>Table4[[#This Row],[SUB-CATEGORY]]</f>
        <v>0</v>
      </c>
      <c r="D100">
        <f>'RJ ATTENDENCE SHEET'!C:C</f>
        <v>0</v>
      </c>
      <c r="E100">
        <f t="shared" si="15"/>
        <v>0</v>
      </c>
      <c r="F100" t="str">
        <f t="shared" si="23"/>
        <v/>
      </c>
      <c r="G100">
        <f>IFERROR(IF(F100=0,"",COUNTIF($F$3:F100,"&gt;0")),"")</f>
        <v>16</v>
      </c>
      <c r="H100" t="str">
        <f t="shared" si="17"/>
        <v/>
      </c>
      <c r="I100" t="str">
        <f t="shared" si="24"/>
        <v/>
      </c>
      <c r="J100">
        <f>IFERROR(IF(I100=0,"",COUNTIF($I$3:I100,"&gt;0")),"")</f>
        <v>34</v>
      </c>
      <c r="K100" t="str">
        <f t="shared" si="18"/>
        <v/>
      </c>
      <c r="L100" t="str">
        <f t="shared" si="25"/>
        <v/>
      </c>
      <c r="M100" t="str">
        <f t="shared" si="26"/>
        <v/>
      </c>
      <c r="N100">
        <f>IFERROR(IF(M100=0,"",COUNTIF($M$3:M100,"&gt;0")),"")</f>
        <v>33</v>
      </c>
      <c r="O100" t="str">
        <f t="shared" si="19"/>
        <v/>
      </c>
      <c r="P100" t="str">
        <f t="shared" si="27"/>
        <v/>
      </c>
      <c r="Q100" t="str">
        <f t="shared" si="28"/>
        <v/>
      </c>
      <c r="R100">
        <f>IFERROR(IF(Q100=0,"",COUNTIF($Q$3:Q100,"&gt;0")),"")</f>
        <v>16</v>
      </c>
      <c r="S100" t="str">
        <f t="shared" si="20"/>
        <v/>
      </c>
      <c r="T100" t="str">
        <f t="shared" si="29"/>
        <v/>
      </c>
      <c r="U100">
        <f>IFERROR(IF(T100=0,"",COUNTIF($T$3:T100,"&gt;0")),"")</f>
        <v>0</v>
      </c>
      <c r="V100" t="str">
        <f t="shared" si="21"/>
        <v/>
      </c>
      <c r="W100" t="e">
        <f t="shared" si="22"/>
        <v>#VALUE!</v>
      </c>
      <c r="X100">
        <f>'OTHER PLANT ATTN.'!C:C</f>
        <v>0</v>
      </c>
      <c r="Y100" t="e">
        <f>Table1[[#This Row],[CATEGORY ]]</f>
        <v>#VALUE!</v>
      </c>
      <c r="Z100" t="e">
        <f>Table1[[#This Row],[PLANT]]</f>
        <v>#VALUE!</v>
      </c>
    </row>
    <row r="101" spans="1:26">
      <c r="A101" t="str">
        <f t="shared" si="16"/>
        <v>000</v>
      </c>
      <c r="B101">
        <f>Table4[[#This Row],[CATEGORY]]</f>
        <v>0</v>
      </c>
      <c r="C101">
        <f>Table4[[#This Row],[SUB-CATEGORY]]</f>
        <v>0</v>
      </c>
      <c r="D101">
        <f>'RJ ATTENDENCE SHEET'!C:C</f>
        <v>0</v>
      </c>
      <c r="E101">
        <f t="shared" si="15"/>
        <v>0</v>
      </c>
      <c r="F101" t="str">
        <f t="shared" si="23"/>
        <v/>
      </c>
      <c r="G101">
        <f>IFERROR(IF(F101=0,"",COUNTIF($F$3:F101,"&gt;0")),"")</f>
        <v>16</v>
      </c>
      <c r="H101" t="str">
        <f t="shared" si="17"/>
        <v/>
      </c>
      <c r="I101" t="str">
        <f t="shared" si="24"/>
        <v/>
      </c>
      <c r="J101">
        <f>IFERROR(IF(I101=0,"",COUNTIF($I$3:I101,"&gt;0")),"")</f>
        <v>34</v>
      </c>
      <c r="K101" t="str">
        <f t="shared" si="18"/>
        <v/>
      </c>
      <c r="L101" t="str">
        <f t="shared" si="25"/>
        <v/>
      </c>
      <c r="M101" t="str">
        <f t="shared" si="26"/>
        <v/>
      </c>
      <c r="N101">
        <f>IFERROR(IF(M101=0,"",COUNTIF($M$3:M101,"&gt;0")),"")</f>
        <v>33</v>
      </c>
      <c r="O101" t="str">
        <f t="shared" si="19"/>
        <v/>
      </c>
      <c r="P101" t="str">
        <f t="shared" si="27"/>
        <v/>
      </c>
      <c r="Q101" t="str">
        <f t="shared" si="28"/>
        <v/>
      </c>
      <c r="R101">
        <f>IFERROR(IF(Q101=0,"",COUNTIF($Q$3:Q101,"&gt;0")),"")</f>
        <v>16</v>
      </c>
      <c r="S101" t="str">
        <f t="shared" si="20"/>
        <v/>
      </c>
      <c r="T101" t="str">
        <f t="shared" si="29"/>
        <v/>
      </c>
      <c r="U101">
        <f>IFERROR(IF(T101=0,"",COUNTIF($T$3:T101,"&gt;0")),"")</f>
        <v>0</v>
      </c>
      <c r="V101" t="str">
        <f t="shared" si="21"/>
        <v/>
      </c>
      <c r="W101" t="e">
        <f t="shared" si="22"/>
        <v>#VALUE!</v>
      </c>
      <c r="X101">
        <f>'OTHER PLANT ATTN.'!C:C</f>
        <v>0</v>
      </c>
      <c r="Y101" t="e">
        <f>Table1[[#This Row],[CATEGORY ]]</f>
        <v>#VALUE!</v>
      </c>
      <c r="Z101" t="e">
        <f>Table1[[#This Row],[PLANT]]</f>
        <v>#VALUE!</v>
      </c>
    </row>
    <row r="102" spans="1:26">
      <c r="A102" t="str">
        <f t="shared" si="16"/>
        <v>000</v>
      </c>
      <c r="B102">
        <f>Table4[[#This Row],[CATEGORY]]</f>
        <v>0</v>
      </c>
      <c r="C102">
        <f>Table4[[#This Row],[SUB-CATEGORY]]</f>
        <v>0</v>
      </c>
      <c r="D102">
        <f>'RJ ATTENDENCE SHEET'!C:C</f>
        <v>0</v>
      </c>
      <c r="E102">
        <f t="shared" si="15"/>
        <v>0</v>
      </c>
      <c r="F102" t="str">
        <f t="shared" si="23"/>
        <v/>
      </c>
      <c r="G102">
        <f>IFERROR(IF(F102=0,"",COUNTIF($F$3:F102,"&gt;0")),"")</f>
        <v>16</v>
      </c>
      <c r="H102" t="str">
        <f t="shared" si="17"/>
        <v/>
      </c>
      <c r="I102" t="str">
        <f t="shared" si="24"/>
        <v/>
      </c>
      <c r="J102">
        <f>IFERROR(IF(I102=0,"",COUNTIF($I$3:I102,"&gt;0")),"")</f>
        <v>34</v>
      </c>
      <c r="K102" t="str">
        <f t="shared" si="18"/>
        <v/>
      </c>
      <c r="L102" t="str">
        <f t="shared" si="25"/>
        <v/>
      </c>
      <c r="M102" t="str">
        <f t="shared" si="26"/>
        <v/>
      </c>
      <c r="N102">
        <f>IFERROR(IF(M102=0,"",COUNTIF($M$3:M102,"&gt;0")),"")</f>
        <v>33</v>
      </c>
      <c r="O102" t="str">
        <f t="shared" si="19"/>
        <v/>
      </c>
      <c r="P102" t="str">
        <f t="shared" si="27"/>
        <v/>
      </c>
      <c r="Q102" t="str">
        <f t="shared" si="28"/>
        <v/>
      </c>
      <c r="R102">
        <f>IFERROR(IF(Q102=0,"",COUNTIF($Q$3:Q102,"&gt;0")),"")</f>
        <v>16</v>
      </c>
      <c r="S102" t="str">
        <f t="shared" si="20"/>
        <v/>
      </c>
      <c r="T102" t="str">
        <f t="shared" si="29"/>
        <v/>
      </c>
      <c r="U102">
        <f>IFERROR(IF(T102=0,"",COUNTIF($T$3:T102,"&gt;0")),"")</f>
        <v>0</v>
      </c>
      <c r="V102" t="str">
        <f t="shared" si="21"/>
        <v/>
      </c>
      <c r="W102" t="e">
        <f t="shared" si="22"/>
        <v>#VALUE!</v>
      </c>
      <c r="X102">
        <f>'OTHER PLANT ATTN.'!C:C</f>
        <v>0</v>
      </c>
      <c r="Y102" t="e">
        <f>Table1[[#This Row],[CATEGORY ]]</f>
        <v>#VALUE!</v>
      </c>
      <c r="Z102" t="e">
        <f>Table1[[#This Row],[PLANT]]</f>
        <v>#VALUE!</v>
      </c>
    </row>
    <row r="103" spans="1:26">
      <c r="A103" t="str">
        <f t="shared" si="16"/>
        <v>000</v>
      </c>
      <c r="B103">
        <f>Table4[[#This Row],[CATEGORY]]</f>
        <v>0</v>
      </c>
      <c r="C103">
        <f>Table4[[#This Row],[SUB-CATEGORY]]</f>
        <v>0</v>
      </c>
      <c r="D103">
        <f>'RJ ATTENDENCE SHEET'!C:C</f>
        <v>0</v>
      </c>
      <c r="E103">
        <f t="shared" si="15"/>
        <v>0</v>
      </c>
      <c r="F103" t="str">
        <f t="shared" si="23"/>
        <v/>
      </c>
      <c r="G103">
        <f>IFERROR(IF(F103=0,"",COUNTIF($F$3:F103,"&gt;0")),"")</f>
        <v>16</v>
      </c>
      <c r="H103" t="str">
        <f t="shared" si="17"/>
        <v/>
      </c>
      <c r="I103" t="str">
        <f t="shared" si="24"/>
        <v/>
      </c>
      <c r="J103">
        <f>IFERROR(IF(I103=0,"",COUNTIF($I$3:I103,"&gt;0")),"")</f>
        <v>34</v>
      </c>
      <c r="K103" t="str">
        <f t="shared" si="18"/>
        <v/>
      </c>
      <c r="L103" t="str">
        <f t="shared" si="25"/>
        <v/>
      </c>
      <c r="M103" t="str">
        <f t="shared" si="26"/>
        <v/>
      </c>
      <c r="N103">
        <f>IFERROR(IF(M103=0,"",COUNTIF($M$3:M103,"&gt;0")),"")</f>
        <v>33</v>
      </c>
      <c r="O103" t="str">
        <f t="shared" si="19"/>
        <v/>
      </c>
      <c r="P103" t="str">
        <f t="shared" si="27"/>
        <v/>
      </c>
      <c r="Q103" t="str">
        <f t="shared" si="28"/>
        <v/>
      </c>
      <c r="R103">
        <f>IFERROR(IF(Q103=0,"",COUNTIF($Q$3:Q103,"&gt;0")),"")</f>
        <v>16</v>
      </c>
      <c r="S103" t="str">
        <f t="shared" si="20"/>
        <v/>
      </c>
      <c r="T103" t="str">
        <f t="shared" si="29"/>
        <v/>
      </c>
      <c r="U103">
        <f>IFERROR(IF(T103=0,"",COUNTIF($T$3:T103,"&gt;0")),"")</f>
        <v>0</v>
      </c>
      <c r="V103" t="str">
        <f t="shared" si="21"/>
        <v/>
      </c>
      <c r="W103" t="e">
        <f t="shared" si="22"/>
        <v>#VALUE!</v>
      </c>
      <c r="X103">
        <f>'OTHER PLANT ATTN.'!C:C</f>
        <v>0</v>
      </c>
      <c r="Y103" t="e">
        <f>Table1[[#This Row],[CATEGORY ]]</f>
        <v>#VALUE!</v>
      </c>
      <c r="Z103" t="e">
        <f>Table1[[#This Row],[PLANT]]</f>
        <v>#VALUE!</v>
      </c>
    </row>
    <row r="104" spans="1:26">
      <c r="A104" t="str">
        <f t="shared" si="16"/>
        <v>000</v>
      </c>
      <c r="B104">
        <f>Table4[[#This Row],[CATEGORY]]</f>
        <v>0</v>
      </c>
      <c r="C104">
        <f>Table4[[#This Row],[SUB-CATEGORY]]</f>
        <v>0</v>
      </c>
      <c r="D104">
        <f>'RJ ATTENDENCE SHEET'!C:C</f>
        <v>0</v>
      </c>
      <c r="E104">
        <f t="shared" si="15"/>
        <v>0</v>
      </c>
      <c r="F104" t="str">
        <f t="shared" si="23"/>
        <v/>
      </c>
      <c r="G104">
        <f>IFERROR(IF(F104=0,"",COUNTIF($F$3:F104,"&gt;0")),"")</f>
        <v>16</v>
      </c>
      <c r="H104" t="str">
        <f t="shared" si="17"/>
        <v/>
      </c>
      <c r="I104" t="str">
        <f t="shared" si="24"/>
        <v/>
      </c>
      <c r="J104">
        <f>IFERROR(IF(I104=0,"",COUNTIF($I$3:I104,"&gt;0")),"")</f>
        <v>34</v>
      </c>
      <c r="K104" t="str">
        <f t="shared" si="18"/>
        <v/>
      </c>
      <c r="L104" t="str">
        <f t="shared" si="25"/>
        <v/>
      </c>
      <c r="M104" t="str">
        <f t="shared" si="26"/>
        <v/>
      </c>
      <c r="N104">
        <f>IFERROR(IF(M104=0,"",COUNTIF($M$3:M104,"&gt;0")),"")</f>
        <v>33</v>
      </c>
      <c r="O104" t="str">
        <f t="shared" si="19"/>
        <v/>
      </c>
      <c r="P104" t="str">
        <f t="shared" si="27"/>
        <v/>
      </c>
      <c r="Q104" t="str">
        <f t="shared" si="28"/>
        <v/>
      </c>
      <c r="R104">
        <f>IFERROR(IF(Q104=0,"",COUNTIF($Q$3:Q104,"&gt;0")),"")</f>
        <v>16</v>
      </c>
      <c r="S104" t="str">
        <f t="shared" si="20"/>
        <v/>
      </c>
      <c r="T104" t="str">
        <f t="shared" si="29"/>
        <v/>
      </c>
      <c r="U104">
        <f>IFERROR(IF(T104=0,"",COUNTIF($T$3:T104,"&gt;0")),"")</f>
        <v>0</v>
      </c>
      <c r="V104" t="str">
        <f t="shared" si="21"/>
        <v/>
      </c>
      <c r="W104" t="e">
        <f t="shared" si="22"/>
        <v>#VALUE!</v>
      </c>
      <c r="X104">
        <f>'OTHER PLANT ATTN.'!C:C</f>
        <v>0</v>
      </c>
      <c r="Y104" t="e">
        <f>Table1[[#This Row],[CATEGORY ]]</f>
        <v>#VALUE!</v>
      </c>
      <c r="Z104" t="e">
        <f>Table1[[#This Row],[PLANT]]</f>
        <v>#VALUE!</v>
      </c>
    </row>
    <row r="105" spans="1:26">
      <c r="A105" t="str">
        <f t="shared" si="16"/>
        <v>000</v>
      </c>
      <c r="B105">
        <f>Table4[[#This Row],[CATEGORY]]</f>
        <v>0</v>
      </c>
      <c r="C105">
        <f>Table4[[#This Row],[SUB-CATEGORY]]</f>
        <v>0</v>
      </c>
      <c r="D105">
        <f>'RJ ATTENDENCE SHEET'!C:C</f>
        <v>0</v>
      </c>
      <c r="E105">
        <f t="shared" si="15"/>
        <v>0</v>
      </c>
      <c r="F105" t="str">
        <f t="shared" si="23"/>
        <v/>
      </c>
      <c r="G105">
        <f>IFERROR(IF(F105=0,"",COUNTIF($F$3:F105,"&gt;0")),"")</f>
        <v>16</v>
      </c>
      <c r="H105" t="str">
        <f t="shared" si="17"/>
        <v/>
      </c>
      <c r="I105" t="str">
        <f t="shared" si="24"/>
        <v/>
      </c>
      <c r="J105">
        <f>IFERROR(IF(I105=0,"",COUNTIF($I$3:I105,"&gt;0")),"")</f>
        <v>34</v>
      </c>
      <c r="K105" t="str">
        <f t="shared" si="18"/>
        <v/>
      </c>
      <c r="L105" t="str">
        <f t="shared" si="25"/>
        <v/>
      </c>
      <c r="M105" t="str">
        <f t="shared" si="26"/>
        <v/>
      </c>
      <c r="N105">
        <f>IFERROR(IF(M105=0,"",COUNTIF($M$3:M105,"&gt;0")),"")</f>
        <v>33</v>
      </c>
      <c r="O105" t="str">
        <f t="shared" si="19"/>
        <v/>
      </c>
      <c r="P105" t="str">
        <f t="shared" si="27"/>
        <v/>
      </c>
      <c r="Q105" t="str">
        <f t="shared" si="28"/>
        <v/>
      </c>
      <c r="R105">
        <f>IFERROR(IF(Q105=0,"",COUNTIF($Q$3:Q105,"&gt;0")),"")</f>
        <v>16</v>
      </c>
      <c r="S105" t="str">
        <f t="shared" si="20"/>
        <v/>
      </c>
      <c r="T105" t="str">
        <f t="shared" si="29"/>
        <v/>
      </c>
      <c r="U105">
        <f>IFERROR(IF(T105=0,"",COUNTIF($T$3:T105,"&gt;0")),"")</f>
        <v>0</v>
      </c>
      <c r="V105" t="str">
        <f t="shared" si="21"/>
        <v/>
      </c>
      <c r="W105" t="e">
        <f t="shared" si="22"/>
        <v>#VALUE!</v>
      </c>
      <c r="X105">
        <f>'OTHER PLANT ATTN.'!C:C</f>
        <v>0</v>
      </c>
      <c r="Y105" t="e">
        <f>Table1[[#This Row],[CATEGORY ]]</f>
        <v>#VALUE!</v>
      </c>
      <c r="Z105" t="e">
        <f>Table1[[#This Row],[PLANT]]</f>
        <v>#VALUE!</v>
      </c>
    </row>
    <row r="106" spans="1:26">
      <c r="A106" t="str">
        <f t="shared" si="16"/>
        <v>000</v>
      </c>
      <c r="B106">
        <f>Table4[[#This Row],[CATEGORY]]</f>
        <v>0</v>
      </c>
      <c r="C106">
        <f>Table4[[#This Row],[SUB-CATEGORY]]</f>
        <v>0</v>
      </c>
      <c r="D106">
        <f>'RJ ATTENDENCE SHEET'!C:C</f>
        <v>0</v>
      </c>
      <c r="E106">
        <f t="shared" si="15"/>
        <v>0</v>
      </c>
      <c r="F106" t="str">
        <f t="shared" si="23"/>
        <v/>
      </c>
      <c r="G106">
        <f>IFERROR(IF(F106=0,"",COUNTIF($F$3:F106,"&gt;0")),"")</f>
        <v>16</v>
      </c>
      <c r="H106" t="str">
        <f t="shared" si="17"/>
        <v/>
      </c>
      <c r="I106" t="str">
        <f t="shared" si="24"/>
        <v/>
      </c>
      <c r="J106">
        <f>IFERROR(IF(I106=0,"",COUNTIF($I$3:I106,"&gt;0")),"")</f>
        <v>34</v>
      </c>
      <c r="K106" t="str">
        <f t="shared" si="18"/>
        <v/>
      </c>
      <c r="L106" t="str">
        <f t="shared" si="25"/>
        <v/>
      </c>
      <c r="M106" t="str">
        <f t="shared" si="26"/>
        <v/>
      </c>
      <c r="N106">
        <f>IFERROR(IF(M106=0,"",COUNTIF($M$3:M106,"&gt;0")),"")</f>
        <v>33</v>
      </c>
      <c r="O106" t="str">
        <f t="shared" si="19"/>
        <v/>
      </c>
      <c r="P106" t="str">
        <f t="shared" si="27"/>
        <v/>
      </c>
      <c r="Q106" t="str">
        <f t="shared" si="28"/>
        <v/>
      </c>
      <c r="R106">
        <f>IFERROR(IF(Q106=0,"",COUNTIF($Q$3:Q106,"&gt;0")),"")</f>
        <v>16</v>
      </c>
      <c r="S106" t="str">
        <f t="shared" si="20"/>
        <v/>
      </c>
      <c r="T106" t="str">
        <f t="shared" si="29"/>
        <v/>
      </c>
      <c r="U106">
        <f>IFERROR(IF(T106=0,"",COUNTIF($T$3:T106,"&gt;0")),"")</f>
        <v>0</v>
      </c>
      <c r="V106" t="str">
        <f t="shared" si="21"/>
        <v/>
      </c>
      <c r="W106" t="e">
        <f t="shared" si="22"/>
        <v>#VALUE!</v>
      </c>
      <c r="X106">
        <f>'OTHER PLANT ATTN.'!C:C</f>
        <v>0</v>
      </c>
      <c r="Y106" t="e">
        <f>Table1[[#This Row],[CATEGORY ]]</f>
        <v>#VALUE!</v>
      </c>
      <c r="Z106" t="e">
        <f>Table1[[#This Row],[PLANT]]</f>
        <v>#VALUE!</v>
      </c>
    </row>
    <row r="107" spans="1:26">
      <c r="A107" t="str">
        <f t="shared" si="16"/>
        <v>000</v>
      </c>
      <c r="B107">
        <f>Table4[[#This Row],[CATEGORY]]</f>
        <v>0</v>
      </c>
      <c r="C107">
        <f>Table4[[#This Row],[SUB-CATEGORY]]</f>
        <v>0</v>
      </c>
      <c r="D107">
        <f>'RJ ATTENDENCE SHEET'!C:C</f>
        <v>0</v>
      </c>
      <c r="E107">
        <f t="shared" si="15"/>
        <v>0</v>
      </c>
      <c r="F107" t="str">
        <f t="shared" si="23"/>
        <v/>
      </c>
      <c r="G107">
        <f>IFERROR(IF(F107=0,"",COUNTIF($F$3:F107,"&gt;0")),"")</f>
        <v>16</v>
      </c>
      <c r="H107" t="str">
        <f t="shared" si="17"/>
        <v/>
      </c>
      <c r="I107" t="str">
        <f t="shared" si="24"/>
        <v/>
      </c>
      <c r="J107">
        <f>IFERROR(IF(I107=0,"",COUNTIF($I$3:I107,"&gt;0")),"")</f>
        <v>34</v>
      </c>
      <c r="K107" t="str">
        <f t="shared" si="18"/>
        <v/>
      </c>
      <c r="L107" t="str">
        <f t="shared" si="25"/>
        <v/>
      </c>
      <c r="M107" t="str">
        <f t="shared" si="26"/>
        <v/>
      </c>
      <c r="N107">
        <f>IFERROR(IF(M107=0,"",COUNTIF($M$3:M107,"&gt;0")),"")</f>
        <v>33</v>
      </c>
      <c r="O107" t="str">
        <f t="shared" si="19"/>
        <v/>
      </c>
      <c r="P107" t="str">
        <f t="shared" si="27"/>
        <v/>
      </c>
      <c r="Q107" t="str">
        <f t="shared" si="28"/>
        <v/>
      </c>
      <c r="R107">
        <f>IFERROR(IF(Q107=0,"",COUNTIF($Q$3:Q107,"&gt;0")),"")</f>
        <v>16</v>
      </c>
      <c r="S107" t="str">
        <f t="shared" si="20"/>
        <v/>
      </c>
      <c r="T107" t="str">
        <f t="shared" si="29"/>
        <v/>
      </c>
      <c r="U107">
        <f>IFERROR(IF(T107=0,"",COUNTIF($T$3:T107,"&gt;0")),"")</f>
        <v>0</v>
      </c>
      <c r="V107" t="str">
        <f t="shared" si="21"/>
        <v/>
      </c>
      <c r="W107" t="e">
        <f t="shared" si="22"/>
        <v>#VALUE!</v>
      </c>
      <c r="X107">
        <f>'OTHER PLANT ATTN.'!C:C</f>
        <v>0</v>
      </c>
      <c r="Y107" t="e">
        <f>Table1[[#This Row],[CATEGORY ]]</f>
        <v>#VALUE!</v>
      </c>
      <c r="Z107" t="e">
        <f>Table1[[#This Row],[PLANT]]</f>
        <v>#VALUE!</v>
      </c>
    </row>
    <row r="108" spans="1:26">
      <c r="A108" t="str">
        <f t="shared" si="16"/>
        <v>000</v>
      </c>
      <c r="B108">
        <f>Table4[[#This Row],[CATEGORY]]</f>
        <v>0</v>
      </c>
      <c r="C108">
        <f>Table4[[#This Row],[SUB-CATEGORY]]</f>
        <v>0</v>
      </c>
      <c r="D108">
        <f>'RJ ATTENDENCE SHEET'!C:C</f>
        <v>0</v>
      </c>
      <c r="E108">
        <f t="shared" si="15"/>
        <v>0</v>
      </c>
      <c r="F108" t="str">
        <f t="shared" si="23"/>
        <v/>
      </c>
      <c r="G108">
        <f>IFERROR(IF(F108=0,"",COUNTIF($F$3:F108,"&gt;0")),"")</f>
        <v>16</v>
      </c>
      <c r="H108" t="str">
        <f t="shared" si="17"/>
        <v/>
      </c>
      <c r="I108" t="str">
        <f t="shared" si="24"/>
        <v/>
      </c>
      <c r="J108">
        <f>IFERROR(IF(I108=0,"",COUNTIF($I$3:I108,"&gt;0")),"")</f>
        <v>34</v>
      </c>
      <c r="K108" t="str">
        <f t="shared" si="18"/>
        <v/>
      </c>
      <c r="L108" t="str">
        <f t="shared" si="25"/>
        <v/>
      </c>
      <c r="M108" t="str">
        <f t="shared" si="26"/>
        <v/>
      </c>
      <c r="N108">
        <f>IFERROR(IF(M108=0,"",COUNTIF($M$3:M108,"&gt;0")),"")</f>
        <v>33</v>
      </c>
      <c r="O108" t="str">
        <f t="shared" si="19"/>
        <v/>
      </c>
      <c r="P108" t="str">
        <f t="shared" si="27"/>
        <v/>
      </c>
      <c r="Q108" t="str">
        <f t="shared" si="28"/>
        <v/>
      </c>
      <c r="R108">
        <f>IFERROR(IF(Q108=0,"",COUNTIF($Q$3:Q108,"&gt;0")),"")</f>
        <v>16</v>
      </c>
      <c r="S108" t="str">
        <f t="shared" si="20"/>
        <v/>
      </c>
      <c r="T108" t="str">
        <f t="shared" si="29"/>
        <v/>
      </c>
      <c r="U108">
        <f>IFERROR(IF(T108=0,"",COUNTIF($T$3:T108,"&gt;0")),"")</f>
        <v>0</v>
      </c>
      <c r="V108" t="str">
        <f t="shared" si="21"/>
        <v/>
      </c>
      <c r="W108" t="e">
        <f t="shared" si="22"/>
        <v>#VALUE!</v>
      </c>
      <c r="X108">
        <f>'OTHER PLANT ATTN.'!C:C</f>
        <v>0</v>
      </c>
      <c r="Y108" t="e">
        <f>Table1[[#This Row],[CATEGORY ]]</f>
        <v>#VALUE!</v>
      </c>
      <c r="Z108" t="e">
        <f>Table1[[#This Row],[PLANT]]</f>
        <v>#VALUE!</v>
      </c>
    </row>
    <row r="109" spans="1:26">
      <c r="A109" t="str">
        <f t="shared" si="16"/>
        <v>000</v>
      </c>
      <c r="B109">
        <f>Table4[[#This Row],[CATEGORY]]</f>
        <v>0</v>
      </c>
      <c r="C109">
        <f>Table4[[#This Row],[SUB-CATEGORY]]</f>
        <v>0</v>
      </c>
      <c r="D109">
        <f>'RJ ATTENDENCE SHEET'!C:C</f>
        <v>0</v>
      </c>
      <c r="E109">
        <f t="shared" si="15"/>
        <v>0</v>
      </c>
      <c r="F109" t="str">
        <f t="shared" si="23"/>
        <v/>
      </c>
      <c r="G109">
        <f>IFERROR(IF(F109=0,"",COUNTIF($F$3:F109,"&gt;0")),"")</f>
        <v>16</v>
      </c>
      <c r="H109" t="str">
        <f t="shared" si="17"/>
        <v/>
      </c>
      <c r="I109" t="str">
        <f t="shared" si="24"/>
        <v/>
      </c>
      <c r="J109">
        <f>IFERROR(IF(I109=0,"",COUNTIF($I$3:I109,"&gt;0")),"")</f>
        <v>34</v>
      </c>
      <c r="K109" t="str">
        <f t="shared" si="18"/>
        <v/>
      </c>
      <c r="L109" t="str">
        <f t="shared" si="25"/>
        <v/>
      </c>
      <c r="M109" t="str">
        <f t="shared" si="26"/>
        <v/>
      </c>
      <c r="N109">
        <f>IFERROR(IF(M109=0,"",COUNTIF($M$3:M109,"&gt;0")),"")</f>
        <v>33</v>
      </c>
      <c r="O109" t="str">
        <f t="shared" si="19"/>
        <v/>
      </c>
      <c r="P109" t="str">
        <f t="shared" si="27"/>
        <v/>
      </c>
      <c r="Q109" t="str">
        <f t="shared" si="28"/>
        <v/>
      </c>
      <c r="R109">
        <f>IFERROR(IF(Q109=0,"",COUNTIF($Q$3:Q109,"&gt;0")),"")</f>
        <v>16</v>
      </c>
      <c r="S109" t="str">
        <f t="shared" si="20"/>
        <v/>
      </c>
      <c r="T109" t="str">
        <f t="shared" si="29"/>
        <v/>
      </c>
      <c r="U109">
        <f>IFERROR(IF(T109=0,"",COUNTIF($T$3:T109,"&gt;0")),"")</f>
        <v>0</v>
      </c>
      <c r="V109" t="str">
        <f t="shared" si="21"/>
        <v/>
      </c>
      <c r="W109" t="e">
        <f t="shared" si="22"/>
        <v>#VALUE!</v>
      </c>
      <c r="X109">
        <f>'OTHER PLANT ATTN.'!C:C</f>
        <v>0</v>
      </c>
      <c r="Y109" t="e">
        <f>Table1[[#This Row],[CATEGORY ]]</f>
        <v>#VALUE!</v>
      </c>
      <c r="Z109" t="e">
        <f>Table1[[#This Row],[PLANT]]</f>
        <v>#VALUE!</v>
      </c>
    </row>
    <row r="110" spans="1:26">
      <c r="A110" t="str">
        <f t="shared" si="16"/>
        <v>000</v>
      </c>
      <c r="B110">
        <f>Table4[[#This Row],[CATEGORY]]</f>
        <v>0</v>
      </c>
      <c r="C110">
        <f>Table4[[#This Row],[SUB-CATEGORY]]</f>
        <v>0</v>
      </c>
      <c r="D110">
        <f>'RJ ATTENDENCE SHEET'!C:C</f>
        <v>0</v>
      </c>
      <c r="E110">
        <f t="shared" si="15"/>
        <v>0</v>
      </c>
      <c r="F110" t="str">
        <f t="shared" si="23"/>
        <v/>
      </c>
      <c r="G110">
        <f>IFERROR(IF(F110=0,"",COUNTIF($F$3:F110,"&gt;0")),"")</f>
        <v>16</v>
      </c>
      <c r="H110" t="str">
        <f t="shared" si="17"/>
        <v/>
      </c>
      <c r="I110" t="str">
        <f t="shared" si="24"/>
        <v/>
      </c>
      <c r="J110">
        <f>IFERROR(IF(I110=0,"",COUNTIF($I$3:I110,"&gt;0")),"")</f>
        <v>34</v>
      </c>
      <c r="K110" t="str">
        <f t="shared" si="18"/>
        <v/>
      </c>
      <c r="L110" t="str">
        <f t="shared" si="25"/>
        <v/>
      </c>
      <c r="M110" t="str">
        <f t="shared" si="26"/>
        <v/>
      </c>
      <c r="N110">
        <f>IFERROR(IF(M110=0,"",COUNTIF($M$3:M110,"&gt;0")),"")</f>
        <v>33</v>
      </c>
      <c r="O110" t="str">
        <f t="shared" si="19"/>
        <v/>
      </c>
      <c r="P110" t="str">
        <f t="shared" si="27"/>
        <v/>
      </c>
      <c r="Q110" t="str">
        <f t="shared" si="28"/>
        <v/>
      </c>
      <c r="R110">
        <f>IFERROR(IF(Q110=0,"",COUNTIF($Q$3:Q110,"&gt;0")),"")</f>
        <v>16</v>
      </c>
      <c r="S110" t="str">
        <f t="shared" si="20"/>
        <v/>
      </c>
      <c r="T110" t="str">
        <f t="shared" si="29"/>
        <v/>
      </c>
      <c r="U110">
        <f>IFERROR(IF(T110=0,"",COUNTIF($T$3:T110,"&gt;0")),"")</f>
        <v>0</v>
      </c>
      <c r="V110" t="str">
        <f t="shared" si="21"/>
        <v/>
      </c>
      <c r="W110" t="e">
        <f t="shared" si="22"/>
        <v>#VALUE!</v>
      </c>
      <c r="X110">
        <f>'OTHER PLANT ATTN.'!C:C</f>
        <v>0</v>
      </c>
      <c r="Y110" t="e">
        <f>Table1[[#This Row],[CATEGORY ]]</f>
        <v>#VALUE!</v>
      </c>
      <c r="Z110" t="e">
        <f>Table1[[#This Row],[PLANT]]</f>
        <v>#VALUE!</v>
      </c>
    </row>
    <row r="111" spans="1:26">
      <c r="A111" t="str">
        <f t="shared" si="16"/>
        <v>000</v>
      </c>
      <c r="B111">
        <f>Table4[[#This Row],[CATEGORY]]</f>
        <v>0</v>
      </c>
      <c r="C111">
        <f>Table4[[#This Row],[SUB-CATEGORY]]</f>
        <v>0</v>
      </c>
      <c r="D111">
        <f>'RJ ATTENDENCE SHEET'!C:C</f>
        <v>0</v>
      </c>
      <c r="E111">
        <f t="shared" si="15"/>
        <v>0</v>
      </c>
      <c r="F111" t="str">
        <f t="shared" si="23"/>
        <v/>
      </c>
      <c r="G111">
        <f>IFERROR(IF(F111=0,"",COUNTIF($F$3:F111,"&gt;0")),"")</f>
        <v>16</v>
      </c>
      <c r="H111" t="str">
        <f t="shared" si="17"/>
        <v/>
      </c>
      <c r="I111" t="str">
        <f t="shared" si="24"/>
        <v/>
      </c>
      <c r="J111">
        <f>IFERROR(IF(I111=0,"",COUNTIF($I$3:I111,"&gt;0")),"")</f>
        <v>34</v>
      </c>
      <c r="K111" t="str">
        <f t="shared" si="18"/>
        <v/>
      </c>
      <c r="L111" t="str">
        <f t="shared" si="25"/>
        <v/>
      </c>
      <c r="M111" t="str">
        <f t="shared" si="26"/>
        <v/>
      </c>
      <c r="N111">
        <f>IFERROR(IF(M111=0,"",COUNTIF($M$3:M111,"&gt;0")),"")</f>
        <v>33</v>
      </c>
      <c r="O111" t="str">
        <f t="shared" si="19"/>
        <v/>
      </c>
      <c r="P111" t="str">
        <f t="shared" si="27"/>
        <v/>
      </c>
      <c r="Q111" t="str">
        <f t="shared" si="28"/>
        <v/>
      </c>
      <c r="R111">
        <f>IFERROR(IF(Q111=0,"",COUNTIF($Q$3:Q111,"&gt;0")),"")</f>
        <v>16</v>
      </c>
      <c r="S111" t="str">
        <f t="shared" si="20"/>
        <v/>
      </c>
      <c r="T111" t="str">
        <f t="shared" si="29"/>
        <v/>
      </c>
      <c r="U111">
        <f>IFERROR(IF(T111=0,"",COUNTIF($T$3:T111,"&gt;0")),"")</f>
        <v>0</v>
      </c>
      <c r="V111" t="str">
        <f t="shared" si="21"/>
        <v/>
      </c>
      <c r="W111" t="e">
        <f t="shared" si="22"/>
        <v>#VALUE!</v>
      </c>
      <c r="X111">
        <f>'OTHER PLANT ATTN.'!C:C</f>
        <v>0</v>
      </c>
      <c r="Y111" t="e">
        <f>Table1[[#This Row],[CATEGORY ]]</f>
        <v>#VALUE!</v>
      </c>
      <c r="Z111" t="e">
        <f>Table1[[#This Row],[PLANT]]</f>
        <v>#VALUE!</v>
      </c>
    </row>
    <row r="112" spans="1:26">
      <c r="A112" t="str">
        <f t="shared" si="16"/>
        <v>000</v>
      </c>
      <c r="B112">
        <f>Table4[[#This Row],[CATEGORY]]</f>
        <v>0</v>
      </c>
      <c r="C112">
        <f>Table4[[#This Row],[SUB-CATEGORY]]</f>
        <v>0</v>
      </c>
      <c r="D112">
        <f>'RJ ATTENDENCE SHEET'!C:C</f>
        <v>0</v>
      </c>
      <c r="E112">
        <f t="shared" si="15"/>
        <v>0</v>
      </c>
      <c r="F112" t="str">
        <f t="shared" si="23"/>
        <v/>
      </c>
      <c r="G112">
        <f>IFERROR(IF(F112=0,"",COUNTIF($F$3:F112,"&gt;0")),"")</f>
        <v>16</v>
      </c>
      <c r="H112" t="str">
        <f t="shared" si="17"/>
        <v/>
      </c>
      <c r="I112" t="str">
        <f t="shared" si="24"/>
        <v/>
      </c>
      <c r="J112">
        <f>IFERROR(IF(I112=0,"",COUNTIF($I$3:I112,"&gt;0")),"")</f>
        <v>34</v>
      </c>
      <c r="K112" t="str">
        <f t="shared" si="18"/>
        <v/>
      </c>
      <c r="L112" t="str">
        <f t="shared" si="25"/>
        <v/>
      </c>
      <c r="M112" t="str">
        <f t="shared" si="26"/>
        <v/>
      </c>
      <c r="N112">
        <f>IFERROR(IF(M112=0,"",COUNTIF($M$3:M112,"&gt;0")),"")</f>
        <v>33</v>
      </c>
      <c r="O112" t="str">
        <f t="shared" si="19"/>
        <v/>
      </c>
      <c r="P112" t="str">
        <f t="shared" si="27"/>
        <v/>
      </c>
      <c r="Q112" t="str">
        <f t="shared" si="28"/>
        <v/>
      </c>
      <c r="R112">
        <f>IFERROR(IF(Q112=0,"",COUNTIF($Q$3:Q112,"&gt;0")),"")</f>
        <v>16</v>
      </c>
      <c r="S112" t="str">
        <f t="shared" si="20"/>
        <v/>
      </c>
      <c r="T112" t="str">
        <f t="shared" si="29"/>
        <v/>
      </c>
      <c r="U112">
        <f>IFERROR(IF(T112=0,"",COUNTIF($T$3:T112,"&gt;0")),"")</f>
        <v>0</v>
      </c>
      <c r="V112" t="str">
        <f t="shared" si="21"/>
        <v/>
      </c>
      <c r="W112" t="e">
        <f t="shared" si="22"/>
        <v>#VALUE!</v>
      </c>
      <c r="X112">
        <f>'OTHER PLANT ATTN.'!C:C</f>
        <v>0</v>
      </c>
      <c r="Y112" t="e">
        <f>Table1[[#This Row],[CATEGORY ]]</f>
        <v>#VALUE!</v>
      </c>
      <c r="Z112" t="e">
        <f>Table1[[#This Row],[PLANT]]</f>
        <v>#VALUE!</v>
      </c>
    </row>
    <row r="113" spans="1:26">
      <c r="A113" t="str">
        <f t="shared" si="16"/>
        <v>000</v>
      </c>
      <c r="B113">
        <f>Table4[[#This Row],[CATEGORY]]</f>
        <v>0</v>
      </c>
      <c r="C113">
        <f>Table4[[#This Row],[SUB-CATEGORY]]</f>
        <v>0</v>
      </c>
      <c r="D113">
        <f>'RJ ATTENDENCE SHEET'!C:C</f>
        <v>0</v>
      </c>
      <c r="E113">
        <f t="shared" si="15"/>
        <v>0</v>
      </c>
      <c r="F113" t="str">
        <f t="shared" si="23"/>
        <v/>
      </c>
      <c r="G113">
        <f>IFERROR(IF(F113=0,"",COUNTIF($F$3:F113,"&gt;0")),"")</f>
        <v>16</v>
      </c>
      <c r="H113" t="str">
        <f t="shared" si="17"/>
        <v/>
      </c>
      <c r="I113" t="str">
        <f t="shared" si="24"/>
        <v/>
      </c>
      <c r="J113">
        <f>IFERROR(IF(I113=0,"",COUNTIF($I$3:I113,"&gt;0")),"")</f>
        <v>34</v>
      </c>
      <c r="K113" t="str">
        <f t="shared" si="18"/>
        <v/>
      </c>
      <c r="L113" t="str">
        <f t="shared" si="25"/>
        <v/>
      </c>
      <c r="M113" t="str">
        <f t="shared" si="26"/>
        <v/>
      </c>
      <c r="N113">
        <f>IFERROR(IF(M113=0,"",COUNTIF($M$3:M113,"&gt;0")),"")</f>
        <v>33</v>
      </c>
      <c r="O113" t="str">
        <f t="shared" si="19"/>
        <v/>
      </c>
      <c r="P113" t="str">
        <f t="shared" si="27"/>
        <v/>
      </c>
      <c r="Q113" t="str">
        <f t="shared" si="28"/>
        <v/>
      </c>
      <c r="R113">
        <f>IFERROR(IF(Q113=0,"",COUNTIF($Q$3:Q113,"&gt;0")),"")</f>
        <v>16</v>
      </c>
      <c r="S113" t="str">
        <f t="shared" si="20"/>
        <v/>
      </c>
      <c r="T113" t="str">
        <f t="shared" si="29"/>
        <v/>
      </c>
      <c r="U113">
        <f>IFERROR(IF(T113=0,"",COUNTIF($T$3:T113,"&gt;0")),"")</f>
        <v>0</v>
      </c>
      <c r="V113" t="str">
        <f t="shared" si="21"/>
        <v/>
      </c>
      <c r="W113" t="e">
        <f t="shared" si="22"/>
        <v>#VALUE!</v>
      </c>
      <c r="X113">
        <f>'OTHER PLANT ATTN.'!C:C</f>
        <v>0</v>
      </c>
      <c r="Y113" t="e">
        <f>Table1[[#This Row],[CATEGORY ]]</f>
        <v>#VALUE!</v>
      </c>
      <c r="Z113" t="e">
        <f>Table1[[#This Row],[PLANT]]</f>
        <v>#VALUE!</v>
      </c>
    </row>
    <row r="114" spans="1:26">
      <c r="A114" t="str">
        <f t="shared" si="16"/>
        <v>000</v>
      </c>
      <c r="B114">
        <f>Table4[[#This Row],[CATEGORY]]</f>
        <v>0</v>
      </c>
      <c r="C114">
        <f>Table4[[#This Row],[SUB-CATEGORY]]</f>
        <v>0</v>
      </c>
      <c r="D114">
        <f>'RJ ATTENDENCE SHEET'!C:C</f>
        <v>0</v>
      </c>
      <c r="E114">
        <f t="shared" si="15"/>
        <v>0</v>
      </c>
      <c r="F114" t="str">
        <f t="shared" si="23"/>
        <v/>
      </c>
      <c r="G114">
        <f>IFERROR(IF(F114=0,"",COUNTIF($F$3:F114,"&gt;0")),"")</f>
        <v>16</v>
      </c>
      <c r="H114" t="str">
        <f t="shared" si="17"/>
        <v/>
      </c>
      <c r="I114" t="str">
        <f t="shared" si="24"/>
        <v/>
      </c>
      <c r="J114">
        <f>IFERROR(IF(I114=0,"",COUNTIF($I$3:I114,"&gt;0")),"")</f>
        <v>34</v>
      </c>
      <c r="K114" t="str">
        <f t="shared" si="18"/>
        <v/>
      </c>
      <c r="L114" t="str">
        <f t="shared" si="25"/>
        <v/>
      </c>
      <c r="M114" t="str">
        <f t="shared" si="26"/>
        <v/>
      </c>
      <c r="N114">
        <f>IFERROR(IF(M114=0,"",COUNTIF($M$3:M114,"&gt;0")),"")</f>
        <v>33</v>
      </c>
      <c r="O114" t="str">
        <f t="shared" si="19"/>
        <v/>
      </c>
      <c r="P114" t="str">
        <f t="shared" si="27"/>
        <v/>
      </c>
      <c r="Q114" t="str">
        <f t="shared" si="28"/>
        <v/>
      </c>
      <c r="R114">
        <f>IFERROR(IF(Q114=0,"",COUNTIF($Q$3:Q114,"&gt;0")),"")</f>
        <v>16</v>
      </c>
      <c r="S114" t="str">
        <f t="shared" si="20"/>
        <v/>
      </c>
      <c r="T114" t="str">
        <f t="shared" si="29"/>
        <v/>
      </c>
      <c r="U114">
        <f>IFERROR(IF(T114=0,"",COUNTIF($T$3:T114,"&gt;0")),"")</f>
        <v>0</v>
      </c>
      <c r="V114" t="str">
        <f t="shared" si="21"/>
        <v/>
      </c>
      <c r="W114" t="e">
        <f t="shared" si="22"/>
        <v>#VALUE!</v>
      </c>
      <c r="X114">
        <f>'OTHER PLANT ATTN.'!C:C</f>
        <v>0</v>
      </c>
      <c r="Y114" t="e">
        <f>Table1[[#This Row],[CATEGORY ]]</f>
        <v>#VALUE!</v>
      </c>
      <c r="Z114" t="e">
        <f>Table1[[#This Row],[PLANT]]</f>
        <v>#VALUE!</v>
      </c>
    </row>
    <row r="115" spans="1:26">
      <c r="A115" t="str">
        <f t="shared" si="16"/>
        <v>000</v>
      </c>
      <c r="B115">
        <f>Table4[[#This Row],[CATEGORY]]</f>
        <v>0</v>
      </c>
      <c r="C115">
        <f>Table4[[#This Row],[SUB-CATEGORY]]</f>
        <v>0</v>
      </c>
      <c r="D115">
        <f>'RJ ATTENDENCE SHEET'!C:C</f>
        <v>0</v>
      </c>
      <c r="E115">
        <f t="shared" si="15"/>
        <v>0</v>
      </c>
      <c r="F115" t="str">
        <f t="shared" si="23"/>
        <v/>
      </c>
      <c r="G115">
        <f>IFERROR(IF(F115=0,"",COUNTIF($F$3:F115,"&gt;0")),"")</f>
        <v>16</v>
      </c>
      <c r="H115" t="str">
        <f t="shared" si="17"/>
        <v/>
      </c>
      <c r="I115" t="str">
        <f t="shared" si="24"/>
        <v/>
      </c>
      <c r="J115">
        <f>IFERROR(IF(I115=0,"",COUNTIF($I$3:I115,"&gt;0")),"")</f>
        <v>34</v>
      </c>
      <c r="K115" t="str">
        <f t="shared" si="18"/>
        <v/>
      </c>
      <c r="L115" t="str">
        <f t="shared" si="25"/>
        <v/>
      </c>
      <c r="M115" t="str">
        <f t="shared" si="26"/>
        <v/>
      </c>
      <c r="N115">
        <f>IFERROR(IF(M115=0,"",COUNTIF($M$3:M115,"&gt;0")),"")</f>
        <v>33</v>
      </c>
      <c r="O115" t="str">
        <f t="shared" si="19"/>
        <v/>
      </c>
      <c r="P115" t="str">
        <f t="shared" si="27"/>
        <v/>
      </c>
      <c r="Q115" t="str">
        <f t="shared" si="28"/>
        <v/>
      </c>
      <c r="R115">
        <f>IFERROR(IF(Q115=0,"",COUNTIF($Q$3:Q115,"&gt;0")),"")</f>
        <v>16</v>
      </c>
      <c r="S115" t="str">
        <f t="shared" si="20"/>
        <v/>
      </c>
      <c r="T115" t="str">
        <f t="shared" si="29"/>
        <v/>
      </c>
      <c r="U115">
        <f>IFERROR(IF(T115=0,"",COUNTIF($T$3:T115,"&gt;0")),"")</f>
        <v>0</v>
      </c>
      <c r="V115" t="str">
        <f t="shared" si="21"/>
        <v/>
      </c>
      <c r="W115" t="e">
        <f t="shared" si="22"/>
        <v>#VALUE!</v>
      </c>
      <c r="X115">
        <f>'OTHER PLANT ATTN.'!C:C</f>
        <v>0</v>
      </c>
      <c r="Y115" t="e">
        <f>Table1[[#This Row],[CATEGORY ]]</f>
        <v>#VALUE!</v>
      </c>
      <c r="Z115" t="e">
        <f>Table1[[#This Row],[PLANT]]</f>
        <v>#VALUE!</v>
      </c>
    </row>
    <row r="116" spans="1:26">
      <c r="A116" t="str">
        <f t="shared" si="16"/>
        <v>000</v>
      </c>
      <c r="B116">
        <f>Table4[[#This Row],[CATEGORY]]</f>
        <v>0</v>
      </c>
      <c r="C116">
        <f>Table4[[#This Row],[SUB-CATEGORY]]</f>
        <v>0</v>
      </c>
      <c r="D116">
        <f>'RJ ATTENDENCE SHEET'!C:C</f>
        <v>0</v>
      </c>
      <c r="E116">
        <f t="shared" si="15"/>
        <v>0</v>
      </c>
      <c r="F116" t="str">
        <f t="shared" si="23"/>
        <v/>
      </c>
      <c r="G116">
        <f>IFERROR(IF(F116=0,"",COUNTIF($F$3:F116,"&gt;0")),"")</f>
        <v>16</v>
      </c>
      <c r="H116" t="str">
        <f t="shared" si="17"/>
        <v/>
      </c>
      <c r="I116" t="str">
        <f t="shared" si="24"/>
        <v/>
      </c>
      <c r="J116">
        <f>IFERROR(IF(I116=0,"",COUNTIF($I$3:I116,"&gt;0")),"")</f>
        <v>34</v>
      </c>
      <c r="K116" t="str">
        <f t="shared" si="18"/>
        <v/>
      </c>
      <c r="L116" t="str">
        <f t="shared" si="25"/>
        <v/>
      </c>
      <c r="M116" t="str">
        <f t="shared" si="26"/>
        <v/>
      </c>
      <c r="N116">
        <f>IFERROR(IF(M116=0,"",COUNTIF($M$3:M116,"&gt;0")),"")</f>
        <v>33</v>
      </c>
      <c r="O116" t="str">
        <f t="shared" si="19"/>
        <v/>
      </c>
      <c r="P116" t="str">
        <f t="shared" si="27"/>
        <v/>
      </c>
      <c r="Q116" t="str">
        <f t="shared" si="28"/>
        <v/>
      </c>
      <c r="R116">
        <f>IFERROR(IF(Q116=0,"",COUNTIF($Q$3:Q116,"&gt;0")),"")</f>
        <v>16</v>
      </c>
      <c r="S116" t="str">
        <f t="shared" si="20"/>
        <v/>
      </c>
      <c r="T116" t="str">
        <f t="shared" si="29"/>
        <v/>
      </c>
      <c r="U116">
        <f>IFERROR(IF(T116=0,"",COUNTIF($T$3:T116,"&gt;0")),"")</f>
        <v>0</v>
      </c>
      <c r="V116" t="str">
        <f t="shared" si="21"/>
        <v/>
      </c>
      <c r="W116" t="e">
        <f t="shared" si="22"/>
        <v>#VALUE!</v>
      </c>
      <c r="X116">
        <f>'OTHER PLANT ATTN.'!C:C</f>
        <v>0</v>
      </c>
      <c r="Y116" t="e">
        <f>Table1[[#This Row],[CATEGORY ]]</f>
        <v>#VALUE!</v>
      </c>
      <c r="Z116" t="e">
        <f>Table1[[#This Row],[PLANT]]</f>
        <v>#VALUE!</v>
      </c>
    </row>
    <row r="117" spans="1:26">
      <c r="A117" t="str">
        <f t="shared" si="16"/>
        <v>000</v>
      </c>
      <c r="B117">
        <f>Table4[[#This Row],[CATEGORY]]</f>
        <v>0</v>
      </c>
      <c r="C117">
        <f>Table4[[#This Row],[SUB-CATEGORY]]</f>
        <v>0</v>
      </c>
      <c r="D117">
        <f>'RJ ATTENDENCE SHEET'!C:C</f>
        <v>0</v>
      </c>
      <c r="E117">
        <f t="shared" si="15"/>
        <v>0</v>
      </c>
      <c r="F117" t="str">
        <f t="shared" si="23"/>
        <v/>
      </c>
      <c r="G117">
        <f>IFERROR(IF(F117=0,"",COUNTIF($F$3:F117,"&gt;0")),"")</f>
        <v>16</v>
      </c>
      <c r="H117" t="str">
        <f t="shared" si="17"/>
        <v/>
      </c>
      <c r="I117" t="str">
        <f t="shared" si="24"/>
        <v/>
      </c>
      <c r="J117">
        <f>IFERROR(IF(I117=0,"",COUNTIF($I$3:I117,"&gt;0")),"")</f>
        <v>34</v>
      </c>
      <c r="K117" t="str">
        <f t="shared" si="18"/>
        <v/>
      </c>
      <c r="L117" t="str">
        <f t="shared" si="25"/>
        <v/>
      </c>
      <c r="M117" t="str">
        <f t="shared" si="26"/>
        <v/>
      </c>
      <c r="N117">
        <f>IFERROR(IF(M117=0,"",COUNTIF($M$3:M117,"&gt;0")),"")</f>
        <v>33</v>
      </c>
      <c r="O117" t="str">
        <f t="shared" si="19"/>
        <v/>
      </c>
      <c r="P117" t="str">
        <f t="shared" si="27"/>
        <v/>
      </c>
      <c r="Q117" t="str">
        <f t="shared" si="28"/>
        <v/>
      </c>
      <c r="R117">
        <f>IFERROR(IF(Q117=0,"",COUNTIF($Q$3:Q117,"&gt;0")),"")</f>
        <v>16</v>
      </c>
      <c r="S117" t="str">
        <f t="shared" si="20"/>
        <v/>
      </c>
      <c r="T117" t="str">
        <f t="shared" si="29"/>
        <v/>
      </c>
      <c r="U117">
        <f>IFERROR(IF(T117=0,"",COUNTIF($T$3:T117,"&gt;0")),"")</f>
        <v>0</v>
      </c>
      <c r="V117" t="str">
        <f t="shared" si="21"/>
        <v/>
      </c>
      <c r="W117" t="e">
        <f t="shared" si="22"/>
        <v>#VALUE!</v>
      </c>
      <c r="X117">
        <f>'OTHER PLANT ATTN.'!C:C</f>
        <v>0</v>
      </c>
      <c r="Y117" t="e">
        <f>Table1[[#This Row],[CATEGORY ]]</f>
        <v>#VALUE!</v>
      </c>
      <c r="Z117" t="e">
        <f>Table1[[#This Row],[PLANT]]</f>
        <v>#VALUE!</v>
      </c>
    </row>
    <row r="118" spans="1:26">
      <c r="A118" t="str">
        <f t="shared" si="16"/>
        <v>000</v>
      </c>
      <c r="B118">
        <f>Table4[[#This Row],[CATEGORY]]</f>
        <v>0</v>
      </c>
      <c r="C118">
        <f>Table4[[#This Row],[SUB-CATEGORY]]</f>
        <v>0</v>
      </c>
      <c r="D118">
        <f>'RJ ATTENDENCE SHEET'!C:C</f>
        <v>0</v>
      </c>
      <c r="E118">
        <f t="shared" si="15"/>
        <v>0</v>
      </c>
      <c r="F118" t="str">
        <f t="shared" si="23"/>
        <v/>
      </c>
      <c r="G118">
        <f>IFERROR(IF(F118=0,"",COUNTIF($F$3:F118,"&gt;0")),"")</f>
        <v>16</v>
      </c>
      <c r="H118" t="str">
        <f t="shared" si="17"/>
        <v/>
      </c>
      <c r="I118" t="str">
        <f t="shared" si="24"/>
        <v/>
      </c>
      <c r="J118">
        <f>IFERROR(IF(I118=0,"",COUNTIF($I$3:I118,"&gt;0")),"")</f>
        <v>34</v>
      </c>
      <c r="K118" t="str">
        <f t="shared" si="18"/>
        <v/>
      </c>
      <c r="L118" t="str">
        <f t="shared" si="25"/>
        <v/>
      </c>
      <c r="M118" t="str">
        <f t="shared" si="26"/>
        <v/>
      </c>
      <c r="N118">
        <f>IFERROR(IF(M118=0,"",COUNTIF($M$3:M118,"&gt;0")),"")</f>
        <v>33</v>
      </c>
      <c r="O118" t="str">
        <f t="shared" si="19"/>
        <v/>
      </c>
      <c r="P118" t="str">
        <f t="shared" si="27"/>
        <v/>
      </c>
      <c r="Q118" t="str">
        <f t="shared" si="28"/>
        <v/>
      </c>
      <c r="R118">
        <f>IFERROR(IF(Q118=0,"",COUNTIF($Q$3:Q118,"&gt;0")),"")</f>
        <v>16</v>
      </c>
      <c r="S118" t="str">
        <f t="shared" si="20"/>
        <v/>
      </c>
      <c r="T118" t="str">
        <f t="shared" si="29"/>
        <v/>
      </c>
      <c r="U118">
        <f>IFERROR(IF(T118=0,"",COUNTIF($T$3:T118,"&gt;0")),"")</f>
        <v>0</v>
      </c>
      <c r="V118" t="str">
        <f t="shared" si="21"/>
        <v/>
      </c>
      <c r="W118" t="e">
        <f t="shared" si="22"/>
        <v>#VALUE!</v>
      </c>
      <c r="X118">
        <f>'OTHER PLANT ATTN.'!C:C</f>
        <v>0</v>
      </c>
      <c r="Y118" t="e">
        <f>Table1[[#This Row],[CATEGORY ]]</f>
        <v>#VALUE!</v>
      </c>
      <c r="Z118" t="e">
        <f>Table1[[#This Row],[PLANT]]</f>
        <v>#VALUE!</v>
      </c>
    </row>
    <row r="119" spans="1:26">
      <c r="A119" t="str">
        <f t="shared" si="16"/>
        <v>000</v>
      </c>
      <c r="B119">
        <f>Table4[[#This Row],[CATEGORY]]</f>
        <v>0</v>
      </c>
      <c r="C119">
        <f>Table4[[#This Row],[SUB-CATEGORY]]</f>
        <v>0</v>
      </c>
      <c r="D119">
        <f>'RJ ATTENDENCE SHEET'!C:C</f>
        <v>0</v>
      </c>
      <c r="E119">
        <f t="shared" si="15"/>
        <v>0</v>
      </c>
      <c r="F119" t="str">
        <f t="shared" si="23"/>
        <v/>
      </c>
      <c r="G119">
        <f>IFERROR(IF(F119=0,"",COUNTIF($F$3:F119,"&gt;0")),"")</f>
        <v>16</v>
      </c>
      <c r="H119" t="str">
        <f t="shared" si="17"/>
        <v/>
      </c>
      <c r="I119" t="str">
        <f t="shared" si="24"/>
        <v/>
      </c>
      <c r="J119">
        <f>IFERROR(IF(I119=0,"",COUNTIF($I$3:I119,"&gt;0")),"")</f>
        <v>34</v>
      </c>
      <c r="K119" t="str">
        <f t="shared" si="18"/>
        <v/>
      </c>
      <c r="L119" t="str">
        <f t="shared" si="25"/>
        <v/>
      </c>
      <c r="M119" t="str">
        <f t="shared" si="26"/>
        <v/>
      </c>
      <c r="N119">
        <f>IFERROR(IF(M119=0,"",COUNTIF($M$3:M119,"&gt;0")),"")</f>
        <v>33</v>
      </c>
      <c r="O119" t="str">
        <f t="shared" si="19"/>
        <v/>
      </c>
      <c r="P119" t="str">
        <f t="shared" si="27"/>
        <v/>
      </c>
      <c r="Q119" t="str">
        <f t="shared" si="28"/>
        <v/>
      </c>
      <c r="R119">
        <f>IFERROR(IF(Q119=0,"",COUNTIF($Q$3:Q119,"&gt;0")),"")</f>
        <v>16</v>
      </c>
      <c r="S119" t="str">
        <f t="shared" si="20"/>
        <v/>
      </c>
      <c r="T119" t="str">
        <f t="shared" si="29"/>
        <v/>
      </c>
      <c r="U119">
        <f>IFERROR(IF(T119=0,"",COUNTIF($T$3:T119,"&gt;0")),"")</f>
        <v>0</v>
      </c>
      <c r="V119" t="str">
        <f t="shared" si="21"/>
        <v/>
      </c>
      <c r="W119" t="e">
        <f t="shared" si="22"/>
        <v>#VALUE!</v>
      </c>
      <c r="X119">
        <f>'OTHER PLANT ATTN.'!C:C</f>
        <v>0</v>
      </c>
      <c r="Y119" t="e">
        <f>Table1[[#This Row],[CATEGORY ]]</f>
        <v>#VALUE!</v>
      </c>
      <c r="Z119" t="e">
        <f>Table1[[#This Row],[PLANT]]</f>
        <v>#VALUE!</v>
      </c>
    </row>
    <row r="120" spans="1:26">
      <c r="A120" t="str">
        <f t="shared" si="16"/>
        <v>000</v>
      </c>
      <c r="B120">
        <f>Table4[[#This Row],[CATEGORY]]</f>
        <v>0</v>
      </c>
      <c r="C120">
        <f>Table4[[#This Row],[SUB-CATEGORY]]</f>
        <v>0</v>
      </c>
      <c r="D120">
        <f>'RJ ATTENDENCE SHEET'!C:C</f>
        <v>0</v>
      </c>
      <c r="E120">
        <f t="shared" si="15"/>
        <v>0</v>
      </c>
      <c r="F120" t="str">
        <f t="shared" si="23"/>
        <v/>
      </c>
      <c r="G120">
        <f>IFERROR(IF(F120=0,"",COUNTIF($F$3:F120,"&gt;0")),"")</f>
        <v>16</v>
      </c>
      <c r="H120" t="str">
        <f t="shared" si="17"/>
        <v/>
      </c>
      <c r="I120" t="str">
        <f t="shared" si="24"/>
        <v/>
      </c>
      <c r="J120">
        <f>IFERROR(IF(I120=0,"",COUNTIF($I$3:I120,"&gt;0")),"")</f>
        <v>34</v>
      </c>
      <c r="K120" t="str">
        <f t="shared" si="18"/>
        <v/>
      </c>
      <c r="L120" t="str">
        <f t="shared" si="25"/>
        <v/>
      </c>
      <c r="M120" t="str">
        <f t="shared" si="26"/>
        <v/>
      </c>
      <c r="N120">
        <f>IFERROR(IF(M120=0,"",COUNTIF($M$3:M120,"&gt;0")),"")</f>
        <v>33</v>
      </c>
      <c r="O120" t="str">
        <f t="shared" si="19"/>
        <v/>
      </c>
      <c r="P120" t="str">
        <f t="shared" si="27"/>
        <v/>
      </c>
      <c r="Q120" t="str">
        <f t="shared" si="28"/>
        <v/>
      </c>
      <c r="R120">
        <f>IFERROR(IF(Q120=0,"",COUNTIF($Q$3:Q120,"&gt;0")),"")</f>
        <v>16</v>
      </c>
      <c r="S120" t="str">
        <f t="shared" si="20"/>
        <v/>
      </c>
      <c r="T120" t="str">
        <f t="shared" si="29"/>
        <v/>
      </c>
      <c r="U120">
        <f>IFERROR(IF(T120=0,"",COUNTIF($T$3:T120,"&gt;0")),"")</f>
        <v>0</v>
      </c>
      <c r="V120" t="str">
        <f t="shared" si="21"/>
        <v/>
      </c>
      <c r="W120" t="e">
        <f t="shared" si="22"/>
        <v>#VALUE!</v>
      </c>
      <c r="X120">
        <f>'OTHER PLANT ATTN.'!C:C</f>
        <v>0</v>
      </c>
      <c r="Y120" t="e">
        <f>Table1[[#This Row],[CATEGORY ]]</f>
        <v>#VALUE!</v>
      </c>
      <c r="Z120" t="e">
        <f>Table1[[#This Row],[PLANT]]</f>
        <v>#VALUE!</v>
      </c>
    </row>
    <row r="121" spans="1:26">
      <c r="A121" t="str">
        <f t="shared" si="16"/>
        <v>000</v>
      </c>
      <c r="B121">
        <f>Table4[[#This Row],[CATEGORY]]</f>
        <v>0</v>
      </c>
      <c r="C121">
        <f>Table4[[#This Row],[SUB-CATEGORY]]</f>
        <v>0</v>
      </c>
      <c r="D121">
        <f>'RJ ATTENDENCE SHEET'!C:C</f>
        <v>0</v>
      </c>
      <c r="E121">
        <f t="shared" si="15"/>
        <v>0</v>
      </c>
      <c r="F121" t="str">
        <f t="shared" si="23"/>
        <v/>
      </c>
      <c r="G121">
        <f>IFERROR(IF(F121=0,"",COUNTIF($F$3:F121,"&gt;0")),"")</f>
        <v>16</v>
      </c>
      <c r="H121" t="str">
        <f t="shared" si="17"/>
        <v/>
      </c>
      <c r="I121" t="str">
        <f t="shared" si="24"/>
        <v/>
      </c>
      <c r="J121">
        <f>IFERROR(IF(I121=0,"",COUNTIF($I$3:I121,"&gt;0")),"")</f>
        <v>34</v>
      </c>
      <c r="K121" t="str">
        <f t="shared" si="18"/>
        <v/>
      </c>
      <c r="L121" t="str">
        <f t="shared" si="25"/>
        <v/>
      </c>
      <c r="M121" t="str">
        <f t="shared" si="26"/>
        <v/>
      </c>
      <c r="N121">
        <f>IFERROR(IF(M121=0,"",COUNTIF($M$3:M121,"&gt;0")),"")</f>
        <v>33</v>
      </c>
      <c r="O121" t="str">
        <f t="shared" si="19"/>
        <v/>
      </c>
      <c r="P121" t="str">
        <f t="shared" si="27"/>
        <v/>
      </c>
      <c r="Q121" t="str">
        <f t="shared" si="28"/>
        <v/>
      </c>
      <c r="R121">
        <f>IFERROR(IF(Q121=0,"",COUNTIF($Q$3:Q121,"&gt;0")),"")</f>
        <v>16</v>
      </c>
      <c r="S121" t="str">
        <f t="shared" si="20"/>
        <v/>
      </c>
      <c r="T121" t="str">
        <f t="shared" si="29"/>
        <v/>
      </c>
      <c r="U121">
        <f>IFERROR(IF(T121=0,"",COUNTIF($T$3:T121,"&gt;0")),"")</f>
        <v>0</v>
      </c>
      <c r="V121" t="str">
        <f t="shared" si="21"/>
        <v/>
      </c>
      <c r="W121" t="e">
        <f t="shared" si="22"/>
        <v>#VALUE!</v>
      </c>
      <c r="X121">
        <f>'OTHER PLANT ATTN.'!C:C</f>
        <v>0</v>
      </c>
      <c r="Y121" t="e">
        <f>Table1[[#This Row],[CATEGORY ]]</f>
        <v>#VALUE!</v>
      </c>
      <c r="Z121" t="e">
        <f>Table1[[#This Row],[PLANT]]</f>
        <v>#VALUE!</v>
      </c>
    </row>
    <row r="122" spans="1:26">
      <c r="A122" t="str">
        <f t="shared" si="16"/>
        <v>000</v>
      </c>
      <c r="B122">
        <f>Table4[[#This Row],[CATEGORY]]</f>
        <v>0</v>
      </c>
      <c r="C122">
        <f>Table4[[#This Row],[SUB-CATEGORY]]</f>
        <v>0</v>
      </c>
      <c r="D122">
        <f>'RJ ATTENDENCE SHEET'!C:C</f>
        <v>0</v>
      </c>
      <c r="E122">
        <f t="shared" si="15"/>
        <v>0</v>
      </c>
      <c r="F122" t="str">
        <f t="shared" si="23"/>
        <v/>
      </c>
      <c r="G122">
        <f>IFERROR(IF(F122=0,"",COUNTIF($F$3:F122,"&gt;0")),"")</f>
        <v>16</v>
      </c>
      <c r="H122" t="str">
        <f t="shared" si="17"/>
        <v/>
      </c>
      <c r="I122" t="str">
        <f t="shared" si="24"/>
        <v/>
      </c>
      <c r="J122">
        <f>IFERROR(IF(I122=0,"",COUNTIF($I$3:I122,"&gt;0")),"")</f>
        <v>34</v>
      </c>
      <c r="K122" t="str">
        <f t="shared" si="18"/>
        <v/>
      </c>
      <c r="L122" t="str">
        <f t="shared" si="25"/>
        <v/>
      </c>
      <c r="M122" t="str">
        <f t="shared" si="26"/>
        <v/>
      </c>
      <c r="N122">
        <f>IFERROR(IF(M122=0,"",COUNTIF($M$3:M122,"&gt;0")),"")</f>
        <v>33</v>
      </c>
      <c r="O122" t="str">
        <f t="shared" si="19"/>
        <v/>
      </c>
      <c r="P122" t="str">
        <f t="shared" si="27"/>
        <v/>
      </c>
      <c r="Q122" t="str">
        <f t="shared" si="28"/>
        <v/>
      </c>
      <c r="R122">
        <f>IFERROR(IF(Q122=0,"",COUNTIF($Q$3:Q122,"&gt;0")),"")</f>
        <v>16</v>
      </c>
      <c r="S122" t="str">
        <f t="shared" si="20"/>
        <v/>
      </c>
      <c r="T122" t="str">
        <f t="shared" si="29"/>
        <v/>
      </c>
      <c r="U122">
        <f>IFERROR(IF(T122=0,"",COUNTIF($T$3:T122,"&gt;0")),"")</f>
        <v>0</v>
      </c>
      <c r="V122" t="str">
        <f t="shared" si="21"/>
        <v/>
      </c>
      <c r="W122" t="e">
        <f t="shared" si="22"/>
        <v>#VALUE!</v>
      </c>
      <c r="X122">
        <f>'OTHER PLANT ATTN.'!C:C</f>
        <v>0</v>
      </c>
      <c r="Y122" t="e">
        <f>Table1[[#This Row],[CATEGORY ]]</f>
        <v>#VALUE!</v>
      </c>
      <c r="Z122" t="e">
        <f>Table1[[#This Row],[PLANT]]</f>
        <v>#VALUE!</v>
      </c>
    </row>
    <row r="123" spans="1:26">
      <c r="A123" t="str">
        <f t="shared" si="16"/>
        <v>000</v>
      </c>
      <c r="B123">
        <f>Table4[[#This Row],[CATEGORY]]</f>
        <v>0</v>
      </c>
      <c r="C123">
        <f>Table4[[#This Row],[SUB-CATEGORY]]</f>
        <v>0</v>
      </c>
      <c r="D123">
        <f>'RJ ATTENDENCE SHEET'!C:C</f>
        <v>0</v>
      </c>
      <c r="E123">
        <f t="shared" si="15"/>
        <v>0</v>
      </c>
      <c r="F123" t="str">
        <f t="shared" si="23"/>
        <v/>
      </c>
      <c r="G123">
        <f>IFERROR(IF(F123=0,"",COUNTIF($F$3:F123,"&gt;0")),"")</f>
        <v>16</v>
      </c>
      <c r="H123" t="str">
        <f t="shared" si="17"/>
        <v/>
      </c>
      <c r="I123" t="str">
        <f t="shared" si="24"/>
        <v/>
      </c>
      <c r="J123">
        <f>IFERROR(IF(I123=0,"",COUNTIF($I$3:I123,"&gt;0")),"")</f>
        <v>34</v>
      </c>
      <c r="K123" t="str">
        <f t="shared" si="18"/>
        <v/>
      </c>
      <c r="L123" t="str">
        <f t="shared" si="25"/>
        <v/>
      </c>
      <c r="M123" t="str">
        <f t="shared" si="26"/>
        <v/>
      </c>
      <c r="N123">
        <f>IFERROR(IF(M123=0,"",COUNTIF($M$3:M123,"&gt;0")),"")</f>
        <v>33</v>
      </c>
      <c r="O123" t="str">
        <f t="shared" si="19"/>
        <v/>
      </c>
      <c r="P123" t="str">
        <f t="shared" si="27"/>
        <v/>
      </c>
      <c r="Q123" t="str">
        <f t="shared" si="28"/>
        <v/>
      </c>
      <c r="R123">
        <f>IFERROR(IF(Q123=0,"",COUNTIF($Q$3:Q123,"&gt;0")),"")</f>
        <v>16</v>
      </c>
      <c r="S123" t="str">
        <f t="shared" si="20"/>
        <v/>
      </c>
      <c r="T123" t="str">
        <f t="shared" si="29"/>
        <v/>
      </c>
      <c r="U123">
        <f>IFERROR(IF(T123=0,"",COUNTIF($T$3:T123,"&gt;0")),"")</f>
        <v>0</v>
      </c>
      <c r="V123" t="str">
        <f t="shared" si="21"/>
        <v/>
      </c>
      <c r="W123" t="e">
        <f t="shared" si="22"/>
        <v>#VALUE!</v>
      </c>
      <c r="X123">
        <f>'OTHER PLANT ATTN.'!C:C</f>
        <v>0</v>
      </c>
      <c r="Y123" t="e">
        <f>Table1[[#This Row],[CATEGORY ]]</f>
        <v>#VALUE!</v>
      </c>
      <c r="Z123" t="e">
        <f>Table1[[#This Row],[PLANT]]</f>
        <v>#VALUE!</v>
      </c>
    </row>
    <row r="124" spans="1:26">
      <c r="A124" t="str">
        <f t="shared" si="16"/>
        <v>000</v>
      </c>
      <c r="B124">
        <f>Table4[[#This Row],[CATEGORY]]</f>
        <v>0</v>
      </c>
      <c r="C124">
        <f>Table4[[#This Row],[SUB-CATEGORY]]</f>
        <v>0</v>
      </c>
      <c r="D124">
        <f>'RJ ATTENDENCE SHEET'!C:C</f>
        <v>0</v>
      </c>
      <c r="E124">
        <f t="shared" si="15"/>
        <v>0</v>
      </c>
      <c r="F124" t="str">
        <f t="shared" si="23"/>
        <v/>
      </c>
      <c r="G124">
        <f>IFERROR(IF(F124=0,"",COUNTIF($F$3:F124,"&gt;0")),"")</f>
        <v>16</v>
      </c>
      <c r="H124" t="str">
        <f t="shared" si="17"/>
        <v/>
      </c>
      <c r="I124" t="str">
        <f t="shared" si="24"/>
        <v/>
      </c>
      <c r="J124">
        <f>IFERROR(IF(I124=0,"",COUNTIF($I$3:I124,"&gt;0")),"")</f>
        <v>34</v>
      </c>
      <c r="K124" t="str">
        <f t="shared" si="18"/>
        <v/>
      </c>
      <c r="L124" t="str">
        <f t="shared" si="25"/>
        <v/>
      </c>
      <c r="M124" t="str">
        <f t="shared" si="26"/>
        <v/>
      </c>
      <c r="N124">
        <f>IFERROR(IF(M124=0,"",COUNTIF($M$3:M124,"&gt;0")),"")</f>
        <v>33</v>
      </c>
      <c r="O124" t="str">
        <f t="shared" si="19"/>
        <v/>
      </c>
      <c r="P124" t="str">
        <f t="shared" si="27"/>
        <v/>
      </c>
      <c r="Q124" t="str">
        <f t="shared" si="28"/>
        <v/>
      </c>
      <c r="R124">
        <f>IFERROR(IF(Q124=0,"",COUNTIF($Q$3:Q124,"&gt;0")),"")</f>
        <v>16</v>
      </c>
      <c r="S124" t="str">
        <f t="shared" si="20"/>
        <v/>
      </c>
      <c r="T124" t="str">
        <f t="shared" si="29"/>
        <v/>
      </c>
      <c r="U124">
        <f>IFERROR(IF(T124=0,"",COUNTIF($T$3:T124,"&gt;0")),"")</f>
        <v>0</v>
      </c>
      <c r="V124" t="str">
        <f t="shared" si="21"/>
        <v/>
      </c>
      <c r="W124" t="e">
        <f t="shared" si="22"/>
        <v>#VALUE!</v>
      </c>
      <c r="X124">
        <f>'OTHER PLANT ATTN.'!C:C</f>
        <v>0</v>
      </c>
      <c r="Y124" t="e">
        <f>Table1[[#This Row],[CATEGORY ]]</f>
        <v>#VALUE!</v>
      </c>
      <c r="Z124" t="e">
        <f>Table1[[#This Row],[PLANT]]</f>
        <v>#VALUE!</v>
      </c>
    </row>
    <row r="125" spans="1:26">
      <c r="A125" t="str">
        <f t="shared" si="16"/>
        <v>000</v>
      </c>
      <c r="B125">
        <f>Table4[[#This Row],[CATEGORY]]</f>
        <v>0</v>
      </c>
      <c r="C125">
        <f>Table4[[#This Row],[SUB-CATEGORY]]</f>
        <v>0</v>
      </c>
      <c r="D125">
        <f>'RJ ATTENDENCE SHEET'!C:C</f>
        <v>0</v>
      </c>
      <c r="E125">
        <f t="shared" si="15"/>
        <v>0</v>
      </c>
      <c r="F125" t="str">
        <f t="shared" si="23"/>
        <v/>
      </c>
      <c r="G125">
        <f>IFERROR(IF(F125=0,"",COUNTIF($F$3:F125,"&gt;0")),"")</f>
        <v>16</v>
      </c>
      <c r="H125" t="str">
        <f t="shared" si="17"/>
        <v/>
      </c>
      <c r="I125" t="str">
        <f t="shared" si="24"/>
        <v/>
      </c>
      <c r="J125">
        <f>IFERROR(IF(I125=0,"",COUNTIF($I$3:I125,"&gt;0")),"")</f>
        <v>34</v>
      </c>
      <c r="K125" t="str">
        <f t="shared" si="18"/>
        <v/>
      </c>
      <c r="L125" t="str">
        <f t="shared" si="25"/>
        <v/>
      </c>
      <c r="M125" t="str">
        <f t="shared" si="26"/>
        <v/>
      </c>
      <c r="N125">
        <f>IFERROR(IF(M125=0,"",COUNTIF($M$3:M125,"&gt;0")),"")</f>
        <v>33</v>
      </c>
      <c r="O125" t="str">
        <f t="shared" si="19"/>
        <v/>
      </c>
      <c r="P125" t="str">
        <f t="shared" si="27"/>
        <v/>
      </c>
      <c r="Q125" t="str">
        <f t="shared" si="28"/>
        <v/>
      </c>
      <c r="R125">
        <f>IFERROR(IF(Q125=0,"",COUNTIF($Q$3:Q125,"&gt;0")),"")</f>
        <v>16</v>
      </c>
      <c r="S125" t="str">
        <f t="shared" si="20"/>
        <v/>
      </c>
      <c r="T125" t="str">
        <f t="shared" si="29"/>
        <v/>
      </c>
      <c r="U125">
        <f>IFERROR(IF(T125=0,"",COUNTIF($T$3:T125,"&gt;0")),"")</f>
        <v>0</v>
      </c>
      <c r="V125" t="str">
        <f t="shared" si="21"/>
        <v/>
      </c>
      <c r="W125" t="e">
        <f t="shared" si="22"/>
        <v>#VALUE!</v>
      </c>
      <c r="X125">
        <f>'OTHER PLANT ATTN.'!C:C</f>
        <v>0</v>
      </c>
      <c r="Y125" t="e">
        <f>Table1[[#This Row],[CATEGORY ]]</f>
        <v>#VALUE!</v>
      </c>
      <c r="Z125" t="e">
        <f>Table1[[#This Row],[PLANT]]</f>
        <v>#VALUE!</v>
      </c>
    </row>
    <row r="126" spans="1:26">
      <c r="A126" t="str">
        <f t="shared" si="16"/>
        <v>000</v>
      </c>
      <c r="B126">
        <f>Table4[[#This Row],[CATEGORY]]</f>
        <v>0</v>
      </c>
      <c r="C126">
        <f>Table4[[#This Row],[SUB-CATEGORY]]</f>
        <v>0</v>
      </c>
      <c r="D126">
        <f>'RJ ATTENDENCE SHEET'!C:C</f>
        <v>0</v>
      </c>
      <c r="E126">
        <f t="shared" si="15"/>
        <v>0</v>
      </c>
      <c r="F126" t="str">
        <f t="shared" si="23"/>
        <v/>
      </c>
      <c r="G126">
        <f>IFERROR(IF(F126=0,"",COUNTIF($F$3:F126,"&gt;0")),"")</f>
        <v>16</v>
      </c>
      <c r="H126" t="str">
        <f t="shared" si="17"/>
        <v/>
      </c>
      <c r="I126" t="str">
        <f t="shared" si="24"/>
        <v/>
      </c>
      <c r="J126">
        <f>IFERROR(IF(I126=0,"",COUNTIF($I$3:I126,"&gt;0")),"")</f>
        <v>34</v>
      </c>
      <c r="K126" t="str">
        <f t="shared" si="18"/>
        <v/>
      </c>
      <c r="L126" t="str">
        <f t="shared" si="25"/>
        <v/>
      </c>
      <c r="M126" t="str">
        <f t="shared" si="26"/>
        <v/>
      </c>
      <c r="N126">
        <f>IFERROR(IF(M126=0,"",COUNTIF($M$3:M126,"&gt;0")),"")</f>
        <v>33</v>
      </c>
      <c r="O126" t="str">
        <f t="shared" si="19"/>
        <v/>
      </c>
      <c r="P126" t="str">
        <f t="shared" si="27"/>
        <v/>
      </c>
      <c r="Q126" t="str">
        <f t="shared" si="28"/>
        <v/>
      </c>
      <c r="R126">
        <f>IFERROR(IF(Q126=0,"",COUNTIF($Q$3:Q126,"&gt;0")),"")</f>
        <v>16</v>
      </c>
      <c r="S126" t="str">
        <f t="shared" si="20"/>
        <v/>
      </c>
      <c r="T126" t="str">
        <f t="shared" si="29"/>
        <v/>
      </c>
      <c r="U126">
        <f>IFERROR(IF(T126=0,"",COUNTIF($T$3:T126,"&gt;0")),"")</f>
        <v>0</v>
      </c>
      <c r="V126" t="str">
        <f t="shared" si="21"/>
        <v/>
      </c>
      <c r="W126" t="e">
        <f t="shared" si="22"/>
        <v>#VALUE!</v>
      </c>
      <c r="X126">
        <f>'OTHER PLANT ATTN.'!C:C</f>
        <v>0</v>
      </c>
      <c r="Y126" t="e">
        <f>Table1[[#This Row],[CATEGORY ]]</f>
        <v>#VALUE!</v>
      </c>
      <c r="Z126" t="e">
        <f>Table1[[#This Row],[PLANT]]</f>
        <v>#VALUE!</v>
      </c>
    </row>
    <row r="127" spans="1:26">
      <c r="A127" t="str">
        <f t="shared" si="16"/>
        <v>000</v>
      </c>
      <c r="B127">
        <f>Table4[[#This Row],[CATEGORY]]</f>
        <v>0</v>
      </c>
      <c r="C127">
        <f>Table4[[#This Row],[SUB-CATEGORY]]</f>
        <v>0</v>
      </c>
      <c r="D127">
        <f>'RJ ATTENDENCE SHEET'!C:C</f>
        <v>0</v>
      </c>
      <c r="E127">
        <f t="shared" si="15"/>
        <v>0</v>
      </c>
      <c r="F127" t="str">
        <f t="shared" si="23"/>
        <v/>
      </c>
      <c r="G127">
        <f>IFERROR(IF(F127=0,"",COUNTIF($F$3:F127,"&gt;0")),"")</f>
        <v>16</v>
      </c>
      <c r="H127" t="str">
        <f t="shared" si="17"/>
        <v/>
      </c>
      <c r="I127" t="str">
        <f t="shared" si="24"/>
        <v/>
      </c>
      <c r="J127">
        <f>IFERROR(IF(I127=0,"",COUNTIF($I$3:I127,"&gt;0")),"")</f>
        <v>34</v>
      </c>
      <c r="K127" t="str">
        <f t="shared" si="18"/>
        <v/>
      </c>
      <c r="L127" t="str">
        <f t="shared" si="25"/>
        <v/>
      </c>
      <c r="M127" t="str">
        <f t="shared" si="26"/>
        <v/>
      </c>
      <c r="N127">
        <f>IFERROR(IF(M127=0,"",COUNTIF($M$3:M127,"&gt;0")),"")</f>
        <v>33</v>
      </c>
      <c r="O127" t="str">
        <f t="shared" si="19"/>
        <v/>
      </c>
      <c r="P127" t="str">
        <f t="shared" si="27"/>
        <v/>
      </c>
      <c r="Q127" t="str">
        <f t="shared" si="28"/>
        <v/>
      </c>
      <c r="R127">
        <f>IFERROR(IF(Q127=0,"",COUNTIF($Q$3:Q127,"&gt;0")),"")</f>
        <v>16</v>
      </c>
      <c r="S127" t="str">
        <f t="shared" si="20"/>
        <v/>
      </c>
      <c r="T127" t="str">
        <f t="shared" si="29"/>
        <v/>
      </c>
      <c r="U127">
        <f>IFERROR(IF(T127=0,"",COUNTIF($T$3:T127,"&gt;0")),"")</f>
        <v>0</v>
      </c>
      <c r="V127" t="str">
        <f t="shared" si="21"/>
        <v/>
      </c>
      <c r="W127" t="e">
        <f t="shared" si="22"/>
        <v>#VALUE!</v>
      </c>
      <c r="X127">
        <f>'OTHER PLANT ATTN.'!C:C</f>
        <v>0</v>
      </c>
      <c r="Y127" t="e">
        <f>Table1[[#This Row],[CATEGORY ]]</f>
        <v>#VALUE!</v>
      </c>
      <c r="Z127" t="e">
        <f>Table1[[#This Row],[PLANT]]</f>
        <v>#VALUE!</v>
      </c>
    </row>
    <row r="128" spans="1:26">
      <c r="A128" t="str">
        <f t="shared" si="16"/>
        <v>000</v>
      </c>
      <c r="B128">
        <f>Table4[[#This Row],[CATEGORY]]</f>
        <v>0</v>
      </c>
      <c r="C128">
        <f>Table4[[#This Row],[SUB-CATEGORY]]</f>
        <v>0</v>
      </c>
      <c r="D128">
        <f>'RJ ATTENDENCE SHEET'!C:C</f>
        <v>0</v>
      </c>
      <c r="E128">
        <f t="shared" si="15"/>
        <v>0</v>
      </c>
      <c r="F128" t="str">
        <f t="shared" si="23"/>
        <v/>
      </c>
      <c r="G128">
        <f>IFERROR(IF(F128=0,"",COUNTIF($F$3:F128,"&gt;0")),"")</f>
        <v>16</v>
      </c>
      <c r="H128" t="str">
        <f t="shared" si="17"/>
        <v/>
      </c>
      <c r="I128" t="str">
        <f t="shared" si="24"/>
        <v/>
      </c>
      <c r="J128">
        <f>IFERROR(IF(I128=0,"",COUNTIF($I$3:I128,"&gt;0")),"")</f>
        <v>34</v>
      </c>
      <c r="K128" t="str">
        <f t="shared" si="18"/>
        <v/>
      </c>
      <c r="L128" t="str">
        <f t="shared" si="25"/>
        <v/>
      </c>
      <c r="M128" t="str">
        <f t="shared" si="26"/>
        <v/>
      </c>
      <c r="N128">
        <f>IFERROR(IF(M128=0,"",COUNTIF($M$3:M128,"&gt;0")),"")</f>
        <v>33</v>
      </c>
      <c r="O128" t="str">
        <f t="shared" si="19"/>
        <v/>
      </c>
      <c r="P128" t="str">
        <f t="shared" si="27"/>
        <v/>
      </c>
      <c r="Q128" t="str">
        <f t="shared" si="28"/>
        <v/>
      </c>
      <c r="R128">
        <f>IFERROR(IF(Q128=0,"",COUNTIF($Q$3:Q128,"&gt;0")),"")</f>
        <v>16</v>
      </c>
      <c r="S128" t="str">
        <f t="shared" si="20"/>
        <v/>
      </c>
      <c r="T128" t="str">
        <f t="shared" si="29"/>
        <v/>
      </c>
      <c r="U128">
        <f>IFERROR(IF(T128=0,"",COUNTIF($T$3:T128,"&gt;0")),"")</f>
        <v>0</v>
      </c>
      <c r="V128" t="str">
        <f t="shared" si="21"/>
        <v/>
      </c>
      <c r="W128" t="e">
        <f t="shared" si="22"/>
        <v>#VALUE!</v>
      </c>
      <c r="X128">
        <f>'OTHER PLANT ATTN.'!C:C</f>
        <v>0</v>
      </c>
      <c r="Y128" t="e">
        <f>Table1[[#This Row],[CATEGORY ]]</f>
        <v>#VALUE!</v>
      </c>
      <c r="Z128" t="e">
        <f>Table1[[#This Row],[PLANT]]</f>
        <v>#VALUE!</v>
      </c>
    </row>
    <row r="129" spans="1:26">
      <c r="A129" t="str">
        <f t="shared" si="16"/>
        <v>000</v>
      </c>
      <c r="B129">
        <f>Table4[[#This Row],[CATEGORY]]</f>
        <v>0</v>
      </c>
      <c r="C129">
        <f>Table4[[#This Row],[SUB-CATEGORY]]</f>
        <v>0</v>
      </c>
      <c r="D129">
        <f>'RJ ATTENDENCE SHEET'!C:C</f>
        <v>0</v>
      </c>
      <c r="E129">
        <f t="shared" si="15"/>
        <v>0</v>
      </c>
      <c r="F129" t="str">
        <f t="shared" si="23"/>
        <v/>
      </c>
      <c r="G129">
        <f>IFERROR(IF(F129=0,"",COUNTIF($F$3:F129,"&gt;0")),"")</f>
        <v>16</v>
      </c>
      <c r="H129" t="str">
        <f t="shared" si="17"/>
        <v/>
      </c>
      <c r="I129" t="str">
        <f t="shared" si="24"/>
        <v/>
      </c>
      <c r="J129">
        <f>IFERROR(IF(I129=0,"",COUNTIF($I$3:I129,"&gt;0")),"")</f>
        <v>34</v>
      </c>
      <c r="K129" t="str">
        <f t="shared" si="18"/>
        <v/>
      </c>
      <c r="L129" t="str">
        <f t="shared" si="25"/>
        <v/>
      </c>
      <c r="M129" t="str">
        <f t="shared" si="26"/>
        <v/>
      </c>
      <c r="N129">
        <f>IFERROR(IF(M129=0,"",COUNTIF($M$3:M129,"&gt;0")),"")</f>
        <v>33</v>
      </c>
      <c r="O129" t="str">
        <f t="shared" si="19"/>
        <v/>
      </c>
      <c r="P129" t="str">
        <f t="shared" si="27"/>
        <v/>
      </c>
      <c r="Q129" t="str">
        <f t="shared" si="28"/>
        <v/>
      </c>
      <c r="R129">
        <f>IFERROR(IF(Q129=0,"",COUNTIF($Q$3:Q129,"&gt;0")),"")</f>
        <v>16</v>
      </c>
      <c r="S129" t="str">
        <f t="shared" si="20"/>
        <v/>
      </c>
      <c r="T129" t="str">
        <f t="shared" si="29"/>
        <v/>
      </c>
      <c r="U129">
        <f>IFERROR(IF(T129=0,"",COUNTIF($T$3:T129,"&gt;0")),"")</f>
        <v>0</v>
      </c>
      <c r="V129" t="str">
        <f t="shared" si="21"/>
        <v/>
      </c>
      <c r="W129" t="e">
        <f t="shared" si="22"/>
        <v>#VALUE!</v>
      </c>
      <c r="X129">
        <f>'OTHER PLANT ATTN.'!C:C</f>
        <v>0</v>
      </c>
      <c r="Y129" t="e">
        <f>Table1[[#This Row],[CATEGORY ]]</f>
        <v>#VALUE!</v>
      </c>
      <c r="Z129" t="e">
        <f>Table1[[#This Row],[PLANT]]</f>
        <v>#VALUE!</v>
      </c>
    </row>
    <row r="130" spans="1:26">
      <c r="A130" t="str">
        <f t="shared" si="16"/>
        <v>000</v>
      </c>
      <c r="B130">
        <f>Table4[[#This Row],[CATEGORY]]</f>
        <v>0</v>
      </c>
      <c r="C130">
        <f>Table4[[#This Row],[SUB-CATEGORY]]</f>
        <v>0</v>
      </c>
      <c r="D130">
        <f>'RJ ATTENDENCE SHEET'!C:C</f>
        <v>0</v>
      </c>
      <c r="E130">
        <f t="shared" ref="E130:E193" si="30">C130</f>
        <v>0</v>
      </c>
      <c r="F130" t="str">
        <f t="shared" si="23"/>
        <v/>
      </c>
      <c r="G130">
        <f>IFERROR(IF(F130=0,"",COUNTIF($F$3:F130,"&gt;0")),"")</f>
        <v>16</v>
      </c>
      <c r="H130" t="str">
        <f t="shared" si="17"/>
        <v/>
      </c>
      <c r="I130" t="str">
        <f t="shared" si="24"/>
        <v/>
      </c>
      <c r="J130">
        <f>IFERROR(IF(I130=0,"",COUNTIF($I$3:I130,"&gt;0")),"")</f>
        <v>34</v>
      </c>
      <c r="K130" t="str">
        <f t="shared" si="18"/>
        <v/>
      </c>
      <c r="L130" t="str">
        <f t="shared" si="25"/>
        <v/>
      </c>
      <c r="M130" t="str">
        <f t="shared" si="26"/>
        <v/>
      </c>
      <c r="N130">
        <f>IFERROR(IF(M130=0,"",COUNTIF($M$3:M130,"&gt;0")),"")</f>
        <v>33</v>
      </c>
      <c r="O130" t="str">
        <f t="shared" si="19"/>
        <v/>
      </c>
      <c r="P130" t="str">
        <f t="shared" si="27"/>
        <v/>
      </c>
      <c r="Q130" t="str">
        <f t="shared" si="28"/>
        <v/>
      </c>
      <c r="R130">
        <f>IFERROR(IF(Q130=0,"",COUNTIF($Q$3:Q130,"&gt;0")),"")</f>
        <v>16</v>
      </c>
      <c r="S130" t="str">
        <f t="shared" si="20"/>
        <v/>
      </c>
      <c r="T130" t="str">
        <f t="shared" si="29"/>
        <v/>
      </c>
      <c r="U130">
        <f>IFERROR(IF(T130=0,"",COUNTIF($T$3:T130,"&gt;0")),"")</f>
        <v>0</v>
      </c>
      <c r="V130" t="str">
        <f t="shared" si="21"/>
        <v/>
      </c>
      <c r="W130" t="e">
        <f t="shared" si="22"/>
        <v>#VALUE!</v>
      </c>
      <c r="X130">
        <f>'OTHER PLANT ATTN.'!C:C</f>
        <v>0</v>
      </c>
      <c r="Y130" t="e">
        <f>Table1[[#This Row],[CATEGORY ]]</f>
        <v>#VALUE!</v>
      </c>
      <c r="Z130" t="e">
        <f>Table1[[#This Row],[PLANT]]</f>
        <v>#VALUE!</v>
      </c>
    </row>
    <row r="131" spans="1:26">
      <c r="A131" t="str">
        <f t="shared" ref="A131:A194" si="31">CONCATENATE(B131,C131,D131)</f>
        <v>000</v>
      </c>
      <c r="B131">
        <f>Table4[[#This Row],[CATEGORY]]</f>
        <v>0</v>
      </c>
      <c r="C131">
        <f>Table4[[#This Row],[SUB-CATEGORY]]</f>
        <v>0</v>
      </c>
      <c r="D131">
        <f>'RJ ATTENDENCE SHEET'!C:C</f>
        <v>0</v>
      </c>
      <c r="E131">
        <f t="shared" si="30"/>
        <v>0</v>
      </c>
      <c r="F131" t="str">
        <f t="shared" si="23"/>
        <v/>
      </c>
      <c r="G131">
        <f>IFERROR(IF(F131=0,"",COUNTIF($F$3:F131,"&gt;0")),"")</f>
        <v>16</v>
      </c>
      <c r="H131" t="str">
        <f t="shared" ref="H131:H194" si="32">IFERROR(VLOOKUP(INDEX($A:$A,MATCH(ROW(F129),G:G,0)),$A:$D,4,0),"")</f>
        <v/>
      </c>
      <c r="I131" t="str">
        <f t="shared" si="24"/>
        <v/>
      </c>
      <c r="J131">
        <f>IFERROR(IF(I131=0,"",COUNTIF($I$3:I131,"&gt;0")),"")</f>
        <v>34</v>
      </c>
      <c r="K131" t="str">
        <f t="shared" ref="K131:K194" si="33">IFERROR(VLOOKUP(INDEX($A:$A,MATCH(ROW(I129),J:J,0)),$A:$D,4,0),"")</f>
        <v/>
      </c>
      <c r="L131" t="str">
        <f t="shared" si="25"/>
        <v/>
      </c>
      <c r="M131" t="str">
        <f t="shared" si="26"/>
        <v/>
      </c>
      <c r="N131">
        <f>IFERROR(IF(M131=0,"",COUNTIF($M$3:M131,"&gt;0")),"")</f>
        <v>33</v>
      </c>
      <c r="O131" t="str">
        <f t="shared" ref="O131:O194" si="34">IFERROR(VLOOKUP(INDEX($A:$A,MATCH(ROW(M129),N:N,0)),$A:$D,4,0),"")</f>
        <v/>
      </c>
      <c r="P131" t="str">
        <f t="shared" si="27"/>
        <v/>
      </c>
      <c r="Q131" t="str">
        <f t="shared" si="28"/>
        <v/>
      </c>
      <c r="R131">
        <f>IFERROR(IF(Q131=0,"",COUNTIF($Q$3:Q131,"&gt;0")),"")</f>
        <v>16</v>
      </c>
      <c r="S131" t="str">
        <f t="shared" ref="S131:S194" si="35">IFERROR(VLOOKUP(INDEX($A:$A,MATCH(ROW(Q129),R:R,0)),$A:$D,4,0),"")</f>
        <v/>
      </c>
      <c r="T131" t="str">
        <f t="shared" si="29"/>
        <v/>
      </c>
      <c r="U131">
        <f>IFERROR(IF(T131=0,"",COUNTIF($T$3:T131,"&gt;0")),"")</f>
        <v>0</v>
      </c>
      <c r="V131" t="str">
        <f t="shared" ref="V131:V194" si="36">IFERROR(VLOOKUP(INDEX($A:$A,MATCH(ROW(T129),U:U,0)),$A:$D,4,0),"")</f>
        <v/>
      </c>
      <c r="W131" t="e">
        <f t="shared" ref="W131:W194" si="37">CONCATENATE(Z131,Y131,X131)</f>
        <v>#VALUE!</v>
      </c>
      <c r="X131">
        <f>'OTHER PLANT ATTN.'!C:C</f>
        <v>0</v>
      </c>
      <c r="Y131" t="e">
        <f>Table1[[#This Row],[CATEGORY ]]</f>
        <v>#VALUE!</v>
      </c>
      <c r="Z131" t="e">
        <f>Table1[[#This Row],[PLANT]]</f>
        <v>#VALUE!</v>
      </c>
    </row>
    <row r="132" spans="1:26">
      <c r="A132" t="str">
        <f t="shared" si="31"/>
        <v>000</v>
      </c>
      <c r="B132">
        <f>Table4[[#This Row],[CATEGORY]]</f>
        <v>0</v>
      </c>
      <c r="C132">
        <f>Table4[[#This Row],[SUB-CATEGORY]]</f>
        <v>0</v>
      </c>
      <c r="D132">
        <f>'RJ ATTENDENCE SHEET'!C:C</f>
        <v>0</v>
      </c>
      <c r="E132">
        <f t="shared" si="30"/>
        <v>0</v>
      </c>
      <c r="F132" t="str">
        <f t="shared" ref="F132:F195" si="38">IFERROR(SEARCH("SALARYOFFICE",$A:$A),"")</f>
        <v/>
      </c>
      <c r="G132">
        <f>IFERROR(IF(F132=0,"",COUNTIF($F$3:F132,"&gt;0")),"")</f>
        <v>16</v>
      </c>
      <c r="H132" t="str">
        <f t="shared" si="32"/>
        <v/>
      </c>
      <c r="I132" t="str">
        <f t="shared" ref="I132:I195" si="39">IFERROR(SEARCH("WAGES",$A:$A),"")</f>
        <v/>
      </c>
      <c r="J132">
        <f>IFERROR(IF(I132=0,"",COUNTIF($I$3:I132,"&gt;0")),"")</f>
        <v>34</v>
      </c>
      <c r="K132" t="str">
        <f t="shared" si="33"/>
        <v/>
      </c>
      <c r="L132" t="str">
        <f t="shared" ref="L132:L195" si="40">IFERROR(VLOOKUP(K132,$D:$E,2,0),"")</f>
        <v/>
      </c>
      <c r="M132" t="str">
        <f t="shared" ref="M132:M195" si="41">IFERROR(SEARCH("CONTRACT",$A:$A),"")</f>
        <v/>
      </c>
      <c r="N132">
        <f>IFERROR(IF(M132=0,"",COUNTIF($M$3:M132,"&gt;0")),"")</f>
        <v>33</v>
      </c>
      <c r="O132" t="str">
        <f t="shared" si="34"/>
        <v/>
      </c>
      <c r="P132" t="str">
        <f t="shared" ref="P132:P195" si="42">IFERROR(VLOOKUP(O132,$D:$E,2,0),"")</f>
        <v/>
      </c>
      <c r="Q132" t="str">
        <f t="shared" ref="Q132:Q195" si="43">IFERROR(SEARCH("SALARY",$A:$A),"")</f>
        <v/>
      </c>
      <c r="R132">
        <f>IFERROR(IF(Q132=0,"",COUNTIF($Q$3:Q132,"&gt;0")),"")</f>
        <v>16</v>
      </c>
      <c r="S132" t="str">
        <f t="shared" si="35"/>
        <v/>
      </c>
      <c r="T132" t="str">
        <f t="shared" ref="T132:T195" si="44">IFERROR(SEARCH("OTHERS0",$A:$A),"")</f>
        <v/>
      </c>
      <c r="U132">
        <f>IFERROR(IF(T132=0,"",COUNTIF($T$3:T132,"&gt;0")),"")</f>
        <v>0</v>
      </c>
      <c r="V132" t="str">
        <f t="shared" si="36"/>
        <v/>
      </c>
      <c r="W132" t="e">
        <f t="shared" si="37"/>
        <v>#VALUE!</v>
      </c>
      <c r="X132">
        <f>'OTHER PLANT ATTN.'!C:C</f>
        <v>0</v>
      </c>
      <c r="Y132" t="e">
        <f>Table1[[#This Row],[CATEGORY ]]</f>
        <v>#VALUE!</v>
      </c>
      <c r="Z132" t="e">
        <f>Table1[[#This Row],[PLANT]]</f>
        <v>#VALUE!</v>
      </c>
    </row>
    <row r="133" spans="1:26">
      <c r="A133" t="str">
        <f t="shared" si="31"/>
        <v>000</v>
      </c>
      <c r="B133">
        <f>Table4[[#This Row],[CATEGORY]]</f>
        <v>0</v>
      </c>
      <c r="C133">
        <f>Table4[[#This Row],[SUB-CATEGORY]]</f>
        <v>0</v>
      </c>
      <c r="D133">
        <f>'RJ ATTENDENCE SHEET'!C:C</f>
        <v>0</v>
      </c>
      <c r="E133">
        <f t="shared" si="30"/>
        <v>0</v>
      </c>
      <c r="F133" t="str">
        <f t="shared" si="38"/>
        <v/>
      </c>
      <c r="G133">
        <f>IFERROR(IF(F133=0,"",COUNTIF($F$3:F133,"&gt;0")),"")</f>
        <v>16</v>
      </c>
      <c r="H133" t="str">
        <f t="shared" si="32"/>
        <v/>
      </c>
      <c r="I133" t="str">
        <f t="shared" si="39"/>
        <v/>
      </c>
      <c r="J133">
        <f>IFERROR(IF(I133=0,"",COUNTIF($I$3:I133,"&gt;0")),"")</f>
        <v>34</v>
      </c>
      <c r="K133" t="str">
        <f t="shared" si="33"/>
        <v/>
      </c>
      <c r="L133" t="str">
        <f t="shared" si="40"/>
        <v/>
      </c>
      <c r="M133" t="str">
        <f t="shared" si="41"/>
        <v/>
      </c>
      <c r="N133">
        <f>IFERROR(IF(M133=0,"",COUNTIF($M$3:M133,"&gt;0")),"")</f>
        <v>33</v>
      </c>
      <c r="O133" t="str">
        <f t="shared" si="34"/>
        <v/>
      </c>
      <c r="P133" t="str">
        <f t="shared" si="42"/>
        <v/>
      </c>
      <c r="Q133" t="str">
        <f t="shared" si="43"/>
        <v/>
      </c>
      <c r="R133">
        <f>IFERROR(IF(Q133=0,"",COUNTIF($Q$3:Q133,"&gt;0")),"")</f>
        <v>16</v>
      </c>
      <c r="S133" t="str">
        <f t="shared" si="35"/>
        <v/>
      </c>
      <c r="T133" t="str">
        <f t="shared" si="44"/>
        <v/>
      </c>
      <c r="U133">
        <f>IFERROR(IF(T133=0,"",COUNTIF($T$3:T133,"&gt;0")),"")</f>
        <v>0</v>
      </c>
      <c r="V133" t="str">
        <f t="shared" si="36"/>
        <v/>
      </c>
      <c r="W133" t="e">
        <f t="shared" si="37"/>
        <v>#VALUE!</v>
      </c>
      <c r="X133">
        <f>'OTHER PLANT ATTN.'!C:C</f>
        <v>0</v>
      </c>
      <c r="Y133" t="e">
        <f>Table1[[#This Row],[CATEGORY ]]</f>
        <v>#VALUE!</v>
      </c>
      <c r="Z133" t="e">
        <f>Table1[[#This Row],[PLANT]]</f>
        <v>#VALUE!</v>
      </c>
    </row>
    <row r="134" spans="1:26">
      <c r="A134" t="str">
        <f t="shared" si="31"/>
        <v>000</v>
      </c>
      <c r="B134">
        <f>Table4[[#This Row],[CATEGORY]]</f>
        <v>0</v>
      </c>
      <c r="C134">
        <f>Table4[[#This Row],[SUB-CATEGORY]]</f>
        <v>0</v>
      </c>
      <c r="D134">
        <f>'RJ ATTENDENCE SHEET'!C:C</f>
        <v>0</v>
      </c>
      <c r="E134">
        <f t="shared" si="30"/>
        <v>0</v>
      </c>
      <c r="F134" t="str">
        <f t="shared" si="38"/>
        <v/>
      </c>
      <c r="G134">
        <f>IFERROR(IF(F134=0,"",COUNTIF($F$3:F134,"&gt;0")),"")</f>
        <v>16</v>
      </c>
      <c r="H134" t="str">
        <f t="shared" si="32"/>
        <v/>
      </c>
      <c r="I134" t="str">
        <f t="shared" si="39"/>
        <v/>
      </c>
      <c r="J134">
        <f>IFERROR(IF(I134=0,"",COUNTIF($I$3:I134,"&gt;0")),"")</f>
        <v>34</v>
      </c>
      <c r="K134" t="str">
        <f t="shared" si="33"/>
        <v/>
      </c>
      <c r="L134" t="str">
        <f t="shared" si="40"/>
        <v/>
      </c>
      <c r="M134" t="str">
        <f t="shared" si="41"/>
        <v/>
      </c>
      <c r="N134">
        <f>IFERROR(IF(M134=0,"",COUNTIF($M$3:M134,"&gt;0")),"")</f>
        <v>33</v>
      </c>
      <c r="O134" t="str">
        <f t="shared" si="34"/>
        <v/>
      </c>
      <c r="P134" t="str">
        <f t="shared" si="42"/>
        <v/>
      </c>
      <c r="Q134" t="str">
        <f t="shared" si="43"/>
        <v/>
      </c>
      <c r="R134">
        <f>IFERROR(IF(Q134=0,"",COUNTIF($Q$3:Q134,"&gt;0")),"")</f>
        <v>16</v>
      </c>
      <c r="S134" t="str">
        <f t="shared" si="35"/>
        <v/>
      </c>
      <c r="T134" t="str">
        <f t="shared" si="44"/>
        <v/>
      </c>
      <c r="U134">
        <f>IFERROR(IF(T134=0,"",COUNTIF($T$3:T134,"&gt;0")),"")</f>
        <v>0</v>
      </c>
      <c r="V134" t="str">
        <f t="shared" si="36"/>
        <v/>
      </c>
      <c r="W134" t="e">
        <f t="shared" si="37"/>
        <v>#VALUE!</v>
      </c>
      <c r="X134">
        <f>'OTHER PLANT ATTN.'!C:C</f>
        <v>0</v>
      </c>
      <c r="Y134" t="e">
        <f>Table1[[#This Row],[CATEGORY ]]</f>
        <v>#VALUE!</v>
      </c>
      <c r="Z134" t="e">
        <f>Table1[[#This Row],[PLANT]]</f>
        <v>#VALUE!</v>
      </c>
    </row>
    <row r="135" spans="1:26">
      <c r="A135" t="str">
        <f t="shared" si="31"/>
        <v>000</v>
      </c>
      <c r="B135">
        <f>Table4[[#This Row],[CATEGORY]]</f>
        <v>0</v>
      </c>
      <c r="C135">
        <f>Table4[[#This Row],[SUB-CATEGORY]]</f>
        <v>0</v>
      </c>
      <c r="D135">
        <f>'RJ ATTENDENCE SHEET'!C:C</f>
        <v>0</v>
      </c>
      <c r="E135">
        <f t="shared" si="30"/>
        <v>0</v>
      </c>
      <c r="F135" t="str">
        <f t="shared" si="38"/>
        <v/>
      </c>
      <c r="G135">
        <f>IFERROR(IF(F135=0,"",COUNTIF($F$3:F135,"&gt;0")),"")</f>
        <v>16</v>
      </c>
      <c r="H135" t="str">
        <f t="shared" si="32"/>
        <v/>
      </c>
      <c r="I135" t="str">
        <f t="shared" si="39"/>
        <v/>
      </c>
      <c r="J135">
        <f>IFERROR(IF(I135=0,"",COUNTIF($I$3:I135,"&gt;0")),"")</f>
        <v>34</v>
      </c>
      <c r="K135" t="str">
        <f t="shared" si="33"/>
        <v/>
      </c>
      <c r="L135" t="str">
        <f t="shared" si="40"/>
        <v/>
      </c>
      <c r="M135" t="str">
        <f t="shared" si="41"/>
        <v/>
      </c>
      <c r="N135">
        <f>IFERROR(IF(M135=0,"",COUNTIF($M$3:M135,"&gt;0")),"")</f>
        <v>33</v>
      </c>
      <c r="O135" t="str">
        <f t="shared" si="34"/>
        <v/>
      </c>
      <c r="P135" t="str">
        <f t="shared" si="42"/>
        <v/>
      </c>
      <c r="Q135" t="str">
        <f t="shared" si="43"/>
        <v/>
      </c>
      <c r="R135">
        <f>IFERROR(IF(Q135=0,"",COUNTIF($Q$3:Q135,"&gt;0")),"")</f>
        <v>16</v>
      </c>
      <c r="S135" t="str">
        <f t="shared" si="35"/>
        <v/>
      </c>
      <c r="T135" t="str">
        <f t="shared" si="44"/>
        <v/>
      </c>
      <c r="U135">
        <f>IFERROR(IF(T135=0,"",COUNTIF($T$3:T135,"&gt;0")),"")</f>
        <v>0</v>
      </c>
      <c r="V135" t="str">
        <f t="shared" si="36"/>
        <v/>
      </c>
      <c r="W135" t="e">
        <f t="shared" si="37"/>
        <v>#VALUE!</v>
      </c>
      <c r="X135">
        <f>'OTHER PLANT ATTN.'!C:C</f>
        <v>0</v>
      </c>
      <c r="Y135" t="e">
        <f>Table1[[#This Row],[CATEGORY ]]</f>
        <v>#VALUE!</v>
      </c>
      <c r="Z135" t="e">
        <f>Table1[[#This Row],[PLANT]]</f>
        <v>#VALUE!</v>
      </c>
    </row>
    <row r="136" spans="1:26">
      <c r="A136" t="str">
        <f t="shared" si="31"/>
        <v>000</v>
      </c>
      <c r="B136">
        <f>Table4[[#This Row],[CATEGORY]]</f>
        <v>0</v>
      </c>
      <c r="C136">
        <f>Table4[[#This Row],[SUB-CATEGORY]]</f>
        <v>0</v>
      </c>
      <c r="D136">
        <f>'RJ ATTENDENCE SHEET'!C:C</f>
        <v>0</v>
      </c>
      <c r="E136">
        <f t="shared" si="30"/>
        <v>0</v>
      </c>
      <c r="F136" t="str">
        <f t="shared" si="38"/>
        <v/>
      </c>
      <c r="G136">
        <f>IFERROR(IF(F136=0,"",COUNTIF($F$3:F136,"&gt;0")),"")</f>
        <v>16</v>
      </c>
      <c r="H136" t="str">
        <f t="shared" si="32"/>
        <v/>
      </c>
      <c r="I136" t="str">
        <f t="shared" si="39"/>
        <v/>
      </c>
      <c r="J136">
        <f>IFERROR(IF(I136=0,"",COUNTIF($I$3:I136,"&gt;0")),"")</f>
        <v>34</v>
      </c>
      <c r="K136" t="str">
        <f t="shared" si="33"/>
        <v/>
      </c>
      <c r="L136" t="str">
        <f t="shared" si="40"/>
        <v/>
      </c>
      <c r="M136" t="str">
        <f t="shared" si="41"/>
        <v/>
      </c>
      <c r="N136">
        <f>IFERROR(IF(M136=0,"",COUNTIF($M$3:M136,"&gt;0")),"")</f>
        <v>33</v>
      </c>
      <c r="O136" t="str">
        <f t="shared" si="34"/>
        <v/>
      </c>
      <c r="P136" t="str">
        <f t="shared" si="42"/>
        <v/>
      </c>
      <c r="Q136" t="str">
        <f t="shared" si="43"/>
        <v/>
      </c>
      <c r="R136">
        <f>IFERROR(IF(Q136=0,"",COUNTIF($Q$3:Q136,"&gt;0")),"")</f>
        <v>16</v>
      </c>
      <c r="S136" t="str">
        <f t="shared" si="35"/>
        <v/>
      </c>
      <c r="T136" t="str">
        <f t="shared" si="44"/>
        <v/>
      </c>
      <c r="U136">
        <f>IFERROR(IF(T136=0,"",COUNTIF($T$3:T136,"&gt;0")),"")</f>
        <v>0</v>
      </c>
      <c r="V136" t="str">
        <f t="shared" si="36"/>
        <v/>
      </c>
      <c r="W136" t="e">
        <f t="shared" si="37"/>
        <v>#VALUE!</v>
      </c>
      <c r="X136">
        <f>'OTHER PLANT ATTN.'!C:C</f>
        <v>0</v>
      </c>
      <c r="Y136" t="e">
        <f>Table1[[#This Row],[CATEGORY ]]</f>
        <v>#VALUE!</v>
      </c>
      <c r="Z136" t="e">
        <f>Table1[[#This Row],[PLANT]]</f>
        <v>#VALUE!</v>
      </c>
    </row>
    <row r="137" spans="1:26">
      <c r="A137" t="str">
        <f t="shared" si="31"/>
        <v>000</v>
      </c>
      <c r="B137">
        <f>Table4[[#This Row],[CATEGORY]]</f>
        <v>0</v>
      </c>
      <c r="C137">
        <f>Table4[[#This Row],[SUB-CATEGORY]]</f>
        <v>0</v>
      </c>
      <c r="D137">
        <f>'RJ ATTENDENCE SHEET'!C:C</f>
        <v>0</v>
      </c>
      <c r="E137">
        <f t="shared" si="30"/>
        <v>0</v>
      </c>
      <c r="F137" t="str">
        <f t="shared" si="38"/>
        <v/>
      </c>
      <c r="G137">
        <f>IFERROR(IF(F137=0,"",COUNTIF($F$3:F137,"&gt;0")),"")</f>
        <v>16</v>
      </c>
      <c r="H137" t="str">
        <f t="shared" si="32"/>
        <v/>
      </c>
      <c r="I137" t="str">
        <f t="shared" si="39"/>
        <v/>
      </c>
      <c r="J137">
        <f>IFERROR(IF(I137=0,"",COUNTIF($I$3:I137,"&gt;0")),"")</f>
        <v>34</v>
      </c>
      <c r="K137" t="str">
        <f t="shared" si="33"/>
        <v/>
      </c>
      <c r="L137" t="str">
        <f t="shared" si="40"/>
        <v/>
      </c>
      <c r="M137" t="str">
        <f t="shared" si="41"/>
        <v/>
      </c>
      <c r="N137">
        <f>IFERROR(IF(M137=0,"",COUNTIF($M$3:M137,"&gt;0")),"")</f>
        <v>33</v>
      </c>
      <c r="O137" t="str">
        <f t="shared" si="34"/>
        <v/>
      </c>
      <c r="P137" t="str">
        <f t="shared" si="42"/>
        <v/>
      </c>
      <c r="Q137" t="str">
        <f t="shared" si="43"/>
        <v/>
      </c>
      <c r="R137">
        <f>IFERROR(IF(Q137=0,"",COUNTIF($Q$3:Q137,"&gt;0")),"")</f>
        <v>16</v>
      </c>
      <c r="S137" t="str">
        <f t="shared" si="35"/>
        <v/>
      </c>
      <c r="T137" t="str">
        <f t="shared" si="44"/>
        <v/>
      </c>
      <c r="U137">
        <f>IFERROR(IF(T137=0,"",COUNTIF($T$3:T137,"&gt;0")),"")</f>
        <v>0</v>
      </c>
      <c r="V137" t="str">
        <f t="shared" si="36"/>
        <v/>
      </c>
      <c r="W137" t="e">
        <f t="shared" si="37"/>
        <v>#VALUE!</v>
      </c>
      <c r="X137">
        <f>'OTHER PLANT ATTN.'!C:C</f>
        <v>0</v>
      </c>
      <c r="Y137" t="e">
        <f>Table1[[#This Row],[CATEGORY ]]</f>
        <v>#VALUE!</v>
      </c>
      <c r="Z137" t="e">
        <f>Table1[[#This Row],[PLANT]]</f>
        <v>#VALUE!</v>
      </c>
    </row>
    <row r="138" spans="1:26">
      <c r="A138" t="str">
        <f t="shared" si="31"/>
        <v>000</v>
      </c>
      <c r="B138">
        <f>Table4[[#This Row],[CATEGORY]]</f>
        <v>0</v>
      </c>
      <c r="C138">
        <f>Table4[[#This Row],[SUB-CATEGORY]]</f>
        <v>0</v>
      </c>
      <c r="D138">
        <f>'RJ ATTENDENCE SHEET'!C:C</f>
        <v>0</v>
      </c>
      <c r="E138">
        <f t="shared" si="30"/>
        <v>0</v>
      </c>
      <c r="F138" t="str">
        <f t="shared" si="38"/>
        <v/>
      </c>
      <c r="G138">
        <f>IFERROR(IF(F138=0,"",COUNTIF($F$3:F138,"&gt;0")),"")</f>
        <v>16</v>
      </c>
      <c r="H138" t="str">
        <f t="shared" si="32"/>
        <v/>
      </c>
      <c r="I138" t="str">
        <f t="shared" si="39"/>
        <v/>
      </c>
      <c r="J138">
        <f>IFERROR(IF(I138=0,"",COUNTIF($I$3:I138,"&gt;0")),"")</f>
        <v>34</v>
      </c>
      <c r="K138" t="str">
        <f t="shared" si="33"/>
        <v/>
      </c>
      <c r="L138" t="str">
        <f t="shared" si="40"/>
        <v/>
      </c>
      <c r="M138" t="str">
        <f t="shared" si="41"/>
        <v/>
      </c>
      <c r="N138">
        <f>IFERROR(IF(M138=0,"",COUNTIF($M$3:M138,"&gt;0")),"")</f>
        <v>33</v>
      </c>
      <c r="O138" t="str">
        <f t="shared" si="34"/>
        <v/>
      </c>
      <c r="P138" t="str">
        <f t="shared" si="42"/>
        <v/>
      </c>
      <c r="Q138" t="str">
        <f t="shared" si="43"/>
        <v/>
      </c>
      <c r="R138">
        <f>IFERROR(IF(Q138=0,"",COUNTIF($Q$3:Q138,"&gt;0")),"")</f>
        <v>16</v>
      </c>
      <c r="S138" t="str">
        <f t="shared" si="35"/>
        <v/>
      </c>
      <c r="T138" t="str">
        <f t="shared" si="44"/>
        <v/>
      </c>
      <c r="U138">
        <f>IFERROR(IF(T138=0,"",COUNTIF($T$3:T138,"&gt;0")),"")</f>
        <v>0</v>
      </c>
      <c r="V138" t="str">
        <f t="shared" si="36"/>
        <v/>
      </c>
      <c r="W138" t="e">
        <f t="shared" si="37"/>
        <v>#VALUE!</v>
      </c>
      <c r="X138">
        <f>'OTHER PLANT ATTN.'!C:C</f>
        <v>0</v>
      </c>
      <c r="Y138" t="e">
        <f>Table1[[#This Row],[CATEGORY ]]</f>
        <v>#VALUE!</v>
      </c>
      <c r="Z138" t="e">
        <f>Table1[[#This Row],[PLANT]]</f>
        <v>#VALUE!</v>
      </c>
    </row>
    <row r="139" spans="1:26">
      <c r="A139" t="str">
        <f t="shared" si="31"/>
        <v>000</v>
      </c>
      <c r="B139">
        <f>Table4[[#This Row],[CATEGORY]]</f>
        <v>0</v>
      </c>
      <c r="C139">
        <f>Table4[[#This Row],[SUB-CATEGORY]]</f>
        <v>0</v>
      </c>
      <c r="D139">
        <f>'RJ ATTENDENCE SHEET'!C:C</f>
        <v>0</v>
      </c>
      <c r="E139">
        <f t="shared" si="30"/>
        <v>0</v>
      </c>
      <c r="F139" t="str">
        <f t="shared" si="38"/>
        <v/>
      </c>
      <c r="G139">
        <f>IFERROR(IF(F139=0,"",COUNTIF($F$3:F139,"&gt;0")),"")</f>
        <v>16</v>
      </c>
      <c r="H139" t="str">
        <f t="shared" si="32"/>
        <v/>
      </c>
      <c r="I139" t="str">
        <f t="shared" si="39"/>
        <v/>
      </c>
      <c r="J139">
        <f>IFERROR(IF(I139=0,"",COUNTIF($I$3:I139,"&gt;0")),"")</f>
        <v>34</v>
      </c>
      <c r="K139" t="str">
        <f t="shared" si="33"/>
        <v/>
      </c>
      <c r="L139" t="str">
        <f t="shared" si="40"/>
        <v/>
      </c>
      <c r="M139" t="str">
        <f t="shared" si="41"/>
        <v/>
      </c>
      <c r="N139">
        <f>IFERROR(IF(M139=0,"",COUNTIF($M$3:M139,"&gt;0")),"")</f>
        <v>33</v>
      </c>
      <c r="O139" t="str">
        <f t="shared" si="34"/>
        <v/>
      </c>
      <c r="P139" t="str">
        <f t="shared" si="42"/>
        <v/>
      </c>
      <c r="Q139" t="str">
        <f t="shared" si="43"/>
        <v/>
      </c>
      <c r="R139">
        <f>IFERROR(IF(Q139=0,"",COUNTIF($Q$3:Q139,"&gt;0")),"")</f>
        <v>16</v>
      </c>
      <c r="S139" t="str">
        <f t="shared" si="35"/>
        <v/>
      </c>
      <c r="T139" t="str">
        <f t="shared" si="44"/>
        <v/>
      </c>
      <c r="U139">
        <f>IFERROR(IF(T139=0,"",COUNTIF($T$3:T139,"&gt;0")),"")</f>
        <v>0</v>
      </c>
      <c r="V139" t="str">
        <f t="shared" si="36"/>
        <v/>
      </c>
      <c r="W139" t="e">
        <f t="shared" si="37"/>
        <v>#VALUE!</v>
      </c>
      <c r="X139">
        <f>'OTHER PLANT ATTN.'!C:C</f>
        <v>0</v>
      </c>
      <c r="Y139" t="e">
        <f>Table1[[#This Row],[CATEGORY ]]</f>
        <v>#VALUE!</v>
      </c>
      <c r="Z139" t="e">
        <f>Table1[[#This Row],[PLANT]]</f>
        <v>#VALUE!</v>
      </c>
    </row>
    <row r="140" spans="1:26">
      <c r="A140" t="str">
        <f t="shared" si="31"/>
        <v>000</v>
      </c>
      <c r="B140">
        <f>Table4[[#This Row],[CATEGORY]]</f>
        <v>0</v>
      </c>
      <c r="C140">
        <f>Table4[[#This Row],[SUB-CATEGORY]]</f>
        <v>0</v>
      </c>
      <c r="D140">
        <f>'RJ ATTENDENCE SHEET'!C:C</f>
        <v>0</v>
      </c>
      <c r="E140">
        <f t="shared" si="30"/>
        <v>0</v>
      </c>
      <c r="F140" t="str">
        <f t="shared" si="38"/>
        <v/>
      </c>
      <c r="G140">
        <f>IFERROR(IF(F140=0,"",COUNTIF($F$3:F140,"&gt;0")),"")</f>
        <v>16</v>
      </c>
      <c r="H140" t="str">
        <f t="shared" si="32"/>
        <v/>
      </c>
      <c r="I140" t="str">
        <f t="shared" si="39"/>
        <v/>
      </c>
      <c r="J140">
        <f>IFERROR(IF(I140=0,"",COUNTIF($I$3:I140,"&gt;0")),"")</f>
        <v>34</v>
      </c>
      <c r="K140" t="str">
        <f t="shared" si="33"/>
        <v/>
      </c>
      <c r="L140" t="str">
        <f t="shared" si="40"/>
        <v/>
      </c>
      <c r="M140" t="str">
        <f t="shared" si="41"/>
        <v/>
      </c>
      <c r="N140">
        <f>IFERROR(IF(M140=0,"",COUNTIF($M$3:M140,"&gt;0")),"")</f>
        <v>33</v>
      </c>
      <c r="O140" t="str">
        <f t="shared" si="34"/>
        <v/>
      </c>
      <c r="P140" t="str">
        <f t="shared" si="42"/>
        <v/>
      </c>
      <c r="Q140" t="str">
        <f t="shared" si="43"/>
        <v/>
      </c>
      <c r="R140">
        <f>IFERROR(IF(Q140=0,"",COUNTIF($Q$3:Q140,"&gt;0")),"")</f>
        <v>16</v>
      </c>
      <c r="S140" t="str">
        <f t="shared" si="35"/>
        <v/>
      </c>
      <c r="T140" t="str">
        <f t="shared" si="44"/>
        <v/>
      </c>
      <c r="U140">
        <f>IFERROR(IF(T140=0,"",COUNTIF($T$3:T140,"&gt;0")),"")</f>
        <v>0</v>
      </c>
      <c r="V140" t="str">
        <f t="shared" si="36"/>
        <v/>
      </c>
      <c r="W140" t="e">
        <f t="shared" si="37"/>
        <v>#VALUE!</v>
      </c>
      <c r="X140">
        <f>'OTHER PLANT ATTN.'!C:C</f>
        <v>0</v>
      </c>
      <c r="Y140" t="e">
        <f>Table1[[#This Row],[CATEGORY ]]</f>
        <v>#VALUE!</v>
      </c>
      <c r="Z140" t="e">
        <f>Table1[[#This Row],[PLANT]]</f>
        <v>#VALUE!</v>
      </c>
    </row>
    <row r="141" spans="1:26">
      <c r="A141" t="str">
        <f t="shared" si="31"/>
        <v>000</v>
      </c>
      <c r="B141">
        <f>Table4[[#This Row],[CATEGORY]]</f>
        <v>0</v>
      </c>
      <c r="C141">
        <f>Table4[[#This Row],[SUB-CATEGORY]]</f>
        <v>0</v>
      </c>
      <c r="D141">
        <f>'RJ ATTENDENCE SHEET'!C:C</f>
        <v>0</v>
      </c>
      <c r="E141">
        <f t="shared" si="30"/>
        <v>0</v>
      </c>
      <c r="F141" t="str">
        <f t="shared" si="38"/>
        <v/>
      </c>
      <c r="G141">
        <f>IFERROR(IF(F141=0,"",COUNTIF($F$3:F141,"&gt;0")),"")</f>
        <v>16</v>
      </c>
      <c r="H141" t="str">
        <f t="shared" si="32"/>
        <v/>
      </c>
      <c r="I141" t="str">
        <f t="shared" si="39"/>
        <v/>
      </c>
      <c r="J141">
        <f>IFERROR(IF(I141=0,"",COUNTIF($I$3:I141,"&gt;0")),"")</f>
        <v>34</v>
      </c>
      <c r="K141" t="str">
        <f t="shared" si="33"/>
        <v/>
      </c>
      <c r="L141" t="str">
        <f t="shared" si="40"/>
        <v/>
      </c>
      <c r="M141" t="str">
        <f t="shared" si="41"/>
        <v/>
      </c>
      <c r="N141">
        <f>IFERROR(IF(M141=0,"",COUNTIF($M$3:M141,"&gt;0")),"")</f>
        <v>33</v>
      </c>
      <c r="O141" t="str">
        <f t="shared" si="34"/>
        <v/>
      </c>
      <c r="P141" t="str">
        <f t="shared" si="42"/>
        <v/>
      </c>
      <c r="Q141" t="str">
        <f t="shared" si="43"/>
        <v/>
      </c>
      <c r="R141">
        <f>IFERROR(IF(Q141=0,"",COUNTIF($Q$3:Q141,"&gt;0")),"")</f>
        <v>16</v>
      </c>
      <c r="S141" t="str">
        <f t="shared" si="35"/>
        <v/>
      </c>
      <c r="T141" t="str">
        <f t="shared" si="44"/>
        <v/>
      </c>
      <c r="U141">
        <f>IFERROR(IF(T141=0,"",COUNTIF($T$3:T141,"&gt;0")),"")</f>
        <v>0</v>
      </c>
      <c r="V141" t="str">
        <f t="shared" si="36"/>
        <v/>
      </c>
      <c r="W141" t="e">
        <f t="shared" si="37"/>
        <v>#VALUE!</v>
      </c>
      <c r="X141">
        <f>'OTHER PLANT ATTN.'!C:C</f>
        <v>0</v>
      </c>
      <c r="Y141" t="e">
        <f>Table1[[#This Row],[CATEGORY ]]</f>
        <v>#VALUE!</v>
      </c>
      <c r="Z141" t="e">
        <f>Table1[[#This Row],[PLANT]]</f>
        <v>#VALUE!</v>
      </c>
    </row>
    <row r="142" spans="1:26">
      <c r="A142" t="str">
        <f t="shared" si="31"/>
        <v>000</v>
      </c>
      <c r="B142">
        <f>Table4[[#This Row],[CATEGORY]]</f>
        <v>0</v>
      </c>
      <c r="C142">
        <f>Table4[[#This Row],[SUB-CATEGORY]]</f>
        <v>0</v>
      </c>
      <c r="D142">
        <f>'RJ ATTENDENCE SHEET'!C:C</f>
        <v>0</v>
      </c>
      <c r="E142">
        <f t="shared" si="30"/>
        <v>0</v>
      </c>
      <c r="F142" t="str">
        <f t="shared" si="38"/>
        <v/>
      </c>
      <c r="G142">
        <f>IFERROR(IF(F142=0,"",COUNTIF($F$3:F142,"&gt;0")),"")</f>
        <v>16</v>
      </c>
      <c r="H142" t="str">
        <f t="shared" si="32"/>
        <v/>
      </c>
      <c r="I142" t="str">
        <f t="shared" si="39"/>
        <v/>
      </c>
      <c r="J142">
        <f>IFERROR(IF(I142=0,"",COUNTIF($I$3:I142,"&gt;0")),"")</f>
        <v>34</v>
      </c>
      <c r="K142" t="str">
        <f t="shared" si="33"/>
        <v/>
      </c>
      <c r="L142" t="str">
        <f t="shared" si="40"/>
        <v/>
      </c>
      <c r="M142" t="str">
        <f t="shared" si="41"/>
        <v/>
      </c>
      <c r="N142">
        <f>IFERROR(IF(M142=0,"",COUNTIF($M$3:M142,"&gt;0")),"")</f>
        <v>33</v>
      </c>
      <c r="O142" t="str">
        <f t="shared" si="34"/>
        <v/>
      </c>
      <c r="P142" t="str">
        <f t="shared" si="42"/>
        <v/>
      </c>
      <c r="Q142" t="str">
        <f t="shared" si="43"/>
        <v/>
      </c>
      <c r="R142">
        <f>IFERROR(IF(Q142=0,"",COUNTIF($Q$3:Q142,"&gt;0")),"")</f>
        <v>16</v>
      </c>
      <c r="S142" t="str">
        <f t="shared" si="35"/>
        <v/>
      </c>
      <c r="T142" t="str">
        <f t="shared" si="44"/>
        <v/>
      </c>
      <c r="U142">
        <f>IFERROR(IF(T142=0,"",COUNTIF($T$3:T142,"&gt;0")),"")</f>
        <v>0</v>
      </c>
      <c r="V142" t="str">
        <f t="shared" si="36"/>
        <v/>
      </c>
      <c r="W142" t="e">
        <f t="shared" si="37"/>
        <v>#VALUE!</v>
      </c>
      <c r="X142">
        <f>'OTHER PLANT ATTN.'!C:C</f>
        <v>0</v>
      </c>
      <c r="Y142" t="e">
        <f>Table1[[#This Row],[CATEGORY ]]</f>
        <v>#VALUE!</v>
      </c>
      <c r="Z142" t="e">
        <f>Table1[[#This Row],[PLANT]]</f>
        <v>#VALUE!</v>
      </c>
    </row>
    <row r="143" spans="1:26">
      <c r="A143" t="str">
        <f t="shared" si="31"/>
        <v>000</v>
      </c>
      <c r="B143">
        <f>Table4[[#This Row],[CATEGORY]]</f>
        <v>0</v>
      </c>
      <c r="C143">
        <f>Table4[[#This Row],[SUB-CATEGORY]]</f>
        <v>0</v>
      </c>
      <c r="D143">
        <f>'RJ ATTENDENCE SHEET'!C:C</f>
        <v>0</v>
      </c>
      <c r="E143">
        <f t="shared" si="30"/>
        <v>0</v>
      </c>
      <c r="F143" t="str">
        <f t="shared" si="38"/>
        <v/>
      </c>
      <c r="G143">
        <f>IFERROR(IF(F143=0,"",COUNTIF($F$3:F143,"&gt;0")),"")</f>
        <v>16</v>
      </c>
      <c r="H143" t="str">
        <f t="shared" si="32"/>
        <v/>
      </c>
      <c r="I143" t="str">
        <f t="shared" si="39"/>
        <v/>
      </c>
      <c r="J143">
        <f>IFERROR(IF(I143=0,"",COUNTIF($I$3:I143,"&gt;0")),"")</f>
        <v>34</v>
      </c>
      <c r="K143" t="str">
        <f t="shared" si="33"/>
        <v/>
      </c>
      <c r="L143" t="str">
        <f t="shared" si="40"/>
        <v/>
      </c>
      <c r="M143" t="str">
        <f t="shared" si="41"/>
        <v/>
      </c>
      <c r="N143">
        <f>IFERROR(IF(M143=0,"",COUNTIF($M$3:M143,"&gt;0")),"")</f>
        <v>33</v>
      </c>
      <c r="O143" t="str">
        <f t="shared" si="34"/>
        <v/>
      </c>
      <c r="P143" t="str">
        <f t="shared" si="42"/>
        <v/>
      </c>
      <c r="Q143" t="str">
        <f t="shared" si="43"/>
        <v/>
      </c>
      <c r="R143">
        <f>IFERROR(IF(Q143=0,"",COUNTIF($Q$3:Q143,"&gt;0")),"")</f>
        <v>16</v>
      </c>
      <c r="S143" t="str">
        <f t="shared" si="35"/>
        <v/>
      </c>
      <c r="T143" t="str">
        <f t="shared" si="44"/>
        <v/>
      </c>
      <c r="U143">
        <f>IFERROR(IF(T143=0,"",COUNTIF($T$3:T143,"&gt;0")),"")</f>
        <v>0</v>
      </c>
      <c r="V143" t="str">
        <f t="shared" si="36"/>
        <v/>
      </c>
      <c r="W143" t="e">
        <f t="shared" si="37"/>
        <v>#VALUE!</v>
      </c>
      <c r="X143">
        <f>'OTHER PLANT ATTN.'!C:C</f>
        <v>0</v>
      </c>
      <c r="Y143" t="e">
        <f>Table1[[#This Row],[CATEGORY ]]</f>
        <v>#VALUE!</v>
      </c>
      <c r="Z143" t="e">
        <f>Table1[[#This Row],[PLANT]]</f>
        <v>#VALUE!</v>
      </c>
    </row>
    <row r="144" spans="1:26">
      <c r="A144" t="str">
        <f t="shared" si="31"/>
        <v>000</v>
      </c>
      <c r="B144">
        <f>Table4[[#This Row],[CATEGORY]]</f>
        <v>0</v>
      </c>
      <c r="C144">
        <f>Table4[[#This Row],[SUB-CATEGORY]]</f>
        <v>0</v>
      </c>
      <c r="D144">
        <f>'RJ ATTENDENCE SHEET'!C:C</f>
        <v>0</v>
      </c>
      <c r="E144">
        <f t="shared" si="30"/>
        <v>0</v>
      </c>
      <c r="F144" t="str">
        <f t="shared" si="38"/>
        <v/>
      </c>
      <c r="G144">
        <f>IFERROR(IF(F144=0,"",COUNTIF($F$3:F144,"&gt;0")),"")</f>
        <v>16</v>
      </c>
      <c r="H144" t="str">
        <f t="shared" si="32"/>
        <v/>
      </c>
      <c r="I144" t="str">
        <f t="shared" si="39"/>
        <v/>
      </c>
      <c r="J144">
        <f>IFERROR(IF(I144=0,"",COUNTIF($I$3:I144,"&gt;0")),"")</f>
        <v>34</v>
      </c>
      <c r="K144" t="str">
        <f t="shared" si="33"/>
        <v/>
      </c>
      <c r="L144" t="str">
        <f t="shared" si="40"/>
        <v/>
      </c>
      <c r="M144" t="str">
        <f t="shared" si="41"/>
        <v/>
      </c>
      <c r="N144">
        <f>IFERROR(IF(M144=0,"",COUNTIF($M$3:M144,"&gt;0")),"")</f>
        <v>33</v>
      </c>
      <c r="O144" t="str">
        <f t="shared" si="34"/>
        <v/>
      </c>
      <c r="P144" t="str">
        <f t="shared" si="42"/>
        <v/>
      </c>
      <c r="Q144" t="str">
        <f t="shared" si="43"/>
        <v/>
      </c>
      <c r="R144">
        <f>IFERROR(IF(Q144=0,"",COUNTIF($Q$3:Q144,"&gt;0")),"")</f>
        <v>16</v>
      </c>
      <c r="S144" t="str">
        <f t="shared" si="35"/>
        <v/>
      </c>
      <c r="T144" t="str">
        <f t="shared" si="44"/>
        <v/>
      </c>
      <c r="U144">
        <f>IFERROR(IF(T144=0,"",COUNTIF($T$3:T144,"&gt;0")),"")</f>
        <v>0</v>
      </c>
      <c r="V144" t="str">
        <f t="shared" si="36"/>
        <v/>
      </c>
      <c r="W144" t="e">
        <f t="shared" si="37"/>
        <v>#VALUE!</v>
      </c>
      <c r="X144">
        <f>'OTHER PLANT ATTN.'!C:C</f>
        <v>0</v>
      </c>
      <c r="Y144" t="e">
        <f>Table1[[#This Row],[CATEGORY ]]</f>
        <v>#VALUE!</v>
      </c>
      <c r="Z144" t="e">
        <f>Table1[[#This Row],[PLANT]]</f>
        <v>#VALUE!</v>
      </c>
    </row>
    <row r="145" spans="1:26">
      <c r="A145" t="str">
        <f t="shared" si="31"/>
        <v>000</v>
      </c>
      <c r="B145">
        <f>Table4[[#This Row],[CATEGORY]]</f>
        <v>0</v>
      </c>
      <c r="C145">
        <f>Table4[[#This Row],[SUB-CATEGORY]]</f>
        <v>0</v>
      </c>
      <c r="D145">
        <f>'RJ ATTENDENCE SHEET'!C:C</f>
        <v>0</v>
      </c>
      <c r="E145">
        <f t="shared" si="30"/>
        <v>0</v>
      </c>
      <c r="F145" t="str">
        <f t="shared" si="38"/>
        <v/>
      </c>
      <c r="G145">
        <f>IFERROR(IF(F145=0,"",COUNTIF($F$3:F145,"&gt;0")),"")</f>
        <v>16</v>
      </c>
      <c r="H145" t="str">
        <f t="shared" si="32"/>
        <v/>
      </c>
      <c r="I145" t="str">
        <f t="shared" si="39"/>
        <v/>
      </c>
      <c r="J145">
        <f>IFERROR(IF(I145=0,"",COUNTIF($I$3:I145,"&gt;0")),"")</f>
        <v>34</v>
      </c>
      <c r="K145" t="str">
        <f t="shared" si="33"/>
        <v/>
      </c>
      <c r="L145" t="str">
        <f t="shared" si="40"/>
        <v/>
      </c>
      <c r="M145" t="str">
        <f t="shared" si="41"/>
        <v/>
      </c>
      <c r="N145">
        <f>IFERROR(IF(M145=0,"",COUNTIF($M$3:M145,"&gt;0")),"")</f>
        <v>33</v>
      </c>
      <c r="O145" t="str">
        <f t="shared" si="34"/>
        <v/>
      </c>
      <c r="P145" t="str">
        <f t="shared" si="42"/>
        <v/>
      </c>
      <c r="Q145" t="str">
        <f t="shared" si="43"/>
        <v/>
      </c>
      <c r="R145">
        <f>IFERROR(IF(Q145=0,"",COUNTIF($Q$3:Q145,"&gt;0")),"")</f>
        <v>16</v>
      </c>
      <c r="S145" t="str">
        <f t="shared" si="35"/>
        <v/>
      </c>
      <c r="T145" t="str">
        <f t="shared" si="44"/>
        <v/>
      </c>
      <c r="U145">
        <f>IFERROR(IF(T145=0,"",COUNTIF($T$3:T145,"&gt;0")),"")</f>
        <v>0</v>
      </c>
      <c r="V145" t="str">
        <f t="shared" si="36"/>
        <v/>
      </c>
      <c r="W145" t="e">
        <f t="shared" si="37"/>
        <v>#VALUE!</v>
      </c>
      <c r="X145">
        <f>'OTHER PLANT ATTN.'!C:C</f>
        <v>0</v>
      </c>
      <c r="Y145" t="e">
        <f>Table1[[#This Row],[CATEGORY ]]</f>
        <v>#VALUE!</v>
      </c>
      <c r="Z145" t="e">
        <f>Table1[[#This Row],[PLANT]]</f>
        <v>#VALUE!</v>
      </c>
    </row>
    <row r="146" spans="1:26">
      <c r="A146" t="str">
        <f t="shared" si="31"/>
        <v>000</v>
      </c>
      <c r="B146">
        <f>Table4[[#This Row],[CATEGORY]]</f>
        <v>0</v>
      </c>
      <c r="C146">
        <f>Table4[[#This Row],[SUB-CATEGORY]]</f>
        <v>0</v>
      </c>
      <c r="D146">
        <f>'RJ ATTENDENCE SHEET'!C:C</f>
        <v>0</v>
      </c>
      <c r="E146">
        <f t="shared" si="30"/>
        <v>0</v>
      </c>
      <c r="F146" t="str">
        <f t="shared" si="38"/>
        <v/>
      </c>
      <c r="G146">
        <f>IFERROR(IF(F146=0,"",COUNTIF($F$3:F146,"&gt;0")),"")</f>
        <v>16</v>
      </c>
      <c r="H146" t="str">
        <f t="shared" si="32"/>
        <v/>
      </c>
      <c r="I146" t="str">
        <f t="shared" si="39"/>
        <v/>
      </c>
      <c r="J146">
        <f>IFERROR(IF(I146=0,"",COUNTIF($I$3:I146,"&gt;0")),"")</f>
        <v>34</v>
      </c>
      <c r="K146" t="str">
        <f t="shared" si="33"/>
        <v/>
      </c>
      <c r="L146" t="str">
        <f t="shared" si="40"/>
        <v/>
      </c>
      <c r="M146" t="str">
        <f t="shared" si="41"/>
        <v/>
      </c>
      <c r="N146">
        <f>IFERROR(IF(M146=0,"",COUNTIF($M$3:M146,"&gt;0")),"")</f>
        <v>33</v>
      </c>
      <c r="O146" t="str">
        <f t="shared" si="34"/>
        <v/>
      </c>
      <c r="P146" t="str">
        <f t="shared" si="42"/>
        <v/>
      </c>
      <c r="Q146" t="str">
        <f t="shared" si="43"/>
        <v/>
      </c>
      <c r="R146">
        <f>IFERROR(IF(Q146=0,"",COUNTIF($Q$3:Q146,"&gt;0")),"")</f>
        <v>16</v>
      </c>
      <c r="S146" t="str">
        <f t="shared" si="35"/>
        <v/>
      </c>
      <c r="T146" t="str">
        <f t="shared" si="44"/>
        <v/>
      </c>
      <c r="U146">
        <f>IFERROR(IF(T146=0,"",COUNTIF($T$3:T146,"&gt;0")),"")</f>
        <v>0</v>
      </c>
      <c r="V146" t="str">
        <f t="shared" si="36"/>
        <v/>
      </c>
      <c r="W146" t="e">
        <f t="shared" si="37"/>
        <v>#VALUE!</v>
      </c>
      <c r="X146">
        <f>'OTHER PLANT ATTN.'!C:C</f>
        <v>0</v>
      </c>
      <c r="Y146" t="e">
        <f>Table1[[#This Row],[CATEGORY ]]</f>
        <v>#VALUE!</v>
      </c>
      <c r="Z146" t="e">
        <f>Table1[[#This Row],[PLANT]]</f>
        <v>#VALUE!</v>
      </c>
    </row>
    <row r="147" spans="1:26">
      <c r="A147" t="str">
        <f t="shared" si="31"/>
        <v>000</v>
      </c>
      <c r="B147">
        <f>Table4[[#This Row],[CATEGORY]]</f>
        <v>0</v>
      </c>
      <c r="C147">
        <f>Table4[[#This Row],[SUB-CATEGORY]]</f>
        <v>0</v>
      </c>
      <c r="D147">
        <f>'RJ ATTENDENCE SHEET'!C:C</f>
        <v>0</v>
      </c>
      <c r="E147">
        <f t="shared" si="30"/>
        <v>0</v>
      </c>
      <c r="F147" t="str">
        <f t="shared" si="38"/>
        <v/>
      </c>
      <c r="G147">
        <f>IFERROR(IF(F147=0,"",COUNTIF($F$3:F147,"&gt;0")),"")</f>
        <v>16</v>
      </c>
      <c r="H147" t="str">
        <f t="shared" si="32"/>
        <v/>
      </c>
      <c r="I147" t="str">
        <f t="shared" si="39"/>
        <v/>
      </c>
      <c r="J147">
        <f>IFERROR(IF(I147=0,"",COUNTIF($I$3:I147,"&gt;0")),"")</f>
        <v>34</v>
      </c>
      <c r="K147" t="str">
        <f t="shared" si="33"/>
        <v/>
      </c>
      <c r="L147" t="str">
        <f t="shared" si="40"/>
        <v/>
      </c>
      <c r="M147" t="str">
        <f t="shared" si="41"/>
        <v/>
      </c>
      <c r="N147">
        <f>IFERROR(IF(M147=0,"",COUNTIF($M$3:M147,"&gt;0")),"")</f>
        <v>33</v>
      </c>
      <c r="O147" t="str">
        <f t="shared" si="34"/>
        <v/>
      </c>
      <c r="P147" t="str">
        <f t="shared" si="42"/>
        <v/>
      </c>
      <c r="Q147" t="str">
        <f t="shared" si="43"/>
        <v/>
      </c>
      <c r="R147">
        <f>IFERROR(IF(Q147=0,"",COUNTIF($Q$3:Q147,"&gt;0")),"")</f>
        <v>16</v>
      </c>
      <c r="S147" t="str">
        <f t="shared" si="35"/>
        <v/>
      </c>
      <c r="T147" t="str">
        <f t="shared" si="44"/>
        <v/>
      </c>
      <c r="U147">
        <f>IFERROR(IF(T147=0,"",COUNTIF($T$3:T147,"&gt;0")),"")</f>
        <v>0</v>
      </c>
      <c r="V147" t="str">
        <f t="shared" si="36"/>
        <v/>
      </c>
      <c r="W147" t="e">
        <f t="shared" si="37"/>
        <v>#VALUE!</v>
      </c>
      <c r="X147">
        <f>'OTHER PLANT ATTN.'!C:C</f>
        <v>0</v>
      </c>
      <c r="Y147" t="e">
        <f>Table1[[#This Row],[CATEGORY ]]</f>
        <v>#VALUE!</v>
      </c>
      <c r="Z147" t="e">
        <f>Table1[[#This Row],[PLANT]]</f>
        <v>#VALUE!</v>
      </c>
    </row>
    <row r="148" spans="1:26">
      <c r="A148" t="str">
        <f t="shared" si="31"/>
        <v>000</v>
      </c>
      <c r="B148">
        <f>Table4[[#This Row],[CATEGORY]]</f>
        <v>0</v>
      </c>
      <c r="C148">
        <f>Table4[[#This Row],[SUB-CATEGORY]]</f>
        <v>0</v>
      </c>
      <c r="D148">
        <f>'RJ ATTENDENCE SHEET'!C:C</f>
        <v>0</v>
      </c>
      <c r="E148">
        <f t="shared" si="30"/>
        <v>0</v>
      </c>
      <c r="F148" t="str">
        <f t="shared" si="38"/>
        <v/>
      </c>
      <c r="G148">
        <f>IFERROR(IF(F148=0,"",COUNTIF($F$3:F148,"&gt;0")),"")</f>
        <v>16</v>
      </c>
      <c r="H148" t="str">
        <f t="shared" si="32"/>
        <v/>
      </c>
      <c r="I148" t="str">
        <f t="shared" si="39"/>
        <v/>
      </c>
      <c r="J148">
        <f>IFERROR(IF(I148=0,"",COUNTIF($I$3:I148,"&gt;0")),"")</f>
        <v>34</v>
      </c>
      <c r="K148" t="str">
        <f t="shared" si="33"/>
        <v/>
      </c>
      <c r="L148" t="str">
        <f t="shared" si="40"/>
        <v/>
      </c>
      <c r="M148" t="str">
        <f t="shared" si="41"/>
        <v/>
      </c>
      <c r="N148">
        <f>IFERROR(IF(M148=0,"",COUNTIF($M$3:M148,"&gt;0")),"")</f>
        <v>33</v>
      </c>
      <c r="O148" t="str">
        <f t="shared" si="34"/>
        <v/>
      </c>
      <c r="P148" t="str">
        <f t="shared" si="42"/>
        <v/>
      </c>
      <c r="Q148" t="str">
        <f t="shared" si="43"/>
        <v/>
      </c>
      <c r="R148">
        <f>IFERROR(IF(Q148=0,"",COUNTIF($Q$3:Q148,"&gt;0")),"")</f>
        <v>16</v>
      </c>
      <c r="S148" t="str">
        <f t="shared" si="35"/>
        <v/>
      </c>
      <c r="T148" t="str">
        <f t="shared" si="44"/>
        <v/>
      </c>
      <c r="U148">
        <f>IFERROR(IF(T148=0,"",COUNTIF($T$3:T148,"&gt;0")),"")</f>
        <v>0</v>
      </c>
      <c r="V148" t="str">
        <f t="shared" si="36"/>
        <v/>
      </c>
      <c r="W148" t="e">
        <f t="shared" si="37"/>
        <v>#VALUE!</v>
      </c>
      <c r="X148">
        <f>'OTHER PLANT ATTN.'!C:C</f>
        <v>0</v>
      </c>
      <c r="Y148" t="e">
        <f>Table1[[#This Row],[CATEGORY ]]</f>
        <v>#VALUE!</v>
      </c>
      <c r="Z148" t="e">
        <f>Table1[[#This Row],[PLANT]]</f>
        <v>#VALUE!</v>
      </c>
    </row>
    <row r="149" spans="1:26">
      <c r="A149" t="str">
        <f t="shared" si="31"/>
        <v>000</v>
      </c>
      <c r="B149">
        <f>Table4[[#This Row],[CATEGORY]]</f>
        <v>0</v>
      </c>
      <c r="C149">
        <f>Table4[[#This Row],[SUB-CATEGORY]]</f>
        <v>0</v>
      </c>
      <c r="D149">
        <f>'RJ ATTENDENCE SHEET'!C:C</f>
        <v>0</v>
      </c>
      <c r="E149">
        <f t="shared" si="30"/>
        <v>0</v>
      </c>
      <c r="F149" t="str">
        <f t="shared" si="38"/>
        <v/>
      </c>
      <c r="G149">
        <f>IFERROR(IF(F149=0,"",COUNTIF($F$3:F149,"&gt;0")),"")</f>
        <v>16</v>
      </c>
      <c r="H149" t="str">
        <f t="shared" si="32"/>
        <v/>
      </c>
      <c r="I149" t="str">
        <f t="shared" si="39"/>
        <v/>
      </c>
      <c r="J149">
        <f>IFERROR(IF(I149=0,"",COUNTIF($I$3:I149,"&gt;0")),"")</f>
        <v>34</v>
      </c>
      <c r="K149" t="str">
        <f t="shared" si="33"/>
        <v/>
      </c>
      <c r="L149" t="str">
        <f t="shared" si="40"/>
        <v/>
      </c>
      <c r="M149" t="str">
        <f t="shared" si="41"/>
        <v/>
      </c>
      <c r="N149">
        <f>IFERROR(IF(M149=0,"",COUNTIF($M$3:M149,"&gt;0")),"")</f>
        <v>33</v>
      </c>
      <c r="O149" t="str">
        <f t="shared" si="34"/>
        <v/>
      </c>
      <c r="P149" t="str">
        <f t="shared" si="42"/>
        <v/>
      </c>
      <c r="Q149" t="str">
        <f t="shared" si="43"/>
        <v/>
      </c>
      <c r="R149">
        <f>IFERROR(IF(Q149=0,"",COUNTIF($Q$3:Q149,"&gt;0")),"")</f>
        <v>16</v>
      </c>
      <c r="S149" t="str">
        <f t="shared" si="35"/>
        <v/>
      </c>
      <c r="T149" t="str">
        <f t="shared" si="44"/>
        <v/>
      </c>
      <c r="U149">
        <f>IFERROR(IF(T149=0,"",COUNTIF($T$3:T149,"&gt;0")),"")</f>
        <v>0</v>
      </c>
      <c r="V149" t="str">
        <f t="shared" si="36"/>
        <v/>
      </c>
      <c r="W149" t="e">
        <f t="shared" si="37"/>
        <v>#VALUE!</v>
      </c>
      <c r="X149">
        <f>'OTHER PLANT ATTN.'!C:C</f>
        <v>0</v>
      </c>
      <c r="Y149" t="e">
        <f>Table1[[#This Row],[CATEGORY ]]</f>
        <v>#VALUE!</v>
      </c>
      <c r="Z149" t="e">
        <f>Table1[[#This Row],[PLANT]]</f>
        <v>#VALUE!</v>
      </c>
    </row>
    <row r="150" spans="1:26">
      <c r="A150" t="str">
        <f t="shared" si="31"/>
        <v>000</v>
      </c>
      <c r="B150">
        <f>Table4[[#This Row],[CATEGORY]]</f>
        <v>0</v>
      </c>
      <c r="C150">
        <f>Table4[[#This Row],[SUB-CATEGORY]]</f>
        <v>0</v>
      </c>
      <c r="D150">
        <f>'RJ ATTENDENCE SHEET'!C:C</f>
        <v>0</v>
      </c>
      <c r="E150">
        <f t="shared" si="30"/>
        <v>0</v>
      </c>
      <c r="F150" t="str">
        <f t="shared" si="38"/>
        <v/>
      </c>
      <c r="G150">
        <f>IFERROR(IF(F150=0,"",COUNTIF($F$3:F150,"&gt;0")),"")</f>
        <v>16</v>
      </c>
      <c r="H150" t="str">
        <f t="shared" si="32"/>
        <v/>
      </c>
      <c r="I150" t="str">
        <f t="shared" si="39"/>
        <v/>
      </c>
      <c r="J150">
        <f>IFERROR(IF(I150=0,"",COUNTIF($I$3:I150,"&gt;0")),"")</f>
        <v>34</v>
      </c>
      <c r="K150" t="str">
        <f t="shared" si="33"/>
        <v/>
      </c>
      <c r="L150" t="str">
        <f t="shared" si="40"/>
        <v/>
      </c>
      <c r="M150" t="str">
        <f t="shared" si="41"/>
        <v/>
      </c>
      <c r="N150">
        <f>IFERROR(IF(M150=0,"",COUNTIF($M$3:M150,"&gt;0")),"")</f>
        <v>33</v>
      </c>
      <c r="O150" t="str">
        <f t="shared" si="34"/>
        <v/>
      </c>
      <c r="P150" t="str">
        <f t="shared" si="42"/>
        <v/>
      </c>
      <c r="Q150" t="str">
        <f t="shared" si="43"/>
        <v/>
      </c>
      <c r="R150">
        <f>IFERROR(IF(Q150=0,"",COUNTIF($Q$3:Q150,"&gt;0")),"")</f>
        <v>16</v>
      </c>
      <c r="S150" t="str">
        <f t="shared" si="35"/>
        <v/>
      </c>
      <c r="T150" t="str">
        <f t="shared" si="44"/>
        <v/>
      </c>
      <c r="U150">
        <f>IFERROR(IF(T150=0,"",COUNTIF($T$3:T150,"&gt;0")),"")</f>
        <v>0</v>
      </c>
      <c r="V150" t="str">
        <f t="shared" si="36"/>
        <v/>
      </c>
      <c r="W150" t="e">
        <f t="shared" si="37"/>
        <v>#VALUE!</v>
      </c>
      <c r="X150">
        <f>'OTHER PLANT ATTN.'!C:C</f>
        <v>0</v>
      </c>
      <c r="Y150" t="e">
        <f>Table1[[#This Row],[CATEGORY ]]</f>
        <v>#VALUE!</v>
      </c>
      <c r="Z150" t="e">
        <f>Table1[[#This Row],[PLANT]]</f>
        <v>#VALUE!</v>
      </c>
    </row>
    <row r="151" spans="1:26">
      <c r="A151" t="str">
        <f t="shared" si="31"/>
        <v>000</v>
      </c>
      <c r="B151">
        <f>Table4[[#This Row],[CATEGORY]]</f>
        <v>0</v>
      </c>
      <c r="C151">
        <f>Table4[[#This Row],[SUB-CATEGORY]]</f>
        <v>0</v>
      </c>
      <c r="D151">
        <f>'RJ ATTENDENCE SHEET'!C:C</f>
        <v>0</v>
      </c>
      <c r="E151">
        <f t="shared" si="30"/>
        <v>0</v>
      </c>
      <c r="F151" t="str">
        <f t="shared" si="38"/>
        <v/>
      </c>
      <c r="G151">
        <f>IFERROR(IF(F151=0,"",COUNTIF($F$3:F151,"&gt;0")),"")</f>
        <v>16</v>
      </c>
      <c r="H151" t="str">
        <f t="shared" si="32"/>
        <v/>
      </c>
      <c r="I151" t="str">
        <f t="shared" si="39"/>
        <v/>
      </c>
      <c r="J151">
        <f>IFERROR(IF(I151=0,"",COUNTIF($I$3:I151,"&gt;0")),"")</f>
        <v>34</v>
      </c>
      <c r="K151" t="str">
        <f t="shared" si="33"/>
        <v/>
      </c>
      <c r="L151" t="str">
        <f t="shared" si="40"/>
        <v/>
      </c>
      <c r="M151" t="str">
        <f t="shared" si="41"/>
        <v/>
      </c>
      <c r="N151">
        <f>IFERROR(IF(M151=0,"",COUNTIF($M$3:M151,"&gt;0")),"")</f>
        <v>33</v>
      </c>
      <c r="O151" t="str">
        <f t="shared" si="34"/>
        <v/>
      </c>
      <c r="P151" t="str">
        <f t="shared" si="42"/>
        <v/>
      </c>
      <c r="Q151" t="str">
        <f t="shared" si="43"/>
        <v/>
      </c>
      <c r="R151">
        <f>IFERROR(IF(Q151=0,"",COUNTIF($Q$3:Q151,"&gt;0")),"")</f>
        <v>16</v>
      </c>
      <c r="S151" t="str">
        <f t="shared" si="35"/>
        <v/>
      </c>
      <c r="T151" t="str">
        <f t="shared" si="44"/>
        <v/>
      </c>
      <c r="U151">
        <f>IFERROR(IF(T151=0,"",COUNTIF($T$3:T151,"&gt;0")),"")</f>
        <v>0</v>
      </c>
      <c r="V151" t="str">
        <f t="shared" si="36"/>
        <v/>
      </c>
      <c r="W151" t="e">
        <f t="shared" si="37"/>
        <v>#VALUE!</v>
      </c>
      <c r="X151">
        <f>'OTHER PLANT ATTN.'!C:C</f>
        <v>0</v>
      </c>
      <c r="Y151" t="e">
        <f>Table1[[#This Row],[CATEGORY ]]</f>
        <v>#VALUE!</v>
      </c>
      <c r="Z151" t="e">
        <f>Table1[[#This Row],[PLANT]]</f>
        <v>#VALUE!</v>
      </c>
    </row>
    <row r="152" spans="1:26">
      <c r="A152" t="str">
        <f t="shared" si="31"/>
        <v>000</v>
      </c>
      <c r="B152">
        <f>Table4[[#This Row],[CATEGORY]]</f>
        <v>0</v>
      </c>
      <c r="C152">
        <f>Table4[[#This Row],[SUB-CATEGORY]]</f>
        <v>0</v>
      </c>
      <c r="D152">
        <f>'RJ ATTENDENCE SHEET'!C:C</f>
        <v>0</v>
      </c>
      <c r="E152">
        <f t="shared" si="30"/>
        <v>0</v>
      </c>
      <c r="F152" t="str">
        <f t="shared" si="38"/>
        <v/>
      </c>
      <c r="G152">
        <f>IFERROR(IF(F152=0,"",COUNTIF($F$3:F152,"&gt;0")),"")</f>
        <v>16</v>
      </c>
      <c r="H152" t="str">
        <f t="shared" si="32"/>
        <v/>
      </c>
      <c r="I152" t="str">
        <f t="shared" si="39"/>
        <v/>
      </c>
      <c r="J152">
        <f>IFERROR(IF(I152=0,"",COUNTIF($I$3:I152,"&gt;0")),"")</f>
        <v>34</v>
      </c>
      <c r="K152" t="str">
        <f t="shared" si="33"/>
        <v/>
      </c>
      <c r="L152" t="str">
        <f t="shared" si="40"/>
        <v/>
      </c>
      <c r="M152" t="str">
        <f t="shared" si="41"/>
        <v/>
      </c>
      <c r="N152">
        <f>IFERROR(IF(M152=0,"",COUNTIF($M$3:M152,"&gt;0")),"")</f>
        <v>33</v>
      </c>
      <c r="O152" t="str">
        <f t="shared" si="34"/>
        <v/>
      </c>
      <c r="P152" t="str">
        <f t="shared" si="42"/>
        <v/>
      </c>
      <c r="Q152" t="str">
        <f t="shared" si="43"/>
        <v/>
      </c>
      <c r="R152">
        <f>IFERROR(IF(Q152=0,"",COUNTIF($Q$3:Q152,"&gt;0")),"")</f>
        <v>16</v>
      </c>
      <c r="S152" t="str">
        <f t="shared" si="35"/>
        <v/>
      </c>
      <c r="T152" t="str">
        <f t="shared" si="44"/>
        <v/>
      </c>
      <c r="U152">
        <f>IFERROR(IF(T152=0,"",COUNTIF($T$3:T152,"&gt;0")),"")</f>
        <v>0</v>
      </c>
      <c r="V152" t="str">
        <f t="shared" si="36"/>
        <v/>
      </c>
      <c r="W152" t="e">
        <f t="shared" si="37"/>
        <v>#VALUE!</v>
      </c>
      <c r="X152">
        <f>'OTHER PLANT ATTN.'!C:C</f>
        <v>0</v>
      </c>
      <c r="Y152" t="e">
        <f>Table1[[#This Row],[CATEGORY ]]</f>
        <v>#VALUE!</v>
      </c>
      <c r="Z152" t="e">
        <f>Table1[[#This Row],[PLANT]]</f>
        <v>#VALUE!</v>
      </c>
    </row>
    <row r="153" spans="1:26">
      <c r="A153" t="str">
        <f t="shared" si="31"/>
        <v>000</v>
      </c>
      <c r="B153">
        <f>Table4[[#This Row],[CATEGORY]]</f>
        <v>0</v>
      </c>
      <c r="C153">
        <f>Table4[[#This Row],[SUB-CATEGORY]]</f>
        <v>0</v>
      </c>
      <c r="D153">
        <f>'RJ ATTENDENCE SHEET'!C:C</f>
        <v>0</v>
      </c>
      <c r="E153">
        <f t="shared" si="30"/>
        <v>0</v>
      </c>
      <c r="F153" t="str">
        <f t="shared" si="38"/>
        <v/>
      </c>
      <c r="G153">
        <f>IFERROR(IF(F153=0,"",COUNTIF($F$3:F153,"&gt;0")),"")</f>
        <v>16</v>
      </c>
      <c r="H153" t="str">
        <f t="shared" si="32"/>
        <v/>
      </c>
      <c r="I153" t="str">
        <f t="shared" si="39"/>
        <v/>
      </c>
      <c r="J153">
        <f>IFERROR(IF(I153=0,"",COUNTIF($I$3:I153,"&gt;0")),"")</f>
        <v>34</v>
      </c>
      <c r="K153" t="str">
        <f t="shared" si="33"/>
        <v/>
      </c>
      <c r="L153" t="str">
        <f t="shared" si="40"/>
        <v/>
      </c>
      <c r="M153" t="str">
        <f t="shared" si="41"/>
        <v/>
      </c>
      <c r="N153">
        <f>IFERROR(IF(M153=0,"",COUNTIF($M$3:M153,"&gt;0")),"")</f>
        <v>33</v>
      </c>
      <c r="O153" t="str">
        <f t="shared" si="34"/>
        <v/>
      </c>
      <c r="P153" t="str">
        <f t="shared" si="42"/>
        <v/>
      </c>
      <c r="Q153" t="str">
        <f t="shared" si="43"/>
        <v/>
      </c>
      <c r="R153">
        <f>IFERROR(IF(Q153=0,"",COUNTIF($Q$3:Q153,"&gt;0")),"")</f>
        <v>16</v>
      </c>
      <c r="S153" t="str">
        <f t="shared" si="35"/>
        <v/>
      </c>
      <c r="T153" t="str">
        <f t="shared" si="44"/>
        <v/>
      </c>
      <c r="U153">
        <f>IFERROR(IF(T153=0,"",COUNTIF($T$3:T153,"&gt;0")),"")</f>
        <v>0</v>
      </c>
      <c r="V153" t="str">
        <f t="shared" si="36"/>
        <v/>
      </c>
      <c r="W153" t="e">
        <f t="shared" si="37"/>
        <v>#VALUE!</v>
      </c>
      <c r="X153">
        <f>'OTHER PLANT ATTN.'!C:C</f>
        <v>0</v>
      </c>
      <c r="Y153" t="e">
        <f>Table1[[#This Row],[CATEGORY ]]</f>
        <v>#VALUE!</v>
      </c>
      <c r="Z153" t="e">
        <f>Table1[[#This Row],[PLANT]]</f>
        <v>#VALUE!</v>
      </c>
    </row>
    <row r="154" spans="1:26">
      <c r="A154" t="str">
        <f t="shared" si="31"/>
        <v>000</v>
      </c>
      <c r="B154">
        <f>Table4[[#This Row],[CATEGORY]]</f>
        <v>0</v>
      </c>
      <c r="C154">
        <f>Table4[[#This Row],[SUB-CATEGORY]]</f>
        <v>0</v>
      </c>
      <c r="D154">
        <f>'RJ ATTENDENCE SHEET'!C:C</f>
        <v>0</v>
      </c>
      <c r="E154">
        <f t="shared" si="30"/>
        <v>0</v>
      </c>
      <c r="F154" t="str">
        <f t="shared" si="38"/>
        <v/>
      </c>
      <c r="G154">
        <f>IFERROR(IF(F154=0,"",COUNTIF($F$3:F154,"&gt;0")),"")</f>
        <v>16</v>
      </c>
      <c r="H154" t="str">
        <f t="shared" si="32"/>
        <v/>
      </c>
      <c r="I154" t="str">
        <f t="shared" si="39"/>
        <v/>
      </c>
      <c r="J154">
        <f>IFERROR(IF(I154=0,"",COUNTIF($I$3:I154,"&gt;0")),"")</f>
        <v>34</v>
      </c>
      <c r="K154" t="str">
        <f t="shared" si="33"/>
        <v/>
      </c>
      <c r="L154" t="str">
        <f t="shared" si="40"/>
        <v/>
      </c>
      <c r="M154" t="str">
        <f t="shared" si="41"/>
        <v/>
      </c>
      <c r="N154">
        <f>IFERROR(IF(M154=0,"",COUNTIF($M$3:M154,"&gt;0")),"")</f>
        <v>33</v>
      </c>
      <c r="O154" t="str">
        <f t="shared" si="34"/>
        <v/>
      </c>
      <c r="P154" t="str">
        <f t="shared" si="42"/>
        <v/>
      </c>
      <c r="Q154" t="str">
        <f t="shared" si="43"/>
        <v/>
      </c>
      <c r="R154">
        <f>IFERROR(IF(Q154=0,"",COUNTIF($Q$3:Q154,"&gt;0")),"")</f>
        <v>16</v>
      </c>
      <c r="S154" t="str">
        <f t="shared" si="35"/>
        <v/>
      </c>
      <c r="T154" t="str">
        <f t="shared" si="44"/>
        <v/>
      </c>
      <c r="U154">
        <f>IFERROR(IF(T154=0,"",COUNTIF($T$3:T154,"&gt;0")),"")</f>
        <v>0</v>
      </c>
      <c r="V154" t="str">
        <f t="shared" si="36"/>
        <v/>
      </c>
      <c r="W154" t="e">
        <f t="shared" si="37"/>
        <v>#VALUE!</v>
      </c>
      <c r="X154">
        <f>'OTHER PLANT ATTN.'!C:C</f>
        <v>0</v>
      </c>
      <c r="Y154" t="e">
        <f>Table1[[#This Row],[CATEGORY ]]</f>
        <v>#VALUE!</v>
      </c>
      <c r="Z154" t="e">
        <f>Table1[[#This Row],[PLANT]]</f>
        <v>#VALUE!</v>
      </c>
    </row>
    <row r="155" spans="1:26">
      <c r="A155" t="str">
        <f t="shared" si="31"/>
        <v>000</v>
      </c>
      <c r="B155">
        <f>Table4[[#This Row],[CATEGORY]]</f>
        <v>0</v>
      </c>
      <c r="C155">
        <f>Table4[[#This Row],[SUB-CATEGORY]]</f>
        <v>0</v>
      </c>
      <c r="D155">
        <f>'RJ ATTENDENCE SHEET'!C:C</f>
        <v>0</v>
      </c>
      <c r="E155">
        <f t="shared" si="30"/>
        <v>0</v>
      </c>
      <c r="F155" t="str">
        <f t="shared" si="38"/>
        <v/>
      </c>
      <c r="G155">
        <f>IFERROR(IF(F155=0,"",COUNTIF($F$3:F155,"&gt;0")),"")</f>
        <v>16</v>
      </c>
      <c r="H155" t="str">
        <f t="shared" si="32"/>
        <v/>
      </c>
      <c r="I155" t="str">
        <f t="shared" si="39"/>
        <v/>
      </c>
      <c r="J155">
        <f>IFERROR(IF(I155=0,"",COUNTIF($I$3:I155,"&gt;0")),"")</f>
        <v>34</v>
      </c>
      <c r="K155" t="str">
        <f t="shared" si="33"/>
        <v/>
      </c>
      <c r="L155" t="str">
        <f t="shared" si="40"/>
        <v/>
      </c>
      <c r="M155" t="str">
        <f t="shared" si="41"/>
        <v/>
      </c>
      <c r="N155">
        <f>IFERROR(IF(M155=0,"",COUNTIF($M$3:M155,"&gt;0")),"")</f>
        <v>33</v>
      </c>
      <c r="O155" t="str">
        <f t="shared" si="34"/>
        <v/>
      </c>
      <c r="P155" t="str">
        <f t="shared" si="42"/>
        <v/>
      </c>
      <c r="Q155" t="str">
        <f t="shared" si="43"/>
        <v/>
      </c>
      <c r="R155">
        <f>IFERROR(IF(Q155=0,"",COUNTIF($Q$3:Q155,"&gt;0")),"")</f>
        <v>16</v>
      </c>
      <c r="S155" t="str">
        <f t="shared" si="35"/>
        <v/>
      </c>
      <c r="T155" t="str">
        <f t="shared" si="44"/>
        <v/>
      </c>
      <c r="U155">
        <f>IFERROR(IF(T155=0,"",COUNTIF($T$3:T155,"&gt;0")),"")</f>
        <v>0</v>
      </c>
      <c r="V155" t="str">
        <f t="shared" si="36"/>
        <v/>
      </c>
      <c r="W155" t="e">
        <f t="shared" si="37"/>
        <v>#VALUE!</v>
      </c>
      <c r="X155">
        <f>'OTHER PLANT ATTN.'!C:C</f>
        <v>0</v>
      </c>
      <c r="Y155" t="e">
        <f>Table1[[#This Row],[CATEGORY ]]</f>
        <v>#VALUE!</v>
      </c>
      <c r="Z155" t="e">
        <f>Table1[[#This Row],[PLANT]]</f>
        <v>#VALUE!</v>
      </c>
    </row>
    <row r="156" spans="1:26">
      <c r="A156" t="str">
        <f t="shared" si="31"/>
        <v>000</v>
      </c>
      <c r="B156">
        <f>Table4[[#This Row],[CATEGORY]]</f>
        <v>0</v>
      </c>
      <c r="C156">
        <f>Table4[[#This Row],[SUB-CATEGORY]]</f>
        <v>0</v>
      </c>
      <c r="D156">
        <f>'RJ ATTENDENCE SHEET'!C:C</f>
        <v>0</v>
      </c>
      <c r="E156">
        <f t="shared" si="30"/>
        <v>0</v>
      </c>
      <c r="F156" t="str">
        <f t="shared" si="38"/>
        <v/>
      </c>
      <c r="G156">
        <f>IFERROR(IF(F156=0,"",COUNTIF($F$3:F156,"&gt;0")),"")</f>
        <v>16</v>
      </c>
      <c r="H156" t="str">
        <f t="shared" si="32"/>
        <v/>
      </c>
      <c r="I156" t="str">
        <f t="shared" si="39"/>
        <v/>
      </c>
      <c r="J156">
        <f>IFERROR(IF(I156=0,"",COUNTIF($I$3:I156,"&gt;0")),"")</f>
        <v>34</v>
      </c>
      <c r="K156" t="str">
        <f t="shared" si="33"/>
        <v/>
      </c>
      <c r="L156" t="str">
        <f t="shared" si="40"/>
        <v/>
      </c>
      <c r="M156" t="str">
        <f t="shared" si="41"/>
        <v/>
      </c>
      <c r="N156">
        <f>IFERROR(IF(M156=0,"",COUNTIF($M$3:M156,"&gt;0")),"")</f>
        <v>33</v>
      </c>
      <c r="O156" t="str">
        <f t="shared" si="34"/>
        <v/>
      </c>
      <c r="P156" t="str">
        <f t="shared" si="42"/>
        <v/>
      </c>
      <c r="Q156" t="str">
        <f t="shared" si="43"/>
        <v/>
      </c>
      <c r="R156">
        <f>IFERROR(IF(Q156=0,"",COUNTIF($Q$3:Q156,"&gt;0")),"")</f>
        <v>16</v>
      </c>
      <c r="S156" t="str">
        <f t="shared" si="35"/>
        <v/>
      </c>
      <c r="T156" t="str">
        <f t="shared" si="44"/>
        <v/>
      </c>
      <c r="U156">
        <f>IFERROR(IF(T156=0,"",COUNTIF($T$3:T156,"&gt;0")),"")</f>
        <v>0</v>
      </c>
      <c r="V156" t="str">
        <f t="shared" si="36"/>
        <v/>
      </c>
      <c r="W156" t="e">
        <f t="shared" si="37"/>
        <v>#VALUE!</v>
      </c>
      <c r="X156">
        <f>'OTHER PLANT ATTN.'!C:C</f>
        <v>0</v>
      </c>
      <c r="Y156" t="e">
        <f>Table1[[#This Row],[CATEGORY ]]</f>
        <v>#VALUE!</v>
      </c>
      <c r="Z156" t="e">
        <f>Table1[[#This Row],[PLANT]]</f>
        <v>#VALUE!</v>
      </c>
    </row>
    <row r="157" spans="1:26">
      <c r="A157" t="str">
        <f t="shared" si="31"/>
        <v>000</v>
      </c>
      <c r="B157">
        <f>Table4[[#This Row],[CATEGORY]]</f>
        <v>0</v>
      </c>
      <c r="C157">
        <f>Table4[[#This Row],[SUB-CATEGORY]]</f>
        <v>0</v>
      </c>
      <c r="D157">
        <f>'RJ ATTENDENCE SHEET'!C:C</f>
        <v>0</v>
      </c>
      <c r="E157">
        <f t="shared" si="30"/>
        <v>0</v>
      </c>
      <c r="F157" t="str">
        <f t="shared" si="38"/>
        <v/>
      </c>
      <c r="G157">
        <f>IFERROR(IF(F157=0,"",COUNTIF($F$3:F157,"&gt;0")),"")</f>
        <v>16</v>
      </c>
      <c r="H157" t="str">
        <f t="shared" si="32"/>
        <v/>
      </c>
      <c r="I157" t="str">
        <f t="shared" si="39"/>
        <v/>
      </c>
      <c r="J157">
        <f>IFERROR(IF(I157=0,"",COUNTIF($I$3:I157,"&gt;0")),"")</f>
        <v>34</v>
      </c>
      <c r="K157" t="str">
        <f t="shared" si="33"/>
        <v/>
      </c>
      <c r="L157" t="str">
        <f t="shared" si="40"/>
        <v/>
      </c>
      <c r="M157" t="str">
        <f t="shared" si="41"/>
        <v/>
      </c>
      <c r="N157">
        <f>IFERROR(IF(M157=0,"",COUNTIF($M$3:M157,"&gt;0")),"")</f>
        <v>33</v>
      </c>
      <c r="O157" t="str">
        <f t="shared" si="34"/>
        <v/>
      </c>
      <c r="P157" t="str">
        <f t="shared" si="42"/>
        <v/>
      </c>
      <c r="Q157" t="str">
        <f t="shared" si="43"/>
        <v/>
      </c>
      <c r="R157">
        <f>IFERROR(IF(Q157=0,"",COUNTIF($Q$3:Q157,"&gt;0")),"")</f>
        <v>16</v>
      </c>
      <c r="S157" t="str">
        <f t="shared" si="35"/>
        <v/>
      </c>
      <c r="T157" t="str">
        <f t="shared" si="44"/>
        <v/>
      </c>
      <c r="U157">
        <f>IFERROR(IF(T157=0,"",COUNTIF($T$3:T157,"&gt;0")),"")</f>
        <v>0</v>
      </c>
      <c r="V157" t="str">
        <f t="shared" si="36"/>
        <v/>
      </c>
      <c r="W157" t="e">
        <f t="shared" si="37"/>
        <v>#VALUE!</v>
      </c>
      <c r="X157">
        <f>'OTHER PLANT ATTN.'!C:C</f>
        <v>0</v>
      </c>
      <c r="Y157" t="e">
        <f>Table1[[#This Row],[CATEGORY ]]</f>
        <v>#VALUE!</v>
      </c>
      <c r="Z157" t="e">
        <f>Table1[[#This Row],[PLANT]]</f>
        <v>#VALUE!</v>
      </c>
    </row>
    <row r="158" spans="1:26">
      <c r="A158" t="str">
        <f t="shared" si="31"/>
        <v>000</v>
      </c>
      <c r="B158">
        <f>Table4[[#This Row],[CATEGORY]]</f>
        <v>0</v>
      </c>
      <c r="C158">
        <f>Table4[[#This Row],[SUB-CATEGORY]]</f>
        <v>0</v>
      </c>
      <c r="D158">
        <f>'RJ ATTENDENCE SHEET'!C:C</f>
        <v>0</v>
      </c>
      <c r="E158">
        <f t="shared" si="30"/>
        <v>0</v>
      </c>
      <c r="F158" t="str">
        <f t="shared" si="38"/>
        <v/>
      </c>
      <c r="G158">
        <f>IFERROR(IF(F158=0,"",COUNTIF($F$3:F158,"&gt;0")),"")</f>
        <v>16</v>
      </c>
      <c r="H158" t="str">
        <f t="shared" si="32"/>
        <v/>
      </c>
      <c r="I158" t="str">
        <f t="shared" si="39"/>
        <v/>
      </c>
      <c r="J158">
        <f>IFERROR(IF(I158=0,"",COUNTIF($I$3:I158,"&gt;0")),"")</f>
        <v>34</v>
      </c>
      <c r="K158" t="str">
        <f t="shared" si="33"/>
        <v/>
      </c>
      <c r="L158" t="str">
        <f t="shared" si="40"/>
        <v/>
      </c>
      <c r="M158" t="str">
        <f t="shared" si="41"/>
        <v/>
      </c>
      <c r="N158">
        <f>IFERROR(IF(M158=0,"",COUNTIF($M$3:M158,"&gt;0")),"")</f>
        <v>33</v>
      </c>
      <c r="O158" t="str">
        <f t="shared" si="34"/>
        <v/>
      </c>
      <c r="P158" t="str">
        <f t="shared" si="42"/>
        <v/>
      </c>
      <c r="Q158" t="str">
        <f t="shared" si="43"/>
        <v/>
      </c>
      <c r="R158">
        <f>IFERROR(IF(Q158=0,"",COUNTIF($Q$3:Q158,"&gt;0")),"")</f>
        <v>16</v>
      </c>
      <c r="S158" t="str">
        <f t="shared" si="35"/>
        <v/>
      </c>
      <c r="T158" t="str">
        <f t="shared" si="44"/>
        <v/>
      </c>
      <c r="U158">
        <f>IFERROR(IF(T158=0,"",COUNTIF($T$3:T158,"&gt;0")),"")</f>
        <v>0</v>
      </c>
      <c r="V158" t="str">
        <f t="shared" si="36"/>
        <v/>
      </c>
      <c r="W158" t="e">
        <f t="shared" si="37"/>
        <v>#VALUE!</v>
      </c>
      <c r="X158">
        <f>'OTHER PLANT ATTN.'!C:C</f>
        <v>0</v>
      </c>
      <c r="Y158" t="e">
        <f>Table1[[#This Row],[CATEGORY ]]</f>
        <v>#VALUE!</v>
      </c>
      <c r="Z158" t="e">
        <f>Table1[[#This Row],[PLANT]]</f>
        <v>#VALUE!</v>
      </c>
    </row>
    <row r="159" spans="1:26">
      <c r="A159" t="str">
        <f t="shared" si="31"/>
        <v>000</v>
      </c>
      <c r="B159">
        <f>Table4[[#This Row],[CATEGORY]]</f>
        <v>0</v>
      </c>
      <c r="C159">
        <f>Table4[[#This Row],[SUB-CATEGORY]]</f>
        <v>0</v>
      </c>
      <c r="D159">
        <f>'RJ ATTENDENCE SHEET'!C:C</f>
        <v>0</v>
      </c>
      <c r="E159">
        <f t="shared" si="30"/>
        <v>0</v>
      </c>
      <c r="F159" t="str">
        <f t="shared" si="38"/>
        <v/>
      </c>
      <c r="G159">
        <f>IFERROR(IF(F159=0,"",COUNTIF($F$3:F159,"&gt;0")),"")</f>
        <v>16</v>
      </c>
      <c r="H159" t="str">
        <f t="shared" si="32"/>
        <v/>
      </c>
      <c r="I159" t="str">
        <f t="shared" si="39"/>
        <v/>
      </c>
      <c r="J159">
        <f>IFERROR(IF(I159=0,"",COUNTIF($I$3:I159,"&gt;0")),"")</f>
        <v>34</v>
      </c>
      <c r="K159" t="str">
        <f t="shared" si="33"/>
        <v/>
      </c>
      <c r="L159" t="str">
        <f t="shared" si="40"/>
        <v/>
      </c>
      <c r="M159" t="str">
        <f t="shared" si="41"/>
        <v/>
      </c>
      <c r="N159">
        <f>IFERROR(IF(M159=0,"",COUNTIF($M$3:M159,"&gt;0")),"")</f>
        <v>33</v>
      </c>
      <c r="O159" t="str">
        <f t="shared" si="34"/>
        <v/>
      </c>
      <c r="P159" t="str">
        <f t="shared" si="42"/>
        <v/>
      </c>
      <c r="Q159" t="str">
        <f t="shared" si="43"/>
        <v/>
      </c>
      <c r="R159">
        <f>IFERROR(IF(Q159=0,"",COUNTIF($Q$3:Q159,"&gt;0")),"")</f>
        <v>16</v>
      </c>
      <c r="S159" t="str">
        <f t="shared" si="35"/>
        <v/>
      </c>
      <c r="T159" t="str">
        <f t="shared" si="44"/>
        <v/>
      </c>
      <c r="U159">
        <f>IFERROR(IF(T159=0,"",COUNTIF($T$3:T159,"&gt;0")),"")</f>
        <v>0</v>
      </c>
      <c r="V159" t="str">
        <f t="shared" si="36"/>
        <v/>
      </c>
      <c r="W159" t="e">
        <f t="shared" si="37"/>
        <v>#VALUE!</v>
      </c>
      <c r="X159">
        <f>'OTHER PLANT ATTN.'!C:C</f>
        <v>0</v>
      </c>
      <c r="Y159" t="e">
        <f>Table1[[#This Row],[CATEGORY ]]</f>
        <v>#VALUE!</v>
      </c>
      <c r="Z159" t="e">
        <f>Table1[[#This Row],[PLANT]]</f>
        <v>#VALUE!</v>
      </c>
    </row>
    <row r="160" spans="1:26">
      <c r="A160" t="str">
        <f t="shared" si="31"/>
        <v>000</v>
      </c>
      <c r="B160">
        <f>Table4[[#This Row],[CATEGORY]]</f>
        <v>0</v>
      </c>
      <c r="C160">
        <f>Table4[[#This Row],[SUB-CATEGORY]]</f>
        <v>0</v>
      </c>
      <c r="D160">
        <f>'RJ ATTENDENCE SHEET'!C:C</f>
        <v>0</v>
      </c>
      <c r="E160">
        <f t="shared" si="30"/>
        <v>0</v>
      </c>
      <c r="F160" t="str">
        <f t="shared" si="38"/>
        <v/>
      </c>
      <c r="G160">
        <f>IFERROR(IF(F160=0,"",COUNTIF($F$3:F160,"&gt;0")),"")</f>
        <v>16</v>
      </c>
      <c r="H160" t="str">
        <f t="shared" si="32"/>
        <v/>
      </c>
      <c r="I160" t="str">
        <f t="shared" si="39"/>
        <v/>
      </c>
      <c r="J160">
        <f>IFERROR(IF(I160=0,"",COUNTIF($I$3:I160,"&gt;0")),"")</f>
        <v>34</v>
      </c>
      <c r="K160" t="str">
        <f t="shared" si="33"/>
        <v/>
      </c>
      <c r="L160" t="str">
        <f t="shared" si="40"/>
        <v/>
      </c>
      <c r="M160" t="str">
        <f t="shared" si="41"/>
        <v/>
      </c>
      <c r="N160">
        <f>IFERROR(IF(M160=0,"",COUNTIF($M$3:M160,"&gt;0")),"")</f>
        <v>33</v>
      </c>
      <c r="O160" t="str">
        <f t="shared" si="34"/>
        <v/>
      </c>
      <c r="P160" t="str">
        <f t="shared" si="42"/>
        <v/>
      </c>
      <c r="Q160" t="str">
        <f t="shared" si="43"/>
        <v/>
      </c>
      <c r="R160">
        <f>IFERROR(IF(Q160=0,"",COUNTIF($Q$3:Q160,"&gt;0")),"")</f>
        <v>16</v>
      </c>
      <c r="S160" t="str">
        <f t="shared" si="35"/>
        <v/>
      </c>
      <c r="T160" t="str">
        <f t="shared" si="44"/>
        <v/>
      </c>
      <c r="U160">
        <f>IFERROR(IF(T160=0,"",COUNTIF($T$3:T160,"&gt;0")),"")</f>
        <v>0</v>
      </c>
      <c r="V160" t="str">
        <f t="shared" si="36"/>
        <v/>
      </c>
      <c r="W160" t="e">
        <f t="shared" si="37"/>
        <v>#VALUE!</v>
      </c>
      <c r="X160">
        <f>'OTHER PLANT ATTN.'!C:C</f>
        <v>0</v>
      </c>
      <c r="Y160" t="e">
        <f>Table1[[#This Row],[CATEGORY ]]</f>
        <v>#VALUE!</v>
      </c>
      <c r="Z160" t="e">
        <f>Table1[[#This Row],[PLANT]]</f>
        <v>#VALUE!</v>
      </c>
    </row>
    <row r="161" spans="1:26">
      <c r="A161" t="str">
        <f t="shared" si="31"/>
        <v>000</v>
      </c>
      <c r="B161">
        <f>Table4[[#This Row],[CATEGORY]]</f>
        <v>0</v>
      </c>
      <c r="C161">
        <f>Table4[[#This Row],[SUB-CATEGORY]]</f>
        <v>0</v>
      </c>
      <c r="D161">
        <f>'RJ ATTENDENCE SHEET'!C:C</f>
        <v>0</v>
      </c>
      <c r="E161">
        <f t="shared" si="30"/>
        <v>0</v>
      </c>
      <c r="F161" t="str">
        <f t="shared" si="38"/>
        <v/>
      </c>
      <c r="G161">
        <f>IFERROR(IF(F161=0,"",COUNTIF($F$3:F161,"&gt;0")),"")</f>
        <v>16</v>
      </c>
      <c r="H161" t="str">
        <f t="shared" si="32"/>
        <v/>
      </c>
      <c r="I161" t="str">
        <f t="shared" si="39"/>
        <v/>
      </c>
      <c r="J161">
        <f>IFERROR(IF(I161=0,"",COUNTIF($I$3:I161,"&gt;0")),"")</f>
        <v>34</v>
      </c>
      <c r="K161" t="str">
        <f t="shared" si="33"/>
        <v/>
      </c>
      <c r="L161" t="str">
        <f t="shared" si="40"/>
        <v/>
      </c>
      <c r="M161" t="str">
        <f t="shared" si="41"/>
        <v/>
      </c>
      <c r="N161">
        <f>IFERROR(IF(M161=0,"",COUNTIF($M$3:M161,"&gt;0")),"")</f>
        <v>33</v>
      </c>
      <c r="O161" t="str">
        <f t="shared" si="34"/>
        <v/>
      </c>
      <c r="P161" t="str">
        <f t="shared" si="42"/>
        <v/>
      </c>
      <c r="Q161" t="str">
        <f t="shared" si="43"/>
        <v/>
      </c>
      <c r="R161">
        <f>IFERROR(IF(Q161=0,"",COUNTIF($Q$3:Q161,"&gt;0")),"")</f>
        <v>16</v>
      </c>
      <c r="S161" t="str">
        <f t="shared" si="35"/>
        <v/>
      </c>
      <c r="T161" t="str">
        <f t="shared" si="44"/>
        <v/>
      </c>
      <c r="U161">
        <f>IFERROR(IF(T161=0,"",COUNTIF($T$3:T161,"&gt;0")),"")</f>
        <v>0</v>
      </c>
      <c r="V161" t="str">
        <f t="shared" si="36"/>
        <v/>
      </c>
      <c r="W161" t="e">
        <f t="shared" si="37"/>
        <v>#VALUE!</v>
      </c>
      <c r="X161">
        <f>'OTHER PLANT ATTN.'!C:C</f>
        <v>0</v>
      </c>
      <c r="Y161" t="e">
        <f>Table1[[#This Row],[CATEGORY ]]</f>
        <v>#VALUE!</v>
      </c>
      <c r="Z161" t="e">
        <f>Table1[[#This Row],[PLANT]]</f>
        <v>#VALUE!</v>
      </c>
    </row>
    <row r="162" spans="1:26">
      <c r="A162" t="str">
        <f t="shared" si="31"/>
        <v>000</v>
      </c>
      <c r="B162">
        <f>Table4[[#This Row],[CATEGORY]]</f>
        <v>0</v>
      </c>
      <c r="C162">
        <f>Table4[[#This Row],[SUB-CATEGORY]]</f>
        <v>0</v>
      </c>
      <c r="D162">
        <f>'RJ ATTENDENCE SHEET'!C:C</f>
        <v>0</v>
      </c>
      <c r="E162">
        <f t="shared" si="30"/>
        <v>0</v>
      </c>
      <c r="F162" t="str">
        <f t="shared" si="38"/>
        <v/>
      </c>
      <c r="G162">
        <f>IFERROR(IF(F162=0,"",COUNTIF($F$3:F162,"&gt;0")),"")</f>
        <v>16</v>
      </c>
      <c r="H162" t="str">
        <f t="shared" si="32"/>
        <v/>
      </c>
      <c r="I162" t="str">
        <f t="shared" si="39"/>
        <v/>
      </c>
      <c r="J162">
        <f>IFERROR(IF(I162=0,"",COUNTIF($I$3:I162,"&gt;0")),"")</f>
        <v>34</v>
      </c>
      <c r="K162" t="str">
        <f t="shared" si="33"/>
        <v/>
      </c>
      <c r="L162" t="str">
        <f t="shared" si="40"/>
        <v/>
      </c>
      <c r="M162" t="str">
        <f t="shared" si="41"/>
        <v/>
      </c>
      <c r="N162">
        <f>IFERROR(IF(M162=0,"",COUNTIF($M$3:M162,"&gt;0")),"")</f>
        <v>33</v>
      </c>
      <c r="O162" t="str">
        <f t="shared" si="34"/>
        <v/>
      </c>
      <c r="P162" t="str">
        <f t="shared" si="42"/>
        <v/>
      </c>
      <c r="Q162" t="str">
        <f t="shared" si="43"/>
        <v/>
      </c>
      <c r="R162">
        <f>IFERROR(IF(Q162=0,"",COUNTIF($Q$3:Q162,"&gt;0")),"")</f>
        <v>16</v>
      </c>
      <c r="S162" t="str">
        <f t="shared" si="35"/>
        <v/>
      </c>
      <c r="T162" t="str">
        <f t="shared" si="44"/>
        <v/>
      </c>
      <c r="U162">
        <f>IFERROR(IF(T162=0,"",COUNTIF($T$3:T162,"&gt;0")),"")</f>
        <v>0</v>
      </c>
      <c r="V162" t="str">
        <f t="shared" si="36"/>
        <v/>
      </c>
      <c r="W162" t="e">
        <f t="shared" si="37"/>
        <v>#VALUE!</v>
      </c>
      <c r="X162">
        <f>'OTHER PLANT ATTN.'!C:C</f>
        <v>0</v>
      </c>
      <c r="Y162" t="e">
        <f>Table1[[#This Row],[CATEGORY ]]</f>
        <v>#VALUE!</v>
      </c>
      <c r="Z162" t="e">
        <f>Table1[[#This Row],[PLANT]]</f>
        <v>#VALUE!</v>
      </c>
    </row>
    <row r="163" spans="1:26">
      <c r="A163" t="str">
        <f t="shared" si="31"/>
        <v>000</v>
      </c>
      <c r="B163">
        <f>Table4[[#This Row],[CATEGORY]]</f>
        <v>0</v>
      </c>
      <c r="C163">
        <f>Table4[[#This Row],[SUB-CATEGORY]]</f>
        <v>0</v>
      </c>
      <c r="D163">
        <f>'RJ ATTENDENCE SHEET'!C:C</f>
        <v>0</v>
      </c>
      <c r="E163">
        <f t="shared" si="30"/>
        <v>0</v>
      </c>
      <c r="F163" t="str">
        <f t="shared" si="38"/>
        <v/>
      </c>
      <c r="G163">
        <f>IFERROR(IF(F163=0,"",COUNTIF($F$3:F163,"&gt;0")),"")</f>
        <v>16</v>
      </c>
      <c r="H163" t="str">
        <f t="shared" si="32"/>
        <v/>
      </c>
      <c r="I163" t="str">
        <f t="shared" si="39"/>
        <v/>
      </c>
      <c r="J163">
        <f>IFERROR(IF(I163=0,"",COUNTIF($I$3:I163,"&gt;0")),"")</f>
        <v>34</v>
      </c>
      <c r="K163" t="str">
        <f t="shared" si="33"/>
        <v/>
      </c>
      <c r="L163" t="str">
        <f t="shared" si="40"/>
        <v/>
      </c>
      <c r="M163" t="str">
        <f t="shared" si="41"/>
        <v/>
      </c>
      <c r="N163">
        <f>IFERROR(IF(M163=0,"",COUNTIF($M$3:M163,"&gt;0")),"")</f>
        <v>33</v>
      </c>
      <c r="O163" t="str">
        <f t="shared" si="34"/>
        <v/>
      </c>
      <c r="P163" t="str">
        <f t="shared" si="42"/>
        <v/>
      </c>
      <c r="Q163" t="str">
        <f t="shared" si="43"/>
        <v/>
      </c>
      <c r="R163">
        <f>IFERROR(IF(Q163=0,"",COUNTIF($Q$3:Q163,"&gt;0")),"")</f>
        <v>16</v>
      </c>
      <c r="S163" t="str">
        <f t="shared" si="35"/>
        <v/>
      </c>
      <c r="T163" t="str">
        <f t="shared" si="44"/>
        <v/>
      </c>
      <c r="U163">
        <f>IFERROR(IF(T163=0,"",COUNTIF($T$3:T163,"&gt;0")),"")</f>
        <v>0</v>
      </c>
      <c r="V163" t="str">
        <f t="shared" si="36"/>
        <v/>
      </c>
      <c r="W163" t="e">
        <f t="shared" si="37"/>
        <v>#VALUE!</v>
      </c>
      <c r="X163">
        <f>'OTHER PLANT ATTN.'!C:C</f>
        <v>0</v>
      </c>
      <c r="Y163" t="e">
        <f>Table1[[#This Row],[CATEGORY ]]</f>
        <v>#VALUE!</v>
      </c>
      <c r="Z163" t="e">
        <f>Table1[[#This Row],[PLANT]]</f>
        <v>#VALUE!</v>
      </c>
    </row>
    <row r="164" spans="1:26">
      <c r="A164" t="str">
        <f t="shared" si="31"/>
        <v>000</v>
      </c>
      <c r="B164">
        <f>Table4[[#This Row],[CATEGORY]]</f>
        <v>0</v>
      </c>
      <c r="C164">
        <f>Table4[[#This Row],[SUB-CATEGORY]]</f>
        <v>0</v>
      </c>
      <c r="D164">
        <f>'RJ ATTENDENCE SHEET'!C:C</f>
        <v>0</v>
      </c>
      <c r="E164">
        <f t="shared" si="30"/>
        <v>0</v>
      </c>
      <c r="F164" t="str">
        <f t="shared" si="38"/>
        <v/>
      </c>
      <c r="G164">
        <f>IFERROR(IF(F164=0,"",COUNTIF($F$3:F164,"&gt;0")),"")</f>
        <v>16</v>
      </c>
      <c r="H164" t="str">
        <f t="shared" si="32"/>
        <v/>
      </c>
      <c r="I164" t="str">
        <f t="shared" si="39"/>
        <v/>
      </c>
      <c r="J164">
        <f>IFERROR(IF(I164=0,"",COUNTIF($I$3:I164,"&gt;0")),"")</f>
        <v>34</v>
      </c>
      <c r="K164" t="str">
        <f t="shared" si="33"/>
        <v/>
      </c>
      <c r="L164" t="str">
        <f t="shared" si="40"/>
        <v/>
      </c>
      <c r="M164" t="str">
        <f t="shared" si="41"/>
        <v/>
      </c>
      <c r="N164">
        <f>IFERROR(IF(M164=0,"",COUNTIF($M$3:M164,"&gt;0")),"")</f>
        <v>33</v>
      </c>
      <c r="O164" t="str">
        <f t="shared" si="34"/>
        <v/>
      </c>
      <c r="P164" t="str">
        <f t="shared" si="42"/>
        <v/>
      </c>
      <c r="Q164" t="str">
        <f t="shared" si="43"/>
        <v/>
      </c>
      <c r="R164">
        <f>IFERROR(IF(Q164=0,"",COUNTIF($Q$3:Q164,"&gt;0")),"")</f>
        <v>16</v>
      </c>
      <c r="S164" t="str">
        <f t="shared" si="35"/>
        <v/>
      </c>
      <c r="T164" t="str">
        <f t="shared" si="44"/>
        <v/>
      </c>
      <c r="U164">
        <f>IFERROR(IF(T164=0,"",COUNTIF($T$3:T164,"&gt;0")),"")</f>
        <v>0</v>
      </c>
      <c r="V164" t="str">
        <f t="shared" si="36"/>
        <v/>
      </c>
      <c r="W164" t="e">
        <f t="shared" si="37"/>
        <v>#VALUE!</v>
      </c>
      <c r="X164">
        <f>'OTHER PLANT ATTN.'!C:C</f>
        <v>0</v>
      </c>
      <c r="Y164" t="e">
        <f>Table1[[#This Row],[CATEGORY ]]</f>
        <v>#VALUE!</v>
      </c>
      <c r="Z164" t="e">
        <f>Table1[[#This Row],[PLANT]]</f>
        <v>#VALUE!</v>
      </c>
    </row>
    <row r="165" spans="1:26">
      <c r="A165" t="str">
        <f t="shared" si="31"/>
        <v>000</v>
      </c>
      <c r="B165">
        <f>Table4[[#This Row],[CATEGORY]]</f>
        <v>0</v>
      </c>
      <c r="C165">
        <f>Table4[[#This Row],[SUB-CATEGORY]]</f>
        <v>0</v>
      </c>
      <c r="D165">
        <f>'RJ ATTENDENCE SHEET'!C:C</f>
        <v>0</v>
      </c>
      <c r="E165">
        <f t="shared" si="30"/>
        <v>0</v>
      </c>
      <c r="F165" t="str">
        <f t="shared" si="38"/>
        <v/>
      </c>
      <c r="G165">
        <f>IFERROR(IF(F165=0,"",COUNTIF($F$3:F165,"&gt;0")),"")</f>
        <v>16</v>
      </c>
      <c r="H165" t="str">
        <f t="shared" si="32"/>
        <v/>
      </c>
      <c r="I165" t="str">
        <f t="shared" si="39"/>
        <v/>
      </c>
      <c r="J165">
        <f>IFERROR(IF(I165=0,"",COUNTIF($I$3:I165,"&gt;0")),"")</f>
        <v>34</v>
      </c>
      <c r="K165" t="str">
        <f t="shared" si="33"/>
        <v/>
      </c>
      <c r="L165" t="str">
        <f t="shared" si="40"/>
        <v/>
      </c>
      <c r="M165" t="str">
        <f t="shared" si="41"/>
        <v/>
      </c>
      <c r="N165">
        <f>IFERROR(IF(M165=0,"",COUNTIF($M$3:M165,"&gt;0")),"")</f>
        <v>33</v>
      </c>
      <c r="O165" t="str">
        <f t="shared" si="34"/>
        <v/>
      </c>
      <c r="P165" t="str">
        <f t="shared" si="42"/>
        <v/>
      </c>
      <c r="Q165" t="str">
        <f t="shared" si="43"/>
        <v/>
      </c>
      <c r="R165">
        <f>IFERROR(IF(Q165=0,"",COUNTIF($Q$3:Q165,"&gt;0")),"")</f>
        <v>16</v>
      </c>
      <c r="S165" t="str">
        <f t="shared" si="35"/>
        <v/>
      </c>
      <c r="T165" t="str">
        <f t="shared" si="44"/>
        <v/>
      </c>
      <c r="U165">
        <f>IFERROR(IF(T165=0,"",COUNTIF($T$3:T165,"&gt;0")),"")</f>
        <v>0</v>
      </c>
      <c r="V165" t="str">
        <f t="shared" si="36"/>
        <v/>
      </c>
      <c r="W165" t="e">
        <f t="shared" si="37"/>
        <v>#VALUE!</v>
      </c>
      <c r="X165">
        <f>'OTHER PLANT ATTN.'!C:C</f>
        <v>0</v>
      </c>
      <c r="Y165" t="e">
        <f>Table1[[#This Row],[CATEGORY ]]</f>
        <v>#VALUE!</v>
      </c>
      <c r="Z165" t="e">
        <f>Table1[[#This Row],[PLANT]]</f>
        <v>#VALUE!</v>
      </c>
    </row>
    <row r="166" spans="1:26">
      <c r="A166" t="str">
        <f t="shared" si="31"/>
        <v>000</v>
      </c>
      <c r="B166">
        <f>Table4[[#This Row],[CATEGORY]]</f>
        <v>0</v>
      </c>
      <c r="C166">
        <f>Table4[[#This Row],[SUB-CATEGORY]]</f>
        <v>0</v>
      </c>
      <c r="D166">
        <f>'RJ ATTENDENCE SHEET'!C:C</f>
        <v>0</v>
      </c>
      <c r="E166">
        <f t="shared" si="30"/>
        <v>0</v>
      </c>
      <c r="F166" t="str">
        <f t="shared" si="38"/>
        <v/>
      </c>
      <c r="G166">
        <f>IFERROR(IF(F166=0,"",COUNTIF($F$3:F166,"&gt;0")),"")</f>
        <v>16</v>
      </c>
      <c r="H166" t="str">
        <f t="shared" si="32"/>
        <v/>
      </c>
      <c r="I166" t="str">
        <f t="shared" si="39"/>
        <v/>
      </c>
      <c r="J166">
        <f>IFERROR(IF(I166=0,"",COUNTIF($I$3:I166,"&gt;0")),"")</f>
        <v>34</v>
      </c>
      <c r="K166" t="str">
        <f t="shared" si="33"/>
        <v/>
      </c>
      <c r="L166" t="str">
        <f t="shared" si="40"/>
        <v/>
      </c>
      <c r="M166" t="str">
        <f t="shared" si="41"/>
        <v/>
      </c>
      <c r="N166">
        <f>IFERROR(IF(M166=0,"",COUNTIF($M$3:M166,"&gt;0")),"")</f>
        <v>33</v>
      </c>
      <c r="O166" t="str">
        <f t="shared" si="34"/>
        <v/>
      </c>
      <c r="P166" t="str">
        <f t="shared" si="42"/>
        <v/>
      </c>
      <c r="Q166" t="str">
        <f t="shared" si="43"/>
        <v/>
      </c>
      <c r="R166">
        <f>IFERROR(IF(Q166=0,"",COUNTIF($Q$3:Q166,"&gt;0")),"")</f>
        <v>16</v>
      </c>
      <c r="S166" t="str">
        <f t="shared" si="35"/>
        <v/>
      </c>
      <c r="T166" t="str">
        <f t="shared" si="44"/>
        <v/>
      </c>
      <c r="U166">
        <f>IFERROR(IF(T166=0,"",COUNTIF($T$3:T166,"&gt;0")),"")</f>
        <v>0</v>
      </c>
      <c r="V166" t="str">
        <f t="shared" si="36"/>
        <v/>
      </c>
      <c r="W166" t="e">
        <f t="shared" si="37"/>
        <v>#VALUE!</v>
      </c>
      <c r="X166">
        <f>'OTHER PLANT ATTN.'!C:C</f>
        <v>0</v>
      </c>
      <c r="Y166" t="e">
        <f>Table1[[#This Row],[CATEGORY ]]</f>
        <v>#VALUE!</v>
      </c>
      <c r="Z166" t="e">
        <f>Table1[[#This Row],[PLANT]]</f>
        <v>#VALUE!</v>
      </c>
    </row>
    <row r="167" spans="1:26">
      <c r="A167" t="str">
        <f t="shared" si="31"/>
        <v>000</v>
      </c>
      <c r="B167">
        <f>Table4[[#This Row],[CATEGORY]]</f>
        <v>0</v>
      </c>
      <c r="C167">
        <f>Table4[[#This Row],[SUB-CATEGORY]]</f>
        <v>0</v>
      </c>
      <c r="D167">
        <f>'RJ ATTENDENCE SHEET'!C:C</f>
        <v>0</v>
      </c>
      <c r="E167">
        <f t="shared" si="30"/>
        <v>0</v>
      </c>
      <c r="F167" t="str">
        <f t="shared" si="38"/>
        <v/>
      </c>
      <c r="G167">
        <f>IFERROR(IF(F167=0,"",COUNTIF($F$3:F167,"&gt;0")),"")</f>
        <v>16</v>
      </c>
      <c r="H167" t="str">
        <f t="shared" si="32"/>
        <v/>
      </c>
      <c r="I167" t="str">
        <f t="shared" si="39"/>
        <v/>
      </c>
      <c r="J167">
        <f>IFERROR(IF(I167=0,"",COUNTIF($I$3:I167,"&gt;0")),"")</f>
        <v>34</v>
      </c>
      <c r="K167" t="str">
        <f t="shared" si="33"/>
        <v/>
      </c>
      <c r="L167" t="str">
        <f t="shared" si="40"/>
        <v/>
      </c>
      <c r="M167" t="str">
        <f t="shared" si="41"/>
        <v/>
      </c>
      <c r="N167">
        <f>IFERROR(IF(M167=0,"",COUNTIF($M$3:M167,"&gt;0")),"")</f>
        <v>33</v>
      </c>
      <c r="O167" t="str">
        <f t="shared" si="34"/>
        <v/>
      </c>
      <c r="P167" t="str">
        <f t="shared" si="42"/>
        <v/>
      </c>
      <c r="Q167" t="str">
        <f t="shared" si="43"/>
        <v/>
      </c>
      <c r="R167">
        <f>IFERROR(IF(Q167=0,"",COUNTIF($Q$3:Q167,"&gt;0")),"")</f>
        <v>16</v>
      </c>
      <c r="S167" t="str">
        <f t="shared" si="35"/>
        <v/>
      </c>
      <c r="T167" t="str">
        <f t="shared" si="44"/>
        <v/>
      </c>
      <c r="U167">
        <f>IFERROR(IF(T167=0,"",COUNTIF($T$3:T167,"&gt;0")),"")</f>
        <v>0</v>
      </c>
      <c r="V167" t="str">
        <f t="shared" si="36"/>
        <v/>
      </c>
      <c r="W167" t="e">
        <f t="shared" si="37"/>
        <v>#VALUE!</v>
      </c>
      <c r="X167">
        <f>'OTHER PLANT ATTN.'!C:C</f>
        <v>0</v>
      </c>
      <c r="Y167" t="e">
        <f>Table1[[#This Row],[CATEGORY ]]</f>
        <v>#VALUE!</v>
      </c>
      <c r="Z167" t="e">
        <f>Table1[[#This Row],[PLANT]]</f>
        <v>#VALUE!</v>
      </c>
    </row>
    <row r="168" spans="1:26">
      <c r="A168" t="str">
        <f t="shared" si="31"/>
        <v>000</v>
      </c>
      <c r="B168">
        <f>Table4[[#This Row],[CATEGORY]]</f>
        <v>0</v>
      </c>
      <c r="C168">
        <f>Table4[[#This Row],[SUB-CATEGORY]]</f>
        <v>0</v>
      </c>
      <c r="D168">
        <f>'RJ ATTENDENCE SHEET'!C:C</f>
        <v>0</v>
      </c>
      <c r="E168">
        <f t="shared" si="30"/>
        <v>0</v>
      </c>
      <c r="F168" t="str">
        <f t="shared" si="38"/>
        <v/>
      </c>
      <c r="G168">
        <f>IFERROR(IF(F168=0,"",COUNTIF($F$3:F168,"&gt;0")),"")</f>
        <v>16</v>
      </c>
      <c r="H168" t="str">
        <f t="shared" si="32"/>
        <v/>
      </c>
      <c r="I168" t="str">
        <f t="shared" si="39"/>
        <v/>
      </c>
      <c r="J168">
        <f>IFERROR(IF(I168=0,"",COUNTIF($I$3:I168,"&gt;0")),"")</f>
        <v>34</v>
      </c>
      <c r="K168" t="str">
        <f t="shared" si="33"/>
        <v/>
      </c>
      <c r="L168" t="str">
        <f t="shared" si="40"/>
        <v/>
      </c>
      <c r="M168" t="str">
        <f t="shared" si="41"/>
        <v/>
      </c>
      <c r="N168">
        <f>IFERROR(IF(M168=0,"",COUNTIF($M$3:M168,"&gt;0")),"")</f>
        <v>33</v>
      </c>
      <c r="O168" t="str">
        <f t="shared" si="34"/>
        <v/>
      </c>
      <c r="P168" t="str">
        <f t="shared" si="42"/>
        <v/>
      </c>
      <c r="Q168" t="str">
        <f t="shared" si="43"/>
        <v/>
      </c>
      <c r="R168">
        <f>IFERROR(IF(Q168=0,"",COUNTIF($Q$3:Q168,"&gt;0")),"")</f>
        <v>16</v>
      </c>
      <c r="S168" t="str">
        <f t="shared" si="35"/>
        <v/>
      </c>
      <c r="T168" t="str">
        <f t="shared" si="44"/>
        <v/>
      </c>
      <c r="U168">
        <f>IFERROR(IF(T168=0,"",COUNTIF($T$3:T168,"&gt;0")),"")</f>
        <v>0</v>
      </c>
      <c r="V168" t="str">
        <f t="shared" si="36"/>
        <v/>
      </c>
      <c r="W168" t="e">
        <f t="shared" si="37"/>
        <v>#VALUE!</v>
      </c>
      <c r="X168">
        <f>'OTHER PLANT ATTN.'!C:C</f>
        <v>0</v>
      </c>
      <c r="Y168" t="e">
        <f>Table1[[#This Row],[CATEGORY ]]</f>
        <v>#VALUE!</v>
      </c>
      <c r="Z168" t="e">
        <f>Table1[[#This Row],[PLANT]]</f>
        <v>#VALUE!</v>
      </c>
    </row>
    <row r="169" spans="1:26">
      <c r="A169" t="str">
        <f t="shared" si="31"/>
        <v>000</v>
      </c>
      <c r="B169">
        <f>Table4[[#This Row],[CATEGORY]]</f>
        <v>0</v>
      </c>
      <c r="C169">
        <f>Table4[[#This Row],[SUB-CATEGORY]]</f>
        <v>0</v>
      </c>
      <c r="D169">
        <f>'RJ ATTENDENCE SHEET'!C:C</f>
        <v>0</v>
      </c>
      <c r="E169">
        <f t="shared" si="30"/>
        <v>0</v>
      </c>
      <c r="F169" t="str">
        <f t="shared" si="38"/>
        <v/>
      </c>
      <c r="G169">
        <f>IFERROR(IF(F169=0,"",COUNTIF($F$3:F169,"&gt;0")),"")</f>
        <v>16</v>
      </c>
      <c r="H169" t="str">
        <f t="shared" si="32"/>
        <v/>
      </c>
      <c r="I169" t="str">
        <f t="shared" si="39"/>
        <v/>
      </c>
      <c r="J169">
        <f>IFERROR(IF(I169=0,"",COUNTIF($I$3:I169,"&gt;0")),"")</f>
        <v>34</v>
      </c>
      <c r="K169" t="str">
        <f t="shared" si="33"/>
        <v/>
      </c>
      <c r="L169" t="str">
        <f t="shared" si="40"/>
        <v/>
      </c>
      <c r="M169" t="str">
        <f t="shared" si="41"/>
        <v/>
      </c>
      <c r="N169">
        <f>IFERROR(IF(M169=0,"",COUNTIF($M$3:M169,"&gt;0")),"")</f>
        <v>33</v>
      </c>
      <c r="O169" t="str">
        <f t="shared" si="34"/>
        <v/>
      </c>
      <c r="P169" t="str">
        <f t="shared" si="42"/>
        <v/>
      </c>
      <c r="Q169" t="str">
        <f t="shared" si="43"/>
        <v/>
      </c>
      <c r="R169">
        <f>IFERROR(IF(Q169=0,"",COUNTIF($Q$3:Q169,"&gt;0")),"")</f>
        <v>16</v>
      </c>
      <c r="S169" t="str">
        <f t="shared" si="35"/>
        <v/>
      </c>
      <c r="T169" t="str">
        <f t="shared" si="44"/>
        <v/>
      </c>
      <c r="U169">
        <f>IFERROR(IF(T169=0,"",COUNTIF($T$3:T169,"&gt;0")),"")</f>
        <v>0</v>
      </c>
      <c r="V169" t="str">
        <f t="shared" si="36"/>
        <v/>
      </c>
      <c r="W169" t="e">
        <f t="shared" si="37"/>
        <v>#VALUE!</v>
      </c>
      <c r="X169">
        <f>'OTHER PLANT ATTN.'!C:C</f>
        <v>0</v>
      </c>
      <c r="Y169" t="e">
        <f>Table1[[#This Row],[CATEGORY ]]</f>
        <v>#VALUE!</v>
      </c>
      <c r="Z169" t="e">
        <f>Table1[[#This Row],[PLANT]]</f>
        <v>#VALUE!</v>
      </c>
    </row>
    <row r="170" spans="1:26">
      <c r="A170" t="str">
        <f t="shared" si="31"/>
        <v>000</v>
      </c>
      <c r="B170">
        <f>Table4[[#This Row],[CATEGORY]]</f>
        <v>0</v>
      </c>
      <c r="C170">
        <f>Table4[[#This Row],[SUB-CATEGORY]]</f>
        <v>0</v>
      </c>
      <c r="D170">
        <f>'RJ ATTENDENCE SHEET'!C:C</f>
        <v>0</v>
      </c>
      <c r="E170">
        <f t="shared" si="30"/>
        <v>0</v>
      </c>
      <c r="F170" t="str">
        <f t="shared" si="38"/>
        <v/>
      </c>
      <c r="G170">
        <f>IFERROR(IF(F170=0,"",COUNTIF($F$3:F170,"&gt;0")),"")</f>
        <v>16</v>
      </c>
      <c r="H170" t="str">
        <f t="shared" si="32"/>
        <v/>
      </c>
      <c r="I170" t="str">
        <f t="shared" si="39"/>
        <v/>
      </c>
      <c r="J170">
        <f>IFERROR(IF(I170=0,"",COUNTIF($I$3:I170,"&gt;0")),"")</f>
        <v>34</v>
      </c>
      <c r="K170" t="str">
        <f t="shared" si="33"/>
        <v/>
      </c>
      <c r="L170" t="str">
        <f t="shared" si="40"/>
        <v/>
      </c>
      <c r="M170" t="str">
        <f t="shared" si="41"/>
        <v/>
      </c>
      <c r="N170">
        <f>IFERROR(IF(M170=0,"",COUNTIF($M$3:M170,"&gt;0")),"")</f>
        <v>33</v>
      </c>
      <c r="O170" t="str">
        <f t="shared" si="34"/>
        <v/>
      </c>
      <c r="P170" t="str">
        <f t="shared" si="42"/>
        <v/>
      </c>
      <c r="Q170" t="str">
        <f t="shared" si="43"/>
        <v/>
      </c>
      <c r="R170">
        <f>IFERROR(IF(Q170=0,"",COUNTIF($Q$3:Q170,"&gt;0")),"")</f>
        <v>16</v>
      </c>
      <c r="S170" t="str">
        <f t="shared" si="35"/>
        <v/>
      </c>
      <c r="T170" t="str">
        <f t="shared" si="44"/>
        <v/>
      </c>
      <c r="U170">
        <f>IFERROR(IF(T170=0,"",COUNTIF($T$3:T170,"&gt;0")),"")</f>
        <v>0</v>
      </c>
      <c r="V170" t="str">
        <f t="shared" si="36"/>
        <v/>
      </c>
      <c r="W170" t="e">
        <f t="shared" si="37"/>
        <v>#VALUE!</v>
      </c>
      <c r="X170">
        <f>'OTHER PLANT ATTN.'!C:C</f>
        <v>0</v>
      </c>
      <c r="Y170" t="e">
        <f>Table1[[#This Row],[CATEGORY ]]</f>
        <v>#VALUE!</v>
      </c>
      <c r="Z170" t="e">
        <f>Table1[[#This Row],[PLANT]]</f>
        <v>#VALUE!</v>
      </c>
    </row>
    <row r="171" spans="1:26">
      <c r="A171" t="str">
        <f t="shared" si="31"/>
        <v>000</v>
      </c>
      <c r="B171">
        <f>Table4[[#This Row],[CATEGORY]]</f>
        <v>0</v>
      </c>
      <c r="C171">
        <f>Table4[[#This Row],[SUB-CATEGORY]]</f>
        <v>0</v>
      </c>
      <c r="D171">
        <f>'RJ ATTENDENCE SHEET'!C:C</f>
        <v>0</v>
      </c>
      <c r="E171">
        <f t="shared" si="30"/>
        <v>0</v>
      </c>
      <c r="F171" t="str">
        <f t="shared" si="38"/>
        <v/>
      </c>
      <c r="G171">
        <f>IFERROR(IF(F171=0,"",COUNTIF($F$3:F171,"&gt;0")),"")</f>
        <v>16</v>
      </c>
      <c r="H171" t="str">
        <f t="shared" si="32"/>
        <v/>
      </c>
      <c r="I171" t="str">
        <f t="shared" si="39"/>
        <v/>
      </c>
      <c r="J171">
        <f>IFERROR(IF(I171=0,"",COUNTIF($I$3:I171,"&gt;0")),"")</f>
        <v>34</v>
      </c>
      <c r="K171" t="str">
        <f t="shared" si="33"/>
        <v/>
      </c>
      <c r="L171" t="str">
        <f t="shared" si="40"/>
        <v/>
      </c>
      <c r="M171" t="str">
        <f t="shared" si="41"/>
        <v/>
      </c>
      <c r="N171">
        <f>IFERROR(IF(M171=0,"",COUNTIF($M$3:M171,"&gt;0")),"")</f>
        <v>33</v>
      </c>
      <c r="O171" t="str">
        <f t="shared" si="34"/>
        <v/>
      </c>
      <c r="P171" t="str">
        <f t="shared" si="42"/>
        <v/>
      </c>
      <c r="Q171" t="str">
        <f t="shared" si="43"/>
        <v/>
      </c>
      <c r="R171">
        <f>IFERROR(IF(Q171=0,"",COUNTIF($Q$3:Q171,"&gt;0")),"")</f>
        <v>16</v>
      </c>
      <c r="S171" t="str">
        <f t="shared" si="35"/>
        <v/>
      </c>
      <c r="T171" t="str">
        <f t="shared" si="44"/>
        <v/>
      </c>
      <c r="U171">
        <f>IFERROR(IF(T171=0,"",COUNTIF($T$3:T171,"&gt;0")),"")</f>
        <v>0</v>
      </c>
      <c r="V171" t="str">
        <f t="shared" si="36"/>
        <v/>
      </c>
      <c r="W171" t="e">
        <f t="shared" si="37"/>
        <v>#VALUE!</v>
      </c>
      <c r="X171">
        <f>'OTHER PLANT ATTN.'!C:C</f>
        <v>0</v>
      </c>
      <c r="Y171" t="e">
        <f>Table1[[#This Row],[CATEGORY ]]</f>
        <v>#VALUE!</v>
      </c>
      <c r="Z171" t="e">
        <f>Table1[[#This Row],[PLANT]]</f>
        <v>#VALUE!</v>
      </c>
    </row>
    <row r="172" spans="1:26">
      <c r="A172" t="str">
        <f t="shared" si="31"/>
        <v>000</v>
      </c>
      <c r="B172">
        <f>Table4[[#This Row],[CATEGORY]]</f>
        <v>0</v>
      </c>
      <c r="C172">
        <f>Table4[[#This Row],[SUB-CATEGORY]]</f>
        <v>0</v>
      </c>
      <c r="D172">
        <f>'RJ ATTENDENCE SHEET'!C:C</f>
        <v>0</v>
      </c>
      <c r="E172">
        <f t="shared" si="30"/>
        <v>0</v>
      </c>
      <c r="F172" t="str">
        <f t="shared" si="38"/>
        <v/>
      </c>
      <c r="G172">
        <f>IFERROR(IF(F172=0,"",COUNTIF($F$3:F172,"&gt;0")),"")</f>
        <v>16</v>
      </c>
      <c r="H172" t="str">
        <f t="shared" si="32"/>
        <v/>
      </c>
      <c r="I172" t="str">
        <f t="shared" si="39"/>
        <v/>
      </c>
      <c r="J172">
        <f>IFERROR(IF(I172=0,"",COUNTIF($I$3:I172,"&gt;0")),"")</f>
        <v>34</v>
      </c>
      <c r="K172" t="str">
        <f t="shared" si="33"/>
        <v/>
      </c>
      <c r="L172" t="str">
        <f t="shared" si="40"/>
        <v/>
      </c>
      <c r="M172" t="str">
        <f t="shared" si="41"/>
        <v/>
      </c>
      <c r="N172">
        <f>IFERROR(IF(M172=0,"",COUNTIF($M$3:M172,"&gt;0")),"")</f>
        <v>33</v>
      </c>
      <c r="O172" t="str">
        <f t="shared" si="34"/>
        <v/>
      </c>
      <c r="P172" t="str">
        <f t="shared" si="42"/>
        <v/>
      </c>
      <c r="Q172" t="str">
        <f t="shared" si="43"/>
        <v/>
      </c>
      <c r="R172">
        <f>IFERROR(IF(Q172=0,"",COUNTIF($Q$3:Q172,"&gt;0")),"")</f>
        <v>16</v>
      </c>
      <c r="S172" t="str">
        <f t="shared" si="35"/>
        <v/>
      </c>
      <c r="T172" t="str">
        <f t="shared" si="44"/>
        <v/>
      </c>
      <c r="U172">
        <f>IFERROR(IF(T172=0,"",COUNTIF($T$3:T172,"&gt;0")),"")</f>
        <v>0</v>
      </c>
      <c r="V172" t="str">
        <f t="shared" si="36"/>
        <v/>
      </c>
      <c r="W172" t="e">
        <f t="shared" si="37"/>
        <v>#VALUE!</v>
      </c>
      <c r="X172">
        <f>'OTHER PLANT ATTN.'!C:C</f>
        <v>0</v>
      </c>
      <c r="Y172" t="e">
        <f>Table1[[#This Row],[CATEGORY ]]</f>
        <v>#VALUE!</v>
      </c>
      <c r="Z172" t="e">
        <f>Table1[[#This Row],[PLANT]]</f>
        <v>#VALUE!</v>
      </c>
    </row>
    <row r="173" spans="1:26">
      <c r="A173" t="str">
        <f t="shared" si="31"/>
        <v>000</v>
      </c>
      <c r="B173">
        <f>Table4[[#This Row],[CATEGORY]]</f>
        <v>0</v>
      </c>
      <c r="C173">
        <f>Table4[[#This Row],[SUB-CATEGORY]]</f>
        <v>0</v>
      </c>
      <c r="D173">
        <f>'RJ ATTENDENCE SHEET'!C:C</f>
        <v>0</v>
      </c>
      <c r="E173">
        <f t="shared" si="30"/>
        <v>0</v>
      </c>
      <c r="F173" t="str">
        <f t="shared" si="38"/>
        <v/>
      </c>
      <c r="G173">
        <f>IFERROR(IF(F173=0,"",COUNTIF($F$3:F173,"&gt;0")),"")</f>
        <v>16</v>
      </c>
      <c r="H173" t="str">
        <f t="shared" si="32"/>
        <v/>
      </c>
      <c r="I173" t="str">
        <f t="shared" si="39"/>
        <v/>
      </c>
      <c r="J173">
        <f>IFERROR(IF(I173=0,"",COUNTIF($I$3:I173,"&gt;0")),"")</f>
        <v>34</v>
      </c>
      <c r="K173" t="str">
        <f t="shared" si="33"/>
        <v/>
      </c>
      <c r="L173" t="str">
        <f t="shared" si="40"/>
        <v/>
      </c>
      <c r="M173" t="str">
        <f t="shared" si="41"/>
        <v/>
      </c>
      <c r="N173">
        <f>IFERROR(IF(M173=0,"",COUNTIF($M$3:M173,"&gt;0")),"")</f>
        <v>33</v>
      </c>
      <c r="O173" t="str">
        <f t="shared" si="34"/>
        <v/>
      </c>
      <c r="P173" t="str">
        <f t="shared" si="42"/>
        <v/>
      </c>
      <c r="Q173" t="str">
        <f t="shared" si="43"/>
        <v/>
      </c>
      <c r="R173">
        <f>IFERROR(IF(Q173=0,"",COUNTIF($Q$3:Q173,"&gt;0")),"")</f>
        <v>16</v>
      </c>
      <c r="S173" t="str">
        <f t="shared" si="35"/>
        <v/>
      </c>
      <c r="T173" t="str">
        <f t="shared" si="44"/>
        <v/>
      </c>
      <c r="U173">
        <f>IFERROR(IF(T173=0,"",COUNTIF($T$3:T173,"&gt;0")),"")</f>
        <v>0</v>
      </c>
      <c r="V173" t="str">
        <f t="shared" si="36"/>
        <v/>
      </c>
      <c r="W173" t="e">
        <f t="shared" si="37"/>
        <v>#VALUE!</v>
      </c>
      <c r="X173">
        <f>'OTHER PLANT ATTN.'!C:C</f>
        <v>0</v>
      </c>
      <c r="Y173" t="e">
        <f>Table1[[#This Row],[CATEGORY ]]</f>
        <v>#VALUE!</v>
      </c>
      <c r="Z173" t="e">
        <f>Table1[[#This Row],[PLANT]]</f>
        <v>#VALUE!</v>
      </c>
    </row>
    <row r="174" spans="1:26">
      <c r="A174" t="str">
        <f t="shared" si="31"/>
        <v>000</v>
      </c>
      <c r="B174">
        <f>Table4[[#This Row],[CATEGORY]]</f>
        <v>0</v>
      </c>
      <c r="C174">
        <f>Table4[[#This Row],[SUB-CATEGORY]]</f>
        <v>0</v>
      </c>
      <c r="D174">
        <f>'RJ ATTENDENCE SHEET'!C:C</f>
        <v>0</v>
      </c>
      <c r="E174">
        <f t="shared" si="30"/>
        <v>0</v>
      </c>
      <c r="F174" t="str">
        <f t="shared" si="38"/>
        <v/>
      </c>
      <c r="G174">
        <f>IFERROR(IF(F174=0,"",COUNTIF($F$3:F174,"&gt;0")),"")</f>
        <v>16</v>
      </c>
      <c r="H174" t="str">
        <f t="shared" si="32"/>
        <v/>
      </c>
      <c r="I174" t="str">
        <f t="shared" si="39"/>
        <v/>
      </c>
      <c r="J174">
        <f>IFERROR(IF(I174=0,"",COUNTIF($I$3:I174,"&gt;0")),"")</f>
        <v>34</v>
      </c>
      <c r="K174" t="str">
        <f t="shared" si="33"/>
        <v/>
      </c>
      <c r="L174" t="str">
        <f t="shared" si="40"/>
        <v/>
      </c>
      <c r="M174" t="str">
        <f t="shared" si="41"/>
        <v/>
      </c>
      <c r="N174">
        <f>IFERROR(IF(M174=0,"",COUNTIF($M$3:M174,"&gt;0")),"")</f>
        <v>33</v>
      </c>
      <c r="O174" t="str">
        <f t="shared" si="34"/>
        <v/>
      </c>
      <c r="P174" t="str">
        <f t="shared" si="42"/>
        <v/>
      </c>
      <c r="Q174" t="str">
        <f t="shared" si="43"/>
        <v/>
      </c>
      <c r="R174">
        <f>IFERROR(IF(Q174=0,"",COUNTIF($Q$3:Q174,"&gt;0")),"")</f>
        <v>16</v>
      </c>
      <c r="S174" t="str">
        <f t="shared" si="35"/>
        <v/>
      </c>
      <c r="T174" t="str">
        <f t="shared" si="44"/>
        <v/>
      </c>
      <c r="U174">
        <f>IFERROR(IF(T174=0,"",COUNTIF($T$3:T174,"&gt;0")),"")</f>
        <v>0</v>
      </c>
      <c r="V174" t="str">
        <f t="shared" si="36"/>
        <v/>
      </c>
      <c r="W174" t="e">
        <f t="shared" si="37"/>
        <v>#VALUE!</v>
      </c>
      <c r="X174">
        <f>'OTHER PLANT ATTN.'!C:C</f>
        <v>0</v>
      </c>
      <c r="Y174" t="e">
        <f>Table1[[#This Row],[CATEGORY ]]</f>
        <v>#VALUE!</v>
      </c>
      <c r="Z174" t="e">
        <f>Table1[[#This Row],[PLANT]]</f>
        <v>#VALUE!</v>
      </c>
    </row>
    <row r="175" spans="1:26">
      <c r="A175" t="str">
        <f t="shared" si="31"/>
        <v>000</v>
      </c>
      <c r="B175">
        <f>Table4[[#This Row],[CATEGORY]]</f>
        <v>0</v>
      </c>
      <c r="C175">
        <f>Table4[[#This Row],[SUB-CATEGORY]]</f>
        <v>0</v>
      </c>
      <c r="D175">
        <f>'RJ ATTENDENCE SHEET'!C:C</f>
        <v>0</v>
      </c>
      <c r="E175">
        <f t="shared" si="30"/>
        <v>0</v>
      </c>
      <c r="F175" t="str">
        <f t="shared" si="38"/>
        <v/>
      </c>
      <c r="G175">
        <f>IFERROR(IF(F175=0,"",COUNTIF($F$3:F175,"&gt;0")),"")</f>
        <v>16</v>
      </c>
      <c r="H175" t="str">
        <f t="shared" si="32"/>
        <v/>
      </c>
      <c r="I175" t="str">
        <f t="shared" si="39"/>
        <v/>
      </c>
      <c r="J175">
        <f>IFERROR(IF(I175=0,"",COUNTIF($I$3:I175,"&gt;0")),"")</f>
        <v>34</v>
      </c>
      <c r="K175" t="str">
        <f t="shared" si="33"/>
        <v/>
      </c>
      <c r="L175" t="str">
        <f t="shared" si="40"/>
        <v/>
      </c>
      <c r="M175" t="str">
        <f t="shared" si="41"/>
        <v/>
      </c>
      <c r="N175">
        <f>IFERROR(IF(M175=0,"",COUNTIF($M$3:M175,"&gt;0")),"")</f>
        <v>33</v>
      </c>
      <c r="O175" t="str">
        <f t="shared" si="34"/>
        <v/>
      </c>
      <c r="P175" t="str">
        <f t="shared" si="42"/>
        <v/>
      </c>
      <c r="Q175" t="str">
        <f t="shared" si="43"/>
        <v/>
      </c>
      <c r="R175">
        <f>IFERROR(IF(Q175=0,"",COUNTIF($Q$3:Q175,"&gt;0")),"")</f>
        <v>16</v>
      </c>
      <c r="S175" t="str">
        <f t="shared" si="35"/>
        <v/>
      </c>
      <c r="T175" t="str">
        <f t="shared" si="44"/>
        <v/>
      </c>
      <c r="U175">
        <f>IFERROR(IF(T175=0,"",COUNTIF($T$3:T175,"&gt;0")),"")</f>
        <v>0</v>
      </c>
      <c r="V175" t="str">
        <f t="shared" si="36"/>
        <v/>
      </c>
      <c r="W175" t="e">
        <f t="shared" si="37"/>
        <v>#VALUE!</v>
      </c>
      <c r="X175">
        <f>'OTHER PLANT ATTN.'!C:C</f>
        <v>0</v>
      </c>
      <c r="Y175" t="e">
        <f>Table1[[#This Row],[CATEGORY ]]</f>
        <v>#VALUE!</v>
      </c>
      <c r="Z175" t="e">
        <f>Table1[[#This Row],[PLANT]]</f>
        <v>#VALUE!</v>
      </c>
    </row>
    <row r="176" spans="1:26">
      <c r="A176" t="str">
        <f t="shared" si="31"/>
        <v>000</v>
      </c>
      <c r="B176">
        <f>Table4[[#This Row],[CATEGORY]]</f>
        <v>0</v>
      </c>
      <c r="C176">
        <f>Table4[[#This Row],[SUB-CATEGORY]]</f>
        <v>0</v>
      </c>
      <c r="D176">
        <f>'RJ ATTENDENCE SHEET'!C:C</f>
        <v>0</v>
      </c>
      <c r="E176">
        <f t="shared" si="30"/>
        <v>0</v>
      </c>
      <c r="F176" t="str">
        <f t="shared" si="38"/>
        <v/>
      </c>
      <c r="G176">
        <f>IFERROR(IF(F176=0,"",COUNTIF($F$3:F176,"&gt;0")),"")</f>
        <v>16</v>
      </c>
      <c r="H176" t="str">
        <f t="shared" si="32"/>
        <v/>
      </c>
      <c r="I176" t="str">
        <f t="shared" si="39"/>
        <v/>
      </c>
      <c r="J176">
        <f>IFERROR(IF(I176=0,"",COUNTIF($I$3:I176,"&gt;0")),"")</f>
        <v>34</v>
      </c>
      <c r="K176" t="str">
        <f t="shared" si="33"/>
        <v/>
      </c>
      <c r="L176" t="str">
        <f t="shared" si="40"/>
        <v/>
      </c>
      <c r="M176" t="str">
        <f t="shared" si="41"/>
        <v/>
      </c>
      <c r="N176">
        <f>IFERROR(IF(M176=0,"",COUNTIF($M$3:M176,"&gt;0")),"")</f>
        <v>33</v>
      </c>
      <c r="O176" t="str">
        <f t="shared" si="34"/>
        <v/>
      </c>
      <c r="P176" t="str">
        <f t="shared" si="42"/>
        <v/>
      </c>
      <c r="Q176" t="str">
        <f t="shared" si="43"/>
        <v/>
      </c>
      <c r="R176">
        <f>IFERROR(IF(Q176=0,"",COUNTIF($Q$3:Q176,"&gt;0")),"")</f>
        <v>16</v>
      </c>
      <c r="S176" t="str">
        <f t="shared" si="35"/>
        <v/>
      </c>
      <c r="T176" t="str">
        <f t="shared" si="44"/>
        <v/>
      </c>
      <c r="U176">
        <f>IFERROR(IF(T176=0,"",COUNTIF($T$3:T176,"&gt;0")),"")</f>
        <v>0</v>
      </c>
      <c r="V176" t="str">
        <f t="shared" si="36"/>
        <v/>
      </c>
      <c r="W176" t="e">
        <f t="shared" si="37"/>
        <v>#VALUE!</v>
      </c>
      <c r="X176">
        <f>'OTHER PLANT ATTN.'!C:C</f>
        <v>0</v>
      </c>
      <c r="Y176" t="e">
        <f>Table1[[#This Row],[CATEGORY ]]</f>
        <v>#VALUE!</v>
      </c>
      <c r="Z176" t="e">
        <f>Table1[[#This Row],[PLANT]]</f>
        <v>#VALUE!</v>
      </c>
    </row>
    <row r="177" spans="1:26">
      <c r="A177" t="str">
        <f t="shared" si="31"/>
        <v>000</v>
      </c>
      <c r="B177">
        <f>Table4[[#This Row],[CATEGORY]]</f>
        <v>0</v>
      </c>
      <c r="C177">
        <f>Table4[[#This Row],[SUB-CATEGORY]]</f>
        <v>0</v>
      </c>
      <c r="D177">
        <f>'RJ ATTENDENCE SHEET'!C:C</f>
        <v>0</v>
      </c>
      <c r="E177">
        <f t="shared" si="30"/>
        <v>0</v>
      </c>
      <c r="F177" t="str">
        <f t="shared" si="38"/>
        <v/>
      </c>
      <c r="G177">
        <f>IFERROR(IF(F177=0,"",COUNTIF($F$3:F177,"&gt;0")),"")</f>
        <v>16</v>
      </c>
      <c r="H177" t="str">
        <f t="shared" si="32"/>
        <v/>
      </c>
      <c r="I177" t="str">
        <f t="shared" si="39"/>
        <v/>
      </c>
      <c r="J177">
        <f>IFERROR(IF(I177=0,"",COUNTIF($I$3:I177,"&gt;0")),"")</f>
        <v>34</v>
      </c>
      <c r="K177" t="str">
        <f t="shared" si="33"/>
        <v/>
      </c>
      <c r="L177" t="str">
        <f t="shared" si="40"/>
        <v/>
      </c>
      <c r="M177" t="str">
        <f t="shared" si="41"/>
        <v/>
      </c>
      <c r="N177">
        <f>IFERROR(IF(M177=0,"",COUNTIF($M$3:M177,"&gt;0")),"")</f>
        <v>33</v>
      </c>
      <c r="O177" t="str">
        <f t="shared" si="34"/>
        <v/>
      </c>
      <c r="P177" t="str">
        <f t="shared" si="42"/>
        <v/>
      </c>
      <c r="Q177" t="str">
        <f t="shared" si="43"/>
        <v/>
      </c>
      <c r="R177">
        <f>IFERROR(IF(Q177=0,"",COUNTIF($Q$3:Q177,"&gt;0")),"")</f>
        <v>16</v>
      </c>
      <c r="S177" t="str">
        <f t="shared" si="35"/>
        <v/>
      </c>
      <c r="T177" t="str">
        <f t="shared" si="44"/>
        <v/>
      </c>
      <c r="U177">
        <f>IFERROR(IF(T177=0,"",COUNTIF($T$3:T177,"&gt;0")),"")</f>
        <v>0</v>
      </c>
      <c r="V177" t="str">
        <f t="shared" si="36"/>
        <v/>
      </c>
      <c r="W177" t="e">
        <f t="shared" si="37"/>
        <v>#VALUE!</v>
      </c>
      <c r="X177">
        <f>'OTHER PLANT ATTN.'!C:C</f>
        <v>0</v>
      </c>
      <c r="Y177" t="e">
        <f>Table1[[#This Row],[CATEGORY ]]</f>
        <v>#VALUE!</v>
      </c>
      <c r="Z177" t="e">
        <f>Table1[[#This Row],[PLANT]]</f>
        <v>#VALUE!</v>
      </c>
    </row>
    <row r="178" spans="1:26">
      <c r="A178" t="str">
        <f t="shared" si="31"/>
        <v>000</v>
      </c>
      <c r="B178">
        <f>Table4[[#This Row],[CATEGORY]]</f>
        <v>0</v>
      </c>
      <c r="C178">
        <f>Table4[[#This Row],[SUB-CATEGORY]]</f>
        <v>0</v>
      </c>
      <c r="D178">
        <f>'RJ ATTENDENCE SHEET'!C:C</f>
        <v>0</v>
      </c>
      <c r="E178">
        <f t="shared" si="30"/>
        <v>0</v>
      </c>
      <c r="F178" t="str">
        <f t="shared" si="38"/>
        <v/>
      </c>
      <c r="G178">
        <f>IFERROR(IF(F178=0,"",COUNTIF($F$3:F178,"&gt;0")),"")</f>
        <v>16</v>
      </c>
      <c r="H178" t="str">
        <f t="shared" si="32"/>
        <v/>
      </c>
      <c r="I178" t="str">
        <f t="shared" si="39"/>
        <v/>
      </c>
      <c r="J178">
        <f>IFERROR(IF(I178=0,"",COUNTIF($I$3:I178,"&gt;0")),"")</f>
        <v>34</v>
      </c>
      <c r="K178" t="str">
        <f t="shared" si="33"/>
        <v/>
      </c>
      <c r="L178" t="str">
        <f t="shared" si="40"/>
        <v/>
      </c>
      <c r="M178" t="str">
        <f t="shared" si="41"/>
        <v/>
      </c>
      <c r="N178">
        <f>IFERROR(IF(M178=0,"",COUNTIF($M$3:M178,"&gt;0")),"")</f>
        <v>33</v>
      </c>
      <c r="O178" t="str">
        <f t="shared" si="34"/>
        <v/>
      </c>
      <c r="P178" t="str">
        <f t="shared" si="42"/>
        <v/>
      </c>
      <c r="Q178" t="str">
        <f t="shared" si="43"/>
        <v/>
      </c>
      <c r="R178">
        <f>IFERROR(IF(Q178=0,"",COUNTIF($Q$3:Q178,"&gt;0")),"")</f>
        <v>16</v>
      </c>
      <c r="S178" t="str">
        <f t="shared" si="35"/>
        <v/>
      </c>
      <c r="T178" t="str">
        <f t="shared" si="44"/>
        <v/>
      </c>
      <c r="U178">
        <f>IFERROR(IF(T178=0,"",COUNTIF($T$3:T178,"&gt;0")),"")</f>
        <v>0</v>
      </c>
      <c r="V178" t="str">
        <f t="shared" si="36"/>
        <v/>
      </c>
      <c r="W178" t="e">
        <f t="shared" si="37"/>
        <v>#VALUE!</v>
      </c>
      <c r="X178">
        <f>'OTHER PLANT ATTN.'!C:C</f>
        <v>0</v>
      </c>
      <c r="Y178" t="e">
        <f>Table1[[#This Row],[CATEGORY ]]</f>
        <v>#VALUE!</v>
      </c>
      <c r="Z178" t="e">
        <f>Table1[[#This Row],[PLANT]]</f>
        <v>#VALUE!</v>
      </c>
    </row>
    <row r="179" spans="1:26">
      <c r="A179" t="str">
        <f t="shared" si="31"/>
        <v>000</v>
      </c>
      <c r="B179">
        <f>Table4[[#This Row],[CATEGORY]]</f>
        <v>0</v>
      </c>
      <c r="C179">
        <f>Table4[[#This Row],[SUB-CATEGORY]]</f>
        <v>0</v>
      </c>
      <c r="D179">
        <f>'RJ ATTENDENCE SHEET'!C:C</f>
        <v>0</v>
      </c>
      <c r="E179">
        <f t="shared" si="30"/>
        <v>0</v>
      </c>
      <c r="F179" t="str">
        <f t="shared" si="38"/>
        <v/>
      </c>
      <c r="G179">
        <f>IFERROR(IF(F179=0,"",COUNTIF($F$3:F179,"&gt;0")),"")</f>
        <v>16</v>
      </c>
      <c r="H179" t="str">
        <f t="shared" si="32"/>
        <v/>
      </c>
      <c r="I179" t="str">
        <f t="shared" si="39"/>
        <v/>
      </c>
      <c r="J179">
        <f>IFERROR(IF(I179=0,"",COUNTIF($I$3:I179,"&gt;0")),"")</f>
        <v>34</v>
      </c>
      <c r="K179" t="str">
        <f t="shared" si="33"/>
        <v/>
      </c>
      <c r="L179" t="str">
        <f t="shared" si="40"/>
        <v/>
      </c>
      <c r="M179" t="str">
        <f t="shared" si="41"/>
        <v/>
      </c>
      <c r="N179">
        <f>IFERROR(IF(M179=0,"",COUNTIF($M$3:M179,"&gt;0")),"")</f>
        <v>33</v>
      </c>
      <c r="O179" t="str">
        <f t="shared" si="34"/>
        <v/>
      </c>
      <c r="P179" t="str">
        <f t="shared" si="42"/>
        <v/>
      </c>
      <c r="Q179" t="str">
        <f t="shared" si="43"/>
        <v/>
      </c>
      <c r="R179">
        <f>IFERROR(IF(Q179=0,"",COUNTIF($Q$3:Q179,"&gt;0")),"")</f>
        <v>16</v>
      </c>
      <c r="S179" t="str">
        <f t="shared" si="35"/>
        <v/>
      </c>
      <c r="T179" t="str">
        <f t="shared" si="44"/>
        <v/>
      </c>
      <c r="U179">
        <f>IFERROR(IF(T179=0,"",COUNTIF($T$3:T179,"&gt;0")),"")</f>
        <v>0</v>
      </c>
      <c r="V179" t="str">
        <f t="shared" si="36"/>
        <v/>
      </c>
      <c r="W179" t="e">
        <f t="shared" si="37"/>
        <v>#VALUE!</v>
      </c>
      <c r="X179">
        <f>'OTHER PLANT ATTN.'!C:C</f>
        <v>0</v>
      </c>
      <c r="Y179" t="e">
        <f>Table1[[#This Row],[CATEGORY ]]</f>
        <v>#VALUE!</v>
      </c>
      <c r="Z179" t="e">
        <f>Table1[[#This Row],[PLANT]]</f>
        <v>#VALUE!</v>
      </c>
    </row>
    <row r="180" spans="1:26">
      <c r="A180" t="str">
        <f t="shared" si="31"/>
        <v>000</v>
      </c>
      <c r="B180">
        <f>Table4[[#This Row],[CATEGORY]]</f>
        <v>0</v>
      </c>
      <c r="C180">
        <f>Table4[[#This Row],[SUB-CATEGORY]]</f>
        <v>0</v>
      </c>
      <c r="D180">
        <f>'RJ ATTENDENCE SHEET'!C:C</f>
        <v>0</v>
      </c>
      <c r="E180">
        <f t="shared" si="30"/>
        <v>0</v>
      </c>
      <c r="F180" t="str">
        <f t="shared" si="38"/>
        <v/>
      </c>
      <c r="G180">
        <f>IFERROR(IF(F180=0,"",COUNTIF($F$3:F180,"&gt;0")),"")</f>
        <v>16</v>
      </c>
      <c r="H180" t="str">
        <f t="shared" si="32"/>
        <v/>
      </c>
      <c r="I180" t="str">
        <f t="shared" si="39"/>
        <v/>
      </c>
      <c r="J180">
        <f>IFERROR(IF(I180=0,"",COUNTIF($I$3:I180,"&gt;0")),"")</f>
        <v>34</v>
      </c>
      <c r="K180" t="str">
        <f t="shared" si="33"/>
        <v/>
      </c>
      <c r="L180" t="str">
        <f t="shared" si="40"/>
        <v/>
      </c>
      <c r="M180" t="str">
        <f t="shared" si="41"/>
        <v/>
      </c>
      <c r="N180">
        <f>IFERROR(IF(M180=0,"",COUNTIF($M$3:M180,"&gt;0")),"")</f>
        <v>33</v>
      </c>
      <c r="O180" t="str">
        <f t="shared" si="34"/>
        <v/>
      </c>
      <c r="P180" t="str">
        <f t="shared" si="42"/>
        <v/>
      </c>
      <c r="Q180" t="str">
        <f t="shared" si="43"/>
        <v/>
      </c>
      <c r="R180">
        <f>IFERROR(IF(Q180=0,"",COUNTIF($Q$3:Q180,"&gt;0")),"")</f>
        <v>16</v>
      </c>
      <c r="S180" t="str">
        <f t="shared" si="35"/>
        <v/>
      </c>
      <c r="T180" t="str">
        <f t="shared" si="44"/>
        <v/>
      </c>
      <c r="U180">
        <f>IFERROR(IF(T180=0,"",COUNTIF($T$3:T180,"&gt;0")),"")</f>
        <v>0</v>
      </c>
      <c r="V180" t="str">
        <f t="shared" si="36"/>
        <v/>
      </c>
      <c r="W180" t="e">
        <f t="shared" si="37"/>
        <v>#VALUE!</v>
      </c>
      <c r="X180">
        <f>'OTHER PLANT ATTN.'!C:C</f>
        <v>0</v>
      </c>
      <c r="Y180" t="e">
        <f>Table1[[#This Row],[CATEGORY ]]</f>
        <v>#VALUE!</v>
      </c>
      <c r="Z180" t="e">
        <f>Table1[[#This Row],[PLANT]]</f>
        <v>#VALUE!</v>
      </c>
    </row>
    <row r="181" spans="1:26">
      <c r="A181" t="str">
        <f t="shared" si="31"/>
        <v>000</v>
      </c>
      <c r="B181">
        <f>Table4[[#This Row],[CATEGORY]]</f>
        <v>0</v>
      </c>
      <c r="C181">
        <f>Table4[[#This Row],[SUB-CATEGORY]]</f>
        <v>0</v>
      </c>
      <c r="D181">
        <f>'RJ ATTENDENCE SHEET'!C:C</f>
        <v>0</v>
      </c>
      <c r="E181">
        <f t="shared" si="30"/>
        <v>0</v>
      </c>
      <c r="F181" t="str">
        <f t="shared" si="38"/>
        <v/>
      </c>
      <c r="G181">
        <f>IFERROR(IF(F181=0,"",COUNTIF($F$3:F181,"&gt;0")),"")</f>
        <v>16</v>
      </c>
      <c r="H181" t="str">
        <f t="shared" si="32"/>
        <v/>
      </c>
      <c r="I181" t="str">
        <f t="shared" si="39"/>
        <v/>
      </c>
      <c r="J181">
        <f>IFERROR(IF(I181=0,"",COUNTIF($I$3:I181,"&gt;0")),"")</f>
        <v>34</v>
      </c>
      <c r="K181" t="str">
        <f t="shared" si="33"/>
        <v/>
      </c>
      <c r="L181" t="str">
        <f t="shared" si="40"/>
        <v/>
      </c>
      <c r="M181" t="str">
        <f t="shared" si="41"/>
        <v/>
      </c>
      <c r="N181">
        <f>IFERROR(IF(M181=0,"",COUNTIF($M$3:M181,"&gt;0")),"")</f>
        <v>33</v>
      </c>
      <c r="O181" t="str">
        <f t="shared" si="34"/>
        <v/>
      </c>
      <c r="P181" t="str">
        <f t="shared" si="42"/>
        <v/>
      </c>
      <c r="Q181" t="str">
        <f t="shared" si="43"/>
        <v/>
      </c>
      <c r="R181">
        <f>IFERROR(IF(Q181=0,"",COUNTIF($Q$3:Q181,"&gt;0")),"")</f>
        <v>16</v>
      </c>
      <c r="S181" t="str">
        <f t="shared" si="35"/>
        <v/>
      </c>
      <c r="T181" t="str">
        <f t="shared" si="44"/>
        <v/>
      </c>
      <c r="U181">
        <f>IFERROR(IF(T181=0,"",COUNTIF($T$3:T181,"&gt;0")),"")</f>
        <v>0</v>
      </c>
      <c r="V181" t="str">
        <f t="shared" si="36"/>
        <v/>
      </c>
      <c r="W181" t="e">
        <f t="shared" si="37"/>
        <v>#VALUE!</v>
      </c>
      <c r="X181">
        <f>'OTHER PLANT ATTN.'!C:C</f>
        <v>0</v>
      </c>
      <c r="Y181" t="e">
        <f>Table1[[#This Row],[CATEGORY ]]</f>
        <v>#VALUE!</v>
      </c>
      <c r="Z181" t="e">
        <f>Table1[[#This Row],[PLANT]]</f>
        <v>#VALUE!</v>
      </c>
    </row>
    <row r="182" spans="1:26">
      <c r="A182" t="str">
        <f t="shared" si="31"/>
        <v>000</v>
      </c>
      <c r="B182">
        <f>Table4[[#This Row],[CATEGORY]]</f>
        <v>0</v>
      </c>
      <c r="C182">
        <f>Table4[[#This Row],[SUB-CATEGORY]]</f>
        <v>0</v>
      </c>
      <c r="D182">
        <f>'RJ ATTENDENCE SHEET'!C:C</f>
        <v>0</v>
      </c>
      <c r="E182">
        <f t="shared" si="30"/>
        <v>0</v>
      </c>
      <c r="F182" t="str">
        <f t="shared" si="38"/>
        <v/>
      </c>
      <c r="G182">
        <f>IFERROR(IF(F182=0,"",COUNTIF($F$3:F182,"&gt;0")),"")</f>
        <v>16</v>
      </c>
      <c r="H182" t="str">
        <f t="shared" si="32"/>
        <v/>
      </c>
      <c r="I182" t="str">
        <f t="shared" si="39"/>
        <v/>
      </c>
      <c r="J182">
        <f>IFERROR(IF(I182=0,"",COUNTIF($I$3:I182,"&gt;0")),"")</f>
        <v>34</v>
      </c>
      <c r="K182" t="str">
        <f t="shared" si="33"/>
        <v/>
      </c>
      <c r="L182" t="str">
        <f t="shared" si="40"/>
        <v/>
      </c>
      <c r="M182" t="str">
        <f t="shared" si="41"/>
        <v/>
      </c>
      <c r="N182">
        <f>IFERROR(IF(M182=0,"",COUNTIF($M$3:M182,"&gt;0")),"")</f>
        <v>33</v>
      </c>
      <c r="O182" t="str">
        <f t="shared" si="34"/>
        <v/>
      </c>
      <c r="P182" t="str">
        <f t="shared" si="42"/>
        <v/>
      </c>
      <c r="Q182" t="str">
        <f t="shared" si="43"/>
        <v/>
      </c>
      <c r="R182">
        <f>IFERROR(IF(Q182=0,"",COUNTIF($Q$3:Q182,"&gt;0")),"")</f>
        <v>16</v>
      </c>
      <c r="S182" t="str">
        <f t="shared" si="35"/>
        <v/>
      </c>
      <c r="T182" t="str">
        <f t="shared" si="44"/>
        <v/>
      </c>
      <c r="U182">
        <f>IFERROR(IF(T182=0,"",COUNTIF($T$3:T182,"&gt;0")),"")</f>
        <v>0</v>
      </c>
      <c r="V182" t="str">
        <f t="shared" si="36"/>
        <v/>
      </c>
      <c r="W182" t="e">
        <f t="shared" si="37"/>
        <v>#VALUE!</v>
      </c>
      <c r="X182">
        <f>'OTHER PLANT ATTN.'!C:C</f>
        <v>0</v>
      </c>
      <c r="Y182" t="e">
        <f>Table1[[#This Row],[CATEGORY ]]</f>
        <v>#VALUE!</v>
      </c>
      <c r="Z182" t="e">
        <f>Table1[[#This Row],[PLANT]]</f>
        <v>#VALUE!</v>
      </c>
    </row>
    <row r="183" spans="1:26">
      <c r="A183" t="str">
        <f t="shared" si="31"/>
        <v>000</v>
      </c>
      <c r="B183">
        <f>Table4[[#This Row],[CATEGORY]]</f>
        <v>0</v>
      </c>
      <c r="C183">
        <f>Table4[[#This Row],[SUB-CATEGORY]]</f>
        <v>0</v>
      </c>
      <c r="D183">
        <f>'RJ ATTENDENCE SHEET'!C:C</f>
        <v>0</v>
      </c>
      <c r="E183">
        <f t="shared" si="30"/>
        <v>0</v>
      </c>
      <c r="F183" t="str">
        <f t="shared" si="38"/>
        <v/>
      </c>
      <c r="G183">
        <f>IFERROR(IF(F183=0,"",COUNTIF($F$3:F183,"&gt;0")),"")</f>
        <v>16</v>
      </c>
      <c r="H183" t="str">
        <f t="shared" si="32"/>
        <v/>
      </c>
      <c r="I183" t="str">
        <f t="shared" si="39"/>
        <v/>
      </c>
      <c r="J183">
        <f>IFERROR(IF(I183=0,"",COUNTIF($I$3:I183,"&gt;0")),"")</f>
        <v>34</v>
      </c>
      <c r="K183" t="str">
        <f t="shared" si="33"/>
        <v/>
      </c>
      <c r="L183" t="str">
        <f t="shared" si="40"/>
        <v/>
      </c>
      <c r="M183" t="str">
        <f t="shared" si="41"/>
        <v/>
      </c>
      <c r="N183">
        <f>IFERROR(IF(M183=0,"",COUNTIF($M$3:M183,"&gt;0")),"")</f>
        <v>33</v>
      </c>
      <c r="O183" t="str">
        <f t="shared" si="34"/>
        <v/>
      </c>
      <c r="P183" t="str">
        <f t="shared" si="42"/>
        <v/>
      </c>
      <c r="Q183" t="str">
        <f t="shared" si="43"/>
        <v/>
      </c>
      <c r="R183">
        <f>IFERROR(IF(Q183=0,"",COUNTIF($Q$3:Q183,"&gt;0")),"")</f>
        <v>16</v>
      </c>
      <c r="S183" t="str">
        <f t="shared" si="35"/>
        <v/>
      </c>
      <c r="T183" t="str">
        <f t="shared" si="44"/>
        <v/>
      </c>
      <c r="U183">
        <f>IFERROR(IF(T183=0,"",COUNTIF($T$3:T183,"&gt;0")),"")</f>
        <v>0</v>
      </c>
      <c r="V183" t="str">
        <f t="shared" si="36"/>
        <v/>
      </c>
      <c r="W183" t="e">
        <f t="shared" si="37"/>
        <v>#VALUE!</v>
      </c>
      <c r="X183">
        <f>'OTHER PLANT ATTN.'!C:C</f>
        <v>0</v>
      </c>
      <c r="Y183" t="e">
        <f>Table1[[#This Row],[CATEGORY ]]</f>
        <v>#VALUE!</v>
      </c>
      <c r="Z183" t="e">
        <f>Table1[[#This Row],[PLANT]]</f>
        <v>#VALUE!</v>
      </c>
    </row>
    <row r="184" spans="1:26">
      <c r="A184" t="str">
        <f t="shared" si="31"/>
        <v>000</v>
      </c>
      <c r="B184">
        <f>Table4[[#This Row],[CATEGORY]]</f>
        <v>0</v>
      </c>
      <c r="C184">
        <f>Table4[[#This Row],[SUB-CATEGORY]]</f>
        <v>0</v>
      </c>
      <c r="D184">
        <f>'RJ ATTENDENCE SHEET'!C:C</f>
        <v>0</v>
      </c>
      <c r="E184">
        <f t="shared" si="30"/>
        <v>0</v>
      </c>
      <c r="F184" t="str">
        <f t="shared" si="38"/>
        <v/>
      </c>
      <c r="G184">
        <f>IFERROR(IF(F184=0,"",COUNTIF($F$3:F184,"&gt;0")),"")</f>
        <v>16</v>
      </c>
      <c r="H184" t="str">
        <f t="shared" si="32"/>
        <v/>
      </c>
      <c r="I184" t="str">
        <f t="shared" si="39"/>
        <v/>
      </c>
      <c r="J184">
        <f>IFERROR(IF(I184=0,"",COUNTIF($I$3:I184,"&gt;0")),"")</f>
        <v>34</v>
      </c>
      <c r="K184" t="str">
        <f t="shared" si="33"/>
        <v/>
      </c>
      <c r="L184" t="str">
        <f t="shared" si="40"/>
        <v/>
      </c>
      <c r="M184" t="str">
        <f t="shared" si="41"/>
        <v/>
      </c>
      <c r="N184">
        <f>IFERROR(IF(M184=0,"",COUNTIF($M$3:M184,"&gt;0")),"")</f>
        <v>33</v>
      </c>
      <c r="O184" t="str">
        <f t="shared" si="34"/>
        <v/>
      </c>
      <c r="P184" t="str">
        <f t="shared" si="42"/>
        <v/>
      </c>
      <c r="Q184" t="str">
        <f t="shared" si="43"/>
        <v/>
      </c>
      <c r="R184">
        <f>IFERROR(IF(Q184=0,"",COUNTIF($Q$3:Q184,"&gt;0")),"")</f>
        <v>16</v>
      </c>
      <c r="S184" t="str">
        <f t="shared" si="35"/>
        <v/>
      </c>
      <c r="T184" t="str">
        <f t="shared" si="44"/>
        <v/>
      </c>
      <c r="U184">
        <f>IFERROR(IF(T184=0,"",COUNTIF($T$3:T184,"&gt;0")),"")</f>
        <v>0</v>
      </c>
      <c r="V184" t="str">
        <f t="shared" si="36"/>
        <v/>
      </c>
      <c r="W184" t="e">
        <f t="shared" si="37"/>
        <v>#VALUE!</v>
      </c>
      <c r="X184">
        <f>'OTHER PLANT ATTN.'!C:C</f>
        <v>0</v>
      </c>
      <c r="Y184" t="e">
        <f>Table1[[#This Row],[CATEGORY ]]</f>
        <v>#VALUE!</v>
      </c>
      <c r="Z184" t="e">
        <f>Table1[[#This Row],[PLANT]]</f>
        <v>#VALUE!</v>
      </c>
    </row>
    <row r="185" spans="1:26">
      <c r="A185" t="str">
        <f t="shared" si="31"/>
        <v>000</v>
      </c>
      <c r="B185">
        <f>Table4[[#This Row],[CATEGORY]]</f>
        <v>0</v>
      </c>
      <c r="C185">
        <f>Table4[[#This Row],[SUB-CATEGORY]]</f>
        <v>0</v>
      </c>
      <c r="D185">
        <f>'RJ ATTENDENCE SHEET'!C:C</f>
        <v>0</v>
      </c>
      <c r="E185">
        <f t="shared" si="30"/>
        <v>0</v>
      </c>
      <c r="F185" t="str">
        <f t="shared" si="38"/>
        <v/>
      </c>
      <c r="G185">
        <f>IFERROR(IF(F185=0,"",COUNTIF($F$3:F185,"&gt;0")),"")</f>
        <v>16</v>
      </c>
      <c r="H185" t="str">
        <f t="shared" si="32"/>
        <v/>
      </c>
      <c r="I185" t="str">
        <f t="shared" si="39"/>
        <v/>
      </c>
      <c r="J185">
        <f>IFERROR(IF(I185=0,"",COUNTIF($I$3:I185,"&gt;0")),"")</f>
        <v>34</v>
      </c>
      <c r="K185" t="str">
        <f t="shared" si="33"/>
        <v/>
      </c>
      <c r="L185" t="str">
        <f t="shared" si="40"/>
        <v/>
      </c>
      <c r="M185" t="str">
        <f t="shared" si="41"/>
        <v/>
      </c>
      <c r="N185">
        <f>IFERROR(IF(M185=0,"",COUNTIF($M$3:M185,"&gt;0")),"")</f>
        <v>33</v>
      </c>
      <c r="O185" t="str">
        <f t="shared" si="34"/>
        <v/>
      </c>
      <c r="P185" t="str">
        <f t="shared" si="42"/>
        <v/>
      </c>
      <c r="Q185" t="str">
        <f t="shared" si="43"/>
        <v/>
      </c>
      <c r="R185">
        <f>IFERROR(IF(Q185=0,"",COUNTIF($Q$3:Q185,"&gt;0")),"")</f>
        <v>16</v>
      </c>
      <c r="S185" t="str">
        <f t="shared" si="35"/>
        <v/>
      </c>
      <c r="T185" t="str">
        <f t="shared" si="44"/>
        <v/>
      </c>
      <c r="U185">
        <f>IFERROR(IF(T185=0,"",COUNTIF($T$3:T185,"&gt;0")),"")</f>
        <v>0</v>
      </c>
      <c r="V185" t="str">
        <f t="shared" si="36"/>
        <v/>
      </c>
      <c r="W185" t="e">
        <f t="shared" si="37"/>
        <v>#VALUE!</v>
      </c>
      <c r="X185">
        <f>'OTHER PLANT ATTN.'!C:C</f>
        <v>0</v>
      </c>
      <c r="Y185" t="e">
        <f>Table1[[#This Row],[CATEGORY ]]</f>
        <v>#VALUE!</v>
      </c>
      <c r="Z185" t="e">
        <f>Table1[[#This Row],[PLANT]]</f>
        <v>#VALUE!</v>
      </c>
    </row>
    <row r="186" spans="1:26">
      <c r="A186" t="str">
        <f t="shared" si="31"/>
        <v>000</v>
      </c>
      <c r="B186">
        <f>Table4[[#This Row],[CATEGORY]]</f>
        <v>0</v>
      </c>
      <c r="C186">
        <f>Table4[[#This Row],[SUB-CATEGORY]]</f>
        <v>0</v>
      </c>
      <c r="D186">
        <f>'RJ ATTENDENCE SHEET'!C:C</f>
        <v>0</v>
      </c>
      <c r="E186">
        <f t="shared" si="30"/>
        <v>0</v>
      </c>
      <c r="F186" t="str">
        <f t="shared" si="38"/>
        <v/>
      </c>
      <c r="G186">
        <f>IFERROR(IF(F186=0,"",COUNTIF($F$3:F186,"&gt;0")),"")</f>
        <v>16</v>
      </c>
      <c r="H186" t="str">
        <f t="shared" si="32"/>
        <v/>
      </c>
      <c r="I186" t="str">
        <f t="shared" si="39"/>
        <v/>
      </c>
      <c r="J186">
        <f>IFERROR(IF(I186=0,"",COUNTIF($I$3:I186,"&gt;0")),"")</f>
        <v>34</v>
      </c>
      <c r="K186" t="str">
        <f t="shared" si="33"/>
        <v/>
      </c>
      <c r="L186" t="str">
        <f t="shared" si="40"/>
        <v/>
      </c>
      <c r="M186" t="str">
        <f t="shared" si="41"/>
        <v/>
      </c>
      <c r="N186">
        <f>IFERROR(IF(M186=0,"",COUNTIF($M$3:M186,"&gt;0")),"")</f>
        <v>33</v>
      </c>
      <c r="O186" t="str">
        <f t="shared" si="34"/>
        <v/>
      </c>
      <c r="P186" t="str">
        <f t="shared" si="42"/>
        <v/>
      </c>
      <c r="Q186" t="str">
        <f t="shared" si="43"/>
        <v/>
      </c>
      <c r="R186">
        <f>IFERROR(IF(Q186=0,"",COUNTIF($Q$3:Q186,"&gt;0")),"")</f>
        <v>16</v>
      </c>
      <c r="S186" t="str">
        <f t="shared" si="35"/>
        <v/>
      </c>
      <c r="T186" t="str">
        <f t="shared" si="44"/>
        <v/>
      </c>
      <c r="U186">
        <f>IFERROR(IF(T186=0,"",COUNTIF($T$3:T186,"&gt;0")),"")</f>
        <v>0</v>
      </c>
      <c r="V186" t="str">
        <f t="shared" si="36"/>
        <v/>
      </c>
      <c r="W186" t="e">
        <f t="shared" si="37"/>
        <v>#VALUE!</v>
      </c>
      <c r="X186">
        <f>'OTHER PLANT ATTN.'!C:C</f>
        <v>0</v>
      </c>
      <c r="Y186" t="e">
        <f>Table1[[#This Row],[CATEGORY ]]</f>
        <v>#VALUE!</v>
      </c>
      <c r="Z186" t="e">
        <f>Table1[[#This Row],[PLANT]]</f>
        <v>#VALUE!</v>
      </c>
    </row>
    <row r="187" spans="1:26">
      <c r="A187" t="str">
        <f t="shared" si="31"/>
        <v>000</v>
      </c>
      <c r="B187">
        <f>Table4[[#This Row],[CATEGORY]]</f>
        <v>0</v>
      </c>
      <c r="C187">
        <f>Table4[[#This Row],[SUB-CATEGORY]]</f>
        <v>0</v>
      </c>
      <c r="D187">
        <f>'RJ ATTENDENCE SHEET'!C:C</f>
        <v>0</v>
      </c>
      <c r="E187">
        <f t="shared" si="30"/>
        <v>0</v>
      </c>
      <c r="F187" t="str">
        <f t="shared" si="38"/>
        <v/>
      </c>
      <c r="G187">
        <f>IFERROR(IF(F187=0,"",COUNTIF($F$3:F187,"&gt;0")),"")</f>
        <v>16</v>
      </c>
      <c r="H187" t="str">
        <f t="shared" si="32"/>
        <v/>
      </c>
      <c r="I187" t="str">
        <f t="shared" si="39"/>
        <v/>
      </c>
      <c r="J187">
        <f>IFERROR(IF(I187=0,"",COUNTIF($I$3:I187,"&gt;0")),"")</f>
        <v>34</v>
      </c>
      <c r="K187" t="str">
        <f t="shared" si="33"/>
        <v/>
      </c>
      <c r="L187" t="str">
        <f t="shared" si="40"/>
        <v/>
      </c>
      <c r="M187" t="str">
        <f t="shared" si="41"/>
        <v/>
      </c>
      <c r="N187">
        <f>IFERROR(IF(M187=0,"",COUNTIF($M$3:M187,"&gt;0")),"")</f>
        <v>33</v>
      </c>
      <c r="O187" t="str">
        <f t="shared" si="34"/>
        <v/>
      </c>
      <c r="P187" t="str">
        <f t="shared" si="42"/>
        <v/>
      </c>
      <c r="Q187" t="str">
        <f t="shared" si="43"/>
        <v/>
      </c>
      <c r="R187">
        <f>IFERROR(IF(Q187=0,"",COUNTIF($Q$3:Q187,"&gt;0")),"")</f>
        <v>16</v>
      </c>
      <c r="S187" t="str">
        <f t="shared" si="35"/>
        <v/>
      </c>
      <c r="T187" t="str">
        <f t="shared" si="44"/>
        <v/>
      </c>
      <c r="U187">
        <f>IFERROR(IF(T187=0,"",COUNTIF($T$3:T187,"&gt;0")),"")</f>
        <v>0</v>
      </c>
      <c r="V187" t="str">
        <f t="shared" si="36"/>
        <v/>
      </c>
      <c r="W187" t="e">
        <f t="shared" si="37"/>
        <v>#VALUE!</v>
      </c>
      <c r="X187">
        <f>'OTHER PLANT ATTN.'!C:C</f>
        <v>0</v>
      </c>
      <c r="Y187" t="e">
        <f>Table1[[#This Row],[CATEGORY ]]</f>
        <v>#VALUE!</v>
      </c>
      <c r="Z187" t="e">
        <f>Table1[[#This Row],[PLANT]]</f>
        <v>#VALUE!</v>
      </c>
    </row>
    <row r="188" spans="1:26">
      <c r="A188" t="str">
        <f t="shared" si="31"/>
        <v>000</v>
      </c>
      <c r="B188">
        <f>Table4[[#This Row],[CATEGORY]]</f>
        <v>0</v>
      </c>
      <c r="C188">
        <f>Table4[[#This Row],[SUB-CATEGORY]]</f>
        <v>0</v>
      </c>
      <c r="D188">
        <f>'RJ ATTENDENCE SHEET'!C:C</f>
        <v>0</v>
      </c>
      <c r="E188">
        <f t="shared" si="30"/>
        <v>0</v>
      </c>
      <c r="F188" t="str">
        <f t="shared" si="38"/>
        <v/>
      </c>
      <c r="G188">
        <f>IFERROR(IF(F188=0,"",COUNTIF($F$3:F188,"&gt;0")),"")</f>
        <v>16</v>
      </c>
      <c r="H188" t="str">
        <f t="shared" si="32"/>
        <v/>
      </c>
      <c r="I188" t="str">
        <f t="shared" si="39"/>
        <v/>
      </c>
      <c r="J188">
        <f>IFERROR(IF(I188=0,"",COUNTIF($I$3:I188,"&gt;0")),"")</f>
        <v>34</v>
      </c>
      <c r="K188" t="str">
        <f t="shared" si="33"/>
        <v/>
      </c>
      <c r="L188" t="str">
        <f t="shared" si="40"/>
        <v/>
      </c>
      <c r="M188" t="str">
        <f t="shared" si="41"/>
        <v/>
      </c>
      <c r="N188">
        <f>IFERROR(IF(M188=0,"",COUNTIF($M$3:M188,"&gt;0")),"")</f>
        <v>33</v>
      </c>
      <c r="O188" t="str">
        <f t="shared" si="34"/>
        <v/>
      </c>
      <c r="P188" t="str">
        <f t="shared" si="42"/>
        <v/>
      </c>
      <c r="Q188" t="str">
        <f t="shared" si="43"/>
        <v/>
      </c>
      <c r="R188">
        <f>IFERROR(IF(Q188=0,"",COUNTIF($Q$3:Q188,"&gt;0")),"")</f>
        <v>16</v>
      </c>
      <c r="S188" t="str">
        <f t="shared" si="35"/>
        <v/>
      </c>
      <c r="T188" t="str">
        <f t="shared" si="44"/>
        <v/>
      </c>
      <c r="U188">
        <f>IFERROR(IF(T188=0,"",COUNTIF($T$3:T188,"&gt;0")),"")</f>
        <v>0</v>
      </c>
      <c r="V188" t="str">
        <f t="shared" si="36"/>
        <v/>
      </c>
      <c r="W188" t="e">
        <f t="shared" si="37"/>
        <v>#VALUE!</v>
      </c>
      <c r="X188">
        <f>'OTHER PLANT ATTN.'!C:C</f>
        <v>0</v>
      </c>
      <c r="Y188" t="e">
        <f>Table1[[#This Row],[CATEGORY ]]</f>
        <v>#VALUE!</v>
      </c>
      <c r="Z188" t="e">
        <f>Table1[[#This Row],[PLANT]]</f>
        <v>#VALUE!</v>
      </c>
    </row>
    <row r="189" spans="1:26">
      <c r="A189" t="str">
        <f t="shared" si="31"/>
        <v>000</v>
      </c>
      <c r="B189">
        <f>Table4[[#This Row],[CATEGORY]]</f>
        <v>0</v>
      </c>
      <c r="C189">
        <f>Table4[[#This Row],[SUB-CATEGORY]]</f>
        <v>0</v>
      </c>
      <c r="D189">
        <f>'RJ ATTENDENCE SHEET'!C:C</f>
        <v>0</v>
      </c>
      <c r="E189">
        <f t="shared" si="30"/>
        <v>0</v>
      </c>
      <c r="F189" t="str">
        <f t="shared" si="38"/>
        <v/>
      </c>
      <c r="G189">
        <f>IFERROR(IF(F189=0,"",COUNTIF($F$3:F189,"&gt;0")),"")</f>
        <v>16</v>
      </c>
      <c r="H189" t="str">
        <f t="shared" si="32"/>
        <v/>
      </c>
      <c r="I189" t="str">
        <f t="shared" si="39"/>
        <v/>
      </c>
      <c r="J189">
        <f>IFERROR(IF(I189=0,"",COUNTIF($I$3:I189,"&gt;0")),"")</f>
        <v>34</v>
      </c>
      <c r="K189" t="str">
        <f t="shared" si="33"/>
        <v/>
      </c>
      <c r="L189" t="str">
        <f t="shared" si="40"/>
        <v/>
      </c>
      <c r="M189" t="str">
        <f t="shared" si="41"/>
        <v/>
      </c>
      <c r="N189">
        <f>IFERROR(IF(M189=0,"",COUNTIF($M$3:M189,"&gt;0")),"")</f>
        <v>33</v>
      </c>
      <c r="O189" t="str">
        <f t="shared" si="34"/>
        <v/>
      </c>
      <c r="P189" t="str">
        <f t="shared" si="42"/>
        <v/>
      </c>
      <c r="Q189" t="str">
        <f t="shared" si="43"/>
        <v/>
      </c>
      <c r="R189">
        <f>IFERROR(IF(Q189=0,"",COUNTIF($Q$3:Q189,"&gt;0")),"")</f>
        <v>16</v>
      </c>
      <c r="S189" t="str">
        <f t="shared" si="35"/>
        <v/>
      </c>
      <c r="T189" t="str">
        <f t="shared" si="44"/>
        <v/>
      </c>
      <c r="U189">
        <f>IFERROR(IF(T189=0,"",COUNTIF($T$3:T189,"&gt;0")),"")</f>
        <v>0</v>
      </c>
      <c r="V189" t="str">
        <f t="shared" si="36"/>
        <v/>
      </c>
      <c r="W189" t="e">
        <f t="shared" si="37"/>
        <v>#VALUE!</v>
      </c>
      <c r="X189">
        <f>'OTHER PLANT ATTN.'!C:C</f>
        <v>0</v>
      </c>
      <c r="Y189" t="e">
        <f>Table1[[#This Row],[CATEGORY ]]</f>
        <v>#VALUE!</v>
      </c>
      <c r="Z189" t="e">
        <f>Table1[[#This Row],[PLANT]]</f>
        <v>#VALUE!</v>
      </c>
    </row>
    <row r="190" spans="1:26">
      <c r="A190" t="str">
        <f t="shared" si="31"/>
        <v>000</v>
      </c>
      <c r="B190">
        <f>Table4[[#This Row],[CATEGORY]]</f>
        <v>0</v>
      </c>
      <c r="C190">
        <f>Table4[[#This Row],[SUB-CATEGORY]]</f>
        <v>0</v>
      </c>
      <c r="D190">
        <f>'RJ ATTENDENCE SHEET'!C:C</f>
        <v>0</v>
      </c>
      <c r="E190">
        <f t="shared" si="30"/>
        <v>0</v>
      </c>
      <c r="F190" t="str">
        <f t="shared" si="38"/>
        <v/>
      </c>
      <c r="G190">
        <f>IFERROR(IF(F190=0,"",COUNTIF($F$3:F190,"&gt;0")),"")</f>
        <v>16</v>
      </c>
      <c r="H190" t="str">
        <f t="shared" si="32"/>
        <v/>
      </c>
      <c r="I190" t="str">
        <f t="shared" si="39"/>
        <v/>
      </c>
      <c r="J190">
        <f>IFERROR(IF(I190=0,"",COUNTIF($I$3:I190,"&gt;0")),"")</f>
        <v>34</v>
      </c>
      <c r="K190" t="str">
        <f t="shared" si="33"/>
        <v/>
      </c>
      <c r="L190" t="str">
        <f t="shared" si="40"/>
        <v/>
      </c>
      <c r="M190" t="str">
        <f t="shared" si="41"/>
        <v/>
      </c>
      <c r="N190">
        <f>IFERROR(IF(M190=0,"",COUNTIF($M$3:M190,"&gt;0")),"")</f>
        <v>33</v>
      </c>
      <c r="O190" t="str">
        <f t="shared" si="34"/>
        <v/>
      </c>
      <c r="P190" t="str">
        <f t="shared" si="42"/>
        <v/>
      </c>
      <c r="Q190" t="str">
        <f t="shared" si="43"/>
        <v/>
      </c>
      <c r="R190">
        <f>IFERROR(IF(Q190=0,"",COUNTIF($Q$3:Q190,"&gt;0")),"")</f>
        <v>16</v>
      </c>
      <c r="S190" t="str">
        <f t="shared" si="35"/>
        <v/>
      </c>
      <c r="T190" t="str">
        <f t="shared" si="44"/>
        <v/>
      </c>
      <c r="U190">
        <f>IFERROR(IF(T190=0,"",COUNTIF($T$3:T190,"&gt;0")),"")</f>
        <v>0</v>
      </c>
      <c r="V190" t="str">
        <f t="shared" si="36"/>
        <v/>
      </c>
      <c r="W190" t="e">
        <f t="shared" si="37"/>
        <v>#VALUE!</v>
      </c>
      <c r="X190">
        <f>'OTHER PLANT ATTN.'!C:C</f>
        <v>0</v>
      </c>
      <c r="Y190" t="e">
        <f>Table1[[#This Row],[CATEGORY ]]</f>
        <v>#VALUE!</v>
      </c>
      <c r="Z190" t="e">
        <f>Table1[[#This Row],[PLANT]]</f>
        <v>#VALUE!</v>
      </c>
    </row>
    <row r="191" spans="1:26">
      <c r="A191" t="str">
        <f t="shared" si="31"/>
        <v>000</v>
      </c>
      <c r="B191">
        <f>Table4[[#This Row],[CATEGORY]]</f>
        <v>0</v>
      </c>
      <c r="C191">
        <f>Table4[[#This Row],[SUB-CATEGORY]]</f>
        <v>0</v>
      </c>
      <c r="D191">
        <f>'RJ ATTENDENCE SHEET'!C:C</f>
        <v>0</v>
      </c>
      <c r="E191">
        <f t="shared" si="30"/>
        <v>0</v>
      </c>
      <c r="F191" t="str">
        <f t="shared" si="38"/>
        <v/>
      </c>
      <c r="G191">
        <f>IFERROR(IF(F191=0,"",COUNTIF($F$3:F191,"&gt;0")),"")</f>
        <v>16</v>
      </c>
      <c r="H191" t="str">
        <f t="shared" si="32"/>
        <v/>
      </c>
      <c r="I191" t="str">
        <f t="shared" si="39"/>
        <v/>
      </c>
      <c r="J191">
        <f>IFERROR(IF(I191=0,"",COUNTIF($I$3:I191,"&gt;0")),"")</f>
        <v>34</v>
      </c>
      <c r="K191" t="str">
        <f t="shared" si="33"/>
        <v/>
      </c>
      <c r="L191" t="str">
        <f t="shared" si="40"/>
        <v/>
      </c>
      <c r="M191" t="str">
        <f t="shared" si="41"/>
        <v/>
      </c>
      <c r="N191">
        <f>IFERROR(IF(M191=0,"",COUNTIF($M$3:M191,"&gt;0")),"")</f>
        <v>33</v>
      </c>
      <c r="O191" t="str">
        <f t="shared" si="34"/>
        <v/>
      </c>
      <c r="P191" t="str">
        <f t="shared" si="42"/>
        <v/>
      </c>
      <c r="Q191" t="str">
        <f t="shared" si="43"/>
        <v/>
      </c>
      <c r="R191">
        <f>IFERROR(IF(Q191=0,"",COUNTIF($Q$3:Q191,"&gt;0")),"")</f>
        <v>16</v>
      </c>
      <c r="S191" t="str">
        <f t="shared" si="35"/>
        <v/>
      </c>
      <c r="T191" t="str">
        <f t="shared" si="44"/>
        <v/>
      </c>
      <c r="U191">
        <f>IFERROR(IF(T191=0,"",COUNTIF($T$3:T191,"&gt;0")),"")</f>
        <v>0</v>
      </c>
      <c r="V191" t="str">
        <f t="shared" si="36"/>
        <v/>
      </c>
      <c r="W191" t="e">
        <f t="shared" si="37"/>
        <v>#VALUE!</v>
      </c>
      <c r="X191">
        <f>'OTHER PLANT ATTN.'!C:C</f>
        <v>0</v>
      </c>
      <c r="Y191" t="e">
        <f>Table1[[#This Row],[CATEGORY ]]</f>
        <v>#VALUE!</v>
      </c>
      <c r="Z191" t="e">
        <f>Table1[[#This Row],[PLANT]]</f>
        <v>#VALUE!</v>
      </c>
    </row>
    <row r="192" spans="1:26">
      <c r="A192" t="str">
        <f t="shared" si="31"/>
        <v>000</v>
      </c>
      <c r="B192">
        <f>Table4[[#This Row],[CATEGORY]]</f>
        <v>0</v>
      </c>
      <c r="C192">
        <f>Table4[[#This Row],[SUB-CATEGORY]]</f>
        <v>0</v>
      </c>
      <c r="D192">
        <f>'RJ ATTENDENCE SHEET'!C:C</f>
        <v>0</v>
      </c>
      <c r="E192">
        <f t="shared" si="30"/>
        <v>0</v>
      </c>
      <c r="F192" t="str">
        <f t="shared" si="38"/>
        <v/>
      </c>
      <c r="G192">
        <f>IFERROR(IF(F192=0,"",COUNTIF($F$3:F192,"&gt;0")),"")</f>
        <v>16</v>
      </c>
      <c r="H192" t="str">
        <f t="shared" si="32"/>
        <v/>
      </c>
      <c r="I192" t="str">
        <f t="shared" si="39"/>
        <v/>
      </c>
      <c r="J192">
        <f>IFERROR(IF(I192=0,"",COUNTIF($I$3:I192,"&gt;0")),"")</f>
        <v>34</v>
      </c>
      <c r="K192" t="str">
        <f t="shared" si="33"/>
        <v/>
      </c>
      <c r="L192" t="str">
        <f t="shared" si="40"/>
        <v/>
      </c>
      <c r="M192" t="str">
        <f t="shared" si="41"/>
        <v/>
      </c>
      <c r="N192">
        <f>IFERROR(IF(M192=0,"",COUNTIF($M$3:M192,"&gt;0")),"")</f>
        <v>33</v>
      </c>
      <c r="O192" t="str">
        <f t="shared" si="34"/>
        <v/>
      </c>
      <c r="P192" t="str">
        <f t="shared" si="42"/>
        <v/>
      </c>
      <c r="Q192" t="str">
        <f t="shared" si="43"/>
        <v/>
      </c>
      <c r="R192">
        <f>IFERROR(IF(Q192=0,"",COUNTIF($Q$3:Q192,"&gt;0")),"")</f>
        <v>16</v>
      </c>
      <c r="S192" t="str">
        <f t="shared" si="35"/>
        <v/>
      </c>
      <c r="T192" t="str">
        <f t="shared" si="44"/>
        <v/>
      </c>
      <c r="U192">
        <f>IFERROR(IF(T192=0,"",COUNTIF($T$3:T192,"&gt;0")),"")</f>
        <v>0</v>
      </c>
      <c r="V192" t="str">
        <f t="shared" si="36"/>
        <v/>
      </c>
      <c r="W192" t="e">
        <f t="shared" si="37"/>
        <v>#VALUE!</v>
      </c>
      <c r="X192">
        <f>'OTHER PLANT ATTN.'!C:C</f>
        <v>0</v>
      </c>
      <c r="Y192" t="e">
        <f>Table1[[#This Row],[CATEGORY ]]</f>
        <v>#VALUE!</v>
      </c>
      <c r="Z192" t="e">
        <f>Table1[[#This Row],[PLANT]]</f>
        <v>#VALUE!</v>
      </c>
    </row>
    <row r="193" spans="1:26">
      <c r="A193" t="str">
        <f t="shared" si="31"/>
        <v>000</v>
      </c>
      <c r="B193">
        <f>Table4[[#This Row],[CATEGORY]]</f>
        <v>0</v>
      </c>
      <c r="C193">
        <f>Table4[[#This Row],[SUB-CATEGORY]]</f>
        <v>0</v>
      </c>
      <c r="D193">
        <f>'RJ ATTENDENCE SHEET'!C:C</f>
        <v>0</v>
      </c>
      <c r="E193">
        <f t="shared" si="30"/>
        <v>0</v>
      </c>
      <c r="F193" t="str">
        <f t="shared" si="38"/>
        <v/>
      </c>
      <c r="G193">
        <f>IFERROR(IF(F193=0,"",COUNTIF($F$3:F193,"&gt;0")),"")</f>
        <v>16</v>
      </c>
      <c r="H193" t="str">
        <f t="shared" si="32"/>
        <v/>
      </c>
      <c r="I193" t="str">
        <f t="shared" si="39"/>
        <v/>
      </c>
      <c r="J193">
        <f>IFERROR(IF(I193=0,"",COUNTIF($I$3:I193,"&gt;0")),"")</f>
        <v>34</v>
      </c>
      <c r="K193" t="str">
        <f t="shared" si="33"/>
        <v/>
      </c>
      <c r="L193" t="str">
        <f t="shared" si="40"/>
        <v/>
      </c>
      <c r="M193" t="str">
        <f t="shared" si="41"/>
        <v/>
      </c>
      <c r="N193">
        <f>IFERROR(IF(M193=0,"",COUNTIF($M$3:M193,"&gt;0")),"")</f>
        <v>33</v>
      </c>
      <c r="O193" t="str">
        <f t="shared" si="34"/>
        <v/>
      </c>
      <c r="P193" t="str">
        <f t="shared" si="42"/>
        <v/>
      </c>
      <c r="Q193" t="str">
        <f t="shared" si="43"/>
        <v/>
      </c>
      <c r="R193">
        <f>IFERROR(IF(Q193=0,"",COUNTIF($Q$3:Q193,"&gt;0")),"")</f>
        <v>16</v>
      </c>
      <c r="S193" t="str">
        <f t="shared" si="35"/>
        <v/>
      </c>
      <c r="T193" t="str">
        <f t="shared" si="44"/>
        <v/>
      </c>
      <c r="U193">
        <f>IFERROR(IF(T193=0,"",COUNTIF($T$3:T193,"&gt;0")),"")</f>
        <v>0</v>
      </c>
      <c r="V193" t="str">
        <f t="shared" si="36"/>
        <v/>
      </c>
      <c r="W193" t="e">
        <f t="shared" si="37"/>
        <v>#VALUE!</v>
      </c>
      <c r="X193">
        <f>'OTHER PLANT ATTN.'!C:C</f>
        <v>0</v>
      </c>
      <c r="Y193" t="e">
        <f>Table1[[#This Row],[CATEGORY ]]</f>
        <v>#VALUE!</v>
      </c>
      <c r="Z193" t="e">
        <f>Table1[[#This Row],[PLANT]]</f>
        <v>#VALUE!</v>
      </c>
    </row>
    <row r="194" spans="1:26">
      <c r="A194" t="str">
        <f t="shared" si="31"/>
        <v>000</v>
      </c>
      <c r="B194">
        <f>Table4[[#This Row],[CATEGORY]]</f>
        <v>0</v>
      </c>
      <c r="C194">
        <f>Table4[[#This Row],[SUB-CATEGORY]]</f>
        <v>0</v>
      </c>
      <c r="D194">
        <f>'RJ ATTENDENCE SHEET'!C:C</f>
        <v>0</v>
      </c>
      <c r="E194">
        <f t="shared" ref="E194:E257" si="45">C194</f>
        <v>0</v>
      </c>
      <c r="F194" t="str">
        <f t="shared" si="38"/>
        <v/>
      </c>
      <c r="G194">
        <f>IFERROR(IF(F194=0,"",COUNTIF($F$3:F194,"&gt;0")),"")</f>
        <v>16</v>
      </c>
      <c r="H194" t="str">
        <f t="shared" si="32"/>
        <v/>
      </c>
      <c r="I194" t="str">
        <f t="shared" si="39"/>
        <v/>
      </c>
      <c r="J194">
        <f>IFERROR(IF(I194=0,"",COUNTIF($I$3:I194,"&gt;0")),"")</f>
        <v>34</v>
      </c>
      <c r="K194" t="str">
        <f t="shared" si="33"/>
        <v/>
      </c>
      <c r="L194" t="str">
        <f t="shared" si="40"/>
        <v/>
      </c>
      <c r="M194" t="str">
        <f t="shared" si="41"/>
        <v/>
      </c>
      <c r="N194">
        <f>IFERROR(IF(M194=0,"",COUNTIF($M$3:M194,"&gt;0")),"")</f>
        <v>33</v>
      </c>
      <c r="O194" t="str">
        <f t="shared" si="34"/>
        <v/>
      </c>
      <c r="P194" t="str">
        <f t="shared" si="42"/>
        <v/>
      </c>
      <c r="Q194" t="str">
        <f t="shared" si="43"/>
        <v/>
      </c>
      <c r="R194">
        <f>IFERROR(IF(Q194=0,"",COUNTIF($Q$3:Q194,"&gt;0")),"")</f>
        <v>16</v>
      </c>
      <c r="S194" t="str">
        <f t="shared" si="35"/>
        <v/>
      </c>
      <c r="T194" t="str">
        <f t="shared" si="44"/>
        <v/>
      </c>
      <c r="U194">
        <f>IFERROR(IF(T194=0,"",COUNTIF($T$3:T194,"&gt;0")),"")</f>
        <v>0</v>
      </c>
      <c r="V194" t="str">
        <f t="shared" si="36"/>
        <v/>
      </c>
      <c r="W194" t="e">
        <f t="shared" si="37"/>
        <v>#VALUE!</v>
      </c>
      <c r="X194">
        <f>'OTHER PLANT ATTN.'!C:C</f>
        <v>0</v>
      </c>
      <c r="Y194" t="e">
        <f>Table1[[#This Row],[CATEGORY ]]</f>
        <v>#VALUE!</v>
      </c>
      <c r="Z194" t="e">
        <f>Table1[[#This Row],[PLANT]]</f>
        <v>#VALUE!</v>
      </c>
    </row>
    <row r="195" spans="1:26">
      <c r="A195" t="str">
        <f t="shared" ref="A195:A258" si="46">CONCATENATE(B195,C195,D195)</f>
        <v>000</v>
      </c>
      <c r="B195">
        <f>Table4[[#This Row],[CATEGORY]]</f>
        <v>0</v>
      </c>
      <c r="C195">
        <f>Table4[[#This Row],[SUB-CATEGORY]]</f>
        <v>0</v>
      </c>
      <c r="D195">
        <f>'RJ ATTENDENCE SHEET'!C:C</f>
        <v>0</v>
      </c>
      <c r="E195">
        <f t="shared" si="45"/>
        <v>0</v>
      </c>
      <c r="F195" t="str">
        <f t="shared" si="38"/>
        <v/>
      </c>
      <c r="G195">
        <f>IFERROR(IF(F195=0,"",COUNTIF($F$3:F195,"&gt;0")),"")</f>
        <v>16</v>
      </c>
      <c r="H195" t="str">
        <f t="shared" ref="H195:H258" si="47">IFERROR(VLOOKUP(INDEX($A:$A,MATCH(ROW(F193),G:G,0)),$A:$D,4,0),"")</f>
        <v/>
      </c>
      <c r="I195" t="str">
        <f t="shared" si="39"/>
        <v/>
      </c>
      <c r="J195">
        <f>IFERROR(IF(I195=0,"",COUNTIF($I$3:I195,"&gt;0")),"")</f>
        <v>34</v>
      </c>
      <c r="K195" t="str">
        <f t="shared" ref="K195:K258" si="48">IFERROR(VLOOKUP(INDEX($A:$A,MATCH(ROW(I193),J:J,0)),$A:$D,4,0),"")</f>
        <v/>
      </c>
      <c r="L195" t="str">
        <f t="shared" si="40"/>
        <v/>
      </c>
      <c r="M195" t="str">
        <f t="shared" si="41"/>
        <v/>
      </c>
      <c r="N195">
        <f>IFERROR(IF(M195=0,"",COUNTIF($M$3:M195,"&gt;0")),"")</f>
        <v>33</v>
      </c>
      <c r="O195" t="str">
        <f t="shared" ref="O195:O258" si="49">IFERROR(VLOOKUP(INDEX($A:$A,MATCH(ROW(M193),N:N,0)),$A:$D,4,0),"")</f>
        <v/>
      </c>
      <c r="P195" t="str">
        <f t="shared" si="42"/>
        <v/>
      </c>
      <c r="Q195" t="str">
        <f t="shared" si="43"/>
        <v/>
      </c>
      <c r="R195">
        <f>IFERROR(IF(Q195=0,"",COUNTIF($Q$3:Q195,"&gt;0")),"")</f>
        <v>16</v>
      </c>
      <c r="S195" t="str">
        <f t="shared" ref="S195:S258" si="50">IFERROR(VLOOKUP(INDEX($A:$A,MATCH(ROW(Q193),R:R,0)),$A:$D,4,0),"")</f>
        <v/>
      </c>
      <c r="T195" t="str">
        <f t="shared" si="44"/>
        <v/>
      </c>
      <c r="U195">
        <f>IFERROR(IF(T195=0,"",COUNTIF($T$3:T195,"&gt;0")),"")</f>
        <v>0</v>
      </c>
      <c r="V195" t="str">
        <f t="shared" ref="V195:V258" si="51">IFERROR(VLOOKUP(INDEX($A:$A,MATCH(ROW(T193),U:U,0)),$A:$D,4,0),"")</f>
        <v/>
      </c>
      <c r="W195" t="e">
        <f t="shared" ref="W195:W258" si="52">CONCATENATE(Z195,Y195,X195)</f>
        <v>#VALUE!</v>
      </c>
      <c r="X195">
        <f>'OTHER PLANT ATTN.'!C:C</f>
        <v>0</v>
      </c>
      <c r="Y195" t="e">
        <f>Table1[[#This Row],[CATEGORY ]]</f>
        <v>#VALUE!</v>
      </c>
      <c r="Z195" t="e">
        <f>Table1[[#This Row],[PLANT]]</f>
        <v>#VALUE!</v>
      </c>
    </row>
    <row r="196" spans="1:26">
      <c r="A196" t="str">
        <f t="shared" si="46"/>
        <v>000</v>
      </c>
      <c r="B196">
        <f>Table4[[#This Row],[CATEGORY]]</f>
        <v>0</v>
      </c>
      <c r="C196">
        <f>Table4[[#This Row],[SUB-CATEGORY]]</f>
        <v>0</v>
      </c>
      <c r="D196">
        <f>'RJ ATTENDENCE SHEET'!C:C</f>
        <v>0</v>
      </c>
      <c r="E196">
        <f t="shared" si="45"/>
        <v>0</v>
      </c>
      <c r="F196" t="str">
        <f t="shared" ref="F196:F259" si="53">IFERROR(SEARCH("SALARYOFFICE",$A:$A),"")</f>
        <v/>
      </c>
      <c r="G196">
        <f>IFERROR(IF(F196=0,"",COUNTIF($F$3:F196,"&gt;0")),"")</f>
        <v>16</v>
      </c>
      <c r="H196" t="str">
        <f t="shared" si="47"/>
        <v/>
      </c>
      <c r="I196" t="str">
        <f t="shared" ref="I196:I259" si="54">IFERROR(SEARCH("WAGES",$A:$A),"")</f>
        <v/>
      </c>
      <c r="J196">
        <f>IFERROR(IF(I196=0,"",COUNTIF($I$3:I196,"&gt;0")),"")</f>
        <v>34</v>
      </c>
      <c r="K196" t="str">
        <f t="shared" si="48"/>
        <v/>
      </c>
      <c r="L196" t="str">
        <f t="shared" ref="L196:L259" si="55">IFERROR(VLOOKUP(K196,$D:$E,2,0),"")</f>
        <v/>
      </c>
      <c r="M196" t="str">
        <f t="shared" ref="M196:M259" si="56">IFERROR(SEARCH("CONTRACT",$A:$A),"")</f>
        <v/>
      </c>
      <c r="N196">
        <f>IFERROR(IF(M196=0,"",COUNTIF($M$3:M196,"&gt;0")),"")</f>
        <v>33</v>
      </c>
      <c r="O196" t="str">
        <f t="shared" si="49"/>
        <v/>
      </c>
      <c r="P196" t="str">
        <f t="shared" ref="P196:P259" si="57">IFERROR(VLOOKUP(O196,$D:$E,2,0),"")</f>
        <v/>
      </c>
      <c r="Q196" t="str">
        <f t="shared" ref="Q196:Q259" si="58">IFERROR(SEARCH("SALARY",$A:$A),"")</f>
        <v/>
      </c>
      <c r="R196">
        <f>IFERROR(IF(Q196=0,"",COUNTIF($Q$3:Q196,"&gt;0")),"")</f>
        <v>16</v>
      </c>
      <c r="S196" t="str">
        <f t="shared" si="50"/>
        <v/>
      </c>
      <c r="T196" t="str">
        <f t="shared" ref="T196:T259" si="59">IFERROR(SEARCH("OTHERS0",$A:$A),"")</f>
        <v/>
      </c>
      <c r="U196">
        <f>IFERROR(IF(T196=0,"",COUNTIF($T$3:T196,"&gt;0")),"")</f>
        <v>0</v>
      </c>
      <c r="V196" t="str">
        <f t="shared" si="51"/>
        <v/>
      </c>
      <c r="W196" t="e">
        <f t="shared" si="52"/>
        <v>#VALUE!</v>
      </c>
      <c r="X196">
        <f>'OTHER PLANT ATTN.'!C:C</f>
        <v>0</v>
      </c>
      <c r="Y196" t="e">
        <f>Table1[[#This Row],[CATEGORY ]]</f>
        <v>#VALUE!</v>
      </c>
      <c r="Z196" t="e">
        <f>Table1[[#This Row],[PLANT]]</f>
        <v>#VALUE!</v>
      </c>
    </row>
    <row r="197" spans="1:26">
      <c r="A197" t="str">
        <f t="shared" si="46"/>
        <v>000</v>
      </c>
      <c r="B197">
        <f>Table4[[#This Row],[CATEGORY]]</f>
        <v>0</v>
      </c>
      <c r="C197">
        <f>Table4[[#This Row],[SUB-CATEGORY]]</f>
        <v>0</v>
      </c>
      <c r="D197">
        <f>'RJ ATTENDENCE SHEET'!C:C</f>
        <v>0</v>
      </c>
      <c r="E197">
        <f t="shared" si="45"/>
        <v>0</v>
      </c>
      <c r="F197" t="str">
        <f t="shared" si="53"/>
        <v/>
      </c>
      <c r="G197">
        <f>IFERROR(IF(F197=0,"",COUNTIF($F$3:F197,"&gt;0")),"")</f>
        <v>16</v>
      </c>
      <c r="H197" t="str">
        <f t="shared" si="47"/>
        <v/>
      </c>
      <c r="I197" t="str">
        <f t="shared" si="54"/>
        <v/>
      </c>
      <c r="J197">
        <f>IFERROR(IF(I197=0,"",COUNTIF($I$3:I197,"&gt;0")),"")</f>
        <v>34</v>
      </c>
      <c r="K197" t="str">
        <f t="shared" si="48"/>
        <v/>
      </c>
      <c r="L197" t="str">
        <f t="shared" si="55"/>
        <v/>
      </c>
      <c r="M197" t="str">
        <f t="shared" si="56"/>
        <v/>
      </c>
      <c r="N197">
        <f>IFERROR(IF(M197=0,"",COUNTIF($M$3:M197,"&gt;0")),"")</f>
        <v>33</v>
      </c>
      <c r="O197" t="str">
        <f t="shared" si="49"/>
        <v/>
      </c>
      <c r="P197" t="str">
        <f t="shared" si="57"/>
        <v/>
      </c>
      <c r="Q197" t="str">
        <f t="shared" si="58"/>
        <v/>
      </c>
      <c r="R197">
        <f>IFERROR(IF(Q197=0,"",COUNTIF($Q$3:Q197,"&gt;0")),"")</f>
        <v>16</v>
      </c>
      <c r="S197" t="str">
        <f t="shared" si="50"/>
        <v/>
      </c>
      <c r="T197" t="str">
        <f t="shared" si="59"/>
        <v/>
      </c>
      <c r="U197">
        <f>IFERROR(IF(T197=0,"",COUNTIF($T$3:T197,"&gt;0")),"")</f>
        <v>0</v>
      </c>
      <c r="V197" t="str">
        <f t="shared" si="51"/>
        <v/>
      </c>
      <c r="W197" t="e">
        <f t="shared" si="52"/>
        <v>#VALUE!</v>
      </c>
      <c r="X197">
        <f>'OTHER PLANT ATTN.'!C:C</f>
        <v>0</v>
      </c>
      <c r="Y197" t="e">
        <f>Table1[[#This Row],[CATEGORY ]]</f>
        <v>#VALUE!</v>
      </c>
      <c r="Z197" t="e">
        <f>Table1[[#This Row],[PLANT]]</f>
        <v>#VALUE!</v>
      </c>
    </row>
    <row r="198" spans="1:26">
      <c r="A198" t="str">
        <f t="shared" si="46"/>
        <v>000</v>
      </c>
      <c r="B198">
        <f>Table4[[#This Row],[CATEGORY]]</f>
        <v>0</v>
      </c>
      <c r="C198">
        <f>Table4[[#This Row],[SUB-CATEGORY]]</f>
        <v>0</v>
      </c>
      <c r="D198">
        <f>'RJ ATTENDENCE SHEET'!C:C</f>
        <v>0</v>
      </c>
      <c r="E198">
        <f t="shared" si="45"/>
        <v>0</v>
      </c>
      <c r="F198" t="str">
        <f t="shared" si="53"/>
        <v/>
      </c>
      <c r="G198">
        <f>IFERROR(IF(F198=0,"",COUNTIF($F$3:F198,"&gt;0")),"")</f>
        <v>16</v>
      </c>
      <c r="H198" t="str">
        <f t="shared" si="47"/>
        <v/>
      </c>
      <c r="I198" t="str">
        <f t="shared" si="54"/>
        <v/>
      </c>
      <c r="J198">
        <f>IFERROR(IF(I198=0,"",COUNTIF($I$3:I198,"&gt;0")),"")</f>
        <v>34</v>
      </c>
      <c r="K198" t="str">
        <f t="shared" si="48"/>
        <v/>
      </c>
      <c r="L198" t="str">
        <f t="shared" si="55"/>
        <v/>
      </c>
      <c r="M198" t="str">
        <f t="shared" si="56"/>
        <v/>
      </c>
      <c r="N198">
        <f>IFERROR(IF(M198=0,"",COUNTIF($M$3:M198,"&gt;0")),"")</f>
        <v>33</v>
      </c>
      <c r="O198" t="str">
        <f t="shared" si="49"/>
        <v/>
      </c>
      <c r="P198" t="str">
        <f t="shared" si="57"/>
        <v/>
      </c>
      <c r="Q198" t="str">
        <f t="shared" si="58"/>
        <v/>
      </c>
      <c r="R198">
        <f>IFERROR(IF(Q198=0,"",COUNTIF($Q$3:Q198,"&gt;0")),"")</f>
        <v>16</v>
      </c>
      <c r="S198" t="str">
        <f t="shared" si="50"/>
        <v/>
      </c>
      <c r="T198" t="str">
        <f t="shared" si="59"/>
        <v/>
      </c>
      <c r="U198">
        <f>IFERROR(IF(T198=0,"",COUNTIF($T$3:T198,"&gt;0")),"")</f>
        <v>0</v>
      </c>
      <c r="V198" t="str">
        <f t="shared" si="51"/>
        <v/>
      </c>
      <c r="W198" t="e">
        <f t="shared" si="52"/>
        <v>#VALUE!</v>
      </c>
      <c r="X198">
        <f>'OTHER PLANT ATTN.'!C:C</f>
        <v>0</v>
      </c>
      <c r="Y198" t="e">
        <f>Table1[[#This Row],[CATEGORY ]]</f>
        <v>#VALUE!</v>
      </c>
      <c r="Z198" t="e">
        <f>Table1[[#This Row],[PLANT]]</f>
        <v>#VALUE!</v>
      </c>
    </row>
    <row r="199" spans="1:26">
      <c r="A199" t="str">
        <f t="shared" si="46"/>
        <v>000</v>
      </c>
      <c r="B199">
        <f>Table4[[#This Row],[CATEGORY]]</f>
        <v>0</v>
      </c>
      <c r="C199">
        <f>Table4[[#This Row],[SUB-CATEGORY]]</f>
        <v>0</v>
      </c>
      <c r="D199">
        <f>'RJ ATTENDENCE SHEET'!C:C</f>
        <v>0</v>
      </c>
      <c r="E199">
        <f t="shared" si="45"/>
        <v>0</v>
      </c>
      <c r="F199" t="str">
        <f t="shared" si="53"/>
        <v/>
      </c>
      <c r="G199">
        <f>IFERROR(IF(F199=0,"",COUNTIF($F$3:F199,"&gt;0")),"")</f>
        <v>16</v>
      </c>
      <c r="H199" t="str">
        <f t="shared" si="47"/>
        <v/>
      </c>
      <c r="I199" t="str">
        <f t="shared" si="54"/>
        <v/>
      </c>
      <c r="J199">
        <f>IFERROR(IF(I199=0,"",COUNTIF($I$3:I199,"&gt;0")),"")</f>
        <v>34</v>
      </c>
      <c r="K199" t="str">
        <f t="shared" si="48"/>
        <v/>
      </c>
      <c r="L199" t="str">
        <f t="shared" si="55"/>
        <v/>
      </c>
      <c r="M199" t="str">
        <f t="shared" si="56"/>
        <v/>
      </c>
      <c r="N199">
        <f>IFERROR(IF(M199=0,"",COUNTIF($M$3:M199,"&gt;0")),"")</f>
        <v>33</v>
      </c>
      <c r="O199" t="str">
        <f t="shared" si="49"/>
        <v/>
      </c>
      <c r="P199" t="str">
        <f t="shared" si="57"/>
        <v/>
      </c>
      <c r="Q199" t="str">
        <f t="shared" si="58"/>
        <v/>
      </c>
      <c r="R199">
        <f>IFERROR(IF(Q199=0,"",COUNTIF($Q$3:Q199,"&gt;0")),"")</f>
        <v>16</v>
      </c>
      <c r="S199" t="str">
        <f t="shared" si="50"/>
        <v/>
      </c>
      <c r="T199" t="str">
        <f t="shared" si="59"/>
        <v/>
      </c>
      <c r="U199">
        <f>IFERROR(IF(T199=0,"",COUNTIF($T$3:T199,"&gt;0")),"")</f>
        <v>0</v>
      </c>
      <c r="V199" t="str">
        <f t="shared" si="51"/>
        <v/>
      </c>
      <c r="W199" t="e">
        <f t="shared" si="52"/>
        <v>#VALUE!</v>
      </c>
      <c r="X199">
        <f>'OTHER PLANT ATTN.'!C:C</f>
        <v>0</v>
      </c>
      <c r="Y199" t="e">
        <f>Table1[[#This Row],[CATEGORY ]]</f>
        <v>#VALUE!</v>
      </c>
      <c r="Z199" t="e">
        <f>Table1[[#This Row],[PLANT]]</f>
        <v>#VALUE!</v>
      </c>
    </row>
    <row r="200" spans="1:26">
      <c r="A200" t="str">
        <f t="shared" si="46"/>
        <v>000</v>
      </c>
      <c r="B200">
        <f>Table4[[#This Row],[CATEGORY]]</f>
        <v>0</v>
      </c>
      <c r="C200">
        <f>Table4[[#This Row],[SUB-CATEGORY]]</f>
        <v>0</v>
      </c>
      <c r="D200">
        <f>'RJ ATTENDENCE SHEET'!C:C</f>
        <v>0</v>
      </c>
      <c r="E200">
        <f t="shared" si="45"/>
        <v>0</v>
      </c>
      <c r="F200" t="str">
        <f t="shared" si="53"/>
        <v/>
      </c>
      <c r="G200">
        <f>IFERROR(IF(F200=0,"",COUNTIF($F$3:F200,"&gt;0")),"")</f>
        <v>16</v>
      </c>
      <c r="H200" t="str">
        <f t="shared" si="47"/>
        <v/>
      </c>
      <c r="I200" t="str">
        <f t="shared" si="54"/>
        <v/>
      </c>
      <c r="J200">
        <f>IFERROR(IF(I200=0,"",COUNTIF($I$3:I200,"&gt;0")),"")</f>
        <v>34</v>
      </c>
      <c r="K200" t="str">
        <f t="shared" si="48"/>
        <v/>
      </c>
      <c r="L200" t="str">
        <f t="shared" si="55"/>
        <v/>
      </c>
      <c r="M200" t="str">
        <f t="shared" si="56"/>
        <v/>
      </c>
      <c r="N200">
        <f>IFERROR(IF(M200=0,"",COUNTIF($M$3:M200,"&gt;0")),"")</f>
        <v>33</v>
      </c>
      <c r="O200" t="str">
        <f t="shared" si="49"/>
        <v/>
      </c>
      <c r="P200" t="str">
        <f t="shared" si="57"/>
        <v/>
      </c>
      <c r="Q200" t="str">
        <f t="shared" si="58"/>
        <v/>
      </c>
      <c r="R200">
        <f>IFERROR(IF(Q200=0,"",COUNTIF($Q$3:Q200,"&gt;0")),"")</f>
        <v>16</v>
      </c>
      <c r="S200" t="str">
        <f t="shared" si="50"/>
        <v/>
      </c>
      <c r="T200" t="str">
        <f t="shared" si="59"/>
        <v/>
      </c>
      <c r="U200">
        <f>IFERROR(IF(T200=0,"",COUNTIF($T$3:T200,"&gt;0")),"")</f>
        <v>0</v>
      </c>
      <c r="V200" t="str">
        <f t="shared" si="51"/>
        <v/>
      </c>
      <c r="W200" t="e">
        <f t="shared" si="52"/>
        <v>#VALUE!</v>
      </c>
      <c r="X200">
        <f>'OTHER PLANT ATTN.'!C:C</f>
        <v>0</v>
      </c>
      <c r="Y200" t="e">
        <f>Table1[[#This Row],[CATEGORY ]]</f>
        <v>#VALUE!</v>
      </c>
      <c r="Z200" t="e">
        <f>Table1[[#This Row],[PLANT]]</f>
        <v>#VALUE!</v>
      </c>
    </row>
    <row r="201" spans="1:26">
      <c r="A201" t="str">
        <f t="shared" si="46"/>
        <v>000</v>
      </c>
      <c r="B201">
        <f>Table4[[#This Row],[CATEGORY]]</f>
        <v>0</v>
      </c>
      <c r="C201">
        <f>Table4[[#This Row],[SUB-CATEGORY]]</f>
        <v>0</v>
      </c>
      <c r="D201">
        <f>'RJ ATTENDENCE SHEET'!C:C</f>
        <v>0</v>
      </c>
      <c r="E201">
        <f t="shared" si="45"/>
        <v>0</v>
      </c>
      <c r="F201" t="str">
        <f t="shared" si="53"/>
        <v/>
      </c>
      <c r="G201">
        <f>IFERROR(IF(F201=0,"",COUNTIF($F$3:F201,"&gt;0")),"")</f>
        <v>16</v>
      </c>
      <c r="H201" t="str">
        <f t="shared" si="47"/>
        <v/>
      </c>
      <c r="I201" t="str">
        <f t="shared" si="54"/>
        <v/>
      </c>
      <c r="J201">
        <f>IFERROR(IF(I201=0,"",COUNTIF($I$3:I201,"&gt;0")),"")</f>
        <v>34</v>
      </c>
      <c r="K201" t="str">
        <f t="shared" si="48"/>
        <v/>
      </c>
      <c r="L201" t="str">
        <f t="shared" si="55"/>
        <v/>
      </c>
      <c r="M201" t="str">
        <f t="shared" si="56"/>
        <v/>
      </c>
      <c r="N201">
        <f>IFERROR(IF(M201=0,"",COUNTIF($M$3:M201,"&gt;0")),"")</f>
        <v>33</v>
      </c>
      <c r="O201" t="str">
        <f t="shared" si="49"/>
        <v/>
      </c>
      <c r="P201" t="str">
        <f t="shared" si="57"/>
        <v/>
      </c>
      <c r="Q201" t="str">
        <f t="shared" si="58"/>
        <v/>
      </c>
      <c r="R201">
        <f>IFERROR(IF(Q201=0,"",COUNTIF($Q$3:Q201,"&gt;0")),"")</f>
        <v>16</v>
      </c>
      <c r="S201" t="str">
        <f t="shared" si="50"/>
        <v/>
      </c>
      <c r="T201" t="str">
        <f t="shared" si="59"/>
        <v/>
      </c>
      <c r="U201">
        <f>IFERROR(IF(T201=0,"",COUNTIF($T$3:T201,"&gt;0")),"")</f>
        <v>0</v>
      </c>
      <c r="V201" t="str">
        <f t="shared" si="51"/>
        <v/>
      </c>
      <c r="W201" t="e">
        <f t="shared" si="52"/>
        <v>#VALUE!</v>
      </c>
      <c r="X201">
        <f>'OTHER PLANT ATTN.'!C:C</f>
        <v>0</v>
      </c>
      <c r="Y201" t="e">
        <f>Table1[[#This Row],[CATEGORY ]]</f>
        <v>#VALUE!</v>
      </c>
      <c r="Z201" t="e">
        <f>Table1[[#This Row],[PLANT]]</f>
        <v>#VALUE!</v>
      </c>
    </row>
    <row r="202" spans="1:26">
      <c r="A202" t="str">
        <f t="shared" si="46"/>
        <v>000</v>
      </c>
      <c r="B202">
        <f>Table4[[#This Row],[CATEGORY]]</f>
        <v>0</v>
      </c>
      <c r="C202">
        <f>Table4[[#This Row],[SUB-CATEGORY]]</f>
        <v>0</v>
      </c>
      <c r="D202">
        <f>'RJ ATTENDENCE SHEET'!C:C</f>
        <v>0</v>
      </c>
      <c r="E202">
        <f t="shared" si="45"/>
        <v>0</v>
      </c>
      <c r="F202" t="str">
        <f t="shared" si="53"/>
        <v/>
      </c>
      <c r="G202">
        <f>IFERROR(IF(F202=0,"",COUNTIF($F$3:F202,"&gt;0")),"")</f>
        <v>16</v>
      </c>
      <c r="H202" t="str">
        <f t="shared" si="47"/>
        <v/>
      </c>
      <c r="I202" t="str">
        <f t="shared" si="54"/>
        <v/>
      </c>
      <c r="J202">
        <f>IFERROR(IF(I202=0,"",COUNTIF($I$3:I202,"&gt;0")),"")</f>
        <v>34</v>
      </c>
      <c r="K202" t="str">
        <f t="shared" si="48"/>
        <v/>
      </c>
      <c r="L202" t="str">
        <f t="shared" si="55"/>
        <v/>
      </c>
      <c r="M202" t="str">
        <f t="shared" si="56"/>
        <v/>
      </c>
      <c r="N202">
        <f>IFERROR(IF(M202=0,"",COUNTIF($M$3:M202,"&gt;0")),"")</f>
        <v>33</v>
      </c>
      <c r="O202" t="str">
        <f t="shared" si="49"/>
        <v/>
      </c>
      <c r="P202" t="str">
        <f t="shared" si="57"/>
        <v/>
      </c>
      <c r="Q202" t="str">
        <f t="shared" si="58"/>
        <v/>
      </c>
      <c r="R202">
        <f>IFERROR(IF(Q202=0,"",COUNTIF($Q$3:Q202,"&gt;0")),"")</f>
        <v>16</v>
      </c>
      <c r="S202" t="str">
        <f t="shared" si="50"/>
        <v/>
      </c>
      <c r="T202" t="str">
        <f t="shared" si="59"/>
        <v/>
      </c>
      <c r="U202">
        <f>IFERROR(IF(T202=0,"",COUNTIF($T$3:T202,"&gt;0")),"")</f>
        <v>0</v>
      </c>
      <c r="V202" t="str">
        <f t="shared" si="51"/>
        <v/>
      </c>
      <c r="W202" t="e">
        <f t="shared" si="52"/>
        <v>#VALUE!</v>
      </c>
      <c r="X202">
        <f>'OTHER PLANT ATTN.'!C:C</f>
        <v>0</v>
      </c>
      <c r="Y202" t="e">
        <f>Table1[[#This Row],[CATEGORY ]]</f>
        <v>#VALUE!</v>
      </c>
      <c r="Z202" t="e">
        <f>Table1[[#This Row],[PLANT]]</f>
        <v>#VALUE!</v>
      </c>
    </row>
    <row r="203" spans="1:26">
      <c r="A203" t="str">
        <f t="shared" si="46"/>
        <v>000</v>
      </c>
      <c r="B203">
        <f>Table4[[#This Row],[CATEGORY]]</f>
        <v>0</v>
      </c>
      <c r="C203">
        <f>Table4[[#This Row],[SUB-CATEGORY]]</f>
        <v>0</v>
      </c>
      <c r="D203">
        <f>'RJ ATTENDENCE SHEET'!C:C</f>
        <v>0</v>
      </c>
      <c r="E203">
        <f t="shared" si="45"/>
        <v>0</v>
      </c>
      <c r="F203" t="str">
        <f t="shared" si="53"/>
        <v/>
      </c>
      <c r="G203">
        <f>IFERROR(IF(F203=0,"",COUNTIF($F$3:F203,"&gt;0")),"")</f>
        <v>16</v>
      </c>
      <c r="H203" t="str">
        <f t="shared" si="47"/>
        <v/>
      </c>
      <c r="I203" t="str">
        <f t="shared" si="54"/>
        <v/>
      </c>
      <c r="J203">
        <f>IFERROR(IF(I203=0,"",COUNTIF($I$3:I203,"&gt;0")),"")</f>
        <v>34</v>
      </c>
      <c r="K203" t="str">
        <f t="shared" si="48"/>
        <v/>
      </c>
      <c r="L203" t="str">
        <f t="shared" si="55"/>
        <v/>
      </c>
      <c r="M203" t="str">
        <f t="shared" si="56"/>
        <v/>
      </c>
      <c r="N203">
        <f>IFERROR(IF(M203=0,"",COUNTIF($M$3:M203,"&gt;0")),"")</f>
        <v>33</v>
      </c>
      <c r="O203" t="str">
        <f t="shared" si="49"/>
        <v/>
      </c>
      <c r="P203" t="str">
        <f t="shared" si="57"/>
        <v/>
      </c>
      <c r="Q203" t="str">
        <f t="shared" si="58"/>
        <v/>
      </c>
      <c r="R203">
        <f>IFERROR(IF(Q203=0,"",COUNTIF($Q$3:Q203,"&gt;0")),"")</f>
        <v>16</v>
      </c>
      <c r="S203" t="str">
        <f t="shared" si="50"/>
        <v/>
      </c>
      <c r="T203" t="str">
        <f t="shared" si="59"/>
        <v/>
      </c>
      <c r="U203">
        <f>IFERROR(IF(T203=0,"",COUNTIF($T$3:T203,"&gt;0")),"")</f>
        <v>0</v>
      </c>
      <c r="V203" t="str">
        <f t="shared" si="51"/>
        <v/>
      </c>
      <c r="W203" t="e">
        <f t="shared" si="52"/>
        <v>#VALUE!</v>
      </c>
      <c r="X203">
        <f>'OTHER PLANT ATTN.'!C:C</f>
        <v>0</v>
      </c>
      <c r="Y203" t="e">
        <f>Table1[[#This Row],[CATEGORY ]]</f>
        <v>#VALUE!</v>
      </c>
      <c r="Z203" t="e">
        <f>Table1[[#This Row],[PLANT]]</f>
        <v>#VALUE!</v>
      </c>
    </row>
    <row r="204" spans="1:26">
      <c r="A204" t="str">
        <f t="shared" si="46"/>
        <v>000</v>
      </c>
      <c r="B204">
        <f>Table4[[#This Row],[CATEGORY]]</f>
        <v>0</v>
      </c>
      <c r="C204">
        <f>Table4[[#This Row],[SUB-CATEGORY]]</f>
        <v>0</v>
      </c>
      <c r="D204">
        <f>'RJ ATTENDENCE SHEET'!C:C</f>
        <v>0</v>
      </c>
      <c r="E204">
        <f t="shared" si="45"/>
        <v>0</v>
      </c>
      <c r="F204" t="str">
        <f t="shared" si="53"/>
        <v/>
      </c>
      <c r="G204">
        <f>IFERROR(IF(F204=0,"",COUNTIF($F$3:F204,"&gt;0")),"")</f>
        <v>16</v>
      </c>
      <c r="H204" t="str">
        <f t="shared" si="47"/>
        <v/>
      </c>
      <c r="I204" t="str">
        <f t="shared" si="54"/>
        <v/>
      </c>
      <c r="J204">
        <f>IFERROR(IF(I204=0,"",COUNTIF($I$3:I204,"&gt;0")),"")</f>
        <v>34</v>
      </c>
      <c r="K204" t="str">
        <f t="shared" si="48"/>
        <v/>
      </c>
      <c r="L204" t="str">
        <f t="shared" si="55"/>
        <v/>
      </c>
      <c r="M204" t="str">
        <f t="shared" si="56"/>
        <v/>
      </c>
      <c r="N204">
        <f>IFERROR(IF(M204=0,"",COUNTIF($M$3:M204,"&gt;0")),"")</f>
        <v>33</v>
      </c>
      <c r="O204" t="str">
        <f t="shared" si="49"/>
        <v/>
      </c>
      <c r="P204" t="str">
        <f t="shared" si="57"/>
        <v/>
      </c>
      <c r="Q204" t="str">
        <f t="shared" si="58"/>
        <v/>
      </c>
      <c r="R204">
        <f>IFERROR(IF(Q204=0,"",COUNTIF($Q$3:Q204,"&gt;0")),"")</f>
        <v>16</v>
      </c>
      <c r="S204" t="str">
        <f t="shared" si="50"/>
        <v/>
      </c>
      <c r="T204" t="str">
        <f t="shared" si="59"/>
        <v/>
      </c>
      <c r="U204">
        <f>IFERROR(IF(T204=0,"",COUNTIF($T$3:T204,"&gt;0")),"")</f>
        <v>0</v>
      </c>
      <c r="V204" t="str">
        <f t="shared" si="51"/>
        <v/>
      </c>
      <c r="W204" t="e">
        <f t="shared" si="52"/>
        <v>#VALUE!</v>
      </c>
      <c r="X204">
        <f>'OTHER PLANT ATTN.'!C:C</f>
        <v>0</v>
      </c>
      <c r="Y204" t="e">
        <f>Table1[[#This Row],[CATEGORY ]]</f>
        <v>#VALUE!</v>
      </c>
      <c r="Z204" t="e">
        <f>Table1[[#This Row],[PLANT]]</f>
        <v>#VALUE!</v>
      </c>
    </row>
    <row r="205" spans="1:26">
      <c r="A205" t="str">
        <f t="shared" si="46"/>
        <v>000</v>
      </c>
      <c r="B205">
        <f>Table4[[#This Row],[CATEGORY]]</f>
        <v>0</v>
      </c>
      <c r="C205">
        <f>Table4[[#This Row],[SUB-CATEGORY]]</f>
        <v>0</v>
      </c>
      <c r="D205">
        <f>'RJ ATTENDENCE SHEET'!C:C</f>
        <v>0</v>
      </c>
      <c r="E205">
        <f t="shared" si="45"/>
        <v>0</v>
      </c>
      <c r="F205" t="str">
        <f t="shared" si="53"/>
        <v/>
      </c>
      <c r="G205">
        <f>IFERROR(IF(F205=0,"",COUNTIF($F$3:F205,"&gt;0")),"")</f>
        <v>16</v>
      </c>
      <c r="H205" t="str">
        <f t="shared" si="47"/>
        <v/>
      </c>
      <c r="I205" t="str">
        <f t="shared" si="54"/>
        <v/>
      </c>
      <c r="J205">
        <f>IFERROR(IF(I205=0,"",COUNTIF($I$3:I205,"&gt;0")),"")</f>
        <v>34</v>
      </c>
      <c r="K205" t="str">
        <f t="shared" si="48"/>
        <v/>
      </c>
      <c r="L205" t="str">
        <f t="shared" si="55"/>
        <v/>
      </c>
      <c r="M205" t="str">
        <f t="shared" si="56"/>
        <v/>
      </c>
      <c r="N205">
        <f>IFERROR(IF(M205=0,"",COUNTIF($M$3:M205,"&gt;0")),"")</f>
        <v>33</v>
      </c>
      <c r="O205" t="str">
        <f t="shared" si="49"/>
        <v/>
      </c>
      <c r="P205" t="str">
        <f t="shared" si="57"/>
        <v/>
      </c>
      <c r="Q205" t="str">
        <f t="shared" si="58"/>
        <v/>
      </c>
      <c r="R205">
        <f>IFERROR(IF(Q205=0,"",COUNTIF($Q$3:Q205,"&gt;0")),"")</f>
        <v>16</v>
      </c>
      <c r="S205" t="str">
        <f t="shared" si="50"/>
        <v/>
      </c>
      <c r="T205" t="str">
        <f t="shared" si="59"/>
        <v/>
      </c>
      <c r="U205">
        <f>IFERROR(IF(T205=0,"",COUNTIF($T$3:T205,"&gt;0")),"")</f>
        <v>0</v>
      </c>
      <c r="V205" t="str">
        <f t="shared" si="51"/>
        <v/>
      </c>
      <c r="W205" t="e">
        <f t="shared" si="52"/>
        <v>#VALUE!</v>
      </c>
      <c r="X205">
        <f>'OTHER PLANT ATTN.'!C:C</f>
        <v>0</v>
      </c>
      <c r="Y205" t="e">
        <f>Table1[[#This Row],[CATEGORY ]]</f>
        <v>#VALUE!</v>
      </c>
      <c r="Z205" t="e">
        <f>Table1[[#This Row],[PLANT]]</f>
        <v>#VALUE!</v>
      </c>
    </row>
    <row r="206" spans="1:26">
      <c r="A206" t="str">
        <f t="shared" si="46"/>
        <v>000</v>
      </c>
      <c r="B206">
        <f>Table4[[#This Row],[CATEGORY]]</f>
        <v>0</v>
      </c>
      <c r="C206">
        <f>Table4[[#This Row],[SUB-CATEGORY]]</f>
        <v>0</v>
      </c>
      <c r="D206">
        <f>'RJ ATTENDENCE SHEET'!C:C</f>
        <v>0</v>
      </c>
      <c r="E206">
        <f t="shared" si="45"/>
        <v>0</v>
      </c>
      <c r="F206" t="str">
        <f t="shared" si="53"/>
        <v/>
      </c>
      <c r="G206">
        <f>IFERROR(IF(F206=0,"",COUNTIF($F$3:F206,"&gt;0")),"")</f>
        <v>16</v>
      </c>
      <c r="H206" t="str">
        <f t="shared" si="47"/>
        <v/>
      </c>
      <c r="I206" t="str">
        <f t="shared" si="54"/>
        <v/>
      </c>
      <c r="J206">
        <f>IFERROR(IF(I206=0,"",COUNTIF($I$3:I206,"&gt;0")),"")</f>
        <v>34</v>
      </c>
      <c r="K206" t="str">
        <f t="shared" si="48"/>
        <v/>
      </c>
      <c r="L206" t="str">
        <f t="shared" si="55"/>
        <v/>
      </c>
      <c r="M206" t="str">
        <f t="shared" si="56"/>
        <v/>
      </c>
      <c r="N206">
        <f>IFERROR(IF(M206=0,"",COUNTIF($M$3:M206,"&gt;0")),"")</f>
        <v>33</v>
      </c>
      <c r="O206" t="str">
        <f t="shared" si="49"/>
        <v/>
      </c>
      <c r="P206" t="str">
        <f t="shared" si="57"/>
        <v/>
      </c>
      <c r="Q206" t="str">
        <f t="shared" si="58"/>
        <v/>
      </c>
      <c r="R206">
        <f>IFERROR(IF(Q206=0,"",COUNTIF($Q$3:Q206,"&gt;0")),"")</f>
        <v>16</v>
      </c>
      <c r="S206" t="str">
        <f t="shared" si="50"/>
        <v/>
      </c>
      <c r="T206" t="str">
        <f t="shared" si="59"/>
        <v/>
      </c>
      <c r="U206">
        <f>IFERROR(IF(T206=0,"",COUNTIF($T$3:T206,"&gt;0")),"")</f>
        <v>0</v>
      </c>
      <c r="V206" t="str">
        <f t="shared" si="51"/>
        <v/>
      </c>
      <c r="W206" t="e">
        <f t="shared" si="52"/>
        <v>#VALUE!</v>
      </c>
      <c r="X206">
        <f>'OTHER PLANT ATTN.'!C:C</f>
        <v>0</v>
      </c>
      <c r="Y206" t="e">
        <f>Table1[[#This Row],[CATEGORY ]]</f>
        <v>#VALUE!</v>
      </c>
      <c r="Z206" t="e">
        <f>Table1[[#This Row],[PLANT]]</f>
        <v>#VALUE!</v>
      </c>
    </row>
    <row r="207" spans="1:26">
      <c r="A207" t="str">
        <f t="shared" si="46"/>
        <v>000</v>
      </c>
      <c r="B207">
        <f>Table4[[#This Row],[CATEGORY]]</f>
        <v>0</v>
      </c>
      <c r="C207">
        <f>Table4[[#This Row],[SUB-CATEGORY]]</f>
        <v>0</v>
      </c>
      <c r="D207">
        <f>'RJ ATTENDENCE SHEET'!C:C</f>
        <v>0</v>
      </c>
      <c r="E207">
        <f t="shared" si="45"/>
        <v>0</v>
      </c>
      <c r="F207" t="str">
        <f t="shared" si="53"/>
        <v/>
      </c>
      <c r="G207">
        <f>IFERROR(IF(F207=0,"",COUNTIF($F$3:F207,"&gt;0")),"")</f>
        <v>16</v>
      </c>
      <c r="H207" t="str">
        <f t="shared" si="47"/>
        <v/>
      </c>
      <c r="I207" t="str">
        <f t="shared" si="54"/>
        <v/>
      </c>
      <c r="J207">
        <f>IFERROR(IF(I207=0,"",COUNTIF($I$3:I207,"&gt;0")),"")</f>
        <v>34</v>
      </c>
      <c r="K207" t="str">
        <f t="shared" si="48"/>
        <v/>
      </c>
      <c r="L207" t="str">
        <f t="shared" si="55"/>
        <v/>
      </c>
      <c r="M207" t="str">
        <f t="shared" si="56"/>
        <v/>
      </c>
      <c r="N207">
        <f>IFERROR(IF(M207=0,"",COUNTIF($M$3:M207,"&gt;0")),"")</f>
        <v>33</v>
      </c>
      <c r="O207" t="str">
        <f t="shared" si="49"/>
        <v/>
      </c>
      <c r="P207" t="str">
        <f t="shared" si="57"/>
        <v/>
      </c>
      <c r="Q207" t="str">
        <f t="shared" si="58"/>
        <v/>
      </c>
      <c r="R207">
        <f>IFERROR(IF(Q207=0,"",COUNTIF($Q$3:Q207,"&gt;0")),"")</f>
        <v>16</v>
      </c>
      <c r="S207" t="str">
        <f t="shared" si="50"/>
        <v/>
      </c>
      <c r="T207" t="str">
        <f t="shared" si="59"/>
        <v/>
      </c>
      <c r="U207">
        <f>IFERROR(IF(T207=0,"",COUNTIF($T$3:T207,"&gt;0")),"")</f>
        <v>0</v>
      </c>
      <c r="V207" t="str">
        <f t="shared" si="51"/>
        <v/>
      </c>
      <c r="W207" t="e">
        <f t="shared" si="52"/>
        <v>#VALUE!</v>
      </c>
      <c r="X207">
        <f>'OTHER PLANT ATTN.'!C:C</f>
        <v>0</v>
      </c>
      <c r="Y207" t="e">
        <f>Table1[[#This Row],[CATEGORY ]]</f>
        <v>#VALUE!</v>
      </c>
      <c r="Z207" t="e">
        <f>Table1[[#This Row],[PLANT]]</f>
        <v>#VALUE!</v>
      </c>
    </row>
    <row r="208" spans="1:26">
      <c r="A208" t="str">
        <f t="shared" si="46"/>
        <v>000</v>
      </c>
      <c r="B208">
        <f>Table4[[#This Row],[CATEGORY]]</f>
        <v>0</v>
      </c>
      <c r="C208">
        <f>Table4[[#This Row],[SUB-CATEGORY]]</f>
        <v>0</v>
      </c>
      <c r="D208">
        <f>'RJ ATTENDENCE SHEET'!C:C</f>
        <v>0</v>
      </c>
      <c r="E208">
        <f t="shared" si="45"/>
        <v>0</v>
      </c>
      <c r="F208" t="str">
        <f t="shared" si="53"/>
        <v/>
      </c>
      <c r="G208">
        <f>IFERROR(IF(F208=0,"",COUNTIF($F$3:F208,"&gt;0")),"")</f>
        <v>16</v>
      </c>
      <c r="H208" t="str">
        <f t="shared" si="47"/>
        <v/>
      </c>
      <c r="I208" t="str">
        <f t="shared" si="54"/>
        <v/>
      </c>
      <c r="J208">
        <f>IFERROR(IF(I208=0,"",COUNTIF($I$3:I208,"&gt;0")),"")</f>
        <v>34</v>
      </c>
      <c r="K208" t="str">
        <f t="shared" si="48"/>
        <v/>
      </c>
      <c r="L208" t="str">
        <f t="shared" si="55"/>
        <v/>
      </c>
      <c r="M208" t="str">
        <f t="shared" si="56"/>
        <v/>
      </c>
      <c r="N208">
        <f>IFERROR(IF(M208=0,"",COUNTIF($M$3:M208,"&gt;0")),"")</f>
        <v>33</v>
      </c>
      <c r="O208" t="str">
        <f t="shared" si="49"/>
        <v/>
      </c>
      <c r="P208" t="str">
        <f t="shared" si="57"/>
        <v/>
      </c>
      <c r="Q208" t="str">
        <f t="shared" si="58"/>
        <v/>
      </c>
      <c r="R208">
        <f>IFERROR(IF(Q208=0,"",COUNTIF($Q$3:Q208,"&gt;0")),"")</f>
        <v>16</v>
      </c>
      <c r="S208" t="str">
        <f t="shared" si="50"/>
        <v/>
      </c>
      <c r="T208" t="str">
        <f t="shared" si="59"/>
        <v/>
      </c>
      <c r="U208">
        <f>IFERROR(IF(T208=0,"",COUNTIF($T$3:T208,"&gt;0")),"")</f>
        <v>0</v>
      </c>
      <c r="V208" t="str">
        <f t="shared" si="51"/>
        <v/>
      </c>
      <c r="W208" t="e">
        <f t="shared" si="52"/>
        <v>#VALUE!</v>
      </c>
      <c r="X208">
        <f>'OTHER PLANT ATTN.'!C:C</f>
        <v>0</v>
      </c>
      <c r="Y208" t="e">
        <f>Table1[[#This Row],[CATEGORY ]]</f>
        <v>#VALUE!</v>
      </c>
      <c r="Z208" t="e">
        <f>Table1[[#This Row],[PLANT]]</f>
        <v>#VALUE!</v>
      </c>
    </row>
    <row r="209" spans="1:26">
      <c r="A209" t="str">
        <f t="shared" si="46"/>
        <v>000</v>
      </c>
      <c r="B209">
        <f>Table4[[#This Row],[CATEGORY]]</f>
        <v>0</v>
      </c>
      <c r="C209">
        <f>Table4[[#This Row],[SUB-CATEGORY]]</f>
        <v>0</v>
      </c>
      <c r="D209">
        <f>'RJ ATTENDENCE SHEET'!C:C</f>
        <v>0</v>
      </c>
      <c r="E209">
        <f t="shared" si="45"/>
        <v>0</v>
      </c>
      <c r="F209" t="str">
        <f t="shared" si="53"/>
        <v/>
      </c>
      <c r="G209">
        <f>IFERROR(IF(F209=0,"",COUNTIF($F$3:F209,"&gt;0")),"")</f>
        <v>16</v>
      </c>
      <c r="H209" t="str">
        <f t="shared" si="47"/>
        <v/>
      </c>
      <c r="I209" t="str">
        <f t="shared" si="54"/>
        <v/>
      </c>
      <c r="J209">
        <f>IFERROR(IF(I209=0,"",COUNTIF($I$3:I209,"&gt;0")),"")</f>
        <v>34</v>
      </c>
      <c r="K209" t="str">
        <f t="shared" si="48"/>
        <v/>
      </c>
      <c r="L209" t="str">
        <f t="shared" si="55"/>
        <v/>
      </c>
      <c r="M209" t="str">
        <f t="shared" si="56"/>
        <v/>
      </c>
      <c r="N209">
        <f>IFERROR(IF(M209=0,"",COUNTIF($M$3:M209,"&gt;0")),"")</f>
        <v>33</v>
      </c>
      <c r="O209" t="str">
        <f t="shared" si="49"/>
        <v/>
      </c>
      <c r="P209" t="str">
        <f t="shared" si="57"/>
        <v/>
      </c>
      <c r="Q209" t="str">
        <f t="shared" si="58"/>
        <v/>
      </c>
      <c r="R209">
        <f>IFERROR(IF(Q209=0,"",COUNTIF($Q$3:Q209,"&gt;0")),"")</f>
        <v>16</v>
      </c>
      <c r="S209" t="str">
        <f t="shared" si="50"/>
        <v/>
      </c>
      <c r="T209" t="str">
        <f t="shared" si="59"/>
        <v/>
      </c>
      <c r="U209">
        <f>IFERROR(IF(T209=0,"",COUNTIF($T$3:T209,"&gt;0")),"")</f>
        <v>0</v>
      </c>
      <c r="V209" t="str">
        <f t="shared" si="51"/>
        <v/>
      </c>
      <c r="W209" t="e">
        <f t="shared" si="52"/>
        <v>#VALUE!</v>
      </c>
      <c r="X209">
        <f>'OTHER PLANT ATTN.'!C:C</f>
        <v>0</v>
      </c>
      <c r="Y209" t="e">
        <f>Table1[[#This Row],[CATEGORY ]]</f>
        <v>#VALUE!</v>
      </c>
      <c r="Z209" t="e">
        <f>Table1[[#This Row],[PLANT]]</f>
        <v>#VALUE!</v>
      </c>
    </row>
    <row r="210" spans="1:26">
      <c r="A210" t="str">
        <f t="shared" si="46"/>
        <v>000</v>
      </c>
      <c r="B210">
        <f>Table4[[#This Row],[CATEGORY]]</f>
        <v>0</v>
      </c>
      <c r="C210">
        <f>Table4[[#This Row],[SUB-CATEGORY]]</f>
        <v>0</v>
      </c>
      <c r="D210">
        <f>'RJ ATTENDENCE SHEET'!C:C</f>
        <v>0</v>
      </c>
      <c r="E210">
        <f t="shared" si="45"/>
        <v>0</v>
      </c>
      <c r="F210" t="str">
        <f t="shared" si="53"/>
        <v/>
      </c>
      <c r="G210">
        <f>IFERROR(IF(F210=0,"",COUNTIF($F$3:F210,"&gt;0")),"")</f>
        <v>16</v>
      </c>
      <c r="H210" t="str">
        <f t="shared" si="47"/>
        <v/>
      </c>
      <c r="I210" t="str">
        <f t="shared" si="54"/>
        <v/>
      </c>
      <c r="J210">
        <f>IFERROR(IF(I210=0,"",COUNTIF($I$3:I210,"&gt;0")),"")</f>
        <v>34</v>
      </c>
      <c r="K210" t="str">
        <f t="shared" si="48"/>
        <v/>
      </c>
      <c r="L210" t="str">
        <f t="shared" si="55"/>
        <v/>
      </c>
      <c r="M210" t="str">
        <f t="shared" si="56"/>
        <v/>
      </c>
      <c r="N210">
        <f>IFERROR(IF(M210=0,"",COUNTIF($M$3:M210,"&gt;0")),"")</f>
        <v>33</v>
      </c>
      <c r="O210" t="str">
        <f t="shared" si="49"/>
        <v/>
      </c>
      <c r="P210" t="str">
        <f t="shared" si="57"/>
        <v/>
      </c>
      <c r="Q210" t="str">
        <f t="shared" si="58"/>
        <v/>
      </c>
      <c r="R210">
        <f>IFERROR(IF(Q210=0,"",COUNTIF($Q$3:Q210,"&gt;0")),"")</f>
        <v>16</v>
      </c>
      <c r="S210" t="str">
        <f t="shared" si="50"/>
        <v/>
      </c>
      <c r="T210" t="str">
        <f t="shared" si="59"/>
        <v/>
      </c>
      <c r="U210">
        <f>IFERROR(IF(T210=0,"",COUNTIF($T$3:T210,"&gt;0")),"")</f>
        <v>0</v>
      </c>
      <c r="V210" t="str">
        <f t="shared" si="51"/>
        <v/>
      </c>
      <c r="W210" t="e">
        <f t="shared" si="52"/>
        <v>#VALUE!</v>
      </c>
      <c r="X210">
        <f>'OTHER PLANT ATTN.'!C:C</f>
        <v>0</v>
      </c>
      <c r="Y210" t="e">
        <f>Table1[[#This Row],[CATEGORY ]]</f>
        <v>#VALUE!</v>
      </c>
      <c r="Z210" t="e">
        <f>Table1[[#This Row],[PLANT]]</f>
        <v>#VALUE!</v>
      </c>
    </row>
    <row r="211" spans="1:26">
      <c r="A211" t="str">
        <f t="shared" si="46"/>
        <v>000</v>
      </c>
      <c r="B211">
        <f>Table4[[#This Row],[CATEGORY]]</f>
        <v>0</v>
      </c>
      <c r="C211">
        <f>Table4[[#This Row],[SUB-CATEGORY]]</f>
        <v>0</v>
      </c>
      <c r="D211">
        <f>'RJ ATTENDENCE SHEET'!C:C</f>
        <v>0</v>
      </c>
      <c r="E211">
        <f t="shared" si="45"/>
        <v>0</v>
      </c>
      <c r="F211" t="str">
        <f t="shared" si="53"/>
        <v/>
      </c>
      <c r="G211">
        <f>IFERROR(IF(F211=0,"",COUNTIF($F$3:F211,"&gt;0")),"")</f>
        <v>16</v>
      </c>
      <c r="H211" t="str">
        <f t="shared" si="47"/>
        <v/>
      </c>
      <c r="I211" t="str">
        <f t="shared" si="54"/>
        <v/>
      </c>
      <c r="J211">
        <f>IFERROR(IF(I211=0,"",COUNTIF($I$3:I211,"&gt;0")),"")</f>
        <v>34</v>
      </c>
      <c r="K211" t="str">
        <f t="shared" si="48"/>
        <v/>
      </c>
      <c r="L211" t="str">
        <f t="shared" si="55"/>
        <v/>
      </c>
      <c r="M211" t="str">
        <f t="shared" si="56"/>
        <v/>
      </c>
      <c r="N211">
        <f>IFERROR(IF(M211=0,"",COUNTIF($M$3:M211,"&gt;0")),"")</f>
        <v>33</v>
      </c>
      <c r="O211" t="str">
        <f t="shared" si="49"/>
        <v/>
      </c>
      <c r="P211" t="str">
        <f t="shared" si="57"/>
        <v/>
      </c>
      <c r="Q211" t="str">
        <f t="shared" si="58"/>
        <v/>
      </c>
      <c r="R211">
        <f>IFERROR(IF(Q211=0,"",COUNTIF($Q$3:Q211,"&gt;0")),"")</f>
        <v>16</v>
      </c>
      <c r="S211" t="str">
        <f t="shared" si="50"/>
        <v/>
      </c>
      <c r="T211" t="str">
        <f t="shared" si="59"/>
        <v/>
      </c>
      <c r="U211">
        <f>IFERROR(IF(T211=0,"",COUNTIF($T$3:T211,"&gt;0")),"")</f>
        <v>0</v>
      </c>
      <c r="V211" t="str">
        <f t="shared" si="51"/>
        <v/>
      </c>
      <c r="W211" t="e">
        <f t="shared" si="52"/>
        <v>#VALUE!</v>
      </c>
      <c r="X211">
        <f>'OTHER PLANT ATTN.'!C:C</f>
        <v>0</v>
      </c>
      <c r="Y211" t="e">
        <f>Table1[[#This Row],[CATEGORY ]]</f>
        <v>#VALUE!</v>
      </c>
      <c r="Z211" t="e">
        <f>Table1[[#This Row],[PLANT]]</f>
        <v>#VALUE!</v>
      </c>
    </row>
    <row r="212" spans="1:26">
      <c r="A212" t="str">
        <f t="shared" si="46"/>
        <v>000</v>
      </c>
      <c r="B212">
        <f>Table4[[#This Row],[CATEGORY]]</f>
        <v>0</v>
      </c>
      <c r="C212">
        <f>Table4[[#This Row],[SUB-CATEGORY]]</f>
        <v>0</v>
      </c>
      <c r="D212">
        <f>'RJ ATTENDENCE SHEET'!C:C</f>
        <v>0</v>
      </c>
      <c r="E212">
        <f t="shared" si="45"/>
        <v>0</v>
      </c>
      <c r="F212" t="str">
        <f t="shared" si="53"/>
        <v/>
      </c>
      <c r="G212">
        <f>IFERROR(IF(F212=0,"",COUNTIF($F$3:F212,"&gt;0")),"")</f>
        <v>16</v>
      </c>
      <c r="H212" t="str">
        <f t="shared" si="47"/>
        <v/>
      </c>
      <c r="I212" t="str">
        <f t="shared" si="54"/>
        <v/>
      </c>
      <c r="J212">
        <f>IFERROR(IF(I212=0,"",COUNTIF($I$3:I212,"&gt;0")),"")</f>
        <v>34</v>
      </c>
      <c r="K212" t="str">
        <f t="shared" si="48"/>
        <v/>
      </c>
      <c r="L212" t="str">
        <f t="shared" si="55"/>
        <v/>
      </c>
      <c r="M212" t="str">
        <f t="shared" si="56"/>
        <v/>
      </c>
      <c r="N212">
        <f>IFERROR(IF(M212=0,"",COUNTIF($M$3:M212,"&gt;0")),"")</f>
        <v>33</v>
      </c>
      <c r="O212" t="str">
        <f t="shared" si="49"/>
        <v/>
      </c>
      <c r="P212" t="str">
        <f t="shared" si="57"/>
        <v/>
      </c>
      <c r="Q212" t="str">
        <f t="shared" si="58"/>
        <v/>
      </c>
      <c r="R212">
        <f>IFERROR(IF(Q212=0,"",COUNTIF($Q$3:Q212,"&gt;0")),"")</f>
        <v>16</v>
      </c>
      <c r="S212" t="str">
        <f t="shared" si="50"/>
        <v/>
      </c>
      <c r="T212" t="str">
        <f t="shared" si="59"/>
        <v/>
      </c>
      <c r="U212">
        <f>IFERROR(IF(T212=0,"",COUNTIF($T$3:T212,"&gt;0")),"")</f>
        <v>0</v>
      </c>
      <c r="V212" t="str">
        <f t="shared" si="51"/>
        <v/>
      </c>
      <c r="W212" t="e">
        <f t="shared" si="52"/>
        <v>#VALUE!</v>
      </c>
      <c r="X212">
        <f>'OTHER PLANT ATTN.'!C:C</f>
        <v>0</v>
      </c>
      <c r="Y212" t="e">
        <f>Table1[[#This Row],[CATEGORY ]]</f>
        <v>#VALUE!</v>
      </c>
      <c r="Z212" t="e">
        <f>Table1[[#This Row],[PLANT]]</f>
        <v>#VALUE!</v>
      </c>
    </row>
    <row r="213" spans="1:26">
      <c r="A213" t="str">
        <f t="shared" si="46"/>
        <v>000</v>
      </c>
      <c r="B213">
        <f>Table4[[#This Row],[CATEGORY]]</f>
        <v>0</v>
      </c>
      <c r="C213">
        <f>Table4[[#This Row],[SUB-CATEGORY]]</f>
        <v>0</v>
      </c>
      <c r="D213">
        <f>'RJ ATTENDENCE SHEET'!C:C</f>
        <v>0</v>
      </c>
      <c r="E213">
        <f t="shared" si="45"/>
        <v>0</v>
      </c>
      <c r="F213" t="str">
        <f t="shared" si="53"/>
        <v/>
      </c>
      <c r="G213">
        <f>IFERROR(IF(F213=0,"",COUNTIF($F$3:F213,"&gt;0")),"")</f>
        <v>16</v>
      </c>
      <c r="H213" t="str">
        <f t="shared" si="47"/>
        <v/>
      </c>
      <c r="I213" t="str">
        <f t="shared" si="54"/>
        <v/>
      </c>
      <c r="J213">
        <f>IFERROR(IF(I213=0,"",COUNTIF($I$3:I213,"&gt;0")),"")</f>
        <v>34</v>
      </c>
      <c r="K213" t="str">
        <f t="shared" si="48"/>
        <v/>
      </c>
      <c r="L213" t="str">
        <f t="shared" si="55"/>
        <v/>
      </c>
      <c r="M213" t="str">
        <f t="shared" si="56"/>
        <v/>
      </c>
      <c r="N213">
        <f>IFERROR(IF(M213=0,"",COUNTIF($M$3:M213,"&gt;0")),"")</f>
        <v>33</v>
      </c>
      <c r="O213" t="str">
        <f t="shared" si="49"/>
        <v/>
      </c>
      <c r="P213" t="str">
        <f t="shared" si="57"/>
        <v/>
      </c>
      <c r="Q213" t="str">
        <f t="shared" si="58"/>
        <v/>
      </c>
      <c r="R213">
        <f>IFERROR(IF(Q213=0,"",COUNTIF($Q$3:Q213,"&gt;0")),"")</f>
        <v>16</v>
      </c>
      <c r="S213" t="str">
        <f t="shared" si="50"/>
        <v/>
      </c>
      <c r="T213" t="str">
        <f t="shared" si="59"/>
        <v/>
      </c>
      <c r="U213">
        <f>IFERROR(IF(T213=0,"",COUNTIF($T$3:T213,"&gt;0")),"")</f>
        <v>0</v>
      </c>
      <c r="V213" t="str">
        <f t="shared" si="51"/>
        <v/>
      </c>
      <c r="W213" t="e">
        <f t="shared" si="52"/>
        <v>#VALUE!</v>
      </c>
      <c r="X213">
        <f>'OTHER PLANT ATTN.'!C:C</f>
        <v>0</v>
      </c>
      <c r="Y213" t="e">
        <f>Table1[[#This Row],[CATEGORY ]]</f>
        <v>#VALUE!</v>
      </c>
      <c r="Z213" t="e">
        <f>Table1[[#This Row],[PLANT]]</f>
        <v>#VALUE!</v>
      </c>
    </row>
    <row r="214" spans="1:26">
      <c r="A214" t="str">
        <f t="shared" si="46"/>
        <v>000</v>
      </c>
      <c r="B214">
        <f>Table4[[#This Row],[CATEGORY]]</f>
        <v>0</v>
      </c>
      <c r="C214">
        <f>Table4[[#This Row],[SUB-CATEGORY]]</f>
        <v>0</v>
      </c>
      <c r="D214">
        <f>'RJ ATTENDENCE SHEET'!C:C</f>
        <v>0</v>
      </c>
      <c r="E214">
        <f t="shared" si="45"/>
        <v>0</v>
      </c>
      <c r="F214" t="str">
        <f t="shared" si="53"/>
        <v/>
      </c>
      <c r="G214">
        <f>IFERROR(IF(F214=0,"",COUNTIF($F$3:F214,"&gt;0")),"")</f>
        <v>16</v>
      </c>
      <c r="H214" t="str">
        <f t="shared" si="47"/>
        <v/>
      </c>
      <c r="I214" t="str">
        <f t="shared" si="54"/>
        <v/>
      </c>
      <c r="J214">
        <f>IFERROR(IF(I214=0,"",COUNTIF($I$3:I214,"&gt;0")),"")</f>
        <v>34</v>
      </c>
      <c r="K214" t="str">
        <f t="shared" si="48"/>
        <v/>
      </c>
      <c r="L214" t="str">
        <f t="shared" si="55"/>
        <v/>
      </c>
      <c r="M214" t="str">
        <f t="shared" si="56"/>
        <v/>
      </c>
      <c r="N214">
        <f>IFERROR(IF(M214=0,"",COUNTIF($M$3:M214,"&gt;0")),"")</f>
        <v>33</v>
      </c>
      <c r="O214" t="str">
        <f t="shared" si="49"/>
        <v/>
      </c>
      <c r="P214" t="str">
        <f t="shared" si="57"/>
        <v/>
      </c>
      <c r="Q214" t="str">
        <f t="shared" si="58"/>
        <v/>
      </c>
      <c r="R214">
        <f>IFERROR(IF(Q214=0,"",COUNTIF($Q$3:Q214,"&gt;0")),"")</f>
        <v>16</v>
      </c>
      <c r="S214" t="str">
        <f t="shared" si="50"/>
        <v/>
      </c>
      <c r="T214" t="str">
        <f t="shared" si="59"/>
        <v/>
      </c>
      <c r="U214">
        <f>IFERROR(IF(T214=0,"",COUNTIF($T$3:T214,"&gt;0")),"")</f>
        <v>0</v>
      </c>
      <c r="V214" t="str">
        <f t="shared" si="51"/>
        <v/>
      </c>
      <c r="W214" t="e">
        <f t="shared" si="52"/>
        <v>#VALUE!</v>
      </c>
      <c r="X214">
        <f>'OTHER PLANT ATTN.'!C:C</f>
        <v>0</v>
      </c>
      <c r="Y214" t="e">
        <f>Table1[[#This Row],[CATEGORY ]]</f>
        <v>#VALUE!</v>
      </c>
      <c r="Z214" t="e">
        <f>Table1[[#This Row],[PLANT]]</f>
        <v>#VALUE!</v>
      </c>
    </row>
    <row r="215" spans="1:26">
      <c r="A215" t="str">
        <f t="shared" si="46"/>
        <v>000</v>
      </c>
      <c r="B215">
        <f>Table4[[#This Row],[CATEGORY]]</f>
        <v>0</v>
      </c>
      <c r="C215">
        <f>Table4[[#This Row],[SUB-CATEGORY]]</f>
        <v>0</v>
      </c>
      <c r="D215">
        <f>'RJ ATTENDENCE SHEET'!C:C</f>
        <v>0</v>
      </c>
      <c r="E215">
        <f t="shared" si="45"/>
        <v>0</v>
      </c>
      <c r="F215" t="str">
        <f t="shared" si="53"/>
        <v/>
      </c>
      <c r="G215">
        <f>IFERROR(IF(F215=0,"",COUNTIF($F$3:F215,"&gt;0")),"")</f>
        <v>16</v>
      </c>
      <c r="H215" t="str">
        <f t="shared" si="47"/>
        <v/>
      </c>
      <c r="I215" t="str">
        <f t="shared" si="54"/>
        <v/>
      </c>
      <c r="J215">
        <f>IFERROR(IF(I215=0,"",COUNTIF($I$3:I215,"&gt;0")),"")</f>
        <v>34</v>
      </c>
      <c r="K215" t="str">
        <f t="shared" si="48"/>
        <v/>
      </c>
      <c r="L215" t="str">
        <f t="shared" si="55"/>
        <v/>
      </c>
      <c r="M215" t="str">
        <f t="shared" si="56"/>
        <v/>
      </c>
      <c r="N215">
        <f>IFERROR(IF(M215=0,"",COUNTIF($M$3:M215,"&gt;0")),"")</f>
        <v>33</v>
      </c>
      <c r="O215" t="str">
        <f t="shared" si="49"/>
        <v/>
      </c>
      <c r="P215" t="str">
        <f t="shared" si="57"/>
        <v/>
      </c>
      <c r="Q215" t="str">
        <f t="shared" si="58"/>
        <v/>
      </c>
      <c r="R215">
        <f>IFERROR(IF(Q215=0,"",COUNTIF($Q$3:Q215,"&gt;0")),"")</f>
        <v>16</v>
      </c>
      <c r="S215" t="str">
        <f t="shared" si="50"/>
        <v/>
      </c>
      <c r="T215" t="str">
        <f t="shared" si="59"/>
        <v/>
      </c>
      <c r="U215">
        <f>IFERROR(IF(T215=0,"",COUNTIF($T$3:T215,"&gt;0")),"")</f>
        <v>0</v>
      </c>
      <c r="V215" t="str">
        <f t="shared" si="51"/>
        <v/>
      </c>
      <c r="W215" t="e">
        <f t="shared" si="52"/>
        <v>#VALUE!</v>
      </c>
      <c r="X215">
        <f>'OTHER PLANT ATTN.'!C:C</f>
        <v>0</v>
      </c>
      <c r="Y215" t="e">
        <f>Table1[[#This Row],[CATEGORY ]]</f>
        <v>#VALUE!</v>
      </c>
      <c r="Z215" t="e">
        <f>Table1[[#This Row],[PLANT]]</f>
        <v>#VALUE!</v>
      </c>
    </row>
    <row r="216" spans="1:26">
      <c r="A216" t="str">
        <f t="shared" si="46"/>
        <v>000</v>
      </c>
      <c r="B216">
        <f>Table4[[#This Row],[CATEGORY]]</f>
        <v>0</v>
      </c>
      <c r="C216">
        <f>Table4[[#This Row],[SUB-CATEGORY]]</f>
        <v>0</v>
      </c>
      <c r="D216">
        <f>'RJ ATTENDENCE SHEET'!C:C</f>
        <v>0</v>
      </c>
      <c r="E216">
        <f t="shared" si="45"/>
        <v>0</v>
      </c>
      <c r="F216" t="str">
        <f t="shared" si="53"/>
        <v/>
      </c>
      <c r="G216">
        <f>IFERROR(IF(F216=0,"",COUNTIF($F$3:F216,"&gt;0")),"")</f>
        <v>16</v>
      </c>
      <c r="H216" t="str">
        <f t="shared" si="47"/>
        <v/>
      </c>
      <c r="I216" t="str">
        <f t="shared" si="54"/>
        <v/>
      </c>
      <c r="J216">
        <f>IFERROR(IF(I216=0,"",COUNTIF($I$3:I216,"&gt;0")),"")</f>
        <v>34</v>
      </c>
      <c r="K216" t="str">
        <f t="shared" si="48"/>
        <v/>
      </c>
      <c r="L216" t="str">
        <f t="shared" si="55"/>
        <v/>
      </c>
      <c r="M216" t="str">
        <f t="shared" si="56"/>
        <v/>
      </c>
      <c r="N216">
        <f>IFERROR(IF(M216=0,"",COUNTIF($M$3:M216,"&gt;0")),"")</f>
        <v>33</v>
      </c>
      <c r="O216" t="str">
        <f t="shared" si="49"/>
        <v/>
      </c>
      <c r="P216" t="str">
        <f t="shared" si="57"/>
        <v/>
      </c>
      <c r="Q216" t="str">
        <f t="shared" si="58"/>
        <v/>
      </c>
      <c r="R216">
        <f>IFERROR(IF(Q216=0,"",COUNTIF($Q$3:Q216,"&gt;0")),"")</f>
        <v>16</v>
      </c>
      <c r="S216" t="str">
        <f t="shared" si="50"/>
        <v/>
      </c>
      <c r="T216" t="str">
        <f t="shared" si="59"/>
        <v/>
      </c>
      <c r="U216">
        <f>IFERROR(IF(T216=0,"",COUNTIF($T$3:T216,"&gt;0")),"")</f>
        <v>0</v>
      </c>
      <c r="V216" t="str">
        <f t="shared" si="51"/>
        <v/>
      </c>
      <c r="W216" t="e">
        <f t="shared" si="52"/>
        <v>#VALUE!</v>
      </c>
      <c r="X216">
        <f>'OTHER PLANT ATTN.'!C:C</f>
        <v>0</v>
      </c>
      <c r="Y216" t="e">
        <f>Table1[[#This Row],[CATEGORY ]]</f>
        <v>#VALUE!</v>
      </c>
      <c r="Z216" t="e">
        <f>Table1[[#This Row],[PLANT]]</f>
        <v>#VALUE!</v>
      </c>
    </row>
    <row r="217" spans="1:26">
      <c r="A217" t="str">
        <f t="shared" si="46"/>
        <v>000</v>
      </c>
      <c r="B217">
        <f>Table4[[#This Row],[CATEGORY]]</f>
        <v>0</v>
      </c>
      <c r="C217">
        <f>Table4[[#This Row],[SUB-CATEGORY]]</f>
        <v>0</v>
      </c>
      <c r="D217">
        <f>'RJ ATTENDENCE SHEET'!C:C</f>
        <v>0</v>
      </c>
      <c r="E217">
        <f t="shared" si="45"/>
        <v>0</v>
      </c>
      <c r="F217" t="str">
        <f t="shared" si="53"/>
        <v/>
      </c>
      <c r="G217">
        <f>IFERROR(IF(F217=0,"",COUNTIF($F$3:F217,"&gt;0")),"")</f>
        <v>16</v>
      </c>
      <c r="H217" t="str">
        <f t="shared" si="47"/>
        <v/>
      </c>
      <c r="I217" t="str">
        <f t="shared" si="54"/>
        <v/>
      </c>
      <c r="J217">
        <f>IFERROR(IF(I217=0,"",COUNTIF($I$3:I217,"&gt;0")),"")</f>
        <v>34</v>
      </c>
      <c r="K217" t="str">
        <f t="shared" si="48"/>
        <v/>
      </c>
      <c r="L217" t="str">
        <f t="shared" si="55"/>
        <v/>
      </c>
      <c r="M217" t="str">
        <f t="shared" si="56"/>
        <v/>
      </c>
      <c r="N217">
        <f>IFERROR(IF(M217=0,"",COUNTIF($M$3:M217,"&gt;0")),"")</f>
        <v>33</v>
      </c>
      <c r="O217" t="str">
        <f t="shared" si="49"/>
        <v/>
      </c>
      <c r="P217" t="str">
        <f t="shared" si="57"/>
        <v/>
      </c>
      <c r="Q217" t="str">
        <f t="shared" si="58"/>
        <v/>
      </c>
      <c r="R217">
        <f>IFERROR(IF(Q217=0,"",COUNTIF($Q$3:Q217,"&gt;0")),"")</f>
        <v>16</v>
      </c>
      <c r="S217" t="str">
        <f t="shared" si="50"/>
        <v/>
      </c>
      <c r="T217" t="str">
        <f t="shared" si="59"/>
        <v/>
      </c>
      <c r="U217">
        <f>IFERROR(IF(T217=0,"",COUNTIF($T$3:T217,"&gt;0")),"")</f>
        <v>0</v>
      </c>
      <c r="V217" t="str">
        <f t="shared" si="51"/>
        <v/>
      </c>
      <c r="W217" t="e">
        <f t="shared" si="52"/>
        <v>#VALUE!</v>
      </c>
      <c r="X217">
        <f>'OTHER PLANT ATTN.'!C:C</f>
        <v>0</v>
      </c>
      <c r="Y217" t="e">
        <f>Table1[[#This Row],[CATEGORY ]]</f>
        <v>#VALUE!</v>
      </c>
      <c r="Z217" t="e">
        <f>Table1[[#This Row],[PLANT]]</f>
        <v>#VALUE!</v>
      </c>
    </row>
    <row r="218" spans="1:26">
      <c r="A218" t="str">
        <f t="shared" si="46"/>
        <v>000</v>
      </c>
      <c r="B218">
        <f>Table4[[#This Row],[CATEGORY]]</f>
        <v>0</v>
      </c>
      <c r="C218">
        <f>Table4[[#This Row],[SUB-CATEGORY]]</f>
        <v>0</v>
      </c>
      <c r="D218">
        <f>'RJ ATTENDENCE SHEET'!C:C</f>
        <v>0</v>
      </c>
      <c r="E218">
        <f t="shared" si="45"/>
        <v>0</v>
      </c>
      <c r="F218" t="str">
        <f t="shared" si="53"/>
        <v/>
      </c>
      <c r="G218">
        <f>IFERROR(IF(F218=0,"",COUNTIF($F$3:F218,"&gt;0")),"")</f>
        <v>16</v>
      </c>
      <c r="H218" t="str">
        <f t="shared" si="47"/>
        <v/>
      </c>
      <c r="I218" t="str">
        <f t="shared" si="54"/>
        <v/>
      </c>
      <c r="J218">
        <f>IFERROR(IF(I218=0,"",COUNTIF($I$3:I218,"&gt;0")),"")</f>
        <v>34</v>
      </c>
      <c r="K218" t="str">
        <f t="shared" si="48"/>
        <v/>
      </c>
      <c r="L218" t="str">
        <f t="shared" si="55"/>
        <v/>
      </c>
      <c r="M218" t="str">
        <f t="shared" si="56"/>
        <v/>
      </c>
      <c r="N218">
        <f>IFERROR(IF(M218=0,"",COUNTIF($M$3:M218,"&gt;0")),"")</f>
        <v>33</v>
      </c>
      <c r="O218" t="str">
        <f t="shared" si="49"/>
        <v/>
      </c>
      <c r="P218" t="str">
        <f t="shared" si="57"/>
        <v/>
      </c>
      <c r="Q218" t="str">
        <f t="shared" si="58"/>
        <v/>
      </c>
      <c r="R218">
        <f>IFERROR(IF(Q218=0,"",COUNTIF($Q$3:Q218,"&gt;0")),"")</f>
        <v>16</v>
      </c>
      <c r="S218" t="str">
        <f t="shared" si="50"/>
        <v/>
      </c>
      <c r="T218" t="str">
        <f t="shared" si="59"/>
        <v/>
      </c>
      <c r="U218">
        <f>IFERROR(IF(T218=0,"",COUNTIF($T$3:T218,"&gt;0")),"")</f>
        <v>0</v>
      </c>
      <c r="V218" t="str">
        <f t="shared" si="51"/>
        <v/>
      </c>
      <c r="W218" t="e">
        <f t="shared" si="52"/>
        <v>#VALUE!</v>
      </c>
      <c r="X218">
        <f>'OTHER PLANT ATTN.'!C:C</f>
        <v>0</v>
      </c>
      <c r="Y218" t="e">
        <f>Table1[[#This Row],[CATEGORY ]]</f>
        <v>#VALUE!</v>
      </c>
      <c r="Z218" t="e">
        <f>Table1[[#This Row],[PLANT]]</f>
        <v>#VALUE!</v>
      </c>
    </row>
    <row r="219" spans="1:26">
      <c r="A219" t="str">
        <f t="shared" si="46"/>
        <v>000</v>
      </c>
      <c r="B219">
        <f>Table4[[#This Row],[CATEGORY]]</f>
        <v>0</v>
      </c>
      <c r="C219">
        <f>Table4[[#This Row],[SUB-CATEGORY]]</f>
        <v>0</v>
      </c>
      <c r="D219">
        <f>'RJ ATTENDENCE SHEET'!C:C</f>
        <v>0</v>
      </c>
      <c r="E219">
        <f t="shared" si="45"/>
        <v>0</v>
      </c>
      <c r="F219" t="str">
        <f t="shared" si="53"/>
        <v/>
      </c>
      <c r="G219">
        <f>IFERROR(IF(F219=0,"",COUNTIF($F$3:F219,"&gt;0")),"")</f>
        <v>16</v>
      </c>
      <c r="H219" t="str">
        <f t="shared" si="47"/>
        <v/>
      </c>
      <c r="I219" t="str">
        <f t="shared" si="54"/>
        <v/>
      </c>
      <c r="J219">
        <f>IFERROR(IF(I219=0,"",COUNTIF($I$3:I219,"&gt;0")),"")</f>
        <v>34</v>
      </c>
      <c r="K219" t="str">
        <f t="shared" si="48"/>
        <v/>
      </c>
      <c r="L219" t="str">
        <f t="shared" si="55"/>
        <v/>
      </c>
      <c r="M219" t="str">
        <f t="shared" si="56"/>
        <v/>
      </c>
      <c r="N219">
        <f>IFERROR(IF(M219=0,"",COUNTIF($M$3:M219,"&gt;0")),"")</f>
        <v>33</v>
      </c>
      <c r="O219" t="str">
        <f t="shared" si="49"/>
        <v/>
      </c>
      <c r="P219" t="str">
        <f t="shared" si="57"/>
        <v/>
      </c>
      <c r="Q219" t="str">
        <f t="shared" si="58"/>
        <v/>
      </c>
      <c r="R219">
        <f>IFERROR(IF(Q219=0,"",COUNTIF($Q$3:Q219,"&gt;0")),"")</f>
        <v>16</v>
      </c>
      <c r="S219" t="str">
        <f t="shared" si="50"/>
        <v/>
      </c>
      <c r="T219" t="str">
        <f t="shared" si="59"/>
        <v/>
      </c>
      <c r="U219">
        <f>IFERROR(IF(T219=0,"",COUNTIF($T$3:T219,"&gt;0")),"")</f>
        <v>0</v>
      </c>
      <c r="V219" t="str">
        <f t="shared" si="51"/>
        <v/>
      </c>
      <c r="W219" t="e">
        <f t="shared" si="52"/>
        <v>#VALUE!</v>
      </c>
      <c r="X219">
        <f>'OTHER PLANT ATTN.'!C:C</f>
        <v>0</v>
      </c>
      <c r="Y219" t="e">
        <f>Table1[[#This Row],[CATEGORY ]]</f>
        <v>#VALUE!</v>
      </c>
      <c r="Z219" t="e">
        <f>Table1[[#This Row],[PLANT]]</f>
        <v>#VALUE!</v>
      </c>
    </row>
    <row r="220" spans="1:26">
      <c r="A220" t="str">
        <f t="shared" si="46"/>
        <v>000</v>
      </c>
      <c r="B220">
        <f>Table4[[#This Row],[CATEGORY]]</f>
        <v>0</v>
      </c>
      <c r="C220">
        <f>Table4[[#This Row],[SUB-CATEGORY]]</f>
        <v>0</v>
      </c>
      <c r="D220">
        <f>'RJ ATTENDENCE SHEET'!C:C</f>
        <v>0</v>
      </c>
      <c r="E220">
        <f t="shared" si="45"/>
        <v>0</v>
      </c>
      <c r="F220" t="str">
        <f t="shared" si="53"/>
        <v/>
      </c>
      <c r="G220">
        <f>IFERROR(IF(F220=0,"",COUNTIF($F$3:F220,"&gt;0")),"")</f>
        <v>16</v>
      </c>
      <c r="H220" t="str">
        <f t="shared" si="47"/>
        <v/>
      </c>
      <c r="I220" t="str">
        <f t="shared" si="54"/>
        <v/>
      </c>
      <c r="J220">
        <f>IFERROR(IF(I220=0,"",COUNTIF($I$3:I220,"&gt;0")),"")</f>
        <v>34</v>
      </c>
      <c r="K220" t="str">
        <f t="shared" si="48"/>
        <v/>
      </c>
      <c r="L220" t="str">
        <f t="shared" si="55"/>
        <v/>
      </c>
      <c r="M220" t="str">
        <f t="shared" si="56"/>
        <v/>
      </c>
      <c r="N220">
        <f>IFERROR(IF(M220=0,"",COUNTIF($M$3:M220,"&gt;0")),"")</f>
        <v>33</v>
      </c>
      <c r="O220" t="str">
        <f t="shared" si="49"/>
        <v/>
      </c>
      <c r="P220" t="str">
        <f t="shared" si="57"/>
        <v/>
      </c>
      <c r="Q220" t="str">
        <f t="shared" si="58"/>
        <v/>
      </c>
      <c r="R220">
        <f>IFERROR(IF(Q220=0,"",COUNTIF($Q$3:Q220,"&gt;0")),"")</f>
        <v>16</v>
      </c>
      <c r="S220" t="str">
        <f t="shared" si="50"/>
        <v/>
      </c>
      <c r="T220" t="str">
        <f t="shared" si="59"/>
        <v/>
      </c>
      <c r="U220">
        <f>IFERROR(IF(T220=0,"",COUNTIF($T$3:T220,"&gt;0")),"")</f>
        <v>0</v>
      </c>
      <c r="V220" t="str">
        <f t="shared" si="51"/>
        <v/>
      </c>
      <c r="W220" t="e">
        <f t="shared" si="52"/>
        <v>#VALUE!</v>
      </c>
      <c r="X220">
        <f>'OTHER PLANT ATTN.'!C:C</f>
        <v>0</v>
      </c>
      <c r="Y220" t="e">
        <f>Table1[[#This Row],[CATEGORY ]]</f>
        <v>#VALUE!</v>
      </c>
      <c r="Z220" t="e">
        <f>Table1[[#This Row],[PLANT]]</f>
        <v>#VALUE!</v>
      </c>
    </row>
    <row r="221" spans="1:26">
      <c r="A221" t="str">
        <f t="shared" si="46"/>
        <v>000</v>
      </c>
      <c r="B221">
        <f>Table4[[#This Row],[CATEGORY]]</f>
        <v>0</v>
      </c>
      <c r="C221">
        <f>Table4[[#This Row],[SUB-CATEGORY]]</f>
        <v>0</v>
      </c>
      <c r="D221">
        <f>'RJ ATTENDENCE SHEET'!C:C</f>
        <v>0</v>
      </c>
      <c r="E221">
        <f t="shared" si="45"/>
        <v>0</v>
      </c>
      <c r="F221" t="str">
        <f t="shared" si="53"/>
        <v/>
      </c>
      <c r="G221">
        <f>IFERROR(IF(F221=0,"",COUNTIF($F$3:F221,"&gt;0")),"")</f>
        <v>16</v>
      </c>
      <c r="H221" t="str">
        <f t="shared" si="47"/>
        <v/>
      </c>
      <c r="I221" t="str">
        <f t="shared" si="54"/>
        <v/>
      </c>
      <c r="J221">
        <f>IFERROR(IF(I221=0,"",COUNTIF($I$3:I221,"&gt;0")),"")</f>
        <v>34</v>
      </c>
      <c r="K221" t="str">
        <f t="shared" si="48"/>
        <v/>
      </c>
      <c r="L221" t="str">
        <f t="shared" si="55"/>
        <v/>
      </c>
      <c r="M221" t="str">
        <f t="shared" si="56"/>
        <v/>
      </c>
      <c r="N221">
        <f>IFERROR(IF(M221=0,"",COUNTIF($M$3:M221,"&gt;0")),"")</f>
        <v>33</v>
      </c>
      <c r="O221" t="str">
        <f t="shared" si="49"/>
        <v/>
      </c>
      <c r="P221" t="str">
        <f t="shared" si="57"/>
        <v/>
      </c>
      <c r="Q221" t="str">
        <f t="shared" si="58"/>
        <v/>
      </c>
      <c r="R221">
        <f>IFERROR(IF(Q221=0,"",COUNTIF($Q$3:Q221,"&gt;0")),"")</f>
        <v>16</v>
      </c>
      <c r="S221" t="str">
        <f t="shared" si="50"/>
        <v/>
      </c>
      <c r="T221" t="str">
        <f t="shared" si="59"/>
        <v/>
      </c>
      <c r="U221">
        <f>IFERROR(IF(T221=0,"",COUNTIF($T$3:T221,"&gt;0")),"")</f>
        <v>0</v>
      </c>
      <c r="V221" t="str">
        <f t="shared" si="51"/>
        <v/>
      </c>
      <c r="W221" t="e">
        <f t="shared" si="52"/>
        <v>#VALUE!</v>
      </c>
      <c r="X221">
        <f>'OTHER PLANT ATTN.'!C:C</f>
        <v>0</v>
      </c>
      <c r="Y221" t="e">
        <f>Table1[[#This Row],[CATEGORY ]]</f>
        <v>#VALUE!</v>
      </c>
      <c r="Z221" t="e">
        <f>Table1[[#This Row],[PLANT]]</f>
        <v>#VALUE!</v>
      </c>
    </row>
    <row r="222" spans="1:26">
      <c r="A222" t="str">
        <f t="shared" si="46"/>
        <v>000</v>
      </c>
      <c r="B222">
        <f>Table4[[#This Row],[CATEGORY]]</f>
        <v>0</v>
      </c>
      <c r="C222">
        <f>Table4[[#This Row],[SUB-CATEGORY]]</f>
        <v>0</v>
      </c>
      <c r="D222">
        <f>'RJ ATTENDENCE SHEET'!C:C</f>
        <v>0</v>
      </c>
      <c r="E222">
        <f t="shared" si="45"/>
        <v>0</v>
      </c>
      <c r="F222" t="str">
        <f t="shared" si="53"/>
        <v/>
      </c>
      <c r="G222">
        <f>IFERROR(IF(F222=0,"",COUNTIF($F$3:F222,"&gt;0")),"")</f>
        <v>16</v>
      </c>
      <c r="H222" t="str">
        <f t="shared" si="47"/>
        <v/>
      </c>
      <c r="I222" t="str">
        <f t="shared" si="54"/>
        <v/>
      </c>
      <c r="J222">
        <f>IFERROR(IF(I222=0,"",COUNTIF($I$3:I222,"&gt;0")),"")</f>
        <v>34</v>
      </c>
      <c r="K222" t="str">
        <f t="shared" si="48"/>
        <v/>
      </c>
      <c r="L222" t="str">
        <f t="shared" si="55"/>
        <v/>
      </c>
      <c r="M222" t="str">
        <f t="shared" si="56"/>
        <v/>
      </c>
      <c r="N222">
        <f>IFERROR(IF(M222=0,"",COUNTIF($M$3:M222,"&gt;0")),"")</f>
        <v>33</v>
      </c>
      <c r="O222" t="str">
        <f t="shared" si="49"/>
        <v/>
      </c>
      <c r="P222" t="str">
        <f t="shared" si="57"/>
        <v/>
      </c>
      <c r="Q222" t="str">
        <f t="shared" si="58"/>
        <v/>
      </c>
      <c r="R222">
        <f>IFERROR(IF(Q222=0,"",COUNTIF($Q$3:Q222,"&gt;0")),"")</f>
        <v>16</v>
      </c>
      <c r="S222" t="str">
        <f t="shared" si="50"/>
        <v/>
      </c>
      <c r="T222" t="str">
        <f t="shared" si="59"/>
        <v/>
      </c>
      <c r="U222">
        <f>IFERROR(IF(T222=0,"",COUNTIF($T$3:T222,"&gt;0")),"")</f>
        <v>0</v>
      </c>
      <c r="V222" t="str">
        <f t="shared" si="51"/>
        <v/>
      </c>
      <c r="W222" t="e">
        <f t="shared" si="52"/>
        <v>#VALUE!</v>
      </c>
      <c r="X222">
        <f>'OTHER PLANT ATTN.'!C:C</f>
        <v>0</v>
      </c>
      <c r="Y222" t="e">
        <f>Table1[[#This Row],[CATEGORY ]]</f>
        <v>#VALUE!</v>
      </c>
      <c r="Z222" t="e">
        <f>Table1[[#This Row],[PLANT]]</f>
        <v>#VALUE!</v>
      </c>
    </row>
    <row r="223" spans="1:26">
      <c r="A223" t="str">
        <f t="shared" si="46"/>
        <v>000</v>
      </c>
      <c r="B223">
        <f>Table4[[#This Row],[CATEGORY]]</f>
        <v>0</v>
      </c>
      <c r="C223">
        <f>Table4[[#This Row],[SUB-CATEGORY]]</f>
        <v>0</v>
      </c>
      <c r="D223">
        <f>'RJ ATTENDENCE SHEET'!C:C</f>
        <v>0</v>
      </c>
      <c r="E223">
        <f t="shared" si="45"/>
        <v>0</v>
      </c>
      <c r="F223" t="str">
        <f t="shared" si="53"/>
        <v/>
      </c>
      <c r="G223">
        <f>IFERROR(IF(F223=0,"",COUNTIF($F$3:F223,"&gt;0")),"")</f>
        <v>16</v>
      </c>
      <c r="H223" t="str">
        <f t="shared" si="47"/>
        <v/>
      </c>
      <c r="I223" t="str">
        <f t="shared" si="54"/>
        <v/>
      </c>
      <c r="J223">
        <f>IFERROR(IF(I223=0,"",COUNTIF($I$3:I223,"&gt;0")),"")</f>
        <v>34</v>
      </c>
      <c r="K223" t="str">
        <f t="shared" si="48"/>
        <v/>
      </c>
      <c r="L223" t="str">
        <f t="shared" si="55"/>
        <v/>
      </c>
      <c r="M223" t="str">
        <f t="shared" si="56"/>
        <v/>
      </c>
      <c r="N223">
        <f>IFERROR(IF(M223=0,"",COUNTIF($M$3:M223,"&gt;0")),"")</f>
        <v>33</v>
      </c>
      <c r="O223" t="str">
        <f t="shared" si="49"/>
        <v/>
      </c>
      <c r="P223" t="str">
        <f t="shared" si="57"/>
        <v/>
      </c>
      <c r="Q223" t="str">
        <f t="shared" si="58"/>
        <v/>
      </c>
      <c r="R223">
        <f>IFERROR(IF(Q223=0,"",COUNTIF($Q$3:Q223,"&gt;0")),"")</f>
        <v>16</v>
      </c>
      <c r="S223" t="str">
        <f t="shared" si="50"/>
        <v/>
      </c>
      <c r="T223" t="str">
        <f t="shared" si="59"/>
        <v/>
      </c>
      <c r="U223">
        <f>IFERROR(IF(T223=0,"",COUNTIF($T$3:T223,"&gt;0")),"")</f>
        <v>0</v>
      </c>
      <c r="V223" t="str">
        <f t="shared" si="51"/>
        <v/>
      </c>
      <c r="W223" t="e">
        <f t="shared" si="52"/>
        <v>#VALUE!</v>
      </c>
      <c r="X223">
        <f>'OTHER PLANT ATTN.'!C:C</f>
        <v>0</v>
      </c>
      <c r="Y223" t="e">
        <f>Table1[[#This Row],[CATEGORY ]]</f>
        <v>#VALUE!</v>
      </c>
      <c r="Z223" t="e">
        <f>Table1[[#This Row],[PLANT]]</f>
        <v>#VALUE!</v>
      </c>
    </row>
    <row r="224" spans="1:26">
      <c r="A224" t="str">
        <f t="shared" si="46"/>
        <v>000</v>
      </c>
      <c r="B224">
        <f>Table4[[#This Row],[CATEGORY]]</f>
        <v>0</v>
      </c>
      <c r="C224">
        <f>Table4[[#This Row],[SUB-CATEGORY]]</f>
        <v>0</v>
      </c>
      <c r="D224">
        <f>'RJ ATTENDENCE SHEET'!C:C</f>
        <v>0</v>
      </c>
      <c r="E224">
        <f t="shared" si="45"/>
        <v>0</v>
      </c>
      <c r="F224" t="str">
        <f t="shared" si="53"/>
        <v/>
      </c>
      <c r="G224">
        <f>IFERROR(IF(F224=0,"",COUNTIF($F$3:F224,"&gt;0")),"")</f>
        <v>16</v>
      </c>
      <c r="H224" t="str">
        <f t="shared" si="47"/>
        <v/>
      </c>
      <c r="I224" t="str">
        <f t="shared" si="54"/>
        <v/>
      </c>
      <c r="J224">
        <f>IFERROR(IF(I224=0,"",COUNTIF($I$3:I224,"&gt;0")),"")</f>
        <v>34</v>
      </c>
      <c r="K224" t="str">
        <f t="shared" si="48"/>
        <v/>
      </c>
      <c r="L224" t="str">
        <f t="shared" si="55"/>
        <v/>
      </c>
      <c r="M224" t="str">
        <f t="shared" si="56"/>
        <v/>
      </c>
      <c r="N224">
        <f>IFERROR(IF(M224=0,"",COUNTIF($M$3:M224,"&gt;0")),"")</f>
        <v>33</v>
      </c>
      <c r="O224" t="str">
        <f t="shared" si="49"/>
        <v/>
      </c>
      <c r="P224" t="str">
        <f t="shared" si="57"/>
        <v/>
      </c>
      <c r="Q224" t="str">
        <f t="shared" si="58"/>
        <v/>
      </c>
      <c r="R224">
        <f>IFERROR(IF(Q224=0,"",COUNTIF($Q$3:Q224,"&gt;0")),"")</f>
        <v>16</v>
      </c>
      <c r="S224" t="str">
        <f t="shared" si="50"/>
        <v/>
      </c>
      <c r="T224" t="str">
        <f t="shared" si="59"/>
        <v/>
      </c>
      <c r="U224">
        <f>IFERROR(IF(T224=0,"",COUNTIF($T$3:T224,"&gt;0")),"")</f>
        <v>0</v>
      </c>
      <c r="V224" t="str">
        <f t="shared" si="51"/>
        <v/>
      </c>
      <c r="W224" t="e">
        <f t="shared" si="52"/>
        <v>#VALUE!</v>
      </c>
      <c r="X224">
        <f>'OTHER PLANT ATTN.'!C:C</f>
        <v>0</v>
      </c>
      <c r="Y224" t="e">
        <f>Table1[[#This Row],[CATEGORY ]]</f>
        <v>#VALUE!</v>
      </c>
      <c r="Z224" t="e">
        <f>Table1[[#This Row],[PLANT]]</f>
        <v>#VALUE!</v>
      </c>
    </row>
    <row r="225" spans="1:26">
      <c r="A225" t="str">
        <f t="shared" si="46"/>
        <v>000</v>
      </c>
      <c r="B225">
        <f>Table4[[#This Row],[CATEGORY]]</f>
        <v>0</v>
      </c>
      <c r="C225">
        <f>Table4[[#This Row],[SUB-CATEGORY]]</f>
        <v>0</v>
      </c>
      <c r="D225">
        <f>'RJ ATTENDENCE SHEET'!C:C</f>
        <v>0</v>
      </c>
      <c r="E225">
        <f t="shared" si="45"/>
        <v>0</v>
      </c>
      <c r="F225" t="str">
        <f t="shared" si="53"/>
        <v/>
      </c>
      <c r="G225">
        <f>IFERROR(IF(F225=0,"",COUNTIF($F$3:F225,"&gt;0")),"")</f>
        <v>16</v>
      </c>
      <c r="H225" t="str">
        <f t="shared" si="47"/>
        <v/>
      </c>
      <c r="I225" t="str">
        <f t="shared" si="54"/>
        <v/>
      </c>
      <c r="J225">
        <f>IFERROR(IF(I225=0,"",COUNTIF($I$3:I225,"&gt;0")),"")</f>
        <v>34</v>
      </c>
      <c r="K225" t="str">
        <f t="shared" si="48"/>
        <v/>
      </c>
      <c r="L225" t="str">
        <f t="shared" si="55"/>
        <v/>
      </c>
      <c r="M225" t="str">
        <f t="shared" si="56"/>
        <v/>
      </c>
      <c r="N225">
        <f>IFERROR(IF(M225=0,"",COUNTIF($M$3:M225,"&gt;0")),"")</f>
        <v>33</v>
      </c>
      <c r="O225" t="str">
        <f t="shared" si="49"/>
        <v/>
      </c>
      <c r="P225" t="str">
        <f t="shared" si="57"/>
        <v/>
      </c>
      <c r="Q225" t="str">
        <f t="shared" si="58"/>
        <v/>
      </c>
      <c r="R225">
        <f>IFERROR(IF(Q225=0,"",COUNTIF($Q$3:Q225,"&gt;0")),"")</f>
        <v>16</v>
      </c>
      <c r="S225" t="str">
        <f t="shared" si="50"/>
        <v/>
      </c>
      <c r="T225" t="str">
        <f t="shared" si="59"/>
        <v/>
      </c>
      <c r="U225">
        <f>IFERROR(IF(T225=0,"",COUNTIF($T$3:T225,"&gt;0")),"")</f>
        <v>0</v>
      </c>
      <c r="V225" t="str">
        <f t="shared" si="51"/>
        <v/>
      </c>
      <c r="W225" t="e">
        <f t="shared" si="52"/>
        <v>#VALUE!</v>
      </c>
      <c r="X225">
        <f>'OTHER PLANT ATTN.'!C:C</f>
        <v>0</v>
      </c>
      <c r="Y225" t="e">
        <f>Table1[[#This Row],[CATEGORY ]]</f>
        <v>#VALUE!</v>
      </c>
      <c r="Z225" t="e">
        <f>Table1[[#This Row],[PLANT]]</f>
        <v>#VALUE!</v>
      </c>
    </row>
    <row r="226" spans="1:26">
      <c r="A226" t="str">
        <f t="shared" si="46"/>
        <v>000</v>
      </c>
      <c r="B226">
        <f>Table4[[#This Row],[CATEGORY]]</f>
        <v>0</v>
      </c>
      <c r="C226">
        <f>Table4[[#This Row],[SUB-CATEGORY]]</f>
        <v>0</v>
      </c>
      <c r="D226">
        <f>'RJ ATTENDENCE SHEET'!C:C</f>
        <v>0</v>
      </c>
      <c r="E226">
        <f t="shared" si="45"/>
        <v>0</v>
      </c>
      <c r="F226" t="str">
        <f t="shared" si="53"/>
        <v/>
      </c>
      <c r="G226">
        <f>IFERROR(IF(F226=0,"",COUNTIF($F$3:F226,"&gt;0")),"")</f>
        <v>16</v>
      </c>
      <c r="H226" t="str">
        <f t="shared" si="47"/>
        <v/>
      </c>
      <c r="I226" t="str">
        <f t="shared" si="54"/>
        <v/>
      </c>
      <c r="J226">
        <f>IFERROR(IF(I226=0,"",COUNTIF($I$3:I226,"&gt;0")),"")</f>
        <v>34</v>
      </c>
      <c r="K226" t="str">
        <f t="shared" si="48"/>
        <v/>
      </c>
      <c r="L226" t="str">
        <f t="shared" si="55"/>
        <v/>
      </c>
      <c r="M226" t="str">
        <f t="shared" si="56"/>
        <v/>
      </c>
      <c r="N226">
        <f>IFERROR(IF(M226=0,"",COUNTIF($M$3:M226,"&gt;0")),"")</f>
        <v>33</v>
      </c>
      <c r="O226" t="str">
        <f t="shared" si="49"/>
        <v/>
      </c>
      <c r="P226" t="str">
        <f t="shared" si="57"/>
        <v/>
      </c>
      <c r="Q226" t="str">
        <f t="shared" si="58"/>
        <v/>
      </c>
      <c r="R226">
        <f>IFERROR(IF(Q226=0,"",COUNTIF($Q$3:Q226,"&gt;0")),"")</f>
        <v>16</v>
      </c>
      <c r="S226" t="str">
        <f t="shared" si="50"/>
        <v/>
      </c>
      <c r="T226" t="str">
        <f t="shared" si="59"/>
        <v/>
      </c>
      <c r="U226">
        <f>IFERROR(IF(T226=0,"",COUNTIF($T$3:T226,"&gt;0")),"")</f>
        <v>0</v>
      </c>
      <c r="V226" t="str">
        <f t="shared" si="51"/>
        <v/>
      </c>
      <c r="W226" t="e">
        <f t="shared" si="52"/>
        <v>#VALUE!</v>
      </c>
      <c r="X226">
        <f>'OTHER PLANT ATTN.'!C:C</f>
        <v>0</v>
      </c>
      <c r="Y226" t="e">
        <f>Table1[[#This Row],[CATEGORY ]]</f>
        <v>#VALUE!</v>
      </c>
      <c r="Z226" t="e">
        <f>Table1[[#This Row],[PLANT]]</f>
        <v>#VALUE!</v>
      </c>
    </row>
    <row r="227" spans="1:26">
      <c r="A227" t="str">
        <f t="shared" si="46"/>
        <v>000</v>
      </c>
      <c r="B227">
        <f>Table4[[#This Row],[CATEGORY]]</f>
        <v>0</v>
      </c>
      <c r="C227">
        <f>Table4[[#This Row],[SUB-CATEGORY]]</f>
        <v>0</v>
      </c>
      <c r="D227">
        <f>'RJ ATTENDENCE SHEET'!C:C</f>
        <v>0</v>
      </c>
      <c r="E227">
        <f t="shared" si="45"/>
        <v>0</v>
      </c>
      <c r="F227" t="str">
        <f t="shared" si="53"/>
        <v/>
      </c>
      <c r="G227">
        <f>IFERROR(IF(F227=0,"",COUNTIF($F$3:F227,"&gt;0")),"")</f>
        <v>16</v>
      </c>
      <c r="H227" t="str">
        <f t="shared" si="47"/>
        <v/>
      </c>
      <c r="I227" t="str">
        <f t="shared" si="54"/>
        <v/>
      </c>
      <c r="J227">
        <f>IFERROR(IF(I227=0,"",COUNTIF($I$3:I227,"&gt;0")),"")</f>
        <v>34</v>
      </c>
      <c r="K227" t="str">
        <f t="shared" si="48"/>
        <v/>
      </c>
      <c r="L227" t="str">
        <f t="shared" si="55"/>
        <v/>
      </c>
      <c r="M227" t="str">
        <f t="shared" si="56"/>
        <v/>
      </c>
      <c r="N227">
        <f>IFERROR(IF(M227=0,"",COUNTIF($M$3:M227,"&gt;0")),"")</f>
        <v>33</v>
      </c>
      <c r="O227" t="str">
        <f t="shared" si="49"/>
        <v/>
      </c>
      <c r="P227" t="str">
        <f t="shared" si="57"/>
        <v/>
      </c>
      <c r="Q227" t="str">
        <f t="shared" si="58"/>
        <v/>
      </c>
      <c r="R227">
        <f>IFERROR(IF(Q227=0,"",COUNTIF($Q$3:Q227,"&gt;0")),"")</f>
        <v>16</v>
      </c>
      <c r="S227" t="str">
        <f t="shared" si="50"/>
        <v/>
      </c>
      <c r="T227" t="str">
        <f t="shared" si="59"/>
        <v/>
      </c>
      <c r="U227">
        <f>IFERROR(IF(T227=0,"",COUNTIF($T$3:T227,"&gt;0")),"")</f>
        <v>0</v>
      </c>
      <c r="V227" t="str">
        <f t="shared" si="51"/>
        <v/>
      </c>
      <c r="W227" t="e">
        <f t="shared" si="52"/>
        <v>#VALUE!</v>
      </c>
      <c r="X227">
        <f>'OTHER PLANT ATTN.'!C:C</f>
        <v>0</v>
      </c>
      <c r="Y227" t="e">
        <f>Table1[[#This Row],[CATEGORY ]]</f>
        <v>#VALUE!</v>
      </c>
      <c r="Z227" t="e">
        <f>Table1[[#This Row],[PLANT]]</f>
        <v>#VALUE!</v>
      </c>
    </row>
    <row r="228" spans="1:26">
      <c r="A228" t="str">
        <f t="shared" si="46"/>
        <v>000</v>
      </c>
      <c r="B228">
        <f>Table4[[#This Row],[CATEGORY]]</f>
        <v>0</v>
      </c>
      <c r="C228">
        <f>Table4[[#This Row],[SUB-CATEGORY]]</f>
        <v>0</v>
      </c>
      <c r="D228">
        <f>'RJ ATTENDENCE SHEET'!C:C</f>
        <v>0</v>
      </c>
      <c r="E228">
        <f t="shared" si="45"/>
        <v>0</v>
      </c>
      <c r="F228" t="str">
        <f t="shared" si="53"/>
        <v/>
      </c>
      <c r="G228">
        <f>IFERROR(IF(F228=0,"",COUNTIF($F$3:F228,"&gt;0")),"")</f>
        <v>16</v>
      </c>
      <c r="H228" t="str">
        <f t="shared" si="47"/>
        <v/>
      </c>
      <c r="I228" t="str">
        <f t="shared" si="54"/>
        <v/>
      </c>
      <c r="J228">
        <f>IFERROR(IF(I228=0,"",COUNTIF($I$3:I228,"&gt;0")),"")</f>
        <v>34</v>
      </c>
      <c r="K228" t="str">
        <f t="shared" si="48"/>
        <v/>
      </c>
      <c r="L228" t="str">
        <f t="shared" si="55"/>
        <v/>
      </c>
      <c r="M228" t="str">
        <f t="shared" si="56"/>
        <v/>
      </c>
      <c r="N228">
        <f>IFERROR(IF(M228=0,"",COUNTIF($M$3:M228,"&gt;0")),"")</f>
        <v>33</v>
      </c>
      <c r="O228" t="str">
        <f t="shared" si="49"/>
        <v/>
      </c>
      <c r="P228" t="str">
        <f t="shared" si="57"/>
        <v/>
      </c>
      <c r="Q228" t="str">
        <f t="shared" si="58"/>
        <v/>
      </c>
      <c r="R228">
        <f>IFERROR(IF(Q228=0,"",COUNTIF($Q$3:Q228,"&gt;0")),"")</f>
        <v>16</v>
      </c>
      <c r="S228" t="str">
        <f t="shared" si="50"/>
        <v/>
      </c>
      <c r="T228" t="str">
        <f t="shared" si="59"/>
        <v/>
      </c>
      <c r="U228">
        <f>IFERROR(IF(T228=0,"",COUNTIF($T$3:T228,"&gt;0")),"")</f>
        <v>0</v>
      </c>
      <c r="V228" t="str">
        <f t="shared" si="51"/>
        <v/>
      </c>
      <c r="W228" t="e">
        <f t="shared" si="52"/>
        <v>#VALUE!</v>
      </c>
      <c r="X228">
        <f>'OTHER PLANT ATTN.'!C:C</f>
        <v>0</v>
      </c>
      <c r="Y228" t="e">
        <f>Table1[[#This Row],[CATEGORY ]]</f>
        <v>#VALUE!</v>
      </c>
      <c r="Z228" t="e">
        <f>Table1[[#This Row],[PLANT]]</f>
        <v>#VALUE!</v>
      </c>
    </row>
    <row r="229" spans="1:26">
      <c r="A229" t="str">
        <f t="shared" si="46"/>
        <v>000</v>
      </c>
      <c r="B229">
        <f>Table4[[#This Row],[CATEGORY]]</f>
        <v>0</v>
      </c>
      <c r="C229">
        <f>Table4[[#This Row],[SUB-CATEGORY]]</f>
        <v>0</v>
      </c>
      <c r="D229">
        <f>'RJ ATTENDENCE SHEET'!C:C</f>
        <v>0</v>
      </c>
      <c r="E229">
        <f t="shared" si="45"/>
        <v>0</v>
      </c>
      <c r="F229" t="str">
        <f t="shared" si="53"/>
        <v/>
      </c>
      <c r="G229">
        <f>IFERROR(IF(F229=0,"",COUNTIF($F$3:F229,"&gt;0")),"")</f>
        <v>16</v>
      </c>
      <c r="H229" t="str">
        <f t="shared" si="47"/>
        <v/>
      </c>
      <c r="I229" t="str">
        <f t="shared" si="54"/>
        <v/>
      </c>
      <c r="J229">
        <f>IFERROR(IF(I229=0,"",COUNTIF($I$3:I229,"&gt;0")),"")</f>
        <v>34</v>
      </c>
      <c r="K229" t="str">
        <f t="shared" si="48"/>
        <v/>
      </c>
      <c r="L229" t="str">
        <f t="shared" si="55"/>
        <v/>
      </c>
      <c r="M229" t="str">
        <f t="shared" si="56"/>
        <v/>
      </c>
      <c r="N229">
        <f>IFERROR(IF(M229=0,"",COUNTIF($M$3:M229,"&gt;0")),"")</f>
        <v>33</v>
      </c>
      <c r="O229" t="str">
        <f t="shared" si="49"/>
        <v/>
      </c>
      <c r="P229" t="str">
        <f t="shared" si="57"/>
        <v/>
      </c>
      <c r="Q229" t="str">
        <f t="shared" si="58"/>
        <v/>
      </c>
      <c r="R229">
        <f>IFERROR(IF(Q229=0,"",COUNTIF($Q$3:Q229,"&gt;0")),"")</f>
        <v>16</v>
      </c>
      <c r="S229" t="str">
        <f t="shared" si="50"/>
        <v/>
      </c>
      <c r="T229" t="str">
        <f t="shared" si="59"/>
        <v/>
      </c>
      <c r="U229">
        <f>IFERROR(IF(T229=0,"",COUNTIF($T$3:T229,"&gt;0")),"")</f>
        <v>0</v>
      </c>
      <c r="V229" t="str">
        <f t="shared" si="51"/>
        <v/>
      </c>
      <c r="W229" t="e">
        <f t="shared" si="52"/>
        <v>#VALUE!</v>
      </c>
      <c r="X229">
        <f>'OTHER PLANT ATTN.'!C:C</f>
        <v>0</v>
      </c>
      <c r="Y229" t="e">
        <f>Table1[[#This Row],[CATEGORY ]]</f>
        <v>#VALUE!</v>
      </c>
      <c r="Z229" t="e">
        <f>Table1[[#This Row],[PLANT]]</f>
        <v>#VALUE!</v>
      </c>
    </row>
    <row r="230" spans="1:26">
      <c r="A230" t="str">
        <f t="shared" si="46"/>
        <v>000</v>
      </c>
      <c r="B230">
        <f>Table4[[#This Row],[CATEGORY]]</f>
        <v>0</v>
      </c>
      <c r="C230">
        <f>Table4[[#This Row],[SUB-CATEGORY]]</f>
        <v>0</v>
      </c>
      <c r="D230">
        <f>'RJ ATTENDENCE SHEET'!C:C</f>
        <v>0</v>
      </c>
      <c r="E230">
        <f t="shared" si="45"/>
        <v>0</v>
      </c>
      <c r="F230" t="str">
        <f t="shared" si="53"/>
        <v/>
      </c>
      <c r="G230">
        <f>IFERROR(IF(F230=0,"",COUNTIF($F$3:F230,"&gt;0")),"")</f>
        <v>16</v>
      </c>
      <c r="H230" t="str">
        <f t="shared" si="47"/>
        <v/>
      </c>
      <c r="I230" t="str">
        <f t="shared" si="54"/>
        <v/>
      </c>
      <c r="J230">
        <f>IFERROR(IF(I230=0,"",COUNTIF($I$3:I230,"&gt;0")),"")</f>
        <v>34</v>
      </c>
      <c r="K230" t="str">
        <f t="shared" si="48"/>
        <v/>
      </c>
      <c r="L230" t="str">
        <f t="shared" si="55"/>
        <v/>
      </c>
      <c r="M230" t="str">
        <f t="shared" si="56"/>
        <v/>
      </c>
      <c r="N230">
        <f>IFERROR(IF(M230=0,"",COUNTIF($M$3:M230,"&gt;0")),"")</f>
        <v>33</v>
      </c>
      <c r="O230" t="str">
        <f t="shared" si="49"/>
        <v/>
      </c>
      <c r="P230" t="str">
        <f t="shared" si="57"/>
        <v/>
      </c>
      <c r="Q230" t="str">
        <f t="shared" si="58"/>
        <v/>
      </c>
      <c r="R230">
        <f>IFERROR(IF(Q230=0,"",COUNTIF($Q$3:Q230,"&gt;0")),"")</f>
        <v>16</v>
      </c>
      <c r="S230" t="str">
        <f t="shared" si="50"/>
        <v/>
      </c>
      <c r="T230" t="str">
        <f t="shared" si="59"/>
        <v/>
      </c>
      <c r="U230">
        <f>IFERROR(IF(T230=0,"",COUNTIF($T$3:T230,"&gt;0")),"")</f>
        <v>0</v>
      </c>
      <c r="V230" t="str">
        <f t="shared" si="51"/>
        <v/>
      </c>
      <c r="W230" t="e">
        <f t="shared" si="52"/>
        <v>#VALUE!</v>
      </c>
      <c r="X230">
        <f>'OTHER PLANT ATTN.'!C:C</f>
        <v>0</v>
      </c>
      <c r="Y230" t="e">
        <f>Table1[[#This Row],[CATEGORY ]]</f>
        <v>#VALUE!</v>
      </c>
      <c r="Z230" t="e">
        <f>Table1[[#This Row],[PLANT]]</f>
        <v>#VALUE!</v>
      </c>
    </row>
    <row r="231" spans="1:26">
      <c r="A231" t="str">
        <f t="shared" si="46"/>
        <v>000</v>
      </c>
      <c r="B231">
        <f>Table4[[#This Row],[CATEGORY]]</f>
        <v>0</v>
      </c>
      <c r="C231">
        <f>Table4[[#This Row],[SUB-CATEGORY]]</f>
        <v>0</v>
      </c>
      <c r="D231">
        <f>'RJ ATTENDENCE SHEET'!C:C</f>
        <v>0</v>
      </c>
      <c r="E231">
        <f t="shared" si="45"/>
        <v>0</v>
      </c>
      <c r="F231" t="str">
        <f t="shared" si="53"/>
        <v/>
      </c>
      <c r="G231">
        <f>IFERROR(IF(F231=0,"",COUNTIF($F$3:F231,"&gt;0")),"")</f>
        <v>16</v>
      </c>
      <c r="H231" t="str">
        <f t="shared" si="47"/>
        <v/>
      </c>
      <c r="I231" t="str">
        <f t="shared" si="54"/>
        <v/>
      </c>
      <c r="J231">
        <f>IFERROR(IF(I231=0,"",COUNTIF($I$3:I231,"&gt;0")),"")</f>
        <v>34</v>
      </c>
      <c r="K231" t="str">
        <f t="shared" si="48"/>
        <v/>
      </c>
      <c r="L231" t="str">
        <f t="shared" si="55"/>
        <v/>
      </c>
      <c r="M231" t="str">
        <f t="shared" si="56"/>
        <v/>
      </c>
      <c r="N231">
        <f>IFERROR(IF(M231=0,"",COUNTIF($M$3:M231,"&gt;0")),"")</f>
        <v>33</v>
      </c>
      <c r="O231" t="str">
        <f t="shared" si="49"/>
        <v/>
      </c>
      <c r="P231" t="str">
        <f t="shared" si="57"/>
        <v/>
      </c>
      <c r="Q231" t="str">
        <f t="shared" si="58"/>
        <v/>
      </c>
      <c r="R231">
        <f>IFERROR(IF(Q231=0,"",COUNTIF($Q$3:Q231,"&gt;0")),"")</f>
        <v>16</v>
      </c>
      <c r="S231" t="str">
        <f t="shared" si="50"/>
        <v/>
      </c>
      <c r="T231" t="str">
        <f t="shared" si="59"/>
        <v/>
      </c>
      <c r="U231">
        <f>IFERROR(IF(T231=0,"",COUNTIF($T$3:T231,"&gt;0")),"")</f>
        <v>0</v>
      </c>
      <c r="V231" t="str">
        <f t="shared" si="51"/>
        <v/>
      </c>
      <c r="W231" t="e">
        <f t="shared" si="52"/>
        <v>#VALUE!</v>
      </c>
      <c r="X231">
        <f>'OTHER PLANT ATTN.'!C:C</f>
        <v>0</v>
      </c>
      <c r="Y231" t="e">
        <f>Table1[[#This Row],[CATEGORY ]]</f>
        <v>#VALUE!</v>
      </c>
      <c r="Z231" t="e">
        <f>Table1[[#This Row],[PLANT]]</f>
        <v>#VALUE!</v>
      </c>
    </row>
    <row r="232" spans="1:26">
      <c r="A232" t="str">
        <f t="shared" si="46"/>
        <v>000</v>
      </c>
      <c r="B232">
        <f>Table4[[#This Row],[CATEGORY]]</f>
        <v>0</v>
      </c>
      <c r="C232">
        <f>Table4[[#This Row],[SUB-CATEGORY]]</f>
        <v>0</v>
      </c>
      <c r="D232">
        <f>'RJ ATTENDENCE SHEET'!C:C</f>
        <v>0</v>
      </c>
      <c r="E232">
        <f t="shared" si="45"/>
        <v>0</v>
      </c>
      <c r="F232" t="str">
        <f t="shared" si="53"/>
        <v/>
      </c>
      <c r="G232">
        <f>IFERROR(IF(F232=0,"",COUNTIF($F$3:F232,"&gt;0")),"")</f>
        <v>16</v>
      </c>
      <c r="H232" t="str">
        <f t="shared" si="47"/>
        <v/>
      </c>
      <c r="I232" t="str">
        <f t="shared" si="54"/>
        <v/>
      </c>
      <c r="J232">
        <f>IFERROR(IF(I232=0,"",COUNTIF($I$3:I232,"&gt;0")),"")</f>
        <v>34</v>
      </c>
      <c r="K232" t="str">
        <f t="shared" si="48"/>
        <v/>
      </c>
      <c r="L232" t="str">
        <f t="shared" si="55"/>
        <v/>
      </c>
      <c r="M232" t="str">
        <f t="shared" si="56"/>
        <v/>
      </c>
      <c r="N232">
        <f>IFERROR(IF(M232=0,"",COUNTIF($M$3:M232,"&gt;0")),"")</f>
        <v>33</v>
      </c>
      <c r="O232" t="str">
        <f t="shared" si="49"/>
        <v/>
      </c>
      <c r="P232" t="str">
        <f t="shared" si="57"/>
        <v/>
      </c>
      <c r="Q232" t="str">
        <f t="shared" si="58"/>
        <v/>
      </c>
      <c r="R232">
        <f>IFERROR(IF(Q232=0,"",COUNTIF($Q$3:Q232,"&gt;0")),"")</f>
        <v>16</v>
      </c>
      <c r="S232" t="str">
        <f t="shared" si="50"/>
        <v/>
      </c>
      <c r="T232" t="str">
        <f t="shared" si="59"/>
        <v/>
      </c>
      <c r="U232">
        <f>IFERROR(IF(T232=0,"",COUNTIF($T$3:T232,"&gt;0")),"")</f>
        <v>0</v>
      </c>
      <c r="V232" t="str">
        <f t="shared" si="51"/>
        <v/>
      </c>
      <c r="W232" t="e">
        <f t="shared" si="52"/>
        <v>#VALUE!</v>
      </c>
      <c r="X232">
        <f>'OTHER PLANT ATTN.'!C:C</f>
        <v>0</v>
      </c>
      <c r="Y232" t="e">
        <f>Table1[[#This Row],[CATEGORY ]]</f>
        <v>#VALUE!</v>
      </c>
      <c r="Z232" t="e">
        <f>Table1[[#This Row],[PLANT]]</f>
        <v>#VALUE!</v>
      </c>
    </row>
    <row r="233" spans="1:26">
      <c r="A233" t="str">
        <f t="shared" si="46"/>
        <v>000</v>
      </c>
      <c r="B233">
        <f>Table4[[#This Row],[CATEGORY]]</f>
        <v>0</v>
      </c>
      <c r="C233">
        <f>Table4[[#This Row],[SUB-CATEGORY]]</f>
        <v>0</v>
      </c>
      <c r="D233">
        <f>'RJ ATTENDENCE SHEET'!C:C</f>
        <v>0</v>
      </c>
      <c r="E233">
        <f t="shared" si="45"/>
        <v>0</v>
      </c>
      <c r="F233" t="str">
        <f t="shared" si="53"/>
        <v/>
      </c>
      <c r="G233">
        <f>IFERROR(IF(F233=0,"",COUNTIF($F$3:F233,"&gt;0")),"")</f>
        <v>16</v>
      </c>
      <c r="H233" t="str">
        <f t="shared" si="47"/>
        <v/>
      </c>
      <c r="I233" t="str">
        <f t="shared" si="54"/>
        <v/>
      </c>
      <c r="J233">
        <f>IFERROR(IF(I233=0,"",COUNTIF($I$3:I233,"&gt;0")),"")</f>
        <v>34</v>
      </c>
      <c r="K233" t="str">
        <f t="shared" si="48"/>
        <v/>
      </c>
      <c r="L233" t="str">
        <f t="shared" si="55"/>
        <v/>
      </c>
      <c r="M233" t="str">
        <f t="shared" si="56"/>
        <v/>
      </c>
      <c r="N233">
        <f>IFERROR(IF(M233=0,"",COUNTIF($M$3:M233,"&gt;0")),"")</f>
        <v>33</v>
      </c>
      <c r="O233" t="str">
        <f t="shared" si="49"/>
        <v/>
      </c>
      <c r="P233" t="str">
        <f t="shared" si="57"/>
        <v/>
      </c>
      <c r="Q233" t="str">
        <f t="shared" si="58"/>
        <v/>
      </c>
      <c r="R233">
        <f>IFERROR(IF(Q233=0,"",COUNTIF($Q$3:Q233,"&gt;0")),"")</f>
        <v>16</v>
      </c>
      <c r="S233" t="str">
        <f t="shared" si="50"/>
        <v/>
      </c>
      <c r="T233" t="str">
        <f t="shared" si="59"/>
        <v/>
      </c>
      <c r="U233">
        <f>IFERROR(IF(T233=0,"",COUNTIF($T$3:T233,"&gt;0")),"")</f>
        <v>0</v>
      </c>
      <c r="V233" t="str">
        <f t="shared" si="51"/>
        <v/>
      </c>
      <c r="W233" t="e">
        <f t="shared" si="52"/>
        <v>#VALUE!</v>
      </c>
      <c r="X233">
        <f>'OTHER PLANT ATTN.'!C:C</f>
        <v>0</v>
      </c>
      <c r="Y233" t="e">
        <f>Table1[[#This Row],[CATEGORY ]]</f>
        <v>#VALUE!</v>
      </c>
      <c r="Z233" t="e">
        <f>Table1[[#This Row],[PLANT]]</f>
        <v>#VALUE!</v>
      </c>
    </row>
    <row r="234" spans="1:26">
      <c r="A234" t="str">
        <f t="shared" si="46"/>
        <v>000</v>
      </c>
      <c r="B234">
        <f>Table4[[#This Row],[CATEGORY]]</f>
        <v>0</v>
      </c>
      <c r="C234">
        <f>Table4[[#This Row],[SUB-CATEGORY]]</f>
        <v>0</v>
      </c>
      <c r="D234">
        <f>'RJ ATTENDENCE SHEET'!C:C</f>
        <v>0</v>
      </c>
      <c r="E234">
        <f t="shared" si="45"/>
        <v>0</v>
      </c>
      <c r="F234" t="str">
        <f t="shared" si="53"/>
        <v/>
      </c>
      <c r="G234">
        <f>IFERROR(IF(F234=0,"",COUNTIF($F$3:F234,"&gt;0")),"")</f>
        <v>16</v>
      </c>
      <c r="H234" t="str">
        <f t="shared" si="47"/>
        <v/>
      </c>
      <c r="I234" t="str">
        <f t="shared" si="54"/>
        <v/>
      </c>
      <c r="J234">
        <f>IFERROR(IF(I234=0,"",COUNTIF($I$3:I234,"&gt;0")),"")</f>
        <v>34</v>
      </c>
      <c r="K234" t="str">
        <f t="shared" si="48"/>
        <v/>
      </c>
      <c r="L234" t="str">
        <f t="shared" si="55"/>
        <v/>
      </c>
      <c r="M234" t="str">
        <f t="shared" si="56"/>
        <v/>
      </c>
      <c r="N234">
        <f>IFERROR(IF(M234=0,"",COUNTIF($M$3:M234,"&gt;0")),"")</f>
        <v>33</v>
      </c>
      <c r="O234" t="str">
        <f t="shared" si="49"/>
        <v/>
      </c>
      <c r="P234" t="str">
        <f t="shared" si="57"/>
        <v/>
      </c>
      <c r="Q234" t="str">
        <f t="shared" si="58"/>
        <v/>
      </c>
      <c r="R234">
        <f>IFERROR(IF(Q234=0,"",COUNTIF($Q$3:Q234,"&gt;0")),"")</f>
        <v>16</v>
      </c>
      <c r="S234" t="str">
        <f t="shared" si="50"/>
        <v/>
      </c>
      <c r="T234" t="str">
        <f t="shared" si="59"/>
        <v/>
      </c>
      <c r="U234">
        <f>IFERROR(IF(T234=0,"",COUNTIF($T$3:T234,"&gt;0")),"")</f>
        <v>0</v>
      </c>
      <c r="V234" t="str">
        <f t="shared" si="51"/>
        <v/>
      </c>
      <c r="W234" t="e">
        <f t="shared" si="52"/>
        <v>#VALUE!</v>
      </c>
      <c r="X234">
        <f>'OTHER PLANT ATTN.'!C:C</f>
        <v>0</v>
      </c>
      <c r="Y234" t="e">
        <f>Table1[[#This Row],[CATEGORY ]]</f>
        <v>#VALUE!</v>
      </c>
      <c r="Z234" t="e">
        <f>Table1[[#This Row],[PLANT]]</f>
        <v>#VALUE!</v>
      </c>
    </row>
    <row r="235" spans="1:26">
      <c r="A235" t="str">
        <f t="shared" si="46"/>
        <v>000</v>
      </c>
      <c r="B235">
        <f>Table4[[#This Row],[CATEGORY]]</f>
        <v>0</v>
      </c>
      <c r="C235">
        <f>Table4[[#This Row],[SUB-CATEGORY]]</f>
        <v>0</v>
      </c>
      <c r="D235">
        <f>'RJ ATTENDENCE SHEET'!C:C</f>
        <v>0</v>
      </c>
      <c r="E235">
        <f t="shared" si="45"/>
        <v>0</v>
      </c>
      <c r="F235" t="str">
        <f t="shared" si="53"/>
        <v/>
      </c>
      <c r="G235">
        <f>IFERROR(IF(F235=0,"",COUNTIF($F$3:F235,"&gt;0")),"")</f>
        <v>16</v>
      </c>
      <c r="H235" t="str">
        <f t="shared" si="47"/>
        <v/>
      </c>
      <c r="I235" t="str">
        <f t="shared" si="54"/>
        <v/>
      </c>
      <c r="J235">
        <f>IFERROR(IF(I235=0,"",COUNTIF($I$3:I235,"&gt;0")),"")</f>
        <v>34</v>
      </c>
      <c r="K235" t="str">
        <f t="shared" si="48"/>
        <v/>
      </c>
      <c r="L235" t="str">
        <f t="shared" si="55"/>
        <v/>
      </c>
      <c r="M235" t="str">
        <f t="shared" si="56"/>
        <v/>
      </c>
      <c r="N235">
        <f>IFERROR(IF(M235=0,"",COUNTIF($M$3:M235,"&gt;0")),"")</f>
        <v>33</v>
      </c>
      <c r="O235" t="str">
        <f t="shared" si="49"/>
        <v/>
      </c>
      <c r="P235" t="str">
        <f t="shared" si="57"/>
        <v/>
      </c>
      <c r="Q235" t="str">
        <f t="shared" si="58"/>
        <v/>
      </c>
      <c r="R235">
        <f>IFERROR(IF(Q235=0,"",COUNTIF($Q$3:Q235,"&gt;0")),"")</f>
        <v>16</v>
      </c>
      <c r="S235" t="str">
        <f t="shared" si="50"/>
        <v/>
      </c>
      <c r="T235" t="str">
        <f t="shared" si="59"/>
        <v/>
      </c>
      <c r="U235">
        <f>IFERROR(IF(T235=0,"",COUNTIF($T$3:T235,"&gt;0")),"")</f>
        <v>0</v>
      </c>
      <c r="V235" t="str">
        <f t="shared" si="51"/>
        <v/>
      </c>
      <c r="W235" t="e">
        <f t="shared" si="52"/>
        <v>#VALUE!</v>
      </c>
      <c r="X235">
        <f>'OTHER PLANT ATTN.'!C:C</f>
        <v>0</v>
      </c>
      <c r="Y235" t="e">
        <f>Table1[[#This Row],[CATEGORY ]]</f>
        <v>#VALUE!</v>
      </c>
      <c r="Z235" t="e">
        <f>Table1[[#This Row],[PLANT]]</f>
        <v>#VALUE!</v>
      </c>
    </row>
    <row r="236" spans="1:26">
      <c r="A236" t="str">
        <f t="shared" si="46"/>
        <v>000</v>
      </c>
      <c r="B236">
        <f>Table4[[#This Row],[CATEGORY]]</f>
        <v>0</v>
      </c>
      <c r="C236">
        <f>Table4[[#This Row],[SUB-CATEGORY]]</f>
        <v>0</v>
      </c>
      <c r="D236">
        <f>'RJ ATTENDENCE SHEET'!C:C</f>
        <v>0</v>
      </c>
      <c r="E236">
        <f t="shared" si="45"/>
        <v>0</v>
      </c>
      <c r="F236" t="str">
        <f t="shared" si="53"/>
        <v/>
      </c>
      <c r="G236">
        <f>IFERROR(IF(F236=0,"",COUNTIF($F$3:F236,"&gt;0")),"")</f>
        <v>16</v>
      </c>
      <c r="H236" t="str">
        <f t="shared" si="47"/>
        <v/>
      </c>
      <c r="I236" t="str">
        <f t="shared" si="54"/>
        <v/>
      </c>
      <c r="J236">
        <f>IFERROR(IF(I236=0,"",COUNTIF($I$3:I236,"&gt;0")),"")</f>
        <v>34</v>
      </c>
      <c r="K236" t="str">
        <f t="shared" si="48"/>
        <v/>
      </c>
      <c r="L236" t="str">
        <f t="shared" si="55"/>
        <v/>
      </c>
      <c r="M236" t="str">
        <f t="shared" si="56"/>
        <v/>
      </c>
      <c r="N236">
        <f>IFERROR(IF(M236=0,"",COUNTIF($M$3:M236,"&gt;0")),"")</f>
        <v>33</v>
      </c>
      <c r="O236" t="str">
        <f t="shared" si="49"/>
        <v/>
      </c>
      <c r="P236" t="str">
        <f t="shared" si="57"/>
        <v/>
      </c>
      <c r="Q236" t="str">
        <f t="shared" si="58"/>
        <v/>
      </c>
      <c r="R236">
        <f>IFERROR(IF(Q236=0,"",COUNTIF($Q$3:Q236,"&gt;0")),"")</f>
        <v>16</v>
      </c>
      <c r="S236" t="str">
        <f t="shared" si="50"/>
        <v/>
      </c>
      <c r="T236" t="str">
        <f t="shared" si="59"/>
        <v/>
      </c>
      <c r="U236">
        <f>IFERROR(IF(T236=0,"",COUNTIF($T$3:T236,"&gt;0")),"")</f>
        <v>0</v>
      </c>
      <c r="V236" t="str">
        <f t="shared" si="51"/>
        <v/>
      </c>
      <c r="W236" t="e">
        <f t="shared" si="52"/>
        <v>#VALUE!</v>
      </c>
      <c r="X236">
        <f>'OTHER PLANT ATTN.'!C:C</f>
        <v>0</v>
      </c>
      <c r="Y236" t="e">
        <f>Table1[[#This Row],[CATEGORY ]]</f>
        <v>#VALUE!</v>
      </c>
      <c r="Z236" t="e">
        <f>Table1[[#This Row],[PLANT]]</f>
        <v>#VALUE!</v>
      </c>
    </row>
    <row r="237" spans="1:26">
      <c r="A237" t="str">
        <f t="shared" si="46"/>
        <v>000</v>
      </c>
      <c r="B237">
        <f>Table4[[#This Row],[CATEGORY]]</f>
        <v>0</v>
      </c>
      <c r="C237">
        <f>Table4[[#This Row],[SUB-CATEGORY]]</f>
        <v>0</v>
      </c>
      <c r="D237">
        <f>'RJ ATTENDENCE SHEET'!C:C</f>
        <v>0</v>
      </c>
      <c r="E237">
        <f t="shared" si="45"/>
        <v>0</v>
      </c>
      <c r="F237" t="str">
        <f t="shared" si="53"/>
        <v/>
      </c>
      <c r="G237">
        <f>IFERROR(IF(F237=0,"",COUNTIF($F$3:F237,"&gt;0")),"")</f>
        <v>16</v>
      </c>
      <c r="H237" t="str">
        <f t="shared" si="47"/>
        <v/>
      </c>
      <c r="I237" t="str">
        <f t="shared" si="54"/>
        <v/>
      </c>
      <c r="J237">
        <f>IFERROR(IF(I237=0,"",COUNTIF($I$3:I237,"&gt;0")),"")</f>
        <v>34</v>
      </c>
      <c r="K237" t="str">
        <f t="shared" si="48"/>
        <v/>
      </c>
      <c r="L237" t="str">
        <f t="shared" si="55"/>
        <v/>
      </c>
      <c r="M237" t="str">
        <f t="shared" si="56"/>
        <v/>
      </c>
      <c r="N237">
        <f>IFERROR(IF(M237=0,"",COUNTIF($M$3:M237,"&gt;0")),"")</f>
        <v>33</v>
      </c>
      <c r="O237" t="str">
        <f t="shared" si="49"/>
        <v/>
      </c>
      <c r="P237" t="str">
        <f t="shared" si="57"/>
        <v/>
      </c>
      <c r="Q237" t="str">
        <f t="shared" si="58"/>
        <v/>
      </c>
      <c r="R237">
        <f>IFERROR(IF(Q237=0,"",COUNTIF($Q$3:Q237,"&gt;0")),"")</f>
        <v>16</v>
      </c>
      <c r="S237" t="str">
        <f t="shared" si="50"/>
        <v/>
      </c>
      <c r="T237" t="str">
        <f t="shared" si="59"/>
        <v/>
      </c>
      <c r="U237">
        <f>IFERROR(IF(T237=0,"",COUNTIF($T$3:T237,"&gt;0")),"")</f>
        <v>0</v>
      </c>
      <c r="V237" t="str">
        <f t="shared" si="51"/>
        <v/>
      </c>
      <c r="W237" t="e">
        <f t="shared" si="52"/>
        <v>#VALUE!</v>
      </c>
      <c r="X237">
        <f>'OTHER PLANT ATTN.'!C:C</f>
        <v>0</v>
      </c>
      <c r="Y237" t="e">
        <f>Table1[[#This Row],[CATEGORY ]]</f>
        <v>#VALUE!</v>
      </c>
      <c r="Z237" t="e">
        <f>Table1[[#This Row],[PLANT]]</f>
        <v>#VALUE!</v>
      </c>
    </row>
    <row r="238" spans="1:26">
      <c r="A238" t="str">
        <f t="shared" si="46"/>
        <v>000</v>
      </c>
      <c r="B238">
        <f>Table4[[#This Row],[CATEGORY]]</f>
        <v>0</v>
      </c>
      <c r="C238">
        <f>Table4[[#This Row],[SUB-CATEGORY]]</f>
        <v>0</v>
      </c>
      <c r="D238">
        <f>'RJ ATTENDENCE SHEET'!C:C</f>
        <v>0</v>
      </c>
      <c r="E238">
        <f t="shared" si="45"/>
        <v>0</v>
      </c>
      <c r="F238" t="str">
        <f t="shared" si="53"/>
        <v/>
      </c>
      <c r="G238">
        <f>IFERROR(IF(F238=0,"",COUNTIF($F$3:F238,"&gt;0")),"")</f>
        <v>16</v>
      </c>
      <c r="H238" t="str">
        <f t="shared" si="47"/>
        <v/>
      </c>
      <c r="I238" t="str">
        <f t="shared" si="54"/>
        <v/>
      </c>
      <c r="J238">
        <f>IFERROR(IF(I238=0,"",COUNTIF($I$3:I238,"&gt;0")),"")</f>
        <v>34</v>
      </c>
      <c r="K238" t="str">
        <f t="shared" si="48"/>
        <v/>
      </c>
      <c r="L238" t="str">
        <f t="shared" si="55"/>
        <v/>
      </c>
      <c r="M238" t="str">
        <f t="shared" si="56"/>
        <v/>
      </c>
      <c r="N238">
        <f>IFERROR(IF(M238=0,"",COUNTIF($M$3:M238,"&gt;0")),"")</f>
        <v>33</v>
      </c>
      <c r="O238" t="str">
        <f t="shared" si="49"/>
        <v/>
      </c>
      <c r="P238" t="str">
        <f t="shared" si="57"/>
        <v/>
      </c>
      <c r="Q238" t="str">
        <f t="shared" si="58"/>
        <v/>
      </c>
      <c r="R238">
        <f>IFERROR(IF(Q238=0,"",COUNTIF($Q$3:Q238,"&gt;0")),"")</f>
        <v>16</v>
      </c>
      <c r="S238" t="str">
        <f t="shared" si="50"/>
        <v/>
      </c>
      <c r="T238" t="str">
        <f t="shared" si="59"/>
        <v/>
      </c>
      <c r="U238">
        <f>IFERROR(IF(T238=0,"",COUNTIF($T$3:T238,"&gt;0")),"")</f>
        <v>0</v>
      </c>
      <c r="V238" t="str">
        <f t="shared" si="51"/>
        <v/>
      </c>
      <c r="W238" t="e">
        <f t="shared" si="52"/>
        <v>#VALUE!</v>
      </c>
      <c r="X238">
        <f>'OTHER PLANT ATTN.'!C:C</f>
        <v>0</v>
      </c>
      <c r="Y238" t="e">
        <f>Table1[[#This Row],[CATEGORY ]]</f>
        <v>#VALUE!</v>
      </c>
      <c r="Z238" t="e">
        <f>Table1[[#This Row],[PLANT]]</f>
        <v>#VALUE!</v>
      </c>
    </row>
    <row r="239" spans="1:26">
      <c r="A239" t="str">
        <f t="shared" si="46"/>
        <v>000</v>
      </c>
      <c r="B239">
        <f>Table4[[#This Row],[CATEGORY]]</f>
        <v>0</v>
      </c>
      <c r="C239">
        <f>Table4[[#This Row],[SUB-CATEGORY]]</f>
        <v>0</v>
      </c>
      <c r="D239">
        <f>'RJ ATTENDENCE SHEET'!C:C</f>
        <v>0</v>
      </c>
      <c r="E239">
        <f t="shared" si="45"/>
        <v>0</v>
      </c>
      <c r="F239" t="str">
        <f t="shared" si="53"/>
        <v/>
      </c>
      <c r="G239">
        <f>IFERROR(IF(F239=0,"",COUNTIF($F$3:F239,"&gt;0")),"")</f>
        <v>16</v>
      </c>
      <c r="H239" t="str">
        <f t="shared" si="47"/>
        <v/>
      </c>
      <c r="I239" t="str">
        <f t="shared" si="54"/>
        <v/>
      </c>
      <c r="J239">
        <f>IFERROR(IF(I239=0,"",COUNTIF($I$3:I239,"&gt;0")),"")</f>
        <v>34</v>
      </c>
      <c r="K239" t="str">
        <f t="shared" si="48"/>
        <v/>
      </c>
      <c r="L239" t="str">
        <f t="shared" si="55"/>
        <v/>
      </c>
      <c r="M239" t="str">
        <f t="shared" si="56"/>
        <v/>
      </c>
      <c r="N239">
        <f>IFERROR(IF(M239=0,"",COUNTIF($M$3:M239,"&gt;0")),"")</f>
        <v>33</v>
      </c>
      <c r="O239" t="str">
        <f t="shared" si="49"/>
        <v/>
      </c>
      <c r="P239" t="str">
        <f t="shared" si="57"/>
        <v/>
      </c>
      <c r="Q239" t="str">
        <f t="shared" si="58"/>
        <v/>
      </c>
      <c r="R239">
        <f>IFERROR(IF(Q239=0,"",COUNTIF($Q$3:Q239,"&gt;0")),"")</f>
        <v>16</v>
      </c>
      <c r="S239" t="str">
        <f t="shared" si="50"/>
        <v/>
      </c>
      <c r="T239" t="str">
        <f t="shared" si="59"/>
        <v/>
      </c>
      <c r="U239">
        <f>IFERROR(IF(T239=0,"",COUNTIF($T$3:T239,"&gt;0")),"")</f>
        <v>0</v>
      </c>
      <c r="V239" t="str">
        <f t="shared" si="51"/>
        <v/>
      </c>
      <c r="W239" t="e">
        <f t="shared" si="52"/>
        <v>#VALUE!</v>
      </c>
      <c r="X239">
        <f>'OTHER PLANT ATTN.'!C:C</f>
        <v>0</v>
      </c>
      <c r="Y239" t="e">
        <f>Table1[[#This Row],[CATEGORY ]]</f>
        <v>#VALUE!</v>
      </c>
      <c r="Z239" t="e">
        <f>Table1[[#This Row],[PLANT]]</f>
        <v>#VALUE!</v>
      </c>
    </row>
    <row r="240" spans="1:26">
      <c r="A240" t="str">
        <f t="shared" si="46"/>
        <v>000</v>
      </c>
      <c r="B240">
        <f>Table4[[#This Row],[CATEGORY]]</f>
        <v>0</v>
      </c>
      <c r="C240">
        <f>Table4[[#This Row],[SUB-CATEGORY]]</f>
        <v>0</v>
      </c>
      <c r="D240">
        <f>'RJ ATTENDENCE SHEET'!C:C</f>
        <v>0</v>
      </c>
      <c r="E240">
        <f t="shared" si="45"/>
        <v>0</v>
      </c>
      <c r="F240" t="str">
        <f t="shared" si="53"/>
        <v/>
      </c>
      <c r="G240">
        <f>IFERROR(IF(F240=0,"",COUNTIF($F$3:F240,"&gt;0")),"")</f>
        <v>16</v>
      </c>
      <c r="H240" t="str">
        <f t="shared" si="47"/>
        <v/>
      </c>
      <c r="I240" t="str">
        <f t="shared" si="54"/>
        <v/>
      </c>
      <c r="J240">
        <f>IFERROR(IF(I240=0,"",COUNTIF($I$3:I240,"&gt;0")),"")</f>
        <v>34</v>
      </c>
      <c r="K240" t="str">
        <f t="shared" si="48"/>
        <v/>
      </c>
      <c r="L240" t="str">
        <f t="shared" si="55"/>
        <v/>
      </c>
      <c r="M240" t="str">
        <f t="shared" si="56"/>
        <v/>
      </c>
      <c r="N240">
        <f>IFERROR(IF(M240=0,"",COUNTIF($M$3:M240,"&gt;0")),"")</f>
        <v>33</v>
      </c>
      <c r="O240" t="str">
        <f t="shared" si="49"/>
        <v/>
      </c>
      <c r="P240" t="str">
        <f t="shared" si="57"/>
        <v/>
      </c>
      <c r="Q240" t="str">
        <f t="shared" si="58"/>
        <v/>
      </c>
      <c r="R240">
        <f>IFERROR(IF(Q240=0,"",COUNTIF($Q$3:Q240,"&gt;0")),"")</f>
        <v>16</v>
      </c>
      <c r="S240" t="str">
        <f t="shared" si="50"/>
        <v/>
      </c>
      <c r="T240" t="str">
        <f t="shared" si="59"/>
        <v/>
      </c>
      <c r="U240">
        <f>IFERROR(IF(T240=0,"",COUNTIF($T$3:T240,"&gt;0")),"")</f>
        <v>0</v>
      </c>
      <c r="V240" t="str">
        <f t="shared" si="51"/>
        <v/>
      </c>
      <c r="W240" t="e">
        <f t="shared" si="52"/>
        <v>#VALUE!</v>
      </c>
      <c r="X240">
        <f>'OTHER PLANT ATTN.'!C:C</f>
        <v>0</v>
      </c>
      <c r="Y240" t="e">
        <f>Table1[[#This Row],[CATEGORY ]]</f>
        <v>#VALUE!</v>
      </c>
      <c r="Z240" t="e">
        <f>Table1[[#This Row],[PLANT]]</f>
        <v>#VALUE!</v>
      </c>
    </row>
    <row r="241" spans="1:26">
      <c r="A241" t="str">
        <f t="shared" si="46"/>
        <v>000</v>
      </c>
      <c r="B241">
        <f>Table4[[#This Row],[CATEGORY]]</f>
        <v>0</v>
      </c>
      <c r="C241">
        <f>Table4[[#This Row],[SUB-CATEGORY]]</f>
        <v>0</v>
      </c>
      <c r="D241">
        <f>'RJ ATTENDENCE SHEET'!C:C</f>
        <v>0</v>
      </c>
      <c r="E241">
        <f t="shared" si="45"/>
        <v>0</v>
      </c>
      <c r="F241" t="str">
        <f t="shared" si="53"/>
        <v/>
      </c>
      <c r="G241">
        <f>IFERROR(IF(F241=0,"",COUNTIF($F$3:F241,"&gt;0")),"")</f>
        <v>16</v>
      </c>
      <c r="H241" t="str">
        <f t="shared" si="47"/>
        <v/>
      </c>
      <c r="I241" t="str">
        <f t="shared" si="54"/>
        <v/>
      </c>
      <c r="J241">
        <f>IFERROR(IF(I241=0,"",COUNTIF($I$3:I241,"&gt;0")),"")</f>
        <v>34</v>
      </c>
      <c r="K241" t="str">
        <f t="shared" si="48"/>
        <v/>
      </c>
      <c r="L241" t="str">
        <f t="shared" si="55"/>
        <v/>
      </c>
      <c r="M241" t="str">
        <f t="shared" si="56"/>
        <v/>
      </c>
      <c r="N241">
        <f>IFERROR(IF(M241=0,"",COUNTIF($M$3:M241,"&gt;0")),"")</f>
        <v>33</v>
      </c>
      <c r="O241" t="str">
        <f t="shared" si="49"/>
        <v/>
      </c>
      <c r="P241" t="str">
        <f t="shared" si="57"/>
        <v/>
      </c>
      <c r="Q241" t="str">
        <f t="shared" si="58"/>
        <v/>
      </c>
      <c r="R241">
        <f>IFERROR(IF(Q241=0,"",COUNTIF($Q$3:Q241,"&gt;0")),"")</f>
        <v>16</v>
      </c>
      <c r="S241" t="str">
        <f t="shared" si="50"/>
        <v/>
      </c>
      <c r="T241" t="str">
        <f t="shared" si="59"/>
        <v/>
      </c>
      <c r="U241">
        <f>IFERROR(IF(T241=0,"",COUNTIF($T$3:T241,"&gt;0")),"")</f>
        <v>0</v>
      </c>
      <c r="V241" t="str">
        <f t="shared" si="51"/>
        <v/>
      </c>
      <c r="W241" t="e">
        <f t="shared" si="52"/>
        <v>#VALUE!</v>
      </c>
      <c r="X241">
        <f>'OTHER PLANT ATTN.'!C:C</f>
        <v>0</v>
      </c>
      <c r="Y241" t="e">
        <f>Table1[[#This Row],[CATEGORY ]]</f>
        <v>#VALUE!</v>
      </c>
      <c r="Z241" t="e">
        <f>Table1[[#This Row],[PLANT]]</f>
        <v>#VALUE!</v>
      </c>
    </row>
    <row r="242" spans="1:26">
      <c r="A242" t="str">
        <f t="shared" si="46"/>
        <v>000</v>
      </c>
      <c r="B242">
        <f>Table4[[#This Row],[CATEGORY]]</f>
        <v>0</v>
      </c>
      <c r="C242">
        <f>Table4[[#This Row],[SUB-CATEGORY]]</f>
        <v>0</v>
      </c>
      <c r="D242">
        <f>'RJ ATTENDENCE SHEET'!C:C</f>
        <v>0</v>
      </c>
      <c r="E242">
        <f t="shared" si="45"/>
        <v>0</v>
      </c>
      <c r="F242" t="str">
        <f t="shared" si="53"/>
        <v/>
      </c>
      <c r="G242">
        <f>IFERROR(IF(F242=0,"",COUNTIF($F$3:F242,"&gt;0")),"")</f>
        <v>16</v>
      </c>
      <c r="H242" t="str">
        <f t="shared" si="47"/>
        <v/>
      </c>
      <c r="I242" t="str">
        <f t="shared" si="54"/>
        <v/>
      </c>
      <c r="J242">
        <f>IFERROR(IF(I242=0,"",COUNTIF($I$3:I242,"&gt;0")),"")</f>
        <v>34</v>
      </c>
      <c r="K242" t="str">
        <f t="shared" si="48"/>
        <v/>
      </c>
      <c r="L242" t="str">
        <f t="shared" si="55"/>
        <v/>
      </c>
      <c r="M242" t="str">
        <f t="shared" si="56"/>
        <v/>
      </c>
      <c r="N242">
        <f>IFERROR(IF(M242=0,"",COUNTIF($M$3:M242,"&gt;0")),"")</f>
        <v>33</v>
      </c>
      <c r="O242" t="str">
        <f t="shared" si="49"/>
        <v/>
      </c>
      <c r="P242" t="str">
        <f t="shared" si="57"/>
        <v/>
      </c>
      <c r="Q242" t="str">
        <f t="shared" si="58"/>
        <v/>
      </c>
      <c r="R242">
        <f>IFERROR(IF(Q242=0,"",COUNTIF($Q$3:Q242,"&gt;0")),"")</f>
        <v>16</v>
      </c>
      <c r="S242" t="str">
        <f t="shared" si="50"/>
        <v/>
      </c>
      <c r="T242" t="str">
        <f t="shared" si="59"/>
        <v/>
      </c>
      <c r="U242">
        <f>IFERROR(IF(T242=0,"",COUNTIF($T$3:T242,"&gt;0")),"")</f>
        <v>0</v>
      </c>
      <c r="V242" t="str">
        <f t="shared" si="51"/>
        <v/>
      </c>
      <c r="W242" t="e">
        <f t="shared" si="52"/>
        <v>#VALUE!</v>
      </c>
      <c r="X242">
        <f>'OTHER PLANT ATTN.'!C:C</f>
        <v>0</v>
      </c>
      <c r="Y242" t="e">
        <f>Table1[[#This Row],[CATEGORY ]]</f>
        <v>#VALUE!</v>
      </c>
      <c r="Z242" t="e">
        <f>Table1[[#This Row],[PLANT]]</f>
        <v>#VALUE!</v>
      </c>
    </row>
    <row r="243" spans="1:26">
      <c r="A243" t="str">
        <f t="shared" si="46"/>
        <v>000</v>
      </c>
      <c r="B243">
        <f>Table4[[#This Row],[CATEGORY]]</f>
        <v>0</v>
      </c>
      <c r="C243">
        <f>Table4[[#This Row],[SUB-CATEGORY]]</f>
        <v>0</v>
      </c>
      <c r="D243">
        <f>'RJ ATTENDENCE SHEET'!C:C</f>
        <v>0</v>
      </c>
      <c r="E243">
        <f t="shared" si="45"/>
        <v>0</v>
      </c>
      <c r="F243" t="str">
        <f t="shared" si="53"/>
        <v/>
      </c>
      <c r="G243">
        <f>IFERROR(IF(F243=0,"",COUNTIF($F$3:F243,"&gt;0")),"")</f>
        <v>16</v>
      </c>
      <c r="H243" t="str">
        <f t="shared" si="47"/>
        <v/>
      </c>
      <c r="I243" t="str">
        <f t="shared" si="54"/>
        <v/>
      </c>
      <c r="J243">
        <f>IFERROR(IF(I243=0,"",COUNTIF($I$3:I243,"&gt;0")),"")</f>
        <v>34</v>
      </c>
      <c r="K243" t="str">
        <f t="shared" si="48"/>
        <v/>
      </c>
      <c r="L243" t="str">
        <f t="shared" si="55"/>
        <v/>
      </c>
      <c r="M243" t="str">
        <f t="shared" si="56"/>
        <v/>
      </c>
      <c r="N243">
        <f>IFERROR(IF(M243=0,"",COUNTIF($M$3:M243,"&gt;0")),"")</f>
        <v>33</v>
      </c>
      <c r="O243" t="str">
        <f t="shared" si="49"/>
        <v/>
      </c>
      <c r="P243" t="str">
        <f t="shared" si="57"/>
        <v/>
      </c>
      <c r="Q243" t="str">
        <f t="shared" si="58"/>
        <v/>
      </c>
      <c r="R243">
        <f>IFERROR(IF(Q243=0,"",COUNTIF($Q$3:Q243,"&gt;0")),"")</f>
        <v>16</v>
      </c>
      <c r="S243" t="str">
        <f t="shared" si="50"/>
        <v/>
      </c>
      <c r="T243" t="str">
        <f t="shared" si="59"/>
        <v/>
      </c>
      <c r="U243">
        <f>IFERROR(IF(T243=0,"",COUNTIF($T$3:T243,"&gt;0")),"")</f>
        <v>0</v>
      </c>
      <c r="V243" t="str">
        <f t="shared" si="51"/>
        <v/>
      </c>
      <c r="W243" t="e">
        <f t="shared" si="52"/>
        <v>#VALUE!</v>
      </c>
      <c r="X243">
        <f>'OTHER PLANT ATTN.'!C:C</f>
        <v>0</v>
      </c>
      <c r="Y243" t="e">
        <f>Table1[[#This Row],[CATEGORY ]]</f>
        <v>#VALUE!</v>
      </c>
      <c r="Z243" t="e">
        <f>Table1[[#This Row],[PLANT]]</f>
        <v>#VALUE!</v>
      </c>
    </row>
    <row r="244" spans="1:26">
      <c r="A244" t="str">
        <f t="shared" si="46"/>
        <v>000</v>
      </c>
      <c r="B244">
        <f>Table4[[#This Row],[CATEGORY]]</f>
        <v>0</v>
      </c>
      <c r="C244">
        <f>Table4[[#This Row],[SUB-CATEGORY]]</f>
        <v>0</v>
      </c>
      <c r="D244">
        <f>'RJ ATTENDENCE SHEET'!C:C</f>
        <v>0</v>
      </c>
      <c r="E244">
        <f t="shared" si="45"/>
        <v>0</v>
      </c>
      <c r="F244" t="str">
        <f t="shared" si="53"/>
        <v/>
      </c>
      <c r="G244">
        <f>IFERROR(IF(F244=0,"",COUNTIF($F$3:F244,"&gt;0")),"")</f>
        <v>16</v>
      </c>
      <c r="H244" t="str">
        <f t="shared" si="47"/>
        <v/>
      </c>
      <c r="I244" t="str">
        <f t="shared" si="54"/>
        <v/>
      </c>
      <c r="J244">
        <f>IFERROR(IF(I244=0,"",COUNTIF($I$3:I244,"&gt;0")),"")</f>
        <v>34</v>
      </c>
      <c r="K244" t="str">
        <f t="shared" si="48"/>
        <v/>
      </c>
      <c r="L244" t="str">
        <f t="shared" si="55"/>
        <v/>
      </c>
      <c r="M244" t="str">
        <f t="shared" si="56"/>
        <v/>
      </c>
      <c r="N244">
        <f>IFERROR(IF(M244=0,"",COUNTIF($M$3:M244,"&gt;0")),"")</f>
        <v>33</v>
      </c>
      <c r="O244" t="str">
        <f t="shared" si="49"/>
        <v/>
      </c>
      <c r="P244" t="str">
        <f t="shared" si="57"/>
        <v/>
      </c>
      <c r="Q244" t="str">
        <f t="shared" si="58"/>
        <v/>
      </c>
      <c r="R244">
        <f>IFERROR(IF(Q244=0,"",COUNTIF($Q$3:Q244,"&gt;0")),"")</f>
        <v>16</v>
      </c>
      <c r="S244" t="str">
        <f t="shared" si="50"/>
        <v/>
      </c>
      <c r="T244" t="str">
        <f t="shared" si="59"/>
        <v/>
      </c>
      <c r="U244">
        <f>IFERROR(IF(T244=0,"",COUNTIF($T$3:T244,"&gt;0")),"")</f>
        <v>0</v>
      </c>
      <c r="V244" t="str">
        <f t="shared" si="51"/>
        <v/>
      </c>
      <c r="W244" t="e">
        <f t="shared" si="52"/>
        <v>#VALUE!</v>
      </c>
      <c r="X244">
        <f>'OTHER PLANT ATTN.'!C:C</f>
        <v>0</v>
      </c>
      <c r="Y244" t="e">
        <f>Table1[[#This Row],[CATEGORY ]]</f>
        <v>#VALUE!</v>
      </c>
      <c r="Z244" t="e">
        <f>Table1[[#This Row],[PLANT]]</f>
        <v>#VALUE!</v>
      </c>
    </row>
    <row r="245" spans="1:26">
      <c r="A245" t="str">
        <f t="shared" si="46"/>
        <v>000</v>
      </c>
      <c r="B245">
        <f>Table4[[#This Row],[CATEGORY]]</f>
        <v>0</v>
      </c>
      <c r="C245">
        <f>Table4[[#This Row],[SUB-CATEGORY]]</f>
        <v>0</v>
      </c>
      <c r="D245">
        <f>'RJ ATTENDENCE SHEET'!C:C</f>
        <v>0</v>
      </c>
      <c r="E245">
        <f t="shared" si="45"/>
        <v>0</v>
      </c>
      <c r="F245" t="str">
        <f t="shared" si="53"/>
        <v/>
      </c>
      <c r="G245">
        <f>IFERROR(IF(F245=0,"",COUNTIF($F$3:F245,"&gt;0")),"")</f>
        <v>16</v>
      </c>
      <c r="H245" t="str">
        <f t="shared" si="47"/>
        <v/>
      </c>
      <c r="I245" t="str">
        <f t="shared" si="54"/>
        <v/>
      </c>
      <c r="J245">
        <f>IFERROR(IF(I245=0,"",COUNTIF($I$3:I245,"&gt;0")),"")</f>
        <v>34</v>
      </c>
      <c r="K245" t="str">
        <f t="shared" si="48"/>
        <v/>
      </c>
      <c r="L245" t="str">
        <f t="shared" si="55"/>
        <v/>
      </c>
      <c r="M245" t="str">
        <f t="shared" si="56"/>
        <v/>
      </c>
      <c r="N245">
        <f>IFERROR(IF(M245=0,"",COUNTIF($M$3:M245,"&gt;0")),"")</f>
        <v>33</v>
      </c>
      <c r="O245" t="str">
        <f t="shared" si="49"/>
        <v/>
      </c>
      <c r="P245" t="str">
        <f t="shared" si="57"/>
        <v/>
      </c>
      <c r="Q245" t="str">
        <f t="shared" si="58"/>
        <v/>
      </c>
      <c r="R245">
        <f>IFERROR(IF(Q245=0,"",COUNTIF($Q$3:Q245,"&gt;0")),"")</f>
        <v>16</v>
      </c>
      <c r="S245" t="str">
        <f t="shared" si="50"/>
        <v/>
      </c>
      <c r="T245" t="str">
        <f t="shared" si="59"/>
        <v/>
      </c>
      <c r="U245">
        <f>IFERROR(IF(T245=0,"",COUNTIF($T$3:T245,"&gt;0")),"")</f>
        <v>0</v>
      </c>
      <c r="V245" t="str">
        <f t="shared" si="51"/>
        <v/>
      </c>
      <c r="W245" t="e">
        <f t="shared" si="52"/>
        <v>#VALUE!</v>
      </c>
      <c r="X245">
        <f>'OTHER PLANT ATTN.'!C:C</f>
        <v>0</v>
      </c>
      <c r="Y245" t="e">
        <f>Table1[[#This Row],[CATEGORY ]]</f>
        <v>#VALUE!</v>
      </c>
      <c r="Z245" t="e">
        <f>Table1[[#This Row],[PLANT]]</f>
        <v>#VALUE!</v>
      </c>
    </row>
    <row r="246" spans="1:26">
      <c r="A246" t="str">
        <f t="shared" si="46"/>
        <v>000</v>
      </c>
      <c r="B246">
        <f>Table4[[#This Row],[CATEGORY]]</f>
        <v>0</v>
      </c>
      <c r="C246">
        <f>Table4[[#This Row],[SUB-CATEGORY]]</f>
        <v>0</v>
      </c>
      <c r="D246">
        <f>'RJ ATTENDENCE SHEET'!C:C</f>
        <v>0</v>
      </c>
      <c r="E246">
        <f t="shared" si="45"/>
        <v>0</v>
      </c>
      <c r="F246" t="str">
        <f t="shared" si="53"/>
        <v/>
      </c>
      <c r="G246">
        <f>IFERROR(IF(F246=0,"",COUNTIF($F$3:F246,"&gt;0")),"")</f>
        <v>16</v>
      </c>
      <c r="H246" t="str">
        <f t="shared" si="47"/>
        <v/>
      </c>
      <c r="I246" t="str">
        <f t="shared" si="54"/>
        <v/>
      </c>
      <c r="J246">
        <f>IFERROR(IF(I246=0,"",COUNTIF($I$3:I246,"&gt;0")),"")</f>
        <v>34</v>
      </c>
      <c r="K246" t="str">
        <f t="shared" si="48"/>
        <v/>
      </c>
      <c r="L246" t="str">
        <f t="shared" si="55"/>
        <v/>
      </c>
      <c r="M246" t="str">
        <f t="shared" si="56"/>
        <v/>
      </c>
      <c r="N246">
        <f>IFERROR(IF(M246=0,"",COUNTIF($M$3:M246,"&gt;0")),"")</f>
        <v>33</v>
      </c>
      <c r="O246" t="str">
        <f t="shared" si="49"/>
        <v/>
      </c>
      <c r="P246" t="str">
        <f t="shared" si="57"/>
        <v/>
      </c>
      <c r="Q246" t="str">
        <f t="shared" si="58"/>
        <v/>
      </c>
      <c r="R246">
        <f>IFERROR(IF(Q246=0,"",COUNTIF($Q$3:Q246,"&gt;0")),"")</f>
        <v>16</v>
      </c>
      <c r="S246" t="str">
        <f t="shared" si="50"/>
        <v/>
      </c>
      <c r="T246" t="str">
        <f t="shared" si="59"/>
        <v/>
      </c>
      <c r="U246">
        <f>IFERROR(IF(T246=0,"",COUNTIF($T$3:T246,"&gt;0")),"")</f>
        <v>0</v>
      </c>
      <c r="V246" t="str">
        <f t="shared" si="51"/>
        <v/>
      </c>
      <c r="W246" t="e">
        <f t="shared" si="52"/>
        <v>#VALUE!</v>
      </c>
      <c r="X246">
        <f>'OTHER PLANT ATTN.'!C:C</f>
        <v>0</v>
      </c>
      <c r="Y246" t="e">
        <f>Table1[[#This Row],[CATEGORY ]]</f>
        <v>#VALUE!</v>
      </c>
      <c r="Z246" t="e">
        <f>Table1[[#This Row],[PLANT]]</f>
        <v>#VALUE!</v>
      </c>
    </row>
    <row r="247" spans="1:26">
      <c r="A247" t="str">
        <f t="shared" si="46"/>
        <v>000</v>
      </c>
      <c r="B247">
        <f>Table4[[#This Row],[CATEGORY]]</f>
        <v>0</v>
      </c>
      <c r="C247">
        <f>Table4[[#This Row],[SUB-CATEGORY]]</f>
        <v>0</v>
      </c>
      <c r="D247">
        <f>'RJ ATTENDENCE SHEET'!C:C</f>
        <v>0</v>
      </c>
      <c r="E247">
        <f t="shared" si="45"/>
        <v>0</v>
      </c>
      <c r="F247" t="str">
        <f t="shared" si="53"/>
        <v/>
      </c>
      <c r="G247">
        <f>IFERROR(IF(F247=0,"",COUNTIF($F$3:F247,"&gt;0")),"")</f>
        <v>16</v>
      </c>
      <c r="H247" t="str">
        <f t="shared" si="47"/>
        <v/>
      </c>
      <c r="I247" t="str">
        <f t="shared" si="54"/>
        <v/>
      </c>
      <c r="J247">
        <f>IFERROR(IF(I247=0,"",COUNTIF($I$3:I247,"&gt;0")),"")</f>
        <v>34</v>
      </c>
      <c r="K247" t="str">
        <f t="shared" si="48"/>
        <v/>
      </c>
      <c r="L247" t="str">
        <f t="shared" si="55"/>
        <v/>
      </c>
      <c r="M247" t="str">
        <f t="shared" si="56"/>
        <v/>
      </c>
      <c r="N247">
        <f>IFERROR(IF(M247=0,"",COUNTIF($M$3:M247,"&gt;0")),"")</f>
        <v>33</v>
      </c>
      <c r="O247" t="str">
        <f t="shared" si="49"/>
        <v/>
      </c>
      <c r="P247" t="str">
        <f t="shared" si="57"/>
        <v/>
      </c>
      <c r="Q247" t="str">
        <f t="shared" si="58"/>
        <v/>
      </c>
      <c r="R247">
        <f>IFERROR(IF(Q247=0,"",COUNTIF($Q$3:Q247,"&gt;0")),"")</f>
        <v>16</v>
      </c>
      <c r="S247" t="str">
        <f t="shared" si="50"/>
        <v/>
      </c>
      <c r="T247" t="str">
        <f t="shared" si="59"/>
        <v/>
      </c>
      <c r="U247">
        <f>IFERROR(IF(T247=0,"",COUNTIF($T$3:T247,"&gt;0")),"")</f>
        <v>0</v>
      </c>
      <c r="V247" t="str">
        <f t="shared" si="51"/>
        <v/>
      </c>
      <c r="W247" t="e">
        <f t="shared" si="52"/>
        <v>#VALUE!</v>
      </c>
      <c r="X247">
        <f>'OTHER PLANT ATTN.'!C:C</f>
        <v>0</v>
      </c>
      <c r="Y247" t="e">
        <f>Table1[[#This Row],[CATEGORY ]]</f>
        <v>#VALUE!</v>
      </c>
      <c r="Z247" t="e">
        <f>Table1[[#This Row],[PLANT]]</f>
        <v>#VALUE!</v>
      </c>
    </row>
    <row r="248" spans="1:26">
      <c r="A248" t="str">
        <f t="shared" si="46"/>
        <v>000</v>
      </c>
      <c r="B248">
        <f>Table4[[#This Row],[CATEGORY]]</f>
        <v>0</v>
      </c>
      <c r="C248">
        <f>Table4[[#This Row],[SUB-CATEGORY]]</f>
        <v>0</v>
      </c>
      <c r="D248">
        <f>'RJ ATTENDENCE SHEET'!C:C</f>
        <v>0</v>
      </c>
      <c r="E248">
        <f t="shared" si="45"/>
        <v>0</v>
      </c>
      <c r="F248" t="str">
        <f t="shared" si="53"/>
        <v/>
      </c>
      <c r="G248">
        <f>IFERROR(IF(F248=0,"",COUNTIF($F$3:F248,"&gt;0")),"")</f>
        <v>16</v>
      </c>
      <c r="H248" t="str">
        <f t="shared" si="47"/>
        <v/>
      </c>
      <c r="I248" t="str">
        <f t="shared" si="54"/>
        <v/>
      </c>
      <c r="J248">
        <f>IFERROR(IF(I248=0,"",COUNTIF($I$3:I248,"&gt;0")),"")</f>
        <v>34</v>
      </c>
      <c r="K248" t="str">
        <f t="shared" si="48"/>
        <v/>
      </c>
      <c r="L248" t="str">
        <f t="shared" si="55"/>
        <v/>
      </c>
      <c r="M248" t="str">
        <f t="shared" si="56"/>
        <v/>
      </c>
      <c r="N248">
        <f>IFERROR(IF(M248=0,"",COUNTIF($M$3:M248,"&gt;0")),"")</f>
        <v>33</v>
      </c>
      <c r="O248" t="str">
        <f t="shared" si="49"/>
        <v/>
      </c>
      <c r="P248" t="str">
        <f t="shared" si="57"/>
        <v/>
      </c>
      <c r="Q248" t="str">
        <f t="shared" si="58"/>
        <v/>
      </c>
      <c r="R248">
        <f>IFERROR(IF(Q248=0,"",COUNTIF($Q$3:Q248,"&gt;0")),"")</f>
        <v>16</v>
      </c>
      <c r="S248" t="str">
        <f t="shared" si="50"/>
        <v/>
      </c>
      <c r="T248" t="str">
        <f t="shared" si="59"/>
        <v/>
      </c>
      <c r="U248">
        <f>IFERROR(IF(T248=0,"",COUNTIF($T$3:T248,"&gt;0")),"")</f>
        <v>0</v>
      </c>
      <c r="V248" t="str">
        <f t="shared" si="51"/>
        <v/>
      </c>
      <c r="W248" t="e">
        <f t="shared" si="52"/>
        <v>#VALUE!</v>
      </c>
      <c r="X248">
        <f>'OTHER PLANT ATTN.'!C:C</f>
        <v>0</v>
      </c>
      <c r="Y248" t="e">
        <f>Table1[[#This Row],[CATEGORY ]]</f>
        <v>#VALUE!</v>
      </c>
      <c r="Z248" t="e">
        <f>Table1[[#This Row],[PLANT]]</f>
        <v>#VALUE!</v>
      </c>
    </row>
    <row r="249" spans="1:26">
      <c r="A249" t="str">
        <f t="shared" si="46"/>
        <v>000</v>
      </c>
      <c r="B249">
        <f>Table4[[#This Row],[CATEGORY]]</f>
        <v>0</v>
      </c>
      <c r="C249">
        <f>Table4[[#This Row],[SUB-CATEGORY]]</f>
        <v>0</v>
      </c>
      <c r="D249">
        <f>'RJ ATTENDENCE SHEET'!C:C</f>
        <v>0</v>
      </c>
      <c r="E249">
        <f t="shared" si="45"/>
        <v>0</v>
      </c>
      <c r="F249" t="str">
        <f t="shared" si="53"/>
        <v/>
      </c>
      <c r="G249">
        <f>IFERROR(IF(F249=0,"",COUNTIF($F$3:F249,"&gt;0")),"")</f>
        <v>16</v>
      </c>
      <c r="H249" t="str">
        <f t="shared" si="47"/>
        <v/>
      </c>
      <c r="I249" t="str">
        <f t="shared" si="54"/>
        <v/>
      </c>
      <c r="J249">
        <f>IFERROR(IF(I249=0,"",COUNTIF($I$3:I249,"&gt;0")),"")</f>
        <v>34</v>
      </c>
      <c r="K249" t="str">
        <f t="shared" si="48"/>
        <v/>
      </c>
      <c r="L249" t="str">
        <f t="shared" si="55"/>
        <v/>
      </c>
      <c r="M249" t="str">
        <f t="shared" si="56"/>
        <v/>
      </c>
      <c r="N249">
        <f>IFERROR(IF(M249=0,"",COUNTIF($M$3:M249,"&gt;0")),"")</f>
        <v>33</v>
      </c>
      <c r="O249" t="str">
        <f t="shared" si="49"/>
        <v/>
      </c>
      <c r="P249" t="str">
        <f t="shared" si="57"/>
        <v/>
      </c>
      <c r="Q249" t="str">
        <f t="shared" si="58"/>
        <v/>
      </c>
      <c r="R249">
        <f>IFERROR(IF(Q249=0,"",COUNTIF($Q$3:Q249,"&gt;0")),"")</f>
        <v>16</v>
      </c>
      <c r="S249" t="str">
        <f t="shared" si="50"/>
        <v/>
      </c>
      <c r="T249" t="str">
        <f t="shared" si="59"/>
        <v/>
      </c>
      <c r="U249">
        <f>IFERROR(IF(T249=0,"",COUNTIF($T$3:T249,"&gt;0")),"")</f>
        <v>0</v>
      </c>
      <c r="V249" t="str">
        <f t="shared" si="51"/>
        <v/>
      </c>
      <c r="W249" t="e">
        <f t="shared" si="52"/>
        <v>#VALUE!</v>
      </c>
      <c r="X249">
        <f>'OTHER PLANT ATTN.'!C:C</f>
        <v>0</v>
      </c>
      <c r="Y249" t="e">
        <f>Table1[[#This Row],[CATEGORY ]]</f>
        <v>#VALUE!</v>
      </c>
      <c r="Z249" t="e">
        <f>Table1[[#This Row],[PLANT]]</f>
        <v>#VALUE!</v>
      </c>
    </row>
    <row r="250" spans="1:26">
      <c r="A250" t="str">
        <f t="shared" si="46"/>
        <v>000</v>
      </c>
      <c r="B250">
        <f>Table4[[#This Row],[CATEGORY]]</f>
        <v>0</v>
      </c>
      <c r="C250">
        <f>Table4[[#This Row],[SUB-CATEGORY]]</f>
        <v>0</v>
      </c>
      <c r="D250">
        <f>'RJ ATTENDENCE SHEET'!C:C</f>
        <v>0</v>
      </c>
      <c r="E250">
        <f t="shared" si="45"/>
        <v>0</v>
      </c>
      <c r="F250" t="str">
        <f t="shared" si="53"/>
        <v/>
      </c>
      <c r="G250">
        <f>IFERROR(IF(F250=0,"",COUNTIF($F$3:F250,"&gt;0")),"")</f>
        <v>16</v>
      </c>
      <c r="H250" t="str">
        <f t="shared" si="47"/>
        <v/>
      </c>
      <c r="I250" t="str">
        <f t="shared" si="54"/>
        <v/>
      </c>
      <c r="J250">
        <f>IFERROR(IF(I250=0,"",COUNTIF($I$3:I250,"&gt;0")),"")</f>
        <v>34</v>
      </c>
      <c r="K250" t="str">
        <f t="shared" si="48"/>
        <v/>
      </c>
      <c r="L250" t="str">
        <f t="shared" si="55"/>
        <v/>
      </c>
      <c r="M250" t="str">
        <f t="shared" si="56"/>
        <v/>
      </c>
      <c r="N250">
        <f>IFERROR(IF(M250=0,"",COUNTIF($M$3:M250,"&gt;0")),"")</f>
        <v>33</v>
      </c>
      <c r="O250" t="str">
        <f t="shared" si="49"/>
        <v/>
      </c>
      <c r="P250" t="str">
        <f t="shared" si="57"/>
        <v/>
      </c>
      <c r="Q250" t="str">
        <f t="shared" si="58"/>
        <v/>
      </c>
      <c r="R250">
        <f>IFERROR(IF(Q250=0,"",COUNTIF($Q$3:Q250,"&gt;0")),"")</f>
        <v>16</v>
      </c>
      <c r="S250" t="str">
        <f t="shared" si="50"/>
        <v/>
      </c>
      <c r="T250" t="str">
        <f t="shared" si="59"/>
        <v/>
      </c>
      <c r="U250">
        <f>IFERROR(IF(T250=0,"",COUNTIF($T$3:T250,"&gt;0")),"")</f>
        <v>0</v>
      </c>
      <c r="V250" t="str">
        <f t="shared" si="51"/>
        <v/>
      </c>
      <c r="W250" t="e">
        <f t="shared" si="52"/>
        <v>#VALUE!</v>
      </c>
      <c r="X250">
        <f>'OTHER PLANT ATTN.'!C:C</f>
        <v>0</v>
      </c>
      <c r="Y250" t="e">
        <f>Table1[[#This Row],[CATEGORY ]]</f>
        <v>#VALUE!</v>
      </c>
      <c r="Z250" t="e">
        <f>Table1[[#This Row],[PLANT]]</f>
        <v>#VALUE!</v>
      </c>
    </row>
    <row r="251" spans="1:26">
      <c r="A251" t="str">
        <f t="shared" si="46"/>
        <v>000</v>
      </c>
      <c r="B251">
        <f>Table4[[#This Row],[CATEGORY]]</f>
        <v>0</v>
      </c>
      <c r="C251">
        <f>Table4[[#This Row],[SUB-CATEGORY]]</f>
        <v>0</v>
      </c>
      <c r="D251">
        <f>'RJ ATTENDENCE SHEET'!C:C</f>
        <v>0</v>
      </c>
      <c r="E251">
        <f t="shared" si="45"/>
        <v>0</v>
      </c>
      <c r="F251" t="str">
        <f t="shared" si="53"/>
        <v/>
      </c>
      <c r="G251">
        <f>IFERROR(IF(F251=0,"",COUNTIF($F$3:F251,"&gt;0")),"")</f>
        <v>16</v>
      </c>
      <c r="H251" t="str">
        <f t="shared" si="47"/>
        <v/>
      </c>
      <c r="I251" t="str">
        <f t="shared" si="54"/>
        <v/>
      </c>
      <c r="J251">
        <f>IFERROR(IF(I251=0,"",COUNTIF($I$3:I251,"&gt;0")),"")</f>
        <v>34</v>
      </c>
      <c r="K251" t="str">
        <f t="shared" si="48"/>
        <v/>
      </c>
      <c r="L251" t="str">
        <f t="shared" si="55"/>
        <v/>
      </c>
      <c r="M251" t="str">
        <f t="shared" si="56"/>
        <v/>
      </c>
      <c r="N251">
        <f>IFERROR(IF(M251=0,"",COUNTIF($M$3:M251,"&gt;0")),"")</f>
        <v>33</v>
      </c>
      <c r="O251" t="str">
        <f t="shared" si="49"/>
        <v/>
      </c>
      <c r="P251" t="str">
        <f t="shared" si="57"/>
        <v/>
      </c>
      <c r="Q251" t="str">
        <f t="shared" si="58"/>
        <v/>
      </c>
      <c r="R251">
        <f>IFERROR(IF(Q251=0,"",COUNTIF($Q$3:Q251,"&gt;0")),"")</f>
        <v>16</v>
      </c>
      <c r="S251" t="str">
        <f t="shared" si="50"/>
        <v/>
      </c>
      <c r="T251" t="str">
        <f t="shared" si="59"/>
        <v/>
      </c>
      <c r="U251">
        <f>IFERROR(IF(T251=0,"",COUNTIF($T$3:T251,"&gt;0")),"")</f>
        <v>0</v>
      </c>
      <c r="V251" t="str">
        <f t="shared" si="51"/>
        <v/>
      </c>
      <c r="W251" t="e">
        <f t="shared" si="52"/>
        <v>#VALUE!</v>
      </c>
      <c r="X251">
        <f>'OTHER PLANT ATTN.'!C:C</f>
        <v>0</v>
      </c>
      <c r="Y251" t="e">
        <f>Table1[[#This Row],[CATEGORY ]]</f>
        <v>#VALUE!</v>
      </c>
      <c r="Z251" t="e">
        <f>Table1[[#This Row],[PLANT]]</f>
        <v>#VALUE!</v>
      </c>
    </row>
    <row r="252" spans="1:26">
      <c r="A252" t="str">
        <f t="shared" si="46"/>
        <v>000</v>
      </c>
      <c r="B252">
        <f>Table4[[#This Row],[CATEGORY]]</f>
        <v>0</v>
      </c>
      <c r="C252">
        <f>Table4[[#This Row],[SUB-CATEGORY]]</f>
        <v>0</v>
      </c>
      <c r="D252">
        <f>'RJ ATTENDENCE SHEET'!C:C</f>
        <v>0</v>
      </c>
      <c r="E252">
        <f t="shared" si="45"/>
        <v>0</v>
      </c>
      <c r="F252" t="str">
        <f t="shared" si="53"/>
        <v/>
      </c>
      <c r="G252">
        <f>IFERROR(IF(F252=0,"",COUNTIF($F$3:F252,"&gt;0")),"")</f>
        <v>16</v>
      </c>
      <c r="H252" t="str">
        <f t="shared" si="47"/>
        <v/>
      </c>
      <c r="I252" t="str">
        <f t="shared" si="54"/>
        <v/>
      </c>
      <c r="J252">
        <f>IFERROR(IF(I252=0,"",COUNTIF($I$3:I252,"&gt;0")),"")</f>
        <v>34</v>
      </c>
      <c r="K252" t="str">
        <f t="shared" si="48"/>
        <v/>
      </c>
      <c r="L252" t="str">
        <f t="shared" si="55"/>
        <v/>
      </c>
      <c r="M252" t="str">
        <f t="shared" si="56"/>
        <v/>
      </c>
      <c r="N252">
        <f>IFERROR(IF(M252=0,"",COUNTIF($M$3:M252,"&gt;0")),"")</f>
        <v>33</v>
      </c>
      <c r="O252" t="str">
        <f t="shared" si="49"/>
        <v/>
      </c>
      <c r="P252" t="str">
        <f t="shared" si="57"/>
        <v/>
      </c>
      <c r="Q252" t="str">
        <f t="shared" si="58"/>
        <v/>
      </c>
      <c r="R252">
        <f>IFERROR(IF(Q252=0,"",COUNTIF($Q$3:Q252,"&gt;0")),"")</f>
        <v>16</v>
      </c>
      <c r="S252" t="str">
        <f t="shared" si="50"/>
        <v/>
      </c>
      <c r="T252" t="str">
        <f t="shared" si="59"/>
        <v/>
      </c>
      <c r="U252">
        <f>IFERROR(IF(T252=0,"",COUNTIF($T$3:T252,"&gt;0")),"")</f>
        <v>0</v>
      </c>
      <c r="V252" t="str">
        <f t="shared" si="51"/>
        <v/>
      </c>
      <c r="W252" t="e">
        <f t="shared" si="52"/>
        <v>#VALUE!</v>
      </c>
      <c r="X252">
        <f>'OTHER PLANT ATTN.'!C:C</f>
        <v>0</v>
      </c>
      <c r="Y252" t="e">
        <f>Table1[[#This Row],[CATEGORY ]]</f>
        <v>#VALUE!</v>
      </c>
      <c r="Z252" t="e">
        <f>Table1[[#This Row],[PLANT]]</f>
        <v>#VALUE!</v>
      </c>
    </row>
    <row r="253" spans="1:26">
      <c r="A253" t="str">
        <f t="shared" si="46"/>
        <v>000</v>
      </c>
      <c r="B253">
        <f>Table4[[#This Row],[CATEGORY]]</f>
        <v>0</v>
      </c>
      <c r="C253">
        <f>Table4[[#This Row],[SUB-CATEGORY]]</f>
        <v>0</v>
      </c>
      <c r="D253">
        <f>'RJ ATTENDENCE SHEET'!C:C</f>
        <v>0</v>
      </c>
      <c r="E253">
        <f t="shared" si="45"/>
        <v>0</v>
      </c>
      <c r="F253" t="str">
        <f t="shared" si="53"/>
        <v/>
      </c>
      <c r="G253">
        <f>IFERROR(IF(F253=0,"",COUNTIF($F$3:F253,"&gt;0")),"")</f>
        <v>16</v>
      </c>
      <c r="H253" t="str">
        <f t="shared" si="47"/>
        <v/>
      </c>
      <c r="I253" t="str">
        <f t="shared" si="54"/>
        <v/>
      </c>
      <c r="J253">
        <f>IFERROR(IF(I253=0,"",COUNTIF($I$3:I253,"&gt;0")),"")</f>
        <v>34</v>
      </c>
      <c r="K253" t="str">
        <f t="shared" si="48"/>
        <v/>
      </c>
      <c r="L253" t="str">
        <f t="shared" si="55"/>
        <v/>
      </c>
      <c r="M253" t="str">
        <f t="shared" si="56"/>
        <v/>
      </c>
      <c r="N253">
        <f>IFERROR(IF(M253=0,"",COUNTIF($M$3:M253,"&gt;0")),"")</f>
        <v>33</v>
      </c>
      <c r="O253" t="str">
        <f t="shared" si="49"/>
        <v/>
      </c>
      <c r="P253" t="str">
        <f t="shared" si="57"/>
        <v/>
      </c>
      <c r="Q253" t="str">
        <f t="shared" si="58"/>
        <v/>
      </c>
      <c r="R253">
        <f>IFERROR(IF(Q253=0,"",COUNTIF($Q$3:Q253,"&gt;0")),"")</f>
        <v>16</v>
      </c>
      <c r="S253" t="str">
        <f t="shared" si="50"/>
        <v/>
      </c>
      <c r="T253" t="str">
        <f t="shared" si="59"/>
        <v/>
      </c>
      <c r="U253">
        <f>IFERROR(IF(T253=0,"",COUNTIF($T$3:T253,"&gt;0")),"")</f>
        <v>0</v>
      </c>
      <c r="V253" t="str">
        <f t="shared" si="51"/>
        <v/>
      </c>
      <c r="W253" t="e">
        <f t="shared" si="52"/>
        <v>#VALUE!</v>
      </c>
      <c r="X253">
        <f>'OTHER PLANT ATTN.'!C:C</f>
        <v>0</v>
      </c>
      <c r="Y253" t="e">
        <f>Table1[[#This Row],[CATEGORY ]]</f>
        <v>#VALUE!</v>
      </c>
      <c r="Z253" t="e">
        <f>Table1[[#This Row],[PLANT]]</f>
        <v>#VALUE!</v>
      </c>
    </row>
    <row r="254" spans="1:26">
      <c r="A254" t="str">
        <f t="shared" si="46"/>
        <v>000</v>
      </c>
      <c r="B254">
        <f>Table4[[#This Row],[CATEGORY]]</f>
        <v>0</v>
      </c>
      <c r="C254">
        <f>Table4[[#This Row],[SUB-CATEGORY]]</f>
        <v>0</v>
      </c>
      <c r="D254">
        <f>'RJ ATTENDENCE SHEET'!C:C</f>
        <v>0</v>
      </c>
      <c r="E254">
        <f t="shared" si="45"/>
        <v>0</v>
      </c>
      <c r="F254" t="str">
        <f t="shared" si="53"/>
        <v/>
      </c>
      <c r="G254">
        <f>IFERROR(IF(F254=0,"",COUNTIF($F$3:F254,"&gt;0")),"")</f>
        <v>16</v>
      </c>
      <c r="H254" t="str">
        <f t="shared" si="47"/>
        <v/>
      </c>
      <c r="I254" t="str">
        <f t="shared" si="54"/>
        <v/>
      </c>
      <c r="J254">
        <f>IFERROR(IF(I254=0,"",COUNTIF($I$3:I254,"&gt;0")),"")</f>
        <v>34</v>
      </c>
      <c r="K254" t="str">
        <f t="shared" si="48"/>
        <v/>
      </c>
      <c r="L254" t="str">
        <f t="shared" si="55"/>
        <v/>
      </c>
      <c r="M254" t="str">
        <f t="shared" si="56"/>
        <v/>
      </c>
      <c r="N254">
        <f>IFERROR(IF(M254=0,"",COUNTIF($M$3:M254,"&gt;0")),"")</f>
        <v>33</v>
      </c>
      <c r="O254" t="str">
        <f t="shared" si="49"/>
        <v/>
      </c>
      <c r="P254" t="str">
        <f t="shared" si="57"/>
        <v/>
      </c>
      <c r="Q254" t="str">
        <f t="shared" si="58"/>
        <v/>
      </c>
      <c r="R254">
        <f>IFERROR(IF(Q254=0,"",COUNTIF($Q$3:Q254,"&gt;0")),"")</f>
        <v>16</v>
      </c>
      <c r="S254" t="str">
        <f t="shared" si="50"/>
        <v/>
      </c>
      <c r="T254" t="str">
        <f t="shared" si="59"/>
        <v/>
      </c>
      <c r="U254">
        <f>IFERROR(IF(T254=0,"",COUNTIF($T$3:T254,"&gt;0")),"")</f>
        <v>0</v>
      </c>
      <c r="V254" t="str">
        <f t="shared" si="51"/>
        <v/>
      </c>
      <c r="W254" t="e">
        <f t="shared" si="52"/>
        <v>#VALUE!</v>
      </c>
      <c r="X254">
        <f>'OTHER PLANT ATTN.'!C:C</f>
        <v>0</v>
      </c>
      <c r="Y254" t="e">
        <f>Table1[[#This Row],[CATEGORY ]]</f>
        <v>#VALUE!</v>
      </c>
      <c r="Z254" t="e">
        <f>Table1[[#This Row],[PLANT]]</f>
        <v>#VALUE!</v>
      </c>
    </row>
    <row r="255" spans="1:26">
      <c r="A255" t="str">
        <f t="shared" si="46"/>
        <v>000</v>
      </c>
      <c r="B255">
        <f>Table4[[#This Row],[CATEGORY]]</f>
        <v>0</v>
      </c>
      <c r="C255">
        <f>Table4[[#This Row],[SUB-CATEGORY]]</f>
        <v>0</v>
      </c>
      <c r="D255">
        <f>'RJ ATTENDENCE SHEET'!C:C</f>
        <v>0</v>
      </c>
      <c r="E255">
        <f t="shared" si="45"/>
        <v>0</v>
      </c>
      <c r="F255" t="str">
        <f t="shared" si="53"/>
        <v/>
      </c>
      <c r="G255">
        <f>IFERROR(IF(F255=0,"",COUNTIF($F$3:F255,"&gt;0")),"")</f>
        <v>16</v>
      </c>
      <c r="H255" t="str">
        <f t="shared" si="47"/>
        <v/>
      </c>
      <c r="I255" t="str">
        <f t="shared" si="54"/>
        <v/>
      </c>
      <c r="J255">
        <f>IFERROR(IF(I255=0,"",COUNTIF($I$3:I255,"&gt;0")),"")</f>
        <v>34</v>
      </c>
      <c r="K255" t="str">
        <f t="shared" si="48"/>
        <v/>
      </c>
      <c r="L255" t="str">
        <f t="shared" si="55"/>
        <v/>
      </c>
      <c r="M255" t="str">
        <f t="shared" si="56"/>
        <v/>
      </c>
      <c r="N255">
        <f>IFERROR(IF(M255=0,"",COUNTIF($M$3:M255,"&gt;0")),"")</f>
        <v>33</v>
      </c>
      <c r="O255" t="str">
        <f t="shared" si="49"/>
        <v/>
      </c>
      <c r="P255" t="str">
        <f t="shared" si="57"/>
        <v/>
      </c>
      <c r="Q255" t="str">
        <f t="shared" si="58"/>
        <v/>
      </c>
      <c r="R255">
        <f>IFERROR(IF(Q255=0,"",COUNTIF($Q$3:Q255,"&gt;0")),"")</f>
        <v>16</v>
      </c>
      <c r="S255" t="str">
        <f t="shared" si="50"/>
        <v/>
      </c>
      <c r="T255" t="str">
        <f t="shared" si="59"/>
        <v/>
      </c>
      <c r="U255">
        <f>IFERROR(IF(T255=0,"",COUNTIF($T$3:T255,"&gt;0")),"")</f>
        <v>0</v>
      </c>
      <c r="V255" t="str">
        <f t="shared" si="51"/>
        <v/>
      </c>
      <c r="W255" t="e">
        <f t="shared" si="52"/>
        <v>#VALUE!</v>
      </c>
      <c r="X255">
        <f>'OTHER PLANT ATTN.'!C:C</f>
        <v>0</v>
      </c>
      <c r="Y255" t="e">
        <f>Table1[[#This Row],[CATEGORY ]]</f>
        <v>#VALUE!</v>
      </c>
      <c r="Z255" t="e">
        <f>Table1[[#This Row],[PLANT]]</f>
        <v>#VALUE!</v>
      </c>
    </row>
    <row r="256" spans="1:26">
      <c r="A256" t="str">
        <f t="shared" si="46"/>
        <v>000</v>
      </c>
      <c r="B256">
        <f>Table4[[#This Row],[CATEGORY]]</f>
        <v>0</v>
      </c>
      <c r="C256">
        <f>Table4[[#This Row],[SUB-CATEGORY]]</f>
        <v>0</v>
      </c>
      <c r="D256">
        <f>'RJ ATTENDENCE SHEET'!C:C</f>
        <v>0</v>
      </c>
      <c r="E256">
        <f t="shared" si="45"/>
        <v>0</v>
      </c>
      <c r="F256" t="str">
        <f t="shared" si="53"/>
        <v/>
      </c>
      <c r="G256">
        <f>IFERROR(IF(F256=0,"",COUNTIF($F$3:F256,"&gt;0")),"")</f>
        <v>16</v>
      </c>
      <c r="H256" t="str">
        <f t="shared" si="47"/>
        <v/>
      </c>
      <c r="I256" t="str">
        <f t="shared" si="54"/>
        <v/>
      </c>
      <c r="J256">
        <f>IFERROR(IF(I256=0,"",COUNTIF($I$3:I256,"&gt;0")),"")</f>
        <v>34</v>
      </c>
      <c r="K256" t="str">
        <f t="shared" si="48"/>
        <v/>
      </c>
      <c r="L256" t="str">
        <f t="shared" si="55"/>
        <v/>
      </c>
      <c r="M256" t="str">
        <f t="shared" si="56"/>
        <v/>
      </c>
      <c r="N256">
        <f>IFERROR(IF(M256=0,"",COUNTIF($M$3:M256,"&gt;0")),"")</f>
        <v>33</v>
      </c>
      <c r="O256" t="str">
        <f t="shared" si="49"/>
        <v/>
      </c>
      <c r="P256" t="str">
        <f t="shared" si="57"/>
        <v/>
      </c>
      <c r="Q256" t="str">
        <f t="shared" si="58"/>
        <v/>
      </c>
      <c r="R256">
        <f>IFERROR(IF(Q256=0,"",COUNTIF($Q$3:Q256,"&gt;0")),"")</f>
        <v>16</v>
      </c>
      <c r="S256" t="str">
        <f t="shared" si="50"/>
        <v/>
      </c>
      <c r="T256" t="str">
        <f t="shared" si="59"/>
        <v/>
      </c>
      <c r="U256">
        <f>IFERROR(IF(T256=0,"",COUNTIF($T$3:T256,"&gt;0")),"")</f>
        <v>0</v>
      </c>
      <c r="V256" t="str">
        <f t="shared" si="51"/>
        <v/>
      </c>
      <c r="W256" t="e">
        <f t="shared" si="52"/>
        <v>#VALUE!</v>
      </c>
      <c r="X256">
        <f>'OTHER PLANT ATTN.'!C:C</f>
        <v>0</v>
      </c>
      <c r="Y256" t="e">
        <f>Table1[[#This Row],[CATEGORY ]]</f>
        <v>#VALUE!</v>
      </c>
      <c r="Z256" t="e">
        <f>Table1[[#This Row],[PLANT]]</f>
        <v>#VALUE!</v>
      </c>
    </row>
    <row r="257" spans="1:26">
      <c r="A257" t="str">
        <f t="shared" si="46"/>
        <v>000</v>
      </c>
      <c r="B257">
        <f>Table4[[#This Row],[CATEGORY]]</f>
        <v>0</v>
      </c>
      <c r="C257">
        <f>Table4[[#This Row],[SUB-CATEGORY]]</f>
        <v>0</v>
      </c>
      <c r="D257">
        <f>'RJ ATTENDENCE SHEET'!C:C</f>
        <v>0</v>
      </c>
      <c r="E257">
        <f t="shared" si="45"/>
        <v>0</v>
      </c>
      <c r="F257" t="str">
        <f t="shared" si="53"/>
        <v/>
      </c>
      <c r="G257">
        <f>IFERROR(IF(F257=0,"",COUNTIF($F$3:F257,"&gt;0")),"")</f>
        <v>16</v>
      </c>
      <c r="H257" t="str">
        <f t="shared" si="47"/>
        <v/>
      </c>
      <c r="I257" t="str">
        <f t="shared" si="54"/>
        <v/>
      </c>
      <c r="J257">
        <f>IFERROR(IF(I257=0,"",COUNTIF($I$3:I257,"&gt;0")),"")</f>
        <v>34</v>
      </c>
      <c r="K257" t="str">
        <f t="shared" si="48"/>
        <v/>
      </c>
      <c r="L257" t="str">
        <f t="shared" si="55"/>
        <v/>
      </c>
      <c r="M257" t="str">
        <f t="shared" si="56"/>
        <v/>
      </c>
      <c r="N257">
        <f>IFERROR(IF(M257=0,"",COUNTIF($M$3:M257,"&gt;0")),"")</f>
        <v>33</v>
      </c>
      <c r="O257" t="str">
        <f t="shared" si="49"/>
        <v/>
      </c>
      <c r="P257" t="str">
        <f t="shared" si="57"/>
        <v/>
      </c>
      <c r="Q257" t="str">
        <f t="shared" si="58"/>
        <v/>
      </c>
      <c r="R257">
        <f>IFERROR(IF(Q257=0,"",COUNTIF($Q$3:Q257,"&gt;0")),"")</f>
        <v>16</v>
      </c>
      <c r="S257" t="str">
        <f t="shared" si="50"/>
        <v/>
      </c>
      <c r="T257" t="str">
        <f t="shared" si="59"/>
        <v/>
      </c>
      <c r="U257">
        <f>IFERROR(IF(T257=0,"",COUNTIF($T$3:T257,"&gt;0")),"")</f>
        <v>0</v>
      </c>
      <c r="V257" t="str">
        <f t="shared" si="51"/>
        <v/>
      </c>
      <c r="W257" t="e">
        <f t="shared" si="52"/>
        <v>#VALUE!</v>
      </c>
      <c r="X257">
        <f>'OTHER PLANT ATTN.'!C:C</f>
        <v>0</v>
      </c>
      <c r="Y257" t="e">
        <f>Table1[[#This Row],[CATEGORY ]]</f>
        <v>#VALUE!</v>
      </c>
      <c r="Z257" t="e">
        <f>Table1[[#This Row],[PLANT]]</f>
        <v>#VALUE!</v>
      </c>
    </row>
    <row r="258" spans="1:26">
      <c r="A258" t="str">
        <f t="shared" si="46"/>
        <v>000</v>
      </c>
      <c r="B258">
        <f>Table4[[#This Row],[CATEGORY]]</f>
        <v>0</v>
      </c>
      <c r="C258">
        <f>Table4[[#This Row],[SUB-CATEGORY]]</f>
        <v>0</v>
      </c>
      <c r="D258">
        <f>'RJ ATTENDENCE SHEET'!C:C</f>
        <v>0</v>
      </c>
      <c r="E258">
        <f t="shared" ref="E258:E321" si="60">C258</f>
        <v>0</v>
      </c>
      <c r="F258" t="str">
        <f t="shared" si="53"/>
        <v/>
      </c>
      <c r="G258">
        <f>IFERROR(IF(F258=0,"",COUNTIF($F$3:F258,"&gt;0")),"")</f>
        <v>16</v>
      </c>
      <c r="H258" t="str">
        <f t="shared" si="47"/>
        <v/>
      </c>
      <c r="I258" t="str">
        <f t="shared" si="54"/>
        <v/>
      </c>
      <c r="J258">
        <f>IFERROR(IF(I258=0,"",COUNTIF($I$3:I258,"&gt;0")),"")</f>
        <v>34</v>
      </c>
      <c r="K258" t="str">
        <f t="shared" si="48"/>
        <v/>
      </c>
      <c r="L258" t="str">
        <f t="shared" si="55"/>
        <v/>
      </c>
      <c r="M258" t="str">
        <f t="shared" si="56"/>
        <v/>
      </c>
      <c r="N258">
        <f>IFERROR(IF(M258=0,"",COUNTIF($M$3:M258,"&gt;0")),"")</f>
        <v>33</v>
      </c>
      <c r="O258" t="str">
        <f t="shared" si="49"/>
        <v/>
      </c>
      <c r="P258" t="str">
        <f t="shared" si="57"/>
        <v/>
      </c>
      <c r="Q258" t="str">
        <f t="shared" si="58"/>
        <v/>
      </c>
      <c r="R258">
        <f>IFERROR(IF(Q258=0,"",COUNTIF($Q$3:Q258,"&gt;0")),"")</f>
        <v>16</v>
      </c>
      <c r="S258" t="str">
        <f t="shared" si="50"/>
        <v/>
      </c>
      <c r="T258" t="str">
        <f t="shared" si="59"/>
        <v/>
      </c>
      <c r="U258">
        <f>IFERROR(IF(T258=0,"",COUNTIF($T$3:T258,"&gt;0")),"")</f>
        <v>0</v>
      </c>
      <c r="V258" t="str">
        <f t="shared" si="51"/>
        <v/>
      </c>
      <c r="W258" t="e">
        <f t="shared" si="52"/>
        <v>#VALUE!</v>
      </c>
      <c r="X258">
        <f>'OTHER PLANT ATTN.'!C:C</f>
        <v>0</v>
      </c>
      <c r="Y258" t="e">
        <f>Table1[[#This Row],[CATEGORY ]]</f>
        <v>#VALUE!</v>
      </c>
      <c r="Z258" t="e">
        <f>Table1[[#This Row],[PLANT]]</f>
        <v>#VALUE!</v>
      </c>
    </row>
    <row r="259" spans="1:26">
      <c r="A259" t="str">
        <f t="shared" ref="A259:A322" si="61">CONCATENATE(B259,C259,D259)</f>
        <v>000</v>
      </c>
      <c r="B259">
        <f>Table4[[#This Row],[CATEGORY]]</f>
        <v>0</v>
      </c>
      <c r="C259">
        <f>Table4[[#This Row],[SUB-CATEGORY]]</f>
        <v>0</v>
      </c>
      <c r="D259">
        <f>'RJ ATTENDENCE SHEET'!C:C</f>
        <v>0</v>
      </c>
      <c r="E259">
        <f t="shared" si="60"/>
        <v>0</v>
      </c>
      <c r="F259" t="str">
        <f t="shared" si="53"/>
        <v/>
      </c>
      <c r="G259">
        <f>IFERROR(IF(F259=0,"",COUNTIF($F$3:F259,"&gt;0")),"")</f>
        <v>16</v>
      </c>
      <c r="H259" t="str">
        <f t="shared" ref="H259:H322" si="62">IFERROR(VLOOKUP(INDEX($A:$A,MATCH(ROW(F257),G:G,0)),$A:$D,4,0),"")</f>
        <v/>
      </c>
      <c r="I259" t="str">
        <f t="shared" si="54"/>
        <v/>
      </c>
      <c r="J259">
        <f>IFERROR(IF(I259=0,"",COUNTIF($I$3:I259,"&gt;0")),"")</f>
        <v>34</v>
      </c>
      <c r="K259" t="str">
        <f t="shared" ref="K259:K322" si="63">IFERROR(VLOOKUP(INDEX($A:$A,MATCH(ROW(I257),J:J,0)),$A:$D,4,0),"")</f>
        <v/>
      </c>
      <c r="L259" t="str">
        <f t="shared" si="55"/>
        <v/>
      </c>
      <c r="M259" t="str">
        <f t="shared" si="56"/>
        <v/>
      </c>
      <c r="N259">
        <f>IFERROR(IF(M259=0,"",COUNTIF($M$3:M259,"&gt;0")),"")</f>
        <v>33</v>
      </c>
      <c r="O259" t="str">
        <f t="shared" ref="O259:O322" si="64">IFERROR(VLOOKUP(INDEX($A:$A,MATCH(ROW(M257),N:N,0)),$A:$D,4,0),"")</f>
        <v/>
      </c>
      <c r="P259" t="str">
        <f t="shared" si="57"/>
        <v/>
      </c>
      <c r="Q259" t="str">
        <f t="shared" si="58"/>
        <v/>
      </c>
      <c r="R259">
        <f>IFERROR(IF(Q259=0,"",COUNTIF($Q$3:Q259,"&gt;0")),"")</f>
        <v>16</v>
      </c>
      <c r="S259" t="str">
        <f t="shared" ref="S259:S322" si="65">IFERROR(VLOOKUP(INDEX($A:$A,MATCH(ROW(Q257),R:R,0)),$A:$D,4,0),"")</f>
        <v/>
      </c>
      <c r="T259" t="str">
        <f t="shared" si="59"/>
        <v/>
      </c>
      <c r="U259">
        <f>IFERROR(IF(T259=0,"",COUNTIF($T$3:T259,"&gt;0")),"")</f>
        <v>0</v>
      </c>
      <c r="V259" t="str">
        <f t="shared" ref="V259:V322" si="66">IFERROR(VLOOKUP(INDEX($A:$A,MATCH(ROW(T257),U:U,0)),$A:$D,4,0),"")</f>
        <v/>
      </c>
      <c r="W259" t="e">
        <f t="shared" ref="W259:W322" si="67">CONCATENATE(Z259,Y259,X259)</f>
        <v>#VALUE!</v>
      </c>
      <c r="X259">
        <f>'OTHER PLANT ATTN.'!C:C</f>
        <v>0</v>
      </c>
      <c r="Y259" t="e">
        <f>Table1[[#This Row],[CATEGORY ]]</f>
        <v>#VALUE!</v>
      </c>
      <c r="Z259" t="e">
        <f>Table1[[#This Row],[PLANT]]</f>
        <v>#VALUE!</v>
      </c>
    </row>
    <row r="260" spans="1:26">
      <c r="A260" t="str">
        <f t="shared" si="61"/>
        <v>000</v>
      </c>
      <c r="B260">
        <f>Table4[[#This Row],[CATEGORY]]</f>
        <v>0</v>
      </c>
      <c r="C260">
        <f>Table4[[#This Row],[SUB-CATEGORY]]</f>
        <v>0</v>
      </c>
      <c r="D260">
        <f>'RJ ATTENDENCE SHEET'!C:C</f>
        <v>0</v>
      </c>
      <c r="E260">
        <f t="shared" si="60"/>
        <v>0</v>
      </c>
      <c r="F260" t="str">
        <f t="shared" ref="F260:F323" si="68">IFERROR(SEARCH("SALARYOFFICE",$A:$A),"")</f>
        <v/>
      </c>
      <c r="G260">
        <f>IFERROR(IF(F260=0,"",COUNTIF($F$3:F260,"&gt;0")),"")</f>
        <v>16</v>
      </c>
      <c r="H260" t="str">
        <f t="shared" si="62"/>
        <v/>
      </c>
      <c r="I260" t="str">
        <f t="shared" ref="I260:I323" si="69">IFERROR(SEARCH("WAGES",$A:$A),"")</f>
        <v/>
      </c>
      <c r="J260">
        <f>IFERROR(IF(I260=0,"",COUNTIF($I$3:I260,"&gt;0")),"")</f>
        <v>34</v>
      </c>
      <c r="K260" t="str">
        <f t="shared" si="63"/>
        <v/>
      </c>
      <c r="L260" t="str">
        <f t="shared" ref="L260:L323" si="70">IFERROR(VLOOKUP(K260,$D:$E,2,0),"")</f>
        <v/>
      </c>
      <c r="M260" t="str">
        <f t="shared" ref="M260:M323" si="71">IFERROR(SEARCH("CONTRACT",$A:$A),"")</f>
        <v/>
      </c>
      <c r="N260">
        <f>IFERROR(IF(M260=0,"",COUNTIF($M$3:M260,"&gt;0")),"")</f>
        <v>33</v>
      </c>
      <c r="O260" t="str">
        <f t="shared" si="64"/>
        <v/>
      </c>
      <c r="P260" t="str">
        <f t="shared" ref="P260:P323" si="72">IFERROR(VLOOKUP(O260,$D:$E,2,0),"")</f>
        <v/>
      </c>
      <c r="Q260" t="str">
        <f t="shared" ref="Q260:Q323" si="73">IFERROR(SEARCH("SALARY",$A:$A),"")</f>
        <v/>
      </c>
      <c r="R260">
        <f>IFERROR(IF(Q260=0,"",COUNTIF($Q$3:Q260,"&gt;0")),"")</f>
        <v>16</v>
      </c>
      <c r="S260" t="str">
        <f t="shared" si="65"/>
        <v/>
      </c>
      <c r="T260" t="str">
        <f t="shared" ref="T260:T323" si="74">IFERROR(SEARCH("OTHERS0",$A:$A),"")</f>
        <v/>
      </c>
      <c r="U260">
        <f>IFERROR(IF(T260=0,"",COUNTIF($T$3:T260,"&gt;0")),"")</f>
        <v>0</v>
      </c>
      <c r="V260" t="str">
        <f t="shared" si="66"/>
        <v/>
      </c>
      <c r="W260" t="e">
        <f t="shared" si="67"/>
        <v>#VALUE!</v>
      </c>
      <c r="X260">
        <f>'OTHER PLANT ATTN.'!C:C</f>
        <v>0</v>
      </c>
      <c r="Y260" t="e">
        <f>Table1[[#This Row],[CATEGORY ]]</f>
        <v>#VALUE!</v>
      </c>
      <c r="Z260" t="e">
        <f>Table1[[#This Row],[PLANT]]</f>
        <v>#VALUE!</v>
      </c>
    </row>
    <row r="261" spans="1:26">
      <c r="A261" t="str">
        <f t="shared" si="61"/>
        <v>000</v>
      </c>
      <c r="B261">
        <f>Table4[[#This Row],[CATEGORY]]</f>
        <v>0</v>
      </c>
      <c r="C261">
        <f>Table4[[#This Row],[SUB-CATEGORY]]</f>
        <v>0</v>
      </c>
      <c r="D261">
        <f>'RJ ATTENDENCE SHEET'!C:C</f>
        <v>0</v>
      </c>
      <c r="E261">
        <f t="shared" si="60"/>
        <v>0</v>
      </c>
      <c r="F261" t="str">
        <f t="shared" si="68"/>
        <v/>
      </c>
      <c r="G261">
        <f>IFERROR(IF(F261=0,"",COUNTIF($F$3:F261,"&gt;0")),"")</f>
        <v>16</v>
      </c>
      <c r="H261" t="str">
        <f t="shared" si="62"/>
        <v/>
      </c>
      <c r="I261" t="str">
        <f t="shared" si="69"/>
        <v/>
      </c>
      <c r="J261">
        <f>IFERROR(IF(I261=0,"",COUNTIF($I$3:I261,"&gt;0")),"")</f>
        <v>34</v>
      </c>
      <c r="K261" t="str">
        <f t="shared" si="63"/>
        <v/>
      </c>
      <c r="L261" t="str">
        <f t="shared" si="70"/>
        <v/>
      </c>
      <c r="M261" t="str">
        <f t="shared" si="71"/>
        <v/>
      </c>
      <c r="N261">
        <f>IFERROR(IF(M261=0,"",COUNTIF($M$3:M261,"&gt;0")),"")</f>
        <v>33</v>
      </c>
      <c r="O261" t="str">
        <f t="shared" si="64"/>
        <v/>
      </c>
      <c r="P261" t="str">
        <f t="shared" si="72"/>
        <v/>
      </c>
      <c r="Q261" t="str">
        <f t="shared" si="73"/>
        <v/>
      </c>
      <c r="R261">
        <f>IFERROR(IF(Q261=0,"",COUNTIF($Q$3:Q261,"&gt;0")),"")</f>
        <v>16</v>
      </c>
      <c r="S261" t="str">
        <f t="shared" si="65"/>
        <v/>
      </c>
      <c r="T261" t="str">
        <f t="shared" si="74"/>
        <v/>
      </c>
      <c r="U261">
        <f>IFERROR(IF(T261=0,"",COUNTIF($T$3:T261,"&gt;0")),"")</f>
        <v>0</v>
      </c>
      <c r="V261" t="str">
        <f t="shared" si="66"/>
        <v/>
      </c>
      <c r="W261" t="e">
        <f t="shared" si="67"/>
        <v>#VALUE!</v>
      </c>
      <c r="X261">
        <f>'OTHER PLANT ATTN.'!C:C</f>
        <v>0</v>
      </c>
      <c r="Y261" t="e">
        <f>Table1[[#This Row],[CATEGORY ]]</f>
        <v>#VALUE!</v>
      </c>
      <c r="Z261" t="e">
        <f>Table1[[#This Row],[PLANT]]</f>
        <v>#VALUE!</v>
      </c>
    </row>
    <row r="262" spans="1:26">
      <c r="A262" t="str">
        <f t="shared" si="61"/>
        <v>000</v>
      </c>
      <c r="B262">
        <f>Table4[[#This Row],[CATEGORY]]</f>
        <v>0</v>
      </c>
      <c r="C262">
        <f>Table4[[#This Row],[SUB-CATEGORY]]</f>
        <v>0</v>
      </c>
      <c r="D262">
        <f>'RJ ATTENDENCE SHEET'!C:C</f>
        <v>0</v>
      </c>
      <c r="E262">
        <f t="shared" si="60"/>
        <v>0</v>
      </c>
      <c r="F262" t="str">
        <f t="shared" si="68"/>
        <v/>
      </c>
      <c r="G262">
        <f>IFERROR(IF(F262=0,"",COUNTIF($F$3:F262,"&gt;0")),"")</f>
        <v>16</v>
      </c>
      <c r="H262" t="str">
        <f t="shared" si="62"/>
        <v/>
      </c>
      <c r="I262" t="str">
        <f t="shared" si="69"/>
        <v/>
      </c>
      <c r="J262">
        <f>IFERROR(IF(I262=0,"",COUNTIF($I$3:I262,"&gt;0")),"")</f>
        <v>34</v>
      </c>
      <c r="K262" t="str">
        <f t="shared" si="63"/>
        <v/>
      </c>
      <c r="L262" t="str">
        <f t="shared" si="70"/>
        <v/>
      </c>
      <c r="M262" t="str">
        <f t="shared" si="71"/>
        <v/>
      </c>
      <c r="N262">
        <f>IFERROR(IF(M262=0,"",COUNTIF($M$3:M262,"&gt;0")),"")</f>
        <v>33</v>
      </c>
      <c r="O262" t="str">
        <f t="shared" si="64"/>
        <v/>
      </c>
      <c r="P262" t="str">
        <f t="shared" si="72"/>
        <v/>
      </c>
      <c r="Q262" t="str">
        <f t="shared" si="73"/>
        <v/>
      </c>
      <c r="R262">
        <f>IFERROR(IF(Q262=0,"",COUNTIF($Q$3:Q262,"&gt;0")),"")</f>
        <v>16</v>
      </c>
      <c r="S262" t="str">
        <f t="shared" si="65"/>
        <v/>
      </c>
      <c r="T262" t="str">
        <f t="shared" si="74"/>
        <v/>
      </c>
      <c r="U262">
        <f>IFERROR(IF(T262=0,"",COUNTIF($T$3:T262,"&gt;0")),"")</f>
        <v>0</v>
      </c>
      <c r="V262" t="str">
        <f t="shared" si="66"/>
        <v/>
      </c>
      <c r="W262" t="e">
        <f t="shared" si="67"/>
        <v>#VALUE!</v>
      </c>
      <c r="X262">
        <f>'OTHER PLANT ATTN.'!C:C</f>
        <v>0</v>
      </c>
      <c r="Y262" t="e">
        <f>Table1[[#This Row],[CATEGORY ]]</f>
        <v>#VALUE!</v>
      </c>
      <c r="Z262" t="e">
        <f>Table1[[#This Row],[PLANT]]</f>
        <v>#VALUE!</v>
      </c>
    </row>
    <row r="263" spans="1:26">
      <c r="A263" t="str">
        <f t="shared" si="61"/>
        <v>000</v>
      </c>
      <c r="B263">
        <f>Table4[[#This Row],[CATEGORY]]</f>
        <v>0</v>
      </c>
      <c r="C263">
        <f>Table4[[#This Row],[SUB-CATEGORY]]</f>
        <v>0</v>
      </c>
      <c r="D263">
        <f>'RJ ATTENDENCE SHEET'!C:C</f>
        <v>0</v>
      </c>
      <c r="E263">
        <f t="shared" si="60"/>
        <v>0</v>
      </c>
      <c r="F263" t="str">
        <f t="shared" si="68"/>
        <v/>
      </c>
      <c r="G263">
        <f>IFERROR(IF(F263=0,"",COUNTIF($F$3:F263,"&gt;0")),"")</f>
        <v>16</v>
      </c>
      <c r="H263" t="str">
        <f t="shared" si="62"/>
        <v/>
      </c>
      <c r="I263" t="str">
        <f t="shared" si="69"/>
        <v/>
      </c>
      <c r="J263">
        <f>IFERROR(IF(I263=0,"",COUNTIF($I$3:I263,"&gt;0")),"")</f>
        <v>34</v>
      </c>
      <c r="K263" t="str">
        <f t="shared" si="63"/>
        <v/>
      </c>
      <c r="L263" t="str">
        <f t="shared" si="70"/>
        <v/>
      </c>
      <c r="M263" t="str">
        <f t="shared" si="71"/>
        <v/>
      </c>
      <c r="N263">
        <f>IFERROR(IF(M263=0,"",COUNTIF($M$3:M263,"&gt;0")),"")</f>
        <v>33</v>
      </c>
      <c r="O263" t="str">
        <f t="shared" si="64"/>
        <v/>
      </c>
      <c r="P263" t="str">
        <f t="shared" si="72"/>
        <v/>
      </c>
      <c r="Q263" t="str">
        <f t="shared" si="73"/>
        <v/>
      </c>
      <c r="R263">
        <f>IFERROR(IF(Q263=0,"",COUNTIF($Q$3:Q263,"&gt;0")),"")</f>
        <v>16</v>
      </c>
      <c r="S263" t="str">
        <f t="shared" si="65"/>
        <v/>
      </c>
      <c r="T263" t="str">
        <f t="shared" si="74"/>
        <v/>
      </c>
      <c r="U263">
        <f>IFERROR(IF(T263=0,"",COUNTIF($T$3:T263,"&gt;0")),"")</f>
        <v>0</v>
      </c>
      <c r="V263" t="str">
        <f t="shared" si="66"/>
        <v/>
      </c>
      <c r="W263" t="e">
        <f t="shared" si="67"/>
        <v>#VALUE!</v>
      </c>
      <c r="X263">
        <f>'OTHER PLANT ATTN.'!C:C</f>
        <v>0</v>
      </c>
      <c r="Y263" t="e">
        <f>Table1[[#This Row],[CATEGORY ]]</f>
        <v>#VALUE!</v>
      </c>
      <c r="Z263" t="e">
        <f>Table1[[#This Row],[PLANT]]</f>
        <v>#VALUE!</v>
      </c>
    </row>
    <row r="264" spans="1:26">
      <c r="A264" t="str">
        <f t="shared" si="61"/>
        <v>000</v>
      </c>
      <c r="B264">
        <f>Table4[[#This Row],[CATEGORY]]</f>
        <v>0</v>
      </c>
      <c r="C264">
        <f>Table4[[#This Row],[SUB-CATEGORY]]</f>
        <v>0</v>
      </c>
      <c r="D264">
        <f>'RJ ATTENDENCE SHEET'!C:C</f>
        <v>0</v>
      </c>
      <c r="E264">
        <f t="shared" si="60"/>
        <v>0</v>
      </c>
      <c r="F264" t="str">
        <f t="shared" si="68"/>
        <v/>
      </c>
      <c r="G264">
        <f>IFERROR(IF(F264=0,"",COUNTIF($F$3:F264,"&gt;0")),"")</f>
        <v>16</v>
      </c>
      <c r="H264" t="str">
        <f t="shared" si="62"/>
        <v/>
      </c>
      <c r="I264" t="str">
        <f t="shared" si="69"/>
        <v/>
      </c>
      <c r="J264">
        <f>IFERROR(IF(I264=0,"",COUNTIF($I$3:I264,"&gt;0")),"")</f>
        <v>34</v>
      </c>
      <c r="K264" t="str">
        <f t="shared" si="63"/>
        <v/>
      </c>
      <c r="L264" t="str">
        <f t="shared" si="70"/>
        <v/>
      </c>
      <c r="M264" t="str">
        <f t="shared" si="71"/>
        <v/>
      </c>
      <c r="N264">
        <f>IFERROR(IF(M264=0,"",COUNTIF($M$3:M264,"&gt;0")),"")</f>
        <v>33</v>
      </c>
      <c r="O264" t="str">
        <f t="shared" si="64"/>
        <v/>
      </c>
      <c r="P264" t="str">
        <f t="shared" si="72"/>
        <v/>
      </c>
      <c r="Q264" t="str">
        <f t="shared" si="73"/>
        <v/>
      </c>
      <c r="R264">
        <f>IFERROR(IF(Q264=0,"",COUNTIF($Q$3:Q264,"&gt;0")),"")</f>
        <v>16</v>
      </c>
      <c r="S264" t="str">
        <f t="shared" si="65"/>
        <v/>
      </c>
      <c r="T264" t="str">
        <f t="shared" si="74"/>
        <v/>
      </c>
      <c r="U264">
        <f>IFERROR(IF(T264=0,"",COUNTIF($T$3:T264,"&gt;0")),"")</f>
        <v>0</v>
      </c>
      <c r="V264" t="str">
        <f t="shared" si="66"/>
        <v/>
      </c>
      <c r="W264" t="e">
        <f t="shared" si="67"/>
        <v>#VALUE!</v>
      </c>
      <c r="X264">
        <f>'OTHER PLANT ATTN.'!C:C</f>
        <v>0</v>
      </c>
      <c r="Y264" t="e">
        <f>Table1[[#This Row],[CATEGORY ]]</f>
        <v>#VALUE!</v>
      </c>
      <c r="Z264" t="e">
        <f>Table1[[#This Row],[PLANT]]</f>
        <v>#VALUE!</v>
      </c>
    </row>
    <row r="265" spans="1:26">
      <c r="A265" t="str">
        <f t="shared" si="61"/>
        <v>000</v>
      </c>
      <c r="B265">
        <f>Table4[[#This Row],[CATEGORY]]</f>
        <v>0</v>
      </c>
      <c r="C265">
        <f>Table4[[#This Row],[SUB-CATEGORY]]</f>
        <v>0</v>
      </c>
      <c r="D265">
        <f>'RJ ATTENDENCE SHEET'!C:C</f>
        <v>0</v>
      </c>
      <c r="E265">
        <f t="shared" si="60"/>
        <v>0</v>
      </c>
      <c r="F265" t="str">
        <f t="shared" si="68"/>
        <v/>
      </c>
      <c r="G265">
        <f>IFERROR(IF(F265=0,"",COUNTIF($F$3:F265,"&gt;0")),"")</f>
        <v>16</v>
      </c>
      <c r="H265" t="str">
        <f t="shared" si="62"/>
        <v/>
      </c>
      <c r="I265" t="str">
        <f t="shared" si="69"/>
        <v/>
      </c>
      <c r="J265">
        <f>IFERROR(IF(I265=0,"",COUNTIF($I$3:I265,"&gt;0")),"")</f>
        <v>34</v>
      </c>
      <c r="K265" t="str">
        <f t="shared" si="63"/>
        <v/>
      </c>
      <c r="L265" t="str">
        <f t="shared" si="70"/>
        <v/>
      </c>
      <c r="M265" t="str">
        <f t="shared" si="71"/>
        <v/>
      </c>
      <c r="N265">
        <f>IFERROR(IF(M265=0,"",COUNTIF($M$3:M265,"&gt;0")),"")</f>
        <v>33</v>
      </c>
      <c r="O265" t="str">
        <f t="shared" si="64"/>
        <v/>
      </c>
      <c r="P265" t="str">
        <f t="shared" si="72"/>
        <v/>
      </c>
      <c r="Q265" t="str">
        <f t="shared" si="73"/>
        <v/>
      </c>
      <c r="R265">
        <f>IFERROR(IF(Q265=0,"",COUNTIF($Q$3:Q265,"&gt;0")),"")</f>
        <v>16</v>
      </c>
      <c r="S265" t="str">
        <f t="shared" si="65"/>
        <v/>
      </c>
      <c r="T265" t="str">
        <f t="shared" si="74"/>
        <v/>
      </c>
      <c r="U265">
        <f>IFERROR(IF(T265=0,"",COUNTIF($T$3:T265,"&gt;0")),"")</f>
        <v>0</v>
      </c>
      <c r="V265" t="str">
        <f t="shared" si="66"/>
        <v/>
      </c>
      <c r="W265" t="e">
        <f t="shared" si="67"/>
        <v>#VALUE!</v>
      </c>
      <c r="X265">
        <f>'OTHER PLANT ATTN.'!C:C</f>
        <v>0</v>
      </c>
      <c r="Y265" t="e">
        <f>Table1[[#This Row],[CATEGORY ]]</f>
        <v>#VALUE!</v>
      </c>
      <c r="Z265" t="e">
        <f>Table1[[#This Row],[PLANT]]</f>
        <v>#VALUE!</v>
      </c>
    </row>
    <row r="266" spans="1:26">
      <c r="A266" t="str">
        <f t="shared" si="61"/>
        <v>000</v>
      </c>
      <c r="B266">
        <f>Table4[[#This Row],[CATEGORY]]</f>
        <v>0</v>
      </c>
      <c r="C266">
        <f>Table4[[#This Row],[SUB-CATEGORY]]</f>
        <v>0</v>
      </c>
      <c r="D266">
        <f>'RJ ATTENDENCE SHEET'!C:C</f>
        <v>0</v>
      </c>
      <c r="E266">
        <f t="shared" si="60"/>
        <v>0</v>
      </c>
      <c r="F266" t="str">
        <f t="shared" si="68"/>
        <v/>
      </c>
      <c r="G266">
        <f>IFERROR(IF(F266=0,"",COUNTIF($F$3:F266,"&gt;0")),"")</f>
        <v>16</v>
      </c>
      <c r="H266" t="str">
        <f t="shared" si="62"/>
        <v/>
      </c>
      <c r="I266" t="str">
        <f t="shared" si="69"/>
        <v/>
      </c>
      <c r="J266">
        <f>IFERROR(IF(I266=0,"",COUNTIF($I$3:I266,"&gt;0")),"")</f>
        <v>34</v>
      </c>
      <c r="K266" t="str">
        <f t="shared" si="63"/>
        <v/>
      </c>
      <c r="L266" t="str">
        <f t="shared" si="70"/>
        <v/>
      </c>
      <c r="M266" t="str">
        <f t="shared" si="71"/>
        <v/>
      </c>
      <c r="N266">
        <f>IFERROR(IF(M266=0,"",COUNTIF($M$3:M266,"&gt;0")),"")</f>
        <v>33</v>
      </c>
      <c r="O266" t="str">
        <f t="shared" si="64"/>
        <v/>
      </c>
      <c r="P266" t="str">
        <f t="shared" si="72"/>
        <v/>
      </c>
      <c r="Q266" t="str">
        <f t="shared" si="73"/>
        <v/>
      </c>
      <c r="R266">
        <f>IFERROR(IF(Q266=0,"",COUNTIF($Q$3:Q266,"&gt;0")),"")</f>
        <v>16</v>
      </c>
      <c r="S266" t="str">
        <f t="shared" si="65"/>
        <v/>
      </c>
      <c r="T266" t="str">
        <f t="shared" si="74"/>
        <v/>
      </c>
      <c r="U266">
        <f>IFERROR(IF(T266=0,"",COUNTIF($T$3:T266,"&gt;0")),"")</f>
        <v>0</v>
      </c>
      <c r="V266" t="str">
        <f t="shared" si="66"/>
        <v/>
      </c>
      <c r="W266" t="e">
        <f t="shared" si="67"/>
        <v>#VALUE!</v>
      </c>
      <c r="X266">
        <f>'OTHER PLANT ATTN.'!C:C</f>
        <v>0</v>
      </c>
      <c r="Y266" t="e">
        <f>Table1[[#This Row],[CATEGORY ]]</f>
        <v>#VALUE!</v>
      </c>
      <c r="Z266" t="e">
        <f>Table1[[#This Row],[PLANT]]</f>
        <v>#VALUE!</v>
      </c>
    </row>
    <row r="267" spans="1:26">
      <c r="A267" t="str">
        <f t="shared" si="61"/>
        <v>000</v>
      </c>
      <c r="B267">
        <f>Table4[[#This Row],[CATEGORY]]</f>
        <v>0</v>
      </c>
      <c r="C267">
        <f>Table4[[#This Row],[SUB-CATEGORY]]</f>
        <v>0</v>
      </c>
      <c r="D267">
        <f>'RJ ATTENDENCE SHEET'!C:C</f>
        <v>0</v>
      </c>
      <c r="E267">
        <f t="shared" si="60"/>
        <v>0</v>
      </c>
      <c r="F267" t="str">
        <f t="shared" si="68"/>
        <v/>
      </c>
      <c r="G267">
        <f>IFERROR(IF(F267=0,"",COUNTIF($F$3:F267,"&gt;0")),"")</f>
        <v>16</v>
      </c>
      <c r="H267" t="str">
        <f t="shared" si="62"/>
        <v/>
      </c>
      <c r="I267" t="str">
        <f t="shared" si="69"/>
        <v/>
      </c>
      <c r="J267">
        <f>IFERROR(IF(I267=0,"",COUNTIF($I$3:I267,"&gt;0")),"")</f>
        <v>34</v>
      </c>
      <c r="K267" t="str">
        <f t="shared" si="63"/>
        <v/>
      </c>
      <c r="L267" t="str">
        <f t="shared" si="70"/>
        <v/>
      </c>
      <c r="M267" t="str">
        <f t="shared" si="71"/>
        <v/>
      </c>
      <c r="N267">
        <f>IFERROR(IF(M267=0,"",COUNTIF($M$3:M267,"&gt;0")),"")</f>
        <v>33</v>
      </c>
      <c r="O267" t="str">
        <f t="shared" si="64"/>
        <v/>
      </c>
      <c r="P267" t="str">
        <f t="shared" si="72"/>
        <v/>
      </c>
      <c r="Q267" t="str">
        <f t="shared" si="73"/>
        <v/>
      </c>
      <c r="R267">
        <f>IFERROR(IF(Q267=0,"",COUNTIF($Q$3:Q267,"&gt;0")),"")</f>
        <v>16</v>
      </c>
      <c r="S267" t="str">
        <f t="shared" si="65"/>
        <v/>
      </c>
      <c r="T267" t="str">
        <f t="shared" si="74"/>
        <v/>
      </c>
      <c r="U267">
        <f>IFERROR(IF(T267=0,"",COUNTIF($T$3:T267,"&gt;0")),"")</f>
        <v>0</v>
      </c>
      <c r="V267" t="str">
        <f t="shared" si="66"/>
        <v/>
      </c>
      <c r="W267" t="e">
        <f t="shared" si="67"/>
        <v>#VALUE!</v>
      </c>
      <c r="X267">
        <f>'OTHER PLANT ATTN.'!C:C</f>
        <v>0</v>
      </c>
      <c r="Y267" t="e">
        <f>Table1[[#This Row],[CATEGORY ]]</f>
        <v>#VALUE!</v>
      </c>
      <c r="Z267" t="e">
        <f>Table1[[#This Row],[PLANT]]</f>
        <v>#VALUE!</v>
      </c>
    </row>
    <row r="268" spans="1:26">
      <c r="A268" t="str">
        <f t="shared" si="61"/>
        <v>000</v>
      </c>
      <c r="B268">
        <f>Table4[[#This Row],[CATEGORY]]</f>
        <v>0</v>
      </c>
      <c r="C268">
        <f>Table4[[#This Row],[SUB-CATEGORY]]</f>
        <v>0</v>
      </c>
      <c r="D268">
        <f>'RJ ATTENDENCE SHEET'!C:C</f>
        <v>0</v>
      </c>
      <c r="E268">
        <f t="shared" si="60"/>
        <v>0</v>
      </c>
      <c r="F268" t="str">
        <f t="shared" si="68"/>
        <v/>
      </c>
      <c r="G268">
        <f>IFERROR(IF(F268=0,"",COUNTIF($F$3:F268,"&gt;0")),"")</f>
        <v>16</v>
      </c>
      <c r="H268" t="str">
        <f t="shared" si="62"/>
        <v/>
      </c>
      <c r="I268" t="str">
        <f t="shared" si="69"/>
        <v/>
      </c>
      <c r="J268">
        <f>IFERROR(IF(I268=0,"",COUNTIF($I$3:I268,"&gt;0")),"")</f>
        <v>34</v>
      </c>
      <c r="K268" t="str">
        <f t="shared" si="63"/>
        <v/>
      </c>
      <c r="L268" t="str">
        <f t="shared" si="70"/>
        <v/>
      </c>
      <c r="M268" t="str">
        <f t="shared" si="71"/>
        <v/>
      </c>
      <c r="N268">
        <f>IFERROR(IF(M268=0,"",COUNTIF($M$3:M268,"&gt;0")),"")</f>
        <v>33</v>
      </c>
      <c r="O268" t="str">
        <f t="shared" si="64"/>
        <v/>
      </c>
      <c r="P268" t="str">
        <f t="shared" si="72"/>
        <v/>
      </c>
      <c r="Q268" t="str">
        <f t="shared" si="73"/>
        <v/>
      </c>
      <c r="R268">
        <f>IFERROR(IF(Q268=0,"",COUNTIF($Q$3:Q268,"&gt;0")),"")</f>
        <v>16</v>
      </c>
      <c r="S268" t="str">
        <f t="shared" si="65"/>
        <v/>
      </c>
      <c r="T268" t="str">
        <f t="shared" si="74"/>
        <v/>
      </c>
      <c r="U268">
        <f>IFERROR(IF(T268=0,"",COUNTIF($T$3:T268,"&gt;0")),"")</f>
        <v>0</v>
      </c>
      <c r="V268" t="str">
        <f t="shared" si="66"/>
        <v/>
      </c>
      <c r="W268" t="e">
        <f t="shared" si="67"/>
        <v>#VALUE!</v>
      </c>
      <c r="X268">
        <f>'OTHER PLANT ATTN.'!C:C</f>
        <v>0</v>
      </c>
      <c r="Y268" t="e">
        <f>Table1[[#This Row],[CATEGORY ]]</f>
        <v>#VALUE!</v>
      </c>
      <c r="Z268" t="e">
        <f>Table1[[#This Row],[PLANT]]</f>
        <v>#VALUE!</v>
      </c>
    </row>
    <row r="269" spans="1:26">
      <c r="A269" t="str">
        <f t="shared" si="61"/>
        <v>000</v>
      </c>
      <c r="B269">
        <f>Table4[[#This Row],[CATEGORY]]</f>
        <v>0</v>
      </c>
      <c r="C269">
        <f>Table4[[#This Row],[SUB-CATEGORY]]</f>
        <v>0</v>
      </c>
      <c r="D269">
        <f>'RJ ATTENDENCE SHEET'!C:C</f>
        <v>0</v>
      </c>
      <c r="E269">
        <f t="shared" si="60"/>
        <v>0</v>
      </c>
      <c r="F269" t="str">
        <f t="shared" si="68"/>
        <v/>
      </c>
      <c r="G269">
        <f>IFERROR(IF(F269=0,"",COUNTIF($F$3:F269,"&gt;0")),"")</f>
        <v>16</v>
      </c>
      <c r="H269" t="str">
        <f t="shared" si="62"/>
        <v/>
      </c>
      <c r="I269" t="str">
        <f t="shared" si="69"/>
        <v/>
      </c>
      <c r="J269">
        <f>IFERROR(IF(I269=0,"",COUNTIF($I$3:I269,"&gt;0")),"")</f>
        <v>34</v>
      </c>
      <c r="K269" t="str">
        <f t="shared" si="63"/>
        <v/>
      </c>
      <c r="L269" t="str">
        <f t="shared" si="70"/>
        <v/>
      </c>
      <c r="M269" t="str">
        <f t="shared" si="71"/>
        <v/>
      </c>
      <c r="N269">
        <f>IFERROR(IF(M269=0,"",COUNTIF($M$3:M269,"&gt;0")),"")</f>
        <v>33</v>
      </c>
      <c r="O269" t="str">
        <f t="shared" si="64"/>
        <v/>
      </c>
      <c r="P269" t="str">
        <f t="shared" si="72"/>
        <v/>
      </c>
      <c r="Q269" t="str">
        <f t="shared" si="73"/>
        <v/>
      </c>
      <c r="R269">
        <f>IFERROR(IF(Q269=0,"",COUNTIF($Q$3:Q269,"&gt;0")),"")</f>
        <v>16</v>
      </c>
      <c r="S269" t="str">
        <f t="shared" si="65"/>
        <v/>
      </c>
      <c r="T269" t="str">
        <f t="shared" si="74"/>
        <v/>
      </c>
      <c r="U269">
        <f>IFERROR(IF(T269=0,"",COUNTIF($T$3:T269,"&gt;0")),"")</f>
        <v>0</v>
      </c>
      <c r="V269" t="str">
        <f t="shared" si="66"/>
        <v/>
      </c>
      <c r="W269" t="e">
        <f t="shared" si="67"/>
        <v>#VALUE!</v>
      </c>
      <c r="X269">
        <f>'OTHER PLANT ATTN.'!C:C</f>
        <v>0</v>
      </c>
      <c r="Y269" t="e">
        <f>Table1[[#This Row],[CATEGORY ]]</f>
        <v>#VALUE!</v>
      </c>
      <c r="Z269" t="e">
        <f>Table1[[#This Row],[PLANT]]</f>
        <v>#VALUE!</v>
      </c>
    </row>
    <row r="270" spans="1:26">
      <c r="A270" t="str">
        <f t="shared" si="61"/>
        <v>000</v>
      </c>
      <c r="B270">
        <f>Table4[[#This Row],[CATEGORY]]</f>
        <v>0</v>
      </c>
      <c r="C270">
        <f>Table4[[#This Row],[SUB-CATEGORY]]</f>
        <v>0</v>
      </c>
      <c r="D270">
        <f>'RJ ATTENDENCE SHEET'!C:C</f>
        <v>0</v>
      </c>
      <c r="E270">
        <f t="shared" si="60"/>
        <v>0</v>
      </c>
      <c r="F270" t="str">
        <f t="shared" si="68"/>
        <v/>
      </c>
      <c r="G270">
        <f>IFERROR(IF(F270=0,"",COUNTIF($F$3:F270,"&gt;0")),"")</f>
        <v>16</v>
      </c>
      <c r="H270" t="str">
        <f t="shared" si="62"/>
        <v/>
      </c>
      <c r="I270" t="str">
        <f t="shared" si="69"/>
        <v/>
      </c>
      <c r="J270">
        <f>IFERROR(IF(I270=0,"",COUNTIF($I$3:I270,"&gt;0")),"")</f>
        <v>34</v>
      </c>
      <c r="K270" t="str">
        <f t="shared" si="63"/>
        <v/>
      </c>
      <c r="L270" t="str">
        <f t="shared" si="70"/>
        <v/>
      </c>
      <c r="M270" t="str">
        <f t="shared" si="71"/>
        <v/>
      </c>
      <c r="N270">
        <f>IFERROR(IF(M270=0,"",COUNTIF($M$3:M270,"&gt;0")),"")</f>
        <v>33</v>
      </c>
      <c r="O270" t="str">
        <f t="shared" si="64"/>
        <v/>
      </c>
      <c r="P270" t="str">
        <f t="shared" si="72"/>
        <v/>
      </c>
      <c r="Q270" t="str">
        <f t="shared" si="73"/>
        <v/>
      </c>
      <c r="R270">
        <f>IFERROR(IF(Q270=0,"",COUNTIF($Q$3:Q270,"&gt;0")),"")</f>
        <v>16</v>
      </c>
      <c r="S270" t="str">
        <f t="shared" si="65"/>
        <v/>
      </c>
      <c r="T270" t="str">
        <f t="shared" si="74"/>
        <v/>
      </c>
      <c r="U270">
        <f>IFERROR(IF(T270=0,"",COUNTIF($T$3:T270,"&gt;0")),"")</f>
        <v>0</v>
      </c>
      <c r="V270" t="str">
        <f t="shared" si="66"/>
        <v/>
      </c>
      <c r="W270" t="e">
        <f t="shared" si="67"/>
        <v>#VALUE!</v>
      </c>
      <c r="X270">
        <f>'OTHER PLANT ATTN.'!C:C</f>
        <v>0</v>
      </c>
      <c r="Y270" t="e">
        <f>Table1[[#This Row],[CATEGORY ]]</f>
        <v>#VALUE!</v>
      </c>
      <c r="Z270" t="e">
        <f>Table1[[#This Row],[PLANT]]</f>
        <v>#VALUE!</v>
      </c>
    </row>
    <row r="271" spans="1:26">
      <c r="A271" t="str">
        <f t="shared" si="61"/>
        <v>000</v>
      </c>
      <c r="B271">
        <f>Table4[[#This Row],[CATEGORY]]</f>
        <v>0</v>
      </c>
      <c r="C271">
        <f>Table4[[#This Row],[SUB-CATEGORY]]</f>
        <v>0</v>
      </c>
      <c r="D271">
        <f>'RJ ATTENDENCE SHEET'!C:C</f>
        <v>0</v>
      </c>
      <c r="E271">
        <f t="shared" si="60"/>
        <v>0</v>
      </c>
      <c r="F271" t="str">
        <f t="shared" si="68"/>
        <v/>
      </c>
      <c r="G271">
        <f>IFERROR(IF(F271=0,"",COUNTIF($F$3:F271,"&gt;0")),"")</f>
        <v>16</v>
      </c>
      <c r="H271" t="str">
        <f t="shared" si="62"/>
        <v/>
      </c>
      <c r="I271" t="str">
        <f t="shared" si="69"/>
        <v/>
      </c>
      <c r="J271">
        <f>IFERROR(IF(I271=0,"",COUNTIF($I$3:I271,"&gt;0")),"")</f>
        <v>34</v>
      </c>
      <c r="K271" t="str">
        <f t="shared" si="63"/>
        <v/>
      </c>
      <c r="L271" t="str">
        <f t="shared" si="70"/>
        <v/>
      </c>
      <c r="M271" t="str">
        <f t="shared" si="71"/>
        <v/>
      </c>
      <c r="N271">
        <f>IFERROR(IF(M271=0,"",COUNTIF($M$3:M271,"&gt;0")),"")</f>
        <v>33</v>
      </c>
      <c r="O271" t="str">
        <f t="shared" si="64"/>
        <v/>
      </c>
      <c r="P271" t="str">
        <f t="shared" si="72"/>
        <v/>
      </c>
      <c r="Q271" t="str">
        <f t="shared" si="73"/>
        <v/>
      </c>
      <c r="R271">
        <f>IFERROR(IF(Q271=0,"",COUNTIF($Q$3:Q271,"&gt;0")),"")</f>
        <v>16</v>
      </c>
      <c r="S271" t="str">
        <f t="shared" si="65"/>
        <v/>
      </c>
      <c r="T271" t="str">
        <f t="shared" si="74"/>
        <v/>
      </c>
      <c r="U271">
        <f>IFERROR(IF(T271=0,"",COUNTIF($T$3:T271,"&gt;0")),"")</f>
        <v>0</v>
      </c>
      <c r="V271" t="str">
        <f t="shared" si="66"/>
        <v/>
      </c>
      <c r="W271" t="e">
        <f t="shared" si="67"/>
        <v>#VALUE!</v>
      </c>
      <c r="X271">
        <f>'OTHER PLANT ATTN.'!C:C</f>
        <v>0</v>
      </c>
      <c r="Y271" t="e">
        <f>Table1[[#This Row],[CATEGORY ]]</f>
        <v>#VALUE!</v>
      </c>
      <c r="Z271" t="e">
        <f>Table1[[#This Row],[PLANT]]</f>
        <v>#VALUE!</v>
      </c>
    </row>
    <row r="272" spans="1:26">
      <c r="A272" t="str">
        <f t="shared" si="61"/>
        <v>000</v>
      </c>
      <c r="B272">
        <f>Table4[[#This Row],[CATEGORY]]</f>
        <v>0</v>
      </c>
      <c r="C272">
        <f>Table4[[#This Row],[SUB-CATEGORY]]</f>
        <v>0</v>
      </c>
      <c r="D272">
        <f>'RJ ATTENDENCE SHEET'!C:C</f>
        <v>0</v>
      </c>
      <c r="E272">
        <f t="shared" si="60"/>
        <v>0</v>
      </c>
      <c r="F272" t="str">
        <f t="shared" si="68"/>
        <v/>
      </c>
      <c r="G272">
        <f>IFERROR(IF(F272=0,"",COUNTIF($F$3:F272,"&gt;0")),"")</f>
        <v>16</v>
      </c>
      <c r="H272" t="str">
        <f t="shared" si="62"/>
        <v/>
      </c>
      <c r="I272" t="str">
        <f t="shared" si="69"/>
        <v/>
      </c>
      <c r="J272">
        <f>IFERROR(IF(I272=0,"",COUNTIF($I$3:I272,"&gt;0")),"")</f>
        <v>34</v>
      </c>
      <c r="K272" t="str">
        <f t="shared" si="63"/>
        <v/>
      </c>
      <c r="L272" t="str">
        <f t="shared" si="70"/>
        <v/>
      </c>
      <c r="M272" t="str">
        <f t="shared" si="71"/>
        <v/>
      </c>
      <c r="N272">
        <f>IFERROR(IF(M272=0,"",COUNTIF($M$3:M272,"&gt;0")),"")</f>
        <v>33</v>
      </c>
      <c r="O272" t="str">
        <f t="shared" si="64"/>
        <v/>
      </c>
      <c r="P272" t="str">
        <f t="shared" si="72"/>
        <v/>
      </c>
      <c r="Q272" t="str">
        <f t="shared" si="73"/>
        <v/>
      </c>
      <c r="R272">
        <f>IFERROR(IF(Q272=0,"",COUNTIF($Q$3:Q272,"&gt;0")),"")</f>
        <v>16</v>
      </c>
      <c r="S272" t="str">
        <f t="shared" si="65"/>
        <v/>
      </c>
      <c r="T272" t="str">
        <f t="shared" si="74"/>
        <v/>
      </c>
      <c r="U272">
        <f>IFERROR(IF(T272=0,"",COUNTIF($T$3:T272,"&gt;0")),"")</f>
        <v>0</v>
      </c>
      <c r="V272" t="str">
        <f t="shared" si="66"/>
        <v/>
      </c>
      <c r="W272" t="e">
        <f t="shared" si="67"/>
        <v>#VALUE!</v>
      </c>
      <c r="X272">
        <f>'OTHER PLANT ATTN.'!C:C</f>
        <v>0</v>
      </c>
      <c r="Y272" t="e">
        <f>Table1[[#This Row],[CATEGORY ]]</f>
        <v>#VALUE!</v>
      </c>
      <c r="Z272" t="e">
        <f>Table1[[#This Row],[PLANT]]</f>
        <v>#VALUE!</v>
      </c>
    </row>
    <row r="273" spans="1:26">
      <c r="A273" t="str">
        <f t="shared" si="61"/>
        <v>000</v>
      </c>
      <c r="B273">
        <f>Table4[[#This Row],[CATEGORY]]</f>
        <v>0</v>
      </c>
      <c r="C273">
        <f>Table4[[#This Row],[SUB-CATEGORY]]</f>
        <v>0</v>
      </c>
      <c r="D273">
        <f>'RJ ATTENDENCE SHEET'!C:C</f>
        <v>0</v>
      </c>
      <c r="E273">
        <f t="shared" si="60"/>
        <v>0</v>
      </c>
      <c r="F273" t="str">
        <f t="shared" si="68"/>
        <v/>
      </c>
      <c r="G273">
        <f>IFERROR(IF(F273=0,"",COUNTIF($F$3:F273,"&gt;0")),"")</f>
        <v>16</v>
      </c>
      <c r="H273" t="str">
        <f t="shared" si="62"/>
        <v/>
      </c>
      <c r="I273" t="str">
        <f t="shared" si="69"/>
        <v/>
      </c>
      <c r="J273">
        <f>IFERROR(IF(I273=0,"",COUNTIF($I$3:I273,"&gt;0")),"")</f>
        <v>34</v>
      </c>
      <c r="K273" t="str">
        <f t="shared" si="63"/>
        <v/>
      </c>
      <c r="L273" t="str">
        <f t="shared" si="70"/>
        <v/>
      </c>
      <c r="M273" t="str">
        <f t="shared" si="71"/>
        <v/>
      </c>
      <c r="N273">
        <f>IFERROR(IF(M273=0,"",COUNTIF($M$3:M273,"&gt;0")),"")</f>
        <v>33</v>
      </c>
      <c r="O273" t="str">
        <f t="shared" si="64"/>
        <v/>
      </c>
      <c r="P273" t="str">
        <f t="shared" si="72"/>
        <v/>
      </c>
      <c r="Q273" t="str">
        <f t="shared" si="73"/>
        <v/>
      </c>
      <c r="R273">
        <f>IFERROR(IF(Q273=0,"",COUNTIF($Q$3:Q273,"&gt;0")),"")</f>
        <v>16</v>
      </c>
      <c r="S273" t="str">
        <f t="shared" si="65"/>
        <v/>
      </c>
      <c r="T273" t="str">
        <f t="shared" si="74"/>
        <v/>
      </c>
      <c r="U273">
        <f>IFERROR(IF(T273=0,"",COUNTIF($T$3:T273,"&gt;0")),"")</f>
        <v>0</v>
      </c>
      <c r="V273" t="str">
        <f t="shared" si="66"/>
        <v/>
      </c>
      <c r="W273" t="e">
        <f t="shared" si="67"/>
        <v>#VALUE!</v>
      </c>
      <c r="X273">
        <f>'OTHER PLANT ATTN.'!C:C</f>
        <v>0</v>
      </c>
      <c r="Y273" t="e">
        <f>Table1[[#This Row],[CATEGORY ]]</f>
        <v>#VALUE!</v>
      </c>
      <c r="Z273" t="e">
        <f>Table1[[#This Row],[PLANT]]</f>
        <v>#VALUE!</v>
      </c>
    </row>
    <row r="274" spans="1:26">
      <c r="A274" t="str">
        <f t="shared" si="61"/>
        <v>000</v>
      </c>
      <c r="B274">
        <f>Table4[[#This Row],[CATEGORY]]</f>
        <v>0</v>
      </c>
      <c r="C274">
        <f>Table4[[#This Row],[SUB-CATEGORY]]</f>
        <v>0</v>
      </c>
      <c r="D274">
        <f>'RJ ATTENDENCE SHEET'!C:C</f>
        <v>0</v>
      </c>
      <c r="E274">
        <f t="shared" si="60"/>
        <v>0</v>
      </c>
      <c r="F274" t="str">
        <f t="shared" si="68"/>
        <v/>
      </c>
      <c r="G274">
        <f>IFERROR(IF(F274=0,"",COUNTIF($F$3:F274,"&gt;0")),"")</f>
        <v>16</v>
      </c>
      <c r="H274" t="str">
        <f t="shared" si="62"/>
        <v/>
      </c>
      <c r="I274" t="str">
        <f t="shared" si="69"/>
        <v/>
      </c>
      <c r="J274">
        <f>IFERROR(IF(I274=0,"",COUNTIF($I$3:I274,"&gt;0")),"")</f>
        <v>34</v>
      </c>
      <c r="K274" t="str">
        <f t="shared" si="63"/>
        <v/>
      </c>
      <c r="L274" t="str">
        <f t="shared" si="70"/>
        <v/>
      </c>
      <c r="M274" t="str">
        <f t="shared" si="71"/>
        <v/>
      </c>
      <c r="N274">
        <f>IFERROR(IF(M274=0,"",COUNTIF($M$3:M274,"&gt;0")),"")</f>
        <v>33</v>
      </c>
      <c r="O274" t="str">
        <f t="shared" si="64"/>
        <v/>
      </c>
      <c r="P274" t="str">
        <f t="shared" si="72"/>
        <v/>
      </c>
      <c r="Q274" t="str">
        <f t="shared" si="73"/>
        <v/>
      </c>
      <c r="R274">
        <f>IFERROR(IF(Q274=0,"",COUNTIF($Q$3:Q274,"&gt;0")),"")</f>
        <v>16</v>
      </c>
      <c r="S274" t="str">
        <f t="shared" si="65"/>
        <v/>
      </c>
      <c r="T274" t="str">
        <f t="shared" si="74"/>
        <v/>
      </c>
      <c r="U274">
        <f>IFERROR(IF(T274=0,"",COUNTIF($T$3:T274,"&gt;0")),"")</f>
        <v>0</v>
      </c>
      <c r="V274" t="str">
        <f t="shared" si="66"/>
        <v/>
      </c>
      <c r="W274" t="e">
        <f t="shared" si="67"/>
        <v>#VALUE!</v>
      </c>
      <c r="X274">
        <f>'OTHER PLANT ATTN.'!C:C</f>
        <v>0</v>
      </c>
      <c r="Y274" t="e">
        <f>Table1[[#This Row],[CATEGORY ]]</f>
        <v>#VALUE!</v>
      </c>
      <c r="Z274" t="e">
        <f>Table1[[#This Row],[PLANT]]</f>
        <v>#VALUE!</v>
      </c>
    </row>
    <row r="275" spans="1:26">
      <c r="A275" t="str">
        <f t="shared" si="61"/>
        <v>000</v>
      </c>
      <c r="B275">
        <f>Table4[[#This Row],[CATEGORY]]</f>
        <v>0</v>
      </c>
      <c r="C275">
        <f>Table4[[#This Row],[SUB-CATEGORY]]</f>
        <v>0</v>
      </c>
      <c r="D275">
        <f>'RJ ATTENDENCE SHEET'!C:C</f>
        <v>0</v>
      </c>
      <c r="E275">
        <f t="shared" si="60"/>
        <v>0</v>
      </c>
      <c r="F275" t="str">
        <f t="shared" si="68"/>
        <v/>
      </c>
      <c r="G275">
        <f>IFERROR(IF(F275=0,"",COUNTIF($F$3:F275,"&gt;0")),"")</f>
        <v>16</v>
      </c>
      <c r="H275" t="str">
        <f t="shared" si="62"/>
        <v/>
      </c>
      <c r="I275" t="str">
        <f t="shared" si="69"/>
        <v/>
      </c>
      <c r="J275">
        <f>IFERROR(IF(I275=0,"",COUNTIF($I$3:I275,"&gt;0")),"")</f>
        <v>34</v>
      </c>
      <c r="K275" t="str">
        <f t="shared" si="63"/>
        <v/>
      </c>
      <c r="L275" t="str">
        <f t="shared" si="70"/>
        <v/>
      </c>
      <c r="M275" t="str">
        <f t="shared" si="71"/>
        <v/>
      </c>
      <c r="N275">
        <f>IFERROR(IF(M275=0,"",COUNTIF($M$3:M275,"&gt;0")),"")</f>
        <v>33</v>
      </c>
      <c r="O275" t="str">
        <f t="shared" si="64"/>
        <v/>
      </c>
      <c r="P275" t="str">
        <f t="shared" si="72"/>
        <v/>
      </c>
      <c r="Q275" t="str">
        <f t="shared" si="73"/>
        <v/>
      </c>
      <c r="R275">
        <f>IFERROR(IF(Q275=0,"",COUNTIF($Q$3:Q275,"&gt;0")),"")</f>
        <v>16</v>
      </c>
      <c r="S275" t="str">
        <f t="shared" si="65"/>
        <v/>
      </c>
      <c r="T275" t="str">
        <f t="shared" si="74"/>
        <v/>
      </c>
      <c r="U275">
        <f>IFERROR(IF(T275=0,"",COUNTIF($T$3:T275,"&gt;0")),"")</f>
        <v>0</v>
      </c>
      <c r="V275" t="str">
        <f t="shared" si="66"/>
        <v/>
      </c>
      <c r="W275" t="e">
        <f t="shared" si="67"/>
        <v>#VALUE!</v>
      </c>
      <c r="X275">
        <f>'OTHER PLANT ATTN.'!C:C</f>
        <v>0</v>
      </c>
      <c r="Y275" t="e">
        <f>Table1[[#This Row],[CATEGORY ]]</f>
        <v>#VALUE!</v>
      </c>
      <c r="Z275" t="e">
        <f>Table1[[#This Row],[PLANT]]</f>
        <v>#VALUE!</v>
      </c>
    </row>
    <row r="276" spans="1:26">
      <c r="A276" t="str">
        <f t="shared" si="61"/>
        <v>000</v>
      </c>
      <c r="B276">
        <f>Table4[[#This Row],[CATEGORY]]</f>
        <v>0</v>
      </c>
      <c r="C276">
        <f>Table4[[#This Row],[SUB-CATEGORY]]</f>
        <v>0</v>
      </c>
      <c r="D276">
        <f>'RJ ATTENDENCE SHEET'!C:C</f>
        <v>0</v>
      </c>
      <c r="E276">
        <f t="shared" si="60"/>
        <v>0</v>
      </c>
      <c r="F276" t="str">
        <f t="shared" si="68"/>
        <v/>
      </c>
      <c r="G276">
        <f>IFERROR(IF(F276=0,"",COUNTIF($F$3:F276,"&gt;0")),"")</f>
        <v>16</v>
      </c>
      <c r="H276" t="str">
        <f t="shared" si="62"/>
        <v/>
      </c>
      <c r="I276" t="str">
        <f t="shared" si="69"/>
        <v/>
      </c>
      <c r="J276">
        <f>IFERROR(IF(I276=0,"",COUNTIF($I$3:I276,"&gt;0")),"")</f>
        <v>34</v>
      </c>
      <c r="K276" t="str">
        <f t="shared" si="63"/>
        <v/>
      </c>
      <c r="L276" t="str">
        <f t="shared" si="70"/>
        <v/>
      </c>
      <c r="M276" t="str">
        <f t="shared" si="71"/>
        <v/>
      </c>
      <c r="N276">
        <f>IFERROR(IF(M276=0,"",COUNTIF($M$3:M276,"&gt;0")),"")</f>
        <v>33</v>
      </c>
      <c r="O276" t="str">
        <f t="shared" si="64"/>
        <v/>
      </c>
      <c r="P276" t="str">
        <f t="shared" si="72"/>
        <v/>
      </c>
      <c r="Q276" t="str">
        <f t="shared" si="73"/>
        <v/>
      </c>
      <c r="R276">
        <f>IFERROR(IF(Q276=0,"",COUNTIF($Q$3:Q276,"&gt;0")),"")</f>
        <v>16</v>
      </c>
      <c r="S276" t="str">
        <f t="shared" si="65"/>
        <v/>
      </c>
      <c r="T276" t="str">
        <f t="shared" si="74"/>
        <v/>
      </c>
      <c r="U276">
        <f>IFERROR(IF(T276=0,"",COUNTIF($T$3:T276,"&gt;0")),"")</f>
        <v>0</v>
      </c>
      <c r="V276" t="str">
        <f t="shared" si="66"/>
        <v/>
      </c>
      <c r="W276" t="e">
        <f t="shared" si="67"/>
        <v>#VALUE!</v>
      </c>
      <c r="X276">
        <f>'OTHER PLANT ATTN.'!C:C</f>
        <v>0</v>
      </c>
      <c r="Y276" t="e">
        <f>Table1[[#This Row],[CATEGORY ]]</f>
        <v>#VALUE!</v>
      </c>
      <c r="Z276" t="e">
        <f>Table1[[#This Row],[PLANT]]</f>
        <v>#VALUE!</v>
      </c>
    </row>
    <row r="277" spans="1:26">
      <c r="A277" t="str">
        <f t="shared" si="61"/>
        <v>000</v>
      </c>
      <c r="B277">
        <f>Table4[[#This Row],[CATEGORY]]</f>
        <v>0</v>
      </c>
      <c r="C277">
        <f>Table4[[#This Row],[SUB-CATEGORY]]</f>
        <v>0</v>
      </c>
      <c r="D277">
        <f>'RJ ATTENDENCE SHEET'!C:C</f>
        <v>0</v>
      </c>
      <c r="E277">
        <f t="shared" si="60"/>
        <v>0</v>
      </c>
      <c r="F277" t="str">
        <f t="shared" si="68"/>
        <v/>
      </c>
      <c r="G277">
        <f>IFERROR(IF(F277=0,"",COUNTIF($F$3:F277,"&gt;0")),"")</f>
        <v>16</v>
      </c>
      <c r="H277" t="str">
        <f t="shared" si="62"/>
        <v/>
      </c>
      <c r="I277" t="str">
        <f t="shared" si="69"/>
        <v/>
      </c>
      <c r="J277">
        <f>IFERROR(IF(I277=0,"",COUNTIF($I$3:I277,"&gt;0")),"")</f>
        <v>34</v>
      </c>
      <c r="K277" t="str">
        <f t="shared" si="63"/>
        <v/>
      </c>
      <c r="L277" t="str">
        <f t="shared" si="70"/>
        <v/>
      </c>
      <c r="M277" t="str">
        <f t="shared" si="71"/>
        <v/>
      </c>
      <c r="N277">
        <f>IFERROR(IF(M277=0,"",COUNTIF($M$3:M277,"&gt;0")),"")</f>
        <v>33</v>
      </c>
      <c r="O277" t="str">
        <f t="shared" si="64"/>
        <v/>
      </c>
      <c r="P277" t="str">
        <f t="shared" si="72"/>
        <v/>
      </c>
      <c r="Q277" t="str">
        <f t="shared" si="73"/>
        <v/>
      </c>
      <c r="R277">
        <f>IFERROR(IF(Q277=0,"",COUNTIF($Q$3:Q277,"&gt;0")),"")</f>
        <v>16</v>
      </c>
      <c r="S277" t="str">
        <f t="shared" si="65"/>
        <v/>
      </c>
      <c r="T277" t="str">
        <f t="shared" si="74"/>
        <v/>
      </c>
      <c r="U277">
        <f>IFERROR(IF(T277=0,"",COUNTIF($T$3:T277,"&gt;0")),"")</f>
        <v>0</v>
      </c>
      <c r="V277" t="str">
        <f t="shared" si="66"/>
        <v/>
      </c>
      <c r="W277" t="e">
        <f t="shared" si="67"/>
        <v>#VALUE!</v>
      </c>
      <c r="X277">
        <f>'OTHER PLANT ATTN.'!C:C</f>
        <v>0</v>
      </c>
      <c r="Y277" t="e">
        <f>Table1[[#This Row],[CATEGORY ]]</f>
        <v>#VALUE!</v>
      </c>
      <c r="Z277" t="e">
        <f>Table1[[#This Row],[PLANT]]</f>
        <v>#VALUE!</v>
      </c>
    </row>
    <row r="278" spans="1:26">
      <c r="A278" t="str">
        <f t="shared" si="61"/>
        <v>000</v>
      </c>
      <c r="B278">
        <f>Table4[[#This Row],[CATEGORY]]</f>
        <v>0</v>
      </c>
      <c r="C278">
        <f>Table4[[#This Row],[SUB-CATEGORY]]</f>
        <v>0</v>
      </c>
      <c r="D278">
        <f>'RJ ATTENDENCE SHEET'!C:C</f>
        <v>0</v>
      </c>
      <c r="E278">
        <f t="shared" si="60"/>
        <v>0</v>
      </c>
      <c r="F278" t="str">
        <f t="shared" si="68"/>
        <v/>
      </c>
      <c r="G278">
        <f>IFERROR(IF(F278=0,"",COUNTIF($F$3:F278,"&gt;0")),"")</f>
        <v>16</v>
      </c>
      <c r="H278" t="str">
        <f t="shared" si="62"/>
        <v/>
      </c>
      <c r="I278" t="str">
        <f t="shared" si="69"/>
        <v/>
      </c>
      <c r="J278">
        <f>IFERROR(IF(I278=0,"",COUNTIF($I$3:I278,"&gt;0")),"")</f>
        <v>34</v>
      </c>
      <c r="K278" t="str">
        <f t="shared" si="63"/>
        <v/>
      </c>
      <c r="L278" t="str">
        <f t="shared" si="70"/>
        <v/>
      </c>
      <c r="M278" t="str">
        <f t="shared" si="71"/>
        <v/>
      </c>
      <c r="N278">
        <f>IFERROR(IF(M278=0,"",COUNTIF($M$3:M278,"&gt;0")),"")</f>
        <v>33</v>
      </c>
      <c r="O278" t="str">
        <f t="shared" si="64"/>
        <v/>
      </c>
      <c r="P278" t="str">
        <f t="shared" si="72"/>
        <v/>
      </c>
      <c r="Q278" t="str">
        <f t="shared" si="73"/>
        <v/>
      </c>
      <c r="R278">
        <f>IFERROR(IF(Q278=0,"",COUNTIF($Q$3:Q278,"&gt;0")),"")</f>
        <v>16</v>
      </c>
      <c r="S278" t="str">
        <f t="shared" si="65"/>
        <v/>
      </c>
      <c r="T278" t="str">
        <f t="shared" si="74"/>
        <v/>
      </c>
      <c r="U278">
        <f>IFERROR(IF(T278=0,"",COUNTIF($T$3:T278,"&gt;0")),"")</f>
        <v>0</v>
      </c>
      <c r="V278" t="str">
        <f t="shared" si="66"/>
        <v/>
      </c>
      <c r="W278" t="e">
        <f t="shared" si="67"/>
        <v>#VALUE!</v>
      </c>
      <c r="X278">
        <f>'OTHER PLANT ATTN.'!C:C</f>
        <v>0</v>
      </c>
      <c r="Y278" t="e">
        <f>Table1[[#This Row],[CATEGORY ]]</f>
        <v>#VALUE!</v>
      </c>
      <c r="Z278" t="e">
        <f>Table1[[#This Row],[PLANT]]</f>
        <v>#VALUE!</v>
      </c>
    </row>
    <row r="279" spans="1:26">
      <c r="A279" t="str">
        <f t="shared" si="61"/>
        <v>000</v>
      </c>
      <c r="B279">
        <f>Table4[[#This Row],[CATEGORY]]</f>
        <v>0</v>
      </c>
      <c r="C279">
        <f>Table4[[#This Row],[SUB-CATEGORY]]</f>
        <v>0</v>
      </c>
      <c r="D279">
        <f>'RJ ATTENDENCE SHEET'!C:C</f>
        <v>0</v>
      </c>
      <c r="E279">
        <f t="shared" si="60"/>
        <v>0</v>
      </c>
      <c r="F279" t="str">
        <f t="shared" si="68"/>
        <v/>
      </c>
      <c r="G279">
        <f>IFERROR(IF(F279=0,"",COUNTIF($F$3:F279,"&gt;0")),"")</f>
        <v>16</v>
      </c>
      <c r="H279" t="str">
        <f t="shared" si="62"/>
        <v/>
      </c>
      <c r="I279" t="str">
        <f t="shared" si="69"/>
        <v/>
      </c>
      <c r="J279">
        <f>IFERROR(IF(I279=0,"",COUNTIF($I$3:I279,"&gt;0")),"")</f>
        <v>34</v>
      </c>
      <c r="K279" t="str">
        <f t="shared" si="63"/>
        <v/>
      </c>
      <c r="L279" t="str">
        <f t="shared" si="70"/>
        <v/>
      </c>
      <c r="M279" t="str">
        <f t="shared" si="71"/>
        <v/>
      </c>
      <c r="N279">
        <f>IFERROR(IF(M279=0,"",COUNTIF($M$3:M279,"&gt;0")),"")</f>
        <v>33</v>
      </c>
      <c r="O279" t="str">
        <f t="shared" si="64"/>
        <v/>
      </c>
      <c r="P279" t="str">
        <f t="shared" si="72"/>
        <v/>
      </c>
      <c r="Q279" t="str">
        <f t="shared" si="73"/>
        <v/>
      </c>
      <c r="R279">
        <f>IFERROR(IF(Q279=0,"",COUNTIF($Q$3:Q279,"&gt;0")),"")</f>
        <v>16</v>
      </c>
      <c r="S279" t="str">
        <f t="shared" si="65"/>
        <v/>
      </c>
      <c r="T279" t="str">
        <f t="shared" si="74"/>
        <v/>
      </c>
      <c r="U279">
        <f>IFERROR(IF(T279=0,"",COUNTIF($T$3:T279,"&gt;0")),"")</f>
        <v>0</v>
      </c>
      <c r="V279" t="str">
        <f t="shared" si="66"/>
        <v/>
      </c>
      <c r="W279" t="e">
        <f t="shared" si="67"/>
        <v>#VALUE!</v>
      </c>
      <c r="X279">
        <f>'OTHER PLANT ATTN.'!C:C</f>
        <v>0</v>
      </c>
      <c r="Y279" t="e">
        <f>Table1[[#This Row],[CATEGORY ]]</f>
        <v>#VALUE!</v>
      </c>
      <c r="Z279" t="e">
        <f>Table1[[#This Row],[PLANT]]</f>
        <v>#VALUE!</v>
      </c>
    </row>
    <row r="280" spans="1:26">
      <c r="A280" t="str">
        <f t="shared" si="61"/>
        <v>000</v>
      </c>
      <c r="B280">
        <f>Table4[[#This Row],[CATEGORY]]</f>
        <v>0</v>
      </c>
      <c r="C280">
        <f>Table4[[#This Row],[SUB-CATEGORY]]</f>
        <v>0</v>
      </c>
      <c r="D280">
        <f>'RJ ATTENDENCE SHEET'!C:C</f>
        <v>0</v>
      </c>
      <c r="E280">
        <f t="shared" si="60"/>
        <v>0</v>
      </c>
      <c r="F280" t="str">
        <f t="shared" si="68"/>
        <v/>
      </c>
      <c r="G280">
        <f>IFERROR(IF(F280=0,"",COUNTIF($F$3:F280,"&gt;0")),"")</f>
        <v>16</v>
      </c>
      <c r="H280" t="str">
        <f t="shared" si="62"/>
        <v/>
      </c>
      <c r="I280" t="str">
        <f t="shared" si="69"/>
        <v/>
      </c>
      <c r="J280">
        <f>IFERROR(IF(I280=0,"",COUNTIF($I$3:I280,"&gt;0")),"")</f>
        <v>34</v>
      </c>
      <c r="K280" t="str">
        <f t="shared" si="63"/>
        <v/>
      </c>
      <c r="L280" t="str">
        <f t="shared" si="70"/>
        <v/>
      </c>
      <c r="M280" t="str">
        <f t="shared" si="71"/>
        <v/>
      </c>
      <c r="N280">
        <f>IFERROR(IF(M280=0,"",COUNTIF($M$3:M280,"&gt;0")),"")</f>
        <v>33</v>
      </c>
      <c r="O280" t="str">
        <f t="shared" si="64"/>
        <v/>
      </c>
      <c r="P280" t="str">
        <f t="shared" si="72"/>
        <v/>
      </c>
      <c r="Q280" t="str">
        <f t="shared" si="73"/>
        <v/>
      </c>
      <c r="R280">
        <f>IFERROR(IF(Q280=0,"",COUNTIF($Q$3:Q280,"&gt;0")),"")</f>
        <v>16</v>
      </c>
      <c r="S280" t="str">
        <f t="shared" si="65"/>
        <v/>
      </c>
      <c r="T280" t="str">
        <f t="shared" si="74"/>
        <v/>
      </c>
      <c r="U280">
        <f>IFERROR(IF(T280=0,"",COUNTIF($T$3:T280,"&gt;0")),"")</f>
        <v>0</v>
      </c>
      <c r="V280" t="str">
        <f t="shared" si="66"/>
        <v/>
      </c>
      <c r="W280" t="e">
        <f t="shared" si="67"/>
        <v>#VALUE!</v>
      </c>
      <c r="X280">
        <f>'OTHER PLANT ATTN.'!C:C</f>
        <v>0</v>
      </c>
      <c r="Y280" t="e">
        <f>Table1[[#This Row],[CATEGORY ]]</f>
        <v>#VALUE!</v>
      </c>
      <c r="Z280" t="e">
        <f>Table1[[#This Row],[PLANT]]</f>
        <v>#VALUE!</v>
      </c>
    </row>
    <row r="281" spans="1:26">
      <c r="A281" t="str">
        <f t="shared" si="61"/>
        <v>000</v>
      </c>
      <c r="B281">
        <f>Table4[[#This Row],[CATEGORY]]</f>
        <v>0</v>
      </c>
      <c r="C281">
        <f>Table4[[#This Row],[SUB-CATEGORY]]</f>
        <v>0</v>
      </c>
      <c r="D281">
        <f>'RJ ATTENDENCE SHEET'!C:C</f>
        <v>0</v>
      </c>
      <c r="E281">
        <f t="shared" si="60"/>
        <v>0</v>
      </c>
      <c r="F281" t="str">
        <f t="shared" si="68"/>
        <v/>
      </c>
      <c r="G281">
        <f>IFERROR(IF(F281=0,"",COUNTIF($F$3:F281,"&gt;0")),"")</f>
        <v>16</v>
      </c>
      <c r="H281" t="str">
        <f t="shared" si="62"/>
        <v/>
      </c>
      <c r="I281" t="str">
        <f t="shared" si="69"/>
        <v/>
      </c>
      <c r="J281">
        <f>IFERROR(IF(I281=0,"",COUNTIF($I$3:I281,"&gt;0")),"")</f>
        <v>34</v>
      </c>
      <c r="K281" t="str">
        <f t="shared" si="63"/>
        <v/>
      </c>
      <c r="L281" t="str">
        <f t="shared" si="70"/>
        <v/>
      </c>
      <c r="M281" t="str">
        <f t="shared" si="71"/>
        <v/>
      </c>
      <c r="N281">
        <f>IFERROR(IF(M281=0,"",COUNTIF($M$3:M281,"&gt;0")),"")</f>
        <v>33</v>
      </c>
      <c r="O281" t="str">
        <f t="shared" si="64"/>
        <v/>
      </c>
      <c r="P281" t="str">
        <f t="shared" si="72"/>
        <v/>
      </c>
      <c r="Q281" t="str">
        <f t="shared" si="73"/>
        <v/>
      </c>
      <c r="R281">
        <f>IFERROR(IF(Q281=0,"",COUNTIF($Q$3:Q281,"&gt;0")),"")</f>
        <v>16</v>
      </c>
      <c r="S281" t="str">
        <f t="shared" si="65"/>
        <v/>
      </c>
      <c r="T281" t="str">
        <f t="shared" si="74"/>
        <v/>
      </c>
      <c r="U281">
        <f>IFERROR(IF(T281=0,"",COUNTIF($T$3:T281,"&gt;0")),"")</f>
        <v>0</v>
      </c>
      <c r="V281" t="str">
        <f t="shared" si="66"/>
        <v/>
      </c>
      <c r="W281" t="e">
        <f t="shared" si="67"/>
        <v>#VALUE!</v>
      </c>
      <c r="X281">
        <f>'OTHER PLANT ATTN.'!C:C</f>
        <v>0</v>
      </c>
      <c r="Y281" t="e">
        <f>Table1[[#This Row],[CATEGORY ]]</f>
        <v>#VALUE!</v>
      </c>
      <c r="Z281" t="e">
        <f>Table1[[#This Row],[PLANT]]</f>
        <v>#VALUE!</v>
      </c>
    </row>
    <row r="282" spans="1:26">
      <c r="A282" t="str">
        <f t="shared" si="61"/>
        <v>000</v>
      </c>
      <c r="B282">
        <f>Table4[[#This Row],[CATEGORY]]</f>
        <v>0</v>
      </c>
      <c r="C282">
        <f>Table4[[#This Row],[SUB-CATEGORY]]</f>
        <v>0</v>
      </c>
      <c r="D282">
        <f>'RJ ATTENDENCE SHEET'!C:C</f>
        <v>0</v>
      </c>
      <c r="E282">
        <f t="shared" si="60"/>
        <v>0</v>
      </c>
      <c r="F282" t="str">
        <f t="shared" si="68"/>
        <v/>
      </c>
      <c r="G282">
        <f>IFERROR(IF(F282=0,"",COUNTIF($F$3:F282,"&gt;0")),"")</f>
        <v>16</v>
      </c>
      <c r="H282" t="str">
        <f t="shared" si="62"/>
        <v/>
      </c>
      <c r="I282" t="str">
        <f t="shared" si="69"/>
        <v/>
      </c>
      <c r="J282">
        <f>IFERROR(IF(I282=0,"",COUNTIF($I$3:I282,"&gt;0")),"")</f>
        <v>34</v>
      </c>
      <c r="K282" t="str">
        <f t="shared" si="63"/>
        <v/>
      </c>
      <c r="L282" t="str">
        <f t="shared" si="70"/>
        <v/>
      </c>
      <c r="M282" t="str">
        <f t="shared" si="71"/>
        <v/>
      </c>
      <c r="N282">
        <f>IFERROR(IF(M282=0,"",COUNTIF($M$3:M282,"&gt;0")),"")</f>
        <v>33</v>
      </c>
      <c r="O282" t="str">
        <f t="shared" si="64"/>
        <v/>
      </c>
      <c r="P282" t="str">
        <f t="shared" si="72"/>
        <v/>
      </c>
      <c r="Q282" t="str">
        <f t="shared" si="73"/>
        <v/>
      </c>
      <c r="R282">
        <f>IFERROR(IF(Q282=0,"",COUNTIF($Q$3:Q282,"&gt;0")),"")</f>
        <v>16</v>
      </c>
      <c r="S282" t="str">
        <f t="shared" si="65"/>
        <v/>
      </c>
      <c r="T282" t="str">
        <f t="shared" si="74"/>
        <v/>
      </c>
      <c r="U282">
        <f>IFERROR(IF(T282=0,"",COUNTIF($T$3:T282,"&gt;0")),"")</f>
        <v>0</v>
      </c>
      <c r="V282" t="str">
        <f t="shared" si="66"/>
        <v/>
      </c>
      <c r="W282" t="e">
        <f t="shared" si="67"/>
        <v>#VALUE!</v>
      </c>
      <c r="X282">
        <f>'OTHER PLANT ATTN.'!C:C</f>
        <v>0</v>
      </c>
      <c r="Y282" t="e">
        <f>Table1[[#This Row],[CATEGORY ]]</f>
        <v>#VALUE!</v>
      </c>
      <c r="Z282" t="e">
        <f>Table1[[#This Row],[PLANT]]</f>
        <v>#VALUE!</v>
      </c>
    </row>
    <row r="283" spans="1:26">
      <c r="A283" t="str">
        <f t="shared" si="61"/>
        <v>000</v>
      </c>
      <c r="B283">
        <f>Table4[[#This Row],[CATEGORY]]</f>
        <v>0</v>
      </c>
      <c r="C283">
        <f>Table4[[#This Row],[SUB-CATEGORY]]</f>
        <v>0</v>
      </c>
      <c r="D283">
        <f>'RJ ATTENDENCE SHEET'!C:C</f>
        <v>0</v>
      </c>
      <c r="E283">
        <f t="shared" si="60"/>
        <v>0</v>
      </c>
      <c r="F283" t="str">
        <f t="shared" si="68"/>
        <v/>
      </c>
      <c r="G283">
        <f>IFERROR(IF(F283=0,"",COUNTIF($F$3:F283,"&gt;0")),"")</f>
        <v>16</v>
      </c>
      <c r="H283" t="str">
        <f t="shared" si="62"/>
        <v/>
      </c>
      <c r="I283" t="str">
        <f t="shared" si="69"/>
        <v/>
      </c>
      <c r="J283">
        <f>IFERROR(IF(I283=0,"",COUNTIF($I$3:I283,"&gt;0")),"")</f>
        <v>34</v>
      </c>
      <c r="K283" t="str">
        <f t="shared" si="63"/>
        <v/>
      </c>
      <c r="L283" t="str">
        <f t="shared" si="70"/>
        <v/>
      </c>
      <c r="M283" t="str">
        <f t="shared" si="71"/>
        <v/>
      </c>
      <c r="N283">
        <f>IFERROR(IF(M283=0,"",COUNTIF($M$3:M283,"&gt;0")),"")</f>
        <v>33</v>
      </c>
      <c r="O283" t="str">
        <f t="shared" si="64"/>
        <v/>
      </c>
      <c r="P283" t="str">
        <f t="shared" si="72"/>
        <v/>
      </c>
      <c r="Q283" t="str">
        <f t="shared" si="73"/>
        <v/>
      </c>
      <c r="R283">
        <f>IFERROR(IF(Q283=0,"",COUNTIF($Q$3:Q283,"&gt;0")),"")</f>
        <v>16</v>
      </c>
      <c r="S283" t="str">
        <f t="shared" si="65"/>
        <v/>
      </c>
      <c r="T283" t="str">
        <f t="shared" si="74"/>
        <v/>
      </c>
      <c r="U283">
        <f>IFERROR(IF(T283=0,"",COUNTIF($T$3:T283,"&gt;0")),"")</f>
        <v>0</v>
      </c>
      <c r="V283" t="str">
        <f t="shared" si="66"/>
        <v/>
      </c>
      <c r="W283" t="e">
        <f t="shared" si="67"/>
        <v>#VALUE!</v>
      </c>
      <c r="X283">
        <f>'OTHER PLANT ATTN.'!C:C</f>
        <v>0</v>
      </c>
      <c r="Y283" t="e">
        <f>Table1[[#This Row],[CATEGORY ]]</f>
        <v>#VALUE!</v>
      </c>
      <c r="Z283" t="e">
        <f>Table1[[#This Row],[PLANT]]</f>
        <v>#VALUE!</v>
      </c>
    </row>
    <row r="284" spans="1:26">
      <c r="A284" t="str">
        <f t="shared" si="61"/>
        <v>000</v>
      </c>
      <c r="B284">
        <f>Table4[[#This Row],[CATEGORY]]</f>
        <v>0</v>
      </c>
      <c r="C284">
        <f>Table4[[#This Row],[SUB-CATEGORY]]</f>
        <v>0</v>
      </c>
      <c r="D284">
        <f>'RJ ATTENDENCE SHEET'!C:C</f>
        <v>0</v>
      </c>
      <c r="E284">
        <f t="shared" si="60"/>
        <v>0</v>
      </c>
      <c r="F284" t="str">
        <f t="shared" si="68"/>
        <v/>
      </c>
      <c r="G284">
        <f>IFERROR(IF(F284=0,"",COUNTIF($F$3:F284,"&gt;0")),"")</f>
        <v>16</v>
      </c>
      <c r="H284" t="str">
        <f t="shared" si="62"/>
        <v/>
      </c>
      <c r="I284" t="str">
        <f t="shared" si="69"/>
        <v/>
      </c>
      <c r="J284">
        <f>IFERROR(IF(I284=0,"",COUNTIF($I$3:I284,"&gt;0")),"")</f>
        <v>34</v>
      </c>
      <c r="K284" t="str">
        <f t="shared" si="63"/>
        <v/>
      </c>
      <c r="L284" t="str">
        <f t="shared" si="70"/>
        <v/>
      </c>
      <c r="M284" t="str">
        <f t="shared" si="71"/>
        <v/>
      </c>
      <c r="N284">
        <f>IFERROR(IF(M284=0,"",COUNTIF($M$3:M284,"&gt;0")),"")</f>
        <v>33</v>
      </c>
      <c r="O284" t="str">
        <f t="shared" si="64"/>
        <v/>
      </c>
      <c r="P284" t="str">
        <f t="shared" si="72"/>
        <v/>
      </c>
      <c r="Q284" t="str">
        <f t="shared" si="73"/>
        <v/>
      </c>
      <c r="R284">
        <f>IFERROR(IF(Q284=0,"",COUNTIF($Q$3:Q284,"&gt;0")),"")</f>
        <v>16</v>
      </c>
      <c r="S284" t="str">
        <f t="shared" si="65"/>
        <v/>
      </c>
      <c r="T284" t="str">
        <f t="shared" si="74"/>
        <v/>
      </c>
      <c r="U284">
        <f>IFERROR(IF(T284=0,"",COUNTIF($T$3:T284,"&gt;0")),"")</f>
        <v>0</v>
      </c>
      <c r="V284" t="str">
        <f t="shared" si="66"/>
        <v/>
      </c>
      <c r="W284" t="e">
        <f t="shared" si="67"/>
        <v>#VALUE!</v>
      </c>
      <c r="X284">
        <f>'OTHER PLANT ATTN.'!C:C</f>
        <v>0</v>
      </c>
      <c r="Y284" t="e">
        <f>Table1[[#This Row],[CATEGORY ]]</f>
        <v>#VALUE!</v>
      </c>
      <c r="Z284" t="e">
        <f>Table1[[#This Row],[PLANT]]</f>
        <v>#VALUE!</v>
      </c>
    </row>
    <row r="285" spans="1:26">
      <c r="A285" t="e">
        <f t="shared" si="61"/>
        <v>#VALUE!</v>
      </c>
      <c r="B285" t="e">
        <f>Table4[[#This Row],[CATEGORY]]</f>
        <v>#VALUE!</v>
      </c>
      <c r="C285" t="e">
        <f>Table4[[#This Row],[SUB-CATEGORY]]</f>
        <v>#VALUE!</v>
      </c>
      <c r="D285">
        <f>'RJ ATTENDENCE SHEET'!C:C</f>
        <v>0</v>
      </c>
      <c r="E285" t="e">
        <f t="shared" si="60"/>
        <v>#VALUE!</v>
      </c>
      <c r="F285" t="str">
        <f t="shared" si="68"/>
        <v/>
      </c>
      <c r="G285">
        <f>IFERROR(IF(F285=0,"",COUNTIF($F$3:F285,"&gt;0")),"")</f>
        <v>16</v>
      </c>
      <c r="H285" t="str">
        <f t="shared" si="62"/>
        <v/>
      </c>
      <c r="I285" t="str">
        <f t="shared" si="69"/>
        <v/>
      </c>
      <c r="J285">
        <f>IFERROR(IF(I285=0,"",COUNTIF($I$3:I285,"&gt;0")),"")</f>
        <v>34</v>
      </c>
      <c r="K285" t="str">
        <f t="shared" si="63"/>
        <v/>
      </c>
      <c r="L285" t="str">
        <f t="shared" si="70"/>
        <v/>
      </c>
      <c r="M285" t="str">
        <f t="shared" si="71"/>
        <v/>
      </c>
      <c r="N285">
        <f>IFERROR(IF(M285=0,"",COUNTIF($M$3:M285,"&gt;0")),"")</f>
        <v>33</v>
      </c>
      <c r="O285" t="str">
        <f t="shared" si="64"/>
        <v/>
      </c>
      <c r="P285" t="str">
        <f t="shared" si="72"/>
        <v/>
      </c>
      <c r="Q285" t="str">
        <f t="shared" si="73"/>
        <v/>
      </c>
      <c r="R285">
        <f>IFERROR(IF(Q285=0,"",COUNTIF($Q$3:Q285,"&gt;0")),"")</f>
        <v>16</v>
      </c>
      <c r="S285" t="str">
        <f t="shared" si="65"/>
        <v/>
      </c>
      <c r="T285" t="str">
        <f t="shared" si="74"/>
        <v/>
      </c>
      <c r="U285">
        <f>IFERROR(IF(T285=0,"",COUNTIF($T$3:T285,"&gt;0")),"")</f>
        <v>0</v>
      </c>
      <c r="V285" t="str">
        <f t="shared" si="66"/>
        <v/>
      </c>
      <c r="W285" t="e">
        <f t="shared" si="67"/>
        <v>#VALUE!</v>
      </c>
      <c r="X285">
        <f>'OTHER PLANT ATTN.'!C:C</f>
        <v>0</v>
      </c>
      <c r="Y285" t="e">
        <f>Table1[[#This Row],[CATEGORY ]]</f>
        <v>#VALUE!</v>
      </c>
      <c r="Z285" t="e">
        <f>Table1[[#This Row],[PLANT]]</f>
        <v>#VALUE!</v>
      </c>
    </row>
    <row r="286" spans="1:26">
      <c r="A286" t="e">
        <f t="shared" si="61"/>
        <v>#VALUE!</v>
      </c>
      <c r="B286" t="e">
        <f>Table4[[#This Row],[CATEGORY]]</f>
        <v>#VALUE!</v>
      </c>
      <c r="C286" t="e">
        <f>Table4[[#This Row],[SUB-CATEGORY]]</f>
        <v>#VALUE!</v>
      </c>
      <c r="D286">
        <f>'RJ ATTENDENCE SHEET'!C:C</f>
        <v>0</v>
      </c>
      <c r="E286" t="e">
        <f t="shared" si="60"/>
        <v>#VALUE!</v>
      </c>
      <c r="F286" t="str">
        <f t="shared" si="68"/>
        <v/>
      </c>
      <c r="G286">
        <f>IFERROR(IF(F286=0,"",COUNTIF($F$3:F286,"&gt;0")),"")</f>
        <v>16</v>
      </c>
      <c r="H286" t="str">
        <f t="shared" si="62"/>
        <v/>
      </c>
      <c r="I286" t="str">
        <f t="shared" si="69"/>
        <v/>
      </c>
      <c r="J286">
        <f>IFERROR(IF(I286=0,"",COUNTIF($I$3:I286,"&gt;0")),"")</f>
        <v>34</v>
      </c>
      <c r="K286" t="str">
        <f t="shared" si="63"/>
        <v/>
      </c>
      <c r="L286" t="str">
        <f t="shared" si="70"/>
        <v/>
      </c>
      <c r="M286" t="str">
        <f t="shared" si="71"/>
        <v/>
      </c>
      <c r="N286">
        <f>IFERROR(IF(M286=0,"",COUNTIF($M$3:M286,"&gt;0")),"")</f>
        <v>33</v>
      </c>
      <c r="O286" t="str">
        <f t="shared" si="64"/>
        <v/>
      </c>
      <c r="P286" t="str">
        <f t="shared" si="72"/>
        <v/>
      </c>
      <c r="Q286" t="str">
        <f t="shared" si="73"/>
        <v/>
      </c>
      <c r="R286">
        <f>IFERROR(IF(Q286=0,"",COUNTIF($Q$3:Q286,"&gt;0")),"")</f>
        <v>16</v>
      </c>
      <c r="S286" t="str">
        <f t="shared" si="65"/>
        <v/>
      </c>
      <c r="T286" t="str">
        <f t="shared" si="74"/>
        <v/>
      </c>
      <c r="U286">
        <f>IFERROR(IF(T286=0,"",COUNTIF($T$3:T286,"&gt;0")),"")</f>
        <v>0</v>
      </c>
      <c r="V286" t="str">
        <f t="shared" si="66"/>
        <v/>
      </c>
      <c r="W286" t="e">
        <f t="shared" si="67"/>
        <v>#VALUE!</v>
      </c>
      <c r="X286">
        <f>'OTHER PLANT ATTN.'!C:C</f>
        <v>0</v>
      </c>
      <c r="Y286" t="e">
        <f>Table1[[#This Row],[CATEGORY ]]</f>
        <v>#VALUE!</v>
      </c>
      <c r="Z286" t="e">
        <f>Table1[[#This Row],[PLANT]]</f>
        <v>#VALUE!</v>
      </c>
    </row>
    <row r="287" spans="1:26">
      <c r="A287" t="e">
        <f t="shared" si="61"/>
        <v>#VALUE!</v>
      </c>
      <c r="B287" t="e">
        <f>Table4[[#This Row],[CATEGORY]]</f>
        <v>#VALUE!</v>
      </c>
      <c r="C287" t="e">
        <f>Table4[[#This Row],[SUB-CATEGORY]]</f>
        <v>#VALUE!</v>
      </c>
      <c r="D287">
        <f>'RJ ATTENDENCE SHEET'!C:C</f>
        <v>0</v>
      </c>
      <c r="E287" t="e">
        <f t="shared" si="60"/>
        <v>#VALUE!</v>
      </c>
      <c r="F287" t="str">
        <f t="shared" si="68"/>
        <v/>
      </c>
      <c r="G287">
        <f>IFERROR(IF(F287=0,"",COUNTIF($F$3:F287,"&gt;0")),"")</f>
        <v>16</v>
      </c>
      <c r="H287" t="str">
        <f t="shared" si="62"/>
        <v/>
      </c>
      <c r="I287" t="str">
        <f t="shared" si="69"/>
        <v/>
      </c>
      <c r="J287">
        <f>IFERROR(IF(I287=0,"",COUNTIF($I$3:I287,"&gt;0")),"")</f>
        <v>34</v>
      </c>
      <c r="K287" t="str">
        <f t="shared" si="63"/>
        <v/>
      </c>
      <c r="L287" t="str">
        <f t="shared" si="70"/>
        <v/>
      </c>
      <c r="M287" t="str">
        <f t="shared" si="71"/>
        <v/>
      </c>
      <c r="N287">
        <f>IFERROR(IF(M287=0,"",COUNTIF($M$3:M287,"&gt;0")),"")</f>
        <v>33</v>
      </c>
      <c r="O287" t="str">
        <f t="shared" si="64"/>
        <v/>
      </c>
      <c r="P287" t="str">
        <f t="shared" si="72"/>
        <v/>
      </c>
      <c r="Q287" t="str">
        <f t="shared" si="73"/>
        <v/>
      </c>
      <c r="R287">
        <f>IFERROR(IF(Q287=0,"",COUNTIF($Q$3:Q287,"&gt;0")),"")</f>
        <v>16</v>
      </c>
      <c r="S287" t="str">
        <f t="shared" si="65"/>
        <v/>
      </c>
      <c r="T287" t="str">
        <f t="shared" si="74"/>
        <v/>
      </c>
      <c r="U287">
        <f>IFERROR(IF(T287=0,"",COUNTIF($T$3:T287,"&gt;0")),"")</f>
        <v>0</v>
      </c>
      <c r="V287" t="str">
        <f t="shared" si="66"/>
        <v/>
      </c>
      <c r="W287" t="e">
        <f t="shared" si="67"/>
        <v>#VALUE!</v>
      </c>
      <c r="X287">
        <f>'OTHER PLANT ATTN.'!C:C</f>
        <v>0</v>
      </c>
      <c r="Y287" t="e">
        <f>Table1[[#This Row],[CATEGORY ]]</f>
        <v>#VALUE!</v>
      </c>
      <c r="Z287" t="e">
        <f>Table1[[#This Row],[PLANT]]</f>
        <v>#VALUE!</v>
      </c>
    </row>
    <row r="288" spans="1:26">
      <c r="A288" t="e">
        <f t="shared" si="61"/>
        <v>#VALUE!</v>
      </c>
      <c r="B288" t="e">
        <f>Table4[[#This Row],[CATEGORY]]</f>
        <v>#VALUE!</v>
      </c>
      <c r="C288" t="e">
        <f>Table4[[#This Row],[SUB-CATEGORY]]</f>
        <v>#VALUE!</v>
      </c>
      <c r="D288">
        <f>'RJ ATTENDENCE SHEET'!C:C</f>
        <v>0</v>
      </c>
      <c r="E288" t="e">
        <f t="shared" si="60"/>
        <v>#VALUE!</v>
      </c>
      <c r="F288" t="str">
        <f t="shared" si="68"/>
        <v/>
      </c>
      <c r="G288">
        <f>IFERROR(IF(F288=0,"",COUNTIF($F$3:F288,"&gt;0")),"")</f>
        <v>16</v>
      </c>
      <c r="H288" t="str">
        <f t="shared" si="62"/>
        <v/>
      </c>
      <c r="I288" t="str">
        <f t="shared" si="69"/>
        <v/>
      </c>
      <c r="J288">
        <f>IFERROR(IF(I288=0,"",COUNTIF($I$3:I288,"&gt;0")),"")</f>
        <v>34</v>
      </c>
      <c r="K288" t="str">
        <f t="shared" si="63"/>
        <v/>
      </c>
      <c r="L288" t="str">
        <f t="shared" si="70"/>
        <v/>
      </c>
      <c r="M288" t="str">
        <f t="shared" si="71"/>
        <v/>
      </c>
      <c r="N288">
        <f>IFERROR(IF(M288=0,"",COUNTIF($M$3:M288,"&gt;0")),"")</f>
        <v>33</v>
      </c>
      <c r="O288" t="str">
        <f t="shared" si="64"/>
        <v/>
      </c>
      <c r="P288" t="str">
        <f t="shared" si="72"/>
        <v/>
      </c>
      <c r="Q288" t="str">
        <f t="shared" si="73"/>
        <v/>
      </c>
      <c r="R288">
        <f>IFERROR(IF(Q288=0,"",COUNTIF($Q$3:Q288,"&gt;0")),"")</f>
        <v>16</v>
      </c>
      <c r="S288" t="str">
        <f t="shared" si="65"/>
        <v/>
      </c>
      <c r="T288" t="str">
        <f t="shared" si="74"/>
        <v/>
      </c>
      <c r="U288">
        <f>IFERROR(IF(T288=0,"",COUNTIF($T$3:T288,"&gt;0")),"")</f>
        <v>0</v>
      </c>
      <c r="V288" t="str">
        <f t="shared" si="66"/>
        <v/>
      </c>
      <c r="W288" t="e">
        <f t="shared" si="67"/>
        <v>#VALUE!</v>
      </c>
      <c r="X288">
        <f>'OTHER PLANT ATTN.'!C:C</f>
        <v>0</v>
      </c>
      <c r="Y288" t="e">
        <f>Table1[[#This Row],[CATEGORY ]]</f>
        <v>#VALUE!</v>
      </c>
      <c r="Z288" t="e">
        <f>Table1[[#This Row],[PLANT]]</f>
        <v>#VALUE!</v>
      </c>
    </row>
    <row r="289" spans="1:26">
      <c r="A289" t="e">
        <f t="shared" si="61"/>
        <v>#VALUE!</v>
      </c>
      <c r="B289" t="e">
        <f>Table4[[#This Row],[CATEGORY]]</f>
        <v>#VALUE!</v>
      </c>
      <c r="C289" t="e">
        <f>Table4[[#This Row],[SUB-CATEGORY]]</f>
        <v>#VALUE!</v>
      </c>
      <c r="D289">
        <f>'RJ ATTENDENCE SHEET'!C:C</f>
        <v>0</v>
      </c>
      <c r="E289" t="e">
        <f t="shared" si="60"/>
        <v>#VALUE!</v>
      </c>
      <c r="F289" t="str">
        <f t="shared" si="68"/>
        <v/>
      </c>
      <c r="G289">
        <f>IFERROR(IF(F289=0,"",COUNTIF($F$3:F289,"&gt;0")),"")</f>
        <v>16</v>
      </c>
      <c r="H289" t="str">
        <f t="shared" si="62"/>
        <v/>
      </c>
      <c r="I289" t="str">
        <f t="shared" si="69"/>
        <v/>
      </c>
      <c r="J289">
        <f>IFERROR(IF(I289=0,"",COUNTIF($I$3:I289,"&gt;0")),"")</f>
        <v>34</v>
      </c>
      <c r="K289" t="str">
        <f t="shared" si="63"/>
        <v/>
      </c>
      <c r="L289" t="str">
        <f t="shared" si="70"/>
        <v/>
      </c>
      <c r="M289" t="str">
        <f t="shared" si="71"/>
        <v/>
      </c>
      <c r="N289">
        <f>IFERROR(IF(M289=0,"",COUNTIF($M$3:M289,"&gt;0")),"")</f>
        <v>33</v>
      </c>
      <c r="O289" t="str">
        <f t="shared" si="64"/>
        <v/>
      </c>
      <c r="P289" t="str">
        <f t="shared" si="72"/>
        <v/>
      </c>
      <c r="Q289" t="str">
        <f t="shared" si="73"/>
        <v/>
      </c>
      <c r="R289">
        <f>IFERROR(IF(Q289=0,"",COUNTIF($Q$3:Q289,"&gt;0")),"")</f>
        <v>16</v>
      </c>
      <c r="S289" t="str">
        <f t="shared" si="65"/>
        <v/>
      </c>
      <c r="T289" t="str">
        <f t="shared" si="74"/>
        <v/>
      </c>
      <c r="U289">
        <f>IFERROR(IF(T289=0,"",COUNTIF($T$3:T289,"&gt;0")),"")</f>
        <v>0</v>
      </c>
      <c r="V289" t="str">
        <f t="shared" si="66"/>
        <v/>
      </c>
      <c r="W289" t="e">
        <f t="shared" si="67"/>
        <v>#VALUE!</v>
      </c>
      <c r="X289">
        <f>'OTHER PLANT ATTN.'!C:C</f>
        <v>0</v>
      </c>
      <c r="Y289" t="e">
        <f>Table1[[#This Row],[CATEGORY ]]</f>
        <v>#VALUE!</v>
      </c>
      <c r="Z289" t="e">
        <f>Table1[[#This Row],[PLANT]]</f>
        <v>#VALUE!</v>
      </c>
    </row>
    <row r="290" spans="1:26">
      <c r="A290" t="e">
        <f t="shared" si="61"/>
        <v>#VALUE!</v>
      </c>
      <c r="B290" t="e">
        <f>Table4[[#This Row],[CATEGORY]]</f>
        <v>#VALUE!</v>
      </c>
      <c r="C290" t="e">
        <f>Table4[[#This Row],[SUB-CATEGORY]]</f>
        <v>#VALUE!</v>
      </c>
      <c r="D290">
        <f>'RJ ATTENDENCE SHEET'!C:C</f>
        <v>0</v>
      </c>
      <c r="E290" t="e">
        <f t="shared" si="60"/>
        <v>#VALUE!</v>
      </c>
      <c r="F290" t="str">
        <f t="shared" si="68"/>
        <v/>
      </c>
      <c r="G290">
        <f>IFERROR(IF(F290=0,"",COUNTIF($F$3:F290,"&gt;0")),"")</f>
        <v>16</v>
      </c>
      <c r="H290" t="str">
        <f t="shared" si="62"/>
        <v/>
      </c>
      <c r="I290" t="str">
        <f t="shared" si="69"/>
        <v/>
      </c>
      <c r="J290">
        <f>IFERROR(IF(I290=0,"",COUNTIF($I$3:I290,"&gt;0")),"")</f>
        <v>34</v>
      </c>
      <c r="K290" t="str">
        <f t="shared" si="63"/>
        <v/>
      </c>
      <c r="L290" t="str">
        <f t="shared" si="70"/>
        <v/>
      </c>
      <c r="M290" t="str">
        <f t="shared" si="71"/>
        <v/>
      </c>
      <c r="N290">
        <f>IFERROR(IF(M290=0,"",COUNTIF($M$3:M290,"&gt;0")),"")</f>
        <v>33</v>
      </c>
      <c r="O290" t="str">
        <f t="shared" si="64"/>
        <v/>
      </c>
      <c r="P290" t="str">
        <f t="shared" si="72"/>
        <v/>
      </c>
      <c r="Q290" t="str">
        <f t="shared" si="73"/>
        <v/>
      </c>
      <c r="R290">
        <f>IFERROR(IF(Q290=0,"",COUNTIF($Q$3:Q290,"&gt;0")),"")</f>
        <v>16</v>
      </c>
      <c r="S290" t="str">
        <f t="shared" si="65"/>
        <v/>
      </c>
      <c r="T290" t="str">
        <f t="shared" si="74"/>
        <v/>
      </c>
      <c r="U290">
        <f>IFERROR(IF(T290=0,"",COUNTIF($T$3:T290,"&gt;0")),"")</f>
        <v>0</v>
      </c>
      <c r="V290" t="str">
        <f t="shared" si="66"/>
        <v/>
      </c>
      <c r="W290" t="e">
        <f t="shared" si="67"/>
        <v>#VALUE!</v>
      </c>
      <c r="X290">
        <f>'OTHER PLANT ATTN.'!C:C</f>
        <v>0</v>
      </c>
      <c r="Y290" t="e">
        <f>Table1[[#This Row],[CATEGORY ]]</f>
        <v>#VALUE!</v>
      </c>
      <c r="Z290" t="e">
        <f>Table1[[#This Row],[PLANT]]</f>
        <v>#VALUE!</v>
      </c>
    </row>
    <row r="291" spans="1:26">
      <c r="A291" t="e">
        <f t="shared" si="61"/>
        <v>#VALUE!</v>
      </c>
      <c r="B291" t="e">
        <f>Table4[[#This Row],[CATEGORY]]</f>
        <v>#VALUE!</v>
      </c>
      <c r="C291" t="e">
        <f>Table4[[#This Row],[SUB-CATEGORY]]</f>
        <v>#VALUE!</v>
      </c>
      <c r="D291">
        <f>'RJ ATTENDENCE SHEET'!C:C</f>
        <v>0</v>
      </c>
      <c r="E291" t="e">
        <f t="shared" si="60"/>
        <v>#VALUE!</v>
      </c>
      <c r="F291" t="str">
        <f t="shared" si="68"/>
        <v/>
      </c>
      <c r="G291">
        <f>IFERROR(IF(F291=0,"",COUNTIF($F$3:F291,"&gt;0")),"")</f>
        <v>16</v>
      </c>
      <c r="H291" t="str">
        <f t="shared" si="62"/>
        <v/>
      </c>
      <c r="I291" t="str">
        <f t="shared" si="69"/>
        <v/>
      </c>
      <c r="J291">
        <f>IFERROR(IF(I291=0,"",COUNTIF($I$3:I291,"&gt;0")),"")</f>
        <v>34</v>
      </c>
      <c r="K291" t="str">
        <f t="shared" si="63"/>
        <v/>
      </c>
      <c r="L291" t="str">
        <f t="shared" si="70"/>
        <v/>
      </c>
      <c r="M291" t="str">
        <f t="shared" si="71"/>
        <v/>
      </c>
      <c r="N291">
        <f>IFERROR(IF(M291=0,"",COUNTIF($M$3:M291,"&gt;0")),"")</f>
        <v>33</v>
      </c>
      <c r="O291" t="str">
        <f t="shared" si="64"/>
        <v/>
      </c>
      <c r="P291" t="str">
        <f t="shared" si="72"/>
        <v/>
      </c>
      <c r="Q291" t="str">
        <f t="shared" si="73"/>
        <v/>
      </c>
      <c r="R291">
        <f>IFERROR(IF(Q291=0,"",COUNTIF($Q$3:Q291,"&gt;0")),"")</f>
        <v>16</v>
      </c>
      <c r="S291" t="str">
        <f t="shared" si="65"/>
        <v/>
      </c>
      <c r="T291" t="str">
        <f t="shared" si="74"/>
        <v/>
      </c>
      <c r="U291">
        <f>IFERROR(IF(T291=0,"",COUNTIF($T$3:T291,"&gt;0")),"")</f>
        <v>0</v>
      </c>
      <c r="V291" t="str">
        <f t="shared" si="66"/>
        <v/>
      </c>
      <c r="W291" t="e">
        <f t="shared" si="67"/>
        <v>#VALUE!</v>
      </c>
      <c r="X291">
        <f>'OTHER PLANT ATTN.'!C:C</f>
        <v>0</v>
      </c>
      <c r="Y291" t="e">
        <f>Table1[[#This Row],[CATEGORY ]]</f>
        <v>#VALUE!</v>
      </c>
      <c r="Z291" t="e">
        <f>Table1[[#This Row],[PLANT]]</f>
        <v>#VALUE!</v>
      </c>
    </row>
    <row r="292" spans="1:26">
      <c r="A292" t="e">
        <f t="shared" si="61"/>
        <v>#VALUE!</v>
      </c>
      <c r="B292" t="e">
        <f>Table4[[#This Row],[CATEGORY]]</f>
        <v>#VALUE!</v>
      </c>
      <c r="C292" t="e">
        <f>Table4[[#This Row],[SUB-CATEGORY]]</f>
        <v>#VALUE!</v>
      </c>
      <c r="D292">
        <f>'RJ ATTENDENCE SHEET'!C:C</f>
        <v>0</v>
      </c>
      <c r="E292" t="e">
        <f t="shared" si="60"/>
        <v>#VALUE!</v>
      </c>
      <c r="F292" t="str">
        <f t="shared" si="68"/>
        <v/>
      </c>
      <c r="G292">
        <f>IFERROR(IF(F292=0,"",COUNTIF($F$3:F292,"&gt;0")),"")</f>
        <v>16</v>
      </c>
      <c r="H292" t="str">
        <f t="shared" si="62"/>
        <v/>
      </c>
      <c r="I292" t="str">
        <f t="shared" si="69"/>
        <v/>
      </c>
      <c r="J292">
        <f>IFERROR(IF(I292=0,"",COUNTIF($I$3:I292,"&gt;0")),"")</f>
        <v>34</v>
      </c>
      <c r="K292" t="str">
        <f t="shared" si="63"/>
        <v/>
      </c>
      <c r="L292" t="str">
        <f t="shared" si="70"/>
        <v/>
      </c>
      <c r="M292" t="str">
        <f t="shared" si="71"/>
        <v/>
      </c>
      <c r="N292">
        <f>IFERROR(IF(M292=0,"",COUNTIF($M$3:M292,"&gt;0")),"")</f>
        <v>33</v>
      </c>
      <c r="O292" t="str">
        <f t="shared" si="64"/>
        <v/>
      </c>
      <c r="P292" t="str">
        <f t="shared" si="72"/>
        <v/>
      </c>
      <c r="Q292" t="str">
        <f t="shared" si="73"/>
        <v/>
      </c>
      <c r="R292">
        <f>IFERROR(IF(Q292=0,"",COUNTIF($Q$3:Q292,"&gt;0")),"")</f>
        <v>16</v>
      </c>
      <c r="S292" t="str">
        <f t="shared" si="65"/>
        <v/>
      </c>
      <c r="T292" t="str">
        <f t="shared" si="74"/>
        <v/>
      </c>
      <c r="U292">
        <f>IFERROR(IF(T292=0,"",COUNTIF($T$3:T292,"&gt;0")),"")</f>
        <v>0</v>
      </c>
      <c r="V292" t="str">
        <f t="shared" si="66"/>
        <v/>
      </c>
      <c r="W292" t="e">
        <f t="shared" si="67"/>
        <v>#VALUE!</v>
      </c>
      <c r="X292">
        <f>'OTHER PLANT ATTN.'!C:C</f>
        <v>0</v>
      </c>
      <c r="Y292" t="e">
        <f>Table1[[#This Row],[CATEGORY ]]</f>
        <v>#VALUE!</v>
      </c>
      <c r="Z292" t="e">
        <f>Table1[[#This Row],[PLANT]]</f>
        <v>#VALUE!</v>
      </c>
    </row>
    <row r="293" spans="1:26">
      <c r="A293" t="e">
        <f t="shared" si="61"/>
        <v>#VALUE!</v>
      </c>
      <c r="B293" t="e">
        <f>Table4[[#This Row],[CATEGORY]]</f>
        <v>#VALUE!</v>
      </c>
      <c r="C293" t="e">
        <f>Table4[[#This Row],[SUB-CATEGORY]]</f>
        <v>#VALUE!</v>
      </c>
      <c r="D293">
        <f>'RJ ATTENDENCE SHEET'!C:C</f>
        <v>0</v>
      </c>
      <c r="E293" t="e">
        <f t="shared" si="60"/>
        <v>#VALUE!</v>
      </c>
      <c r="F293" t="str">
        <f t="shared" si="68"/>
        <v/>
      </c>
      <c r="G293">
        <f>IFERROR(IF(F293=0,"",COUNTIF($F$3:F293,"&gt;0")),"")</f>
        <v>16</v>
      </c>
      <c r="H293" t="str">
        <f t="shared" si="62"/>
        <v/>
      </c>
      <c r="I293" t="str">
        <f t="shared" si="69"/>
        <v/>
      </c>
      <c r="J293">
        <f>IFERROR(IF(I293=0,"",COUNTIF($I$3:I293,"&gt;0")),"")</f>
        <v>34</v>
      </c>
      <c r="K293" t="str">
        <f t="shared" si="63"/>
        <v/>
      </c>
      <c r="L293" t="str">
        <f t="shared" si="70"/>
        <v/>
      </c>
      <c r="M293" t="str">
        <f t="shared" si="71"/>
        <v/>
      </c>
      <c r="N293">
        <f>IFERROR(IF(M293=0,"",COUNTIF($M$3:M293,"&gt;0")),"")</f>
        <v>33</v>
      </c>
      <c r="O293" t="str">
        <f t="shared" si="64"/>
        <v/>
      </c>
      <c r="P293" t="str">
        <f t="shared" si="72"/>
        <v/>
      </c>
      <c r="Q293" t="str">
        <f t="shared" si="73"/>
        <v/>
      </c>
      <c r="R293">
        <f>IFERROR(IF(Q293=0,"",COUNTIF($Q$3:Q293,"&gt;0")),"")</f>
        <v>16</v>
      </c>
      <c r="S293" t="str">
        <f t="shared" si="65"/>
        <v/>
      </c>
      <c r="T293" t="str">
        <f t="shared" si="74"/>
        <v/>
      </c>
      <c r="U293">
        <f>IFERROR(IF(T293=0,"",COUNTIF($T$3:T293,"&gt;0")),"")</f>
        <v>0</v>
      </c>
      <c r="V293" t="str">
        <f t="shared" si="66"/>
        <v/>
      </c>
      <c r="W293" t="e">
        <f t="shared" si="67"/>
        <v>#VALUE!</v>
      </c>
      <c r="X293">
        <f>'OTHER PLANT ATTN.'!C:C</f>
        <v>0</v>
      </c>
      <c r="Y293" t="e">
        <f>Table1[[#This Row],[CATEGORY ]]</f>
        <v>#VALUE!</v>
      </c>
      <c r="Z293" t="e">
        <f>Table1[[#This Row],[PLANT]]</f>
        <v>#VALUE!</v>
      </c>
    </row>
    <row r="294" spans="1:26">
      <c r="A294" t="e">
        <f t="shared" si="61"/>
        <v>#VALUE!</v>
      </c>
      <c r="B294" t="e">
        <f>Table4[[#This Row],[CATEGORY]]</f>
        <v>#VALUE!</v>
      </c>
      <c r="C294" t="e">
        <f>Table4[[#This Row],[SUB-CATEGORY]]</f>
        <v>#VALUE!</v>
      </c>
      <c r="D294">
        <f>'RJ ATTENDENCE SHEET'!C:C</f>
        <v>0</v>
      </c>
      <c r="E294" t="e">
        <f t="shared" si="60"/>
        <v>#VALUE!</v>
      </c>
      <c r="F294" t="str">
        <f t="shared" si="68"/>
        <v/>
      </c>
      <c r="G294">
        <f>IFERROR(IF(F294=0,"",COUNTIF($F$3:F294,"&gt;0")),"")</f>
        <v>16</v>
      </c>
      <c r="H294" t="str">
        <f t="shared" si="62"/>
        <v/>
      </c>
      <c r="I294" t="str">
        <f t="shared" si="69"/>
        <v/>
      </c>
      <c r="J294">
        <f>IFERROR(IF(I294=0,"",COUNTIF($I$3:I294,"&gt;0")),"")</f>
        <v>34</v>
      </c>
      <c r="K294" t="str">
        <f t="shared" si="63"/>
        <v/>
      </c>
      <c r="L294" t="str">
        <f t="shared" si="70"/>
        <v/>
      </c>
      <c r="M294" t="str">
        <f t="shared" si="71"/>
        <v/>
      </c>
      <c r="N294">
        <f>IFERROR(IF(M294=0,"",COUNTIF($M$3:M294,"&gt;0")),"")</f>
        <v>33</v>
      </c>
      <c r="O294" t="str">
        <f t="shared" si="64"/>
        <v/>
      </c>
      <c r="P294" t="str">
        <f t="shared" si="72"/>
        <v/>
      </c>
      <c r="Q294" t="str">
        <f t="shared" si="73"/>
        <v/>
      </c>
      <c r="R294">
        <f>IFERROR(IF(Q294=0,"",COUNTIF($Q$3:Q294,"&gt;0")),"")</f>
        <v>16</v>
      </c>
      <c r="S294" t="str">
        <f t="shared" si="65"/>
        <v/>
      </c>
      <c r="T294" t="str">
        <f t="shared" si="74"/>
        <v/>
      </c>
      <c r="U294">
        <f>IFERROR(IF(T294=0,"",COUNTIF($T$3:T294,"&gt;0")),"")</f>
        <v>0</v>
      </c>
      <c r="V294" t="str">
        <f t="shared" si="66"/>
        <v/>
      </c>
      <c r="W294" t="e">
        <f t="shared" si="67"/>
        <v>#VALUE!</v>
      </c>
      <c r="X294">
        <f>'OTHER PLANT ATTN.'!C:C</f>
        <v>0</v>
      </c>
      <c r="Y294" t="e">
        <f>Table1[[#This Row],[CATEGORY ]]</f>
        <v>#VALUE!</v>
      </c>
      <c r="Z294" t="e">
        <f>Table1[[#This Row],[PLANT]]</f>
        <v>#VALUE!</v>
      </c>
    </row>
    <row r="295" spans="1:26">
      <c r="A295" t="e">
        <f t="shared" si="61"/>
        <v>#VALUE!</v>
      </c>
      <c r="B295" t="e">
        <f>Table4[[#This Row],[CATEGORY]]</f>
        <v>#VALUE!</v>
      </c>
      <c r="C295" t="e">
        <f>Table4[[#This Row],[SUB-CATEGORY]]</f>
        <v>#VALUE!</v>
      </c>
      <c r="D295">
        <f>'RJ ATTENDENCE SHEET'!C:C</f>
        <v>0</v>
      </c>
      <c r="E295" t="e">
        <f t="shared" si="60"/>
        <v>#VALUE!</v>
      </c>
      <c r="F295" t="str">
        <f t="shared" si="68"/>
        <v/>
      </c>
      <c r="G295">
        <f>IFERROR(IF(F295=0,"",COUNTIF($F$3:F295,"&gt;0")),"")</f>
        <v>16</v>
      </c>
      <c r="H295" t="str">
        <f t="shared" si="62"/>
        <v/>
      </c>
      <c r="I295" t="str">
        <f t="shared" si="69"/>
        <v/>
      </c>
      <c r="J295">
        <f>IFERROR(IF(I295=0,"",COUNTIF($I$3:I295,"&gt;0")),"")</f>
        <v>34</v>
      </c>
      <c r="K295" t="str">
        <f t="shared" si="63"/>
        <v/>
      </c>
      <c r="L295" t="str">
        <f t="shared" si="70"/>
        <v/>
      </c>
      <c r="M295" t="str">
        <f t="shared" si="71"/>
        <v/>
      </c>
      <c r="N295">
        <f>IFERROR(IF(M295=0,"",COUNTIF($M$3:M295,"&gt;0")),"")</f>
        <v>33</v>
      </c>
      <c r="O295" t="str">
        <f t="shared" si="64"/>
        <v/>
      </c>
      <c r="P295" t="str">
        <f t="shared" si="72"/>
        <v/>
      </c>
      <c r="Q295" t="str">
        <f t="shared" si="73"/>
        <v/>
      </c>
      <c r="R295">
        <f>IFERROR(IF(Q295=0,"",COUNTIF($Q$3:Q295,"&gt;0")),"")</f>
        <v>16</v>
      </c>
      <c r="S295" t="str">
        <f t="shared" si="65"/>
        <v/>
      </c>
      <c r="T295" t="str">
        <f t="shared" si="74"/>
        <v/>
      </c>
      <c r="U295">
        <f>IFERROR(IF(T295=0,"",COUNTIF($T$3:T295,"&gt;0")),"")</f>
        <v>0</v>
      </c>
      <c r="V295" t="str">
        <f t="shared" si="66"/>
        <v/>
      </c>
      <c r="W295" t="e">
        <f t="shared" si="67"/>
        <v>#VALUE!</v>
      </c>
      <c r="X295">
        <f>'OTHER PLANT ATTN.'!C:C</f>
        <v>0</v>
      </c>
      <c r="Y295" t="e">
        <f>Table1[[#This Row],[CATEGORY ]]</f>
        <v>#VALUE!</v>
      </c>
      <c r="Z295" t="e">
        <f>Table1[[#This Row],[PLANT]]</f>
        <v>#VALUE!</v>
      </c>
    </row>
    <row r="296" spans="1:26">
      <c r="A296" t="e">
        <f t="shared" si="61"/>
        <v>#VALUE!</v>
      </c>
      <c r="B296" t="e">
        <f>Table4[[#This Row],[CATEGORY]]</f>
        <v>#VALUE!</v>
      </c>
      <c r="C296" t="e">
        <f>Table4[[#This Row],[SUB-CATEGORY]]</f>
        <v>#VALUE!</v>
      </c>
      <c r="D296">
        <f>'RJ ATTENDENCE SHEET'!C:C</f>
        <v>0</v>
      </c>
      <c r="E296" t="e">
        <f t="shared" si="60"/>
        <v>#VALUE!</v>
      </c>
      <c r="F296" t="str">
        <f t="shared" si="68"/>
        <v/>
      </c>
      <c r="G296">
        <f>IFERROR(IF(F296=0,"",COUNTIF($F$3:F296,"&gt;0")),"")</f>
        <v>16</v>
      </c>
      <c r="H296" t="str">
        <f t="shared" si="62"/>
        <v/>
      </c>
      <c r="I296" t="str">
        <f t="shared" si="69"/>
        <v/>
      </c>
      <c r="J296">
        <f>IFERROR(IF(I296=0,"",COUNTIF($I$3:I296,"&gt;0")),"")</f>
        <v>34</v>
      </c>
      <c r="K296" t="str">
        <f t="shared" si="63"/>
        <v/>
      </c>
      <c r="L296" t="str">
        <f t="shared" si="70"/>
        <v/>
      </c>
      <c r="M296" t="str">
        <f t="shared" si="71"/>
        <v/>
      </c>
      <c r="N296">
        <f>IFERROR(IF(M296=0,"",COUNTIF($M$3:M296,"&gt;0")),"")</f>
        <v>33</v>
      </c>
      <c r="O296" t="str">
        <f t="shared" si="64"/>
        <v/>
      </c>
      <c r="P296" t="str">
        <f t="shared" si="72"/>
        <v/>
      </c>
      <c r="Q296" t="str">
        <f t="shared" si="73"/>
        <v/>
      </c>
      <c r="R296">
        <f>IFERROR(IF(Q296=0,"",COUNTIF($Q$3:Q296,"&gt;0")),"")</f>
        <v>16</v>
      </c>
      <c r="S296" t="str">
        <f t="shared" si="65"/>
        <v/>
      </c>
      <c r="T296" t="str">
        <f t="shared" si="74"/>
        <v/>
      </c>
      <c r="U296">
        <f>IFERROR(IF(T296=0,"",COUNTIF($T$3:T296,"&gt;0")),"")</f>
        <v>0</v>
      </c>
      <c r="V296" t="str">
        <f t="shared" si="66"/>
        <v/>
      </c>
      <c r="W296" t="e">
        <f t="shared" si="67"/>
        <v>#VALUE!</v>
      </c>
      <c r="X296">
        <f>'OTHER PLANT ATTN.'!C:C</f>
        <v>0</v>
      </c>
      <c r="Y296" t="e">
        <f>Table1[[#This Row],[CATEGORY ]]</f>
        <v>#VALUE!</v>
      </c>
      <c r="Z296" t="e">
        <f>Table1[[#This Row],[PLANT]]</f>
        <v>#VALUE!</v>
      </c>
    </row>
    <row r="297" spans="1:26">
      <c r="A297" t="e">
        <f t="shared" si="61"/>
        <v>#VALUE!</v>
      </c>
      <c r="B297" t="e">
        <f>Table4[[#This Row],[CATEGORY]]</f>
        <v>#VALUE!</v>
      </c>
      <c r="C297" t="e">
        <f>Table4[[#This Row],[SUB-CATEGORY]]</f>
        <v>#VALUE!</v>
      </c>
      <c r="D297">
        <f>'RJ ATTENDENCE SHEET'!C:C</f>
        <v>0</v>
      </c>
      <c r="E297" t="e">
        <f t="shared" si="60"/>
        <v>#VALUE!</v>
      </c>
      <c r="F297" t="str">
        <f t="shared" si="68"/>
        <v/>
      </c>
      <c r="G297">
        <f>IFERROR(IF(F297=0,"",COUNTIF($F$3:F297,"&gt;0")),"")</f>
        <v>16</v>
      </c>
      <c r="H297" t="str">
        <f t="shared" si="62"/>
        <v/>
      </c>
      <c r="I297" t="str">
        <f t="shared" si="69"/>
        <v/>
      </c>
      <c r="J297">
        <f>IFERROR(IF(I297=0,"",COUNTIF($I$3:I297,"&gt;0")),"")</f>
        <v>34</v>
      </c>
      <c r="K297" t="str">
        <f t="shared" si="63"/>
        <v/>
      </c>
      <c r="L297" t="str">
        <f t="shared" si="70"/>
        <v/>
      </c>
      <c r="M297" t="str">
        <f t="shared" si="71"/>
        <v/>
      </c>
      <c r="N297">
        <f>IFERROR(IF(M297=0,"",COUNTIF($M$3:M297,"&gt;0")),"")</f>
        <v>33</v>
      </c>
      <c r="O297" t="str">
        <f t="shared" si="64"/>
        <v/>
      </c>
      <c r="P297" t="str">
        <f t="shared" si="72"/>
        <v/>
      </c>
      <c r="Q297" t="str">
        <f t="shared" si="73"/>
        <v/>
      </c>
      <c r="R297">
        <f>IFERROR(IF(Q297=0,"",COUNTIF($Q$3:Q297,"&gt;0")),"")</f>
        <v>16</v>
      </c>
      <c r="S297" t="str">
        <f t="shared" si="65"/>
        <v/>
      </c>
      <c r="T297" t="str">
        <f t="shared" si="74"/>
        <v/>
      </c>
      <c r="U297">
        <f>IFERROR(IF(T297=0,"",COUNTIF($T$3:T297,"&gt;0")),"")</f>
        <v>0</v>
      </c>
      <c r="V297" t="str">
        <f t="shared" si="66"/>
        <v/>
      </c>
      <c r="W297" t="e">
        <f t="shared" si="67"/>
        <v>#VALUE!</v>
      </c>
      <c r="X297">
        <f>'OTHER PLANT ATTN.'!C:C</f>
        <v>0</v>
      </c>
      <c r="Y297" t="e">
        <f>Table1[[#This Row],[CATEGORY ]]</f>
        <v>#VALUE!</v>
      </c>
      <c r="Z297" t="e">
        <f>Table1[[#This Row],[PLANT]]</f>
        <v>#VALUE!</v>
      </c>
    </row>
    <row r="298" spans="1:26">
      <c r="A298" t="e">
        <f t="shared" si="61"/>
        <v>#VALUE!</v>
      </c>
      <c r="B298" t="e">
        <f>Table4[[#This Row],[CATEGORY]]</f>
        <v>#VALUE!</v>
      </c>
      <c r="C298" t="e">
        <f>Table4[[#This Row],[SUB-CATEGORY]]</f>
        <v>#VALUE!</v>
      </c>
      <c r="D298">
        <f>'RJ ATTENDENCE SHEET'!C:C</f>
        <v>0</v>
      </c>
      <c r="E298" t="e">
        <f t="shared" si="60"/>
        <v>#VALUE!</v>
      </c>
      <c r="F298" t="str">
        <f t="shared" si="68"/>
        <v/>
      </c>
      <c r="G298">
        <f>IFERROR(IF(F298=0,"",COUNTIF($F$3:F298,"&gt;0")),"")</f>
        <v>16</v>
      </c>
      <c r="H298" t="str">
        <f t="shared" si="62"/>
        <v/>
      </c>
      <c r="I298" t="str">
        <f t="shared" si="69"/>
        <v/>
      </c>
      <c r="J298">
        <f>IFERROR(IF(I298=0,"",COUNTIF($I$3:I298,"&gt;0")),"")</f>
        <v>34</v>
      </c>
      <c r="K298" t="str">
        <f t="shared" si="63"/>
        <v/>
      </c>
      <c r="L298" t="str">
        <f t="shared" si="70"/>
        <v/>
      </c>
      <c r="M298" t="str">
        <f t="shared" si="71"/>
        <v/>
      </c>
      <c r="N298">
        <f>IFERROR(IF(M298=0,"",COUNTIF($M$3:M298,"&gt;0")),"")</f>
        <v>33</v>
      </c>
      <c r="O298" t="str">
        <f t="shared" si="64"/>
        <v/>
      </c>
      <c r="P298" t="str">
        <f t="shared" si="72"/>
        <v/>
      </c>
      <c r="Q298" t="str">
        <f t="shared" si="73"/>
        <v/>
      </c>
      <c r="R298">
        <f>IFERROR(IF(Q298=0,"",COUNTIF($Q$3:Q298,"&gt;0")),"")</f>
        <v>16</v>
      </c>
      <c r="S298" t="str">
        <f t="shared" si="65"/>
        <v/>
      </c>
      <c r="T298" t="str">
        <f t="shared" si="74"/>
        <v/>
      </c>
      <c r="U298">
        <f>IFERROR(IF(T298=0,"",COUNTIF($T$3:T298,"&gt;0")),"")</f>
        <v>0</v>
      </c>
      <c r="V298" t="str">
        <f t="shared" si="66"/>
        <v/>
      </c>
      <c r="W298" t="e">
        <f t="shared" si="67"/>
        <v>#VALUE!</v>
      </c>
      <c r="X298">
        <f>'OTHER PLANT ATTN.'!C:C</f>
        <v>0</v>
      </c>
      <c r="Y298" t="e">
        <f>Table1[[#This Row],[CATEGORY ]]</f>
        <v>#VALUE!</v>
      </c>
      <c r="Z298" t="e">
        <f>Table1[[#This Row],[PLANT]]</f>
        <v>#VALUE!</v>
      </c>
    </row>
    <row r="299" spans="1:26">
      <c r="A299" t="e">
        <f t="shared" si="61"/>
        <v>#VALUE!</v>
      </c>
      <c r="B299" t="e">
        <f>Table4[[#This Row],[CATEGORY]]</f>
        <v>#VALUE!</v>
      </c>
      <c r="C299" t="e">
        <f>Table4[[#This Row],[SUB-CATEGORY]]</f>
        <v>#VALUE!</v>
      </c>
      <c r="D299">
        <f>'RJ ATTENDENCE SHEET'!C:C</f>
        <v>0</v>
      </c>
      <c r="E299" t="e">
        <f t="shared" si="60"/>
        <v>#VALUE!</v>
      </c>
      <c r="F299" t="str">
        <f t="shared" si="68"/>
        <v/>
      </c>
      <c r="G299">
        <f>IFERROR(IF(F299=0,"",COUNTIF($F$3:F299,"&gt;0")),"")</f>
        <v>16</v>
      </c>
      <c r="H299" t="str">
        <f t="shared" si="62"/>
        <v/>
      </c>
      <c r="I299" t="str">
        <f t="shared" si="69"/>
        <v/>
      </c>
      <c r="J299">
        <f>IFERROR(IF(I299=0,"",COUNTIF($I$3:I299,"&gt;0")),"")</f>
        <v>34</v>
      </c>
      <c r="K299" t="str">
        <f t="shared" si="63"/>
        <v/>
      </c>
      <c r="L299" t="str">
        <f t="shared" si="70"/>
        <v/>
      </c>
      <c r="M299" t="str">
        <f t="shared" si="71"/>
        <v/>
      </c>
      <c r="N299">
        <f>IFERROR(IF(M299=0,"",COUNTIF($M$3:M299,"&gt;0")),"")</f>
        <v>33</v>
      </c>
      <c r="O299" t="str">
        <f t="shared" si="64"/>
        <v/>
      </c>
      <c r="P299" t="str">
        <f t="shared" si="72"/>
        <v/>
      </c>
      <c r="Q299" t="str">
        <f t="shared" si="73"/>
        <v/>
      </c>
      <c r="R299">
        <f>IFERROR(IF(Q299=0,"",COUNTIF($Q$3:Q299,"&gt;0")),"")</f>
        <v>16</v>
      </c>
      <c r="S299" t="str">
        <f t="shared" si="65"/>
        <v/>
      </c>
      <c r="T299" t="str">
        <f t="shared" si="74"/>
        <v/>
      </c>
      <c r="U299">
        <f>IFERROR(IF(T299=0,"",COUNTIF($T$3:T299,"&gt;0")),"")</f>
        <v>0</v>
      </c>
      <c r="V299" t="str">
        <f t="shared" si="66"/>
        <v/>
      </c>
      <c r="W299" t="e">
        <f t="shared" si="67"/>
        <v>#VALUE!</v>
      </c>
      <c r="X299">
        <f>'OTHER PLANT ATTN.'!C:C</f>
        <v>0</v>
      </c>
      <c r="Y299" t="e">
        <f>Table1[[#This Row],[CATEGORY ]]</f>
        <v>#VALUE!</v>
      </c>
      <c r="Z299" t="e">
        <f>Table1[[#This Row],[PLANT]]</f>
        <v>#VALUE!</v>
      </c>
    </row>
    <row r="300" spans="1:26">
      <c r="A300" t="e">
        <f t="shared" si="61"/>
        <v>#VALUE!</v>
      </c>
      <c r="B300" t="e">
        <f>Table4[[#This Row],[CATEGORY]]</f>
        <v>#VALUE!</v>
      </c>
      <c r="C300" t="e">
        <f>Table4[[#This Row],[SUB-CATEGORY]]</f>
        <v>#VALUE!</v>
      </c>
      <c r="D300">
        <f>'RJ ATTENDENCE SHEET'!C:C</f>
        <v>0</v>
      </c>
      <c r="E300" t="e">
        <f t="shared" si="60"/>
        <v>#VALUE!</v>
      </c>
      <c r="F300" t="str">
        <f t="shared" si="68"/>
        <v/>
      </c>
      <c r="G300">
        <f>IFERROR(IF(F300=0,"",COUNTIF($F$3:F300,"&gt;0")),"")</f>
        <v>16</v>
      </c>
      <c r="H300" t="str">
        <f t="shared" si="62"/>
        <v/>
      </c>
      <c r="I300" t="str">
        <f t="shared" si="69"/>
        <v/>
      </c>
      <c r="J300">
        <f>IFERROR(IF(I300=0,"",COUNTIF($I$3:I300,"&gt;0")),"")</f>
        <v>34</v>
      </c>
      <c r="K300" t="str">
        <f t="shared" si="63"/>
        <v/>
      </c>
      <c r="L300" t="str">
        <f t="shared" si="70"/>
        <v/>
      </c>
      <c r="M300" t="str">
        <f t="shared" si="71"/>
        <v/>
      </c>
      <c r="N300">
        <f>IFERROR(IF(M300=0,"",COUNTIF($M$3:M300,"&gt;0")),"")</f>
        <v>33</v>
      </c>
      <c r="O300" t="str">
        <f t="shared" si="64"/>
        <v/>
      </c>
      <c r="P300" t="str">
        <f t="shared" si="72"/>
        <v/>
      </c>
      <c r="Q300" t="str">
        <f t="shared" si="73"/>
        <v/>
      </c>
      <c r="R300">
        <f>IFERROR(IF(Q300=0,"",COUNTIF($Q$3:Q300,"&gt;0")),"")</f>
        <v>16</v>
      </c>
      <c r="S300" t="str">
        <f t="shared" si="65"/>
        <v/>
      </c>
      <c r="T300" t="str">
        <f t="shared" si="74"/>
        <v/>
      </c>
      <c r="U300">
        <f>IFERROR(IF(T300=0,"",COUNTIF($T$3:T300,"&gt;0")),"")</f>
        <v>0</v>
      </c>
      <c r="V300" t="str">
        <f t="shared" si="66"/>
        <v/>
      </c>
      <c r="W300" t="e">
        <f t="shared" si="67"/>
        <v>#VALUE!</v>
      </c>
      <c r="X300">
        <f>'OTHER PLANT ATTN.'!C:C</f>
        <v>0</v>
      </c>
      <c r="Y300" t="e">
        <f>Table1[[#This Row],[CATEGORY ]]</f>
        <v>#VALUE!</v>
      </c>
      <c r="Z300" t="e">
        <f>Table1[[#This Row],[PLANT]]</f>
        <v>#VALUE!</v>
      </c>
    </row>
    <row r="301" spans="1:26">
      <c r="A301" t="e">
        <f t="shared" si="61"/>
        <v>#VALUE!</v>
      </c>
      <c r="B301" t="e">
        <f>Table4[[#This Row],[CATEGORY]]</f>
        <v>#VALUE!</v>
      </c>
      <c r="C301" t="e">
        <f>Table4[[#This Row],[SUB-CATEGORY]]</f>
        <v>#VALUE!</v>
      </c>
      <c r="D301">
        <f>'RJ ATTENDENCE SHEET'!C:C</f>
        <v>0</v>
      </c>
      <c r="E301" t="e">
        <f t="shared" si="60"/>
        <v>#VALUE!</v>
      </c>
      <c r="F301" t="str">
        <f t="shared" si="68"/>
        <v/>
      </c>
      <c r="G301">
        <f>IFERROR(IF(F301=0,"",COUNTIF($F$3:F301,"&gt;0")),"")</f>
        <v>16</v>
      </c>
      <c r="H301" t="str">
        <f t="shared" si="62"/>
        <v/>
      </c>
      <c r="I301" t="str">
        <f t="shared" si="69"/>
        <v/>
      </c>
      <c r="J301">
        <f>IFERROR(IF(I301=0,"",COUNTIF($I$3:I301,"&gt;0")),"")</f>
        <v>34</v>
      </c>
      <c r="K301" t="str">
        <f t="shared" si="63"/>
        <v/>
      </c>
      <c r="L301" t="str">
        <f t="shared" si="70"/>
        <v/>
      </c>
      <c r="M301" t="str">
        <f t="shared" si="71"/>
        <v/>
      </c>
      <c r="N301">
        <f>IFERROR(IF(M301=0,"",COUNTIF($M$3:M301,"&gt;0")),"")</f>
        <v>33</v>
      </c>
      <c r="O301" t="str">
        <f t="shared" si="64"/>
        <v/>
      </c>
      <c r="P301" t="str">
        <f t="shared" si="72"/>
        <v/>
      </c>
      <c r="Q301" t="str">
        <f t="shared" si="73"/>
        <v/>
      </c>
      <c r="R301">
        <f>IFERROR(IF(Q301=0,"",COUNTIF($Q$3:Q301,"&gt;0")),"")</f>
        <v>16</v>
      </c>
      <c r="S301" t="str">
        <f t="shared" si="65"/>
        <v/>
      </c>
      <c r="T301" t="str">
        <f t="shared" si="74"/>
        <v/>
      </c>
      <c r="U301">
        <f>IFERROR(IF(T301=0,"",COUNTIF($T$3:T301,"&gt;0")),"")</f>
        <v>0</v>
      </c>
      <c r="V301" t="str">
        <f t="shared" si="66"/>
        <v/>
      </c>
      <c r="W301" t="e">
        <f t="shared" si="67"/>
        <v>#VALUE!</v>
      </c>
      <c r="X301">
        <f>'OTHER PLANT ATTN.'!C:C</f>
        <v>0</v>
      </c>
      <c r="Y301" t="e">
        <f>Table1[[#This Row],[CATEGORY ]]</f>
        <v>#VALUE!</v>
      </c>
      <c r="Z301" t="e">
        <f>Table1[[#This Row],[PLANT]]</f>
        <v>#VALUE!</v>
      </c>
    </row>
    <row r="302" spans="1:26">
      <c r="A302" t="e">
        <f t="shared" si="61"/>
        <v>#VALUE!</v>
      </c>
      <c r="B302" t="e">
        <f>Table4[[#This Row],[CATEGORY]]</f>
        <v>#VALUE!</v>
      </c>
      <c r="C302" t="e">
        <f>Table4[[#This Row],[SUB-CATEGORY]]</f>
        <v>#VALUE!</v>
      </c>
      <c r="D302">
        <f>'RJ ATTENDENCE SHEET'!C:C</f>
        <v>0</v>
      </c>
      <c r="E302" t="e">
        <f t="shared" si="60"/>
        <v>#VALUE!</v>
      </c>
      <c r="F302" t="str">
        <f t="shared" si="68"/>
        <v/>
      </c>
      <c r="G302">
        <f>IFERROR(IF(F302=0,"",COUNTIF($F$3:F302,"&gt;0")),"")</f>
        <v>16</v>
      </c>
      <c r="H302" t="str">
        <f t="shared" si="62"/>
        <v/>
      </c>
      <c r="I302" t="str">
        <f t="shared" si="69"/>
        <v/>
      </c>
      <c r="J302">
        <f>IFERROR(IF(I302=0,"",COUNTIF($I$3:I302,"&gt;0")),"")</f>
        <v>34</v>
      </c>
      <c r="K302" t="str">
        <f t="shared" si="63"/>
        <v/>
      </c>
      <c r="L302" t="str">
        <f t="shared" si="70"/>
        <v/>
      </c>
      <c r="M302" t="str">
        <f t="shared" si="71"/>
        <v/>
      </c>
      <c r="N302">
        <f>IFERROR(IF(M302=0,"",COUNTIF($M$3:M302,"&gt;0")),"")</f>
        <v>33</v>
      </c>
      <c r="O302" t="str">
        <f t="shared" si="64"/>
        <v/>
      </c>
      <c r="P302" t="str">
        <f t="shared" si="72"/>
        <v/>
      </c>
      <c r="Q302" t="str">
        <f t="shared" si="73"/>
        <v/>
      </c>
      <c r="R302">
        <f>IFERROR(IF(Q302=0,"",COUNTIF($Q$3:Q302,"&gt;0")),"")</f>
        <v>16</v>
      </c>
      <c r="S302" t="str">
        <f t="shared" si="65"/>
        <v/>
      </c>
      <c r="T302" t="str">
        <f t="shared" si="74"/>
        <v/>
      </c>
      <c r="U302">
        <f>IFERROR(IF(T302=0,"",COUNTIF($T$3:T302,"&gt;0")),"")</f>
        <v>0</v>
      </c>
      <c r="V302" t="str">
        <f t="shared" si="66"/>
        <v/>
      </c>
      <c r="W302" t="e">
        <f t="shared" si="67"/>
        <v>#VALUE!</v>
      </c>
      <c r="X302">
        <f>'OTHER PLANT ATTN.'!C:C</f>
        <v>0</v>
      </c>
      <c r="Y302" t="e">
        <f>Table1[[#This Row],[CATEGORY ]]</f>
        <v>#VALUE!</v>
      </c>
      <c r="Z302" t="e">
        <f>Table1[[#This Row],[PLANT]]</f>
        <v>#VALUE!</v>
      </c>
    </row>
    <row r="303" spans="1:26">
      <c r="A303" t="e">
        <f t="shared" si="61"/>
        <v>#VALUE!</v>
      </c>
      <c r="B303" t="e">
        <f>Table4[[#This Row],[CATEGORY]]</f>
        <v>#VALUE!</v>
      </c>
      <c r="C303" t="e">
        <f>Table4[[#This Row],[SUB-CATEGORY]]</f>
        <v>#VALUE!</v>
      </c>
      <c r="D303">
        <f>'RJ ATTENDENCE SHEET'!C:C</f>
        <v>0</v>
      </c>
      <c r="E303" t="e">
        <f t="shared" si="60"/>
        <v>#VALUE!</v>
      </c>
      <c r="F303" t="str">
        <f t="shared" si="68"/>
        <v/>
      </c>
      <c r="G303">
        <f>IFERROR(IF(F303=0,"",COUNTIF($F$3:F303,"&gt;0")),"")</f>
        <v>16</v>
      </c>
      <c r="H303" t="str">
        <f t="shared" si="62"/>
        <v/>
      </c>
      <c r="I303" t="str">
        <f t="shared" si="69"/>
        <v/>
      </c>
      <c r="J303">
        <f>IFERROR(IF(I303=0,"",COUNTIF($I$3:I303,"&gt;0")),"")</f>
        <v>34</v>
      </c>
      <c r="K303" t="str">
        <f t="shared" si="63"/>
        <v/>
      </c>
      <c r="L303" t="str">
        <f t="shared" si="70"/>
        <v/>
      </c>
      <c r="M303" t="str">
        <f t="shared" si="71"/>
        <v/>
      </c>
      <c r="N303">
        <f>IFERROR(IF(M303=0,"",COUNTIF($M$3:M303,"&gt;0")),"")</f>
        <v>33</v>
      </c>
      <c r="O303" t="str">
        <f t="shared" si="64"/>
        <v/>
      </c>
      <c r="P303" t="str">
        <f t="shared" si="72"/>
        <v/>
      </c>
      <c r="Q303" t="str">
        <f t="shared" si="73"/>
        <v/>
      </c>
      <c r="R303">
        <f>IFERROR(IF(Q303=0,"",COUNTIF($Q$3:Q303,"&gt;0")),"")</f>
        <v>16</v>
      </c>
      <c r="S303" t="str">
        <f t="shared" si="65"/>
        <v/>
      </c>
      <c r="T303" t="str">
        <f t="shared" si="74"/>
        <v/>
      </c>
      <c r="U303">
        <f>IFERROR(IF(T303=0,"",COUNTIF($T$3:T303,"&gt;0")),"")</f>
        <v>0</v>
      </c>
      <c r="V303" t="str">
        <f t="shared" si="66"/>
        <v/>
      </c>
      <c r="W303" t="e">
        <f t="shared" si="67"/>
        <v>#VALUE!</v>
      </c>
      <c r="X303">
        <f>'OTHER PLANT ATTN.'!C:C</f>
        <v>0</v>
      </c>
      <c r="Y303" t="e">
        <f>Table1[[#This Row],[CATEGORY ]]</f>
        <v>#VALUE!</v>
      </c>
      <c r="Z303" t="e">
        <f>Table1[[#This Row],[PLANT]]</f>
        <v>#VALUE!</v>
      </c>
    </row>
    <row r="304" spans="1:26">
      <c r="A304" t="e">
        <f t="shared" si="61"/>
        <v>#VALUE!</v>
      </c>
      <c r="B304" t="e">
        <f>Table4[[#This Row],[CATEGORY]]</f>
        <v>#VALUE!</v>
      </c>
      <c r="C304" t="e">
        <f>Table4[[#This Row],[SUB-CATEGORY]]</f>
        <v>#VALUE!</v>
      </c>
      <c r="D304">
        <f>'RJ ATTENDENCE SHEET'!C:C</f>
        <v>0</v>
      </c>
      <c r="E304" t="e">
        <f t="shared" si="60"/>
        <v>#VALUE!</v>
      </c>
      <c r="F304" t="str">
        <f t="shared" si="68"/>
        <v/>
      </c>
      <c r="G304">
        <f>IFERROR(IF(F304=0,"",COUNTIF($F$3:F304,"&gt;0")),"")</f>
        <v>16</v>
      </c>
      <c r="H304" t="str">
        <f t="shared" si="62"/>
        <v/>
      </c>
      <c r="I304" t="str">
        <f t="shared" si="69"/>
        <v/>
      </c>
      <c r="J304">
        <f>IFERROR(IF(I304=0,"",COUNTIF($I$3:I304,"&gt;0")),"")</f>
        <v>34</v>
      </c>
      <c r="K304" t="str">
        <f t="shared" si="63"/>
        <v/>
      </c>
      <c r="L304" t="str">
        <f t="shared" si="70"/>
        <v/>
      </c>
      <c r="M304" t="str">
        <f t="shared" si="71"/>
        <v/>
      </c>
      <c r="N304">
        <f>IFERROR(IF(M304=0,"",COUNTIF($M$3:M304,"&gt;0")),"")</f>
        <v>33</v>
      </c>
      <c r="O304" t="str">
        <f t="shared" si="64"/>
        <v/>
      </c>
      <c r="P304" t="str">
        <f t="shared" si="72"/>
        <v/>
      </c>
      <c r="Q304" t="str">
        <f t="shared" si="73"/>
        <v/>
      </c>
      <c r="R304">
        <f>IFERROR(IF(Q304=0,"",COUNTIF($Q$3:Q304,"&gt;0")),"")</f>
        <v>16</v>
      </c>
      <c r="S304" t="str">
        <f t="shared" si="65"/>
        <v/>
      </c>
      <c r="T304" t="str">
        <f t="shared" si="74"/>
        <v/>
      </c>
      <c r="U304">
        <f>IFERROR(IF(T304=0,"",COUNTIF($T$3:T304,"&gt;0")),"")</f>
        <v>0</v>
      </c>
      <c r="V304" t="str">
        <f t="shared" si="66"/>
        <v/>
      </c>
      <c r="W304" t="e">
        <f t="shared" si="67"/>
        <v>#VALUE!</v>
      </c>
      <c r="X304">
        <f>'OTHER PLANT ATTN.'!C:C</f>
        <v>0</v>
      </c>
      <c r="Y304" t="e">
        <f>Table1[[#This Row],[CATEGORY ]]</f>
        <v>#VALUE!</v>
      </c>
      <c r="Z304" t="e">
        <f>Table1[[#This Row],[PLANT]]</f>
        <v>#VALUE!</v>
      </c>
    </row>
    <row r="305" spans="1:26">
      <c r="A305" t="e">
        <f t="shared" si="61"/>
        <v>#VALUE!</v>
      </c>
      <c r="B305" t="e">
        <f>Table4[[#This Row],[CATEGORY]]</f>
        <v>#VALUE!</v>
      </c>
      <c r="C305" t="e">
        <f>Table4[[#This Row],[SUB-CATEGORY]]</f>
        <v>#VALUE!</v>
      </c>
      <c r="D305">
        <f>'RJ ATTENDENCE SHEET'!C:C</f>
        <v>0</v>
      </c>
      <c r="E305" t="e">
        <f t="shared" si="60"/>
        <v>#VALUE!</v>
      </c>
      <c r="F305" t="str">
        <f t="shared" si="68"/>
        <v/>
      </c>
      <c r="G305">
        <f>IFERROR(IF(F305=0,"",COUNTIF($F$3:F305,"&gt;0")),"")</f>
        <v>16</v>
      </c>
      <c r="H305" t="str">
        <f t="shared" si="62"/>
        <v/>
      </c>
      <c r="I305" t="str">
        <f t="shared" si="69"/>
        <v/>
      </c>
      <c r="J305">
        <f>IFERROR(IF(I305=0,"",COUNTIF($I$3:I305,"&gt;0")),"")</f>
        <v>34</v>
      </c>
      <c r="K305" t="str">
        <f t="shared" si="63"/>
        <v/>
      </c>
      <c r="L305" t="str">
        <f t="shared" si="70"/>
        <v/>
      </c>
      <c r="M305" t="str">
        <f t="shared" si="71"/>
        <v/>
      </c>
      <c r="N305">
        <f>IFERROR(IF(M305=0,"",COUNTIF($M$3:M305,"&gt;0")),"")</f>
        <v>33</v>
      </c>
      <c r="O305" t="str">
        <f t="shared" si="64"/>
        <v/>
      </c>
      <c r="P305" t="str">
        <f t="shared" si="72"/>
        <v/>
      </c>
      <c r="Q305" t="str">
        <f t="shared" si="73"/>
        <v/>
      </c>
      <c r="R305">
        <f>IFERROR(IF(Q305=0,"",COUNTIF($Q$3:Q305,"&gt;0")),"")</f>
        <v>16</v>
      </c>
      <c r="S305" t="str">
        <f t="shared" si="65"/>
        <v/>
      </c>
      <c r="T305" t="str">
        <f t="shared" si="74"/>
        <v/>
      </c>
      <c r="U305">
        <f>IFERROR(IF(T305=0,"",COUNTIF($T$3:T305,"&gt;0")),"")</f>
        <v>0</v>
      </c>
      <c r="V305" t="str">
        <f t="shared" si="66"/>
        <v/>
      </c>
      <c r="W305" t="e">
        <f t="shared" si="67"/>
        <v>#VALUE!</v>
      </c>
      <c r="X305">
        <f>'OTHER PLANT ATTN.'!C:C</f>
        <v>0</v>
      </c>
      <c r="Y305" t="e">
        <f>Table1[[#This Row],[CATEGORY ]]</f>
        <v>#VALUE!</v>
      </c>
      <c r="Z305" t="e">
        <f>Table1[[#This Row],[PLANT]]</f>
        <v>#VALUE!</v>
      </c>
    </row>
    <row r="306" spans="1:26">
      <c r="A306" t="e">
        <f t="shared" si="61"/>
        <v>#VALUE!</v>
      </c>
      <c r="B306" t="e">
        <f>Table4[[#This Row],[CATEGORY]]</f>
        <v>#VALUE!</v>
      </c>
      <c r="C306" t="e">
        <f>Table4[[#This Row],[SUB-CATEGORY]]</f>
        <v>#VALUE!</v>
      </c>
      <c r="D306">
        <f>'RJ ATTENDENCE SHEET'!C:C</f>
        <v>0</v>
      </c>
      <c r="E306" t="e">
        <f t="shared" si="60"/>
        <v>#VALUE!</v>
      </c>
      <c r="F306" t="str">
        <f t="shared" si="68"/>
        <v/>
      </c>
      <c r="G306">
        <f>IFERROR(IF(F306=0,"",COUNTIF($F$3:F306,"&gt;0")),"")</f>
        <v>16</v>
      </c>
      <c r="H306" t="str">
        <f t="shared" si="62"/>
        <v/>
      </c>
      <c r="I306" t="str">
        <f t="shared" si="69"/>
        <v/>
      </c>
      <c r="J306">
        <f>IFERROR(IF(I306=0,"",COUNTIF($I$3:I306,"&gt;0")),"")</f>
        <v>34</v>
      </c>
      <c r="K306" t="str">
        <f t="shared" si="63"/>
        <v/>
      </c>
      <c r="L306" t="str">
        <f t="shared" si="70"/>
        <v/>
      </c>
      <c r="M306" t="str">
        <f t="shared" si="71"/>
        <v/>
      </c>
      <c r="N306">
        <f>IFERROR(IF(M306=0,"",COUNTIF($M$3:M306,"&gt;0")),"")</f>
        <v>33</v>
      </c>
      <c r="O306" t="str">
        <f t="shared" si="64"/>
        <v/>
      </c>
      <c r="P306" t="str">
        <f t="shared" si="72"/>
        <v/>
      </c>
      <c r="Q306" t="str">
        <f t="shared" si="73"/>
        <v/>
      </c>
      <c r="R306">
        <f>IFERROR(IF(Q306=0,"",COUNTIF($Q$3:Q306,"&gt;0")),"")</f>
        <v>16</v>
      </c>
      <c r="S306" t="str">
        <f t="shared" si="65"/>
        <v/>
      </c>
      <c r="T306" t="str">
        <f t="shared" si="74"/>
        <v/>
      </c>
      <c r="U306">
        <f>IFERROR(IF(T306=0,"",COUNTIF($T$3:T306,"&gt;0")),"")</f>
        <v>0</v>
      </c>
      <c r="V306" t="str">
        <f t="shared" si="66"/>
        <v/>
      </c>
      <c r="W306" t="e">
        <f t="shared" si="67"/>
        <v>#VALUE!</v>
      </c>
      <c r="X306">
        <f>'OTHER PLANT ATTN.'!C:C</f>
        <v>0</v>
      </c>
      <c r="Y306" t="e">
        <f>Table1[[#This Row],[CATEGORY ]]</f>
        <v>#VALUE!</v>
      </c>
      <c r="Z306" t="e">
        <f>Table1[[#This Row],[PLANT]]</f>
        <v>#VALUE!</v>
      </c>
    </row>
    <row r="307" spans="1:26">
      <c r="A307" t="e">
        <f t="shared" si="61"/>
        <v>#VALUE!</v>
      </c>
      <c r="B307" t="e">
        <f>Table4[[#This Row],[CATEGORY]]</f>
        <v>#VALUE!</v>
      </c>
      <c r="C307" t="e">
        <f>Table4[[#This Row],[SUB-CATEGORY]]</f>
        <v>#VALUE!</v>
      </c>
      <c r="D307">
        <f>'RJ ATTENDENCE SHEET'!C:C</f>
        <v>0</v>
      </c>
      <c r="E307" t="e">
        <f t="shared" si="60"/>
        <v>#VALUE!</v>
      </c>
      <c r="F307" t="str">
        <f t="shared" si="68"/>
        <v/>
      </c>
      <c r="G307">
        <f>IFERROR(IF(F307=0,"",COUNTIF($F$3:F307,"&gt;0")),"")</f>
        <v>16</v>
      </c>
      <c r="H307" t="str">
        <f t="shared" si="62"/>
        <v/>
      </c>
      <c r="I307" t="str">
        <f t="shared" si="69"/>
        <v/>
      </c>
      <c r="J307">
        <f>IFERROR(IF(I307=0,"",COUNTIF($I$3:I307,"&gt;0")),"")</f>
        <v>34</v>
      </c>
      <c r="K307" t="str">
        <f t="shared" si="63"/>
        <v/>
      </c>
      <c r="L307" t="str">
        <f t="shared" si="70"/>
        <v/>
      </c>
      <c r="M307" t="str">
        <f t="shared" si="71"/>
        <v/>
      </c>
      <c r="N307">
        <f>IFERROR(IF(M307=0,"",COUNTIF($M$3:M307,"&gt;0")),"")</f>
        <v>33</v>
      </c>
      <c r="O307" t="str">
        <f t="shared" si="64"/>
        <v/>
      </c>
      <c r="P307" t="str">
        <f t="shared" si="72"/>
        <v/>
      </c>
      <c r="Q307" t="str">
        <f t="shared" si="73"/>
        <v/>
      </c>
      <c r="R307">
        <f>IFERROR(IF(Q307=0,"",COUNTIF($Q$3:Q307,"&gt;0")),"")</f>
        <v>16</v>
      </c>
      <c r="S307" t="str">
        <f t="shared" si="65"/>
        <v/>
      </c>
      <c r="T307" t="str">
        <f t="shared" si="74"/>
        <v/>
      </c>
      <c r="U307">
        <f>IFERROR(IF(T307=0,"",COUNTIF($T$3:T307,"&gt;0")),"")</f>
        <v>0</v>
      </c>
      <c r="V307" t="str">
        <f t="shared" si="66"/>
        <v/>
      </c>
      <c r="W307" t="e">
        <f t="shared" si="67"/>
        <v>#VALUE!</v>
      </c>
      <c r="X307">
        <f>'OTHER PLANT ATTN.'!C:C</f>
        <v>0</v>
      </c>
      <c r="Y307" t="e">
        <f>Table1[[#This Row],[CATEGORY ]]</f>
        <v>#VALUE!</v>
      </c>
      <c r="Z307" t="e">
        <f>Table1[[#This Row],[PLANT]]</f>
        <v>#VALUE!</v>
      </c>
    </row>
    <row r="308" spans="1:26">
      <c r="A308" t="e">
        <f t="shared" si="61"/>
        <v>#VALUE!</v>
      </c>
      <c r="B308" t="e">
        <f>Table4[[#This Row],[CATEGORY]]</f>
        <v>#VALUE!</v>
      </c>
      <c r="C308" t="e">
        <f>Table4[[#This Row],[SUB-CATEGORY]]</f>
        <v>#VALUE!</v>
      </c>
      <c r="D308">
        <f>'RJ ATTENDENCE SHEET'!C:C</f>
        <v>0</v>
      </c>
      <c r="E308" t="e">
        <f t="shared" si="60"/>
        <v>#VALUE!</v>
      </c>
      <c r="F308" t="str">
        <f t="shared" si="68"/>
        <v/>
      </c>
      <c r="G308">
        <f>IFERROR(IF(F308=0,"",COUNTIF($F$3:F308,"&gt;0")),"")</f>
        <v>16</v>
      </c>
      <c r="H308" t="str">
        <f t="shared" si="62"/>
        <v/>
      </c>
      <c r="I308" t="str">
        <f t="shared" si="69"/>
        <v/>
      </c>
      <c r="J308">
        <f>IFERROR(IF(I308=0,"",COUNTIF($I$3:I308,"&gt;0")),"")</f>
        <v>34</v>
      </c>
      <c r="K308" t="str">
        <f t="shared" si="63"/>
        <v/>
      </c>
      <c r="L308" t="str">
        <f t="shared" si="70"/>
        <v/>
      </c>
      <c r="M308" t="str">
        <f t="shared" si="71"/>
        <v/>
      </c>
      <c r="N308">
        <f>IFERROR(IF(M308=0,"",COUNTIF($M$3:M308,"&gt;0")),"")</f>
        <v>33</v>
      </c>
      <c r="O308" t="str">
        <f t="shared" si="64"/>
        <v/>
      </c>
      <c r="P308" t="str">
        <f t="shared" si="72"/>
        <v/>
      </c>
      <c r="Q308" t="str">
        <f t="shared" si="73"/>
        <v/>
      </c>
      <c r="R308">
        <f>IFERROR(IF(Q308=0,"",COUNTIF($Q$3:Q308,"&gt;0")),"")</f>
        <v>16</v>
      </c>
      <c r="S308" t="str">
        <f t="shared" si="65"/>
        <v/>
      </c>
      <c r="T308" t="str">
        <f t="shared" si="74"/>
        <v/>
      </c>
      <c r="U308">
        <f>IFERROR(IF(T308=0,"",COUNTIF($T$3:T308,"&gt;0")),"")</f>
        <v>0</v>
      </c>
      <c r="V308" t="str">
        <f t="shared" si="66"/>
        <v/>
      </c>
      <c r="W308" t="e">
        <f t="shared" si="67"/>
        <v>#VALUE!</v>
      </c>
      <c r="X308">
        <f>'OTHER PLANT ATTN.'!C:C</f>
        <v>0</v>
      </c>
      <c r="Y308" t="e">
        <f>Table1[[#This Row],[CATEGORY ]]</f>
        <v>#VALUE!</v>
      </c>
      <c r="Z308" t="e">
        <f>Table1[[#This Row],[PLANT]]</f>
        <v>#VALUE!</v>
      </c>
    </row>
    <row r="309" spans="1:26">
      <c r="A309" t="e">
        <f t="shared" si="61"/>
        <v>#VALUE!</v>
      </c>
      <c r="B309" t="e">
        <f>Table4[[#This Row],[CATEGORY]]</f>
        <v>#VALUE!</v>
      </c>
      <c r="C309" t="e">
        <f>Table4[[#This Row],[SUB-CATEGORY]]</f>
        <v>#VALUE!</v>
      </c>
      <c r="D309">
        <f>'RJ ATTENDENCE SHEET'!C:C</f>
        <v>0</v>
      </c>
      <c r="E309" t="e">
        <f t="shared" si="60"/>
        <v>#VALUE!</v>
      </c>
      <c r="F309" t="str">
        <f t="shared" si="68"/>
        <v/>
      </c>
      <c r="G309">
        <f>IFERROR(IF(F309=0,"",COUNTIF($F$3:F309,"&gt;0")),"")</f>
        <v>16</v>
      </c>
      <c r="H309" t="str">
        <f t="shared" si="62"/>
        <v/>
      </c>
      <c r="I309" t="str">
        <f t="shared" si="69"/>
        <v/>
      </c>
      <c r="J309">
        <f>IFERROR(IF(I309=0,"",COUNTIF($I$3:I309,"&gt;0")),"")</f>
        <v>34</v>
      </c>
      <c r="K309" t="str">
        <f t="shared" si="63"/>
        <v/>
      </c>
      <c r="L309" t="str">
        <f t="shared" si="70"/>
        <v/>
      </c>
      <c r="M309" t="str">
        <f t="shared" si="71"/>
        <v/>
      </c>
      <c r="N309">
        <f>IFERROR(IF(M309=0,"",COUNTIF($M$3:M309,"&gt;0")),"")</f>
        <v>33</v>
      </c>
      <c r="O309" t="str">
        <f t="shared" si="64"/>
        <v/>
      </c>
      <c r="P309" t="str">
        <f t="shared" si="72"/>
        <v/>
      </c>
      <c r="Q309" t="str">
        <f t="shared" si="73"/>
        <v/>
      </c>
      <c r="R309">
        <f>IFERROR(IF(Q309=0,"",COUNTIF($Q$3:Q309,"&gt;0")),"")</f>
        <v>16</v>
      </c>
      <c r="S309" t="str">
        <f t="shared" si="65"/>
        <v/>
      </c>
      <c r="T309" t="str">
        <f t="shared" si="74"/>
        <v/>
      </c>
      <c r="U309">
        <f>IFERROR(IF(T309=0,"",COUNTIF($T$3:T309,"&gt;0")),"")</f>
        <v>0</v>
      </c>
      <c r="V309" t="str">
        <f t="shared" si="66"/>
        <v/>
      </c>
      <c r="W309" t="e">
        <f t="shared" si="67"/>
        <v>#VALUE!</v>
      </c>
      <c r="X309">
        <f>'OTHER PLANT ATTN.'!C:C</f>
        <v>0</v>
      </c>
      <c r="Y309" t="e">
        <f>Table1[[#This Row],[CATEGORY ]]</f>
        <v>#VALUE!</v>
      </c>
      <c r="Z309" t="e">
        <f>Table1[[#This Row],[PLANT]]</f>
        <v>#VALUE!</v>
      </c>
    </row>
    <row r="310" spans="1:26">
      <c r="A310" t="e">
        <f t="shared" si="61"/>
        <v>#VALUE!</v>
      </c>
      <c r="B310" t="e">
        <f>Table4[[#This Row],[CATEGORY]]</f>
        <v>#VALUE!</v>
      </c>
      <c r="C310" t="e">
        <f>Table4[[#This Row],[SUB-CATEGORY]]</f>
        <v>#VALUE!</v>
      </c>
      <c r="D310">
        <f>'RJ ATTENDENCE SHEET'!C:C</f>
        <v>0</v>
      </c>
      <c r="E310" t="e">
        <f t="shared" si="60"/>
        <v>#VALUE!</v>
      </c>
      <c r="F310" t="str">
        <f t="shared" si="68"/>
        <v/>
      </c>
      <c r="G310">
        <f>IFERROR(IF(F310=0,"",COUNTIF($F$3:F310,"&gt;0")),"")</f>
        <v>16</v>
      </c>
      <c r="H310" t="str">
        <f t="shared" si="62"/>
        <v/>
      </c>
      <c r="I310" t="str">
        <f t="shared" si="69"/>
        <v/>
      </c>
      <c r="J310">
        <f>IFERROR(IF(I310=0,"",COUNTIF($I$3:I310,"&gt;0")),"")</f>
        <v>34</v>
      </c>
      <c r="K310" t="str">
        <f t="shared" si="63"/>
        <v/>
      </c>
      <c r="L310" t="str">
        <f t="shared" si="70"/>
        <v/>
      </c>
      <c r="M310" t="str">
        <f t="shared" si="71"/>
        <v/>
      </c>
      <c r="N310">
        <f>IFERROR(IF(M310=0,"",COUNTIF($M$3:M310,"&gt;0")),"")</f>
        <v>33</v>
      </c>
      <c r="O310" t="str">
        <f t="shared" si="64"/>
        <v/>
      </c>
      <c r="P310" t="str">
        <f t="shared" si="72"/>
        <v/>
      </c>
      <c r="Q310" t="str">
        <f t="shared" si="73"/>
        <v/>
      </c>
      <c r="R310">
        <f>IFERROR(IF(Q310=0,"",COUNTIF($Q$3:Q310,"&gt;0")),"")</f>
        <v>16</v>
      </c>
      <c r="S310" t="str">
        <f t="shared" si="65"/>
        <v/>
      </c>
      <c r="T310" t="str">
        <f t="shared" si="74"/>
        <v/>
      </c>
      <c r="U310">
        <f>IFERROR(IF(T310=0,"",COUNTIF($T$3:T310,"&gt;0")),"")</f>
        <v>0</v>
      </c>
      <c r="V310" t="str">
        <f t="shared" si="66"/>
        <v/>
      </c>
      <c r="W310" t="e">
        <f t="shared" si="67"/>
        <v>#VALUE!</v>
      </c>
      <c r="X310">
        <f>'OTHER PLANT ATTN.'!C:C</f>
        <v>0</v>
      </c>
      <c r="Y310" t="e">
        <f>Table1[[#This Row],[CATEGORY ]]</f>
        <v>#VALUE!</v>
      </c>
      <c r="Z310" t="e">
        <f>Table1[[#This Row],[PLANT]]</f>
        <v>#VALUE!</v>
      </c>
    </row>
    <row r="311" spans="1:26">
      <c r="A311" t="e">
        <f t="shared" si="61"/>
        <v>#VALUE!</v>
      </c>
      <c r="B311" t="e">
        <f>Table4[[#This Row],[CATEGORY]]</f>
        <v>#VALUE!</v>
      </c>
      <c r="C311" t="e">
        <f>Table4[[#This Row],[SUB-CATEGORY]]</f>
        <v>#VALUE!</v>
      </c>
      <c r="D311">
        <f>'RJ ATTENDENCE SHEET'!C:C</f>
        <v>0</v>
      </c>
      <c r="E311" t="e">
        <f t="shared" si="60"/>
        <v>#VALUE!</v>
      </c>
      <c r="F311" t="str">
        <f t="shared" si="68"/>
        <v/>
      </c>
      <c r="G311">
        <f>IFERROR(IF(F311=0,"",COUNTIF($F$3:F311,"&gt;0")),"")</f>
        <v>16</v>
      </c>
      <c r="H311" t="str">
        <f t="shared" si="62"/>
        <v/>
      </c>
      <c r="I311" t="str">
        <f t="shared" si="69"/>
        <v/>
      </c>
      <c r="J311">
        <f>IFERROR(IF(I311=0,"",COUNTIF($I$3:I311,"&gt;0")),"")</f>
        <v>34</v>
      </c>
      <c r="K311" t="str">
        <f t="shared" si="63"/>
        <v/>
      </c>
      <c r="L311" t="str">
        <f t="shared" si="70"/>
        <v/>
      </c>
      <c r="M311" t="str">
        <f t="shared" si="71"/>
        <v/>
      </c>
      <c r="N311">
        <f>IFERROR(IF(M311=0,"",COUNTIF($M$3:M311,"&gt;0")),"")</f>
        <v>33</v>
      </c>
      <c r="O311" t="str">
        <f t="shared" si="64"/>
        <v/>
      </c>
      <c r="P311" t="str">
        <f t="shared" si="72"/>
        <v/>
      </c>
      <c r="Q311" t="str">
        <f t="shared" si="73"/>
        <v/>
      </c>
      <c r="R311">
        <f>IFERROR(IF(Q311=0,"",COUNTIF($Q$3:Q311,"&gt;0")),"")</f>
        <v>16</v>
      </c>
      <c r="S311" t="str">
        <f t="shared" si="65"/>
        <v/>
      </c>
      <c r="T311" t="str">
        <f t="shared" si="74"/>
        <v/>
      </c>
      <c r="U311">
        <f>IFERROR(IF(T311=0,"",COUNTIF($T$3:T311,"&gt;0")),"")</f>
        <v>0</v>
      </c>
      <c r="V311" t="str">
        <f t="shared" si="66"/>
        <v/>
      </c>
      <c r="W311" t="e">
        <f t="shared" si="67"/>
        <v>#VALUE!</v>
      </c>
      <c r="X311">
        <f>'OTHER PLANT ATTN.'!C:C</f>
        <v>0</v>
      </c>
      <c r="Y311" t="e">
        <f>Table1[[#This Row],[CATEGORY ]]</f>
        <v>#VALUE!</v>
      </c>
      <c r="Z311" t="e">
        <f>Table1[[#This Row],[PLANT]]</f>
        <v>#VALUE!</v>
      </c>
    </row>
    <row r="312" spans="1:26">
      <c r="A312" t="e">
        <f t="shared" si="61"/>
        <v>#VALUE!</v>
      </c>
      <c r="B312" t="e">
        <f>Table4[[#This Row],[CATEGORY]]</f>
        <v>#VALUE!</v>
      </c>
      <c r="C312" t="e">
        <f>Table4[[#This Row],[SUB-CATEGORY]]</f>
        <v>#VALUE!</v>
      </c>
      <c r="D312">
        <f>'RJ ATTENDENCE SHEET'!C:C</f>
        <v>0</v>
      </c>
      <c r="E312" t="e">
        <f t="shared" si="60"/>
        <v>#VALUE!</v>
      </c>
      <c r="F312" t="str">
        <f t="shared" si="68"/>
        <v/>
      </c>
      <c r="G312">
        <f>IFERROR(IF(F312=0,"",COUNTIF($F$3:F312,"&gt;0")),"")</f>
        <v>16</v>
      </c>
      <c r="H312" t="str">
        <f t="shared" si="62"/>
        <v/>
      </c>
      <c r="I312" t="str">
        <f t="shared" si="69"/>
        <v/>
      </c>
      <c r="J312">
        <f>IFERROR(IF(I312=0,"",COUNTIF($I$3:I312,"&gt;0")),"")</f>
        <v>34</v>
      </c>
      <c r="K312" t="str">
        <f t="shared" si="63"/>
        <v/>
      </c>
      <c r="L312" t="str">
        <f t="shared" si="70"/>
        <v/>
      </c>
      <c r="M312" t="str">
        <f t="shared" si="71"/>
        <v/>
      </c>
      <c r="N312">
        <f>IFERROR(IF(M312=0,"",COUNTIF($M$3:M312,"&gt;0")),"")</f>
        <v>33</v>
      </c>
      <c r="O312" t="str">
        <f t="shared" si="64"/>
        <v/>
      </c>
      <c r="P312" t="str">
        <f t="shared" si="72"/>
        <v/>
      </c>
      <c r="Q312" t="str">
        <f t="shared" si="73"/>
        <v/>
      </c>
      <c r="R312">
        <f>IFERROR(IF(Q312=0,"",COUNTIF($Q$3:Q312,"&gt;0")),"")</f>
        <v>16</v>
      </c>
      <c r="S312" t="str">
        <f t="shared" si="65"/>
        <v/>
      </c>
      <c r="T312" t="str">
        <f t="shared" si="74"/>
        <v/>
      </c>
      <c r="U312">
        <f>IFERROR(IF(T312=0,"",COUNTIF($T$3:T312,"&gt;0")),"")</f>
        <v>0</v>
      </c>
      <c r="V312" t="str">
        <f t="shared" si="66"/>
        <v/>
      </c>
      <c r="W312" t="e">
        <f t="shared" si="67"/>
        <v>#VALUE!</v>
      </c>
      <c r="X312">
        <f>'OTHER PLANT ATTN.'!C:C</f>
        <v>0</v>
      </c>
      <c r="Y312" t="e">
        <f>Table1[[#This Row],[CATEGORY ]]</f>
        <v>#VALUE!</v>
      </c>
      <c r="Z312" t="e">
        <f>Table1[[#This Row],[PLANT]]</f>
        <v>#VALUE!</v>
      </c>
    </row>
    <row r="313" spans="1:26">
      <c r="A313" t="e">
        <f t="shared" si="61"/>
        <v>#VALUE!</v>
      </c>
      <c r="B313" t="e">
        <f>Table4[[#This Row],[CATEGORY]]</f>
        <v>#VALUE!</v>
      </c>
      <c r="C313" t="e">
        <f>Table4[[#This Row],[SUB-CATEGORY]]</f>
        <v>#VALUE!</v>
      </c>
      <c r="D313">
        <f>'RJ ATTENDENCE SHEET'!C:C</f>
        <v>0</v>
      </c>
      <c r="E313" t="e">
        <f t="shared" si="60"/>
        <v>#VALUE!</v>
      </c>
      <c r="F313" t="str">
        <f t="shared" si="68"/>
        <v/>
      </c>
      <c r="G313">
        <f>IFERROR(IF(F313=0,"",COUNTIF($F$3:F313,"&gt;0")),"")</f>
        <v>16</v>
      </c>
      <c r="H313" t="str">
        <f t="shared" si="62"/>
        <v/>
      </c>
      <c r="I313" t="str">
        <f t="shared" si="69"/>
        <v/>
      </c>
      <c r="J313">
        <f>IFERROR(IF(I313=0,"",COUNTIF($I$3:I313,"&gt;0")),"")</f>
        <v>34</v>
      </c>
      <c r="K313" t="str">
        <f t="shared" si="63"/>
        <v/>
      </c>
      <c r="L313" t="str">
        <f t="shared" si="70"/>
        <v/>
      </c>
      <c r="M313" t="str">
        <f t="shared" si="71"/>
        <v/>
      </c>
      <c r="N313">
        <f>IFERROR(IF(M313=0,"",COUNTIF($M$3:M313,"&gt;0")),"")</f>
        <v>33</v>
      </c>
      <c r="O313" t="str">
        <f t="shared" si="64"/>
        <v/>
      </c>
      <c r="P313" t="str">
        <f t="shared" si="72"/>
        <v/>
      </c>
      <c r="Q313" t="str">
        <f t="shared" si="73"/>
        <v/>
      </c>
      <c r="R313">
        <f>IFERROR(IF(Q313=0,"",COUNTIF($Q$3:Q313,"&gt;0")),"")</f>
        <v>16</v>
      </c>
      <c r="S313" t="str">
        <f t="shared" si="65"/>
        <v/>
      </c>
      <c r="T313" t="str">
        <f t="shared" si="74"/>
        <v/>
      </c>
      <c r="U313">
        <f>IFERROR(IF(T313=0,"",COUNTIF($T$3:T313,"&gt;0")),"")</f>
        <v>0</v>
      </c>
      <c r="V313" t="str">
        <f t="shared" si="66"/>
        <v/>
      </c>
      <c r="W313" t="e">
        <f t="shared" si="67"/>
        <v>#VALUE!</v>
      </c>
      <c r="X313">
        <f>'OTHER PLANT ATTN.'!C:C</f>
        <v>0</v>
      </c>
      <c r="Y313" t="e">
        <f>Table1[[#This Row],[CATEGORY ]]</f>
        <v>#VALUE!</v>
      </c>
      <c r="Z313" t="e">
        <f>Table1[[#This Row],[PLANT]]</f>
        <v>#VALUE!</v>
      </c>
    </row>
    <row r="314" spans="1:26">
      <c r="A314" t="e">
        <f t="shared" si="61"/>
        <v>#VALUE!</v>
      </c>
      <c r="B314" t="e">
        <f>Table4[[#This Row],[CATEGORY]]</f>
        <v>#VALUE!</v>
      </c>
      <c r="C314" t="e">
        <f>Table4[[#This Row],[SUB-CATEGORY]]</f>
        <v>#VALUE!</v>
      </c>
      <c r="D314">
        <f>'RJ ATTENDENCE SHEET'!C:C</f>
        <v>0</v>
      </c>
      <c r="E314" t="e">
        <f t="shared" si="60"/>
        <v>#VALUE!</v>
      </c>
      <c r="F314" t="str">
        <f t="shared" si="68"/>
        <v/>
      </c>
      <c r="G314">
        <f>IFERROR(IF(F314=0,"",COUNTIF($F$3:F314,"&gt;0")),"")</f>
        <v>16</v>
      </c>
      <c r="H314" t="str">
        <f t="shared" si="62"/>
        <v/>
      </c>
      <c r="I314" t="str">
        <f t="shared" si="69"/>
        <v/>
      </c>
      <c r="J314">
        <f>IFERROR(IF(I314=0,"",COUNTIF($I$3:I314,"&gt;0")),"")</f>
        <v>34</v>
      </c>
      <c r="K314" t="str">
        <f t="shared" si="63"/>
        <v/>
      </c>
      <c r="L314" t="str">
        <f t="shared" si="70"/>
        <v/>
      </c>
      <c r="M314" t="str">
        <f t="shared" si="71"/>
        <v/>
      </c>
      <c r="N314">
        <f>IFERROR(IF(M314=0,"",COUNTIF($M$3:M314,"&gt;0")),"")</f>
        <v>33</v>
      </c>
      <c r="O314" t="str">
        <f t="shared" si="64"/>
        <v/>
      </c>
      <c r="P314" t="str">
        <f t="shared" si="72"/>
        <v/>
      </c>
      <c r="Q314" t="str">
        <f t="shared" si="73"/>
        <v/>
      </c>
      <c r="R314">
        <f>IFERROR(IF(Q314=0,"",COUNTIF($Q$3:Q314,"&gt;0")),"")</f>
        <v>16</v>
      </c>
      <c r="S314" t="str">
        <f t="shared" si="65"/>
        <v/>
      </c>
      <c r="T314" t="str">
        <f t="shared" si="74"/>
        <v/>
      </c>
      <c r="U314">
        <f>IFERROR(IF(T314=0,"",COUNTIF($T$3:T314,"&gt;0")),"")</f>
        <v>0</v>
      </c>
      <c r="V314" t="str">
        <f t="shared" si="66"/>
        <v/>
      </c>
      <c r="W314" t="e">
        <f t="shared" si="67"/>
        <v>#VALUE!</v>
      </c>
      <c r="X314">
        <f>'OTHER PLANT ATTN.'!C:C</f>
        <v>0</v>
      </c>
      <c r="Y314" t="e">
        <f>Table1[[#This Row],[CATEGORY ]]</f>
        <v>#VALUE!</v>
      </c>
      <c r="Z314" t="e">
        <f>Table1[[#This Row],[PLANT]]</f>
        <v>#VALUE!</v>
      </c>
    </row>
    <row r="315" spans="1:26">
      <c r="A315" t="e">
        <f t="shared" si="61"/>
        <v>#VALUE!</v>
      </c>
      <c r="B315" t="e">
        <f>Table4[[#This Row],[CATEGORY]]</f>
        <v>#VALUE!</v>
      </c>
      <c r="C315" t="e">
        <f>Table4[[#This Row],[SUB-CATEGORY]]</f>
        <v>#VALUE!</v>
      </c>
      <c r="D315">
        <f>'RJ ATTENDENCE SHEET'!C:C</f>
        <v>0</v>
      </c>
      <c r="E315" t="e">
        <f t="shared" si="60"/>
        <v>#VALUE!</v>
      </c>
      <c r="F315" t="str">
        <f t="shared" si="68"/>
        <v/>
      </c>
      <c r="G315">
        <f>IFERROR(IF(F315=0,"",COUNTIF($F$3:F315,"&gt;0")),"")</f>
        <v>16</v>
      </c>
      <c r="H315" t="str">
        <f t="shared" si="62"/>
        <v/>
      </c>
      <c r="I315" t="str">
        <f t="shared" si="69"/>
        <v/>
      </c>
      <c r="J315">
        <f>IFERROR(IF(I315=0,"",COUNTIF($I$3:I315,"&gt;0")),"")</f>
        <v>34</v>
      </c>
      <c r="K315" t="str">
        <f t="shared" si="63"/>
        <v/>
      </c>
      <c r="L315" t="str">
        <f t="shared" si="70"/>
        <v/>
      </c>
      <c r="M315" t="str">
        <f t="shared" si="71"/>
        <v/>
      </c>
      <c r="N315">
        <f>IFERROR(IF(M315=0,"",COUNTIF($M$3:M315,"&gt;0")),"")</f>
        <v>33</v>
      </c>
      <c r="O315" t="str">
        <f t="shared" si="64"/>
        <v/>
      </c>
      <c r="P315" t="str">
        <f t="shared" si="72"/>
        <v/>
      </c>
      <c r="Q315" t="str">
        <f t="shared" si="73"/>
        <v/>
      </c>
      <c r="R315">
        <f>IFERROR(IF(Q315=0,"",COUNTIF($Q$3:Q315,"&gt;0")),"")</f>
        <v>16</v>
      </c>
      <c r="S315" t="str">
        <f t="shared" si="65"/>
        <v/>
      </c>
      <c r="T315" t="str">
        <f t="shared" si="74"/>
        <v/>
      </c>
      <c r="U315">
        <f>IFERROR(IF(T315=0,"",COUNTIF($T$3:T315,"&gt;0")),"")</f>
        <v>0</v>
      </c>
      <c r="V315" t="str">
        <f t="shared" si="66"/>
        <v/>
      </c>
      <c r="W315" t="e">
        <f t="shared" si="67"/>
        <v>#VALUE!</v>
      </c>
      <c r="X315">
        <f>'OTHER PLANT ATTN.'!C:C</f>
        <v>0</v>
      </c>
      <c r="Y315" t="e">
        <f>Table1[[#This Row],[CATEGORY ]]</f>
        <v>#VALUE!</v>
      </c>
      <c r="Z315" t="e">
        <f>Table1[[#This Row],[PLANT]]</f>
        <v>#VALUE!</v>
      </c>
    </row>
    <row r="316" spans="1:26">
      <c r="A316" t="e">
        <f t="shared" si="61"/>
        <v>#VALUE!</v>
      </c>
      <c r="B316" t="e">
        <f>Table4[[#This Row],[CATEGORY]]</f>
        <v>#VALUE!</v>
      </c>
      <c r="C316" t="e">
        <f>Table4[[#This Row],[SUB-CATEGORY]]</f>
        <v>#VALUE!</v>
      </c>
      <c r="D316">
        <f>'RJ ATTENDENCE SHEET'!C:C</f>
        <v>0</v>
      </c>
      <c r="E316" t="e">
        <f t="shared" si="60"/>
        <v>#VALUE!</v>
      </c>
      <c r="F316" t="str">
        <f t="shared" si="68"/>
        <v/>
      </c>
      <c r="G316">
        <f>IFERROR(IF(F316=0,"",COUNTIF($F$3:F316,"&gt;0")),"")</f>
        <v>16</v>
      </c>
      <c r="H316" t="str">
        <f t="shared" si="62"/>
        <v/>
      </c>
      <c r="I316" t="str">
        <f t="shared" si="69"/>
        <v/>
      </c>
      <c r="J316">
        <f>IFERROR(IF(I316=0,"",COUNTIF($I$3:I316,"&gt;0")),"")</f>
        <v>34</v>
      </c>
      <c r="K316" t="str">
        <f t="shared" si="63"/>
        <v/>
      </c>
      <c r="L316" t="str">
        <f t="shared" si="70"/>
        <v/>
      </c>
      <c r="M316" t="str">
        <f t="shared" si="71"/>
        <v/>
      </c>
      <c r="N316">
        <f>IFERROR(IF(M316=0,"",COUNTIF($M$3:M316,"&gt;0")),"")</f>
        <v>33</v>
      </c>
      <c r="O316" t="str">
        <f t="shared" si="64"/>
        <v/>
      </c>
      <c r="P316" t="str">
        <f t="shared" si="72"/>
        <v/>
      </c>
      <c r="Q316" t="str">
        <f t="shared" si="73"/>
        <v/>
      </c>
      <c r="R316">
        <f>IFERROR(IF(Q316=0,"",COUNTIF($Q$3:Q316,"&gt;0")),"")</f>
        <v>16</v>
      </c>
      <c r="S316" t="str">
        <f t="shared" si="65"/>
        <v/>
      </c>
      <c r="T316" t="str">
        <f t="shared" si="74"/>
        <v/>
      </c>
      <c r="U316">
        <f>IFERROR(IF(T316=0,"",COUNTIF($T$3:T316,"&gt;0")),"")</f>
        <v>0</v>
      </c>
      <c r="V316" t="str">
        <f t="shared" si="66"/>
        <v/>
      </c>
      <c r="W316" t="e">
        <f t="shared" si="67"/>
        <v>#VALUE!</v>
      </c>
      <c r="X316">
        <f>'OTHER PLANT ATTN.'!C:C</f>
        <v>0</v>
      </c>
      <c r="Y316" t="e">
        <f>Table1[[#This Row],[CATEGORY ]]</f>
        <v>#VALUE!</v>
      </c>
      <c r="Z316" t="e">
        <f>Table1[[#This Row],[PLANT]]</f>
        <v>#VALUE!</v>
      </c>
    </row>
    <row r="317" spans="1:26">
      <c r="A317" t="e">
        <f t="shared" si="61"/>
        <v>#VALUE!</v>
      </c>
      <c r="B317" t="e">
        <f>Table4[[#This Row],[CATEGORY]]</f>
        <v>#VALUE!</v>
      </c>
      <c r="C317" t="e">
        <f>Table4[[#This Row],[SUB-CATEGORY]]</f>
        <v>#VALUE!</v>
      </c>
      <c r="D317">
        <f>'RJ ATTENDENCE SHEET'!C:C</f>
        <v>0</v>
      </c>
      <c r="E317" t="e">
        <f t="shared" si="60"/>
        <v>#VALUE!</v>
      </c>
      <c r="F317" t="str">
        <f t="shared" si="68"/>
        <v/>
      </c>
      <c r="G317">
        <f>IFERROR(IF(F317=0,"",COUNTIF($F$3:F317,"&gt;0")),"")</f>
        <v>16</v>
      </c>
      <c r="H317" t="str">
        <f t="shared" si="62"/>
        <v/>
      </c>
      <c r="I317" t="str">
        <f t="shared" si="69"/>
        <v/>
      </c>
      <c r="J317">
        <f>IFERROR(IF(I317=0,"",COUNTIF($I$3:I317,"&gt;0")),"")</f>
        <v>34</v>
      </c>
      <c r="K317" t="str">
        <f t="shared" si="63"/>
        <v/>
      </c>
      <c r="L317" t="str">
        <f t="shared" si="70"/>
        <v/>
      </c>
      <c r="M317" t="str">
        <f t="shared" si="71"/>
        <v/>
      </c>
      <c r="N317">
        <f>IFERROR(IF(M317=0,"",COUNTIF($M$3:M317,"&gt;0")),"")</f>
        <v>33</v>
      </c>
      <c r="O317" t="str">
        <f t="shared" si="64"/>
        <v/>
      </c>
      <c r="P317" t="str">
        <f t="shared" si="72"/>
        <v/>
      </c>
      <c r="Q317" t="str">
        <f t="shared" si="73"/>
        <v/>
      </c>
      <c r="R317">
        <f>IFERROR(IF(Q317=0,"",COUNTIF($Q$3:Q317,"&gt;0")),"")</f>
        <v>16</v>
      </c>
      <c r="S317" t="str">
        <f t="shared" si="65"/>
        <v/>
      </c>
      <c r="T317" t="str">
        <f t="shared" si="74"/>
        <v/>
      </c>
      <c r="U317">
        <f>IFERROR(IF(T317=0,"",COUNTIF($T$3:T317,"&gt;0")),"")</f>
        <v>0</v>
      </c>
      <c r="V317" t="str">
        <f t="shared" si="66"/>
        <v/>
      </c>
      <c r="W317" t="e">
        <f t="shared" si="67"/>
        <v>#VALUE!</v>
      </c>
      <c r="X317">
        <f>'OTHER PLANT ATTN.'!C:C</f>
        <v>0</v>
      </c>
      <c r="Y317" t="e">
        <f>Table1[[#This Row],[CATEGORY ]]</f>
        <v>#VALUE!</v>
      </c>
      <c r="Z317" t="e">
        <f>Table1[[#This Row],[PLANT]]</f>
        <v>#VALUE!</v>
      </c>
    </row>
    <row r="318" spans="1:26">
      <c r="A318" t="e">
        <f t="shared" si="61"/>
        <v>#VALUE!</v>
      </c>
      <c r="B318" t="e">
        <f>Table4[[#This Row],[CATEGORY]]</f>
        <v>#VALUE!</v>
      </c>
      <c r="C318" t="e">
        <f>Table4[[#This Row],[SUB-CATEGORY]]</f>
        <v>#VALUE!</v>
      </c>
      <c r="D318">
        <f>'RJ ATTENDENCE SHEET'!C:C</f>
        <v>0</v>
      </c>
      <c r="E318" t="e">
        <f t="shared" si="60"/>
        <v>#VALUE!</v>
      </c>
      <c r="F318" t="str">
        <f t="shared" si="68"/>
        <v/>
      </c>
      <c r="G318">
        <f>IFERROR(IF(F318=0,"",COUNTIF($F$3:F318,"&gt;0")),"")</f>
        <v>16</v>
      </c>
      <c r="H318" t="str">
        <f t="shared" si="62"/>
        <v/>
      </c>
      <c r="I318" t="str">
        <f t="shared" si="69"/>
        <v/>
      </c>
      <c r="J318">
        <f>IFERROR(IF(I318=0,"",COUNTIF($I$3:I318,"&gt;0")),"")</f>
        <v>34</v>
      </c>
      <c r="K318" t="str">
        <f t="shared" si="63"/>
        <v/>
      </c>
      <c r="L318" t="str">
        <f t="shared" si="70"/>
        <v/>
      </c>
      <c r="M318" t="str">
        <f t="shared" si="71"/>
        <v/>
      </c>
      <c r="N318">
        <f>IFERROR(IF(M318=0,"",COUNTIF($M$3:M318,"&gt;0")),"")</f>
        <v>33</v>
      </c>
      <c r="O318" t="str">
        <f t="shared" si="64"/>
        <v/>
      </c>
      <c r="P318" t="str">
        <f t="shared" si="72"/>
        <v/>
      </c>
      <c r="Q318" t="str">
        <f t="shared" si="73"/>
        <v/>
      </c>
      <c r="R318">
        <f>IFERROR(IF(Q318=0,"",COUNTIF($Q$3:Q318,"&gt;0")),"")</f>
        <v>16</v>
      </c>
      <c r="S318" t="str">
        <f t="shared" si="65"/>
        <v/>
      </c>
      <c r="T318" t="str">
        <f t="shared" si="74"/>
        <v/>
      </c>
      <c r="U318">
        <f>IFERROR(IF(T318=0,"",COUNTIF($T$3:T318,"&gt;0")),"")</f>
        <v>0</v>
      </c>
      <c r="V318" t="str">
        <f t="shared" si="66"/>
        <v/>
      </c>
      <c r="W318" t="e">
        <f t="shared" si="67"/>
        <v>#VALUE!</v>
      </c>
      <c r="X318">
        <f>'OTHER PLANT ATTN.'!C:C</f>
        <v>0</v>
      </c>
      <c r="Y318" t="e">
        <f>Table1[[#This Row],[CATEGORY ]]</f>
        <v>#VALUE!</v>
      </c>
      <c r="Z318" t="e">
        <f>Table1[[#This Row],[PLANT]]</f>
        <v>#VALUE!</v>
      </c>
    </row>
    <row r="319" spans="1:26">
      <c r="A319" t="e">
        <f t="shared" si="61"/>
        <v>#VALUE!</v>
      </c>
      <c r="B319" t="e">
        <f>Table4[[#This Row],[CATEGORY]]</f>
        <v>#VALUE!</v>
      </c>
      <c r="C319" t="e">
        <f>Table4[[#This Row],[SUB-CATEGORY]]</f>
        <v>#VALUE!</v>
      </c>
      <c r="D319">
        <f>'RJ ATTENDENCE SHEET'!C:C</f>
        <v>0</v>
      </c>
      <c r="E319" t="e">
        <f t="shared" si="60"/>
        <v>#VALUE!</v>
      </c>
      <c r="F319" t="str">
        <f t="shared" si="68"/>
        <v/>
      </c>
      <c r="G319">
        <f>IFERROR(IF(F319=0,"",COUNTIF($F$3:F319,"&gt;0")),"")</f>
        <v>16</v>
      </c>
      <c r="H319" t="str">
        <f t="shared" si="62"/>
        <v/>
      </c>
      <c r="I319" t="str">
        <f t="shared" si="69"/>
        <v/>
      </c>
      <c r="J319">
        <f>IFERROR(IF(I319=0,"",COUNTIF($I$3:I319,"&gt;0")),"")</f>
        <v>34</v>
      </c>
      <c r="K319" t="str">
        <f t="shared" si="63"/>
        <v/>
      </c>
      <c r="L319" t="str">
        <f t="shared" si="70"/>
        <v/>
      </c>
      <c r="M319" t="str">
        <f t="shared" si="71"/>
        <v/>
      </c>
      <c r="N319">
        <f>IFERROR(IF(M319=0,"",COUNTIF($M$3:M319,"&gt;0")),"")</f>
        <v>33</v>
      </c>
      <c r="O319" t="str">
        <f t="shared" si="64"/>
        <v/>
      </c>
      <c r="P319" t="str">
        <f t="shared" si="72"/>
        <v/>
      </c>
      <c r="Q319" t="str">
        <f t="shared" si="73"/>
        <v/>
      </c>
      <c r="R319">
        <f>IFERROR(IF(Q319=0,"",COUNTIF($Q$3:Q319,"&gt;0")),"")</f>
        <v>16</v>
      </c>
      <c r="S319" t="str">
        <f t="shared" si="65"/>
        <v/>
      </c>
      <c r="T319" t="str">
        <f t="shared" si="74"/>
        <v/>
      </c>
      <c r="U319">
        <f>IFERROR(IF(T319=0,"",COUNTIF($T$3:T319,"&gt;0")),"")</f>
        <v>0</v>
      </c>
      <c r="V319" t="str">
        <f t="shared" si="66"/>
        <v/>
      </c>
      <c r="W319" t="e">
        <f t="shared" si="67"/>
        <v>#VALUE!</v>
      </c>
      <c r="X319">
        <f>'OTHER PLANT ATTN.'!C:C</f>
        <v>0</v>
      </c>
      <c r="Y319" t="e">
        <f>Table1[[#This Row],[CATEGORY ]]</f>
        <v>#VALUE!</v>
      </c>
      <c r="Z319" t="e">
        <f>Table1[[#This Row],[PLANT]]</f>
        <v>#VALUE!</v>
      </c>
    </row>
    <row r="320" spans="1:26">
      <c r="A320" t="e">
        <f t="shared" si="61"/>
        <v>#VALUE!</v>
      </c>
      <c r="B320" t="e">
        <f>Table4[[#This Row],[CATEGORY]]</f>
        <v>#VALUE!</v>
      </c>
      <c r="C320" t="e">
        <f>Table4[[#This Row],[SUB-CATEGORY]]</f>
        <v>#VALUE!</v>
      </c>
      <c r="D320">
        <f>'RJ ATTENDENCE SHEET'!C:C</f>
        <v>0</v>
      </c>
      <c r="E320" t="e">
        <f t="shared" si="60"/>
        <v>#VALUE!</v>
      </c>
      <c r="F320" t="str">
        <f t="shared" si="68"/>
        <v/>
      </c>
      <c r="G320">
        <f>IFERROR(IF(F320=0,"",COUNTIF($F$3:F320,"&gt;0")),"")</f>
        <v>16</v>
      </c>
      <c r="H320" t="str">
        <f t="shared" si="62"/>
        <v/>
      </c>
      <c r="I320" t="str">
        <f t="shared" si="69"/>
        <v/>
      </c>
      <c r="J320">
        <f>IFERROR(IF(I320=0,"",COUNTIF($I$3:I320,"&gt;0")),"")</f>
        <v>34</v>
      </c>
      <c r="K320" t="str">
        <f t="shared" si="63"/>
        <v/>
      </c>
      <c r="L320" t="str">
        <f t="shared" si="70"/>
        <v/>
      </c>
      <c r="M320" t="str">
        <f t="shared" si="71"/>
        <v/>
      </c>
      <c r="N320">
        <f>IFERROR(IF(M320=0,"",COUNTIF($M$3:M320,"&gt;0")),"")</f>
        <v>33</v>
      </c>
      <c r="O320" t="str">
        <f t="shared" si="64"/>
        <v/>
      </c>
      <c r="P320" t="str">
        <f t="shared" si="72"/>
        <v/>
      </c>
      <c r="Q320" t="str">
        <f t="shared" si="73"/>
        <v/>
      </c>
      <c r="R320">
        <f>IFERROR(IF(Q320=0,"",COUNTIF($Q$3:Q320,"&gt;0")),"")</f>
        <v>16</v>
      </c>
      <c r="S320" t="str">
        <f t="shared" si="65"/>
        <v/>
      </c>
      <c r="T320" t="str">
        <f t="shared" si="74"/>
        <v/>
      </c>
      <c r="U320">
        <f>IFERROR(IF(T320=0,"",COUNTIF($T$3:T320,"&gt;0")),"")</f>
        <v>0</v>
      </c>
      <c r="V320" t="str">
        <f t="shared" si="66"/>
        <v/>
      </c>
      <c r="W320" t="e">
        <f t="shared" si="67"/>
        <v>#VALUE!</v>
      </c>
      <c r="X320">
        <f>'OTHER PLANT ATTN.'!C:C</f>
        <v>0</v>
      </c>
      <c r="Y320" t="e">
        <f>Table1[[#This Row],[CATEGORY ]]</f>
        <v>#VALUE!</v>
      </c>
      <c r="Z320" t="e">
        <f>Table1[[#This Row],[PLANT]]</f>
        <v>#VALUE!</v>
      </c>
    </row>
    <row r="321" spans="1:26">
      <c r="A321" t="e">
        <f t="shared" si="61"/>
        <v>#VALUE!</v>
      </c>
      <c r="B321" t="e">
        <f>Table4[[#This Row],[CATEGORY]]</f>
        <v>#VALUE!</v>
      </c>
      <c r="C321" t="e">
        <f>Table4[[#This Row],[SUB-CATEGORY]]</f>
        <v>#VALUE!</v>
      </c>
      <c r="D321">
        <f>'RJ ATTENDENCE SHEET'!C:C</f>
        <v>0</v>
      </c>
      <c r="E321" t="e">
        <f t="shared" si="60"/>
        <v>#VALUE!</v>
      </c>
      <c r="F321" t="str">
        <f t="shared" si="68"/>
        <v/>
      </c>
      <c r="G321">
        <f>IFERROR(IF(F321=0,"",COUNTIF($F$3:F321,"&gt;0")),"")</f>
        <v>16</v>
      </c>
      <c r="H321" t="str">
        <f t="shared" si="62"/>
        <v/>
      </c>
      <c r="I321" t="str">
        <f t="shared" si="69"/>
        <v/>
      </c>
      <c r="J321">
        <f>IFERROR(IF(I321=0,"",COUNTIF($I$3:I321,"&gt;0")),"")</f>
        <v>34</v>
      </c>
      <c r="K321" t="str">
        <f t="shared" si="63"/>
        <v/>
      </c>
      <c r="L321" t="str">
        <f t="shared" si="70"/>
        <v/>
      </c>
      <c r="M321" t="str">
        <f t="shared" si="71"/>
        <v/>
      </c>
      <c r="N321">
        <f>IFERROR(IF(M321=0,"",COUNTIF($M$3:M321,"&gt;0")),"")</f>
        <v>33</v>
      </c>
      <c r="O321" t="str">
        <f t="shared" si="64"/>
        <v/>
      </c>
      <c r="P321" t="str">
        <f t="shared" si="72"/>
        <v/>
      </c>
      <c r="Q321" t="str">
        <f t="shared" si="73"/>
        <v/>
      </c>
      <c r="R321">
        <f>IFERROR(IF(Q321=0,"",COUNTIF($Q$3:Q321,"&gt;0")),"")</f>
        <v>16</v>
      </c>
      <c r="S321" t="str">
        <f t="shared" si="65"/>
        <v/>
      </c>
      <c r="T321" t="str">
        <f t="shared" si="74"/>
        <v/>
      </c>
      <c r="U321">
        <f>IFERROR(IF(T321=0,"",COUNTIF($T$3:T321,"&gt;0")),"")</f>
        <v>0</v>
      </c>
      <c r="V321" t="str">
        <f t="shared" si="66"/>
        <v/>
      </c>
      <c r="W321" t="e">
        <f t="shared" si="67"/>
        <v>#VALUE!</v>
      </c>
      <c r="X321">
        <f>'OTHER PLANT ATTN.'!C:C</f>
        <v>0</v>
      </c>
      <c r="Y321" t="e">
        <f>Table1[[#This Row],[CATEGORY ]]</f>
        <v>#VALUE!</v>
      </c>
      <c r="Z321" t="e">
        <f>Table1[[#This Row],[PLANT]]</f>
        <v>#VALUE!</v>
      </c>
    </row>
    <row r="322" spans="1:26">
      <c r="A322" t="e">
        <f t="shared" si="61"/>
        <v>#VALUE!</v>
      </c>
      <c r="B322" t="e">
        <f>Table4[[#This Row],[CATEGORY]]</f>
        <v>#VALUE!</v>
      </c>
      <c r="C322" t="e">
        <f>Table4[[#This Row],[SUB-CATEGORY]]</f>
        <v>#VALUE!</v>
      </c>
      <c r="D322">
        <f>'RJ ATTENDENCE SHEET'!C:C</f>
        <v>0</v>
      </c>
      <c r="E322" t="e">
        <f t="shared" ref="E322:E385" si="75">C322</f>
        <v>#VALUE!</v>
      </c>
      <c r="F322" t="str">
        <f t="shared" si="68"/>
        <v/>
      </c>
      <c r="G322">
        <f>IFERROR(IF(F322=0,"",COUNTIF($F$3:F322,"&gt;0")),"")</f>
        <v>16</v>
      </c>
      <c r="H322" t="str">
        <f t="shared" si="62"/>
        <v/>
      </c>
      <c r="I322" t="str">
        <f t="shared" si="69"/>
        <v/>
      </c>
      <c r="J322">
        <f>IFERROR(IF(I322=0,"",COUNTIF($I$3:I322,"&gt;0")),"")</f>
        <v>34</v>
      </c>
      <c r="K322" t="str">
        <f t="shared" si="63"/>
        <v/>
      </c>
      <c r="L322" t="str">
        <f t="shared" si="70"/>
        <v/>
      </c>
      <c r="M322" t="str">
        <f t="shared" si="71"/>
        <v/>
      </c>
      <c r="N322">
        <f>IFERROR(IF(M322=0,"",COUNTIF($M$3:M322,"&gt;0")),"")</f>
        <v>33</v>
      </c>
      <c r="O322" t="str">
        <f t="shared" si="64"/>
        <v/>
      </c>
      <c r="P322" t="str">
        <f t="shared" si="72"/>
        <v/>
      </c>
      <c r="Q322" t="str">
        <f t="shared" si="73"/>
        <v/>
      </c>
      <c r="R322">
        <f>IFERROR(IF(Q322=0,"",COUNTIF($Q$3:Q322,"&gt;0")),"")</f>
        <v>16</v>
      </c>
      <c r="S322" t="str">
        <f t="shared" si="65"/>
        <v/>
      </c>
      <c r="T322" t="str">
        <f t="shared" si="74"/>
        <v/>
      </c>
      <c r="U322">
        <f>IFERROR(IF(T322=0,"",COUNTIF($T$3:T322,"&gt;0")),"")</f>
        <v>0</v>
      </c>
      <c r="V322" t="str">
        <f t="shared" si="66"/>
        <v/>
      </c>
      <c r="W322" t="e">
        <f t="shared" si="67"/>
        <v>#VALUE!</v>
      </c>
      <c r="X322">
        <f>'OTHER PLANT ATTN.'!C:C</f>
        <v>0</v>
      </c>
      <c r="Y322" t="e">
        <f>Table1[[#This Row],[CATEGORY ]]</f>
        <v>#VALUE!</v>
      </c>
      <c r="Z322" t="e">
        <f>Table1[[#This Row],[PLANT]]</f>
        <v>#VALUE!</v>
      </c>
    </row>
    <row r="323" spans="1:26">
      <c r="A323" t="e">
        <f t="shared" ref="A323:A386" si="76">CONCATENATE(B323,C323,D323)</f>
        <v>#VALUE!</v>
      </c>
      <c r="B323" t="e">
        <f>Table4[[#This Row],[CATEGORY]]</f>
        <v>#VALUE!</v>
      </c>
      <c r="C323" t="e">
        <f>Table4[[#This Row],[SUB-CATEGORY]]</f>
        <v>#VALUE!</v>
      </c>
      <c r="D323">
        <f>'RJ ATTENDENCE SHEET'!C:C</f>
        <v>0</v>
      </c>
      <c r="E323" t="e">
        <f t="shared" si="75"/>
        <v>#VALUE!</v>
      </c>
      <c r="F323" t="str">
        <f t="shared" si="68"/>
        <v/>
      </c>
      <c r="G323">
        <f>IFERROR(IF(F323=0,"",COUNTIF($F$3:F323,"&gt;0")),"")</f>
        <v>16</v>
      </c>
      <c r="H323" t="str">
        <f t="shared" ref="H323:H386" si="77">IFERROR(VLOOKUP(INDEX($A:$A,MATCH(ROW(F321),G:G,0)),$A:$D,4,0),"")</f>
        <v/>
      </c>
      <c r="I323" t="str">
        <f t="shared" si="69"/>
        <v/>
      </c>
      <c r="J323">
        <f>IFERROR(IF(I323=0,"",COUNTIF($I$3:I323,"&gt;0")),"")</f>
        <v>34</v>
      </c>
      <c r="K323" t="str">
        <f t="shared" ref="K323:K386" si="78">IFERROR(VLOOKUP(INDEX($A:$A,MATCH(ROW(I321),J:J,0)),$A:$D,4,0),"")</f>
        <v/>
      </c>
      <c r="L323" t="str">
        <f t="shared" si="70"/>
        <v/>
      </c>
      <c r="M323" t="str">
        <f t="shared" si="71"/>
        <v/>
      </c>
      <c r="N323">
        <f>IFERROR(IF(M323=0,"",COUNTIF($M$3:M323,"&gt;0")),"")</f>
        <v>33</v>
      </c>
      <c r="O323" t="str">
        <f t="shared" ref="O323:O386" si="79">IFERROR(VLOOKUP(INDEX($A:$A,MATCH(ROW(M321),N:N,0)),$A:$D,4,0),"")</f>
        <v/>
      </c>
      <c r="P323" t="str">
        <f t="shared" si="72"/>
        <v/>
      </c>
      <c r="Q323" t="str">
        <f t="shared" si="73"/>
        <v/>
      </c>
      <c r="R323">
        <f>IFERROR(IF(Q323=0,"",COUNTIF($Q$3:Q323,"&gt;0")),"")</f>
        <v>16</v>
      </c>
      <c r="S323" t="str">
        <f t="shared" ref="S323:S386" si="80">IFERROR(VLOOKUP(INDEX($A:$A,MATCH(ROW(Q321),R:R,0)),$A:$D,4,0),"")</f>
        <v/>
      </c>
      <c r="T323" t="str">
        <f t="shared" si="74"/>
        <v/>
      </c>
      <c r="U323">
        <f>IFERROR(IF(T323=0,"",COUNTIF($T$3:T323,"&gt;0")),"")</f>
        <v>0</v>
      </c>
      <c r="V323" t="str">
        <f t="shared" ref="V323:V386" si="81">IFERROR(VLOOKUP(INDEX($A:$A,MATCH(ROW(T321),U:U,0)),$A:$D,4,0),"")</f>
        <v/>
      </c>
      <c r="W323" t="e">
        <f t="shared" ref="W323:W386" si="82">CONCATENATE(Z323,Y323,X323)</f>
        <v>#VALUE!</v>
      </c>
      <c r="X323">
        <f>'OTHER PLANT ATTN.'!C:C</f>
        <v>0</v>
      </c>
      <c r="Y323" t="e">
        <f>Table1[[#This Row],[CATEGORY ]]</f>
        <v>#VALUE!</v>
      </c>
      <c r="Z323" t="e">
        <f>Table1[[#This Row],[PLANT]]</f>
        <v>#VALUE!</v>
      </c>
    </row>
    <row r="324" spans="1:26">
      <c r="A324" t="e">
        <f t="shared" si="76"/>
        <v>#VALUE!</v>
      </c>
      <c r="B324" t="e">
        <f>Table4[[#This Row],[CATEGORY]]</f>
        <v>#VALUE!</v>
      </c>
      <c r="C324" t="e">
        <f>Table4[[#This Row],[SUB-CATEGORY]]</f>
        <v>#VALUE!</v>
      </c>
      <c r="D324">
        <f>'RJ ATTENDENCE SHEET'!C:C</f>
        <v>0</v>
      </c>
      <c r="E324" t="e">
        <f t="shared" si="75"/>
        <v>#VALUE!</v>
      </c>
      <c r="F324" t="str">
        <f t="shared" ref="F324:F387" si="83">IFERROR(SEARCH("SALARYOFFICE",$A:$A),"")</f>
        <v/>
      </c>
      <c r="G324">
        <f>IFERROR(IF(F324=0,"",COUNTIF($F$3:F324,"&gt;0")),"")</f>
        <v>16</v>
      </c>
      <c r="H324" t="str">
        <f t="shared" si="77"/>
        <v/>
      </c>
      <c r="I324" t="str">
        <f t="shared" ref="I324:I387" si="84">IFERROR(SEARCH("WAGES",$A:$A),"")</f>
        <v/>
      </c>
      <c r="J324">
        <f>IFERROR(IF(I324=0,"",COUNTIF($I$3:I324,"&gt;0")),"")</f>
        <v>34</v>
      </c>
      <c r="K324" t="str">
        <f t="shared" si="78"/>
        <v/>
      </c>
      <c r="L324" t="str">
        <f t="shared" ref="L324:L387" si="85">IFERROR(VLOOKUP(K324,$D:$E,2,0),"")</f>
        <v/>
      </c>
      <c r="M324" t="str">
        <f t="shared" ref="M324:M387" si="86">IFERROR(SEARCH("CONTRACT",$A:$A),"")</f>
        <v/>
      </c>
      <c r="N324">
        <f>IFERROR(IF(M324=0,"",COUNTIF($M$3:M324,"&gt;0")),"")</f>
        <v>33</v>
      </c>
      <c r="O324" t="str">
        <f t="shared" si="79"/>
        <v/>
      </c>
      <c r="P324" t="str">
        <f t="shared" ref="P324:P387" si="87">IFERROR(VLOOKUP(O324,$D:$E,2,0),"")</f>
        <v/>
      </c>
      <c r="Q324" t="str">
        <f t="shared" ref="Q324:Q387" si="88">IFERROR(SEARCH("SALARY",$A:$A),"")</f>
        <v/>
      </c>
      <c r="R324">
        <f>IFERROR(IF(Q324=0,"",COUNTIF($Q$3:Q324,"&gt;0")),"")</f>
        <v>16</v>
      </c>
      <c r="S324" t="str">
        <f t="shared" si="80"/>
        <v/>
      </c>
      <c r="T324" t="str">
        <f t="shared" ref="T324:T387" si="89">IFERROR(SEARCH("OTHERS0",$A:$A),"")</f>
        <v/>
      </c>
      <c r="U324">
        <f>IFERROR(IF(T324=0,"",COUNTIF($T$3:T324,"&gt;0")),"")</f>
        <v>0</v>
      </c>
      <c r="V324" t="str">
        <f t="shared" si="81"/>
        <v/>
      </c>
      <c r="W324" t="e">
        <f t="shared" si="82"/>
        <v>#VALUE!</v>
      </c>
      <c r="X324">
        <f>'OTHER PLANT ATTN.'!C:C</f>
        <v>0</v>
      </c>
      <c r="Y324" t="e">
        <f>Table1[[#This Row],[CATEGORY ]]</f>
        <v>#VALUE!</v>
      </c>
      <c r="Z324" t="e">
        <f>Table1[[#This Row],[PLANT]]</f>
        <v>#VALUE!</v>
      </c>
    </row>
    <row r="325" spans="1:26">
      <c r="A325" t="e">
        <f t="shared" si="76"/>
        <v>#VALUE!</v>
      </c>
      <c r="B325" t="e">
        <f>Table4[[#This Row],[CATEGORY]]</f>
        <v>#VALUE!</v>
      </c>
      <c r="C325" t="e">
        <f>Table4[[#This Row],[SUB-CATEGORY]]</f>
        <v>#VALUE!</v>
      </c>
      <c r="D325">
        <f>'RJ ATTENDENCE SHEET'!C:C</f>
        <v>0</v>
      </c>
      <c r="E325" t="e">
        <f t="shared" si="75"/>
        <v>#VALUE!</v>
      </c>
      <c r="F325" t="str">
        <f t="shared" si="83"/>
        <v/>
      </c>
      <c r="G325">
        <f>IFERROR(IF(F325=0,"",COUNTIF($F$3:F325,"&gt;0")),"")</f>
        <v>16</v>
      </c>
      <c r="H325" t="str">
        <f t="shared" si="77"/>
        <v/>
      </c>
      <c r="I325" t="str">
        <f t="shared" si="84"/>
        <v/>
      </c>
      <c r="J325">
        <f>IFERROR(IF(I325=0,"",COUNTIF($I$3:I325,"&gt;0")),"")</f>
        <v>34</v>
      </c>
      <c r="K325" t="str">
        <f t="shared" si="78"/>
        <v/>
      </c>
      <c r="L325" t="str">
        <f t="shared" si="85"/>
        <v/>
      </c>
      <c r="M325" t="str">
        <f t="shared" si="86"/>
        <v/>
      </c>
      <c r="N325">
        <f>IFERROR(IF(M325=0,"",COUNTIF($M$3:M325,"&gt;0")),"")</f>
        <v>33</v>
      </c>
      <c r="O325" t="str">
        <f t="shared" si="79"/>
        <v/>
      </c>
      <c r="P325" t="str">
        <f t="shared" si="87"/>
        <v/>
      </c>
      <c r="Q325" t="str">
        <f t="shared" si="88"/>
        <v/>
      </c>
      <c r="R325">
        <f>IFERROR(IF(Q325=0,"",COUNTIF($Q$3:Q325,"&gt;0")),"")</f>
        <v>16</v>
      </c>
      <c r="S325" t="str">
        <f t="shared" si="80"/>
        <v/>
      </c>
      <c r="T325" t="str">
        <f t="shared" si="89"/>
        <v/>
      </c>
      <c r="U325">
        <f>IFERROR(IF(T325=0,"",COUNTIF($T$3:T325,"&gt;0")),"")</f>
        <v>0</v>
      </c>
      <c r="V325" t="str">
        <f t="shared" si="81"/>
        <v/>
      </c>
      <c r="W325" t="e">
        <f t="shared" si="82"/>
        <v>#VALUE!</v>
      </c>
      <c r="X325">
        <f>'OTHER PLANT ATTN.'!C:C</f>
        <v>0</v>
      </c>
      <c r="Y325" t="e">
        <f>Table1[[#This Row],[CATEGORY ]]</f>
        <v>#VALUE!</v>
      </c>
      <c r="Z325" t="e">
        <f>Table1[[#This Row],[PLANT]]</f>
        <v>#VALUE!</v>
      </c>
    </row>
    <row r="326" spans="1:26">
      <c r="A326" t="e">
        <f t="shared" si="76"/>
        <v>#VALUE!</v>
      </c>
      <c r="B326" t="e">
        <f>Table4[[#This Row],[CATEGORY]]</f>
        <v>#VALUE!</v>
      </c>
      <c r="C326" t="e">
        <f>Table4[[#This Row],[SUB-CATEGORY]]</f>
        <v>#VALUE!</v>
      </c>
      <c r="D326">
        <f>'RJ ATTENDENCE SHEET'!C:C</f>
        <v>0</v>
      </c>
      <c r="E326" t="e">
        <f t="shared" si="75"/>
        <v>#VALUE!</v>
      </c>
      <c r="F326" t="str">
        <f t="shared" si="83"/>
        <v/>
      </c>
      <c r="G326">
        <f>IFERROR(IF(F326=0,"",COUNTIF($F$3:F326,"&gt;0")),"")</f>
        <v>16</v>
      </c>
      <c r="H326" t="str">
        <f t="shared" si="77"/>
        <v/>
      </c>
      <c r="I326" t="str">
        <f t="shared" si="84"/>
        <v/>
      </c>
      <c r="J326">
        <f>IFERROR(IF(I326=0,"",COUNTIF($I$3:I326,"&gt;0")),"")</f>
        <v>34</v>
      </c>
      <c r="K326" t="str">
        <f t="shared" si="78"/>
        <v/>
      </c>
      <c r="L326" t="str">
        <f t="shared" si="85"/>
        <v/>
      </c>
      <c r="M326" t="str">
        <f t="shared" si="86"/>
        <v/>
      </c>
      <c r="N326">
        <f>IFERROR(IF(M326=0,"",COUNTIF($M$3:M326,"&gt;0")),"")</f>
        <v>33</v>
      </c>
      <c r="O326" t="str">
        <f t="shared" si="79"/>
        <v/>
      </c>
      <c r="P326" t="str">
        <f t="shared" si="87"/>
        <v/>
      </c>
      <c r="Q326" t="str">
        <f t="shared" si="88"/>
        <v/>
      </c>
      <c r="R326">
        <f>IFERROR(IF(Q326=0,"",COUNTIF($Q$3:Q326,"&gt;0")),"")</f>
        <v>16</v>
      </c>
      <c r="S326" t="str">
        <f t="shared" si="80"/>
        <v/>
      </c>
      <c r="T326" t="str">
        <f t="shared" si="89"/>
        <v/>
      </c>
      <c r="U326">
        <f>IFERROR(IF(T326=0,"",COUNTIF($T$3:T326,"&gt;0")),"")</f>
        <v>0</v>
      </c>
      <c r="V326" t="str">
        <f t="shared" si="81"/>
        <v/>
      </c>
      <c r="W326" t="e">
        <f t="shared" si="82"/>
        <v>#VALUE!</v>
      </c>
      <c r="X326">
        <f>'OTHER PLANT ATTN.'!C:C</f>
        <v>0</v>
      </c>
      <c r="Y326" t="e">
        <f>Table1[[#This Row],[CATEGORY ]]</f>
        <v>#VALUE!</v>
      </c>
      <c r="Z326" t="e">
        <f>Table1[[#This Row],[PLANT]]</f>
        <v>#VALUE!</v>
      </c>
    </row>
    <row r="327" spans="1:26">
      <c r="A327" t="e">
        <f t="shared" si="76"/>
        <v>#VALUE!</v>
      </c>
      <c r="B327" t="e">
        <f>Table4[[#This Row],[CATEGORY]]</f>
        <v>#VALUE!</v>
      </c>
      <c r="C327" t="e">
        <f>Table4[[#This Row],[SUB-CATEGORY]]</f>
        <v>#VALUE!</v>
      </c>
      <c r="D327">
        <f>'RJ ATTENDENCE SHEET'!C:C</f>
        <v>0</v>
      </c>
      <c r="E327" t="e">
        <f t="shared" si="75"/>
        <v>#VALUE!</v>
      </c>
      <c r="F327" t="str">
        <f t="shared" si="83"/>
        <v/>
      </c>
      <c r="G327">
        <f>IFERROR(IF(F327=0,"",COUNTIF($F$3:F327,"&gt;0")),"")</f>
        <v>16</v>
      </c>
      <c r="H327" t="str">
        <f t="shared" si="77"/>
        <v/>
      </c>
      <c r="I327" t="str">
        <f t="shared" si="84"/>
        <v/>
      </c>
      <c r="J327">
        <f>IFERROR(IF(I327=0,"",COUNTIF($I$3:I327,"&gt;0")),"")</f>
        <v>34</v>
      </c>
      <c r="K327" t="str">
        <f t="shared" si="78"/>
        <v/>
      </c>
      <c r="L327" t="str">
        <f t="shared" si="85"/>
        <v/>
      </c>
      <c r="M327" t="str">
        <f t="shared" si="86"/>
        <v/>
      </c>
      <c r="N327">
        <f>IFERROR(IF(M327=0,"",COUNTIF($M$3:M327,"&gt;0")),"")</f>
        <v>33</v>
      </c>
      <c r="O327" t="str">
        <f t="shared" si="79"/>
        <v/>
      </c>
      <c r="P327" t="str">
        <f t="shared" si="87"/>
        <v/>
      </c>
      <c r="Q327" t="str">
        <f t="shared" si="88"/>
        <v/>
      </c>
      <c r="R327">
        <f>IFERROR(IF(Q327=0,"",COUNTIF($Q$3:Q327,"&gt;0")),"")</f>
        <v>16</v>
      </c>
      <c r="S327" t="str">
        <f t="shared" si="80"/>
        <v/>
      </c>
      <c r="T327" t="str">
        <f t="shared" si="89"/>
        <v/>
      </c>
      <c r="U327">
        <f>IFERROR(IF(T327=0,"",COUNTIF($T$3:T327,"&gt;0")),"")</f>
        <v>0</v>
      </c>
      <c r="V327" t="str">
        <f t="shared" si="81"/>
        <v/>
      </c>
      <c r="W327" t="e">
        <f t="shared" si="82"/>
        <v>#VALUE!</v>
      </c>
      <c r="X327">
        <f>'OTHER PLANT ATTN.'!C:C</f>
        <v>0</v>
      </c>
      <c r="Y327" t="e">
        <f>Table1[[#This Row],[CATEGORY ]]</f>
        <v>#VALUE!</v>
      </c>
      <c r="Z327" t="e">
        <f>Table1[[#This Row],[PLANT]]</f>
        <v>#VALUE!</v>
      </c>
    </row>
    <row r="328" spans="1:26">
      <c r="A328" t="e">
        <f t="shared" si="76"/>
        <v>#VALUE!</v>
      </c>
      <c r="B328" t="e">
        <f>Table4[[#This Row],[CATEGORY]]</f>
        <v>#VALUE!</v>
      </c>
      <c r="C328" t="e">
        <f>Table4[[#This Row],[SUB-CATEGORY]]</f>
        <v>#VALUE!</v>
      </c>
      <c r="D328">
        <f>'RJ ATTENDENCE SHEET'!C:C</f>
        <v>0</v>
      </c>
      <c r="E328" t="e">
        <f t="shared" si="75"/>
        <v>#VALUE!</v>
      </c>
      <c r="F328" t="str">
        <f t="shared" si="83"/>
        <v/>
      </c>
      <c r="G328">
        <f>IFERROR(IF(F328=0,"",COUNTIF($F$3:F328,"&gt;0")),"")</f>
        <v>16</v>
      </c>
      <c r="H328" t="str">
        <f t="shared" si="77"/>
        <v/>
      </c>
      <c r="I328" t="str">
        <f t="shared" si="84"/>
        <v/>
      </c>
      <c r="J328">
        <f>IFERROR(IF(I328=0,"",COUNTIF($I$3:I328,"&gt;0")),"")</f>
        <v>34</v>
      </c>
      <c r="K328" t="str">
        <f t="shared" si="78"/>
        <v/>
      </c>
      <c r="L328" t="str">
        <f t="shared" si="85"/>
        <v/>
      </c>
      <c r="M328" t="str">
        <f t="shared" si="86"/>
        <v/>
      </c>
      <c r="N328">
        <f>IFERROR(IF(M328=0,"",COUNTIF($M$3:M328,"&gt;0")),"")</f>
        <v>33</v>
      </c>
      <c r="O328" t="str">
        <f t="shared" si="79"/>
        <v/>
      </c>
      <c r="P328" t="str">
        <f t="shared" si="87"/>
        <v/>
      </c>
      <c r="Q328" t="str">
        <f t="shared" si="88"/>
        <v/>
      </c>
      <c r="R328">
        <f>IFERROR(IF(Q328=0,"",COUNTIF($Q$3:Q328,"&gt;0")),"")</f>
        <v>16</v>
      </c>
      <c r="S328" t="str">
        <f t="shared" si="80"/>
        <v/>
      </c>
      <c r="T328" t="str">
        <f t="shared" si="89"/>
        <v/>
      </c>
      <c r="U328">
        <f>IFERROR(IF(T328=0,"",COUNTIF($T$3:T328,"&gt;0")),"")</f>
        <v>0</v>
      </c>
      <c r="V328" t="str">
        <f t="shared" si="81"/>
        <v/>
      </c>
      <c r="W328" t="e">
        <f t="shared" si="82"/>
        <v>#VALUE!</v>
      </c>
      <c r="X328">
        <f>'OTHER PLANT ATTN.'!C:C</f>
        <v>0</v>
      </c>
      <c r="Y328" t="e">
        <f>Table1[[#This Row],[CATEGORY ]]</f>
        <v>#VALUE!</v>
      </c>
      <c r="Z328" t="e">
        <f>Table1[[#This Row],[PLANT]]</f>
        <v>#VALUE!</v>
      </c>
    </row>
    <row r="329" spans="1:26">
      <c r="A329" t="e">
        <f t="shared" si="76"/>
        <v>#VALUE!</v>
      </c>
      <c r="B329" t="e">
        <f>Table4[[#This Row],[CATEGORY]]</f>
        <v>#VALUE!</v>
      </c>
      <c r="C329" t="e">
        <f>Table4[[#This Row],[SUB-CATEGORY]]</f>
        <v>#VALUE!</v>
      </c>
      <c r="D329">
        <f>'RJ ATTENDENCE SHEET'!C:C</f>
        <v>0</v>
      </c>
      <c r="E329" t="e">
        <f t="shared" si="75"/>
        <v>#VALUE!</v>
      </c>
      <c r="F329" t="str">
        <f t="shared" si="83"/>
        <v/>
      </c>
      <c r="G329">
        <f>IFERROR(IF(F329=0,"",COUNTIF($F$3:F329,"&gt;0")),"")</f>
        <v>16</v>
      </c>
      <c r="H329" t="str">
        <f t="shared" si="77"/>
        <v/>
      </c>
      <c r="I329" t="str">
        <f t="shared" si="84"/>
        <v/>
      </c>
      <c r="J329">
        <f>IFERROR(IF(I329=0,"",COUNTIF($I$3:I329,"&gt;0")),"")</f>
        <v>34</v>
      </c>
      <c r="K329" t="str">
        <f t="shared" si="78"/>
        <v/>
      </c>
      <c r="L329" t="str">
        <f t="shared" si="85"/>
        <v/>
      </c>
      <c r="M329" t="str">
        <f t="shared" si="86"/>
        <v/>
      </c>
      <c r="N329">
        <f>IFERROR(IF(M329=0,"",COUNTIF($M$3:M329,"&gt;0")),"")</f>
        <v>33</v>
      </c>
      <c r="O329" t="str">
        <f t="shared" si="79"/>
        <v/>
      </c>
      <c r="P329" t="str">
        <f t="shared" si="87"/>
        <v/>
      </c>
      <c r="Q329" t="str">
        <f t="shared" si="88"/>
        <v/>
      </c>
      <c r="R329">
        <f>IFERROR(IF(Q329=0,"",COUNTIF($Q$3:Q329,"&gt;0")),"")</f>
        <v>16</v>
      </c>
      <c r="S329" t="str">
        <f t="shared" si="80"/>
        <v/>
      </c>
      <c r="T329" t="str">
        <f t="shared" si="89"/>
        <v/>
      </c>
      <c r="U329">
        <f>IFERROR(IF(T329=0,"",COUNTIF($T$3:T329,"&gt;0")),"")</f>
        <v>0</v>
      </c>
      <c r="V329" t="str">
        <f t="shared" si="81"/>
        <v/>
      </c>
      <c r="W329" t="e">
        <f t="shared" si="82"/>
        <v>#VALUE!</v>
      </c>
      <c r="X329">
        <f>'OTHER PLANT ATTN.'!C:C</f>
        <v>0</v>
      </c>
      <c r="Y329" t="e">
        <f>Table1[[#This Row],[CATEGORY ]]</f>
        <v>#VALUE!</v>
      </c>
      <c r="Z329" t="e">
        <f>Table1[[#This Row],[PLANT]]</f>
        <v>#VALUE!</v>
      </c>
    </row>
    <row r="330" spans="1:26">
      <c r="A330" t="e">
        <f t="shared" si="76"/>
        <v>#VALUE!</v>
      </c>
      <c r="B330" t="e">
        <f>Table4[[#This Row],[CATEGORY]]</f>
        <v>#VALUE!</v>
      </c>
      <c r="C330" t="e">
        <f>Table4[[#This Row],[SUB-CATEGORY]]</f>
        <v>#VALUE!</v>
      </c>
      <c r="D330">
        <f>'RJ ATTENDENCE SHEET'!C:C</f>
        <v>0</v>
      </c>
      <c r="E330" t="e">
        <f t="shared" si="75"/>
        <v>#VALUE!</v>
      </c>
      <c r="F330" t="str">
        <f t="shared" si="83"/>
        <v/>
      </c>
      <c r="G330">
        <f>IFERROR(IF(F330=0,"",COUNTIF($F$3:F330,"&gt;0")),"")</f>
        <v>16</v>
      </c>
      <c r="H330" t="str">
        <f t="shared" si="77"/>
        <v/>
      </c>
      <c r="I330" t="str">
        <f t="shared" si="84"/>
        <v/>
      </c>
      <c r="J330">
        <f>IFERROR(IF(I330=0,"",COUNTIF($I$3:I330,"&gt;0")),"")</f>
        <v>34</v>
      </c>
      <c r="K330" t="str">
        <f t="shared" si="78"/>
        <v/>
      </c>
      <c r="L330" t="str">
        <f t="shared" si="85"/>
        <v/>
      </c>
      <c r="M330" t="str">
        <f t="shared" si="86"/>
        <v/>
      </c>
      <c r="N330">
        <f>IFERROR(IF(M330=0,"",COUNTIF($M$3:M330,"&gt;0")),"")</f>
        <v>33</v>
      </c>
      <c r="O330" t="str">
        <f t="shared" si="79"/>
        <v/>
      </c>
      <c r="P330" t="str">
        <f t="shared" si="87"/>
        <v/>
      </c>
      <c r="Q330" t="str">
        <f t="shared" si="88"/>
        <v/>
      </c>
      <c r="R330">
        <f>IFERROR(IF(Q330=0,"",COUNTIF($Q$3:Q330,"&gt;0")),"")</f>
        <v>16</v>
      </c>
      <c r="S330" t="str">
        <f t="shared" si="80"/>
        <v/>
      </c>
      <c r="T330" t="str">
        <f t="shared" si="89"/>
        <v/>
      </c>
      <c r="U330">
        <f>IFERROR(IF(T330=0,"",COUNTIF($T$3:T330,"&gt;0")),"")</f>
        <v>0</v>
      </c>
      <c r="V330" t="str">
        <f t="shared" si="81"/>
        <v/>
      </c>
      <c r="W330" t="e">
        <f t="shared" si="82"/>
        <v>#VALUE!</v>
      </c>
      <c r="X330">
        <f>'OTHER PLANT ATTN.'!C:C</f>
        <v>0</v>
      </c>
      <c r="Y330" t="e">
        <f>Table1[[#This Row],[CATEGORY ]]</f>
        <v>#VALUE!</v>
      </c>
      <c r="Z330" t="e">
        <f>Table1[[#This Row],[PLANT]]</f>
        <v>#VALUE!</v>
      </c>
    </row>
    <row r="331" spans="1:26">
      <c r="A331" t="e">
        <f t="shared" si="76"/>
        <v>#VALUE!</v>
      </c>
      <c r="B331" t="e">
        <f>Table4[[#This Row],[CATEGORY]]</f>
        <v>#VALUE!</v>
      </c>
      <c r="C331" t="e">
        <f>Table4[[#This Row],[SUB-CATEGORY]]</f>
        <v>#VALUE!</v>
      </c>
      <c r="D331">
        <f>'RJ ATTENDENCE SHEET'!C:C</f>
        <v>0</v>
      </c>
      <c r="E331" t="e">
        <f t="shared" si="75"/>
        <v>#VALUE!</v>
      </c>
      <c r="F331" t="str">
        <f t="shared" si="83"/>
        <v/>
      </c>
      <c r="G331">
        <f>IFERROR(IF(F331=0,"",COUNTIF($F$3:F331,"&gt;0")),"")</f>
        <v>16</v>
      </c>
      <c r="H331" t="str">
        <f t="shared" si="77"/>
        <v/>
      </c>
      <c r="I331" t="str">
        <f t="shared" si="84"/>
        <v/>
      </c>
      <c r="J331">
        <f>IFERROR(IF(I331=0,"",COUNTIF($I$3:I331,"&gt;0")),"")</f>
        <v>34</v>
      </c>
      <c r="K331" t="str">
        <f t="shared" si="78"/>
        <v/>
      </c>
      <c r="L331" t="str">
        <f t="shared" si="85"/>
        <v/>
      </c>
      <c r="M331" t="str">
        <f t="shared" si="86"/>
        <v/>
      </c>
      <c r="N331">
        <f>IFERROR(IF(M331=0,"",COUNTIF($M$3:M331,"&gt;0")),"")</f>
        <v>33</v>
      </c>
      <c r="O331" t="str">
        <f t="shared" si="79"/>
        <v/>
      </c>
      <c r="P331" t="str">
        <f t="shared" si="87"/>
        <v/>
      </c>
      <c r="Q331" t="str">
        <f t="shared" si="88"/>
        <v/>
      </c>
      <c r="R331">
        <f>IFERROR(IF(Q331=0,"",COUNTIF($Q$3:Q331,"&gt;0")),"")</f>
        <v>16</v>
      </c>
      <c r="S331" t="str">
        <f t="shared" si="80"/>
        <v/>
      </c>
      <c r="T331" t="str">
        <f t="shared" si="89"/>
        <v/>
      </c>
      <c r="U331">
        <f>IFERROR(IF(T331=0,"",COUNTIF($T$3:T331,"&gt;0")),"")</f>
        <v>0</v>
      </c>
      <c r="V331" t="str">
        <f t="shared" si="81"/>
        <v/>
      </c>
      <c r="W331" t="e">
        <f t="shared" si="82"/>
        <v>#VALUE!</v>
      </c>
      <c r="X331">
        <f>'OTHER PLANT ATTN.'!C:C</f>
        <v>0</v>
      </c>
      <c r="Y331" t="e">
        <f>Table1[[#This Row],[CATEGORY ]]</f>
        <v>#VALUE!</v>
      </c>
      <c r="Z331" t="e">
        <f>Table1[[#This Row],[PLANT]]</f>
        <v>#VALUE!</v>
      </c>
    </row>
    <row r="332" spans="1:26">
      <c r="A332" t="e">
        <f t="shared" si="76"/>
        <v>#VALUE!</v>
      </c>
      <c r="B332" t="e">
        <f>Table4[[#This Row],[CATEGORY]]</f>
        <v>#VALUE!</v>
      </c>
      <c r="C332" t="e">
        <f>Table4[[#This Row],[SUB-CATEGORY]]</f>
        <v>#VALUE!</v>
      </c>
      <c r="D332">
        <f>'RJ ATTENDENCE SHEET'!C:C</f>
        <v>0</v>
      </c>
      <c r="E332" t="e">
        <f t="shared" si="75"/>
        <v>#VALUE!</v>
      </c>
      <c r="F332" t="str">
        <f t="shared" si="83"/>
        <v/>
      </c>
      <c r="G332">
        <f>IFERROR(IF(F332=0,"",COUNTIF($F$3:F332,"&gt;0")),"")</f>
        <v>16</v>
      </c>
      <c r="H332" t="str">
        <f t="shared" si="77"/>
        <v/>
      </c>
      <c r="I332" t="str">
        <f t="shared" si="84"/>
        <v/>
      </c>
      <c r="J332">
        <f>IFERROR(IF(I332=0,"",COUNTIF($I$3:I332,"&gt;0")),"")</f>
        <v>34</v>
      </c>
      <c r="K332" t="str">
        <f t="shared" si="78"/>
        <v/>
      </c>
      <c r="L332" t="str">
        <f t="shared" si="85"/>
        <v/>
      </c>
      <c r="M332" t="str">
        <f t="shared" si="86"/>
        <v/>
      </c>
      <c r="N332">
        <f>IFERROR(IF(M332=0,"",COUNTIF($M$3:M332,"&gt;0")),"")</f>
        <v>33</v>
      </c>
      <c r="O332" t="str">
        <f t="shared" si="79"/>
        <v/>
      </c>
      <c r="P332" t="str">
        <f t="shared" si="87"/>
        <v/>
      </c>
      <c r="Q332" t="str">
        <f t="shared" si="88"/>
        <v/>
      </c>
      <c r="R332">
        <f>IFERROR(IF(Q332=0,"",COUNTIF($Q$3:Q332,"&gt;0")),"")</f>
        <v>16</v>
      </c>
      <c r="S332" t="str">
        <f t="shared" si="80"/>
        <v/>
      </c>
      <c r="T332" t="str">
        <f t="shared" si="89"/>
        <v/>
      </c>
      <c r="U332">
        <f>IFERROR(IF(T332=0,"",COUNTIF($T$3:T332,"&gt;0")),"")</f>
        <v>0</v>
      </c>
      <c r="V332" t="str">
        <f t="shared" si="81"/>
        <v/>
      </c>
      <c r="W332" t="e">
        <f t="shared" si="82"/>
        <v>#VALUE!</v>
      </c>
      <c r="X332">
        <f>'OTHER PLANT ATTN.'!C:C</f>
        <v>0</v>
      </c>
      <c r="Y332" t="e">
        <f>Table1[[#This Row],[CATEGORY ]]</f>
        <v>#VALUE!</v>
      </c>
      <c r="Z332" t="e">
        <f>Table1[[#This Row],[PLANT]]</f>
        <v>#VALUE!</v>
      </c>
    </row>
    <row r="333" spans="1:26">
      <c r="A333" t="e">
        <f t="shared" si="76"/>
        <v>#VALUE!</v>
      </c>
      <c r="B333" t="e">
        <f>Table4[[#This Row],[CATEGORY]]</f>
        <v>#VALUE!</v>
      </c>
      <c r="C333" t="e">
        <f>Table4[[#This Row],[SUB-CATEGORY]]</f>
        <v>#VALUE!</v>
      </c>
      <c r="D333">
        <f>'RJ ATTENDENCE SHEET'!C:C</f>
        <v>0</v>
      </c>
      <c r="E333" t="e">
        <f t="shared" si="75"/>
        <v>#VALUE!</v>
      </c>
      <c r="F333" t="str">
        <f t="shared" si="83"/>
        <v/>
      </c>
      <c r="G333">
        <f>IFERROR(IF(F333=0,"",COUNTIF($F$3:F333,"&gt;0")),"")</f>
        <v>16</v>
      </c>
      <c r="H333" t="str">
        <f t="shared" si="77"/>
        <v/>
      </c>
      <c r="I333" t="str">
        <f t="shared" si="84"/>
        <v/>
      </c>
      <c r="J333">
        <f>IFERROR(IF(I333=0,"",COUNTIF($I$3:I333,"&gt;0")),"")</f>
        <v>34</v>
      </c>
      <c r="K333" t="str">
        <f t="shared" si="78"/>
        <v/>
      </c>
      <c r="L333" t="str">
        <f t="shared" si="85"/>
        <v/>
      </c>
      <c r="M333" t="str">
        <f t="shared" si="86"/>
        <v/>
      </c>
      <c r="N333">
        <f>IFERROR(IF(M333=0,"",COUNTIF($M$3:M333,"&gt;0")),"")</f>
        <v>33</v>
      </c>
      <c r="O333" t="str">
        <f t="shared" si="79"/>
        <v/>
      </c>
      <c r="P333" t="str">
        <f t="shared" si="87"/>
        <v/>
      </c>
      <c r="Q333" t="str">
        <f t="shared" si="88"/>
        <v/>
      </c>
      <c r="R333">
        <f>IFERROR(IF(Q333=0,"",COUNTIF($Q$3:Q333,"&gt;0")),"")</f>
        <v>16</v>
      </c>
      <c r="S333" t="str">
        <f t="shared" si="80"/>
        <v/>
      </c>
      <c r="T333" t="str">
        <f t="shared" si="89"/>
        <v/>
      </c>
      <c r="U333">
        <f>IFERROR(IF(T333=0,"",COUNTIF($T$3:T333,"&gt;0")),"")</f>
        <v>0</v>
      </c>
      <c r="V333" t="str">
        <f t="shared" si="81"/>
        <v/>
      </c>
      <c r="W333" t="e">
        <f t="shared" si="82"/>
        <v>#VALUE!</v>
      </c>
      <c r="X333">
        <f>'OTHER PLANT ATTN.'!C:C</f>
        <v>0</v>
      </c>
      <c r="Y333" t="e">
        <f>Table1[[#This Row],[CATEGORY ]]</f>
        <v>#VALUE!</v>
      </c>
      <c r="Z333" t="e">
        <f>Table1[[#This Row],[PLANT]]</f>
        <v>#VALUE!</v>
      </c>
    </row>
    <row r="334" spans="1:26">
      <c r="A334" t="e">
        <f t="shared" si="76"/>
        <v>#VALUE!</v>
      </c>
      <c r="B334" t="e">
        <f>Table4[[#This Row],[CATEGORY]]</f>
        <v>#VALUE!</v>
      </c>
      <c r="C334" t="e">
        <f>Table4[[#This Row],[SUB-CATEGORY]]</f>
        <v>#VALUE!</v>
      </c>
      <c r="D334">
        <f>'RJ ATTENDENCE SHEET'!C:C</f>
        <v>0</v>
      </c>
      <c r="E334" t="e">
        <f t="shared" si="75"/>
        <v>#VALUE!</v>
      </c>
      <c r="F334" t="str">
        <f t="shared" si="83"/>
        <v/>
      </c>
      <c r="G334">
        <f>IFERROR(IF(F334=0,"",COUNTIF($F$3:F334,"&gt;0")),"")</f>
        <v>16</v>
      </c>
      <c r="H334" t="str">
        <f t="shared" si="77"/>
        <v/>
      </c>
      <c r="I334" t="str">
        <f t="shared" si="84"/>
        <v/>
      </c>
      <c r="J334">
        <f>IFERROR(IF(I334=0,"",COUNTIF($I$3:I334,"&gt;0")),"")</f>
        <v>34</v>
      </c>
      <c r="K334" t="str">
        <f t="shared" si="78"/>
        <v/>
      </c>
      <c r="L334" t="str">
        <f t="shared" si="85"/>
        <v/>
      </c>
      <c r="M334" t="str">
        <f t="shared" si="86"/>
        <v/>
      </c>
      <c r="N334">
        <f>IFERROR(IF(M334=0,"",COUNTIF($M$3:M334,"&gt;0")),"")</f>
        <v>33</v>
      </c>
      <c r="O334" t="str">
        <f t="shared" si="79"/>
        <v/>
      </c>
      <c r="P334" t="str">
        <f t="shared" si="87"/>
        <v/>
      </c>
      <c r="Q334" t="str">
        <f t="shared" si="88"/>
        <v/>
      </c>
      <c r="R334">
        <f>IFERROR(IF(Q334=0,"",COUNTIF($Q$3:Q334,"&gt;0")),"")</f>
        <v>16</v>
      </c>
      <c r="S334" t="str">
        <f t="shared" si="80"/>
        <v/>
      </c>
      <c r="T334" t="str">
        <f t="shared" si="89"/>
        <v/>
      </c>
      <c r="U334">
        <f>IFERROR(IF(T334=0,"",COUNTIF($T$3:T334,"&gt;0")),"")</f>
        <v>0</v>
      </c>
      <c r="V334" t="str">
        <f t="shared" si="81"/>
        <v/>
      </c>
      <c r="W334" t="e">
        <f t="shared" si="82"/>
        <v>#VALUE!</v>
      </c>
      <c r="X334">
        <f>'OTHER PLANT ATTN.'!C:C</f>
        <v>0</v>
      </c>
      <c r="Y334" t="e">
        <f>Table1[[#This Row],[CATEGORY ]]</f>
        <v>#VALUE!</v>
      </c>
      <c r="Z334" t="e">
        <f>Table1[[#This Row],[PLANT]]</f>
        <v>#VALUE!</v>
      </c>
    </row>
    <row r="335" spans="1:26">
      <c r="A335" t="e">
        <f t="shared" si="76"/>
        <v>#VALUE!</v>
      </c>
      <c r="B335" t="e">
        <f>Table4[[#This Row],[CATEGORY]]</f>
        <v>#VALUE!</v>
      </c>
      <c r="C335" t="e">
        <f>Table4[[#This Row],[SUB-CATEGORY]]</f>
        <v>#VALUE!</v>
      </c>
      <c r="D335">
        <f>'RJ ATTENDENCE SHEET'!C:C</f>
        <v>0</v>
      </c>
      <c r="E335" t="e">
        <f t="shared" si="75"/>
        <v>#VALUE!</v>
      </c>
      <c r="F335" t="str">
        <f t="shared" si="83"/>
        <v/>
      </c>
      <c r="G335">
        <f>IFERROR(IF(F335=0,"",COUNTIF($F$3:F335,"&gt;0")),"")</f>
        <v>16</v>
      </c>
      <c r="H335" t="str">
        <f t="shared" si="77"/>
        <v/>
      </c>
      <c r="I335" t="str">
        <f t="shared" si="84"/>
        <v/>
      </c>
      <c r="J335">
        <f>IFERROR(IF(I335=0,"",COUNTIF($I$3:I335,"&gt;0")),"")</f>
        <v>34</v>
      </c>
      <c r="K335" t="str">
        <f t="shared" si="78"/>
        <v/>
      </c>
      <c r="L335" t="str">
        <f t="shared" si="85"/>
        <v/>
      </c>
      <c r="M335" t="str">
        <f t="shared" si="86"/>
        <v/>
      </c>
      <c r="N335">
        <f>IFERROR(IF(M335=0,"",COUNTIF($M$3:M335,"&gt;0")),"")</f>
        <v>33</v>
      </c>
      <c r="O335" t="str">
        <f t="shared" si="79"/>
        <v/>
      </c>
      <c r="P335" t="str">
        <f t="shared" si="87"/>
        <v/>
      </c>
      <c r="Q335" t="str">
        <f t="shared" si="88"/>
        <v/>
      </c>
      <c r="R335">
        <f>IFERROR(IF(Q335=0,"",COUNTIF($Q$3:Q335,"&gt;0")),"")</f>
        <v>16</v>
      </c>
      <c r="S335" t="str">
        <f t="shared" si="80"/>
        <v/>
      </c>
      <c r="T335" t="str">
        <f t="shared" si="89"/>
        <v/>
      </c>
      <c r="U335">
        <f>IFERROR(IF(T335=0,"",COUNTIF($T$3:T335,"&gt;0")),"")</f>
        <v>0</v>
      </c>
      <c r="V335" t="str">
        <f t="shared" si="81"/>
        <v/>
      </c>
      <c r="W335" t="e">
        <f t="shared" si="82"/>
        <v>#VALUE!</v>
      </c>
      <c r="X335">
        <f>'OTHER PLANT ATTN.'!C:C</f>
        <v>0</v>
      </c>
      <c r="Y335" t="e">
        <f>Table1[[#This Row],[CATEGORY ]]</f>
        <v>#VALUE!</v>
      </c>
      <c r="Z335" t="e">
        <f>Table1[[#This Row],[PLANT]]</f>
        <v>#VALUE!</v>
      </c>
    </row>
    <row r="336" spans="1:26">
      <c r="A336" t="e">
        <f t="shared" si="76"/>
        <v>#VALUE!</v>
      </c>
      <c r="B336" t="e">
        <f>Table4[[#This Row],[CATEGORY]]</f>
        <v>#VALUE!</v>
      </c>
      <c r="C336" t="e">
        <f>Table4[[#This Row],[SUB-CATEGORY]]</f>
        <v>#VALUE!</v>
      </c>
      <c r="D336">
        <f>'RJ ATTENDENCE SHEET'!C:C</f>
        <v>0</v>
      </c>
      <c r="E336" t="e">
        <f t="shared" si="75"/>
        <v>#VALUE!</v>
      </c>
      <c r="F336" t="str">
        <f t="shared" si="83"/>
        <v/>
      </c>
      <c r="G336">
        <f>IFERROR(IF(F336=0,"",COUNTIF($F$3:F336,"&gt;0")),"")</f>
        <v>16</v>
      </c>
      <c r="H336" t="str">
        <f t="shared" si="77"/>
        <v/>
      </c>
      <c r="I336" t="str">
        <f t="shared" si="84"/>
        <v/>
      </c>
      <c r="J336">
        <f>IFERROR(IF(I336=0,"",COUNTIF($I$3:I336,"&gt;0")),"")</f>
        <v>34</v>
      </c>
      <c r="K336" t="str">
        <f t="shared" si="78"/>
        <v/>
      </c>
      <c r="L336" t="str">
        <f t="shared" si="85"/>
        <v/>
      </c>
      <c r="M336" t="str">
        <f t="shared" si="86"/>
        <v/>
      </c>
      <c r="N336">
        <f>IFERROR(IF(M336=0,"",COUNTIF($M$3:M336,"&gt;0")),"")</f>
        <v>33</v>
      </c>
      <c r="O336" t="str">
        <f t="shared" si="79"/>
        <v/>
      </c>
      <c r="P336" t="str">
        <f t="shared" si="87"/>
        <v/>
      </c>
      <c r="Q336" t="str">
        <f t="shared" si="88"/>
        <v/>
      </c>
      <c r="R336">
        <f>IFERROR(IF(Q336=0,"",COUNTIF($Q$3:Q336,"&gt;0")),"")</f>
        <v>16</v>
      </c>
      <c r="S336" t="str">
        <f t="shared" si="80"/>
        <v/>
      </c>
      <c r="T336" t="str">
        <f t="shared" si="89"/>
        <v/>
      </c>
      <c r="U336">
        <f>IFERROR(IF(T336=0,"",COUNTIF($T$3:T336,"&gt;0")),"")</f>
        <v>0</v>
      </c>
      <c r="V336" t="str">
        <f t="shared" si="81"/>
        <v/>
      </c>
      <c r="W336" t="e">
        <f t="shared" si="82"/>
        <v>#VALUE!</v>
      </c>
      <c r="X336">
        <f>'OTHER PLANT ATTN.'!C:C</f>
        <v>0</v>
      </c>
      <c r="Y336" t="e">
        <f>Table1[[#This Row],[CATEGORY ]]</f>
        <v>#VALUE!</v>
      </c>
      <c r="Z336" t="e">
        <f>Table1[[#This Row],[PLANT]]</f>
        <v>#VALUE!</v>
      </c>
    </row>
    <row r="337" spans="1:26">
      <c r="A337" t="e">
        <f t="shared" si="76"/>
        <v>#VALUE!</v>
      </c>
      <c r="B337" t="e">
        <f>Table4[[#This Row],[CATEGORY]]</f>
        <v>#VALUE!</v>
      </c>
      <c r="C337" t="e">
        <f>Table4[[#This Row],[SUB-CATEGORY]]</f>
        <v>#VALUE!</v>
      </c>
      <c r="D337">
        <f>'RJ ATTENDENCE SHEET'!C:C</f>
        <v>0</v>
      </c>
      <c r="E337" t="e">
        <f t="shared" si="75"/>
        <v>#VALUE!</v>
      </c>
      <c r="F337" t="str">
        <f t="shared" si="83"/>
        <v/>
      </c>
      <c r="G337">
        <f>IFERROR(IF(F337=0,"",COUNTIF($F$3:F337,"&gt;0")),"")</f>
        <v>16</v>
      </c>
      <c r="H337" t="str">
        <f t="shared" si="77"/>
        <v/>
      </c>
      <c r="I337" t="str">
        <f t="shared" si="84"/>
        <v/>
      </c>
      <c r="J337">
        <f>IFERROR(IF(I337=0,"",COUNTIF($I$3:I337,"&gt;0")),"")</f>
        <v>34</v>
      </c>
      <c r="K337" t="str">
        <f t="shared" si="78"/>
        <v/>
      </c>
      <c r="L337" t="str">
        <f t="shared" si="85"/>
        <v/>
      </c>
      <c r="M337" t="str">
        <f t="shared" si="86"/>
        <v/>
      </c>
      <c r="N337">
        <f>IFERROR(IF(M337=0,"",COUNTIF($M$3:M337,"&gt;0")),"")</f>
        <v>33</v>
      </c>
      <c r="O337" t="str">
        <f t="shared" si="79"/>
        <v/>
      </c>
      <c r="P337" t="str">
        <f t="shared" si="87"/>
        <v/>
      </c>
      <c r="Q337" t="str">
        <f t="shared" si="88"/>
        <v/>
      </c>
      <c r="R337">
        <f>IFERROR(IF(Q337=0,"",COUNTIF($Q$3:Q337,"&gt;0")),"")</f>
        <v>16</v>
      </c>
      <c r="S337" t="str">
        <f t="shared" si="80"/>
        <v/>
      </c>
      <c r="T337" t="str">
        <f t="shared" si="89"/>
        <v/>
      </c>
      <c r="U337">
        <f>IFERROR(IF(T337=0,"",COUNTIF($T$3:T337,"&gt;0")),"")</f>
        <v>0</v>
      </c>
      <c r="V337" t="str">
        <f t="shared" si="81"/>
        <v/>
      </c>
      <c r="W337" t="e">
        <f t="shared" si="82"/>
        <v>#VALUE!</v>
      </c>
      <c r="X337">
        <f>'OTHER PLANT ATTN.'!C:C</f>
        <v>0</v>
      </c>
      <c r="Y337" t="e">
        <f>Table1[[#This Row],[CATEGORY ]]</f>
        <v>#VALUE!</v>
      </c>
      <c r="Z337" t="e">
        <f>Table1[[#This Row],[PLANT]]</f>
        <v>#VALUE!</v>
      </c>
    </row>
    <row r="338" spans="1:26">
      <c r="A338" t="e">
        <f t="shared" si="76"/>
        <v>#VALUE!</v>
      </c>
      <c r="B338" t="e">
        <f>Table4[[#This Row],[CATEGORY]]</f>
        <v>#VALUE!</v>
      </c>
      <c r="C338" t="e">
        <f>Table4[[#This Row],[SUB-CATEGORY]]</f>
        <v>#VALUE!</v>
      </c>
      <c r="D338">
        <f>'RJ ATTENDENCE SHEET'!C:C</f>
        <v>0</v>
      </c>
      <c r="E338" t="e">
        <f t="shared" si="75"/>
        <v>#VALUE!</v>
      </c>
      <c r="F338" t="str">
        <f t="shared" si="83"/>
        <v/>
      </c>
      <c r="G338">
        <f>IFERROR(IF(F338=0,"",COUNTIF($F$3:F338,"&gt;0")),"")</f>
        <v>16</v>
      </c>
      <c r="H338" t="str">
        <f t="shared" si="77"/>
        <v/>
      </c>
      <c r="I338" t="str">
        <f t="shared" si="84"/>
        <v/>
      </c>
      <c r="J338">
        <f>IFERROR(IF(I338=0,"",COUNTIF($I$3:I338,"&gt;0")),"")</f>
        <v>34</v>
      </c>
      <c r="K338" t="str">
        <f t="shared" si="78"/>
        <v/>
      </c>
      <c r="L338" t="str">
        <f t="shared" si="85"/>
        <v/>
      </c>
      <c r="M338" t="str">
        <f t="shared" si="86"/>
        <v/>
      </c>
      <c r="N338">
        <f>IFERROR(IF(M338=0,"",COUNTIF($M$3:M338,"&gt;0")),"")</f>
        <v>33</v>
      </c>
      <c r="O338" t="str">
        <f t="shared" si="79"/>
        <v/>
      </c>
      <c r="P338" t="str">
        <f t="shared" si="87"/>
        <v/>
      </c>
      <c r="Q338" t="str">
        <f t="shared" si="88"/>
        <v/>
      </c>
      <c r="R338">
        <f>IFERROR(IF(Q338=0,"",COUNTIF($Q$3:Q338,"&gt;0")),"")</f>
        <v>16</v>
      </c>
      <c r="S338" t="str">
        <f t="shared" si="80"/>
        <v/>
      </c>
      <c r="T338" t="str">
        <f t="shared" si="89"/>
        <v/>
      </c>
      <c r="U338">
        <f>IFERROR(IF(T338=0,"",COUNTIF($T$3:T338,"&gt;0")),"")</f>
        <v>0</v>
      </c>
      <c r="V338" t="str">
        <f t="shared" si="81"/>
        <v/>
      </c>
      <c r="W338" t="e">
        <f t="shared" si="82"/>
        <v>#VALUE!</v>
      </c>
      <c r="X338">
        <f>'OTHER PLANT ATTN.'!C:C</f>
        <v>0</v>
      </c>
      <c r="Y338" t="e">
        <f>Table1[[#This Row],[CATEGORY ]]</f>
        <v>#VALUE!</v>
      </c>
      <c r="Z338" t="e">
        <f>Table1[[#This Row],[PLANT]]</f>
        <v>#VALUE!</v>
      </c>
    </row>
    <row r="339" spans="1:26">
      <c r="A339" t="e">
        <f t="shared" si="76"/>
        <v>#VALUE!</v>
      </c>
      <c r="B339" t="e">
        <f>Table4[[#This Row],[CATEGORY]]</f>
        <v>#VALUE!</v>
      </c>
      <c r="C339" t="e">
        <f>Table4[[#This Row],[SUB-CATEGORY]]</f>
        <v>#VALUE!</v>
      </c>
      <c r="D339">
        <f>'RJ ATTENDENCE SHEET'!C:C</f>
        <v>0</v>
      </c>
      <c r="E339" t="e">
        <f t="shared" si="75"/>
        <v>#VALUE!</v>
      </c>
      <c r="F339" t="str">
        <f t="shared" si="83"/>
        <v/>
      </c>
      <c r="G339">
        <f>IFERROR(IF(F339=0,"",COUNTIF($F$3:F339,"&gt;0")),"")</f>
        <v>16</v>
      </c>
      <c r="H339" t="str">
        <f t="shared" si="77"/>
        <v/>
      </c>
      <c r="I339" t="str">
        <f t="shared" si="84"/>
        <v/>
      </c>
      <c r="J339">
        <f>IFERROR(IF(I339=0,"",COUNTIF($I$3:I339,"&gt;0")),"")</f>
        <v>34</v>
      </c>
      <c r="K339" t="str">
        <f t="shared" si="78"/>
        <v/>
      </c>
      <c r="L339" t="str">
        <f t="shared" si="85"/>
        <v/>
      </c>
      <c r="M339" t="str">
        <f t="shared" si="86"/>
        <v/>
      </c>
      <c r="N339">
        <f>IFERROR(IF(M339=0,"",COUNTIF($M$3:M339,"&gt;0")),"")</f>
        <v>33</v>
      </c>
      <c r="O339" t="str">
        <f t="shared" si="79"/>
        <v/>
      </c>
      <c r="P339" t="str">
        <f t="shared" si="87"/>
        <v/>
      </c>
      <c r="Q339" t="str">
        <f t="shared" si="88"/>
        <v/>
      </c>
      <c r="R339">
        <f>IFERROR(IF(Q339=0,"",COUNTIF($Q$3:Q339,"&gt;0")),"")</f>
        <v>16</v>
      </c>
      <c r="S339" t="str">
        <f t="shared" si="80"/>
        <v/>
      </c>
      <c r="T339" t="str">
        <f t="shared" si="89"/>
        <v/>
      </c>
      <c r="U339">
        <f>IFERROR(IF(T339=0,"",COUNTIF($T$3:T339,"&gt;0")),"")</f>
        <v>0</v>
      </c>
      <c r="V339" t="str">
        <f t="shared" si="81"/>
        <v/>
      </c>
      <c r="W339" t="e">
        <f t="shared" si="82"/>
        <v>#VALUE!</v>
      </c>
      <c r="X339">
        <f>'OTHER PLANT ATTN.'!C:C</f>
        <v>0</v>
      </c>
      <c r="Y339" t="e">
        <f>Table1[[#This Row],[CATEGORY ]]</f>
        <v>#VALUE!</v>
      </c>
      <c r="Z339" t="e">
        <f>Table1[[#This Row],[PLANT]]</f>
        <v>#VALUE!</v>
      </c>
    </row>
    <row r="340" spans="1:26">
      <c r="A340" t="e">
        <f t="shared" si="76"/>
        <v>#VALUE!</v>
      </c>
      <c r="B340" t="e">
        <f>Table4[[#This Row],[CATEGORY]]</f>
        <v>#VALUE!</v>
      </c>
      <c r="C340" t="e">
        <f>Table4[[#This Row],[SUB-CATEGORY]]</f>
        <v>#VALUE!</v>
      </c>
      <c r="D340">
        <f>'RJ ATTENDENCE SHEET'!C:C</f>
        <v>0</v>
      </c>
      <c r="E340" t="e">
        <f t="shared" si="75"/>
        <v>#VALUE!</v>
      </c>
      <c r="F340" t="str">
        <f t="shared" si="83"/>
        <v/>
      </c>
      <c r="G340">
        <f>IFERROR(IF(F340=0,"",COUNTIF($F$3:F340,"&gt;0")),"")</f>
        <v>16</v>
      </c>
      <c r="H340" t="str">
        <f t="shared" si="77"/>
        <v/>
      </c>
      <c r="I340" t="str">
        <f t="shared" si="84"/>
        <v/>
      </c>
      <c r="J340">
        <f>IFERROR(IF(I340=0,"",COUNTIF($I$3:I340,"&gt;0")),"")</f>
        <v>34</v>
      </c>
      <c r="K340" t="str">
        <f t="shared" si="78"/>
        <v/>
      </c>
      <c r="L340" t="str">
        <f t="shared" si="85"/>
        <v/>
      </c>
      <c r="M340" t="str">
        <f t="shared" si="86"/>
        <v/>
      </c>
      <c r="N340">
        <f>IFERROR(IF(M340=0,"",COUNTIF($M$3:M340,"&gt;0")),"")</f>
        <v>33</v>
      </c>
      <c r="O340" t="str">
        <f t="shared" si="79"/>
        <v/>
      </c>
      <c r="P340" t="str">
        <f t="shared" si="87"/>
        <v/>
      </c>
      <c r="Q340" t="str">
        <f t="shared" si="88"/>
        <v/>
      </c>
      <c r="R340">
        <f>IFERROR(IF(Q340=0,"",COUNTIF($Q$3:Q340,"&gt;0")),"")</f>
        <v>16</v>
      </c>
      <c r="S340" t="str">
        <f t="shared" si="80"/>
        <v/>
      </c>
      <c r="T340" t="str">
        <f t="shared" si="89"/>
        <v/>
      </c>
      <c r="U340">
        <f>IFERROR(IF(T340=0,"",COUNTIF($T$3:T340,"&gt;0")),"")</f>
        <v>0</v>
      </c>
      <c r="V340" t="str">
        <f t="shared" si="81"/>
        <v/>
      </c>
      <c r="W340" t="e">
        <f t="shared" si="82"/>
        <v>#VALUE!</v>
      </c>
      <c r="X340">
        <f>'OTHER PLANT ATTN.'!C:C</f>
        <v>0</v>
      </c>
      <c r="Y340" t="e">
        <f>Table1[[#This Row],[CATEGORY ]]</f>
        <v>#VALUE!</v>
      </c>
      <c r="Z340" t="e">
        <f>Table1[[#This Row],[PLANT]]</f>
        <v>#VALUE!</v>
      </c>
    </row>
    <row r="341" spans="1:26">
      <c r="A341" t="e">
        <f t="shared" si="76"/>
        <v>#VALUE!</v>
      </c>
      <c r="B341" t="e">
        <f>Table4[[#This Row],[CATEGORY]]</f>
        <v>#VALUE!</v>
      </c>
      <c r="C341" t="e">
        <f>Table4[[#This Row],[SUB-CATEGORY]]</f>
        <v>#VALUE!</v>
      </c>
      <c r="D341">
        <f>'RJ ATTENDENCE SHEET'!C:C</f>
        <v>0</v>
      </c>
      <c r="E341" t="e">
        <f t="shared" si="75"/>
        <v>#VALUE!</v>
      </c>
      <c r="F341" t="str">
        <f t="shared" si="83"/>
        <v/>
      </c>
      <c r="G341">
        <f>IFERROR(IF(F341=0,"",COUNTIF($F$3:F341,"&gt;0")),"")</f>
        <v>16</v>
      </c>
      <c r="H341" t="str">
        <f t="shared" si="77"/>
        <v/>
      </c>
      <c r="I341" t="str">
        <f t="shared" si="84"/>
        <v/>
      </c>
      <c r="J341">
        <f>IFERROR(IF(I341=0,"",COUNTIF($I$3:I341,"&gt;0")),"")</f>
        <v>34</v>
      </c>
      <c r="K341" t="str">
        <f t="shared" si="78"/>
        <v/>
      </c>
      <c r="L341" t="str">
        <f t="shared" si="85"/>
        <v/>
      </c>
      <c r="M341" t="str">
        <f t="shared" si="86"/>
        <v/>
      </c>
      <c r="N341">
        <f>IFERROR(IF(M341=0,"",COUNTIF($M$3:M341,"&gt;0")),"")</f>
        <v>33</v>
      </c>
      <c r="O341" t="str">
        <f t="shared" si="79"/>
        <v/>
      </c>
      <c r="P341" t="str">
        <f t="shared" si="87"/>
        <v/>
      </c>
      <c r="Q341" t="str">
        <f t="shared" si="88"/>
        <v/>
      </c>
      <c r="R341">
        <f>IFERROR(IF(Q341=0,"",COUNTIF($Q$3:Q341,"&gt;0")),"")</f>
        <v>16</v>
      </c>
      <c r="S341" t="str">
        <f t="shared" si="80"/>
        <v/>
      </c>
      <c r="T341" t="str">
        <f t="shared" si="89"/>
        <v/>
      </c>
      <c r="U341">
        <f>IFERROR(IF(T341=0,"",COUNTIF($T$3:T341,"&gt;0")),"")</f>
        <v>0</v>
      </c>
      <c r="V341" t="str">
        <f t="shared" si="81"/>
        <v/>
      </c>
      <c r="W341" t="e">
        <f t="shared" si="82"/>
        <v>#VALUE!</v>
      </c>
      <c r="X341">
        <f>'OTHER PLANT ATTN.'!C:C</f>
        <v>0</v>
      </c>
      <c r="Y341" t="e">
        <f>Table1[[#This Row],[CATEGORY ]]</f>
        <v>#VALUE!</v>
      </c>
      <c r="Z341" t="e">
        <f>Table1[[#This Row],[PLANT]]</f>
        <v>#VALUE!</v>
      </c>
    </row>
    <row r="342" spans="1:26">
      <c r="A342" t="e">
        <f t="shared" si="76"/>
        <v>#VALUE!</v>
      </c>
      <c r="B342" t="e">
        <f>Table4[[#This Row],[CATEGORY]]</f>
        <v>#VALUE!</v>
      </c>
      <c r="C342" t="e">
        <f>Table4[[#This Row],[SUB-CATEGORY]]</f>
        <v>#VALUE!</v>
      </c>
      <c r="D342">
        <f>'RJ ATTENDENCE SHEET'!C:C</f>
        <v>0</v>
      </c>
      <c r="E342" t="e">
        <f t="shared" si="75"/>
        <v>#VALUE!</v>
      </c>
      <c r="F342" t="str">
        <f t="shared" si="83"/>
        <v/>
      </c>
      <c r="G342">
        <f>IFERROR(IF(F342=0,"",COUNTIF($F$3:F342,"&gt;0")),"")</f>
        <v>16</v>
      </c>
      <c r="H342" t="str">
        <f t="shared" si="77"/>
        <v/>
      </c>
      <c r="I342" t="str">
        <f t="shared" si="84"/>
        <v/>
      </c>
      <c r="J342">
        <f>IFERROR(IF(I342=0,"",COUNTIF($I$3:I342,"&gt;0")),"")</f>
        <v>34</v>
      </c>
      <c r="K342" t="str">
        <f t="shared" si="78"/>
        <v/>
      </c>
      <c r="L342" t="str">
        <f t="shared" si="85"/>
        <v/>
      </c>
      <c r="M342" t="str">
        <f t="shared" si="86"/>
        <v/>
      </c>
      <c r="N342">
        <f>IFERROR(IF(M342=0,"",COUNTIF($M$3:M342,"&gt;0")),"")</f>
        <v>33</v>
      </c>
      <c r="O342" t="str">
        <f t="shared" si="79"/>
        <v/>
      </c>
      <c r="P342" t="str">
        <f t="shared" si="87"/>
        <v/>
      </c>
      <c r="Q342" t="str">
        <f t="shared" si="88"/>
        <v/>
      </c>
      <c r="R342">
        <f>IFERROR(IF(Q342=0,"",COUNTIF($Q$3:Q342,"&gt;0")),"")</f>
        <v>16</v>
      </c>
      <c r="S342" t="str">
        <f t="shared" si="80"/>
        <v/>
      </c>
      <c r="T342" t="str">
        <f t="shared" si="89"/>
        <v/>
      </c>
      <c r="U342">
        <f>IFERROR(IF(T342=0,"",COUNTIF($T$3:T342,"&gt;0")),"")</f>
        <v>0</v>
      </c>
      <c r="V342" t="str">
        <f t="shared" si="81"/>
        <v/>
      </c>
      <c r="W342" t="e">
        <f t="shared" si="82"/>
        <v>#VALUE!</v>
      </c>
      <c r="X342">
        <f>'OTHER PLANT ATTN.'!C:C</f>
        <v>0</v>
      </c>
      <c r="Y342" t="e">
        <f>Table1[[#This Row],[CATEGORY ]]</f>
        <v>#VALUE!</v>
      </c>
      <c r="Z342" t="e">
        <f>Table1[[#This Row],[PLANT]]</f>
        <v>#VALUE!</v>
      </c>
    </row>
    <row r="343" spans="1:26">
      <c r="A343" t="e">
        <f t="shared" si="76"/>
        <v>#VALUE!</v>
      </c>
      <c r="B343" t="e">
        <f>Table4[[#This Row],[CATEGORY]]</f>
        <v>#VALUE!</v>
      </c>
      <c r="C343" t="e">
        <f>Table4[[#This Row],[SUB-CATEGORY]]</f>
        <v>#VALUE!</v>
      </c>
      <c r="D343">
        <f>'RJ ATTENDENCE SHEET'!C:C</f>
        <v>0</v>
      </c>
      <c r="E343" t="e">
        <f t="shared" si="75"/>
        <v>#VALUE!</v>
      </c>
      <c r="F343" t="str">
        <f t="shared" si="83"/>
        <v/>
      </c>
      <c r="G343">
        <f>IFERROR(IF(F343=0,"",COUNTIF($F$3:F343,"&gt;0")),"")</f>
        <v>16</v>
      </c>
      <c r="H343" t="str">
        <f t="shared" si="77"/>
        <v/>
      </c>
      <c r="I343" t="str">
        <f t="shared" si="84"/>
        <v/>
      </c>
      <c r="J343">
        <f>IFERROR(IF(I343=0,"",COUNTIF($I$3:I343,"&gt;0")),"")</f>
        <v>34</v>
      </c>
      <c r="K343" t="str">
        <f t="shared" si="78"/>
        <v/>
      </c>
      <c r="L343" t="str">
        <f t="shared" si="85"/>
        <v/>
      </c>
      <c r="M343" t="str">
        <f t="shared" si="86"/>
        <v/>
      </c>
      <c r="N343">
        <f>IFERROR(IF(M343=0,"",COUNTIF($M$3:M343,"&gt;0")),"")</f>
        <v>33</v>
      </c>
      <c r="O343" t="str">
        <f t="shared" si="79"/>
        <v/>
      </c>
      <c r="P343" t="str">
        <f t="shared" si="87"/>
        <v/>
      </c>
      <c r="Q343" t="str">
        <f t="shared" si="88"/>
        <v/>
      </c>
      <c r="R343">
        <f>IFERROR(IF(Q343=0,"",COUNTIF($Q$3:Q343,"&gt;0")),"")</f>
        <v>16</v>
      </c>
      <c r="S343" t="str">
        <f t="shared" si="80"/>
        <v/>
      </c>
      <c r="T343" t="str">
        <f t="shared" si="89"/>
        <v/>
      </c>
      <c r="U343">
        <f>IFERROR(IF(T343=0,"",COUNTIF($T$3:T343,"&gt;0")),"")</f>
        <v>0</v>
      </c>
      <c r="V343" t="str">
        <f t="shared" si="81"/>
        <v/>
      </c>
      <c r="W343" t="e">
        <f t="shared" si="82"/>
        <v>#VALUE!</v>
      </c>
      <c r="X343">
        <f>'OTHER PLANT ATTN.'!C:C</f>
        <v>0</v>
      </c>
      <c r="Y343" t="e">
        <f>Table1[[#This Row],[CATEGORY ]]</f>
        <v>#VALUE!</v>
      </c>
      <c r="Z343" t="e">
        <f>Table1[[#This Row],[PLANT]]</f>
        <v>#VALUE!</v>
      </c>
    </row>
    <row r="344" spans="1:26">
      <c r="A344" t="e">
        <f t="shared" si="76"/>
        <v>#VALUE!</v>
      </c>
      <c r="B344" t="e">
        <f>Table4[[#This Row],[CATEGORY]]</f>
        <v>#VALUE!</v>
      </c>
      <c r="C344" t="e">
        <f>Table4[[#This Row],[SUB-CATEGORY]]</f>
        <v>#VALUE!</v>
      </c>
      <c r="D344">
        <f>'RJ ATTENDENCE SHEET'!C:C</f>
        <v>0</v>
      </c>
      <c r="E344" t="e">
        <f t="shared" si="75"/>
        <v>#VALUE!</v>
      </c>
      <c r="F344" t="str">
        <f t="shared" si="83"/>
        <v/>
      </c>
      <c r="G344">
        <f>IFERROR(IF(F344=0,"",COUNTIF($F$3:F344,"&gt;0")),"")</f>
        <v>16</v>
      </c>
      <c r="H344" t="str">
        <f t="shared" si="77"/>
        <v/>
      </c>
      <c r="I344" t="str">
        <f t="shared" si="84"/>
        <v/>
      </c>
      <c r="J344">
        <f>IFERROR(IF(I344=0,"",COUNTIF($I$3:I344,"&gt;0")),"")</f>
        <v>34</v>
      </c>
      <c r="K344" t="str">
        <f t="shared" si="78"/>
        <v/>
      </c>
      <c r="L344" t="str">
        <f t="shared" si="85"/>
        <v/>
      </c>
      <c r="M344" t="str">
        <f t="shared" si="86"/>
        <v/>
      </c>
      <c r="N344">
        <f>IFERROR(IF(M344=0,"",COUNTIF($M$3:M344,"&gt;0")),"")</f>
        <v>33</v>
      </c>
      <c r="O344" t="str">
        <f t="shared" si="79"/>
        <v/>
      </c>
      <c r="P344" t="str">
        <f t="shared" si="87"/>
        <v/>
      </c>
      <c r="Q344" t="str">
        <f t="shared" si="88"/>
        <v/>
      </c>
      <c r="R344">
        <f>IFERROR(IF(Q344=0,"",COUNTIF($Q$3:Q344,"&gt;0")),"")</f>
        <v>16</v>
      </c>
      <c r="S344" t="str">
        <f t="shared" si="80"/>
        <v/>
      </c>
      <c r="T344" t="str">
        <f t="shared" si="89"/>
        <v/>
      </c>
      <c r="U344">
        <f>IFERROR(IF(T344=0,"",COUNTIF($T$3:T344,"&gt;0")),"")</f>
        <v>0</v>
      </c>
      <c r="V344" t="str">
        <f t="shared" si="81"/>
        <v/>
      </c>
      <c r="W344" t="e">
        <f t="shared" si="82"/>
        <v>#VALUE!</v>
      </c>
      <c r="X344">
        <f>'OTHER PLANT ATTN.'!C:C</f>
        <v>0</v>
      </c>
      <c r="Y344" t="e">
        <f>Table1[[#This Row],[CATEGORY ]]</f>
        <v>#VALUE!</v>
      </c>
      <c r="Z344" t="e">
        <f>Table1[[#This Row],[PLANT]]</f>
        <v>#VALUE!</v>
      </c>
    </row>
    <row r="345" spans="1:26">
      <c r="A345" t="e">
        <f t="shared" si="76"/>
        <v>#VALUE!</v>
      </c>
      <c r="B345" t="e">
        <f>Table4[[#This Row],[CATEGORY]]</f>
        <v>#VALUE!</v>
      </c>
      <c r="C345" t="e">
        <f>Table4[[#This Row],[SUB-CATEGORY]]</f>
        <v>#VALUE!</v>
      </c>
      <c r="D345">
        <f>'RJ ATTENDENCE SHEET'!C:C</f>
        <v>0</v>
      </c>
      <c r="E345" t="e">
        <f t="shared" si="75"/>
        <v>#VALUE!</v>
      </c>
      <c r="F345" t="str">
        <f t="shared" si="83"/>
        <v/>
      </c>
      <c r="G345">
        <f>IFERROR(IF(F345=0,"",COUNTIF($F$3:F345,"&gt;0")),"")</f>
        <v>16</v>
      </c>
      <c r="H345" t="str">
        <f t="shared" si="77"/>
        <v/>
      </c>
      <c r="I345" t="str">
        <f t="shared" si="84"/>
        <v/>
      </c>
      <c r="J345">
        <f>IFERROR(IF(I345=0,"",COUNTIF($I$3:I345,"&gt;0")),"")</f>
        <v>34</v>
      </c>
      <c r="K345" t="str">
        <f t="shared" si="78"/>
        <v/>
      </c>
      <c r="L345" t="str">
        <f t="shared" si="85"/>
        <v/>
      </c>
      <c r="M345" t="str">
        <f t="shared" si="86"/>
        <v/>
      </c>
      <c r="N345">
        <f>IFERROR(IF(M345=0,"",COUNTIF($M$3:M345,"&gt;0")),"")</f>
        <v>33</v>
      </c>
      <c r="O345" t="str">
        <f t="shared" si="79"/>
        <v/>
      </c>
      <c r="P345" t="str">
        <f t="shared" si="87"/>
        <v/>
      </c>
      <c r="Q345" t="str">
        <f t="shared" si="88"/>
        <v/>
      </c>
      <c r="R345">
        <f>IFERROR(IF(Q345=0,"",COUNTIF($Q$3:Q345,"&gt;0")),"")</f>
        <v>16</v>
      </c>
      <c r="S345" t="str">
        <f t="shared" si="80"/>
        <v/>
      </c>
      <c r="T345" t="str">
        <f t="shared" si="89"/>
        <v/>
      </c>
      <c r="U345">
        <f>IFERROR(IF(T345=0,"",COUNTIF($T$3:T345,"&gt;0")),"")</f>
        <v>0</v>
      </c>
      <c r="V345" t="str">
        <f t="shared" si="81"/>
        <v/>
      </c>
      <c r="W345" t="e">
        <f t="shared" si="82"/>
        <v>#VALUE!</v>
      </c>
      <c r="X345">
        <f>'OTHER PLANT ATTN.'!C:C</f>
        <v>0</v>
      </c>
      <c r="Y345" t="e">
        <f>Table1[[#This Row],[CATEGORY ]]</f>
        <v>#VALUE!</v>
      </c>
      <c r="Z345" t="e">
        <f>Table1[[#This Row],[PLANT]]</f>
        <v>#VALUE!</v>
      </c>
    </row>
    <row r="346" spans="1:26">
      <c r="A346" t="e">
        <f t="shared" si="76"/>
        <v>#VALUE!</v>
      </c>
      <c r="B346" t="e">
        <f>Table4[[#This Row],[CATEGORY]]</f>
        <v>#VALUE!</v>
      </c>
      <c r="C346" t="e">
        <f>Table4[[#This Row],[SUB-CATEGORY]]</f>
        <v>#VALUE!</v>
      </c>
      <c r="D346">
        <f>'RJ ATTENDENCE SHEET'!C:C</f>
        <v>0</v>
      </c>
      <c r="E346" t="e">
        <f t="shared" si="75"/>
        <v>#VALUE!</v>
      </c>
      <c r="F346" t="str">
        <f t="shared" si="83"/>
        <v/>
      </c>
      <c r="G346">
        <f>IFERROR(IF(F346=0,"",COUNTIF($F$3:F346,"&gt;0")),"")</f>
        <v>16</v>
      </c>
      <c r="H346" t="str">
        <f t="shared" si="77"/>
        <v/>
      </c>
      <c r="I346" t="str">
        <f t="shared" si="84"/>
        <v/>
      </c>
      <c r="J346">
        <f>IFERROR(IF(I346=0,"",COUNTIF($I$3:I346,"&gt;0")),"")</f>
        <v>34</v>
      </c>
      <c r="K346" t="str">
        <f t="shared" si="78"/>
        <v/>
      </c>
      <c r="L346" t="str">
        <f t="shared" si="85"/>
        <v/>
      </c>
      <c r="M346" t="str">
        <f t="shared" si="86"/>
        <v/>
      </c>
      <c r="N346">
        <f>IFERROR(IF(M346=0,"",COUNTIF($M$3:M346,"&gt;0")),"")</f>
        <v>33</v>
      </c>
      <c r="O346" t="str">
        <f t="shared" si="79"/>
        <v/>
      </c>
      <c r="P346" t="str">
        <f t="shared" si="87"/>
        <v/>
      </c>
      <c r="Q346" t="str">
        <f t="shared" si="88"/>
        <v/>
      </c>
      <c r="R346">
        <f>IFERROR(IF(Q346=0,"",COUNTIF($Q$3:Q346,"&gt;0")),"")</f>
        <v>16</v>
      </c>
      <c r="S346" t="str">
        <f t="shared" si="80"/>
        <v/>
      </c>
      <c r="T346" t="str">
        <f t="shared" si="89"/>
        <v/>
      </c>
      <c r="U346">
        <f>IFERROR(IF(T346=0,"",COUNTIF($T$3:T346,"&gt;0")),"")</f>
        <v>0</v>
      </c>
      <c r="V346" t="str">
        <f t="shared" si="81"/>
        <v/>
      </c>
      <c r="W346" t="e">
        <f t="shared" si="82"/>
        <v>#VALUE!</v>
      </c>
      <c r="X346">
        <f>'OTHER PLANT ATTN.'!C:C</f>
        <v>0</v>
      </c>
      <c r="Y346" t="e">
        <f>Table1[[#This Row],[CATEGORY ]]</f>
        <v>#VALUE!</v>
      </c>
      <c r="Z346" t="e">
        <f>Table1[[#This Row],[PLANT]]</f>
        <v>#VALUE!</v>
      </c>
    </row>
    <row r="347" spans="1:26">
      <c r="A347" t="e">
        <f t="shared" si="76"/>
        <v>#VALUE!</v>
      </c>
      <c r="B347" t="e">
        <f>Table4[[#This Row],[CATEGORY]]</f>
        <v>#VALUE!</v>
      </c>
      <c r="C347" t="e">
        <f>Table4[[#This Row],[SUB-CATEGORY]]</f>
        <v>#VALUE!</v>
      </c>
      <c r="D347">
        <f>'RJ ATTENDENCE SHEET'!C:C</f>
        <v>0</v>
      </c>
      <c r="E347" t="e">
        <f t="shared" si="75"/>
        <v>#VALUE!</v>
      </c>
      <c r="F347" t="str">
        <f t="shared" si="83"/>
        <v/>
      </c>
      <c r="G347">
        <f>IFERROR(IF(F347=0,"",COUNTIF($F$3:F347,"&gt;0")),"")</f>
        <v>16</v>
      </c>
      <c r="H347" t="str">
        <f t="shared" si="77"/>
        <v/>
      </c>
      <c r="I347" t="str">
        <f t="shared" si="84"/>
        <v/>
      </c>
      <c r="J347">
        <f>IFERROR(IF(I347=0,"",COUNTIF($I$3:I347,"&gt;0")),"")</f>
        <v>34</v>
      </c>
      <c r="K347" t="str">
        <f t="shared" si="78"/>
        <v/>
      </c>
      <c r="L347" t="str">
        <f t="shared" si="85"/>
        <v/>
      </c>
      <c r="M347" t="str">
        <f t="shared" si="86"/>
        <v/>
      </c>
      <c r="N347">
        <f>IFERROR(IF(M347=0,"",COUNTIF($M$3:M347,"&gt;0")),"")</f>
        <v>33</v>
      </c>
      <c r="O347" t="str">
        <f t="shared" si="79"/>
        <v/>
      </c>
      <c r="P347" t="str">
        <f t="shared" si="87"/>
        <v/>
      </c>
      <c r="Q347" t="str">
        <f t="shared" si="88"/>
        <v/>
      </c>
      <c r="R347">
        <f>IFERROR(IF(Q347=0,"",COUNTIF($Q$3:Q347,"&gt;0")),"")</f>
        <v>16</v>
      </c>
      <c r="S347" t="str">
        <f t="shared" si="80"/>
        <v/>
      </c>
      <c r="T347" t="str">
        <f t="shared" si="89"/>
        <v/>
      </c>
      <c r="U347">
        <f>IFERROR(IF(T347=0,"",COUNTIF($T$3:T347,"&gt;0")),"")</f>
        <v>0</v>
      </c>
      <c r="V347" t="str">
        <f t="shared" si="81"/>
        <v/>
      </c>
      <c r="W347" t="e">
        <f t="shared" si="82"/>
        <v>#VALUE!</v>
      </c>
      <c r="X347">
        <f>'OTHER PLANT ATTN.'!C:C</f>
        <v>0</v>
      </c>
      <c r="Y347" t="e">
        <f>Table1[[#This Row],[CATEGORY ]]</f>
        <v>#VALUE!</v>
      </c>
      <c r="Z347" t="e">
        <f>Table1[[#This Row],[PLANT]]</f>
        <v>#VALUE!</v>
      </c>
    </row>
    <row r="348" spans="1:26">
      <c r="A348" t="e">
        <f t="shared" si="76"/>
        <v>#VALUE!</v>
      </c>
      <c r="B348" t="e">
        <f>Table4[[#This Row],[CATEGORY]]</f>
        <v>#VALUE!</v>
      </c>
      <c r="C348" t="e">
        <f>Table4[[#This Row],[SUB-CATEGORY]]</f>
        <v>#VALUE!</v>
      </c>
      <c r="D348">
        <f>'RJ ATTENDENCE SHEET'!C:C</f>
        <v>0</v>
      </c>
      <c r="E348" t="e">
        <f t="shared" si="75"/>
        <v>#VALUE!</v>
      </c>
      <c r="F348" t="str">
        <f t="shared" si="83"/>
        <v/>
      </c>
      <c r="G348">
        <f>IFERROR(IF(F348=0,"",COUNTIF($F$3:F348,"&gt;0")),"")</f>
        <v>16</v>
      </c>
      <c r="H348" t="str">
        <f t="shared" si="77"/>
        <v/>
      </c>
      <c r="I348" t="str">
        <f t="shared" si="84"/>
        <v/>
      </c>
      <c r="J348">
        <f>IFERROR(IF(I348=0,"",COUNTIF($I$3:I348,"&gt;0")),"")</f>
        <v>34</v>
      </c>
      <c r="K348" t="str">
        <f t="shared" si="78"/>
        <v/>
      </c>
      <c r="L348" t="str">
        <f t="shared" si="85"/>
        <v/>
      </c>
      <c r="M348" t="str">
        <f t="shared" si="86"/>
        <v/>
      </c>
      <c r="N348">
        <f>IFERROR(IF(M348=0,"",COUNTIF($M$3:M348,"&gt;0")),"")</f>
        <v>33</v>
      </c>
      <c r="O348" t="str">
        <f t="shared" si="79"/>
        <v/>
      </c>
      <c r="P348" t="str">
        <f t="shared" si="87"/>
        <v/>
      </c>
      <c r="Q348" t="str">
        <f t="shared" si="88"/>
        <v/>
      </c>
      <c r="R348">
        <f>IFERROR(IF(Q348=0,"",COUNTIF($Q$3:Q348,"&gt;0")),"")</f>
        <v>16</v>
      </c>
      <c r="S348" t="str">
        <f t="shared" si="80"/>
        <v/>
      </c>
      <c r="T348" t="str">
        <f t="shared" si="89"/>
        <v/>
      </c>
      <c r="U348">
        <f>IFERROR(IF(T348=0,"",COUNTIF($T$3:T348,"&gt;0")),"")</f>
        <v>0</v>
      </c>
      <c r="V348" t="str">
        <f t="shared" si="81"/>
        <v/>
      </c>
      <c r="W348" t="e">
        <f t="shared" si="82"/>
        <v>#VALUE!</v>
      </c>
      <c r="X348">
        <f>'OTHER PLANT ATTN.'!C:C</f>
        <v>0</v>
      </c>
      <c r="Y348" t="e">
        <f>Table1[[#This Row],[CATEGORY ]]</f>
        <v>#VALUE!</v>
      </c>
      <c r="Z348" t="e">
        <f>Table1[[#This Row],[PLANT]]</f>
        <v>#VALUE!</v>
      </c>
    </row>
    <row r="349" spans="1:26">
      <c r="A349" t="e">
        <f t="shared" si="76"/>
        <v>#VALUE!</v>
      </c>
      <c r="B349" t="e">
        <f>Table4[[#This Row],[CATEGORY]]</f>
        <v>#VALUE!</v>
      </c>
      <c r="C349" t="e">
        <f>Table4[[#This Row],[SUB-CATEGORY]]</f>
        <v>#VALUE!</v>
      </c>
      <c r="D349">
        <f>'RJ ATTENDENCE SHEET'!C:C</f>
        <v>0</v>
      </c>
      <c r="E349" t="e">
        <f t="shared" si="75"/>
        <v>#VALUE!</v>
      </c>
      <c r="F349" t="str">
        <f t="shared" si="83"/>
        <v/>
      </c>
      <c r="G349">
        <f>IFERROR(IF(F349=0,"",COUNTIF($F$3:F349,"&gt;0")),"")</f>
        <v>16</v>
      </c>
      <c r="H349" t="str">
        <f t="shared" si="77"/>
        <v/>
      </c>
      <c r="I349" t="str">
        <f t="shared" si="84"/>
        <v/>
      </c>
      <c r="J349">
        <f>IFERROR(IF(I349=0,"",COUNTIF($I$3:I349,"&gt;0")),"")</f>
        <v>34</v>
      </c>
      <c r="K349" t="str">
        <f t="shared" si="78"/>
        <v/>
      </c>
      <c r="L349" t="str">
        <f t="shared" si="85"/>
        <v/>
      </c>
      <c r="M349" t="str">
        <f t="shared" si="86"/>
        <v/>
      </c>
      <c r="N349">
        <f>IFERROR(IF(M349=0,"",COUNTIF($M$3:M349,"&gt;0")),"")</f>
        <v>33</v>
      </c>
      <c r="O349" t="str">
        <f t="shared" si="79"/>
        <v/>
      </c>
      <c r="P349" t="str">
        <f t="shared" si="87"/>
        <v/>
      </c>
      <c r="Q349" t="str">
        <f t="shared" si="88"/>
        <v/>
      </c>
      <c r="R349">
        <f>IFERROR(IF(Q349=0,"",COUNTIF($Q$3:Q349,"&gt;0")),"")</f>
        <v>16</v>
      </c>
      <c r="S349" t="str">
        <f t="shared" si="80"/>
        <v/>
      </c>
      <c r="T349" t="str">
        <f t="shared" si="89"/>
        <v/>
      </c>
      <c r="U349">
        <f>IFERROR(IF(T349=0,"",COUNTIF($T$3:T349,"&gt;0")),"")</f>
        <v>0</v>
      </c>
      <c r="V349" t="str">
        <f t="shared" si="81"/>
        <v/>
      </c>
      <c r="W349" t="e">
        <f t="shared" si="82"/>
        <v>#VALUE!</v>
      </c>
      <c r="X349">
        <f>'OTHER PLANT ATTN.'!C:C</f>
        <v>0</v>
      </c>
      <c r="Y349" t="e">
        <f>Table1[[#This Row],[CATEGORY ]]</f>
        <v>#VALUE!</v>
      </c>
      <c r="Z349" t="e">
        <f>Table1[[#This Row],[PLANT]]</f>
        <v>#VALUE!</v>
      </c>
    </row>
    <row r="350" spans="1:26">
      <c r="A350" t="e">
        <f t="shared" si="76"/>
        <v>#VALUE!</v>
      </c>
      <c r="B350" t="e">
        <f>Table4[[#This Row],[CATEGORY]]</f>
        <v>#VALUE!</v>
      </c>
      <c r="C350" t="e">
        <f>Table4[[#This Row],[SUB-CATEGORY]]</f>
        <v>#VALUE!</v>
      </c>
      <c r="D350">
        <f>'RJ ATTENDENCE SHEET'!C:C</f>
        <v>0</v>
      </c>
      <c r="E350" t="e">
        <f t="shared" si="75"/>
        <v>#VALUE!</v>
      </c>
      <c r="F350" t="str">
        <f t="shared" si="83"/>
        <v/>
      </c>
      <c r="G350">
        <f>IFERROR(IF(F350=0,"",COUNTIF($F$3:F350,"&gt;0")),"")</f>
        <v>16</v>
      </c>
      <c r="H350" t="str">
        <f t="shared" si="77"/>
        <v/>
      </c>
      <c r="I350" t="str">
        <f t="shared" si="84"/>
        <v/>
      </c>
      <c r="J350">
        <f>IFERROR(IF(I350=0,"",COUNTIF($I$3:I350,"&gt;0")),"")</f>
        <v>34</v>
      </c>
      <c r="K350" t="str">
        <f t="shared" si="78"/>
        <v/>
      </c>
      <c r="L350" t="str">
        <f t="shared" si="85"/>
        <v/>
      </c>
      <c r="M350" t="str">
        <f t="shared" si="86"/>
        <v/>
      </c>
      <c r="N350">
        <f>IFERROR(IF(M350=0,"",COUNTIF($M$3:M350,"&gt;0")),"")</f>
        <v>33</v>
      </c>
      <c r="O350" t="str">
        <f t="shared" si="79"/>
        <v/>
      </c>
      <c r="P350" t="str">
        <f t="shared" si="87"/>
        <v/>
      </c>
      <c r="Q350" t="str">
        <f t="shared" si="88"/>
        <v/>
      </c>
      <c r="R350">
        <f>IFERROR(IF(Q350=0,"",COUNTIF($Q$3:Q350,"&gt;0")),"")</f>
        <v>16</v>
      </c>
      <c r="S350" t="str">
        <f t="shared" si="80"/>
        <v/>
      </c>
      <c r="T350" t="str">
        <f t="shared" si="89"/>
        <v/>
      </c>
      <c r="U350">
        <f>IFERROR(IF(T350=0,"",COUNTIF($T$3:T350,"&gt;0")),"")</f>
        <v>0</v>
      </c>
      <c r="V350" t="str">
        <f t="shared" si="81"/>
        <v/>
      </c>
      <c r="W350" t="e">
        <f t="shared" si="82"/>
        <v>#VALUE!</v>
      </c>
      <c r="X350">
        <f>'OTHER PLANT ATTN.'!C:C</f>
        <v>0</v>
      </c>
      <c r="Y350" t="e">
        <f>Table1[[#This Row],[CATEGORY ]]</f>
        <v>#VALUE!</v>
      </c>
      <c r="Z350" t="e">
        <f>Table1[[#This Row],[PLANT]]</f>
        <v>#VALUE!</v>
      </c>
    </row>
    <row r="351" spans="1:26">
      <c r="A351" t="e">
        <f t="shared" si="76"/>
        <v>#VALUE!</v>
      </c>
      <c r="B351" t="e">
        <f>Table4[[#This Row],[CATEGORY]]</f>
        <v>#VALUE!</v>
      </c>
      <c r="C351" t="e">
        <f>Table4[[#This Row],[SUB-CATEGORY]]</f>
        <v>#VALUE!</v>
      </c>
      <c r="D351">
        <f>'RJ ATTENDENCE SHEET'!C:C</f>
        <v>0</v>
      </c>
      <c r="E351" t="e">
        <f t="shared" si="75"/>
        <v>#VALUE!</v>
      </c>
      <c r="F351" t="str">
        <f t="shared" si="83"/>
        <v/>
      </c>
      <c r="G351">
        <f>IFERROR(IF(F351=0,"",COUNTIF($F$3:F351,"&gt;0")),"")</f>
        <v>16</v>
      </c>
      <c r="H351" t="str">
        <f t="shared" si="77"/>
        <v/>
      </c>
      <c r="I351" t="str">
        <f t="shared" si="84"/>
        <v/>
      </c>
      <c r="J351">
        <f>IFERROR(IF(I351=0,"",COUNTIF($I$3:I351,"&gt;0")),"")</f>
        <v>34</v>
      </c>
      <c r="K351" t="str">
        <f t="shared" si="78"/>
        <v/>
      </c>
      <c r="L351" t="str">
        <f t="shared" si="85"/>
        <v/>
      </c>
      <c r="M351" t="str">
        <f t="shared" si="86"/>
        <v/>
      </c>
      <c r="N351">
        <f>IFERROR(IF(M351=0,"",COUNTIF($M$3:M351,"&gt;0")),"")</f>
        <v>33</v>
      </c>
      <c r="O351" t="str">
        <f t="shared" si="79"/>
        <v/>
      </c>
      <c r="P351" t="str">
        <f t="shared" si="87"/>
        <v/>
      </c>
      <c r="Q351" t="str">
        <f t="shared" si="88"/>
        <v/>
      </c>
      <c r="R351">
        <f>IFERROR(IF(Q351=0,"",COUNTIF($Q$3:Q351,"&gt;0")),"")</f>
        <v>16</v>
      </c>
      <c r="S351" t="str">
        <f t="shared" si="80"/>
        <v/>
      </c>
      <c r="T351" t="str">
        <f t="shared" si="89"/>
        <v/>
      </c>
      <c r="U351">
        <f>IFERROR(IF(T351=0,"",COUNTIF($T$3:T351,"&gt;0")),"")</f>
        <v>0</v>
      </c>
      <c r="V351" t="str">
        <f t="shared" si="81"/>
        <v/>
      </c>
      <c r="W351" t="e">
        <f t="shared" si="82"/>
        <v>#VALUE!</v>
      </c>
      <c r="X351">
        <f>'OTHER PLANT ATTN.'!C:C</f>
        <v>0</v>
      </c>
      <c r="Y351" t="e">
        <f>Table1[[#This Row],[CATEGORY ]]</f>
        <v>#VALUE!</v>
      </c>
      <c r="Z351" t="e">
        <f>Table1[[#This Row],[PLANT]]</f>
        <v>#VALUE!</v>
      </c>
    </row>
    <row r="352" spans="1:26">
      <c r="A352" t="e">
        <f t="shared" si="76"/>
        <v>#VALUE!</v>
      </c>
      <c r="B352" t="e">
        <f>Table4[[#This Row],[CATEGORY]]</f>
        <v>#VALUE!</v>
      </c>
      <c r="C352" t="e">
        <f>Table4[[#This Row],[SUB-CATEGORY]]</f>
        <v>#VALUE!</v>
      </c>
      <c r="D352">
        <f>'RJ ATTENDENCE SHEET'!C:C</f>
        <v>0</v>
      </c>
      <c r="E352" t="e">
        <f t="shared" si="75"/>
        <v>#VALUE!</v>
      </c>
      <c r="F352" t="str">
        <f t="shared" si="83"/>
        <v/>
      </c>
      <c r="G352">
        <f>IFERROR(IF(F352=0,"",COUNTIF($F$3:F352,"&gt;0")),"")</f>
        <v>16</v>
      </c>
      <c r="H352" t="str">
        <f t="shared" si="77"/>
        <v/>
      </c>
      <c r="I352" t="str">
        <f t="shared" si="84"/>
        <v/>
      </c>
      <c r="J352">
        <f>IFERROR(IF(I352=0,"",COUNTIF($I$3:I352,"&gt;0")),"")</f>
        <v>34</v>
      </c>
      <c r="K352" t="str">
        <f t="shared" si="78"/>
        <v/>
      </c>
      <c r="L352" t="str">
        <f t="shared" si="85"/>
        <v/>
      </c>
      <c r="M352" t="str">
        <f t="shared" si="86"/>
        <v/>
      </c>
      <c r="N352">
        <f>IFERROR(IF(M352=0,"",COUNTIF($M$3:M352,"&gt;0")),"")</f>
        <v>33</v>
      </c>
      <c r="O352" t="str">
        <f t="shared" si="79"/>
        <v/>
      </c>
      <c r="P352" t="str">
        <f t="shared" si="87"/>
        <v/>
      </c>
      <c r="Q352" t="str">
        <f t="shared" si="88"/>
        <v/>
      </c>
      <c r="R352">
        <f>IFERROR(IF(Q352=0,"",COUNTIF($Q$3:Q352,"&gt;0")),"")</f>
        <v>16</v>
      </c>
      <c r="S352" t="str">
        <f t="shared" si="80"/>
        <v/>
      </c>
      <c r="T352" t="str">
        <f t="shared" si="89"/>
        <v/>
      </c>
      <c r="U352">
        <f>IFERROR(IF(T352=0,"",COUNTIF($T$3:T352,"&gt;0")),"")</f>
        <v>0</v>
      </c>
      <c r="V352" t="str">
        <f t="shared" si="81"/>
        <v/>
      </c>
      <c r="W352" t="e">
        <f t="shared" si="82"/>
        <v>#VALUE!</v>
      </c>
      <c r="X352">
        <f>'OTHER PLANT ATTN.'!C:C</f>
        <v>0</v>
      </c>
      <c r="Y352" t="e">
        <f>Table1[[#This Row],[CATEGORY ]]</f>
        <v>#VALUE!</v>
      </c>
      <c r="Z352" t="e">
        <f>Table1[[#This Row],[PLANT]]</f>
        <v>#VALUE!</v>
      </c>
    </row>
    <row r="353" spans="1:26">
      <c r="A353" t="e">
        <f t="shared" si="76"/>
        <v>#VALUE!</v>
      </c>
      <c r="B353" t="e">
        <f>Table4[[#This Row],[CATEGORY]]</f>
        <v>#VALUE!</v>
      </c>
      <c r="C353" t="e">
        <f>Table4[[#This Row],[SUB-CATEGORY]]</f>
        <v>#VALUE!</v>
      </c>
      <c r="D353">
        <f>'RJ ATTENDENCE SHEET'!C:C</f>
        <v>0</v>
      </c>
      <c r="E353" t="e">
        <f t="shared" si="75"/>
        <v>#VALUE!</v>
      </c>
      <c r="F353" t="str">
        <f t="shared" si="83"/>
        <v/>
      </c>
      <c r="G353">
        <f>IFERROR(IF(F353=0,"",COUNTIF($F$3:F353,"&gt;0")),"")</f>
        <v>16</v>
      </c>
      <c r="H353" t="str">
        <f t="shared" si="77"/>
        <v/>
      </c>
      <c r="I353" t="str">
        <f t="shared" si="84"/>
        <v/>
      </c>
      <c r="J353">
        <f>IFERROR(IF(I353=0,"",COUNTIF($I$3:I353,"&gt;0")),"")</f>
        <v>34</v>
      </c>
      <c r="K353" t="str">
        <f t="shared" si="78"/>
        <v/>
      </c>
      <c r="L353" t="str">
        <f t="shared" si="85"/>
        <v/>
      </c>
      <c r="M353" t="str">
        <f t="shared" si="86"/>
        <v/>
      </c>
      <c r="N353">
        <f>IFERROR(IF(M353=0,"",COUNTIF($M$3:M353,"&gt;0")),"")</f>
        <v>33</v>
      </c>
      <c r="O353" t="str">
        <f t="shared" si="79"/>
        <v/>
      </c>
      <c r="P353" t="str">
        <f t="shared" si="87"/>
        <v/>
      </c>
      <c r="Q353" t="str">
        <f t="shared" si="88"/>
        <v/>
      </c>
      <c r="R353">
        <f>IFERROR(IF(Q353=0,"",COUNTIF($Q$3:Q353,"&gt;0")),"")</f>
        <v>16</v>
      </c>
      <c r="S353" t="str">
        <f t="shared" si="80"/>
        <v/>
      </c>
      <c r="T353" t="str">
        <f t="shared" si="89"/>
        <v/>
      </c>
      <c r="U353">
        <f>IFERROR(IF(T353=0,"",COUNTIF($T$3:T353,"&gt;0")),"")</f>
        <v>0</v>
      </c>
      <c r="V353" t="str">
        <f t="shared" si="81"/>
        <v/>
      </c>
      <c r="W353" t="e">
        <f t="shared" si="82"/>
        <v>#VALUE!</v>
      </c>
      <c r="X353">
        <f>'OTHER PLANT ATTN.'!C:C</f>
        <v>0</v>
      </c>
      <c r="Y353" t="e">
        <f>Table1[[#This Row],[CATEGORY ]]</f>
        <v>#VALUE!</v>
      </c>
      <c r="Z353" t="e">
        <f>Table1[[#This Row],[PLANT]]</f>
        <v>#VALUE!</v>
      </c>
    </row>
    <row r="354" spans="1:26">
      <c r="A354" t="e">
        <f t="shared" si="76"/>
        <v>#VALUE!</v>
      </c>
      <c r="B354" t="e">
        <f>Table4[[#This Row],[CATEGORY]]</f>
        <v>#VALUE!</v>
      </c>
      <c r="C354" t="e">
        <f>Table4[[#This Row],[SUB-CATEGORY]]</f>
        <v>#VALUE!</v>
      </c>
      <c r="D354">
        <f>'RJ ATTENDENCE SHEET'!C:C</f>
        <v>0</v>
      </c>
      <c r="E354" t="e">
        <f t="shared" si="75"/>
        <v>#VALUE!</v>
      </c>
      <c r="F354" t="str">
        <f t="shared" si="83"/>
        <v/>
      </c>
      <c r="G354">
        <f>IFERROR(IF(F354=0,"",COUNTIF($F$3:F354,"&gt;0")),"")</f>
        <v>16</v>
      </c>
      <c r="H354" t="str">
        <f t="shared" si="77"/>
        <v/>
      </c>
      <c r="I354" t="str">
        <f t="shared" si="84"/>
        <v/>
      </c>
      <c r="J354">
        <f>IFERROR(IF(I354=0,"",COUNTIF($I$3:I354,"&gt;0")),"")</f>
        <v>34</v>
      </c>
      <c r="K354" t="str">
        <f t="shared" si="78"/>
        <v/>
      </c>
      <c r="L354" t="str">
        <f t="shared" si="85"/>
        <v/>
      </c>
      <c r="M354" t="str">
        <f t="shared" si="86"/>
        <v/>
      </c>
      <c r="N354">
        <f>IFERROR(IF(M354=0,"",COUNTIF($M$3:M354,"&gt;0")),"")</f>
        <v>33</v>
      </c>
      <c r="O354" t="str">
        <f t="shared" si="79"/>
        <v/>
      </c>
      <c r="P354" t="str">
        <f t="shared" si="87"/>
        <v/>
      </c>
      <c r="Q354" t="str">
        <f t="shared" si="88"/>
        <v/>
      </c>
      <c r="R354">
        <f>IFERROR(IF(Q354=0,"",COUNTIF($Q$3:Q354,"&gt;0")),"")</f>
        <v>16</v>
      </c>
      <c r="S354" t="str">
        <f t="shared" si="80"/>
        <v/>
      </c>
      <c r="T354" t="str">
        <f t="shared" si="89"/>
        <v/>
      </c>
      <c r="U354">
        <f>IFERROR(IF(T354=0,"",COUNTIF($T$3:T354,"&gt;0")),"")</f>
        <v>0</v>
      </c>
      <c r="V354" t="str">
        <f t="shared" si="81"/>
        <v/>
      </c>
      <c r="W354" t="e">
        <f t="shared" si="82"/>
        <v>#VALUE!</v>
      </c>
      <c r="X354">
        <f>'OTHER PLANT ATTN.'!C:C</f>
        <v>0</v>
      </c>
      <c r="Y354" t="e">
        <f>Table1[[#This Row],[CATEGORY ]]</f>
        <v>#VALUE!</v>
      </c>
      <c r="Z354" t="e">
        <f>Table1[[#This Row],[PLANT]]</f>
        <v>#VALUE!</v>
      </c>
    </row>
    <row r="355" spans="1:26">
      <c r="A355" t="e">
        <f t="shared" si="76"/>
        <v>#VALUE!</v>
      </c>
      <c r="B355" t="e">
        <f>Table4[[#This Row],[CATEGORY]]</f>
        <v>#VALUE!</v>
      </c>
      <c r="C355" t="e">
        <f>Table4[[#This Row],[SUB-CATEGORY]]</f>
        <v>#VALUE!</v>
      </c>
      <c r="D355">
        <f>'RJ ATTENDENCE SHEET'!C:C</f>
        <v>0</v>
      </c>
      <c r="E355" t="e">
        <f t="shared" si="75"/>
        <v>#VALUE!</v>
      </c>
      <c r="F355" t="str">
        <f t="shared" si="83"/>
        <v/>
      </c>
      <c r="G355">
        <f>IFERROR(IF(F355=0,"",COUNTIF($F$3:F355,"&gt;0")),"")</f>
        <v>16</v>
      </c>
      <c r="H355" t="str">
        <f t="shared" si="77"/>
        <v/>
      </c>
      <c r="I355" t="str">
        <f t="shared" si="84"/>
        <v/>
      </c>
      <c r="J355">
        <f>IFERROR(IF(I355=0,"",COUNTIF($I$3:I355,"&gt;0")),"")</f>
        <v>34</v>
      </c>
      <c r="K355" t="str">
        <f t="shared" si="78"/>
        <v/>
      </c>
      <c r="L355" t="str">
        <f t="shared" si="85"/>
        <v/>
      </c>
      <c r="M355" t="str">
        <f t="shared" si="86"/>
        <v/>
      </c>
      <c r="N355">
        <f>IFERROR(IF(M355=0,"",COUNTIF($M$3:M355,"&gt;0")),"")</f>
        <v>33</v>
      </c>
      <c r="O355" t="str">
        <f t="shared" si="79"/>
        <v/>
      </c>
      <c r="P355" t="str">
        <f t="shared" si="87"/>
        <v/>
      </c>
      <c r="Q355" t="str">
        <f t="shared" si="88"/>
        <v/>
      </c>
      <c r="R355">
        <f>IFERROR(IF(Q355=0,"",COUNTIF($Q$3:Q355,"&gt;0")),"")</f>
        <v>16</v>
      </c>
      <c r="S355" t="str">
        <f t="shared" si="80"/>
        <v/>
      </c>
      <c r="T355" t="str">
        <f t="shared" si="89"/>
        <v/>
      </c>
      <c r="U355">
        <f>IFERROR(IF(T355=0,"",COUNTIF($T$3:T355,"&gt;0")),"")</f>
        <v>0</v>
      </c>
      <c r="V355" t="str">
        <f t="shared" si="81"/>
        <v/>
      </c>
      <c r="W355" t="e">
        <f t="shared" si="82"/>
        <v>#VALUE!</v>
      </c>
      <c r="X355">
        <f>'OTHER PLANT ATTN.'!C:C</f>
        <v>0</v>
      </c>
      <c r="Y355" t="e">
        <f>Table1[[#This Row],[CATEGORY ]]</f>
        <v>#VALUE!</v>
      </c>
      <c r="Z355" t="e">
        <f>Table1[[#This Row],[PLANT]]</f>
        <v>#VALUE!</v>
      </c>
    </row>
    <row r="356" spans="1:26">
      <c r="A356" t="e">
        <f t="shared" si="76"/>
        <v>#VALUE!</v>
      </c>
      <c r="B356" t="e">
        <f>Table4[[#This Row],[CATEGORY]]</f>
        <v>#VALUE!</v>
      </c>
      <c r="C356" t="e">
        <f>Table4[[#This Row],[SUB-CATEGORY]]</f>
        <v>#VALUE!</v>
      </c>
      <c r="D356">
        <f>'RJ ATTENDENCE SHEET'!C:C</f>
        <v>0</v>
      </c>
      <c r="E356" t="e">
        <f t="shared" si="75"/>
        <v>#VALUE!</v>
      </c>
      <c r="F356" t="str">
        <f t="shared" si="83"/>
        <v/>
      </c>
      <c r="G356">
        <f>IFERROR(IF(F356=0,"",COUNTIF($F$3:F356,"&gt;0")),"")</f>
        <v>16</v>
      </c>
      <c r="H356" t="str">
        <f t="shared" si="77"/>
        <v/>
      </c>
      <c r="I356" t="str">
        <f t="shared" si="84"/>
        <v/>
      </c>
      <c r="J356">
        <f>IFERROR(IF(I356=0,"",COUNTIF($I$3:I356,"&gt;0")),"")</f>
        <v>34</v>
      </c>
      <c r="K356" t="str">
        <f t="shared" si="78"/>
        <v/>
      </c>
      <c r="L356" t="str">
        <f t="shared" si="85"/>
        <v/>
      </c>
      <c r="M356" t="str">
        <f t="shared" si="86"/>
        <v/>
      </c>
      <c r="N356">
        <f>IFERROR(IF(M356=0,"",COUNTIF($M$3:M356,"&gt;0")),"")</f>
        <v>33</v>
      </c>
      <c r="O356" t="str">
        <f t="shared" si="79"/>
        <v/>
      </c>
      <c r="P356" t="str">
        <f t="shared" si="87"/>
        <v/>
      </c>
      <c r="Q356" t="str">
        <f t="shared" si="88"/>
        <v/>
      </c>
      <c r="R356">
        <f>IFERROR(IF(Q356=0,"",COUNTIF($Q$3:Q356,"&gt;0")),"")</f>
        <v>16</v>
      </c>
      <c r="S356" t="str">
        <f t="shared" si="80"/>
        <v/>
      </c>
      <c r="T356" t="str">
        <f t="shared" si="89"/>
        <v/>
      </c>
      <c r="U356">
        <f>IFERROR(IF(T356=0,"",COUNTIF($T$3:T356,"&gt;0")),"")</f>
        <v>0</v>
      </c>
      <c r="V356" t="str">
        <f t="shared" si="81"/>
        <v/>
      </c>
      <c r="W356" t="e">
        <f t="shared" si="82"/>
        <v>#VALUE!</v>
      </c>
      <c r="X356">
        <f>'OTHER PLANT ATTN.'!C:C</f>
        <v>0</v>
      </c>
      <c r="Y356" t="e">
        <f>Table1[[#This Row],[CATEGORY ]]</f>
        <v>#VALUE!</v>
      </c>
      <c r="Z356" t="e">
        <f>Table1[[#This Row],[PLANT]]</f>
        <v>#VALUE!</v>
      </c>
    </row>
    <row r="357" spans="1:26">
      <c r="A357" t="e">
        <f t="shared" si="76"/>
        <v>#VALUE!</v>
      </c>
      <c r="B357" t="e">
        <f>Table4[[#This Row],[CATEGORY]]</f>
        <v>#VALUE!</v>
      </c>
      <c r="C357" t="e">
        <f>Table4[[#This Row],[SUB-CATEGORY]]</f>
        <v>#VALUE!</v>
      </c>
      <c r="D357">
        <f>'RJ ATTENDENCE SHEET'!C:C</f>
        <v>0</v>
      </c>
      <c r="E357" t="e">
        <f t="shared" si="75"/>
        <v>#VALUE!</v>
      </c>
      <c r="F357" t="str">
        <f t="shared" si="83"/>
        <v/>
      </c>
      <c r="G357">
        <f>IFERROR(IF(F357=0,"",COUNTIF($F$3:F357,"&gt;0")),"")</f>
        <v>16</v>
      </c>
      <c r="H357" t="str">
        <f t="shared" si="77"/>
        <v/>
      </c>
      <c r="I357" t="str">
        <f t="shared" si="84"/>
        <v/>
      </c>
      <c r="J357">
        <f>IFERROR(IF(I357=0,"",COUNTIF($I$3:I357,"&gt;0")),"")</f>
        <v>34</v>
      </c>
      <c r="K357" t="str">
        <f t="shared" si="78"/>
        <v/>
      </c>
      <c r="L357" t="str">
        <f t="shared" si="85"/>
        <v/>
      </c>
      <c r="M357" t="str">
        <f t="shared" si="86"/>
        <v/>
      </c>
      <c r="N357">
        <f>IFERROR(IF(M357=0,"",COUNTIF($M$3:M357,"&gt;0")),"")</f>
        <v>33</v>
      </c>
      <c r="O357" t="str">
        <f t="shared" si="79"/>
        <v/>
      </c>
      <c r="P357" t="str">
        <f t="shared" si="87"/>
        <v/>
      </c>
      <c r="Q357" t="str">
        <f t="shared" si="88"/>
        <v/>
      </c>
      <c r="R357">
        <f>IFERROR(IF(Q357=0,"",COUNTIF($Q$3:Q357,"&gt;0")),"")</f>
        <v>16</v>
      </c>
      <c r="S357" t="str">
        <f t="shared" si="80"/>
        <v/>
      </c>
      <c r="T357" t="str">
        <f t="shared" si="89"/>
        <v/>
      </c>
      <c r="U357">
        <f>IFERROR(IF(T357=0,"",COUNTIF($T$3:T357,"&gt;0")),"")</f>
        <v>0</v>
      </c>
      <c r="V357" t="str">
        <f t="shared" si="81"/>
        <v/>
      </c>
      <c r="W357" t="e">
        <f t="shared" si="82"/>
        <v>#VALUE!</v>
      </c>
      <c r="X357">
        <f>'OTHER PLANT ATTN.'!C:C</f>
        <v>0</v>
      </c>
      <c r="Y357" t="e">
        <f>Table1[[#This Row],[CATEGORY ]]</f>
        <v>#VALUE!</v>
      </c>
      <c r="Z357" t="e">
        <f>Table1[[#This Row],[PLANT]]</f>
        <v>#VALUE!</v>
      </c>
    </row>
    <row r="358" spans="1:26">
      <c r="A358" t="e">
        <f t="shared" si="76"/>
        <v>#VALUE!</v>
      </c>
      <c r="B358" t="e">
        <f>Table4[[#This Row],[CATEGORY]]</f>
        <v>#VALUE!</v>
      </c>
      <c r="C358" t="e">
        <f>Table4[[#This Row],[SUB-CATEGORY]]</f>
        <v>#VALUE!</v>
      </c>
      <c r="D358">
        <f>'RJ ATTENDENCE SHEET'!C:C</f>
        <v>0</v>
      </c>
      <c r="E358" t="e">
        <f t="shared" si="75"/>
        <v>#VALUE!</v>
      </c>
      <c r="F358" t="str">
        <f t="shared" si="83"/>
        <v/>
      </c>
      <c r="G358">
        <f>IFERROR(IF(F358=0,"",COUNTIF($F$3:F358,"&gt;0")),"")</f>
        <v>16</v>
      </c>
      <c r="H358" t="str">
        <f t="shared" si="77"/>
        <v/>
      </c>
      <c r="I358" t="str">
        <f t="shared" si="84"/>
        <v/>
      </c>
      <c r="J358">
        <f>IFERROR(IF(I358=0,"",COUNTIF($I$3:I358,"&gt;0")),"")</f>
        <v>34</v>
      </c>
      <c r="K358" t="str">
        <f t="shared" si="78"/>
        <v/>
      </c>
      <c r="L358" t="str">
        <f t="shared" si="85"/>
        <v/>
      </c>
      <c r="M358" t="str">
        <f t="shared" si="86"/>
        <v/>
      </c>
      <c r="N358">
        <f>IFERROR(IF(M358=0,"",COUNTIF($M$3:M358,"&gt;0")),"")</f>
        <v>33</v>
      </c>
      <c r="O358" t="str">
        <f t="shared" si="79"/>
        <v/>
      </c>
      <c r="P358" t="str">
        <f t="shared" si="87"/>
        <v/>
      </c>
      <c r="Q358" t="str">
        <f t="shared" si="88"/>
        <v/>
      </c>
      <c r="R358">
        <f>IFERROR(IF(Q358=0,"",COUNTIF($Q$3:Q358,"&gt;0")),"")</f>
        <v>16</v>
      </c>
      <c r="S358" t="str">
        <f t="shared" si="80"/>
        <v/>
      </c>
      <c r="T358" t="str">
        <f t="shared" si="89"/>
        <v/>
      </c>
      <c r="U358">
        <f>IFERROR(IF(T358=0,"",COUNTIF($T$3:T358,"&gt;0")),"")</f>
        <v>0</v>
      </c>
      <c r="V358" t="str">
        <f t="shared" si="81"/>
        <v/>
      </c>
      <c r="W358" t="e">
        <f t="shared" si="82"/>
        <v>#VALUE!</v>
      </c>
      <c r="X358">
        <f>'OTHER PLANT ATTN.'!C:C</f>
        <v>0</v>
      </c>
      <c r="Y358" t="e">
        <f>Table1[[#This Row],[CATEGORY ]]</f>
        <v>#VALUE!</v>
      </c>
      <c r="Z358" t="e">
        <f>Table1[[#This Row],[PLANT]]</f>
        <v>#VALUE!</v>
      </c>
    </row>
    <row r="359" spans="1:26">
      <c r="A359" t="e">
        <f t="shared" si="76"/>
        <v>#VALUE!</v>
      </c>
      <c r="B359" t="e">
        <f>Table4[[#This Row],[CATEGORY]]</f>
        <v>#VALUE!</v>
      </c>
      <c r="C359" t="e">
        <f>Table4[[#This Row],[SUB-CATEGORY]]</f>
        <v>#VALUE!</v>
      </c>
      <c r="D359">
        <f>'RJ ATTENDENCE SHEET'!C:C</f>
        <v>0</v>
      </c>
      <c r="E359" t="e">
        <f t="shared" si="75"/>
        <v>#VALUE!</v>
      </c>
      <c r="F359" t="str">
        <f t="shared" si="83"/>
        <v/>
      </c>
      <c r="G359">
        <f>IFERROR(IF(F359=0,"",COUNTIF($F$3:F359,"&gt;0")),"")</f>
        <v>16</v>
      </c>
      <c r="H359" t="str">
        <f t="shared" si="77"/>
        <v/>
      </c>
      <c r="I359" t="str">
        <f t="shared" si="84"/>
        <v/>
      </c>
      <c r="J359">
        <f>IFERROR(IF(I359=0,"",COUNTIF($I$3:I359,"&gt;0")),"")</f>
        <v>34</v>
      </c>
      <c r="K359" t="str">
        <f t="shared" si="78"/>
        <v/>
      </c>
      <c r="L359" t="str">
        <f t="shared" si="85"/>
        <v/>
      </c>
      <c r="M359" t="str">
        <f t="shared" si="86"/>
        <v/>
      </c>
      <c r="N359">
        <f>IFERROR(IF(M359=0,"",COUNTIF($M$3:M359,"&gt;0")),"")</f>
        <v>33</v>
      </c>
      <c r="O359" t="str">
        <f t="shared" si="79"/>
        <v/>
      </c>
      <c r="P359" t="str">
        <f t="shared" si="87"/>
        <v/>
      </c>
      <c r="Q359" t="str">
        <f t="shared" si="88"/>
        <v/>
      </c>
      <c r="R359">
        <f>IFERROR(IF(Q359=0,"",COUNTIF($Q$3:Q359,"&gt;0")),"")</f>
        <v>16</v>
      </c>
      <c r="S359" t="str">
        <f t="shared" si="80"/>
        <v/>
      </c>
      <c r="T359" t="str">
        <f t="shared" si="89"/>
        <v/>
      </c>
      <c r="U359">
        <f>IFERROR(IF(T359=0,"",COUNTIF($T$3:T359,"&gt;0")),"")</f>
        <v>0</v>
      </c>
      <c r="V359" t="str">
        <f t="shared" si="81"/>
        <v/>
      </c>
      <c r="W359" t="e">
        <f t="shared" si="82"/>
        <v>#VALUE!</v>
      </c>
      <c r="X359">
        <f>'OTHER PLANT ATTN.'!C:C</f>
        <v>0</v>
      </c>
      <c r="Y359" t="e">
        <f>Table1[[#This Row],[CATEGORY ]]</f>
        <v>#VALUE!</v>
      </c>
      <c r="Z359" t="e">
        <f>Table1[[#This Row],[PLANT]]</f>
        <v>#VALUE!</v>
      </c>
    </row>
    <row r="360" spans="1:26">
      <c r="A360" t="e">
        <f t="shared" si="76"/>
        <v>#VALUE!</v>
      </c>
      <c r="B360" t="e">
        <f>Table4[[#This Row],[CATEGORY]]</f>
        <v>#VALUE!</v>
      </c>
      <c r="C360" t="e">
        <f>Table4[[#This Row],[SUB-CATEGORY]]</f>
        <v>#VALUE!</v>
      </c>
      <c r="D360">
        <f>'RJ ATTENDENCE SHEET'!C:C</f>
        <v>0</v>
      </c>
      <c r="E360" t="e">
        <f t="shared" si="75"/>
        <v>#VALUE!</v>
      </c>
      <c r="F360" t="str">
        <f t="shared" si="83"/>
        <v/>
      </c>
      <c r="G360">
        <f>IFERROR(IF(F360=0,"",COUNTIF($F$3:F360,"&gt;0")),"")</f>
        <v>16</v>
      </c>
      <c r="H360" t="str">
        <f t="shared" si="77"/>
        <v/>
      </c>
      <c r="I360" t="str">
        <f t="shared" si="84"/>
        <v/>
      </c>
      <c r="J360">
        <f>IFERROR(IF(I360=0,"",COUNTIF($I$3:I360,"&gt;0")),"")</f>
        <v>34</v>
      </c>
      <c r="K360" t="str">
        <f t="shared" si="78"/>
        <v/>
      </c>
      <c r="L360" t="str">
        <f t="shared" si="85"/>
        <v/>
      </c>
      <c r="M360" t="str">
        <f t="shared" si="86"/>
        <v/>
      </c>
      <c r="N360">
        <f>IFERROR(IF(M360=0,"",COUNTIF($M$3:M360,"&gt;0")),"")</f>
        <v>33</v>
      </c>
      <c r="O360" t="str">
        <f t="shared" si="79"/>
        <v/>
      </c>
      <c r="P360" t="str">
        <f t="shared" si="87"/>
        <v/>
      </c>
      <c r="Q360" t="str">
        <f t="shared" si="88"/>
        <v/>
      </c>
      <c r="R360">
        <f>IFERROR(IF(Q360=0,"",COUNTIF($Q$3:Q360,"&gt;0")),"")</f>
        <v>16</v>
      </c>
      <c r="S360" t="str">
        <f t="shared" si="80"/>
        <v/>
      </c>
      <c r="T360" t="str">
        <f t="shared" si="89"/>
        <v/>
      </c>
      <c r="U360">
        <f>IFERROR(IF(T360=0,"",COUNTIF($T$3:T360,"&gt;0")),"")</f>
        <v>0</v>
      </c>
      <c r="V360" t="str">
        <f t="shared" si="81"/>
        <v/>
      </c>
      <c r="W360" t="e">
        <f t="shared" si="82"/>
        <v>#VALUE!</v>
      </c>
      <c r="X360">
        <f>'OTHER PLANT ATTN.'!C:C</f>
        <v>0</v>
      </c>
      <c r="Y360" t="e">
        <f>Table1[[#This Row],[CATEGORY ]]</f>
        <v>#VALUE!</v>
      </c>
      <c r="Z360" t="e">
        <f>Table1[[#This Row],[PLANT]]</f>
        <v>#VALUE!</v>
      </c>
    </row>
    <row r="361" spans="1:26">
      <c r="A361" t="e">
        <f t="shared" si="76"/>
        <v>#VALUE!</v>
      </c>
      <c r="B361" t="e">
        <f>Table4[[#This Row],[CATEGORY]]</f>
        <v>#VALUE!</v>
      </c>
      <c r="C361" t="e">
        <f>Table4[[#This Row],[SUB-CATEGORY]]</f>
        <v>#VALUE!</v>
      </c>
      <c r="D361">
        <f>'RJ ATTENDENCE SHEET'!C:C</f>
        <v>0</v>
      </c>
      <c r="E361" t="e">
        <f t="shared" si="75"/>
        <v>#VALUE!</v>
      </c>
      <c r="F361" t="str">
        <f t="shared" si="83"/>
        <v/>
      </c>
      <c r="G361">
        <f>IFERROR(IF(F361=0,"",COUNTIF($F$3:F361,"&gt;0")),"")</f>
        <v>16</v>
      </c>
      <c r="H361" t="str">
        <f t="shared" si="77"/>
        <v/>
      </c>
      <c r="I361" t="str">
        <f t="shared" si="84"/>
        <v/>
      </c>
      <c r="J361">
        <f>IFERROR(IF(I361=0,"",COUNTIF($I$3:I361,"&gt;0")),"")</f>
        <v>34</v>
      </c>
      <c r="K361" t="str">
        <f t="shared" si="78"/>
        <v/>
      </c>
      <c r="L361" t="str">
        <f t="shared" si="85"/>
        <v/>
      </c>
      <c r="M361" t="str">
        <f t="shared" si="86"/>
        <v/>
      </c>
      <c r="N361">
        <f>IFERROR(IF(M361=0,"",COUNTIF($M$3:M361,"&gt;0")),"")</f>
        <v>33</v>
      </c>
      <c r="O361" t="str">
        <f t="shared" si="79"/>
        <v/>
      </c>
      <c r="P361" t="str">
        <f t="shared" si="87"/>
        <v/>
      </c>
      <c r="Q361" t="str">
        <f t="shared" si="88"/>
        <v/>
      </c>
      <c r="R361">
        <f>IFERROR(IF(Q361=0,"",COUNTIF($Q$3:Q361,"&gt;0")),"")</f>
        <v>16</v>
      </c>
      <c r="S361" t="str">
        <f t="shared" si="80"/>
        <v/>
      </c>
      <c r="T361" t="str">
        <f t="shared" si="89"/>
        <v/>
      </c>
      <c r="U361">
        <f>IFERROR(IF(T361=0,"",COUNTIF($T$3:T361,"&gt;0")),"")</f>
        <v>0</v>
      </c>
      <c r="V361" t="str">
        <f t="shared" si="81"/>
        <v/>
      </c>
      <c r="W361" t="e">
        <f t="shared" si="82"/>
        <v>#VALUE!</v>
      </c>
      <c r="X361">
        <f>'OTHER PLANT ATTN.'!C:C</f>
        <v>0</v>
      </c>
      <c r="Y361" t="e">
        <f>Table1[[#This Row],[CATEGORY ]]</f>
        <v>#VALUE!</v>
      </c>
      <c r="Z361" t="e">
        <f>Table1[[#This Row],[PLANT]]</f>
        <v>#VALUE!</v>
      </c>
    </row>
    <row r="362" spans="1:26">
      <c r="A362" t="e">
        <f t="shared" si="76"/>
        <v>#VALUE!</v>
      </c>
      <c r="B362" t="e">
        <f>Table4[[#This Row],[CATEGORY]]</f>
        <v>#VALUE!</v>
      </c>
      <c r="C362" t="e">
        <f>Table4[[#This Row],[SUB-CATEGORY]]</f>
        <v>#VALUE!</v>
      </c>
      <c r="D362">
        <f>'RJ ATTENDENCE SHEET'!C:C</f>
        <v>0</v>
      </c>
      <c r="E362" t="e">
        <f t="shared" si="75"/>
        <v>#VALUE!</v>
      </c>
      <c r="F362" t="str">
        <f t="shared" si="83"/>
        <v/>
      </c>
      <c r="G362">
        <f>IFERROR(IF(F362=0,"",COUNTIF($F$3:F362,"&gt;0")),"")</f>
        <v>16</v>
      </c>
      <c r="H362" t="str">
        <f t="shared" si="77"/>
        <v/>
      </c>
      <c r="I362" t="str">
        <f t="shared" si="84"/>
        <v/>
      </c>
      <c r="J362">
        <f>IFERROR(IF(I362=0,"",COUNTIF($I$3:I362,"&gt;0")),"")</f>
        <v>34</v>
      </c>
      <c r="K362" t="str">
        <f t="shared" si="78"/>
        <v/>
      </c>
      <c r="L362" t="str">
        <f t="shared" si="85"/>
        <v/>
      </c>
      <c r="M362" t="str">
        <f t="shared" si="86"/>
        <v/>
      </c>
      <c r="N362">
        <f>IFERROR(IF(M362=0,"",COUNTIF($M$3:M362,"&gt;0")),"")</f>
        <v>33</v>
      </c>
      <c r="O362" t="str">
        <f t="shared" si="79"/>
        <v/>
      </c>
      <c r="P362" t="str">
        <f t="shared" si="87"/>
        <v/>
      </c>
      <c r="Q362" t="str">
        <f t="shared" si="88"/>
        <v/>
      </c>
      <c r="R362">
        <f>IFERROR(IF(Q362=0,"",COUNTIF($Q$3:Q362,"&gt;0")),"")</f>
        <v>16</v>
      </c>
      <c r="S362" t="str">
        <f t="shared" si="80"/>
        <v/>
      </c>
      <c r="T362" t="str">
        <f t="shared" si="89"/>
        <v/>
      </c>
      <c r="U362">
        <f>IFERROR(IF(T362=0,"",COUNTIF($T$3:T362,"&gt;0")),"")</f>
        <v>0</v>
      </c>
      <c r="V362" t="str">
        <f t="shared" si="81"/>
        <v/>
      </c>
      <c r="W362" t="e">
        <f t="shared" si="82"/>
        <v>#VALUE!</v>
      </c>
      <c r="X362">
        <f>'OTHER PLANT ATTN.'!C:C</f>
        <v>0</v>
      </c>
      <c r="Y362" t="e">
        <f>Table1[[#This Row],[CATEGORY ]]</f>
        <v>#VALUE!</v>
      </c>
      <c r="Z362" t="e">
        <f>Table1[[#This Row],[PLANT]]</f>
        <v>#VALUE!</v>
      </c>
    </row>
    <row r="363" spans="1:26">
      <c r="A363" t="e">
        <f t="shared" si="76"/>
        <v>#VALUE!</v>
      </c>
      <c r="B363" t="e">
        <f>Table4[[#This Row],[CATEGORY]]</f>
        <v>#VALUE!</v>
      </c>
      <c r="C363" t="e">
        <f>Table4[[#This Row],[SUB-CATEGORY]]</f>
        <v>#VALUE!</v>
      </c>
      <c r="D363">
        <f>'RJ ATTENDENCE SHEET'!C:C</f>
        <v>0</v>
      </c>
      <c r="E363" t="e">
        <f t="shared" si="75"/>
        <v>#VALUE!</v>
      </c>
      <c r="F363" t="str">
        <f t="shared" si="83"/>
        <v/>
      </c>
      <c r="G363">
        <f>IFERROR(IF(F363=0,"",COUNTIF($F$3:F363,"&gt;0")),"")</f>
        <v>16</v>
      </c>
      <c r="H363" t="str">
        <f t="shared" si="77"/>
        <v/>
      </c>
      <c r="I363" t="str">
        <f t="shared" si="84"/>
        <v/>
      </c>
      <c r="J363">
        <f>IFERROR(IF(I363=0,"",COUNTIF($I$3:I363,"&gt;0")),"")</f>
        <v>34</v>
      </c>
      <c r="K363" t="str">
        <f t="shared" si="78"/>
        <v/>
      </c>
      <c r="L363" t="str">
        <f t="shared" si="85"/>
        <v/>
      </c>
      <c r="M363" t="str">
        <f t="shared" si="86"/>
        <v/>
      </c>
      <c r="N363">
        <f>IFERROR(IF(M363=0,"",COUNTIF($M$3:M363,"&gt;0")),"")</f>
        <v>33</v>
      </c>
      <c r="O363" t="str">
        <f t="shared" si="79"/>
        <v/>
      </c>
      <c r="P363" t="str">
        <f t="shared" si="87"/>
        <v/>
      </c>
      <c r="Q363" t="str">
        <f t="shared" si="88"/>
        <v/>
      </c>
      <c r="R363">
        <f>IFERROR(IF(Q363=0,"",COUNTIF($Q$3:Q363,"&gt;0")),"")</f>
        <v>16</v>
      </c>
      <c r="S363" t="str">
        <f t="shared" si="80"/>
        <v/>
      </c>
      <c r="T363" t="str">
        <f t="shared" si="89"/>
        <v/>
      </c>
      <c r="U363">
        <f>IFERROR(IF(T363=0,"",COUNTIF($T$3:T363,"&gt;0")),"")</f>
        <v>0</v>
      </c>
      <c r="V363" t="str">
        <f t="shared" si="81"/>
        <v/>
      </c>
      <c r="W363" t="e">
        <f t="shared" si="82"/>
        <v>#VALUE!</v>
      </c>
      <c r="X363">
        <f>'OTHER PLANT ATTN.'!C:C</f>
        <v>0</v>
      </c>
      <c r="Y363" t="e">
        <f>Table1[[#This Row],[CATEGORY ]]</f>
        <v>#VALUE!</v>
      </c>
      <c r="Z363" t="e">
        <f>Table1[[#This Row],[PLANT]]</f>
        <v>#VALUE!</v>
      </c>
    </row>
    <row r="364" spans="1:26">
      <c r="A364" t="e">
        <f t="shared" si="76"/>
        <v>#VALUE!</v>
      </c>
      <c r="B364" t="e">
        <f>Table4[[#This Row],[CATEGORY]]</f>
        <v>#VALUE!</v>
      </c>
      <c r="C364" t="e">
        <f>Table4[[#This Row],[SUB-CATEGORY]]</f>
        <v>#VALUE!</v>
      </c>
      <c r="D364">
        <f>'RJ ATTENDENCE SHEET'!C:C</f>
        <v>0</v>
      </c>
      <c r="E364" t="e">
        <f t="shared" si="75"/>
        <v>#VALUE!</v>
      </c>
      <c r="F364" t="str">
        <f t="shared" si="83"/>
        <v/>
      </c>
      <c r="G364">
        <f>IFERROR(IF(F364=0,"",COUNTIF($F$3:F364,"&gt;0")),"")</f>
        <v>16</v>
      </c>
      <c r="H364" t="str">
        <f t="shared" si="77"/>
        <v/>
      </c>
      <c r="I364" t="str">
        <f t="shared" si="84"/>
        <v/>
      </c>
      <c r="J364">
        <f>IFERROR(IF(I364=0,"",COUNTIF($I$3:I364,"&gt;0")),"")</f>
        <v>34</v>
      </c>
      <c r="K364" t="str">
        <f t="shared" si="78"/>
        <v/>
      </c>
      <c r="L364" t="str">
        <f t="shared" si="85"/>
        <v/>
      </c>
      <c r="M364" t="str">
        <f t="shared" si="86"/>
        <v/>
      </c>
      <c r="N364">
        <f>IFERROR(IF(M364=0,"",COUNTIF($M$3:M364,"&gt;0")),"")</f>
        <v>33</v>
      </c>
      <c r="O364" t="str">
        <f t="shared" si="79"/>
        <v/>
      </c>
      <c r="P364" t="str">
        <f t="shared" si="87"/>
        <v/>
      </c>
      <c r="Q364" t="str">
        <f t="shared" si="88"/>
        <v/>
      </c>
      <c r="R364">
        <f>IFERROR(IF(Q364=0,"",COUNTIF($Q$3:Q364,"&gt;0")),"")</f>
        <v>16</v>
      </c>
      <c r="S364" t="str">
        <f t="shared" si="80"/>
        <v/>
      </c>
      <c r="T364" t="str">
        <f t="shared" si="89"/>
        <v/>
      </c>
      <c r="U364">
        <f>IFERROR(IF(T364=0,"",COUNTIF($T$3:T364,"&gt;0")),"")</f>
        <v>0</v>
      </c>
      <c r="V364" t="str">
        <f t="shared" si="81"/>
        <v/>
      </c>
      <c r="W364" t="e">
        <f t="shared" si="82"/>
        <v>#VALUE!</v>
      </c>
      <c r="X364">
        <f>'OTHER PLANT ATTN.'!C:C</f>
        <v>0</v>
      </c>
      <c r="Y364" t="e">
        <f>Table1[[#This Row],[CATEGORY ]]</f>
        <v>#VALUE!</v>
      </c>
      <c r="Z364" t="e">
        <f>Table1[[#This Row],[PLANT]]</f>
        <v>#VALUE!</v>
      </c>
    </row>
    <row r="365" spans="1:26">
      <c r="A365" t="e">
        <f t="shared" si="76"/>
        <v>#VALUE!</v>
      </c>
      <c r="B365" t="e">
        <f>Table4[[#This Row],[CATEGORY]]</f>
        <v>#VALUE!</v>
      </c>
      <c r="C365" t="e">
        <f>Table4[[#This Row],[SUB-CATEGORY]]</f>
        <v>#VALUE!</v>
      </c>
      <c r="D365">
        <f>'RJ ATTENDENCE SHEET'!C:C</f>
        <v>0</v>
      </c>
      <c r="E365" t="e">
        <f t="shared" si="75"/>
        <v>#VALUE!</v>
      </c>
      <c r="F365" t="str">
        <f t="shared" si="83"/>
        <v/>
      </c>
      <c r="G365">
        <f>IFERROR(IF(F365=0,"",COUNTIF($F$3:F365,"&gt;0")),"")</f>
        <v>16</v>
      </c>
      <c r="H365" t="str">
        <f t="shared" si="77"/>
        <v/>
      </c>
      <c r="I365" t="str">
        <f t="shared" si="84"/>
        <v/>
      </c>
      <c r="J365">
        <f>IFERROR(IF(I365=0,"",COUNTIF($I$3:I365,"&gt;0")),"")</f>
        <v>34</v>
      </c>
      <c r="K365" t="str">
        <f t="shared" si="78"/>
        <v/>
      </c>
      <c r="L365" t="str">
        <f t="shared" si="85"/>
        <v/>
      </c>
      <c r="M365" t="str">
        <f t="shared" si="86"/>
        <v/>
      </c>
      <c r="N365">
        <f>IFERROR(IF(M365=0,"",COUNTIF($M$3:M365,"&gt;0")),"")</f>
        <v>33</v>
      </c>
      <c r="O365" t="str">
        <f t="shared" si="79"/>
        <v/>
      </c>
      <c r="P365" t="str">
        <f t="shared" si="87"/>
        <v/>
      </c>
      <c r="Q365" t="str">
        <f t="shared" si="88"/>
        <v/>
      </c>
      <c r="R365">
        <f>IFERROR(IF(Q365=0,"",COUNTIF($Q$3:Q365,"&gt;0")),"")</f>
        <v>16</v>
      </c>
      <c r="S365" t="str">
        <f t="shared" si="80"/>
        <v/>
      </c>
      <c r="T365" t="str">
        <f t="shared" si="89"/>
        <v/>
      </c>
      <c r="U365">
        <f>IFERROR(IF(T365=0,"",COUNTIF($T$3:T365,"&gt;0")),"")</f>
        <v>0</v>
      </c>
      <c r="V365" t="str">
        <f t="shared" si="81"/>
        <v/>
      </c>
      <c r="W365" t="e">
        <f t="shared" si="82"/>
        <v>#VALUE!</v>
      </c>
      <c r="X365">
        <f>'OTHER PLANT ATTN.'!C:C</f>
        <v>0</v>
      </c>
      <c r="Y365" t="e">
        <f>Table1[[#This Row],[CATEGORY ]]</f>
        <v>#VALUE!</v>
      </c>
      <c r="Z365" t="e">
        <f>Table1[[#This Row],[PLANT]]</f>
        <v>#VALUE!</v>
      </c>
    </row>
    <row r="366" spans="1:26">
      <c r="A366" t="e">
        <f t="shared" si="76"/>
        <v>#VALUE!</v>
      </c>
      <c r="B366" t="e">
        <f>Table4[[#This Row],[CATEGORY]]</f>
        <v>#VALUE!</v>
      </c>
      <c r="C366" t="e">
        <f>Table4[[#This Row],[SUB-CATEGORY]]</f>
        <v>#VALUE!</v>
      </c>
      <c r="D366">
        <f>'RJ ATTENDENCE SHEET'!C:C</f>
        <v>0</v>
      </c>
      <c r="E366" t="e">
        <f t="shared" si="75"/>
        <v>#VALUE!</v>
      </c>
      <c r="F366" t="str">
        <f t="shared" si="83"/>
        <v/>
      </c>
      <c r="G366">
        <f>IFERROR(IF(F366=0,"",COUNTIF($F$3:F366,"&gt;0")),"")</f>
        <v>16</v>
      </c>
      <c r="H366" t="str">
        <f t="shared" si="77"/>
        <v/>
      </c>
      <c r="I366" t="str">
        <f t="shared" si="84"/>
        <v/>
      </c>
      <c r="J366">
        <f>IFERROR(IF(I366=0,"",COUNTIF($I$3:I366,"&gt;0")),"")</f>
        <v>34</v>
      </c>
      <c r="K366" t="str">
        <f t="shared" si="78"/>
        <v/>
      </c>
      <c r="L366" t="str">
        <f t="shared" si="85"/>
        <v/>
      </c>
      <c r="M366" t="str">
        <f t="shared" si="86"/>
        <v/>
      </c>
      <c r="N366">
        <f>IFERROR(IF(M366=0,"",COUNTIF($M$3:M366,"&gt;0")),"")</f>
        <v>33</v>
      </c>
      <c r="O366" t="str">
        <f t="shared" si="79"/>
        <v/>
      </c>
      <c r="P366" t="str">
        <f t="shared" si="87"/>
        <v/>
      </c>
      <c r="Q366" t="str">
        <f t="shared" si="88"/>
        <v/>
      </c>
      <c r="R366">
        <f>IFERROR(IF(Q366=0,"",COUNTIF($Q$3:Q366,"&gt;0")),"")</f>
        <v>16</v>
      </c>
      <c r="S366" t="str">
        <f t="shared" si="80"/>
        <v/>
      </c>
      <c r="T366" t="str">
        <f t="shared" si="89"/>
        <v/>
      </c>
      <c r="U366">
        <f>IFERROR(IF(T366=0,"",COUNTIF($T$3:T366,"&gt;0")),"")</f>
        <v>0</v>
      </c>
      <c r="V366" t="str">
        <f t="shared" si="81"/>
        <v/>
      </c>
      <c r="W366" t="e">
        <f t="shared" si="82"/>
        <v>#VALUE!</v>
      </c>
      <c r="X366">
        <f>'OTHER PLANT ATTN.'!C:C</f>
        <v>0</v>
      </c>
      <c r="Y366" t="e">
        <f>Table1[[#This Row],[CATEGORY ]]</f>
        <v>#VALUE!</v>
      </c>
      <c r="Z366" t="e">
        <f>Table1[[#This Row],[PLANT]]</f>
        <v>#VALUE!</v>
      </c>
    </row>
    <row r="367" spans="1:26">
      <c r="A367" t="e">
        <f t="shared" si="76"/>
        <v>#VALUE!</v>
      </c>
      <c r="B367" t="e">
        <f>Table4[[#This Row],[CATEGORY]]</f>
        <v>#VALUE!</v>
      </c>
      <c r="C367" t="e">
        <f>Table4[[#This Row],[SUB-CATEGORY]]</f>
        <v>#VALUE!</v>
      </c>
      <c r="D367">
        <f>'RJ ATTENDENCE SHEET'!C:C</f>
        <v>0</v>
      </c>
      <c r="E367" t="e">
        <f t="shared" si="75"/>
        <v>#VALUE!</v>
      </c>
      <c r="F367" t="str">
        <f t="shared" si="83"/>
        <v/>
      </c>
      <c r="G367">
        <f>IFERROR(IF(F367=0,"",COUNTIF($F$3:F367,"&gt;0")),"")</f>
        <v>16</v>
      </c>
      <c r="H367" t="str">
        <f t="shared" si="77"/>
        <v/>
      </c>
      <c r="I367" t="str">
        <f t="shared" si="84"/>
        <v/>
      </c>
      <c r="J367">
        <f>IFERROR(IF(I367=0,"",COUNTIF($I$3:I367,"&gt;0")),"")</f>
        <v>34</v>
      </c>
      <c r="K367" t="str">
        <f t="shared" si="78"/>
        <v/>
      </c>
      <c r="L367" t="str">
        <f t="shared" si="85"/>
        <v/>
      </c>
      <c r="M367" t="str">
        <f t="shared" si="86"/>
        <v/>
      </c>
      <c r="N367">
        <f>IFERROR(IF(M367=0,"",COUNTIF($M$3:M367,"&gt;0")),"")</f>
        <v>33</v>
      </c>
      <c r="O367" t="str">
        <f t="shared" si="79"/>
        <v/>
      </c>
      <c r="P367" t="str">
        <f t="shared" si="87"/>
        <v/>
      </c>
      <c r="Q367" t="str">
        <f t="shared" si="88"/>
        <v/>
      </c>
      <c r="R367">
        <f>IFERROR(IF(Q367=0,"",COUNTIF($Q$3:Q367,"&gt;0")),"")</f>
        <v>16</v>
      </c>
      <c r="S367" t="str">
        <f t="shared" si="80"/>
        <v/>
      </c>
      <c r="T367" t="str">
        <f t="shared" si="89"/>
        <v/>
      </c>
      <c r="U367">
        <f>IFERROR(IF(T367=0,"",COUNTIF($T$3:T367,"&gt;0")),"")</f>
        <v>0</v>
      </c>
      <c r="V367" t="str">
        <f t="shared" si="81"/>
        <v/>
      </c>
      <c r="W367" t="e">
        <f t="shared" si="82"/>
        <v>#VALUE!</v>
      </c>
      <c r="X367">
        <f>'OTHER PLANT ATTN.'!C:C</f>
        <v>0</v>
      </c>
      <c r="Y367" t="e">
        <f>Table1[[#This Row],[CATEGORY ]]</f>
        <v>#VALUE!</v>
      </c>
      <c r="Z367" t="e">
        <f>Table1[[#This Row],[PLANT]]</f>
        <v>#VALUE!</v>
      </c>
    </row>
    <row r="368" spans="1:26">
      <c r="A368" t="e">
        <f t="shared" si="76"/>
        <v>#VALUE!</v>
      </c>
      <c r="B368" t="e">
        <f>Table4[[#This Row],[CATEGORY]]</f>
        <v>#VALUE!</v>
      </c>
      <c r="C368" t="e">
        <f>Table4[[#This Row],[SUB-CATEGORY]]</f>
        <v>#VALUE!</v>
      </c>
      <c r="D368">
        <f>'RJ ATTENDENCE SHEET'!C:C</f>
        <v>0</v>
      </c>
      <c r="E368" t="e">
        <f t="shared" si="75"/>
        <v>#VALUE!</v>
      </c>
      <c r="F368" t="str">
        <f t="shared" si="83"/>
        <v/>
      </c>
      <c r="G368">
        <f>IFERROR(IF(F368=0,"",COUNTIF($F$3:F368,"&gt;0")),"")</f>
        <v>16</v>
      </c>
      <c r="H368" t="str">
        <f t="shared" si="77"/>
        <v/>
      </c>
      <c r="I368" t="str">
        <f t="shared" si="84"/>
        <v/>
      </c>
      <c r="J368">
        <f>IFERROR(IF(I368=0,"",COUNTIF($I$3:I368,"&gt;0")),"")</f>
        <v>34</v>
      </c>
      <c r="K368" t="str">
        <f t="shared" si="78"/>
        <v/>
      </c>
      <c r="L368" t="str">
        <f t="shared" si="85"/>
        <v/>
      </c>
      <c r="M368" t="str">
        <f t="shared" si="86"/>
        <v/>
      </c>
      <c r="N368">
        <f>IFERROR(IF(M368=0,"",COUNTIF($M$3:M368,"&gt;0")),"")</f>
        <v>33</v>
      </c>
      <c r="O368" t="str">
        <f t="shared" si="79"/>
        <v/>
      </c>
      <c r="P368" t="str">
        <f t="shared" si="87"/>
        <v/>
      </c>
      <c r="Q368" t="str">
        <f t="shared" si="88"/>
        <v/>
      </c>
      <c r="R368">
        <f>IFERROR(IF(Q368=0,"",COUNTIF($Q$3:Q368,"&gt;0")),"")</f>
        <v>16</v>
      </c>
      <c r="S368" t="str">
        <f t="shared" si="80"/>
        <v/>
      </c>
      <c r="T368" t="str">
        <f t="shared" si="89"/>
        <v/>
      </c>
      <c r="U368">
        <f>IFERROR(IF(T368=0,"",COUNTIF($T$3:T368,"&gt;0")),"")</f>
        <v>0</v>
      </c>
      <c r="V368" t="str">
        <f t="shared" si="81"/>
        <v/>
      </c>
      <c r="W368" t="e">
        <f t="shared" si="82"/>
        <v>#VALUE!</v>
      </c>
      <c r="X368">
        <f>'OTHER PLANT ATTN.'!C:C</f>
        <v>0</v>
      </c>
      <c r="Y368" t="e">
        <f>Table1[[#This Row],[CATEGORY ]]</f>
        <v>#VALUE!</v>
      </c>
      <c r="Z368" t="e">
        <f>Table1[[#This Row],[PLANT]]</f>
        <v>#VALUE!</v>
      </c>
    </row>
    <row r="369" spans="1:26">
      <c r="A369" t="e">
        <f t="shared" si="76"/>
        <v>#VALUE!</v>
      </c>
      <c r="B369" t="e">
        <f>Table4[[#This Row],[CATEGORY]]</f>
        <v>#VALUE!</v>
      </c>
      <c r="C369" t="e">
        <f>Table4[[#This Row],[SUB-CATEGORY]]</f>
        <v>#VALUE!</v>
      </c>
      <c r="D369">
        <f>'RJ ATTENDENCE SHEET'!C:C</f>
        <v>0</v>
      </c>
      <c r="E369" t="e">
        <f t="shared" si="75"/>
        <v>#VALUE!</v>
      </c>
      <c r="F369" t="str">
        <f t="shared" si="83"/>
        <v/>
      </c>
      <c r="G369">
        <f>IFERROR(IF(F369=0,"",COUNTIF($F$3:F369,"&gt;0")),"")</f>
        <v>16</v>
      </c>
      <c r="H369" t="str">
        <f t="shared" si="77"/>
        <v/>
      </c>
      <c r="I369" t="str">
        <f t="shared" si="84"/>
        <v/>
      </c>
      <c r="J369">
        <f>IFERROR(IF(I369=0,"",COUNTIF($I$3:I369,"&gt;0")),"")</f>
        <v>34</v>
      </c>
      <c r="K369" t="str">
        <f t="shared" si="78"/>
        <v/>
      </c>
      <c r="L369" t="str">
        <f t="shared" si="85"/>
        <v/>
      </c>
      <c r="M369" t="str">
        <f t="shared" si="86"/>
        <v/>
      </c>
      <c r="N369">
        <f>IFERROR(IF(M369=0,"",COUNTIF($M$3:M369,"&gt;0")),"")</f>
        <v>33</v>
      </c>
      <c r="O369" t="str">
        <f t="shared" si="79"/>
        <v/>
      </c>
      <c r="P369" t="str">
        <f t="shared" si="87"/>
        <v/>
      </c>
      <c r="Q369" t="str">
        <f t="shared" si="88"/>
        <v/>
      </c>
      <c r="R369">
        <f>IFERROR(IF(Q369=0,"",COUNTIF($Q$3:Q369,"&gt;0")),"")</f>
        <v>16</v>
      </c>
      <c r="S369" t="str">
        <f t="shared" si="80"/>
        <v/>
      </c>
      <c r="T369" t="str">
        <f t="shared" si="89"/>
        <v/>
      </c>
      <c r="U369">
        <f>IFERROR(IF(T369=0,"",COUNTIF($T$3:T369,"&gt;0")),"")</f>
        <v>0</v>
      </c>
      <c r="V369" t="str">
        <f t="shared" si="81"/>
        <v/>
      </c>
      <c r="W369" t="e">
        <f t="shared" si="82"/>
        <v>#VALUE!</v>
      </c>
      <c r="X369">
        <f>'OTHER PLANT ATTN.'!C:C</f>
        <v>0</v>
      </c>
      <c r="Y369" t="e">
        <f>Table1[[#This Row],[CATEGORY ]]</f>
        <v>#VALUE!</v>
      </c>
      <c r="Z369" t="e">
        <f>Table1[[#This Row],[PLANT]]</f>
        <v>#VALUE!</v>
      </c>
    </row>
    <row r="370" spans="1:26">
      <c r="A370" t="e">
        <f t="shared" si="76"/>
        <v>#VALUE!</v>
      </c>
      <c r="B370" t="e">
        <f>Table4[[#This Row],[CATEGORY]]</f>
        <v>#VALUE!</v>
      </c>
      <c r="C370" t="e">
        <f>Table4[[#This Row],[SUB-CATEGORY]]</f>
        <v>#VALUE!</v>
      </c>
      <c r="D370">
        <f>'RJ ATTENDENCE SHEET'!C:C</f>
        <v>0</v>
      </c>
      <c r="E370" t="e">
        <f t="shared" si="75"/>
        <v>#VALUE!</v>
      </c>
      <c r="F370" t="str">
        <f t="shared" si="83"/>
        <v/>
      </c>
      <c r="G370">
        <f>IFERROR(IF(F370=0,"",COUNTIF($F$3:F370,"&gt;0")),"")</f>
        <v>16</v>
      </c>
      <c r="H370" t="str">
        <f t="shared" si="77"/>
        <v/>
      </c>
      <c r="I370" t="str">
        <f t="shared" si="84"/>
        <v/>
      </c>
      <c r="J370">
        <f>IFERROR(IF(I370=0,"",COUNTIF($I$3:I370,"&gt;0")),"")</f>
        <v>34</v>
      </c>
      <c r="K370" t="str">
        <f t="shared" si="78"/>
        <v/>
      </c>
      <c r="L370" t="str">
        <f t="shared" si="85"/>
        <v/>
      </c>
      <c r="M370" t="str">
        <f t="shared" si="86"/>
        <v/>
      </c>
      <c r="N370">
        <f>IFERROR(IF(M370=0,"",COUNTIF($M$3:M370,"&gt;0")),"")</f>
        <v>33</v>
      </c>
      <c r="O370" t="str">
        <f t="shared" si="79"/>
        <v/>
      </c>
      <c r="P370" t="str">
        <f t="shared" si="87"/>
        <v/>
      </c>
      <c r="Q370" t="str">
        <f t="shared" si="88"/>
        <v/>
      </c>
      <c r="R370">
        <f>IFERROR(IF(Q370=0,"",COUNTIF($Q$3:Q370,"&gt;0")),"")</f>
        <v>16</v>
      </c>
      <c r="S370" t="str">
        <f t="shared" si="80"/>
        <v/>
      </c>
      <c r="T370" t="str">
        <f t="shared" si="89"/>
        <v/>
      </c>
      <c r="U370">
        <f>IFERROR(IF(T370=0,"",COUNTIF($T$3:T370,"&gt;0")),"")</f>
        <v>0</v>
      </c>
      <c r="V370" t="str">
        <f t="shared" si="81"/>
        <v/>
      </c>
      <c r="W370" t="e">
        <f t="shared" si="82"/>
        <v>#VALUE!</v>
      </c>
      <c r="X370">
        <f>'OTHER PLANT ATTN.'!C:C</f>
        <v>0</v>
      </c>
      <c r="Y370" t="e">
        <f>Table1[[#This Row],[CATEGORY ]]</f>
        <v>#VALUE!</v>
      </c>
      <c r="Z370" t="e">
        <f>Table1[[#This Row],[PLANT]]</f>
        <v>#VALUE!</v>
      </c>
    </row>
    <row r="371" spans="1:26">
      <c r="A371" t="e">
        <f t="shared" si="76"/>
        <v>#VALUE!</v>
      </c>
      <c r="B371" t="e">
        <f>Table4[[#This Row],[CATEGORY]]</f>
        <v>#VALUE!</v>
      </c>
      <c r="C371" t="e">
        <f>Table4[[#This Row],[SUB-CATEGORY]]</f>
        <v>#VALUE!</v>
      </c>
      <c r="D371">
        <f>'RJ ATTENDENCE SHEET'!C:C</f>
        <v>0</v>
      </c>
      <c r="E371" t="e">
        <f t="shared" si="75"/>
        <v>#VALUE!</v>
      </c>
      <c r="F371" t="str">
        <f t="shared" si="83"/>
        <v/>
      </c>
      <c r="G371">
        <f>IFERROR(IF(F371=0,"",COUNTIF($F$3:F371,"&gt;0")),"")</f>
        <v>16</v>
      </c>
      <c r="H371" t="str">
        <f t="shared" si="77"/>
        <v/>
      </c>
      <c r="I371" t="str">
        <f t="shared" si="84"/>
        <v/>
      </c>
      <c r="J371">
        <f>IFERROR(IF(I371=0,"",COUNTIF($I$3:I371,"&gt;0")),"")</f>
        <v>34</v>
      </c>
      <c r="K371" t="str">
        <f t="shared" si="78"/>
        <v/>
      </c>
      <c r="L371" t="str">
        <f t="shared" si="85"/>
        <v/>
      </c>
      <c r="M371" t="str">
        <f t="shared" si="86"/>
        <v/>
      </c>
      <c r="N371">
        <f>IFERROR(IF(M371=0,"",COUNTIF($M$3:M371,"&gt;0")),"")</f>
        <v>33</v>
      </c>
      <c r="O371" t="str">
        <f t="shared" si="79"/>
        <v/>
      </c>
      <c r="P371" t="str">
        <f t="shared" si="87"/>
        <v/>
      </c>
      <c r="Q371" t="str">
        <f t="shared" si="88"/>
        <v/>
      </c>
      <c r="R371">
        <f>IFERROR(IF(Q371=0,"",COUNTIF($Q$3:Q371,"&gt;0")),"")</f>
        <v>16</v>
      </c>
      <c r="S371" t="str">
        <f t="shared" si="80"/>
        <v/>
      </c>
      <c r="T371" t="str">
        <f t="shared" si="89"/>
        <v/>
      </c>
      <c r="U371">
        <f>IFERROR(IF(T371=0,"",COUNTIF($T$3:T371,"&gt;0")),"")</f>
        <v>0</v>
      </c>
      <c r="V371" t="str">
        <f t="shared" si="81"/>
        <v/>
      </c>
      <c r="W371" t="e">
        <f t="shared" si="82"/>
        <v>#VALUE!</v>
      </c>
      <c r="X371">
        <f>'OTHER PLANT ATTN.'!C:C</f>
        <v>0</v>
      </c>
      <c r="Y371" t="e">
        <f>Table1[[#This Row],[CATEGORY ]]</f>
        <v>#VALUE!</v>
      </c>
      <c r="Z371" t="e">
        <f>Table1[[#This Row],[PLANT]]</f>
        <v>#VALUE!</v>
      </c>
    </row>
    <row r="372" spans="1:26">
      <c r="A372" t="e">
        <f t="shared" si="76"/>
        <v>#VALUE!</v>
      </c>
      <c r="B372" t="e">
        <f>Table4[[#This Row],[CATEGORY]]</f>
        <v>#VALUE!</v>
      </c>
      <c r="C372" t="e">
        <f>Table4[[#This Row],[SUB-CATEGORY]]</f>
        <v>#VALUE!</v>
      </c>
      <c r="D372">
        <f>'RJ ATTENDENCE SHEET'!C:C</f>
        <v>0</v>
      </c>
      <c r="E372" t="e">
        <f t="shared" si="75"/>
        <v>#VALUE!</v>
      </c>
      <c r="F372" t="str">
        <f t="shared" si="83"/>
        <v/>
      </c>
      <c r="G372">
        <f>IFERROR(IF(F372=0,"",COUNTIF($F$3:F372,"&gt;0")),"")</f>
        <v>16</v>
      </c>
      <c r="H372" t="str">
        <f t="shared" si="77"/>
        <v/>
      </c>
      <c r="I372" t="str">
        <f t="shared" si="84"/>
        <v/>
      </c>
      <c r="J372">
        <f>IFERROR(IF(I372=0,"",COUNTIF($I$3:I372,"&gt;0")),"")</f>
        <v>34</v>
      </c>
      <c r="K372" t="str">
        <f t="shared" si="78"/>
        <v/>
      </c>
      <c r="L372" t="str">
        <f t="shared" si="85"/>
        <v/>
      </c>
      <c r="M372" t="str">
        <f t="shared" si="86"/>
        <v/>
      </c>
      <c r="N372">
        <f>IFERROR(IF(M372=0,"",COUNTIF($M$3:M372,"&gt;0")),"")</f>
        <v>33</v>
      </c>
      <c r="O372" t="str">
        <f t="shared" si="79"/>
        <v/>
      </c>
      <c r="P372" t="str">
        <f t="shared" si="87"/>
        <v/>
      </c>
      <c r="Q372" t="str">
        <f t="shared" si="88"/>
        <v/>
      </c>
      <c r="R372">
        <f>IFERROR(IF(Q372=0,"",COUNTIF($Q$3:Q372,"&gt;0")),"")</f>
        <v>16</v>
      </c>
      <c r="S372" t="str">
        <f t="shared" si="80"/>
        <v/>
      </c>
      <c r="T372" t="str">
        <f t="shared" si="89"/>
        <v/>
      </c>
      <c r="U372">
        <f>IFERROR(IF(T372=0,"",COUNTIF($T$3:T372,"&gt;0")),"")</f>
        <v>0</v>
      </c>
      <c r="V372" t="str">
        <f t="shared" si="81"/>
        <v/>
      </c>
      <c r="W372" t="e">
        <f t="shared" si="82"/>
        <v>#VALUE!</v>
      </c>
      <c r="X372">
        <f>'OTHER PLANT ATTN.'!C:C</f>
        <v>0</v>
      </c>
      <c r="Y372" t="e">
        <f>Table1[[#This Row],[CATEGORY ]]</f>
        <v>#VALUE!</v>
      </c>
      <c r="Z372" t="e">
        <f>Table1[[#This Row],[PLANT]]</f>
        <v>#VALUE!</v>
      </c>
    </row>
    <row r="373" spans="1:26">
      <c r="A373" t="e">
        <f t="shared" si="76"/>
        <v>#VALUE!</v>
      </c>
      <c r="B373" t="e">
        <f>Table4[[#This Row],[CATEGORY]]</f>
        <v>#VALUE!</v>
      </c>
      <c r="C373" t="e">
        <f>Table4[[#This Row],[SUB-CATEGORY]]</f>
        <v>#VALUE!</v>
      </c>
      <c r="D373">
        <f>'RJ ATTENDENCE SHEET'!C:C</f>
        <v>0</v>
      </c>
      <c r="E373" t="e">
        <f t="shared" si="75"/>
        <v>#VALUE!</v>
      </c>
      <c r="F373" t="str">
        <f t="shared" si="83"/>
        <v/>
      </c>
      <c r="G373">
        <f>IFERROR(IF(F373=0,"",COUNTIF($F$3:F373,"&gt;0")),"")</f>
        <v>16</v>
      </c>
      <c r="H373" t="str">
        <f t="shared" si="77"/>
        <v/>
      </c>
      <c r="I373" t="str">
        <f t="shared" si="84"/>
        <v/>
      </c>
      <c r="J373">
        <f>IFERROR(IF(I373=0,"",COUNTIF($I$3:I373,"&gt;0")),"")</f>
        <v>34</v>
      </c>
      <c r="K373" t="str">
        <f t="shared" si="78"/>
        <v/>
      </c>
      <c r="L373" t="str">
        <f t="shared" si="85"/>
        <v/>
      </c>
      <c r="M373" t="str">
        <f t="shared" si="86"/>
        <v/>
      </c>
      <c r="N373">
        <f>IFERROR(IF(M373=0,"",COUNTIF($M$3:M373,"&gt;0")),"")</f>
        <v>33</v>
      </c>
      <c r="O373" t="str">
        <f t="shared" si="79"/>
        <v/>
      </c>
      <c r="P373" t="str">
        <f t="shared" si="87"/>
        <v/>
      </c>
      <c r="Q373" t="str">
        <f t="shared" si="88"/>
        <v/>
      </c>
      <c r="R373">
        <f>IFERROR(IF(Q373=0,"",COUNTIF($Q$3:Q373,"&gt;0")),"")</f>
        <v>16</v>
      </c>
      <c r="S373" t="str">
        <f t="shared" si="80"/>
        <v/>
      </c>
      <c r="T373" t="str">
        <f t="shared" si="89"/>
        <v/>
      </c>
      <c r="U373">
        <f>IFERROR(IF(T373=0,"",COUNTIF($T$3:T373,"&gt;0")),"")</f>
        <v>0</v>
      </c>
      <c r="V373" t="str">
        <f t="shared" si="81"/>
        <v/>
      </c>
      <c r="W373" t="e">
        <f t="shared" si="82"/>
        <v>#VALUE!</v>
      </c>
      <c r="X373">
        <f>'OTHER PLANT ATTN.'!C:C</f>
        <v>0</v>
      </c>
      <c r="Y373" t="e">
        <f>Table1[[#This Row],[CATEGORY ]]</f>
        <v>#VALUE!</v>
      </c>
      <c r="Z373" t="e">
        <f>Table1[[#This Row],[PLANT]]</f>
        <v>#VALUE!</v>
      </c>
    </row>
    <row r="374" spans="1:26">
      <c r="A374" t="e">
        <f t="shared" si="76"/>
        <v>#VALUE!</v>
      </c>
      <c r="B374" t="e">
        <f>Table4[[#This Row],[CATEGORY]]</f>
        <v>#VALUE!</v>
      </c>
      <c r="C374" t="e">
        <f>Table4[[#This Row],[SUB-CATEGORY]]</f>
        <v>#VALUE!</v>
      </c>
      <c r="D374">
        <f>'RJ ATTENDENCE SHEET'!C:C</f>
        <v>0</v>
      </c>
      <c r="E374" t="e">
        <f t="shared" si="75"/>
        <v>#VALUE!</v>
      </c>
      <c r="F374" t="str">
        <f t="shared" si="83"/>
        <v/>
      </c>
      <c r="G374">
        <f>IFERROR(IF(F374=0,"",COUNTIF($F$3:F374,"&gt;0")),"")</f>
        <v>16</v>
      </c>
      <c r="H374" t="str">
        <f t="shared" si="77"/>
        <v/>
      </c>
      <c r="I374" t="str">
        <f t="shared" si="84"/>
        <v/>
      </c>
      <c r="J374">
        <f>IFERROR(IF(I374=0,"",COUNTIF($I$3:I374,"&gt;0")),"")</f>
        <v>34</v>
      </c>
      <c r="K374" t="str">
        <f t="shared" si="78"/>
        <v/>
      </c>
      <c r="L374" t="str">
        <f t="shared" si="85"/>
        <v/>
      </c>
      <c r="M374" t="str">
        <f t="shared" si="86"/>
        <v/>
      </c>
      <c r="N374">
        <f>IFERROR(IF(M374=0,"",COUNTIF($M$3:M374,"&gt;0")),"")</f>
        <v>33</v>
      </c>
      <c r="O374" t="str">
        <f t="shared" si="79"/>
        <v/>
      </c>
      <c r="P374" t="str">
        <f t="shared" si="87"/>
        <v/>
      </c>
      <c r="Q374" t="str">
        <f t="shared" si="88"/>
        <v/>
      </c>
      <c r="R374">
        <f>IFERROR(IF(Q374=0,"",COUNTIF($Q$3:Q374,"&gt;0")),"")</f>
        <v>16</v>
      </c>
      <c r="S374" t="str">
        <f t="shared" si="80"/>
        <v/>
      </c>
      <c r="T374" t="str">
        <f t="shared" si="89"/>
        <v/>
      </c>
      <c r="U374">
        <f>IFERROR(IF(T374=0,"",COUNTIF($T$3:T374,"&gt;0")),"")</f>
        <v>0</v>
      </c>
      <c r="V374" t="str">
        <f t="shared" si="81"/>
        <v/>
      </c>
      <c r="W374" t="e">
        <f t="shared" si="82"/>
        <v>#VALUE!</v>
      </c>
      <c r="X374">
        <f>'OTHER PLANT ATTN.'!C:C</f>
        <v>0</v>
      </c>
      <c r="Y374" t="e">
        <f>Table1[[#This Row],[CATEGORY ]]</f>
        <v>#VALUE!</v>
      </c>
      <c r="Z374" t="e">
        <f>Table1[[#This Row],[PLANT]]</f>
        <v>#VALUE!</v>
      </c>
    </row>
    <row r="375" spans="1:26">
      <c r="A375" t="e">
        <f t="shared" si="76"/>
        <v>#VALUE!</v>
      </c>
      <c r="B375" t="e">
        <f>Table4[[#This Row],[CATEGORY]]</f>
        <v>#VALUE!</v>
      </c>
      <c r="C375" t="e">
        <f>Table4[[#This Row],[SUB-CATEGORY]]</f>
        <v>#VALUE!</v>
      </c>
      <c r="D375">
        <f>'RJ ATTENDENCE SHEET'!C:C</f>
        <v>0</v>
      </c>
      <c r="E375" t="e">
        <f t="shared" si="75"/>
        <v>#VALUE!</v>
      </c>
      <c r="F375" t="str">
        <f t="shared" si="83"/>
        <v/>
      </c>
      <c r="G375">
        <f>IFERROR(IF(F375=0,"",COUNTIF($F$3:F375,"&gt;0")),"")</f>
        <v>16</v>
      </c>
      <c r="H375" t="str">
        <f t="shared" si="77"/>
        <v/>
      </c>
      <c r="I375" t="str">
        <f t="shared" si="84"/>
        <v/>
      </c>
      <c r="J375">
        <f>IFERROR(IF(I375=0,"",COUNTIF($I$3:I375,"&gt;0")),"")</f>
        <v>34</v>
      </c>
      <c r="K375" t="str">
        <f t="shared" si="78"/>
        <v/>
      </c>
      <c r="L375" t="str">
        <f t="shared" si="85"/>
        <v/>
      </c>
      <c r="M375" t="str">
        <f t="shared" si="86"/>
        <v/>
      </c>
      <c r="N375">
        <f>IFERROR(IF(M375=0,"",COUNTIF($M$3:M375,"&gt;0")),"")</f>
        <v>33</v>
      </c>
      <c r="O375" t="str">
        <f t="shared" si="79"/>
        <v/>
      </c>
      <c r="P375" t="str">
        <f t="shared" si="87"/>
        <v/>
      </c>
      <c r="Q375" t="str">
        <f t="shared" si="88"/>
        <v/>
      </c>
      <c r="R375">
        <f>IFERROR(IF(Q375=0,"",COUNTIF($Q$3:Q375,"&gt;0")),"")</f>
        <v>16</v>
      </c>
      <c r="S375" t="str">
        <f t="shared" si="80"/>
        <v/>
      </c>
      <c r="T375" t="str">
        <f t="shared" si="89"/>
        <v/>
      </c>
      <c r="U375">
        <f>IFERROR(IF(T375=0,"",COUNTIF($T$3:T375,"&gt;0")),"")</f>
        <v>0</v>
      </c>
      <c r="V375" t="str">
        <f t="shared" si="81"/>
        <v/>
      </c>
      <c r="W375" t="e">
        <f t="shared" si="82"/>
        <v>#VALUE!</v>
      </c>
      <c r="X375">
        <f>'OTHER PLANT ATTN.'!C:C</f>
        <v>0</v>
      </c>
      <c r="Y375" t="e">
        <f>Table1[[#This Row],[CATEGORY ]]</f>
        <v>#VALUE!</v>
      </c>
      <c r="Z375" t="e">
        <f>Table1[[#This Row],[PLANT]]</f>
        <v>#VALUE!</v>
      </c>
    </row>
    <row r="376" spans="1:26">
      <c r="A376" t="e">
        <f t="shared" si="76"/>
        <v>#VALUE!</v>
      </c>
      <c r="B376" t="e">
        <f>Table4[[#This Row],[CATEGORY]]</f>
        <v>#VALUE!</v>
      </c>
      <c r="C376" t="e">
        <f>Table4[[#This Row],[SUB-CATEGORY]]</f>
        <v>#VALUE!</v>
      </c>
      <c r="D376">
        <f>'RJ ATTENDENCE SHEET'!C:C</f>
        <v>0</v>
      </c>
      <c r="E376" t="e">
        <f t="shared" si="75"/>
        <v>#VALUE!</v>
      </c>
      <c r="F376" t="str">
        <f t="shared" si="83"/>
        <v/>
      </c>
      <c r="G376">
        <f>IFERROR(IF(F376=0,"",COUNTIF($F$3:F376,"&gt;0")),"")</f>
        <v>16</v>
      </c>
      <c r="H376" t="str">
        <f t="shared" si="77"/>
        <v/>
      </c>
      <c r="I376" t="str">
        <f t="shared" si="84"/>
        <v/>
      </c>
      <c r="J376">
        <f>IFERROR(IF(I376=0,"",COUNTIF($I$3:I376,"&gt;0")),"")</f>
        <v>34</v>
      </c>
      <c r="K376" t="str">
        <f t="shared" si="78"/>
        <v/>
      </c>
      <c r="L376" t="str">
        <f t="shared" si="85"/>
        <v/>
      </c>
      <c r="M376" t="str">
        <f t="shared" si="86"/>
        <v/>
      </c>
      <c r="N376">
        <f>IFERROR(IF(M376=0,"",COUNTIF($M$3:M376,"&gt;0")),"")</f>
        <v>33</v>
      </c>
      <c r="O376" t="str">
        <f t="shared" si="79"/>
        <v/>
      </c>
      <c r="P376" t="str">
        <f t="shared" si="87"/>
        <v/>
      </c>
      <c r="Q376" t="str">
        <f t="shared" si="88"/>
        <v/>
      </c>
      <c r="R376">
        <f>IFERROR(IF(Q376=0,"",COUNTIF($Q$3:Q376,"&gt;0")),"")</f>
        <v>16</v>
      </c>
      <c r="S376" t="str">
        <f t="shared" si="80"/>
        <v/>
      </c>
      <c r="T376" t="str">
        <f t="shared" si="89"/>
        <v/>
      </c>
      <c r="U376">
        <f>IFERROR(IF(T376=0,"",COUNTIF($T$3:T376,"&gt;0")),"")</f>
        <v>0</v>
      </c>
      <c r="V376" t="str">
        <f t="shared" si="81"/>
        <v/>
      </c>
      <c r="W376" t="e">
        <f t="shared" si="82"/>
        <v>#VALUE!</v>
      </c>
      <c r="X376">
        <f>'OTHER PLANT ATTN.'!C:C</f>
        <v>0</v>
      </c>
      <c r="Y376" t="e">
        <f>Table1[[#This Row],[CATEGORY ]]</f>
        <v>#VALUE!</v>
      </c>
      <c r="Z376" t="e">
        <f>Table1[[#This Row],[PLANT]]</f>
        <v>#VALUE!</v>
      </c>
    </row>
    <row r="377" spans="1:26">
      <c r="A377" t="e">
        <f t="shared" si="76"/>
        <v>#VALUE!</v>
      </c>
      <c r="B377" t="e">
        <f>Table4[[#This Row],[CATEGORY]]</f>
        <v>#VALUE!</v>
      </c>
      <c r="C377" t="e">
        <f>Table4[[#This Row],[SUB-CATEGORY]]</f>
        <v>#VALUE!</v>
      </c>
      <c r="D377">
        <f>'RJ ATTENDENCE SHEET'!C:C</f>
        <v>0</v>
      </c>
      <c r="E377" t="e">
        <f t="shared" si="75"/>
        <v>#VALUE!</v>
      </c>
      <c r="F377" t="str">
        <f t="shared" si="83"/>
        <v/>
      </c>
      <c r="G377">
        <f>IFERROR(IF(F377=0,"",COUNTIF($F$3:F377,"&gt;0")),"")</f>
        <v>16</v>
      </c>
      <c r="H377" t="str">
        <f t="shared" si="77"/>
        <v/>
      </c>
      <c r="I377" t="str">
        <f t="shared" si="84"/>
        <v/>
      </c>
      <c r="J377">
        <f>IFERROR(IF(I377=0,"",COUNTIF($I$3:I377,"&gt;0")),"")</f>
        <v>34</v>
      </c>
      <c r="K377" t="str">
        <f t="shared" si="78"/>
        <v/>
      </c>
      <c r="L377" t="str">
        <f t="shared" si="85"/>
        <v/>
      </c>
      <c r="M377" t="str">
        <f t="shared" si="86"/>
        <v/>
      </c>
      <c r="N377">
        <f>IFERROR(IF(M377=0,"",COUNTIF($M$3:M377,"&gt;0")),"")</f>
        <v>33</v>
      </c>
      <c r="O377" t="str">
        <f t="shared" si="79"/>
        <v/>
      </c>
      <c r="P377" t="str">
        <f t="shared" si="87"/>
        <v/>
      </c>
      <c r="Q377" t="str">
        <f t="shared" si="88"/>
        <v/>
      </c>
      <c r="R377">
        <f>IFERROR(IF(Q377=0,"",COUNTIF($Q$3:Q377,"&gt;0")),"")</f>
        <v>16</v>
      </c>
      <c r="S377" t="str">
        <f t="shared" si="80"/>
        <v/>
      </c>
      <c r="T377" t="str">
        <f t="shared" si="89"/>
        <v/>
      </c>
      <c r="U377">
        <f>IFERROR(IF(T377=0,"",COUNTIF($T$3:T377,"&gt;0")),"")</f>
        <v>0</v>
      </c>
      <c r="V377" t="str">
        <f t="shared" si="81"/>
        <v/>
      </c>
      <c r="W377" t="e">
        <f t="shared" si="82"/>
        <v>#VALUE!</v>
      </c>
      <c r="X377">
        <f>'OTHER PLANT ATTN.'!C:C</f>
        <v>0</v>
      </c>
      <c r="Y377" t="e">
        <f>Table1[[#This Row],[CATEGORY ]]</f>
        <v>#VALUE!</v>
      </c>
      <c r="Z377" t="e">
        <f>Table1[[#This Row],[PLANT]]</f>
        <v>#VALUE!</v>
      </c>
    </row>
    <row r="378" spans="1:26">
      <c r="A378" t="e">
        <f t="shared" si="76"/>
        <v>#VALUE!</v>
      </c>
      <c r="B378" t="e">
        <f>Table4[[#This Row],[CATEGORY]]</f>
        <v>#VALUE!</v>
      </c>
      <c r="C378" t="e">
        <f>Table4[[#This Row],[SUB-CATEGORY]]</f>
        <v>#VALUE!</v>
      </c>
      <c r="D378">
        <f>'RJ ATTENDENCE SHEET'!C:C</f>
        <v>0</v>
      </c>
      <c r="E378" t="e">
        <f t="shared" si="75"/>
        <v>#VALUE!</v>
      </c>
      <c r="F378" t="str">
        <f t="shared" si="83"/>
        <v/>
      </c>
      <c r="G378">
        <f>IFERROR(IF(F378=0,"",COUNTIF($F$3:F378,"&gt;0")),"")</f>
        <v>16</v>
      </c>
      <c r="H378" t="str">
        <f t="shared" si="77"/>
        <v/>
      </c>
      <c r="I378" t="str">
        <f t="shared" si="84"/>
        <v/>
      </c>
      <c r="J378">
        <f>IFERROR(IF(I378=0,"",COUNTIF($I$3:I378,"&gt;0")),"")</f>
        <v>34</v>
      </c>
      <c r="K378" t="str">
        <f t="shared" si="78"/>
        <v/>
      </c>
      <c r="L378" t="str">
        <f t="shared" si="85"/>
        <v/>
      </c>
      <c r="M378" t="str">
        <f t="shared" si="86"/>
        <v/>
      </c>
      <c r="N378">
        <f>IFERROR(IF(M378=0,"",COUNTIF($M$3:M378,"&gt;0")),"")</f>
        <v>33</v>
      </c>
      <c r="O378" t="str">
        <f t="shared" si="79"/>
        <v/>
      </c>
      <c r="P378" t="str">
        <f t="shared" si="87"/>
        <v/>
      </c>
      <c r="Q378" t="str">
        <f t="shared" si="88"/>
        <v/>
      </c>
      <c r="R378">
        <f>IFERROR(IF(Q378=0,"",COUNTIF($Q$3:Q378,"&gt;0")),"")</f>
        <v>16</v>
      </c>
      <c r="S378" t="str">
        <f t="shared" si="80"/>
        <v/>
      </c>
      <c r="T378" t="str">
        <f t="shared" si="89"/>
        <v/>
      </c>
      <c r="U378">
        <f>IFERROR(IF(T378=0,"",COUNTIF($T$3:T378,"&gt;0")),"")</f>
        <v>0</v>
      </c>
      <c r="V378" t="str">
        <f t="shared" si="81"/>
        <v/>
      </c>
      <c r="W378" t="e">
        <f t="shared" si="82"/>
        <v>#VALUE!</v>
      </c>
      <c r="X378">
        <f>'OTHER PLANT ATTN.'!C:C</f>
        <v>0</v>
      </c>
      <c r="Y378" t="e">
        <f>Table1[[#This Row],[CATEGORY ]]</f>
        <v>#VALUE!</v>
      </c>
      <c r="Z378" t="e">
        <f>Table1[[#This Row],[PLANT]]</f>
        <v>#VALUE!</v>
      </c>
    </row>
    <row r="379" spans="1:26">
      <c r="A379" t="e">
        <f t="shared" si="76"/>
        <v>#VALUE!</v>
      </c>
      <c r="B379" t="e">
        <f>Table4[[#This Row],[CATEGORY]]</f>
        <v>#VALUE!</v>
      </c>
      <c r="C379" t="e">
        <f>Table4[[#This Row],[SUB-CATEGORY]]</f>
        <v>#VALUE!</v>
      </c>
      <c r="D379">
        <f>'RJ ATTENDENCE SHEET'!C:C</f>
        <v>0</v>
      </c>
      <c r="E379" t="e">
        <f t="shared" si="75"/>
        <v>#VALUE!</v>
      </c>
      <c r="F379" t="str">
        <f t="shared" si="83"/>
        <v/>
      </c>
      <c r="G379">
        <f>IFERROR(IF(F379=0,"",COUNTIF($F$3:F379,"&gt;0")),"")</f>
        <v>16</v>
      </c>
      <c r="H379" t="str">
        <f t="shared" si="77"/>
        <v/>
      </c>
      <c r="I379" t="str">
        <f t="shared" si="84"/>
        <v/>
      </c>
      <c r="J379">
        <f>IFERROR(IF(I379=0,"",COUNTIF($I$3:I379,"&gt;0")),"")</f>
        <v>34</v>
      </c>
      <c r="K379" t="str">
        <f t="shared" si="78"/>
        <v/>
      </c>
      <c r="L379" t="str">
        <f t="shared" si="85"/>
        <v/>
      </c>
      <c r="M379" t="str">
        <f t="shared" si="86"/>
        <v/>
      </c>
      <c r="N379">
        <f>IFERROR(IF(M379=0,"",COUNTIF($M$3:M379,"&gt;0")),"")</f>
        <v>33</v>
      </c>
      <c r="O379" t="str">
        <f t="shared" si="79"/>
        <v/>
      </c>
      <c r="P379" t="str">
        <f t="shared" si="87"/>
        <v/>
      </c>
      <c r="Q379" t="str">
        <f t="shared" si="88"/>
        <v/>
      </c>
      <c r="R379">
        <f>IFERROR(IF(Q379=0,"",COUNTIF($Q$3:Q379,"&gt;0")),"")</f>
        <v>16</v>
      </c>
      <c r="S379" t="str">
        <f t="shared" si="80"/>
        <v/>
      </c>
      <c r="T379" t="str">
        <f t="shared" si="89"/>
        <v/>
      </c>
      <c r="U379">
        <f>IFERROR(IF(T379=0,"",COUNTIF($T$3:T379,"&gt;0")),"")</f>
        <v>0</v>
      </c>
      <c r="V379" t="str">
        <f t="shared" si="81"/>
        <v/>
      </c>
      <c r="W379" t="e">
        <f t="shared" si="82"/>
        <v>#VALUE!</v>
      </c>
      <c r="X379">
        <f>'OTHER PLANT ATTN.'!C:C</f>
        <v>0</v>
      </c>
      <c r="Y379" t="e">
        <f>Table1[[#This Row],[CATEGORY ]]</f>
        <v>#VALUE!</v>
      </c>
      <c r="Z379" t="e">
        <f>Table1[[#This Row],[PLANT]]</f>
        <v>#VALUE!</v>
      </c>
    </row>
    <row r="380" spans="1:26">
      <c r="A380" t="e">
        <f t="shared" si="76"/>
        <v>#VALUE!</v>
      </c>
      <c r="B380" t="e">
        <f>Table4[[#This Row],[CATEGORY]]</f>
        <v>#VALUE!</v>
      </c>
      <c r="C380" t="e">
        <f>Table4[[#This Row],[SUB-CATEGORY]]</f>
        <v>#VALUE!</v>
      </c>
      <c r="D380">
        <f>'RJ ATTENDENCE SHEET'!C:C</f>
        <v>0</v>
      </c>
      <c r="E380" t="e">
        <f t="shared" si="75"/>
        <v>#VALUE!</v>
      </c>
      <c r="F380" t="str">
        <f t="shared" si="83"/>
        <v/>
      </c>
      <c r="G380">
        <f>IFERROR(IF(F380=0,"",COUNTIF($F$3:F380,"&gt;0")),"")</f>
        <v>16</v>
      </c>
      <c r="H380" t="str">
        <f t="shared" si="77"/>
        <v/>
      </c>
      <c r="I380" t="str">
        <f t="shared" si="84"/>
        <v/>
      </c>
      <c r="J380">
        <f>IFERROR(IF(I380=0,"",COUNTIF($I$3:I380,"&gt;0")),"")</f>
        <v>34</v>
      </c>
      <c r="K380" t="str">
        <f t="shared" si="78"/>
        <v/>
      </c>
      <c r="L380" t="str">
        <f t="shared" si="85"/>
        <v/>
      </c>
      <c r="M380" t="str">
        <f t="shared" si="86"/>
        <v/>
      </c>
      <c r="N380">
        <f>IFERROR(IF(M380=0,"",COUNTIF($M$3:M380,"&gt;0")),"")</f>
        <v>33</v>
      </c>
      <c r="O380" t="str">
        <f t="shared" si="79"/>
        <v/>
      </c>
      <c r="P380" t="str">
        <f t="shared" si="87"/>
        <v/>
      </c>
      <c r="Q380" t="str">
        <f t="shared" si="88"/>
        <v/>
      </c>
      <c r="R380">
        <f>IFERROR(IF(Q380=0,"",COUNTIF($Q$3:Q380,"&gt;0")),"")</f>
        <v>16</v>
      </c>
      <c r="S380" t="str">
        <f t="shared" si="80"/>
        <v/>
      </c>
      <c r="T380" t="str">
        <f t="shared" si="89"/>
        <v/>
      </c>
      <c r="U380">
        <f>IFERROR(IF(T380=0,"",COUNTIF($T$3:T380,"&gt;0")),"")</f>
        <v>0</v>
      </c>
      <c r="V380" t="str">
        <f t="shared" si="81"/>
        <v/>
      </c>
      <c r="W380" t="e">
        <f t="shared" si="82"/>
        <v>#VALUE!</v>
      </c>
      <c r="X380">
        <f>'OTHER PLANT ATTN.'!C:C</f>
        <v>0</v>
      </c>
      <c r="Y380" t="e">
        <f>Table1[[#This Row],[CATEGORY ]]</f>
        <v>#VALUE!</v>
      </c>
      <c r="Z380" t="e">
        <f>Table1[[#This Row],[PLANT]]</f>
        <v>#VALUE!</v>
      </c>
    </row>
    <row r="381" spans="1:26">
      <c r="A381" t="e">
        <f t="shared" si="76"/>
        <v>#VALUE!</v>
      </c>
      <c r="B381" t="e">
        <f>Table4[[#This Row],[CATEGORY]]</f>
        <v>#VALUE!</v>
      </c>
      <c r="C381" t="e">
        <f>Table4[[#This Row],[SUB-CATEGORY]]</f>
        <v>#VALUE!</v>
      </c>
      <c r="D381">
        <f>'RJ ATTENDENCE SHEET'!C:C</f>
        <v>0</v>
      </c>
      <c r="E381" t="e">
        <f t="shared" si="75"/>
        <v>#VALUE!</v>
      </c>
      <c r="F381" t="str">
        <f t="shared" si="83"/>
        <v/>
      </c>
      <c r="G381">
        <f>IFERROR(IF(F381=0,"",COUNTIF($F$3:F381,"&gt;0")),"")</f>
        <v>16</v>
      </c>
      <c r="H381" t="str">
        <f t="shared" si="77"/>
        <v/>
      </c>
      <c r="I381" t="str">
        <f t="shared" si="84"/>
        <v/>
      </c>
      <c r="J381">
        <f>IFERROR(IF(I381=0,"",COUNTIF($I$3:I381,"&gt;0")),"")</f>
        <v>34</v>
      </c>
      <c r="K381" t="str">
        <f t="shared" si="78"/>
        <v/>
      </c>
      <c r="L381" t="str">
        <f t="shared" si="85"/>
        <v/>
      </c>
      <c r="M381" t="str">
        <f t="shared" si="86"/>
        <v/>
      </c>
      <c r="N381">
        <f>IFERROR(IF(M381=0,"",COUNTIF($M$3:M381,"&gt;0")),"")</f>
        <v>33</v>
      </c>
      <c r="O381" t="str">
        <f t="shared" si="79"/>
        <v/>
      </c>
      <c r="P381" t="str">
        <f t="shared" si="87"/>
        <v/>
      </c>
      <c r="Q381" t="str">
        <f t="shared" si="88"/>
        <v/>
      </c>
      <c r="R381">
        <f>IFERROR(IF(Q381=0,"",COUNTIF($Q$3:Q381,"&gt;0")),"")</f>
        <v>16</v>
      </c>
      <c r="S381" t="str">
        <f t="shared" si="80"/>
        <v/>
      </c>
      <c r="T381" t="str">
        <f t="shared" si="89"/>
        <v/>
      </c>
      <c r="U381">
        <f>IFERROR(IF(T381=0,"",COUNTIF($T$3:T381,"&gt;0")),"")</f>
        <v>0</v>
      </c>
      <c r="V381" t="str">
        <f t="shared" si="81"/>
        <v/>
      </c>
      <c r="W381" t="e">
        <f t="shared" si="82"/>
        <v>#VALUE!</v>
      </c>
      <c r="X381">
        <f>'OTHER PLANT ATTN.'!C:C</f>
        <v>0</v>
      </c>
      <c r="Y381" t="e">
        <f>Table1[[#This Row],[CATEGORY ]]</f>
        <v>#VALUE!</v>
      </c>
      <c r="Z381" t="e">
        <f>Table1[[#This Row],[PLANT]]</f>
        <v>#VALUE!</v>
      </c>
    </row>
    <row r="382" spans="1:26">
      <c r="A382" t="e">
        <f t="shared" si="76"/>
        <v>#VALUE!</v>
      </c>
      <c r="B382" t="e">
        <f>Table4[[#This Row],[CATEGORY]]</f>
        <v>#VALUE!</v>
      </c>
      <c r="C382" t="e">
        <f>Table4[[#This Row],[SUB-CATEGORY]]</f>
        <v>#VALUE!</v>
      </c>
      <c r="D382">
        <f>'RJ ATTENDENCE SHEET'!C:C</f>
        <v>0</v>
      </c>
      <c r="E382" t="e">
        <f t="shared" si="75"/>
        <v>#VALUE!</v>
      </c>
      <c r="F382" t="str">
        <f t="shared" si="83"/>
        <v/>
      </c>
      <c r="G382">
        <f>IFERROR(IF(F382=0,"",COUNTIF($F$3:F382,"&gt;0")),"")</f>
        <v>16</v>
      </c>
      <c r="H382" t="str">
        <f t="shared" si="77"/>
        <v/>
      </c>
      <c r="I382" t="str">
        <f t="shared" si="84"/>
        <v/>
      </c>
      <c r="J382">
        <f>IFERROR(IF(I382=0,"",COUNTIF($I$3:I382,"&gt;0")),"")</f>
        <v>34</v>
      </c>
      <c r="K382" t="str">
        <f t="shared" si="78"/>
        <v/>
      </c>
      <c r="L382" t="str">
        <f t="shared" si="85"/>
        <v/>
      </c>
      <c r="M382" t="str">
        <f t="shared" si="86"/>
        <v/>
      </c>
      <c r="N382">
        <f>IFERROR(IF(M382=0,"",COUNTIF($M$3:M382,"&gt;0")),"")</f>
        <v>33</v>
      </c>
      <c r="O382" t="str">
        <f t="shared" si="79"/>
        <v/>
      </c>
      <c r="P382" t="str">
        <f t="shared" si="87"/>
        <v/>
      </c>
      <c r="Q382" t="str">
        <f t="shared" si="88"/>
        <v/>
      </c>
      <c r="R382">
        <f>IFERROR(IF(Q382=0,"",COUNTIF($Q$3:Q382,"&gt;0")),"")</f>
        <v>16</v>
      </c>
      <c r="S382" t="str">
        <f t="shared" si="80"/>
        <v/>
      </c>
      <c r="T382" t="str">
        <f t="shared" si="89"/>
        <v/>
      </c>
      <c r="U382">
        <f>IFERROR(IF(T382=0,"",COUNTIF($T$3:T382,"&gt;0")),"")</f>
        <v>0</v>
      </c>
      <c r="V382" t="str">
        <f t="shared" si="81"/>
        <v/>
      </c>
      <c r="W382" t="e">
        <f t="shared" si="82"/>
        <v>#VALUE!</v>
      </c>
      <c r="X382">
        <f>'OTHER PLANT ATTN.'!C:C</f>
        <v>0</v>
      </c>
      <c r="Y382" t="e">
        <f>Table1[[#This Row],[CATEGORY ]]</f>
        <v>#VALUE!</v>
      </c>
      <c r="Z382" t="e">
        <f>Table1[[#This Row],[PLANT]]</f>
        <v>#VALUE!</v>
      </c>
    </row>
    <row r="383" spans="1:26">
      <c r="A383" t="e">
        <f t="shared" si="76"/>
        <v>#VALUE!</v>
      </c>
      <c r="B383" t="e">
        <f>Table4[[#This Row],[CATEGORY]]</f>
        <v>#VALUE!</v>
      </c>
      <c r="C383" t="e">
        <f>Table4[[#This Row],[SUB-CATEGORY]]</f>
        <v>#VALUE!</v>
      </c>
      <c r="D383">
        <f>'RJ ATTENDENCE SHEET'!C:C</f>
        <v>0</v>
      </c>
      <c r="E383" t="e">
        <f t="shared" si="75"/>
        <v>#VALUE!</v>
      </c>
      <c r="F383" t="str">
        <f t="shared" si="83"/>
        <v/>
      </c>
      <c r="G383">
        <f>IFERROR(IF(F383=0,"",COUNTIF($F$3:F383,"&gt;0")),"")</f>
        <v>16</v>
      </c>
      <c r="H383" t="str">
        <f t="shared" si="77"/>
        <v/>
      </c>
      <c r="I383" t="str">
        <f t="shared" si="84"/>
        <v/>
      </c>
      <c r="J383">
        <f>IFERROR(IF(I383=0,"",COUNTIF($I$3:I383,"&gt;0")),"")</f>
        <v>34</v>
      </c>
      <c r="K383" t="str">
        <f t="shared" si="78"/>
        <v/>
      </c>
      <c r="L383" t="str">
        <f t="shared" si="85"/>
        <v/>
      </c>
      <c r="M383" t="str">
        <f t="shared" si="86"/>
        <v/>
      </c>
      <c r="N383">
        <f>IFERROR(IF(M383=0,"",COUNTIF($M$3:M383,"&gt;0")),"")</f>
        <v>33</v>
      </c>
      <c r="O383" t="str">
        <f t="shared" si="79"/>
        <v/>
      </c>
      <c r="P383" t="str">
        <f t="shared" si="87"/>
        <v/>
      </c>
      <c r="Q383" t="str">
        <f t="shared" si="88"/>
        <v/>
      </c>
      <c r="R383">
        <f>IFERROR(IF(Q383=0,"",COUNTIF($Q$3:Q383,"&gt;0")),"")</f>
        <v>16</v>
      </c>
      <c r="S383" t="str">
        <f t="shared" si="80"/>
        <v/>
      </c>
      <c r="T383" t="str">
        <f t="shared" si="89"/>
        <v/>
      </c>
      <c r="U383">
        <f>IFERROR(IF(T383=0,"",COUNTIF($T$3:T383,"&gt;0")),"")</f>
        <v>0</v>
      </c>
      <c r="V383" t="str">
        <f t="shared" si="81"/>
        <v/>
      </c>
      <c r="W383" t="e">
        <f t="shared" si="82"/>
        <v>#VALUE!</v>
      </c>
      <c r="X383">
        <f>'OTHER PLANT ATTN.'!C:C</f>
        <v>0</v>
      </c>
      <c r="Y383" t="e">
        <f>Table1[[#This Row],[CATEGORY ]]</f>
        <v>#VALUE!</v>
      </c>
      <c r="Z383" t="e">
        <f>Table1[[#This Row],[PLANT]]</f>
        <v>#VALUE!</v>
      </c>
    </row>
    <row r="384" spans="1:26">
      <c r="A384" t="e">
        <f t="shared" si="76"/>
        <v>#VALUE!</v>
      </c>
      <c r="B384" t="e">
        <f>Table4[[#This Row],[CATEGORY]]</f>
        <v>#VALUE!</v>
      </c>
      <c r="C384" t="e">
        <f>Table4[[#This Row],[SUB-CATEGORY]]</f>
        <v>#VALUE!</v>
      </c>
      <c r="D384">
        <f>'RJ ATTENDENCE SHEET'!C:C</f>
        <v>0</v>
      </c>
      <c r="E384" t="e">
        <f t="shared" si="75"/>
        <v>#VALUE!</v>
      </c>
      <c r="F384" t="str">
        <f t="shared" si="83"/>
        <v/>
      </c>
      <c r="G384">
        <f>IFERROR(IF(F384=0,"",COUNTIF($F$3:F384,"&gt;0")),"")</f>
        <v>16</v>
      </c>
      <c r="H384" t="str">
        <f t="shared" si="77"/>
        <v/>
      </c>
      <c r="I384" t="str">
        <f t="shared" si="84"/>
        <v/>
      </c>
      <c r="J384">
        <f>IFERROR(IF(I384=0,"",COUNTIF($I$3:I384,"&gt;0")),"")</f>
        <v>34</v>
      </c>
      <c r="K384" t="str">
        <f t="shared" si="78"/>
        <v/>
      </c>
      <c r="L384" t="str">
        <f t="shared" si="85"/>
        <v/>
      </c>
      <c r="M384" t="str">
        <f t="shared" si="86"/>
        <v/>
      </c>
      <c r="N384">
        <f>IFERROR(IF(M384=0,"",COUNTIF($M$3:M384,"&gt;0")),"")</f>
        <v>33</v>
      </c>
      <c r="O384" t="str">
        <f t="shared" si="79"/>
        <v/>
      </c>
      <c r="P384" t="str">
        <f t="shared" si="87"/>
        <v/>
      </c>
      <c r="Q384" t="str">
        <f t="shared" si="88"/>
        <v/>
      </c>
      <c r="R384">
        <f>IFERROR(IF(Q384=0,"",COUNTIF($Q$3:Q384,"&gt;0")),"")</f>
        <v>16</v>
      </c>
      <c r="S384" t="str">
        <f t="shared" si="80"/>
        <v/>
      </c>
      <c r="T384" t="str">
        <f t="shared" si="89"/>
        <v/>
      </c>
      <c r="U384">
        <f>IFERROR(IF(T384=0,"",COUNTIF($T$3:T384,"&gt;0")),"")</f>
        <v>0</v>
      </c>
      <c r="V384" t="str">
        <f t="shared" si="81"/>
        <v/>
      </c>
      <c r="W384" t="e">
        <f t="shared" si="82"/>
        <v>#VALUE!</v>
      </c>
      <c r="X384">
        <f>'OTHER PLANT ATTN.'!C:C</f>
        <v>0</v>
      </c>
      <c r="Y384" t="e">
        <f>Table1[[#This Row],[CATEGORY ]]</f>
        <v>#VALUE!</v>
      </c>
      <c r="Z384" t="e">
        <f>Table1[[#This Row],[PLANT]]</f>
        <v>#VALUE!</v>
      </c>
    </row>
    <row r="385" spans="1:26">
      <c r="A385" t="e">
        <f t="shared" si="76"/>
        <v>#VALUE!</v>
      </c>
      <c r="B385" t="e">
        <f>Table4[[#This Row],[CATEGORY]]</f>
        <v>#VALUE!</v>
      </c>
      <c r="C385" t="e">
        <f>Table4[[#This Row],[SUB-CATEGORY]]</f>
        <v>#VALUE!</v>
      </c>
      <c r="D385">
        <f>'RJ ATTENDENCE SHEET'!C:C</f>
        <v>0</v>
      </c>
      <c r="E385" t="e">
        <f t="shared" si="75"/>
        <v>#VALUE!</v>
      </c>
      <c r="F385" t="str">
        <f t="shared" si="83"/>
        <v/>
      </c>
      <c r="G385">
        <f>IFERROR(IF(F385=0,"",COUNTIF($F$3:F385,"&gt;0")),"")</f>
        <v>16</v>
      </c>
      <c r="H385" t="str">
        <f t="shared" si="77"/>
        <v/>
      </c>
      <c r="I385" t="str">
        <f t="shared" si="84"/>
        <v/>
      </c>
      <c r="J385">
        <f>IFERROR(IF(I385=0,"",COUNTIF($I$3:I385,"&gt;0")),"")</f>
        <v>34</v>
      </c>
      <c r="K385" t="str">
        <f t="shared" si="78"/>
        <v/>
      </c>
      <c r="L385" t="str">
        <f t="shared" si="85"/>
        <v/>
      </c>
      <c r="M385" t="str">
        <f t="shared" si="86"/>
        <v/>
      </c>
      <c r="N385">
        <f>IFERROR(IF(M385=0,"",COUNTIF($M$3:M385,"&gt;0")),"")</f>
        <v>33</v>
      </c>
      <c r="O385" t="str">
        <f t="shared" si="79"/>
        <v/>
      </c>
      <c r="P385" t="str">
        <f t="shared" si="87"/>
        <v/>
      </c>
      <c r="Q385" t="str">
        <f t="shared" si="88"/>
        <v/>
      </c>
      <c r="R385">
        <f>IFERROR(IF(Q385=0,"",COUNTIF($Q$3:Q385,"&gt;0")),"")</f>
        <v>16</v>
      </c>
      <c r="S385" t="str">
        <f t="shared" si="80"/>
        <v/>
      </c>
      <c r="T385" t="str">
        <f t="shared" si="89"/>
        <v/>
      </c>
      <c r="U385">
        <f>IFERROR(IF(T385=0,"",COUNTIF($T$3:T385,"&gt;0")),"")</f>
        <v>0</v>
      </c>
      <c r="V385" t="str">
        <f t="shared" si="81"/>
        <v/>
      </c>
      <c r="W385" t="e">
        <f t="shared" si="82"/>
        <v>#VALUE!</v>
      </c>
      <c r="X385">
        <f>'OTHER PLANT ATTN.'!C:C</f>
        <v>0</v>
      </c>
      <c r="Y385" t="e">
        <f>Table1[[#This Row],[CATEGORY ]]</f>
        <v>#VALUE!</v>
      </c>
      <c r="Z385" t="e">
        <f>Table1[[#This Row],[PLANT]]</f>
        <v>#VALUE!</v>
      </c>
    </row>
    <row r="386" spans="1:26">
      <c r="A386" t="e">
        <f t="shared" si="76"/>
        <v>#VALUE!</v>
      </c>
      <c r="B386" t="e">
        <f>Table4[[#This Row],[CATEGORY]]</f>
        <v>#VALUE!</v>
      </c>
      <c r="C386" t="e">
        <f>Table4[[#This Row],[SUB-CATEGORY]]</f>
        <v>#VALUE!</v>
      </c>
      <c r="D386">
        <f>'RJ ATTENDENCE SHEET'!C:C</f>
        <v>0</v>
      </c>
      <c r="E386" t="e">
        <f t="shared" ref="E386:E449" si="90">C386</f>
        <v>#VALUE!</v>
      </c>
      <c r="F386" t="str">
        <f t="shared" si="83"/>
        <v/>
      </c>
      <c r="G386">
        <f>IFERROR(IF(F386=0,"",COUNTIF($F$3:F386,"&gt;0")),"")</f>
        <v>16</v>
      </c>
      <c r="H386" t="str">
        <f t="shared" si="77"/>
        <v/>
      </c>
      <c r="I386" t="str">
        <f t="shared" si="84"/>
        <v/>
      </c>
      <c r="J386">
        <f>IFERROR(IF(I386=0,"",COUNTIF($I$3:I386,"&gt;0")),"")</f>
        <v>34</v>
      </c>
      <c r="K386" t="str">
        <f t="shared" si="78"/>
        <v/>
      </c>
      <c r="L386" t="str">
        <f t="shared" si="85"/>
        <v/>
      </c>
      <c r="M386" t="str">
        <f t="shared" si="86"/>
        <v/>
      </c>
      <c r="N386">
        <f>IFERROR(IF(M386=0,"",COUNTIF($M$3:M386,"&gt;0")),"")</f>
        <v>33</v>
      </c>
      <c r="O386" t="str">
        <f t="shared" si="79"/>
        <v/>
      </c>
      <c r="P386" t="str">
        <f t="shared" si="87"/>
        <v/>
      </c>
      <c r="Q386" t="str">
        <f t="shared" si="88"/>
        <v/>
      </c>
      <c r="R386">
        <f>IFERROR(IF(Q386=0,"",COUNTIF($Q$3:Q386,"&gt;0")),"")</f>
        <v>16</v>
      </c>
      <c r="S386" t="str">
        <f t="shared" si="80"/>
        <v/>
      </c>
      <c r="T386" t="str">
        <f t="shared" si="89"/>
        <v/>
      </c>
      <c r="U386">
        <f>IFERROR(IF(T386=0,"",COUNTIF($T$3:T386,"&gt;0")),"")</f>
        <v>0</v>
      </c>
      <c r="V386" t="str">
        <f t="shared" si="81"/>
        <v/>
      </c>
      <c r="W386" t="e">
        <f t="shared" si="82"/>
        <v>#VALUE!</v>
      </c>
      <c r="X386">
        <f>'OTHER PLANT ATTN.'!C:C</f>
        <v>0</v>
      </c>
      <c r="Y386" t="e">
        <f>Table1[[#This Row],[CATEGORY ]]</f>
        <v>#VALUE!</v>
      </c>
      <c r="Z386" t="e">
        <f>Table1[[#This Row],[PLANT]]</f>
        <v>#VALUE!</v>
      </c>
    </row>
    <row r="387" spans="1:26">
      <c r="A387" t="e">
        <f t="shared" ref="A387:A450" si="91">CONCATENATE(B387,C387,D387)</f>
        <v>#VALUE!</v>
      </c>
      <c r="B387" t="e">
        <f>Table4[[#This Row],[CATEGORY]]</f>
        <v>#VALUE!</v>
      </c>
      <c r="C387" t="e">
        <f>Table4[[#This Row],[SUB-CATEGORY]]</f>
        <v>#VALUE!</v>
      </c>
      <c r="D387">
        <f>'RJ ATTENDENCE SHEET'!C:C</f>
        <v>0</v>
      </c>
      <c r="E387" t="e">
        <f t="shared" si="90"/>
        <v>#VALUE!</v>
      </c>
      <c r="F387" t="str">
        <f t="shared" si="83"/>
        <v/>
      </c>
      <c r="G387">
        <f>IFERROR(IF(F387=0,"",COUNTIF($F$3:F387,"&gt;0")),"")</f>
        <v>16</v>
      </c>
      <c r="H387" t="str">
        <f t="shared" ref="H387:H450" si="92">IFERROR(VLOOKUP(INDEX($A:$A,MATCH(ROW(F385),G:G,0)),$A:$D,4,0),"")</f>
        <v/>
      </c>
      <c r="I387" t="str">
        <f t="shared" si="84"/>
        <v/>
      </c>
      <c r="J387">
        <f>IFERROR(IF(I387=0,"",COUNTIF($I$3:I387,"&gt;0")),"")</f>
        <v>34</v>
      </c>
      <c r="K387" t="str">
        <f t="shared" ref="K387:K450" si="93">IFERROR(VLOOKUP(INDEX($A:$A,MATCH(ROW(I385),J:J,0)),$A:$D,4,0),"")</f>
        <v/>
      </c>
      <c r="L387" t="str">
        <f t="shared" si="85"/>
        <v/>
      </c>
      <c r="M387" t="str">
        <f t="shared" si="86"/>
        <v/>
      </c>
      <c r="N387">
        <f>IFERROR(IF(M387=0,"",COUNTIF($M$3:M387,"&gt;0")),"")</f>
        <v>33</v>
      </c>
      <c r="O387" t="str">
        <f t="shared" ref="O387:O450" si="94">IFERROR(VLOOKUP(INDEX($A:$A,MATCH(ROW(M385),N:N,0)),$A:$D,4,0),"")</f>
        <v/>
      </c>
      <c r="P387" t="str">
        <f t="shared" si="87"/>
        <v/>
      </c>
      <c r="Q387" t="str">
        <f t="shared" si="88"/>
        <v/>
      </c>
      <c r="R387">
        <f>IFERROR(IF(Q387=0,"",COUNTIF($Q$3:Q387,"&gt;0")),"")</f>
        <v>16</v>
      </c>
      <c r="S387" t="str">
        <f t="shared" ref="S387:S450" si="95">IFERROR(VLOOKUP(INDEX($A:$A,MATCH(ROW(Q385),R:R,0)),$A:$D,4,0),"")</f>
        <v/>
      </c>
      <c r="T387" t="str">
        <f t="shared" si="89"/>
        <v/>
      </c>
      <c r="U387">
        <f>IFERROR(IF(T387=0,"",COUNTIF($T$3:T387,"&gt;0")),"")</f>
        <v>0</v>
      </c>
      <c r="V387" t="str">
        <f t="shared" ref="V387:V450" si="96">IFERROR(VLOOKUP(INDEX($A:$A,MATCH(ROW(T385),U:U,0)),$A:$D,4,0),"")</f>
        <v/>
      </c>
      <c r="W387" t="e">
        <f t="shared" ref="W387:W438" si="97">CONCATENATE(Z387,Y387,X387)</f>
        <v>#VALUE!</v>
      </c>
      <c r="X387">
        <f>'OTHER PLANT ATTN.'!C:C</f>
        <v>0</v>
      </c>
      <c r="Y387" t="e">
        <f>Table1[[#This Row],[CATEGORY ]]</f>
        <v>#VALUE!</v>
      </c>
      <c r="Z387" t="e">
        <f>Table1[[#This Row],[PLANT]]</f>
        <v>#VALUE!</v>
      </c>
    </row>
    <row r="388" spans="1:26">
      <c r="A388" t="e">
        <f t="shared" si="91"/>
        <v>#VALUE!</v>
      </c>
      <c r="B388" t="e">
        <f>Table4[[#This Row],[CATEGORY]]</f>
        <v>#VALUE!</v>
      </c>
      <c r="C388" t="e">
        <f>Table4[[#This Row],[SUB-CATEGORY]]</f>
        <v>#VALUE!</v>
      </c>
      <c r="D388">
        <f>'RJ ATTENDENCE SHEET'!C:C</f>
        <v>0</v>
      </c>
      <c r="E388" t="e">
        <f t="shared" si="90"/>
        <v>#VALUE!</v>
      </c>
      <c r="F388" t="str">
        <f t="shared" ref="F388:F451" si="98">IFERROR(SEARCH("SALARYOFFICE",$A:$A),"")</f>
        <v/>
      </c>
      <c r="G388">
        <f>IFERROR(IF(F388=0,"",COUNTIF($F$3:F388,"&gt;0")),"")</f>
        <v>16</v>
      </c>
      <c r="H388" t="str">
        <f t="shared" si="92"/>
        <v/>
      </c>
      <c r="I388" t="str">
        <f t="shared" ref="I388:I451" si="99">IFERROR(SEARCH("WAGES",$A:$A),"")</f>
        <v/>
      </c>
      <c r="J388">
        <f>IFERROR(IF(I388=0,"",COUNTIF($I$3:I388,"&gt;0")),"")</f>
        <v>34</v>
      </c>
      <c r="K388" t="str">
        <f t="shared" si="93"/>
        <v/>
      </c>
      <c r="L388" t="str">
        <f t="shared" ref="L388:L451" si="100">IFERROR(VLOOKUP(K388,$D:$E,2,0),"")</f>
        <v/>
      </c>
      <c r="M388" t="str">
        <f t="shared" ref="M388:M451" si="101">IFERROR(SEARCH("CONTRACT",$A:$A),"")</f>
        <v/>
      </c>
      <c r="N388">
        <f>IFERROR(IF(M388=0,"",COUNTIF($M$3:M388,"&gt;0")),"")</f>
        <v>33</v>
      </c>
      <c r="O388" t="str">
        <f t="shared" si="94"/>
        <v/>
      </c>
      <c r="P388" t="str">
        <f t="shared" ref="P388:P451" si="102">IFERROR(VLOOKUP(O388,$D:$E,2,0),"")</f>
        <v/>
      </c>
      <c r="Q388" t="str">
        <f t="shared" ref="Q388:Q451" si="103">IFERROR(SEARCH("SALARY",$A:$A),"")</f>
        <v/>
      </c>
      <c r="R388">
        <f>IFERROR(IF(Q388=0,"",COUNTIF($Q$3:Q388,"&gt;0")),"")</f>
        <v>16</v>
      </c>
      <c r="S388" t="str">
        <f t="shared" si="95"/>
        <v/>
      </c>
      <c r="T388" t="str">
        <f t="shared" ref="T388:T451" si="104">IFERROR(SEARCH("OTHERS0",$A:$A),"")</f>
        <v/>
      </c>
      <c r="U388">
        <f>IFERROR(IF(T388=0,"",COUNTIF($T$3:T388,"&gt;0")),"")</f>
        <v>0</v>
      </c>
      <c r="V388" t="str">
        <f t="shared" si="96"/>
        <v/>
      </c>
      <c r="W388" t="e">
        <f t="shared" si="97"/>
        <v>#VALUE!</v>
      </c>
      <c r="X388">
        <f>'OTHER PLANT ATTN.'!C:C</f>
        <v>0</v>
      </c>
      <c r="Y388" t="e">
        <f>Table1[[#This Row],[CATEGORY ]]</f>
        <v>#VALUE!</v>
      </c>
      <c r="Z388" t="e">
        <f>Table1[[#This Row],[PLANT]]</f>
        <v>#VALUE!</v>
      </c>
    </row>
    <row r="389" spans="1:26">
      <c r="A389" t="e">
        <f t="shared" si="91"/>
        <v>#VALUE!</v>
      </c>
      <c r="B389" t="e">
        <f>Table4[[#This Row],[CATEGORY]]</f>
        <v>#VALUE!</v>
      </c>
      <c r="C389" t="e">
        <f>Table4[[#This Row],[SUB-CATEGORY]]</f>
        <v>#VALUE!</v>
      </c>
      <c r="D389">
        <f>'RJ ATTENDENCE SHEET'!C:C</f>
        <v>0</v>
      </c>
      <c r="E389" t="e">
        <f t="shared" si="90"/>
        <v>#VALUE!</v>
      </c>
      <c r="F389" t="str">
        <f t="shared" si="98"/>
        <v/>
      </c>
      <c r="G389">
        <f>IFERROR(IF(F389=0,"",COUNTIF($F$3:F389,"&gt;0")),"")</f>
        <v>16</v>
      </c>
      <c r="H389" t="str">
        <f t="shared" si="92"/>
        <v/>
      </c>
      <c r="I389" t="str">
        <f t="shared" si="99"/>
        <v/>
      </c>
      <c r="J389">
        <f>IFERROR(IF(I389=0,"",COUNTIF($I$3:I389,"&gt;0")),"")</f>
        <v>34</v>
      </c>
      <c r="K389" t="str">
        <f t="shared" si="93"/>
        <v/>
      </c>
      <c r="L389" t="str">
        <f t="shared" si="100"/>
        <v/>
      </c>
      <c r="M389" t="str">
        <f t="shared" si="101"/>
        <v/>
      </c>
      <c r="N389">
        <f>IFERROR(IF(M389=0,"",COUNTIF($M$3:M389,"&gt;0")),"")</f>
        <v>33</v>
      </c>
      <c r="O389" t="str">
        <f t="shared" si="94"/>
        <v/>
      </c>
      <c r="P389" t="str">
        <f t="shared" si="102"/>
        <v/>
      </c>
      <c r="Q389" t="str">
        <f t="shared" si="103"/>
        <v/>
      </c>
      <c r="R389">
        <f>IFERROR(IF(Q389=0,"",COUNTIF($Q$3:Q389,"&gt;0")),"")</f>
        <v>16</v>
      </c>
      <c r="S389" t="str">
        <f t="shared" si="95"/>
        <v/>
      </c>
      <c r="T389" t="str">
        <f t="shared" si="104"/>
        <v/>
      </c>
      <c r="U389">
        <f>IFERROR(IF(T389=0,"",COUNTIF($T$3:T389,"&gt;0")),"")</f>
        <v>0</v>
      </c>
      <c r="V389" t="str">
        <f t="shared" si="96"/>
        <v/>
      </c>
      <c r="W389" t="e">
        <f t="shared" si="97"/>
        <v>#VALUE!</v>
      </c>
      <c r="X389">
        <f>'OTHER PLANT ATTN.'!C:C</f>
        <v>0</v>
      </c>
      <c r="Y389" t="e">
        <f>Table1[[#This Row],[CATEGORY ]]</f>
        <v>#VALUE!</v>
      </c>
      <c r="Z389" t="e">
        <f>Table1[[#This Row],[PLANT]]</f>
        <v>#VALUE!</v>
      </c>
    </row>
    <row r="390" spans="1:26">
      <c r="A390" t="e">
        <f t="shared" si="91"/>
        <v>#VALUE!</v>
      </c>
      <c r="B390" t="e">
        <f>Table4[[#This Row],[CATEGORY]]</f>
        <v>#VALUE!</v>
      </c>
      <c r="C390" t="e">
        <f>Table4[[#This Row],[SUB-CATEGORY]]</f>
        <v>#VALUE!</v>
      </c>
      <c r="D390">
        <f>'RJ ATTENDENCE SHEET'!C:C</f>
        <v>0</v>
      </c>
      <c r="E390" t="e">
        <f t="shared" si="90"/>
        <v>#VALUE!</v>
      </c>
      <c r="F390" t="str">
        <f t="shared" si="98"/>
        <v/>
      </c>
      <c r="G390">
        <f>IFERROR(IF(F390=0,"",COUNTIF($F$3:F390,"&gt;0")),"")</f>
        <v>16</v>
      </c>
      <c r="H390" t="str">
        <f t="shared" si="92"/>
        <v/>
      </c>
      <c r="I390" t="str">
        <f t="shared" si="99"/>
        <v/>
      </c>
      <c r="J390">
        <f>IFERROR(IF(I390=0,"",COUNTIF($I$3:I390,"&gt;0")),"")</f>
        <v>34</v>
      </c>
      <c r="K390" t="str">
        <f t="shared" si="93"/>
        <v/>
      </c>
      <c r="L390" t="str">
        <f t="shared" si="100"/>
        <v/>
      </c>
      <c r="M390" t="str">
        <f t="shared" si="101"/>
        <v/>
      </c>
      <c r="N390">
        <f>IFERROR(IF(M390=0,"",COUNTIF($M$3:M390,"&gt;0")),"")</f>
        <v>33</v>
      </c>
      <c r="O390" t="str">
        <f t="shared" si="94"/>
        <v/>
      </c>
      <c r="P390" t="str">
        <f t="shared" si="102"/>
        <v/>
      </c>
      <c r="Q390" t="str">
        <f t="shared" si="103"/>
        <v/>
      </c>
      <c r="R390">
        <f>IFERROR(IF(Q390=0,"",COUNTIF($Q$3:Q390,"&gt;0")),"")</f>
        <v>16</v>
      </c>
      <c r="S390" t="str">
        <f t="shared" si="95"/>
        <v/>
      </c>
      <c r="T390" t="str">
        <f t="shared" si="104"/>
        <v/>
      </c>
      <c r="U390">
        <f>IFERROR(IF(T390=0,"",COUNTIF($T$3:T390,"&gt;0")),"")</f>
        <v>0</v>
      </c>
      <c r="V390" t="str">
        <f t="shared" si="96"/>
        <v/>
      </c>
      <c r="W390" t="e">
        <f t="shared" si="97"/>
        <v>#VALUE!</v>
      </c>
      <c r="X390">
        <f>'OTHER PLANT ATTN.'!C:C</f>
        <v>0</v>
      </c>
      <c r="Y390" t="e">
        <f>Table1[[#This Row],[CATEGORY ]]</f>
        <v>#VALUE!</v>
      </c>
      <c r="Z390" t="e">
        <f>Table1[[#This Row],[PLANT]]</f>
        <v>#VALUE!</v>
      </c>
    </row>
    <row r="391" spans="1:26">
      <c r="A391" t="e">
        <f t="shared" si="91"/>
        <v>#VALUE!</v>
      </c>
      <c r="B391" t="e">
        <f>Table4[[#This Row],[CATEGORY]]</f>
        <v>#VALUE!</v>
      </c>
      <c r="C391" t="e">
        <f>Table4[[#This Row],[SUB-CATEGORY]]</f>
        <v>#VALUE!</v>
      </c>
      <c r="D391">
        <f>'RJ ATTENDENCE SHEET'!C:C</f>
        <v>0</v>
      </c>
      <c r="E391" t="e">
        <f t="shared" si="90"/>
        <v>#VALUE!</v>
      </c>
      <c r="F391" t="str">
        <f t="shared" si="98"/>
        <v/>
      </c>
      <c r="G391">
        <f>IFERROR(IF(F391=0,"",COUNTIF($F$3:F391,"&gt;0")),"")</f>
        <v>16</v>
      </c>
      <c r="H391" t="str">
        <f t="shared" si="92"/>
        <v/>
      </c>
      <c r="I391" t="str">
        <f t="shared" si="99"/>
        <v/>
      </c>
      <c r="J391">
        <f>IFERROR(IF(I391=0,"",COUNTIF($I$3:I391,"&gt;0")),"")</f>
        <v>34</v>
      </c>
      <c r="K391" t="str">
        <f t="shared" si="93"/>
        <v/>
      </c>
      <c r="L391" t="str">
        <f t="shared" si="100"/>
        <v/>
      </c>
      <c r="M391" t="str">
        <f t="shared" si="101"/>
        <v/>
      </c>
      <c r="N391">
        <f>IFERROR(IF(M391=0,"",COUNTIF($M$3:M391,"&gt;0")),"")</f>
        <v>33</v>
      </c>
      <c r="O391" t="str">
        <f t="shared" si="94"/>
        <v/>
      </c>
      <c r="P391" t="str">
        <f t="shared" si="102"/>
        <v/>
      </c>
      <c r="Q391" t="str">
        <f t="shared" si="103"/>
        <v/>
      </c>
      <c r="R391">
        <f>IFERROR(IF(Q391=0,"",COUNTIF($Q$3:Q391,"&gt;0")),"")</f>
        <v>16</v>
      </c>
      <c r="S391" t="str">
        <f t="shared" si="95"/>
        <v/>
      </c>
      <c r="T391" t="str">
        <f t="shared" si="104"/>
        <v/>
      </c>
      <c r="U391">
        <f>IFERROR(IF(T391=0,"",COUNTIF($T$3:T391,"&gt;0")),"")</f>
        <v>0</v>
      </c>
      <c r="V391" t="str">
        <f t="shared" si="96"/>
        <v/>
      </c>
      <c r="W391" t="e">
        <f t="shared" si="97"/>
        <v>#VALUE!</v>
      </c>
      <c r="X391">
        <f>'OTHER PLANT ATTN.'!C:C</f>
        <v>0</v>
      </c>
      <c r="Y391" t="e">
        <f>Table1[[#This Row],[CATEGORY ]]</f>
        <v>#VALUE!</v>
      </c>
      <c r="Z391" t="e">
        <f>Table1[[#This Row],[PLANT]]</f>
        <v>#VALUE!</v>
      </c>
    </row>
    <row r="392" spans="1:26">
      <c r="A392" t="e">
        <f t="shared" si="91"/>
        <v>#VALUE!</v>
      </c>
      <c r="B392" t="e">
        <f>Table4[[#This Row],[CATEGORY]]</f>
        <v>#VALUE!</v>
      </c>
      <c r="C392" t="e">
        <f>Table4[[#This Row],[SUB-CATEGORY]]</f>
        <v>#VALUE!</v>
      </c>
      <c r="D392">
        <f>'RJ ATTENDENCE SHEET'!C:C</f>
        <v>0</v>
      </c>
      <c r="E392" t="e">
        <f t="shared" si="90"/>
        <v>#VALUE!</v>
      </c>
      <c r="F392" t="str">
        <f t="shared" si="98"/>
        <v/>
      </c>
      <c r="G392">
        <f>IFERROR(IF(F392=0,"",COUNTIF($F$3:F392,"&gt;0")),"")</f>
        <v>16</v>
      </c>
      <c r="H392" t="str">
        <f t="shared" si="92"/>
        <v/>
      </c>
      <c r="I392" t="str">
        <f t="shared" si="99"/>
        <v/>
      </c>
      <c r="J392">
        <f>IFERROR(IF(I392=0,"",COUNTIF($I$3:I392,"&gt;0")),"")</f>
        <v>34</v>
      </c>
      <c r="K392" t="str">
        <f t="shared" si="93"/>
        <v/>
      </c>
      <c r="L392" t="str">
        <f t="shared" si="100"/>
        <v/>
      </c>
      <c r="M392" t="str">
        <f t="shared" si="101"/>
        <v/>
      </c>
      <c r="N392">
        <f>IFERROR(IF(M392=0,"",COUNTIF($M$3:M392,"&gt;0")),"")</f>
        <v>33</v>
      </c>
      <c r="O392" t="str">
        <f t="shared" si="94"/>
        <v/>
      </c>
      <c r="P392" t="str">
        <f t="shared" si="102"/>
        <v/>
      </c>
      <c r="Q392" t="str">
        <f t="shared" si="103"/>
        <v/>
      </c>
      <c r="R392">
        <f>IFERROR(IF(Q392=0,"",COUNTIF($Q$3:Q392,"&gt;0")),"")</f>
        <v>16</v>
      </c>
      <c r="S392" t="str">
        <f t="shared" si="95"/>
        <v/>
      </c>
      <c r="T392" t="str">
        <f t="shared" si="104"/>
        <v/>
      </c>
      <c r="U392">
        <f>IFERROR(IF(T392=0,"",COUNTIF($T$3:T392,"&gt;0")),"")</f>
        <v>0</v>
      </c>
      <c r="V392" t="str">
        <f t="shared" si="96"/>
        <v/>
      </c>
      <c r="W392" t="e">
        <f t="shared" si="97"/>
        <v>#VALUE!</v>
      </c>
      <c r="X392">
        <f>'OTHER PLANT ATTN.'!C:C</f>
        <v>0</v>
      </c>
      <c r="Y392" t="e">
        <f>Table1[[#This Row],[CATEGORY ]]</f>
        <v>#VALUE!</v>
      </c>
      <c r="Z392" t="e">
        <f>Table1[[#This Row],[PLANT]]</f>
        <v>#VALUE!</v>
      </c>
    </row>
    <row r="393" spans="1:26">
      <c r="A393" t="e">
        <f t="shared" si="91"/>
        <v>#VALUE!</v>
      </c>
      <c r="B393" t="e">
        <f>Table4[[#This Row],[CATEGORY]]</f>
        <v>#VALUE!</v>
      </c>
      <c r="C393" t="e">
        <f>Table4[[#This Row],[SUB-CATEGORY]]</f>
        <v>#VALUE!</v>
      </c>
      <c r="D393">
        <f>'RJ ATTENDENCE SHEET'!C:C</f>
        <v>0</v>
      </c>
      <c r="E393" t="e">
        <f t="shared" si="90"/>
        <v>#VALUE!</v>
      </c>
      <c r="F393" t="str">
        <f t="shared" si="98"/>
        <v/>
      </c>
      <c r="G393">
        <f>IFERROR(IF(F393=0,"",COUNTIF($F$3:F393,"&gt;0")),"")</f>
        <v>16</v>
      </c>
      <c r="H393" t="str">
        <f t="shared" si="92"/>
        <v/>
      </c>
      <c r="I393" t="str">
        <f t="shared" si="99"/>
        <v/>
      </c>
      <c r="J393">
        <f>IFERROR(IF(I393=0,"",COUNTIF($I$3:I393,"&gt;0")),"")</f>
        <v>34</v>
      </c>
      <c r="K393" t="str">
        <f t="shared" si="93"/>
        <v/>
      </c>
      <c r="L393" t="str">
        <f t="shared" si="100"/>
        <v/>
      </c>
      <c r="M393" t="str">
        <f t="shared" si="101"/>
        <v/>
      </c>
      <c r="N393">
        <f>IFERROR(IF(M393=0,"",COUNTIF($M$3:M393,"&gt;0")),"")</f>
        <v>33</v>
      </c>
      <c r="O393" t="str">
        <f t="shared" si="94"/>
        <v/>
      </c>
      <c r="P393" t="str">
        <f t="shared" si="102"/>
        <v/>
      </c>
      <c r="Q393" t="str">
        <f t="shared" si="103"/>
        <v/>
      </c>
      <c r="R393">
        <f>IFERROR(IF(Q393=0,"",COUNTIF($Q$3:Q393,"&gt;0")),"")</f>
        <v>16</v>
      </c>
      <c r="S393" t="str">
        <f t="shared" si="95"/>
        <v/>
      </c>
      <c r="T393" t="str">
        <f t="shared" si="104"/>
        <v/>
      </c>
      <c r="U393">
        <f>IFERROR(IF(T393=0,"",COUNTIF($T$3:T393,"&gt;0")),"")</f>
        <v>0</v>
      </c>
      <c r="V393" t="str">
        <f t="shared" si="96"/>
        <v/>
      </c>
      <c r="W393" t="e">
        <f t="shared" si="97"/>
        <v>#VALUE!</v>
      </c>
      <c r="X393">
        <f>'OTHER PLANT ATTN.'!C:C</f>
        <v>0</v>
      </c>
      <c r="Y393" t="e">
        <f>Table1[[#This Row],[CATEGORY ]]</f>
        <v>#VALUE!</v>
      </c>
      <c r="Z393" t="e">
        <f>Table1[[#This Row],[PLANT]]</f>
        <v>#VALUE!</v>
      </c>
    </row>
    <row r="394" spans="1:26">
      <c r="A394" t="e">
        <f t="shared" si="91"/>
        <v>#VALUE!</v>
      </c>
      <c r="B394" t="e">
        <f>Table4[[#This Row],[CATEGORY]]</f>
        <v>#VALUE!</v>
      </c>
      <c r="C394" t="e">
        <f>Table4[[#This Row],[SUB-CATEGORY]]</f>
        <v>#VALUE!</v>
      </c>
      <c r="D394">
        <f>'RJ ATTENDENCE SHEET'!C:C</f>
        <v>0</v>
      </c>
      <c r="E394" t="e">
        <f t="shared" si="90"/>
        <v>#VALUE!</v>
      </c>
      <c r="F394" t="str">
        <f t="shared" si="98"/>
        <v/>
      </c>
      <c r="G394">
        <f>IFERROR(IF(F394=0,"",COUNTIF($F$3:F394,"&gt;0")),"")</f>
        <v>16</v>
      </c>
      <c r="H394" t="str">
        <f t="shared" si="92"/>
        <v/>
      </c>
      <c r="I394" t="str">
        <f t="shared" si="99"/>
        <v/>
      </c>
      <c r="J394">
        <f>IFERROR(IF(I394=0,"",COUNTIF($I$3:I394,"&gt;0")),"")</f>
        <v>34</v>
      </c>
      <c r="K394" t="str">
        <f t="shared" si="93"/>
        <v/>
      </c>
      <c r="L394" t="str">
        <f t="shared" si="100"/>
        <v/>
      </c>
      <c r="M394" t="str">
        <f t="shared" si="101"/>
        <v/>
      </c>
      <c r="N394">
        <f>IFERROR(IF(M394=0,"",COUNTIF($M$3:M394,"&gt;0")),"")</f>
        <v>33</v>
      </c>
      <c r="O394" t="str">
        <f t="shared" si="94"/>
        <v/>
      </c>
      <c r="P394" t="str">
        <f t="shared" si="102"/>
        <v/>
      </c>
      <c r="Q394" t="str">
        <f t="shared" si="103"/>
        <v/>
      </c>
      <c r="R394">
        <f>IFERROR(IF(Q394=0,"",COUNTIF($Q$3:Q394,"&gt;0")),"")</f>
        <v>16</v>
      </c>
      <c r="S394" t="str">
        <f t="shared" si="95"/>
        <v/>
      </c>
      <c r="T394" t="str">
        <f t="shared" si="104"/>
        <v/>
      </c>
      <c r="U394">
        <f>IFERROR(IF(T394=0,"",COUNTIF($T$3:T394,"&gt;0")),"")</f>
        <v>0</v>
      </c>
      <c r="V394" t="str">
        <f t="shared" si="96"/>
        <v/>
      </c>
      <c r="W394" t="e">
        <f t="shared" si="97"/>
        <v>#VALUE!</v>
      </c>
      <c r="X394">
        <f>'OTHER PLANT ATTN.'!C:C</f>
        <v>0</v>
      </c>
      <c r="Y394" t="e">
        <f>Table1[[#This Row],[CATEGORY ]]</f>
        <v>#VALUE!</v>
      </c>
      <c r="Z394" t="e">
        <f>Table1[[#This Row],[PLANT]]</f>
        <v>#VALUE!</v>
      </c>
    </row>
    <row r="395" spans="1:26">
      <c r="A395" t="e">
        <f t="shared" si="91"/>
        <v>#VALUE!</v>
      </c>
      <c r="B395" t="e">
        <f>Table4[[#This Row],[CATEGORY]]</f>
        <v>#VALUE!</v>
      </c>
      <c r="C395" t="e">
        <f>Table4[[#This Row],[SUB-CATEGORY]]</f>
        <v>#VALUE!</v>
      </c>
      <c r="D395">
        <f>'RJ ATTENDENCE SHEET'!C:C</f>
        <v>0</v>
      </c>
      <c r="E395" t="e">
        <f t="shared" si="90"/>
        <v>#VALUE!</v>
      </c>
      <c r="F395" t="str">
        <f t="shared" si="98"/>
        <v/>
      </c>
      <c r="G395">
        <f>IFERROR(IF(F395=0,"",COUNTIF($F$3:F395,"&gt;0")),"")</f>
        <v>16</v>
      </c>
      <c r="H395" t="str">
        <f t="shared" si="92"/>
        <v/>
      </c>
      <c r="I395" t="str">
        <f t="shared" si="99"/>
        <v/>
      </c>
      <c r="J395">
        <f>IFERROR(IF(I395=0,"",COUNTIF($I$3:I395,"&gt;0")),"")</f>
        <v>34</v>
      </c>
      <c r="K395" t="str">
        <f t="shared" si="93"/>
        <v/>
      </c>
      <c r="L395" t="str">
        <f t="shared" si="100"/>
        <v/>
      </c>
      <c r="M395" t="str">
        <f t="shared" si="101"/>
        <v/>
      </c>
      <c r="N395">
        <f>IFERROR(IF(M395=0,"",COUNTIF($M$3:M395,"&gt;0")),"")</f>
        <v>33</v>
      </c>
      <c r="O395" t="str">
        <f t="shared" si="94"/>
        <v/>
      </c>
      <c r="P395" t="str">
        <f t="shared" si="102"/>
        <v/>
      </c>
      <c r="Q395" t="str">
        <f t="shared" si="103"/>
        <v/>
      </c>
      <c r="R395">
        <f>IFERROR(IF(Q395=0,"",COUNTIF($Q$3:Q395,"&gt;0")),"")</f>
        <v>16</v>
      </c>
      <c r="S395" t="str">
        <f t="shared" si="95"/>
        <v/>
      </c>
      <c r="T395" t="str">
        <f t="shared" si="104"/>
        <v/>
      </c>
      <c r="U395">
        <f>IFERROR(IF(T395=0,"",COUNTIF($T$3:T395,"&gt;0")),"")</f>
        <v>0</v>
      </c>
      <c r="V395" t="str">
        <f t="shared" si="96"/>
        <v/>
      </c>
      <c r="W395" t="e">
        <f t="shared" si="97"/>
        <v>#VALUE!</v>
      </c>
      <c r="X395">
        <f>'OTHER PLANT ATTN.'!C:C</f>
        <v>0</v>
      </c>
      <c r="Y395" t="e">
        <f>Table1[[#This Row],[CATEGORY ]]</f>
        <v>#VALUE!</v>
      </c>
      <c r="Z395" t="e">
        <f>Table1[[#This Row],[PLANT]]</f>
        <v>#VALUE!</v>
      </c>
    </row>
    <row r="396" spans="1:26">
      <c r="A396" t="e">
        <f t="shared" si="91"/>
        <v>#VALUE!</v>
      </c>
      <c r="B396" t="e">
        <f>Table4[[#This Row],[CATEGORY]]</f>
        <v>#VALUE!</v>
      </c>
      <c r="C396" t="e">
        <f>Table4[[#This Row],[SUB-CATEGORY]]</f>
        <v>#VALUE!</v>
      </c>
      <c r="D396">
        <f>'RJ ATTENDENCE SHEET'!C:C</f>
        <v>0</v>
      </c>
      <c r="E396" t="e">
        <f t="shared" si="90"/>
        <v>#VALUE!</v>
      </c>
      <c r="F396" t="str">
        <f t="shared" si="98"/>
        <v/>
      </c>
      <c r="G396">
        <f>IFERROR(IF(F396=0,"",COUNTIF($F$3:F396,"&gt;0")),"")</f>
        <v>16</v>
      </c>
      <c r="H396" t="str">
        <f t="shared" si="92"/>
        <v/>
      </c>
      <c r="I396" t="str">
        <f t="shared" si="99"/>
        <v/>
      </c>
      <c r="J396">
        <f>IFERROR(IF(I396=0,"",COUNTIF($I$3:I396,"&gt;0")),"")</f>
        <v>34</v>
      </c>
      <c r="K396" t="str">
        <f t="shared" si="93"/>
        <v/>
      </c>
      <c r="L396" t="str">
        <f t="shared" si="100"/>
        <v/>
      </c>
      <c r="M396" t="str">
        <f t="shared" si="101"/>
        <v/>
      </c>
      <c r="N396">
        <f>IFERROR(IF(M396=0,"",COUNTIF($M$3:M396,"&gt;0")),"")</f>
        <v>33</v>
      </c>
      <c r="O396" t="str">
        <f t="shared" si="94"/>
        <v/>
      </c>
      <c r="P396" t="str">
        <f t="shared" si="102"/>
        <v/>
      </c>
      <c r="Q396" t="str">
        <f t="shared" si="103"/>
        <v/>
      </c>
      <c r="R396">
        <f>IFERROR(IF(Q396=0,"",COUNTIF($Q$3:Q396,"&gt;0")),"")</f>
        <v>16</v>
      </c>
      <c r="S396" t="str">
        <f t="shared" si="95"/>
        <v/>
      </c>
      <c r="T396" t="str">
        <f t="shared" si="104"/>
        <v/>
      </c>
      <c r="U396">
        <f>IFERROR(IF(T396=0,"",COUNTIF($T$3:T396,"&gt;0")),"")</f>
        <v>0</v>
      </c>
      <c r="V396" t="str">
        <f t="shared" si="96"/>
        <v/>
      </c>
      <c r="W396" t="e">
        <f t="shared" si="97"/>
        <v>#VALUE!</v>
      </c>
      <c r="X396">
        <f>'OTHER PLANT ATTN.'!C:C</f>
        <v>0</v>
      </c>
      <c r="Y396" t="e">
        <f>Table1[[#This Row],[CATEGORY ]]</f>
        <v>#VALUE!</v>
      </c>
      <c r="Z396" t="e">
        <f>Table1[[#This Row],[PLANT]]</f>
        <v>#VALUE!</v>
      </c>
    </row>
    <row r="397" spans="1:26">
      <c r="A397" t="e">
        <f t="shared" si="91"/>
        <v>#VALUE!</v>
      </c>
      <c r="B397" t="e">
        <f>Table4[[#This Row],[CATEGORY]]</f>
        <v>#VALUE!</v>
      </c>
      <c r="C397" t="e">
        <f>Table4[[#This Row],[SUB-CATEGORY]]</f>
        <v>#VALUE!</v>
      </c>
      <c r="D397">
        <f>'RJ ATTENDENCE SHEET'!C:C</f>
        <v>0</v>
      </c>
      <c r="E397" t="e">
        <f t="shared" si="90"/>
        <v>#VALUE!</v>
      </c>
      <c r="F397" t="str">
        <f t="shared" si="98"/>
        <v/>
      </c>
      <c r="G397">
        <f>IFERROR(IF(F397=0,"",COUNTIF($F$3:F397,"&gt;0")),"")</f>
        <v>16</v>
      </c>
      <c r="H397" t="str">
        <f t="shared" si="92"/>
        <v/>
      </c>
      <c r="I397" t="str">
        <f t="shared" si="99"/>
        <v/>
      </c>
      <c r="J397">
        <f>IFERROR(IF(I397=0,"",COUNTIF($I$3:I397,"&gt;0")),"")</f>
        <v>34</v>
      </c>
      <c r="K397" t="str">
        <f t="shared" si="93"/>
        <v/>
      </c>
      <c r="L397" t="str">
        <f t="shared" si="100"/>
        <v/>
      </c>
      <c r="M397" t="str">
        <f t="shared" si="101"/>
        <v/>
      </c>
      <c r="N397">
        <f>IFERROR(IF(M397=0,"",COUNTIF($M$3:M397,"&gt;0")),"")</f>
        <v>33</v>
      </c>
      <c r="O397" t="str">
        <f t="shared" si="94"/>
        <v/>
      </c>
      <c r="P397" t="str">
        <f t="shared" si="102"/>
        <v/>
      </c>
      <c r="Q397" t="str">
        <f t="shared" si="103"/>
        <v/>
      </c>
      <c r="R397">
        <f>IFERROR(IF(Q397=0,"",COUNTIF($Q$3:Q397,"&gt;0")),"")</f>
        <v>16</v>
      </c>
      <c r="S397" t="str">
        <f t="shared" si="95"/>
        <v/>
      </c>
      <c r="T397" t="str">
        <f t="shared" si="104"/>
        <v/>
      </c>
      <c r="U397">
        <f>IFERROR(IF(T397=0,"",COUNTIF($T$3:T397,"&gt;0")),"")</f>
        <v>0</v>
      </c>
      <c r="V397" t="str">
        <f t="shared" si="96"/>
        <v/>
      </c>
      <c r="W397" t="e">
        <f t="shared" si="97"/>
        <v>#VALUE!</v>
      </c>
      <c r="X397">
        <f>'OTHER PLANT ATTN.'!C:C</f>
        <v>0</v>
      </c>
      <c r="Y397" t="e">
        <f>Table1[[#This Row],[CATEGORY ]]</f>
        <v>#VALUE!</v>
      </c>
      <c r="Z397" t="e">
        <f>Table1[[#This Row],[PLANT]]</f>
        <v>#VALUE!</v>
      </c>
    </row>
    <row r="398" spans="1:26">
      <c r="A398" t="e">
        <f t="shared" si="91"/>
        <v>#VALUE!</v>
      </c>
      <c r="B398" t="e">
        <f>Table4[[#This Row],[CATEGORY]]</f>
        <v>#VALUE!</v>
      </c>
      <c r="C398" t="e">
        <f>Table4[[#This Row],[SUB-CATEGORY]]</f>
        <v>#VALUE!</v>
      </c>
      <c r="D398">
        <f>'RJ ATTENDENCE SHEET'!C:C</f>
        <v>0</v>
      </c>
      <c r="E398" t="e">
        <f t="shared" si="90"/>
        <v>#VALUE!</v>
      </c>
      <c r="F398" t="str">
        <f t="shared" si="98"/>
        <v/>
      </c>
      <c r="G398">
        <f>IFERROR(IF(F398=0,"",COUNTIF($F$3:F398,"&gt;0")),"")</f>
        <v>16</v>
      </c>
      <c r="H398" t="str">
        <f t="shared" si="92"/>
        <v/>
      </c>
      <c r="I398" t="str">
        <f t="shared" si="99"/>
        <v/>
      </c>
      <c r="J398">
        <f>IFERROR(IF(I398=0,"",COUNTIF($I$3:I398,"&gt;0")),"")</f>
        <v>34</v>
      </c>
      <c r="K398" t="str">
        <f t="shared" si="93"/>
        <v/>
      </c>
      <c r="L398" t="str">
        <f t="shared" si="100"/>
        <v/>
      </c>
      <c r="M398" t="str">
        <f t="shared" si="101"/>
        <v/>
      </c>
      <c r="N398">
        <f>IFERROR(IF(M398=0,"",COUNTIF($M$3:M398,"&gt;0")),"")</f>
        <v>33</v>
      </c>
      <c r="O398" t="str">
        <f t="shared" si="94"/>
        <v/>
      </c>
      <c r="P398" t="str">
        <f t="shared" si="102"/>
        <v/>
      </c>
      <c r="Q398" t="str">
        <f t="shared" si="103"/>
        <v/>
      </c>
      <c r="R398">
        <f>IFERROR(IF(Q398=0,"",COUNTIF($Q$3:Q398,"&gt;0")),"")</f>
        <v>16</v>
      </c>
      <c r="S398" t="str">
        <f t="shared" si="95"/>
        <v/>
      </c>
      <c r="T398" t="str">
        <f t="shared" si="104"/>
        <v/>
      </c>
      <c r="U398">
        <f>IFERROR(IF(T398=0,"",COUNTIF($T$3:T398,"&gt;0")),"")</f>
        <v>0</v>
      </c>
      <c r="V398" t="str">
        <f t="shared" si="96"/>
        <v/>
      </c>
      <c r="W398" t="e">
        <f t="shared" si="97"/>
        <v>#VALUE!</v>
      </c>
      <c r="X398">
        <f>'OTHER PLANT ATTN.'!C:C</f>
        <v>0</v>
      </c>
      <c r="Y398" t="e">
        <f>Table1[[#This Row],[CATEGORY ]]</f>
        <v>#VALUE!</v>
      </c>
      <c r="Z398" t="e">
        <f>Table1[[#This Row],[PLANT]]</f>
        <v>#VALUE!</v>
      </c>
    </row>
    <row r="399" spans="1:26">
      <c r="A399" t="e">
        <f t="shared" si="91"/>
        <v>#VALUE!</v>
      </c>
      <c r="B399" t="e">
        <f>Table4[[#This Row],[CATEGORY]]</f>
        <v>#VALUE!</v>
      </c>
      <c r="C399" t="e">
        <f>Table4[[#This Row],[SUB-CATEGORY]]</f>
        <v>#VALUE!</v>
      </c>
      <c r="D399">
        <f>'RJ ATTENDENCE SHEET'!C:C</f>
        <v>0</v>
      </c>
      <c r="E399" t="e">
        <f t="shared" si="90"/>
        <v>#VALUE!</v>
      </c>
      <c r="F399" t="str">
        <f t="shared" si="98"/>
        <v/>
      </c>
      <c r="G399">
        <f>IFERROR(IF(F399=0,"",COUNTIF($F$3:F399,"&gt;0")),"")</f>
        <v>16</v>
      </c>
      <c r="H399" t="str">
        <f t="shared" si="92"/>
        <v/>
      </c>
      <c r="I399" t="str">
        <f t="shared" si="99"/>
        <v/>
      </c>
      <c r="J399">
        <f>IFERROR(IF(I399=0,"",COUNTIF($I$3:I399,"&gt;0")),"")</f>
        <v>34</v>
      </c>
      <c r="K399" t="str">
        <f t="shared" si="93"/>
        <v/>
      </c>
      <c r="L399" t="str">
        <f t="shared" si="100"/>
        <v/>
      </c>
      <c r="M399" t="str">
        <f t="shared" si="101"/>
        <v/>
      </c>
      <c r="N399">
        <f>IFERROR(IF(M399=0,"",COUNTIF($M$3:M399,"&gt;0")),"")</f>
        <v>33</v>
      </c>
      <c r="O399" t="str">
        <f t="shared" si="94"/>
        <v/>
      </c>
      <c r="P399" t="str">
        <f t="shared" si="102"/>
        <v/>
      </c>
      <c r="Q399" t="str">
        <f t="shared" si="103"/>
        <v/>
      </c>
      <c r="R399">
        <f>IFERROR(IF(Q399=0,"",COUNTIF($Q$3:Q399,"&gt;0")),"")</f>
        <v>16</v>
      </c>
      <c r="S399" t="str">
        <f t="shared" si="95"/>
        <v/>
      </c>
      <c r="T399" t="str">
        <f t="shared" si="104"/>
        <v/>
      </c>
      <c r="U399">
        <f>IFERROR(IF(T399=0,"",COUNTIF($T$3:T399,"&gt;0")),"")</f>
        <v>0</v>
      </c>
      <c r="V399" t="str">
        <f t="shared" si="96"/>
        <v/>
      </c>
      <c r="W399" t="e">
        <f t="shared" si="97"/>
        <v>#VALUE!</v>
      </c>
      <c r="X399">
        <f>'OTHER PLANT ATTN.'!C:C</f>
        <v>0</v>
      </c>
      <c r="Y399" t="e">
        <f>Table1[[#This Row],[CATEGORY ]]</f>
        <v>#VALUE!</v>
      </c>
      <c r="Z399" t="e">
        <f>Table1[[#This Row],[PLANT]]</f>
        <v>#VALUE!</v>
      </c>
    </row>
    <row r="400" spans="1:26">
      <c r="A400" t="e">
        <f t="shared" si="91"/>
        <v>#VALUE!</v>
      </c>
      <c r="B400" t="e">
        <f>Table4[[#This Row],[CATEGORY]]</f>
        <v>#VALUE!</v>
      </c>
      <c r="C400" t="e">
        <f>Table4[[#This Row],[SUB-CATEGORY]]</f>
        <v>#VALUE!</v>
      </c>
      <c r="D400">
        <f>'RJ ATTENDENCE SHEET'!C:C</f>
        <v>0</v>
      </c>
      <c r="E400" t="e">
        <f t="shared" si="90"/>
        <v>#VALUE!</v>
      </c>
      <c r="F400" t="str">
        <f t="shared" si="98"/>
        <v/>
      </c>
      <c r="G400">
        <f>IFERROR(IF(F400=0,"",COUNTIF($F$3:F400,"&gt;0")),"")</f>
        <v>16</v>
      </c>
      <c r="H400" t="str">
        <f t="shared" si="92"/>
        <v/>
      </c>
      <c r="I400" t="str">
        <f t="shared" si="99"/>
        <v/>
      </c>
      <c r="J400">
        <f>IFERROR(IF(I400=0,"",COUNTIF($I$3:I400,"&gt;0")),"")</f>
        <v>34</v>
      </c>
      <c r="K400" t="str">
        <f t="shared" si="93"/>
        <v/>
      </c>
      <c r="L400" t="str">
        <f t="shared" si="100"/>
        <v/>
      </c>
      <c r="M400" t="str">
        <f t="shared" si="101"/>
        <v/>
      </c>
      <c r="N400">
        <f>IFERROR(IF(M400=0,"",COUNTIF($M$3:M400,"&gt;0")),"")</f>
        <v>33</v>
      </c>
      <c r="O400" t="str">
        <f t="shared" si="94"/>
        <v/>
      </c>
      <c r="P400" t="str">
        <f t="shared" si="102"/>
        <v/>
      </c>
      <c r="Q400" t="str">
        <f t="shared" si="103"/>
        <v/>
      </c>
      <c r="R400">
        <f>IFERROR(IF(Q400=0,"",COUNTIF($Q$3:Q400,"&gt;0")),"")</f>
        <v>16</v>
      </c>
      <c r="S400" t="str">
        <f t="shared" si="95"/>
        <v/>
      </c>
      <c r="T400" t="str">
        <f t="shared" si="104"/>
        <v/>
      </c>
      <c r="U400">
        <f>IFERROR(IF(T400=0,"",COUNTIF($T$3:T400,"&gt;0")),"")</f>
        <v>0</v>
      </c>
      <c r="V400" t="str">
        <f t="shared" si="96"/>
        <v/>
      </c>
      <c r="W400" t="e">
        <f t="shared" si="97"/>
        <v>#VALUE!</v>
      </c>
      <c r="X400">
        <f>'OTHER PLANT ATTN.'!C:C</f>
        <v>0</v>
      </c>
      <c r="Y400" t="e">
        <f>Table1[[#This Row],[CATEGORY ]]</f>
        <v>#VALUE!</v>
      </c>
      <c r="Z400" t="e">
        <f>Table1[[#This Row],[PLANT]]</f>
        <v>#VALUE!</v>
      </c>
    </row>
    <row r="401" spans="1:26">
      <c r="A401" t="e">
        <f t="shared" si="91"/>
        <v>#VALUE!</v>
      </c>
      <c r="B401" t="e">
        <f>Table4[[#This Row],[CATEGORY]]</f>
        <v>#VALUE!</v>
      </c>
      <c r="C401" t="e">
        <f>Table4[[#This Row],[SUB-CATEGORY]]</f>
        <v>#VALUE!</v>
      </c>
      <c r="D401">
        <f>'RJ ATTENDENCE SHEET'!C:C</f>
        <v>0</v>
      </c>
      <c r="E401" t="e">
        <f t="shared" si="90"/>
        <v>#VALUE!</v>
      </c>
      <c r="F401" t="str">
        <f t="shared" si="98"/>
        <v/>
      </c>
      <c r="G401">
        <f>IFERROR(IF(F401=0,"",COUNTIF($F$3:F401,"&gt;0")),"")</f>
        <v>16</v>
      </c>
      <c r="H401" t="str">
        <f t="shared" si="92"/>
        <v/>
      </c>
      <c r="I401" t="str">
        <f t="shared" si="99"/>
        <v/>
      </c>
      <c r="J401">
        <f>IFERROR(IF(I401=0,"",COUNTIF($I$3:I401,"&gt;0")),"")</f>
        <v>34</v>
      </c>
      <c r="K401" t="str">
        <f t="shared" si="93"/>
        <v/>
      </c>
      <c r="L401" t="str">
        <f t="shared" si="100"/>
        <v/>
      </c>
      <c r="M401" t="str">
        <f t="shared" si="101"/>
        <v/>
      </c>
      <c r="N401">
        <f>IFERROR(IF(M401=0,"",COUNTIF($M$3:M401,"&gt;0")),"")</f>
        <v>33</v>
      </c>
      <c r="O401" t="str">
        <f t="shared" si="94"/>
        <v/>
      </c>
      <c r="P401" t="str">
        <f t="shared" si="102"/>
        <v/>
      </c>
      <c r="Q401" t="str">
        <f t="shared" si="103"/>
        <v/>
      </c>
      <c r="R401">
        <f>IFERROR(IF(Q401=0,"",COUNTIF($Q$3:Q401,"&gt;0")),"")</f>
        <v>16</v>
      </c>
      <c r="S401" t="str">
        <f t="shared" si="95"/>
        <v/>
      </c>
      <c r="T401" t="str">
        <f t="shared" si="104"/>
        <v/>
      </c>
      <c r="U401">
        <f>IFERROR(IF(T401=0,"",COUNTIF($T$3:T401,"&gt;0")),"")</f>
        <v>0</v>
      </c>
      <c r="V401" t="str">
        <f t="shared" si="96"/>
        <v/>
      </c>
      <c r="W401" t="e">
        <f t="shared" si="97"/>
        <v>#VALUE!</v>
      </c>
      <c r="X401">
        <f>'OTHER PLANT ATTN.'!C:C</f>
        <v>0</v>
      </c>
      <c r="Y401" t="e">
        <f>Table1[[#This Row],[CATEGORY ]]</f>
        <v>#VALUE!</v>
      </c>
      <c r="Z401" t="e">
        <f>Table1[[#This Row],[PLANT]]</f>
        <v>#VALUE!</v>
      </c>
    </row>
    <row r="402" spans="1:26">
      <c r="A402" t="e">
        <f t="shared" si="91"/>
        <v>#VALUE!</v>
      </c>
      <c r="B402" t="e">
        <f>Table4[[#This Row],[CATEGORY]]</f>
        <v>#VALUE!</v>
      </c>
      <c r="C402" t="e">
        <f>Table4[[#This Row],[SUB-CATEGORY]]</f>
        <v>#VALUE!</v>
      </c>
      <c r="D402">
        <f>'RJ ATTENDENCE SHEET'!C:C</f>
        <v>0</v>
      </c>
      <c r="E402" t="e">
        <f t="shared" si="90"/>
        <v>#VALUE!</v>
      </c>
      <c r="F402" t="str">
        <f t="shared" si="98"/>
        <v/>
      </c>
      <c r="G402">
        <f>IFERROR(IF(F402=0,"",COUNTIF($F$3:F402,"&gt;0")),"")</f>
        <v>16</v>
      </c>
      <c r="H402" t="str">
        <f t="shared" si="92"/>
        <v/>
      </c>
      <c r="I402" t="str">
        <f t="shared" si="99"/>
        <v/>
      </c>
      <c r="J402">
        <f>IFERROR(IF(I402=0,"",COUNTIF($I$3:I402,"&gt;0")),"")</f>
        <v>34</v>
      </c>
      <c r="K402" t="str">
        <f t="shared" si="93"/>
        <v/>
      </c>
      <c r="L402" t="str">
        <f t="shared" si="100"/>
        <v/>
      </c>
      <c r="M402" t="str">
        <f t="shared" si="101"/>
        <v/>
      </c>
      <c r="N402">
        <f>IFERROR(IF(M402=0,"",COUNTIF($M$3:M402,"&gt;0")),"")</f>
        <v>33</v>
      </c>
      <c r="O402" t="str">
        <f t="shared" si="94"/>
        <v/>
      </c>
      <c r="P402" t="str">
        <f t="shared" si="102"/>
        <v/>
      </c>
      <c r="Q402" t="str">
        <f t="shared" si="103"/>
        <v/>
      </c>
      <c r="R402">
        <f>IFERROR(IF(Q402=0,"",COUNTIF($Q$3:Q402,"&gt;0")),"")</f>
        <v>16</v>
      </c>
      <c r="S402" t="str">
        <f t="shared" si="95"/>
        <v/>
      </c>
      <c r="T402" t="str">
        <f t="shared" si="104"/>
        <v/>
      </c>
      <c r="U402">
        <f>IFERROR(IF(T402=0,"",COUNTIF($T$3:T402,"&gt;0")),"")</f>
        <v>0</v>
      </c>
      <c r="V402" t="str">
        <f t="shared" si="96"/>
        <v/>
      </c>
      <c r="W402" t="e">
        <f t="shared" si="97"/>
        <v>#VALUE!</v>
      </c>
      <c r="X402">
        <f>'OTHER PLANT ATTN.'!C:C</f>
        <v>0</v>
      </c>
      <c r="Y402" t="e">
        <f>Table1[[#This Row],[CATEGORY ]]</f>
        <v>#VALUE!</v>
      </c>
      <c r="Z402" t="e">
        <f>Table1[[#This Row],[PLANT]]</f>
        <v>#VALUE!</v>
      </c>
    </row>
    <row r="403" spans="1:26">
      <c r="A403" t="e">
        <f t="shared" si="91"/>
        <v>#VALUE!</v>
      </c>
      <c r="B403" t="e">
        <f>Table4[[#This Row],[CATEGORY]]</f>
        <v>#VALUE!</v>
      </c>
      <c r="C403" t="e">
        <f>Table4[[#This Row],[SUB-CATEGORY]]</f>
        <v>#VALUE!</v>
      </c>
      <c r="D403">
        <f>'RJ ATTENDENCE SHEET'!C:C</f>
        <v>0</v>
      </c>
      <c r="E403" t="e">
        <f t="shared" si="90"/>
        <v>#VALUE!</v>
      </c>
      <c r="F403" t="str">
        <f t="shared" si="98"/>
        <v/>
      </c>
      <c r="G403">
        <f>IFERROR(IF(F403=0,"",COUNTIF($F$3:F403,"&gt;0")),"")</f>
        <v>16</v>
      </c>
      <c r="H403" t="str">
        <f t="shared" si="92"/>
        <v/>
      </c>
      <c r="I403" t="str">
        <f t="shared" si="99"/>
        <v/>
      </c>
      <c r="J403">
        <f>IFERROR(IF(I403=0,"",COUNTIF($I$3:I403,"&gt;0")),"")</f>
        <v>34</v>
      </c>
      <c r="K403" t="str">
        <f t="shared" si="93"/>
        <v/>
      </c>
      <c r="L403" t="str">
        <f t="shared" si="100"/>
        <v/>
      </c>
      <c r="M403" t="str">
        <f t="shared" si="101"/>
        <v/>
      </c>
      <c r="N403">
        <f>IFERROR(IF(M403=0,"",COUNTIF($M$3:M403,"&gt;0")),"")</f>
        <v>33</v>
      </c>
      <c r="O403" t="str">
        <f t="shared" si="94"/>
        <v/>
      </c>
      <c r="P403" t="str">
        <f t="shared" si="102"/>
        <v/>
      </c>
      <c r="Q403" t="str">
        <f t="shared" si="103"/>
        <v/>
      </c>
      <c r="R403">
        <f>IFERROR(IF(Q403=0,"",COUNTIF($Q$3:Q403,"&gt;0")),"")</f>
        <v>16</v>
      </c>
      <c r="S403" t="str">
        <f t="shared" si="95"/>
        <v/>
      </c>
      <c r="T403" t="str">
        <f t="shared" si="104"/>
        <v/>
      </c>
      <c r="U403">
        <f>IFERROR(IF(T403=0,"",COUNTIF($T$3:T403,"&gt;0")),"")</f>
        <v>0</v>
      </c>
      <c r="V403" t="str">
        <f t="shared" si="96"/>
        <v/>
      </c>
      <c r="W403" t="e">
        <f t="shared" si="97"/>
        <v>#VALUE!</v>
      </c>
      <c r="X403">
        <f>'OTHER PLANT ATTN.'!C:C</f>
        <v>0</v>
      </c>
      <c r="Y403" t="e">
        <f>Table1[[#This Row],[CATEGORY ]]</f>
        <v>#VALUE!</v>
      </c>
      <c r="Z403" t="e">
        <f>Table1[[#This Row],[PLANT]]</f>
        <v>#VALUE!</v>
      </c>
    </row>
    <row r="404" spans="1:26">
      <c r="A404" t="e">
        <f t="shared" si="91"/>
        <v>#VALUE!</v>
      </c>
      <c r="B404" t="e">
        <f>Table4[[#This Row],[CATEGORY]]</f>
        <v>#VALUE!</v>
      </c>
      <c r="C404" t="e">
        <f>Table4[[#This Row],[SUB-CATEGORY]]</f>
        <v>#VALUE!</v>
      </c>
      <c r="D404">
        <f>'RJ ATTENDENCE SHEET'!C:C</f>
        <v>0</v>
      </c>
      <c r="E404" t="e">
        <f t="shared" si="90"/>
        <v>#VALUE!</v>
      </c>
      <c r="F404" t="str">
        <f t="shared" si="98"/>
        <v/>
      </c>
      <c r="G404">
        <f>IFERROR(IF(F404=0,"",COUNTIF($F$3:F404,"&gt;0")),"")</f>
        <v>16</v>
      </c>
      <c r="H404" t="str">
        <f t="shared" si="92"/>
        <v/>
      </c>
      <c r="I404" t="str">
        <f t="shared" si="99"/>
        <v/>
      </c>
      <c r="J404">
        <f>IFERROR(IF(I404=0,"",COUNTIF($I$3:I404,"&gt;0")),"")</f>
        <v>34</v>
      </c>
      <c r="K404" t="str">
        <f t="shared" si="93"/>
        <v/>
      </c>
      <c r="L404" t="str">
        <f t="shared" si="100"/>
        <v/>
      </c>
      <c r="M404" t="str">
        <f t="shared" si="101"/>
        <v/>
      </c>
      <c r="N404">
        <f>IFERROR(IF(M404=0,"",COUNTIF($M$3:M404,"&gt;0")),"")</f>
        <v>33</v>
      </c>
      <c r="O404" t="str">
        <f t="shared" si="94"/>
        <v/>
      </c>
      <c r="P404" t="str">
        <f t="shared" si="102"/>
        <v/>
      </c>
      <c r="Q404" t="str">
        <f t="shared" si="103"/>
        <v/>
      </c>
      <c r="R404">
        <f>IFERROR(IF(Q404=0,"",COUNTIF($Q$3:Q404,"&gt;0")),"")</f>
        <v>16</v>
      </c>
      <c r="S404" t="str">
        <f t="shared" si="95"/>
        <v/>
      </c>
      <c r="T404" t="str">
        <f t="shared" si="104"/>
        <v/>
      </c>
      <c r="U404">
        <f>IFERROR(IF(T404=0,"",COUNTIF($T$3:T404,"&gt;0")),"")</f>
        <v>0</v>
      </c>
      <c r="V404" t="str">
        <f t="shared" si="96"/>
        <v/>
      </c>
      <c r="W404" t="e">
        <f t="shared" si="97"/>
        <v>#VALUE!</v>
      </c>
      <c r="X404">
        <f>'OTHER PLANT ATTN.'!C:C</f>
        <v>0</v>
      </c>
      <c r="Y404" t="e">
        <f>Table1[[#This Row],[CATEGORY ]]</f>
        <v>#VALUE!</v>
      </c>
      <c r="Z404" t="e">
        <f>Table1[[#This Row],[PLANT]]</f>
        <v>#VALUE!</v>
      </c>
    </row>
    <row r="405" spans="1:26">
      <c r="A405" t="e">
        <f t="shared" si="91"/>
        <v>#VALUE!</v>
      </c>
      <c r="B405" t="e">
        <f>Table4[[#This Row],[CATEGORY]]</f>
        <v>#VALUE!</v>
      </c>
      <c r="C405" t="e">
        <f>Table4[[#This Row],[SUB-CATEGORY]]</f>
        <v>#VALUE!</v>
      </c>
      <c r="D405">
        <f>'RJ ATTENDENCE SHEET'!C:C</f>
        <v>0</v>
      </c>
      <c r="E405" t="e">
        <f t="shared" si="90"/>
        <v>#VALUE!</v>
      </c>
      <c r="F405" t="str">
        <f t="shared" si="98"/>
        <v/>
      </c>
      <c r="G405">
        <f>IFERROR(IF(F405=0,"",COUNTIF($F$3:F405,"&gt;0")),"")</f>
        <v>16</v>
      </c>
      <c r="H405" t="str">
        <f t="shared" si="92"/>
        <v/>
      </c>
      <c r="I405" t="str">
        <f t="shared" si="99"/>
        <v/>
      </c>
      <c r="J405">
        <f>IFERROR(IF(I405=0,"",COUNTIF($I$3:I405,"&gt;0")),"")</f>
        <v>34</v>
      </c>
      <c r="K405" t="str">
        <f t="shared" si="93"/>
        <v/>
      </c>
      <c r="L405" t="str">
        <f t="shared" si="100"/>
        <v/>
      </c>
      <c r="M405" t="str">
        <f t="shared" si="101"/>
        <v/>
      </c>
      <c r="N405">
        <f>IFERROR(IF(M405=0,"",COUNTIF($M$3:M405,"&gt;0")),"")</f>
        <v>33</v>
      </c>
      <c r="O405" t="str">
        <f t="shared" si="94"/>
        <v/>
      </c>
      <c r="P405" t="str">
        <f t="shared" si="102"/>
        <v/>
      </c>
      <c r="Q405" t="str">
        <f t="shared" si="103"/>
        <v/>
      </c>
      <c r="R405">
        <f>IFERROR(IF(Q405=0,"",COUNTIF($Q$3:Q405,"&gt;0")),"")</f>
        <v>16</v>
      </c>
      <c r="S405" t="str">
        <f t="shared" si="95"/>
        <v/>
      </c>
      <c r="T405" t="str">
        <f t="shared" si="104"/>
        <v/>
      </c>
      <c r="U405">
        <f>IFERROR(IF(T405=0,"",COUNTIF($T$3:T405,"&gt;0")),"")</f>
        <v>0</v>
      </c>
      <c r="V405" t="str">
        <f t="shared" si="96"/>
        <v/>
      </c>
      <c r="W405" t="e">
        <f t="shared" si="97"/>
        <v>#VALUE!</v>
      </c>
      <c r="X405">
        <f>'OTHER PLANT ATTN.'!C:C</f>
        <v>0</v>
      </c>
      <c r="Y405" t="e">
        <f>Table1[[#This Row],[CATEGORY ]]</f>
        <v>#VALUE!</v>
      </c>
      <c r="Z405" t="e">
        <f>Table1[[#This Row],[PLANT]]</f>
        <v>#VALUE!</v>
      </c>
    </row>
    <row r="406" spans="1:26">
      <c r="A406" t="e">
        <f t="shared" si="91"/>
        <v>#VALUE!</v>
      </c>
      <c r="B406" t="e">
        <f>Table4[[#This Row],[CATEGORY]]</f>
        <v>#VALUE!</v>
      </c>
      <c r="C406" t="e">
        <f>Table4[[#This Row],[SUB-CATEGORY]]</f>
        <v>#VALUE!</v>
      </c>
      <c r="D406">
        <f>'RJ ATTENDENCE SHEET'!C:C</f>
        <v>0</v>
      </c>
      <c r="E406" t="e">
        <f t="shared" si="90"/>
        <v>#VALUE!</v>
      </c>
      <c r="F406" t="str">
        <f t="shared" si="98"/>
        <v/>
      </c>
      <c r="G406">
        <f>IFERROR(IF(F406=0,"",COUNTIF($F$3:F406,"&gt;0")),"")</f>
        <v>16</v>
      </c>
      <c r="H406" t="str">
        <f t="shared" si="92"/>
        <v/>
      </c>
      <c r="I406" t="str">
        <f t="shared" si="99"/>
        <v/>
      </c>
      <c r="J406">
        <f>IFERROR(IF(I406=0,"",COUNTIF($I$3:I406,"&gt;0")),"")</f>
        <v>34</v>
      </c>
      <c r="K406" t="str">
        <f t="shared" si="93"/>
        <v/>
      </c>
      <c r="L406" t="str">
        <f t="shared" si="100"/>
        <v/>
      </c>
      <c r="M406" t="str">
        <f t="shared" si="101"/>
        <v/>
      </c>
      <c r="N406">
        <f>IFERROR(IF(M406=0,"",COUNTIF($M$3:M406,"&gt;0")),"")</f>
        <v>33</v>
      </c>
      <c r="O406" t="str">
        <f t="shared" si="94"/>
        <v/>
      </c>
      <c r="P406" t="str">
        <f t="shared" si="102"/>
        <v/>
      </c>
      <c r="Q406" t="str">
        <f t="shared" si="103"/>
        <v/>
      </c>
      <c r="R406">
        <f>IFERROR(IF(Q406=0,"",COUNTIF($Q$3:Q406,"&gt;0")),"")</f>
        <v>16</v>
      </c>
      <c r="S406" t="str">
        <f t="shared" si="95"/>
        <v/>
      </c>
      <c r="T406" t="str">
        <f t="shared" si="104"/>
        <v/>
      </c>
      <c r="U406">
        <f>IFERROR(IF(T406=0,"",COUNTIF($T$3:T406,"&gt;0")),"")</f>
        <v>0</v>
      </c>
      <c r="V406" t="str">
        <f t="shared" si="96"/>
        <v/>
      </c>
      <c r="W406" t="e">
        <f t="shared" si="97"/>
        <v>#VALUE!</v>
      </c>
      <c r="X406">
        <f>'OTHER PLANT ATTN.'!C:C</f>
        <v>0</v>
      </c>
      <c r="Y406" t="e">
        <f>Table1[[#This Row],[CATEGORY ]]</f>
        <v>#VALUE!</v>
      </c>
      <c r="Z406" t="e">
        <f>Table1[[#This Row],[PLANT]]</f>
        <v>#VALUE!</v>
      </c>
    </row>
    <row r="407" spans="1:26">
      <c r="A407" t="e">
        <f t="shared" si="91"/>
        <v>#VALUE!</v>
      </c>
      <c r="B407" t="e">
        <f>Table4[[#This Row],[CATEGORY]]</f>
        <v>#VALUE!</v>
      </c>
      <c r="C407" t="e">
        <f>Table4[[#This Row],[SUB-CATEGORY]]</f>
        <v>#VALUE!</v>
      </c>
      <c r="D407">
        <f>'RJ ATTENDENCE SHEET'!C:C</f>
        <v>0</v>
      </c>
      <c r="E407" t="e">
        <f t="shared" si="90"/>
        <v>#VALUE!</v>
      </c>
      <c r="F407" t="str">
        <f t="shared" si="98"/>
        <v/>
      </c>
      <c r="G407">
        <f>IFERROR(IF(F407=0,"",COUNTIF($F$3:F407,"&gt;0")),"")</f>
        <v>16</v>
      </c>
      <c r="H407" t="str">
        <f t="shared" si="92"/>
        <v/>
      </c>
      <c r="I407" t="str">
        <f t="shared" si="99"/>
        <v/>
      </c>
      <c r="J407">
        <f>IFERROR(IF(I407=0,"",COUNTIF($I$3:I407,"&gt;0")),"")</f>
        <v>34</v>
      </c>
      <c r="K407" t="str">
        <f t="shared" si="93"/>
        <v/>
      </c>
      <c r="L407" t="str">
        <f t="shared" si="100"/>
        <v/>
      </c>
      <c r="M407" t="str">
        <f t="shared" si="101"/>
        <v/>
      </c>
      <c r="N407">
        <f>IFERROR(IF(M407=0,"",COUNTIF($M$3:M407,"&gt;0")),"")</f>
        <v>33</v>
      </c>
      <c r="O407" t="str">
        <f t="shared" si="94"/>
        <v/>
      </c>
      <c r="P407" t="str">
        <f t="shared" si="102"/>
        <v/>
      </c>
      <c r="Q407" t="str">
        <f t="shared" si="103"/>
        <v/>
      </c>
      <c r="R407">
        <f>IFERROR(IF(Q407=0,"",COUNTIF($Q$3:Q407,"&gt;0")),"")</f>
        <v>16</v>
      </c>
      <c r="S407" t="str">
        <f t="shared" si="95"/>
        <v/>
      </c>
      <c r="T407" t="str">
        <f t="shared" si="104"/>
        <v/>
      </c>
      <c r="U407">
        <f>IFERROR(IF(T407=0,"",COUNTIF($T$3:T407,"&gt;0")),"")</f>
        <v>0</v>
      </c>
      <c r="V407" t="str">
        <f t="shared" si="96"/>
        <v/>
      </c>
      <c r="W407" t="e">
        <f t="shared" si="97"/>
        <v>#VALUE!</v>
      </c>
      <c r="X407">
        <f>'OTHER PLANT ATTN.'!C:C</f>
        <v>0</v>
      </c>
      <c r="Y407" t="e">
        <f>Table1[[#This Row],[CATEGORY ]]</f>
        <v>#VALUE!</v>
      </c>
      <c r="Z407" t="e">
        <f>Table1[[#This Row],[PLANT]]</f>
        <v>#VALUE!</v>
      </c>
    </row>
    <row r="408" spans="1:26">
      <c r="A408" t="e">
        <f t="shared" si="91"/>
        <v>#VALUE!</v>
      </c>
      <c r="B408" t="e">
        <f>Table4[[#This Row],[CATEGORY]]</f>
        <v>#VALUE!</v>
      </c>
      <c r="C408" t="e">
        <f>Table4[[#This Row],[SUB-CATEGORY]]</f>
        <v>#VALUE!</v>
      </c>
      <c r="D408">
        <f>'RJ ATTENDENCE SHEET'!C:C</f>
        <v>0</v>
      </c>
      <c r="E408" t="e">
        <f t="shared" si="90"/>
        <v>#VALUE!</v>
      </c>
      <c r="F408" t="str">
        <f t="shared" si="98"/>
        <v/>
      </c>
      <c r="G408">
        <f>IFERROR(IF(F408=0,"",COUNTIF($F$3:F408,"&gt;0")),"")</f>
        <v>16</v>
      </c>
      <c r="H408" t="str">
        <f t="shared" si="92"/>
        <v/>
      </c>
      <c r="I408" t="str">
        <f t="shared" si="99"/>
        <v/>
      </c>
      <c r="J408">
        <f>IFERROR(IF(I408=0,"",COUNTIF($I$3:I408,"&gt;0")),"")</f>
        <v>34</v>
      </c>
      <c r="K408" t="str">
        <f t="shared" si="93"/>
        <v/>
      </c>
      <c r="L408" t="str">
        <f t="shared" si="100"/>
        <v/>
      </c>
      <c r="M408" t="str">
        <f t="shared" si="101"/>
        <v/>
      </c>
      <c r="N408">
        <f>IFERROR(IF(M408=0,"",COUNTIF($M$3:M408,"&gt;0")),"")</f>
        <v>33</v>
      </c>
      <c r="O408" t="str">
        <f t="shared" si="94"/>
        <v/>
      </c>
      <c r="P408" t="str">
        <f t="shared" si="102"/>
        <v/>
      </c>
      <c r="Q408" t="str">
        <f t="shared" si="103"/>
        <v/>
      </c>
      <c r="R408">
        <f>IFERROR(IF(Q408=0,"",COUNTIF($Q$3:Q408,"&gt;0")),"")</f>
        <v>16</v>
      </c>
      <c r="S408" t="str">
        <f t="shared" si="95"/>
        <v/>
      </c>
      <c r="T408" t="str">
        <f t="shared" si="104"/>
        <v/>
      </c>
      <c r="U408">
        <f>IFERROR(IF(T408=0,"",COUNTIF($T$3:T408,"&gt;0")),"")</f>
        <v>0</v>
      </c>
      <c r="V408" t="str">
        <f t="shared" si="96"/>
        <v/>
      </c>
      <c r="W408" t="e">
        <f t="shared" si="97"/>
        <v>#VALUE!</v>
      </c>
      <c r="X408">
        <f>'OTHER PLANT ATTN.'!C:C</f>
        <v>0</v>
      </c>
      <c r="Y408" t="e">
        <f>Table1[[#This Row],[CATEGORY ]]</f>
        <v>#VALUE!</v>
      </c>
      <c r="Z408" t="e">
        <f>Table1[[#This Row],[PLANT]]</f>
        <v>#VALUE!</v>
      </c>
    </row>
    <row r="409" spans="1:26">
      <c r="A409" t="e">
        <f t="shared" si="91"/>
        <v>#VALUE!</v>
      </c>
      <c r="B409" t="e">
        <f>Table4[[#This Row],[CATEGORY]]</f>
        <v>#VALUE!</v>
      </c>
      <c r="C409" t="e">
        <f>Table4[[#This Row],[SUB-CATEGORY]]</f>
        <v>#VALUE!</v>
      </c>
      <c r="D409">
        <f>'RJ ATTENDENCE SHEET'!C:C</f>
        <v>0</v>
      </c>
      <c r="E409" t="e">
        <f t="shared" si="90"/>
        <v>#VALUE!</v>
      </c>
      <c r="F409" t="str">
        <f t="shared" si="98"/>
        <v/>
      </c>
      <c r="G409">
        <f>IFERROR(IF(F409=0,"",COUNTIF($F$3:F409,"&gt;0")),"")</f>
        <v>16</v>
      </c>
      <c r="H409" t="str">
        <f t="shared" si="92"/>
        <v/>
      </c>
      <c r="I409" t="str">
        <f t="shared" si="99"/>
        <v/>
      </c>
      <c r="J409">
        <f>IFERROR(IF(I409=0,"",COUNTIF($I$3:I409,"&gt;0")),"")</f>
        <v>34</v>
      </c>
      <c r="K409" t="str">
        <f t="shared" si="93"/>
        <v/>
      </c>
      <c r="L409" t="str">
        <f t="shared" si="100"/>
        <v/>
      </c>
      <c r="M409" t="str">
        <f t="shared" si="101"/>
        <v/>
      </c>
      <c r="N409">
        <f>IFERROR(IF(M409=0,"",COUNTIF($M$3:M409,"&gt;0")),"")</f>
        <v>33</v>
      </c>
      <c r="O409" t="str">
        <f t="shared" si="94"/>
        <v/>
      </c>
      <c r="P409" t="str">
        <f t="shared" si="102"/>
        <v/>
      </c>
      <c r="Q409" t="str">
        <f t="shared" si="103"/>
        <v/>
      </c>
      <c r="R409">
        <f>IFERROR(IF(Q409=0,"",COUNTIF($Q$3:Q409,"&gt;0")),"")</f>
        <v>16</v>
      </c>
      <c r="S409" t="str">
        <f t="shared" si="95"/>
        <v/>
      </c>
      <c r="T409" t="str">
        <f t="shared" si="104"/>
        <v/>
      </c>
      <c r="U409">
        <f>IFERROR(IF(T409=0,"",COUNTIF($T$3:T409,"&gt;0")),"")</f>
        <v>0</v>
      </c>
      <c r="V409" t="str">
        <f t="shared" si="96"/>
        <v/>
      </c>
      <c r="W409" t="e">
        <f t="shared" si="97"/>
        <v>#VALUE!</v>
      </c>
      <c r="X409">
        <f>'OTHER PLANT ATTN.'!C:C</f>
        <v>0</v>
      </c>
      <c r="Y409" t="e">
        <f>Table1[[#This Row],[CATEGORY ]]</f>
        <v>#VALUE!</v>
      </c>
      <c r="Z409" t="e">
        <f>Table1[[#This Row],[PLANT]]</f>
        <v>#VALUE!</v>
      </c>
    </row>
    <row r="410" spans="1:26">
      <c r="A410" t="e">
        <f t="shared" si="91"/>
        <v>#VALUE!</v>
      </c>
      <c r="B410" t="e">
        <f>Table4[[#This Row],[CATEGORY]]</f>
        <v>#VALUE!</v>
      </c>
      <c r="C410" t="e">
        <f>Table4[[#This Row],[SUB-CATEGORY]]</f>
        <v>#VALUE!</v>
      </c>
      <c r="D410">
        <f>'RJ ATTENDENCE SHEET'!C:C</f>
        <v>0</v>
      </c>
      <c r="E410" t="e">
        <f t="shared" si="90"/>
        <v>#VALUE!</v>
      </c>
      <c r="F410" t="str">
        <f t="shared" si="98"/>
        <v/>
      </c>
      <c r="G410">
        <f>IFERROR(IF(F410=0,"",COUNTIF($F$3:F410,"&gt;0")),"")</f>
        <v>16</v>
      </c>
      <c r="H410" t="str">
        <f t="shared" si="92"/>
        <v/>
      </c>
      <c r="I410" t="str">
        <f t="shared" si="99"/>
        <v/>
      </c>
      <c r="J410">
        <f>IFERROR(IF(I410=0,"",COUNTIF($I$3:I410,"&gt;0")),"")</f>
        <v>34</v>
      </c>
      <c r="K410" t="str">
        <f t="shared" si="93"/>
        <v/>
      </c>
      <c r="L410" t="str">
        <f t="shared" si="100"/>
        <v/>
      </c>
      <c r="M410" t="str">
        <f t="shared" si="101"/>
        <v/>
      </c>
      <c r="N410">
        <f>IFERROR(IF(M410=0,"",COUNTIF($M$3:M410,"&gt;0")),"")</f>
        <v>33</v>
      </c>
      <c r="O410" t="str">
        <f t="shared" si="94"/>
        <v/>
      </c>
      <c r="P410" t="str">
        <f t="shared" si="102"/>
        <v/>
      </c>
      <c r="Q410" t="str">
        <f t="shared" si="103"/>
        <v/>
      </c>
      <c r="R410">
        <f>IFERROR(IF(Q410=0,"",COUNTIF($Q$3:Q410,"&gt;0")),"")</f>
        <v>16</v>
      </c>
      <c r="S410" t="str">
        <f t="shared" si="95"/>
        <v/>
      </c>
      <c r="T410" t="str">
        <f t="shared" si="104"/>
        <v/>
      </c>
      <c r="U410">
        <f>IFERROR(IF(T410=0,"",COUNTIF($T$3:T410,"&gt;0")),"")</f>
        <v>0</v>
      </c>
      <c r="V410" t="str">
        <f t="shared" si="96"/>
        <v/>
      </c>
      <c r="W410" t="e">
        <f t="shared" si="97"/>
        <v>#VALUE!</v>
      </c>
      <c r="X410">
        <f>'OTHER PLANT ATTN.'!C:C</f>
        <v>0</v>
      </c>
      <c r="Y410" t="e">
        <f>Table1[[#This Row],[CATEGORY ]]</f>
        <v>#VALUE!</v>
      </c>
      <c r="Z410" t="e">
        <f>Table1[[#This Row],[PLANT]]</f>
        <v>#VALUE!</v>
      </c>
    </row>
    <row r="411" spans="1:26">
      <c r="A411" t="e">
        <f t="shared" si="91"/>
        <v>#VALUE!</v>
      </c>
      <c r="B411" t="e">
        <f>Table4[[#This Row],[CATEGORY]]</f>
        <v>#VALUE!</v>
      </c>
      <c r="C411" t="e">
        <f>Table4[[#This Row],[SUB-CATEGORY]]</f>
        <v>#VALUE!</v>
      </c>
      <c r="D411">
        <f>'RJ ATTENDENCE SHEET'!C:C</f>
        <v>0</v>
      </c>
      <c r="E411" t="e">
        <f t="shared" si="90"/>
        <v>#VALUE!</v>
      </c>
      <c r="F411" t="str">
        <f t="shared" si="98"/>
        <v/>
      </c>
      <c r="G411">
        <f>IFERROR(IF(F411=0,"",COUNTIF($F$3:F411,"&gt;0")),"")</f>
        <v>16</v>
      </c>
      <c r="H411" t="str">
        <f t="shared" si="92"/>
        <v/>
      </c>
      <c r="I411" t="str">
        <f t="shared" si="99"/>
        <v/>
      </c>
      <c r="J411">
        <f>IFERROR(IF(I411=0,"",COUNTIF($I$3:I411,"&gt;0")),"")</f>
        <v>34</v>
      </c>
      <c r="K411" t="str">
        <f t="shared" si="93"/>
        <v/>
      </c>
      <c r="L411" t="str">
        <f t="shared" si="100"/>
        <v/>
      </c>
      <c r="M411" t="str">
        <f t="shared" si="101"/>
        <v/>
      </c>
      <c r="N411">
        <f>IFERROR(IF(M411=0,"",COUNTIF($M$3:M411,"&gt;0")),"")</f>
        <v>33</v>
      </c>
      <c r="O411" t="str">
        <f t="shared" si="94"/>
        <v/>
      </c>
      <c r="P411" t="str">
        <f t="shared" si="102"/>
        <v/>
      </c>
      <c r="Q411" t="str">
        <f t="shared" si="103"/>
        <v/>
      </c>
      <c r="R411">
        <f>IFERROR(IF(Q411=0,"",COUNTIF($Q$3:Q411,"&gt;0")),"")</f>
        <v>16</v>
      </c>
      <c r="S411" t="str">
        <f t="shared" si="95"/>
        <v/>
      </c>
      <c r="T411" t="str">
        <f t="shared" si="104"/>
        <v/>
      </c>
      <c r="U411">
        <f>IFERROR(IF(T411=0,"",COUNTIF($T$3:T411,"&gt;0")),"")</f>
        <v>0</v>
      </c>
      <c r="V411" t="str">
        <f t="shared" si="96"/>
        <v/>
      </c>
      <c r="W411" t="e">
        <f t="shared" si="97"/>
        <v>#VALUE!</v>
      </c>
      <c r="X411">
        <f>'OTHER PLANT ATTN.'!C:C</f>
        <v>0</v>
      </c>
      <c r="Y411" t="e">
        <f>Table1[[#This Row],[CATEGORY ]]</f>
        <v>#VALUE!</v>
      </c>
      <c r="Z411" t="e">
        <f>Table1[[#This Row],[PLANT]]</f>
        <v>#VALUE!</v>
      </c>
    </row>
    <row r="412" spans="1:26">
      <c r="A412" t="e">
        <f t="shared" si="91"/>
        <v>#VALUE!</v>
      </c>
      <c r="B412" t="e">
        <f>Table4[[#This Row],[CATEGORY]]</f>
        <v>#VALUE!</v>
      </c>
      <c r="C412" t="e">
        <f>Table4[[#This Row],[SUB-CATEGORY]]</f>
        <v>#VALUE!</v>
      </c>
      <c r="D412">
        <f>'RJ ATTENDENCE SHEET'!C:C</f>
        <v>0</v>
      </c>
      <c r="E412" t="e">
        <f t="shared" si="90"/>
        <v>#VALUE!</v>
      </c>
      <c r="F412" t="str">
        <f t="shared" si="98"/>
        <v/>
      </c>
      <c r="G412">
        <f>IFERROR(IF(F412=0,"",COUNTIF($F$3:F412,"&gt;0")),"")</f>
        <v>16</v>
      </c>
      <c r="H412" t="str">
        <f t="shared" si="92"/>
        <v/>
      </c>
      <c r="I412" t="str">
        <f t="shared" si="99"/>
        <v/>
      </c>
      <c r="J412">
        <f>IFERROR(IF(I412=0,"",COUNTIF($I$3:I412,"&gt;0")),"")</f>
        <v>34</v>
      </c>
      <c r="K412" t="str">
        <f t="shared" si="93"/>
        <v/>
      </c>
      <c r="L412" t="str">
        <f t="shared" si="100"/>
        <v/>
      </c>
      <c r="M412" t="str">
        <f t="shared" si="101"/>
        <v/>
      </c>
      <c r="N412">
        <f>IFERROR(IF(M412=0,"",COUNTIF($M$3:M412,"&gt;0")),"")</f>
        <v>33</v>
      </c>
      <c r="O412" t="str">
        <f t="shared" si="94"/>
        <v/>
      </c>
      <c r="P412" t="str">
        <f t="shared" si="102"/>
        <v/>
      </c>
      <c r="Q412" t="str">
        <f t="shared" si="103"/>
        <v/>
      </c>
      <c r="R412">
        <f>IFERROR(IF(Q412=0,"",COUNTIF($Q$3:Q412,"&gt;0")),"")</f>
        <v>16</v>
      </c>
      <c r="S412" t="str">
        <f t="shared" si="95"/>
        <v/>
      </c>
      <c r="T412" t="str">
        <f t="shared" si="104"/>
        <v/>
      </c>
      <c r="U412">
        <f>IFERROR(IF(T412=0,"",COUNTIF($T$3:T412,"&gt;0")),"")</f>
        <v>0</v>
      </c>
      <c r="V412" t="str">
        <f t="shared" si="96"/>
        <v/>
      </c>
      <c r="W412" t="e">
        <f t="shared" si="97"/>
        <v>#VALUE!</v>
      </c>
      <c r="X412">
        <f>'OTHER PLANT ATTN.'!C:C</f>
        <v>0</v>
      </c>
      <c r="Y412" t="e">
        <f>Table1[[#This Row],[CATEGORY ]]</f>
        <v>#VALUE!</v>
      </c>
      <c r="Z412" t="e">
        <f>Table1[[#This Row],[PLANT]]</f>
        <v>#VALUE!</v>
      </c>
    </row>
    <row r="413" spans="1:26">
      <c r="A413" t="e">
        <f t="shared" si="91"/>
        <v>#VALUE!</v>
      </c>
      <c r="B413" t="e">
        <f>Table4[[#This Row],[CATEGORY]]</f>
        <v>#VALUE!</v>
      </c>
      <c r="C413" t="e">
        <f>Table4[[#This Row],[SUB-CATEGORY]]</f>
        <v>#VALUE!</v>
      </c>
      <c r="D413">
        <f>'RJ ATTENDENCE SHEET'!C:C</f>
        <v>0</v>
      </c>
      <c r="E413" t="e">
        <f t="shared" si="90"/>
        <v>#VALUE!</v>
      </c>
      <c r="F413" t="str">
        <f t="shared" si="98"/>
        <v/>
      </c>
      <c r="G413">
        <f>IFERROR(IF(F413=0,"",COUNTIF($F$3:F413,"&gt;0")),"")</f>
        <v>16</v>
      </c>
      <c r="H413" t="str">
        <f t="shared" si="92"/>
        <v/>
      </c>
      <c r="I413" t="str">
        <f t="shared" si="99"/>
        <v/>
      </c>
      <c r="J413">
        <f>IFERROR(IF(I413=0,"",COUNTIF($I$3:I413,"&gt;0")),"")</f>
        <v>34</v>
      </c>
      <c r="K413" t="str">
        <f t="shared" si="93"/>
        <v/>
      </c>
      <c r="L413" t="str">
        <f t="shared" si="100"/>
        <v/>
      </c>
      <c r="M413" t="str">
        <f t="shared" si="101"/>
        <v/>
      </c>
      <c r="N413">
        <f>IFERROR(IF(M413=0,"",COUNTIF($M$3:M413,"&gt;0")),"")</f>
        <v>33</v>
      </c>
      <c r="O413" t="str">
        <f t="shared" si="94"/>
        <v/>
      </c>
      <c r="P413" t="str">
        <f t="shared" si="102"/>
        <v/>
      </c>
      <c r="Q413" t="str">
        <f t="shared" si="103"/>
        <v/>
      </c>
      <c r="R413">
        <f>IFERROR(IF(Q413=0,"",COUNTIF($Q$3:Q413,"&gt;0")),"")</f>
        <v>16</v>
      </c>
      <c r="S413" t="str">
        <f t="shared" si="95"/>
        <v/>
      </c>
      <c r="T413" t="str">
        <f t="shared" si="104"/>
        <v/>
      </c>
      <c r="U413">
        <f>IFERROR(IF(T413=0,"",COUNTIF($T$3:T413,"&gt;0")),"")</f>
        <v>0</v>
      </c>
      <c r="V413" t="str">
        <f t="shared" si="96"/>
        <v/>
      </c>
      <c r="W413" t="e">
        <f t="shared" si="97"/>
        <v>#VALUE!</v>
      </c>
      <c r="X413">
        <f>'OTHER PLANT ATTN.'!C:C</f>
        <v>0</v>
      </c>
      <c r="Y413" t="e">
        <f>Table1[[#This Row],[CATEGORY ]]</f>
        <v>#VALUE!</v>
      </c>
      <c r="Z413" t="e">
        <f>Table1[[#This Row],[PLANT]]</f>
        <v>#VALUE!</v>
      </c>
    </row>
    <row r="414" spans="1:26">
      <c r="A414" t="e">
        <f t="shared" si="91"/>
        <v>#VALUE!</v>
      </c>
      <c r="B414" t="e">
        <f>Table4[[#This Row],[CATEGORY]]</f>
        <v>#VALUE!</v>
      </c>
      <c r="C414" t="e">
        <f>Table4[[#This Row],[SUB-CATEGORY]]</f>
        <v>#VALUE!</v>
      </c>
      <c r="D414">
        <f>'RJ ATTENDENCE SHEET'!C:C</f>
        <v>0</v>
      </c>
      <c r="E414" t="e">
        <f t="shared" si="90"/>
        <v>#VALUE!</v>
      </c>
      <c r="F414" t="str">
        <f t="shared" si="98"/>
        <v/>
      </c>
      <c r="G414">
        <f>IFERROR(IF(F414=0,"",COUNTIF($F$3:F414,"&gt;0")),"")</f>
        <v>16</v>
      </c>
      <c r="H414" t="str">
        <f t="shared" si="92"/>
        <v/>
      </c>
      <c r="I414" t="str">
        <f t="shared" si="99"/>
        <v/>
      </c>
      <c r="J414">
        <f>IFERROR(IF(I414=0,"",COUNTIF($I$3:I414,"&gt;0")),"")</f>
        <v>34</v>
      </c>
      <c r="K414" t="str">
        <f t="shared" si="93"/>
        <v/>
      </c>
      <c r="L414" t="str">
        <f t="shared" si="100"/>
        <v/>
      </c>
      <c r="M414" t="str">
        <f t="shared" si="101"/>
        <v/>
      </c>
      <c r="N414">
        <f>IFERROR(IF(M414=0,"",COUNTIF($M$3:M414,"&gt;0")),"")</f>
        <v>33</v>
      </c>
      <c r="O414" t="str">
        <f t="shared" si="94"/>
        <v/>
      </c>
      <c r="P414" t="str">
        <f t="shared" si="102"/>
        <v/>
      </c>
      <c r="Q414" t="str">
        <f t="shared" si="103"/>
        <v/>
      </c>
      <c r="R414">
        <f>IFERROR(IF(Q414=0,"",COUNTIF($Q$3:Q414,"&gt;0")),"")</f>
        <v>16</v>
      </c>
      <c r="S414" t="str">
        <f t="shared" si="95"/>
        <v/>
      </c>
      <c r="T414" t="str">
        <f t="shared" si="104"/>
        <v/>
      </c>
      <c r="U414">
        <f>IFERROR(IF(T414=0,"",COUNTIF($T$3:T414,"&gt;0")),"")</f>
        <v>0</v>
      </c>
      <c r="V414" t="str">
        <f t="shared" si="96"/>
        <v/>
      </c>
      <c r="W414" t="e">
        <f t="shared" si="97"/>
        <v>#VALUE!</v>
      </c>
      <c r="X414">
        <f>'OTHER PLANT ATTN.'!C:C</f>
        <v>0</v>
      </c>
      <c r="Y414" t="e">
        <f>Table1[[#This Row],[CATEGORY ]]</f>
        <v>#VALUE!</v>
      </c>
      <c r="Z414" t="e">
        <f>Table1[[#This Row],[PLANT]]</f>
        <v>#VALUE!</v>
      </c>
    </row>
    <row r="415" spans="1:26">
      <c r="A415" t="e">
        <f t="shared" si="91"/>
        <v>#VALUE!</v>
      </c>
      <c r="B415" t="e">
        <f>Table4[[#This Row],[CATEGORY]]</f>
        <v>#VALUE!</v>
      </c>
      <c r="C415" t="e">
        <f>Table4[[#This Row],[SUB-CATEGORY]]</f>
        <v>#VALUE!</v>
      </c>
      <c r="D415">
        <f>'RJ ATTENDENCE SHEET'!C:C</f>
        <v>0</v>
      </c>
      <c r="E415" t="e">
        <f t="shared" si="90"/>
        <v>#VALUE!</v>
      </c>
      <c r="F415" t="str">
        <f t="shared" si="98"/>
        <v/>
      </c>
      <c r="G415">
        <f>IFERROR(IF(F415=0,"",COUNTIF($F$3:F415,"&gt;0")),"")</f>
        <v>16</v>
      </c>
      <c r="H415" t="str">
        <f t="shared" si="92"/>
        <v/>
      </c>
      <c r="I415" t="str">
        <f t="shared" si="99"/>
        <v/>
      </c>
      <c r="J415">
        <f>IFERROR(IF(I415=0,"",COUNTIF($I$3:I415,"&gt;0")),"")</f>
        <v>34</v>
      </c>
      <c r="K415" t="str">
        <f t="shared" si="93"/>
        <v/>
      </c>
      <c r="L415" t="str">
        <f t="shared" si="100"/>
        <v/>
      </c>
      <c r="M415" t="str">
        <f t="shared" si="101"/>
        <v/>
      </c>
      <c r="N415">
        <f>IFERROR(IF(M415=0,"",COUNTIF($M$3:M415,"&gt;0")),"")</f>
        <v>33</v>
      </c>
      <c r="O415" t="str">
        <f t="shared" si="94"/>
        <v/>
      </c>
      <c r="P415" t="str">
        <f t="shared" si="102"/>
        <v/>
      </c>
      <c r="Q415" t="str">
        <f t="shared" si="103"/>
        <v/>
      </c>
      <c r="R415">
        <f>IFERROR(IF(Q415=0,"",COUNTIF($Q$3:Q415,"&gt;0")),"")</f>
        <v>16</v>
      </c>
      <c r="S415" t="str">
        <f t="shared" si="95"/>
        <v/>
      </c>
      <c r="T415" t="str">
        <f t="shared" si="104"/>
        <v/>
      </c>
      <c r="U415">
        <f>IFERROR(IF(T415=0,"",COUNTIF($T$3:T415,"&gt;0")),"")</f>
        <v>0</v>
      </c>
      <c r="V415" t="str">
        <f t="shared" si="96"/>
        <v/>
      </c>
      <c r="W415" t="e">
        <f t="shared" si="97"/>
        <v>#VALUE!</v>
      </c>
      <c r="X415">
        <f>'OTHER PLANT ATTN.'!C:C</f>
        <v>0</v>
      </c>
      <c r="Y415" t="e">
        <f>Table1[[#This Row],[CATEGORY ]]</f>
        <v>#VALUE!</v>
      </c>
      <c r="Z415" t="e">
        <f>Table1[[#This Row],[PLANT]]</f>
        <v>#VALUE!</v>
      </c>
    </row>
    <row r="416" spans="1:26">
      <c r="A416" t="e">
        <f t="shared" si="91"/>
        <v>#VALUE!</v>
      </c>
      <c r="B416" t="e">
        <f>Table4[[#This Row],[CATEGORY]]</f>
        <v>#VALUE!</v>
      </c>
      <c r="C416" t="e">
        <f>Table4[[#This Row],[SUB-CATEGORY]]</f>
        <v>#VALUE!</v>
      </c>
      <c r="D416">
        <f>'RJ ATTENDENCE SHEET'!C:C</f>
        <v>0</v>
      </c>
      <c r="E416" t="e">
        <f t="shared" si="90"/>
        <v>#VALUE!</v>
      </c>
      <c r="F416" t="str">
        <f t="shared" si="98"/>
        <v/>
      </c>
      <c r="G416">
        <f>IFERROR(IF(F416=0,"",COUNTIF($F$3:F416,"&gt;0")),"")</f>
        <v>16</v>
      </c>
      <c r="H416" t="str">
        <f t="shared" si="92"/>
        <v/>
      </c>
      <c r="I416" t="str">
        <f t="shared" si="99"/>
        <v/>
      </c>
      <c r="J416">
        <f>IFERROR(IF(I416=0,"",COUNTIF($I$3:I416,"&gt;0")),"")</f>
        <v>34</v>
      </c>
      <c r="K416" t="str">
        <f t="shared" si="93"/>
        <v/>
      </c>
      <c r="L416" t="str">
        <f t="shared" si="100"/>
        <v/>
      </c>
      <c r="M416" t="str">
        <f t="shared" si="101"/>
        <v/>
      </c>
      <c r="N416">
        <f>IFERROR(IF(M416=0,"",COUNTIF($M$3:M416,"&gt;0")),"")</f>
        <v>33</v>
      </c>
      <c r="O416" t="str">
        <f t="shared" si="94"/>
        <v/>
      </c>
      <c r="P416" t="str">
        <f t="shared" si="102"/>
        <v/>
      </c>
      <c r="Q416" t="str">
        <f t="shared" si="103"/>
        <v/>
      </c>
      <c r="R416">
        <f>IFERROR(IF(Q416=0,"",COUNTIF($Q$3:Q416,"&gt;0")),"")</f>
        <v>16</v>
      </c>
      <c r="S416" t="str">
        <f t="shared" si="95"/>
        <v/>
      </c>
      <c r="T416" t="str">
        <f t="shared" si="104"/>
        <v/>
      </c>
      <c r="U416">
        <f>IFERROR(IF(T416=0,"",COUNTIF($T$3:T416,"&gt;0")),"")</f>
        <v>0</v>
      </c>
      <c r="V416" t="str">
        <f t="shared" si="96"/>
        <v/>
      </c>
      <c r="W416" t="e">
        <f t="shared" si="97"/>
        <v>#VALUE!</v>
      </c>
      <c r="X416">
        <f>'OTHER PLANT ATTN.'!C:C</f>
        <v>0</v>
      </c>
      <c r="Y416" t="e">
        <f>Table1[[#This Row],[CATEGORY ]]</f>
        <v>#VALUE!</v>
      </c>
      <c r="Z416" t="e">
        <f>Table1[[#This Row],[PLANT]]</f>
        <v>#VALUE!</v>
      </c>
    </row>
    <row r="417" spans="1:26">
      <c r="A417" t="e">
        <f t="shared" si="91"/>
        <v>#VALUE!</v>
      </c>
      <c r="B417" t="e">
        <f>Table4[[#This Row],[CATEGORY]]</f>
        <v>#VALUE!</v>
      </c>
      <c r="C417" t="e">
        <f>Table4[[#This Row],[SUB-CATEGORY]]</f>
        <v>#VALUE!</v>
      </c>
      <c r="D417">
        <f>'RJ ATTENDENCE SHEET'!C:C</f>
        <v>0</v>
      </c>
      <c r="E417" t="e">
        <f t="shared" si="90"/>
        <v>#VALUE!</v>
      </c>
      <c r="F417" t="str">
        <f t="shared" si="98"/>
        <v/>
      </c>
      <c r="G417">
        <f>IFERROR(IF(F417=0,"",COUNTIF($F$3:F417,"&gt;0")),"")</f>
        <v>16</v>
      </c>
      <c r="H417" t="str">
        <f t="shared" si="92"/>
        <v/>
      </c>
      <c r="I417" t="str">
        <f t="shared" si="99"/>
        <v/>
      </c>
      <c r="J417">
        <f>IFERROR(IF(I417=0,"",COUNTIF($I$3:I417,"&gt;0")),"")</f>
        <v>34</v>
      </c>
      <c r="K417" t="str">
        <f t="shared" si="93"/>
        <v/>
      </c>
      <c r="L417" t="str">
        <f t="shared" si="100"/>
        <v/>
      </c>
      <c r="M417" t="str">
        <f t="shared" si="101"/>
        <v/>
      </c>
      <c r="N417">
        <f>IFERROR(IF(M417=0,"",COUNTIF($M$3:M417,"&gt;0")),"")</f>
        <v>33</v>
      </c>
      <c r="O417" t="str">
        <f t="shared" si="94"/>
        <v/>
      </c>
      <c r="P417" t="str">
        <f t="shared" si="102"/>
        <v/>
      </c>
      <c r="Q417" t="str">
        <f t="shared" si="103"/>
        <v/>
      </c>
      <c r="R417">
        <f>IFERROR(IF(Q417=0,"",COUNTIF($Q$3:Q417,"&gt;0")),"")</f>
        <v>16</v>
      </c>
      <c r="S417" t="str">
        <f t="shared" si="95"/>
        <v/>
      </c>
      <c r="T417" t="str">
        <f t="shared" si="104"/>
        <v/>
      </c>
      <c r="U417">
        <f>IFERROR(IF(T417=0,"",COUNTIF($T$3:T417,"&gt;0")),"")</f>
        <v>0</v>
      </c>
      <c r="V417" t="str">
        <f t="shared" si="96"/>
        <v/>
      </c>
      <c r="W417" t="e">
        <f t="shared" si="97"/>
        <v>#VALUE!</v>
      </c>
      <c r="X417">
        <f>'OTHER PLANT ATTN.'!C:C</f>
        <v>0</v>
      </c>
      <c r="Y417" t="e">
        <f>Table1[[#This Row],[CATEGORY ]]</f>
        <v>#VALUE!</v>
      </c>
      <c r="Z417" t="e">
        <f>Table1[[#This Row],[PLANT]]</f>
        <v>#VALUE!</v>
      </c>
    </row>
    <row r="418" spans="1:26">
      <c r="A418" t="e">
        <f t="shared" si="91"/>
        <v>#VALUE!</v>
      </c>
      <c r="B418" t="e">
        <f>Table4[[#This Row],[CATEGORY]]</f>
        <v>#VALUE!</v>
      </c>
      <c r="C418" t="e">
        <f>Table4[[#This Row],[SUB-CATEGORY]]</f>
        <v>#VALUE!</v>
      </c>
      <c r="D418">
        <f>'RJ ATTENDENCE SHEET'!C:C</f>
        <v>0</v>
      </c>
      <c r="E418" t="e">
        <f t="shared" si="90"/>
        <v>#VALUE!</v>
      </c>
      <c r="F418" t="str">
        <f t="shared" si="98"/>
        <v/>
      </c>
      <c r="G418">
        <f>IFERROR(IF(F418=0,"",COUNTIF($F$3:F418,"&gt;0")),"")</f>
        <v>16</v>
      </c>
      <c r="H418" t="str">
        <f t="shared" si="92"/>
        <v/>
      </c>
      <c r="I418" t="str">
        <f t="shared" si="99"/>
        <v/>
      </c>
      <c r="J418">
        <f>IFERROR(IF(I418=0,"",COUNTIF($I$3:I418,"&gt;0")),"")</f>
        <v>34</v>
      </c>
      <c r="K418" t="str">
        <f t="shared" si="93"/>
        <v/>
      </c>
      <c r="L418" t="str">
        <f t="shared" si="100"/>
        <v/>
      </c>
      <c r="M418" t="str">
        <f t="shared" si="101"/>
        <v/>
      </c>
      <c r="N418">
        <f>IFERROR(IF(M418=0,"",COUNTIF($M$3:M418,"&gt;0")),"")</f>
        <v>33</v>
      </c>
      <c r="O418" t="str">
        <f t="shared" si="94"/>
        <v/>
      </c>
      <c r="P418" t="str">
        <f t="shared" si="102"/>
        <v/>
      </c>
      <c r="Q418" t="str">
        <f t="shared" si="103"/>
        <v/>
      </c>
      <c r="R418">
        <f>IFERROR(IF(Q418=0,"",COUNTIF($Q$3:Q418,"&gt;0")),"")</f>
        <v>16</v>
      </c>
      <c r="S418" t="str">
        <f t="shared" si="95"/>
        <v/>
      </c>
      <c r="T418" t="str">
        <f t="shared" si="104"/>
        <v/>
      </c>
      <c r="U418">
        <f>IFERROR(IF(T418=0,"",COUNTIF($T$3:T418,"&gt;0")),"")</f>
        <v>0</v>
      </c>
      <c r="V418" t="str">
        <f t="shared" si="96"/>
        <v/>
      </c>
      <c r="W418" t="e">
        <f t="shared" si="97"/>
        <v>#VALUE!</v>
      </c>
      <c r="X418">
        <f>'OTHER PLANT ATTN.'!C:C</f>
        <v>0</v>
      </c>
      <c r="Y418" t="e">
        <f>Table1[[#This Row],[CATEGORY ]]</f>
        <v>#VALUE!</v>
      </c>
      <c r="Z418" t="e">
        <f>Table1[[#This Row],[PLANT]]</f>
        <v>#VALUE!</v>
      </c>
    </row>
    <row r="419" spans="1:26">
      <c r="A419" t="e">
        <f t="shared" si="91"/>
        <v>#VALUE!</v>
      </c>
      <c r="B419" t="e">
        <f>Table4[[#This Row],[CATEGORY]]</f>
        <v>#VALUE!</v>
      </c>
      <c r="C419" t="e">
        <f>Table4[[#This Row],[SUB-CATEGORY]]</f>
        <v>#VALUE!</v>
      </c>
      <c r="D419">
        <f>'RJ ATTENDENCE SHEET'!C:C</f>
        <v>0</v>
      </c>
      <c r="E419" t="e">
        <f t="shared" si="90"/>
        <v>#VALUE!</v>
      </c>
      <c r="F419" t="str">
        <f t="shared" si="98"/>
        <v/>
      </c>
      <c r="G419">
        <f>IFERROR(IF(F419=0,"",COUNTIF($F$3:F419,"&gt;0")),"")</f>
        <v>16</v>
      </c>
      <c r="H419" t="str">
        <f t="shared" si="92"/>
        <v/>
      </c>
      <c r="I419" t="str">
        <f t="shared" si="99"/>
        <v/>
      </c>
      <c r="J419">
        <f>IFERROR(IF(I419=0,"",COUNTIF($I$3:I419,"&gt;0")),"")</f>
        <v>34</v>
      </c>
      <c r="K419" t="str">
        <f t="shared" si="93"/>
        <v/>
      </c>
      <c r="L419" t="str">
        <f t="shared" si="100"/>
        <v/>
      </c>
      <c r="M419" t="str">
        <f t="shared" si="101"/>
        <v/>
      </c>
      <c r="N419">
        <f>IFERROR(IF(M419=0,"",COUNTIF($M$3:M419,"&gt;0")),"")</f>
        <v>33</v>
      </c>
      <c r="O419" t="str">
        <f t="shared" si="94"/>
        <v/>
      </c>
      <c r="P419" t="str">
        <f t="shared" si="102"/>
        <v/>
      </c>
      <c r="Q419" t="str">
        <f t="shared" si="103"/>
        <v/>
      </c>
      <c r="R419">
        <f>IFERROR(IF(Q419=0,"",COUNTIF($Q$3:Q419,"&gt;0")),"")</f>
        <v>16</v>
      </c>
      <c r="S419" t="str">
        <f t="shared" si="95"/>
        <v/>
      </c>
      <c r="T419" t="str">
        <f t="shared" si="104"/>
        <v/>
      </c>
      <c r="U419">
        <f>IFERROR(IF(T419=0,"",COUNTIF($T$3:T419,"&gt;0")),"")</f>
        <v>0</v>
      </c>
      <c r="V419" t="str">
        <f t="shared" si="96"/>
        <v/>
      </c>
      <c r="W419" t="e">
        <f t="shared" si="97"/>
        <v>#VALUE!</v>
      </c>
      <c r="X419">
        <f>'OTHER PLANT ATTN.'!C:C</f>
        <v>0</v>
      </c>
      <c r="Y419" t="e">
        <f>Table1[[#This Row],[CATEGORY ]]</f>
        <v>#VALUE!</v>
      </c>
      <c r="Z419" t="e">
        <f>Table1[[#This Row],[PLANT]]</f>
        <v>#VALUE!</v>
      </c>
    </row>
    <row r="420" spans="1:26">
      <c r="A420" t="e">
        <f t="shared" si="91"/>
        <v>#VALUE!</v>
      </c>
      <c r="B420" t="e">
        <f>Table4[[#This Row],[CATEGORY]]</f>
        <v>#VALUE!</v>
      </c>
      <c r="C420" t="e">
        <f>Table4[[#This Row],[SUB-CATEGORY]]</f>
        <v>#VALUE!</v>
      </c>
      <c r="D420">
        <f>'RJ ATTENDENCE SHEET'!C:C</f>
        <v>0</v>
      </c>
      <c r="E420" t="e">
        <f t="shared" si="90"/>
        <v>#VALUE!</v>
      </c>
      <c r="F420" t="str">
        <f t="shared" si="98"/>
        <v/>
      </c>
      <c r="G420">
        <f>IFERROR(IF(F420=0,"",COUNTIF($F$3:F420,"&gt;0")),"")</f>
        <v>16</v>
      </c>
      <c r="H420" t="str">
        <f t="shared" si="92"/>
        <v/>
      </c>
      <c r="I420" t="str">
        <f t="shared" si="99"/>
        <v/>
      </c>
      <c r="J420">
        <f>IFERROR(IF(I420=0,"",COUNTIF($I$3:I420,"&gt;0")),"")</f>
        <v>34</v>
      </c>
      <c r="K420" t="str">
        <f t="shared" si="93"/>
        <v/>
      </c>
      <c r="L420" t="str">
        <f t="shared" si="100"/>
        <v/>
      </c>
      <c r="M420" t="str">
        <f t="shared" si="101"/>
        <v/>
      </c>
      <c r="N420">
        <f>IFERROR(IF(M420=0,"",COUNTIF($M$3:M420,"&gt;0")),"")</f>
        <v>33</v>
      </c>
      <c r="O420" t="str">
        <f t="shared" si="94"/>
        <v/>
      </c>
      <c r="P420" t="str">
        <f t="shared" si="102"/>
        <v/>
      </c>
      <c r="Q420" t="str">
        <f t="shared" si="103"/>
        <v/>
      </c>
      <c r="R420">
        <f>IFERROR(IF(Q420=0,"",COUNTIF($Q$3:Q420,"&gt;0")),"")</f>
        <v>16</v>
      </c>
      <c r="S420" t="str">
        <f t="shared" si="95"/>
        <v/>
      </c>
      <c r="T420" t="str">
        <f t="shared" si="104"/>
        <v/>
      </c>
      <c r="U420">
        <f>IFERROR(IF(T420=0,"",COUNTIF($T$3:T420,"&gt;0")),"")</f>
        <v>0</v>
      </c>
      <c r="V420" t="str">
        <f t="shared" si="96"/>
        <v/>
      </c>
      <c r="W420" t="e">
        <f t="shared" si="97"/>
        <v>#VALUE!</v>
      </c>
      <c r="X420">
        <f>'OTHER PLANT ATTN.'!C:C</f>
        <v>0</v>
      </c>
      <c r="Y420" t="e">
        <f>Table1[[#This Row],[CATEGORY ]]</f>
        <v>#VALUE!</v>
      </c>
      <c r="Z420" t="e">
        <f>Table1[[#This Row],[PLANT]]</f>
        <v>#VALUE!</v>
      </c>
    </row>
    <row r="421" spans="1:26">
      <c r="A421" t="e">
        <f t="shared" si="91"/>
        <v>#VALUE!</v>
      </c>
      <c r="B421" t="e">
        <f>Table4[[#This Row],[CATEGORY]]</f>
        <v>#VALUE!</v>
      </c>
      <c r="C421" t="e">
        <f>Table4[[#This Row],[SUB-CATEGORY]]</f>
        <v>#VALUE!</v>
      </c>
      <c r="D421">
        <f>'RJ ATTENDENCE SHEET'!C:C</f>
        <v>0</v>
      </c>
      <c r="E421" t="e">
        <f t="shared" si="90"/>
        <v>#VALUE!</v>
      </c>
      <c r="F421" t="str">
        <f t="shared" si="98"/>
        <v/>
      </c>
      <c r="G421">
        <f>IFERROR(IF(F421=0,"",COUNTIF($F$3:F421,"&gt;0")),"")</f>
        <v>16</v>
      </c>
      <c r="H421" t="str">
        <f t="shared" si="92"/>
        <v/>
      </c>
      <c r="I421" t="str">
        <f t="shared" si="99"/>
        <v/>
      </c>
      <c r="J421">
        <f>IFERROR(IF(I421=0,"",COUNTIF($I$3:I421,"&gt;0")),"")</f>
        <v>34</v>
      </c>
      <c r="K421" t="str">
        <f t="shared" si="93"/>
        <v/>
      </c>
      <c r="L421" t="str">
        <f t="shared" si="100"/>
        <v/>
      </c>
      <c r="M421" t="str">
        <f t="shared" si="101"/>
        <v/>
      </c>
      <c r="N421">
        <f>IFERROR(IF(M421=0,"",COUNTIF($M$3:M421,"&gt;0")),"")</f>
        <v>33</v>
      </c>
      <c r="O421" t="str">
        <f t="shared" si="94"/>
        <v/>
      </c>
      <c r="P421" t="str">
        <f t="shared" si="102"/>
        <v/>
      </c>
      <c r="Q421" t="str">
        <f t="shared" si="103"/>
        <v/>
      </c>
      <c r="R421">
        <f>IFERROR(IF(Q421=0,"",COUNTIF($Q$3:Q421,"&gt;0")),"")</f>
        <v>16</v>
      </c>
      <c r="S421" t="str">
        <f t="shared" si="95"/>
        <v/>
      </c>
      <c r="T421" t="str">
        <f t="shared" si="104"/>
        <v/>
      </c>
      <c r="U421">
        <f>IFERROR(IF(T421=0,"",COUNTIF($T$3:T421,"&gt;0")),"")</f>
        <v>0</v>
      </c>
      <c r="V421" t="str">
        <f t="shared" si="96"/>
        <v/>
      </c>
      <c r="W421" t="e">
        <f t="shared" si="97"/>
        <v>#VALUE!</v>
      </c>
      <c r="X421">
        <f>'OTHER PLANT ATTN.'!C:C</f>
        <v>0</v>
      </c>
      <c r="Y421" t="e">
        <f>Table1[[#This Row],[CATEGORY ]]</f>
        <v>#VALUE!</v>
      </c>
      <c r="Z421" t="e">
        <f>Table1[[#This Row],[PLANT]]</f>
        <v>#VALUE!</v>
      </c>
    </row>
    <row r="422" spans="1:26">
      <c r="A422" t="e">
        <f t="shared" si="91"/>
        <v>#VALUE!</v>
      </c>
      <c r="B422" t="e">
        <f>Table4[[#This Row],[CATEGORY]]</f>
        <v>#VALUE!</v>
      </c>
      <c r="C422" t="e">
        <f>Table4[[#This Row],[SUB-CATEGORY]]</f>
        <v>#VALUE!</v>
      </c>
      <c r="D422">
        <f>'RJ ATTENDENCE SHEET'!C:C</f>
        <v>0</v>
      </c>
      <c r="E422" t="e">
        <f t="shared" si="90"/>
        <v>#VALUE!</v>
      </c>
      <c r="F422" t="str">
        <f t="shared" si="98"/>
        <v/>
      </c>
      <c r="G422">
        <f>IFERROR(IF(F422=0,"",COUNTIF($F$3:F422,"&gt;0")),"")</f>
        <v>16</v>
      </c>
      <c r="H422" t="str">
        <f t="shared" si="92"/>
        <v/>
      </c>
      <c r="I422" t="str">
        <f t="shared" si="99"/>
        <v/>
      </c>
      <c r="J422">
        <f>IFERROR(IF(I422=0,"",COUNTIF($I$3:I422,"&gt;0")),"")</f>
        <v>34</v>
      </c>
      <c r="K422" t="str">
        <f t="shared" si="93"/>
        <v/>
      </c>
      <c r="L422" t="str">
        <f t="shared" si="100"/>
        <v/>
      </c>
      <c r="M422" t="str">
        <f t="shared" si="101"/>
        <v/>
      </c>
      <c r="N422">
        <f>IFERROR(IF(M422=0,"",COUNTIF($M$3:M422,"&gt;0")),"")</f>
        <v>33</v>
      </c>
      <c r="O422" t="str">
        <f t="shared" si="94"/>
        <v/>
      </c>
      <c r="P422" t="str">
        <f t="shared" si="102"/>
        <v/>
      </c>
      <c r="Q422" t="str">
        <f t="shared" si="103"/>
        <v/>
      </c>
      <c r="R422">
        <f>IFERROR(IF(Q422=0,"",COUNTIF($Q$3:Q422,"&gt;0")),"")</f>
        <v>16</v>
      </c>
      <c r="S422" t="str">
        <f t="shared" si="95"/>
        <v/>
      </c>
      <c r="T422" t="str">
        <f t="shared" si="104"/>
        <v/>
      </c>
      <c r="U422">
        <f>IFERROR(IF(T422=0,"",COUNTIF($T$3:T422,"&gt;0")),"")</f>
        <v>0</v>
      </c>
      <c r="V422" t="str">
        <f t="shared" si="96"/>
        <v/>
      </c>
      <c r="W422" t="e">
        <f t="shared" si="97"/>
        <v>#VALUE!</v>
      </c>
      <c r="X422">
        <f>'OTHER PLANT ATTN.'!C:C</f>
        <v>0</v>
      </c>
      <c r="Y422" t="e">
        <f>Table1[[#This Row],[CATEGORY ]]</f>
        <v>#VALUE!</v>
      </c>
      <c r="Z422" t="e">
        <f>Table1[[#This Row],[PLANT]]</f>
        <v>#VALUE!</v>
      </c>
    </row>
    <row r="423" spans="1:26">
      <c r="A423" t="e">
        <f t="shared" si="91"/>
        <v>#VALUE!</v>
      </c>
      <c r="B423" t="e">
        <f>Table4[[#This Row],[CATEGORY]]</f>
        <v>#VALUE!</v>
      </c>
      <c r="C423" t="e">
        <f>Table4[[#This Row],[SUB-CATEGORY]]</f>
        <v>#VALUE!</v>
      </c>
      <c r="D423">
        <f>'RJ ATTENDENCE SHEET'!C:C</f>
        <v>0</v>
      </c>
      <c r="E423" t="e">
        <f t="shared" si="90"/>
        <v>#VALUE!</v>
      </c>
      <c r="F423" t="str">
        <f t="shared" si="98"/>
        <v/>
      </c>
      <c r="G423">
        <f>IFERROR(IF(F423=0,"",COUNTIF($F$3:F423,"&gt;0")),"")</f>
        <v>16</v>
      </c>
      <c r="H423" t="str">
        <f t="shared" si="92"/>
        <v/>
      </c>
      <c r="I423" t="str">
        <f t="shared" si="99"/>
        <v/>
      </c>
      <c r="J423">
        <f>IFERROR(IF(I423=0,"",COUNTIF($I$3:I423,"&gt;0")),"")</f>
        <v>34</v>
      </c>
      <c r="K423" t="str">
        <f t="shared" si="93"/>
        <v/>
      </c>
      <c r="L423" t="str">
        <f t="shared" si="100"/>
        <v/>
      </c>
      <c r="M423" t="str">
        <f t="shared" si="101"/>
        <v/>
      </c>
      <c r="N423">
        <f>IFERROR(IF(M423=0,"",COUNTIF($M$3:M423,"&gt;0")),"")</f>
        <v>33</v>
      </c>
      <c r="O423" t="str">
        <f t="shared" si="94"/>
        <v/>
      </c>
      <c r="P423" t="str">
        <f t="shared" si="102"/>
        <v/>
      </c>
      <c r="Q423" t="str">
        <f t="shared" si="103"/>
        <v/>
      </c>
      <c r="R423">
        <f>IFERROR(IF(Q423=0,"",COUNTIF($Q$3:Q423,"&gt;0")),"")</f>
        <v>16</v>
      </c>
      <c r="S423" t="str">
        <f t="shared" si="95"/>
        <v/>
      </c>
      <c r="T423" t="str">
        <f t="shared" si="104"/>
        <v/>
      </c>
      <c r="U423">
        <f>IFERROR(IF(T423=0,"",COUNTIF($T$3:T423,"&gt;0")),"")</f>
        <v>0</v>
      </c>
      <c r="V423" t="str">
        <f t="shared" si="96"/>
        <v/>
      </c>
      <c r="W423" t="e">
        <f t="shared" si="97"/>
        <v>#VALUE!</v>
      </c>
      <c r="X423">
        <f>'OTHER PLANT ATTN.'!C:C</f>
        <v>0</v>
      </c>
      <c r="Y423" t="e">
        <f>Table1[[#This Row],[CATEGORY ]]</f>
        <v>#VALUE!</v>
      </c>
      <c r="Z423" t="e">
        <f>Table1[[#This Row],[PLANT]]</f>
        <v>#VALUE!</v>
      </c>
    </row>
    <row r="424" spans="1:26">
      <c r="A424" t="e">
        <f t="shared" si="91"/>
        <v>#VALUE!</v>
      </c>
      <c r="B424" t="e">
        <f>Table4[[#This Row],[CATEGORY]]</f>
        <v>#VALUE!</v>
      </c>
      <c r="C424" t="e">
        <f>Table4[[#This Row],[SUB-CATEGORY]]</f>
        <v>#VALUE!</v>
      </c>
      <c r="D424">
        <f>'RJ ATTENDENCE SHEET'!C:C</f>
        <v>0</v>
      </c>
      <c r="E424" t="e">
        <f t="shared" si="90"/>
        <v>#VALUE!</v>
      </c>
      <c r="F424" t="str">
        <f t="shared" si="98"/>
        <v/>
      </c>
      <c r="G424">
        <f>IFERROR(IF(F424=0,"",COUNTIF($F$3:F424,"&gt;0")),"")</f>
        <v>16</v>
      </c>
      <c r="H424" t="str">
        <f t="shared" si="92"/>
        <v/>
      </c>
      <c r="I424" t="str">
        <f t="shared" si="99"/>
        <v/>
      </c>
      <c r="J424">
        <f>IFERROR(IF(I424=0,"",COUNTIF($I$3:I424,"&gt;0")),"")</f>
        <v>34</v>
      </c>
      <c r="K424" t="str">
        <f t="shared" si="93"/>
        <v/>
      </c>
      <c r="L424" t="str">
        <f t="shared" si="100"/>
        <v/>
      </c>
      <c r="M424" t="str">
        <f t="shared" si="101"/>
        <v/>
      </c>
      <c r="N424">
        <f>IFERROR(IF(M424=0,"",COUNTIF($M$3:M424,"&gt;0")),"")</f>
        <v>33</v>
      </c>
      <c r="O424" t="str">
        <f t="shared" si="94"/>
        <v/>
      </c>
      <c r="P424" t="str">
        <f t="shared" si="102"/>
        <v/>
      </c>
      <c r="Q424" t="str">
        <f t="shared" si="103"/>
        <v/>
      </c>
      <c r="R424">
        <f>IFERROR(IF(Q424=0,"",COUNTIF($Q$3:Q424,"&gt;0")),"")</f>
        <v>16</v>
      </c>
      <c r="S424" t="str">
        <f t="shared" si="95"/>
        <v/>
      </c>
      <c r="T424" t="str">
        <f t="shared" si="104"/>
        <v/>
      </c>
      <c r="U424">
        <f>IFERROR(IF(T424=0,"",COUNTIF($T$3:T424,"&gt;0")),"")</f>
        <v>0</v>
      </c>
      <c r="V424" t="str">
        <f t="shared" si="96"/>
        <v/>
      </c>
      <c r="W424" t="e">
        <f t="shared" si="97"/>
        <v>#VALUE!</v>
      </c>
      <c r="X424">
        <f>'OTHER PLANT ATTN.'!C:C</f>
        <v>0</v>
      </c>
      <c r="Y424" t="e">
        <f>Table1[[#This Row],[CATEGORY ]]</f>
        <v>#VALUE!</v>
      </c>
      <c r="Z424" t="e">
        <f>Table1[[#This Row],[PLANT]]</f>
        <v>#VALUE!</v>
      </c>
    </row>
    <row r="425" spans="1:26">
      <c r="A425" t="e">
        <f t="shared" si="91"/>
        <v>#VALUE!</v>
      </c>
      <c r="B425" t="e">
        <f>Table4[[#This Row],[CATEGORY]]</f>
        <v>#VALUE!</v>
      </c>
      <c r="C425" t="e">
        <f>Table4[[#This Row],[SUB-CATEGORY]]</f>
        <v>#VALUE!</v>
      </c>
      <c r="D425">
        <f>'RJ ATTENDENCE SHEET'!C:C</f>
        <v>0</v>
      </c>
      <c r="E425" t="e">
        <f t="shared" si="90"/>
        <v>#VALUE!</v>
      </c>
      <c r="F425" t="str">
        <f t="shared" si="98"/>
        <v/>
      </c>
      <c r="G425">
        <f>IFERROR(IF(F425=0,"",COUNTIF($F$3:F425,"&gt;0")),"")</f>
        <v>16</v>
      </c>
      <c r="H425" t="str">
        <f t="shared" si="92"/>
        <v/>
      </c>
      <c r="I425" t="str">
        <f t="shared" si="99"/>
        <v/>
      </c>
      <c r="J425">
        <f>IFERROR(IF(I425=0,"",COUNTIF($I$3:I425,"&gt;0")),"")</f>
        <v>34</v>
      </c>
      <c r="K425" t="str">
        <f t="shared" si="93"/>
        <v/>
      </c>
      <c r="L425" t="str">
        <f t="shared" si="100"/>
        <v/>
      </c>
      <c r="M425" t="str">
        <f t="shared" si="101"/>
        <v/>
      </c>
      <c r="N425">
        <f>IFERROR(IF(M425=0,"",COUNTIF($M$3:M425,"&gt;0")),"")</f>
        <v>33</v>
      </c>
      <c r="O425" t="str">
        <f t="shared" si="94"/>
        <v/>
      </c>
      <c r="P425" t="str">
        <f t="shared" si="102"/>
        <v/>
      </c>
      <c r="Q425" t="str">
        <f t="shared" si="103"/>
        <v/>
      </c>
      <c r="R425">
        <f>IFERROR(IF(Q425=0,"",COUNTIF($Q$3:Q425,"&gt;0")),"")</f>
        <v>16</v>
      </c>
      <c r="S425" t="str">
        <f t="shared" si="95"/>
        <v/>
      </c>
      <c r="T425" t="str">
        <f t="shared" si="104"/>
        <v/>
      </c>
      <c r="U425">
        <f>IFERROR(IF(T425=0,"",COUNTIF($T$3:T425,"&gt;0")),"")</f>
        <v>0</v>
      </c>
      <c r="V425" t="str">
        <f t="shared" si="96"/>
        <v/>
      </c>
      <c r="W425" t="e">
        <f t="shared" si="97"/>
        <v>#VALUE!</v>
      </c>
      <c r="X425">
        <f>'OTHER PLANT ATTN.'!C:C</f>
        <v>0</v>
      </c>
      <c r="Y425" t="e">
        <f>Table1[[#This Row],[CATEGORY ]]</f>
        <v>#VALUE!</v>
      </c>
      <c r="Z425" t="e">
        <f>Table1[[#This Row],[PLANT]]</f>
        <v>#VALUE!</v>
      </c>
    </row>
    <row r="426" spans="1:26">
      <c r="A426" t="e">
        <f t="shared" si="91"/>
        <v>#VALUE!</v>
      </c>
      <c r="B426" t="e">
        <f>Table4[[#This Row],[CATEGORY]]</f>
        <v>#VALUE!</v>
      </c>
      <c r="C426" t="e">
        <f>Table4[[#This Row],[SUB-CATEGORY]]</f>
        <v>#VALUE!</v>
      </c>
      <c r="D426">
        <f>'RJ ATTENDENCE SHEET'!C:C</f>
        <v>0</v>
      </c>
      <c r="E426" t="e">
        <f t="shared" si="90"/>
        <v>#VALUE!</v>
      </c>
      <c r="F426" t="str">
        <f t="shared" si="98"/>
        <v/>
      </c>
      <c r="G426">
        <f>IFERROR(IF(F426=0,"",COUNTIF($F$3:F426,"&gt;0")),"")</f>
        <v>16</v>
      </c>
      <c r="H426" t="str">
        <f t="shared" si="92"/>
        <v/>
      </c>
      <c r="I426" t="str">
        <f t="shared" si="99"/>
        <v/>
      </c>
      <c r="J426">
        <f>IFERROR(IF(I426=0,"",COUNTIF($I$3:I426,"&gt;0")),"")</f>
        <v>34</v>
      </c>
      <c r="K426" t="str">
        <f t="shared" si="93"/>
        <v/>
      </c>
      <c r="L426" t="str">
        <f t="shared" si="100"/>
        <v/>
      </c>
      <c r="M426" t="str">
        <f t="shared" si="101"/>
        <v/>
      </c>
      <c r="N426">
        <f>IFERROR(IF(M426=0,"",COUNTIF($M$3:M426,"&gt;0")),"")</f>
        <v>33</v>
      </c>
      <c r="O426" t="str">
        <f t="shared" si="94"/>
        <v/>
      </c>
      <c r="P426" t="str">
        <f t="shared" si="102"/>
        <v/>
      </c>
      <c r="Q426" t="str">
        <f t="shared" si="103"/>
        <v/>
      </c>
      <c r="R426">
        <f>IFERROR(IF(Q426=0,"",COUNTIF($Q$3:Q426,"&gt;0")),"")</f>
        <v>16</v>
      </c>
      <c r="S426" t="str">
        <f t="shared" si="95"/>
        <v/>
      </c>
      <c r="T426" t="str">
        <f t="shared" si="104"/>
        <v/>
      </c>
      <c r="U426">
        <f>IFERROR(IF(T426=0,"",COUNTIF($T$3:T426,"&gt;0")),"")</f>
        <v>0</v>
      </c>
      <c r="V426" t="str">
        <f t="shared" si="96"/>
        <v/>
      </c>
      <c r="W426" t="e">
        <f t="shared" si="97"/>
        <v>#VALUE!</v>
      </c>
      <c r="X426">
        <f>'OTHER PLANT ATTN.'!C:C</f>
        <v>0</v>
      </c>
      <c r="Y426" t="e">
        <f>Table1[[#This Row],[CATEGORY ]]</f>
        <v>#VALUE!</v>
      </c>
      <c r="Z426" t="e">
        <f>Table1[[#This Row],[PLANT]]</f>
        <v>#VALUE!</v>
      </c>
    </row>
    <row r="427" spans="1:26">
      <c r="A427" t="e">
        <f t="shared" si="91"/>
        <v>#VALUE!</v>
      </c>
      <c r="B427" t="e">
        <f>Table4[[#This Row],[CATEGORY]]</f>
        <v>#VALUE!</v>
      </c>
      <c r="C427" t="e">
        <f>Table4[[#This Row],[SUB-CATEGORY]]</f>
        <v>#VALUE!</v>
      </c>
      <c r="D427">
        <f>'RJ ATTENDENCE SHEET'!C:C</f>
        <v>0</v>
      </c>
      <c r="E427" t="e">
        <f t="shared" si="90"/>
        <v>#VALUE!</v>
      </c>
      <c r="F427" t="str">
        <f t="shared" si="98"/>
        <v/>
      </c>
      <c r="G427">
        <f>IFERROR(IF(F427=0,"",COUNTIF($F$3:F427,"&gt;0")),"")</f>
        <v>16</v>
      </c>
      <c r="H427" t="str">
        <f t="shared" si="92"/>
        <v/>
      </c>
      <c r="I427" t="str">
        <f t="shared" si="99"/>
        <v/>
      </c>
      <c r="J427">
        <f>IFERROR(IF(I427=0,"",COUNTIF($I$3:I427,"&gt;0")),"")</f>
        <v>34</v>
      </c>
      <c r="K427" t="str">
        <f t="shared" si="93"/>
        <v/>
      </c>
      <c r="L427" t="str">
        <f t="shared" si="100"/>
        <v/>
      </c>
      <c r="M427" t="str">
        <f t="shared" si="101"/>
        <v/>
      </c>
      <c r="N427">
        <f>IFERROR(IF(M427=0,"",COUNTIF($M$3:M427,"&gt;0")),"")</f>
        <v>33</v>
      </c>
      <c r="O427" t="str">
        <f t="shared" si="94"/>
        <v/>
      </c>
      <c r="P427" t="str">
        <f t="shared" si="102"/>
        <v/>
      </c>
      <c r="Q427" t="str">
        <f t="shared" si="103"/>
        <v/>
      </c>
      <c r="R427">
        <f>IFERROR(IF(Q427=0,"",COUNTIF($Q$3:Q427,"&gt;0")),"")</f>
        <v>16</v>
      </c>
      <c r="S427" t="str">
        <f t="shared" si="95"/>
        <v/>
      </c>
      <c r="T427" t="str">
        <f t="shared" si="104"/>
        <v/>
      </c>
      <c r="U427">
        <f>IFERROR(IF(T427=0,"",COUNTIF($T$3:T427,"&gt;0")),"")</f>
        <v>0</v>
      </c>
      <c r="V427" t="str">
        <f t="shared" si="96"/>
        <v/>
      </c>
      <c r="W427" t="e">
        <f t="shared" si="97"/>
        <v>#VALUE!</v>
      </c>
      <c r="X427">
        <f>'OTHER PLANT ATTN.'!C:C</f>
        <v>0</v>
      </c>
      <c r="Y427" t="e">
        <f>Table1[[#This Row],[CATEGORY ]]</f>
        <v>#VALUE!</v>
      </c>
      <c r="Z427" t="e">
        <f>Table1[[#This Row],[PLANT]]</f>
        <v>#VALUE!</v>
      </c>
    </row>
    <row r="428" spans="1:26">
      <c r="A428" t="e">
        <f t="shared" si="91"/>
        <v>#VALUE!</v>
      </c>
      <c r="B428" t="e">
        <f>Table4[[#This Row],[CATEGORY]]</f>
        <v>#VALUE!</v>
      </c>
      <c r="C428" t="e">
        <f>Table4[[#This Row],[SUB-CATEGORY]]</f>
        <v>#VALUE!</v>
      </c>
      <c r="D428">
        <f>'RJ ATTENDENCE SHEET'!C:C</f>
        <v>0</v>
      </c>
      <c r="E428" t="e">
        <f t="shared" si="90"/>
        <v>#VALUE!</v>
      </c>
      <c r="F428" t="str">
        <f t="shared" si="98"/>
        <v/>
      </c>
      <c r="G428">
        <f>IFERROR(IF(F428=0,"",COUNTIF($F$3:F428,"&gt;0")),"")</f>
        <v>16</v>
      </c>
      <c r="H428" t="str">
        <f t="shared" si="92"/>
        <v/>
      </c>
      <c r="I428" t="str">
        <f t="shared" si="99"/>
        <v/>
      </c>
      <c r="J428">
        <f>IFERROR(IF(I428=0,"",COUNTIF($I$3:I428,"&gt;0")),"")</f>
        <v>34</v>
      </c>
      <c r="K428" t="str">
        <f t="shared" si="93"/>
        <v/>
      </c>
      <c r="L428" t="str">
        <f t="shared" si="100"/>
        <v/>
      </c>
      <c r="M428" t="str">
        <f t="shared" si="101"/>
        <v/>
      </c>
      <c r="N428">
        <f>IFERROR(IF(M428=0,"",COUNTIF($M$3:M428,"&gt;0")),"")</f>
        <v>33</v>
      </c>
      <c r="O428" t="str">
        <f t="shared" si="94"/>
        <v/>
      </c>
      <c r="P428" t="str">
        <f t="shared" si="102"/>
        <v/>
      </c>
      <c r="Q428" t="str">
        <f t="shared" si="103"/>
        <v/>
      </c>
      <c r="R428">
        <f>IFERROR(IF(Q428=0,"",COUNTIF($Q$3:Q428,"&gt;0")),"")</f>
        <v>16</v>
      </c>
      <c r="S428" t="str">
        <f t="shared" si="95"/>
        <v/>
      </c>
      <c r="T428" t="str">
        <f t="shared" si="104"/>
        <v/>
      </c>
      <c r="U428">
        <f>IFERROR(IF(T428=0,"",COUNTIF($T$3:T428,"&gt;0")),"")</f>
        <v>0</v>
      </c>
      <c r="V428" t="str">
        <f t="shared" si="96"/>
        <v/>
      </c>
      <c r="W428" t="e">
        <f t="shared" si="97"/>
        <v>#VALUE!</v>
      </c>
      <c r="X428">
        <f>'OTHER PLANT ATTN.'!C:C</f>
        <v>0</v>
      </c>
      <c r="Y428" t="e">
        <f>Table1[[#This Row],[CATEGORY ]]</f>
        <v>#VALUE!</v>
      </c>
      <c r="Z428" t="e">
        <f>Table1[[#This Row],[PLANT]]</f>
        <v>#VALUE!</v>
      </c>
    </row>
    <row r="429" spans="1:26">
      <c r="A429" t="e">
        <f t="shared" si="91"/>
        <v>#VALUE!</v>
      </c>
      <c r="B429" t="e">
        <f>Table4[[#This Row],[CATEGORY]]</f>
        <v>#VALUE!</v>
      </c>
      <c r="C429" t="e">
        <f>Table4[[#This Row],[SUB-CATEGORY]]</f>
        <v>#VALUE!</v>
      </c>
      <c r="D429">
        <f>'RJ ATTENDENCE SHEET'!C:C</f>
        <v>0</v>
      </c>
      <c r="E429" t="e">
        <f t="shared" si="90"/>
        <v>#VALUE!</v>
      </c>
      <c r="F429" t="str">
        <f t="shared" si="98"/>
        <v/>
      </c>
      <c r="G429">
        <f>IFERROR(IF(F429=0,"",COUNTIF($F$3:F429,"&gt;0")),"")</f>
        <v>16</v>
      </c>
      <c r="H429" t="str">
        <f t="shared" si="92"/>
        <v/>
      </c>
      <c r="I429" t="str">
        <f t="shared" si="99"/>
        <v/>
      </c>
      <c r="J429">
        <f>IFERROR(IF(I429=0,"",COUNTIF($I$3:I429,"&gt;0")),"")</f>
        <v>34</v>
      </c>
      <c r="K429" t="str">
        <f t="shared" si="93"/>
        <v/>
      </c>
      <c r="L429" t="str">
        <f t="shared" si="100"/>
        <v/>
      </c>
      <c r="M429" t="str">
        <f t="shared" si="101"/>
        <v/>
      </c>
      <c r="N429">
        <f>IFERROR(IF(M429=0,"",COUNTIF($M$3:M429,"&gt;0")),"")</f>
        <v>33</v>
      </c>
      <c r="O429" t="str">
        <f t="shared" si="94"/>
        <v/>
      </c>
      <c r="P429" t="str">
        <f t="shared" si="102"/>
        <v/>
      </c>
      <c r="Q429" t="str">
        <f t="shared" si="103"/>
        <v/>
      </c>
      <c r="R429">
        <f>IFERROR(IF(Q429=0,"",COUNTIF($Q$3:Q429,"&gt;0")),"")</f>
        <v>16</v>
      </c>
      <c r="S429" t="str">
        <f t="shared" si="95"/>
        <v/>
      </c>
      <c r="T429" t="str">
        <f t="shared" si="104"/>
        <v/>
      </c>
      <c r="U429">
        <f>IFERROR(IF(T429=0,"",COUNTIF($T$3:T429,"&gt;0")),"")</f>
        <v>0</v>
      </c>
      <c r="V429" t="str">
        <f t="shared" si="96"/>
        <v/>
      </c>
      <c r="W429" t="e">
        <f t="shared" si="97"/>
        <v>#VALUE!</v>
      </c>
      <c r="X429">
        <f>'OTHER PLANT ATTN.'!C:C</f>
        <v>0</v>
      </c>
      <c r="Y429" t="e">
        <f>Table1[[#This Row],[CATEGORY ]]</f>
        <v>#VALUE!</v>
      </c>
      <c r="Z429" t="e">
        <f>Table1[[#This Row],[PLANT]]</f>
        <v>#VALUE!</v>
      </c>
    </row>
    <row r="430" spans="1:26">
      <c r="A430" t="e">
        <f t="shared" si="91"/>
        <v>#VALUE!</v>
      </c>
      <c r="B430" t="e">
        <f>Table4[[#This Row],[CATEGORY]]</f>
        <v>#VALUE!</v>
      </c>
      <c r="C430" t="e">
        <f>Table4[[#This Row],[SUB-CATEGORY]]</f>
        <v>#VALUE!</v>
      </c>
      <c r="D430">
        <f>'RJ ATTENDENCE SHEET'!C:C</f>
        <v>0</v>
      </c>
      <c r="E430" t="e">
        <f t="shared" si="90"/>
        <v>#VALUE!</v>
      </c>
      <c r="F430" t="str">
        <f t="shared" si="98"/>
        <v/>
      </c>
      <c r="G430">
        <f>IFERROR(IF(F430=0,"",COUNTIF($F$3:F430,"&gt;0")),"")</f>
        <v>16</v>
      </c>
      <c r="H430" t="str">
        <f t="shared" si="92"/>
        <v/>
      </c>
      <c r="I430" t="str">
        <f t="shared" si="99"/>
        <v/>
      </c>
      <c r="J430">
        <f>IFERROR(IF(I430=0,"",COUNTIF($I$3:I430,"&gt;0")),"")</f>
        <v>34</v>
      </c>
      <c r="K430" t="str">
        <f t="shared" si="93"/>
        <v/>
      </c>
      <c r="L430" t="str">
        <f t="shared" si="100"/>
        <v/>
      </c>
      <c r="M430" t="str">
        <f t="shared" si="101"/>
        <v/>
      </c>
      <c r="N430">
        <f>IFERROR(IF(M430=0,"",COUNTIF($M$3:M430,"&gt;0")),"")</f>
        <v>33</v>
      </c>
      <c r="O430" t="str">
        <f t="shared" si="94"/>
        <v/>
      </c>
      <c r="P430" t="str">
        <f t="shared" si="102"/>
        <v/>
      </c>
      <c r="Q430" t="str">
        <f t="shared" si="103"/>
        <v/>
      </c>
      <c r="R430">
        <f>IFERROR(IF(Q430=0,"",COUNTIF($Q$3:Q430,"&gt;0")),"")</f>
        <v>16</v>
      </c>
      <c r="S430" t="str">
        <f t="shared" si="95"/>
        <v/>
      </c>
      <c r="T430" t="str">
        <f t="shared" si="104"/>
        <v/>
      </c>
      <c r="U430">
        <f>IFERROR(IF(T430=0,"",COUNTIF($T$3:T430,"&gt;0")),"")</f>
        <v>0</v>
      </c>
      <c r="V430" t="str">
        <f t="shared" si="96"/>
        <v/>
      </c>
      <c r="W430" t="e">
        <f t="shared" si="97"/>
        <v>#VALUE!</v>
      </c>
      <c r="X430">
        <f>'OTHER PLANT ATTN.'!C:C</f>
        <v>0</v>
      </c>
      <c r="Y430" t="e">
        <f>Table1[[#This Row],[CATEGORY ]]</f>
        <v>#VALUE!</v>
      </c>
      <c r="Z430" t="e">
        <f>Table1[[#This Row],[PLANT]]</f>
        <v>#VALUE!</v>
      </c>
    </row>
    <row r="431" spans="1:26">
      <c r="A431" t="e">
        <f t="shared" si="91"/>
        <v>#VALUE!</v>
      </c>
      <c r="B431" t="e">
        <f>Table4[[#This Row],[CATEGORY]]</f>
        <v>#VALUE!</v>
      </c>
      <c r="C431" t="e">
        <f>Table4[[#This Row],[SUB-CATEGORY]]</f>
        <v>#VALUE!</v>
      </c>
      <c r="D431">
        <f>'RJ ATTENDENCE SHEET'!C:C</f>
        <v>0</v>
      </c>
      <c r="E431" t="e">
        <f t="shared" si="90"/>
        <v>#VALUE!</v>
      </c>
      <c r="F431" t="str">
        <f t="shared" si="98"/>
        <v/>
      </c>
      <c r="G431">
        <f>IFERROR(IF(F431=0,"",COUNTIF($F$3:F431,"&gt;0")),"")</f>
        <v>16</v>
      </c>
      <c r="H431" t="str">
        <f t="shared" si="92"/>
        <v/>
      </c>
      <c r="I431" t="str">
        <f t="shared" si="99"/>
        <v/>
      </c>
      <c r="J431">
        <f>IFERROR(IF(I431=0,"",COUNTIF($I$3:I431,"&gt;0")),"")</f>
        <v>34</v>
      </c>
      <c r="K431" t="str">
        <f t="shared" si="93"/>
        <v/>
      </c>
      <c r="L431" t="str">
        <f t="shared" si="100"/>
        <v/>
      </c>
      <c r="M431" t="str">
        <f t="shared" si="101"/>
        <v/>
      </c>
      <c r="N431">
        <f>IFERROR(IF(M431=0,"",COUNTIF($M$3:M431,"&gt;0")),"")</f>
        <v>33</v>
      </c>
      <c r="O431" t="str">
        <f t="shared" si="94"/>
        <v/>
      </c>
      <c r="P431" t="str">
        <f t="shared" si="102"/>
        <v/>
      </c>
      <c r="Q431" t="str">
        <f t="shared" si="103"/>
        <v/>
      </c>
      <c r="R431">
        <f>IFERROR(IF(Q431=0,"",COUNTIF($Q$3:Q431,"&gt;0")),"")</f>
        <v>16</v>
      </c>
      <c r="S431" t="str">
        <f t="shared" si="95"/>
        <v/>
      </c>
      <c r="T431" t="str">
        <f t="shared" si="104"/>
        <v/>
      </c>
      <c r="U431">
        <f>IFERROR(IF(T431=0,"",COUNTIF($T$3:T431,"&gt;0")),"")</f>
        <v>0</v>
      </c>
      <c r="V431" t="str">
        <f t="shared" si="96"/>
        <v/>
      </c>
      <c r="W431" t="e">
        <f t="shared" si="97"/>
        <v>#VALUE!</v>
      </c>
      <c r="X431">
        <f>'OTHER PLANT ATTN.'!C:C</f>
        <v>0</v>
      </c>
      <c r="Y431" t="e">
        <f>Table1[[#This Row],[CATEGORY ]]</f>
        <v>#VALUE!</v>
      </c>
      <c r="Z431" t="e">
        <f>Table1[[#This Row],[PLANT]]</f>
        <v>#VALUE!</v>
      </c>
    </row>
    <row r="432" spans="1:26">
      <c r="A432" t="e">
        <f t="shared" si="91"/>
        <v>#VALUE!</v>
      </c>
      <c r="B432" t="e">
        <f>Table4[[#This Row],[CATEGORY]]</f>
        <v>#VALUE!</v>
      </c>
      <c r="C432" t="e">
        <f>Table4[[#This Row],[SUB-CATEGORY]]</f>
        <v>#VALUE!</v>
      </c>
      <c r="D432">
        <f>'RJ ATTENDENCE SHEET'!C:C</f>
        <v>0</v>
      </c>
      <c r="E432" t="e">
        <f t="shared" si="90"/>
        <v>#VALUE!</v>
      </c>
      <c r="F432" t="str">
        <f t="shared" si="98"/>
        <v/>
      </c>
      <c r="G432">
        <f>IFERROR(IF(F432=0,"",COUNTIF($F$3:F432,"&gt;0")),"")</f>
        <v>16</v>
      </c>
      <c r="H432" t="str">
        <f t="shared" si="92"/>
        <v/>
      </c>
      <c r="I432" t="str">
        <f t="shared" si="99"/>
        <v/>
      </c>
      <c r="J432">
        <f>IFERROR(IF(I432=0,"",COUNTIF($I$3:I432,"&gt;0")),"")</f>
        <v>34</v>
      </c>
      <c r="K432" t="str">
        <f t="shared" si="93"/>
        <v/>
      </c>
      <c r="L432" t="str">
        <f t="shared" si="100"/>
        <v/>
      </c>
      <c r="M432" t="str">
        <f t="shared" si="101"/>
        <v/>
      </c>
      <c r="N432">
        <f>IFERROR(IF(M432=0,"",COUNTIF($M$3:M432,"&gt;0")),"")</f>
        <v>33</v>
      </c>
      <c r="O432" t="str">
        <f t="shared" si="94"/>
        <v/>
      </c>
      <c r="P432" t="str">
        <f t="shared" si="102"/>
        <v/>
      </c>
      <c r="Q432" t="str">
        <f t="shared" si="103"/>
        <v/>
      </c>
      <c r="R432">
        <f>IFERROR(IF(Q432=0,"",COUNTIF($Q$3:Q432,"&gt;0")),"")</f>
        <v>16</v>
      </c>
      <c r="S432" t="str">
        <f t="shared" si="95"/>
        <v/>
      </c>
      <c r="T432" t="str">
        <f t="shared" si="104"/>
        <v/>
      </c>
      <c r="U432">
        <f>IFERROR(IF(T432=0,"",COUNTIF($T$3:T432,"&gt;0")),"")</f>
        <v>0</v>
      </c>
      <c r="V432" t="str">
        <f t="shared" si="96"/>
        <v/>
      </c>
      <c r="W432" t="e">
        <f t="shared" si="97"/>
        <v>#VALUE!</v>
      </c>
      <c r="X432">
        <f>'OTHER PLANT ATTN.'!C:C</f>
        <v>0</v>
      </c>
      <c r="Y432" t="e">
        <f>Table1[[#This Row],[CATEGORY ]]</f>
        <v>#VALUE!</v>
      </c>
      <c r="Z432" t="e">
        <f>Table1[[#This Row],[PLANT]]</f>
        <v>#VALUE!</v>
      </c>
    </row>
    <row r="433" spans="1:26">
      <c r="A433" t="e">
        <f t="shared" si="91"/>
        <v>#VALUE!</v>
      </c>
      <c r="B433" t="e">
        <f>Table4[[#This Row],[CATEGORY]]</f>
        <v>#VALUE!</v>
      </c>
      <c r="C433" t="e">
        <f>Table4[[#This Row],[SUB-CATEGORY]]</f>
        <v>#VALUE!</v>
      </c>
      <c r="D433">
        <f>'RJ ATTENDENCE SHEET'!C:C</f>
        <v>0</v>
      </c>
      <c r="E433" t="e">
        <f t="shared" si="90"/>
        <v>#VALUE!</v>
      </c>
      <c r="F433" t="str">
        <f t="shared" si="98"/>
        <v/>
      </c>
      <c r="G433">
        <f>IFERROR(IF(F433=0,"",COUNTIF($F$3:F433,"&gt;0")),"")</f>
        <v>16</v>
      </c>
      <c r="H433" t="str">
        <f t="shared" si="92"/>
        <v/>
      </c>
      <c r="I433" t="str">
        <f t="shared" si="99"/>
        <v/>
      </c>
      <c r="J433">
        <f>IFERROR(IF(I433=0,"",COUNTIF($I$3:I433,"&gt;0")),"")</f>
        <v>34</v>
      </c>
      <c r="K433" t="str">
        <f t="shared" si="93"/>
        <v/>
      </c>
      <c r="L433" t="str">
        <f t="shared" si="100"/>
        <v/>
      </c>
      <c r="M433" t="str">
        <f t="shared" si="101"/>
        <v/>
      </c>
      <c r="N433">
        <f>IFERROR(IF(M433=0,"",COUNTIF($M$3:M433,"&gt;0")),"")</f>
        <v>33</v>
      </c>
      <c r="O433" t="str">
        <f t="shared" si="94"/>
        <v/>
      </c>
      <c r="P433" t="str">
        <f t="shared" si="102"/>
        <v/>
      </c>
      <c r="Q433" t="str">
        <f t="shared" si="103"/>
        <v/>
      </c>
      <c r="R433">
        <f>IFERROR(IF(Q433=0,"",COUNTIF($Q$3:Q433,"&gt;0")),"")</f>
        <v>16</v>
      </c>
      <c r="S433" t="str">
        <f t="shared" si="95"/>
        <v/>
      </c>
      <c r="T433" t="str">
        <f t="shared" si="104"/>
        <v/>
      </c>
      <c r="U433">
        <f>IFERROR(IF(T433=0,"",COUNTIF($T$3:T433,"&gt;0")),"")</f>
        <v>0</v>
      </c>
      <c r="V433" t="str">
        <f t="shared" si="96"/>
        <v/>
      </c>
      <c r="W433" t="e">
        <f t="shared" si="97"/>
        <v>#VALUE!</v>
      </c>
      <c r="X433">
        <f>'OTHER PLANT ATTN.'!C:C</f>
        <v>0</v>
      </c>
      <c r="Y433" t="e">
        <f>Table1[[#This Row],[CATEGORY ]]</f>
        <v>#VALUE!</v>
      </c>
      <c r="Z433" t="e">
        <f>Table1[[#This Row],[PLANT]]</f>
        <v>#VALUE!</v>
      </c>
    </row>
    <row r="434" spans="1:26">
      <c r="A434" t="e">
        <f t="shared" si="91"/>
        <v>#VALUE!</v>
      </c>
      <c r="B434" t="e">
        <f>Table4[[#This Row],[CATEGORY]]</f>
        <v>#VALUE!</v>
      </c>
      <c r="C434" t="e">
        <f>Table4[[#This Row],[SUB-CATEGORY]]</f>
        <v>#VALUE!</v>
      </c>
      <c r="D434">
        <f>'RJ ATTENDENCE SHEET'!C:C</f>
        <v>0</v>
      </c>
      <c r="E434" t="e">
        <f t="shared" si="90"/>
        <v>#VALUE!</v>
      </c>
      <c r="F434" t="str">
        <f t="shared" si="98"/>
        <v/>
      </c>
      <c r="G434">
        <f>IFERROR(IF(F434=0,"",COUNTIF($F$3:F434,"&gt;0")),"")</f>
        <v>16</v>
      </c>
      <c r="H434" t="str">
        <f t="shared" si="92"/>
        <v/>
      </c>
      <c r="I434" t="str">
        <f t="shared" si="99"/>
        <v/>
      </c>
      <c r="J434">
        <f>IFERROR(IF(I434=0,"",COUNTIF($I$3:I434,"&gt;0")),"")</f>
        <v>34</v>
      </c>
      <c r="K434" t="str">
        <f t="shared" si="93"/>
        <v/>
      </c>
      <c r="L434" t="str">
        <f t="shared" si="100"/>
        <v/>
      </c>
      <c r="M434" t="str">
        <f t="shared" si="101"/>
        <v/>
      </c>
      <c r="N434">
        <f>IFERROR(IF(M434=0,"",COUNTIF($M$3:M434,"&gt;0")),"")</f>
        <v>33</v>
      </c>
      <c r="O434" t="str">
        <f t="shared" si="94"/>
        <v/>
      </c>
      <c r="P434" t="str">
        <f t="shared" si="102"/>
        <v/>
      </c>
      <c r="Q434" t="str">
        <f t="shared" si="103"/>
        <v/>
      </c>
      <c r="R434">
        <f>IFERROR(IF(Q434=0,"",COUNTIF($Q$3:Q434,"&gt;0")),"")</f>
        <v>16</v>
      </c>
      <c r="S434" t="str">
        <f t="shared" si="95"/>
        <v/>
      </c>
      <c r="T434" t="str">
        <f t="shared" si="104"/>
        <v/>
      </c>
      <c r="U434">
        <f>IFERROR(IF(T434=0,"",COUNTIF($T$3:T434,"&gt;0")),"")</f>
        <v>0</v>
      </c>
      <c r="V434" t="str">
        <f t="shared" si="96"/>
        <v/>
      </c>
      <c r="W434" t="e">
        <f t="shared" si="97"/>
        <v>#VALUE!</v>
      </c>
      <c r="X434">
        <f>'OTHER PLANT ATTN.'!C:C</f>
        <v>0</v>
      </c>
      <c r="Y434" t="e">
        <f>Table1[[#This Row],[CATEGORY ]]</f>
        <v>#VALUE!</v>
      </c>
      <c r="Z434" t="e">
        <f>Table1[[#This Row],[PLANT]]</f>
        <v>#VALUE!</v>
      </c>
    </row>
    <row r="435" spans="1:26">
      <c r="A435" t="e">
        <f t="shared" si="91"/>
        <v>#VALUE!</v>
      </c>
      <c r="B435" t="e">
        <f>Table4[[#This Row],[CATEGORY]]</f>
        <v>#VALUE!</v>
      </c>
      <c r="C435" t="e">
        <f>Table4[[#This Row],[SUB-CATEGORY]]</f>
        <v>#VALUE!</v>
      </c>
      <c r="D435">
        <f>'RJ ATTENDENCE SHEET'!C:C</f>
        <v>0</v>
      </c>
      <c r="E435" t="e">
        <f t="shared" si="90"/>
        <v>#VALUE!</v>
      </c>
      <c r="F435" t="str">
        <f t="shared" si="98"/>
        <v/>
      </c>
      <c r="G435">
        <f>IFERROR(IF(F435=0,"",COUNTIF($F$3:F435,"&gt;0")),"")</f>
        <v>16</v>
      </c>
      <c r="H435" t="str">
        <f t="shared" si="92"/>
        <v/>
      </c>
      <c r="I435" t="str">
        <f t="shared" si="99"/>
        <v/>
      </c>
      <c r="J435">
        <f>IFERROR(IF(I435=0,"",COUNTIF($I$3:I435,"&gt;0")),"")</f>
        <v>34</v>
      </c>
      <c r="K435" t="str">
        <f t="shared" si="93"/>
        <v/>
      </c>
      <c r="L435" t="str">
        <f t="shared" si="100"/>
        <v/>
      </c>
      <c r="M435" t="str">
        <f t="shared" si="101"/>
        <v/>
      </c>
      <c r="N435">
        <f>IFERROR(IF(M435=0,"",COUNTIF($M$3:M435,"&gt;0")),"")</f>
        <v>33</v>
      </c>
      <c r="O435" t="str">
        <f t="shared" si="94"/>
        <v/>
      </c>
      <c r="P435" t="str">
        <f t="shared" si="102"/>
        <v/>
      </c>
      <c r="Q435" t="str">
        <f t="shared" si="103"/>
        <v/>
      </c>
      <c r="R435">
        <f>IFERROR(IF(Q435=0,"",COUNTIF($Q$3:Q435,"&gt;0")),"")</f>
        <v>16</v>
      </c>
      <c r="S435" t="str">
        <f t="shared" si="95"/>
        <v/>
      </c>
      <c r="T435" t="str">
        <f t="shared" si="104"/>
        <v/>
      </c>
      <c r="U435">
        <f>IFERROR(IF(T435=0,"",COUNTIF($T$3:T435,"&gt;0")),"")</f>
        <v>0</v>
      </c>
      <c r="V435" t="str">
        <f t="shared" si="96"/>
        <v/>
      </c>
      <c r="W435" t="e">
        <f t="shared" si="97"/>
        <v>#VALUE!</v>
      </c>
      <c r="X435">
        <f>'OTHER PLANT ATTN.'!C:C</f>
        <v>0</v>
      </c>
      <c r="Y435" t="e">
        <f>Table1[[#This Row],[CATEGORY ]]</f>
        <v>#VALUE!</v>
      </c>
      <c r="Z435" t="e">
        <f>Table1[[#This Row],[PLANT]]</f>
        <v>#VALUE!</v>
      </c>
    </row>
    <row r="436" spans="1:26">
      <c r="A436" t="e">
        <f t="shared" si="91"/>
        <v>#VALUE!</v>
      </c>
      <c r="B436" t="e">
        <f>Table4[[#This Row],[CATEGORY]]</f>
        <v>#VALUE!</v>
      </c>
      <c r="C436" t="e">
        <f>Table4[[#This Row],[SUB-CATEGORY]]</f>
        <v>#VALUE!</v>
      </c>
      <c r="D436">
        <f>'RJ ATTENDENCE SHEET'!C:C</f>
        <v>0</v>
      </c>
      <c r="E436" t="e">
        <f t="shared" si="90"/>
        <v>#VALUE!</v>
      </c>
      <c r="F436" t="str">
        <f t="shared" si="98"/>
        <v/>
      </c>
      <c r="G436">
        <f>IFERROR(IF(F436=0,"",COUNTIF($F$3:F436,"&gt;0")),"")</f>
        <v>16</v>
      </c>
      <c r="H436" t="str">
        <f t="shared" si="92"/>
        <v/>
      </c>
      <c r="I436" t="str">
        <f t="shared" si="99"/>
        <v/>
      </c>
      <c r="J436">
        <f>IFERROR(IF(I436=0,"",COUNTIF($I$3:I436,"&gt;0")),"")</f>
        <v>34</v>
      </c>
      <c r="K436" t="str">
        <f t="shared" si="93"/>
        <v/>
      </c>
      <c r="L436" t="str">
        <f t="shared" si="100"/>
        <v/>
      </c>
      <c r="M436" t="str">
        <f t="shared" si="101"/>
        <v/>
      </c>
      <c r="N436">
        <f>IFERROR(IF(M436=0,"",COUNTIF($M$3:M436,"&gt;0")),"")</f>
        <v>33</v>
      </c>
      <c r="O436" t="str">
        <f t="shared" si="94"/>
        <v/>
      </c>
      <c r="P436" t="str">
        <f t="shared" si="102"/>
        <v/>
      </c>
      <c r="Q436" t="str">
        <f t="shared" si="103"/>
        <v/>
      </c>
      <c r="R436">
        <f>IFERROR(IF(Q436=0,"",COUNTIF($Q$3:Q436,"&gt;0")),"")</f>
        <v>16</v>
      </c>
      <c r="S436" t="str">
        <f t="shared" si="95"/>
        <v/>
      </c>
      <c r="T436" t="str">
        <f t="shared" si="104"/>
        <v/>
      </c>
      <c r="U436">
        <f>IFERROR(IF(T436=0,"",COUNTIF($T$3:T436,"&gt;0")),"")</f>
        <v>0</v>
      </c>
      <c r="V436" t="str">
        <f t="shared" si="96"/>
        <v/>
      </c>
      <c r="W436" t="e">
        <f t="shared" si="97"/>
        <v>#VALUE!</v>
      </c>
      <c r="X436">
        <f>'OTHER PLANT ATTN.'!C:C</f>
        <v>0</v>
      </c>
      <c r="Y436" t="e">
        <f>Table1[[#This Row],[CATEGORY ]]</f>
        <v>#VALUE!</v>
      </c>
      <c r="Z436" t="e">
        <f>Table1[[#This Row],[PLANT]]</f>
        <v>#VALUE!</v>
      </c>
    </row>
    <row r="437" spans="1:26">
      <c r="A437" t="e">
        <f t="shared" si="91"/>
        <v>#VALUE!</v>
      </c>
      <c r="B437" t="e">
        <f>Table4[[#This Row],[CATEGORY]]</f>
        <v>#VALUE!</v>
      </c>
      <c r="C437" t="e">
        <f>Table4[[#This Row],[SUB-CATEGORY]]</f>
        <v>#VALUE!</v>
      </c>
      <c r="D437">
        <f>'RJ ATTENDENCE SHEET'!C:C</f>
        <v>0</v>
      </c>
      <c r="E437" t="e">
        <f t="shared" si="90"/>
        <v>#VALUE!</v>
      </c>
      <c r="F437" t="str">
        <f t="shared" si="98"/>
        <v/>
      </c>
      <c r="G437">
        <f>IFERROR(IF(F437=0,"",COUNTIF($F$3:F437,"&gt;0")),"")</f>
        <v>16</v>
      </c>
      <c r="H437" t="str">
        <f t="shared" si="92"/>
        <v/>
      </c>
      <c r="I437" t="str">
        <f t="shared" si="99"/>
        <v/>
      </c>
      <c r="J437">
        <f>IFERROR(IF(I437=0,"",COUNTIF($I$3:I437,"&gt;0")),"")</f>
        <v>34</v>
      </c>
      <c r="K437" t="str">
        <f t="shared" si="93"/>
        <v/>
      </c>
      <c r="L437" t="str">
        <f t="shared" si="100"/>
        <v/>
      </c>
      <c r="M437" t="str">
        <f t="shared" si="101"/>
        <v/>
      </c>
      <c r="N437">
        <f>IFERROR(IF(M437=0,"",COUNTIF($M$3:M437,"&gt;0")),"")</f>
        <v>33</v>
      </c>
      <c r="O437" t="str">
        <f t="shared" si="94"/>
        <v/>
      </c>
      <c r="P437" t="str">
        <f t="shared" si="102"/>
        <v/>
      </c>
      <c r="Q437" t="str">
        <f t="shared" si="103"/>
        <v/>
      </c>
      <c r="R437">
        <f>IFERROR(IF(Q437=0,"",COUNTIF($Q$3:Q437,"&gt;0")),"")</f>
        <v>16</v>
      </c>
      <c r="S437" t="str">
        <f t="shared" si="95"/>
        <v/>
      </c>
      <c r="T437" t="str">
        <f t="shared" si="104"/>
        <v/>
      </c>
      <c r="U437">
        <f>IFERROR(IF(T437=0,"",COUNTIF($T$3:T437,"&gt;0")),"")</f>
        <v>0</v>
      </c>
      <c r="V437" t="str">
        <f t="shared" si="96"/>
        <v/>
      </c>
      <c r="W437" t="e">
        <f t="shared" si="97"/>
        <v>#VALUE!</v>
      </c>
      <c r="X437">
        <f>'OTHER PLANT ATTN.'!C:C</f>
        <v>0</v>
      </c>
      <c r="Y437" t="e">
        <f>Table1[[#This Row],[CATEGORY ]]</f>
        <v>#VALUE!</v>
      </c>
      <c r="Z437" t="e">
        <f>Table1[[#This Row],[PLANT]]</f>
        <v>#VALUE!</v>
      </c>
    </row>
    <row r="438" spans="1:26">
      <c r="A438" t="e">
        <f t="shared" si="91"/>
        <v>#VALUE!</v>
      </c>
      <c r="B438" t="e">
        <f>Table4[[#This Row],[CATEGORY]]</f>
        <v>#VALUE!</v>
      </c>
      <c r="C438" t="e">
        <f>Table4[[#This Row],[SUB-CATEGORY]]</f>
        <v>#VALUE!</v>
      </c>
      <c r="D438">
        <f>'RJ ATTENDENCE SHEET'!C:C</f>
        <v>0</v>
      </c>
      <c r="E438" t="e">
        <f t="shared" si="90"/>
        <v>#VALUE!</v>
      </c>
      <c r="F438" t="str">
        <f t="shared" si="98"/>
        <v/>
      </c>
      <c r="G438">
        <f>IFERROR(IF(F438=0,"",COUNTIF($F$3:F438,"&gt;0")),"")</f>
        <v>16</v>
      </c>
      <c r="H438" t="str">
        <f t="shared" si="92"/>
        <v/>
      </c>
      <c r="I438" t="str">
        <f t="shared" si="99"/>
        <v/>
      </c>
      <c r="J438">
        <f>IFERROR(IF(I438=0,"",COUNTIF($I$3:I438,"&gt;0")),"")</f>
        <v>34</v>
      </c>
      <c r="K438" t="str">
        <f t="shared" si="93"/>
        <v/>
      </c>
      <c r="L438" t="str">
        <f t="shared" si="100"/>
        <v/>
      </c>
      <c r="M438" t="str">
        <f t="shared" si="101"/>
        <v/>
      </c>
      <c r="N438">
        <f>IFERROR(IF(M438=0,"",COUNTIF($M$3:M438,"&gt;0")),"")</f>
        <v>33</v>
      </c>
      <c r="O438" t="str">
        <f t="shared" si="94"/>
        <v/>
      </c>
      <c r="P438" t="str">
        <f t="shared" si="102"/>
        <v/>
      </c>
      <c r="Q438" t="str">
        <f t="shared" si="103"/>
        <v/>
      </c>
      <c r="R438">
        <f>IFERROR(IF(Q438=0,"",COUNTIF($Q$3:Q438,"&gt;0")),"")</f>
        <v>16</v>
      </c>
      <c r="S438" t="str">
        <f t="shared" si="95"/>
        <v/>
      </c>
      <c r="T438" t="str">
        <f t="shared" si="104"/>
        <v/>
      </c>
      <c r="U438">
        <f>IFERROR(IF(T438=0,"",COUNTIF($T$3:T438,"&gt;0")),"")</f>
        <v>0</v>
      </c>
      <c r="V438" t="str">
        <f t="shared" si="96"/>
        <v/>
      </c>
      <c r="W438" t="e">
        <f t="shared" si="97"/>
        <v>#VALUE!</v>
      </c>
      <c r="X438">
        <f>'OTHER PLANT ATTN.'!C:C</f>
        <v>0</v>
      </c>
      <c r="Y438" t="e">
        <f>Table1[[#This Row],[CATEGORY ]]</f>
        <v>#VALUE!</v>
      </c>
      <c r="Z438" t="e">
        <f>Table1[[#This Row],[PLANT]]</f>
        <v>#VALUE!</v>
      </c>
    </row>
    <row r="439" spans="1:26">
      <c r="A439" t="e">
        <f t="shared" si="91"/>
        <v>#VALUE!</v>
      </c>
      <c r="B439" t="e">
        <f>Table4[[#This Row],[CATEGORY]]</f>
        <v>#VALUE!</v>
      </c>
      <c r="C439" t="e">
        <f>Table4[[#This Row],[SUB-CATEGORY]]</f>
        <v>#VALUE!</v>
      </c>
      <c r="D439">
        <f>'RJ ATTENDENCE SHEET'!C:C</f>
        <v>0</v>
      </c>
      <c r="E439" t="e">
        <f t="shared" si="90"/>
        <v>#VALUE!</v>
      </c>
      <c r="F439" t="str">
        <f t="shared" si="98"/>
        <v/>
      </c>
      <c r="G439">
        <f>IFERROR(IF(F439=0,"",COUNTIF($F$3:F439,"&gt;0")),"")</f>
        <v>16</v>
      </c>
      <c r="H439" t="str">
        <f t="shared" si="92"/>
        <v/>
      </c>
      <c r="I439" t="str">
        <f t="shared" si="99"/>
        <v/>
      </c>
      <c r="J439">
        <f>IFERROR(IF(I439=0,"",COUNTIF($I$3:I439,"&gt;0")),"")</f>
        <v>34</v>
      </c>
      <c r="K439" t="str">
        <f t="shared" si="93"/>
        <v/>
      </c>
      <c r="L439" t="str">
        <f t="shared" si="100"/>
        <v/>
      </c>
      <c r="M439" t="str">
        <f t="shared" si="101"/>
        <v/>
      </c>
      <c r="N439">
        <f>IFERROR(IF(M439=0,"",COUNTIF($M$3:M439,"&gt;0")),"")</f>
        <v>33</v>
      </c>
      <c r="O439" t="str">
        <f t="shared" si="94"/>
        <v/>
      </c>
      <c r="P439" t="str">
        <f t="shared" si="102"/>
        <v/>
      </c>
      <c r="Q439" t="str">
        <f t="shared" si="103"/>
        <v/>
      </c>
      <c r="R439">
        <f>IFERROR(IF(Q439=0,"",COUNTIF($Q$3:Q439,"&gt;0")),"")</f>
        <v>16</v>
      </c>
      <c r="S439" t="str">
        <f t="shared" si="95"/>
        <v/>
      </c>
      <c r="T439" t="str">
        <f t="shared" si="104"/>
        <v/>
      </c>
      <c r="U439">
        <f>IFERROR(IF(T439=0,"",COUNTIF($T$3:T439,"&gt;0")),"")</f>
        <v>0</v>
      </c>
      <c r="V439" t="str">
        <f t="shared" si="96"/>
        <v/>
      </c>
    </row>
    <row r="440" spans="1:26">
      <c r="A440" t="e">
        <f t="shared" si="91"/>
        <v>#VALUE!</v>
      </c>
      <c r="B440" t="e">
        <f>Table4[[#This Row],[CATEGORY]]</f>
        <v>#VALUE!</v>
      </c>
      <c r="C440" t="e">
        <f>Table4[[#This Row],[SUB-CATEGORY]]</f>
        <v>#VALUE!</v>
      </c>
      <c r="D440">
        <f>'RJ ATTENDENCE SHEET'!C:C</f>
        <v>0</v>
      </c>
      <c r="E440" t="e">
        <f t="shared" si="90"/>
        <v>#VALUE!</v>
      </c>
      <c r="F440" t="str">
        <f t="shared" si="98"/>
        <v/>
      </c>
      <c r="G440">
        <f>IFERROR(IF(F440=0,"",COUNTIF($F$3:F440,"&gt;0")),"")</f>
        <v>16</v>
      </c>
      <c r="H440" t="str">
        <f t="shared" si="92"/>
        <v/>
      </c>
      <c r="I440" t="str">
        <f t="shared" si="99"/>
        <v/>
      </c>
      <c r="J440">
        <f>IFERROR(IF(I440=0,"",COUNTIF($I$3:I440,"&gt;0")),"")</f>
        <v>34</v>
      </c>
      <c r="K440" t="str">
        <f t="shared" si="93"/>
        <v/>
      </c>
      <c r="L440" t="str">
        <f t="shared" si="100"/>
        <v/>
      </c>
      <c r="M440" t="str">
        <f t="shared" si="101"/>
        <v/>
      </c>
      <c r="N440">
        <f>IFERROR(IF(M440=0,"",COUNTIF($M$3:M440,"&gt;0")),"")</f>
        <v>33</v>
      </c>
      <c r="O440" t="str">
        <f t="shared" si="94"/>
        <v/>
      </c>
      <c r="P440" t="str">
        <f t="shared" si="102"/>
        <v/>
      </c>
      <c r="Q440" t="str">
        <f t="shared" si="103"/>
        <v/>
      </c>
      <c r="R440">
        <f>IFERROR(IF(Q440=0,"",COUNTIF($Q$3:Q440,"&gt;0")),"")</f>
        <v>16</v>
      </c>
      <c r="S440" t="str">
        <f t="shared" si="95"/>
        <v/>
      </c>
      <c r="T440" t="str">
        <f t="shared" si="104"/>
        <v/>
      </c>
      <c r="U440">
        <f>IFERROR(IF(T440=0,"",COUNTIF($T$3:T440,"&gt;0")),"")</f>
        <v>0</v>
      </c>
      <c r="V440" t="str">
        <f t="shared" si="96"/>
        <v/>
      </c>
    </row>
    <row r="441" spans="1:26">
      <c r="A441" t="e">
        <f t="shared" si="91"/>
        <v>#VALUE!</v>
      </c>
      <c r="B441" t="e">
        <f>Table4[[#This Row],[CATEGORY]]</f>
        <v>#VALUE!</v>
      </c>
      <c r="C441" t="e">
        <f>Table4[[#This Row],[SUB-CATEGORY]]</f>
        <v>#VALUE!</v>
      </c>
      <c r="D441">
        <f>'RJ ATTENDENCE SHEET'!C:C</f>
        <v>0</v>
      </c>
      <c r="E441" t="e">
        <f t="shared" si="90"/>
        <v>#VALUE!</v>
      </c>
      <c r="F441" t="str">
        <f t="shared" si="98"/>
        <v/>
      </c>
      <c r="G441">
        <f>IFERROR(IF(F441=0,"",COUNTIF($F$3:F441,"&gt;0")),"")</f>
        <v>16</v>
      </c>
      <c r="H441" t="str">
        <f t="shared" si="92"/>
        <v/>
      </c>
      <c r="I441" t="str">
        <f t="shared" si="99"/>
        <v/>
      </c>
      <c r="J441">
        <f>IFERROR(IF(I441=0,"",COUNTIF($I$3:I441,"&gt;0")),"")</f>
        <v>34</v>
      </c>
      <c r="K441" t="str">
        <f t="shared" si="93"/>
        <v/>
      </c>
      <c r="L441" t="str">
        <f t="shared" si="100"/>
        <v/>
      </c>
      <c r="M441" t="str">
        <f t="shared" si="101"/>
        <v/>
      </c>
      <c r="N441">
        <f>IFERROR(IF(M441=0,"",COUNTIF($M$3:M441,"&gt;0")),"")</f>
        <v>33</v>
      </c>
      <c r="O441" t="str">
        <f t="shared" si="94"/>
        <v/>
      </c>
      <c r="P441" t="str">
        <f t="shared" si="102"/>
        <v/>
      </c>
      <c r="Q441" t="str">
        <f t="shared" si="103"/>
        <v/>
      </c>
      <c r="R441">
        <f>IFERROR(IF(Q441=0,"",COUNTIF($Q$3:Q441,"&gt;0")),"")</f>
        <v>16</v>
      </c>
      <c r="S441" t="str">
        <f t="shared" si="95"/>
        <v/>
      </c>
      <c r="T441" t="str">
        <f t="shared" si="104"/>
        <v/>
      </c>
      <c r="U441">
        <f>IFERROR(IF(T441=0,"",COUNTIF($T$3:T441,"&gt;0")),"")</f>
        <v>0</v>
      </c>
      <c r="V441" t="str">
        <f t="shared" si="96"/>
        <v/>
      </c>
    </row>
    <row r="442" spans="1:26">
      <c r="A442" t="e">
        <f t="shared" si="91"/>
        <v>#VALUE!</v>
      </c>
      <c r="B442" t="e">
        <f>Table4[[#This Row],[CATEGORY]]</f>
        <v>#VALUE!</v>
      </c>
      <c r="C442" t="e">
        <f>Table4[[#This Row],[SUB-CATEGORY]]</f>
        <v>#VALUE!</v>
      </c>
      <c r="D442">
        <f>'RJ ATTENDENCE SHEET'!C:C</f>
        <v>0</v>
      </c>
      <c r="E442" t="e">
        <f t="shared" si="90"/>
        <v>#VALUE!</v>
      </c>
      <c r="F442" t="str">
        <f t="shared" si="98"/>
        <v/>
      </c>
      <c r="G442">
        <f>IFERROR(IF(F442=0,"",COUNTIF($F$3:F442,"&gt;0")),"")</f>
        <v>16</v>
      </c>
      <c r="H442" t="str">
        <f t="shared" si="92"/>
        <v/>
      </c>
      <c r="I442" t="str">
        <f t="shared" si="99"/>
        <v/>
      </c>
      <c r="J442">
        <f>IFERROR(IF(I442=0,"",COUNTIF($I$3:I442,"&gt;0")),"")</f>
        <v>34</v>
      </c>
      <c r="K442" t="str">
        <f t="shared" si="93"/>
        <v/>
      </c>
      <c r="L442" t="str">
        <f t="shared" si="100"/>
        <v/>
      </c>
      <c r="M442" t="str">
        <f t="shared" si="101"/>
        <v/>
      </c>
      <c r="N442">
        <f>IFERROR(IF(M442=0,"",COUNTIF($M$3:M442,"&gt;0")),"")</f>
        <v>33</v>
      </c>
      <c r="O442" t="str">
        <f t="shared" si="94"/>
        <v/>
      </c>
      <c r="P442" t="str">
        <f t="shared" si="102"/>
        <v/>
      </c>
      <c r="Q442" t="str">
        <f t="shared" si="103"/>
        <v/>
      </c>
      <c r="R442">
        <f>IFERROR(IF(Q442=0,"",COUNTIF($Q$3:Q442,"&gt;0")),"")</f>
        <v>16</v>
      </c>
      <c r="S442" t="str">
        <f t="shared" si="95"/>
        <v/>
      </c>
      <c r="T442" t="str">
        <f t="shared" si="104"/>
        <v/>
      </c>
      <c r="U442">
        <f>IFERROR(IF(T442=0,"",COUNTIF($T$3:T442,"&gt;0")),"")</f>
        <v>0</v>
      </c>
      <c r="V442" t="str">
        <f t="shared" si="96"/>
        <v/>
      </c>
    </row>
    <row r="443" spans="1:26">
      <c r="A443" t="e">
        <f t="shared" si="91"/>
        <v>#VALUE!</v>
      </c>
      <c r="B443" t="e">
        <f>Table4[[#This Row],[CATEGORY]]</f>
        <v>#VALUE!</v>
      </c>
      <c r="C443" t="e">
        <f>Table4[[#This Row],[SUB-CATEGORY]]</f>
        <v>#VALUE!</v>
      </c>
      <c r="D443">
        <f>'RJ ATTENDENCE SHEET'!C:C</f>
        <v>0</v>
      </c>
      <c r="E443" t="e">
        <f t="shared" si="90"/>
        <v>#VALUE!</v>
      </c>
      <c r="F443" t="str">
        <f t="shared" si="98"/>
        <v/>
      </c>
      <c r="G443">
        <f>IFERROR(IF(F443=0,"",COUNTIF($F$3:F443,"&gt;0")),"")</f>
        <v>16</v>
      </c>
      <c r="H443" t="str">
        <f t="shared" si="92"/>
        <v/>
      </c>
      <c r="I443" t="str">
        <f t="shared" si="99"/>
        <v/>
      </c>
      <c r="J443">
        <f>IFERROR(IF(I443=0,"",COUNTIF($I$3:I443,"&gt;0")),"")</f>
        <v>34</v>
      </c>
      <c r="K443" t="str">
        <f t="shared" si="93"/>
        <v/>
      </c>
      <c r="L443" t="str">
        <f t="shared" si="100"/>
        <v/>
      </c>
      <c r="M443" t="str">
        <f t="shared" si="101"/>
        <v/>
      </c>
      <c r="N443">
        <f>IFERROR(IF(M443=0,"",COUNTIF($M$3:M443,"&gt;0")),"")</f>
        <v>33</v>
      </c>
      <c r="O443" t="str">
        <f t="shared" si="94"/>
        <v/>
      </c>
      <c r="P443" t="str">
        <f t="shared" si="102"/>
        <v/>
      </c>
      <c r="Q443" t="str">
        <f t="shared" si="103"/>
        <v/>
      </c>
      <c r="R443">
        <f>IFERROR(IF(Q443=0,"",COUNTIF($Q$3:Q443,"&gt;0")),"")</f>
        <v>16</v>
      </c>
      <c r="S443" t="str">
        <f t="shared" si="95"/>
        <v/>
      </c>
      <c r="T443" t="str">
        <f t="shared" si="104"/>
        <v/>
      </c>
      <c r="U443">
        <f>IFERROR(IF(T443=0,"",COUNTIF($T$3:T443,"&gt;0")),"")</f>
        <v>0</v>
      </c>
      <c r="V443" t="str">
        <f t="shared" si="96"/>
        <v/>
      </c>
    </row>
    <row r="444" spans="1:26">
      <c r="A444" t="e">
        <f t="shared" si="91"/>
        <v>#VALUE!</v>
      </c>
      <c r="B444" t="e">
        <f>Table4[[#This Row],[CATEGORY]]</f>
        <v>#VALUE!</v>
      </c>
      <c r="C444" t="e">
        <f>Table4[[#This Row],[SUB-CATEGORY]]</f>
        <v>#VALUE!</v>
      </c>
      <c r="D444">
        <f>'RJ ATTENDENCE SHEET'!C:C</f>
        <v>0</v>
      </c>
      <c r="E444" t="e">
        <f t="shared" si="90"/>
        <v>#VALUE!</v>
      </c>
      <c r="F444" t="str">
        <f t="shared" si="98"/>
        <v/>
      </c>
      <c r="G444">
        <f>IFERROR(IF(F444=0,"",COUNTIF($F$3:F444,"&gt;0")),"")</f>
        <v>16</v>
      </c>
      <c r="H444" t="str">
        <f t="shared" si="92"/>
        <v/>
      </c>
      <c r="I444" t="str">
        <f t="shared" si="99"/>
        <v/>
      </c>
      <c r="J444">
        <f>IFERROR(IF(I444=0,"",COUNTIF($I$3:I444,"&gt;0")),"")</f>
        <v>34</v>
      </c>
      <c r="K444" t="str">
        <f t="shared" si="93"/>
        <v/>
      </c>
      <c r="L444" t="str">
        <f t="shared" si="100"/>
        <v/>
      </c>
      <c r="M444" t="str">
        <f t="shared" si="101"/>
        <v/>
      </c>
      <c r="N444">
        <f>IFERROR(IF(M444=0,"",COUNTIF($M$3:M444,"&gt;0")),"")</f>
        <v>33</v>
      </c>
      <c r="O444" t="str">
        <f t="shared" si="94"/>
        <v/>
      </c>
      <c r="P444" t="str">
        <f t="shared" si="102"/>
        <v/>
      </c>
      <c r="Q444" t="str">
        <f t="shared" si="103"/>
        <v/>
      </c>
      <c r="R444">
        <f>IFERROR(IF(Q444=0,"",COUNTIF($Q$3:Q444,"&gt;0")),"")</f>
        <v>16</v>
      </c>
      <c r="S444" t="str">
        <f t="shared" si="95"/>
        <v/>
      </c>
      <c r="T444" t="str">
        <f t="shared" si="104"/>
        <v/>
      </c>
      <c r="U444">
        <f>IFERROR(IF(T444=0,"",COUNTIF($T$3:T444,"&gt;0")),"")</f>
        <v>0</v>
      </c>
      <c r="V444" t="str">
        <f t="shared" si="96"/>
        <v/>
      </c>
    </row>
    <row r="445" spans="1:26">
      <c r="A445" t="e">
        <f t="shared" si="91"/>
        <v>#VALUE!</v>
      </c>
      <c r="B445" t="e">
        <f>Table4[[#This Row],[CATEGORY]]</f>
        <v>#VALUE!</v>
      </c>
      <c r="C445" t="e">
        <f>Table4[[#This Row],[SUB-CATEGORY]]</f>
        <v>#VALUE!</v>
      </c>
      <c r="D445">
        <f>'RJ ATTENDENCE SHEET'!C:C</f>
        <v>0</v>
      </c>
      <c r="E445" t="e">
        <f t="shared" si="90"/>
        <v>#VALUE!</v>
      </c>
      <c r="F445" t="str">
        <f t="shared" si="98"/>
        <v/>
      </c>
      <c r="G445">
        <f>IFERROR(IF(F445=0,"",COUNTIF($F$3:F445,"&gt;0")),"")</f>
        <v>16</v>
      </c>
      <c r="H445" t="str">
        <f t="shared" si="92"/>
        <v/>
      </c>
      <c r="I445" t="str">
        <f t="shared" si="99"/>
        <v/>
      </c>
      <c r="J445">
        <f>IFERROR(IF(I445=0,"",COUNTIF($I$3:I445,"&gt;0")),"")</f>
        <v>34</v>
      </c>
      <c r="K445" t="str">
        <f t="shared" si="93"/>
        <v/>
      </c>
      <c r="L445" t="str">
        <f t="shared" si="100"/>
        <v/>
      </c>
      <c r="M445" t="str">
        <f t="shared" si="101"/>
        <v/>
      </c>
      <c r="N445">
        <f>IFERROR(IF(M445=0,"",COUNTIF($M$3:M445,"&gt;0")),"")</f>
        <v>33</v>
      </c>
      <c r="O445" t="str">
        <f t="shared" si="94"/>
        <v/>
      </c>
      <c r="P445" t="str">
        <f t="shared" si="102"/>
        <v/>
      </c>
      <c r="Q445" t="str">
        <f t="shared" si="103"/>
        <v/>
      </c>
      <c r="R445">
        <f>IFERROR(IF(Q445=0,"",COUNTIF($Q$3:Q445,"&gt;0")),"")</f>
        <v>16</v>
      </c>
      <c r="S445" t="str">
        <f t="shared" si="95"/>
        <v/>
      </c>
      <c r="T445" t="str">
        <f t="shared" si="104"/>
        <v/>
      </c>
      <c r="U445">
        <f>IFERROR(IF(T445=0,"",COUNTIF($T$3:T445,"&gt;0")),"")</f>
        <v>0</v>
      </c>
      <c r="V445" t="str">
        <f t="shared" si="96"/>
        <v/>
      </c>
    </row>
    <row r="446" spans="1:26">
      <c r="A446" t="e">
        <f t="shared" si="91"/>
        <v>#VALUE!</v>
      </c>
      <c r="B446" t="e">
        <f>Table4[[#This Row],[CATEGORY]]</f>
        <v>#VALUE!</v>
      </c>
      <c r="C446" t="e">
        <f>Table4[[#This Row],[SUB-CATEGORY]]</f>
        <v>#VALUE!</v>
      </c>
      <c r="D446">
        <f>'RJ ATTENDENCE SHEET'!C:C</f>
        <v>0</v>
      </c>
      <c r="E446" t="e">
        <f t="shared" si="90"/>
        <v>#VALUE!</v>
      </c>
      <c r="F446" t="str">
        <f t="shared" si="98"/>
        <v/>
      </c>
      <c r="G446">
        <f>IFERROR(IF(F446=0,"",COUNTIF($F$3:F446,"&gt;0")),"")</f>
        <v>16</v>
      </c>
      <c r="H446" t="str">
        <f t="shared" si="92"/>
        <v/>
      </c>
      <c r="I446" t="str">
        <f t="shared" si="99"/>
        <v/>
      </c>
      <c r="J446">
        <f>IFERROR(IF(I446=0,"",COUNTIF($I$3:I446,"&gt;0")),"")</f>
        <v>34</v>
      </c>
      <c r="K446" t="str">
        <f t="shared" si="93"/>
        <v/>
      </c>
      <c r="L446" t="str">
        <f t="shared" si="100"/>
        <v/>
      </c>
      <c r="M446" t="str">
        <f t="shared" si="101"/>
        <v/>
      </c>
      <c r="N446">
        <f>IFERROR(IF(M446=0,"",COUNTIF($M$3:M446,"&gt;0")),"")</f>
        <v>33</v>
      </c>
      <c r="O446" t="str">
        <f t="shared" si="94"/>
        <v/>
      </c>
      <c r="P446" t="str">
        <f t="shared" si="102"/>
        <v/>
      </c>
      <c r="Q446" t="str">
        <f t="shared" si="103"/>
        <v/>
      </c>
      <c r="R446">
        <f>IFERROR(IF(Q446=0,"",COUNTIF($Q$3:Q446,"&gt;0")),"")</f>
        <v>16</v>
      </c>
      <c r="S446" t="str">
        <f t="shared" si="95"/>
        <v/>
      </c>
      <c r="T446" t="str">
        <f t="shared" si="104"/>
        <v/>
      </c>
      <c r="U446">
        <f>IFERROR(IF(T446=0,"",COUNTIF($T$3:T446,"&gt;0")),"")</f>
        <v>0</v>
      </c>
      <c r="V446" t="str">
        <f t="shared" si="96"/>
        <v/>
      </c>
    </row>
    <row r="447" spans="1:26">
      <c r="A447" t="e">
        <f t="shared" si="91"/>
        <v>#VALUE!</v>
      </c>
      <c r="B447" t="e">
        <f>Table4[[#This Row],[CATEGORY]]</f>
        <v>#VALUE!</v>
      </c>
      <c r="C447" t="e">
        <f>Table4[[#This Row],[SUB-CATEGORY]]</f>
        <v>#VALUE!</v>
      </c>
      <c r="D447">
        <f>'RJ ATTENDENCE SHEET'!C:C</f>
        <v>0</v>
      </c>
      <c r="E447" t="e">
        <f t="shared" si="90"/>
        <v>#VALUE!</v>
      </c>
      <c r="F447" t="str">
        <f t="shared" si="98"/>
        <v/>
      </c>
      <c r="G447">
        <f>IFERROR(IF(F447=0,"",COUNTIF($F$3:F447,"&gt;0")),"")</f>
        <v>16</v>
      </c>
      <c r="H447" t="str">
        <f t="shared" si="92"/>
        <v/>
      </c>
      <c r="I447" t="str">
        <f t="shared" si="99"/>
        <v/>
      </c>
      <c r="J447">
        <f>IFERROR(IF(I447=0,"",COUNTIF($I$3:I447,"&gt;0")),"")</f>
        <v>34</v>
      </c>
      <c r="K447" t="str">
        <f t="shared" si="93"/>
        <v/>
      </c>
      <c r="L447" t="str">
        <f t="shared" si="100"/>
        <v/>
      </c>
      <c r="M447" t="str">
        <f t="shared" si="101"/>
        <v/>
      </c>
      <c r="N447">
        <f>IFERROR(IF(M447=0,"",COUNTIF($M$3:M447,"&gt;0")),"")</f>
        <v>33</v>
      </c>
      <c r="O447" t="str">
        <f t="shared" si="94"/>
        <v/>
      </c>
      <c r="P447" t="str">
        <f t="shared" si="102"/>
        <v/>
      </c>
      <c r="Q447" t="str">
        <f t="shared" si="103"/>
        <v/>
      </c>
      <c r="R447">
        <f>IFERROR(IF(Q447=0,"",COUNTIF($Q$3:Q447,"&gt;0")),"")</f>
        <v>16</v>
      </c>
      <c r="S447" t="str">
        <f t="shared" si="95"/>
        <v/>
      </c>
      <c r="T447" t="str">
        <f t="shared" si="104"/>
        <v/>
      </c>
      <c r="U447">
        <f>IFERROR(IF(T447=0,"",COUNTIF($T$3:T447,"&gt;0")),"")</f>
        <v>0</v>
      </c>
      <c r="V447" t="str">
        <f t="shared" si="96"/>
        <v/>
      </c>
    </row>
    <row r="448" spans="1:26">
      <c r="A448" t="e">
        <f t="shared" si="91"/>
        <v>#VALUE!</v>
      </c>
      <c r="B448" t="e">
        <f>Table4[[#This Row],[CATEGORY]]</f>
        <v>#VALUE!</v>
      </c>
      <c r="C448" t="e">
        <f>Table4[[#This Row],[SUB-CATEGORY]]</f>
        <v>#VALUE!</v>
      </c>
      <c r="D448">
        <f>'RJ ATTENDENCE SHEET'!C:C</f>
        <v>0</v>
      </c>
      <c r="E448" t="e">
        <f t="shared" si="90"/>
        <v>#VALUE!</v>
      </c>
      <c r="F448" t="str">
        <f t="shared" si="98"/>
        <v/>
      </c>
      <c r="G448">
        <f>IFERROR(IF(F448=0,"",COUNTIF($F$3:F448,"&gt;0")),"")</f>
        <v>16</v>
      </c>
      <c r="H448" t="str">
        <f t="shared" si="92"/>
        <v/>
      </c>
      <c r="I448" t="str">
        <f t="shared" si="99"/>
        <v/>
      </c>
      <c r="J448">
        <f>IFERROR(IF(I448=0,"",COUNTIF($I$3:I448,"&gt;0")),"")</f>
        <v>34</v>
      </c>
      <c r="K448" t="str">
        <f t="shared" si="93"/>
        <v/>
      </c>
      <c r="L448" t="str">
        <f t="shared" si="100"/>
        <v/>
      </c>
      <c r="M448" t="str">
        <f t="shared" si="101"/>
        <v/>
      </c>
      <c r="N448">
        <f>IFERROR(IF(M448=0,"",COUNTIF($M$3:M448,"&gt;0")),"")</f>
        <v>33</v>
      </c>
      <c r="O448" t="str">
        <f t="shared" si="94"/>
        <v/>
      </c>
      <c r="P448" t="str">
        <f t="shared" si="102"/>
        <v/>
      </c>
      <c r="Q448" t="str">
        <f t="shared" si="103"/>
        <v/>
      </c>
      <c r="R448">
        <f>IFERROR(IF(Q448=0,"",COUNTIF($Q$3:Q448,"&gt;0")),"")</f>
        <v>16</v>
      </c>
      <c r="S448" t="str">
        <f t="shared" si="95"/>
        <v/>
      </c>
      <c r="T448" t="str">
        <f t="shared" si="104"/>
        <v/>
      </c>
      <c r="U448">
        <f>IFERROR(IF(T448=0,"",COUNTIF($T$3:T448,"&gt;0")),"")</f>
        <v>0</v>
      </c>
      <c r="V448" t="str">
        <f t="shared" si="96"/>
        <v/>
      </c>
    </row>
    <row r="449" spans="1:22">
      <c r="A449" t="e">
        <f t="shared" si="91"/>
        <v>#VALUE!</v>
      </c>
      <c r="B449" t="e">
        <f>Table4[[#This Row],[CATEGORY]]</f>
        <v>#VALUE!</v>
      </c>
      <c r="C449" t="e">
        <f>Table4[[#This Row],[SUB-CATEGORY]]</f>
        <v>#VALUE!</v>
      </c>
      <c r="D449">
        <f>'RJ ATTENDENCE SHEET'!C:C</f>
        <v>0</v>
      </c>
      <c r="E449" t="e">
        <f t="shared" si="90"/>
        <v>#VALUE!</v>
      </c>
      <c r="F449" t="str">
        <f t="shared" si="98"/>
        <v/>
      </c>
      <c r="G449">
        <f>IFERROR(IF(F449=0,"",COUNTIF($F$3:F449,"&gt;0")),"")</f>
        <v>16</v>
      </c>
      <c r="H449" t="str">
        <f t="shared" si="92"/>
        <v/>
      </c>
      <c r="I449" t="str">
        <f t="shared" si="99"/>
        <v/>
      </c>
      <c r="J449">
        <f>IFERROR(IF(I449=0,"",COUNTIF($I$3:I449,"&gt;0")),"")</f>
        <v>34</v>
      </c>
      <c r="K449" t="str">
        <f t="shared" si="93"/>
        <v/>
      </c>
      <c r="L449" t="str">
        <f t="shared" si="100"/>
        <v/>
      </c>
      <c r="M449" t="str">
        <f t="shared" si="101"/>
        <v/>
      </c>
      <c r="N449">
        <f>IFERROR(IF(M449=0,"",COUNTIF($M$3:M449,"&gt;0")),"")</f>
        <v>33</v>
      </c>
      <c r="O449" t="str">
        <f t="shared" si="94"/>
        <v/>
      </c>
      <c r="P449" t="str">
        <f t="shared" si="102"/>
        <v/>
      </c>
      <c r="Q449" t="str">
        <f t="shared" si="103"/>
        <v/>
      </c>
      <c r="R449">
        <f>IFERROR(IF(Q449=0,"",COUNTIF($Q$3:Q449,"&gt;0")),"")</f>
        <v>16</v>
      </c>
      <c r="S449" t="str">
        <f t="shared" si="95"/>
        <v/>
      </c>
      <c r="T449" t="str">
        <f t="shared" si="104"/>
        <v/>
      </c>
      <c r="U449">
        <f>IFERROR(IF(T449=0,"",COUNTIF($T$3:T449,"&gt;0")),"")</f>
        <v>0</v>
      </c>
      <c r="V449" t="str">
        <f t="shared" si="96"/>
        <v/>
      </c>
    </row>
    <row r="450" spans="1:22">
      <c r="A450" t="e">
        <f t="shared" si="91"/>
        <v>#VALUE!</v>
      </c>
      <c r="B450" t="e">
        <f>Table4[[#This Row],[CATEGORY]]</f>
        <v>#VALUE!</v>
      </c>
      <c r="C450" t="e">
        <f>Table4[[#This Row],[SUB-CATEGORY]]</f>
        <v>#VALUE!</v>
      </c>
      <c r="D450">
        <f>'RJ ATTENDENCE SHEET'!C:C</f>
        <v>0</v>
      </c>
      <c r="E450" t="e">
        <f t="shared" ref="E450:E513" si="105">C450</f>
        <v>#VALUE!</v>
      </c>
      <c r="F450" t="str">
        <f t="shared" si="98"/>
        <v/>
      </c>
      <c r="G450">
        <f>IFERROR(IF(F450=0,"",COUNTIF($F$3:F450,"&gt;0")),"")</f>
        <v>16</v>
      </c>
      <c r="H450" t="str">
        <f t="shared" si="92"/>
        <v/>
      </c>
      <c r="I450" t="str">
        <f t="shared" si="99"/>
        <v/>
      </c>
      <c r="J450">
        <f>IFERROR(IF(I450=0,"",COUNTIF($I$3:I450,"&gt;0")),"")</f>
        <v>34</v>
      </c>
      <c r="K450" t="str">
        <f t="shared" si="93"/>
        <v/>
      </c>
      <c r="L450" t="str">
        <f t="shared" si="100"/>
        <v/>
      </c>
      <c r="M450" t="str">
        <f t="shared" si="101"/>
        <v/>
      </c>
      <c r="N450">
        <f>IFERROR(IF(M450=0,"",COUNTIF($M$3:M450,"&gt;0")),"")</f>
        <v>33</v>
      </c>
      <c r="O450" t="str">
        <f t="shared" si="94"/>
        <v/>
      </c>
      <c r="P450" t="str">
        <f t="shared" si="102"/>
        <v/>
      </c>
      <c r="Q450" t="str">
        <f t="shared" si="103"/>
        <v/>
      </c>
      <c r="R450">
        <f>IFERROR(IF(Q450=0,"",COUNTIF($Q$3:Q450,"&gt;0")),"")</f>
        <v>16</v>
      </c>
      <c r="S450" t="str">
        <f t="shared" si="95"/>
        <v/>
      </c>
      <c r="T450" t="str">
        <f t="shared" si="104"/>
        <v/>
      </c>
      <c r="U450">
        <f>IFERROR(IF(T450=0,"",COUNTIF($T$3:T450,"&gt;0")),"")</f>
        <v>0</v>
      </c>
      <c r="V450" t="str">
        <f t="shared" si="96"/>
        <v/>
      </c>
    </row>
    <row r="451" spans="1:22">
      <c r="A451" t="e">
        <f t="shared" ref="A451:A514" si="106">CONCATENATE(B451,C451,D451)</f>
        <v>#VALUE!</v>
      </c>
      <c r="B451" t="e">
        <f>Table4[[#This Row],[CATEGORY]]</f>
        <v>#VALUE!</v>
      </c>
      <c r="C451" t="e">
        <f>Table4[[#This Row],[SUB-CATEGORY]]</f>
        <v>#VALUE!</v>
      </c>
      <c r="D451">
        <f>'RJ ATTENDENCE SHEET'!C:C</f>
        <v>0</v>
      </c>
      <c r="E451" t="e">
        <f t="shared" si="105"/>
        <v>#VALUE!</v>
      </c>
      <c r="F451" t="str">
        <f t="shared" si="98"/>
        <v/>
      </c>
      <c r="G451">
        <f>IFERROR(IF(F451=0,"",COUNTIF($F$3:F451,"&gt;0")),"")</f>
        <v>16</v>
      </c>
      <c r="H451" t="str">
        <f t="shared" ref="H451:H514" si="107">IFERROR(VLOOKUP(INDEX($A:$A,MATCH(ROW(F449),G:G,0)),$A:$D,4,0),"")</f>
        <v/>
      </c>
      <c r="I451" t="str">
        <f t="shared" si="99"/>
        <v/>
      </c>
      <c r="J451">
        <f>IFERROR(IF(I451=0,"",COUNTIF($I$3:I451,"&gt;0")),"")</f>
        <v>34</v>
      </c>
      <c r="K451" t="str">
        <f t="shared" ref="K451:K514" si="108">IFERROR(VLOOKUP(INDEX($A:$A,MATCH(ROW(I449),J:J,0)),$A:$D,4,0),"")</f>
        <v/>
      </c>
      <c r="L451" t="str">
        <f t="shared" si="100"/>
        <v/>
      </c>
      <c r="M451" t="str">
        <f t="shared" si="101"/>
        <v/>
      </c>
      <c r="N451">
        <f>IFERROR(IF(M451=0,"",COUNTIF($M$3:M451,"&gt;0")),"")</f>
        <v>33</v>
      </c>
      <c r="O451" t="str">
        <f t="shared" ref="O451:O514" si="109">IFERROR(VLOOKUP(INDEX($A:$A,MATCH(ROW(M449),N:N,0)),$A:$D,4,0),"")</f>
        <v/>
      </c>
      <c r="P451" t="str">
        <f t="shared" si="102"/>
        <v/>
      </c>
      <c r="Q451" t="str">
        <f t="shared" si="103"/>
        <v/>
      </c>
      <c r="R451">
        <f>IFERROR(IF(Q451=0,"",COUNTIF($Q$3:Q451,"&gt;0")),"")</f>
        <v>16</v>
      </c>
      <c r="S451" t="str">
        <f t="shared" ref="S451:S514" si="110">IFERROR(VLOOKUP(INDEX($A:$A,MATCH(ROW(Q449),R:R,0)),$A:$D,4,0),"")</f>
        <v/>
      </c>
      <c r="T451" t="str">
        <f t="shared" si="104"/>
        <v/>
      </c>
      <c r="U451">
        <f>IFERROR(IF(T451=0,"",COUNTIF($T$3:T451,"&gt;0")),"")</f>
        <v>0</v>
      </c>
      <c r="V451" t="str">
        <f t="shared" ref="V451:V514" si="111">IFERROR(VLOOKUP(INDEX($A:$A,MATCH(ROW(T449),U:U,0)),$A:$D,4,0),"")</f>
        <v/>
      </c>
    </row>
    <row r="452" spans="1:22">
      <c r="A452" t="e">
        <f t="shared" si="106"/>
        <v>#VALUE!</v>
      </c>
      <c r="B452" t="e">
        <f>Table4[[#This Row],[CATEGORY]]</f>
        <v>#VALUE!</v>
      </c>
      <c r="C452" t="e">
        <f>Table4[[#This Row],[SUB-CATEGORY]]</f>
        <v>#VALUE!</v>
      </c>
      <c r="D452">
        <f>'RJ ATTENDENCE SHEET'!C:C</f>
        <v>0</v>
      </c>
      <c r="E452" t="e">
        <f t="shared" si="105"/>
        <v>#VALUE!</v>
      </c>
      <c r="F452" t="str">
        <f t="shared" ref="F452:F515" si="112">IFERROR(SEARCH("SALARYOFFICE",$A:$A),"")</f>
        <v/>
      </c>
      <c r="G452">
        <f>IFERROR(IF(F452=0,"",COUNTIF($F$3:F452,"&gt;0")),"")</f>
        <v>16</v>
      </c>
      <c r="H452" t="str">
        <f t="shared" si="107"/>
        <v/>
      </c>
      <c r="I452" t="str">
        <f t="shared" ref="I452:I515" si="113">IFERROR(SEARCH("WAGES",$A:$A),"")</f>
        <v/>
      </c>
      <c r="J452">
        <f>IFERROR(IF(I452=0,"",COUNTIF($I$3:I452,"&gt;0")),"")</f>
        <v>34</v>
      </c>
      <c r="K452" t="str">
        <f t="shared" si="108"/>
        <v/>
      </c>
      <c r="L452" t="str">
        <f t="shared" ref="L452:L515" si="114">IFERROR(VLOOKUP(K452,$D:$E,2,0),"")</f>
        <v/>
      </c>
      <c r="M452" t="str">
        <f t="shared" ref="M452:M515" si="115">IFERROR(SEARCH("CONTRACT",$A:$A),"")</f>
        <v/>
      </c>
      <c r="N452">
        <f>IFERROR(IF(M452=0,"",COUNTIF($M$3:M452,"&gt;0")),"")</f>
        <v>33</v>
      </c>
      <c r="O452" t="str">
        <f t="shared" si="109"/>
        <v/>
      </c>
      <c r="P452" t="str">
        <f t="shared" ref="P452:P515" si="116">IFERROR(VLOOKUP(O452,$D:$E,2,0),"")</f>
        <v/>
      </c>
      <c r="Q452" t="str">
        <f t="shared" ref="Q452:Q515" si="117">IFERROR(SEARCH("SALARY",$A:$A),"")</f>
        <v/>
      </c>
      <c r="R452">
        <f>IFERROR(IF(Q452=0,"",COUNTIF($Q$3:Q452,"&gt;0")),"")</f>
        <v>16</v>
      </c>
      <c r="S452" t="str">
        <f t="shared" si="110"/>
        <v/>
      </c>
      <c r="T452" t="str">
        <f t="shared" ref="T452:T515" si="118">IFERROR(SEARCH("OTHERS0",$A:$A),"")</f>
        <v/>
      </c>
      <c r="U452">
        <f>IFERROR(IF(T452=0,"",COUNTIF($T$3:T452,"&gt;0")),"")</f>
        <v>0</v>
      </c>
      <c r="V452" t="str">
        <f t="shared" si="111"/>
        <v/>
      </c>
    </row>
    <row r="453" spans="1:22">
      <c r="A453" t="e">
        <f t="shared" si="106"/>
        <v>#VALUE!</v>
      </c>
      <c r="B453" t="e">
        <f>Table4[[#This Row],[CATEGORY]]</f>
        <v>#VALUE!</v>
      </c>
      <c r="C453" t="e">
        <f>Table4[[#This Row],[SUB-CATEGORY]]</f>
        <v>#VALUE!</v>
      </c>
      <c r="D453">
        <f>'RJ ATTENDENCE SHEET'!C:C</f>
        <v>0</v>
      </c>
      <c r="E453" t="e">
        <f t="shared" si="105"/>
        <v>#VALUE!</v>
      </c>
      <c r="F453" t="str">
        <f t="shared" si="112"/>
        <v/>
      </c>
      <c r="G453">
        <f>IFERROR(IF(F453=0,"",COUNTIF($F$3:F453,"&gt;0")),"")</f>
        <v>16</v>
      </c>
      <c r="H453" t="str">
        <f t="shared" si="107"/>
        <v/>
      </c>
      <c r="I453" t="str">
        <f t="shared" si="113"/>
        <v/>
      </c>
      <c r="J453">
        <f>IFERROR(IF(I453=0,"",COUNTIF($I$3:I453,"&gt;0")),"")</f>
        <v>34</v>
      </c>
      <c r="K453" t="str">
        <f t="shared" si="108"/>
        <v/>
      </c>
      <c r="L453" t="str">
        <f t="shared" si="114"/>
        <v/>
      </c>
      <c r="M453" t="str">
        <f t="shared" si="115"/>
        <v/>
      </c>
      <c r="N453">
        <f>IFERROR(IF(M453=0,"",COUNTIF($M$3:M453,"&gt;0")),"")</f>
        <v>33</v>
      </c>
      <c r="O453" t="str">
        <f t="shared" si="109"/>
        <v/>
      </c>
      <c r="P453" t="str">
        <f t="shared" si="116"/>
        <v/>
      </c>
      <c r="Q453" t="str">
        <f t="shared" si="117"/>
        <v/>
      </c>
      <c r="R453">
        <f>IFERROR(IF(Q453=0,"",COUNTIF($Q$3:Q453,"&gt;0")),"")</f>
        <v>16</v>
      </c>
      <c r="S453" t="str">
        <f t="shared" si="110"/>
        <v/>
      </c>
      <c r="T453" t="str">
        <f t="shared" si="118"/>
        <v/>
      </c>
      <c r="U453">
        <f>IFERROR(IF(T453=0,"",COUNTIF($T$3:T453,"&gt;0")),"")</f>
        <v>0</v>
      </c>
      <c r="V453" t="str">
        <f t="shared" si="111"/>
        <v/>
      </c>
    </row>
    <row r="454" spans="1:22">
      <c r="A454" t="e">
        <f t="shared" si="106"/>
        <v>#VALUE!</v>
      </c>
      <c r="B454" t="e">
        <f>Table4[[#This Row],[CATEGORY]]</f>
        <v>#VALUE!</v>
      </c>
      <c r="C454" t="e">
        <f>Table4[[#This Row],[SUB-CATEGORY]]</f>
        <v>#VALUE!</v>
      </c>
      <c r="D454">
        <f>'RJ ATTENDENCE SHEET'!C:C</f>
        <v>0</v>
      </c>
      <c r="E454" t="e">
        <f t="shared" si="105"/>
        <v>#VALUE!</v>
      </c>
      <c r="F454" t="str">
        <f t="shared" si="112"/>
        <v/>
      </c>
      <c r="G454">
        <f>IFERROR(IF(F454=0,"",COUNTIF($F$3:F454,"&gt;0")),"")</f>
        <v>16</v>
      </c>
      <c r="H454" t="str">
        <f t="shared" si="107"/>
        <v/>
      </c>
      <c r="I454" t="str">
        <f t="shared" si="113"/>
        <v/>
      </c>
      <c r="J454">
        <f>IFERROR(IF(I454=0,"",COUNTIF($I$3:I454,"&gt;0")),"")</f>
        <v>34</v>
      </c>
      <c r="K454" t="str">
        <f t="shared" si="108"/>
        <v/>
      </c>
      <c r="L454" t="str">
        <f t="shared" si="114"/>
        <v/>
      </c>
      <c r="M454" t="str">
        <f t="shared" si="115"/>
        <v/>
      </c>
      <c r="N454">
        <f>IFERROR(IF(M454=0,"",COUNTIF($M$3:M454,"&gt;0")),"")</f>
        <v>33</v>
      </c>
      <c r="O454" t="str">
        <f t="shared" si="109"/>
        <v/>
      </c>
      <c r="P454" t="str">
        <f t="shared" si="116"/>
        <v/>
      </c>
      <c r="Q454" t="str">
        <f t="shared" si="117"/>
        <v/>
      </c>
      <c r="R454">
        <f>IFERROR(IF(Q454=0,"",COUNTIF($Q$3:Q454,"&gt;0")),"")</f>
        <v>16</v>
      </c>
      <c r="S454" t="str">
        <f t="shared" si="110"/>
        <v/>
      </c>
      <c r="T454" t="str">
        <f t="shared" si="118"/>
        <v/>
      </c>
      <c r="U454">
        <f>IFERROR(IF(T454=0,"",COUNTIF($T$3:T454,"&gt;0")),"")</f>
        <v>0</v>
      </c>
      <c r="V454" t="str">
        <f t="shared" si="111"/>
        <v/>
      </c>
    </row>
    <row r="455" spans="1:22">
      <c r="A455" t="e">
        <f t="shared" si="106"/>
        <v>#VALUE!</v>
      </c>
      <c r="B455" t="e">
        <f>Table4[[#This Row],[CATEGORY]]</f>
        <v>#VALUE!</v>
      </c>
      <c r="C455" t="e">
        <f>Table4[[#This Row],[SUB-CATEGORY]]</f>
        <v>#VALUE!</v>
      </c>
      <c r="D455">
        <f>'RJ ATTENDENCE SHEET'!C:C</f>
        <v>0</v>
      </c>
      <c r="E455" t="e">
        <f t="shared" si="105"/>
        <v>#VALUE!</v>
      </c>
      <c r="F455" t="str">
        <f t="shared" si="112"/>
        <v/>
      </c>
      <c r="G455">
        <f>IFERROR(IF(F455=0,"",COUNTIF($F$3:F455,"&gt;0")),"")</f>
        <v>16</v>
      </c>
      <c r="H455" t="str">
        <f t="shared" si="107"/>
        <v/>
      </c>
      <c r="I455" t="str">
        <f t="shared" si="113"/>
        <v/>
      </c>
      <c r="J455">
        <f>IFERROR(IF(I455=0,"",COUNTIF($I$3:I455,"&gt;0")),"")</f>
        <v>34</v>
      </c>
      <c r="K455" t="str">
        <f t="shared" si="108"/>
        <v/>
      </c>
      <c r="L455" t="str">
        <f t="shared" si="114"/>
        <v/>
      </c>
      <c r="M455" t="str">
        <f t="shared" si="115"/>
        <v/>
      </c>
      <c r="N455">
        <f>IFERROR(IF(M455=0,"",COUNTIF($M$3:M455,"&gt;0")),"")</f>
        <v>33</v>
      </c>
      <c r="O455" t="str">
        <f t="shared" si="109"/>
        <v/>
      </c>
      <c r="P455" t="str">
        <f t="shared" si="116"/>
        <v/>
      </c>
      <c r="Q455" t="str">
        <f t="shared" si="117"/>
        <v/>
      </c>
      <c r="R455">
        <f>IFERROR(IF(Q455=0,"",COUNTIF($Q$3:Q455,"&gt;0")),"")</f>
        <v>16</v>
      </c>
      <c r="S455" t="str">
        <f t="shared" si="110"/>
        <v/>
      </c>
      <c r="T455" t="str">
        <f t="shared" si="118"/>
        <v/>
      </c>
      <c r="U455">
        <f>IFERROR(IF(T455=0,"",COUNTIF($T$3:T455,"&gt;0")),"")</f>
        <v>0</v>
      </c>
      <c r="V455" t="str">
        <f t="shared" si="111"/>
        <v/>
      </c>
    </row>
    <row r="456" spans="1:22">
      <c r="A456" t="e">
        <f t="shared" si="106"/>
        <v>#VALUE!</v>
      </c>
      <c r="B456" t="e">
        <f>Table4[[#This Row],[CATEGORY]]</f>
        <v>#VALUE!</v>
      </c>
      <c r="C456" t="e">
        <f>Table4[[#This Row],[SUB-CATEGORY]]</f>
        <v>#VALUE!</v>
      </c>
      <c r="D456">
        <f>'RJ ATTENDENCE SHEET'!C:C</f>
        <v>0</v>
      </c>
      <c r="E456" t="e">
        <f t="shared" si="105"/>
        <v>#VALUE!</v>
      </c>
      <c r="F456" t="str">
        <f t="shared" si="112"/>
        <v/>
      </c>
      <c r="G456">
        <f>IFERROR(IF(F456=0,"",COUNTIF($F$3:F456,"&gt;0")),"")</f>
        <v>16</v>
      </c>
      <c r="H456" t="str">
        <f t="shared" si="107"/>
        <v/>
      </c>
      <c r="I456" t="str">
        <f t="shared" si="113"/>
        <v/>
      </c>
      <c r="J456">
        <f>IFERROR(IF(I456=0,"",COUNTIF($I$3:I456,"&gt;0")),"")</f>
        <v>34</v>
      </c>
      <c r="K456" t="str">
        <f t="shared" si="108"/>
        <v/>
      </c>
      <c r="L456" t="str">
        <f t="shared" si="114"/>
        <v/>
      </c>
      <c r="M456" t="str">
        <f t="shared" si="115"/>
        <v/>
      </c>
      <c r="N456">
        <f>IFERROR(IF(M456=0,"",COUNTIF($M$3:M456,"&gt;0")),"")</f>
        <v>33</v>
      </c>
      <c r="O456" t="str">
        <f t="shared" si="109"/>
        <v/>
      </c>
      <c r="P456" t="str">
        <f t="shared" si="116"/>
        <v/>
      </c>
      <c r="Q456" t="str">
        <f t="shared" si="117"/>
        <v/>
      </c>
      <c r="R456">
        <f>IFERROR(IF(Q456=0,"",COUNTIF($Q$3:Q456,"&gt;0")),"")</f>
        <v>16</v>
      </c>
      <c r="S456" t="str">
        <f t="shared" si="110"/>
        <v/>
      </c>
      <c r="T456" t="str">
        <f t="shared" si="118"/>
        <v/>
      </c>
      <c r="U456">
        <f>IFERROR(IF(T456=0,"",COUNTIF($T$3:T456,"&gt;0")),"")</f>
        <v>0</v>
      </c>
      <c r="V456" t="str">
        <f t="shared" si="111"/>
        <v/>
      </c>
    </row>
    <row r="457" spans="1:22">
      <c r="A457" t="e">
        <f t="shared" si="106"/>
        <v>#VALUE!</v>
      </c>
      <c r="B457" t="e">
        <f>Table4[[#This Row],[CATEGORY]]</f>
        <v>#VALUE!</v>
      </c>
      <c r="C457" t="e">
        <f>Table4[[#This Row],[SUB-CATEGORY]]</f>
        <v>#VALUE!</v>
      </c>
      <c r="D457">
        <f>'RJ ATTENDENCE SHEET'!C:C</f>
        <v>0</v>
      </c>
      <c r="E457" t="e">
        <f t="shared" si="105"/>
        <v>#VALUE!</v>
      </c>
      <c r="F457" t="str">
        <f t="shared" si="112"/>
        <v/>
      </c>
      <c r="G457">
        <f>IFERROR(IF(F457=0,"",COUNTIF($F$3:F457,"&gt;0")),"")</f>
        <v>16</v>
      </c>
      <c r="H457" t="str">
        <f t="shared" si="107"/>
        <v/>
      </c>
      <c r="I457" t="str">
        <f t="shared" si="113"/>
        <v/>
      </c>
      <c r="J457">
        <f>IFERROR(IF(I457=0,"",COUNTIF($I$3:I457,"&gt;0")),"")</f>
        <v>34</v>
      </c>
      <c r="K457" t="str">
        <f t="shared" si="108"/>
        <v/>
      </c>
      <c r="L457" t="str">
        <f t="shared" si="114"/>
        <v/>
      </c>
      <c r="M457" t="str">
        <f t="shared" si="115"/>
        <v/>
      </c>
      <c r="N457">
        <f>IFERROR(IF(M457=0,"",COUNTIF($M$3:M457,"&gt;0")),"")</f>
        <v>33</v>
      </c>
      <c r="O457" t="str">
        <f t="shared" si="109"/>
        <v/>
      </c>
      <c r="P457" t="str">
        <f t="shared" si="116"/>
        <v/>
      </c>
      <c r="Q457" t="str">
        <f t="shared" si="117"/>
        <v/>
      </c>
      <c r="R457">
        <f>IFERROR(IF(Q457=0,"",COUNTIF($Q$3:Q457,"&gt;0")),"")</f>
        <v>16</v>
      </c>
      <c r="S457" t="str">
        <f t="shared" si="110"/>
        <v/>
      </c>
      <c r="T457" t="str">
        <f t="shared" si="118"/>
        <v/>
      </c>
      <c r="U457">
        <f>IFERROR(IF(T457=0,"",COUNTIF($T$3:T457,"&gt;0")),"")</f>
        <v>0</v>
      </c>
      <c r="V457" t="str">
        <f t="shared" si="111"/>
        <v/>
      </c>
    </row>
    <row r="458" spans="1:22">
      <c r="A458" t="e">
        <f t="shared" si="106"/>
        <v>#VALUE!</v>
      </c>
      <c r="B458" t="e">
        <f>Table4[[#This Row],[CATEGORY]]</f>
        <v>#VALUE!</v>
      </c>
      <c r="C458" t="e">
        <f>Table4[[#This Row],[SUB-CATEGORY]]</f>
        <v>#VALUE!</v>
      </c>
      <c r="D458">
        <f>'RJ ATTENDENCE SHEET'!C:C</f>
        <v>0</v>
      </c>
      <c r="E458" t="e">
        <f t="shared" si="105"/>
        <v>#VALUE!</v>
      </c>
      <c r="F458" t="str">
        <f t="shared" si="112"/>
        <v/>
      </c>
      <c r="G458">
        <f>IFERROR(IF(F458=0,"",COUNTIF($F$3:F458,"&gt;0")),"")</f>
        <v>16</v>
      </c>
      <c r="H458" t="str">
        <f t="shared" si="107"/>
        <v/>
      </c>
      <c r="I458" t="str">
        <f t="shared" si="113"/>
        <v/>
      </c>
      <c r="J458">
        <f>IFERROR(IF(I458=0,"",COUNTIF($I$3:I458,"&gt;0")),"")</f>
        <v>34</v>
      </c>
      <c r="K458" t="str">
        <f t="shared" si="108"/>
        <v/>
      </c>
      <c r="L458" t="str">
        <f t="shared" si="114"/>
        <v/>
      </c>
      <c r="M458" t="str">
        <f t="shared" si="115"/>
        <v/>
      </c>
      <c r="N458">
        <f>IFERROR(IF(M458=0,"",COUNTIF($M$3:M458,"&gt;0")),"")</f>
        <v>33</v>
      </c>
      <c r="O458" t="str">
        <f t="shared" si="109"/>
        <v/>
      </c>
      <c r="P458" t="str">
        <f t="shared" si="116"/>
        <v/>
      </c>
      <c r="Q458" t="str">
        <f t="shared" si="117"/>
        <v/>
      </c>
      <c r="R458">
        <f>IFERROR(IF(Q458=0,"",COUNTIF($Q$3:Q458,"&gt;0")),"")</f>
        <v>16</v>
      </c>
      <c r="S458" t="str">
        <f t="shared" si="110"/>
        <v/>
      </c>
      <c r="T458" t="str">
        <f t="shared" si="118"/>
        <v/>
      </c>
      <c r="U458">
        <f>IFERROR(IF(T458=0,"",COUNTIF($T$3:T458,"&gt;0")),"")</f>
        <v>0</v>
      </c>
      <c r="V458" t="str">
        <f t="shared" si="111"/>
        <v/>
      </c>
    </row>
    <row r="459" spans="1:22">
      <c r="A459" t="e">
        <f t="shared" si="106"/>
        <v>#VALUE!</v>
      </c>
      <c r="B459" t="e">
        <f>Table4[[#This Row],[CATEGORY]]</f>
        <v>#VALUE!</v>
      </c>
      <c r="C459" t="e">
        <f>Table4[[#This Row],[SUB-CATEGORY]]</f>
        <v>#VALUE!</v>
      </c>
      <c r="D459">
        <f>'RJ ATTENDENCE SHEET'!C:C</f>
        <v>0</v>
      </c>
      <c r="E459" t="e">
        <f t="shared" si="105"/>
        <v>#VALUE!</v>
      </c>
      <c r="F459" t="str">
        <f t="shared" si="112"/>
        <v/>
      </c>
      <c r="G459">
        <f>IFERROR(IF(F459=0,"",COUNTIF($F$3:F459,"&gt;0")),"")</f>
        <v>16</v>
      </c>
      <c r="H459" t="str">
        <f t="shared" si="107"/>
        <v/>
      </c>
      <c r="I459" t="str">
        <f t="shared" si="113"/>
        <v/>
      </c>
      <c r="J459">
        <f>IFERROR(IF(I459=0,"",COUNTIF($I$3:I459,"&gt;0")),"")</f>
        <v>34</v>
      </c>
      <c r="K459" t="str">
        <f t="shared" si="108"/>
        <v/>
      </c>
      <c r="L459" t="str">
        <f t="shared" si="114"/>
        <v/>
      </c>
      <c r="M459" t="str">
        <f t="shared" si="115"/>
        <v/>
      </c>
      <c r="N459">
        <f>IFERROR(IF(M459=0,"",COUNTIF($M$3:M459,"&gt;0")),"")</f>
        <v>33</v>
      </c>
      <c r="O459" t="str">
        <f t="shared" si="109"/>
        <v/>
      </c>
      <c r="P459" t="str">
        <f t="shared" si="116"/>
        <v/>
      </c>
      <c r="Q459" t="str">
        <f t="shared" si="117"/>
        <v/>
      </c>
      <c r="R459">
        <f>IFERROR(IF(Q459=0,"",COUNTIF($Q$3:Q459,"&gt;0")),"")</f>
        <v>16</v>
      </c>
      <c r="S459" t="str">
        <f t="shared" si="110"/>
        <v/>
      </c>
      <c r="T459" t="str">
        <f t="shared" si="118"/>
        <v/>
      </c>
      <c r="U459">
        <f>IFERROR(IF(T459=0,"",COUNTIF($T$3:T459,"&gt;0")),"")</f>
        <v>0</v>
      </c>
      <c r="V459" t="str">
        <f t="shared" si="111"/>
        <v/>
      </c>
    </row>
    <row r="460" spans="1:22">
      <c r="A460" t="e">
        <f t="shared" si="106"/>
        <v>#VALUE!</v>
      </c>
      <c r="B460" t="e">
        <f>Table4[[#This Row],[CATEGORY]]</f>
        <v>#VALUE!</v>
      </c>
      <c r="C460" t="e">
        <f>Table4[[#This Row],[SUB-CATEGORY]]</f>
        <v>#VALUE!</v>
      </c>
      <c r="D460">
        <f>'RJ ATTENDENCE SHEET'!C:C</f>
        <v>0</v>
      </c>
      <c r="E460" t="e">
        <f t="shared" si="105"/>
        <v>#VALUE!</v>
      </c>
      <c r="F460" t="str">
        <f t="shared" si="112"/>
        <v/>
      </c>
      <c r="G460">
        <f>IFERROR(IF(F460=0,"",COUNTIF($F$3:F460,"&gt;0")),"")</f>
        <v>16</v>
      </c>
      <c r="H460" t="str">
        <f t="shared" si="107"/>
        <v/>
      </c>
      <c r="I460" t="str">
        <f t="shared" si="113"/>
        <v/>
      </c>
      <c r="J460">
        <f>IFERROR(IF(I460=0,"",COUNTIF($I$3:I460,"&gt;0")),"")</f>
        <v>34</v>
      </c>
      <c r="K460" t="str">
        <f t="shared" si="108"/>
        <v/>
      </c>
      <c r="L460" t="str">
        <f t="shared" si="114"/>
        <v/>
      </c>
      <c r="M460" t="str">
        <f t="shared" si="115"/>
        <v/>
      </c>
      <c r="N460">
        <f>IFERROR(IF(M460=0,"",COUNTIF($M$3:M460,"&gt;0")),"")</f>
        <v>33</v>
      </c>
      <c r="O460" t="str">
        <f t="shared" si="109"/>
        <v/>
      </c>
      <c r="P460" t="str">
        <f t="shared" si="116"/>
        <v/>
      </c>
      <c r="Q460" t="str">
        <f t="shared" si="117"/>
        <v/>
      </c>
      <c r="R460">
        <f>IFERROR(IF(Q460=0,"",COUNTIF($Q$3:Q460,"&gt;0")),"")</f>
        <v>16</v>
      </c>
      <c r="S460" t="str">
        <f t="shared" si="110"/>
        <v/>
      </c>
      <c r="T460" t="str">
        <f t="shared" si="118"/>
        <v/>
      </c>
      <c r="U460">
        <f>IFERROR(IF(T460=0,"",COUNTIF($T$3:T460,"&gt;0")),"")</f>
        <v>0</v>
      </c>
      <c r="V460" t="str">
        <f t="shared" si="111"/>
        <v/>
      </c>
    </row>
    <row r="461" spans="1:22">
      <c r="A461" t="e">
        <f t="shared" si="106"/>
        <v>#VALUE!</v>
      </c>
      <c r="B461" t="e">
        <f>Table4[[#This Row],[CATEGORY]]</f>
        <v>#VALUE!</v>
      </c>
      <c r="C461" t="e">
        <f>Table4[[#This Row],[SUB-CATEGORY]]</f>
        <v>#VALUE!</v>
      </c>
      <c r="D461">
        <f>'RJ ATTENDENCE SHEET'!C:C</f>
        <v>0</v>
      </c>
      <c r="E461" t="e">
        <f t="shared" si="105"/>
        <v>#VALUE!</v>
      </c>
      <c r="F461" t="str">
        <f t="shared" si="112"/>
        <v/>
      </c>
      <c r="G461">
        <f>IFERROR(IF(F461=0,"",COUNTIF($F$3:F461,"&gt;0")),"")</f>
        <v>16</v>
      </c>
      <c r="H461" t="str">
        <f t="shared" si="107"/>
        <v/>
      </c>
      <c r="I461" t="str">
        <f t="shared" si="113"/>
        <v/>
      </c>
      <c r="J461">
        <f>IFERROR(IF(I461=0,"",COUNTIF($I$3:I461,"&gt;0")),"")</f>
        <v>34</v>
      </c>
      <c r="K461" t="str">
        <f t="shared" si="108"/>
        <v/>
      </c>
      <c r="L461" t="str">
        <f t="shared" si="114"/>
        <v/>
      </c>
      <c r="M461" t="str">
        <f t="shared" si="115"/>
        <v/>
      </c>
      <c r="N461">
        <f>IFERROR(IF(M461=0,"",COUNTIF($M$3:M461,"&gt;0")),"")</f>
        <v>33</v>
      </c>
      <c r="O461" t="str">
        <f t="shared" si="109"/>
        <v/>
      </c>
      <c r="P461" t="str">
        <f t="shared" si="116"/>
        <v/>
      </c>
      <c r="Q461" t="str">
        <f t="shared" si="117"/>
        <v/>
      </c>
      <c r="R461">
        <f>IFERROR(IF(Q461=0,"",COUNTIF($Q$3:Q461,"&gt;0")),"")</f>
        <v>16</v>
      </c>
      <c r="S461" t="str">
        <f t="shared" si="110"/>
        <v/>
      </c>
      <c r="T461" t="str">
        <f t="shared" si="118"/>
        <v/>
      </c>
      <c r="U461">
        <f>IFERROR(IF(T461=0,"",COUNTIF($T$3:T461,"&gt;0")),"")</f>
        <v>0</v>
      </c>
      <c r="V461" t="str">
        <f t="shared" si="111"/>
        <v/>
      </c>
    </row>
    <row r="462" spans="1:22">
      <c r="A462" t="e">
        <f t="shared" si="106"/>
        <v>#VALUE!</v>
      </c>
      <c r="B462" t="e">
        <f>Table4[[#This Row],[CATEGORY]]</f>
        <v>#VALUE!</v>
      </c>
      <c r="C462" t="e">
        <f>Table4[[#This Row],[SUB-CATEGORY]]</f>
        <v>#VALUE!</v>
      </c>
      <c r="D462">
        <f>'RJ ATTENDENCE SHEET'!C:C</f>
        <v>0</v>
      </c>
      <c r="E462" t="e">
        <f t="shared" si="105"/>
        <v>#VALUE!</v>
      </c>
      <c r="F462" t="str">
        <f t="shared" si="112"/>
        <v/>
      </c>
      <c r="G462">
        <f>IFERROR(IF(F462=0,"",COUNTIF($F$3:F462,"&gt;0")),"")</f>
        <v>16</v>
      </c>
      <c r="H462" t="str">
        <f t="shared" si="107"/>
        <v/>
      </c>
      <c r="I462" t="str">
        <f t="shared" si="113"/>
        <v/>
      </c>
      <c r="J462">
        <f>IFERROR(IF(I462=0,"",COUNTIF($I$3:I462,"&gt;0")),"")</f>
        <v>34</v>
      </c>
      <c r="K462" t="str">
        <f t="shared" si="108"/>
        <v/>
      </c>
      <c r="L462" t="str">
        <f t="shared" si="114"/>
        <v/>
      </c>
      <c r="M462" t="str">
        <f t="shared" si="115"/>
        <v/>
      </c>
      <c r="N462">
        <f>IFERROR(IF(M462=0,"",COUNTIF($M$3:M462,"&gt;0")),"")</f>
        <v>33</v>
      </c>
      <c r="O462" t="str">
        <f t="shared" si="109"/>
        <v/>
      </c>
      <c r="P462" t="str">
        <f t="shared" si="116"/>
        <v/>
      </c>
      <c r="Q462" t="str">
        <f t="shared" si="117"/>
        <v/>
      </c>
      <c r="R462">
        <f>IFERROR(IF(Q462=0,"",COUNTIF($Q$3:Q462,"&gt;0")),"")</f>
        <v>16</v>
      </c>
      <c r="S462" t="str">
        <f t="shared" si="110"/>
        <v/>
      </c>
      <c r="T462" t="str">
        <f t="shared" si="118"/>
        <v/>
      </c>
      <c r="U462">
        <f>IFERROR(IF(T462=0,"",COUNTIF($T$3:T462,"&gt;0")),"")</f>
        <v>0</v>
      </c>
      <c r="V462" t="str">
        <f t="shared" si="111"/>
        <v/>
      </c>
    </row>
    <row r="463" spans="1:22">
      <c r="A463" t="e">
        <f t="shared" si="106"/>
        <v>#VALUE!</v>
      </c>
      <c r="B463" t="e">
        <f>Table4[[#This Row],[CATEGORY]]</f>
        <v>#VALUE!</v>
      </c>
      <c r="C463" t="e">
        <f>Table4[[#This Row],[SUB-CATEGORY]]</f>
        <v>#VALUE!</v>
      </c>
      <c r="D463">
        <f>'RJ ATTENDENCE SHEET'!C:C</f>
        <v>0</v>
      </c>
      <c r="E463" t="e">
        <f t="shared" si="105"/>
        <v>#VALUE!</v>
      </c>
      <c r="F463" t="str">
        <f t="shared" si="112"/>
        <v/>
      </c>
      <c r="G463">
        <f>IFERROR(IF(F463=0,"",COUNTIF($F$3:F463,"&gt;0")),"")</f>
        <v>16</v>
      </c>
      <c r="H463" t="str">
        <f t="shared" si="107"/>
        <v/>
      </c>
      <c r="I463" t="str">
        <f t="shared" si="113"/>
        <v/>
      </c>
      <c r="J463">
        <f>IFERROR(IF(I463=0,"",COUNTIF($I$3:I463,"&gt;0")),"")</f>
        <v>34</v>
      </c>
      <c r="K463" t="str">
        <f t="shared" si="108"/>
        <v/>
      </c>
      <c r="L463" t="str">
        <f t="shared" si="114"/>
        <v/>
      </c>
      <c r="M463" t="str">
        <f t="shared" si="115"/>
        <v/>
      </c>
      <c r="N463">
        <f>IFERROR(IF(M463=0,"",COUNTIF($M$3:M463,"&gt;0")),"")</f>
        <v>33</v>
      </c>
      <c r="O463" t="str">
        <f t="shared" si="109"/>
        <v/>
      </c>
      <c r="P463" t="str">
        <f t="shared" si="116"/>
        <v/>
      </c>
      <c r="Q463" t="str">
        <f t="shared" si="117"/>
        <v/>
      </c>
      <c r="R463">
        <f>IFERROR(IF(Q463=0,"",COUNTIF($Q$3:Q463,"&gt;0")),"")</f>
        <v>16</v>
      </c>
      <c r="S463" t="str">
        <f t="shared" si="110"/>
        <v/>
      </c>
      <c r="T463" t="str">
        <f t="shared" si="118"/>
        <v/>
      </c>
      <c r="U463">
        <f>IFERROR(IF(T463=0,"",COUNTIF($T$3:T463,"&gt;0")),"")</f>
        <v>0</v>
      </c>
      <c r="V463" t="str">
        <f t="shared" si="111"/>
        <v/>
      </c>
    </row>
    <row r="464" spans="1:22">
      <c r="A464" t="e">
        <f t="shared" si="106"/>
        <v>#VALUE!</v>
      </c>
      <c r="B464" t="e">
        <f>Table4[[#This Row],[CATEGORY]]</f>
        <v>#VALUE!</v>
      </c>
      <c r="C464" t="e">
        <f>Table4[[#This Row],[SUB-CATEGORY]]</f>
        <v>#VALUE!</v>
      </c>
      <c r="D464">
        <f>'RJ ATTENDENCE SHEET'!C:C</f>
        <v>0</v>
      </c>
      <c r="E464" t="e">
        <f t="shared" si="105"/>
        <v>#VALUE!</v>
      </c>
      <c r="F464" t="str">
        <f t="shared" si="112"/>
        <v/>
      </c>
      <c r="G464">
        <f>IFERROR(IF(F464=0,"",COUNTIF($F$3:F464,"&gt;0")),"")</f>
        <v>16</v>
      </c>
      <c r="H464" t="str">
        <f t="shared" si="107"/>
        <v/>
      </c>
      <c r="I464" t="str">
        <f t="shared" si="113"/>
        <v/>
      </c>
      <c r="J464">
        <f>IFERROR(IF(I464=0,"",COUNTIF($I$3:I464,"&gt;0")),"")</f>
        <v>34</v>
      </c>
      <c r="K464" t="str">
        <f t="shared" si="108"/>
        <v/>
      </c>
      <c r="L464" t="str">
        <f t="shared" si="114"/>
        <v/>
      </c>
      <c r="M464" t="str">
        <f t="shared" si="115"/>
        <v/>
      </c>
      <c r="N464">
        <f>IFERROR(IF(M464=0,"",COUNTIF($M$3:M464,"&gt;0")),"")</f>
        <v>33</v>
      </c>
      <c r="O464" t="str">
        <f t="shared" si="109"/>
        <v/>
      </c>
      <c r="P464" t="str">
        <f t="shared" si="116"/>
        <v/>
      </c>
      <c r="Q464" t="str">
        <f t="shared" si="117"/>
        <v/>
      </c>
      <c r="R464">
        <f>IFERROR(IF(Q464=0,"",COUNTIF($Q$3:Q464,"&gt;0")),"")</f>
        <v>16</v>
      </c>
      <c r="S464" t="str">
        <f t="shared" si="110"/>
        <v/>
      </c>
      <c r="T464" t="str">
        <f t="shared" si="118"/>
        <v/>
      </c>
      <c r="U464">
        <f>IFERROR(IF(T464=0,"",COUNTIF($T$3:T464,"&gt;0")),"")</f>
        <v>0</v>
      </c>
      <c r="V464" t="str">
        <f t="shared" si="111"/>
        <v/>
      </c>
    </row>
    <row r="465" spans="1:22">
      <c r="A465" t="e">
        <f t="shared" si="106"/>
        <v>#VALUE!</v>
      </c>
      <c r="B465" t="e">
        <f>Table4[[#This Row],[CATEGORY]]</f>
        <v>#VALUE!</v>
      </c>
      <c r="C465" t="e">
        <f>Table4[[#This Row],[SUB-CATEGORY]]</f>
        <v>#VALUE!</v>
      </c>
      <c r="D465">
        <f>'RJ ATTENDENCE SHEET'!C:C</f>
        <v>0</v>
      </c>
      <c r="E465" t="e">
        <f t="shared" si="105"/>
        <v>#VALUE!</v>
      </c>
      <c r="F465" t="str">
        <f t="shared" si="112"/>
        <v/>
      </c>
      <c r="G465">
        <f>IFERROR(IF(F465=0,"",COUNTIF($F$3:F465,"&gt;0")),"")</f>
        <v>16</v>
      </c>
      <c r="H465" t="str">
        <f t="shared" si="107"/>
        <v/>
      </c>
      <c r="I465" t="str">
        <f t="shared" si="113"/>
        <v/>
      </c>
      <c r="J465">
        <f>IFERROR(IF(I465=0,"",COUNTIF($I$3:I465,"&gt;0")),"")</f>
        <v>34</v>
      </c>
      <c r="K465" t="str">
        <f t="shared" si="108"/>
        <v/>
      </c>
      <c r="L465" t="str">
        <f t="shared" si="114"/>
        <v/>
      </c>
      <c r="M465" t="str">
        <f t="shared" si="115"/>
        <v/>
      </c>
      <c r="N465">
        <f>IFERROR(IF(M465=0,"",COUNTIF($M$3:M465,"&gt;0")),"")</f>
        <v>33</v>
      </c>
      <c r="O465" t="str">
        <f t="shared" si="109"/>
        <v/>
      </c>
      <c r="P465" t="str">
        <f t="shared" si="116"/>
        <v/>
      </c>
      <c r="Q465" t="str">
        <f t="shared" si="117"/>
        <v/>
      </c>
      <c r="R465">
        <f>IFERROR(IF(Q465=0,"",COUNTIF($Q$3:Q465,"&gt;0")),"")</f>
        <v>16</v>
      </c>
      <c r="S465" t="str">
        <f t="shared" si="110"/>
        <v/>
      </c>
      <c r="T465" t="str">
        <f t="shared" si="118"/>
        <v/>
      </c>
      <c r="U465">
        <f>IFERROR(IF(T465=0,"",COUNTIF($T$3:T465,"&gt;0")),"")</f>
        <v>0</v>
      </c>
      <c r="V465" t="str">
        <f t="shared" si="111"/>
        <v/>
      </c>
    </row>
    <row r="466" spans="1:22">
      <c r="A466" t="e">
        <f t="shared" si="106"/>
        <v>#VALUE!</v>
      </c>
      <c r="B466" t="e">
        <f>Table4[[#This Row],[CATEGORY]]</f>
        <v>#VALUE!</v>
      </c>
      <c r="C466" t="e">
        <f>Table4[[#This Row],[SUB-CATEGORY]]</f>
        <v>#VALUE!</v>
      </c>
      <c r="D466">
        <f>'RJ ATTENDENCE SHEET'!C:C</f>
        <v>0</v>
      </c>
      <c r="E466" t="e">
        <f t="shared" si="105"/>
        <v>#VALUE!</v>
      </c>
      <c r="F466" t="str">
        <f t="shared" si="112"/>
        <v/>
      </c>
      <c r="G466">
        <f>IFERROR(IF(F466=0,"",COUNTIF($F$3:F466,"&gt;0")),"")</f>
        <v>16</v>
      </c>
      <c r="H466" t="str">
        <f t="shared" si="107"/>
        <v/>
      </c>
      <c r="I466" t="str">
        <f t="shared" si="113"/>
        <v/>
      </c>
      <c r="J466">
        <f>IFERROR(IF(I466=0,"",COUNTIF($I$3:I466,"&gt;0")),"")</f>
        <v>34</v>
      </c>
      <c r="K466" t="str">
        <f t="shared" si="108"/>
        <v/>
      </c>
      <c r="L466" t="str">
        <f t="shared" si="114"/>
        <v/>
      </c>
      <c r="M466" t="str">
        <f t="shared" si="115"/>
        <v/>
      </c>
      <c r="N466">
        <f>IFERROR(IF(M466=0,"",COUNTIF($M$3:M466,"&gt;0")),"")</f>
        <v>33</v>
      </c>
      <c r="O466" t="str">
        <f t="shared" si="109"/>
        <v/>
      </c>
      <c r="P466" t="str">
        <f t="shared" si="116"/>
        <v/>
      </c>
      <c r="Q466" t="str">
        <f t="shared" si="117"/>
        <v/>
      </c>
      <c r="R466">
        <f>IFERROR(IF(Q466=0,"",COUNTIF($Q$3:Q466,"&gt;0")),"")</f>
        <v>16</v>
      </c>
      <c r="S466" t="str">
        <f t="shared" si="110"/>
        <v/>
      </c>
      <c r="T466" t="str">
        <f t="shared" si="118"/>
        <v/>
      </c>
      <c r="U466">
        <f>IFERROR(IF(T466=0,"",COUNTIF($T$3:T466,"&gt;0")),"")</f>
        <v>0</v>
      </c>
      <c r="V466" t="str">
        <f t="shared" si="111"/>
        <v/>
      </c>
    </row>
    <row r="467" spans="1:22">
      <c r="A467" t="e">
        <f t="shared" si="106"/>
        <v>#VALUE!</v>
      </c>
      <c r="B467" t="e">
        <f>Table4[[#This Row],[CATEGORY]]</f>
        <v>#VALUE!</v>
      </c>
      <c r="C467" t="e">
        <f>Table4[[#This Row],[SUB-CATEGORY]]</f>
        <v>#VALUE!</v>
      </c>
      <c r="D467">
        <f>'RJ ATTENDENCE SHEET'!C:C</f>
        <v>0</v>
      </c>
      <c r="E467" t="e">
        <f t="shared" si="105"/>
        <v>#VALUE!</v>
      </c>
      <c r="F467" t="str">
        <f t="shared" si="112"/>
        <v/>
      </c>
      <c r="G467">
        <f>IFERROR(IF(F467=0,"",COUNTIF($F$3:F467,"&gt;0")),"")</f>
        <v>16</v>
      </c>
      <c r="H467" t="str">
        <f t="shared" si="107"/>
        <v/>
      </c>
      <c r="I467" t="str">
        <f t="shared" si="113"/>
        <v/>
      </c>
      <c r="J467">
        <f>IFERROR(IF(I467=0,"",COUNTIF($I$3:I467,"&gt;0")),"")</f>
        <v>34</v>
      </c>
      <c r="K467" t="str">
        <f t="shared" si="108"/>
        <v/>
      </c>
      <c r="L467" t="str">
        <f t="shared" si="114"/>
        <v/>
      </c>
      <c r="M467" t="str">
        <f t="shared" si="115"/>
        <v/>
      </c>
      <c r="N467">
        <f>IFERROR(IF(M467=0,"",COUNTIF($M$3:M467,"&gt;0")),"")</f>
        <v>33</v>
      </c>
      <c r="O467" t="str">
        <f t="shared" si="109"/>
        <v/>
      </c>
      <c r="P467" t="str">
        <f t="shared" si="116"/>
        <v/>
      </c>
      <c r="Q467" t="str">
        <f t="shared" si="117"/>
        <v/>
      </c>
      <c r="R467">
        <f>IFERROR(IF(Q467=0,"",COUNTIF($Q$3:Q467,"&gt;0")),"")</f>
        <v>16</v>
      </c>
      <c r="S467" t="str">
        <f t="shared" si="110"/>
        <v/>
      </c>
      <c r="T467" t="str">
        <f t="shared" si="118"/>
        <v/>
      </c>
      <c r="U467">
        <f>IFERROR(IF(T467=0,"",COUNTIF($T$3:T467,"&gt;0")),"")</f>
        <v>0</v>
      </c>
      <c r="V467" t="str">
        <f t="shared" si="111"/>
        <v/>
      </c>
    </row>
    <row r="468" spans="1:22">
      <c r="A468" t="e">
        <f t="shared" si="106"/>
        <v>#VALUE!</v>
      </c>
      <c r="B468" t="e">
        <f>Table4[[#This Row],[CATEGORY]]</f>
        <v>#VALUE!</v>
      </c>
      <c r="C468" t="e">
        <f>Table4[[#This Row],[SUB-CATEGORY]]</f>
        <v>#VALUE!</v>
      </c>
      <c r="D468">
        <f>'RJ ATTENDENCE SHEET'!C:C</f>
        <v>0</v>
      </c>
      <c r="E468" t="e">
        <f t="shared" si="105"/>
        <v>#VALUE!</v>
      </c>
      <c r="F468" t="str">
        <f t="shared" si="112"/>
        <v/>
      </c>
      <c r="G468">
        <f>IFERROR(IF(F468=0,"",COUNTIF($F$3:F468,"&gt;0")),"")</f>
        <v>16</v>
      </c>
      <c r="H468" t="str">
        <f t="shared" si="107"/>
        <v/>
      </c>
      <c r="I468" t="str">
        <f t="shared" si="113"/>
        <v/>
      </c>
      <c r="J468">
        <f>IFERROR(IF(I468=0,"",COUNTIF($I$3:I468,"&gt;0")),"")</f>
        <v>34</v>
      </c>
      <c r="K468" t="str">
        <f t="shared" si="108"/>
        <v/>
      </c>
      <c r="L468" t="str">
        <f t="shared" si="114"/>
        <v/>
      </c>
      <c r="M468" t="str">
        <f t="shared" si="115"/>
        <v/>
      </c>
      <c r="N468">
        <f>IFERROR(IF(M468=0,"",COUNTIF($M$3:M468,"&gt;0")),"")</f>
        <v>33</v>
      </c>
      <c r="O468" t="str">
        <f t="shared" si="109"/>
        <v/>
      </c>
      <c r="P468" t="str">
        <f t="shared" si="116"/>
        <v/>
      </c>
      <c r="Q468" t="str">
        <f t="shared" si="117"/>
        <v/>
      </c>
      <c r="R468">
        <f>IFERROR(IF(Q468=0,"",COUNTIF($Q$3:Q468,"&gt;0")),"")</f>
        <v>16</v>
      </c>
      <c r="S468" t="str">
        <f t="shared" si="110"/>
        <v/>
      </c>
      <c r="T468" t="str">
        <f t="shared" si="118"/>
        <v/>
      </c>
      <c r="U468">
        <f>IFERROR(IF(T468=0,"",COUNTIF($T$3:T468,"&gt;0")),"")</f>
        <v>0</v>
      </c>
      <c r="V468" t="str">
        <f t="shared" si="111"/>
        <v/>
      </c>
    </row>
    <row r="469" spans="1:22">
      <c r="A469" t="e">
        <f t="shared" si="106"/>
        <v>#VALUE!</v>
      </c>
      <c r="B469" t="e">
        <f>Table4[[#This Row],[CATEGORY]]</f>
        <v>#VALUE!</v>
      </c>
      <c r="C469" t="e">
        <f>Table4[[#This Row],[SUB-CATEGORY]]</f>
        <v>#VALUE!</v>
      </c>
      <c r="D469">
        <f>'RJ ATTENDENCE SHEET'!C:C</f>
        <v>0</v>
      </c>
      <c r="E469" t="e">
        <f t="shared" si="105"/>
        <v>#VALUE!</v>
      </c>
      <c r="F469" t="str">
        <f t="shared" si="112"/>
        <v/>
      </c>
      <c r="G469">
        <f>IFERROR(IF(F469=0,"",COUNTIF($F$3:F469,"&gt;0")),"")</f>
        <v>16</v>
      </c>
      <c r="H469" t="str">
        <f t="shared" si="107"/>
        <v/>
      </c>
      <c r="I469" t="str">
        <f t="shared" si="113"/>
        <v/>
      </c>
      <c r="J469">
        <f>IFERROR(IF(I469=0,"",COUNTIF($I$3:I469,"&gt;0")),"")</f>
        <v>34</v>
      </c>
      <c r="K469" t="str">
        <f t="shared" si="108"/>
        <v/>
      </c>
      <c r="L469" t="str">
        <f t="shared" si="114"/>
        <v/>
      </c>
      <c r="M469" t="str">
        <f t="shared" si="115"/>
        <v/>
      </c>
      <c r="N469">
        <f>IFERROR(IF(M469=0,"",COUNTIF($M$3:M469,"&gt;0")),"")</f>
        <v>33</v>
      </c>
      <c r="O469" t="str">
        <f t="shared" si="109"/>
        <v/>
      </c>
      <c r="P469" t="str">
        <f t="shared" si="116"/>
        <v/>
      </c>
      <c r="Q469" t="str">
        <f t="shared" si="117"/>
        <v/>
      </c>
      <c r="R469">
        <f>IFERROR(IF(Q469=0,"",COUNTIF($Q$3:Q469,"&gt;0")),"")</f>
        <v>16</v>
      </c>
      <c r="S469" t="str">
        <f t="shared" si="110"/>
        <v/>
      </c>
      <c r="T469" t="str">
        <f t="shared" si="118"/>
        <v/>
      </c>
      <c r="U469">
        <f>IFERROR(IF(T469=0,"",COUNTIF($T$3:T469,"&gt;0")),"")</f>
        <v>0</v>
      </c>
      <c r="V469" t="str">
        <f t="shared" si="111"/>
        <v/>
      </c>
    </row>
    <row r="470" spans="1:22">
      <c r="A470" t="e">
        <f t="shared" si="106"/>
        <v>#VALUE!</v>
      </c>
      <c r="B470" t="e">
        <f>Table4[[#This Row],[CATEGORY]]</f>
        <v>#VALUE!</v>
      </c>
      <c r="C470" t="e">
        <f>Table4[[#This Row],[SUB-CATEGORY]]</f>
        <v>#VALUE!</v>
      </c>
      <c r="D470">
        <f>'RJ ATTENDENCE SHEET'!C:C</f>
        <v>0</v>
      </c>
      <c r="E470" t="e">
        <f t="shared" si="105"/>
        <v>#VALUE!</v>
      </c>
      <c r="F470" t="str">
        <f t="shared" si="112"/>
        <v/>
      </c>
      <c r="G470">
        <f>IFERROR(IF(F470=0,"",COUNTIF($F$3:F470,"&gt;0")),"")</f>
        <v>16</v>
      </c>
      <c r="H470" t="str">
        <f t="shared" si="107"/>
        <v/>
      </c>
      <c r="I470" t="str">
        <f t="shared" si="113"/>
        <v/>
      </c>
      <c r="J470">
        <f>IFERROR(IF(I470=0,"",COUNTIF($I$3:I470,"&gt;0")),"")</f>
        <v>34</v>
      </c>
      <c r="K470" t="str">
        <f t="shared" si="108"/>
        <v/>
      </c>
      <c r="L470" t="str">
        <f t="shared" si="114"/>
        <v/>
      </c>
      <c r="M470" t="str">
        <f t="shared" si="115"/>
        <v/>
      </c>
      <c r="N470">
        <f>IFERROR(IF(M470=0,"",COUNTIF($M$3:M470,"&gt;0")),"")</f>
        <v>33</v>
      </c>
      <c r="O470" t="str">
        <f t="shared" si="109"/>
        <v/>
      </c>
      <c r="P470" t="str">
        <f t="shared" si="116"/>
        <v/>
      </c>
      <c r="Q470" t="str">
        <f t="shared" si="117"/>
        <v/>
      </c>
      <c r="R470">
        <f>IFERROR(IF(Q470=0,"",COUNTIF($Q$3:Q470,"&gt;0")),"")</f>
        <v>16</v>
      </c>
      <c r="S470" t="str">
        <f t="shared" si="110"/>
        <v/>
      </c>
      <c r="T470" t="str">
        <f t="shared" si="118"/>
        <v/>
      </c>
      <c r="U470">
        <f>IFERROR(IF(T470=0,"",COUNTIF($T$3:T470,"&gt;0")),"")</f>
        <v>0</v>
      </c>
      <c r="V470" t="str">
        <f t="shared" si="111"/>
        <v/>
      </c>
    </row>
    <row r="471" spans="1:22">
      <c r="A471" t="e">
        <f t="shared" si="106"/>
        <v>#VALUE!</v>
      </c>
      <c r="B471" t="e">
        <f>Table4[[#This Row],[CATEGORY]]</f>
        <v>#VALUE!</v>
      </c>
      <c r="C471" t="e">
        <f>Table4[[#This Row],[SUB-CATEGORY]]</f>
        <v>#VALUE!</v>
      </c>
      <c r="D471">
        <f>'RJ ATTENDENCE SHEET'!C:C</f>
        <v>0</v>
      </c>
      <c r="E471" t="e">
        <f t="shared" si="105"/>
        <v>#VALUE!</v>
      </c>
      <c r="F471" t="str">
        <f t="shared" si="112"/>
        <v/>
      </c>
      <c r="G471">
        <f>IFERROR(IF(F471=0,"",COUNTIF($F$3:F471,"&gt;0")),"")</f>
        <v>16</v>
      </c>
      <c r="H471" t="str">
        <f t="shared" si="107"/>
        <v/>
      </c>
      <c r="I471" t="str">
        <f t="shared" si="113"/>
        <v/>
      </c>
      <c r="J471">
        <f>IFERROR(IF(I471=0,"",COUNTIF($I$3:I471,"&gt;0")),"")</f>
        <v>34</v>
      </c>
      <c r="K471" t="str">
        <f t="shared" si="108"/>
        <v/>
      </c>
      <c r="L471" t="str">
        <f t="shared" si="114"/>
        <v/>
      </c>
      <c r="M471" t="str">
        <f t="shared" si="115"/>
        <v/>
      </c>
      <c r="N471">
        <f>IFERROR(IF(M471=0,"",COUNTIF($M$3:M471,"&gt;0")),"")</f>
        <v>33</v>
      </c>
      <c r="O471" t="str">
        <f t="shared" si="109"/>
        <v/>
      </c>
      <c r="P471" t="str">
        <f t="shared" si="116"/>
        <v/>
      </c>
      <c r="Q471" t="str">
        <f t="shared" si="117"/>
        <v/>
      </c>
      <c r="R471">
        <f>IFERROR(IF(Q471=0,"",COUNTIF($Q$3:Q471,"&gt;0")),"")</f>
        <v>16</v>
      </c>
      <c r="S471" t="str">
        <f t="shared" si="110"/>
        <v/>
      </c>
      <c r="T471" t="str">
        <f t="shared" si="118"/>
        <v/>
      </c>
      <c r="U471">
        <f>IFERROR(IF(T471=0,"",COUNTIF($T$3:T471,"&gt;0")),"")</f>
        <v>0</v>
      </c>
      <c r="V471" t="str">
        <f t="shared" si="111"/>
        <v/>
      </c>
    </row>
    <row r="472" spans="1:22">
      <c r="A472" t="e">
        <f t="shared" si="106"/>
        <v>#VALUE!</v>
      </c>
      <c r="B472" t="e">
        <f>Table4[[#This Row],[CATEGORY]]</f>
        <v>#VALUE!</v>
      </c>
      <c r="C472" t="e">
        <f>Table4[[#This Row],[SUB-CATEGORY]]</f>
        <v>#VALUE!</v>
      </c>
      <c r="D472">
        <f>'RJ ATTENDENCE SHEET'!C:C</f>
        <v>0</v>
      </c>
      <c r="E472" t="e">
        <f t="shared" si="105"/>
        <v>#VALUE!</v>
      </c>
      <c r="F472" t="str">
        <f t="shared" si="112"/>
        <v/>
      </c>
      <c r="G472">
        <f>IFERROR(IF(F472=0,"",COUNTIF($F$3:F472,"&gt;0")),"")</f>
        <v>16</v>
      </c>
      <c r="H472" t="str">
        <f t="shared" si="107"/>
        <v/>
      </c>
      <c r="I472" t="str">
        <f t="shared" si="113"/>
        <v/>
      </c>
      <c r="J472">
        <f>IFERROR(IF(I472=0,"",COUNTIF($I$3:I472,"&gt;0")),"")</f>
        <v>34</v>
      </c>
      <c r="K472" t="str">
        <f t="shared" si="108"/>
        <v/>
      </c>
      <c r="L472" t="str">
        <f t="shared" si="114"/>
        <v/>
      </c>
      <c r="M472" t="str">
        <f t="shared" si="115"/>
        <v/>
      </c>
      <c r="N472">
        <f>IFERROR(IF(M472=0,"",COUNTIF($M$3:M472,"&gt;0")),"")</f>
        <v>33</v>
      </c>
      <c r="O472" t="str">
        <f t="shared" si="109"/>
        <v/>
      </c>
      <c r="P472" t="str">
        <f t="shared" si="116"/>
        <v/>
      </c>
      <c r="Q472" t="str">
        <f t="shared" si="117"/>
        <v/>
      </c>
      <c r="R472">
        <f>IFERROR(IF(Q472=0,"",COUNTIF($Q$3:Q472,"&gt;0")),"")</f>
        <v>16</v>
      </c>
      <c r="S472" t="str">
        <f t="shared" si="110"/>
        <v/>
      </c>
      <c r="T472" t="str">
        <f t="shared" si="118"/>
        <v/>
      </c>
      <c r="U472">
        <f>IFERROR(IF(T472=0,"",COUNTIF($T$3:T472,"&gt;0")),"")</f>
        <v>0</v>
      </c>
      <c r="V472" t="str">
        <f t="shared" si="111"/>
        <v/>
      </c>
    </row>
    <row r="473" spans="1:22">
      <c r="A473" t="e">
        <f t="shared" si="106"/>
        <v>#VALUE!</v>
      </c>
      <c r="B473" t="e">
        <f>Table4[[#This Row],[CATEGORY]]</f>
        <v>#VALUE!</v>
      </c>
      <c r="C473" t="e">
        <f>Table4[[#This Row],[SUB-CATEGORY]]</f>
        <v>#VALUE!</v>
      </c>
      <c r="D473">
        <f>'RJ ATTENDENCE SHEET'!C:C</f>
        <v>0</v>
      </c>
      <c r="E473" t="e">
        <f t="shared" si="105"/>
        <v>#VALUE!</v>
      </c>
      <c r="F473" t="str">
        <f t="shared" si="112"/>
        <v/>
      </c>
      <c r="G473">
        <f>IFERROR(IF(F473=0,"",COUNTIF($F$3:F473,"&gt;0")),"")</f>
        <v>16</v>
      </c>
      <c r="H473" t="str">
        <f t="shared" si="107"/>
        <v/>
      </c>
      <c r="I473" t="str">
        <f t="shared" si="113"/>
        <v/>
      </c>
      <c r="J473">
        <f>IFERROR(IF(I473=0,"",COUNTIF($I$3:I473,"&gt;0")),"")</f>
        <v>34</v>
      </c>
      <c r="K473" t="str">
        <f t="shared" si="108"/>
        <v/>
      </c>
      <c r="L473" t="str">
        <f t="shared" si="114"/>
        <v/>
      </c>
      <c r="M473" t="str">
        <f t="shared" si="115"/>
        <v/>
      </c>
      <c r="N473">
        <f>IFERROR(IF(M473=0,"",COUNTIF($M$3:M473,"&gt;0")),"")</f>
        <v>33</v>
      </c>
      <c r="O473" t="str">
        <f t="shared" si="109"/>
        <v/>
      </c>
      <c r="P473" t="str">
        <f t="shared" si="116"/>
        <v/>
      </c>
      <c r="Q473" t="str">
        <f t="shared" si="117"/>
        <v/>
      </c>
      <c r="R473">
        <f>IFERROR(IF(Q473=0,"",COUNTIF($Q$3:Q473,"&gt;0")),"")</f>
        <v>16</v>
      </c>
      <c r="S473" t="str">
        <f t="shared" si="110"/>
        <v/>
      </c>
      <c r="T473" t="str">
        <f t="shared" si="118"/>
        <v/>
      </c>
      <c r="U473">
        <f>IFERROR(IF(T473=0,"",COUNTIF($T$3:T473,"&gt;0")),"")</f>
        <v>0</v>
      </c>
      <c r="V473" t="str">
        <f t="shared" si="111"/>
        <v/>
      </c>
    </row>
    <row r="474" spans="1:22">
      <c r="A474" t="e">
        <f t="shared" si="106"/>
        <v>#VALUE!</v>
      </c>
      <c r="B474" t="e">
        <f>Table4[[#This Row],[CATEGORY]]</f>
        <v>#VALUE!</v>
      </c>
      <c r="C474" t="e">
        <f>Table4[[#This Row],[SUB-CATEGORY]]</f>
        <v>#VALUE!</v>
      </c>
      <c r="D474">
        <f>'RJ ATTENDENCE SHEET'!C:C</f>
        <v>0</v>
      </c>
      <c r="E474" t="e">
        <f t="shared" si="105"/>
        <v>#VALUE!</v>
      </c>
      <c r="F474" t="str">
        <f t="shared" si="112"/>
        <v/>
      </c>
      <c r="G474">
        <f>IFERROR(IF(F474=0,"",COUNTIF($F$3:F474,"&gt;0")),"")</f>
        <v>16</v>
      </c>
      <c r="H474" t="str">
        <f t="shared" si="107"/>
        <v/>
      </c>
      <c r="I474" t="str">
        <f t="shared" si="113"/>
        <v/>
      </c>
      <c r="J474">
        <f>IFERROR(IF(I474=0,"",COUNTIF($I$3:I474,"&gt;0")),"")</f>
        <v>34</v>
      </c>
      <c r="K474" t="str">
        <f t="shared" si="108"/>
        <v/>
      </c>
      <c r="L474" t="str">
        <f t="shared" si="114"/>
        <v/>
      </c>
      <c r="M474" t="str">
        <f t="shared" si="115"/>
        <v/>
      </c>
      <c r="N474">
        <f>IFERROR(IF(M474=0,"",COUNTIF($M$3:M474,"&gt;0")),"")</f>
        <v>33</v>
      </c>
      <c r="O474" t="str">
        <f t="shared" si="109"/>
        <v/>
      </c>
      <c r="P474" t="str">
        <f t="shared" si="116"/>
        <v/>
      </c>
      <c r="Q474" t="str">
        <f t="shared" si="117"/>
        <v/>
      </c>
      <c r="R474">
        <f>IFERROR(IF(Q474=0,"",COUNTIF($Q$3:Q474,"&gt;0")),"")</f>
        <v>16</v>
      </c>
      <c r="S474" t="str">
        <f t="shared" si="110"/>
        <v/>
      </c>
      <c r="T474" t="str">
        <f t="shared" si="118"/>
        <v/>
      </c>
      <c r="U474">
        <f>IFERROR(IF(T474=0,"",COUNTIF($T$3:T474,"&gt;0")),"")</f>
        <v>0</v>
      </c>
      <c r="V474" t="str">
        <f t="shared" si="111"/>
        <v/>
      </c>
    </row>
    <row r="475" spans="1:22">
      <c r="A475" t="e">
        <f t="shared" si="106"/>
        <v>#VALUE!</v>
      </c>
      <c r="B475" t="e">
        <f>Table4[[#This Row],[CATEGORY]]</f>
        <v>#VALUE!</v>
      </c>
      <c r="C475" t="e">
        <f>Table4[[#This Row],[SUB-CATEGORY]]</f>
        <v>#VALUE!</v>
      </c>
      <c r="D475">
        <f>'RJ ATTENDENCE SHEET'!C:C</f>
        <v>0</v>
      </c>
      <c r="E475" t="e">
        <f t="shared" si="105"/>
        <v>#VALUE!</v>
      </c>
      <c r="F475" t="str">
        <f t="shared" si="112"/>
        <v/>
      </c>
      <c r="G475">
        <f>IFERROR(IF(F475=0,"",COUNTIF($F$3:F475,"&gt;0")),"")</f>
        <v>16</v>
      </c>
      <c r="H475" t="str">
        <f t="shared" si="107"/>
        <v/>
      </c>
      <c r="I475" t="str">
        <f t="shared" si="113"/>
        <v/>
      </c>
      <c r="J475">
        <f>IFERROR(IF(I475=0,"",COUNTIF($I$3:I475,"&gt;0")),"")</f>
        <v>34</v>
      </c>
      <c r="K475" t="str">
        <f t="shared" si="108"/>
        <v/>
      </c>
      <c r="L475" t="str">
        <f t="shared" si="114"/>
        <v/>
      </c>
      <c r="M475" t="str">
        <f t="shared" si="115"/>
        <v/>
      </c>
      <c r="N475">
        <f>IFERROR(IF(M475=0,"",COUNTIF($M$3:M475,"&gt;0")),"")</f>
        <v>33</v>
      </c>
      <c r="O475" t="str">
        <f t="shared" si="109"/>
        <v/>
      </c>
      <c r="P475" t="str">
        <f t="shared" si="116"/>
        <v/>
      </c>
      <c r="Q475" t="str">
        <f t="shared" si="117"/>
        <v/>
      </c>
      <c r="R475">
        <f>IFERROR(IF(Q475=0,"",COUNTIF($Q$3:Q475,"&gt;0")),"")</f>
        <v>16</v>
      </c>
      <c r="S475" t="str">
        <f t="shared" si="110"/>
        <v/>
      </c>
      <c r="T475" t="str">
        <f t="shared" si="118"/>
        <v/>
      </c>
      <c r="U475">
        <f>IFERROR(IF(T475=0,"",COUNTIF($T$3:T475,"&gt;0")),"")</f>
        <v>0</v>
      </c>
      <c r="V475" t="str">
        <f t="shared" si="111"/>
        <v/>
      </c>
    </row>
    <row r="476" spans="1:22">
      <c r="A476" t="e">
        <f t="shared" si="106"/>
        <v>#VALUE!</v>
      </c>
      <c r="B476" t="e">
        <f>Table4[[#This Row],[CATEGORY]]</f>
        <v>#VALUE!</v>
      </c>
      <c r="C476" t="e">
        <f>Table4[[#This Row],[SUB-CATEGORY]]</f>
        <v>#VALUE!</v>
      </c>
      <c r="D476">
        <f>'RJ ATTENDENCE SHEET'!C:C</f>
        <v>0</v>
      </c>
      <c r="E476" t="e">
        <f t="shared" si="105"/>
        <v>#VALUE!</v>
      </c>
      <c r="F476" t="str">
        <f t="shared" si="112"/>
        <v/>
      </c>
      <c r="G476">
        <f>IFERROR(IF(F476=0,"",COUNTIF($F$3:F476,"&gt;0")),"")</f>
        <v>16</v>
      </c>
      <c r="H476" t="str">
        <f t="shared" si="107"/>
        <v/>
      </c>
      <c r="I476" t="str">
        <f t="shared" si="113"/>
        <v/>
      </c>
      <c r="J476">
        <f>IFERROR(IF(I476=0,"",COUNTIF($I$3:I476,"&gt;0")),"")</f>
        <v>34</v>
      </c>
      <c r="K476" t="str">
        <f t="shared" si="108"/>
        <v/>
      </c>
      <c r="L476" t="str">
        <f t="shared" si="114"/>
        <v/>
      </c>
      <c r="M476" t="str">
        <f t="shared" si="115"/>
        <v/>
      </c>
      <c r="N476">
        <f>IFERROR(IF(M476=0,"",COUNTIF($M$3:M476,"&gt;0")),"")</f>
        <v>33</v>
      </c>
      <c r="O476" t="str">
        <f t="shared" si="109"/>
        <v/>
      </c>
      <c r="P476" t="str">
        <f t="shared" si="116"/>
        <v/>
      </c>
      <c r="Q476" t="str">
        <f t="shared" si="117"/>
        <v/>
      </c>
      <c r="R476">
        <f>IFERROR(IF(Q476=0,"",COUNTIF($Q$3:Q476,"&gt;0")),"")</f>
        <v>16</v>
      </c>
      <c r="S476" t="str">
        <f t="shared" si="110"/>
        <v/>
      </c>
      <c r="T476" t="str">
        <f t="shared" si="118"/>
        <v/>
      </c>
      <c r="U476">
        <f>IFERROR(IF(T476=0,"",COUNTIF($T$3:T476,"&gt;0")),"")</f>
        <v>0</v>
      </c>
      <c r="V476" t="str">
        <f t="shared" si="111"/>
        <v/>
      </c>
    </row>
    <row r="477" spans="1:22">
      <c r="A477" t="e">
        <f t="shared" si="106"/>
        <v>#VALUE!</v>
      </c>
      <c r="B477" t="e">
        <f>Table4[[#This Row],[CATEGORY]]</f>
        <v>#VALUE!</v>
      </c>
      <c r="C477" t="e">
        <f>Table4[[#This Row],[SUB-CATEGORY]]</f>
        <v>#VALUE!</v>
      </c>
      <c r="D477">
        <f>'RJ ATTENDENCE SHEET'!C:C</f>
        <v>0</v>
      </c>
      <c r="E477" t="e">
        <f t="shared" si="105"/>
        <v>#VALUE!</v>
      </c>
      <c r="F477" t="str">
        <f t="shared" si="112"/>
        <v/>
      </c>
      <c r="G477">
        <f>IFERROR(IF(F477=0,"",COUNTIF($F$3:F477,"&gt;0")),"")</f>
        <v>16</v>
      </c>
      <c r="H477" t="str">
        <f t="shared" si="107"/>
        <v/>
      </c>
      <c r="I477" t="str">
        <f t="shared" si="113"/>
        <v/>
      </c>
      <c r="J477">
        <f>IFERROR(IF(I477=0,"",COUNTIF($I$3:I477,"&gt;0")),"")</f>
        <v>34</v>
      </c>
      <c r="K477" t="str">
        <f t="shared" si="108"/>
        <v/>
      </c>
      <c r="L477" t="str">
        <f t="shared" si="114"/>
        <v/>
      </c>
      <c r="M477" t="str">
        <f t="shared" si="115"/>
        <v/>
      </c>
      <c r="N477">
        <f>IFERROR(IF(M477=0,"",COUNTIF($M$3:M477,"&gt;0")),"")</f>
        <v>33</v>
      </c>
      <c r="O477" t="str">
        <f t="shared" si="109"/>
        <v/>
      </c>
      <c r="P477" t="str">
        <f t="shared" si="116"/>
        <v/>
      </c>
      <c r="Q477" t="str">
        <f t="shared" si="117"/>
        <v/>
      </c>
      <c r="R477">
        <f>IFERROR(IF(Q477=0,"",COUNTIF($Q$3:Q477,"&gt;0")),"")</f>
        <v>16</v>
      </c>
      <c r="S477" t="str">
        <f t="shared" si="110"/>
        <v/>
      </c>
      <c r="T477" t="str">
        <f t="shared" si="118"/>
        <v/>
      </c>
      <c r="U477">
        <f>IFERROR(IF(T477=0,"",COUNTIF($T$3:T477,"&gt;0")),"")</f>
        <v>0</v>
      </c>
      <c r="V477" t="str">
        <f t="shared" si="111"/>
        <v/>
      </c>
    </row>
    <row r="478" spans="1:22">
      <c r="A478" t="e">
        <f t="shared" si="106"/>
        <v>#VALUE!</v>
      </c>
      <c r="B478" t="e">
        <f>Table4[[#This Row],[CATEGORY]]</f>
        <v>#VALUE!</v>
      </c>
      <c r="C478" t="e">
        <f>Table4[[#This Row],[SUB-CATEGORY]]</f>
        <v>#VALUE!</v>
      </c>
      <c r="D478">
        <f>'RJ ATTENDENCE SHEET'!C:C</f>
        <v>0</v>
      </c>
      <c r="E478" t="e">
        <f t="shared" si="105"/>
        <v>#VALUE!</v>
      </c>
      <c r="F478" t="str">
        <f t="shared" si="112"/>
        <v/>
      </c>
      <c r="G478">
        <f>IFERROR(IF(F478=0,"",COUNTIF($F$3:F478,"&gt;0")),"")</f>
        <v>16</v>
      </c>
      <c r="H478" t="str">
        <f t="shared" si="107"/>
        <v/>
      </c>
      <c r="I478" t="str">
        <f t="shared" si="113"/>
        <v/>
      </c>
      <c r="J478">
        <f>IFERROR(IF(I478=0,"",COUNTIF($I$3:I478,"&gt;0")),"")</f>
        <v>34</v>
      </c>
      <c r="K478" t="str">
        <f t="shared" si="108"/>
        <v/>
      </c>
      <c r="L478" t="str">
        <f t="shared" si="114"/>
        <v/>
      </c>
      <c r="M478" t="str">
        <f t="shared" si="115"/>
        <v/>
      </c>
      <c r="N478">
        <f>IFERROR(IF(M478=0,"",COUNTIF($M$3:M478,"&gt;0")),"")</f>
        <v>33</v>
      </c>
      <c r="O478" t="str">
        <f t="shared" si="109"/>
        <v/>
      </c>
      <c r="P478" t="str">
        <f t="shared" si="116"/>
        <v/>
      </c>
      <c r="Q478" t="str">
        <f t="shared" si="117"/>
        <v/>
      </c>
      <c r="R478">
        <f>IFERROR(IF(Q478=0,"",COUNTIF($Q$3:Q478,"&gt;0")),"")</f>
        <v>16</v>
      </c>
      <c r="S478" t="str">
        <f t="shared" si="110"/>
        <v/>
      </c>
      <c r="T478" t="str">
        <f t="shared" si="118"/>
        <v/>
      </c>
      <c r="U478">
        <f>IFERROR(IF(T478=0,"",COUNTIF($T$3:T478,"&gt;0")),"")</f>
        <v>0</v>
      </c>
      <c r="V478" t="str">
        <f t="shared" si="111"/>
        <v/>
      </c>
    </row>
    <row r="479" spans="1:22">
      <c r="A479" t="e">
        <f t="shared" si="106"/>
        <v>#VALUE!</v>
      </c>
      <c r="B479" t="e">
        <f>Table4[[#This Row],[CATEGORY]]</f>
        <v>#VALUE!</v>
      </c>
      <c r="C479" t="e">
        <f>Table4[[#This Row],[SUB-CATEGORY]]</f>
        <v>#VALUE!</v>
      </c>
      <c r="D479">
        <f>'RJ ATTENDENCE SHEET'!C:C</f>
        <v>0</v>
      </c>
      <c r="E479" t="e">
        <f t="shared" si="105"/>
        <v>#VALUE!</v>
      </c>
      <c r="F479" t="str">
        <f t="shared" si="112"/>
        <v/>
      </c>
      <c r="G479">
        <f>IFERROR(IF(F479=0,"",COUNTIF($F$3:F479,"&gt;0")),"")</f>
        <v>16</v>
      </c>
      <c r="H479" t="str">
        <f t="shared" si="107"/>
        <v/>
      </c>
      <c r="I479" t="str">
        <f t="shared" si="113"/>
        <v/>
      </c>
      <c r="J479">
        <f>IFERROR(IF(I479=0,"",COUNTIF($I$3:I479,"&gt;0")),"")</f>
        <v>34</v>
      </c>
      <c r="K479" t="str">
        <f t="shared" si="108"/>
        <v/>
      </c>
      <c r="L479" t="str">
        <f t="shared" si="114"/>
        <v/>
      </c>
      <c r="M479" t="str">
        <f t="shared" si="115"/>
        <v/>
      </c>
      <c r="N479">
        <f>IFERROR(IF(M479=0,"",COUNTIF($M$3:M479,"&gt;0")),"")</f>
        <v>33</v>
      </c>
      <c r="O479" t="str">
        <f t="shared" si="109"/>
        <v/>
      </c>
      <c r="P479" t="str">
        <f t="shared" si="116"/>
        <v/>
      </c>
      <c r="Q479" t="str">
        <f t="shared" si="117"/>
        <v/>
      </c>
      <c r="R479">
        <f>IFERROR(IF(Q479=0,"",COUNTIF($Q$3:Q479,"&gt;0")),"")</f>
        <v>16</v>
      </c>
      <c r="S479" t="str">
        <f t="shared" si="110"/>
        <v/>
      </c>
      <c r="T479" t="str">
        <f t="shared" si="118"/>
        <v/>
      </c>
      <c r="U479">
        <f>IFERROR(IF(T479=0,"",COUNTIF($T$3:T479,"&gt;0")),"")</f>
        <v>0</v>
      </c>
      <c r="V479" t="str">
        <f t="shared" si="111"/>
        <v/>
      </c>
    </row>
    <row r="480" spans="1:22">
      <c r="A480" t="e">
        <f t="shared" si="106"/>
        <v>#VALUE!</v>
      </c>
      <c r="B480" t="e">
        <f>Table4[[#This Row],[CATEGORY]]</f>
        <v>#VALUE!</v>
      </c>
      <c r="C480" t="e">
        <f>Table4[[#This Row],[SUB-CATEGORY]]</f>
        <v>#VALUE!</v>
      </c>
      <c r="D480">
        <f>'RJ ATTENDENCE SHEET'!C:C</f>
        <v>0</v>
      </c>
      <c r="E480" t="e">
        <f t="shared" si="105"/>
        <v>#VALUE!</v>
      </c>
      <c r="F480" t="str">
        <f t="shared" si="112"/>
        <v/>
      </c>
      <c r="G480">
        <f>IFERROR(IF(F480=0,"",COUNTIF($F$3:F480,"&gt;0")),"")</f>
        <v>16</v>
      </c>
      <c r="H480" t="str">
        <f t="shared" si="107"/>
        <v/>
      </c>
      <c r="I480" t="str">
        <f t="shared" si="113"/>
        <v/>
      </c>
      <c r="J480">
        <f>IFERROR(IF(I480=0,"",COUNTIF($I$3:I480,"&gt;0")),"")</f>
        <v>34</v>
      </c>
      <c r="K480" t="str">
        <f t="shared" si="108"/>
        <v/>
      </c>
      <c r="L480" t="str">
        <f t="shared" si="114"/>
        <v/>
      </c>
      <c r="M480" t="str">
        <f t="shared" si="115"/>
        <v/>
      </c>
      <c r="N480">
        <f>IFERROR(IF(M480=0,"",COUNTIF($M$3:M480,"&gt;0")),"")</f>
        <v>33</v>
      </c>
      <c r="O480" t="str">
        <f t="shared" si="109"/>
        <v/>
      </c>
      <c r="P480" t="str">
        <f t="shared" si="116"/>
        <v/>
      </c>
      <c r="Q480" t="str">
        <f t="shared" si="117"/>
        <v/>
      </c>
      <c r="R480">
        <f>IFERROR(IF(Q480=0,"",COUNTIF($Q$3:Q480,"&gt;0")),"")</f>
        <v>16</v>
      </c>
      <c r="S480" t="str">
        <f t="shared" si="110"/>
        <v/>
      </c>
      <c r="T480" t="str">
        <f t="shared" si="118"/>
        <v/>
      </c>
      <c r="U480">
        <f>IFERROR(IF(T480=0,"",COUNTIF($T$3:T480,"&gt;0")),"")</f>
        <v>0</v>
      </c>
      <c r="V480" t="str">
        <f t="shared" si="111"/>
        <v/>
      </c>
    </row>
    <row r="481" spans="1:22">
      <c r="A481" t="e">
        <f t="shared" si="106"/>
        <v>#VALUE!</v>
      </c>
      <c r="B481" t="e">
        <f>Table4[[#This Row],[CATEGORY]]</f>
        <v>#VALUE!</v>
      </c>
      <c r="C481" t="e">
        <f>Table4[[#This Row],[SUB-CATEGORY]]</f>
        <v>#VALUE!</v>
      </c>
      <c r="D481">
        <f>'RJ ATTENDENCE SHEET'!C:C</f>
        <v>0</v>
      </c>
      <c r="E481" t="e">
        <f t="shared" si="105"/>
        <v>#VALUE!</v>
      </c>
      <c r="F481" t="str">
        <f t="shared" si="112"/>
        <v/>
      </c>
      <c r="G481">
        <f>IFERROR(IF(F481=0,"",COUNTIF($F$3:F481,"&gt;0")),"")</f>
        <v>16</v>
      </c>
      <c r="H481" t="str">
        <f t="shared" si="107"/>
        <v/>
      </c>
      <c r="I481" t="str">
        <f t="shared" si="113"/>
        <v/>
      </c>
      <c r="J481">
        <f>IFERROR(IF(I481=0,"",COUNTIF($I$3:I481,"&gt;0")),"")</f>
        <v>34</v>
      </c>
      <c r="K481" t="str">
        <f t="shared" si="108"/>
        <v/>
      </c>
      <c r="L481" t="str">
        <f t="shared" si="114"/>
        <v/>
      </c>
      <c r="M481" t="str">
        <f t="shared" si="115"/>
        <v/>
      </c>
      <c r="N481">
        <f>IFERROR(IF(M481=0,"",COUNTIF($M$3:M481,"&gt;0")),"")</f>
        <v>33</v>
      </c>
      <c r="O481" t="str">
        <f t="shared" si="109"/>
        <v/>
      </c>
      <c r="P481" t="str">
        <f t="shared" si="116"/>
        <v/>
      </c>
      <c r="Q481" t="str">
        <f t="shared" si="117"/>
        <v/>
      </c>
      <c r="R481">
        <f>IFERROR(IF(Q481=0,"",COUNTIF($Q$3:Q481,"&gt;0")),"")</f>
        <v>16</v>
      </c>
      <c r="S481" t="str">
        <f t="shared" si="110"/>
        <v/>
      </c>
      <c r="T481" t="str">
        <f t="shared" si="118"/>
        <v/>
      </c>
      <c r="U481">
        <f>IFERROR(IF(T481=0,"",COUNTIF($T$3:T481,"&gt;0")),"")</f>
        <v>0</v>
      </c>
      <c r="V481" t="str">
        <f t="shared" si="111"/>
        <v/>
      </c>
    </row>
    <row r="482" spans="1:22">
      <c r="A482" t="e">
        <f t="shared" si="106"/>
        <v>#VALUE!</v>
      </c>
      <c r="B482" t="e">
        <f>Table4[[#This Row],[CATEGORY]]</f>
        <v>#VALUE!</v>
      </c>
      <c r="C482" t="e">
        <f>Table4[[#This Row],[SUB-CATEGORY]]</f>
        <v>#VALUE!</v>
      </c>
      <c r="D482">
        <f>'RJ ATTENDENCE SHEET'!C:C</f>
        <v>0</v>
      </c>
      <c r="E482" t="e">
        <f t="shared" si="105"/>
        <v>#VALUE!</v>
      </c>
      <c r="F482" t="str">
        <f t="shared" si="112"/>
        <v/>
      </c>
      <c r="G482">
        <f>IFERROR(IF(F482=0,"",COUNTIF($F$3:F482,"&gt;0")),"")</f>
        <v>16</v>
      </c>
      <c r="H482" t="str">
        <f t="shared" si="107"/>
        <v/>
      </c>
      <c r="I482" t="str">
        <f t="shared" si="113"/>
        <v/>
      </c>
      <c r="J482">
        <f>IFERROR(IF(I482=0,"",COUNTIF($I$3:I482,"&gt;0")),"")</f>
        <v>34</v>
      </c>
      <c r="K482" t="str">
        <f t="shared" si="108"/>
        <v/>
      </c>
      <c r="L482" t="str">
        <f t="shared" si="114"/>
        <v/>
      </c>
      <c r="M482" t="str">
        <f t="shared" si="115"/>
        <v/>
      </c>
      <c r="N482">
        <f>IFERROR(IF(M482=0,"",COUNTIF($M$3:M482,"&gt;0")),"")</f>
        <v>33</v>
      </c>
      <c r="O482" t="str">
        <f t="shared" si="109"/>
        <v/>
      </c>
      <c r="P482" t="str">
        <f t="shared" si="116"/>
        <v/>
      </c>
      <c r="Q482" t="str">
        <f t="shared" si="117"/>
        <v/>
      </c>
      <c r="R482">
        <f>IFERROR(IF(Q482=0,"",COUNTIF($Q$3:Q482,"&gt;0")),"")</f>
        <v>16</v>
      </c>
      <c r="S482" t="str">
        <f t="shared" si="110"/>
        <v/>
      </c>
      <c r="T482" t="str">
        <f t="shared" si="118"/>
        <v/>
      </c>
      <c r="U482">
        <f>IFERROR(IF(T482=0,"",COUNTIF($T$3:T482,"&gt;0")),"")</f>
        <v>0</v>
      </c>
      <c r="V482" t="str">
        <f t="shared" si="111"/>
        <v/>
      </c>
    </row>
    <row r="483" spans="1:22">
      <c r="A483" t="e">
        <f t="shared" si="106"/>
        <v>#VALUE!</v>
      </c>
      <c r="B483" t="e">
        <f>Table4[[#This Row],[CATEGORY]]</f>
        <v>#VALUE!</v>
      </c>
      <c r="C483" t="e">
        <f>Table4[[#This Row],[SUB-CATEGORY]]</f>
        <v>#VALUE!</v>
      </c>
      <c r="D483">
        <f>'RJ ATTENDENCE SHEET'!C:C</f>
        <v>0</v>
      </c>
      <c r="E483" t="e">
        <f t="shared" si="105"/>
        <v>#VALUE!</v>
      </c>
      <c r="F483" t="str">
        <f t="shared" si="112"/>
        <v/>
      </c>
      <c r="G483">
        <f>IFERROR(IF(F483=0,"",COUNTIF($F$3:F483,"&gt;0")),"")</f>
        <v>16</v>
      </c>
      <c r="H483" t="str">
        <f t="shared" si="107"/>
        <v/>
      </c>
      <c r="I483" t="str">
        <f t="shared" si="113"/>
        <v/>
      </c>
      <c r="J483">
        <f>IFERROR(IF(I483=0,"",COUNTIF($I$3:I483,"&gt;0")),"")</f>
        <v>34</v>
      </c>
      <c r="K483" t="str">
        <f t="shared" si="108"/>
        <v/>
      </c>
      <c r="L483" t="str">
        <f t="shared" si="114"/>
        <v/>
      </c>
      <c r="M483" t="str">
        <f t="shared" si="115"/>
        <v/>
      </c>
      <c r="N483">
        <f>IFERROR(IF(M483=0,"",COUNTIF($M$3:M483,"&gt;0")),"")</f>
        <v>33</v>
      </c>
      <c r="O483" t="str">
        <f t="shared" si="109"/>
        <v/>
      </c>
      <c r="P483" t="str">
        <f t="shared" si="116"/>
        <v/>
      </c>
      <c r="Q483" t="str">
        <f t="shared" si="117"/>
        <v/>
      </c>
      <c r="R483">
        <f>IFERROR(IF(Q483=0,"",COUNTIF($Q$3:Q483,"&gt;0")),"")</f>
        <v>16</v>
      </c>
      <c r="S483" t="str">
        <f t="shared" si="110"/>
        <v/>
      </c>
      <c r="T483" t="str">
        <f t="shared" si="118"/>
        <v/>
      </c>
      <c r="U483">
        <f>IFERROR(IF(T483=0,"",COUNTIF($T$3:T483,"&gt;0")),"")</f>
        <v>0</v>
      </c>
      <c r="V483" t="str">
        <f t="shared" si="111"/>
        <v/>
      </c>
    </row>
    <row r="484" spans="1:22">
      <c r="A484" t="e">
        <f t="shared" si="106"/>
        <v>#VALUE!</v>
      </c>
      <c r="B484" t="e">
        <f>Table4[[#This Row],[CATEGORY]]</f>
        <v>#VALUE!</v>
      </c>
      <c r="C484" t="e">
        <f>Table4[[#This Row],[SUB-CATEGORY]]</f>
        <v>#VALUE!</v>
      </c>
      <c r="D484">
        <f>'RJ ATTENDENCE SHEET'!C:C</f>
        <v>0</v>
      </c>
      <c r="E484" t="e">
        <f t="shared" si="105"/>
        <v>#VALUE!</v>
      </c>
      <c r="F484" t="str">
        <f t="shared" si="112"/>
        <v/>
      </c>
      <c r="G484">
        <f>IFERROR(IF(F484=0,"",COUNTIF($F$3:F484,"&gt;0")),"")</f>
        <v>16</v>
      </c>
      <c r="H484" t="str">
        <f t="shared" si="107"/>
        <v/>
      </c>
      <c r="I484" t="str">
        <f t="shared" si="113"/>
        <v/>
      </c>
      <c r="J484">
        <f>IFERROR(IF(I484=0,"",COUNTIF($I$3:I484,"&gt;0")),"")</f>
        <v>34</v>
      </c>
      <c r="K484" t="str">
        <f t="shared" si="108"/>
        <v/>
      </c>
      <c r="L484" t="str">
        <f t="shared" si="114"/>
        <v/>
      </c>
      <c r="M484" t="str">
        <f t="shared" si="115"/>
        <v/>
      </c>
      <c r="N484">
        <f>IFERROR(IF(M484=0,"",COUNTIF($M$3:M484,"&gt;0")),"")</f>
        <v>33</v>
      </c>
      <c r="O484" t="str">
        <f t="shared" si="109"/>
        <v/>
      </c>
      <c r="P484" t="str">
        <f t="shared" si="116"/>
        <v/>
      </c>
      <c r="Q484" t="str">
        <f t="shared" si="117"/>
        <v/>
      </c>
      <c r="R484">
        <f>IFERROR(IF(Q484=0,"",COUNTIF($Q$3:Q484,"&gt;0")),"")</f>
        <v>16</v>
      </c>
      <c r="S484" t="str">
        <f t="shared" si="110"/>
        <v/>
      </c>
      <c r="T484" t="str">
        <f t="shared" si="118"/>
        <v/>
      </c>
      <c r="U484">
        <f>IFERROR(IF(T484=0,"",COUNTIF($T$3:T484,"&gt;0")),"")</f>
        <v>0</v>
      </c>
      <c r="V484" t="str">
        <f t="shared" si="111"/>
        <v/>
      </c>
    </row>
    <row r="485" spans="1:22">
      <c r="A485" t="e">
        <f t="shared" si="106"/>
        <v>#VALUE!</v>
      </c>
      <c r="B485" t="e">
        <f>Table4[[#This Row],[CATEGORY]]</f>
        <v>#VALUE!</v>
      </c>
      <c r="C485" t="e">
        <f>Table4[[#This Row],[SUB-CATEGORY]]</f>
        <v>#VALUE!</v>
      </c>
      <c r="D485">
        <f>'RJ ATTENDENCE SHEET'!C:C</f>
        <v>0</v>
      </c>
      <c r="E485" t="e">
        <f t="shared" si="105"/>
        <v>#VALUE!</v>
      </c>
      <c r="F485" t="str">
        <f t="shared" si="112"/>
        <v/>
      </c>
      <c r="G485">
        <f>IFERROR(IF(F485=0,"",COUNTIF($F$3:F485,"&gt;0")),"")</f>
        <v>16</v>
      </c>
      <c r="H485" t="str">
        <f t="shared" si="107"/>
        <v/>
      </c>
      <c r="I485" t="str">
        <f t="shared" si="113"/>
        <v/>
      </c>
      <c r="J485">
        <f>IFERROR(IF(I485=0,"",COUNTIF($I$3:I485,"&gt;0")),"")</f>
        <v>34</v>
      </c>
      <c r="K485" t="str">
        <f t="shared" si="108"/>
        <v/>
      </c>
      <c r="L485" t="str">
        <f t="shared" si="114"/>
        <v/>
      </c>
      <c r="M485" t="str">
        <f t="shared" si="115"/>
        <v/>
      </c>
      <c r="N485">
        <f>IFERROR(IF(M485=0,"",COUNTIF($M$3:M485,"&gt;0")),"")</f>
        <v>33</v>
      </c>
      <c r="O485" t="str">
        <f t="shared" si="109"/>
        <v/>
      </c>
      <c r="P485" t="str">
        <f t="shared" si="116"/>
        <v/>
      </c>
      <c r="Q485" t="str">
        <f t="shared" si="117"/>
        <v/>
      </c>
      <c r="R485">
        <f>IFERROR(IF(Q485=0,"",COUNTIF($Q$3:Q485,"&gt;0")),"")</f>
        <v>16</v>
      </c>
      <c r="S485" t="str">
        <f t="shared" si="110"/>
        <v/>
      </c>
      <c r="T485" t="str">
        <f t="shared" si="118"/>
        <v/>
      </c>
      <c r="U485">
        <f>IFERROR(IF(T485=0,"",COUNTIF($T$3:T485,"&gt;0")),"")</f>
        <v>0</v>
      </c>
      <c r="V485" t="str">
        <f t="shared" si="111"/>
        <v/>
      </c>
    </row>
    <row r="486" spans="1:22">
      <c r="A486" t="e">
        <f t="shared" si="106"/>
        <v>#VALUE!</v>
      </c>
      <c r="B486" t="e">
        <f>Table4[[#This Row],[CATEGORY]]</f>
        <v>#VALUE!</v>
      </c>
      <c r="C486" t="e">
        <f>Table4[[#This Row],[SUB-CATEGORY]]</f>
        <v>#VALUE!</v>
      </c>
      <c r="D486">
        <f>'RJ ATTENDENCE SHEET'!C:C</f>
        <v>0</v>
      </c>
      <c r="E486" t="e">
        <f t="shared" si="105"/>
        <v>#VALUE!</v>
      </c>
      <c r="F486" t="str">
        <f t="shared" si="112"/>
        <v/>
      </c>
      <c r="G486">
        <f>IFERROR(IF(F486=0,"",COUNTIF($F$3:F486,"&gt;0")),"")</f>
        <v>16</v>
      </c>
      <c r="H486" t="str">
        <f t="shared" si="107"/>
        <v/>
      </c>
      <c r="I486" t="str">
        <f t="shared" si="113"/>
        <v/>
      </c>
      <c r="J486">
        <f>IFERROR(IF(I486=0,"",COUNTIF($I$3:I486,"&gt;0")),"")</f>
        <v>34</v>
      </c>
      <c r="K486" t="str">
        <f t="shared" si="108"/>
        <v/>
      </c>
      <c r="L486" t="str">
        <f t="shared" si="114"/>
        <v/>
      </c>
      <c r="M486" t="str">
        <f t="shared" si="115"/>
        <v/>
      </c>
      <c r="N486">
        <f>IFERROR(IF(M486=0,"",COUNTIF($M$3:M486,"&gt;0")),"")</f>
        <v>33</v>
      </c>
      <c r="O486" t="str">
        <f t="shared" si="109"/>
        <v/>
      </c>
      <c r="P486" t="str">
        <f t="shared" si="116"/>
        <v/>
      </c>
      <c r="Q486" t="str">
        <f t="shared" si="117"/>
        <v/>
      </c>
      <c r="R486">
        <f>IFERROR(IF(Q486=0,"",COUNTIF($Q$3:Q486,"&gt;0")),"")</f>
        <v>16</v>
      </c>
      <c r="S486" t="str">
        <f t="shared" si="110"/>
        <v/>
      </c>
      <c r="T486" t="str">
        <f t="shared" si="118"/>
        <v/>
      </c>
      <c r="U486">
        <f>IFERROR(IF(T486=0,"",COUNTIF($T$3:T486,"&gt;0")),"")</f>
        <v>0</v>
      </c>
      <c r="V486" t="str">
        <f t="shared" si="111"/>
        <v/>
      </c>
    </row>
    <row r="487" spans="1:22">
      <c r="A487" t="e">
        <f t="shared" si="106"/>
        <v>#VALUE!</v>
      </c>
      <c r="B487" t="e">
        <f>Table4[[#This Row],[CATEGORY]]</f>
        <v>#VALUE!</v>
      </c>
      <c r="C487" t="e">
        <f>Table4[[#This Row],[SUB-CATEGORY]]</f>
        <v>#VALUE!</v>
      </c>
      <c r="D487">
        <f>'RJ ATTENDENCE SHEET'!C:C</f>
        <v>0</v>
      </c>
      <c r="E487" t="e">
        <f t="shared" si="105"/>
        <v>#VALUE!</v>
      </c>
      <c r="F487" t="str">
        <f t="shared" si="112"/>
        <v/>
      </c>
      <c r="G487">
        <f>IFERROR(IF(F487=0,"",COUNTIF($F$3:F487,"&gt;0")),"")</f>
        <v>16</v>
      </c>
      <c r="H487" t="str">
        <f t="shared" si="107"/>
        <v/>
      </c>
      <c r="I487" t="str">
        <f t="shared" si="113"/>
        <v/>
      </c>
      <c r="J487">
        <f>IFERROR(IF(I487=0,"",COUNTIF($I$3:I487,"&gt;0")),"")</f>
        <v>34</v>
      </c>
      <c r="K487" t="str">
        <f t="shared" si="108"/>
        <v/>
      </c>
      <c r="L487" t="str">
        <f t="shared" si="114"/>
        <v/>
      </c>
      <c r="M487" t="str">
        <f t="shared" si="115"/>
        <v/>
      </c>
      <c r="N487">
        <f>IFERROR(IF(M487=0,"",COUNTIF($M$3:M487,"&gt;0")),"")</f>
        <v>33</v>
      </c>
      <c r="O487" t="str">
        <f t="shared" si="109"/>
        <v/>
      </c>
      <c r="P487" t="str">
        <f t="shared" si="116"/>
        <v/>
      </c>
      <c r="Q487" t="str">
        <f t="shared" si="117"/>
        <v/>
      </c>
      <c r="R487">
        <f>IFERROR(IF(Q487=0,"",COUNTIF($Q$3:Q487,"&gt;0")),"")</f>
        <v>16</v>
      </c>
      <c r="S487" t="str">
        <f t="shared" si="110"/>
        <v/>
      </c>
      <c r="T487" t="str">
        <f t="shared" si="118"/>
        <v/>
      </c>
      <c r="U487">
        <f>IFERROR(IF(T487=0,"",COUNTIF($T$3:T487,"&gt;0")),"")</f>
        <v>0</v>
      </c>
      <c r="V487" t="str">
        <f t="shared" si="111"/>
        <v/>
      </c>
    </row>
    <row r="488" spans="1:22">
      <c r="A488" t="e">
        <f t="shared" si="106"/>
        <v>#VALUE!</v>
      </c>
      <c r="B488" t="e">
        <f>Table4[[#This Row],[CATEGORY]]</f>
        <v>#VALUE!</v>
      </c>
      <c r="C488" t="e">
        <f>Table4[[#This Row],[SUB-CATEGORY]]</f>
        <v>#VALUE!</v>
      </c>
      <c r="D488">
        <f>'RJ ATTENDENCE SHEET'!C:C</f>
        <v>0</v>
      </c>
      <c r="E488" t="e">
        <f t="shared" si="105"/>
        <v>#VALUE!</v>
      </c>
      <c r="F488" t="str">
        <f t="shared" si="112"/>
        <v/>
      </c>
      <c r="G488">
        <f>IFERROR(IF(F488=0,"",COUNTIF($F$3:F488,"&gt;0")),"")</f>
        <v>16</v>
      </c>
      <c r="H488" t="str">
        <f t="shared" si="107"/>
        <v/>
      </c>
      <c r="I488" t="str">
        <f t="shared" si="113"/>
        <v/>
      </c>
      <c r="J488">
        <f>IFERROR(IF(I488=0,"",COUNTIF($I$3:I488,"&gt;0")),"")</f>
        <v>34</v>
      </c>
      <c r="K488" t="str">
        <f t="shared" si="108"/>
        <v/>
      </c>
      <c r="L488" t="str">
        <f t="shared" si="114"/>
        <v/>
      </c>
      <c r="M488" t="str">
        <f t="shared" si="115"/>
        <v/>
      </c>
      <c r="N488">
        <f>IFERROR(IF(M488=0,"",COUNTIF($M$3:M488,"&gt;0")),"")</f>
        <v>33</v>
      </c>
      <c r="O488" t="str">
        <f t="shared" si="109"/>
        <v/>
      </c>
      <c r="P488" t="str">
        <f t="shared" si="116"/>
        <v/>
      </c>
      <c r="Q488" t="str">
        <f t="shared" si="117"/>
        <v/>
      </c>
      <c r="R488">
        <f>IFERROR(IF(Q488=0,"",COUNTIF($Q$3:Q488,"&gt;0")),"")</f>
        <v>16</v>
      </c>
      <c r="S488" t="str">
        <f t="shared" si="110"/>
        <v/>
      </c>
      <c r="T488" t="str">
        <f t="shared" si="118"/>
        <v/>
      </c>
      <c r="U488">
        <f>IFERROR(IF(T488=0,"",COUNTIF($T$3:T488,"&gt;0")),"")</f>
        <v>0</v>
      </c>
      <c r="V488" t="str">
        <f t="shared" si="111"/>
        <v/>
      </c>
    </row>
    <row r="489" spans="1:22">
      <c r="A489" t="e">
        <f t="shared" si="106"/>
        <v>#VALUE!</v>
      </c>
      <c r="B489" t="e">
        <f>Table4[[#This Row],[CATEGORY]]</f>
        <v>#VALUE!</v>
      </c>
      <c r="C489" t="e">
        <f>Table4[[#This Row],[SUB-CATEGORY]]</f>
        <v>#VALUE!</v>
      </c>
      <c r="D489">
        <f>'RJ ATTENDENCE SHEET'!C:C</f>
        <v>0</v>
      </c>
      <c r="E489" t="e">
        <f t="shared" si="105"/>
        <v>#VALUE!</v>
      </c>
      <c r="F489" t="str">
        <f t="shared" si="112"/>
        <v/>
      </c>
      <c r="G489">
        <f>IFERROR(IF(F489=0,"",COUNTIF($F$3:F489,"&gt;0")),"")</f>
        <v>16</v>
      </c>
      <c r="H489" t="str">
        <f t="shared" si="107"/>
        <v/>
      </c>
      <c r="I489" t="str">
        <f t="shared" si="113"/>
        <v/>
      </c>
      <c r="J489">
        <f>IFERROR(IF(I489=0,"",COUNTIF($I$3:I489,"&gt;0")),"")</f>
        <v>34</v>
      </c>
      <c r="K489" t="str">
        <f t="shared" si="108"/>
        <v/>
      </c>
      <c r="L489" t="str">
        <f t="shared" si="114"/>
        <v/>
      </c>
      <c r="M489" t="str">
        <f t="shared" si="115"/>
        <v/>
      </c>
      <c r="N489">
        <f>IFERROR(IF(M489=0,"",COUNTIF($M$3:M489,"&gt;0")),"")</f>
        <v>33</v>
      </c>
      <c r="O489" t="str">
        <f t="shared" si="109"/>
        <v/>
      </c>
      <c r="P489" t="str">
        <f t="shared" si="116"/>
        <v/>
      </c>
      <c r="Q489" t="str">
        <f t="shared" si="117"/>
        <v/>
      </c>
      <c r="R489">
        <f>IFERROR(IF(Q489=0,"",COUNTIF($Q$3:Q489,"&gt;0")),"")</f>
        <v>16</v>
      </c>
      <c r="S489" t="str">
        <f t="shared" si="110"/>
        <v/>
      </c>
      <c r="T489" t="str">
        <f t="shared" si="118"/>
        <v/>
      </c>
      <c r="U489">
        <f>IFERROR(IF(T489=0,"",COUNTIF($T$3:T489,"&gt;0")),"")</f>
        <v>0</v>
      </c>
      <c r="V489" t="str">
        <f t="shared" si="111"/>
        <v/>
      </c>
    </row>
    <row r="490" spans="1:22">
      <c r="A490" t="e">
        <f t="shared" si="106"/>
        <v>#VALUE!</v>
      </c>
      <c r="B490" t="e">
        <f>Table4[[#This Row],[CATEGORY]]</f>
        <v>#VALUE!</v>
      </c>
      <c r="C490" t="e">
        <f>Table4[[#This Row],[SUB-CATEGORY]]</f>
        <v>#VALUE!</v>
      </c>
      <c r="D490">
        <f>'RJ ATTENDENCE SHEET'!C:C</f>
        <v>0</v>
      </c>
      <c r="E490" t="e">
        <f t="shared" si="105"/>
        <v>#VALUE!</v>
      </c>
      <c r="F490" t="str">
        <f t="shared" si="112"/>
        <v/>
      </c>
      <c r="G490">
        <f>IFERROR(IF(F490=0,"",COUNTIF($F$3:F490,"&gt;0")),"")</f>
        <v>16</v>
      </c>
      <c r="H490" t="str">
        <f t="shared" si="107"/>
        <v/>
      </c>
      <c r="I490" t="str">
        <f t="shared" si="113"/>
        <v/>
      </c>
      <c r="J490">
        <f>IFERROR(IF(I490=0,"",COUNTIF($I$3:I490,"&gt;0")),"")</f>
        <v>34</v>
      </c>
      <c r="K490" t="str">
        <f t="shared" si="108"/>
        <v/>
      </c>
      <c r="L490" t="str">
        <f t="shared" si="114"/>
        <v/>
      </c>
      <c r="M490" t="str">
        <f t="shared" si="115"/>
        <v/>
      </c>
      <c r="N490">
        <f>IFERROR(IF(M490=0,"",COUNTIF($M$3:M490,"&gt;0")),"")</f>
        <v>33</v>
      </c>
      <c r="O490" t="str">
        <f t="shared" si="109"/>
        <v/>
      </c>
      <c r="P490" t="str">
        <f t="shared" si="116"/>
        <v/>
      </c>
      <c r="Q490" t="str">
        <f t="shared" si="117"/>
        <v/>
      </c>
      <c r="R490">
        <f>IFERROR(IF(Q490=0,"",COUNTIF($Q$3:Q490,"&gt;0")),"")</f>
        <v>16</v>
      </c>
      <c r="S490" t="str">
        <f t="shared" si="110"/>
        <v/>
      </c>
      <c r="T490" t="str">
        <f t="shared" si="118"/>
        <v/>
      </c>
      <c r="U490">
        <f>IFERROR(IF(T490=0,"",COUNTIF($T$3:T490,"&gt;0")),"")</f>
        <v>0</v>
      </c>
      <c r="V490" t="str">
        <f t="shared" si="111"/>
        <v/>
      </c>
    </row>
    <row r="491" spans="1:22">
      <c r="A491" t="e">
        <f t="shared" si="106"/>
        <v>#VALUE!</v>
      </c>
      <c r="B491" t="e">
        <f>Table4[[#This Row],[CATEGORY]]</f>
        <v>#VALUE!</v>
      </c>
      <c r="C491" t="e">
        <f>Table4[[#This Row],[SUB-CATEGORY]]</f>
        <v>#VALUE!</v>
      </c>
      <c r="D491">
        <f>'RJ ATTENDENCE SHEET'!C:C</f>
        <v>0</v>
      </c>
      <c r="E491" t="e">
        <f t="shared" si="105"/>
        <v>#VALUE!</v>
      </c>
      <c r="F491" t="str">
        <f t="shared" si="112"/>
        <v/>
      </c>
      <c r="G491">
        <f>IFERROR(IF(F491=0,"",COUNTIF($F$3:F491,"&gt;0")),"")</f>
        <v>16</v>
      </c>
      <c r="H491" t="str">
        <f t="shared" si="107"/>
        <v/>
      </c>
      <c r="I491" t="str">
        <f t="shared" si="113"/>
        <v/>
      </c>
      <c r="J491">
        <f>IFERROR(IF(I491=0,"",COUNTIF($I$3:I491,"&gt;0")),"")</f>
        <v>34</v>
      </c>
      <c r="K491" t="str">
        <f t="shared" si="108"/>
        <v/>
      </c>
      <c r="L491" t="str">
        <f t="shared" si="114"/>
        <v/>
      </c>
      <c r="M491" t="str">
        <f t="shared" si="115"/>
        <v/>
      </c>
      <c r="N491">
        <f>IFERROR(IF(M491=0,"",COUNTIF($M$3:M491,"&gt;0")),"")</f>
        <v>33</v>
      </c>
      <c r="O491" t="str">
        <f t="shared" si="109"/>
        <v/>
      </c>
      <c r="P491" t="str">
        <f t="shared" si="116"/>
        <v/>
      </c>
      <c r="Q491" t="str">
        <f t="shared" si="117"/>
        <v/>
      </c>
      <c r="R491">
        <f>IFERROR(IF(Q491=0,"",COUNTIF($Q$3:Q491,"&gt;0")),"")</f>
        <v>16</v>
      </c>
      <c r="S491" t="str">
        <f t="shared" si="110"/>
        <v/>
      </c>
      <c r="T491" t="str">
        <f t="shared" si="118"/>
        <v/>
      </c>
      <c r="U491">
        <f>IFERROR(IF(T491=0,"",COUNTIF($T$3:T491,"&gt;0")),"")</f>
        <v>0</v>
      </c>
      <c r="V491" t="str">
        <f t="shared" si="111"/>
        <v/>
      </c>
    </row>
    <row r="492" spans="1:22">
      <c r="A492" t="e">
        <f t="shared" si="106"/>
        <v>#VALUE!</v>
      </c>
      <c r="B492" t="e">
        <f>Table4[[#This Row],[CATEGORY]]</f>
        <v>#VALUE!</v>
      </c>
      <c r="C492" t="e">
        <f>Table4[[#This Row],[SUB-CATEGORY]]</f>
        <v>#VALUE!</v>
      </c>
      <c r="D492">
        <f>'RJ ATTENDENCE SHEET'!C:C</f>
        <v>0</v>
      </c>
      <c r="E492" t="e">
        <f t="shared" si="105"/>
        <v>#VALUE!</v>
      </c>
      <c r="F492" t="str">
        <f t="shared" si="112"/>
        <v/>
      </c>
      <c r="G492">
        <f>IFERROR(IF(F492=0,"",COUNTIF($F$3:F492,"&gt;0")),"")</f>
        <v>16</v>
      </c>
      <c r="H492" t="str">
        <f t="shared" si="107"/>
        <v/>
      </c>
      <c r="I492" t="str">
        <f t="shared" si="113"/>
        <v/>
      </c>
      <c r="J492">
        <f>IFERROR(IF(I492=0,"",COUNTIF($I$3:I492,"&gt;0")),"")</f>
        <v>34</v>
      </c>
      <c r="K492" t="str">
        <f t="shared" si="108"/>
        <v/>
      </c>
      <c r="L492" t="str">
        <f t="shared" si="114"/>
        <v/>
      </c>
      <c r="M492" t="str">
        <f t="shared" si="115"/>
        <v/>
      </c>
      <c r="N492">
        <f>IFERROR(IF(M492=0,"",COUNTIF($M$3:M492,"&gt;0")),"")</f>
        <v>33</v>
      </c>
      <c r="O492" t="str">
        <f t="shared" si="109"/>
        <v/>
      </c>
      <c r="P492" t="str">
        <f t="shared" si="116"/>
        <v/>
      </c>
      <c r="Q492" t="str">
        <f t="shared" si="117"/>
        <v/>
      </c>
      <c r="R492">
        <f>IFERROR(IF(Q492=0,"",COUNTIF($Q$3:Q492,"&gt;0")),"")</f>
        <v>16</v>
      </c>
      <c r="S492" t="str">
        <f t="shared" si="110"/>
        <v/>
      </c>
      <c r="T492" t="str">
        <f t="shared" si="118"/>
        <v/>
      </c>
      <c r="U492">
        <f>IFERROR(IF(T492=0,"",COUNTIF($T$3:T492,"&gt;0")),"")</f>
        <v>0</v>
      </c>
      <c r="V492" t="str">
        <f t="shared" si="111"/>
        <v/>
      </c>
    </row>
    <row r="493" spans="1:22">
      <c r="A493" t="e">
        <f t="shared" si="106"/>
        <v>#VALUE!</v>
      </c>
      <c r="B493" t="e">
        <f>Table4[[#This Row],[CATEGORY]]</f>
        <v>#VALUE!</v>
      </c>
      <c r="C493" t="e">
        <f>Table4[[#This Row],[SUB-CATEGORY]]</f>
        <v>#VALUE!</v>
      </c>
      <c r="D493">
        <f>'RJ ATTENDENCE SHEET'!C:C</f>
        <v>0</v>
      </c>
      <c r="E493" t="e">
        <f t="shared" si="105"/>
        <v>#VALUE!</v>
      </c>
      <c r="F493" t="str">
        <f t="shared" si="112"/>
        <v/>
      </c>
      <c r="G493">
        <f>IFERROR(IF(F493=0,"",COUNTIF($F$3:F493,"&gt;0")),"")</f>
        <v>16</v>
      </c>
      <c r="H493" t="str">
        <f t="shared" si="107"/>
        <v/>
      </c>
      <c r="I493" t="str">
        <f t="shared" si="113"/>
        <v/>
      </c>
      <c r="J493">
        <f>IFERROR(IF(I493=0,"",COUNTIF($I$3:I493,"&gt;0")),"")</f>
        <v>34</v>
      </c>
      <c r="K493" t="str">
        <f t="shared" si="108"/>
        <v/>
      </c>
      <c r="L493" t="str">
        <f t="shared" si="114"/>
        <v/>
      </c>
      <c r="M493" t="str">
        <f t="shared" si="115"/>
        <v/>
      </c>
      <c r="N493">
        <f>IFERROR(IF(M493=0,"",COUNTIF($M$3:M493,"&gt;0")),"")</f>
        <v>33</v>
      </c>
      <c r="O493" t="str">
        <f t="shared" si="109"/>
        <v/>
      </c>
      <c r="P493" t="str">
        <f t="shared" si="116"/>
        <v/>
      </c>
      <c r="Q493" t="str">
        <f t="shared" si="117"/>
        <v/>
      </c>
      <c r="R493">
        <f>IFERROR(IF(Q493=0,"",COUNTIF($Q$3:Q493,"&gt;0")),"")</f>
        <v>16</v>
      </c>
      <c r="S493" t="str">
        <f t="shared" si="110"/>
        <v/>
      </c>
      <c r="T493" t="str">
        <f t="shared" si="118"/>
        <v/>
      </c>
      <c r="U493">
        <f>IFERROR(IF(T493=0,"",COUNTIF($T$3:T493,"&gt;0")),"")</f>
        <v>0</v>
      </c>
      <c r="V493" t="str">
        <f t="shared" si="111"/>
        <v/>
      </c>
    </row>
    <row r="494" spans="1:22">
      <c r="A494" t="e">
        <f t="shared" si="106"/>
        <v>#VALUE!</v>
      </c>
      <c r="B494" t="e">
        <f>Table4[[#This Row],[CATEGORY]]</f>
        <v>#VALUE!</v>
      </c>
      <c r="C494" t="e">
        <f>Table4[[#This Row],[SUB-CATEGORY]]</f>
        <v>#VALUE!</v>
      </c>
      <c r="D494">
        <f>'RJ ATTENDENCE SHEET'!C:C</f>
        <v>0</v>
      </c>
      <c r="E494" t="e">
        <f t="shared" si="105"/>
        <v>#VALUE!</v>
      </c>
      <c r="F494" t="str">
        <f t="shared" si="112"/>
        <v/>
      </c>
      <c r="G494">
        <f>IFERROR(IF(F494=0,"",COUNTIF($F$3:F494,"&gt;0")),"")</f>
        <v>16</v>
      </c>
      <c r="H494" t="str">
        <f t="shared" si="107"/>
        <v/>
      </c>
      <c r="I494" t="str">
        <f t="shared" si="113"/>
        <v/>
      </c>
      <c r="J494">
        <f>IFERROR(IF(I494=0,"",COUNTIF($I$3:I494,"&gt;0")),"")</f>
        <v>34</v>
      </c>
      <c r="K494" t="str">
        <f t="shared" si="108"/>
        <v/>
      </c>
      <c r="L494" t="str">
        <f t="shared" si="114"/>
        <v/>
      </c>
      <c r="M494" t="str">
        <f t="shared" si="115"/>
        <v/>
      </c>
      <c r="N494">
        <f>IFERROR(IF(M494=0,"",COUNTIF($M$3:M494,"&gt;0")),"")</f>
        <v>33</v>
      </c>
      <c r="O494" t="str">
        <f t="shared" si="109"/>
        <v/>
      </c>
      <c r="P494" t="str">
        <f t="shared" si="116"/>
        <v/>
      </c>
      <c r="Q494" t="str">
        <f t="shared" si="117"/>
        <v/>
      </c>
      <c r="R494">
        <f>IFERROR(IF(Q494=0,"",COUNTIF($Q$3:Q494,"&gt;0")),"")</f>
        <v>16</v>
      </c>
      <c r="S494" t="str">
        <f t="shared" si="110"/>
        <v/>
      </c>
      <c r="T494" t="str">
        <f t="shared" si="118"/>
        <v/>
      </c>
      <c r="U494">
        <f>IFERROR(IF(T494=0,"",COUNTIF($T$3:T494,"&gt;0")),"")</f>
        <v>0</v>
      </c>
      <c r="V494" t="str">
        <f t="shared" si="111"/>
        <v/>
      </c>
    </row>
    <row r="495" spans="1:22">
      <c r="A495" t="e">
        <f t="shared" si="106"/>
        <v>#VALUE!</v>
      </c>
      <c r="B495" t="e">
        <f>Table4[[#This Row],[CATEGORY]]</f>
        <v>#VALUE!</v>
      </c>
      <c r="C495" t="e">
        <f>Table4[[#This Row],[SUB-CATEGORY]]</f>
        <v>#VALUE!</v>
      </c>
      <c r="D495">
        <f>'RJ ATTENDENCE SHEET'!C:C</f>
        <v>0</v>
      </c>
      <c r="E495" t="e">
        <f t="shared" si="105"/>
        <v>#VALUE!</v>
      </c>
      <c r="F495" t="str">
        <f t="shared" si="112"/>
        <v/>
      </c>
      <c r="G495">
        <f>IFERROR(IF(F495=0,"",COUNTIF($F$3:F495,"&gt;0")),"")</f>
        <v>16</v>
      </c>
      <c r="H495" t="str">
        <f t="shared" si="107"/>
        <v/>
      </c>
      <c r="I495" t="str">
        <f t="shared" si="113"/>
        <v/>
      </c>
      <c r="J495">
        <f>IFERROR(IF(I495=0,"",COUNTIF($I$3:I495,"&gt;0")),"")</f>
        <v>34</v>
      </c>
      <c r="K495" t="str">
        <f t="shared" si="108"/>
        <v/>
      </c>
      <c r="L495" t="str">
        <f t="shared" si="114"/>
        <v/>
      </c>
      <c r="M495" t="str">
        <f t="shared" si="115"/>
        <v/>
      </c>
      <c r="N495">
        <f>IFERROR(IF(M495=0,"",COUNTIF($M$3:M495,"&gt;0")),"")</f>
        <v>33</v>
      </c>
      <c r="O495" t="str">
        <f t="shared" si="109"/>
        <v/>
      </c>
      <c r="P495" t="str">
        <f t="shared" si="116"/>
        <v/>
      </c>
      <c r="Q495" t="str">
        <f t="shared" si="117"/>
        <v/>
      </c>
      <c r="R495">
        <f>IFERROR(IF(Q495=0,"",COUNTIF($Q$3:Q495,"&gt;0")),"")</f>
        <v>16</v>
      </c>
      <c r="S495" t="str">
        <f t="shared" si="110"/>
        <v/>
      </c>
      <c r="T495" t="str">
        <f t="shared" si="118"/>
        <v/>
      </c>
      <c r="U495">
        <f>IFERROR(IF(T495=0,"",COUNTIF($T$3:T495,"&gt;0")),"")</f>
        <v>0</v>
      </c>
      <c r="V495" t="str">
        <f t="shared" si="111"/>
        <v/>
      </c>
    </row>
    <row r="496" spans="1:22">
      <c r="A496" t="e">
        <f t="shared" si="106"/>
        <v>#VALUE!</v>
      </c>
      <c r="B496" t="e">
        <f>Table4[[#This Row],[CATEGORY]]</f>
        <v>#VALUE!</v>
      </c>
      <c r="C496" t="e">
        <f>Table4[[#This Row],[SUB-CATEGORY]]</f>
        <v>#VALUE!</v>
      </c>
      <c r="D496">
        <f>'RJ ATTENDENCE SHEET'!C:C</f>
        <v>0</v>
      </c>
      <c r="E496" t="e">
        <f t="shared" si="105"/>
        <v>#VALUE!</v>
      </c>
      <c r="F496" t="str">
        <f t="shared" si="112"/>
        <v/>
      </c>
      <c r="G496">
        <f>IFERROR(IF(F496=0,"",COUNTIF($F$3:F496,"&gt;0")),"")</f>
        <v>16</v>
      </c>
      <c r="H496" t="str">
        <f t="shared" si="107"/>
        <v/>
      </c>
      <c r="I496" t="str">
        <f t="shared" si="113"/>
        <v/>
      </c>
      <c r="J496">
        <f>IFERROR(IF(I496=0,"",COUNTIF($I$3:I496,"&gt;0")),"")</f>
        <v>34</v>
      </c>
      <c r="K496" t="str">
        <f t="shared" si="108"/>
        <v/>
      </c>
      <c r="L496" t="str">
        <f t="shared" si="114"/>
        <v/>
      </c>
      <c r="M496" t="str">
        <f t="shared" si="115"/>
        <v/>
      </c>
      <c r="N496">
        <f>IFERROR(IF(M496=0,"",COUNTIF($M$3:M496,"&gt;0")),"")</f>
        <v>33</v>
      </c>
      <c r="O496" t="str">
        <f t="shared" si="109"/>
        <v/>
      </c>
      <c r="P496" t="str">
        <f t="shared" si="116"/>
        <v/>
      </c>
      <c r="Q496" t="str">
        <f t="shared" si="117"/>
        <v/>
      </c>
      <c r="R496">
        <f>IFERROR(IF(Q496=0,"",COUNTIF($Q$3:Q496,"&gt;0")),"")</f>
        <v>16</v>
      </c>
      <c r="S496" t="str">
        <f t="shared" si="110"/>
        <v/>
      </c>
      <c r="T496" t="str">
        <f t="shared" si="118"/>
        <v/>
      </c>
      <c r="U496">
        <f>IFERROR(IF(T496=0,"",COUNTIF($T$3:T496,"&gt;0")),"")</f>
        <v>0</v>
      </c>
      <c r="V496" t="str">
        <f t="shared" si="111"/>
        <v/>
      </c>
    </row>
    <row r="497" spans="1:22">
      <c r="A497" t="e">
        <f t="shared" si="106"/>
        <v>#VALUE!</v>
      </c>
      <c r="B497" t="e">
        <f>Table4[[#This Row],[CATEGORY]]</f>
        <v>#VALUE!</v>
      </c>
      <c r="C497" t="e">
        <f>Table4[[#This Row],[SUB-CATEGORY]]</f>
        <v>#VALUE!</v>
      </c>
      <c r="D497">
        <f>'RJ ATTENDENCE SHEET'!C:C</f>
        <v>0</v>
      </c>
      <c r="E497" t="e">
        <f t="shared" si="105"/>
        <v>#VALUE!</v>
      </c>
      <c r="F497" t="str">
        <f t="shared" si="112"/>
        <v/>
      </c>
      <c r="G497">
        <f>IFERROR(IF(F497=0,"",COUNTIF($F$3:F497,"&gt;0")),"")</f>
        <v>16</v>
      </c>
      <c r="H497" t="str">
        <f t="shared" si="107"/>
        <v/>
      </c>
      <c r="I497" t="str">
        <f t="shared" si="113"/>
        <v/>
      </c>
      <c r="J497">
        <f>IFERROR(IF(I497=0,"",COUNTIF($I$3:I497,"&gt;0")),"")</f>
        <v>34</v>
      </c>
      <c r="K497" t="str">
        <f t="shared" si="108"/>
        <v/>
      </c>
      <c r="L497" t="str">
        <f t="shared" si="114"/>
        <v/>
      </c>
      <c r="M497" t="str">
        <f t="shared" si="115"/>
        <v/>
      </c>
      <c r="N497">
        <f>IFERROR(IF(M497=0,"",COUNTIF($M$3:M497,"&gt;0")),"")</f>
        <v>33</v>
      </c>
      <c r="O497" t="str">
        <f t="shared" si="109"/>
        <v/>
      </c>
      <c r="P497" t="str">
        <f t="shared" si="116"/>
        <v/>
      </c>
      <c r="Q497" t="str">
        <f t="shared" si="117"/>
        <v/>
      </c>
      <c r="R497">
        <f>IFERROR(IF(Q497=0,"",COUNTIF($Q$3:Q497,"&gt;0")),"")</f>
        <v>16</v>
      </c>
      <c r="S497" t="str">
        <f t="shared" si="110"/>
        <v/>
      </c>
      <c r="T497" t="str">
        <f t="shared" si="118"/>
        <v/>
      </c>
      <c r="U497">
        <f>IFERROR(IF(T497=0,"",COUNTIF($T$3:T497,"&gt;0")),"")</f>
        <v>0</v>
      </c>
      <c r="V497" t="str">
        <f t="shared" si="111"/>
        <v/>
      </c>
    </row>
    <row r="498" spans="1:22">
      <c r="A498" t="e">
        <f t="shared" si="106"/>
        <v>#VALUE!</v>
      </c>
      <c r="B498" t="e">
        <f>Table4[[#This Row],[CATEGORY]]</f>
        <v>#VALUE!</v>
      </c>
      <c r="C498" t="e">
        <f>Table4[[#This Row],[SUB-CATEGORY]]</f>
        <v>#VALUE!</v>
      </c>
      <c r="D498">
        <f>'RJ ATTENDENCE SHEET'!C:C</f>
        <v>0</v>
      </c>
      <c r="E498" t="e">
        <f t="shared" si="105"/>
        <v>#VALUE!</v>
      </c>
      <c r="F498" t="str">
        <f t="shared" si="112"/>
        <v/>
      </c>
      <c r="G498">
        <f>IFERROR(IF(F498=0,"",COUNTIF($F$3:F498,"&gt;0")),"")</f>
        <v>16</v>
      </c>
      <c r="H498" t="str">
        <f t="shared" si="107"/>
        <v/>
      </c>
      <c r="I498" t="str">
        <f t="shared" si="113"/>
        <v/>
      </c>
      <c r="J498">
        <f>IFERROR(IF(I498=0,"",COUNTIF($I$3:I498,"&gt;0")),"")</f>
        <v>34</v>
      </c>
      <c r="K498" t="str">
        <f t="shared" si="108"/>
        <v/>
      </c>
      <c r="L498" t="str">
        <f t="shared" si="114"/>
        <v/>
      </c>
      <c r="M498" t="str">
        <f t="shared" si="115"/>
        <v/>
      </c>
      <c r="N498">
        <f>IFERROR(IF(M498=0,"",COUNTIF($M$3:M498,"&gt;0")),"")</f>
        <v>33</v>
      </c>
      <c r="O498" t="str">
        <f t="shared" si="109"/>
        <v/>
      </c>
      <c r="P498" t="str">
        <f t="shared" si="116"/>
        <v/>
      </c>
      <c r="Q498" t="str">
        <f t="shared" si="117"/>
        <v/>
      </c>
      <c r="R498">
        <f>IFERROR(IF(Q498=0,"",COUNTIF($Q$3:Q498,"&gt;0")),"")</f>
        <v>16</v>
      </c>
      <c r="S498" t="str">
        <f t="shared" si="110"/>
        <v/>
      </c>
      <c r="T498" t="str">
        <f t="shared" si="118"/>
        <v/>
      </c>
      <c r="U498">
        <f>IFERROR(IF(T498=0,"",COUNTIF($T$3:T498,"&gt;0")),"")</f>
        <v>0</v>
      </c>
      <c r="V498" t="str">
        <f t="shared" si="111"/>
        <v/>
      </c>
    </row>
    <row r="499" spans="1:22">
      <c r="A499" t="e">
        <f t="shared" si="106"/>
        <v>#VALUE!</v>
      </c>
      <c r="B499" t="e">
        <f>Table4[[#This Row],[CATEGORY]]</f>
        <v>#VALUE!</v>
      </c>
      <c r="C499" t="e">
        <f>Table4[[#This Row],[SUB-CATEGORY]]</f>
        <v>#VALUE!</v>
      </c>
      <c r="D499">
        <f>'RJ ATTENDENCE SHEET'!C:C</f>
        <v>0</v>
      </c>
      <c r="E499" t="e">
        <f t="shared" si="105"/>
        <v>#VALUE!</v>
      </c>
      <c r="F499" t="str">
        <f t="shared" si="112"/>
        <v/>
      </c>
      <c r="G499">
        <f>IFERROR(IF(F499=0,"",COUNTIF($F$3:F499,"&gt;0")),"")</f>
        <v>16</v>
      </c>
      <c r="H499" t="str">
        <f t="shared" si="107"/>
        <v/>
      </c>
      <c r="I499" t="str">
        <f t="shared" si="113"/>
        <v/>
      </c>
      <c r="J499">
        <f>IFERROR(IF(I499=0,"",COUNTIF($I$3:I499,"&gt;0")),"")</f>
        <v>34</v>
      </c>
      <c r="K499" t="str">
        <f t="shared" si="108"/>
        <v/>
      </c>
      <c r="L499" t="str">
        <f t="shared" si="114"/>
        <v/>
      </c>
      <c r="M499" t="str">
        <f t="shared" si="115"/>
        <v/>
      </c>
      <c r="N499">
        <f>IFERROR(IF(M499=0,"",COUNTIF($M$3:M499,"&gt;0")),"")</f>
        <v>33</v>
      </c>
      <c r="O499" t="str">
        <f t="shared" si="109"/>
        <v/>
      </c>
      <c r="P499" t="str">
        <f t="shared" si="116"/>
        <v/>
      </c>
      <c r="Q499" t="str">
        <f t="shared" si="117"/>
        <v/>
      </c>
      <c r="R499">
        <f>IFERROR(IF(Q499=0,"",COUNTIF($Q$3:Q499,"&gt;0")),"")</f>
        <v>16</v>
      </c>
      <c r="S499" t="str">
        <f t="shared" si="110"/>
        <v/>
      </c>
      <c r="T499" t="str">
        <f t="shared" si="118"/>
        <v/>
      </c>
      <c r="U499">
        <f>IFERROR(IF(T499=0,"",COUNTIF($T$3:T499,"&gt;0")),"")</f>
        <v>0</v>
      </c>
      <c r="V499" t="str">
        <f t="shared" si="111"/>
        <v/>
      </c>
    </row>
    <row r="500" spans="1:22">
      <c r="A500" t="e">
        <f t="shared" si="106"/>
        <v>#VALUE!</v>
      </c>
      <c r="B500" t="e">
        <f>Table4[[#This Row],[CATEGORY]]</f>
        <v>#VALUE!</v>
      </c>
      <c r="C500" t="e">
        <f>Table4[[#This Row],[SUB-CATEGORY]]</f>
        <v>#VALUE!</v>
      </c>
      <c r="D500">
        <f>'RJ ATTENDENCE SHEET'!C:C</f>
        <v>0</v>
      </c>
      <c r="E500" t="e">
        <f t="shared" si="105"/>
        <v>#VALUE!</v>
      </c>
      <c r="F500" t="str">
        <f t="shared" si="112"/>
        <v/>
      </c>
      <c r="G500">
        <f>IFERROR(IF(F500=0,"",COUNTIF($F$3:F500,"&gt;0")),"")</f>
        <v>16</v>
      </c>
      <c r="H500" t="str">
        <f t="shared" si="107"/>
        <v/>
      </c>
      <c r="I500" t="str">
        <f t="shared" si="113"/>
        <v/>
      </c>
      <c r="J500">
        <f>IFERROR(IF(I500=0,"",COUNTIF($I$3:I500,"&gt;0")),"")</f>
        <v>34</v>
      </c>
      <c r="K500" t="str">
        <f t="shared" si="108"/>
        <v/>
      </c>
      <c r="L500" t="str">
        <f t="shared" si="114"/>
        <v/>
      </c>
      <c r="M500" t="str">
        <f t="shared" si="115"/>
        <v/>
      </c>
      <c r="N500">
        <f>IFERROR(IF(M500=0,"",COUNTIF($M$3:M500,"&gt;0")),"")</f>
        <v>33</v>
      </c>
      <c r="O500" t="str">
        <f t="shared" si="109"/>
        <v/>
      </c>
      <c r="P500" t="str">
        <f t="shared" si="116"/>
        <v/>
      </c>
      <c r="Q500" t="str">
        <f t="shared" si="117"/>
        <v/>
      </c>
      <c r="R500">
        <f>IFERROR(IF(Q500=0,"",COUNTIF($Q$3:Q500,"&gt;0")),"")</f>
        <v>16</v>
      </c>
      <c r="S500" t="str">
        <f t="shared" si="110"/>
        <v/>
      </c>
      <c r="T500" t="str">
        <f t="shared" si="118"/>
        <v/>
      </c>
      <c r="U500">
        <f>IFERROR(IF(T500=0,"",COUNTIF($T$3:T500,"&gt;0")),"")</f>
        <v>0</v>
      </c>
      <c r="V500" t="str">
        <f t="shared" si="111"/>
        <v/>
      </c>
    </row>
    <row r="501" spans="1:22">
      <c r="A501" t="e">
        <f t="shared" si="106"/>
        <v>#VALUE!</v>
      </c>
      <c r="B501" t="e">
        <f>Table4[[#This Row],[CATEGORY]]</f>
        <v>#VALUE!</v>
      </c>
      <c r="C501" t="e">
        <f>Table4[[#This Row],[SUB-CATEGORY]]</f>
        <v>#VALUE!</v>
      </c>
      <c r="D501">
        <f>'RJ ATTENDENCE SHEET'!C:C</f>
        <v>0</v>
      </c>
      <c r="E501" t="e">
        <f t="shared" si="105"/>
        <v>#VALUE!</v>
      </c>
      <c r="F501" t="str">
        <f t="shared" si="112"/>
        <v/>
      </c>
      <c r="G501">
        <f>IFERROR(IF(F501=0,"",COUNTIF($F$3:F501,"&gt;0")),"")</f>
        <v>16</v>
      </c>
      <c r="H501" t="str">
        <f t="shared" si="107"/>
        <v/>
      </c>
      <c r="I501" t="str">
        <f t="shared" si="113"/>
        <v/>
      </c>
      <c r="J501">
        <f>IFERROR(IF(I501=0,"",COUNTIF($I$3:I501,"&gt;0")),"")</f>
        <v>34</v>
      </c>
      <c r="K501" t="str">
        <f t="shared" si="108"/>
        <v/>
      </c>
      <c r="L501" t="str">
        <f t="shared" si="114"/>
        <v/>
      </c>
      <c r="M501" t="str">
        <f t="shared" si="115"/>
        <v/>
      </c>
      <c r="N501">
        <f>IFERROR(IF(M501=0,"",COUNTIF($M$3:M501,"&gt;0")),"")</f>
        <v>33</v>
      </c>
      <c r="O501" t="str">
        <f t="shared" si="109"/>
        <v/>
      </c>
      <c r="P501" t="str">
        <f t="shared" si="116"/>
        <v/>
      </c>
      <c r="Q501" t="str">
        <f t="shared" si="117"/>
        <v/>
      </c>
      <c r="R501">
        <f>IFERROR(IF(Q501=0,"",COUNTIF($Q$3:Q501,"&gt;0")),"")</f>
        <v>16</v>
      </c>
      <c r="S501" t="str">
        <f t="shared" si="110"/>
        <v/>
      </c>
      <c r="T501" t="str">
        <f t="shared" si="118"/>
        <v/>
      </c>
      <c r="U501">
        <f>IFERROR(IF(T501=0,"",COUNTIF($T$3:T501,"&gt;0")),"")</f>
        <v>0</v>
      </c>
      <c r="V501" t="str">
        <f t="shared" si="111"/>
        <v/>
      </c>
    </row>
    <row r="502" spans="1:22">
      <c r="A502" t="e">
        <f t="shared" si="106"/>
        <v>#VALUE!</v>
      </c>
      <c r="B502" t="e">
        <f>Table4[[#This Row],[CATEGORY]]</f>
        <v>#VALUE!</v>
      </c>
      <c r="C502" t="e">
        <f>Table4[[#This Row],[SUB-CATEGORY]]</f>
        <v>#VALUE!</v>
      </c>
      <c r="D502">
        <f>'RJ ATTENDENCE SHEET'!C:C</f>
        <v>0</v>
      </c>
      <c r="E502" t="e">
        <f t="shared" si="105"/>
        <v>#VALUE!</v>
      </c>
      <c r="F502" t="str">
        <f t="shared" si="112"/>
        <v/>
      </c>
      <c r="G502">
        <f>IFERROR(IF(F502=0,"",COUNTIF($F$3:F502,"&gt;0")),"")</f>
        <v>16</v>
      </c>
      <c r="H502" t="str">
        <f t="shared" si="107"/>
        <v/>
      </c>
      <c r="I502" t="str">
        <f t="shared" si="113"/>
        <v/>
      </c>
      <c r="J502">
        <f>IFERROR(IF(I502=0,"",COUNTIF($I$3:I502,"&gt;0")),"")</f>
        <v>34</v>
      </c>
      <c r="K502" t="str">
        <f t="shared" si="108"/>
        <v/>
      </c>
      <c r="L502" t="str">
        <f t="shared" si="114"/>
        <v/>
      </c>
      <c r="M502" t="str">
        <f t="shared" si="115"/>
        <v/>
      </c>
      <c r="N502">
        <f>IFERROR(IF(M502=0,"",COUNTIF($M$3:M502,"&gt;0")),"")</f>
        <v>33</v>
      </c>
      <c r="O502" t="str">
        <f t="shared" si="109"/>
        <v/>
      </c>
      <c r="P502" t="str">
        <f t="shared" si="116"/>
        <v/>
      </c>
      <c r="Q502" t="str">
        <f t="shared" si="117"/>
        <v/>
      </c>
      <c r="R502">
        <f>IFERROR(IF(Q502=0,"",COUNTIF($Q$3:Q502,"&gt;0")),"")</f>
        <v>16</v>
      </c>
      <c r="S502" t="str">
        <f t="shared" si="110"/>
        <v/>
      </c>
      <c r="T502" t="str">
        <f t="shared" si="118"/>
        <v/>
      </c>
      <c r="U502">
        <f>IFERROR(IF(T502=0,"",COUNTIF($T$3:T502,"&gt;0")),"")</f>
        <v>0</v>
      </c>
      <c r="V502" t="str">
        <f t="shared" si="111"/>
        <v/>
      </c>
    </row>
    <row r="503" spans="1:22">
      <c r="A503" t="e">
        <f t="shared" si="106"/>
        <v>#VALUE!</v>
      </c>
      <c r="B503" t="e">
        <f>Table4[[#This Row],[CATEGORY]]</f>
        <v>#VALUE!</v>
      </c>
      <c r="C503" t="e">
        <f>Table4[[#This Row],[SUB-CATEGORY]]</f>
        <v>#VALUE!</v>
      </c>
      <c r="D503">
        <f>'RJ ATTENDENCE SHEET'!C:C</f>
        <v>0</v>
      </c>
      <c r="E503" t="e">
        <f t="shared" si="105"/>
        <v>#VALUE!</v>
      </c>
      <c r="F503" t="str">
        <f t="shared" si="112"/>
        <v/>
      </c>
      <c r="G503">
        <f>IFERROR(IF(F503=0,"",COUNTIF($F$3:F503,"&gt;0")),"")</f>
        <v>16</v>
      </c>
      <c r="H503" t="str">
        <f t="shared" si="107"/>
        <v/>
      </c>
      <c r="I503" t="str">
        <f t="shared" si="113"/>
        <v/>
      </c>
      <c r="J503">
        <f>IFERROR(IF(I503=0,"",COUNTIF($I$3:I503,"&gt;0")),"")</f>
        <v>34</v>
      </c>
      <c r="K503" t="str">
        <f t="shared" si="108"/>
        <v/>
      </c>
      <c r="L503" t="str">
        <f t="shared" si="114"/>
        <v/>
      </c>
      <c r="M503" t="str">
        <f t="shared" si="115"/>
        <v/>
      </c>
      <c r="N503">
        <f>IFERROR(IF(M503=0,"",COUNTIF($M$3:M503,"&gt;0")),"")</f>
        <v>33</v>
      </c>
      <c r="O503" t="str">
        <f t="shared" si="109"/>
        <v/>
      </c>
      <c r="P503" t="str">
        <f t="shared" si="116"/>
        <v/>
      </c>
      <c r="Q503" t="str">
        <f t="shared" si="117"/>
        <v/>
      </c>
      <c r="R503">
        <f>IFERROR(IF(Q503=0,"",COUNTIF($Q$3:Q503,"&gt;0")),"")</f>
        <v>16</v>
      </c>
      <c r="S503" t="str">
        <f t="shared" si="110"/>
        <v/>
      </c>
      <c r="T503" t="str">
        <f t="shared" si="118"/>
        <v/>
      </c>
      <c r="U503">
        <f>IFERROR(IF(T503=0,"",COUNTIF($T$3:T503,"&gt;0")),"")</f>
        <v>0</v>
      </c>
      <c r="V503" t="str">
        <f t="shared" si="111"/>
        <v/>
      </c>
    </row>
    <row r="504" spans="1:22">
      <c r="A504" t="e">
        <f t="shared" si="106"/>
        <v>#VALUE!</v>
      </c>
      <c r="B504" t="e">
        <f>Table4[[#This Row],[CATEGORY]]</f>
        <v>#VALUE!</v>
      </c>
      <c r="C504" t="e">
        <f>Table4[[#This Row],[SUB-CATEGORY]]</f>
        <v>#VALUE!</v>
      </c>
      <c r="D504">
        <f>'RJ ATTENDENCE SHEET'!C:C</f>
        <v>0</v>
      </c>
      <c r="E504" t="e">
        <f t="shared" si="105"/>
        <v>#VALUE!</v>
      </c>
      <c r="F504" t="str">
        <f t="shared" si="112"/>
        <v/>
      </c>
      <c r="G504">
        <f>IFERROR(IF(F504=0,"",COUNTIF($F$3:F504,"&gt;0")),"")</f>
        <v>16</v>
      </c>
      <c r="H504" t="str">
        <f t="shared" si="107"/>
        <v/>
      </c>
      <c r="I504" t="str">
        <f t="shared" si="113"/>
        <v/>
      </c>
      <c r="J504">
        <f>IFERROR(IF(I504=0,"",COUNTIF($I$3:I504,"&gt;0")),"")</f>
        <v>34</v>
      </c>
      <c r="K504" t="str">
        <f t="shared" si="108"/>
        <v/>
      </c>
      <c r="L504" t="str">
        <f t="shared" si="114"/>
        <v/>
      </c>
      <c r="M504" t="str">
        <f t="shared" si="115"/>
        <v/>
      </c>
      <c r="N504">
        <f>IFERROR(IF(M504=0,"",COUNTIF($M$3:M504,"&gt;0")),"")</f>
        <v>33</v>
      </c>
      <c r="O504" t="str">
        <f t="shared" si="109"/>
        <v/>
      </c>
      <c r="P504" t="str">
        <f t="shared" si="116"/>
        <v/>
      </c>
      <c r="Q504" t="str">
        <f t="shared" si="117"/>
        <v/>
      </c>
      <c r="R504">
        <f>IFERROR(IF(Q504=0,"",COUNTIF($Q$3:Q504,"&gt;0")),"")</f>
        <v>16</v>
      </c>
      <c r="S504" t="str">
        <f t="shared" si="110"/>
        <v/>
      </c>
      <c r="T504" t="str">
        <f t="shared" si="118"/>
        <v/>
      </c>
      <c r="U504">
        <f>IFERROR(IF(T504=0,"",COUNTIF($T$3:T504,"&gt;0")),"")</f>
        <v>0</v>
      </c>
      <c r="V504" t="str">
        <f t="shared" si="111"/>
        <v/>
      </c>
    </row>
    <row r="505" spans="1:22">
      <c r="A505" t="e">
        <f t="shared" si="106"/>
        <v>#VALUE!</v>
      </c>
      <c r="B505" t="e">
        <f>Table4[[#This Row],[CATEGORY]]</f>
        <v>#VALUE!</v>
      </c>
      <c r="C505" t="e">
        <f>Table4[[#This Row],[SUB-CATEGORY]]</f>
        <v>#VALUE!</v>
      </c>
      <c r="D505">
        <f>'RJ ATTENDENCE SHEET'!C:C</f>
        <v>0</v>
      </c>
      <c r="E505" t="e">
        <f t="shared" si="105"/>
        <v>#VALUE!</v>
      </c>
      <c r="F505" t="str">
        <f t="shared" si="112"/>
        <v/>
      </c>
      <c r="G505">
        <f>IFERROR(IF(F505=0,"",COUNTIF($F$3:F505,"&gt;0")),"")</f>
        <v>16</v>
      </c>
      <c r="H505" t="str">
        <f t="shared" si="107"/>
        <v/>
      </c>
      <c r="I505" t="str">
        <f t="shared" si="113"/>
        <v/>
      </c>
      <c r="J505">
        <f>IFERROR(IF(I505=0,"",COUNTIF($I$3:I505,"&gt;0")),"")</f>
        <v>34</v>
      </c>
      <c r="K505" t="str">
        <f t="shared" si="108"/>
        <v/>
      </c>
      <c r="L505" t="str">
        <f t="shared" si="114"/>
        <v/>
      </c>
      <c r="M505" t="str">
        <f t="shared" si="115"/>
        <v/>
      </c>
      <c r="N505">
        <f>IFERROR(IF(M505=0,"",COUNTIF($M$3:M505,"&gt;0")),"")</f>
        <v>33</v>
      </c>
      <c r="O505" t="str">
        <f t="shared" si="109"/>
        <v/>
      </c>
      <c r="P505" t="str">
        <f t="shared" si="116"/>
        <v/>
      </c>
      <c r="Q505" t="str">
        <f t="shared" si="117"/>
        <v/>
      </c>
      <c r="R505">
        <f>IFERROR(IF(Q505=0,"",COUNTIF($Q$3:Q505,"&gt;0")),"")</f>
        <v>16</v>
      </c>
      <c r="S505" t="str">
        <f t="shared" si="110"/>
        <v/>
      </c>
      <c r="T505" t="str">
        <f t="shared" si="118"/>
        <v/>
      </c>
      <c r="U505">
        <f>IFERROR(IF(T505=0,"",COUNTIF($T$3:T505,"&gt;0")),"")</f>
        <v>0</v>
      </c>
      <c r="V505" t="str">
        <f t="shared" si="111"/>
        <v/>
      </c>
    </row>
    <row r="506" spans="1:22">
      <c r="A506" t="e">
        <f t="shared" si="106"/>
        <v>#VALUE!</v>
      </c>
      <c r="B506" t="e">
        <f>Table4[[#This Row],[CATEGORY]]</f>
        <v>#VALUE!</v>
      </c>
      <c r="C506" t="e">
        <f>Table4[[#This Row],[SUB-CATEGORY]]</f>
        <v>#VALUE!</v>
      </c>
      <c r="D506">
        <f>'RJ ATTENDENCE SHEET'!C:C</f>
        <v>0</v>
      </c>
      <c r="E506" t="e">
        <f t="shared" si="105"/>
        <v>#VALUE!</v>
      </c>
      <c r="F506" t="str">
        <f t="shared" si="112"/>
        <v/>
      </c>
      <c r="G506">
        <f>IFERROR(IF(F506=0,"",COUNTIF($F$3:F506,"&gt;0")),"")</f>
        <v>16</v>
      </c>
      <c r="H506" t="str">
        <f t="shared" si="107"/>
        <v/>
      </c>
      <c r="I506" t="str">
        <f t="shared" si="113"/>
        <v/>
      </c>
      <c r="J506">
        <f>IFERROR(IF(I506=0,"",COUNTIF($I$3:I506,"&gt;0")),"")</f>
        <v>34</v>
      </c>
      <c r="K506" t="str">
        <f t="shared" si="108"/>
        <v/>
      </c>
      <c r="L506" t="str">
        <f t="shared" si="114"/>
        <v/>
      </c>
      <c r="M506" t="str">
        <f t="shared" si="115"/>
        <v/>
      </c>
      <c r="N506">
        <f>IFERROR(IF(M506=0,"",COUNTIF($M$3:M506,"&gt;0")),"")</f>
        <v>33</v>
      </c>
      <c r="O506" t="str">
        <f t="shared" si="109"/>
        <v/>
      </c>
      <c r="P506" t="str">
        <f t="shared" si="116"/>
        <v/>
      </c>
      <c r="Q506" t="str">
        <f t="shared" si="117"/>
        <v/>
      </c>
      <c r="R506">
        <f>IFERROR(IF(Q506=0,"",COUNTIF($Q$3:Q506,"&gt;0")),"")</f>
        <v>16</v>
      </c>
      <c r="S506" t="str">
        <f t="shared" si="110"/>
        <v/>
      </c>
      <c r="T506" t="str">
        <f t="shared" si="118"/>
        <v/>
      </c>
      <c r="U506">
        <f>IFERROR(IF(T506=0,"",COUNTIF($T$3:T506,"&gt;0")),"")</f>
        <v>0</v>
      </c>
      <c r="V506" t="str">
        <f t="shared" si="111"/>
        <v/>
      </c>
    </row>
    <row r="507" spans="1:22">
      <c r="A507" t="e">
        <f t="shared" si="106"/>
        <v>#VALUE!</v>
      </c>
      <c r="B507" t="e">
        <f>Table4[[#This Row],[CATEGORY]]</f>
        <v>#VALUE!</v>
      </c>
      <c r="C507" t="e">
        <f>Table4[[#This Row],[SUB-CATEGORY]]</f>
        <v>#VALUE!</v>
      </c>
      <c r="D507">
        <f>'RJ ATTENDENCE SHEET'!C:C</f>
        <v>0</v>
      </c>
      <c r="E507" t="e">
        <f t="shared" si="105"/>
        <v>#VALUE!</v>
      </c>
      <c r="F507" t="str">
        <f t="shared" si="112"/>
        <v/>
      </c>
      <c r="G507">
        <f>IFERROR(IF(F507=0,"",COUNTIF($F$3:F507,"&gt;0")),"")</f>
        <v>16</v>
      </c>
      <c r="H507" t="str">
        <f t="shared" si="107"/>
        <v/>
      </c>
      <c r="I507" t="str">
        <f t="shared" si="113"/>
        <v/>
      </c>
      <c r="J507">
        <f>IFERROR(IF(I507=0,"",COUNTIF($I$3:I507,"&gt;0")),"")</f>
        <v>34</v>
      </c>
      <c r="K507" t="str">
        <f t="shared" si="108"/>
        <v/>
      </c>
      <c r="L507" t="str">
        <f t="shared" si="114"/>
        <v/>
      </c>
      <c r="M507" t="str">
        <f t="shared" si="115"/>
        <v/>
      </c>
      <c r="N507">
        <f>IFERROR(IF(M507=0,"",COUNTIF($M$3:M507,"&gt;0")),"")</f>
        <v>33</v>
      </c>
      <c r="O507" t="str">
        <f t="shared" si="109"/>
        <v/>
      </c>
      <c r="P507" t="str">
        <f t="shared" si="116"/>
        <v/>
      </c>
      <c r="Q507" t="str">
        <f t="shared" si="117"/>
        <v/>
      </c>
      <c r="R507">
        <f>IFERROR(IF(Q507=0,"",COUNTIF($Q$3:Q507,"&gt;0")),"")</f>
        <v>16</v>
      </c>
      <c r="S507" t="str">
        <f t="shared" si="110"/>
        <v/>
      </c>
      <c r="T507" t="str">
        <f t="shared" si="118"/>
        <v/>
      </c>
      <c r="U507">
        <f>IFERROR(IF(T507=0,"",COUNTIF($T$3:T507,"&gt;0")),"")</f>
        <v>0</v>
      </c>
      <c r="V507" t="str">
        <f t="shared" si="111"/>
        <v/>
      </c>
    </row>
    <row r="508" spans="1:22">
      <c r="A508" t="e">
        <f t="shared" si="106"/>
        <v>#VALUE!</v>
      </c>
      <c r="B508" t="e">
        <f>Table4[[#This Row],[CATEGORY]]</f>
        <v>#VALUE!</v>
      </c>
      <c r="C508" t="e">
        <f>Table4[[#This Row],[SUB-CATEGORY]]</f>
        <v>#VALUE!</v>
      </c>
      <c r="D508">
        <f>'RJ ATTENDENCE SHEET'!C:C</f>
        <v>0</v>
      </c>
      <c r="E508" t="e">
        <f t="shared" si="105"/>
        <v>#VALUE!</v>
      </c>
      <c r="F508" t="str">
        <f t="shared" si="112"/>
        <v/>
      </c>
      <c r="G508">
        <f>IFERROR(IF(F508=0,"",COUNTIF($F$3:F508,"&gt;0")),"")</f>
        <v>16</v>
      </c>
      <c r="H508" t="str">
        <f t="shared" si="107"/>
        <v/>
      </c>
      <c r="I508" t="str">
        <f t="shared" si="113"/>
        <v/>
      </c>
      <c r="J508">
        <f>IFERROR(IF(I508=0,"",COUNTIF($I$3:I508,"&gt;0")),"")</f>
        <v>34</v>
      </c>
      <c r="K508" t="str">
        <f t="shared" si="108"/>
        <v/>
      </c>
      <c r="L508" t="str">
        <f t="shared" si="114"/>
        <v/>
      </c>
      <c r="M508" t="str">
        <f t="shared" si="115"/>
        <v/>
      </c>
      <c r="N508">
        <f>IFERROR(IF(M508=0,"",COUNTIF($M$3:M508,"&gt;0")),"")</f>
        <v>33</v>
      </c>
      <c r="O508" t="str">
        <f t="shared" si="109"/>
        <v/>
      </c>
      <c r="P508" t="str">
        <f t="shared" si="116"/>
        <v/>
      </c>
      <c r="Q508" t="str">
        <f t="shared" si="117"/>
        <v/>
      </c>
      <c r="R508">
        <f>IFERROR(IF(Q508=0,"",COUNTIF($Q$3:Q508,"&gt;0")),"")</f>
        <v>16</v>
      </c>
      <c r="S508" t="str">
        <f t="shared" si="110"/>
        <v/>
      </c>
      <c r="T508" t="str">
        <f t="shared" si="118"/>
        <v/>
      </c>
      <c r="U508">
        <f>IFERROR(IF(T508=0,"",COUNTIF($T$3:T508,"&gt;0")),"")</f>
        <v>0</v>
      </c>
      <c r="V508" t="str">
        <f t="shared" si="111"/>
        <v/>
      </c>
    </row>
    <row r="509" spans="1:22">
      <c r="A509" t="e">
        <f t="shared" si="106"/>
        <v>#VALUE!</v>
      </c>
      <c r="B509" t="e">
        <f>Table4[[#This Row],[CATEGORY]]</f>
        <v>#VALUE!</v>
      </c>
      <c r="C509" t="e">
        <f>Table4[[#This Row],[SUB-CATEGORY]]</f>
        <v>#VALUE!</v>
      </c>
      <c r="D509">
        <f>'RJ ATTENDENCE SHEET'!C:C</f>
        <v>0</v>
      </c>
      <c r="E509" t="e">
        <f t="shared" si="105"/>
        <v>#VALUE!</v>
      </c>
      <c r="F509" t="str">
        <f t="shared" si="112"/>
        <v/>
      </c>
      <c r="G509">
        <f>IFERROR(IF(F509=0,"",COUNTIF($F$3:F509,"&gt;0")),"")</f>
        <v>16</v>
      </c>
      <c r="H509" t="str">
        <f t="shared" si="107"/>
        <v/>
      </c>
      <c r="I509" t="str">
        <f t="shared" si="113"/>
        <v/>
      </c>
      <c r="J509">
        <f>IFERROR(IF(I509=0,"",COUNTIF($I$3:I509,"&gt;0")),"")</f>
        <v>34</v>
      </c>
      <c r="K509" t="str">
        <f t="shared" si="108"/>
        <v/>
      </c>
      <c r="L509" t="str">
        <f t="shared" si="114"/>
        <v/>
      </c>
      <c r="M509" t="str">
        <f t="shared" si="115"/>
        <v/>
      </c>
      <c r="N509">
        <f>IFERROR(IF(M509=0,"",COUNTIF($M$3:M509,"&gt;0")),"")</f>
        <v>33</v>
      </c>
      <c r="O509" t="str">
        <f t="shared" si="109"/>
        <v/>
      </c>
      <c r="P509" t="str">
        <f t="shared" si="116"/>
        <v/>
      </c>
      <c r="Q509" t="str">
        <f t="shared" si="117"/>
        <v/>
      </c>
      <c r="R509">
        <f>IFERROR(IF(Q509=0,"",COUNTIF($Q$3:Q509,"&gt;0")),"")</f>
        <v>16</v>
      </c>
      <c r="S509" t="str">
        <f t="shared" si="110"/>
        <v/>
      </c>
      <c r="T509" t="str">
        <f t="shared" si="118"/>
        <v/>
      </c>
      <c r="U509">
        <f>IFERROR(IF(T509=0,"",COUNTIF($T$3:T509,"&gt;0")),"")</f>
        <v>0</v>
      </c>
      <c r="V509" t="str">
        <f t="shared" si="111"/>
        <v/>
      </c>
    </row>
    <row r="510" spans="1:22">
      <c r="A510" t="e">
        <f t="shared" si="106"/>
        <v>#VALUE!</v>
      </c>
      <c r="B510" t="e">
        <f>Table4[[#This Row],[CATEGORY]]</f>
        <v>#VALUE!</v>
      </c>
      <c r="C510" t="e">
        <f>Table4[[#This Row],[SUB-CATEGORY]]</f>
        <v>#VALUE!</v>
      </c>
      <c r="D510">
        <f>'RJ ATTENDENCE SHEET'!C:C</f>
        <v>0</v>
      </c>
      <c r="E510" t="e">
        <f t="shared" si="105"/>
        <v>#VALUE!</v>
      </c>
      <c r="F510" t="str">
        <f t="shared" si="112"/>
        <v/>
      </c>
      <c r="G510">
        <f>IFERROR(IF(F510=0,"",COUNTIF($F$3:F510,"&gt;0")),"")</f>
        <v>16</v>
      </c>
      <c r="H510" t="str">
        <f t="shared" si="107"/>
        <v/>
      </c>
      <c r="I510" t="str">
        <f t="shared" si="113"/>
        <v/>
      </c>
      <c r="J510">
        <f>IFERROR(IF(I510=0,"",COUNTIF($I$3:I510,"&gt;0")),"")</f>
        <v>34</v>
      </c>
      <c r="K510" t="str">
        <f t="shared" si="108"/>
        <v/>
      </c>
      <c r="L510" t="str">
        <f t="shared" si="114"/>
        <v/>
      </c>
      <c r="M510" t="str">
        <f t="shared" si="115"/>
        <v/>
      </c>
      <c r="N510">
        <f>IFERROR(IF(M510=0,"",COUNTIF($M$3:M510,"&gt;0")),"")</f>
        <v>33</v>
      </c>
      <c r="O510" t="str">
        <f t="shared" si="109"/>
        <v/>
      </c>
      <c r="P510" t="str">
        <f t="shared" si="116"/>
        <v/>
      </c>
      <c r="Q510" t="str">
        <f t="shared" si="117"/>
        <v/>
      </c>
      <c r="R510">
        <f>IFERROR(IF(Q510=0,"",COUNTIF($Q$3:Q510,"&gt;0")),"")</f>
        <v>16</v>
      </c>
      <c r="S510" t="str">
        <f t="shared" si="110"/>
        <v/>
      </c>
      <c r="T510" t="str">
        <f t="shared" si="118"/>
        <v/>
      </c>
      <c r="U510">
        <f>IFERROR(IF(T510=0,"",COUNTIF($T$3:T510,"&gt;0")),"")</f>
        <v>0</v>
      </c>
      <c r="V510" t="str">
        <f t="shared" si="111"/>
        <v/>
      </c>
    </row>
    <row r="511" spans="1:22">
      <c r="A511" t="e">
        <f t="shared" si="106"/>
        <v>#VALUE!</v>
      </c>
      <c r="B511" t="e">
        <f>Table4[[#This Row],[CATEGORY]]</f>
        <v>#VALUE!</v>
      </c>
      <c r="C511" t="e">
        <f>Table4[[#This Row],[SUB-CATEGORY]]</f>
        <v>#VALUE!</v>
      </c>
      <c r="D511">
        <f>'RJ ATTENDENCE SHEET'!C:C</f>
        <v>0</v>
      </c>
      <c r="E511" t="e">
        <f t="shared" si="105"/>
        <v>#VALUE!</v>
      </c>
      <c r="F511" t="str">
        <f t="shared" si="112"/>
        <v/>
      </c>
      <c r="G511">
        <f>IFERROR(IF(F511=0,"",COUNTIF($F$3:F511,"&gt;0")),"")</f>
        <v>16</v>
      </c>
      <c r="H511" t="str">
        <f t="shared" si="107"/>
        <v/>
      </c>
      <c r="I511" t="str">
        <f t="shared" si="113"/>
        <v/>
      </c>
      <c r="J511">
        <f>IFERROR(IF(I511=0,"",COUNTIF($I$3:I511,"&gt;0")),"")</f>
        <v>34</v>
      </c>
      <c r="K511" t="str">
        <f t="shared" si="108"/>
        <v/>
      </c>
      <c r="L511" t="str">
        <f t="shared" si="114"/>
        <v/>
      </c>
      <c r="M511" t="str">
        <f t="shared" si="115"/>
        <v/>
      </c>
      <c r="N511">
        <f>IFERROR(IF(M511=0,"",COUNTIF($M$3:M511,"&gt;0")),"")</f>
        <v>33</v>
      </c>
      <c r="O511" t="str">
        <f t="shared" si="109"/>
        <v/>
      </c>
      <c r="P511" t="str">
        <f t="shared" si="116"/>
        <v/>
      </c>
      <c r="Q511" t="str">
        <f t="shared" si="117"/>
        <v/>
      </c>
      <c r="R511">
        <f>IFERROR(IF(Q511=0,"",COUNTIF($Q$3:Q511,"&gt;0")),"")</f>
        <v>16</v>
      </c>
      <c r="S511" t="str">
        <f t="shared" si="110"/>
        <v/>
      </c>
      <c r="T511" t="str">
        <f t="shared" si="118"/>
        <v/>
      </c>
      <c r="U511">
        <f>IFERROR(IF(T511=0,"",COUNTIF($T$3:T511,"&gt;0")),"")</f>
        <v>0</v>
      </c>
      <c r="V511" t="str">
        <f t="shared" si="111"/>
        <v/>
      </c>
    </row>
    <row r="512" spans="1:22">
      <c r="A512" t="e">
        <f t="shared" si="106"/>
        <v>#VALUE!</v>
      </c>
      <c r="B512" t="e">
        <f>Table4[[#This Row],[CATEGORY]]</f>
        <v>#VALUE!</v>
      </c>
      <c r="C512" t="e">
        <f>Table4[[#This Row],[SUB-CATEGORY]]</f>
        <v>#VALUE!</v>
      </c>
      <c r="D512">
        <f>'RJ ATTENDENCE SHEET'!C:C</f>
        <v>0</v>
      </c>
      <c r="E512" t="e">
        <f t="shared" si="105"/>
        <v>#VALUE!</v>
      </c>
      <c r="F512" t="str">
        <f t="shared" si="112"/>
        <v/>
      </c>
      <c r="G512">
        <f>IFERROR(IF(F512=0,"",COUNTIF($F$3:F512,"&gt;0")),"")</f>
        <v>16</v>
      </c>
      <c r="H512" t="str">
        <f t="shared" si="107"/>
        <v/>
      </c>
      <c r="I512" t="str">
        <f t="shared" si="113"/>
        <v/>
      </c>
      <c r="J512">
        <f>IFERROR(IF(I512=0,"",COUNTIF($I$3:I512,"&gt;0")),"")</f>
        <v>34</v>
      </c>
      <c r="K512" t="str">
        <f t="shared" si="108"/>
        <v/>
      </c>
      <c r="L512" t="str">
        <f t="shared" si="114"/>
        <v/>
      </c>
      <c r="M512" t="str">
        <f t="shared" si="115"/>
        <v/>
      </c>
      <c r="N512">
        <f>IFERROR(IF(M512=0,"",COUNTIF($M$3:M512,"&gt;0")),"")</f>
        <v>33</v>
      </c>
      <c r="O512" t="str">
        <f t="shared" si="109"/>
        <v/>
      </c>
      <c r="P512" t="str">
        <f t="shared" si="116"/>
        <v/>
      </c>
      <c r="Q512" t="str">
        <f t="shared" si="117"/>
        <v/>
      </c>
      <c r="R512">
        <f>IFERROR(IF(Q512=0,"",COUNTIF($Q$3:Q512,"&gt;0")),"")</f>
        <v>16</v>
      </c>
      <c r="S512" t="str">
        <f t="shared" si="110"/>
        <v/>
      </c>
      <c r="T512" t="str">
        <f t="shared" si="118"/>
        <v/>
      </c>
      <c r="U512">
        <f>IFERROR(IF(T512=0,"",COUNTIF($T$3:T512,"&gt;0")),"")</f>
        <v>0</v>
      </c>
      <c r="V512" t="str">
        <f t="shared" si="111"/>
        <v/>
      </c>
    </row>
    <row r="513" spans="1:22">
      <c r="A513" t="e">
        <f t="shared" si="106"/>
        <v>#VALUE!</v>
      </c>
      <c r="B513" t="e">
        <f>Table4[[#This Row],[CATEGORY]]</f>
        <v>#VALUE!</v>
      </c>
      <c r="C513" t="e">
        <f>Table4[[#This Row],[SUB-CATEGORY]]</f>
        <v>#VALUE!</v>
      </c>
      <c r="D513">
        <f>'RJ ATTENDENCE SHEET'!C:C</f>
        <v>0</v>
      </c>
      <c r="E513" t="e">
        <f t="shared" si="105"/>
        <v>#VALUE!</v>
      </c>
      <c r="F513" t="str">
        <f t="shared" si="112"/>
        <v/>
      </c>
      <c r="G513">
        <f>IFERROR(IF(F513=0,"",COUNTIF($F$3:F513,"&gt;0")),"")</f>
        <v>16</v>
      </c>
      <c r="H513" t="str">
        <f t="shared" si="107"/>
        <v/>
      </c>
      <c r="I513" t="str">
        <f t="shared" si="113"/>
        <v/>
      </c>
      <c r="J513">
        <f>IFERROR(IF(I513=0,"",COUNTIF($I$3:I513,"&gt;0")),"")</f>
        <v>34</v>
      </c>
      <c r="K513" t="str">
        <f t="shared" si="108"/>
        <v/>
      </c>
      <c r="L513" t="str">
        <f t="shared" si="114"/>
        <v/>
      </c>
      <c r="M513" t="str">
        <f t="shared" si="115"/>
        <v/>
      </c>
      <c r="N513">
        <f>IFERROR(IF(M513=0,"",COUNTIF($M$3:M513,"&gt;0")),"")</f>
        <v>33</v>
      </c>
      <c r="O513" t="str">
        <f t="shared" si="109"/>
        <v/>
      </c>
      <c r="P513" t="str">
        <f t="shared" si="116"/>
        <v/>
      </c>
      <c r="Q513" t="str">
        <f t="shared" si="117"/>
        <v/>
      </c>
      <c r="R513">
        <f>IFERROR(IF(Q513=0,"",COUNTIF($Q$3:Q513,"&gt;0")),"")</f>
        <v>16</v>
      </c>
      <c r="S513" t="str">
        <f t="shared" si="110"/>
        <v/>
      </c>
      <c r="T513" t="str">
        <f t="shared" si="118"/>
        <v/>
      </c>
      <c r="U513">
        <f>IFERROR(IF(T513=0,"",COUNTIF($T$3:T513,"&gt;0")),"")</f>
        <v>0</v>
      </c>
      <c r="V513" t="str">
        <f t="shared" si="111"/>
        <v/>
      </c>
    </row>
    <row r="514" spans="1:22">
      <c r="A514" t="e">
        <f t="shared" si="106"/>
        <v>#VALUE!</v>
      </c>
      <c r="B514" t="e">
        <f>Table4[[#This Row],[CATEGORY]]</f>
        <v>#VALUE!</v>
      </c>
      <c r="C514" t="e">
        <f>Table4[[#This Row],[SUB-CATEGORY]]</f>
        <v>#VALUE!</v>
      </c>
      <c r="D514">
        <f>'RJ ATTENDENCE SHEET'!C:C</f>
        <v>0</v>
      </c>
      <c r="E514" t="e">
        <f t="shared" ref="E514:E577" si="119">C514</f>
        <v>#VALUE!</v>
      </c>
      <c r="F514" t="str">
        <f t="shared" si="112"/>
        <v/>
      </c>
      <c r="G514">
        <f>IFERROR(IF(F514=0,"",COUNTIF($F$3:F514,"&gt;0")),"")</f>
        <v>16</v>
      </c>
      <c r="H514" t="str">
        <f t="shared" si="107"/>
        <v/>
      </c>
      <c r="I514" t="str">
        <f t="shared" si="113"/>
        <v/>
      </c>
      <c r="J514">
        <f>IFERROR(IF(I514=0,"",COUNTIF($I$3:I514,"&gt;0")),"")</f>
        <v>34</v>
      </c>
      <c r="K514" t="str">
        <f t="shared" si="108"/>
        <v/>
      </c>
      <c r="L514" t="str">
        <f t="shared" si="114"/>
        <v/>
      </c>
      <c r="M514" t="str">
        <f t="shared" si="115"/>
        <v/>
      </c>
      <c r="N514">
        <f>IFERROR(IF(M514=0,"",COUNTIF($M$3:M514,"&gt;0")),"")</f>
        <v>33</v>
      </c>
      <c r="O514" t="str">
        <f t="shared" si="109"/>
        <v/>
      </c>
      <c r="P514" t="str">
        <f t="shared" si="116"/>
        <v/>
      </c>
      <c r="Q514" t="str">
        <f t="shared" si="117"/>
        <v/>
      </c>
      <c r="R514">
        <f>IFERROR(IF(Q514=0,"",COUNTIF($Q$3:Q514,"&gt;0")),"")</f>
        <v>16</v>
      </c>
      <c r="S514" t="str">
        <f t="shared" si="110"/>
        <v/>
      </c>
      <c r="T514" t="str">
        <f t="shared" si="118"/>
        <v/>
      </c>
      <c r="U514">
        <f>IFERROR(IF(T514=0,"",COUNTIF($T$3:T514,"&gt;0")),"")</f>
        <v>0</v>
      </c>
      <c r="V514" t="str">
        <f t="shared" si="111"/>
        <v/>
      </c>
    </row>
    <row r="515" spans="1:22">
      <c r="A515" t="e">
        <f t="shared" ref="A515:A578" si="120">CONCATENATE(B515,C515,D515)</f>
        <v>#VALUE!</v>
      </c>
      <c r="B515" t="e">
        <f>Table4[[#This Row],[CATEGORY]]</f>
        <v>#VALUE!</v>
      </c>
      <c r="C515" t="e">
        <f>Table4[[#This Row],[SUB-CATEGORY]]</f>
        <v>#VALUE!</v>
      </c>
      <c r="D515">
        <f>'RJ ATTENDENCE SHEET'!C:C</f>
        <v>0</v>
      </c>
      <c r="E515" t="e">
        <f t="shared" si="119"/>
        <v>#VALUE!</v>
      </c>
      <c r="F515" t="str">
        <f t="shared" si="112"/>
        <v/>
      </c>
      <c r="G515">
        <f>IFERROR(IF(F515=0,"",COUNTIF($F$3:F515,"&gt;0")),"")</f>
        <v>16</v>
      </c>
      <c r="H515" t="str">
        <f t="shared" ref="H515:H578" si="121">IFERROR(VLOOKUP(INDEX($A:$A,MATCH(ROW(F513),G:G,0)),$A:$D,4,0),"")</f>
        <v/>
      </c>
      <c r="I515" t="str">
        <f t="shared" si="113"/>
        <v/>
      </c>
      <c r="J515">
        <f>IFERROR(IF(I515=0,"",COUNTIF($I$3:I515,"&gt;0")),"")</f>
        <v>34</v>
      </c>
      <c r="K515" t="str">
        <f t="shared" ref="K515:K578" si="122">IFERROR(VLOOKUP(INDEX($A:$A,MATCH(ROW(I513),J:J,0)),$A:$D,4,0),"")</f>
        <v/>
      </c>
      <c r="L515" t="str">
        <f t="shared" si="114"/>
        <v/>
      </c>
      <c r="M515" t="str">
        <f t="shared" si="115"/>
        <v/>
      </c>
      <c r="N515">
        <f>IFERROR(IF(M515=0,"",COUNTIF($M$3:M515,"&gt;0")),"")</f>
        <v>33</v>
      </c>
      <c r="O515" t="str">
        <f t="shared" ref="O515:O578" si="123">IFERROR(VLOOKUP(INDEX($A:$A,MATCH(ROW(M513),N:N,0)),$A:$D,4,0),"")</f>
        <v/>
      </c>
      <c r="P515" t="str">
        <f t="shared" si="116"/>
        <v/>
      </c>
      <c r="Q515" t="str">
        <f t="shared" si="117"/>
        <v/>
      </c>
      <c r="R515">
        <f>IFERROR(IF(Q515=0,"",COUNTIF($Q$3:Q515,"&gt;0")),"")</f>
        <v>16</v>
      </c>
      <c r="S515" t="str">
        <f t="shared" ref="S515:S578" si="124">IFERROR(VLOOKUP(INDEX($A:$A,MATCH(ROW(Q513),R:R,0)),$A:$D,4,0),"")</f>
        <v/>
      </c>
      <c r="T515" t="str">
        <f t="shared" si="118"/>
        <v/>
      </c>
      <c r="U515">
        <f>IFERROR(IF(T515=0,"",COUNTIF($T$3:T515,"&gt;0")),"")</f>
        <v>0</v>
      </c>
      <c r="V515" t="str">
        <f t="shared" ref="V515:V578" si="125">IFERROR(VLOOKUP(INDEX($A:$A,MATCH(ROW(T513),U:U,0)),$A:$D,4,0),"")</f>
        <v/>
      </c>
    </row>
    <row r="516" spans="1:22">
      <c r="A516" t="e">
        <f t="shared" si="120"/>
        <v>#VALUE!</v>
      </c>
      <c r="B516" t="e">
        <f>Table4[[#This Row],[CATEGORY]]</f>
        <v>#VALUE!</v>
      </c>
      <c r="C516" t="e">
        <f>Table4[[#This Row],[SUB-CATEGORY]]</f>
        <v>#VALUE!</v>
      </c>
      <c r="D516">
        <f>'RJ ATTENDENCE SHEET'!C:C</f>
        <v>0</v>
      </c>
      <c r="E516" t="e">
        <f t="shared" si="119"/>
        <v>#VALUE!</v>
      </c>
      <c r="F516" t="str">
        <f t="shared" ref="F516:F579" si="126">IFERROR(SEARCH("SALARYOFFICE",$A:$A),"")</f>
        <v/>
      </c>
      <c r="G516">
        <f>IFERROR(IF(F516=0,"",COUNTIF($F$3:F516,"&gt;0")),"")</f>
        <v>16</v>
      </c>
      <c r="H516" t="str">
        <f t="shared" si="121"/>
        <v/>
      </c>
      <c r="I516" t="str">
        <f t="shared" ref="I516:I579" si="127">IFERROR(SEARCH("WAGES",$A:$A),"")</f>
        <v/>
      </c>
      <c r="J516">
        <f>IFERROR(IF(I516=0,"",COUNTIF($I$3:I516,"&gt;0")),"")</f>
        <v>34</v>
      </c>
      <c r="K516" t="str">
        <f t="shared" si="122"/>
        <v/>
      </c>
      <c r="L516" t="str">
        <f t="shared" ref="L516:L579" si="128">IFERROR(VLOOKUP(K516,$D:$E,2,0),"")</f>
        <v/>
      </c>
      <c r="M516" t="str">
        <f t="shared" ref="M516:M579" si="129">IFERROR(SEARCH("CONTRACT",$A:$A),"")</f>
        <v/>
      </c>
      <c r="N516">
        <f>IFERROR(IF(M516=0,"",COUNTIF($M$3:M516,"&gt;0")),"")</f>
        <v>33</v>
      </c>
      <c r="O516" t="str">
        <f t="shared" si="123"/>
        <v/>
      </c>
      <c r="P516" t="str">
        <f t="shared" ref="P516:P579" si="130">IFERROR(VLOOKUP(O516,$D:$E,2,0),"")</f>
        <v/>
      </c>
      <c r="Q516" t="str">
        <f t="shared" ref="Q516:Q579" si="131">IFERROR(SEARCH("SALARY",$A:$A),"")</f>
        <v/>
      </c>
      <c r="R516">
        <f>IFERROR(IF(Q516=0,"",COUNTIF($Q$3:Q516,"&gt;0")),"")</f>
        <v>16</v>
      </c>
      <c r="S516" t="str">
        <f t="shared" si="124"/>
        <v/>
      </c>
      <c r="T516" t="str">
        <f t="shared" ref="T516:T579" si="132">IFERROR(SEARCH("OTHERS0",$A:$A),"")</f>
        <v/>
      </c>
      <c r="U516">
        <f>IFERROR(IF(T516=0,"",COUNTIF($T$3:T516,"&gt;0")),"")</f>
        <v>0</v>
      </c>
      <c r="V516" t="str">
        <f t="shared" si="125"/>
        <v/>
      </c>
    </row>
    <row r="517" spans="1:22">
      <c r="A517" t="e">
        <f t="shared" si="120"/>
        <v>#VALUE!</v>
      </c>
      <c r="B517" t="e">
        <f>Table4[[#This Row],[CATEGORY]]</f>
        <v>#VALUE!</v>
      </c>
      <c r="C517" t="e">
        <f>Table4[[#This Row],[SUB-CATEGORY]]</f>
        <v>#VALUE!</v>
      </c>
      <c r="D517">
        <f>'RJ ATTENDENCE SHEET'!C:C</f>
        <v>0</v>
      </c>
      <c r="E517" t="e">
        <f t="shared" si="119"/>
        <v>#VALUE!</v>
      </c>
      <c r="F517" t="str">
        <f t="shared" si="126"/>
        <v/>
      </c>
      <c r="G517">
        <f>IFERROR(IF(F517=0,"",COUNTIF($F$3:F517,"&gt;0")),"")</f>
        <v>16</v>
      </c>
      <c r="H517" t="str">
        <f t="shared" si="121"/>
        <v/>
      </c>
      <c r="I517" t="str">
        <f t="shared" si="127"/>
        <v/>
      </c>
      <c r="J517">
        <f>IFERROR(IF(I517=0,"",COUNTIF($I$3:I517,"&gt;0")),"")</f>
        <v>34</v>
      </c>
      <c r="K517" t="str">
        <f t="shared" si="122"/>
        <v/>
      </c>
      <c r="L517" t="str">
        <f t="shared" si="128"/>
        <v/>
      </c>
      <c r="M517" t="str">
        <f t="shared" si="129"/>
        <v/>
      </c>
      <c r="N517">
        <f>IFERROR(IF(M517=0,"",COUNTIF($M$3:M517,"&gt;0")),"")</f>
        <v>33</v>
      </c>
      <c r="O517" t="str">
        <f t="shared" si="123"/>
        <v/>
      </c>
      <c r="P517" t="str">
        <f t="shared" si="130"/>
        <v/>
      </c>
      <c r="Q517" t="str">
        <f t="shared" si="131"/>
        <v/>
      </c>
      <c r="R517">
        <f>IFERROR(IF(Q517=0,"",COUNTIF($Q$3:Q517,"&gt;0")),"")</f>
        <v>16</v>
      </c>
      <c r="S517" t="str">
        <f t="shared" si="124"/>
        <v/>
      </c>
      <c r="T517" t="str">
        <f t="shared" si="132"/>
        <v/>
      </c>
      <c r="U517">
        <f>IFERROR(IF(T517=0,"",COUNTIF($T$3:T517,"&gt;0")),"")</f>
        <v>0</v>
      </c>
      <c r="V517" t="str">
        <f t="shared" si="125"/>
        <v/>
      </c>
    </row>
    <row r="518" spans="1:22">
      <c r="A518" t="e">
        <f t="shared" si="120"/>
        <v>#VALUE!</v>
      </c>
      <c r="B518" t="e">
        <f>Table4[[#This Row],[CATEGORY]]</f>
        <v>#VALUE!</v>
      </c>
      <c r="C518" t="e">
        <f>Table4[[#This Row],[SUB-CATEGORY]]</f>
        <v>#VALUE!</v>
      </c>
      <c r="D518">
        <f>'RJ ATTENDENCE SHEET'!C:C</f>
        <v>0</v>
      </c>
      <c r="E518" t="e">
        <f t="shared" si="119"/>
        <v>#VALUE!</v>
      </c>
      <c r="F518" t="str">
        <f t="shared" si="126"/>
        <v/>
      </c>
      <c r="G518">
        <f>IFERROR(IF(F518=0,"",COUNTIF($F$3:F518,"&gt;0")),"")</f>
        <v>16</v>
      </c>
      <c r="H518" t="str">
        <f t="shared" si="121"/>
        <v/>
      </c>
      <c r="I518" t="str">
        <f t="shared" si="127"/>
        <v/>
      </c>
      <c r="J518">
        <f>IFERROR(IF(I518=0,"",COUNTIF($I$3:I518,"&gt;0")),"")</f>
        <v>34</v>
      </c>
      <c r="K518" t="str">
        <f t="shared" si="122"/>
        <v/>
      </c>
      <c r="L518" t="str">
        <f t="shared" si="128"/>
        <v/>
      </c>
      <c r="M518" t="str">
        <f t="shared" si="129"/>
        <v/>
      </c>
      <c r="N518">
        <f>IFERROR(IF(M518=0,"",COUNTIF($M$3:M518,"&gt;0")),"")</f>
        <v>33</v>
      </c>
      <c r="O518" t="str">
        <f t="shared" si="123"/>
        <v/>
      </c>
      <c r="P518" t="str">
        <f t="shared" si="130"/>
        <v/>
      </c>
      <c r="Q518" t="str">
        <f t="shared" si="131"/>
        <v/>
      </c>
      <c r="R518">
        <f>IFERROR(IF(Q518=0,"",COUNTIF($Q$3:Q518,"&gt;0")),"")</f>
        <v>16</v>
      </c>
      <c r="S518" t="str">
        <f t="shared" si="124"/>
        <v/>
      </c>
      <c r="T518" t="str">
        <f t="shared" si="132"/>
        <v/>
      </c>
      <c r="U518">
        <f>IFERROR(IF(T518=0,"",COUNTIF($T$3:T518,"&gt;0")),"")</f>
        <v>0</v>
      </c>
      <c r="V518" t="str">
        <f t="shared" si="125"/>
        <v/>
      </c>
    </row>
    <row r="519" spans="1:22">
      <c r="A519" t="e">
        <f t="shared" si="120"/>
        <v>#VALUE!</v>
      </c>
      <c r="B519" t="e">
        <f>Table4[[#This Row],[CATEGORY]]</f>
        <v>#VALUE!</v>
      </c>
      <c r="C519" t="e">
        <f>Table4[[#This Row],[SUB-CATEGORY]]</f>
        <v>#VALUE!</v>
      </c>
      <c r="D519">
        <f>'RJ ATTENDENCE SHEET'!C:C</f>
        <v>0</v>
      </c>
      <c r="E519" t="e">
        <f t="shared" si="119"/>
        <v>#VALUE!</v>
      </c>
      <c r="F519" t="str">
        <f t="shared" si="126"/>
        <v/>
      </c>
      <c r="G519">
        <f>IFERROR(IF(F519=0,"",COUNTIF($F$3:F519,"&gt;0")),"")</f>
        <v>16</v>
      </c>
      <c r="H519" t="str">
        <f t="shared" si="121"/>
        <v/>
      </c>
      <c r="I519" t="str">
        <f t="shared" si="127"/>
        <v/>
      </c>
      <c r="J519">
        <f>IFERROR(IF(I519=0,"",COUNTIF($I$3:I519,"&gt;0")),"")</f>
        <v>34</v>
      </c>
      <c r="K519" t="str">
        <f t="shared" si="122"/>
        <v/>
      </c>
      <c r="L519" t="str">
        <f t="shared" si="128"/>
        <v/>
      </c>
      <c r="M519" t="str">
        <f t="shared" si="129"/>
        <v/>
      </c>
      <c r="N519">
        <f>IFERROR(IF(M519=0,"",COUNTIF($M$3:M519,"&gt;0")),"")</f>
        <v>33</v>
      </c>
      <c r="O519" t="str">
        <f t="shared" si="123"/>
        <v/>
      </c>
      <c r="P519" t="str">
        <f t="shared" si="130"/>
        <v/>
      </c>
      <c r="Q519" t="str">
        <f t="shared" si="131"/>
        <v/>
      </c>
      <c r="R519">
        <f>IFERROR(IF(Q519=0,"",COUNTIF($Q$3:Q519,"&gt;0")),"")</f>
        <v>16</v>
      </c>
      <c r="S519" t="str">
        <f t="shared" si="124"/>
        <v/>
      </c>
      <c r="T519" t="str">
        <f t="shared" si="132"/>
        <v/>
      </c>
      <c r="U519">
        <f>IFERROR(IF(T519=0,"",COUNTIF($T$3:T519,"&gt;0")),"")</f>
        <v>0</v>
      </c>
      <c r="V519" t="str">
        <f t="shared" si="125"/>
        <v/>
      </c>
    </row>
    <row r="520" spans="1:22">
      <c r="A520" t="e">
        <f t="shared" si="120"/>
        <v>#VALUE!</v>
      </c>
      <c r="B520" t="e">
        <f>Table4[[#This Row],[CATEGORY]]</f>
        <v>#VALUE!</v>
      </c>
      <c r="C520" t="e">
        <f>Table4[[#This Row],[SUB-CATEGORY]]</f>
        <v>#VALUE!</v>
      </c>
      <c r="D520">
        <f>'RJ ATTENDENCE SHEET'!C:C</f>
        <v>0</v>
      </c>
      <c r="E520" t="e">
        <f t="shared" si="119"/>
        <v>#VALUE!</v>
      </c>
      <c r="F520" t="str">
        <f t="shared" si="126"/>
        <v/>
      </c>
      <c r="G520">
        <f>IFERROR(IF(F520=0,"",COUNTIF($F$3:F520,"&gt;0")),"")</f>
        <v>16</v>
      </c>
      <c r="H520" t="str">
        <f t="shared" si="121"/>
        <v/>
      </c>
      <c r="I520" t="str">
        <f t="shared" si="127"/>
        <v/>
      </c>
      <c r="J520">
        <f>IFERROR(IF(I520=0,"",COUNTIF($I$3:I520,"&gt;0")),"")</f>
        <v>34</v>
      </c>
      <c r="K520" t="str">
        <f t="shared" si="122"/>
        <v/>
      </c>
      <c r="L520" t="str">
        <f t="shared" si="128"/>
        <v/>
      </c>
      <c r="M520" t="str">
        <f t="shared" si="129"/>
        <v/>
      </c>
      <c r="N520">
        <f>IFERROR(IF(M520=0,"",COUNTIF($M$3:M520,"&gt;0")),"")</f>
        <v>33</v>
      </c>
      <c r="O520" t="str">
        <f t="shared" si="123"/>
        <v/>
      </c>
      <c r="P520" t="str">
        <f t="shared" si="130"/>
        <v/>
      </c>
      <c r="Q520" t="str">
        <f t="shared" si="131"/>
        <v/>
      </c>
      <c r="R520">
        <f>IFERROR(IF(Q520=0,"",COUNTIF($Q$3:Q520,"&gt;0")),"")</f>
        <v>16</v>
      </c>
      <c r="S520" t="str">
        <f t="shared" si="124"/>
        <v/>
      </c>
      <c r="T520" t="str">
        <f t="shared" si="132"/>
        <v/>
      </c>
      <c r="U520">
        <f>IFERROR(IF(T520=0,"",COUNTIF($T$3:T520,"&gt;0")),"")</f>
        <v>0</v>
      </c>
      <c r="V520" t="str">
        <f t="shared" si="125"/>
        <v/>
      </c>
    </row>
    <row r="521" spans="1:22">
      <c r="A521" t="e">
        <f t="shared" si="120"/>
        <v>#VALUE!</v>
      </c>
      <c r="B521" t="e">
        <f>Table4[[#This Row],[CATEGORY]]</f>
        <v>#VALUE!</v>
      </c>
      <c r="C521" t="e">
        <f>Table4[[#This Row],[SUB-CATEGORY]]</f>
        <v>#VALUE!</v>
      </c>
      <c r="D521">
        <f>'RJ ATTENDENCE SHEET'!C:C</f>
        <v>0</v>
      </c>
      <c r="E521" t="e">
        <f t="shared" si="119"/>
        <v>#VALUE!</v>
      </c>
      <c r="F521" t="str">
        <f t="shared" si="126"/>
        <v/>
      </c>
      <c r="G521">
        <f>IFERROR(IF(F521=0,"",COUNTIF($F$3:F521,"&gt;0")),"")</f>
        <v>16</v>
      </c>
      <c r="H521" t="str">
        <f t="shared" si="121"/>
        <v/>
      </c>
      <c r="I521" t="str">
        <f t="shared" si="127"/>
        <v/>
      </c>
      <c r="J521">
        <f>IFERROR(IF(I521=0,"",COUNTIF($I$3:I521,"&gt;0")),"")</f>
        <v>34</v>
      </c>
      <c r="K521" t="str">
        <f t="shared" si="122"/>
        <v/>
      </c>
      <c r="L521" t="str">
        <f t="shared" si="128"/>
        <v/>
      </c>
      <c r="M521" t="str">
        <f t="shared" si="129"/>
        <v/>
      </c>
      <c r="N521">
        <f>IFERROR(IF(M521=0,"",COUNTIF($M$3:M521,"&gt;0")),"")</f>
        <v>33</v>
      </c>
      <c r="O521" t="str">
        <f t="shared" si="123"/>
        <v/>
      </c>
      <c r="P521" t="str">
        <f t="shared" si="130"/>
        <v/>
      </c>
      <c r="Q521" t="str">
        <f t="shared" si="131"/>
        <v/>
      </c>
      <c r="R521">
        <f>IFERROR(IF(Q521=0,"",COUNTIF($Q$3:Q521,"&gt;0")),"")</f>
        <v>16</v>
      </c>
      <c r="S521" t="str">
        <f t="shared" si="124"/>
        <v/>
      </c>
      <c r="T521" t="str">
        <f t="shared" si="132"/>
        <v/>
      </c>
      <c r="U521">
        <f>IFERROR(IF(T521=0,"",COUNTIF($T$3:T521,"&gt;0")),"")</f>
        <v>0</v>
      </c>
      <c r="V521" t="str">
        <f t="shared" si="125"/>
        <v/>
      </c>
    </row>
    <row r="522" spans="1:22">
      <c r="A522" t="e">
        <f t="shared" si="120"/>
        <v>#VALUE!</v>
      </c>
      <c r="B522" t="e">
        <f>Table4[[#This Row],[CATEGORY]]</f>
        <v>#VALUE!</v>
      </c>
      <c r="C522" t="e">
        <f>Table4[[#This Row],[SUB-CATEGORY]]</f>
        <v>#VALUE!</v>
      </c>
      <c r="D522">
        <f>'RJ ATTENDENCE SHEET'!C:C</f>
        <v>0</v>
      </c>
      <c r="E522" t="e">
        <f t="shared" si="119"/>
        <v>#VALUE!</v>
      </c>
      <c r="F522" t="str">
        <f t="shared" si="126"/>
        <v/>
      </c>
      <c r="G522">
        <f>IFERROR(IF(F522=0,"",COUNTIF($F$3:F522,"&gt;0")),"")</f>
        <v>16</v>
      </c>
      <c r="H522" t="str">
        <f t="shared" si="121"/>
        <v/>
      </c>
      <c r="I522" t="str">
        <f t="shared" si="127"/>
        <v/>
      </c>
      <c r="J522">
        <f>IFERROR(IF(I522=0,"",COUNTIF($I$3:I522,"&gt;0")),"")</f>
        <v>34</v>
      </c>
      <c r="K522" t="str">
        <f t="shared" si="122"/>
        <v/>
      </c>
      <c r="L522" t="str">
        <f t="shared" si="128"/>
        <v/>
      </c>
      <c r="M522" t="str">
        <f t="shared" si="129"/>
        <v/>
      </c>
      <c r="N522">
        <f>IFERROR(IF(M522=0,"",COUNTIF($M$3:M522,"&gt;0")),"")</f>
        <v>33</v>
      </c>
      <c r="O522" t="str">
        <f t="shared" si="123"/>
        <v/>
      </c>
      <c r="P522" t="str">
        <f t="shared" si="130"/>
        <v/>
      </c>
      <c r="Q522" t="str">
        <f t="shared" si="131"/>
        <v/>
      </c>
      <c r="R522">
        <f>IFERROR(IF(Q522=0,"",COUNTIF($Q$3:Q522,"&gt;0")),"")</f>
        <v>16</v>
      </c>
      <c r="S522" t="str">
        <f t="shared" si="124"/>
        <v/>
      </c>
      <c r="T522" t="str">
        <f t="shared" si="132"/>
        <v/>
      </c>
      <c r="U522">
        <f>IFERROR(IF(T522=0,"",COUNTIF($T$3:T522,"&gt;0")),"")</f>
        <v>0</v>
      </c>
      <c r="V522" t="str">
        <f t="shared" si="125"/>
        <v/>
      </c>
    </row>
    <row r="523" spans="1:22">
      <c r="A523" t="e">
        <f t="shared" si="120"/>
        <v>#VALUE!</v>
      </c>
      <c r="B523" t="e">
        <f>Table4[[#This Row],[CATEGORY]]</f>
        <v>#VALUE!</v>
      </c>
      <c r="C523" t="e">
        <f>Table4[[#This Row],[SUB-CATEGORY]]</f>
        <v>#VALUE!</v>
      </c>
      <c r="D523">
        <f>'RJ ATTENDENCE SHEET'!C:C</f>
        <v>0</v>
      </c>
      <c r="E523" t="e">
        <f t="shared" si="119"/>
        <v>#VALUE!</v>
      </c>
      <c r="F523" t="str">
        <f t="shared" si="126"/>
        <v/>
      </c>
      <c r="G523">
        <f>IFERROR(IF(F523=0,"",COUNTIF($F$3:F523,"&gt;0")),"")</f>
        <v>16</v>
      </c>
      <c r="H523" t="str">
        <f t="shared" si="121"/>
        <v/>
      </c>
      <c r="I523" t="str">
        <f t="shared" si="127"/>
        <v/>
      </c>
      <c r="J523">
        <f>IFERROR(IF(I523=0,"",COUNTIF($I$3:I523,"&gt;0")),"")</f>
        <v>34</v>
      </c>
      <c r="K523" t="str">
        <f t="shared" si="122"/>
        <v/>
      </c>
      <c r="L523" t="str">
        <f t="shared" si="128"/>
        <v/>
      </c>
      <c r="M523" t="str">
        <f t="shared" si="129"/>
        <v/>
      </c>
      <c r="N523">
        <f>IFERROR(IF(M523=0,"",COUNTIF($M$3:M523,"&gt;0")),"")</f>
        <v>33</v>
      </c>
      <c r="O523" t="str">
        <f t="shared" si="123"/>
        <v/>
      </c>
      <c r="P523" t="str">
        <f t="shared" si="130"/>
        <v/>
      </c>
      <c r="Q523" t="str">
        <f t="shared" si="131"/>
        <v/>
      </c>
      <c r="R523">
        <f>IFERROR(IF(Q523=0,"",COUNTIF($Q$3:Q523,"&gt;0")),"")</f>
        <v>16</v>
      </c>
      <c r="S523" t="str">
        <f t="shared" si="124"/>
        <v/>
      </c>
      <c r="T523" t="str">
        <f t="shared" si="132"/>
        <v/>
      </c>
      <c r="U523">
        <f>IFERROR(IF(T523=0,"",COUNTIF($T$3:T523,"&gt;0")),"")</f>
        <v>0</v>
      </c>
      <c r="V523" t="str">
        <f t="shared" si="125"/>
        <v/>
      </c>
    </row>
    <row r="524" spans="1:22">
      <c r="A524" t="e">
        <f t="shared" si="120"/>
        <v>#VALUE!</v>
      </c>
      <c r="B524" t="e">
        <f>Table4[[#This Row],[CATEGORY]]</f>
        <v>#VALUE!</v>
      </c>
      <c r="C524" t="e">
        <f>Table4[[#This Row],[SUB-CATEGORY]]</f>
        <v>#VALUE!</v>
      </c>
      <c r="D524">
        <f>'RJ ATTENDENCE SHEET'!C:C</f>
        <v>0</v>
      </c>
      <c r="E524" t="e">
        <f t="shared" si="119"/>
        <v>#VALUE!</v>
      </c>
      <c r="F524" t="str">
        <f t="shared" si="126"/>
        <v/>
      </c>
      <c r="G524">
        <f>IFERROR(IF(F524=0,"",COUNTIF($F$3:F524,"&gt;0")),"")</f>
        <v>16</v>
      </c>
      <c r="H524" t="str">
        <f t="shared" si="121"/>
        <v/>
      </c>
      <c r="I524" t="str">
        <f t="shared" si="127"/>
        <v/>
      </c>
      <c r="J524">
        <f>IFERROR(IF(I524=0,"",COUNTIF($I$3:I524,"&gt;0")),"")</f>
        <v>34</v>
      </c>
      <c r="K524" t="str">
        <f t="shared" si="122"/>
        <v/>
      </c>
      <c r="L524" t="str">
        <f t="shared" si="128"/>
        <v/>
      </c>
      <c r="M524" t="str">
        <f t="shared" si="129"/>
        <v/>
      </c>
      <c r="N524">
        <f>IFERROR(IF(M524=0,"",COUNTIF($M$3:M524,"&gt;0")),"")</f>
        <v>33</v>
      </c>
      <c r="O524" t="str">
        <f t="shared" si="123"/>
        <v/>
      </c>
      <c r="P524" t="str">
        <f t="shared" si="130"/>
        <v/>
      </c>
      <c r="Q524" t="str">
        <f t="shared" si="131"/>
        <v/>
      </c>
      <c r="R524">
        <f>IFERROR(IF(Q524=0,"",COUNTIF($Q$3:Q524,"&gt;0")),"")</f>
        <v>16</v>
      </c>
      <c r="S524" t="str">
        <f t="shared" si="124"/>
        <v/>
      </c>
      <c r="T524" t="str">
        <f t="shared" si="132"/>
        <v/>
      </c>
      <c r="U524">
        <f>IFERROR(IF(T524=0,"",COUNTIF($T$3:T524,"&gt;0")),"")</f>
        <v>0</v>
      </c>
      <c r="V524" t="str">
        <f t="shared" si="125"/>
        <v/>
      </c>
    </row>
    <row r="525" spans="1:22">
      <c r="A525" t="e">
        <f t="shared" si="120"/>
        <v>#VALUE!</v>
      </c>
      <c r="B525" t="e">
        <f>Table4[[#This Row],[CATEGORY]]</f>
        <v>#VALUE!</v>
      </c>
      <c r="C525" t="e">
        <f>Table4[[#This Row],[SUB-CATEGORY]]</f>
        <v>#VALUE!</v>
      </c>
      <c r="D525">
        <f>'RJ ATTENDENCE SHEET'!C:C</f>
        <v>0</v>
      </c>
      <c r="E525" t="e">
        <f t="shared" si="119"/>
        <v>#VALUE!</v>
      </c>
      <c r="F525" t="str">
        <f t="shared" si="126"/>
        <v/>
      </c>
      <c r="G525">
        <f>IFERROR(IF(F525=0,"",COUNTIF($F$3:F525,"&gt;0")),"")</f>
        <v>16</v>
      </c>
      <c r="H525" t="str">
        <f t="shared" si="121"/>
        <v/>
      </c>
      <c r="I525" t="str">
        <f t="shared" si="127"/>
        <v/>
      </c>
      <c r="J525">
        <f>IFERROR(IF(I525=0,"",COUNTIF($I$3:I525,"&gt;0")),"")</f>
        <v>34</v>
      </c>
      <c r="K525" t="str">
        <f t="shared" si="122"/>
        <v/>
      </c>
      <c r="L525" t="str">
        <f t="shared" si="128"/>
        <v/>
      </c>
      <c r="M525" t="str">
        <f t="shared" si="129"/>
        <v/>
      </c>
      <c r="N525">
        <f>IFERROR(IF(M525=0,"",COUNTIF($M$3:M525,"&gt;0")),"")</f>
        <v>33</v>
      </c>
      <c r="O525" t="str">
        <f t="shared" si="123"/>
        <v/>
      </c>
      <c r="P525" t="str">
        <f t="shared" si="130"/>
        <v/>
      </c>
      <c r="Q525" t="str">
        <f t="shared" si="131"/>
        <v/>
      </c>
      <c r="R525">
        <f>IFERROR(IF(Q525=0,"",COUNTIF($Q$3:Q525,"&gt;0")),"")</f>
        <v>16</v>
      </c>
      <c r="S525" t="str">
        <f t="shared" si="124"/>
        <v/>
      </c>
      <c r="T525" t="str">
        <f t="shared" si="132"/>
        <v/>
      </c>
      <c r="U525">
        <f>IFERROR(IF(T525=0,"",COUNTIF($T$3:T525,"&gt;0")),"")</f>
        <v>0</v>
      </c>
      <c r="V525" t="str">
        <f t="shared" si="125"/>
        <v/>
      </c>
    </row>
    <row r="526" spans="1:22">
      <c r="A526" t="e">
        <f t="shared" si="120"/>
        <v>#VALUE!</v>
      </c>
      <c r="B526" t="e">
        <f>Table4[[#This Row],[CATEGORY]]</f>
        <v>#VALUE!</v>
      </c>
      <c r="C526" t="e">
        <f>Table4[[#This Row],[SUB-CATEGORY]]</f>
        <v>#VALUE!</v>
      </c>
      <c r="D526">
        <f>'RJ ATTENDENCE SHEET'!C:C</f>
        <v>0</v>
      </c>
      <c r="E526" t="e">
        <f t="shared" si="119"/>
        <v>#VALUE!</v>
      </c>
      <c r="F526" t="str">
        <f t="shared" si="126"/>
        <v/>
      </c>
      <c r="G526">
        <f>IFERROR(IF(F526=0,"",COUNTIF($F$3:F526,"&gt;0")),"")</f>
        <v>16</v>
      </c>
      <c r="H526" t="str">
        <f t="shared" si="121"/>
        <v/>
      </c>
      <c r="I526" t="str">
        <f t="shared" si="127"/>
        <v/>
      </c>
      <c r="J526">
        <f>IFERROR(IF(I526=0,"",COUNTIF($I$3:I526,"&gt;0")),"")</f>
        <v>34</v>
      </c>
      <c r="K526" t="str">
        <f t="shared" si="122"/>
        <v/>
      </c>
      <c r="L526" t="str">
        <f t="shared" si="128"/>
        <v/>
      </c>
      <c r="M526" t="str">
        <f t="shared" si="129"/>
        <v/>
      </c>
      <c r="N526">
        <f>IFERROR(IF(M526=0,"",COUNTIF($M$3:M526,"&gt;0")),"")</f>
        <v>33</v>
      </c>
      <c r="O526" t="str">
        <f t="shared" si="123"/>
        <v/>
      </c>
      <c r="P526" t="str">
        <f t="shared" si="130"/>
        <v/>
      </c>
      <c r="Q526" t="str">
        <f t="shared" si="131"/>
        <v/>
      </c>
      <c r="R526">
        <f>IFERROR(IF(Q526=0,"",COUNTIF($Q$3:Q526,"&gt;0")),"")</f>
        <v>16</v>
      </c>
      <c r="S526" t="str">
        <f t="shared" si="124"/>
        <v/>
      </c>
      <c r="T526" t="str">
        <f t="shared" si="132"/>
        <v/>
      </c>
      <c r="U526">
        <f>IFERROR(IF(T526=0,"",COUNTIF($T$3:T526,"&gt;0")),"")</f>
        <v>0</v>
      </c>
      <c r="V526" t="str">
        <f t="shared" si="125"/>
        <v/>
      </c>
    </row>
    <row r="527" spans="1:22">
      <c r="A527" t="e">
        <f t="shared" si="120"/>
        <v>#VALUE!</v>
      </c>
      <c r="B527" t="e">
        <f>Table4[[#This Row],[CATEGORY]]</f>
        <v>#VALUE!</v>
      </c>
      <c r="C527" t="e">
        <f>Table4[[#This Row],[SUB-CATEGORY]]</f>
        <v>#VALUE!</v>
      </c>
      <c r="D527">
        <f>'RJ ATTENDENCE SHEET'!C:C</f>
        <v>0</v>
      </c>
      <c r="E527" t="e">
        <f t="shared" si="119"/>
        <v>#VALUE!</v>
      </c>
      <c r="F527" t="str">
        <f t="shared" si="126"/>
        <v/>
      </c>
      <c r="G527">
        <f>IFERROR(IF(F527=0,"",COUNTIF($F$3:F527,"&gt;0")),"")</f>
        <v>16</v>
      </c>
      <c r="H527" t="str">
        <f t="shared" si="121"/>
        <v/>
      </c>
      <c r="I527" t="str">
        <f t="shared" si="127"/>
        <v/>
      </c>
      <c r="J527">
        <f>IFERROR(IF(I527=0,"",COUNTIF($I$3:I527,"&gt;0")),"")</f>
        <v>34</v>
      </c>
      <c r="K527" t="str">
        <f t="shared" si="122"/>
        <v/>
      </c>
      <c r="L527" t="str">
        <f t="shared" si="128"/>
        <v/>
      </c>
      <c r="M527" t="str">
        <f t="shared" si="129"/>
        <v/>
      </c>
      <c r="N527">
        <f>IFERROR(IF(M527=0,"",COUNTIF($M$3:M527,"&gt;0")),"")</f>
        <v>33</v>
      </c>
      <c r="O527" t="str">
        <f t="shared" si="123"/>
        <v/>
      </c>
      <c r="P527" t="str">
        <f t="shared" si="130"/>
        <v/>
      </c>
      <c r="Q527" t="str">
        <f t="shared" si="131"/>
        <v/>
      </c>
      <c r="R527">
        <f>IFERROR(IF(Q527=0,"",COUNTIF($Q$3:Q527,"&gt;0")),"")</f>
        <v>16</v>
      </c>
      <c r="S527" t="str">
        <f t="shared" si="124"/>
        <v/>
      </c>
      <c r="T527" t="str">
        <f t="shared" si="132"/>
        <v/>
      </c>
      <c r="U527">
        <f>IFERROR(IF(T527=0,"",COUNTIF($T$3:T527,"&gt;0")),"")</f>
        <v>0</v>
      </c>
      <c r="V527" t="str">
        <f t="shared" si="125"/>
        <v/>
      </c>
    </row>
    <row r="528" spans="1:22">
      <c r="A528" t="e">
        <f t="shared" si="120"/>
        <v>#VALUE!</v>
      </c>
      <c r="B528" t="e">
        <f>Table4[[#This Row],[CATEGORY]]</f>
        <v>#VALUE!</v>
      </c>
      <c r="C528" t="e">
        <f>Table4[[#This Row],[SUB-CATEGORY]]</f>
        <v>#VALUE!</v>
      </c>
      <c r="D528">
        <f>'RJ ATTENDENCE SHEET'!C:C</f>
        <v>0</v>
      </c>
      <c r="E528" t="e">
        <f t="shared" si="119"/>
        <v>#VALUE!</v>
      </c>
      <c r="F528" t="str">
        <f t="shared" si="126"/>
        <v/>
      </c>
      <c r="G528">
        <f>IFERROR(IF(F528=0,"",COUNTIF($F$3:F528,"&gt;0")),"")</f>
        <v>16</v>
      </c>
      <c r="H528" t="str">
        <f t="shared" si="121"/>
        <v/>
      </c>
      <c r="I528" t="str">
        <f t="shared" si="127"/>
        <v/>
      </c>
      <c r="J528">
        <f>IFERROR(IF(I528=0,"",COUNTIF($I$3:I528,"&gt;0")),"")</f>
        <v>34</v>
      </c>
      <c r="K528" t="str">
        <f t="shared" si="122"/>
        <v/>
      </c>
      <c r="L528" t="str">
        <f t="shared" si="128"/>
        <v/>
      </c>
      <c r="M528" t="str">
        <f t="shared" si="129"/>
        <v/>
      </c>
      <c r="N528">
        <f>IFERROR(IF(M528=0,"",COUNTIF($M$3:M528,"&gt;0")),"")</f>
        <v>33</v>
      </c>
      <c r="O528" t="str">
        <f t="shared" si="123"/>
        <v/>
      </c>
      <c r="P528" t="str">
        <f t="shared" si="130"/>
        <v/>
      </c>
      <c r="Q528" t="str">
        <f t="shared" si="131"/>
        <v/>
      </c>
      <c r="R528">
        <f>IFERROR(IF(Q528=0,"",COUNTIF($Q$3:Q528,"&gt;0")),"")</f>
        <v>16</v>
      </c>
      <c r="S528" t="str">
        <f t="shared" si="124"/>
        <v/>
      </c>
      <c r="T528" t="str">
        <f t="shared" si="132"/>
        <v/>
      </c>
      <c r="U528">
        <f>IFERROR(IF(T528=0,"",COUNTIF($T$3:T528,"&gt;0")),"")</f>
        <v>0</v>
      </c>
      <c r="V528" t="str">
        <f t="shared" si="125"/>
        <v/>
      </c>
    </row>
    <row r="529" spans="1:22">
      <c r="A529" t="e">
        <f t="shared" si="120"/>
        <v>#VALUE!</v>
      </c>
      <c r="B529" t="e">
        <f>Table4[[#This Row],[CATEGORY]]</f>
        <v>#VALUE!</v>
      </c>
      <c r="C529" t="e">
        <f>Table4[[#This Row],[SUB-CATEGORY]]</f>
        <v>#VALUE!</v>
      </c>
      <c r="D529">
        <f>'RJ ATTENDENCE SHEET'!C:C</f>
        <v>0</v>
      </c>
      <c r="E529" t="e">
        <f t="shared" si="119"/>
        <v>#VALUE!</v>
      </c>
      <c r="F529" t="str">
        <f t="shared" si="126"/>
        <v/>
      </c>
      <c r="G529">
        <f>IFERROR(IF(F529=0,"",COUNTIF($F$3:F529,"&gt;0")),"")</f>
        <v>16</v>
      </c>
      <c r="H529" t="str">
        <f t="shared" si="121"/>
        <v/>
      </c>
      <c r="I529" t="str">
        <f t="shared" si="127"/>
        <v/>
      </c>
      <c r="J529">
        <f>IFERROR(IF(I529=0,"",COUNTIF($I$3:I529,"&gt;0")),"")</f>
        <v>34</v>
      </c>
      <c r="K529" t="str">
        <f t="shared" si="122"/>
        <v/>
      </c>
      <c r="L529" t="str">
        <f t="shared" si="128"/>
        <v/>
      </c>
      <c r="M529" t="str">
        <f t="shared" si="129"/>
        <v/>
      </c>
      <c r="N529">
        <f>IFERROR(IF(M529=0,"",COUNTIF($M$3:M529,"&gt;0")),"")</f>
        <v>33</v>
      </c>
      <c r="O529" t="str">
        <f t="shared" si="123"/>
        <v/>
      </c>
      <c r="P529" t="str">
        <f t="shared" si="130"/>
        <v/>
      </c>
      <c r="Q529" t="str">
        <f t="shared" si="131"/>
        <v/>
      </c>
      <c r="R529">
        <f>IFERROR(IF(Q529=0,"",COUNTIF($Q$3:Q529,"&gt;0")),"")</f>
        <v>16</v>
      </c>
      <c r="S529" t="str">
        <f t="shared" si="124"/>
        <v/>
      </c>
      <c r="T529" t="str">
        <f t="shared" si="132"/>
        <v/>
      </c>
      <c r="U529">
        <f>IFERROR(IF(T529=0,"",COUNTIF($T$3:T529,"&gt;0")),"")</f>
        <v>0</v>
      </c>
      <c r="V529" t="str">
        <f t="shared" si="125"/>
        <v/>
      </c>
    </row>
    <row r="530" spans="1:22">
      <c r="A530" t="e">
        <f t="shared" si="120"/>
        <v>#VALUE!</v>
      </c>
      <c r="B530" t="e">
        <f>Table4[[#This Row],[CATEGORY]]</f>
        <v>#VALUE!</v>
      </c>
      <c r="C530" t="e">
        <f>Table4[[#This Row],[SUB-CATEGORY]]</f>
        <v>#VALUE!</v>
      </c>
      <c r="D530">
        <f>'RJ ATTENDENCE SHEET'!C:C</f>
        <v>0</v>
      </c>
      <c r="E530" t="e">
        <f t="shared" si="119"/>
        <v>#VALUE!</v>
      </c>
      <c r="F530" t="str">
        <f t="shared" si="126"/>
        <v/>
      </c>
      <c r="G530">
        <f>IFERROR(IF(F530=0,"",COUNTIF($F$3:F530,"&gt;0")),"")</f>
        <v>16</v>
      </c>
      <c r="H530" t="str">
        <f t="shared" si="121"/>
        <v/>
      </c>
      <c r="I530" t="str">
        <f t="shared" si="127"/>
        <v/>
      </c>
      <c r="J530">
        <f>IFERROR(IF(I530=0,"",COUNTIF($I$3:I530,"&gt;0")),"")</f>
        <v>34</v>
      </c>
      <c r="K530" t="str">
        <f t="shared" si="122"/>
        <v/>
      </c>
      <c r="L530" t="str">
        <f t="shared" si="128"/>
        <v/>
      </c>
      <c r="M530" t="str">
        <f t="shared" si="129"/>
        <v/>
      </c>
      <c r="N530">
        <f>IFERROR(IF(M530=0,"",COUNTIF($M$3:M530,"&gt;0")),"")</f>
        <v>33</v>
      </c>
      <c r="O530" t="str">
        <f t="shared" si="123"/>
        <v/>
      </c>
      <c r="P530" t="str">
        <f t="shared" si="130"/>
        <v/>
      </c>
      <c r="Q530" t="str">
        <f t="shared" si="131"/>
        <v/>
      </c>
      <c r="R530">
        <f>IFERROR(IF(Q530=0,"",COUNTIF($Q$3:Q530,"&gt;0")),"")</f>
        <v>16</v>
      </c>
      <c r="S530" t="str">
        <f t="shared" si="124"/>
        <v/>
      </c>
      <c r="T530" t="str">
        <f t="shared" si="132"/>
        <v/>
      </c>
      <c r="U530">
        <f>IFERROR(IF(T530=0,"",COUNTIF($T$3:T530,"&gt;0")),"")</f>
        <v>0</v>
      </c>
      <c r="V530" t="str">
        <f t="shared" si="125"/>
        <v/>
      </c>
    </row>
    <row r="531" spans="1:22">
      <c r="A531" t="e">
        <f t="shared" si="120"/>
        <v>#VALUE!</v>
      </c>
      <c r="B531" t="e">
        <f>Table4[[#This Row],[CATEGORY]]</f>
        <v>#VALUE!</v>
      </c>
      <c r="C531" t="e">
        <f>Table4[[#This Row],[SUB-CATEGORY]]</f>
        <v>#VALUE!</v>
      </c>
      <c r="D531">
        <f>'RJ ATTENDENCE SHEET'!C:C</f>
        <v>0</v>
      </c>
      <c r="E531" t="e">
        <f t="shared" si="119"/>
        <v>#VALUE!</v>
      </c>
      <c r="F531" t="str">
        <f t="shared" si="126"/>
        <v/>
      </c>
      <c r="G531">
        <f>IFERROR(IF(F531=0,"",COUNTIF($F$3:F531,"&gt;0")),"")</f>
        <v>16</v>
      </c>
      <c r="H531" t="str">
        <f t="shared" si="121"/>
        <v/>
      </c>
      <c r="I531" t="str">
        <f t="shared" si="127"/>
        <v/>
      </c>
      <c r="J531">
        <f>IFERROR(IF(I531=0,"",COUNTIF($I$3:I531,"&gt;0")),"")</f>
        <v>34</v>
      </c>
      <c r="K531" t="str">
        <f t="shared" si="122"/>
        <v/>
      </c>
      <c r="L531" t="str">
        <f t="shared" si="128"/>
        <v/>
      </c>
      <c r="M531" t="str">
        <f t="shared" si="129"/>
        <v/>
      </c>
      <c r="N531">
        <f>IFERROR(IF(M531=0,"",COUNTIF($M$3:M531,"&gt;0")),"")</f>
        <v>33</v>
      </c>
      <c r="O531" t="str">
        <f t="shared" si="123"/>
        <v/>
      </c>
      <c r="P531" t="str">
        <f t="shared" si="130"/>
        <v/>
      </c>
      <c r="Q531" t="str">
        <f t="shared" si="131"/>
        <v/>
      </c>
      <c r="R531">
        <f>IFERROR(IF(Q531=0,"",COUNTIF($Q$3:Q531,"&gt;0")),"")</f>
        <v>16</v>
      </c>
      <c r="S531" t="str">
        <f t="shared" si="124"/>
        <v/>
      </c>
      <c r="T531" t="str">
        <f t="shared" si="132"/>
        <v/>
      </c>
      <c r="U531">
        <f>IFERROR(IF(T531=0,"",COUNTIF($T$3:T531,"&gt;0")),"")</f>
        <v>0</v>
      </c>
      <c r="V531" t="str">
        <f t="shared" si="125"/>
        <v/>
      </c>
    </row>
    <row r="532" spans="1:22">
      <c r="A532" t="e">
        <f t="shared" si="120"/>
        <v>#VALUE!</v>
      </c>
      <c r="B532" t="e">
        <f>Table4[[#This Row],[CATEGORY]]</f>
        <v>#VALUE!</v>
      </c>
      <c r="C532" t="e">
        <f>Table4[[#This Row],[SUB-CATEGORY]]</f>
        <v>#VALUE!</v>
      </c>
      <c r="D532">
        <f>'RJ ATTENDENCE SHEET'!C:C</f>
        <v>0</v>
      </c>
      <c r="E532" t="e">
        <f t="shared" si="119"/>
        <v>#VALUE!</v>
      </c>
      <c r="F532" t="str">
        <f t="shared" si="126"/>
        <v/>
      </c>
      <c r="G532">
        <f>IFERROR(IF(F532=0,"",COUNTIF($F$3:F532,"&gt;0")),"")</f>
        <v>16</v>
      </c>
      <c r="H532" t="str">
        <f t="shared" si="121"/>
        <v/>
      </c>
      <c r="I532" t="str">
        <f t="shared" si="127"/>
        <v/>
      </c>
      <c r="J532">
        <f>IFERROR(IF(I532=0,"",COUNTIF($I$3:I532,"&gt;0")),"")</f>
        <v>34</v>
      </c>
      <c r="K532" t="str">
        <f t="shared" si="122"/>
        <v/>
      </c>
      <c r="L532" t="str">
        <f t="shared" si="128"/>
        <v/>
      </c>
      <c r="M532" t="str">
        <f t="shared" si="129"/>
        <v/>
      </c>
      <c r="N532">
        <f>IFERROR(IF(M532=0,"",COUNTIF($M$3:M532,"&gt;0")),"")</f>
        <v>33</v>
      </c>
      <c r="O532" t="str">
        <f t="shared" si="123"/>
        <v/>
      </c>
      <c r="P532" t="str">
        <f t="shared" si="130"/>
        <v/>
      </c>
      <c r="Q532" t="str">
        <f t="shared" si="131"/>
        <v/>
      </c>
      <c r="R532">
        <f>IFERROR(IF(Q532=0,"",COUNTIF($Q$3:Q532,"&gt;0")),"")</f>
        <v>16</v>
      </c>
      <c r="S532" t="str">
        <f t="shared" si="124"/>
        <v/>
      </c>
      <c r="T532" t="str">
        <f t="shared" si="132"/>
        <v/>
      </c>
      <c r="U532">
        <f>IFERROR(IF(T532=0,"",COUNTIF($T$3:T532,"&gt;0")),"")</f>
        <v>0</v>
      </c>
      <c r="V532" t="str">
        <f t="shared" si="125"/>
        <v/>
      </c>
    </row>
    <row r="533" spans="1:22">
      <c r="A533" t="e">
        <f t="shared" si="120"/>
        <v>#VALUE!</v>
      </c>
      <c r="B533" t="e">
        <f>Table4[[#This Row],[CATEGORY]]</f>
        <v>#VALUE!</v>
      </c>
      <c r="C533" t="e">
        <f>Table4[[#This Row],[SUB-CATEGORY]]</f>
        <v>#VALUE!</v>
      </c>
      <c r="D533">
        <f>'RJ ATTENDENCE SHEET'!C:C</f>
        <v>0</v>
      </c>
      <c r="E533" t="e">
        <f t="shared" si="119"/>
        <v>#VALUE!</v>
      </c>
      <c r="F533" t="str">
        <f t="shared" si="126"/>
        <v/>
      </c>
      <c r="G533">
        <f>IFERROR(IF(F533=0,"",COUNTIF($F$3:F533,"&gt;0")),"")</f>
        <v>16</v>
      </c>
      <c r="H533" t="str">
        <f t="shared" si="121"/>
        <v/>
      </c>
      <c r="I533" t="str">
        <f t="shared" si="127"/>
        <v/>
      </c>
      <c r="J533">
        <f>IFERROR(IF(I533=0,"",COUNTIF($I$3:I533,"&gt;0")),"")</f>
        <v>34</v>
      </c>
      <c r="K533" t="str">
        <f t="shared" si="122"/>
        <v/>
      </c>
      <c r="L533" t="str">
        <f t="shared" si="128"/>
        <v/>
      </c>
      <c r="M533" t="str">
        <f t="shared" si="129"/>
        <v/>
      </c>
      <c r="N533">
        <f>IFERROR(IF(M533=0,"",COUNTIF($M$3:M533,"&gt;0")),"")</f>
        <v>33</v>
      </c>
      <c r="O533" t="str">
        <f t="shared" si="123"/>
        <v/>
      </c>
      <c r="P533" t="str">
        <f t="shared" si="130"/>
        <v/>
      </c>
      <c r="Q533" t="str">
        <f t="shared" si="131"/>
        <v/>
      </c>
      <c r="R533">
        <f>IFERROR(IF(Q533=0,"",COUNTIF($Q$3:Q533,"&gt;0")),"")</f>
        <v>16</v>
      </c>
      <c r="S533" t="str">
        <f t="shared" si="124"/>
        <v/>
      </c>
      <c r="T533" t="str">
        <f t="shared" si="132"/>
        <v/>
      </c>
      <c r="U533">
        <f>IFERROR(IF(T533=0,"",COUNTIF($T$3:T533,"&gt;0")),"")</f>
        <v>0</v>
      </c>
      <c r="V533" t="str">
        <f t="shared" si="125"/>
        <v/>
      </c>
    </row>
    <row r="534" spans="1:22">
      <c r="A534" t="e">
        <f t="shared" si="120"/>
        <v>#VALUE!</v>
      </c>
      <c r="B534" t="e">
        <f>Table4[[#This Row],[CATEGORY]]</f>
        <v>#VALUE!</v>
      </c>
      <c r="C534" t="e">
        <f>Table4[[#This Row],[SUB-CATEGORY]]</f>
        <v>#VALUE!</v>
      </c>
      <c r="D534">
        <f>'RJ ATTENDENCE SHEET'!C:C</f>
        <v>0</v>
      </c>
      <c r="E534" t="e">
        <f t="shared" si="119"/>
        <v>#VALUE!</v>
      </c>
      <c r="F534" t="str">
        <f t="shared" si="126"/>
        <v/>
      </c>
      <c r="G534">
        <f>IFERROR(IF(F534=0,"",COUNTIF($F$3:F534,"&gt;0")),"")</f>
        <v>16</v>
      </c>
      <c r="H534" t="str">
        <f t="shared" si="121"/>
        <v/>
      </c>
      <c r="I534" t="str">
        <f t="shared" si="127"/>
        <v/>
      </c>
      <c r="J534">
        <f>IFERROR(IF(I534=0,"",COUNTIF($I$3:I534,"&gt;0")),"")</f>
        <v>34</v>
      </c>
      <c r="K534" t="str">
        <f t="shared" si="122"/>
        <v/>
      </c>
      <c r="L534" t="str">
        <f t="shared" si="128"/>
        <v/>
      </c>
      <c r="M534" t="str">
        <f t="shared" si="129"/>
        <v/>
      </c>
      <c r="N534">
        <f>IFERROR(IF(M534=0,"",COUNTIF($M$3:M534,"&gt;0")),"")</f>
        <v>33</v>
      </c>
      <c r="O534" t="str">
        <f t="shared" si="123"/>
        <v/>
      </c>
      <c r="P534" t="str">
        <f t="shared" si="130"/>
        <v/>
      </c>
      <c r="Q534" t="str">
        <f t="shared" si="131"/>
        <v/>
      </c>
      <c r="R534">
        <f>IFERROR(IF(Q534=0,"",COUNTIF($Q$3:Q534,"&gt;0")),"")</f>
        <v>16</v>
      </c>
      <c r="S534" t="str">
        <f t="shared" si="124"/>
        <v/>
      </c>
      <c r="T534" t="str">
        <f t="shared" si="132"/>
        <v/>
      </c>
      <c r="U534">
        <f>IFERROR(IF(T534=0,"",COUNTIF($T$3:T534,"&gt;0")),"")</f>
        <v>0</v>
      </c>
      <c r="V534" t="str">
        <f t="shared" si="125"/>
        <v/>
      </c>
    </row>
    <row r="535" spans="1:22">
      <c r="A535" t="e">
        <f t="shared" si="120"/>
        <v>#VALUE!</v>
      </c>
      <c r="B535" t="e">
        <f>Table4[[#This Row],[CATEGORY]]</f>
        <v>#VALUE!</v>
      </c>
      <c r="C535" t="e">
        <f>Table4[[#This Row],[SUB-CATEGORY]]</f>
        <v>#VALUE!</v>
      </c>
      <c r="D535">
        <f>'RJ ATTENDENCE SHEET'!C:C</f>
        <v>0</v>
      </c>
      <c r="E535" t="e">
        <f t="shared" si="119"/>
        <v>#VALUE!</v>
      </c>
      <c r="F535" t="str">
        <f t="shared" si="126"/>
        <v/>
      </c>
      <c r="G535">
        <f>IFERROR(IF(F535=0,"",COUNTIF($F$3:F535,"&gt;0")),"")</f>
        <v>16</v>
      </c>
      <c r="H535" t="str">
        <f t="shared" si="121"/>
        <v/>
      </c>
      <c r="I535" t="str">
        <f t="shared" si="127"/>
        <v/>
      </c>
      <c r="J535">
        <f>IFERROR(IF(I535=0,"",COUNTIF($I$3:I535,"&gt;0")),"")</f>
        <v>34</v>
      </c>
      <c r="K535" t="str">
        <f t="shared" si="122"/>
        <v/>
      </c>
      <c r="L535" t="str">
        <f t="shared" si="128"/>
        <v/>
      </c>
      <c r="M535" t="str">
        <f t="shared" si="129"/>
        <v/>
      </c>
      <c r="N535">
        <f>IFERROR(IF(M535=0,"",COUNTIF($M$3:M535,"&gt;0")),"")</f>
        <v>33</v>
      </c>
      <c r="O535" t="str">
        <f t="shared" si="123"/>
        <v/>
      </c>
      <c r="P535" t="str">
        <f t="shared" si="130"/>
        <v/>
      </c>
      <c r="Q535" t="str">
        <f t="shared" si="131"/>
        <v/>
      </c>
      <c r="R535">
        <f>IFERROR(IF(Q535=0,"",COUNTIF($Q$3:Q535,"&gt;0")),"")</f>
        <v>16</v>
      </c>
      <c r="S535" t="str">
        <f t="shared" si="124"/>
        <v/>
      </c>
      <c r="T535" t="str">
        <f t="shared" si="132"/>
        <v/>
      </c>
      <c r="U535">
        <f>IFERROR(IF(T535=0,"",COUNTIF($T$3:T535,"&gt;0")),"")</f>
        <v>0</v>
      </c>
      <c r="V535" t="str">
        <f t="shared" si="125"/>
        <v/>
      </c>
    </row>
    <row r="536" spans="1:22">
      <c r="A536" t="e">
        <f t="shared" si="120"/>
        <v>#VALUE!</v>
      </c>
      <c r="B536" t="e">
        <f>Table4[[#This Row],[CATEGORY]]</f>
        <v>#VALUE!</v>
      </c>
      <c r="C536" t="e">
        <f>Table4[[#This Row],[SUB-CATEGORY]]</f>
        <v>#VALUE!</v>
      </c>
      <c r="D536">
        <f>'RJ ATTENDENCE SHEET'!C:C</f>
        <v>0</v>
      </c>
      <c r="E536" t="e">
        <f t="shared" si="119"/>
        <v>#VALUE!</v>
      </c>
      <c r="F536" t="str">
        <f t="shared" si="126"/>
        <v/>
      </c>
      <c r="G536">
        <f>IFERROR(IF(F536=0,"",COUNTIF($F$3:F536,"&gt;0")),"")</f>
        <v>16</v>
      </c>
      <c r="H536" t="str">
        <f t="shared" si="121"/>
        <v/>
      </c>
      <c r="I536" t="str">
        <f t="shared" si="127"/>
        <v/>
      </c>
      <c r="J536">
        <f>IFERROR(IF(I536=0,"",COUNTIF($I$3:I536,"&gt;0")),"")</f>
        <v>34</v>
      </c>
      <c r="K536" t="str">
        <f t="shared" si="122"/>
        <v/>
      </c>
      <c r="L536" t="str">
        <f t="shared" si="128"/>
        <v/>
      </c>
      <c r="M536" t="str">
        <f t="shared" si="129"/>
        <v/>
      </c>
      <c r="N536">
        <f>IFERROR(IF(M536=0,"",COUNTIF($M$3:M536,"&gt;0")),"")</f>
        <v>33</v>
      </c>
      <c r="O536" t="str">
        <f t="shared" si="123"/>
        <v/>
      </c>
      <c r="P536" t="str">
        <f t="shared" si="130"/>
        <v/>
      </c>
      <c r="Q536" t="str">
        <f t="shared" si="131"/>
        <v/>
      </c>
      <c r="R536">
        <f>IFERROR(IF(Q536=0,"",COUNTIF($Q$3:Q536,"&gt;0")),"")</f>
        <v>16</v>
      </c>
      <c r="S536" t="str">
        <f t="shared" si="124"/>
        <v/>
      </c>
      <c r="T536" t="str">
        <f t="shared" si="132"/>
        <v/>
      </c>
      <c r="U536">
        <f>IFERROR(IF(T536=0,"",COUNTIF($T$3:T536,"&gt;0")),"")</f>
        <v>0</v>
      </c>
      <c r="V536" t="str">
        <f t="shared" si="125"/>
        <v/>
      </c>
    </row>
    <row r="537" spans="1:22">
      <c r="A537" t="e">
        <f t="shared" si="120"/>
        <v>#VALUE!</v>
      </c>
      <c r="B537" t="e">
        <f>Table4[[#This Row],[CATEGORY]]</f>
        <v>#VALUE!</v>
      </c>
      <c r="C537" t="e">
        <f>Table4[[#This Row],[SUB-CATEGORY]]</f>
        <v>#VALUE!</v>
      </c>
      <c r="D537">
        <f>'RJ ATTENDENCE SHEET'!C:C</f>
        <v>0</v>
      </c>
      <c r="E537" t="e">
        <f t="shared" si="119"/>
        <v>#VALUE!</v>
      </c>
      <c r="F537" t="str">
        <f t="shared" si="126"/>
        <v/>
      </c>
      <c r="G537">
        <f>IFERROR(IF(F537=0,"",COUNTIF($F$3:F537,"&gt;0")),"")</f>
        <v>16</v>
      </c>
      <c r="H537" t="str">
        <f t="shared" si="121"/>
        <v/>
      </c>
      <c r="I537" t="str">
        <f t="shared" si="127"/>
        <v/>
      </c>
      <c r="J537">
        <f>IFERROR(IF(I537=0,"",COUNTIF($I$3:I537,"&gt;0")),"")</f>
        <v>34</v>
      </c>
      <c r="K537" t="str">
        <f t="shared" si="122"/>
        <v/>
      </c>
      <c r="L537" t="str">
        <f t="shared" si="128"/>
        <v/>
      </c>
      <c r="M537" t="str">
        <f t="shared" si="129"/>
        <v/>
      </c>
      <c r="N537">
        <f>IFERROR(IF(M537=0,"",COUNTIF($M$3:M537,"&gt;0")),"")</f>
        <v>33</v>
      </c>
      <c r="O537" t="str">
        <f t="shared" si="123"/>
        <v/>
      </c>
      <c r="P537" t="str">
        <f t="shared" si="130"/>
        <v/>
      </c>
      <c r="Q537" t="str">
        <f t="shared" si="131"/>
        <v/>
      </c>
      <c r="R537">
        <f>IFERROR(IF(Q537=0,"",COUNTIF($Q$3:Q537,"&gt;0")),"")</f>
        <v>16</v>
      </c>
      <c r="S537" t="str">
        <f t="shared" si="124"/>
        <v/>
      </c>
      <c r="T537" t="str">
        <f t="shared" si="132"/>
        <v/>
      </c>
      <c r="U537">
        <f>IFERROR(IF(T537=0,"",COUNTIF($T$3:T537,"&gt;0")),"")</f>
        <v>0</v>
      </c>
      <c r="V537" t="str">
        <f t="shared" si="125"/>
        <v/>
      </c>
    </row>
    <row r="538" spans="1:22">
      <c r="A538" t="e">
        <f t="shared" si="120"/>
        <v>#VALUE!</v>
      </c>
      <c r="B538" t="e">
        <f>Table4[[#This Row],[CATEGORY]]</f>
        <v>#VALUE!</v>
      </c>
      <c r="C538" t="e">
        <f>Table4[[#This Row],[SUB-CATEGORY]]</f>
        <v>#VALUE!</v>
      </c>
      <c r="D538">
        <f>'RJ ATTENDENCE SHEET'!C:C</f>
        <v>0</v>
      </c>
      <c r="E538" t="e">
        <f t="shared" si="119"/>
        <v>#VALUE!</v>
      </c>
      <c r="F538" t="str">
        <f t="shared" si="126"/>
        <v/>
      </c>
      <c r="G538">
        <f>IFERROR(IF(F538=0,"",COUNTIF($F$3:F538,"&gt;0")),"")</f>
        <v>16</v>
      </c>
      <c r="H538" t="str">
        <f t="shared" si="121"/>
        <v/>
      </c>
      <c r="I538" t="str">
        <f t="shared" si="127"/>
        <v/>
      </c>
      <c r="J538">
        <f>IFERROR(IF(I538=0,"",COUNTIF($I$3:I538,"&gt;0")),"")</f>
        <v>34</v>
      </c>
      <c r="K538" t="str">
        <f t="shared" si="122"/>
        <v/>
      </c>
      <c r="L538" t="str">
        <f t="shared" si="128"/>
        <v/>
      </c>
      <c r="M538" t="str">
        <f t="shared" si="129"/>
        <v/>
      </c>
      <c r="N538">
        <f>IFERROR(IF(M538=0,"",COUNTIF($M$3:M538,"&gt;0")),"")</f>
        <v>33</v>
      </c>
      <c r="O538" t="str">
        <f t="shared" si="123"/>
        <v/>
      </c>
      <c r="P538" t="str">
        <f t="shared" si="130"/>
        <v/>
      </c>
      <c r="Q538" t="str">
        <f t="shared" si="131"/>
        <v/>
      </c>
      <c r="R538">
        <f>IFERROR(IF(Q538=0,"",COUNTIF($Q$3:Q538,"&gt;0")),"")</f>
        <v>16</v>
      </c>
      <c r="S538" t="str">
        <f t="shared" si="124"/>
        <v/>
      </c>
      <c r="T538" t="str">
        <f t="shared" si="132"/>
        <v/>
      </c>
      <c r="U538">
        <f>IFERROR(IF(T538=0,"",COUNTIF($T$3:T538,"&gt;0")),"")</f>
        <v>0</v>
      </c>
      <c r="V538" t="str">
        <f t="shared" si="125"/>
        <v/>
      </c>
    </row>
    <row r="539" spans="1:22">
      <c r="A539" t="e">
        <f t="shared" si="120"/>
        <v>#VALUE!</v>
      </c>
      <c r="B539" t="e">
        <f>Table4[[#This Row],[CATEGORY]]</f>
        <v>#VALUE!</v>
      </c>
      <c r="C539" t="e">
        <f>Table4[[#This Row],[SUB-CATEGORY]]</f>
        <v>#VALUE!</v>
      </c>
      <c r="D539">
        <f>'RJ ATTENDENCE SHEET'!C:C</f>
        <v>0</v>
      </c>
      <c r="E539" t="e">
        <f t="shared" si="119"/>
        <v>#VALUE!</v>
      </c>
      <c r="F539" t="str">
        <f t="shared" si="126"/>
        <v/>
      </c>
      <c r="G539">
        <f>IFERROR(IF(F539=0,"",COUNTIF($F$3:F539,"&gt;0")),"")</f>
        <v>16</v>
      </c>
      <c r="H539" t="str">
        <f t="shared" si="121"/>
        <v/>
      </c>
      <c r="I539" t="str">
        <f t="shared" si="127"/>
        <v/>
      </c>
      <c r="J539">
        <f>IFERROR(IF(I539=0,"",COUNTIF($I$3:I539,"&gt;0")),"")</f>
        <v>34</v>
      </c>
      <c r="K539" t="str">
        <f t="shared" si="122"/>
        <v/>
      </c>
      <c r="L539" t="str">
        <f t="shared" si="128"/>
        <v/>
      </c>
      <c r="M539" t="str">
        <f t="shared" si="129"/>
        <v/>
      </c>
      <c r="N539">
        <f>IFERROR(IF(M539=0,"",COUNTIF($M$3:M539,"&gt;0")),"")</f>
        <v>33</v>
      </c>
      <c r="O539" t="str">
        <f t="shared" si="123"/>
        <v/>
      </c>
      <c r="P539" t="str">
        <f t="shared" si="130"/>
        <v/>
      </c>
      <c r="Q539" t="str">
        <f t="shared" si="131"/>
        <v/>
      </c>
      <c r="R539">
        <f>IFERROR(IF(Q539=0,"",COUNTIF($Q$3:Q539,"&gt;0")),"")</f>
        <v>16</v>
      </c>
      <c r="S539" t="str">
        <f t="shared" si="124"/>
        <v/>
      </c>
      <c r="T539" t="str">
        <f t="shared" si="132"/>
        <v/>
      </c>
      <c r="U539">
        <f>IFERROR(IF(T539=0,"",COUNTIF($T$3:T539,"&gt;0")),"")</f>
        <v>0</v>
      </c>
      <c r="V539" t="str">
        <f t="shared" si="125"/>
        <v/>
      </c>
    </row>
    <row r="540" spans="1:22">
      <c r="A540" t="e">
        <f t="shared" si="120"/>
        <v>#VALUE!</v>
      </c>
      <c r="B540" t="e">
        <f>Table4[[#This Row],[CATEGORY]]</f>
        <v>#VALUE!</v>
      </c>
      <c r="C540" t="e">
        <f>Table4[[#This Row],[SUB-CATEGORY]]</f>
        <v>#VALUE!</v>
      </c>
      <c r="D540">
        <f>'RJ ATTENDENCE SHEET'!C:C</f>
        <v>0</v>
      </c>
      <c r="E540" t="e">
        <f t="shared" si="119"/>
        <v>#VALUE!</v>
      </c>
      <c r="F540" t="str">
        <f t="shared" si="126"/>
        <v/>
      </c>
      <c r="G540">
        <f>IFERROR(IF(F540=0,"",COUNTIF($F$3:F540,"&gt;0")),"")</f>
        <v>16</v>
      </c>
      <c r="H540" t="str">
        <f t="shared" si="121"/>
        <v/>
      </c>
      <c r="I540" t="str">
        <f t="shared" si="127"/>
        <v/>
      </c>
      <c r="J540">
        <f>IFERROR(IF(I540=0,"",COUNTIF($I$3:I540,"&gt;0")),"")</f>
        <v>34</v>
      </c>
      <c r="K540" t="str">
        <f t="shared" si="122"/>
        <v/>
      </c>
      <c r="L540" t="str">
        <f t="shared" si="128"/>
        <v/>
      </c>
      <c r="M540" t="str">
        <f t="shared" si="129"/>
        <v/>
      </c>
      <c r="N540">
        <f>IFERROR(IF(M540=0,"",COUNTIF($M$3:M540,"&gt;0")),"")</f>
        <v>33</v>
      </c>
      <c r="O540" t="str">
        <f t="shared" si="123"/>
        <v/>
      </c>
      <c r="P540" t="str">
        <f t="shared" si="130"/>
        <v/>
      </c>
      <c r="Q540" t="str">
        <f t="shared" si="131"/>
        <v/>
      </c>
      <c r="R540">
        <f>IFERROR(IF(Q540=0,"",COUNTIF($Q$3:Q540,"&gt;0")),"")</f>
        <v>16</v>
      </c>
      <c r="S540" t="str">
        <f t="shared" si="124"/>
        <v/>
      </c>
      <c r="T540" t="str">
        <f t="shared" si="132"/>
        <v/>
      </c>
      <c r="U540">
        <f>IFERROR(IF(T540=0,"",COUNTIF($T$3:T540,"&gt;0")),"")</f>
        <v>0</v>
      </c>
      <c r="V540" t="str">
        <f t="shared" si="125"/>
        <v/>
      </c>
    </row>
    <row r="541" spans="1:22">
      <c r="A541" t="e">
        <f t="shared" si="120"/>
        <v>#VALUE!</v>
      </c>
      <c r="B541" t="e">
        <f>Table4[[#This Row],[CATEGORY]]</f>
        <v>#VALUE!</v>
      </c>
      <c r="C541" t="e">
        <f>Table4[[#This Row],[SUB-CATEGORY]]</f>
        <v>#VALUE!</v>
      </c>
      <c r="D541">
        <f>'RJ ATTENDENCE SHEET'!C:C</f>
        <v>0</v>
      </c>
      <c r="E541" t="e">
        <f t="shared" si="119"/>
        <v>#VALUE!</v>
      </c>
      <c r="F541" t="str">
        <f t="shared" si="126"/>
        <v/>
      </c>
      <c r="G541">
        <f>IFERROR(IF(F541=0,"",COUNTIF($F$3:F541,"&gt;0")),"")</f>
        <v>16</v>
      </c>
      <c r="H541" t="str">
        <f t="shared" si="121"/>
        <v/>
      </c>
      <c r="I541" t="str">
        <f t="shared" si="127"/>
        <v/>
      </c>
      <c r="J541">
        <f>IFERROR(IF(I541=0,"",COUNTIF($I$3:I541,"&gt;0")),"")</f>
        <v>34</v>
      </c>
      <c r="K541" t="str">
        <f t="shared" si="122"/>
        <v/>
      </c>
      <c r="L541" t="str">
        <f t="shared" si="128"/>
        <v/>
      </c>
      <c r="M541" t="str">
        <f t="shared" si="129"/>
        <v/>
      </c>
      <c r="N541">
        <f>IFERROR(IF(M541=0,"",COUNTIF($M$3:M541,"&gt;0")),"")</f>
        <v>33</v>
      </c>
      <c r="O541" t="str">
        <f t="shared" si="123"/>
        <v/>
      </c>
      <c r="P541" t="str">
        <f t="shared" si="130"/>
        <v/>
      </c>
      <c r="Q541" t="str">
        <f t="shared" si="131"/>
        <v/>
      </c>
      <c r="R541">
        <f>IFERROR(IF(Q541=0,"",COUNTIF($Q$3:Q541,"&gt;0")),"")</f>
        <v>16</v>
      </c>
      <c r="S541" t="str">
        <f t="shared" si="124"/>
        <v/>
      </c>
      <c r="T541" t="str">
        <f t="shared" si="132"/>
        <v/>
      </c>
      <c r="U541">
        <f>IFERROR(IF(T541=0,"",COUNTIF($T$3:T541,"&gt;0")),"")</f>
        <v>0</v>
      </c>
      <c r="V541" t="str">
        <f t="shared" si="125"/>
        <v/>
      </c>
    </row>
    <row r="542" spans="1:22">
      <c r="A542" t="e">
        <f t="shared" si="120"/>
        <v>#VALUE!</v>
      </c>
      <c r="B542" t="e">
        <f>Table4[[#This Row],[CATEGORY]]</f>
        <v>#VALUE!</v>
      </c>
      <c r="C542" t="e">
        <f>Table4[[#This Row],[SUB-CATEGORY]]</f>
        <v>#VALUE!</v>
      </c>
      <c r="D542">
        <f>'RJ ATTENDENCE SHEET'!C:C</f>
        <v>0</v>
      </c>
      <c r="E542" t="e">
        <f t="shared" si="119"/>
        <v>#VALUE!</v>
      </c>
      <c r="F542" t="str">
        <f t="shared" si="126"/>
        <v/>
      </c>
      <c r="G542">
        <f>IFERROR(IF(F542=0,"",COUNTIF($F$3:F542,"&gt;0")),"")</f>
        <v>16</v>
      </c>
      <c r="H542" t="str">
        <f t="shared" si="121"/>
        <v/>
      </c>
      <c r="I542" t="str">
        <f t="shared" si="127"/>
        <v/>
      </c>
      <c r="J542">
        <f>IFERROR(IF(I542=0,"",COUNTIF($I$3:I542,"&gt;0")),"")</f>
        <v>34</v>
      </c>
      <c r="K542" t="str">
        <f t="shared" si="122"/>
        <v/>
      </c>
      <c r="L542" t="str">
        <f t="shared" si="128"/>
        <v/>
      </c>
      <c r="M542" t="str">
        <f t="shared" si="129"/>
        <v/>
      </c>
      <c r="N542">
        <f>IFERROR(IF(M542=0,"",COUNTIF($M$3:M542,"&gt;0")),"")</f>
        <v>33</v>
      </c>
      <c r="O542" t="str">
        <f t="shared" si="123"/>
        <v/>
      </c>
      <c r="P542" t="str">
        <f t="shared" si="130"/>
        <v/>
      </c>
      <c r="Q542" t="str">
        <f t="shared" si="131"/>
        <v/>
      </c>
      <c r="R542">
        <f>IFERROR(IF(Q542=0,"",COUNTIF($Q$3:Q542,"&gt;0")),"")</f>
        <v>16</v>
      </c>
      <c r="S542" t="str">
        <f t="shared" si="124"/>
        <v/>
      </c>
      <c r="T542" t="str">
        <f t="shared" si="132"/>
        <v/>
      </c>
      <c r="U542">
        <f>IFERROR(IF(T542=0,"",COUNTIF($T$3:T542,"&gt;0")),"")</f>
        <v>0</v>
      </c>
      <c r="V542" t="str">
        <f t="shared" si="125"/>
        <v/>
      </c>
    </row>
    <row r="543" spans="1:22">
      <c r="A543" t="e">
        <f t="shared" si="120"/>
        <v>#VALUE!</v>
      </c>
      <c r="B543" t="e">
        <f>Table4[[#This Row],[CATEGORY]]</f>
        <v>#VALUE!</v>
      </c>
      <c r="C543" t="e">
        <f>Table4[[#This Row],[SUB-CATEGORY]]</f>
        <v>#VALUE!</v>
      </c>
      <c r="D543">
        <f>'RJ ATTENDENCE SHEET'!C:C</f>
        <v>0</v>
      </c>
      <c r="E543" t="e">
        <f t="shared" si="119"/>
        <v>#VALUE!</v>
      </c>
      <c r="F543" t="str">
        <f t="shared" si="126"/>
        <v/>
      </c>
      <c r="G543">
        <f>IFERROR(IF(F543=0,"",COUNTIF($F$3:F543,"&gt;0")),"")</f>
        <v>16</v>
      </c>
      <c r="H543" t="str">
        <f t="shared" si="121"/>
        <v/>
      </c>
      <c r="I543" t="str">
        <f t="shared" si="127"/>
        <v/>
      </c>
      <c r="J543">
        <f>IFERROR(IF(I543=0,"",COUNTIF($I$3:I543,"&gt;0")),"")</f>
        <v>34</v>
      </c>
      <c r="K543" t="str">
        <f t="shared" si="122"/>
        <v/>
      </c>
      <c r="L543" t="str">
        <f t="shared" si="128"/>
        <v/>
      </c>
      <c r="M543" t="str">
        <f t="shared" si="129"/>
        <v/>
      </c>
      <c r="N543">
        <f>IFERROR(IF(M543=0,"",COUNTIF($M$3:M543,"&gt;0")),"")</f>
        <v>33</v>
      </c>
      <c r="O543" t="str">
        <f t="shared" si="123"/>
        <v/>
      </c>
      <c r="P543" t="str">
        <f t="shared" si="130"/>
        <v/>
      </c>
      <c r="Q543" t="str">
        <f t="shared" si="131"/>
        <v/>
      </c>
      <c r="R543">
        <f>IFERROR(IF(Q543=0,"",COUNTIF($Q$3:Q543,"&gt;0")),"")</f>
        <v>16</v>
      </c>
      <c r="S543" t="str">
        <f t="shared" si="124"/>
        <v/>
      </c>
      <c r="T543" t="str">
        <f t="shared" si="132"/>
        <v/>
      </c>
      <c r="U543">
        <f>IFERROR(IF(T543=0,"",COUNTIF($T$3:T543,"&gt;0")),"")</f>
        <v>0</v>
      </c>
      <c r="V543" t="str">
        <f t="shared" si="125"/>
        <v/>
      </c>
    </row>
    <row r="544" spans="1:22">
      <c r="A544" t="e">
        <f t="shared" si="120"/>
        <v>#VALUE!</v>
      </c>
      <c r="B544" t="e">
        <f>Table4[[#This Row],[CATEGORY]]</f>
        <v>#VALUE!</v>
      </c>
      <c r="C544" t="e">
        <f>Table4[[#This Row],[SUB-CATEGORY]]</f>
        <v>#VALUE!</v>
      </c>
      <c r="D544">
        <f>'RJ ATTENDENCE SHEET'!C:C</f>
        <v>0</v>
      </c>
      <c r="E544" t="e">
        <f t="shared" si="119"/>
        <v>#VALUE!</v>
      </c>
      <c r="F544" t="str">
        <f t="shared" si="126"/>
        <v/>
      </c>
      <c r="G544">
        <f>IFERROR(IF(F544=0,"",COUNTIF($F$3:F544,"&gt;0")),"")</f>
        <v>16</v>
      </c>
      <c r="H544" t="str">
        <f t="shared" si="121"/>
        <v/>
      </c>
      <c r="I544" t="str">
        <f t="shared" si="127"/>
        <v/>
      </c>
      <c r="J544">
        <f>IFERROR(IF(I544=0,"",COUNTIF($I$3:I544,"&gt;0")),"")</f>
        <v>34</v>
      </c>
      <c r="K544" t="str">
        <f t="shared" si="122"/>
        <v/>
      </c>
      <c r="L544" t="str">
        <f t="shared" si="128"/>
        <v/>
      </c>
      <c r="M544" t="str">
        <f t="shared" si="129"/>
        <v/>
      </c>
      <c r="N544">
        <f>IFERROR(IF(M544=0,"",COUNTIF($M$3:M544,"&gt;0")),"")</f>
        <v>33</v>
      </c>
      <c r="O544" t="str">
        <f t="shared" si="123"/>
        <v/>
      </c>
      <c r="P544" t="str">
        <f t="shared" si="130"/>
        <v/>
      </c>
      <c r="Q544" t="str">
        <f t="shared" si="131"/>
        <v/>
      </c>
      <c r="R544">
        <f>IFERROR(IF(Q544=0,"",COUNTIF($Q$3:Q544,"&gt;0")),"")</f>
        <v>16</v>
      </c>
      <c r="S544" t="str">
        <f t="shared" si="124"/>
        <v/>
      </c>
      <c r="T544" t="str">
        <f t="shared" si="132"/>
        <v/>
      </c>
      <c r="U544">
        <f>IFERROR(IF(T544=0,"",COUNTIF($T$3:T544,"&gt;0")),"")</f>
        <v>0</v>
      </c>
      <c r="V544" t="str">
        <f t="shared" si="125"/>
        <v/>
      </c>
    </row>
    <row r="545" spans="1:22">
      <c r="A545" t="e">
        <f t="shared" si="120"/>
        <v>#VALUE!</v>
      </c>
      <c r="B545" t="e">
        <f>Table4[[#This Row],[CATEGORY]]</f>
        <v>#VALUE!</v>
      </c>
      <c r="C545" t="e">
        <f>Table4[[#This Row],[SUB-CATEGORY]]</f>
        <v>#VALUE!</v>
      </c>
      <c r="D545">
        <f>'RJ ATTENDENCE SHEET'!C:C</f>
        <v>0</v>
      </c>
      <c r="E545" t="e">
        <f t="shared" si="119"/>
        <v>#VALUE!</v>
      </c>
      <c r="F545" t="str">
        <f t="shared" si="126"/>
        <v/>
      </c>
      <c r="G545">
        <f>IFERROR(IF(F545=0,"",COUNTIF($F$3:F545,"&gt;0")),"")</f>
        <v>16</v>
      </c>
      <c r="H545" t="str">
        <f t="shared" si="121"/>
        <v/>
      </c>
      <c r="I545" t="str">
        <f t="shared" si="127"/>
        <v/>
      </c>
      <c r="J545">
        <f>IFERROR(IF(I545=0,"",COUNTIF($I$3:I545,"&gt;0")),"")</f>
        <v>34</v>
      </c>
      <c r="K545" t="str">
        <f t="shared" si="122"/>
        <v/>
      </c>
      <c r="L545" t="str">
        <f t="shared" si="128"/>
        <v/>
      </c>
      <c r="M545" t="str">
        <f t="shared" si="129"/>
        <v/>
      </c>
      <c r="N545">
        <f>IFERROR(IF(M545=0,"",COUNTIF($M$3:M545,"&gt;0")),"")</f>
        <v>33</v>
      </c>
      <c r="O545" t="str">
        <f t="shared" si="123"/>
        <v/>
      </c>
      <c r="P545" t="str">
        <f t="shared" si="130"/>
        <v/>
      </c>
      <c r="Q545" t="str">
        <f t="shared" si="131"/>
        <v/>
      </c>
      <c r="R545">
        <f>IFERROR(IF(Q545=0,"",COUNTIF($Q$3:Q545,"&gt;0")),"")</f>
        <v>16</v>
      </c>
      <c r="S545" t="str">
        <f t="shared" si="124"/>
        <v/>
      </c>
      <c r="T545" t="str">
        <f t="shared" si="132"/>
        <v/>
      </c>
      <c r="U545">
        <f>IFERROR(IF(T545=0,"",COUNTIF($T$3:T545,"&gt;0")),"")</f>
        <v>0</v>
      </c>
      <c r="V545" t="str">
        <f t="shared" si="125"/>
        <v/>
      </c>
    </row>
    <row r="546" spans="1:22">
      <c r="A546" t="e">
        <f t="shared" si="120"/>
        <v>#VALUE!</v>
      </c>
      <c r="B546" t="e">
        <f>Table4[[#This Row],[CATEGORY]]</f>
        <v>#VALUE!</v>
      </c>
      <c r="C546" t="e">
        <f>Table4[[#This Row],[SUB-CATEGORY]]</f>
        <v>#VALUE!</v>
      </c>
      <c r="D546">
        <f>'RJ ATTENDENCE SHEET'!C:C</f>
        <v>0</v>
      </c>
      <c r="E546" t="e">
        <f t="shared" si="119"/>
        <v>#VALUE!</v>
      </c>
      <c r="F546" t="str">
        <f t="shared" si="126"/>
        <v/>
      </c>
      <c r="G546">
        <f>IFERROR(IF(F546=0,"",COUNTIF($F$3:F546,"&gt;0")),"")</f>
        <v>16</v>
      </c>
      <c r="H546" t="str">
        <f t="shared" si="121"/>
        <v/>
      </c>
      <c r="I546" t="str">
        <f t="shared" si="127"/>
        <v/>
      </c>
      <c r="J546">
        <f>IFERROR(IF(I546=0,"",COUNTIF($I$3:I546,"&gt;0")),"")</f>
        <v>34</v>
      </c>
      <c r="K546" t="str">
        <f t="shared" si="122"/>
        <v/>
      </c>
      <c r="L546" t="str">
        <f t="shared" si="128"/>
        <v/>
      </c>
      <c r="M546" t="str">
        <f t="shared" si="129"/>
        <v/>
      </c>
      <c r="N546">
        <f>IFERROR(IF(M546=0,"",COUNTIF($M$3:M546,"&gt;0")),"")</f>
        <v>33</v>
      </c>
      <c r="O546" t="str">
        <f t="shared" si="123"/>
        <v/>
      </c>
      <c r="P546" t="str">
        <f t="shared" si="130"/>
        <v/>
      </c>
      <c r="Q546" t="str">
        <f t="shared" si="131"/>
        <v/>
      </c>
      <c r="R546">
        <f>IFERROR(IF(Q546=0,"",COUNTIF($Q$3:Q546,"&gt;0")),"")</f>
        <v>16</v>
      </c>
      <c r="S546" t="str">
        <f t="shared" si="124"/>
        <v/>
      </c>
      <c r="T546" t="str">
        <f t="shared" si="132"/>
        <v/>
      </c>
      <c r="U546">
        <f>IFERROR(IF(T546=0,"",COUNTIF($T$3:T546,"&gt;0")),"")</f>
        <v>0</v>
      </c>
      <c r="V546" t="str">
        <f t="shared" si="125"/>
        <v/>
      </c>
    </row>
    <row r="547" spans="1:22">
      <c r="A547" t="e">
        <f t="shared" si="120"/>
        <v>#VALUE!</v>
      </c>
      <c r="B547" t="e">
        <f>Table4[[#This Row],[CATEGORY]]</f>
        <v>#VALUE!</v>
      </c>
      <c r="C547" t="e">
        <f>Table4[[#This Row],[SUB-CATEGORY]]</f>
        <v>#VALUE!</v>
      </c>
      <c r="D547">
        <f>'RJ ATTENDENCE SHEET'!C:C</f>
        <v>0</v>
      </c>
      <c r="E547" t="e">
        <f t="shared" si="119"/>
        <v>#VALUE!</v>
      </c>
      <c r="F547" t="str">
        <f t="shared" si="126"/>
        <v/>
      </c>
      <c r="G547">
        <f>IFERROR(IF(F547=0,"",COUNTIF($F$3:F547,"&gt;0")),"")</f>
        <v>16</v>
      </c>
      <c r="H547" t="str">
        <f t="shared" si="121"/>
        <v/>
      </c>
      <c r="I547" t="str">
        <f t="shared" si="127"/>
        <v/>
      </c>
      <c r="J547">
        <f>IFERROR(IF(I547=0,"",COUNTIF($I$3:I547,"&gt;0")),"")</f>
        <v>34</v>
      </c>
      <c r="K547" t="str">
        <f t="shared" si="122"/>
        <v/>
      </c>
      <c r="L547" t="str">
        <f t="shared" si="128"/>
        <v/>
      </c>
      <c r="M547" t="str">
        <f t="shared" si="129"/>
        <v/>
      </c>
      <c r="N547">
        <f>IFERROR(IF(M547=0,"",COUNTIF($M$3:M547,"&gt;0")),"")</f>
        <v>33</v>
      </c>
      <c r="O547" t="str">
        <f t="shared" si="123"/>
        <v/>
      </c>
      <c r="P547" t="str">
        <f t="shared" si="130"/>
        <v/>
      </c>
      <c r="Q547" t="str">
        <f t="shared" si="131"/>
        <v/>
      </c>
      <c r="R547">
        <f>IFERROR(IF(Q547=0,"",COUNTIF($Q$3:Q547,"&gt;0")),"")</f>
        <v>16</v>
      </c>
      <c r="S547" t="str">
        <f t="shared" si="124"/>
        <v/>
      </c>
      <c r="T547" t="str">
        <f t="shared" si="132"/>
        <v/>
      </c>
      <c r="U547">
        <f>IFERROR(IF(T547=0,"",COUNTIF($T$3:T547,"&gt;0")),"")</f>
        <v>0</v>
      </c>
      <c r="V547" t="str">
        <f t="shared" si="125"/>
        <v/>
      </c>
    </row>
    <row r="548" spans="1:22">
      <c r="A548" t="e">
        <f t="shared" si="120"/>
        <v>#VALUE!</v>
      </c>
      <c r="B548" t="e">
        <f>Table4[[#This Row],[CATEGORY]]</f>
        <v>#VALUE!</v>
      </c>
      <c r="C548" t="e">
        <f>Table4[[#This Row],[SUB-CATEGORY]]</f>
        <v>#VALUE!</v>
      </c>
      <c r="D548">
        <f>'RJ ATTENDENCE SHEET'!C:C</f>
        <v>0</v>
      </c>
      <c r="E548" t="e">
        <f t="shared" si="119"/>
        <v>#VALUE!</v>
      </c>
      <c r="F548" t="str">
        <f t="shared" si="126"/>
        <v/>
      </c>
      <c r="G548">
        <f>IFERROR(IF(F548=0,"",COUNTIF($F$3:F548,"&gt;0")),"")</f>
        <v>16</v>
      </c>
      <c r="H548" t="str">
        <f t="shared" si="121"/>
        <v/>
      </c>
      <c r="I548" t="str">
        <f t="shared" si="127"/>
        <v/>
      </c>
      <c r="J548">
        <f>IFERROR(IF(I548=0,"",COUNTIF($I$3:I548,"&gt;0")),"")</f>
        <v>34</v>
      </c>
      <c r="K548" t="str">
        <f t="shared" si="122"/>
        <v/>
      </c>
      <c r="L548" t="str">
        <f t="shared" si="128"/>
        <v/>
      </c>
      <c r="M548" t="str">
        <f t="shared" si="129"/>
        <v/>
      </c>
      <c r="N548">
        <f>IFERROR(IF(M548=0,"",COUNTIF($M$3:M548,"&gt;0")),"")</f>
        <v>33</v>
      </c>
      <c r="O548" t="str">
        <f t="shared" si="123"/>
        <v/>
      </c>
      <c r="P548" t="str">
        <f t="shared" si="130"/>
        <v/>
      </c>
      <c r="Q548" t="str">
        <f t="shared" si="131"/>
        <v/>
      </c>
      <c r="R548">
        <f>IFERROR(IF(Q548=0,"",COUNTIF($Q$3:Q548,"&gt;0")),"")</f>
        <v>16</v>
      </c>
      <c r="S548" t="str">
        <f t="shared" si="124"/>
        <v/>
      </c>
      <c r="T548" t="str">
        <f t="shared" si="132"/>
        <v/>
      </c>
      <c r="U548">
        <f>IFERROR(IF(T548=0,"",COUNTIF($T$3:T548,"&gt;0")),"")</f>
        <v>0</v>
      </c>
      <c r="V548" t="str">
        <f t="shared" si="125"/>
        <v/>
      </c>
    </row>
    <row r="549" spans="1:22">
      <c r="A549" t="e">
        <f t="shared" si="120"/>
        <v>#VALUE!</v>
      </c>
      <c r="B549" t="e">
        <f>Table4[[#This Row],[CATEGORY]]</f>
        <v>#VALUE!</v>
      </c>
      <c r="C549" t="e">
        <f>Table4[[#This Row],[SUB-CATEGORY]]</f>
        <v>#VALUE!</v>
      </c>
      <c r="D549">
        <f>'RJ ATTENDENCE SHEET'!C:C</f>
        <v>0</v>
      </c>
      <c r="E549" t="e">
        <f t="shared" si="119"/>
        <v>#VALUE!</v>
      </c>
      <c r="F549" t="str">
        <f t="shared" si="126"/>
        <v/>
      </c>
      <c r="G549">
        <f>IFERROR(IF(F549=0,"",COUNTIF($F$3:F549,"&gt;0")),"")</f>
        <v>16</v>
      </c>
      <c r="H549" t="str">
        <f t="shared" si="121"/>
        <v/>
      </c>
      <c r="I549" t="str">
        <f t="shared" si="127"/>
        <v/>
      </c>
      <c r="J549">
        <f>IFERROR(IF(I549=0,"",COUNTIF($I$3:I549,"&gt;0")),"")</f>
        <v>34</v>
      </c>
      <c r="K549" t="str">
        <f t="shared" si="122"/>
        <v/>
      </c>
      <c r="L549" t="str">
        <f t="shared" si="128"/>
        <v/>
      </c>
      <c r="M549" t="str">
        <f t="shared" si="129"/>
        <v/>
      </c>
      <c r="N549">
        <f>IFERROR(IF(M549=0,"",COUNTIF($M$3:M549,"&gt;0")),"")</f>
        <v>33</v>
      </c>
      <c r="O549" t="str">
        <f t="shared" si="123"/>
        <v/>
      </c>
      <c r="P549" t="str">
        <f t="shared" si="130"/>
        <v/>
      </c>
      <c r="Q549" t="str">
        <f t="shared" si="131"/>
        <v/>
      </c>
      <c r="R549">
        <f>IFERROR(IF(Q549=0,"",COUNTIF($Q$3:Q549,"&gt;0")),"")</f>
        <v>16</v>
      </c>
      <c r="S549" t="str">
        <f t="shared" si="124"/>
        <v/>
      </c>
      <c r="T549" t="str">
        <f t="shared" si="132"/>
        <v/>
      </c>
      <c r="U549">
        <f>IFERROR(IF(T549=0,"",COUNTIF($T$3:T549,"&gt;0")),"")</f>
        <v>0</v>
      </c>
      <c r="V549" t="str">
        <f t="shared" si="125"/>
        <v/>
      </c>
    </row>
    <row r="550" spans="1:22">
      <c r="A550" t="e">
        <f t="shared" si="120"/>
        <v>#VALUE!</v>
      </c>
      <c r="B550" t="e">
        <f>Table4[[#This Row],[CATEGORY]]</f>
        <v>#VALUE!</v>
      </c>
      <c r="C550" t="e">
        <f>Table4[[#This Row],[SUB-CATEGORY]]</f>
        <v>#VALUE!</v>
      </c>
      <c r="D550">
        <f>'RJ ATTENDENCE SHEET'!C:C</f>
        <v>0</v>
      </c>
      <c r="E550" t="e">
        <f t="shared" si="119"/>
        <v>#VALUE!</v>
      </c>
      <c r="F550" t="str">
        <f t="shared" si="126"/>
        <v/>
      </c>
      <c r="G550">
        <f>IFERROR(IF(F550=0,"",COUNTIF($F$3:F550,"&gt;0")),"")</f>
        <v>16</v>
      </c>
      <c r="H550" t="str">
        <f t="shared" si="121"/>
        <v/>
      </c>
      <c r="I550" t="str">
        <f t="shared" si="127"/>
        <v/>
      </c>
      <c r="J550">
        <f>IFERROR(IF(I550=0,"",COUNTIF($I$3:I550,"&gt;0")),"")</f>
        <v>34</v>
      </c>
      <c r="K550" t="str">
        <f t="shared" si="122"/>
        <v/>
      </c>
      <c r="L550" t="str">
        <f t="shared" si="128"/>
        <v/>
      </c>
      <c r="M550" t="str">
        <f t="shared" si="129"/>
        <v/>
      </c>
      <c r="N550">
        <f>IFERROR(IF(M550=0,"",COUNTIF($M$3:M550,"&gt;0")),"")</f>
        <v>33</v>
      </c>
      <c r="O550" t="str">
        <f t="shared" si="123"/>
        <v/>
      </c>
      <c r="P550" t="str">
        <f t="shared" si="130"/>
        <v/>
      </c>
      <c r="Q550" t="str">
        <f t="shared" si="131"/>
        <v/>
      </c>
      <c r="R550">
        <f>IFERROR(IF(Q550=0,"",COUNTIF($Q$3:Q550,"&gt;0")),"")</f>
        <v>16</v>
      </c>
      <c r="S550" t="str">
        <f t="shared" si="124"/>
        <v/>
      </c>
      <c r="T550" t="str">
        <f t="shared" si="132"/>
        <v/>
      </c>
      <c r="U550">
        <f>IFERROR(IF(T550=0,"",COUNTIF($T$3:T550,"&gt;0")),"")</f>
        <v>0</v>
      </c>
      <c r="V550" t="str">
        <f t="shared" si="125"/>
        <v/>
      </c>
    </row>
    <row r="551" spans="1:22">
      <c r="A551" t="e">
        <f t="shared" si="120"/>
        <v>#VALUE!</v>
      </c>
      <c r="B551" t="e">
        <f>Table4[[#This Row],[CATEGORY]]</f>
        <v>#VALUE!</v>
      </c>
      <c r="C551" t="e">
        <f>Table4[[#This Row],[SUB-CATEGORY]]</f>
        <v>#VALUE!</v>
      </c>
      <c r="D551">
        <f>'RJ ATTENDENCE SHEET'!C:C</f>
        <v>0</v>
      </c>
      <c r="E551" t="e">
        <f t="shared" si="119"/>
        <v>#VALUE!</v>
      </c>
      <c r="F551" t="str">
        <f t="shared" si="126"/>
        <v/>
      </c>
      <c r="G551">
        <f>IFERROR(IF(F551=0,"",COUNTIF($F$3:F551,"&gt;0")),"")</f>
        <v>16</v>
      </c>
      <c r="H551" t="str">
        <f t="shared" si="121"/>
        <v/>
      </c>
      <c r="I551" t="str">
        <f t="shared" si="127"/>
        <v/>
      </c>
      <c r="J551">
        <f>IFERROR(IF(I551=0,"",COUNTIF($I$3:I551,"&gt;0")),"")</f>
        <v>34</v>
      </c>
      <c r="K551" t="str">
        <f t="shared" si="122"/>
        <v/>
      </c>
      <c r="L551" t="str">
        <f t="shared" si="128"/>
        <v/>
      </c>
      <c r="M551" t="str">
        <f t="shared" si="129"/>
        <v/>
      </c>
      <c r="N551">
        <f>IFERROR(IF(M551=0,"",COUNTIF($M$3:M551,"&gt;0")),"")</f>
        <v>33</v>
      </c>
      <c r="O551" t="str">
        <f t="shared" si="123"/>
        <v/>
      </c>
      <c r="P551" t="str">
        <f t="shared" si="130"/>
        <v/>
      </c>
      <c r="Q551" t="str">
        <f t="shared" si="131"/>
        <v/>
      </c>
      <c r="R551">
        <f>IFERROR(IF(Q551=0,"",COUNTIF($Q$3:Q551,"&gt;0")),"")</f>
        <v>16</v>
      </c>
      <c r="S551" t="str">
        <f t="shared" si="124"/>
        <v/>
      </c>
      <c r="T551" t="str">
        <f t="shared" si="132"/>
        <v/>
      </c>
      <c r="U551">
        <f>IFERROR(IF(T551=0,"",COUNTIF($T$3:T551,"&gt;0")),"")</f>
        <v>0</v>
      </c>
      <c r="V551" t="str">
        <f t="shared" si="125"/>
        <v/>
      </c>
    </row>
    <row r="552" spans="1:22">
      <c r="A552" t="e">
        <f t="shared" si="120"/>
        <v>#VALUE!</v>
      </c>
      <c r="B552" t="e">
        <f>Table4[[#This Row],[CATEGORY]]</f>
        <v>#VALUE!</v>
      </c>
      <c r="C552" t="e">
        <f>Table4[[#This Row],[SUB-CATEGORY]]</f>
        <v>#VALUE!</v>
      </c>
      <c r="D552">
        <f>'RJ ATTENDENCE SHEET'!C:C</f>
        <v>0</v>
      </c>
      <c r="E552" t="e">
        <f t="shared" si="119"/>
        <v>#VALUE!</v>
      </c>
      <c r="F552" t="str">
        <f t="shared" si="126"/>
        <v/>
      </c>
      <c r="G552">
        <f>IFERROR(IF(F552=0,"",COUNTIF($F$3:F552,"&gt;0")),"")</f>
        <v>16</v>
      </c>
      <c r="H552" t="str">
        <f t="shared" si="121"/>
        <v/>
      </c>
      <c r="I552" t="str">
        <f t="shared" si="127"/>
        <v/>
      </c>
      <c r="J552">
        <f>IFERROR(IF(I552=0,"",COUNTIF($I$3:I552,"&gt;0")),"")</f>
        <v>34</v>
      </c>
      <c r="K552" t="str">
        <f t="shared" si="122"/>
        <v/>
      </c>
      <c r="L552" t="str">
        <f t="shared" si="128"/>
        <v/>
      </c>
      <c r="M552" t="str">
        <f t="shared" si="129"/>
        <v/>
      </c>
      <c r="N552">
        <f>IFERROR(IF(M552=0,"",COUNTIF($M$3:M552,"&gt;0")),"")</f>
        <v>33</v>
      </c>
      <c r="O552" t="str">
        <f t="shared" si="123"/>
        <v/>
      </c>
      <c r="P552" t="str">
        <f t="shared" si="130"/>
        <v/>
      </c>
      <c r="Q552" t="str">
        <f t="shared" si="131"/>
        <v/>
      </c>
      <c r="R552">
        <f>IFERROR(IF(Q552=0,"",COUNTIF($Q$3:Q552,"&gt;0")),"")</f>
        <v>16</v>
      </c>
      <c r="S552" t="str">
        <f t="shared" si="124"/>
        <v/>
      </c>
      <c r="T552" t="str">
        <f t="shared" si="132"/>
        <v/>
      </c>
      <c r="U552">
        <f>IFERROR(IF(T552=0,"",COUNTIF($T$3:T552,"&gt;0")),"")</f>
        <v>0</v>
      </c>
      <c r="V552" t="str">
        <f t="shared" si="125"/>
        <v/>
      </c>
    </row>
    <row r="553" spans="1:22">
      <c r="A553" t="e">
        <f t="shared" si="120"/>
        <v>#VALUE!</v>
      </c>
      <c r="B553" t="e">
        <f>Table4[[#This Row],[CATEGORY]]</f>
        <v>#VALUE!</v>
      </c>
      <c r="C553" t="e">
        <f>Table4[[#This Row],[SUB-CATEGORY]]</f>
        <v>#VALUE!</v>
      </c>
      <c r="D553">
        <f>'RJ ATTENDENCE SHEET'!C:C</f>
        <v>0</v>
      </c>
      <c r="E553" t="e">
        <f t="shared" si="119"/>
        <v>#VALUE!</v>
      </c>
      <c r="F553" t="str">
        <f t="shared" si="126"/>
        <v/>
      </c>
      <c r="G553">
        <f>IFERROR(IF(F553=0,"",COUNTIF($F$3:F553,"&gt;0")),"")</f>
        <v>16</v>
      </c>
      <c r="H553" t="str">
        <f t="shared" si="121"/>
        <v/>
      </c>
      <c r="I553" t="str">
        <f t="shared" si="127"/>
        <v/>
      </c>
      <c r="J553">
        <f>IFERROR(IF(I553=0,"",COUNTIF($I$3:I553,"&gt;0")),"")</f>
        <v>34</v>
      </c>
      <c r="K553" t="str">
        <f t="shared" si="122"/>
        <v/>
      </c>
      <c r="L553" t="str">
        <f t="shared" si="128"/>
        <v/>
      </c>
      <c r="M553" t="str">
        <f t="shared" si="129"/>
        <v/>
      </c>
      <c r="N553">
        <f>IFERROR(IF(M553=0,"",COUNTIF($M$3:M553,"&gt;0")),"")</f>
        <v>33</v>
      </c>
      <c r="O553" t="str">
        <f t="shared" si="123"/>
        <v/>
      </c>
      <c r="P553" t="str">
        <f t="shared" si="130"/>
        <v/>
      </c>
      <c r="Q553" t="str">
        <f t="shared" si="131"/>
        <v/>
      </c>
      <c r="R553">
        <f>IFERROR(IF(Q553=0,"",COUNTIF($Q$3:Q553,"&gt;0")),"")</f>
        <v>16</v>
      </c>
      <c r="S553" t="str">
        <f t="shared" si="124"/>
        <v/>
      </c>
      <c r="T553" t="str">
        <f t="shared" si="132"/>
        <v/>
      </c>
      <c r="U553">
        <f>IFERROR(IF(T553=0,"",COUNTIF($T$3:T553,"&gt;0")),"")</f>
        <v>0</v>
      </c>
      <c r="V553" t="str">
        <f t="shared" si="125"/>
        <v/>
      </c>
    </row>
    <row r="554" spans="1:22">
      <c r="A554" t="e">
        <f t="shared" si="120"/>
        <v>#VALUE!</v>
      </c>
      <c r="B554" t="e">
        <f>Table4[[#This Row],[CATEGORY]]</f>
        <v>#VALUE!</v>
      </c>
      <c r="C554" t="e">
        <f>Table4[[#This Row],[SUB-CATEGORY]]</f>
        <v>#VALUE!</v>
      </c>
      <c r="D554">
        <f>'RJ ATTENDENCE SHEET'!C:C</f>
        <v>0</v>
      </c>
      <c r="E554" t="e">
        <f t="shared" si="119"/>
        <v>#VALUE!</v>
      </c>
      <c r="F554" t="str">
        <f t="shared" si="126"/>
        <v/>
      </c>
      <c r="G554">
        <f>IFERROR(IF(F554=0,"",COUNTIF($F$3:F554,"&gt;0")),"")</f>
        <v>16</v>
      </c>
      <c r="H554" t="str">
        <f t="shared" si="121"/>
        <v/>
      </c>
      <c r="I554" t="str">
        <f t="shared" si="127"/>
        <v/>
      </c>
      <c r="J554">
        <f>IFERROR(IF(I554=0,"",COUNTIF($I$3:I554,"&gt;0")),"")</f>
        <v>34</v>
      </c>
      <c r="K554" t="str">
        <f t="shared" si="122"/>
        <v/>
      </c>
      <c r="L554" t="str">
        <f t="shared" si="128"/>
        <v/>
      </c>
      <c r="M554" t="str">
        <f t="shared" si="129"/>
        <v/>
      </c>
      <c r="N554">
        <f>IFERROR(IF(M554=0,"",COUNTIF($M$3:M554,"&gt;0")),"")</f>
        <v>33</v>
      </c>
      <c r="O554" t="str">
        <f t="shared" si="123"/>
        <v/>
      </c>
      <c r="P554" t="str">
        <f t="shared" si="130"/>
        <v/>
      </c>
      <c r="Q554" t="str">
        <f t="shared" si="131"/>
        <v/>
      </c>
      <c r="R554">
        <f>IFERROR(IF(Q554=0,"",COUNTIF($Q$3:Q554,"&gt;0")),"")</f>
        <v>16</v>
      </c>
      <c r="S554" t="str">
        <f t="shared" si="124"/>
        <v/>
      </c>
      <c r="T554" t="str">
        <f t="shared" si="132"/>
        <v/>
      </c>
      <c r="U554">
        <f>IFERROR(IF(T554=0,"",COUNTIF($T$3:T554,"&gt;0")),"")</f>
        <v>0</v>
      </c>
      <c r="V554" t="str">
        <f t="shared" si="125"/>
        <v/>
      </c>
    </row>
    <row r="555" spans="1:22">
      <c r="A555" t="e">
        <f t="shared" si="120"/>
        <v>#VALUE!</v>
      </c>
      <c r="B555" t="e">
        <f>Table4[[#This Row],[CATEGORY]]</f>
        <v>#VALUE!</v>
      </c>
      <c r="C555" t="e">
        <f>Table4[[#This Row],[SUB-CATEGORY]]</f>
        <v>#VALUE!</v>
      </c>
      <c r="D555">
        <f>'RJ ATTENDENCE SHEET'!C:C</f>
        <v>0</v>
      </c>
      <c r="E555" t="e">
        <f t="shared" si="119"/>
        <v>#VALUE!</v>
      </c>
      <c r="F555" t="str">
        <f t="shared" si="126"/>
        <v/>
      </c>
      <c r="G555">
        <f>IFERROR(IF(F555=0,"",COUNTIF($F$3:F555,"&gt;0")),"")</f>
        <v>16</v>
      </c>
      <c r="H555" t="str">
        <f t="shared" si="121"/>
        <v/>
      </c>
      <c r="I555" t="str">
        <f t="shared" si="127"/>
        <v/>
      </c>
      <c r="J555">
        <f>IFERROR(IF(I555=0,"",COUNTIF($I$3:I555,"&gt;0")),"")</f>
        <v>34</v>
      </c>
      <c r="K555" t="str">
        <f t="shared" si="122"/>
        <v/>
      </c>
      <c r="L555" t="str">
        <f t="shared" si="128"/>
        <v/>
      </c>
      <c r="M555" t="str">
        <f t="shared" si="129"/>
        <v/>
      </c>
      <c r="N555">
        <f>IFERROR(IF(M555=0,"",COUNTIF($M$3:M555,"&gt;0")),"")</f>
        <v>33</v>
      </c>
      <c r="O555" t="str">
        <f t="shared" si="123"/>
        <v/>
      </c>
      <c r="P555" t="str">
        <f t="shared" si="130"/>
        <v/>
      </c>
      <c r="Q555" t="str">
        <f t="shared" si="131"/>
        <v/>
      </c>
      <c r="R555">
        <f>IFERROR(IF(Q555=0,"",COUNTIF($Q$3:Q555,"&gt;0")),"")</f>
        <v>16</v>
      </c>
      <c r="S555" t="str">
        <f t="shared" si="124"/>
        <v/>
      </c>
      <c r="T555" t="str">
        <f t="shared" si="132"/>
        <v/>
      </c>
      <c r="U555">
        <f>IFERROR(IF(T555=0,"",COUNTIF($T$3:T555,"&gt;0")),"")</f>
        <v>0</v>
      </c>
      <c r="V555" t="str">
        <f t="shared" si="125"/>
        <v/>
      </c>
    </row>
    <row r="556" spans="1:22">
      <c r="A556" t="e">
        <f t="shared" si="120"/>
        <v>#VALUE!</v>
      </c>
      <c r="B556" t="e">
        <f>Table4[[#This Row],[CATEGORY]]</f>
        <v>#VALUE!</v>
      </c>
      <c r="C556" t="e">
        <f>Table4[[#This Row],[SUB-CATEGORY]]</f>
        <v>#VALUE!</v>
      </c>
      <c r="D556">
        <f>'RJ ATTENDENCE SHEET'!C:C</f>
        <v>0</v>
      </c>
      <c r="E556" t="e">
        <f t="shared" si="119"/>
        <v>#VALUE!</v>
      </c>
      <c r="F556" t="str">
        <f t="shared" si="126"/>
        <v/>
      </c>
      <c r="G556">
        <f>IFERROR(IF(F556=0,"",COUNTIF($F$3:F556,"&gt;0")),"")</f>
        <v>16</v>
      </c>
      <c r="H556" t="str">
        <f t="shared" si="121"/>
        <v/>
      </c>
      <c r="I556" t="str">
        <f t="shared" si="127"/>
        <v/>
      </c>
      <c r="J556">
        <f>IFERROR(IF(I556=0,"",COUNTIF($I$3:I556,"&gt;0")),"")</f>
        <v>34</v>
      </c>
      <c r="K556" t="str">
        <f t="shared" si="122"/>
        <v/>
      </c>
      <c r="L556" t="str">
        <f t="shared" si="128"/>
        <v/>
      </c>
      <c r="M556" t="str">
        <f t="shared" si="129"/>
        <v/>
      </c>
      <c r="N556">
        <f>IFERROR(IF(M556=0,"",COUNTIF($M$3:M556,"&gt;0")),"")</f>
        <v>33</v>
      </c>
      <c r="O556" t="str">
        <f t="shared" si="123"/>
        <v/>
      </c>
      <c r="P556" t="str">
        <f t="shared" si="130"/>
        <v/>
      </c>
      <c r="Q556" t="str">
        <f t="shared" si="131"/>
        <v/>
      </c>
      <c r="R556">
        <f>IFERROR(IF(Q556=0,"",COUNTIF($Q$3:Q556,"&gt;0")),"")</f>
        <v>16</v>
      </c>
      <c r="S556" t="str">
        <f t="shared" si="124"/>
        <v/>
      </c>
      <c r="T556" t="str">
        <f t="shared" si="132"/>
        <v/>
      </c>
      <c r="U556">
        <f>IFERROR(IF(T556=0,"",COUNTIF($T$3:T556,"&gt;0")),"")</f>
        <v>0</v>
      </c>
      <c r="V556" t="str">
        <f t="shared" si="125"/>
        <v/>
      </c>
    </row>
    <row r="557" spans="1:22">
      <c r="A557" t="e">
        <f t="shared" si="120"/>
        <v>#VALUE!</v>
      </c>
      <c r="B557" t="e">
        <f>Table4[[#This Row],[CATEGORY]]</f>
        <v>#VALUE!</v>
      </c>
      <c r="C557" t="e">
        <f>Table4[[#This Row],[SUB-CATEGORY]]</f>
        <v>#VALUE!</v>
      </c>
      <c r="D557">
        <f>'RJ ATTENDENCE SHEET'!C:C</f>
        <v>0</v>
      </c>
      <c r="E557" t="e">
        <f t="shared" si="119"/>
        <v>#VALUE!</v>
      </c>
      <c r="F557" t="str">
        <f t="shared" si="126"/>
        <v/>
      </c>
      <c r="G557">
        <f>IFERROR(IF(F557=0,"",COUNTIF($F$3:F557,"&gt;0")),"")</f>
        <v>16</v>
      </c>
      <c r="H557" t="str">
        <f t="shared" si="121"/>
        <v/>
      </c>
      <c r="I557" t="str">
        <f t="shared" si="127"/>
        <v/>
      </c>
      <c r="J557">
        <f>IFERROR(IF(I557=0,"",COUNTIF($I$3:I557,"&gt;0")),"")</f>
        <v>34</v>
      </c>
      <c r="K557" t="str">
        <f t="shared" si="122"/>
        <v/>
      </c>
      <c r="L557" t="str">
        <f t="shared" si="128"/>
        <v/>
      </c>
      <c r="M557" t="str">
        <f t="shared" si="129"/>
        <v/>
      </c>
      <c r="N557">
        <f>IFERROR(IF(M557=0,"",COUNTIF($M$3:M557,"&gt;0")),"")</f>
        <v>33</v>
      </c>
      <c r="O557" t="str">
        <f t="shared" si="123"/>
        <v/>
      </c>
      <c r="P557" t="str">
        <f t="shared" si="130"/>
        <v/>
      </c>
      <c r="Q557" t="str">
        <f t="shared" si="131"/>
        <v/>
      </c>
      <c r="R557">
        <f>IFERROR(IF(Q557=0,"",COUNTIF($Q$3:Q557,"&gt;0")),"")</f>
        <v>16</v>
      </c>
      <c r="S557" t="str">
        <f t="shared" si="124"/>
        <v/>
      </c>
      <c r="T557" t="str">
        <f t="shared" si="132"/>
        <v/>
      </c>
      <c r="U557">
        <f>IFERROR(IF(T557=0,"",COUNTIF($T$3:T557,"&gt;0")),"")</f>
        <v>0</v>
      </c>
      <c r="V557" t="str">
        <f t="shared" si="125"/>
        <v/>
      </c>
    </row>
    <row r="558" spans="1:22">
      <c r="A558" t="e">
        <f t="shared" si="120"/>
        <v>#VALUE!</v>
      </c>
      <c r="B558" t="e">
        <f>Table4[[#This Row],[CATEGORY]]</f>
        <v>#VALUE!</v>
      </c>
      <c r="C558" t="e">
        <f>Table4[[#This Row],[SUB-CATEGORY]]</f>
        <v>#VALUE!</v>
      </c>
      <c r="D558">
        <f>'RJ ATTENDENCE SHEET'!C:C</f>
        <v>0</v>
      </c>
      <c r="E558" t="e">
        <f t="shared" si="119"/>
        <v>#VALUE!</v>
      </c>
      <c r="F558" t="str">
        <f t="shared" si="126"/>
        <v/>
      </c>
      <c r="G558">
        <f>IFERROR(IF(F558=0,"",COUNTIF($F$3:F558,"&gt;0")),"")</f>
        <v>16</v>
      </c>
      <c r="H558" t="str">
        <f t="shared" si="121"/>
        <v/>
      </c>
      <c r="I558" t="str">
        <f t="shared" si="127"/>
        <v/>
      </c>
      <c r="J558">
        <f>IFERROR(IF(I558=0,"",COUNTIF($I$3:I558,"&gt;0")),"")</f>
        <v>34</v>
      </c>
      <c r="K558" t="str">
        <f t="shared" si="122"/>
        <v/>
      </c>
      <c r="L558" t="str">
        <f t="shared" si="128"/>
        <v/>
      </c>
      <c r="M558" t="str">
        <f t="shared" si="129"/>
        <v/>
      </c>
      <c r="N558">
        <f>IFERROR(IF(M558=0,"",COUNTIF($M$3:M558,"&gt;0")),"")</f>
        <v>33</v>
      </c>
      <c r="O558" t="str">
        <f t="shared" si="123"/>
        <v/>
      </c>
      <c r="P558" t="str">
        <f t="shared" si="130"/>
        <v/>
      </c>
      <c r="Q558" t="str">
        <f t="shared" si="131"/>
        <v/>
      </c>
      <c r="R558">
        <f>IFERROR(IF(Q558=0,"",COUNTIF($Q$3:Q558,"&gt;0")),"")</f>
        <v>16</v>
      </c>
      <c r="S558" t="str">
        <f t="shared" si="124"/>
        <v/>
      </c>
      <c r="T558" t="str">
        <f t="shared" si="132"/>
        <v/>
      </c>
      <c r="U558">
        <f>IFERROR(IF(T558=0,"",COUNTIF($T$3:T558,"&gt;0")),"")</f>
        <v>0</v>
      </c>
      <c r="V558" t="str">
        <f t="shared" si="125"/>
        <v/>
      </c>
    </row>
    <row r="559" spans="1:22">
      <c r="A559" t="e">
        <f t="shared" si="120"/>
        <v>#VALUE!</v>
      </c>
      <c r="B559" t="e">
        <f>Table4[[#This Row],[CATEGORY]]</f>
        <v>#VALUE!</v>
      </c>
      <c r="C559" t="e">
        <f>Table4[[#This Row],[SUB-CATEGORY]]</f>
        <v>#VALUE!</v>
      </c>
      <c r="D559">
        <f>'RJ ATTENDENCE SHEET'!C:C</f>
        <v>0</v>
      </c>
      <c r="E559" t="e">
        <f t="shared" si="119"/>
        <v>#VALUE!</v>
      </c>
      <c r="F559" t="str">
        <f t="shared" si="126"/>
        <v/>
      </c>
      <c r="G559">
        <f>IFERROR(IF(F559=0,"",COUNTIF($F$3:F559,"&gt;0")),"")</f>
        <v>16</v>
      </c>
      <c r="H559" t="str">
        <f t="shared" si="121"/>
        <v/>
      </c>
      <c r="I559" t="str">
        <f t="shared" si="127"/>
        <v/>
      </c>
      <c r="J559">
        <f>IFERROR(IF(I559=0,"",COUNTIF($I$3:I559,"&gt;0")),"")</f>
        <v>34</v>
      </c>
      <c r="K559" t="str">
        <f t="shared" si="122"/>
        <v/>
      </c>
      <c r="L559" t="str">
        <f t="shared" si="128"/>
        <v/>
      </c>
      <c r="M559" t="str">
        <f t="shared" si="129"/>
        <v/>
      </c>
      <c r="N559">
        <f>IFERROR(IF(M559=0,"",COUNTIF($M$3:M559,"&gt;0")),"")</f>
        <v>33</v>
      </c>
      <c r="O559" t="str">
        <f t="shared" si="123"/>
        <v/>
      </c>
      <c r="P559" t="str">
        <f t="shared" si="130"/>
        <v/>
      </c>
      <c r="Q559" t="str">
        <f t="shared" si="131"/>
        <v/>
      </c>
      <c r="R559">
        <f>IFERROR(IF(Q559=0,"",COUNTIF($Q$3:Q559,"&gt;0")),"")</f>
        <v>16</v>
      </c>
      <c r="S559" t="str">
        <f t="shared" si="124"/>
        <v/>
      </c>
      <c r="T559" t="str">
        <f t="shared" si="132"/>
        <v/>
      </c>
      <c r="U559">
        <f>IFERROR(IF(T559=0,"",COUNTIF($T$3:T559,"&gt;0")),"")</f>
        <v>0</v>
      </c>
      <c r="V559" t="str">
        <f t="shared" si="125"/>
        <v/>
      </c>
    </row>
    <row r="560" spans="1:22">
      <c r="A560" t="e">
        <f t="shared" si="120"/>
        <v>#VALUE!</v>
      </c>
      <c r="B560" t="e">
        <f>Table4[[#This Row],[CATEGORY]]</f>
        <v>#VALUE!</v>
      </c>
      <c r="C560" t="e">
        <f>Table4[[#This Row],[SUB-CATEGORY]]</f>
        <v>#VALUE!</v>
      </c>
      <c r="D560">
        <f>'RJ ATTENDENCE SHEET'!C:C</f>
        <v>0</v>
      </c>
      <c r="E560" t="e">
        <f t="shared" si="119"/>
        <v>#VALUE!</v>
      </c>
      <c r="F560" t="str">
        <f t="shared" si="126"/>
        <v/>
      </c>
      <c r="G560">
        <f>IFERROR(IF(F560=0,"",COUNTIF($F$3:F560,"&gt;0")),"")</f>
        <v>16</v>
      </c>
      <c r="H560" t="str">
        <f t="shared" si="121"/>
        <v/>
      </c>
      <c r="I560" t="str">
        <f t="shared" si="127"/>
        <v/>
      </c>
      <c r="J560">
        <f>IFERROR(IF(I560=0,"",COUNTIF($I$3:I560,"&gt;0")),"")</f>
        <v>34</v>
      </c>
      <c r="K560" t="str">
        <f t="shared" si="122"/>
        <v/>
      </c>
      <c r="L560" t="str">
        <f t="shared" si="128"/>
        <v/>
      </c>
      <c r="M560" t="str">
        <f t="shared" si="129"/>
        <v/>
      </c>
      <c r="N560">
        <f>IFERROR(IF(M560=0,"",COUNTIF($M$3:M560,"&gt;0")),"")</f>
        <v>33</v>
      </c>
      <c r="O560" t="str">
        <f t="shared" si="123"/>
        <v/>
      </c>
      <c r="P560" t="str">
        <f t="shared" si="130"/>
        <v/>
      </c>
      <c r="Q560" t="str">
        <f t="shared" si="131"/>
        <v/>
      </c>
      <c r="R560">
        <f>IFERROR(IF(Q560=0,"",COUNTIF($Q$3:Q560,"&gt;0")),"")</f>
        <v>16</v>
      </c>
      <c r="S560" t="str">
        <f t="shared" si="124"/>
        <v/>
      </c>
      <c r="T560" t="str">
        <f t="shared" si="132"/>
        <v/>
      </c>
      <c r="U560">
        <f>IFERROR(IF(T560=0,"",COUNTIF($T$3:T560,"&gt;0")),"")</f>
        <v>0</v>
      </c>
      <c r="V560" t="str">
        <f t="shared" si="125"/>
        <v/>
      </c>
    </row>
    <row r="561" spans="1:22">
      <c r="A561" t="e">
        <f t="shared" si="120"/>
        <v>#VALUE!</v>
      </c>
      <c r="B561" t="e">
        <f>Table4[[#This Row],[CATEGORY]]</f>
        <v>#VALUE!</v>
      </c>
      <c r="C561" t="e">
        <f>Table4[[#This Row],[SUB-CATEGORY]]</f>
        <v>#VALUE!</v>
      </c>
      <c r="D561">
        <f>'RJ ATTENDENCE SHEET'!C:C</f>
        <v>0</v>
      </c>
      <c r="E561" t="e">
        <f t="shared" si="119"/>
        <v>#VALUE!</v>
      </c>
      <c r="F561" t="str">
        <f t="shared" si="126"/>
        <v/>
      </c>
      <c r="G561">
        <f>IFERROR(IF(F561=0,"",COUNTIF($F$3:F561,"&gt;0")),"")</f>
        <v>16</v>
      </c>
      <c r="H561" t="str">
        <f t="shared" si="121"/>
        <v/>
      </c>
      <c r="I561" t="str">
        <f t="shared" si="127"/>
        <v/>
      </c>
      <c r="J561">
        <f>IFERROR(IF(I561=0,"",COUNTIF($I$3:I561,"&gt;0")),"")</f>
        <v>34</v>
      </c>
      <c r="K561" t="str">
        <f t="shared" si="122"/>
        <v/>
      </c>
      <c r="L561" t="str">
        <f t="shared" si="128"/>
        <v/>
      </c>
      <c r="M561" t="str">
        <f t="shared" si="129"/>
        <v/>
      </c>
      <c r="N561">
        <f>IFERROR(IF(M561=0,"",COUNTIF($M$3:M561,"&gt;0")),"")</f>
        <v>33</v>
      </c>
      <c r="O561" t="str">
        <f t="shared" si="123"/>
        <v/>
      </c>
      <c r="P561" t="str">
        <f t="shared" si="130"/>
        <v/>
      </c>
      <c r="Q561" t="str">
        <f t="shared" si="131"/>
        <v/>
      </c>
      <c r="R561">
        <f>IFERROR(IF(Q561=0,"",COUNTIF($Q$3:Q561,"&gt;0")),"")</f>
        <v>16</v>
      </c>
      <c r="S561" t="str">
        <f t="shared" si="124"/>
        <v/>
      </c>
      <c r="T561" t="str">
        <f t="shared" si="132"/>
        <v/>
      </c>
      <c r="U561">
        <f>IFERROR(IF(T561=0,"",COUNTIF($T$3:T561,"&gt;0")),"")</f>
        <v>0</v>
      </c>
      <c r="V561" t="str">
        <f t="shared" si="125"/>
        <v/>
      </c>
    </row>
    <row r="562" spans="1:22">
      <c r="A562" t="e">
        <f t="shared" si="120"/>
        <v>#VALUE!</v>
      </c>
      <c r="B562" t="e">
        <f>Table4[[#This Row],[CATEGORY]]</f>
        <v>#VALUE!</v>
      </c>
      <c r="C562" t="e">
        <f>Table4[[#This Row],[SUB-CATEGORY]]</f>
        <v>#VALUE!</v>
      </c>
      <c r="D562">
        <f>'RJ ATTENDENCE SHEET'!C:C</f>
        <v>0</v>
      </c>
      <c r="E562" t="e">
        <f t="shared" si="119"/>
        <v>#VALUE!</v>
      </c>
      <c r="F562" t="str">
        <f t="shared" si="126"/>
        <v/>
      </c>
      <c r="G562">
        <f>IFERROR(IF(F562=0,"",COUNTIF($F$3:F562,"&gt;0")),"")</f>
        <v>16</v>
      </c>
      <c r="H562" t="str">
        <f t="shared" si="121"/>
        <v/>
      </c>
      <c r="I562" t="str">
        <f t="shared" si="127"/>
        <v/>
      </c>
      <c r="J562">
        <f>IFERROR(IF(I562=0,"",COUNTIF($I$3:I562,"&gt;0")),"")</f>
        <v>34</v>
      </c>
      <c r="K562" t="str">
        <f t="shared" si="122"/>
        <v/>
      </c>
      <c r="L562" t="str">
        <f t="shared" si="128"/>
        <v/>
      </c>
      <c r="M562" t="str">
        <f t="shared" si="129"/>
        <v/>
      </c>
      <c r="N562">
        <f>IFERROR(IF(M562=0,"",COUNTIF($M$3:M562,"&gt;0")),"")</f>
        <v>33</v>
      </c>
      <c r="O562" t="str">
        <f t="shared" si="123"/>
        <v/>
      </c>
      <c r="P562" t="str">
        <f t="shared" si="130"/>
        <v/>
      </c>
      <c r="Q562" t="str">
        <f t="shared" si="131"/>
        <v/>
      </c>
      <c r="R562">
        <f>IFERROR(IF(Q562=0,"",COUNTIF($Q$3:Q562,"&gt;0")),"")</f>
        <v>16</v>
      </c>
      <c r="S562" t="str">
        <f t="shared" si="124"/>
        <v/>
      </c>
      <c r="T562" t="str">
        <f t="shared" si="132"/>
        <v/>
      </c>
      <c r="U562">
        <f>IFERROR(IF(T562=0,"",COUNTIF($T$3:T562,"&gt;0")),"")</f>
        <v>0</v>
      </c>
      <c r="V562" t="str">
        <f t="shared" si="125"/>
        <v/>
      </c>
    </row>
    <row r="563" spans="1:22">
      <c r="A563" t="e">
        <f t="shared" si="120"/>
        <v>#VALUE!</v>
      </c>
      <c r="B563" t="e">
        <f>Table4[[#This Row],[CATEGORY]]</f>
        <v>#VALUE!</v>
      </c>
      <c r="C563" t="e">
        <f>Table4[[#This Row],[SUB-CATEGORY]]</f>
        <v>#VALUE!</v>
      </c>
      <c r="D563">
        <f>'RJ ATTENDENCE SHEET'!C:C</f>
        <v>0</v>
      </c>
      <c r="E563" t="e">
        <f t="shared" si="119"/>
        <v>#VALUE!</v>
      </c>
      <c r="F563" t="str">
        <f t="shared" si="126"/>
        <v/>
      </c>
      <c r="G563">
        <f>IFERROR(IF(F563=0,"",COUNTIF($F$3:F563,"&gt;0")),"")</f>
        <v>16</v>
      </c>
      <c r="H563" t="str">
        <f t="shared" si="121"/>
        <v/>
      </c>
      <c r="I563" t="str">
        <f t="shared" si="127"/>
        <v/>
      </c>
      <c r="J563">
        <f>IFERROR(IF(I563=0,"",COUNTIF($I$3:I563,"&gt;0")),"")</f>
        <v>34</v>
      </c>
      <c r="K563" t="str">
        <f t="shared" si="122"/>
        <v/>
      </c>
      <c r="L563" t="str">
        <f t="shared" si="128"/>
        <v/>
      </c>
      <c r="M563" t="str">
        <f t="shared" si="129"/>
        <v/>
      </c>
      <c r="N563">
        <f>IFERROR(IF(M563=0,"",COUNTIF($M$3:M563,"&gt;0")),"")</f>
        <v>33</v>
      </c>
      <c r="O563" t="str">
        <f t="shared" si="123"/>
        <v/>
      </c>
      <c r="P563" t="str">
        <f t="shared" si="130"/>
        <v/>
      </c>
      <c r="Q563" t="str">
        <f t="shared" si="131"/>
        <v/>
      </c>
      <c r="R563">
        <f>IFERROR(IF(Q563=0,"",COUNTIF($Q$3:Q563,"&gt;0")),"")</f>
        <v>16</v>
      </c>
      <c r="S563" t="str">
        <f t="shared" si="124"/>
        <v/>
      </c>
      <c r="T563" t="str">
        <f t="shared" si="132"/>
        <v/>
      </c>
      <c r="U563">
        <f>IFERROR(IF(T563=0,"",COUNTIF($T$3:T563,"&gt;0")),"")</f>
        <v>0</v>
      </c>
      <c r="V563" t="str">
        <f t="shared" si="125"/>
        <v/>
      </c>
    </row>
    <row r="564" spans="1:22">
      <c r="A564" t="e">
        <f t="shared" si="120"/>
        <v>#VALUE!</v>
      </c>
      <c r="B564" t="e">
        <f>Table4[[#This Row],[CATEGORY]]</f>
        <v>#VALUE!</v>
      </c>
      <c r="C564" t="e">
        <f>Table4[[#This Row],[SUB-CATEGORY]]</f>
        <v>#VALUE!</v>
      </c>
      <c r="D564">
        <f>'RJ ATTENDENCE SHEET'!C:C</f>
        <v>0</v>
      </c>
      <c r="E564" t="e">
        <f t="shared" si="119"/>
        <v>#VALUE!</v>
      </c>
      <c r="F564" t="str">
        <f t="shared" si="126"/>
        <v/>
      </c>
      <c r="G564">
        <f>IFERROR(IF(F564=0,"",COUNTIF($F$3:F564,"&gt;0")),"")</f>
        <v>16</v>
      </c>
      <c r="H564" t="str">
        <f t="shared" si="121"/>
        <v/>
      </c>
      <c r="I564" t="str">
        <f t="shared" si="127"/>
        <v/>
      </c>
      <c r="J564">
        <f>IFERROR(IF(I564=0,"",COUNTIF($I$3:I564,"&gt;0")),"")</f>
        <v>34</v>
      </c>
      <c r="K564" t="str">
        <f t="shared" si="122"/>
        <v/>
      </c>
      <c r="L564" t="str">
        <f t="shared" si="128"/>
        <v/>
      </c>
      <c r="M564" t="str">
        <f t="shared" si="129"/>
        <v/>
      </c>
      <c r="N564">
        <f>IFERROR(IF(M564=0,"",COUNTIF($M$3:M564,"&gt;0")),"")</f>
        <v>33</v>
      </c>
      <c r="O564" t="str">
        <f t="shared" si="123"/>
        <v/>
      </c>
      <c r="P564" t="str">
        <f t="shared" si="130"/>
        <v/>
      </c>
      <c r="Q564" t="str">
        <f t="shared" si="131"/>
        <v/>
      </c>
      <c r="R564">
        <f>IFERROR(IF(Q564=0,"",COUNTIF($Q$3:Q564,"&gt;0")),"")</f>
        <v>16</v>
      </c>
      <c r="S564" t="str">
        <f t="shared" si="124"/>
        <v/>
      </c>
      <c r="T564" t="str">
        <f t="shared" si="132"/>
        <v/>
      </c>
      <c r="U564">
        <f>IFERROR(IF(T564=0,"",COUNTIF($T$3:T564,"&gt;0")),"")</f>
        <v>0</v>
      </c>
      <c r="V564" t="str">
        <f t="shared" si="125"/>
        <v/>
      </c>
    </row>
    <row r="565" spans="1:22">
      <c r="A565" t="e">
        <f t="shared" si="120"/>
        <v>#VALUE!</v>
      </c>
      <c r="B565" t="e">
        <f>Table4[[#This Row],[CATEGORY]]</f>
        <v>#VALUE!</v>
      </c>
      <c r="C565" t="e">
        <f>Table4[[#This Row],[SUB-CATEGORY]]</f>
        <v>#VALUE!</v>
      </c>
      <c r="D565">
        <f>'RJ ATTENDENCE SHEET'!C:C</f>
        <v>0</v>
      </c>
      <c r="E565" t="e">
        <f t="shared" si="119"/>
        <v>#VALUE!</v>
      </c>
      <c r="F565" t="str">
        <f t="shared" si="126"/>
        <v/>
      </c>
      <c r="G565">
        <f>IFERROR(IF(F565=0,"",COUNTIF($F$3:F565,"&gt;0")),"")</f>
        <v>16</v>
      </c>
      <c r="H565" t="str">
        <f t="shared" si="121"/>
        <v/>
      </c>
      <c r="I565" t="str">
        <f t="shared" si="127"/>
        <v/>
      </c>
      <c r="J565">
        <f>IFERROR(IF(I565=0,"",COUNTIF($I$3:I565,"&gt;0")),"")</f>
        <v>34</v>
      </c>
      <c r="K565" t="str">
        <f t="shared" si="122"/>
        <v/>
      </c>
      <c r="L565" t="str">
        <f t="shared" si="128"/>
        <v/>
      </c>
      <c r="M565" t="str">
        <f t="shared" si="129"/>
        <v/>
      </c>
      <c r="N565">
        <f>IFERROR(IF(M565=0,"",COUNTIF($M$3:M565,"&gt;0")),"")</f>
        <v>33</v>
      </c>
      <c r="O565" t="str">
        <f t="shared" si="123"/>
        <v/>
      </c>
      <c r="P565" t="str">
        <f t="shared" si="130"/>
        <v/>
      </c>
      <c r="Q565" t="str">
        <f t="shared" si="131"/>
        <v/>
      </c>
      <c r="R565">
        <f>IFERROR(IF(Q565=0,"",COUNTIF($Q$3:Q565,"&gt;0")),"")</f>
        <v>16</v>
      </c>
      <c r="S565" t="str">
        <f t="shared" si="124"/>
        <v/>
      </c>
      <c r="T565" t="str">
        <f t="shared" si="132"/>
        <v/>
      </c>
      <c r="U565">
        <f>IFERROR(IF(T565=0,"",COUNTIF($T$3:T565,"&gt;0")),"")</f>
        <v>0</v>
      </c>
      <c r="V565" t="str">
        <f t="shared" si="125"/>
        <v/>
      </c>
    </row>
    <row r="566" spans="1:22">
      <c r="A566" t="e">
        <f t="shared" si="120"/>
        <v>#VALUE!</v>
      </c>
      <c r="B566" t="e">
        <f>Table4[[#This Row],[CATEGORY]]</f>
        <v>#VALUE!</v>
      </c>
      <c r="C566" t="e">
        <f>Table4[[#This Row],[SUB-CATEGORY]]</f>
        <v>#VALUE!</v>
      </c>
      <c r="D566">
        <f>'RJ ATTENDENCE SHEET'!C:C</f>
        <v>0</v>
      </c>
      <c r="E566" t="e">
        <f t="shared" si="119"/>
        <v>#VALUE!</v>
      </c>
      <c r="F566" t="str">
        <f t="shared" si="126"/>
        <v/>
      </c>
      <c r="G566">
        <f>IFERROR(IF(F566=0,"",COUNTIF($F$3:F566,"&gt;0")),"")</f>
        <v>16</v>
      </c>
      <c r="H566" t="str">
        <f t="shared" si="121"/>
        <v/>
      </c>
      <c r="I566" t="str">
        <f t="shared" si="127"/>
        <v/>
      </c>
      <c r="J566">
        <f>IFERROR(IF(I566=0,"",COUNTIF($I$3:I566,"&gt;0")),"")</f>
        <v>34</v>
      </c>
      <c r="K566" t="str">
        <f t="shared" si="122"/>
        <v/>
      </c>
      <c r="L566" t="str">
        <f t="shared" si="128"/>
        <v/>
      </c>
      <c r="M566" t="str">
        <f t="shared" si="129"/>
        <v/>
      </c>
      <c r="N566">
        <f>IFERROR(IF(M566=0,"",COUNTIF($M$3:M566,"&gt;0")),"")</f>
        <v>33</v>
      </c>
      <c r="O566" t="str">
        <f t="shared" si="123"/>
        <v/>
      </c>
      <c r="P566" t="str">
        <f t="shared" si="130"/>
        <v/>
      </c>
      <c r="Q566" t="str">
        <f t="shared" si="131"/>
        <v/>
      </c>
      <c r="R566">
        <f>IFERROR(IF(Q566=0,"",COUNTIF($Q$3:Q566,"&gt;0")),"")</f>
        <v>16</v>
      </c>
      <c r="S566" t="str">
        <f t="shared" si="124"/>
        <v/>
      </c>
      <c r="T566" t="str">
        <f t="shared" si="132"/>
        <v/>
      </c>
      <c r="U566">
        <f>IFERROR(IF(T566=0,"",COUNTIF($T$3:T566,"&gt;0")),"")</f>
        <v>0</v>
      </c>
      <c r="V566" t="str">
        <f t="shared" si="125"/>
        <v/>
      </c>
    </row>
    <row r="567" spans="1:22">
      <c r="A567" t="e">
        <f t="shared" si="120"/>
        <v>#VALUE!</v>
      </c>
      <c r="B567" t="e">
        <f>Table4[[#This Row],[CATEGORY]]</f>
        <v>#VALUE!</v>
      </c>
      <c r="C567" t="e">
        <f>Table4[[#This Row],[SUB-CATEGORY]]</f>
        <v>#VALUE!</v>
      </c>
      <c r="D567">
        <f>'RJ ATTENDENCE SHEET'!C:C</f>
        <v>0</v>
      </c>
      <c r="E567" t="e">
        <f t="shared" si="119"/>
        <v>#VALUE!</v>
      </c>
      <c r="F567" t="str">
        <f t="shared" si="126"/>
        <v/>
      </c>
      <c r="G567">
        <f>IFERROR(IF(F567=0,"",COUNTIF($F$3:F567,"&gt;0")),"")</f>
        <v>16</v>
      </c>
      <c r="H567" t="str">
        <f t="shared" si="121"/>
        <v/>
      </c>
      <c r="I567" t="str">
        <f t="shared" si="127"/>
        <v/>
      </c>
      <c r="J567">
        <f>IFERROR(IF(I567=0,"",COUNTIF($I$3:I567,"&gt;0")),"")</f>
        <v>34</v>
      </c>
      <c r="K567" t="str">
        <f t="shared" si="122"/>
        <v/>
      </c>
      <c r="L567" t="str">
        <f t="shared" si="128"/>
        <v/>
      </c>
      <c r="M567" t="str">
        <f t="shared" si="129"/>
        <v/>
      </c>
      <c r="N567">
        <f>IFERROR(IF(M567=0,"",COUNTIF($M$3:M567,"&gt;0")),"")</f>
        <v>33</v>
      </c>
      <c r="O567" t="str">
        <f t="shared" si="123"/>
        <v/>
      </c>
      <c r="P567" t="str">
        <f t="shared" si="130"/>
        <v/>
      </c>
      <c r="Q567" t="str">
        <f t="shared" si="131"/>
        <v/>
      </c>
      <c r="R567">
        <f>IFERROR(IF(Q567=0,"",COUNTIF($Q$3:Q567,"&gt;0")),"")</f>
        <v>16</v>
      </c>
      <c r="S567" t="str">
        <f t="shared" si="124"/>
        <v/>
      </c>
      <c r="T567" t="str">
        <f t="shared" si="132"/>
        <v/>
      </c>
      <c r="U567">
        <f>IFERROR(IF(T567=0,"",COUNTIF($T$3:T567,"&gt;0")),"")</f>
        <v>0</v>
      </c>
      <c r="V567" t="str">
        <f t="shared" si="125"/>
        <v/>
      </c>
    </row>
    <row r="568" spans="1:22">
      <c r="A568" t="e">
        <f t="shared" si="120"/>
        <v>#VALUE!</v>
      </c>
      <c r="B568" t="e">
        <f>Table4[[#This Row],[CATEGORY]]</f>
        <v>#VALUE!</v>
      </c>
      <c r="C568" t="e">
        <f>Table4[[#This Row],[SUB-CATEGORY]]</f>
        <v>#VALUE!</v>
      </c>
      <c r="D568">
        <f>'RJ ATTENDENCE SHEET'!C:C</f>
        <v>0</v>
      </c>
      <c r="E568" t="e">
        <f t="shared" si="119"/>
        <v>#VALUE!</v>
      </c>
      <c r="F568" t="str">
        <f t="shared" si="126"/>
        <v/>
      </c>
      <c r="G568">
        <f>IFERROR(IF(F568=0,"",COUNTIF($F$3:F568,"&gt;0")),"")</f>
        <v>16</v>
      </c>
      <c r="H568" t="str">
        <f t="shared" si="121"/>
        <v/>
      </c>
      <c r="I568" t="str">
        <f t="shared" si="127"/>
        <v/>
      </c>
      <c r="J568">
        <f>IFERROR(IF(I568=0,"",COUNTIF($I$3:I568,"&gt;0")),"")</f>
        <v>34</v>
      </c>
      <c r="K568" t="str">
        <f t="shared" si="122"/>
        <v/>
      </c>
      <c r="L568" t="str">
        <f t="shared" si="128"/>
        <v/>
      </c>
      <c r="M568" t="str">
        <f t="shared" si="129"/>
        <v/>
      </c>
      <c r="N568">
        <f>IFERROR(IF(M568=0,"",COUNTIF($M$3:M568,"&gt;0")),"")</f>
        <v>33</v>
      </c>
      <c r="O568" t="str">
        <f t="shared" si="123"/>
        <v/>
      </c>
      <c r="P568" t="str">
        <f t="shared" si="130"/>
        <v/>
      </c>
      <c r="Q568" t="str">
        <f t="shared" si="131"/>
        <v/>
      </c>
      <c r="R568">
        <f>IFERROR(IF(Q568=0,"",COUNTIF($Q$3:Q568,"&gt;0")),"")</f>
        <v>16</v>
      </c>
      <c r="S568" t="str">
        <f t="shared" si="124"/>
        <v/>
      </c>
      <c r="T568" t="str">
        <f t="shared" si="132"/>
        <v/>
      </c>
      <c r="U568">
        <f>IFERROR(IF(T568=0,"",COUNTIF($T$3:T568,"&gt;0")),"")</f>
        <v>0</v>
      </c>
      <c r="V568" t="str">
        <f t="shared" si="125"/>
        <v/>
      </c>
    </row>
    <row r="569" spans="1:22">
      <c r="A569" t="e">
        <f t="shared" si="120"/>
        <v>#VALUE!</v>
      </c>
      <c r="B569" t="e">
        <f>Table4[[#This Row],[CATEGORY]]</f>
        <v>#VALUE!</v>
      </c>
      <c r="C569" t="e">
        <f>Table4[[#This Row],[SUB-CATEGORY]]</f>
        <v>#VALUE!</v>
      </c>
      <c r="D569">
        <f>'RJ ATTENDENCE SHEET'!C:C</f>
        <v>0</v>
      </c>
      <c r="E569" t="e">
        <f t="shared" si="119"/>
        <v>#VALUE!</v>
      </c>
      <c r="F569" t="str">
        <f t="shared" si="126"/>
        <v/>
      </c>
      <c r="G569">
        <f>IFERROR(IF(F569=0,"",COUNTIF($F$3:F569,"&gt;0")),"")</f>
        <v>16</v>
      </c>
      <c r="H569" t="str">
        <f t="shared" si="121"/>
        <v/>
      </c>
      <c r="I569" t="str">
        <f t="shared" si="127"/>
        <v/>
      </c>
      <c r="J569">
        <f>IFERROR(IF(I569=0,"",COUNTIF($I$3:I569,"&gt;0")),"")</f>
        <v>34</v>
      </c>
      <c r="K569" t="str">
        <f t="shared" si="122"/>
        <v/>
      </c>
      <c r="L569" t="str">
        <f t="shared" si="128"/>
        <v/>
      </c>
      <c r="M569" t="str">
        <f t="shared" si="129"/>
        <v/>
      </c>
      <c r="N569">
        <f>IFERROR(IF(M569=0,"",COUNTIF($M$3:M569,"&gt;0")),"")</f>
        <v>33</v>
      </c>
      <c r="O569" t="str">
        <f t="shared" si="123"/>
        <v/>
      </c>
      <c r="P569" t="str">
        <f t="shared" si="130"/>
        <v/>
      </c>
      <c r="Q569" t="str">
        <f t="shared" si="131"/>
        <v/>
      </c>
      <c r="R569">
        <f>IFERROR(IF(Q569=0,"",COUNTIF($Q$3:Q569,"&gt;0")),"")</f>
        <v>16</v>
      </c>
      <c r="S569" t="str">
        <f t="shared" si="124"/>
        <v/>
      </c>
      <c r="T569" t="str">
        <f t="shared" si="132"/>
        <v/>
      </c>
      <c r="U569">
        <f>IFERROR(IF(T569=0,"",COUNTIF($T$3:T569,"&gt;0")),"")</f>
        <v>0</v>
      </c>
      <c r="V569" t="str">
        <f t="shared" si="125"/>
        <v/>
      </c>
    </row>
    <row r="570" spans="1:22">
      <c r="A570" t="e">
        <f t="shared" si="120"/>
        <v>#VALUE!</v>
      </c>
      <c r="B570" t="e">
        <f>Table4[[#This Row],[CATEGORY]]</f>
        <v>#VALUE!</v>
      </c>
      <c r="C570" t="e">
        <f>Table4[[#This Row],[SUB-CATEGORY]]</f>
        <v>#VALUE!</v>
      </c>
      <c r="D570">
        <f>'RJ ATTENDENCE SHEET'!C:C</f>
        <v>0</v>
      </c>
      <c r="E570" t="e">
        <f t="shared" si="119"/>
        <v>#VALUE!</v>
      </c>
      <c r="F570" t="str">
        <f t="shared" si="126"/>
        <v/>
      </c>
      <c r="G570">
        <f>IFERROR(IF(F570=0,"",COUNTIF($F$3:F570,"&gt;0")),"")</f>
        <v>16</v>
      </c>
      <c r="H570" t="str">
        <f t="shared" si="121"/>
        <v/>
      </c>
      <c r="I570" t="str">
        <f t="shared" si="127"/>
        <v/>
      </c>
      <c r="J570">
        <f>IFERROR(IF(I570=0,"",COUNTIF($I$3:I570,"&gt;0")),"")</f>
        <v>34</v>
      </c>
      <c r="K570" t="str">
        <f t="shared" si="122"/>
        <v/>
      </c>
      <c r="L570" t="str">
        <f t="shared" si="128"/>
        <v/>
      </c>
      <c r="M570" t="str">
        <f t="shared" si="129"/>
        <v/>
      </c>
      <c r="N570">
        <f>IFERROR(IF(M570=0,"",COUNTIF($M$3:M570,"&gt;0")),"")</f>
        <v>33</v>
      </c>
      <c r="O570" t="str">
        <f t="shared" si="123"/>
        <v/>
      </c>
      <c r="P570" t="str">
        <f t="shared" si="130"/>
        <v/>
      </c>
      <c r="Q570" t="str">
        <f t="shared" si="131"/>
        <v/>
      </c>
      <c r="R570">
        <f>IFERROR(IF(Q570=0,"",COUNTIF($Q$3:Q570,"&gt;0")),"")</f>
        <v>16</v>
      </c>
      <c r="S570" t="str">
        <f t="shared" si="124"/>
        <v/>
      </c>
      <c r="T570" t="str">
        <f t="shared" si="132"/>
        <v/>
      </c>
      <c r="U570">
        <f>IFERROR(IF(T570=0,"",COUNTIF($T$3:T570,"&gt;0")),"")</f>
        <v>0</v>
      </c>
      <c r="V570" t="str">
        <f t="shared" si="125"/>
        <v/>
      </c>
    </row>
    <row r="571" spans="1:22">
      <c r="A571" t="e">
        <f t="shared" si="120"/>
        <v>#VALUE!</v>
      </c>
      <c r="B571" t="e">
        <f>Table4[[#This Row],[CATEGORY]]</f>
        <v>#VALUE!</v>
      </c>
      <c r="C571" t="e">
        <f>Table4[[#This Row],[SUB-CATEGORY]]</f>
        <v>#VALUE!</v>
      </c>
      <c r="D571">
        <f>'RJ ATTENDENCE SHEET'!C:C</f>
        <v>0</v>
      </c>
      <c r="E571" t="e">
        <f t="shared" si="119"/>
        <v>#VALUE!</v>
      </c>
      <c r="F571" t="str">
        <f t="shared" si="126"/>
        <v/>
      </c>
      <c r="G571">
        <f>IFERROR(IF(F571=0,"",COUNTIF($F$3:F571,"&gt;0")),"")</f>
        <v>16</v>
      </c>
      <c r="H571" t="str">
        <f t="shared" si="121"/>
        <v/>
      </c>
      <c r="I571" t="str">
        <f t="shared" si="127"/>
        <v/>
      </c>
      <c r="J571">
        <f>IFERROR(IF(I571=0,"",COUNTIF($I$3:I571,"&gt;0")),"")</f>
        <v>34</v>
      </c>
      <c r="K571" t="str">
        <f t="shared" si="122"/>
        <v/>
      </c>
      <c r="L571" t="str">
        <f t="shared" si="128"/>
        <v/>
      </c>
      <c r="M571" t="str">
        <f t="shared" si="129"/>
        <v/>
      </c>
      <c r="N571">
        <f>IFERROR(IF(M571=0,"",COUNTIF($M$3:M571,"&gt;0")),"")</f>
        <v>33</v>
      </c>
      <c r="O571" t="str">
        <f t="shared" si="123"/>
        <v/>
      </c>
      <c r="P571" t="str">
        <f t="shared" si="130"/>
        <v/>
      </c>
      <c r="Q571" t="str">
        <f t="shared" si="131"/>
        <v/>
      </c>
      <c r="R571">
        <f>IFERROR(IF(Q571=0,"",COUNTIF($Q$3:Q571,"&gt;0")),"")</f>
        <v>16</v>
      </c>
      <c r="S571" t="str">
        <f t="shared" si="124"/>
        <v/>
      </c>
      <c r="T571" t="str">
        <f t="shared" si="132"/>
        <v/>
      </c>
      <c r="U571">
        <f>IFERROR(IF(T571=0,"",COUNTIF($T$3:T571,"&gt;0")),"")</f>
        <v>0</v>
      </c>
      <c r="V571" t="str">
        <f t="shared" si="125"/>
        <v/>
      </c>
    </row>
    <row r="572" spans="1:22">
      <c r="A572" t="e">
        <f t="shared" si="120"/>
        <v>#VALUE!</v>
      </c>
      <c r="B572" t="e">
        <f>Table4[[#This Row],[CATEGORY]]</f>
        <v>#VALUE!</v>
      </c>
      <c r="C572" t="e">
        <f>Table4[[#This Row],[SUB-CATEGORY]]</f>
        <v>#VALUE!</v>
      </c>
      <c r="D572">
        <f>'RJ ATTENDENCE SHEET'!C:C</f>
        <v>0</v>
      </c>
      <c r="E572" t="e">
        <f t="shared" si="119"/>
        <v>#VALUE!</v>
      </c>
      <c r="F572" t="str">
        <f t="shared" si="126"/>
        <v/>
      </c>
      <c r="G572">
        <f>IFERROR(IF(F572=0,"",COUNTIF($F$3:F572,"&gt;0")),"")</f>
        <v>16</v>
      </c>
      <c r="H572" t="str">
        <f t="shared" si="121"/>
        <v/>
      </c>
      <c r="I572" t="str">
        <f t="shared" si="127"/>
        <v/>
      </c>
      <c r="J572">
        <f>IFERROR(IF(I572=0,"",COUNTIF($I$3:I572,"&gt;0")),"")</f>
        <v>34</v>
      </c>
      <c r="K572" t="str">
        <f t="shared" si="122"/>
        <v/>
      </c>
      <c r="L572" t="str">
        <f t="shared" si="128"/>
        <v/>
      </c>
      <c r="M572" t="str">
        <f t="shared" si="129"/>
        <v/>
      </c>
      <c r="N572">
        <f>IFERROR(IF(M572=0,"",COUNTIF($M$3:M572,"&gt;0")),"")</f>
        <v>33</v>
      </c>
      <c r="O572" t="str">
        <f t="shared" si="123"/>
        <v/>
      </c>
      <c r="P572" t="str">
        <f t="shared" si="130"/>
        <v/>
      </c>
      <c r="Q572" t="str">
        <f t="shared" si="131"/>
        <v/>
      </c>
      <c r="R572">
        <f>IFERROR(IF(Q572=0,"",COUNTIF($Q$3:Q572,"&gt;0")),"")</f>
        <v>16</v>
      </c>
      <c r="S572" t="str">
        <f t="shared" si="124"/>
        <v/>
      </c>
      <c r="T572" t="str">
        <f t="shared" si="132"/>
        <v/>
      </c>
      <c r="U572">
        <f>IFERROR(IF(T572=0,"",COUNTIF($T$3:T572,"&gt;0")),"")</f>
        <v>0</v>
      </c>
      <c r="V572" t="str">
        <f t="shared" si="125"/>
        <v/>
      </c>
    </row>
    <row r="573" spans="1:22">
      <c r="A573" t="e">
        <f t="shared" si="120"/>
        <v>#VALUE!</v>
      </c>
      <c r="B573" t="e">
        <f>Table4[[#This Row],[CATEGORY]]</f>
        <v>#VALUE!</v>
      </c>
      <c r="C573" t="e">
        <f>Table4[[#This Row],[SUB-CATEGORY]]</f>
        <v>#VALUE!</v>
      </c>
      <c r="D573">
        <f>'RJ ATTENDENCE SHEET'!C:C</f>
        <v>0</v>
      </c>
      <c r="E573" t="e">
        <f t="shared" si="119"/>
        <v>#VALUE!</v>
      </c>
      <c r="F573" t="str">
        <f t="shared" si="126"/>
        <v/>
      </c>
      <c r="G573">
        <f>IFERROR(IF(F573=0,"",COUNTIF($F$3:F573,"&gt;0")),"")</f>
        <v>16</v>
      </c>
      <c r="H573" t="str">
        <f t="shared" si="121"/>
        <v/>
      </c>
      <c r="I573" t="str">
        <f t="shared" si="127"/>
        <v/>
      </c>
      <c r="J573">
        <f>IFERROR(IF(I573=0,"",COUNTIF($I$3:I573,"&gt;0")),"")</f>
        <v>34</v>
      </c>
      <c r="K573" t="str">
        <f t="shared" si="122"/>
        <v/>
      </c>
      <c r="L573" t="str">
        <f t="shared" si="128"/>
        <v/>
      </c>
      <c r="M573" t="str">
        <f t="shared" si="129"/>
        <v/>
      </c>
      <c r="N573">
        <f>IFERROR(IF(M573=0,"",COUNTIF($M$3:M573,"&gt;0")),"")</f>
        <v>33</v>
      </c>
      <c r="O573" t="str">
        <f t="shared" si="123"/>
        <v/>
      </c>
      <c r="P573" t="str">
        <f t="shared" si="130"/>
        <v/>
      </c>
      <c r="Q573" t="str">
        <f t="shared" si="131"/>
        <v/>
      </c>
      <c r="R573">
        <f>IFERROR(IF(Q573=0,"",COUNTIF($Q$3:Q573,"&gt;0")),"")</f>
        <v>16</v>
      </c>
      <c r="S573" t="str">
        <f t="shared" si="124"/>
        <v/>
      </c>
      <c r="T573" t="str">
        <f t="shared" si="132"/>
        <v/>
      </c>
      <c r="U573">
        <f>IFERROR(IF(T573=0,"",COUNTIF($T$3:T573,"&gt;0")),"")</f>
        <v>0</v>
      </c>
      <c r="V573" t="str">
        <f t="shared" si="125"/>
        <v/>
      </c>
    </row>
    <row r="574" spans="1:22">
      <c r="A574" t="e">
        <f t="shared" si="120"/>
        <v>#VALUE!</v>
      </c>
      <c r="B574" t="e">
        <f>Table4[[#This Row],[CATEGORY]]</f>
        <v>#VALUE!</v>
      </c>
      <c r="C574" t="e">
        <f>Table4[[#This Row],[SUB-CATEGORY]]</f>
        <v>#VALUE!</v>
      </c>
      <c r="D574">
        <f>'RJ ATTENDENCE SHEET'!C:C</f>
        <v>0</v>
      </c>
      <c r="E574" t="e">
        <f t="shared" si="119"/>
        <v>#VALUE!</v>
      </c>
      <c r="F574" t="str">
        <f t="shared" si="126"/>
        <v/>
      </c>
      <c r="G574">
        <f>IFERROR(IF(F574=0,"",COUNTIF($F$3:F574,"&gt;0")),"")</f>
        <v>16</v>
      </c>
      <c r="H574" t="str">
        <f t="shared" si="121"/>
        <v/>
      </c>
      <c r="I574" t="str">
        <f t="shared" si="127"/>
        <v/>
      </c>
      <c r="J574">
        <f>IFERROR(IF(I574=0,"",COUNTIF($I$3:I574,"&gt;0")),"")</f>
        <v>34</v>
      </c>
      <c r="K574" t="str">
        <f t="shared" si="122"/>
        <v/>
      </c>
      <c r="L574" t="str">
        <f t="shared" si="128"/>
        <v/>
      </c>
      <c r="M574" t="str">
        <f t="shared" si="129"/>
        <v/>
      </c>
      <c r="N574">
        <f>IFERROR(IF(M574=0,"",COUNTIF($M$3:M574,"&gt;0")),"")</f>
        <v>33</v>
      </c>
      <c r="O574" t="str">
        <f t="shared" si="123"/>
        <v/>
      </c>
      <c r="P574" t="str">
        <f t="shared" si="130"/>
        <v/>
      </c>
      <c r="Q574" t="str">
        <f t="shared" si="131"/>
        <v/>
      </c>
      <c r="R574">
        <f>IFERROR(IF(Q574=0,"",COUNTIF($Q$3:Q574,"&gt;0")),"")</f>
        <v>16</v>
      </c>
      <c r="S574" t="str">
        <f t="shared" si="124"/>
        <v/>
      </c>
      <c r="T574" t="str">
        <f t="shared" si="132"/>
        <v/>
      </c>
      <c r="U574">
        <f>IFERROR(IF(T574=0,"",COUNTIF($T$3:T574,"&gt;0")),"")</f>
        <v>0</v>
      </c>
      <c r="V574" t="str">
        <f t="shared" si="125"/>
        <v/>
      </c>
    </row>
    <row r="575" spans="1:22">
      <c r="A575" t="e">
        <f t="shared" si="120"/>
        <v>#VALUE!</v>
      </c>
      <c r="B575" t="e">
        <f>Table4[[#This Row],[CATEGORY]]</f>
        <v>#VALUE!</v>
      </c>
      <c r="C575" t="e">
        <f>Table4[[#This Row],[SUB-CATEGORY]]</f>
        <v>#VALUE!</v>
      </c>
      <c r="D575">
        <f>'RJ ATTENDENCE SHEET'!C:C</f>
        <v>0</v>
      </c>
      <c r="E575" t="e">
        <f t="shared" si="119"/>
        <v>#VALUE!</v>
      </c>
      <c r="F575" t="str">
        <f t="shared" si="126"/>
        <v/>
      </c>
      <c r="G575">
        <f>IFERROR(IF(F575=0,"",COUNTIF($F$3:F575,"&gt;0")),"")</f>
        <v>16</v>
      </c>
      <c r="H575" t="str">
        <f t="shared" si="121"/>
        <v/>
      </c>
      <c r="I575" t="str">
        <f t="shared" si="127"/>
        <v/>
      </c>
      <c r="J575">
        <f>IFERROR(IF(I575=0,"",COUNTIF($I$3:I575,"&gt;0")),"")</f>
        <v>34</v>
      </c>
      <c r="K575" t="str">
        <f t="shared" si="122"/>
        <v/>
      </c>
      <c r="L575" t="str">
        <f t="shared" si="128"/>
        <v/>
      </c>
      <c r="M575" t="str">
        <f t="shared" si="129"/>
        <v/>
      </c>
      <c r="N575">
        <f>IFERROR(IF(M575=0,"",COUNTIF($M$3:M575,"&gt;0")),"")</f>
        <v>33</v>
      </c>
      <c r="O575" t="str">
        <f t="shared" si="123"/>
        <v/>
      </c>
      <c r="P575" t="str">
        <f t="shared" si="130"/>
        <v/>
      </c>
      <c r="Q575" t="str">
        <f t="shared" si="131"/>
        <v/>
      </c>
      <c r="R575">
        <f>IFERROR(IF(Q575=0,"",COUNTIF($Q$3:Q575,"&gt;0")),"")</f>
        <v>16</v>
      </c>
      <c r="S575" t="str">
        <f t="shared" si="124"/>
        <v/>
      </c>
      <c r="T575" t="str">
        <f t="shared" si="132"/>
        <v/>
      </c>
      <c r="U575">
        <f>IFERROR(IF(T575=0,"",COUNTIF($T$3:T575,"&gt;0")),"")</f>
        <v>0</v>
      </c>
      <c r="V575" t="str">
        <f t="shared" si="125"/>
        <v/>
      </c>
    </row>
    <row r="576" spans="1:22">
      <c r="A576" t="e">
        <f t="shared" si="120"/>
        <v>#VALUE!</v>
      </c>
      <c r="B576" t="e">
        <f>Table4[[#This Row],[CATEGORY]]</f>
        <v>#VALUE!</v>
      </c>
      <c r="C576" t="e">
        <f>Table4[[#This Row],[SUB-CATEGORY]]</f>
        <v>#VALUE!</v>
      </c>
      <c r="D576">
        <f>'RJ ATTENDENCE SHEET'!C:C</f>
        <v>0</v>
      </c>
      <c r="E576" t="e">
        <f t="shared" si="119"/>
        <v>#VALUE!</v>
      </c>
      <c r="F576" t="str">
        <f t="shared" si="126"/>
        <v/>
      </c>
      <c r="G576">
        <f>IFERROR(IF(F576=0,"",COUNTIF($F$3:F576,"&gt;0")),"")</f>
        <v>16</v>
      </c>
      <c r="H576" t="str">
        <f t="shared" si="121"/>
        <v/>
      </c>
      <c r="I576" t="str">
        <f t="shared" si="127"/>
        <v/>
      </c>
      <c r="J576">
        <f>IFERROR(IF(I576=0,"",COUNTIF($I$3:I576,"&gt;0")),"")</f>
        <v>34</v>
      </c>
      <c r="K576" t="str">
        <f t="shared" si="122"/>
        <v/>
      </c>
      <c r="L576" t="str">
        <f t="shared" si="128"/>
        <v/>
      </c>
      <c r="M576" t="str">
        <f t="shared" si="129"/>
        <v/>
      </c>
      <c r="N576">
        <f>IFERROR(IF(M576=0,"",COUNTIF($M$3:M576,"&gt;0")),"")</f>
        <v>33</v>
      </c>
      <c r="O576" t="str">
        <f t="shared" si="123"/>
        <v/>
      </c>
      <c r="P576" t="str">
        <f t="shared" si="130"/>
        <v/>
      </c>
      <c r="Q576" t="str">
        <f t="shared" si="131"/>
        <v/>
      </c>
      <c r="R576">
        <f>IFERROR(IF(Q576=0,"",COUNTIF($Q$3:Q576,"&gt;0")),"")</f>
        <v>16</v>
      </c>
      <c r="S576" t="str">
        <f t="shared" si="124"/>
        <v/>
      </c>
      <c r="T576" t="str">
        <f t="shared" si="132"/>
        <v/>
      </c>
      <c r="U576">
        <f>IFERROR(IF(T576=0,"",COUNTIF($T$3:T576,"&gt;0")),"")</f>
        <v>0</v>
      </c>
      <c r="V576" t="str">
        <f t="shared" si="125"/>
        <v/>
      </c>
    </row>
    <row r="577" spans="1:22">
      <c r="A577" t="e">
        <f t="shared" si="120"/>
        <v>#VALUE!</v>
      </c>
      <c r="B577" t="e">
        <f>Table4[[#This Row],[CATEGORY]]</f>
        <v>#VALUE!</v>
      </c>
      <c r="C577" t="e">
        <f>Table4[[#This Row],[SUB-CATEGORY]]</f>
        <v>#VALUE!</v>
      </c>
      <c r="D577">
        <f>'RJ ATTENDENCE SHEET'!C:C</f>
        <v>0</v>
      </c>
      <c r="E577" t="e">
        <f t="shared" si="119"/>
        <v>#VALUE!</v>
      </c>
      <c r="F577" t="str">
        <f t="shared" si="126"/>
        <v/>
      </c>
      <c r="G577">
        <f>IFERROR(IF(F577=0,"",COUNTIF($F$3:F577,"&gt;0")),"")</f>
        <v>16</v>
      </c>
      <c r="H577" t="str">
        <f t="shared" si="121"/>
        <v/>
      </c>
      <c r="I577" t="str">
        <f t="shared" si="127"/>
        <v/>
      </c>
      <c r="J577">
        <f>IFERROR(IF(I577=0,"",COUNTIF($I$3:I577,"&gt;0")),"")</f>
        <v>34</v>
      </c>
      <c r="K577" t="str">
        <f t="shared" si="122"/>
        <v/>
      </c>
      <c r="L577" t="str">
        <f t="shared" si="128"/>
        <v/>
      </c>
      <c r="M577" t="str">
        <f t="shared" si="129"/>
        <v/>
      </c>
      <c r="N577">
        <f>IFERROR(IF(M577=0,"",COUNTIF($M$3:M577,"&gt;0")),"")</f>
        <v>33</v>
      </c>
      <c r="O577" t="str">
        <f t="shared" si="123"/>
        <v/>
      </c>
      <c r="P577" t="str">
        <f t="shared" si="130"/>
        <v/>
      </c>
      <c r="Q577" t="str">
        <f t="shared" si="131"/>
        <v/>
      </c>
      <c r="R577">
        <f>IFERROR(IF(Q577=0,"",COUNTIF($Q$3:Q577,"&gt;0")),"")</f>
        <v>16</v>
      </c>
      <c r="S577" t="str">
        <f t="shared" si="124"/>
        <v/>
      </c>
      <c r="T577" t="str">
        <f t="shared" si="132"/>
        <v/>
      </c>
      <c r="U577">
        <f>IFERROR(IF(T577=0,"",COUNTIF($T$3:T577,"&gt;0")),"")</f>
        <v>0</v>
      </c>
      <c r="V577" t="str">
        <f t="shared" si="125"/>
        <v/>
      </c>
    </row>
    <row r="578" spans="1:22">
      <c r="A578" t="e">
        <f t="shared" si="120"/>
        <v>#VALUE!</v>
      </c>
      <c r="B578" t="e">
        <f>Table4[[#This Row],[CATEGORY]]</f>
        <v>#VALUE!</v>
      </c>
      <c r="C578" t="e">
        <f>Table4[[#This Row],[SUB-CATEGORY]]</f>
        <v>#VALUE!</v>
      </c>
      <c r="D578">
        <f>'RJ ATTENDENCE SHEET'!C:C</f>
        <v>0</v>
      </c>
      <c r="E578" t="e">
        <f t="shared" ref="E578:E641" si="133">C578</f>
        <v>#VALUE!</v>
      </c>
      <c r="F578" t="str">
        <f t="shared" si="126"/>
        <v/>
      </c>
      <c r="G578">
        <f>IFERROR(IF(F578=0,"",COUNTIF($F$3:F578,"&gt;0")),"")</f>
        <v>16</v>
      </c>
      <c r="H578" t="str">
        <f t="shared" si="121"/>
        <v/>
      </c>
      <c r="I578" t="str">
        <f t="shared" si="127"/>
        <v/>
      </c>
      <c r="J578">
        <f>IFERROR(IF(I578=0,"",COUNTIF($I$3:I578,"&gt;0")),"")</f>
        <v>34</v>
      </c>
      <c r="K578" t="str">
        <f t="shared" si="122"/>
        <v/>
      </c>
      <c r="L578" t="str">
        <f t="shared" si="128"/>
        <v/>
      </c>
      <c r="M578" t="str">
        <f t="shared" si="129"/>
        <v/>
      </c>
      <c r="N578">
        <f>IFERROR(IF(M578=0,"",COUNTIF($M$3:M578,"&gt;0")),"")</f>
        <v>33</v>
      </c>
      <c r="O578" t="str">
        <f t="shared" si="123"/>
        <v/>
      </c>
      <c r="P578" t="str">
        <f t="shared" si="130"/>
        <v/>
      </c>
      <c r="Q578" t="str">
        <f t="shared" si="131"/>
        <v/>
      </c>
      <c r="R578">
        <f>IFERROR(IF(Q578=0,"",COUNTIF($Q$3:Q578,"&gt;0")),"")</f>
        <v>16</v>
      </c>
      <c r="S578" t="str">
        <f t="shared" si="124"/>
        <v/>
      </c>
      <c r="T578" t="str">
        <f t="shared" si="132"/>
        <v/>
      </c>
      <c r="U578">
        <f>IFERROR(IF(T578=0,"",COUNTIF($T$3:T578,"&gt;0")),"")</f>
        <v>0</v>
      </c>
      <c r="V578" t="str">
        <f t="shared" si="125"/>
        <v/>
      </c>
    </row>
    <row r="579" spans="1:22">
      <c r="A579" t="e">
        <f t="shared" ref="A579:A642" si="134">CONCATENATE(B579,C579,D579)</f>
        <v>#VALUE!</v>
      </c>
      <c r="B579" t="e">
        <f>Table4[[#This Row],[CATEGORY]]</f>
        <v>#VALUE!</v>
      </c>
      <c r="C579" t="e">
        <f>Table4[[#This Row],[SUB-CATEGORY]]</f>
        <v>#VALUE!</v>
      </c>
      <c r="D579">
        <f>'RJ ATTENDENCE SHEET'!C:C</f>
        <v>0</v>
      </c>
      <c r="E579" t="e">
        <f t="shared" si="133"/>
        <v>#VALUE!</v>
      </c>
      <c r="F579" t="str">
        <f t="shared" si="126"/>
        <v/>
      </c>
      <c r="G579">
        <f>IFERROR(IF(F579=0,"",COUNTIF($F$3:F579,"&gt;0")),"")</f>
        <v>16</v>
      </c>
      <c r="H579" t="str">
        <f t="shared" ref="H579:H642" si="135">IFERROR(VLOOKUP(INDEX($A:$A,MATCH(ROW(F577),G:G,0)),$A:$D,4,0),"")</f>
        <v/>
      </c>
      <c r="I579" t="str">
        <f t="shared" si="127"/>
        <v/>
      </c>
      <c r="J579">
        <f>IFERROR(IF(I579=0,"",COUNTIF($I$3:I579,"&gt;0")),"")</f>
        <v>34</v>
      </c>
      <c r="K579" t="str">
        <f t="shared" ref="K579:K642" si="136">IFERROR(VLOOKUP(INDEX($A:$A,MATCH(ROW(I577),J:J,0)),$A:$D,4,0),"")</f>
        <v/>
      </c>
      <c r="L579" t="str">
        <f t="shared" si="128"/>
        <v/>
      </c>
      <c r="M579" t="str">
        <f t="shared" si="129"/>
        <v/>
      </c>
      <c r="N579">
        <f>IFERROR(IF(M579=0,"",COUNTIF($M$3:M579,"&gt;0")),"")</f>
        <v>33</v>
      </c>
      <c r="O579" t="str">
        <f t="shared" ref="O579:O642" si="137">IFERROR(VLOOKUP(INDEX($A:$A,MATCH(ROW(M577),N:N,0)),$A:$D,4,0),"")</f>
        <v/>
      </c>
      <c r="P579" t="str">
        <f t="shared" si="130"/>
        <v/>
      </c>
      <c r="Q579" t="str">
        <f t="shared" si="131"/>
        <v/>
      </c>
      <c r="R579">
        <f>IFERROR(IF(Q579=0,"",COUNTIF($Q$3:Q579,"&gt;0")),"")</f>
        <v>16</v>
      </c>
      <c r="S579" t="str">
        <f t="shared" ref="S579:S642" si="138">IFERROR(VLOOKUP(INDEX($A:$A,MATCH(ROW(Q577),R:R,0)),$A:$D,4,0),"")</f>
        <v/>
      </c>
      <c r="T579" t="str">
        <f t="shared" si="132"/>
        <v/>
      </c>
      <c r="U579">
        <f>IFERROR(IF(T579=0,"",COUNTIF($T$3:T579,"&gt;0")),"")</f>
        <v>0</v>
      </c>
      <c r="V579" t="str">
        <f t="shared" ref="V579:V642" si="139">IFERROR(VLOOKUP(INDEX($A:$A,MATCH(ROW(T577),U:U,0)),$A:$D,4,0),"")</f>
        <v/>
      </c>
    </row>
    <row r="580" spans="1:22">
      <c r="A580" t="e">
        <f t="shared" si="134"/>
        <v>#VALUE!</v>
      </c>
      <c r="B580" t="e">
        <f>Table4[[#This Row],[CATEGORY]]</f>
        <v>#VALUE!</v>
      </c>
      <c r="C580" t="e">
        <f>Table4[[#This Row],[SUB-CATEGORY]]</f>
        <v>#VALUE!</v>
      </c>
      <c r="D580">
        <f>'RJ ATTENDENCE SHEET'!C:C</f>
        <v>0</v>
      </c>
      <c r="E580" t="e">
        <f t="shared" si="133"/>
        <v>#VALUE!</v>
      </c>
      <c r="F580" t="str">
        <f t="shared" ref="F580:F643" si="140">IFERROR(SEARCH("SALARYOFFICE",$A:$A),"")</f>
        <v/>
      </c>
      <c r="G580">
        <f>IFERROR(IF(F580=0,"",COUNTIF($F$3:F580,"&gt;0")),"")</f>
        <v>16</v>
      </c>
      <c r="H580" t="str">
        <f t="shared" si="135"/>
        <v/>
      </c>
      <c r="I580" t="str">
        <f t="shared" ref="I580:I643" si="141">IFERROR(SEARCH("WAGES",$A:$A),"")</f>
        <v/>
      </c>
      <c r="J580">
        <f>IFERROR(IF(I580=0,"",COUNTIF($I$3:I580,"&gt;0")),"")</f>
        <v>34</v>
      </c>
      <c r="K580" t="str">
        <f t="shared" si="136"/>
        <v/>
      </c>
      <c r="L580" t="str">
        <f t="shared" ref="L580:L643" si="142">IFERROR(VLOOKUP(K580,$D:$E,2,0),"")</f>
        <v/>
      </c>
      <c r="M580" t="str">
        <f t="shared" ref="M580:M643" si="143">IFERROR(SEARCH("CONTRACT",$A:$A),"")</f>
        <v/>
      </c>
      <c r="N580">
        <f>IFERROR(IF(M580=0,"",COUNTIF($M$3:M580,"&gt;0")),"")</f>
        <v>33</v>
      </c>
      <c r="O580" t="str">
        <f t="shared" si="137"/>
        <v/>
      </c>
      <c r="P580" t="str">
        <f t="shared" ref="P580:P643" si="144">IFERROR(VLOOKUP(O580,$D:$E,2,0),"")</f>
        <v/>
      </c>
      <c r="Q580" t="str">
        <f t="shared" ref="Q580:Q643" si="145">IFERROR(SEARCH("SALARY",$A:$A),"")</f>
        <v/>
      </c>
      <c r="R580">
        <f>IFERROR(IF(Q580=0,"",COUNTIF($Q$3:Q580,"&gt;0")),"")</f>
        <v>16</v>
      </c>
      <c r="S580" t="str">
        <f t="shared" si="138"/>
        <v/>
      </c>
      <c r="T580" t="str">
        <f t="shared" ref="T580:T643" si="146">IFERROR(SEARCH("OTHERS0",$A:$A),"")</f>
        <v/>
      </c>
      <c r="U580">
        <f>IFERROR(IF(T580=0,"",COUNTIF($T$3:T580,"&gt;0")),"")</f>
        <v>0</v>
      </c>
      <c r="V580" t="str">
        <f t="shared" si="139"/>
        <v/>
      </c>
    </row>
    <row r="581" spans="1:22">
      <c r="A581" t="e">
        <f t="shared" si="134"/>
        <v>#VALUE!</v>
      </c>
      <c r="B581" t="e">
        <f>Table4[[#This Row],[CATEGORY]]</f>
        <v>#VALUE!</v>
      </c>
      <c r="C581" t="e">
        <f>Table4[[#This Row],[SUB-CATEGORY]]</f>
        <v>#VALUE!</v>
      </c>
      <c r="D581">
        <f>'RJ ATTENDENCE SHEET'!C:C</f>
        <v>0</v>
      </c>
      <c r="E581" t="e">
        <f t="shared" si="133"/>
        <v>#VALUE!</v>
      </c>
      <c r="F581" t="str">
        <f t="shared" si="140"/>
        <v/>
      </c>
      <c r="G581">
        <f>IFERROR(IF(F581=0,"",COUNTIF($F$3:F581,"&gt;0")),"")</f>
        <v>16</v>
      </c>
      <c r="H581" t="str">
        <f t="shared" si="135"/>
        <v/>
      </c>
      <c r="I581" t="str">
        <f t="shared" si="141"/>
        <v/>
      </c>
      <c r="J581">
        <f>IFERROR(IF(I581=0,"",COUNTIF($I$3:I581,"&gt;0")),"")</f>
        <v>34</v>
      </c>
      <c r="K581" t="str">
        <f t="shared" si="136"/>
        <v/>
      </c>
      <c r="L581" t="str">
        <f t="shared" si="142"/>
        <v/>
      </c>
      <c r="M581" t="str">
        <f t="shared" si="143"/>
        <v/>
      </c>
      <c r="N581">
        <f>IFERROR(IF(M581=0,"",COUNTIF($M$3:M581,"&gt;0")),"")</f>
        <v>33</v>
      </c>
      <c r="O581" t="str">
        <f t="shared" si="137"/>
        <v/>
      </c>
      <c r="P581" t="str">
        <f t="shared" si="144"/>
        <v/>
      </c>
      <c r="Q581" t="str">
        <f t="shared" si="145"/>
        <v/>
      </c>
      <c r="R581">
        <f>IFERROR(IF(Q581=0,"",COUNTIF($Q$3:Q581,"&gt;0")),"")</f>
        <v>16</v>
      </c>
      <c r="S581" t="str">
        <f t="shared" si="138"/>
        <v/>
      </c>
      <c r="T581" t="str">
        <f t="shared" si="146"/>
        <v/>
      </c>
      <c r="U581">
        <f>IFERROR(IF(T581=0,"",COUNTIF($T$3:T581,"&gt;0")),"")</f>
        <v>0</v>
      </c>
      <c r="V581" t="str">
        <f t="shared" si="139"/>
        <v/>
      </c>
    </row>
    <row r="582" spans="1:22">
      <c r="A582" t="e">
        <f t="shared" si="134"/>
        <v>#VALUE!</v>
      </c>
      <c r="B582" t="e">
        <f>Table4[[#This Row],[CATEGORY]]</f>
        <v>#VALUE!</v>
      </c>
      <c r="C582" t="e">
        <f>Table4[[#This Row],[SUB-CATEGORY]]</f>
        <v>#VALUE!</v>
      </c>
      <c r="D582">
        <f>'RJ ATTENDENCE SHEET'!C:C</f>
        <v>0</v>
      </c>
      <c r="E582" t="e">
        <f t="shared" si="133"/>
        <v>#VALUE!</v>
      </c>
      <c r="F582" t="str">
        <f t="shared" si="140"/>
        <v/>
      </c>
      <c r="G582">
        <f>IFERROR(IF(F582=0,"",COUNTIF($F$3:F582,"&gt;0")),"")</f>
        <v>16</v>
      </c>
      <c r="H582" t="str">
        <f t="shared" si="135"/>
        <v/>
      </c>
      <c r="I582" t="str">
        <f t="shared" si="141"/>
        <v/>
      </c>
      <c r="J582">
        <f>IFERROR(IF(I582=0,"",COUNTIF($I$3:I582,"&gt;0")),"")</f>
        <v>34</v>
      </c>
      <c r="K582" t="str">
        <f t="shared" si="136"/>
        <v/>
      </c>
      <c r="L582" t="str">
        <f t="shared" si="142"/>
        <v/>
      </c>
      <c r="M582" t="str">
        <f t="shared" si="143"/>
        <v/>
      </c>
      <c r="N582">
        <f>IFERROR(IF(M582=0,"",COUNTIF($M$3:M582,"&gt;0")),"")</f>
        <v>33</v>
      </c>
      <c r="O582" t="str">
        <f t="shared" si="137"/>
        <v/>
      </c>
      <c r="P582" t="str">
        <f t="shared" si="144"/>
        <v/>
      </c>
      <c r="Q582" t="str">
        <f t="shared" si="145"/>
        <v/>
      </c>
      <c r="R582">
        <f>IFERROR(IF(Q582=0,"",COUNTIF($Q$3:Q582,"&gt;0")),"")</f>
        <v>16</v>
      </c>
      <c r="S582" t="str">
        <f t="shared" si="138"/>
        <v/>
      </c>
      <c r="T582" t="str">
        <f t="shared" si="146"/>
        <v/>
      </c>
      <c r="U582">
        <f>IFERROR(IF(T582=0,"",COUNTIF($T$3:T582,"&gt;0")),"")</f>
        <v>0</v>
      </c>
      <c r="V582" t="str">
        <f t="shared" si="139"/>
        <v/>
      </c>
    </row>
    <row r="583" spans="1:22">
      <c r="A583" t="e">
        <f t="shared" si="134"/>
        <v>#VALUE!</v>
      </c>
      <c r="B583" t="e">
        <f>Table4[[#This Row],[CATEGORY]]</f>
        <v>#VALUE!</v>
      </c>
      <c r="C583" t="e">
        <f>Table4[[#This Row],[SUB-CATEGORY]]</f>
        <v>#VALUE!</v>
      </c>
      <c r="D583">
        <f>'RJ ATTENDENCE SHEET'!C:C</f>
        <v>0</v>
      </c>
      <c r="E583" t="e">
        <f t="shared" si="133"/>
        <v>#VALUE!</v>
      </c>
      <c r="F583" t="str">
        <f t="shared" si="140"/>
        <v/>
      </c>
      <c r="G583">
        <f>IFERROR(IF(F583=0,"",COUNTIF($F$3:F583,"&gt;0")),"")</f>
        <v>16</v>
      </c>
      <c r="H583" t="str">
        <f t="shared" si="135"/>
        <v/>
      </c>
      <c r="I583" t="str">
        <f t="shared" si="141"/>
        <v/>
      </c>
      <c r="J583">
        <f>IFERROR(IF(I583=0,"",COUNTIF($I$3:I583,"&gt;0")),"")</f>
        <v>34</v>
      </c>
      <c r="K583" t="str">
        <f t="shared" si="136"/>
        <v/>
      </c>
      <c r="L583" t="str">
        <f t="shared" si="142"/>
        <v/>
      </c>
      <c r="M583" t="str">
        <f t="shared" si="143"/>
        <v/>
      </c>
      <c r="N583">
        <f>IFERROR(IF(M583=0,"",COUNTIF($M$3:M583,"&gt;0")),"")</f>
        <v>33</v>
      </c>
      <c r="O583" t="str">
        <f t="shared" si="137"/>
        <v/>
      </c>
      <c r="P583" t="str">
        <f t="shared" si="144"/>
        <v/>
      </c>
      <c r="Q583" t="str">
        <f t="shared" si="145"/>
        <v/>
      </c>
      <c r="R583">
        <f>IFERROR(IF(Q583=0,"",COUNTIF($Q$3:Q583,"&gt;0")),"")</f>
        <v>16</v>
      </c>
      <c r="S583" t="str">
        <f t="shared" si="138"/>
        <v/>
      </c>
      <c r="T583" t="str">
        <f t="shared" si="146"/>
        <v/>
      </c>
      <c r="U583">
        <f>IFERROR(IF(T583=0,"",COUNTIF($T$3:T583,"&gt;0")),"")</f>
        <v>0</v>
      </c>
      <c r="V583" t="str">
        <f t="shared" si="139"/>
        <v/>
      </c>
    </row>
    <row r="584" spans="1:22">
      <c r="A584" t="e">
        <f t="shared" si="134"/>
        <v>#VALUE!</v>
      </c>
      <c r="B584" t="e">
        <f>Table4[[#This Row],[CATEGORY]]</f>
        <v>#VALUE!</v>
      </c>
      <c r="C584" t="e">
        <f>Table4[[#This Row],[SUB-CATEGORY]]</f>
        <v>#VALUE!</v>
      </c>
      <c r="D584">
        <f>'RJ ATTENDENCE SHEET'!C:C</f>
        <v>0</v>
      </c>
      <c r="E584" t="e">
        <f t="shared" si="133"/>
        <v>#VALUE!</v>
      </c>
      <c r="F584" t="str">
        <f t="shared" si="140"/>
        <v/>
      </c>
      <c r="G584">
        <f>IFERROR(IF(F584=0,"",COUNTIF($F$3:F584,"&gt;0")),"")</f>
        <v>16</v>
      </c>
      <c r="H584" t="str">
        <f t="shared" si="135"/>
        <v/>
      </c>
      <c r="I584" t="str">
        <f t="shared" si="141"/>
        <v/>
      </c>
      <c r="J584">
        <f>IFERROR(IF(I584=0,"",COUNTIF($I$3:I584,"&gt;0")),"")</f>
        <v>34</v>
      </c>
      <c r="K584" t="str">
        <f t="shared" si="136"/>
        <v/>
      </c>
      <c r="L584" t="str">
        <f t="shared" si="142"/>
        <v/>
      </c>
      <c r="M584" t="str">
        <f t="shared" si="143"/>
        <v/>
      </c>
      <c r="N584">
        <f>IFERROR(IF(M584=0,"",COUNTIF($M$3:M584,"&gt;0")),"")</f>
        <v>33</v>
      </c>
      <c r="O584" t="str">
        <f t="shared" si="137"/>
        <v/>
      </c>
      <c r="P584" t="str">
        <f t="shared" si="144"/>
        <v/>
      </c>
      <c r="Q584" t="str">
        <f t="shared" si="145"/>
        <v/>
      </c>
      <c r="R584">
        <f>IFERROR(IF(Q584=0,"",COUNTIF($Q$3:Q584,"&gt;0")),"")</f>
        <v>16</v>
      </c>
      <c r="S584" t="str">
        <f t="shared" si="138"/>
        <v/>
      </c>
      <c r="T584" t="str">
        <f t="shared" si="146"/>
        <v/>
      </c>
      <c r="U584">
        <f>IFERROR(IF(T584=0,"",COUNTIF($T$3:T584,"&gt;0")),"")</f>
        <v>0</v>
      </c>
      <c r="V584" t="str">
        <f t="shared" si="139"/>
        <v/>
      </c>
    </row>
    <row r="585" spans="1:22">
      <c r="A585" t="e">
        <f t="shared" si="134"/>
        <v>#VALUE!</v>
      </c>
      <c r="B585" t="e">
        <f>Table4[[#This Row],[CATEGORY]]</f>
        <v>#VALUE!</v>
      </c>
      <c r="C585" t="e">
        <f>Table4[[#This Row],[SUB-CATEGORY]]</f>
        <v>#VALUE!</v>
      </c>
      <c r="D585">
        <f>'RJ ATTENDENCE SHEET'!C:C</f>
        <v>0</v>
      </c>
      <c r="E585" t="e">
        <f t="shared" si="133"/>
        <v>#VALUE!</v>
      </c>
      <c r="F585" t="str">
        <f t="shared" si="140"/>
        <v/>
      </c>
      <c r="G585">
        <f>IFERROR(IF(F585=0,"",COUNTIF($F$3:F585,"&gt;0")),"")</f>
        <v>16</v>
      </c>
      <c r="H585" t="str">
        <f t="shared" si="135"/>
        <v/>
      </c>
      <c r="I585" t="str">
        <f t="shared" si="141"/>
        <v/>
      </c>
      <c r="J585">
        <f>IFERROR(IF(I585=0,"",COUNTIF($I$3:I585,"&gt;0")),"")</f>
        <v>34</v>
      </c>
      <c r="K585" t="str">
        <f t="shared" si="136"/>
        <v/>
      </c>
      <c r="L585" t="str">
        <f t="shared" si="142"/>
        <v/>
      </c>
      <c r="M585" t="str">
        <f t="shared" si="143"/>
        <v/>
      </c>
      <c r="N585">
        <f>IFERROR(IF(M585=0,"",COUNTIF($M$3:M585,"&gt;0")),"")</f>
        <v>33</v>
      </c>
      <c r="O585" t="str">
        <f t="shared" si="137"/>
        <v/>
      </c>
      <c r="P585" t="str">
        <f t="shared" si="144"/>
        <v/>
      </c>
      <c r="Q585" t="str">
        <f t="shared" si="145"/>
        <v/>
      </c>
      <c r="R585">
        <f>IFERROR(IF(Q585=0,"",COUNTIF($Q$3:Q585,"&gt;0")),"")</f>
        <v>16</v>
      </c>
      <c r="S585" t="str">
        <f t="shared" si="138"/>
        <v/>
      </c>
      <c r="T585" t="str">
        <f t="shared" si="146"/>
        <v/>
      </c>
      <c r="U585">
        <f>IFERROR(IF(T585=0,"",COUNTIF($T$3:T585,"&gt;0")),"")</f>
        <v>0</v>
      </c>
      <c r="V585" t="str">
        <f t="shared" si="139"/>
        <v/>
      </c>
    </row>
    <row r="586" spans="1:22">
      <c r="A586" t="e">
        <f t="shared" si="134"/>
        <v>#VALUE!</v>
      </c>
      <c r="B586" t="e">
        <f>Table4[[#This Row],[CATEGORY]]</f>
        <v>#VALUE!</v>
      </c>
      <c r="C586" t="e">
        <f>Table4[[#This Row],[SUB-CATEGORY]]</f>
        <v>#VALUE!</v>
      </c>
      <c r="D586">
        <f>'RJ ATTENDENCE SHEET'!C:C</f>
        <v>0</v>
      </c>
      <c r="E586" t="e">
        <f t="shared" si="133"/>
        <v>#VALUE!</v>
      </c>
      <c r="F586" t="str">
        <f t="shared" si="140"/>
        <v/>
      </c>
      <c r="G586">
        <f>IFERROR(IF(F586=0,"",COUNTIF($F$3:F586,"&gt;0")),"")</f>
        <v>16</v>
      </c>
      <c r="H586" t="str">
        <f t="shared" si="135"/>
        <v/>
      </c>
      <c r="I586" t="str">
        <f t="shared" si="141"/>
        <v/>
      </c>
      <c r="J586">
        <f>IFERROR(IF(I586=0,"",COUNTIF($I$3:I586,"&gt;0")),"")</f>
        <v>34</v>
      </c>
      <c r="K586" t="str">
        <f t="shared" si="136"/>
        <v/>
      </c>
      <c r="L586" t="str">
        <f t="shared" si="142"/>
        <v/>
      </c>
      <c r="M586" t="str">
        <f t="shared" si="143"/>
        <v/>
      </c>
      <c r="N586">
        <f>IFERROR(IF(M586=0,"",COUNTIF($M$3:M586,"&gt;0")),"")</f>
        <v>33</v>
      </c>
      <c r="O586" t="str">
        <f t="shared" si="137"/>
        <v/>
      </c>
      <c r="P586" t="str">
        <f t="shared" si="144"/>
        <v/>
      </c>
      <c r="Q586" t="str">
        <f t="shared" si="145"/>
        <v/>
      </c>
      <c r="R586">
        <f>IFERROR(IF(Q586=0,"",COUNTIF($Q$3:Q586,"&gt;0")),"")</f>
        <v>16</v>
      </c>
      <c r="S586" t="str">
        <f t="shared" si="138"/>
        <v/>
      </c>
      <c r="T586" t="str">
        <f t="shared" si="146"/>
        <v/>
      </c>
      <c r="U586">
        <f>IFERROR(IF(T586=0,"",COUNTIF($T$3:T586,"&gt;0")),"")</f>
        <v>0</v>
      </c>
      <c r="V586" t="str">
        <f t="shared" si="139"/>
        <v/>
      </c>
    </row>
    <row r="587" spans="1:22">
      <c r="A587" t="e">
        <f t="shared" si="134"/>
        <v>#VALUE!</v>
      </c>
      <c r="B587" t="e">
        <f>Table4[[#This Row],[CATEGORY]]</f>
        <v>#VALUE!</v>
      </c>
      <c r="C587" t="e">
        <f>Table4[[#This Row],[SUB-CATEGORY]]</f>
        <v>#VALUE!</v>
      </c>
      <c r="D587">
        <f>'RJ ATTENDENCE SHEET'!C:C</f>
        <v>0</v>
      </c>
      <c r="E587" t="e">
        <f t="shared" si="133"/>
        <v>#VALUE!</v>
      </c>
      <c r="F587" t="str">
        <f t="shared" si="140"/>
        <v/>
      </c>
      <c r="G587">
        <f>IFERROR(IF(F587=0,"",COUNTIF($F$3:F587,"&gt;0")),"")</f>
        <v>16</v>
      </c>
      <c r="H587" t="str">
        <f t="shared" si="135"/>
        <v/>
      </c>
      <c r="I587" t="str">
        <f t="shared" si="141"/>
        <v/>
      </c>
      <c r="J587">
        <f>IFERROR(IF(I587=0,"",COUNTIF($I$3:I587,"&gt;0")),"")</f>
        <v>34</v>
      </c>
      <c r="K587" t="str">
        <f t="shared" si="136"/>
        <v/>
      </c>
      <c r="L587" t="str">
        <f t="shared" si="142"/>
        <v/>
      </c>
      <c r="M587" t="str">
        <f t="shared" si="143"/>
        <v/>
      </c>
      <c r="N587">
        <f>IFERROR(IF(M587=0,"",COUNTIF($M$3:M587,"&gt;0")),"")</f>
        <v>33</v>
      </c>
      <c r="O587" t="str">
        <f t="shared" si="137"/>
        <v/>
      </c>
      <c r="P587" t="str">
        <f t="shared" si="144"/>
        <v/>
      </c>
      <c r="Q587" t="str">
        <f t="shared" si="145"/>
        <v/>
      </c>
      <c r="R587">
        <f>IFERROR(IF(Q587=0,"",COUNTIF($Q$3:Q587,"&gt;0")),"")</f>
        <v>16</v>
      </c>
      <c r="S587" t="str">
        <f t="shared" si="138"/>
        <v/>
      </c>
      <c r="T587" t="str">
        <f t="shared" si="146"/>
        <v/>
      </c>
      <c r="U587">
        <f>IFERROR(IF(T587=0,"",COUNTIF($T$3:T587,"&gt;0")),"")</f>
        <v>0</v>
      </c>
      <c r="V587" t="str">
        <f t="shared" si="139"/>
        <v/>
      </c>
    </row>
    <row r="588" spans="1:22">
      <c r="A588" t="e">
        <f t="shared" si="134"/>
        <v>#VALUE!</v>
      </c>
      <c r="B588" t="e">
        <f>Table4[[#This Row],[CATEGORY]]</f>
        <v>#VALUE!</v>
      </c>
      <c r="C588" t="e">
        <f>Table4[[#This Row],[SUB-CATEGORY]]</f>
        <v>#VALUE!</v>
      </c>
      <c r="D588">
        <f>'RJ ATTENDENCE SHEET'!C:C</f>
        <v>0</v>
      </c>
      <c r="E588" t="e">
        <f t="shared" si="133"/>
        <v>#VALUE!</v>
      </c>
      <c r="F588" t="str">
        <f t="shared" si="140"/>
        <v/>
      </c>
      <c r="G588">
        <f>IFERROR(IF(F588=0,"",COUNTIF($F$3:F588,"&gt;0")),"")</f>
        <v>16</v>
      </c>
      <c r="H588" t="str">
        <f t="shared" si="135"/>
        <v/>
      </c>
      <c r="I588" t="str">
        <f t="shared" si="141"/>
        <v/>
      </c>
      <c r="J588">
        <f>IFERROR(IF(I588=0,"",COUNTIF($I$3:I588,"&gt;0")),"")</f>
        <v>34</v>
      </c>
      <c r="K588" t="str">
        <f t="shared" si="136"/>
        <v/>
      </c>
      <c r="L588" t="str">
        <f t="shared" si="142"/>
        <v/>
      </c>
      <c r="M588" t="str">
        <f t="shared" si="143"/>
        <v/>
      </c>
      <c r="N588">
        <f>IFERROR(IF(M588=0,"",COUNTIF($M$3:M588,"&gt;0")),"")</f>
        <v>33</v>
      </c>
      <c r="O588" t="str">
        <f t="shared" si="137"/>
        <v/>
      </c>
      <c r="P588" t="str">
        <f t="shared" si="144"/>
        <v/>
      </c>
      <c r="Q588" t="str">
        <f t="shared" si="145"/>
        <v/>
      </c>
      <c r="R588">
        <f>IFERROR(IF(Q588=0,"",COUNTIF($Q$3:Q588,"&gt;0")),"")</f>
        <v>16</v>
      </c>
      <c r="S588" t="str">
        <f t="shared" si="138"/>
        <v/>
      </c>
      <c r="T588" t="str">
        <f t="shared" si="146"/>
        <v/>
      </c>
      <c r="U588">
        <f>IFERROR(IF(T588=0,"",COUNTIF($T$3:T588,"&gt;0")),"")</f>
        <v>0</v>
      </c>
      <c r="V588" t="str">
        <f t="shared" si="139"/>
        <v/>
      </c>
    </row>
    <row r="589" spans="1:22">
      <c r="A589" t="e">
        <f t="shared" si="134"/>
        <v>#VALUE!</v>
      </c>
      <c r="B589" t="e">
        <f>Table4[[#This Row],[CATEGORY]]</f>
        <v>#VALUE!</v>
      </c>
      <c r="C589" t="e">
        <f>Table4[[#This Row],[SUB-CATEGORY]]</f>
        <v>#VALUE!</v>
      </c>
      <c r="D589">
        <f>'RJ ATTENDENCE SHEET'!C:C</f>
        <v>0</v>
      </c>
      <c r="E589" t="e">
        <f t="shared" si="133"/>
        <v>#VALUE!</v>
      </c>
      <c r="F589" t="str">
        <f t="shared" si="140"/>
        <v/>
      </c>
      <c r="G589">
        <f>IFERROR(IF(F589=0,"",COUNTIF($F$3:F589,"&gt;0")),"")</f>
        <v>16</v>
      </c>
      <c r="H589" t="str">
        <f t="shared" si="135"/>
        <v/>
      </c>
      <c r="I589" t="str">
        <f t="shared" si="141"/>
        <v/>
      </c>
      <c r="J589">
        <f>IFERROR(IF(I589=0,"",COUNTIF($I$3:I589,"&gt;0")),"")</f>
        <v>34</v>
      </c>
      <c r="K589" t="str">
        <f t="shared" si="136"/>
        <v/>
      </c>
      <c r="L589" t="str">
        <f t="shared" si="142"/>
        <v/>
      </c>
      <c r="M589" t="str">
        <f t="shared" si="143"/>
        <v/>
      </c>
      <c r="N589">
        <f>IFERROR(IF(M589=0,"",COUNTIF($M$3:M589,"&gt;0")),"")</f>
        <v>33</v>
      </c>
      <c r="O589" t="str">
        <f t="shared" si="137"/>
        <v/>
      </c>
      <c r="P589" t="str">
        <f t="shared" si="144"/>
        <v/>
      </c>
      <c r="Q589" t="str">
        <f t="shared" si="145"/>
        <v/>
      </c>
      <c r="R589">
        <f>IFERROR(IF(Q589=0,"",COUNTIF($Q$3:Q589,"&gt;0")),"")</f>
        <v>16</v>
      </c>
      <c r="S589" t="str">
        <f t="shared" si="138"/>
        <v/>
      </c>
      <c r="T589" t="str">
        <f t="shared" si="146"/>
        <v/>
      </c>
      <c r="U589">
        <f>IFERROR(IF(T589=0,"",COUNTIF($T$3:T589,"&gt;0")),"")</f>
        <v>0</v>
      </c>
      <c r="V589" t="str">
        <f t="shared" si="139"/>
        <v/>
      </c>
    </row>
    <row r="590" spans="1:22">
      <c r="A590" t="e">
        <f t="shared" si="134"/>
        <v>#VALUE!</v>
      </c>
      <c r="B590" t="e">
        <f>Table4[[#This Row],[CATEGORY]]</f>
        <v>#VALUE!</v>
      </c>
      <c r="C590" t="e">
        <f>Table4[[#This Row],[SUB-CATEGORY]]</f>
        <v>#VALUE!</v>
      </c>
      <c r="D590">
        <f>'RJ ATTENDENCE SHEET'!C:C</f>
        <v>0</v>
      </c>
      <c r="E590" t="e">
        <f t="shared" si="133"/>
        <v>#VALUE!</v>
      </c>
      <c r="F590" t="str">
        <f t="shared" si="140"/>
        <v/>
      </c>
      <c r="G590">
        <f>IFERROR(IF(F590=0,"",COUNTIF($F$3:F590,"&gt;0")),"")</f>
        <v>16</v>
      </c>
      <c r="H590" t="str">
        <f t="shared" si="135"/>
        <v/>
      </c>
      <c r="I590" t="str">
        <f t="shared" si="141"/>
        <v/>
      </c>
      <c r="J590">
        <f>IFERROR(IF(I590=0,"",COUNTIF($I$3:I590,"&gt;0")),"")</f>
        <v>34</v>
      </c>
      <c r="K590" t="str">
        <f t="shared" si="136"/>
        <v/>
      </c>
      <c r="L590" t="str">
        <f t="shared" si="142"/>
        <v/>
      </c>
      <c r="M590" t="str">
        <f t="shared" si="143"/>
        <v/>
      </c>
      <c r="N590">
        <f>IFERROR(IF(M590=0,"",COUNTIF($M$3:M590,"&gt;0")),"")</f>
        <v>33</v>
      </c>
      <c r="O590" t="str">
        <f t="shared" si="137"/>
        <v/>
      </c>
      <c r="P590" t="str">
        <f t="shared" si="144"/>
        <v/>
      </c>
      <c r="Q590" t="str">
        <f t="shared" si="145"/>
        <v/>
      </c>
      <c r="R590">
        <f>IFERROR(IF(Q590=0,"",COUNTIF($Q$3:Q590,"&gt;0")),"")</f>
        <v>16</v>
      </c>
      <c r="S590" t="str">
        <f t="shared" si="138"/>
        <v/>
      </c>
      <c r="T590" t="str">
        <f t="shared" si="146"/>
        <v/>
      </c>
      <c r="U590">
        <f>IFERROR(IF(T590=0,"",COUNTIF($T$3:T590,"&gt;0")),"")</f>
        <v>0</v>
      </c>
      <c r="V590" t="str">
        <f t="shared" si="139"/>
        <v/>
      </c>
    </row>
    <row r="591" spans="1:22">
      <c r="A591" t="e">
        <f t="shared" si="134"/>
        <v>#VALUE!</v>
      </c>
      <c r="B591" t="e">
        <f>Table4[[#This Row],[CATEGORY]]</f>
        <v>#VALUE!</v>
      </c>
      <c r="C591" t="e">
        <f>Table4[[#This Row],[SUB-CATEGORY]]</f>
        <v>#VALUE!</v>
      </c>
      <c r="D591">
        <f>'RJ ATTENDENCE SHEET'!C:C</f>
        <v>0</v>
      </c>
      <c r="E591" t="e">
        <f t="shared" si="133"/>
        <v>#VALUE!</v>
      </c>
      <c r="F591" t="str">
        <f t="shared" si="140"/>
        <v/>
      </c>
      <c r="G591">
        <f>IFERROR(IF(F591=0,"",COUNTIF($F$3:F591,"&gt;0")),"")</f>
        <v>16</v>
      </c>
      <c r="H591" t="str">
        <f t="shared" si="135"/>
        <v/>
      </c>
      <c r="I591" t="str">
        <f t="shared" si="141"/>
        <v/>
      </c>
      <c r="J591">
        <f>IFERROR(IF(I591=0,"",COUNTIF($I$3:I591,"&gt;0")),"")</f>
        <v>34</v>
      </c>
      <c r="K591" t="str">
        <f t="shared" si="136"/>
        <v/>
      </c>
      <c r="L591" t="str">
        <f t="shared" si="142"/>
        <v/>
      </c>
      <c r="M591" t="str">
        <f t="shared" si="143"/>
        <v/>
      </c>
      <c r="N591">
        <f>IFERROR(IF(M591=0,"",COUNTIF($M$3:M591,"&gt;0")),"")</f>
        <v>33</v>
      </c>
      <c r="O591" t="str">
        <f t="shared" si="137"/>
        <v/>
      </c>
      <c r="P591" t="str">
        <f t="shared" si="144"/>
        <v/>
      </c>
      <c r="Q591" t="str">
        <f t="shared" si="145"/>
        <v/>
      </c>
      <c r="R591">
        <f>IFERROR(IF(Q591=0,"",COUNTIF($Q$3:Q591,"&gt;0")),"")</f>
        <v>16</v>
      </c>
      <c r="S591" t="str">
        <f t="shared" si="138"/>
        <v/>
      </c>
      <c r="T591" t="str">
        <f t="shared" si="146"/>
        <v/>
      </c>
      <c r="U591">
        <f>IFERROR(IF(T591=0,"",COUNTIF($T$3:T591,"&gt;0")),"")</f>
        <v>0</v>
      </c>
      <c r="V591" t="str">
        <f t="shared" si="139"/>
        <v/>
      </c>
    </row>
    <row r="592" spans="1:22">
      <c r="A592" t="e">
        <f t="shared" si="134"/>
        <v>#VALUE!</v>
      </c>
      <c r="B592" t="e">
        <f>Table4[[#This Row],[CATEGORY]]</f>
        <v>#VALUE!</v>
      </c>
      <c r="C592" t="e">
        <f>Table4[[#This Row],[SUB-CATEGORY]]</f>
        <v>#VALUE!</v>
      </c>
      <c r="D592">
        <f>'RJ ATTENDENCE SHEET'!C:C</f>
        <v>0</v>
      </c>
      <c r="E592" t="e">
        <f t="shared" si="133"/>
        <v>#VALUE!</v>
      </c>
      <c r="F592" t="str">
        <f t="shared" si="140"/>
        <v/>
      </c>
      <c r="G592">
        <f>IFERROR(IF(F592=0,"",COUNTIF($F$3:F592,"&gt;0")),"")</f>
        <v>16</v>
      </c>
      <c r="H592" t="str">
        <f t="shared" si="135"/>
        <v/>
      </c>
      <c r="I592" t="str">
        <f t="shared" si="141"/>
        <v/>
      </c>
      <c r="J592">
        <f>IFERROR(IF(I592=0,"",COUNTIF($I$3:I592,"&gt;0")),"")</f>
        <v>34</v>
      </c>
      <c r="K592" t="str">
        <f t="shared" si="136"/>
        <v/>
      </c>
      <c r="L592" t="str">
        <f t="shared" si="142"/>
        <v/>
      </c>
      <c r="M592" t="str">
        <f t="shared" si="143"/>
        <v/>
      </c>
      <c r="N592">
        <f>IFERROR(IF(M592=0,"",COUNTIF($M$3:M592,"&gt;0")),"")</f>
        <v>33</v>
      </c>
      <c r="O592" t="str">
        <f t="shared" si="137"/>
        <v/>
      </c>
      <c r="P592" t="str">
        <f t="shared" si="144"/>
        <v/>
      </c>
      <c r="Q592" t="str">
        <f t="shared" si="145"/>
        <v/>
      </c>
      <c r="R592">
        <f>IFERROR(IF(Q592=0,"",COUNTIF($Q$3:Q592,"&gt;0")),"")</f>
        <v>16</v>
      </c>
      <c r="S592" t="str">
        <f t="shared" si="138"/>
        <v/>
      </c>
      <c r="T592" t="str">
        <f t="shared" si="146"/>
        <v/>
      </c>
      <c r="U592">
        <f>IFERROR(IF(T592=0,"",COUNTIF($T$3:T592,"&gt;0")),"")</f>
        <v>0</v>
      </c>
      <c r="V592" t="str">
        <f t="shared" si="139"/>
        <v/>
      </c>
    </row>
    <row r="593" spans="1:22">
      <c r="A593" t="e">
        <f t="shared" si="134"/>
        <v>#VALUE!</v>
      </c>
      <c r="B593" t="e">
        <f>Table4[[#This Row],[CATEGORY]]</f>
        <v>#VALUE!</v>
      </c>
      <c r="C593" t="e">
        <f>Table4[[#This Row],[SUB-CATEGORY]]</f>
        <v>#VALUE!</v>
      </c>
      <c r="D593">
        <f>'RJ ATTENDENCE SHEET'!C:C</f>
        <v>0</v>
      </c>
      <c r="E593" t="e">
        <f t="shared" si="133"/>
        <v>#VALUE!</v>
      </c>
      <c r="F593" t="str">
        <f t="shared" si="140"/>
        <v/>
      </c>
      <c r="G593">
        <f>IFERROR(IF(F593=0,"",COUNTIF($F$3:F593,"&gt;0")),"")</f>
        <v>16</v>
      </c>
      <c r="H593" t="str">
        <f t="shared" si="135"/>
        <v/>
      </c>
      <c r="I593" t="str">
        <f t="shared" si="141"/>
        <v/>
      </c>
      <c r="J593">
        <f>IFERROR(IF(I593=0,"",COUNTIF($I$3:I593,"&gt;0")),"")</f>
        <v>34</v>
      </c>
      <c r="K593" t="str">
        <f t="shared" si="136"/>
        <v/>
      </c>
      <c r="L593" t="str">
        <f t="shared" si="142"/>
        <v/>
      </c>
      <c r="M593" t="str">
        <f t="shared" si="143"/>
        <v/>
      </c>
      <c r="N593">
        <f>IFERROR(IF(M593=0,"",COUNTIF($M$3:M593,"&gt;0")),"")</f>
        <v>33</v>
      </c>
      <c r="O593" t="str">
        <f t="shared" si="137"/>
        <v/>
      </c>
      <c r="P593" t="str">
        <f t="shared" si="144"/>
        <v/>
      </c>
      <c r="Q593" t="str">
        <f t="shared" si="145"/>
        <v/>
      </c>
      <c r="R593">
        <f>IFERROR(IF(Q593=0,"",COUNTIF($Q$3:Q593,"&gt;0")),"")</f>
        <v>16</v>
      </c>
      <c r="S593" t="str">
        <f t="shared" si="138"/>
        <v/>
      </c>
      <c r="T593" t="str">
        <f t="shared" si="146"/>
        <v/>
      </c>
      <c r="U593">
        <f>IFERROR(IF(T593=0,"",COUNTIF($T$3:T593,"&gt;0")),"")</f>
        <v>0</v>
      </c>
      <c r="V593" t="str">
        <f t="shared" si="139"/>
        <v/>
      </c>
    </row>
    <row r="594" spans="1:22">
      <c r="A594" t="e">
        <f t="shared" si="134"/>
        <v>#VALUE!</v>
      </c>
      <c r="B594" t="e">
        <f>Table4[[#This Row],[CATEGORY]]</f>
        <v>#VALUE!</v>
      </c>
      <c r="C594" t="e">
        <f>Table4[[#This Row],[SUB-CATEGORY]]</f>
        <v>#VALUE!</v>
      </c>
      <c r="D594">
        <f>'RJ ATTENDENCE SHEET'!C:C</f>
        <v>0</v>
      </c>
      <c r="E594" t="e">
        <f t="shared" si="133"/>
        <v>#VALUE!</v>
      </c>
      <c r="F594" t="str">
        <f t="shared" si="140"/>
        <v/>
      </c>
      <c r="G594">
        <f>IFERROR(IF(F594=0,"",COUNTIF($F$3:F594,"&gt;0")),"")</f>
        <v>16</v>
      </c>
      <c r="H594" t="str">
        <f t="shared" si="135"/>
        <v/>
      </c>
      <c r="I594" t="str">
        <f t="shared" si="141"/>
        <v/>
      </c>
      <c r="J594">
        <f>IFERROR(IF(I594=0,"",COUNTIF($I$3:I594,"&gt;0")),"")</f>
        <v>34</v>
      </c>
      <c r="K594" t="str">
        <f t="shared" si="136"/>
        <v/>
      </c>
      <c r="L594" t="str">
        <f t="shared" si="142"/>
        <v/>
      </c>
      <c r="M594" t="str">
        <f t="shared" si="143"/>
        <v/>
      </c>
      <c r="N594">
        <f>IFERROR(IF(M594=0,"",COUNTIF($M$3:M594,"&gt;0")),"")</f>
        <v>33</v>
      </c>
      <c r="O594" t="str">
        <f t="shared" si="137"/>
        <v/>
      </c>
      <c r="P594" t="str">
        <f t="shared" si="144"/>
        <v/>
      </c>
      <c r="Q594" t="str">
        <f t="shared" si="145"/>
        <v/>
      </c>
      <c r="R594">
        <f>IFERROR(IF(Q594=0,"",COUNTIF($Q$3:Q594,"&gt;0")),"")</f>
        <v>16</v>
      </c>
      <c r="S594" t="str">
        <f t="shared" si="138"/>
        <v/>
      </c>
      <c r="T594" t="str">
        <f t="shared" si="146"/>
        <v/>
      </c>
      <c r="U594">
        <f>IFERROR(IF(T594=0,"",COUNTIF($T$3:T594,"&gt;0")),"")</f>
        <v>0</v>
      </c>
      <c r="V594" t="str">
        <f t="shared" si="139"/>
        <v/>
      </c>
    </row>
    <row r="595" spans="1:22">
      <c r="A595" t="e">
        <f t="shared" si="134"/>
        <v>#VALUE!</v>
      </c>
      <c r="B595" t="e">
        <f>Table4[[#This Row],[CATEGORY]]</f>
        <v>#VALUE!</v>
      </c>
      <c r="C595" t="e">
        <f>Table4[[#This Row],[SUB-CATEGORY]]</f>
        <v>#VALUE!</v>
      </c>
      <c r="D595">
        <f>'RJ ATTENDENCE SHEET'!C:C</f>
        <v>0</v>
      </c>
      <c r="E595" t="e">
        <f t="shared" si="133"/>
        <v>#VALUE!</v>
      </c>
      <c r="F595" t="str">
        <f t="shared" si="140"/>
        <v/>
      </c>
      <c r="G595">
        <f>IFERROR(IF(F595=0,"",COUNTIF($F$3:F595,"&gt;0")),"")</f>
        <v>16</v>
      </c>
      <c r="H595" t="str">
        <f t="shared" si="135"/>
        <v/>
      </c>
      <c r="I595" t="str">
        <f t="shared" si="141"/>
        <v/>
      </c>
      <c r="J595">
        <f>IFERROR(IF(I595=0,"",COUNTIF($I$3:I595,"&gt;0")),"")</f>
        <v>34</v>
      </c>
      <c r="K595" t="str">
        <f t="shared" si="136"/>
        <v/>
      </c>
      <c r="L595" t="str">
        <f t="shared" si="142"/>
        <v/>
      </c>
      <c r="M595" t="str">
        <f t="shared" si="143"/>
        <v/>
      </c>
      <c r="N595">
        <f>IFERROR(IF(M595=0,"",COUNTIF($M$3:M595,"&gt;0")),"")</f>
        <v>33</v>
      </c>
      <c r="O595" t="str">
        <f t="shared" si="137"/>
        <v/>
      </c>
      <c r="P595" t="str">
        <f t="shared" si="144"/>
        <v/>
      </c>
      <c r="Q595" t="str">
        <f t="shared" si="145"/>
        <v/>
      </c>
      <c r="R595">
        <f>IFERROR(IF(Q595=0,"",COUNTIF($Q$3:Q595,"&gt;0")),"")</f>
        <v>16</v>
      </c>
      <c r="S595" t="str">
        <f t="shared" si="138"/>
        <v/>
      </c>
      <c r="T595" t="str">
        <f t="shared" si="146"/>
        <v/>
      </c>
      <c r="U595">
        <f>IFERROR(IF(T595=0,"",COUNTIF($T$3:T595,"&gt;0")),"")</f>
        <v>0</v>
      </c>
      <c r="V595" t="str">
        <f t="shared" si="139"/>
        <v/>
      </c>
    </row>
    <row r="596" spans="1:22">
      <c r="A596" t="e">
        <f t="shared" si="134"/>
        <v>#VALUE!</v>
      </c>
      <c r="B596" t="e">
        <f>Table4[[#This Row],[CATEGORY]]</f>
        <v>#VALUE!</v>
      </c>
      <c r="C596" t="e">
        <f>Table4[[#This Row],[SUB-CATEGORY]]</f>
        <v>#VALUE!</v>
      </c>
      <c r="D596">
        <f>'RJ ATTENDENCE SHEET'!C:C</f>
        <v>0</v>
      </c>
      <c r="E596" t="e">
        <f t="shared" si="133"/>
        <v>#VALUE!</v>
      </c>
      <c r="F596" t="str">
        <f t="shared" si="140"/>
        <v/>
      </c>
      <c r="G596">
        <f>IFERROR(IF(F596=0,"",COUNTIF($F$3:F596,"&gt;0")),"")</f>
        <v>16</v>
      </c>
      <c r="H596" t="str">
        <f t="shared" si="135"/>
        <v/>
      </c>
      <c r="I596" t="str">
        <f t="shared" si="141"/>
        <v/>
      </c>
      <c r="J596">
        <f>IFERROR(IF(I596=0,"",COUNTIF($I$3:I596,"&gt;0")),"")</f>
        <v>34</v>
      </c>
      <c r="K596" t="str">
        <f t="shared" si="136"/>
        <v/>
      </c>
      <c r="L596" t="str">
        <f t="shared" si="142"/>
        <v/>
      </c>
      <c r="M596" t="str">
        <f t="shared" si="143"/>
        <v/>
      </c>
      <c r="N596">
        <f>IFERROR(IF(M596=0,"",COUNTIF($M$3:M596,"&gt;0")),"")</f>
        <v>33</v>
      </c>
      <c r="O596" t="str">
        <f t="shared" si="137"/>
        <v/>
      </c>
      <c r="P596" t="str">
        <f t="shared" si="144"/>
        <v/>
      </c>
      <c r="Q596" t="str">
        <f t="shared" si="145"/>
        <v/>
      </c>
      <c r="R596">
        <f>IFERROR(IF(Q596=0,"",COUNTIF($Q$3:Q596,"&gt;0")),"")</f>
        <v>16</v>
      </c>
      <c r="S596" t="str">
        <f t="shared" si="138"/>
        <v/>
      </c>
      <c r="T596" t="str">
        <f t="shared" si="146"/>
        <v/>
      </c>
      <c r="U596">
        <f>IFERROR(IF(T596=0,"",COUNTIF($T$3:T596,"&gt;0")),"")</f>
        <v>0</v>
      </c>
      <c r="V596" t="str">
        <f t="shared" si="139"/>
        <v/>
      </c>
    </row>
    <row r="597" spans="1:22">
      <c r="A597" t="e">
        <f t="shared" si="134"/>
        <v>#VALUE!</v>
      </c>
      <c r="B597" t="e">
        <f>Table4[[#This Row],[CATEGORY]]</f>
        <v>#VALUE!</v>
      </c>
      <c r="C597" t="e">
        <f>Table4[[#This Row],[SUB-CATEGORY]]</f>
        <v>#VALUE!</v>
      </c>
      <c r="D597">
        <f>'RJ ATTENDENCE SHEET'!C:C</f>
        <v>0</v>
      </c>
      <c r="E597" t="e">
        <f t="shared" si="133"/>
        <v>#VALUE!</v>
      </c>
      <c r="F597" t="str">
        <f t="shared" si="140"/>
        <v/>
      </c>
      <c r="G597">
        <f>IFERROR(IF(F597=0,"",COUNTIF($F$3:F597,"&gt;0")),"")</f>
        <v>16</v>
      </c>
      <c r="H597" t="str">
        <f t="shared" si="135"/>
        <v/>
      </c>
      <c r="I597" t="str">
        <f t="shared" si="141"/>
        <v/>
      </c>
      <c r="J597">
        <f>IFERROR(IF(I597=0,"",COUNTIF($I$3:I597,"&gt;0")),"")</f>
        <v>34</v>
      </c>
      <c r="K597" t="str">
        <f t="shared" si="136"/>
        <v/>
      </c>
      <c r="L597" t="str">
        <f t="shared" si="142"/>
        <v/>
      </c>
      <c r="M597" t="str">
        <f t="shared" si="143"/>
        <v/>
      </c>
      <c r="N597">
        <f>IFERROR(IF(M597=0,"",COUNTIF($M$3:M597,"&gt;0")),"")</f>
        <v>33</v>
      </c>
      <c r="O597" t="str">
        <f t="shared" si="137"/>
        <v/>
      </c>
      <c r="P597" t="str">
        <f t="shared" si="144"/>
        <v/>
      </c>
      <c r="Q597" t="str">
        <f t="shared" si="145"/>
        <v/>
      </c>
      <c r="R597">
        <f>IFERROR(IF(Q597=0,"",COUNTIF($Q$3:Q597,"&gt;0")),"")</f>
        <v>16</v>
      </c>
      <c r="S597" t="str">
        <f t="shared" si="138"/>
        <v/>
      </c>
      <c r="T597" t="str">
        <f t="shared" si="146"/>
        <v/>
      </c>
      <c r="U597">
        <f>IFERROR(IF(T597=0,"",COUNTIF($T$3:T597,"&gt;0")),"")</f>
        <v>0</v>
      </c>
      <c r="V597" t="str">
        <f t="shared" si="139"/>
        <v/>
      </c>
    </row>
    <row r="598" spans="1:22">
      <c r="A598" t="e">
        <f t="shared" si="134"/>
        <v>#VALUE!</v>
      </c>
      <c r="B598" t="e">
        <f>Table4[[#This Row],[CATEGORY]]</f>
        <v>#VALUE!</v>
      </c>
      <c r="C598" t="e">
        <f>Table4[[#This Row],[SUB-CATEGORY]]</f>
        <v>#VALUE!</v>
      </c>
      <c r="D598">
        <f>'RJ ATTENDENCE SHEET'!C:C</f>
        <v>0</v>
      </c>
      <c r="E598" t="e">
        <f t="shared" si="133"/>
        <v>#VALUE!</v>
      </c>
      <c r="F598" t="str">
        <f t="shared" si="140"/>
        <v/>
      </c>
      <c r="G598">
        <f>IFERROR(IF(F598=0,"",COUNTIF($F$3:F598,"&gt;0")),"")</f>
        <v>16</v>
      </c>
      <c r="H598" t="str">
        <f t="shared" si="135"/>
        <v/>
      </c>
      <c r="I598" t="str">
        <f t="shared" si="141"/>
        <v/>
      </c>
      <c r="J598">
        <f>IFERROR(IF(I598=0,"",COUNTIF($I$3:I598,"&gt;0")),"")</f>
        <v>34</v>
      </c>
      <c r="K598" t="str">
        <f t="shared" si="136"/>
        <v/>
      </c>
      <c r="L598" t="str">
        <f t="shared" si="142"/>
        <v/>
      </c>
      <c r="M598" t="str">
        <f t="shared" si="143"/>
        <v/>
      </c>
      <c r="N598">
        <f>IFERROR(IF(M598=0,"",COUNTIF($M$3:M598,"&gt;0")),"")</f>
        <v>33</v>
      </c>
      <c r="O598" t="str">
        <f t="shared" si="137"/>
        <v/>
      </c>
      <c r="P598" t="str">
        <f t="shared" si="144"/>
        <v/>
      </c>
      <c r="Q598" t="str">
        <f t="shared" si="145"/>
        <v/>
      </c>
      <c r="R598">
        <f>IFERROR(IF(Q598=0,"",COUNTIF($Q$3:Q598,"&gt;0")),"")</f>
        <v>16</v>
      </c>
      <c r="S598" t="str">
        <f t="shared" si="138"/>
        <v/>
      </c>
      <c r="T598" t="str">
        <f t="shared" si="146"/>
        <v/>
      </c>
      <c r="U598">
        <f>IFERROR(IF(T598=0,"",COUNTIF($T$3:T598,"&gt;0")),"")</f>
        <v>0</v>
      </c>
      <c r="V598" t="str">
        <f t="shared" si="139"/>
        <v/>
      </c>
    </row>
    <row r="599" spans="1:22">
      <c r="A599" t="e">
        <f t="shared" si="134"/>
        <v>#VALUE!</v>
      </c>
      <c r="B599" t="e">
        <f>Table4[[#This Row],[CATEGORY]]</f>
        <v>#VALUE!</v>
      </c>
      <c r="C599" t="e">
        <f>Table4[[#This Row],[SUB-CATEGORY]]</f>
        <v>#VALUE!</v>
      </c>
      <c r="D599">
        <f>'RJ ATTENDENCE SHEET'!C:C</f>
        <v>0</v>
      </c>
      <c r="E599" t="e">
        <f t="shared" si="133"/>
        <v>#VALUE!</v>
      </c>
      <c r="F599" t="str">
        <f t="shared" si="140"/>
        <v/>
      </c>
      <c r="G599">
        <f>IFERROR(IF(F599=0,"",COUNTIF($F$3:F599,"&gt;0")),"")</f>
        <v>16</v>
      </c>
      <c r="H599" t="str">
        <f t="shared" si="135"/>
        <v/>
      </c>
      <c r="I599" t="str">
        <f t="shared" si="141"/>
        <v/>
      </c>
      <c r="J599">
        <f>IFERROR(IF(I599=0,"",COUNTIF($I$3:I599,"&gt;0")),"")</f>
        <v>34</v>
      </c>
      <c r="K599" t="str">
        <f t="shared" si="136"/>
        <v/>
      </c>
      <c r="L599" t="str">
        <f t="shared" si="142"/>
        <v/>
      </c>
      <c r="M599" t="str">
        <f t="shared" si="143"/>
        <v/>
      </c>
      <c r="N599">
        <f>IFERROR(IF(M599=0,"",COUNTIF($M$3:M599,"&gt;0")),"")</f>
        <v>33</v>
      </c>
      <c r="O599" t="str">
        <f t="shared" si="137"/>
        <v/>
      </c>
      <c r="P599" t="str">
        <f t="shared" si="144"/>
        <v/>
      </c>
      <c r="Q599" t="str">
        <f t="shared" si="145"/>
        <v/>
      </c>
      <c r="R599">
        <f>IFERROR(IF(Q599=0,"",COUNTIF($Q$3:Q599,"&gt;0")),"")</f>
        <v>16</v>
      </c>
      <c r="S599" t="str">
        <f t="shared" si="138"/>
        <v/>
      </c>
      <c r="T599" t="str">
        <f t="shared" si="146"/>
        <v/>
      </c>
      <c r="U599">
        <f>IFERROR(IF(T599=0,"",COUNTIF($T$3:T599,"&gt;0")),"")</f>
        <v>0</v>
      </c>
      <c r="V599" t="str">
        <f t="shared" si="139"/>
        <v/>
      </c>
    </row>
    <row r="600" spans="1:22">
      <c r="A600" t="e">
        <f t="shared" si="134"/>
        <v>#VALUE!</v>
      </c>
      <c r="B600" t="e">
        <f>Table4[[#This Row],[CATEGORY]]</f>
        <v>#VALUE!</v>
      </c>
      <c r="C600" t="e">
        <f>Table4[[#This Row],[SUB-CATEGORY]]</f>
        <v>#VALUE!</v>
      </c>
      <c r="D600">
        <f>'RJ ATTENDENCE SHEET'!C:C</f>
        <v>0</v>
      </c>
      <c r="E600" t="e">
        <f t="shared" si="133"/>
        <v>#VALUE!</v>
      </c>
      <c r="F600" t="str">
        <f t="shared" si="140"/>
        <v/>
      </c>
      <c r="G600">
        <f>IFERROR(IF(F600=0,"",COUNTIF($F$3:F600,"&gt;0")),"")</f>
        <v>16</v>
      </c>
      <c r="H600" t="str">
        <f t="shared" si="135"/>
        <v/>
      </c>
      <c r="I600" t="str">
        <f t="shared" si="141"/>
        <v/>
      </c>
      <c r="J600">
        <f>IFERROR(IF(I600=0,"",COUNTIF($I$3:I600,"&gt;0")),"")</f>
        <v>34</v>
      </c>
      <c r="K600" t="str">
        <f t="shared" si="136"/>
        <v/>
      </c>
      <c r="L600" t="str">
        <f t="shared" si="142"/>
        <v/>
      </c>
      <c r="M600" t="str">
        <f t="shared" si="143"/>
        <v/>
      </c>
      <c r="N600">
        <f>IFERROR(IF(M600=0,"",COUNTIF($M$3:M600,"&gt;0")),"")</f>
        <v>33</v>
      </c>
      <c r="O600" t="str">
        <f t="shared" si="137"/>
        <v/>
      </c>
      <c r="P600" t="str">
        <f t="shared" si="144"/>
        <v/>
      </c>
      <c r="Q600" t="str">
        <f t="shared" si="145"/>
        <v/>
      </c>
      <c r="R600">
        <f>IFERROR(IF(Q600=0,"",COUNTIF($Q$3:Q600,"&gt;0")),"")</f>
        <v>16</v>
      </c>
      <c r="S600" t="str">
        <f t="shared" si="138"/>
        <v/>
      </c>
      <c r="T600" t="str">
        <f t="shared" si="146"/>
        <v/>
      </c>
      <c r="U600">
        <f>IFERROR(IF(T600=0,"",COUNTIF($T$3:T600,"&gt;0")),"")</f>
        <v>0</v>
      </c>
      <c r="V600" t="str">
        <f t="shared" si="139"/>
        <v/>
      </c>
    </row>
    <row r="601" spans="1:22">
      <c r="A601" t="e">
        <f t="shared" si="134"/>
        <v>#VALUE!</v>
      </c>
      <c r="B601" t="e">
        <f>Table4[[#This Row],[CATEGORY]]</f>
        <v>#VALUE!</v>
      </c>
      <c r="C601" t="e">
        <f>Table4[[#This Row],[SUB-CATEGORY]]</f>
        <v>#VALUE!</v>
      </c>
      <c r="D601">
        <f>'RJ ATTENDENCE SHEET'!C:C</f>
        <v>0</v>
      </c>
      <c r="E601" t="e">
        <f t="shared" si="133"/>
        <v>#VALUE!</v>
      </c>
      <c r="F601" t="str">
        <f t="shared" si="140"/>
        <v/>
      </c>
      <c r="G601">
        <f>IFERROR(IF(F601=0,"",COUNTIF($F$3:F601,"&gt;0")),"")</f>
        <v>16</v>
      </c>
      <c r="H601" t="str">
        <f t="shared" si="135"/>
        <v/>
      </c>
      <c r="I601" t="str">
        <f t="shared" si="141"/>
        <v/>
      </c>
      <c r="J601">
        <f>IFERROR(IF(I601=0,"",COUNTIF($I$3:I601,"&gt;0")),"")</f>
        <v>34</v>
      </c>
      <c r="K601" t="str">
        <f t="shared" si="136"/>
        <v/>
      </c>
      <c r="L601" t="str">
        <f t="shared" si="142"/>
        <v/>
      </c>
      <c r="M601" t="str">
        <f t="shared" si="143"/>
        <v/>
      </c>
      <c r="N601">
        <f>IFERROR(IF(M601=0,"",COUNTIF($M$3:M601,"&gt;0")),"")</f>
        <v>33</v>
      </c>
      <c r="O601" t="str">
        <f t="shared" si="137"/>
        <v/>
      </c>
      <c r="P601" t="str">
        <f t="shared" si="144"/>
        <v/>
      </c>
      <c r="Q601" t="str">
        <f t="shared" si="145"/>
        <v/>
      </c>
      <c r="R601">
        <f>IFERROR(IF(Q601=0,"",COUNTIF($Q$3:Q601,"&gt;0")),"")</f>
        <v>16</v>
      </c>
      <c r="S601" t="str">
        <f t="shared" si="138"/>
        <v/>
      </c>
      <c r="T601" t="str">
        <f t="shared" si="146"/>
        <v/>
      </c>
      <c r="U601">
        <f>IFERROR(IF(T601=0,"",COUNTIF($T$3:T601,"&gt;0")),"")</f>
        <v>0</v>
      </c>
      <c r="V601" t="str">
        <f t="shared" si="139"/>
        <v/>
      </c>
    </row>
    <row r="602" spans="1:22">
      <c r="A602" t="e">
        <f t="shared" si="134"/>
        <v>#VALUE!</v>
      </c>
      <c r="B602" t="e">
        <f>Table4[[#This Row],[CATEGORY]]</f>
        <v>#VALUE!</v>
      </c>
      <c r="C602" t="e">
        <f>Table4[[#This Row],[SUB-CATEGORY]]</f>
        <v>#VALUE!</v>
      </c>
      <c r="D602">
        <f>'RJ ATTENDENCE SHEET'!C:C</f>
        <v>0</v>
      </c>
      <c r="E602" t="e">
        <f t="shared" si="133"/>
        <v>#VALUE!</v>
      </c>
      <c r="F602" t="str">
        <f t="shared" si="140"/>
        <v/>
      </c>
      <c r="G602">
        <f>IFERROR(IF(F602=0,"",COUNTIF($F$3:F602,"&gt;0")),"")</f>
        <v>16</v>
      </c>
      <c r="H602" t="str">
        <f t="shared" si="135"/>
        <v/>
      </c>
      <c r="I602" t="str">
        <f t="shared" si="141"/>
        <v/>
      </c>
      <c r="J602">
        <f>IFERROR(IF(I602=0,"",COUNTIF($I$3:I602,"&gt;0")),"")</f>
        <v>34</v>
      </c>
      <c r="K602" t="str">
        <f t="shared" si="136"/>
        <v/>
      </c>
      <c r="L602" t="str">
        <f t="shared" si="142"/>
        <v/>
      </c>
      <c r="M602" t="str">
        <f t="shared" si="143"/>
        <v/>
      </c>
      <c r="N602">
        <f>IFERROR(IF(M602=0,"",COUNTIF($M$3:M602,"&gt;0")),"")</f>
        <v>33</v>
      </c>
      <c r="O602" t="str">
        <f t="shared" si="137"/>
        <v/>
      </c>
      <c r="P602" t="str">
        <f t="shared" si="144"/>
        <v/>
      </c>
      <c r="Q602" t="str">
        <f t="shared" si="145"/>
        <v/>
      </c>
      <c r="R602">
        <f>IFERROR(IF(Q602=0,"",COUNTIF($Q$3:Q602,"&gt;0")),"")</f>
        <v>16</v>
      </c>
      <c r="S602" t="str">
        <f t="shared" si="138"/>
        <v/>
      </c>
      <c r="T602" t="str">
        <f t="shared" si="146"/>
        <v/>
      </c>
      <c r="U602">
        <f>IFERROR(IF(T602=0,"",COUNTIF($T$3:T602,"&gt;0")),"")</f>
        <v>0</v>
      </c>
      <c r="V602" t="str">
        <f t="shared" si="139"/>
        <v/>
      </c>
    </row>
    <row r="603" spans="1:22">
      <c r="A603" t="e">
        <f t="shared" si="134"/>
        <v>#VALUE!</v>
      </c>
      <c r="B603" t="e">
        <f>Table4[[#This Row],[CATEGORY]]</f>
        <v>#VALUE!</v>
      </c>
      <c r="C603" t="e">
        <f>Table4[[#This Row],[SUB-CATEGORY]]</f>
        <v>#VALUE!</v>
      </c>
      <c r="D603">
        <f>'RJ ATTENDENCE SHEET'!C:C</f>
        <v>0</v>
      </c>
      <c r="E603" t="e">
        <f t="shared" si="133"/>
        <v>#VALUE!</v>
      </c>
      <c r="F603" t="str">
        <f t="shared" si="140"/>
        <v/>
      </c>
      <c r="G603">
        <f>IFERROR(IF(F603=0,"",COUNTIF($F$3:F603,"&gt;0")),"")</f>
        <v>16</v>
      </c>
      <c r="H603" t="str">
        <f t="shared" si="135"/>
        <v/>
      </c>
      <c r="I603" t="str">
        <f t="shared" si="141"/>
        <v/>
      </c>
      <c r="J603">
        <f>IFERROR(IF(I603=0,"",COUNTIF($I$3:I603,"&gt;0")),"")</f>
        <v>34</v>
      </c>
      <c r="K603" t="str">
        <f t="shared" si="136"/>
        <v/>
      </c>
      <c r="L603" t="str">
        <f t="shared" si="142"/>
        <v/>
      </c>
      <c r="M603" t="str">
        <f t="shared" si="143"/>
        <v/>
      </c>
      <c r="N603">
        <f>IFERROR(IF(M603=0,"",COUNTIF($M$3:M603,"&gt;0")),"")</f>
        <v>33</v>
      </c>
      <c r="O603" t="str">
        <f t="shared" si="137"/>
        <v/>
      </c>
      <c r="P603" t="str">
        <f t="shared" si="144"/>
        <v/>
      </c>
      <c r="Q603" t="str">
        <f t="shared" si="145"/>
        <v/>
      </c>
      <c r="R603">
        <f>IFERROR(IF(Q603=0,"",COUNTIF($Q$3:Q603,"&gt;0")),"")</f>
        <v>16</v>
      </c>
      <c r="S603" t="str">
        <f t="shared" si="138"/>
        <v/>
      </c>
      <c r="T603" t="str">
        <f t="shared" si="146"/>
        <v/>
      </c>
      <c r="U603">
        <f>IFERROR(IF(T603=0,"",COUNTIF($T$3:T603,"&gt;0")),"")</f>
        <v>0</v>
      </c>
      <c r="V603" t="str">
        <f t="shared" si="139"/>
        <v/>
      </c>
    </row>
    <row r="604" spans="1:22">
      <c r="A604" t="e">
        <f t="shared" si="134"/>
        <v>#VALUE!</v>
      </c>
      <c r="B604" t="e">
        <f>Table4[[#This Row],[CATEGORY]]</f>
        <v>#VALUE!</v>
      </c>
      <c r="C604" t="e">
        <f>Table4[[#This Row],[SUB-CATEGORY]]</f>
        <v>#VALUE!</v>
      </c>
      <c r="D604">
        <f>'RJ ATTENDENCE SHEET'!C:C</f>
        <v>0</v>
      </c>
      <c r="E604" t="e">
        <f t="shared" si="133"/>
        <v>#VALUE!</v>
      </c>
      <c r="F604" t="str">
        <f t="shared" si="140"/>
        <v/>
      </c>
      <c r="G604">
        <f>IFERROR(IF(F604=0,"",COUNTIF($F$3:F604,"&gt;0")),"")</f>
        <v>16</v>
      </c>
      <c r="H604" t="str">
        <f t="shared" si="135"/>
        <v/>
      </c>
      <c r="I604" t="str">
        <f t="shared" si="141"/>
        <v/>
      </c>
      <c r="J604">
        <f>IFERROR(IF(I604=0,"",COUNTIF($I$3:I604,"&gt;0")),"")</f>
        <v>34</v>
      </c>
      <c r="K604" t="str">
        <f t="shared" si="136"/>
        <v/>
      </c>
      <c r="L604" t="str">
        <f t="shared" si="142"/>
        <v/>
      </c>
      <c r="M604" t="str">
        <f t="shared" si="143"/>
        <v/>
      </c>
      <c r="N604">
        <f>IFERROR(IF(M604=0,"",COUNTIF($M$3:M604,"&gt;0")),"")</f>
        <v>33</v>
      </c>
      <c r="O604" t="str">
        <f t="shared" si="137"/>
        <v/>
      </c>
      <c r="P604" t="str">
        <f t="shared" si="144"/>
        <v/>
      </c>
      <c r="Q604" t="str">
        <f t="shared" si="145"/>
        <v/>
      </c>
      <c r="R604">
        <f>IFERROR(IF(Q604=0,"",COUNTIF($Q$3:Q604,"&gt;0")),"")</f>
        <v>16</v>
      </c>
      <c r="S604" t="str">
        <f t="shared" si="138"/>
        <v/>
      </c>
      <c r="T604" t="str">
        <f t="shared" si="146"/>
        <v/>
      </c>
      <c r="U604">
        <f>IFERROR(IF(T604=0,"",COUNTIF($T$3:T604,"&gt;0")),"")</f>
        <v>0</v>
      </c>
      <c r="V604" t="str">
        <f t="shared" si="139"/>
        <v/>
      </c>
    </row>
    <row r="605" spans="1:22">
      <c r="A605" t="e">
        <f t="shared" si="134"/>
        <v>#VALUE!</v>
      </c>
      <c r="B605" t="e">
        <f>Table4[[#This Row],[CATEGORY]]</f>
        <v>#VALUE!</v>
      </c>
      <c r="C605" t="e">
        <f>Table4[[#This Row],[SUB-CATEGORY]]</f>
        <v>#VALUE!</v>
      </c>
      <c r="D605">
        <f>'RJ ATTENDENCE SHEET'!C:C</f>
        <v>0</v>
      </c>
      <c r="E605" t="e">
        <f t="shared" si="133"/>
        <v>#VALUE!</v>
      </c>
      <c r="F605" t="str">
        <f t="shared" si="140"/>
        <v/>
      </c>
      <c r="G605">
        <f>IFERROR(IF(F605=0,"",COUNTIF($F$3:F605,"&gt;0")),"")</f>
        <v>16</v>
      </c>
      <c r="H605" t="str">
        <f t="shared" si="135"/>
        <v/>
      </c>
      <c r="I605" t="str">
        <f t="shared" si="141"/>
        <v/>
      </c>
      <c r="J605">
        <f>IFERROR(IF(I605=0,"",COUNTIF($I$3:I605,"&gt;0")),"")</f>
        <v>34</v>
      </c>
      <c r="K605" t="str">
        <f t="shared" si="136"/>
        <v/>
      </c>
      <c r="L605" t="str">
        <f t="shared" si="142"/>
        <v/>
      </c>
      <c r="M605" t="str">
        <f t="shared" si="143"/>
        <v/>
      </c>
      <c r="N605">
        <f>IFERROR(IF(M605=0,"",COUNTIF($M$3:M605,"&gt;0")),"")</f>
        <v>33</v>
      </c>
      <c r="O605" t="str">
        <f t="shared" si="137"/>
        <v/>
      </c>
      <c r="P605" t="str">
        <f t="shared" si="144"/>
        <v/>
      </c>
      <c r="Q605" t="str">
        <f t="shared" si="145"/>
        <v/>
      </c>
      <c r="R605">
        <f>IFERROR(IF(Q605=0,"",COUNTIF($Q$3:Q605,"&gt;0")),"")</f>
        <v>16</v>
      </c>
      <c r="S605" t="str">
        <f t="shared" si="138"/>
        <v/>
      </c>
      <c r="T605" t="str">
        <f t="shared" si="146"/>
        <v/>
      </c>
      <c r="U605">
        <f>IFERROR(IF(T605=0,"",COUNTIF($T$3:T605,"&gt;0")),"")</f>
        <v>0</v>
      </c>
      <c r="V605" t="str">
        <f t="shared" si="139"/>
        <v/>
      </c>
    </row>
    <row r="606" spans="1:22">
      <c r="A606" t="e">
        <f t="shared" si="134"/>
        <v>#VALUE!</v>
      </c>
      <c r="B606" t="e">
        <f>Table4[[#This Row],[CATEGORY]]</f>
        <v>#VALUE!</v>
      </c>
      <c r="C606" t="e">
        <f>Table4[[#This Row],[SUB-CATEGORY]]</f>
        <v>#VALUE!</v>
      </c>
      <c r="D606">
        <f>'RJ ATTENDENCE SHEET'!C:C</f>
        <v>0</v>
      </c>
      <c r="E606" t="e">
        <f t="shared" si="133"/>
        <v>#VALUE!</v>
      </c>
      <c r="F606" t="str">
        <f t="shared" si="140"/>
        <v/>
      </c>
      <c r="G606">
        <f>IFERROR(IF(F606=0,"",COUNTIF($F$3:F606,"&gt;0")),"")</f>
        <v>16</v>
      </c>
      <c r="H606" t="str">
        <f t="shared" si="135"/>
        <v/>
      </c>
      <c r="I606" t="str">
        <f t="shared" si="141"/>
        <v/>
      </c>
      <c r="J606">
        <f>IFERROR(IF(I606=0,"",COUNTIF($I$3:I606,"&gt;0")),"")</f>
        <v>34</v>
      </c>
      <c r="K606" t="str">
        <f t="shared" si="136"/>
        <v/>
      </c>
      <c r="L606" t="str">
        <f t="shared" si="142"/>
        <v/>
      </c>
      <c r="M606" t="str">
        <f t="shared" si="143"/>
        <v/>
      </c>
      <c r="N606">
        <f>IFERROR(IF(M606=0,"",COUNTIF($M$3:M606,"&gt;0")),"")</f>
        <v>33</v>
      </c>
      <c r="O606" t="str">
        <f t="shared" si="137"/>
        <v/>
      </c>
      <c r="P606" t="str">
        <f t="shared" si="144"/>
        <v/>
      </c>
      <c r="Q606" t="str">
        <f t="shared" si="145"/>
        <v/>
      </c>
      <c r="R606">
        <f>IFERROR(IF(Q606=0,"",COUNTIF($Q$3:Q606,"&gt;0")),"")</f>
        <v>16</v>
      </c>
      <c r="S606" t="str">
        <f t="shared" si="138"/>
        <v/>
      </c>
      <c r="T606" t="str">
        <f t="shared" si="146"/>
        <v/>
      </c>
      <c r="U606">
        <f>IFERROR(IF(T606=0,"",COUNTIF($T$3:T606,"&gt;0")),"")</f>
        <v>0</v>
      </c>
      <c r="V606" t="str">
        <f t="shared" si="139"/>
        <v/>
      </c>
    </row>
    <row r="607" spans="1:22">
      <c r="A607" t="e">
        <f t="shared" si="134"/>
        <v>#VALUE!</v>
      </c>
      <c r="B607" t="e">
        <f>Table4[[#This Row],[CATEGORY]]</f>
        <v>#VALUE!</v>
      </c>
      <c r="C607" t="e">
        <f>Table4[[#This Row],[SUB-CATEGORY]]</f>
        <v>#VALUE!</v>
      </c>
      <c r="D607">
        <f>'RJ ATTENDENCE SHEET'!C:C</f>
        <v>0</v>
      </c>
      <c r="E607" t="e">
        <f t="shared" si="133"/>
        <v>#VALUE!</v>
      </c>
      <c r="F607" t="str">
        <f t="shared" si="140"/>
        <v/>
      </c>
      <c r="G607">
        <f>IFERROR(IF(F607=0,"",COUNTIF($F$3:F607,"&gt;0")),"")</f>
        <v>16</v>
      </c>
      <c r="H607" t="str">
        <f t="shared" si="135"/>
        <v/>
      </c>
      <c r="I607" t="str">
        <f t="shared" si="141"/>
        <v/>
      </c>
      <c r="J607">
        <f>IFERROR(IF(I607=0,"",COUNTIF($I$3:I607,"&gt;0")),"")</f>
        <v>34</v>
      </c>
      <c r="K607" t="str">
        <f t="shared" si="136"/>
        <v/>
      </c>
      <c r="L607" t="str">
        <f t="shared" si="142"/>
        <v/>
      </c>
      <c r="M607" t="str">
        <f t="shared" si="143"/>
        <v/>
      </c>
      <c r="N607">
        <f>IFERROR(IF(M607=0,"",COUNTIF($M$3:M607,"&gt;0")),"")</f>
        <v>33</v>
      </c>
      <c r="O607" t="str">
        <f t="shared" si="137"/>
        <v/>
      </c>
      <c r="P607" t="str">
        <f t="shared" si="144"/>
        <v/>
      </c>
      <c r="Q607" t="str">
        <f t="shared" si="145"/>
        <v/>
      </c>
      <c r="R607">
        <f>IFERROR(IF(Q607=0,"",COUNTIF($Q$3:Q607,"&gt;0")),"")</f>
        <v>16</v>
      </c>
      <c r="S607" t="str">
        <f t="shared" si="138"/>
        <v/>
      </c>
      <c r="T607" t="str">
        <f t="shared" si="146"/>
        <v/>
      </c>
      <c r="U607">
        <f>IFERROR(IF(T607=0,"",COUNTIF($T$3:T607,"&gt;0")),"")</f>
        <v>0</v>
      </c>
      <c r="V607" t="str">
        <f t="shared" si="139"/>
        <v/>
      </c>
    </row>
    <row r="608" spans="1:22">
      <c r="A608" t="e">
        <f t="shared" si="134"/>
        <v>#VALUE!</v>
      </c>
      <c r="B608" t="e">
        <f>Table4[[#This Row],[CATEGORY]]</f>
        <v>#VALUE!</v>
      </c>
      <c r="C608" t="e">
        <f>Table4[[#This Row],[SUB-CATEGORY]]</f>
        <v>#VALUE!</v>
      </c>
      <c r="D608">
        <f>'RJ ATTENDENCE SHEET'!C:C</f>
        <v>0</v>
      </c>
      <c r="E608" t="e">
        <f t="shared" si="133"/>
        <v>#VALUE!</v>
      </c>
      <c r="F608" t="str">
        <f t="shared" si="140"/>
        <v/>
      </c>
      <c r="G608">
        <f>IFERROR(IF(F608=0,"",COUNTIF($F$3:F608,"&gt;0")),"")</f>
        <v>16</v>
      </c>
      <c r="H608" t="str">
        <f t="shared" si="135"/>
        <v/>
      </c>
      <c r="I608" t="str">
        <f t="shared" si="141"/>
        <v/>
      </c>
      <c r="J608">
        <f>IFERROR(IF(I608=0,"",COUNTIF($I$3:I608,"&gt;0")),"")</f>
        <v>34</v>
      </c>
      <c r="K608" t="str">
        <f t="shared" si="136"/>
        <v/>
      </c>
      <c r="L608" t="str">
        <f t="shared" si="142"/>
        <v/>
      </c>
      <c r="M608" t="str">
        <f t="shared" si="143"/>
        <v/>
      </c>
      <c r="N608">
        <f>IFERROR(IF(M608=0,"",COUNTIF($M$3:M608,"&gt;0")),"")</f>
        <v>33</v>
      </c>
      <c r="O608" t="str">
        <f t="shared" si="137"/>
        <v/>
      </c>
      <c r="P608" t="str">
        <f t="shared" si="144"/>
        <v/>
      </c>
      <c r="Q608" t="str">
        <f t="shared" si="145"/>
        <v/>
      </c>
      <c r="R608">
        <f>IFERROR(IF(Q608=0,"",COUNTIF($Q$3:Q608,"&gt;0")),"")</f>
        <v>16</v>
      </c>
      <c r="S608" t="str">
        <f t="shared" si="138"/>
        <v/>
      </c>
      <c r="T608" t="str">
        <f t="shared" si="146"/>
        <v/>
      </c>
      <c r="U608">
        <f>IFERROR(IF(T608=0,"",COUNTIF($T$3:T608,"&gt;0")),"")</f>
        <v>0</v>
      </c>
      <c r="V608" t="str">
        <f t="shared" si="139"/>
        <v/>
      </c>
    </row>
    <row r="609" spans="1:22">
      <c r="A609" t="e">
        <f t="shared" si="134"/>
        <v>#VALUE!</v>
      </c>
      <c r="B609" t="e">
        <f>Table4[[#This Row],[CATEGORY]]</f>
        <v>#VALUE!</v>
      </c>
      <c r="C609" t="e">
        <f>Table4[[#This Row],[SUB-CATEGORY]]</f>
        <v>#VALUE!</v>
      </c>
      <c r="D609">
        <f>'RJ ATTENDENCE SHEET'!C:C</f>
        <v>0</v>
      </c>
      <c r="E609" t="e">
        <f t="shared" si="133"/>
        <v>#VALUE!</v>
      </c>
      <c r="F609" t="str">
        <f t="shared" si="140"/>
        <v/>
      </c>
      <c r="G609">
        <f>IFERROR(IF(F609=0,"",COUNTIF($F$3:F609,"&gt;0")),"")</f>
        <v>16</v>
      </c>
      <c r="H609" t="str">
        <f t="shared" si="135"/>
        <v/>
      </c>
      <c r="I609" t="str">
        <f t="shared" si="141"/>
        <v/>
      </c>
      <c r="J609">
        <f>IFERROR(IF(I609=0,"",COUNTIF($I$3:I609,"&gt;0")),"")</f>
        <v>34</v>
      </c>
      <c r="K609" t="str">
        <f t="shared" si="136"/>
        <v/>
      </c>
      <c r="L609" t="str">
        <f t="shared" si="142"/>
        <v/>
      </c>
      <c r="M609" t="str">
        <f t="shared" si="143"/>
        <v/>
      </c>
      <c r="N609">
        <f>IFERROR(IF(M609=0,"",COUNTIF($M$3:M609,"&gt;0")),"")</f>
        <v>33</v>
      </c>
      <c r="O609" t="str">
        <f t="shared" si="137"/>
        <v/>
      </c>
      <c r="P609" t="str">
        <f t="shared" si="144"/>
        <v/>
      </c>
      <c r="Q609" t="str">
        <f t="shared" si="145"/>
        <v/>
      </c>
      <c r="R609">
        <f>IFERROR(IF(Q609=0,"",COUNTIF($Q$3:Q609,"&gt;0")),"")</f>
        <v>16</v>
      </c>
      <c r="S609" t="str">
        <f t="shared" si="138"/>
        <v/>
      </c>
      <c r="T609" t="str">
        <f t="shared" si="146"/>
        <v/>
      </c>
      <c r="U609">
        <f>IFERROR(IF(T609=0,"",COUNTIF($T$3:T609,"&gt;0")),"")</f>
        <v>0</v>
      </c>
      <c r="V609" t="str">
        <f t="shared" si="139"/>
        <v/>
      </c>
    </row>
    <row r="610" spans="1:22">
      <c r="A610" t="e">
        <f t="shared" si="134"/>
        <v>#VALUE!</v>
      </c>
      <c r="B610" t="e">
        <f>Table4[[#This Row],[CATEGORY]]</f>
        <v>#VALUE!</v>
      </c>
      <c r="C610" t="e">
        <f>Table4[[#This Row],[SUB-CATEGORY]]</f>
        <v>#VALUE!</v>
      </c>
      <c r="D610">
        <f>'RJ ATTENDENCE SHEET'!C:C</f>
        <v>0</v>
      </c>
      <c r="E610" t="e">
        <f t="shared" si="133"/>
        <v>#VALUE!</v>
      </c>
      <c r="F610" t="str">
        <f t="shared" si="140"/>
        <v/>
      </c>
      <c r="G610">
        <f>IFERROR(IF(F610=0,"",COUNTIF($F$3:F610,"&gt;0")),"")</f>
        <v>16</v>
      </c>
      <c r="H610" t="str">
        <f t="shared" si="135"/>
        <v/>
      </c>
      <c r="I610" t="str">
        <f t="shared" si="141"/>
        <v/>
      </c>
      <c r="J610">
        <f>IFERROR(IF(I610=0,"",COUNTIF($I$3:I610,"&gt;0")),"")</f>
        <v>34</v>
      </c>
      <c r="K610" t="str">
        <f t="shared" si="136"/>
        <v/>
      </c>
      <c r="L610" t="str">
        <f t="shared" si="142"/>
        <v/>
      </c>
      <c r="M610" t="str">
        <f t="shared" si="143"/>
        <v/>
      </c>
      <c r="N610">
        <f>IFERROR(IF(M610=0,"",COUNTIF($M$3:M610,"&gt;0")),"")</f>
        <v>33</v>
      </c>
      <c r="O610" t="str">
        <f t="shared" si="137"/>
        <v/>
      </c>
      <c r="P610" t="str">
        <f t="shared" si="144"/>
        <v/>
      </c>
      <c r="Q610" t="str">
        <f t="shared" si="145"/>
        <v/>
      </c>
      <c r="R610">
        <f>IFERROR(IF(Q610=0,"",COUNTIF($Q$3:Q610,"&gt;0")),"")</f>
        <v>16</v>
      </c>
      <c r="S610" t="str">
        <f t="shared" si="138"/>
        <v/>
      </c>
      <c r="T610" t="str">
        <f t="shared" si="146"/>
        <v/>
      </c>
      <c r="U610">
        <f>IFERROR(IF(T610=0,"",COUNTIF($T$3:T610,"&gt;0")),"")</f>
        <v>0</v>
      </c>
      <c r="V610" t="str">
        <f t="shared" si="139"/>
        <v/>
      </c>
    </row>
    <row r="611" spans="1:22">
      <c r="A611" t="e">
        <f t="shared" si="134"/>
        <v>#VALUE!</v>
      </c>
      <c r="B611" t="e">
        <f>Table4[[#This Row],[CATEGORY]]</f>
        <v>#VALUE!</v>
      </c>
      <c r="C611" t="e">
        <f>Table4[[#This Row],[SUB-CATEGORY]]</f>
        <v>#VALUE!</v>
      </c>
      <c r="D611">
        <f>'RJ ATTENDENCE SHEET'!C:C</f>
        <v>0</v>
      </c>
      <c r="E611" t="e">
        <f t="shared" si="133"/>
        <v>#VALUE!</v>
      </c>
      <c r="F611" t="str">
        <f t="shared" si="140"/>
        <v/>
      </c>
      <c r="G611">
        <f>IFERROR(IF(F611=0,"",COUNTIF($F$3:F611,"&gt;0")),"")</f>
        <v>16</v>
      </c>
      <c r="H611" t="str">
        <f t="shared" si="135"/>
        <v/>
      </c>
      <c r="I611" t="str">
        <f t="shared" si="141"/>
        <v/>
      </c>
      <c r="J611">
        <f>IFERROR(IF(I611=0,"",COUNTIF($I$3:I611,"&gt;0")),"")</f>
        <v>34</v>
      </c>
      <c r="K611" t="str">
        <f t="shared" si="136"/>
        <v/>
      </c>
      <c r="L611" t="str">
        <f t="shared" si="142"/>
        <v/>
      </c>
      <c r="M611" t="str">
        <f t="shared" si="143"/>
        <v/>
      </c>
      <c r="N611">
        <f>IFERROR(IF(M611=0,"",COUNTIF($M$3:M611,"&gt;0")),"")</f>
        <v>33</v>
      </c>
      <c r="O611" t="str">
        <f t="shared" si="137"/>
        <v/>
      </c>
      <c r="P611" t="str">
        <f t="shared" si="144"/>
        <v/>
      </c>
      <c r="Q611" t="str">
        <f t="shared" si="145"/>
        <v/>
      </c>
      <c r="R611">
        <f>IFERROR(IF(Q611=0,"",COUNTIF($Q$3:Q611,"&gt;0")),"")</f>
        <v>16</v>
      </c>
      <c r="S611" t="str">
        <f t="shared" si="138"/>
        <v/>
      </c>
      <c r="T611" t="str">
        <f t="shared" si="146"/>
        <v/>
      </c>
      <c r="U611">
        <f>IFERROR(IF(T611=0,"",COUNTIF($T$3:T611,"&gt;0")),"")</f>
        <v>0</v>
      </c>
      <c r="V611" t="str">
        <f t="shared" si="139"/>
        <v/>
      </c>
    </row>
    <row r="612" spans="1:22">
      <c r="A612" t="e">
        <f t="shared" si="134"/>
        <v>#VALUE!</v>
      </c>
      <c r="B612" t="e">
        <f>Table4[[#This Row],[CATEGORY]]</f>
        <v>#VALUE!</v>
      </c>
      <c r="C612" t="e">
        <f>Table4[[#This Row],[SUB-CATEGORY]]</f>
        <v>#VALUE!</v>
      </c>
      <c r="D612">
        <f>'RJ ATTENDENCE SHEET'!C:C</f>
        <v>0</v>
      </c>
      <c r="E612" t="e">
        <f t="shared" si="133"/>
        <v>#VALUE!</v>
      </c>
      <c r="F612" t="str">
        <f t="shared" si="140"/>
        <v/>
      </c>
      <c r="G612">
        <f>IFERROR(IF(F612=0,"",COUNTIF($F$3:F612,"&gt;0")),"")</f>
        <v>16</v>
      </c>
      <c r="H612" t="str">
        <f t="shared" si="135"/>
        <v/>
      </c>
      <c r="I612" t="str">
        <f t="shared" si="141"/>
        <v/>
      </c>
      <c r="J612">
        <f>IFERROR(IF(I612=0,"",COUNTIF($I$3:I612,"&gt;0")),"")</f>
        <v>34</v>
      </c>
      <c r="K612" t="str">
        <f t="shared" si="136"/>
        <v/>
      </c>
      <c r="L612" t="str">
        <f t="shared" si="142"/>
        <v/>
      </c>
      <c r="M612" t="str">
        <f t="shared" si="143"/>
        <v/>
      </c>
      <c r="N612">
        <f>IFERROR(IF(M612=0,"",COUNTIF($M$3:M612,"&gt;0")),"")</f>
        <v>33</v>
      </c>
      <c r="O612" t="str">
        <f t="shared" si="137"/>
        <v/>
      </c>
      <c r="P612" t="str">
        <f t="shared" si="144"/>
        <v/>
      </c>
      <c r="Q612" t="str">
        <f t="shared" si="145"/>
        <v/>
      </c>
      <c r="R612">
        <f>IFERROR(IF(Q612=0,"",COUNTIF($Q$3:Q612,"&gt;0")),"")</f>
        <v>16</v>
      </c>
      <c r="S612" t="str">
        <f t="shared" si="138"/>
        <v/>
      </c>
      <c r="T612" t="str">
        <f t="shared" si="146"/>
        <v/>
      </c>
      <c r="U612">
        <f>IFERROR(IF(T612=0,"",COUNTIF($T$3:T612,"&gt;0")),"")</f>
        <v>0</v>
      </c>
      <c r="V612" t="str">
        <f t="shared" si="139"/>
        <v/>
      </c>
    </row>
    <row r="613" spans="1:22">
      <c r="A613" t="e">
        <f t="shared" si="134"/>
        <v>#VALUE!</v>
      </c>
      <c r="B613" t="e">
        <f>Table4[[#This Row],[CATEGORY]]</f>
        <v>#VALUE!</v>
      </c>
      <c r="C613" t="e">
        <f>Table4[[#This Row],[SUB-CATEGORY]]</f>
        <v>#VALUE!</v>
      </c>
      <c r="D613">
        <f>'RJ ATTENDENCE SHEET'!C:C</f>
        <v>0</v>
      </c>
      <c r="E613" t="e">
        <f t="shared" si="133"/>
        <v>#VALUE!</v>
      </c>
      <c r="F613" t="str">
        <f t="shared" si="140"/>
        <v/>
      </c>
      <c r="G613">
        <f>IFERROR(IF(F613=0,"",COUNTIF($F$3:F613,"&gt;0")),"")</f>
        <v>16</v>
      </c>
      <c r="H613" t="str">
        <f t="shared" si="135"/>
        <v/>
      </c>
      <c r="I613" t="str">
        <f t="shared" si="141"/>
        <v/>
      </c>
      <c r="J613">
        <f>IFERROR(IF(I613=0,"",COUNTIF($I$3:I613,"&gt;0")),"")</f>
        <v>34</v>
      </c>
      <c r="K613" t="str">
        <f t="shared" si="136"/>
        <v/>
      </c>
      <c r="L613" t="str">
        <f t="shared" si="142"/>
        <v/>
      </c>
      <c r="M613" t="str">
        <f t="shared" si="143"/>
        <v/>
      </c>
      <c r="N613">
        <f>IFERROR(IF(M613=0,"",COUNTIF($M$3:M613,"&gt;0")),"")</f>
        <v>33</v>
      </c>
      <c r="O613" t="str">
        <f t="shared" si="137"/>
        <v/>
      </c>
      <c r="P613" t="str">
        <f t="shared" si="144"/>
        <v/>
      </c>
      <c r="Q613" t="str">
        <f t="shared" si="145"/>
        <v/>
      </c>
      <c r="R613">
        <f>IFERROR(IF(Q613=0,"",COUNTIF($Q$3:Q613,"&gt;0")),"")</f>
        <v>16</v>
      </c>
      <c r="S613" t="str">
        <f t="shared" si="138"/>
        <v/>
      </c>
      <c r="T613" t="str">
        <f t="shared" si="146"/>
        <v/>
      </c>
      <c r="U613">
        <f>IFERROR(IF(T613=0,"",COUNTIF($T$3:T613,"&gt;0")),"")</f>
        <v>0</v>
      </c>
      <c r="V613" t="str">
        <f t="shared" si="139"/>
        <v/>
      </c>
    </row>
    <row r="614" spans="1:22">
      <c r="A614" t="e">
        <f t="shared" si="134"/>
        <v>#VALUE!</v>
      </c>
      <c r="B614" t="e">
        <f>Table4[[#This Row],[CATEGORY]]</f>
        <v>#VALUE!</v>
      </c>
      <c r="C614" t="e">
        <f>Table4[[#This Row],[SUB-CATEGORY]]</f>
        <v>#VALUE!</v>
      </c>
      <c r="D614">
        <f>'RJ ATTENDENCE SHEET'!C:C</f>
        <v>0</v>
      </c>
      <c r="E614" t="e">
        <f t="shared" si="133"/>
        <v>#VALUE!</v>
      </c>
      <c r="F614" t="str">
        <f t="shared" si="140"/>
        <v/>
      </c>
      <c r="G614">
        <f>IFERROR(IF(F614=0,"",COUNTIF($F$3:F614,"&gt;0")),"")</f>
        <v>16</v>
      </c>
      <c r="H614" t="str">
        <f t="shared" si="135"/>
        <v/>
      </c>
      <c r="I614" t="str">
        <f t="shared" si="141"/>
        <v/>
      </c>
      <c r="J614">
        <f>IFERROR(IF(I614=0,"",COUNTIF($I$3:I614,"&gt;0")),"")</f>
        <v>34</v>
      </c>
      <c r="K614" t="str">
        <f t="shared" si="136"/>
        <v/>
      </c>
      <c r="L614" t="str">
        <f t="shared" si="142"/>
        <v/>
      </c>
      <c r="M614" t="str">
        <f t="shared" si="143"/>
        <v/>
      </c>
      <c r="N614">
        <f>IFERROR(IF(M614=0,"",COUNTIF($M$3:M614,"&gt;0")),"")</f>
        <v>33</v>
      </c>
      <c r="O614" t="str">
        <f t="shared" si="137"/>
        <v/>
      </c>
      <c r="P614" t="str">
        <f t="shared" si="144"/>
        <v/>
      </c>
      <c r="Q614" t="str">
        <f t="shared" si="145"/>
        <v/>
      </c>
      <c r="R614">
        <f>IFERROR(IF(Q614=0,"",COUNTIF($Q$3:Q614,"&gt;0")),"")</f>
        <v>16</v>
      </c>
      <c r="S614" t="str">
        <f t="shared" si="138"/>
        <v/>
      </c>
      <c r="T614" t="str">
        <f t="shared" si="146"/>
        <v/>
      </c>
      <c r="U614">
        <f>IFERROR(IF(T614=0,"",COUNTIF($T$3:T614,"&gt;0")),"")</f>
        <v>0</v>
      </c>
      <c r="V614" t="str">
        <f t="shared" si="139"/>
        <v/>
      </c>
    </row>
    <row r="615" spans="1:22">
      <c r="A615" t="e">
        <f t="shared" si="134"/>
        <v>#VALUE!</v>
      </c>
      <c r="B615" t="e">
        <f>Table4[[#This Row],[CATEGORY]]</f>
        <v>#VALUE!</v>
      </c>
      <c r="C615" t="e">
        <f>Table4[[#This Row],[SUB-CATEGORY]]</f>
        <v>#VALUE!</v>
      </c>
      <c r="D615">
        <f>'RJ ATTENDENCE SHEET'!C:C</f>
        <v>0</v>
      </c>
      <c r="E615" t="e">
        <f t="shared" si="133"/>
        <v>#VALUE!</v>
      </c>
      <c r="F615" t="str">
        <f t="shared" si="140"/>
        <v/>
      </c>
      <c r="G615">
        <f>IFERROR(IF(F615=0,"",COUNTIF($F$3:F615,"&gt;0")),"")</f>
        <v>16</v>
      </c>
      <c r="H615" t="str">
        <f t="shared" si="135"/>
        <v/>
      </c>
      <c r="I615" t="str">
        <f t="shared" si="141"/>
        <v/>
      </c>
      <c r="J615">
        <f>IFERROR(IF(I615=0,"",COUNTIF($I$3:I615,"&gt;0")),"")</f>
        <v>34</v>
      </c>
      <c r="K615" t="str">
        <f t="shared" si="136"/>
        <v/>
      </c>
      <c r="L615" t="str">
        <f t="shared" si="142"/>
        <v/>
      </c>
      <c r="M615" t="str">
        <f t="shared" si="143"/>
        <v/>
      </c>
      <c r="N615">
        <f>IFERROR(IF(M615=0,"",COUNTIF($M$3:M615,"&gt;0")),"")</f>
        <v>33</v>
      </c>
      <c r="O615" t="str">
        <f t="shared" si="137"/>
        <v/>
      </c>
      <c r="P615" t="str">
        <f t="shared" si="144"/>
        <v/>
      </c>
      <c r="Q615" t="str">
        <f t="shared" si="145"/>
        <v/>
      </c>
      <c r="R615">
        <f>IFERROR(IF(Q615=0,"",COUNTIF($Q$3:Q615,"&gt;0")),"")</f>
        <v>16</v>
      </c>
      <c r="S615" t="str">
        <f t="shared" si="138"/>
        <v/>
      </c>
      <c r="T615" t="str">
        <f t="shared" si="146"/>
        <v/>
      </c>
      <c r="U615">
        <f>IFERROR(IF(T615=0,"",COUNTIF($T$3:T615,"&gt;0")),"")</f>
        <v>0</v>
      </c>
      <c r="V615" t="str">
        <f t="shared" si="139"/>
        <v/>
      </c>
    </row>
    <row r="616" spans="1:22">
      <c r="A616" t="e">
        <f t="shared" si="134"/>
        <v>#VALUE!</v>
      </c>
      <c r="B616" t="e">
        <f>Table4[[#This Row],[CATEGORY]]</f>
        <v>#VALUE!</v>
      </c>
      <c r="C616" t="e">
        <f>Table4[[#This Row],[SUB-CATEGORY]]</f>
        <v>#VALUE!</v>
      </c>
      <c r="D616">
        <f>'RJ ATTENDENCE SHEET'!C:C</f>
        <v>0</v>
      </c>
      <c r="E616" t="e">
        <f t="shared" si="133"/>
        <v>#VALUE!</v>
      </c>
      <c r="F616" t="str">
        <f t="shared" si="140"/>
        <v/>
      </c>
      <c r="G616">
        <f>IFERROR(IF(F616=0,"",COUNTIF($F$3:F616,"&gt;0")),"")</f>
        <v>16</v>
      </c>
      <c r="H616" t="str">
        <f t="shared" si="135"/>
        <v/>
      </c>
      <c r="I616" t="str">
        <f t="shared" si="141"/>
        <v/>
      </c>
      <c r="J616">
        <f>IFERROR(IF(I616=0,"",COUNTIF($I$3:I616,"&gt;0")),"")</f>
        <v>34</v>
      </c>
      <c r="K616" t="str">
        <f t="shared" si="136"/>
        <v/>
      </c>
      <c r="L616" t="str">
        <f t="shared" si="142"/>
        <v/>
      </c>
      <c r="M616" t="str">
        <f t="shared" si="143"/>
        <v/>
      </c>
      <c r="N616">
        <f>IFERROR(IF(M616=0,"",COUNTIF($M$3:M616,"&gt;0")),"")</f>
        <v>33</v>
      </c>
      <c r="O616" t="str">
        <f t="shared" si="137"/>
        <v/>
      </c>
      <c r="P616" t="str">
        <f t="shared" si="144"/>
        <v/>
      </c>
      <c r="Q616" t="str">
        <f t="shared" si="145"/>
        <v/>
      </c>
      <c r="R616">
        <f>IFERROR(IF(Q616=0,"",COUNTIF($Q$3:Q616,"&gt;0")),"")</f>
        <v>16</v>
      </c>
      <c r="S616" t="str">
        <f t="shared" si="138"/>
        <v/>
      </c>
      <c r="T616" t="str">
        <f t="shared" si="146"/>
        <v/>
      </c>
      <c r="U616">
        <f>IFERROR(IF(T616=0,"",COUNTIF($T$3:T616,"&gt;0")),"")</f>
        <v>0</v>
      </c>
      <c r="V616" t="str">
        <f t="shared" si="139"/>
        <v/>
      </c>
    </row>
    <row r="617" spans="1:22">
      <c r="A617" t="e">
        <f t="shared" si="134"/>
        <v>#VALUE!</v>
      </c>
      <c r="B617" t="e">
        <f>Table4[[#This Row],[CATEGORY]]</f>
        <v>#VALUE!</v>
      </c>
      <c r="C617" t="e">
        <f>Table4[[#This Row],[SUB-CATEGORY]]</f>
        <v>#VALUE!</v>
      </c>
      <c r="D617">
        <f>'RJ ATTENDENCE SHEET'!C:C</f>
        <v>0</v>
      </c>
      <c r="E617" t="e">
        <f t="shared" si="133"/>
        <v>#VALUE!</v>
      </c>
      <c r="F617" t="str">
        <f t="shared" si="140"/>
        <v/>
      </c>
      <c r="G617">
        <f>IFERROR(IF(F617=0,"",COUNTIF($F$3:F617,"&gt;0")),"")</f>
        <v>16</v>
      </c>
      <c r="H617" t="str">
        <f t="shared" si="135"/>
        <v/>
      </c>
      <c r="I617" t="str">
        <f t="shared" si="141"/>
        <v/>
      </c>
      <c r="J617">
        <f>IFERROR(IF(I617=0,"",COUNTIF($I$3:I617,"&gt;0")),"")</f>
        <v>34</v>
      </c>
      <c r="K617" t="str">
        <f t="shared" si="136"/>
        <v/>
      </c>
      <c r="L617" t="str">
        <f t="shared" si="142"/>
        <v/>
      </c>
      <c r="M617" t="str">
        <f t="shared" si="143"/>
        <v/>
      </c>
      <c r="N617">
        <f>IFERROR(IF(M617=0,"",COUNTIF($M$3:M617,"&gt;0")),"")</f>
        <v>33</v>
      </c>
      <c r="O617" t="str">
        <f t="shared" si="137"/>
        <v/>
      </c>
      <c r="P617" t="str">
        <f t="shared" si="144"/>
        <v/>
      </c>
      <c r="Q617" t="str">
        <f t="shared" si="145"/>
        <v/>
      </c>
      <c r="R617">
        <f>IFERROR(IF(Q617=0,"",COUNTIF($Q$3:Q617,"&gt;0")),"")</f>
        <v>16</v>
      </c>
      <c r="S617" t="str">
        <f t="shared" si="138"/>
        <v/>
      </c>
      <c r="T617" t="str">
        <f t="shared" si="146"/>
        <v/>
      </c>
      <c r="U617">
        <f>IFERROR(IF(T617=0,"",COUNTIF($T$3:T617,"&gt;0")),"")</f>
        <v>0</v>
      </c>
      <c r="V617" t="str">
        <f t="shared" si="139"/>
        <v/>
      </c>
    </row>
    <row r="618" spans="1:22">
      <c r="A618" t="e">
        <f t="shared" si="134"/>
        <v>#VALUE!</v>
      </c>
      <c r="B618" t="e">
        <f>Table4[[#This Row],[CATEGORY]]</f>
        <v>#VALUE!</v>
      </c>
      <c r="C618" t="e">
        <f>Table4[[#This Row],[SUB-CATEGORY]]</f>
        <v>#VALUE!</v>
      </c>
      <c r="D618">
        <f>'RJ ATTENDENCE SHEET'!C:C</f>
        <v>0</v>
      </c>
      <c r="E618" t="e">
        <f t="shared" si="133"/>
        <v>#VALUE!</v>
      </c>
      <c r="F618" t="str">
        <f t="shared" si="140"/>
        <v/>
      </c>
      <c r="G618">
        <f>IFERROR(IF(F618=0,"",COUNTIF($F$3:F618,"&gt;0")),"")</f>
        <v>16</v>
      </c>
      <c r="H618" t="str">
        <f t="shared" si="135"/>
        <v/>
      </c>
      <c r="I618" t="str">
        <f t="shared" si="141"/>
        <v/>
      </c>
      <c r="J618">
        <f>IFERROR(IF(I618=0,"",COUNTIF($I$3:I618,"&gt;0")),"")</f>
        <v>34</v>
      </c>
      <c r="K618" t="str">
        <f t="shared" si="136"/>
        <v/>
      </c>
      <c r="L618" t="str">
        <f t="shared" si="142"/>
        <v/>
      </c>
      <c r="M618" t="str">
        <f t="shared" si="143"/>
        <v/>
      </c>
      <c r="N618">
        <f>IFERROR(IF(M618=0,"",COUNTIF($M$3:M618,"&gt;0")),"")</f>
        <v>33</v>
      </c>
      <c r="O618" t="str">
        <f t="shared" si="137"/>
        <v/>
      </c>
      <c r="P618" t="str">
        <f t="shared" si="144"/>
        <v/>
      </c>
      <c r="Q618" t="str">
        <f t="shared" si="145"/>
        <v/>
      </c>
      <c r="R618">
        <f>IFERROR(IF(Q618=0,"",COUNTIF($Q$3:Q618,"&gt;0")),"")</f>
        <v>16</v>
      </c>
      <c r="S618" t="str">
        <f t="shared" si="138"/>
        <v/>
      </c>
      <c r="T618" t="str">
        <f t="shared" si="146"/>
        <v/>
      </c>
      <c r="U618">
        <f>IFERROR(IF(T618=0,"",COUNTIF($T$3:T618,"&gt;0")),"")</f>
        <v>0</v>
      </c>
      <c r="V618" t="str">
        <f t="shared" si="139"/>
        <v/>
      </c>
    </row>
    <row r="619" spans="1:22">
      <c r="A619" t="e">
        <f t="shared" si="134"/>
        <v>#VALUE!</v>
      </c>
      <c r="B619" t="e">
        <f>Table4[[#This Row],[CATEGORY]]</f>
        <v>#VALUE!</v>
      </c>
      <c r="C619" t="e">
        <f>Table4[[#This Row],[SUB-CATEGORY]]</f>
        <v>#VALUE!</v>
      </c>
      <c r="D619">
        <f>'RJ ATTENDENCE SHEET'!C:C</f>
        <v>0</v>
      </c>
      <c r="E619" t="e">
        <f t="shared" si="133"/>
        <v>#VALUE!</v>
      </c>
      <c r="F619" t="str">
        <f t="shared" si="140"/>
        <v/>
      </c>
      <c r="G619">
        <f>IFERROR(IF(F619=0,"",COUNTIF($F$3:F619,"&gt;0")),"")</f>
        <v>16</v>
      </c>
      <c r="H619" t="str">
        <f t="shared" si="135"/>
        <v/>
      </c>
      <c r="I619" t="str">
        <f t="shared" si="141"/>
        <v/>
      </c>
      <c r="J619">
        <f>IFERROR(IF(I619=0,"",COUNTIF($I$3:I619,"&gt;0")),"")</f>
        <v>34</v>
      </c>
      <c r="K619" t="str">
        <f t="shared" si="136"/>
        <v/>
      </c>
      <c r="L619" t="str">
        <f t="shared" si="142"/>
        <v/>
      </c>
      <c r="M619" t="str">
        <f t="shared" si="143"/>
        <v/>
      </c>
      <c r="N619">
        <f>IFERROR(IF(M619=0,"",COUNTIF($M$3:M619,"&gt;0")),"")</f>
        <v>33</v>
      </c>
      <c r="O619" t="str">
        <f t="shared" si="137"/>
        <v/>
      </c>
      <c r="P619" t="str">
        <f t="shared" si="144"/>
        <v/>
      </c>
      <c r="Q619" t="str">
        <f t="shared" si="145"/>
        <v/>
      </c>
      <c r="R619">
        <f>IFERROR(IF(Q619=0,"",COUNTIF($Q$3:Q619,"&gt;0")),"")</f>
        <v>16</v>
      </c>
      <c r="S619" t="str">
        <f t="shared" si="138"/>
        <v/>
      </c>
      <c r="T619" t="str">
        <f t="shared" si="146"/>
        <v/>
      </c>
      <c r="U619">
        <f>IFERROR(IF(T619=0,"",COUNTIF($T$3:T619,"&gt;0")),"")</f>
        <v>0</v>
      </c>
      <c r="V619" t="str">
        <f t="shared" si="139"/>
        <v/>
      </c>
    </row>
    <row r="620" spans="1:22">
      <c r="A620" t="e">
        <f t="shared" si="134"/>
        <v>#VALUE!</v>
      </c>
      <c r="B620" t="e">
        <f>Table4[[#This Row],[CATEGORY]]</f>
        <v>#VALUE!</v>
      </c>
      <c r="C620" t="e">
        <f>Table4[[#This Row],[SUB-CATEGORY]]</f>
        <v>#VALUE!</v>
      </c>
      <c r="D620">
        <f>'RJ ATTENDENCE SHEET'!C:C</f>
        <v>0</v>
      </c>
      <c r="E620" t="e">
        <f t="shared" si="133"/>
        <v>#VALUE!</v>
      </c>
      <c r="F620" t="str">
        <f t="shared" si="140"/>
        <v/>
      </c>
      <c r="G620">
        <f>IFERROR(IF(F620=0,"",COUNTIF($F$3:F620,"&gt;0")),"")</f>
        <v>16</v>
      </c>
      <c r="H620" t="str">
        <f t="shared" si="135"/>
        <v/>
      </c>
      <c r="I620" t="str">
        <f t="shared" si="141"/>
        <v/>
      </c>
      <c r="J620">
        <f>IFERROR(IF(I620=0,"",COUNTIF($I$3:I620,"&gt;0")),"")</f>
        <v>34</v>
      </c>
      <c r="K620" t="str">
        <f t="shared" si="136"/>
        <v/>
      </c>
      <c r="L620" t="str">
        <f t="shared" si="142"/>
        <v/>
      </c>
      <c r="M620" t="str">
        <f t="shared" si="143"/>
        <v/>
      </c>
      <c r="N620">
        <f>IFERROR(IF(M620=0,"",COUNTIF($M$3:M620,"&gt;0")),"")</f>
        <v>33</v>
      </c>
      <c r="O620" t="str">
        <f t="shared" si="137"/>
        <v/>
      </c>
      <c r="P620" t="str">
        <f t="shared" si="144"/>
        <v/>
      </c>
      <c r="Q620" t="str">
        <f t="shared" si="145"/>
        <v/>
      </c>
      <c r="R620">
        <f>IFERROR(IF(Q620=0,"",COUNTIF($Q$3:Q620,"&gt;0")),"")</f>
        <v>16</v>
      </c>
      <c r="S620" t="str">
        <f t="shared" si="138"/>
        <v/>
      </c>
      <c r="T620" t="str">
        <f t="shared" si="146"/>
        <v/>
      </c>
      <c r="U620">
        <f>IFERROR(IF(T620=0,"",COUNTIF($T$3:T620,"&gt;0")),"")</f>
        <v>0</v>
      </c>
      <c r="V620" t="str">
        <f t="shared" si="139"/>
        <v/>
      </c>
    </row>
    <row r="621" spans="1:22">
      <c r="A621" t="e">
        <f t="shared" si="134"/>
        <v>#VALUE!</v>
      </c>
      <c r="B621" t="e">
        <f>Table4[[#This Row],[CATEGORY]]</f>
        <v>#VALUE!</v>
      </c>
      <c r="C621" t="e">
        <f>Table4[[#This Row],[SUB-CATEGORY]]</f>
        <v>#VALUE!</v>
      </c>
      <c r="D621">
        <f>'RJ ATTENDENCE SHEET'!C:C</f>
        <v>0</v>
      </c>
      <c r="E621" t="e">
        <f t="shared" si="133"/>
        <v>#VALUE!</v>
      </c>
      <c r="F621" t="str">
        <f t="shared" si="140"/>
        <v/>
      </c>
      <c r="G621">
        <f>IFERROR(IF(F621=0,"",COUNTIF($F$3:F621,"&gt;0")),"")</f>
        <v>16</v>
      </c>
      <c r="H621" t="str">
        <f t="shared" si="135"/>
        <v/>
      </c>
      <c r="I621" t="str">
        <f t="shared" si="141"/>
        <v/>
      </c>
      <c r="J621">
        <f>IFERROR(IF(I621=0,"",COUNTIF($I$3:I621,"&gt;0")),"")</f>
        <v>34</v>
      </c>
      <c r="K621" t="str">
        <f t="shared" si="136"/>
        <v/>
      </c>
      <c r="L621" t="str">
        <f t="shared" si="142"/>
        <v/>
      </c>
      <c r="M621" t="str">
        <f t="shared" si="143"/>
        <v/>
      </c>
      <c r="N621">
        <f>IFERROR(IF(M621=0,"",COUNTIF($M$3:M621,"&gt;0")),"")</f>
        <v>33</v>
      </c>
      <c r="O621" t="str">
        <f t="shared" si="137"/>
        <v/>
      </c>
      <c r="P621" t="str">
        <f t="shared" si="144"/>
        <v/>
      </c>
      <c r="Q621" t="str">
        <f t="shared" si="145"/>
        <v/>
      </c>
      <c r="R621">
        <f>IFERROR(IF(Q621=0,"",COUNTIF($Q$3:Q621,"&gt;0")),"")</f>
        <v>16</v>
      </c>
      <c r="S621" t="str">
        <f t="shared" si="138"/>
        <v/>
      </c>
      <c r="T621" t="str">
        <f t="shared" si="146"/>
        <v/>
      </c>
      <c r="U621">
        <f>IFERROR(IF(T621=0,"",COUNTIF($T$3:T621,"&gt;0")),"")</f>
        <v>0</v>
      </c>
      <c r="V621" t="str">
        <f t="shared" si="139"/>
        <v/>
      </c>
    </row>
    <row r="622" spans="1:22">
      <c r="A622" t="e">
        <f t="shared" si="134"/>
        <v>#VALUE!</v>
      </c>
      <c r="B622" t="e">
        <f>Table4[[#This Row],[CATEGORY]]</f>
        <v>#VALUE!</v>
      </c>
      <c r="C622" t="e">
        <f>Table4[[#This Row],[SUB-CATEGORY]]</f>
        <v>#VALUE!</v>
      </c>
      <c r="D622">
        <f>'RJ ATTENDENCE SHEET'!C:C</f>
        <v>0</v>
      </c>
      <c r="E622" t="e">
        <f t="shared" si="133"/>
        <v>#VALUE!</v>
      </c>
      <c r="F622" t="str">
        <f t="shared" si="140"/>
        <v/>
      </c>
      <c r="G622">
        <f>IFERROR(IF(F622=0,"",COUNTIF($F$3:F622,"&gt;0")),"")</f>
        <v>16</v>
      </c>
      <c r="H622" t="str">
        <f t="shared" si="135"/>
        <v/>
      </c>
      <c r="I622" t="str">
        <f t="shared" si="141"/>
        <v/>
      </c>
      <c r="J622">
        <f>IFERROR(IF(I622=0,"",COUNTIF($I$3:I622,"&gt;0")),"")</f>
        <v>34</v>
      </c>
      <c r="K622" t="str">
        <f t="shared" si="136"/>
        <v/>
      </c>
      <c r="L622" t="str">
        <f t="shared" si="142"/>
        <v/>
      </c>
      <c r="M622" t="str">
        <f t="shared" si="143"/>
        <v/>
      </c>
      <c r="N622">
        <f>IFERROR(IF(M622=0,"",COUNTIF($M$3:M622,"&gt;0")),"")</f>
        <v>33</v>
      </c>
      <c r="O622" t="str">
        <f t="shared" si="137"/>
        <v/>
      </c>
      <c r="P622" t="str">
        <f t="shared" si="144"/>
        <v/>
      </c>
      <c r="Q622" t="str">
        <f t="shared" si="145"/>
        <v/>
      </c>
      <c r="R622">
        <f>IFERROR(IF(Q622=0,"",COUNTIF($Q$3:Q622,"&gt;0")),"")</f>
        <v>16</v>
      </c>
      <c r="S622" t="str">
        <f t="shared" si="138"/>
        <v/>
      </c>
      <c r="T622" t="str">
        <f t="shared" si="146"/>
        <v/>
      </c>
      <c r="U622">
        <f>IFERROR(IF(T622=0,"",COUNTIF($T$3:T622,"&gt;0")),"")</f>
        <v>0</v>
      </c>
      <c r="V622" t="str">
        <f t="shared" si="139"/>
        <v/>
      </c>
    </row>
    <row r="623" spans="1:22">
      <c r="A623" t="e">
        <f t="shared" si="134"/>
        <v>#VALUE!</v>
      </c>
      <c r="B623" t="e">
        <f>Table4[[#This Row],[CATEGORY]]</f>
        <v>#VALUE!</v>
      </c>
      <c r="C623" t="e">
        <f>Table4[[#This Row],[SUB-CATEGORY]]</f>
        <v>#VALUE!</v>
      </c>
      <c r="D623">
        <f>'RJ ATTENDENCE SHEET'!C:C</f>
        <v>0</v>
      </c>
      <c r="E623" t="e">
        <f t="shared" si="133"/>
        <v>#VALUE!</v>
      </c>
      <c r="F623" t="str">
        <f t="shared" si="140"/>
        <v/>
      </c>
      <c r="G623">
        <f>IFERROR(IF(F623=0,"",COUNTIF($F$3:F623,"&gt;0")),"")</f>
        <v>16</v>
      </c>
      <c r="H623" t="str">
        <f t="shared" si="135"/>
        <v/>
      </c>
      <c r="I623" t="str">
        <f t="shared" si="141"/>
        <v/>
      </c>
      <c r="J623">
        <f>IFERROR(IF(I623=0,"",COUNTIF($I$3:I623,"&gt;0")),"")</f>
        <v>34</v>
      </c>
      <c r="K623" t="str">
        <f t="shared" si="136"/>
        <v/>
      </c>
      <c r="L623" t="str">
        <f t="shared" si="142"/>
        <v/>
      </c>
      <c r="M623" t="str">
        <f t="shared" si="143"/>
        <v/>
      </c>
      <c r="N623">
        <f>IFERROR(IF(M623=0,"",COUNTIF($M$3:M623,"&gt;0")),"")</f>
        <v>33</v>
      </c>
      <c r="O623" t="str">
        <f t="shared" si="137"/>
        <v/>
      </c>
      <c r="P623" t="str">
        <f t="shared" si="144"/>
        <v/>
      </c>
      <c r="Q623" t="str">
        <f t="shared" si="145"/>
        <v/>
      </c>
      <c r="R623">
        <f>IFERROR(IF(Q623=0,"",COUNTIF($Q$3:Q623,"&gt;0")),"")</f>
        <v>16</v>
      </c>
      <c r="S623" t="str">
        <f t="shared" si="138"/>
        <v/>
      </c>
      <c r="T623" t="str">
        <f t="shared" si="146"/>
        <v/>
      </c>
      <c r="U623">
        <f>IFERROR(IF(T623=0,"",COUNTIF($T$3:T623,"&gt;0")),"")</f>
        <v>0</v>
      </c>
      <c r="V623" t="str">
        <f t="shared" si="139"/>
        <v/>
      </c>
    </row>
    <row r="624" spans="1:22">
      <c r="A624" t="e">
        <f t="shared" si="134"/>
        <v>#VALUE!</v>
      </c>
      <c r="B624" t="e">
        <f>Table4[[#This Row],[CATEGORY]]</f>
        <v>#VALUE!</v>
      </c>
      <c r="C624" t="e">
        <f>Table4[[#This Row],[SUB-CATEGORY]]</f>
        <v>#VALUE!</v>
      </c>
      <c r="D624">
        <f>'RJ ATTENDENCE SHEET'!C:C</f>
        <v>0</v>
      </c>
      <c r="E624" t="e">
        <f t="shared" si="133"/>
        <v>#VALUE!</v>
      </c>
      <c r="F624" t="str">
        <f t="shared" si="140"/>
        <v/>
      </c>
      <c r="G624">
        <f>IFERROR(IF(F624=0,"",COUNTIF($F$3:F624,"&gt;0")),"")</f>
        <v>16</v>
      </c>
      <c r="H624" t="str">
        <f t="shared" si="135"/>
        <v/>
      </c>
      <c r="I624" t="str">
        <f t="shared" si="141"/>
        <v/>
      </c>
      <c r="J624">
        <f>IFERROR(IF(I624=0,"",COUNTIF($I$3:I624,"&gt;0")),"")</f>
        <v>34</v>
      </c>
      <c r="K624" t="str">
        <f t="shared" si="136"/>
        <v/>
      </c>
      <c r="L624" t="str">
        <f t="shared" si="142"/>
        <v/>
      </c>
      <c r="M624" t="str">
        <f t="shared" si="143"/>
        <v/>
      </c>
      <c r="N624">
        <f>IFERROR(IF(M624=0,"",COUNTIF($M$3:M624,"&gt;0")),"")</f>
        <v>33</v>
      </c>
      <c r="O624" t="str">
        <f t="shared" si="137"/>
        <v/>
      </c>
      <c r="P624" t="str">
        <f t="shared" si="144"/>
        <v/>
      </c>
      <c r="Q624" t="str">
        <f t="shared" si="145"/>
        <v/>
      </c>
      <c r="R624">
        <f>IFERROR(IF(Q624=0,"",COUNTIF($Q$3:Q624,"&gt;0")),"")</f>
        <v>16</v>
      </c>
      <c r="S624" t="str">
        <f t="shared" si="138"/>
        <v/>
      </c>
      <c r="T624" t="str">
        <f t="shared" si="146"/>
        <v/>
      </c>
      <c r="U624">
        <f>IFERROR(IF(T624=0,"",COUNTIF($T$3:T624,"&gt;0")),"")</f>
        <v>0</v>
      </c>
      <c r="V624" t="str">
        <f t="shared" si="139"/>
        <v/>
      </c>
    </row>
    <row r="625" spans="1:22">
      <c r="A625" t="e">
        <f t="shared" si="134"/>
        <v>#VALUE!</v>
      </c>
      <c r="B625" t="e">
        <f>Table4[[#This Row],[CATEGORY]]</f>
        <v>#VALUE!</v>
      </c>
      <c r="C625" t="e">
        <f>Table4[[#This Row],[SUB-CATEGORY]]</f>
        <v>#VALUE!</v>
      </c>
      <c r="D625">
        <f>'RJ ATTENDENCE SHEET'!C:C</f>
        <v>0</v>
      </c>
      <c r="E625" t="e">
        <f t="shared" si="133"/>
        <v>#VALUE!</v>
      </c>
      <c r="F625" t="str">
        <f t="shared" si="140"/>
        <v/>
      </c>
      <c r="G625">
        <f>IFERROR(IF(F625=0,"",COUNTIF($F$3:F625,"&gt;0")),"")</f>
        <v>16</v>
      </c>
      <c r="H625" t="str">
        <f t="shared" si="135"/>
        <v/>
      </c>
      <c r="I625" t="str">
        <f t="shared" si="141"/>
        <v/>
      </c>
      <c r="J625">
        <f>IFERROR(IF(I625=0,"",COUNTIF($I$3:I625,"&gt;0")),"")</f>
        <v>34</v>
      </c>
      <c r="K625" t="str">
        <f t="shared" si="136"/>
        <v/>
      </c>
      <c r="L625" t="str">
        <f t="shared" si="142"/>
        <v/>
      </c>
      <c r="M625" t="str">
        <f t="shared" si="143"/>
        <v/>
      </c>
      <c r="N625">
        <f>IFERROR(IF(M625=0,"",COUNTIF($M$3:M625,"&gt;0")),"")</f>
        <v>33</v>
      </c>
      <c r="O625" t="str">
        <f t="shared" si="137"/>
        <v/>
      </c>
      <c r="P625" t="str">
        <f t="shared" si="144"/>
        <v/>
      </c>
      <c r="Q625" t="str">
        <f t="shared" si="145"/>
        <v/>
      </c>
      <c r="R625">
        <f>IFERROR(IF(Q625=0,"",COUNTIF($Q$3:Q625,"&gt;0")),"")</f>
        <v>16</v>
      </c>
      <c r="S625" t="str">
        <f t="shared" si="138"/>
        <v/>
      </c>
      <c r="T625" t="str">
        <f t="shared" si="146"/>
        <v/>
      </c>
      <c r="U625">
        <f>IFERROR(IF(T625=0,"",COUNTIF($T$3:T625,"&gt;0")),"")</f>
        <v>0</v>
      </c>
      <c r="V625" t="str">
        <f t="shared" si="139"/>
        <v/>
      </c>
    </row>
    <row r="626" spans="1:22">
      <c r="A626" t="e">
        <f t="shared" si="134"/>
        <v>#VALUE!</v>
      </c>
      <c r="B626" t="e">
        <f>Table4[[#This Row],[CATEGORY]]</f>
        <v>#VALUE!</v>
      </c>
      <c r="C626" t="e">
        <f>Table4[[#This Row],[SUB-CATEGORY]]</f>
        <v>#VALUE!</v>
      </c>
      <c r="D626">
        <f>'RJ ATTENDENCE SHEET'!C:C</f>
        <v>0</v>
      </c>
      <c r="E626" t="e">
        <f t="shared" si="133"/>
        <v>#VALUE!</v>
      </c>
      <c r="F626" t="str">
        <f t="shared" si="140"/>
        <v/>
      </c>
      <c r="G626">
        <f>IFERROR(IF(F626=0,"",COUNTIF($F$3:F626,"&gt;0")),"")</f>
        <v>16</v>
      </c>
      <c r="H626" t="str">
        <f t="shared" si="135"/>
        <v/>
      </c>
      <c r="I626" t="str">
        <f t="shared" si="141"/>
        <v/>
      </c>
      <c r="J626">
        <f>IFERROR(IF(I626=0,"",COUNTIF($I$3:I626,"&gt;0")),"")</f>
        <v>34</v>
      </c>
      <c r="K626" t="str">
        <f t="shared" si="136"/>
        <v/>
      </c>
      <c r="L626" t="str">
        <f t="shared" si="142"/>
        <v/>
      </c>
      <c r="M626" t="str">
        <f t="shared" si="143"/>
        <v/>
      </c>
      <c r="N626">
        <f>IFERROR(IF(M626=0,"",COUNTIF($M$3:M626,"&gt;0")),"")</f>
        <v>33</v>
      </c>
      <c r="O626" t="str">
        <f t="shared" si="137"/>
        <v/>
      </c>
      <c r="P626" t="str">
        <f t="shared" si="144"/>
        <v/>
      </c>
      <c r="Q626" t="str">
        <f t="shared" si="145"/>
        <v/>
      </c>
      <c r="R626">
        <f>IFERROR(IF(Q626=0,"",COUNTIF($Q$3:Q626,"&gt;0")),"")</f>
        <v>16</v>
      </c>
      <c r="S626" t="str">
        <f t="shared" si="138"/>
        <v/>
      </c>
      <c r="T626" t="str">
        <f t="shared" si="146"/>
        <v/>
      </c>
      <c r="U626">
        <f>IFERROR(IF(T626=0,"",COUNTIF($T$3:T626,"&gt;0")),"")</f>
        <v>0</v>
      </c>
      <c r="V626" t="str">
        <f t="shared" si="139"/>
        <v/>
      </c>
    </row>
    <row r="627" spans="1:22">
      <c r="A627" t="e">
        <f t="shared" si="134"/>
        <v>#VALUE!</v>
      </c>
      <c r="B627" t="e">
        <f>Table4[[#This Row],[CATEGORY]]</f>
        <v>#VALUE!</v>
      </c>
      <c r="C627" t="e">
        <f>Table4[[#This Row],[SUB-CATEGORY]]</f>
        <v>#VALUE!</v>
      </c>
      <c r="D627">
        <f>'RJ ATTENDENCE SHEET'!C:C</f>
        <v>0</v>
      </c>
      <c r="E627" t="e">
        <f t="shared" si="133"/>
        <v>#VALUE!</v>
      </c>
      <c r="F627" t="str">
        <f t="shared" si="140"/>
        <v/>
      </c>
      <c r="G627">
        <f>IFERROR(IF(F627=0,"",COUNTIF($F$3:F627,"&gt;0")),"")</f>
        <v>16</v>
      </c>
      <c r="H627" t="str">
        <f t="shared" si="135"/>
        <v/>
      </c>
      <c r="I627" t="str">
        <f t="shared" si="141"/>
        <v/>
      </c>
      <c r="J627">
        <f>IFERROR(IF(I627=0,"",COUNTIF($I$3:I627,"&gt;0")),"")</f>
        <v>34</v>
      </c>
      <c r="K627" t="str">
        <f t="shared" si="136"/>
        <v/>
      </c>
      <c r="L627" t="str">
        <f t="shared" si="142"/>
        <v/>
      </c>
      <c r="M627" t="str">
        <f t="shared" si="143"/>
        <v/>
      </c>
      <c r="N627">
        <f>IFERROR(IF(M627=0,"",COUNTIF($M$3:M627,"&gt;0")),"")</f>
        <v>33</v>
      </c>
      <c r="O627" t="str">
        <f t="shared" si="137"/>
        <v/>
      </c>
      <c r="P627" t="str">
        <f t="shared" si="144"/>
        <v/>
      </c>
      <c r="Q627" t="str">
        <f t="shared" si="145"/>
        <v/>
      </c>
      <c r="R627">
        <f>IFERROR(IF(Q627=0,"",COUNTIF($Q$3:Q627,"&gt;0")),"")</f>
        <v>16</v>
      </c>
      <c r="S627" t="str">
        <f t="shared" si="138"/>
        <v/>
      </c>
      <c r="T627" t="str">
        <f t="shared" si="146"/>
        <v/>
      </c>
      <c r="U627">
        <f>IFERROR(IF(T627=0,"",COUNTIF($T$3:T627,"&gt;0")),"")</f>
        <v>0</v>
      </c>
      <c r="V627" t="str">
        <f t="shared" si="139"/>
        <v/>
      </c>
    </row>
    <row r="628" spans="1:22">
      <c r="A628" t="e">
        <f t="shared" si="134"/>
        <v>#VALUE!</v>
      </c>
      <c r="B628" t="e">
        <f>Table4[[#This Row],[CATEGORY]]</f>
        <v>#VALUE!</v>
      </c>
      <c r="C628" t="e">
        <f>Table4[[#This Row],[SUB-CATEGORY]]</f>
        <v>#VALUE!</v>
      </c>
      <c r="D628">
        <f>'RJ ATTENDENCE SHEET'!C:C</f>
        <v>0</v>
      </c>
      <c r="E628" t="e">
        <f t="shared" si="133"/>
        <v>#VALUE!</v>
      </c>
      <c r="F628" t="str">
        <f t="shared" si="140"/>
        <v/>
      </c>
      <c r="G628">
        <f>IFERROR(IF(F628=0,"",COUNTIF($F$3:F628,"&gt;0")),"")</f>
        <v>16</v>
      </c>
      <c r="H628" t="str">
        <f t="shared" si="135"/>
        <v/>
      </c>
      <c r="I628" t="str">
        <f t="shared" si="141"/>
        <v/>
      </c>
      <c r="J628">
        <f>IFERROR(IF(I628=0,"",COUNTIF($I$3:I628,"&gt;0")),"")</f>
        <v>34</v>
      </c>
      <c r="K628" t="str">
        <f t="shared" si="136"/>
        <v/>
      </c>
      <c r="L628" t="str">
        <f t="shared" si="142"/>
        <v/>
      </c>
      <c r="M628" t="str">
        <f t="shared" si="143"/>
        <v/>
      </c>
      <c r="N628">
        <f>IFERROR(IF(M628=0,"",COUNTIF($M$3:M628,"&gt;0")),"")</f>
        <v>33</v>
      </c>
      <c r="O628" t="str">
        <f t="shared" si="137"/>
        <v/>
      </c>
      <c r="P628" t="str">
        <f t="shared" si="144"/>
        <v/>
      </c>
      <c r="Q628" t="str">
        <f t="shared" si="145"/>
        <v/>
      </c>
      <c r="R628">
        <f>IFERROR(IF(Q628=0,"",COUNTIF($Q$3:Q628,"&gt;0")),"")</f>
        <v>16</v>
      </c>
      <c r="S628" t="str">
        <f t="shared" si="138"/>
        <v/>
      </c>
      <c r="T628" t="str">
        <f t="shared" si="146"/>
        <v/>
      </c>
      <c r="U628">
        <f>IFERROR(IF(T628=0,"",COUNTIF($T$3:T628,"&gt;0")),"")</f>
        <v>0</v>
      </c>
      <c r="V628" t="str">
        <f t="shared" si="139"/>
        <v/>
      </c>
    </row>
    <row r="629" spans="1:22">
      <c r="A629" t="e">
        <f t="shared" si="134"/>
        <v>#VALUE!</v>
      </c>
      <c r="B629" t="e">
        <f>Table4[[#This Row],[CATEGORY]]</f>
        <v>#VALUE!</v>
      </c>
      <c r="C629" t="e">
        <f>Table4[[#This Row],[SUB-CATEGORY]]</f>
        <v>#VALUE!</v>
      </c>
      <c r="D629">
        <f>'RJ ATTENDENCE SHEET'!C:C</f>
        <v>0</v>
      </c>
      <c r="E629" t="e">
        <f t="shared" si="133"/>
        <v>#VALUE!</v>
      </c>
      <c r="F629" t="str">
        <f t="shared" si="140"/>
        <v/>
      </c>
      <c r="G629">
        <f>IFERROR(IF(F629=0,"",COUNTIF($F$3:F629,"&gt;0")),"")</f>
        <v>16</v>
      </c>
      <c r="H629" t="str">
        <f t="shared" si="135"/>
        <v/>
      </c>
      <c r="I629" t="str">
        <f t="shared" si="141"/>
        <v/>
      </c>
      <c r="J629">
        <f>IFERROR(IF(I629=0,"",COUNTIF($I$3:I629,"&gt;0")),"")</f>
        <v>34</v>
      </c>
      <c r="K629" t="str">
        <f t="shared" si="136"/>
        <v/>
      </c>
      <c r="L629" t="str">
        <f t="shared" si="142"/>
        <v/>
      </c>
      <c r="M629" t="str">
        <f t="shared" si="143"/>
        <v/>
      </c>
      <c r="N629">
        <f>IFERROR(IF(M629=0,"",COUNTIF($M$3:M629,"&gt;0")),"")</f>
        <v>33</v>
      </c>
      <c r="O629" t="str">
        <f t="shared" si="137"/>
        <v/>
      </c>
      <c r="P629" t="str">
        <f t="shared" si="144"/>
        <v/>
      </c>
      <c r="Q629" t="str">
        <f t="shared" si="145"/>
        <v/>
      </c>
      <c r="R629">
        <f>IFERROR(IF(Q629=0,"",COUNTIF($Q$3:Q629,"&gt;0")),"")</f>
        <v>16</v>
      </c>
      <c r="S629" t="str">
        <f t="shared" si="138"/>
        <v/>
      </c>
      <c r="T629" t="str">
        <f t="shared" si="146"/>
        <v/>
      </c>
      <c r="U629">
        <f>IFERROR(IF(T629=0,"",COUNTIF($T$3:T629,"&gt;0")),"")</f>
        <v>0</v>
      </c>
      <c r="V629" t="str">
        <f t="shared" si="139"/>
        <v/>
      </c>
    </row>
    <row r="630" spans="1:22">
      <c r="A630" t="e">
        <f t="shared" si="134"/>
        <v>#VALUE!</v>
      </c>
      <c r="B630" t="e">
        <f>Table4[[#This Row],[CATEGORY]]</f>
        <v>#VALUE!</v>
      </c>
      <c r="C630" t="e">
        <f>Table4[[#This Row],[SUB-CATEGORY]]</f>
        <v>#VALUE!</v>
      </c>
      <c r="D630">
        <f>'RJ ATTENDENCE SHEET'!C:C</f>
        <v>0</v>
      </c>
      <c r="E630" t="e">
        <f t="shared" si="133"/>
        <v>#VALUE!</v>
      </c>
      <c r="F630" t="str">
        <f t="shared" si="140"/>
        <v/>
      </c>
      <c r="G630">
        <f>IFERROR(IF(F630=0,"",COUNTIF($F$3:F630,"&gt;0")),"")</f>
        <v>16</v>
      </c>
      <c r="H630" t="str">
        <f t="shared" si="135"/>
        <v/>
      </c>
      <c r="I630" t="str">
        <f t="shared" si="141"/>
        <v/>
      </c>
      <c r="J630">
        <f>IFERROR(IF(I630=0,"",COUNTIF($I$3:I630,"&gt;0")),"")</f>
        <v>34</v>
      </c>
      <c r="K630" t="str">
        <f t="shared" si="136"/>
        <v/>
      </c>
      <c r="L630" t="str">
        <f t="shared" si="142"/>
        <v/>
      </c>
      <c r="M630" t="str">
        <f t="shared" si="143"/>
        <v/>
      </c>
      <c r="N630">
        <f>IFERROR(IF(M630=0,"",COUNTIF($M$3:M630,"&gt;0")),"")</f>
        <v>33</v>
      </c>
      <c r="O630" t="str">
        <f t="shared" si="137"/>
        <v/>
      </c>
      <c r="P630" t="str">
        <f t="shared" si="144"/>
        <v/>
      </c>
      <c r="Q630" t="str">
        <f t="shared" si="145"/>
        <v/>
      </c>
      <c r="R630">
        <f>IFERROR(IF(Q630=0,"",COUNTIF($Q$3:Q630,"&gt;0")),"")</f>
        <v>16</v>
      </c>
      <c r="S630" t="str">
        <f t="shared" si="138"/>
        <v/>
      </c>
      <c r="T630" t="str">
        <f t="shared" si="146"/>
        <v/>
      </c>
      <c r="U630">
        <f>IFERROR(IF(T630=0,"",COUNTIF($T$3:T630,"&gt;0")),"")</f>
        <v>0</v>
      </c>
      <c r="V630" t="str">
        <f t="shared" si="139"/>
        <v/>
      </c>
    </row>
    <row r="631" spans="1:22">
      <c r="A631" t="e">
        <f t="shared" si="134"/>
        <v>#VALUE!</v>
      </c>
      <c r="B631" t="e">
        <f>Table4[[#This Row],[CATEGORY]]</f>
        <v>#VALUE!</v>
      </c>
      <c r="C631" t="e">
        <f>Table4[[#This Row],[SUB-CATEGORY]]</f>
        <v>#VALUE!</v>
      </c>
      <c r="D631">
        <f>'RJ ATTENDENCE SHEET'!C:C</f>
        <v>0</v>
      </c>
      <c r="E631" t="e">
        <f t="shared" si="133"/>
        <v>#VALUE!</v>
      </c>
      <c r="F631" t="str">
        <f t="shared" si="140"/>
        <v/>
      </c>
      <c r="G631">
        <f>IFERROR(IF(F631=0,"",COUNTIF($F$3:F631,"&gt;0")),"")</f>
        <v>16</v>
      </c>
      <c r="H631" t="str">
        <f t="shared" si="135"/>
        <v/>
      </c>
      <c r="I631" t="str">
        <f t="shared" si="141"/>
        <v/>
      </c>
      <c r="J631">
        <f>IFERROR(IF(I631=0,"",COUNTIF($I$3:I631,"&gt;0")),"")</f>
        <v>34</v>
      </c>
      <c r="K631" t="str">
        <f t="shared" si="136"/>
        <v/>
      </c>
      <c r="L631" t="str">
        <f t="shared" si="142"/>
        <v/>
      </c>
      <c r="M631" t="str">
        <f t="shared" si="143"/>
        <v/>
      </c>
      <c r="N631">
        <f>IFERROR(IF(M631=0,"",COUNTIF($M$3:M631,"&gt;0")),"")</f>
        <v>33</v>
      </c>
      <c r="O631" t="str">
        <f t="shared" si="137"/>
        <v/>
      </c>
      <c r="P631" t="str">
        <f t="shared" si="144"/>
        <v/>
      </c>
      <c r="Q631" t="str">
        <f t="shared" si="145"/>
        <v/>
      </c>
      <c r="R631">
        <f>IFERROR(IF(Q631=0,"",COUNTIF($Q$3:Q631,"&gt;0")),"")</f>
        <v>16</v>
      </c>
      <c r="S631" t="str">
        <f t="shared" si="138"/>
        <v/>
      </c>
      <c r="T631" t="str">
        <f t="shared" si="146"/>
        <v/>
      </c>
      <c r="U631">
        <f>IFERROR(IF(T631=0,"",COUNTIF($T$3:T631,"&gt;0")),"")</f>
        <v>0</v>
      </c>
      <c r="V631" t="str">
        <f t="shared" si="139"/>
        <v/>
      </c>
    </row>
    <row r="632" spans="1:22">
      <c r="A632" t="e">
        <f t="shared" si="134"/>
        <v>#VALUE!</v>
      </c>
      <c r="B632" t="e">
        <f>Table4[[#This Row],[CATEGORY]]</f>
        <v>#VALUE!</v>
      </c>
      <c r="C632" t="e">
        <f>Table4[[#This Row],[SUB-CATEGORY]]</f>
        <v>#VALUE!</v>
      </c>
      <c r="D632">
        <f>'RJ ATTENDENCE SHEET'!C:C</f>
        <v>0</v>
      </c>
      <c r="E632" t="e">
        <f t="shared" si="133"/>
        <v>#VALUE!</v>
      </c>
      <c r="F632" t="str">
        <f t="shared" si="140"/>
        <v/>
      </c>
      <c r="G632">
        <f>IFERROR(IF(F632=0,"",COUNTIF($F$3:F632,"&gt;0")),"")</f>
        <v>16</v>
      </c>
      <c r="H632" t="str">
        <f t="shared" si="135"/>
        <v/>
      </c>
      <c r="I632" t="str">
        <f t="shared" si="141"/>
        <v/>
      </c>
      <c r="J632">
        <f>IFERROR(IF(I632=0,"",COUNTIF($I$3:I632,"&gt;0")),"")</f>
        <v>34</v>
      </c>
      <c r="K632" t="str">
        <f t="shared" si="136"/>
        <v/>
      </c>
      <c r="L632" t="str">
        <f t="shared" si="142"/>
        <v/>
      </c>
      <c r="M632" t="str">
        <f t="shared" si="143"/>
        <v/>
      </c>
      <c r="N632">
        <f>IFERROR(IF(M632=0,"",COUNTIF($M$3:M632,"&gt;0")),"")</f>
        <v>33</v>
      </c>
      <c r="O632" t="str">
        <f t="shared" si="137"/>
        <v/>
      </c>
      <c r="P632" t="str">
        <f t="shared" si="144"/>
        <v/>
      </c>
      <c r="Q632" t="str">
        <f t="shared" si="145"/>
        <v/>
      </c>
      <c r="R632">
        <f>IFERROR(IF(Q632=0,"",COUNTIF($Q$3:Q632,"&gt;0")),"")</f>
        <v>16</v>
      </c>
      <c r="S632" t="str">
        <f t="shared" si="138"/>
        <v/>
      </c>
      <c r="T632" t="str">
        <f t="shared" si="146"/>
        <v/>
      </c>
      <c r="U632">
        <f>IFERROR(IF(T632=0,"",COUNTIF($T$3:T632,"&gt;0")),"")</f>
        <v>0</v>
      </c>
      <c r="V632" t="str">
        <f t="shared" si="139"/>
        <v/>
      </c>
    </row>
    <row r="633" spans="1:22">
      <c r="A633" t="e">
        <f t="shared" si="134"/>
        <v>#VALUE!</v>
      </c>
      <c r="B633" t="e">
        <f>Table4[[#This Row],[CATEGORY]]</f>
        <v>#VALUE!</v>
      </c>
      <c r="C633" t="e">
        <f>Table4[[#This Row],[SUB-CATEGORY]]</f>
        <v>#VALUE!</v>
      </c>
      <c r="D633">
        <f>'RJ ATTENDENCE SHEET'!C:C</f>
        <v>0</v>
      </c>
      <c r="E633" t="e">
        <f t="shared" si="133"/>
        <v>#VALUE!</v>
      </c>
      <c r="F633" t="str">
        <f t="shared" si="140"/>
        <v/>
      </c>
      <c r="G633">
        <f>IFERROR(IF(F633=0,"",COUNTIF($F$3:F633,"&gt;0")),"")</f>
        <v>16</v>
      </c>
      <c r="H633" t="str">
        <f t="shared" si="135"/>
        <v/>
      </c>
      <c r="I633" t="str">
        <f t="shared" si="141"/>
        <v/>
      </c>
      <c r="J633">
        <f>IFERROR(IF(I633=0,"",COUNTIF($I$3:I633,"&gt;0")),"")</f>
        <v>34</v>
      </c>
      <c r="K633" t="str">
        <f t="shared" si="136"/>
        <v/>
      </c>
      <c r="L633" t="str">
        <f t="shared" si="142"/>
        <v/>
      </c>
      <c r="M633" t="str">
        <f t="shared" si="143"/>
        <v/>
      </c>
      <c r="N633">
        <f>IFERROR(IF(M633=0,"",COUNTIF($M$3:M633,"&gt;0")),"")</f>
        <v>33</v>
      </c>
      <c r="O633" t="str">
        <f t="shared" si="137"/>
        <v/>
      </c>
      <c r="P633" t="str">
        <f t="shared" si="144"/>
        <v/>
      </c>
      <c r="Q633" t="str">
        <f t="shared" si="145"/>
        <v/>
      </c>
      <c r="R633">
        <f>IFERROR(IF(Q633=0,"",COUNTIF($Q$3:Q633,"&gt;0")),"")</f>
        <v>16</v>
      </c>
      <c r="S633" t="str">
        <f t="shared" si="138"/>
        <v/>
      </c>
      <c r="T633" t="str">
        <f t="shared" si="146"/>
        <v/>
      </c>
      <c r="U633">
        <f>IFERROR(IF(T633=0,"",COUNTIF($T$3:T633,"&gt;0")),"")</f>
        <v>0</v>
      </c>
      <c r="V633" t="str">
        <f t="shared" si="139"/>
        <v/>
      </c>
    </row>
    <row r="634" spans="1:22">
      <c r="A634" t="e">
        <f t="shared" si="134"/>
        <v>#VALUE!</v>
      </c>
      <c r="B634" t="e">
        <f>Table4[[#This Row],[CATEGORY]]</f>
        <v>#VALUE!</v>
      </c>
      <c r="C634" t="e">
        <f>Table4[[#This Row],[SUB-CATEGORY]]</f>
        <v>#VALUE!</v>
      </c>
      <c r="D634">
        <f>'RJ ATTENDENCE SHEET'!C:C</f>
        <v>0</v>
      </c>
      <c r="E634" t="e">
        <f t="shared" si="133"/>
        <v>#VALUE!</v>
      </c>
      <c r="F634" t="str">
        <f t="shared" si="140"/>
        <v/>
      </c>
      <c r="G634">
        <f>IFERROR(IF(F634=0,"",COUNTIF($F$3:F634,"&gt;0")),"")</f>
        <v>16</v>
      </c>
      <c r="H634" t="str">
        <f t="shared" si="135"/>
        <v/>
      </c>
      <c r="I634" t="str">
        <f t="shared" si="141"/>
        <v/>
      </c>
      <c r="J634">
        <f>IFERROR(IF(I634=0,"",COUNTIF($I$3:I634,"&gt;0")),"")</f>
        <v>34</v>
      </c>
      <c r="K634" t="str">
        <f t="shared" si="136"/>
        <v/>
      </c>
      <c r="L634" t="str">
        <f t="shared" si="142"/>
        <v/>
      </c>
      <c r="M634" t="str">
        <f t="shared" si="143"/>
        <v/>
      </c>
      <c r="N634">
        <f>IFERROR(IF(M634=0,"",COUNTIF($M$3:M634,"&gt;0")),"")</f>
        <v>33</v>
      </c>
      <c r="O634" t="str">
        <f t="shared" si="137"/>
        <v/>
      </c>
      <c r="P634" t="str">
        <f t="shared" si="144"/>
        <v/>
      </c>
      <c r="Q634" t="str">
        <f t="shared" si="145"/>
        <v/>
      </c>
      <c r="R634">
        <f>IFERROR(IF(Q634=0,"",COUNTIF($Q$3:Q634,"&gt;0")),"")</f>
        <v>16</v>
      </c>
      <c r="S634" t="str">
        <f t="shared" si="138"/>
        <v/>
      </c>
      <c r="T634" t="str">
        <f t="shared" si="146"/>
        <v/>
      </c>
      <c r="U634">
        <f>IFERROR(IF(T634=0,"",COUNTIF($T$3:T634,"&gt;0")),"")</f>
        <v>0</v>
      </c>
      <c r="V634" t="str">
        <f t="shared" si="139"/>
        <v/>
      </c>
    </row>
    <row r="635" spans="1:22">
      <c r="A635" t="e">
        <f t="shared" si="134"/>
        <v>#VALUE!</v>
      </c>
      <c r="B635" t="e">
        <f>Table4[[#This Row],[CATEGORY]]</f>
        <v>#VALUE!</v>
      </c>
      <c r="C635" t="e">
        <f>Table4[[#This Row],[SUB-CATEGORY]]</f>
        <v>#VALUE!</v>
      </c>
      <c r="D635">
        <f>'RJ ATTENDENCE SHEET'!C:C</f>
        <v>0</v>
      </c>
      <c r="E635" t="e">
        <f t="shared" si="133"/>
        <v>#VALUE!</v>
      </c>
      <c r="F635" t="str">
        <f t="shared" si="140"/>
        <v/>
      </c>
      <c r="G635">
        <f>IFERROR(IF(F635=0,"",COUNTIF($F$3:F635,"&gt;0")),"")</f>
        <v>16</v>
      </c>
      <c r="H635" t="str">
        <f t="shared" si="135"/>
        <v/>
      </c>
      <c r="I635" t="str">
        <f t="shared" si="141"/>
        <v/>
      </c>
      <c r="J635">
        <f>IFERROR(IF(I635=0,"",COUNTIF($I$3:I635,"&gt;0")),"")</f>
        <v>34</v>
      </c>
      <c r="K635" t="str">
        <f t="shared" si="136"/>
        <v/>
      </c>
      <c r="L635" t="str">
        <f t="shared" si="142"/>
        <v/>
      </c>
      <c r="M635" t="str">
        <f t="shared" si="143"/>
        <v/>
      </c>
      <c r="N635">
        <f>IFERROR(IF(M635=0,"",COUNTIF($M$3:M635,"&gt;0")),"")</f>
        <v>33</v>
      </c>
      <c r="O635" t="str">
        <f t="shared" si="137"/>
        <v/>
      </c>
      <c r="P635" t="str">
        <f t="shared" si="144"/>
        <v/>
      </c>
      <c r="Q635" t="str">
        <f t="shared" si="145"/>
        <v/>
      </c>
      <c r="R635">
        <f>IFERROR(IF(Q635=0,"",COUNTIF($Q$3:Q635,"&gt;0")),"")</f>
        <v>16</v>
      </c>
      <c r="S635" t="str">
        <f t="shared" si="138"/>
        <v/>
      </c>
      <c r="T635" t="str">
        <f t="shared" si="146"/>
        <v/>
      </c>
      <c r="U635">
        <f>IFERROR(IF(T635=0,"",COUNTIF($T$3:T635,"&gt;0")),"")</f>
        <v>0</v>
      </c>
      <c r="V635" t="str">
        <f t="shared" si="139"/>
        <v/>
      </c>
    </row>
    <row r="636" spans="1:22">
      <c r="A636" t="e">
        <f t="shared" si="134"/>
        <v>#VALUE!</v>
      </c>
      <c r="B636" t="e">
        <f>Table4[[#This Row],[CATEGORY]]</f>
        <v>#VALUE!</v>
      </c>
      <c r="C636" t="e">
        <f>Table4[[#This Row],[SUB-CATEGORY]]</f>
        <v>#VALUE!</v>
      </c>
      <c r="D636">
        <f>'RJ ATTENDENCE SHEET'!C:C</f>
        <v>0</v>
      </c>
      <c r="E636" t="e">
        <f t="shared" si="133"/>
        <v>#VALUE!</v>
      </c>
      <c r="F636" t="str">
        <f t="shared" si="140"/>
        <v/>
      </c>
      <c r="G636">
        <f>IFERROR(IF(F636=0,"",COUNTIF($F$3:F636,"&gt;0")),"")</f>
        <v>16</v>
      </c>
      <c r="H636" t="str">
        <f t="shared" si="135"/>
        <v/>
      </c>
      <c r="I636" t="str">
        <f t="shared" si="141"/>
        <v/>
      </c>
      <c r="J636">
        <f>IFERROR(IF(I636=0,"",COUNTIF($I$3:I636,"&gt;0")),"")</f>
        <v>34</v>
      </c>
      <c r="K636" t="str">
        <f t="shared" si="136"/>
        <v/>
      </c>
      <c r="L636" t="str">
        <f t="shared" si="142"/>
        <v/>
      </c>
      <c r="M636" t="str">
        <f t="shared" si="143"/>
        <v/>
      </c>
      <c r="N636">
        <f>IFERROR(IF(M636=0,"",COUNTIF($M$3:M636,"&gt;0")),"")</f>
        <v>33</v>
      </c>
      <c r="O636" t="str">
        <f t="shared" si="137"/>
        <v/>
      </c>
      <c r="P636" t="str">
        <f t="shared" si="144"/>
        <v/>
      </c>
      <c r="Q636" t="str">
        <f t="shared" si="145"/>
        <v/>
      </c>
      <c r="R636">
        <f>IFERROR(IF(Q636=0,"",COUNTIF($Q$3:Q636,"&gt;0")),"")</f>
        <v>16</v>
      </c>
      <c r="S636" t="str">
        <f t="shared" si="138"/>
        <v/>
      </c>
      <c r="T636" t="str">
        <f t="shared" si="146"/>
        <v/>
      </c>
      <c r="U636">
        <f>IFERROR(IF(T636=0,"",COUNTIF($T$3:T636,"&gt;0")),"")</f>
        <v>0</v>
      </c>
      <c r="V636" t="str">
        <f t="shared" si="139"/>
        <v/>
      </c>
    </row>
    <row r="637" spans="1:22">
      <c r="A637" t="e">
        <f t="shared" si="134"/>
        <v>#VALUE!</v>
      </c>
      <c r="B637" t="e">
        <f>Table4[[#This Row],[CATEGORY]]</f>
        <v>#VALUE!</v>
      </c>
      <c r="C637" t="e">
        <f>Table4[[#This Row],[SUB-CATEGORY]]</f>
        <v>#VALUE!</v>
      </c>
      <c r="D637">
        <f>'RJ ATTENDENCE SHEET'!C:C</f>
        <v>0</v>
      </c>
      <c r="E637" t="e">
        <f t="shared" si="133"/>
        <v>#VALUE!</v>
      </c>
      <c r="F637" t="str">
        <f t="shared" si="140"/>
        <v/>
      </c>
      <c r="G637">
        <f>IFERROR(IF(F637=0,"",COUNTIF($F$3:F637,"&gt;0")),"")</f>
        <v>16</v>
      </c>
      <c r="H637" t="str">
        <f t="shared" si="135"/>
        <v/>
      </c>
      <c r="I637" t="str">
        <f t="shared" si="141"/>
        <v/>
      </c>
      <c r="J637">
        <f>IFERROR(IF(I637=0,"",COUNTIF($I$3:I637,"&gt;0")),"")</f>
        <v>34</v>
      </c>
      <c r="K637" t="str">
        <f t="shared" si="136"/>
        <v/>
      </c>
      <c r="L637" t="str">
        <f t="shared" si="142"/>
        <v/>
      </c>
      <c r="M637" t="str">
        <f t="shared" si="143"/>
        <v/>
      </c>
      <c r="N637">
        <f>IFERROR(IF(M637=0,"",COUNTIF($M$3:M637,"&gt;0")),"")</f>
        <v>33</v>
      </c>
      <c r="O637" t="str">
        <f t="shared" si="137"/>
        <v/>
      </c>
      <c r="P637" t="str">
        <f t="shared" si="144"/>
        <v/>
      </c>
      <c r="Q637" t="str">
        <f t="shared" si="145"/>
        <v/>
      </c>
      <c r="R637">
        <f>IFERROR(IF(Q637=0,"",COUNTIF($Q$3:Q637,"&gt;0")),"")</f>
        <v>16</v>
      </c>
      <c r="S637" t="str">
        <f t="shared" si="138"/>
        <v/>
      </c>
      <c r="T637" t="str">
        <f t="shared" si="146"/>
        <v/>
      </c>
      <c r="U637">
        <f>IFERROR(IF(T637=0,"",COUNTIF($T$3:T637,"&gt;0")),"")</f>
        <v>0</v>
      </c>
      <c r="V637" t="str">
        <f t="shared" si="139"/>
        <v/>
      </c>
    </row>
    <row r="638" spans="1:22">
      <c r="A638" t="e">
        <f t="shared" si="134"/>
        <v>#VALUE!</v>
      </c>
      <c r="B638" t="e">
        <f>Table4[[#This Row],[CATEGORY]]</f>
        <v>#VALUE!</v>
      </c>
      <c r="C638" t="e">
        <f>Table4[[#This Row],[SUB-CATEGORY]]</f>
        <v>#VALUE!</v>
      </c>
      <c r="D638">
        <f>'RJ ATTENDENCE SHEET'!C:C</f>
        <v>0</v>
      </c>
      <c r="E638" t="e">
        <f t="shared" si="133"/>
        <v>#VALUE!</v>
      </c>
      <c r="F638" t="str">
        <f t="shared" si="140"/>
        <v/>
      </c>
      <c r="G638">
        <f>IFERROR(IF(F638=0,"",COUNTIF($F$3:F638,"&gt;0")),"")</f>
        <v>16</v>
      </c>
      <c r="H638" t="str">
        <f t="shared" si="135"/>
        <v/>
      </c>
      <c r="I638" t="str">
        <f t="shared" si="141"/>
        <v/>
      </c>
      <c r="J638">
        <f>IFERROR(IF(I638=0,"",COUNTIF($I$3:I638,"&gt;0")),"")</f>
        <v>34</v>
      </c>
      <c r="K638" t="str">
        <f t="shared" si="136"/>
        <v/>
      </c>
      <c r="L638" t="str">
        <f t="shared" si="142"/>
        <v/>
      </c>
      <c r="M638" t="str">
        <f t="shared" si="143"/>
        <v/>
      </c>
      <c r="N638">
        <f>IFERROR(IF(M638=0,"",COUNTIF($M$3:M638,"&gt;0")),"")</f>
        <v>33</v>
      </c>
      <c r="O638" t="str">
        <f t="shared" si="137"/>
        <v/>
      </c>
      <c r="P638" t="str">
        <f t="shared" si="144"/>
        <v/>
      </c>
      <c r="Q638" t="str">
        <f t="shared" si="145"/>
        <v/>
      </c>
      <c r="R638">
        <f>IFERROR(IF(Q638=0,"",COUNTIF($Q$3:Q638,"&gt;0")),"")</f>
        <v>16</v>
      </c>
      <c r="S638" t="str">
        <f t="shared" si="138"/>
        <v/>
      </c>
      <c r="T638" t="str">
        <f t="shared" si="146"/>
        <v/>
      </c>
      <c r="U638">
        <f>IFERROR(IF(T638=0,"",COUNTIF($T$3:T638,"&gt;0")),"")</f>
        <v>0</v>
      </c>
      <c r="V638" t="str">
        <f t="shared" si="139"/>
        <v/>
      </c>
    </row>
    <row r="639" spans="1:22">
      <c r="A639" t="e">
        <f t="shared" si="134"/>
        <v>#VALUE!</v>
      </c>
      <c r="B639" t="e">
        <f>Table4[[#This Row],[CATEGORY]]</f>
        <v>#VALUE!</v>
      </c>
      <c r="C639" t="e">
        <f>Table4[[#This Row],[SUB-CATEGORY]]</f>
        <v>#VALUE!</v>
      </c>
      <c r="D639">
        <f>'RJ ATTENDENCE SHEET'!C:C</f>
        <v>0</v>
      </c>
      <c r="E639" t="e">
        <f t="shared" si="133"/>
        <v>#VALUE!</v>
      </c>
      <c r="F639" t="str">
        <f t="shared" si="140"/>
        <v/>
      </c>
      <c r="G639">
        <f>IFERROR(IF(F639=0,"",COUNTIF($F$3:F639,"&gt;0")),"")</f>
        <v>16</v>
      </c>
      <c r="H639" t="str">
        <f t="shared" si="135"/>
        <v/>
      </c>
      <c r="I639" t="str">
        <f t="shared" si="141"/>
        <v/>
      </c>
      <c r="J639">
        <f>IFERROR(IF(I639=0,"",COUNTIF($I$3:I639,"&gt;0")),"")</f>
        <v>34</v>
      </c>
      <c r="K639" t="str">
        <f t="shared" si="136"/>
        <v/>
      </c>
      <c r="L639" t="str">
        <f t="shared" si="142"/>
        <v/>
      </c>
      <c r="M639" t="str">
        <f t="shared" si="143"/>
        <v/>
      </c>
      <c r="N639">
        <f>IFERROR(IF(M639=0,"",COUNTIF($M$3:M639,"&gt;0")),"")</f>
        <v>33</v>
      </c>
      <c r="O639" t="str">
        <f t="shared" si="137"/>
        <v/>
      </c>
      <c r="P639" t="str">
        <f t="shared" si="144"/>
        <v/>
      </c>
      <c r="Q639" t="str">
        <f t="shared" si="145"/>
        <v/>
      </c>
      <c r="R639">
        <f>IFERROR(IF(Q639=0,"",COUNTIF($Q$3:Q639,"&gt;0")),"")</f>
        <v>16</v>
      </c>
      <c r="S639" t="str">
        <f t="shared" si="138"/>
        <v/>
      </c>
      <c r="T639" t="str">
        <f t="shared" si="146"/>
        <v/>
      </c>
      <c r="U639">
        <f>IFERROR(IF(T639=0,"",COUNTIF($T$3:T639,"&gt;0")),"")</f>
        <v>0</v>
      </c>
      <c r="V639" t="str">
        <f t="shared" si="139"/>
        <v/>
      </c>
    </row>
    <row r="640" spans="1:22">
      <c r="A640" t="e">
        <f t="shared" si="134"/>
        <v>#VALUE!</v>
      </c>
      <c r="B640" t="e">
        <f>Table4[[#This Row],[CATEGORY]]</f>
        <v>#VALUE!</v>
      </c>
      <c r="C640" t="e">
        <f>Table4[[#This Row],[SUB-CATEGORY]]</f>
        <v>#VALUE!</v>
      </c>
      <c r="D640">
        <f>'RJ ATTENDENCE SHEET'!C:C</f>
        <v>0</v>
      </c>
      <c r="E640" t="e">
        <f t="shared" si="133"/>
        <v>#VALUE!</v>
      </c>
      <c r="F640" t="str">
        <f t="shared" si="140"/>
        <v/>
      </c>
      <c r="G640">
        <f>IFERROR(IF(F640=0,"",COUNTIF($F$3:F640,"&gt;0")),"")</f>
        <v>16</v>
      </c>
      <c r="H640" t="str">
        <f t="shared" si="135"/>
        <v/>
      </c>
      <c r="I640" t="str">
        <f t="shared" si="141"/>
        <v/>
      </c>
      <c r="J640">
        <f>IFERROR(IF(I640=0,"",COUNTIF($I$3:I640,"&gt;0")),"")</f>
        <v>34</v>
      </c>
      <c r="K640" t="str">
        <f t="shared" si="136"/>
        <v/>
      </c>
      <c r="L640" t="str">
        <f t="shared" si="142"/>
        <v/>
      </c>
      <c r="M640" t="str">
        <f t="shared" si="143"/>
        <v/>
      </c>
      <c r="N640">
        <f>IFERROR(IF(M640=0,"",COUNTIF($M$3:M640,"&gt;0")),"")</f>
        <v>33</v>
      </c>
      <c r="O640" t="str">
        <f t="shared" si="137"/>
        <v/>
      </c>
      <c r="P640" t="str">
        <f t="shared" si="144"/>
        <v/>
      </c>
      <c r="Q640" t="str">
        <f t="shared" si="145"/>
        <v/>
      </c>
      <c r="R640">
        <f>IFERROR(IF(Q640=0,"",COUNTIF($Q$3:Q640,"&gt;0")),"")</f>
        <v>16</v>
      </c>
      <c r="S640" t="str">
        <f t="shared" si="138"/>
        <v/>
      </c>
      <c r="T640" t="str">
        <f t="shared" si="146"/>
        <v/>
      </c>
      <c r="U640">
        <f>IFERROR(IF(T640=0,"",COUNTIF($T$3:T640,"&gt;0")),"")</f>
        <v>0</v>
      </c>
      <c r="V640" t="str">
        <f t="shared" si="139"/>
        <v/>
      </c>
    </row>
    <row r="641" spans="1:22">
      <c r="A641" t="e">
        <f t="shared" si="134"/>
        <v>#VALUE!</v>
      </c>
      <c r="B641" t="e">
        <f>Table4[[#This Row],[CATEGORY]]</f>
        <v>#VALUE!</v>
      </c>
      <c r="C641" t="e">
        <f>Table4[[#This Row],[SUB-CATEGORY]]</f>
        <v>#VALUE!</v>
      </c>
      <c r="D641">
        <f>'RJ ATTENDENCE SHEET'!C:C</f>
        <v>0</v>
      </c>
      <c r="E641" t="e">
        <f t="shared" si="133"/>
        <v>#VALUE!</v>
      </c>
      <c r="F641" t="str">
        <f t="shared" si="140"/>
        <v/>
      </c>
      <c r="G641">
        <f>IFERROR(IF(F641=0,"",COUNTIF($F$3:F641,"&gt;0")),"")</f>
        <v>16</v>
      </c>
      <c r="H641" t="str">
        <f t="shared" si="135"/>
        <v/>
      </c>
      <c r="I641" t="str">
        <f t="shared" si="141"/>
        <v/>
      </c>
      <c r="J641">
        <f>IFERROR(IF(I641=0,"",COUNTIF($I$3:I641,"&gt;0")),"")</f>
        <v>34</v>
      </c>
      <c r="K641" t="str">
        <f t="shared" si="136"/>
        <v/>
      </c>
      <c r="L641" t="str">
        <f t="shared" si="142"/>
        <v/>
      </c>
      <c r="M641" t="str">
        <f t="shared" si="143"/>
        <v/>
      </c>
      <c r="N641">
        <f>IFERROR(IF(M641=0,"",COUNTIF($M$3:M641,"&gt;0")),"")</f>
        <v>33</v>
      </c>
      <c r="O641" t="str">
        <f t="shared" si="137"/>
        <v/>
      </c>
      <c r="P641" t="str">
        <f t="shared" si="144"/>
        <v/>
      </c>
      <c r="Q641" t="str">
        <f t="shared" si="145"/>
        <v/>
      </c>
      <c r="R641">
        <f>IFERROR(IF(Q641=0,"",COUNTIF($Q$3:Q641,"&gt;0")),"")</f>
        <v>16</v>
      </c>
      <c r="S641" t="str">
        <f t="shared" si="138"/>
        <v/>
      </c>
      <c r="T641" t="str">
        <f t="shared" si="146"/>
        <v/>
      </c>
      <c r="U641">
        <f>IFERROR(IF(T641=0,"",COUNTIF($T$3:T641,"&gt;0")),"")</f>
        <v>0</v>
      </c>
      <c r="V641" t="str">
        <f t="shared" si="139"/>
        <v/>
      </c>
    </row>
    <row r="642" spans="1:22">
      <c r="A642" t="e">
        <f t="shared" si="134"/>
        <v>#VALUE!</v>
      </c>
      <c r="B642" t="e">
        <f>Table4[[#This Row],[CATEGORY]]</f>
        <v>#VALUE!</v>
      </c>
      <c r="C642" t="e">
        <f>Table4[[#This Row],[SUB-CATEGORY]]</f>
        <v>#VALUE!</v>
      </c>
      <c r="D642">
        <f>'RJ ATTENDENCE SHEET'!C:C</f>
        <v>0</v>
      </c>
      <c r="E642" t="e">
        <f t="shared" ref="E642:E705" si="147">C642</f>
        <v>#VALUE!</v>
      </c>
      <c r="F642" t="str">
        <f t="shared" si="140"/>
        <v/>
      </c>
      <c r="G642">
        <f>IFERROR(IF(F642=0,"",COUNTIF($F$3:F642,"&gt;0")),"")</f>
        <v>16</v>
      </c>
      <c r="H642" t="str">
        <f t="shared" si="135"/>
        <v/>
      </c>
      <c r="I642" t="str">
        <f t="shared" si="141"/>
        <v/>
      </c>
      <c r="J642">
        <f>IFERROR(IF(I642=0,"",COUNTIF($I$3:I642,"&gt;0")),"")</f>
        <v>34</v>
      </c>
      <c r="K642" t="str">
        <f t="shared" si="136"/>
        <v/>
      </c>
      <c r="L642" t="str">
        <f t="shared" si="142"/>
        <v/>
      </c>
      <c r="M642" t="str">
        <f t="shared" si="143"/>
        <v/>
      </c>
      <c r="N642">
        <f>IFERROR(IF(M642=0,"",COUNTIF($M$3:M642,"&gt;0")),"")</f>
        <v>33</v>
      </c>
      <c r="O642" t="str">
        <f t="shared" si="137"/>
        <v/>
      </c>
      <c r="P642" t="str">
        <f t="shared" si="144"/>
        <v/>
      </c>
      <c r="Q642" t="str">
        <f t="shared" si="145"/>
        <v/>
      </c>
      <c r="R642">
        <f>IFERROR(IF(Q642=0,"",COUNTIF($Q$3:Q642,"&gt;0")),"")</f>
        <v>16</v>
      </c>
      <c r="S642" t="str">
        <f t="shared" si="138"/>
        <v/>
      </c>
      <c r="T642" t="str">
        <f t="shared" si="146"/>
        <v/>
      </c>
      <c r="U642">
        <f>IFERROR(IF(T642=0,"",COUNTIF($T$3:T642,"&gt;0")),"")</f>
        <v>0</v>
      </c>
      <c r="V642" t="str">
        <f t="shared" si="139"/>
        <v/>
      </c>
    </row>
    <row r="643" spans="1:22">
      <c r="A643" t="e">
        <f t="shared" ref="A643:A706" si="148">CONCATENATE(B643,C643,D643)</f>
        <v>#VALUE!</v>
      </c>
      <c r="B643" t="e">
        <f>Table4[[#This Row],[CATEGORY]]</f>
        <v>#VALUE!</v>
      </c>
      <c r="C643" t="e">
        <f>Table4[[#This Row],[SUB-CATEGORY]]</f>
        <v>#VALUE!</v>
      </c>
      <c r="D643">
        <f>'RJ ATTENDENCE SHEET'!C:C</f>
        <v>0</v>
      </c>
      <c r="E643" t="e">
        <f t="shared" si="147"/>
        <v>#VALUE!</v>
      </c>
      <c r="F643" t="str">
        <f t="shared" si="140"/>
        <v/>
      </c>
      <c r="G643">
        <f>IFERROR(IF(F643=0,"",COUNTIF($F$3:F643,"&gt;0")),"")</f>
        <v>16</v>
      </c>
      <c r="H643" t="str">
        <f t="shared" ref="H643:H706" si="149">IFERROR(VLOOKUP(INDEX($A:$A,MATCH(ROW(F641),G:G,0)),$A:$D,4,0),"")</f>
        <v/>
      </c>
      <c r="I643" t="str">
        <f t="shared" si="141"/>
        <v/>
      </c>
      <c r="J643">
        <f>IFERROR(IF(I643=0,"",COUNTIF($I$3:I643,"&gt;0")),"")</f>
        <v>34</v>
      </c>
      <c r="K643" t="str">
        <f t="shared" ref="K643:K706" si="150">IFERROR(VLOOKUP(INDEX($A:$A,MATCH(ROW(I641),J:J,0)),$A:$D,4,0),"")</f>
        <v/>
      </c>
      <c r="L643" t="str">
        <f t="shared" si="142"/>
        <v/>
      </c>
      <c r="M643" t="str">
        <f t="shared" si="143"/>
        <v/>
      </c>
      <c r="N643">
        <f>IFERROR(IF(M643=0,"",COUNTIF($M$3:M643,"&gt;0")),"")</f>
        <v>33</v>
      </c>
      <c r="O643" t="str">
        <f t="shared" ref="O643:O706" si="151">IFERROR(VLOOKUP(INDEX($A:$A,MATCH(ROW(M641),N:N,0)),$A:$D,4,0),"")</f>
        <v/>
      </c>
      <c r="P643" t="str">
        <f t="shared" si="144"/>
        <v/>
      </c>
      <c r="Q643" t="str">
        <f t="shared" si="145"/>
        <v/>
      </c>
      <c r="R643">
        <f>IFERROR(IF(Q643=0,"",COUNTIF($Q$3:Q643,"&gt;0")),"")</f>
        <v>16</v>
      </c>
      <c r="S643" t="str">
        <f t="shared" ref="S643:S706" si="152">IFERROR(VLOOKUP(INDEX($A:$A,MATCH(ROW(Q641),R:R,0)),$A:$D,4,0),"")</f>
        <v/>
      </c>
      <c r="T643" t="str">
        <f t="shared" si="146"/>
        <v/>
      </c>
      <c r="U643">
        <f>IFERROR(IF(T643=0,"",COUNTIF($T$3:T643,"&gt;0")),"")</f>
        <v>0</v>
      </c>
      <c r="V643" t="str">
        <f t="shared" ref="V643:V706" si="153">IFERROR(VLOOKUP(INDEX($A:$A,MATCH(ROW(T641),U:U,0)),$A:$D,4,0),"")</f>
        <v/>
      </c>
    </row>
    <row r="644" spans="1:22">
      <c r="A644" t="e">
        <f t="shared" si="148"/>
        <v>#VALUE!</v>
      </c>
      <c r="B644" t="e">
        <f>Table4[[#This Row],[CATEGORY]]</f>
        <v>#VALUE!</v>
      </c>
      <c r="C644" t="e">
        <f>Table4[[#This Row],[SUB-CATEGORY]]</f>
        <v>#VALUE!</v>
      </c>
      <c r="D644">
        <f>'RJ ATTENDENCE SHEET'!C:C</f>
        <v>0</v>
      </c>
      <c r="E644" t="e">
        <f t="shared" si="147"/>
        <v>#VALUE!</v>
      </c>
      <c r="F644" t="str">
        <f t="shared" ref="F644:F707" si="154">IFERROR(SEARCH("SALARYOFFICE",$A:$A),"")</f>
        <v/>
      </c>
      <c r="G644">
        <f>IFERROR(IF(F644=0,"",COUNTIF($F$3:F644,"&gt;0")),"")</f>
        <v>16</v>
      </c>
      <c r="H644" t="str">
        <f t="shared" si="149"/>
        <v/>
      </c>
      <c r="I644" t="str">
        <f t="shared" ref="I644:I707" si="155">IFERROR(SEARCH("WAGES",$A:$A),"")</f>
        <v/>
      </c>
      <c r="J644">
        <f>IFERROR(IF(I644=0,"",COUNTIF($I$3:I644,"&gt;0")),"")</f>
        <v>34</v>
      </c>
      <c r="K644" t="str">
        <f t="shared" si="150"/>
        <v/>
      </c>
      <c r="L644" t="str">
        <f t="shared" ref="L644:L707" si="156">IFERROR(VLOOKUP(K644,$D:$E,2,0),"")</f>
        <v/>
      </c>
      <c r="M644" t="str">
        <f t="shared" ref="M644:M707" si="157">IFERROR(SEARCH("CONTRACT",$A:$A),"")</f>
        <v/>
      </c>
      <c r="N644">
        <f>IFERROR(IF(M644=0,"",COUNTIF($M$3:M644,"&gt;0")),"")</f>
        <v>33</v>
      </c>
      <c r="O644" t="str">
        <f t="shared" si="151"/>
        <v/>
      </c>
      <c r="P644" t="str">
        <f t="shared" ref="P644:P707" si="158">IFERROR(VLOOKUP(O644,$D:$E,2,0),"")</f>
        <v/>
      </c>
      <c r="Q644" t="str">
        <f t="shared" ref="Q644:Q707" si="159">IFERROR(SEARCH("SALARY",$A:$A),"")</f>
        <v/>
      </c>
      <c r="R644">
        <f>IFERROR(IF(Q644=0,"",COUNTIF($Q$3:Q644,"&gt;0")),"")</f>
        <v>16</v>
      </c>
      <c r="S644" t="str">
        <f t="shared" si="152"/>
        <v/>
      </c>
      <c r="T644" t="str">
        <f t="shared" ref="T644:T707" si="160">IFERROR(SEARCH("OTHERS0",$A:$A),"")</f>
        <v/>
      </c>
      <c r="U644">
        <f>IFERROR(IF(T644=0,"",COUNTIF($T$3:T644,"&gt;0")),"")</f>
        <v>0</v>
      </c>
      <c r="V644" t="str">
        <f t="shared" si="153"/>
        <v/>
      </c>
    </row>
    <row r="645" spans="1:22">
      <c r="A645" t="e">
        <f t="shared" si="148"/>
        <v>#VALUE!</v>
      </c>
      <c r="B645" t="e">
        <f>Table4[[#This Row],[CATEGORY]]</f>
        <v>#VALUE!</v>
      </c>
      <c r="C645" t="e">
        <f>Table4[[#This Row],[SUB-CATEGORY]]</f>
        <v>#VALUE!</v>
      </c>
      <c r="D645">
        <f>'RJ ATTENDENCE SHEET'!C:C</f>
        <v>0</v>
      </c>
      <c r="E645" t="e">
        <f t="shared" si="147"/>
        <v>#VALUE!</v>
      </c>
      <c r="F645" t="str">
        <f t="shared" si="154"/>
        <v/>
      </c>
      <c r="G645">
        <f>IFERROR(IF(F645=0,"",COUNTIF($F$3:F645,"&gt;0")),"")</f>
        <v>16</v>
      </c>
      <c r="H645" t="str">
        <f t="shared" si="149"/>
        <v/>
      </c>
      <c r="I645" t="str">
        <f t="shared" si="155"/>
        <v/>
      </c>
      <c r="J645">
        <f>IFERROR(IF(I645=0,"",COUNTIF($I$3:I645,"&gt;0")),"")</f>
        <v>34</v>
      </c>
      <c r="K645" t="str">
        <f t="shared" si="150"/>
        <v/>
      </c>
      <c r="L645" t="str">
        <f t="shared" si="156"/>
        <v/>
      </c>
      <c r="M645" t="str">
        <f t="shared" si="157"/>
        <v/>
      </c>
      <c r="N645">
        <f>IFERROR(IF(M645=0,"",COUNTIF($M$3:M645,"&gt;0")),"")</f>
        <v>33</v>
      </c>
      <c r="O645" t="str">
        <f t="shared" si="151"/>
        <v/>
      </c>
      <c r="P645" t="str">
        <f t="shared" si="158"/>
        <v/>
      </c>
      <c r="Q645" t="str">
        <f t="shared" si="159"/>
        <v/>
      </c>
      <c r="R645">
        <f>IFERROR(IF(Q645=0,"",COUNTIF($Q$3:Q645,"&gt;0")),"")</f>
        <v>16</v>
      </c>
      <c r="S645" t="str">
        <f t="shared" si="152"/>
        <v/>
      </c>
      <c r="T645" t="str">
        <f t="shared" si="160"/>
        <v/>
      </c>
      <c r="U645">
        <f>IFERROR(IF(T645=0,"",COUNTIF($T$3:T645,"&gt;0")),"")</f>
        <v>0</v>
      </c>
      <c r="V645" t="str">
        <f t="shared" si="153"/>
        <v/>
      </c>
    </row>
    <row r="646" spans="1:22">
      <c r="A646" t="e">
        <f t="shared" si="148"/>
        <v>#VALUE!</v>
      </c>
      <c r="B646" t="e">
        <f>Table4[[#This Row],[CATEGORY]]</f>
        <v>#VALUE!</v>
      </c>
      <c r="C646" t="e">
        <f>Table4[[#This Row],[SUB-CATEGORY]]</f>
        <v>#VALUE!</v>
      </c>
      <c r="D646">
        <f>'RJ ATTENDENCE SHEET'!C:C</f>
        <v>0</v>
      </c>
      <c r="E646" t="e">
        <f t="shared" si="147"/>
        <v>#VALUE!</v>
      </c>
      <c r="F646" t="str">
        <f t="shared" si="154"/>
        <v/>
      </c>
      <c r="G646">
        <f>IFERROR(IF(F646=0,"",COUNTIF($F$3:F646,"&gt;0")),"")</f>
        <v>16</v>
      </c>
      <c r="H646" t="str">
        <f t="shared" si="149"/>
        <v/>
      </c>
      <c r="I646" t="str">
        <f t="shared" si="155"/>
        <v/>
      </c>
      <c r="J646">
        <f>IFERROR(IF(I646=0,"",COUNTIF($I$3:I646,"&gt;0")),"")</f>
        <v>34</v>
      </c>
      <c r="K646" t="str">
        <f t="shared" si="150"/>
        <v/>
      </c>
      <c r="L646" t="str">
        <f t="shared" si="156"/>
        <v/>
      </c>
      <c r="M646" t="str">
        <f t="shared" si="157"/>
        <v/>
      </c>
      <c r="N646">
        <f>IFERROR(IF(M646=0,"",COUNTIF($M$3:M646,"&gt;0")),"")</f>
        <v>33</v>
      </c>
      <c r="O646" t="str">
        <f t="shared" si="151"/>
        <v/>
      </c>
      <c r="P646" t="str">
        <f t="shared" si="158"/>
        <v/>
      </c>
      <c r="Q646" t="str">
        <f t="shared" si="159"/>
        <v/>
      </c>
      <c r="R646">
        <f>IFERROR(IF(Q646=0,"",COUNTIF($Q$3:Q646,"&gt;0")),"")</f>
        <v>16</v>
      </c>
      <c r="S646" t="str">
        <f t="shared" si="152"/>
        <v/>
      </c>
      <c r="T646" t="str">
        <f t="shared" si="160"/>
        <v/>
      </c>
      <c r="U646">
        <f>IFERROR(IF(T646=0,"",COUNTIF($T$3:T646,"&gt;0")),"")</f>
        <v>0</v>
      </c>
      <c r="V646" t="str">
        <f t="shared" si="153"/>
        <v/>
      </c>
    </row>
    <row r="647" spans="1:22">
      <c r="A647" t="e">
        <f t="shared" si="148"/>
        <v>#VALUE!</v>
      </c>
      <c r="B647" t="e">
        <f>Table4[[#This Row],[CATEGORY]]</f>
        <v>#VALUE!</v>
      </c>
      <c r="C647" t="e">
        <f>Table4[[#This Row],[SUB-CATEGORY]]</f>
        <v>#VALUE!</v>
      </c>
      <c r="D647">
        <f>'RJ ATTENDENCE SHEET'!C:C</f>
        <v>0</v>
      </c>
      <c r="E647" t="e">
        <f t="shared" si="147"/>
        <v>#VALUE!</v>
      </c>
      <c r="F647" t="str">
        <f t="shared" si="154"/>
        <v/>
      </c>
      <c r="G647">
        <f>IFERROR(IF(F647=0,"",COUNTIF($F$3:F647,"&gt;0")),"")</f>
        <v>16</v>
      </c>
      <c r="H647" t="str">
        <f t="shared" si="149"/>
        <v/>
      </c>
      <c r="I647" t="str">
        <f t="shared" si="155"/>
        <v/>
      </c>
      <c r="J647">
        <f>IFERROR(IF(I647=0,"",COUNTIF($I$3:I647,"&gt;0")),"")</f>
        <v>34</v>
      </c>
      <c r="K647" t="str">
        <f t="shared" si="150"/>
        <v/>
      </c>
      <c r="L647" t="str">
        <f t="shared" si="156"/>
        <v/>
      </c>
      <c r="M647" t="str">
        <f t="shared" si="157"/>
        <v/>
      </c>
      <c r="N647">
        <f>IFERROR(IF(M647=0,"",COUNTIF($M$3:M647,"&gt;0")),"")</f>
        <v>33</v>
      </c>
      <c r="O647" t="str">
        <f t="shared" si="151"/>
        <v/>
      </c>
      <c r="P647" t="str">
        <f t="shared" si="158"/>
        <v/>
      </c>
      <c r="Q647" t="str">
        <f t="shared" si="159"/>
        <v/>
      </c>
      <c r="R647">
        <f>IFERROR(IF(Q647=0,"",COUNTIF($Q$3:Q647,"&gt;0")),"")</f>
        <v>16</v>
      </c>
      <c r="S647" t="str">
        <f t="shared" si="152"/>
        <v/>
      </c>
      <c r="T647" t="str">
        <f t="shared" si="160"/>
        <v/>
      </c>
      <c r="U647">
        <f>IFERROR(IF(T647=0,"",COUNTIF($T$3:T647,"&gt;0")),"")</f>
        <v>0</v>
      </c>
      <c r="V647" t="str">
        <f t="shared" si="153"/>
        <v/>
      </c>
    </row>
    <row r="648" spans="1:22">
      <c r="A648" t="e">
        <f t="shared" si="148"/>
        <v>#VALUE!</v>
      </c>
      <c r="B648" t="e">
        <f>Table4[[#This Row],[CATEGORY]]</f>
        <v>#VALUE!</v>
      </c>
      <c r="C648" t="e">
        <f>Table4[[#This Row],[SUB-CATEGORY]]</f>
        <v>#VALUE!</v>
      </c>
      <c r="D648">
        <f>'RJ ATTENDENCE SHEET'!C:C</f>
        <v>0</v>
      </c>
      <c r="E648" t="e">
        <f t="shared" si="147"/>
        <v>#VALUE!</v>
      </c>
      <c r="F648" t="str">
        <f t="shared" si="154"/>
        <v/>
      </c>
      <c r="G648">
        <f>IFERROR(IF(F648=0,"",COUNTIF($F$3:F648,"&gt;0")),"")</f>
        <v>16</v>
      </c>
      <c r="H648" t="str">
        <f t="shared" si="149"/>
        <v/>
      </c>
      <c r="I648" t="str">
        <f t="shared" si="155"/>
        <v/>
      </c>
      <c r="J648">
        <f>IFERROR(IF(I648=0,"",COUNTIF($I$3:I648,"&gt;0")),"")</f>
        <v>34</v>
      </c>
      <c r="K648" t="str">
        <f t="shared" si="150"/>
        <v/>
      </c>
      <c r="L648" t="str">
        <f t="shared" si="156"/>
        <v/>
      </c>
      <c r="M648" t="str">
        <f t="shared" si="157"/>
        <v/>
      </c>
      <c r="N648">
        <f>IFERROR(IF(M648=0,"",COUNTIF($M$3:M648,"&gt;0")),"")</f>
        <v>33</v>
      </c>
      <c r="O648" t="str">
        <f t="shared" si="151"/>
        <v/>
      </c>
      <c r="P648" t="str">
        <f t="shared" si="158"/>
        <v/>
      </c>
      <c r="Q648" t="str">
        <f t="shared" si="159"/>
        <v/>
      </c>
      <c r="R648">
        <f>IFERROR(IF(Q648=0,"",COUNTIF($Q$3:Q648,"&gt;0")),"")</f>
        <v>16</v>
      </c>
      <c r="S648" t="str">
        <f t="shared" si="152"/>
        <v/>
      </c>
      <c r="T648" t="str">
        <f t="shared" si="160"/>
        <v/>
      </c>
      <c r="U648">
        <f>IFERROR(IF(T648=0,"",COUNTIF($T$3:T648,"&gt;0")),"")</f>
        <v>0</v>
      </c>
      <c r="V648" t="str">
        <f t="shared" si="153"/>
        <v/>
      </c>
    </row>
    <row r="649" spans="1:22">
      <c r="A649" t="e">
        <f t="shared" si="148"/>
        <v>#VALUE!</v>
      </c>
      <c r="B649" t="e">
        <f>Table4[[#This Row],[CATEGORY]]</f>
        <v>#VALUE!</v>
      </c>
      <c r="C649" t="e">
        <f>Table4[[#This Row],[SUB-CATEGORY]]</f>
        <v>#VALUE!</v>
      </c>
      <c r="D649">
        <f>'RJ ATTENDENCE SHEET'!C:C</f>
        <v>0</v>
      </c>
      <c r="E649" t="e">
        <f t="shared" si="147"/>
        <v>#VALUE!</v>
      </c>
      <c r="F649" t="str">
        <f t="shared" si="154"/>
        <v/>
      </c>
      <c r="G649">
        <f>IFERROR(IF(F649=0,"",COUNTIF($F$3:F649,"&gt;0")),"")</f>
        <v>16</v>
      </c>
      <c r="H649" t="str">
        <f t="shared" si="149"/>
        <v/>
      </c>
      <c r="I649" t="str">
        <f t="shared" si="155"/>
        <v/>
      </c>
      <c r="J649">
        <f>IFERROR(IF(I649=0,"",COUNTIF($I$3:I649,"&gt;0")),"")</f>
        <v>34</v>
      </c>
      <c r="K649" t="str">
        <f t="shared" si="150"/>
        <v/>
      </c>
      <c r="L649" t="str">
        <f t="shared" si="156"/>
        <v/>
      </c>
      <c r="M649" t="str">
        <f t="shared" si="157"/>
        <v/>
      </c>
      <c r="N649">
        <f>IFERROR(IF(M649=0,"",COUNTIF($M$3:M649,"&gt;0")),"")</f>
        <v>33</v>
      </c>
      <c r="O649" t="str">
        <f t="shared" si="151"/>
        <v/>
      </c>
      <c r="P649" t="str">
        <f t="shared" si="158"/>
        <v/>
      </c>
      <c r="Q649" t="str">
        <f t="shared" si="159"/>
        <v/>
      </c>
      <c r="R649">
        <f>IFERROR(IF(Q649=0,"",COUNTIF($Q$3:Q649,"&gt;0")),"")</f>
        <v>16</v>
      </c>
      <c r="S649" t="str">
        <f t="shared" si="152"/>
        <v/>
      </c>
      <c r="T649" t="str">
        <f t="shared" si="160"/>
        <v/>
      </c>
      <c r="U649">
        <f>IFERROR(IF(T649=0,"",COUNTIF($T$3:T649,"&gt;0")),"")</f>
        <v>0</v>
      </c>
      <c r="V649" t="str">
        <f t="shared" si="153"/>
        <v/>
      </c>
    </row>
    <row r="650" spans="1:22">
      <c r="A650" t="e">
        <f t="shared" si="148"/>
        <v>#VALUE!</v>
      </c>
      <c r="B650" t="e">
        <f>Table4[[#This Row],[CATEGORY]]</f>
        <v>#VALUE!</v>
      </c>
      <c r="C650" t="e">
        <f>Table4[[#This Row],[SUB-CATEGORY]]</f>
        <v>#VALUE!</v>
      </c>
      <c r="D650">
        <f>'RJ ATTENDENCE SHEET'!C:C</f>
        <v>0</v>
      </c>
      <c r="E650" t="e">
        <f t="shared" si="147"/>
        <v>#VALUE!</v>
      </c>
      <c r="F650" t="str">
        <f t="shared" si="154"/>
        <v/>
      </c>
      <c r="G650">
        <f>IFERROR(IF(F650=0,"",COUNTIF($F$3:F650,"&gt;0")),"")</f>
        <v>16</v>
      </c>
      <c r="H650" t="str">
        <f t="shared" si="149"/>
        <v/>
      </c>
      <c r="I650" t="str">
        <f t="shared" si="155"/>
        <v/>
      </c>
      <c r="J650">
        <f>IFERROR(IF(I650=0,"",COUNTIF($I$3:I650,"&gt;0")),"")</f>
        <v>34</v>
      </c>
      <c r="K650" t="str">
        <f t="shared" si="150"/>
        <v/>
      </c>
      <c r="L650" t="str">
        <f t="shared" si="156"/>
        <v/>
      </c>
      <c r="M650" t="str">
        <f t="shared" si="157"/>
        <v/>
      </c>
      <c r="N650">
        <f>IFERROR(IF(M650=0,"",COUNTIF($M$3:M650,"&gt;0")),"")</f>
        <v>33</v>
      </c>
      <c r="O650" t="str">
        <f t="shared" si="151"/>
        <v/>
      </c>
      <c r="P650" t="str">
        <f t="shared" si="158"/>
        <v/>
      </c>
      <c r="Q650" t="str">
        <f t="shared" si="159"/>
        <v/>
      </c>
      <c r="R650">
        <f>IFERROR(IF(Q650=0,"",COUNTIF($Q$3:Q650,"&gt;0")),"")</f>
        <v>16</v>
      </c>
      <c r="S650" t="str">
        <f t="shared" si="152"/>
        <v/>
      </c>
      <c r="T650" t="str">
        <f t="shared" si="160"/>
        <v/>
      </c>
      <c r="U650">
        <f>IFERROR(IF(T650=0,"",COUNTIF($T$3:T650,"&gt;0")),"")</f>
        <v>0</v>
      </c>
      <c r="V650" t="str">
        <f t="shared" si="153"/>
        <v/>
      </c>
    </row>
    <row r="651" spans="1:22">
      <c r="A651" t="e">
        <f t="shared" si="148"/>
        <v>#VALUE!</v>
      </c>
      <c r="B651" t="e">
        <f>Table4[[#This Row],[CATEGORY]]</f>
        <v>#VALUE!</v>
      </c>
      <c r="C651" t="e">
        <f>Table4[[#This Row],[SUB-CATEGORY]]</f>
        <v>#VALUE!</v>
      </c>
      <c r="D651">
        <f>'RJ ATTENDENCE SHEET'!C:C</f>
        <v>0</v>
      </c>
      <c r="E651" t="e">
        <f t="shared" si="147"/>
        <v>#VALUE!</v>
      </c>
      <c r="F651" t="str">
        <f t="shared" si="154"/>
        <v/>
      </c>
      <c r="G651">
        <f>IFERROR(IF(F651=0,"",COUNTIF($F$3:F651,"&gt;0")),"")</f>
        <v>16</v>
      </c>
      <c r="H651" t="str">
        <f t="shared" si="149"/>
        <v/>
      </c>
      <c r="I651" t="str">
        <f t="shared" si="155"/>
        <v/>
      </c>
      <c r="J651">
        <f>IFERROR(IF(I651=0,"",COUNTIF($I$3:I651,"&gt;0")),"")</f>
        <v>34</v>
      </c>
      <c r="K651" t="str">
        <f t="shared" si="150"/>
        <v/>
      </c>
      <c r="L651" t="str">
        <f t="shared" si="156"/>
        <v/>
      </c>
      <c r="M651" t="str">
        <f t="shared" si="157"/>
        <v/>
      </c>
      <c r="N651">
        <f>IFERROR(IF(M651=0,"",COUNTIF($M$3:M651,"&gt;0")),"")</f>
        <v>33</v>
      </c>
      <c r="O651" t="str">
        <f t="shared" si="151"/>
        <v/>
      </c>
      <c r="P651" t="str">
        <f t="shared" si="158"/>
        <v/>
      </c>
      <c r="Q651" t="str">
        <f t="shared" si="159"/>
        <v/>
      </c>
      <c r="R651">
        <f>IFERROR(IF(Q651=0,"",COUNTIF($Q$3:Q651,"&gt;0")),"")</f>
        <v>16</v>
      </c>
      <c r="S651" t="str">
        <f t="shared" si="152"/>
        <v/>
      </c>
      <c r="T651" t="str">
        <f t="shared" si="160"/>
        <v/>
      </c>
      <c r="U651">
        <f>IFERROR(IF(T651=0,"",COUNTIF($T$3:T651,"&gt;0")),"")</f>
        <v>0</v>
      </c>
      <c r="V651" t="str">
        <f t="shared" si="153"/>
        <v/>
      </c>
    </row>
    <row r="652" spans="1:22">
      <c r="A652" t="e">
        <f t="shared" si="148"/>
        <v>#VALUE!</v>
      </c>
      <c r="B652" t="e">
        <f>Table4[[#This Row],[CATEGORY]]</f>
        <v>#VALUE!</v>
      </c>
      <c r="C652" t="e">
        <f>Table4[[#This Row],[SUB-CATEGORY]]</f>
        <v>#VALUE!</v>
      </c>
      <c r="D652">
        <f>'RJ ATTENDENCE SHEET'!C:C</f>
        <v>0</v>
      </c>
      <c r="E652" t="e">
        <f t="shared" si="147"/>
        <v>#VALUE!</v>
      </c>
      <c r="F652" t="str">
        <f t="shared" si="154"/>
        <v/>
      </c>
      <c r="G652">
        <f>IFERROR(IF(F652=0,"",COUNTIF($F$3:F652,"&gt;0")),"")</f>
        <v>16</v>
      </c>
      <c r="H652" t="str">
        <f t="shared" si="149"/>
        <v/>
      </c>
      <c r="I652" t="str">
        <f t="shared" si="155"/>
        <v/>
      </c>
      <c r="J652">
        <f>IFERROR(IF(I652=0,"",COUNTIF($I$3:I652,"&gt;0")),"")</f>
        <v>34</v>
      </c>
      <c r="K652" t="str">
        <f t="shared" si="150"/>
        <v/>
      </c>
      <c r="L652" t="str">
        <f t="shared" si="156"/>
        <v/>
      </c>
      <c r="M652" t="str">
        <f t="shared" si="157"/>
        <v/>
      </c>
      <c r="N652">
        <f>IFERROR(IF(M652=0,"",COUNTIF($M$3:M652,"&gt;0")),"")</f>
        <v>33</v>
      </c>
      <c r="O652" t="str">
        <f t="shared" si="151"/>
        <v/>
      </c>
      <c r="P652" t="str">
        <f t="shared" si="158"/>
        <v/>
      </c>
      <c r="Q652" t="str">
        <f t="shared" si="159"/>
        <v/>
      </c>
      <c r="R652">
        <f>IFERROR(IF(Q652=0,"",COUNTIF($Q$3:Q652,"&gt;0")),"")</f>
        <v>16</v>
      </c>
      <c r="S652" t="str">
        <f t="shared" si="152"/>
        <v/>
      </c>
      <c r="T652" t="str">
        <f t="shared" si="160"/>
        <v/>
      </c>
      <c r="U652">
        <f>IFERROR(IF(T652=0,"",COUNTIF($T$3:T652,"&gt;0")),"")</f>
        <v>0</v>
      </c>
      <c r="V652" t="str">
        <f t="shared" si="153"/>
        <v/>
      </c>
    </row>
    <row r="653" spans="1:22">
      <c r="A653" t="e">
        <f t="shared" si="148"/>
        <v>#VALUE!</v>
      </c>
      <c r="B653" t="e">
        <f>Table4[[#This Row],[CATEGORY]]</f>
        <v>#VALUE!</v>
      </c>
      <c r="C653" t="e">
        <f>Table4[[#This Row],[SUB-CATEGORY]]</f>
        <v>#VALUE!</v>
      </c>
      <c r="D653">
        <f>'RJ ATTENDENCE SHEET'!C:C</f>
        <v>0</v>
      </c>
      <c r="E653" t="e">
        <f t="shared" si="147"/>
        <v>#VALUE!</v>
      </c>
      <c r="F653" t="str">
        <f t="shared" si="154"/>
        <v/>
      </c>
      <c r="G653">
        <f>IFERROR(IF(F653=0,"",COUNTIF($F$3:F653,"&gt;0")),"")</f>
        <v>16</v>
      </c>
      <c r="H653" t="str">
        <f t="shared" si="149"/>
        <v/>
      </c>
      <c r="I653" t="str">
        <f t="shared" si="155"/>
        <v/>
      </c>
      <c r="J653">
        <f>IFERROR(IF(I653=0,"",COUNTIF($I$3:I653,"&gt;0")),"")</f>
        <v>34</v>
      </c>
      <c r="K653" t="str">
        <f t="shared" si="150"/>
        <v/>
      </c>
      <c r="L653" t="str">
        <f t="shared" si="156"/>
        <v/>
      </c>
      <c r="M653" t="str">
        <f t="shared" si="157"/>
        <v/>
      </c>
      <c r="N653">
        <f>IFERROR(IF(M653=0,"",COUNTIF($M$3:M653,"&gt;0")),"")</f>
        <v>33</v>
      </c>
      <c r="O653" t="str">
        <f t="shared" si="151"/>
        <v/>
      </c>
      <c r="P653" t="str">
        <f t="shared" si="158"/>
        <v/>
      </c>
      <c r="Q653" t="str">
        <f t="shared" si="159"/>
        <v/>
      </c>
      <c r="R653">
        <f>IFERROR(IF(Q653=0,"",COUNTIF($Q$3:Q653,"&gt;0")),"")</f>
        <v>16</v>
      </c>
      <c r="S653" t="str">
        <f t="shared" si="152"/>
        <v/>
      </c>
      <c r="T653" t="str">
        <f t="shared" si="160"/>
        <v/>
      </c>
      <c r="U653">
        <f>IFERROR(IF(T653=0,"",COUNTIF($T$3:T653,"&gt;0")),"")</f>
        <v>0</v>
      </c>
      <c r="V653" t="str">
        <f t="shared" si="153"/>
        <v/>
      </c>
    </row>
    <row r="654" spans="1:22">
      <c r="A654" t="e">
        <f t="shared" si="148"/>
        <v>#VALUE!</v>
      </c>
      <c r="B654" t="e">
        <f>Table4[[#This Row],[CATEGORY]]</f>
        <v>#VALUE!</v>
      </c>
      <c r="C654" t="e">
        <f>Table4[[#This Row],[SUB-CATEGORY]]</f>
        <v>#VALUE!</v>
      </c>
      <c r="D654">
        <f>'RJ ATTENDENCE SHEET'!C:C</f>
        <v>0</v>
      </c>
      <c r="E654" t="e">
        <f t="shared" si="147"/>
        <v>#VALUE!</v>
      </c>
      <c r="F654" t="str">
        <f t="shared" si="154"/>
        <v/>
      </c>
      <c r="G654">
        <f>IFERROR(IF(F654=0,"",COUNTIF($F$3:F654,"&gt;0")),"")</f>
        <v>16</v>
      </c>
      <c r="H654" t="str">
        <f t="shared" si="149"/>
        <v/>
      </c>
      <c r="I654" t="str">
        <f t="shared" si="155"/>
        <v/>
      </c>
      <c r="J654">
        <f>IFERROR(IF(I654=0,"",COUNTIF($I$3:I654,"&gt;0")),"")</f>
        <v>34</v>
      </c>
      <c r="K654" t="str">
        <f t="shared" si="150"/>
        <v/>
      </c>
      <c r="L654" t="str">
        <f t="shared" si="156"/>
        <v/>
      </c>
      <c r="M654" t="str">
        <f t="shared" si="157"/>
        <v/>
      </c>
      <c r="N654">
        <f>IFERROR(IF(M654=0,"",COUNTIF($M$3:M654,"&gt;0")),"")</f>
        <v>33</v>
      </c>
      <c r="O654" t="str">
        <f t="shared" si="151"/>
        <v/>
      </c>
      <c r="P654" t="str">
        <f t="shared" si="158"/>
        <v/>
      </c>
      <c r="Q654" t="str">
        <f t="shared" si="159"/>
        <v/>
      </c>
      <c r="R654">
        <f>IFERROR(IF(Q654=0,"",COUNTIF($Q$3:Q654,"&gt;0")),"")</f>
        <v>16</v>
      </c>
      <c r="S654" t="str">
        <f t="shared" si="152"/>
        <v/>
      </c>
      <c r="T654" t="str">
        <f t="shared" si="160"/>
        <v/>
      </c>
      <c r="U654">
        <f>IFERROR(IF(T654=0,"",COUNTIF($T$3:T654,"&gt;0")),"")</f>
        <v>0</v>
      </c>
      <c r="V654" t="str">
        <f t="shared" si="153"/>
        <v/>
      </c>
    </row>
    <row r="655" spans="1:22">
      <c r="A655" t="e">
        <f t="shared" si="148"/>
        <v>#VALUE!</v>
      </c>
      <c r="B655" t="e">
        <f>Table4[[#This Row],[CATEGORY]]</f>
        <v>#VALUE!</v>
      </c>
      <c r="C655" t="e">
        <f>Table4[[#This Row],[SUB-CATEGORY]]</f>
        <v>#VALUE!</v>
      </c>
      <c r="D655">
        <f>'RJ ATTENDENCE SHEET'!C:C</f>
        <v>0</v>
      </c>
      <c r="E655" t="e">
        <f t="shared" si="147"/>
        <v>#VALUE!</v>
      </c>
      <c r="F655" t="str">
        <f t="shared" si="154"/>
        <v/>
      </c>
      <c r="G655">
        <f>IFERROR(IF(F655=0,"",COUNTIF($F$3:F655,"&gt;0")),"")</f>
        <v>16</v>
      </c>
      <c r="H655" t="str">
        <f t="shared" si="149"/>
        <v/>
      </c>
      <c r="I655" t="str">
        <f t="shared" si="155"/>
        <v/>
      </c>
      <c r="J655">
        <f>IFERROR(IF(I655=0,"",COUNTIF($I$3:I655,"&gt;0")),"")</f>
        <v>34</v>
      </c>
      <c r="K655" t="str">
        <f t="shared" si="150"/>
        <v/>
      </c>
      <c r="L655" t="str">
        <f t="shared" si="156"/>
        <v/>
      </c>
      <c r="M655" t="str">
        <f t="shared" si="157"/>
        <v/>
      </c>
      <c r="N655">
        <f>IFERROR(IF(M655=0,"",COUNTIF($M$3:M655,"&gt;0")),"")</f>
        <v>33</v>
      </c>
      <c r="O655" t="str">
        <f t="shared" si="151"/>
        <v/>
      </c>
      <c r="P655" t="str">
        <f t="shared" si="158"/>
        <v/>
      </c>
      <c r="Q655" t="str">
        <f t="shared" si="159"/>
        <v/>
      </c>
      <c r="R655">
        <f>IFERROR(IF(Q655=0,"",COUNTIF($Q$3:Q655,"&gt;0")),"")</f>
        <v>16</v>
      </c>
      <c r="S655" t="str">
        <f t="shared" si="152"/>
        <v/>
      </c>
      <c r="T655" t="str">
        <f t="shared" si="160"/>
        <v/>
      </c>
      <c r="U655">
        <f>IFERROR(IF(T655=0,"",COUNTIF($T$3:T655,"&gt;0")),"")</f>
        <v>0</v>
      </c>
      <c r="V655" t="str">
        <f t="shared" si="153"/>
        <v/>
      </c>
    </row>
    <row r="656" spans="1:22">
      <c r="A656" t="e">
        <f t="shared" si="148"/>
        <v>#VALUE!</v>
      </c>
      <c r="B656" t="e">
        <f>Table4[[#This Row],[CATEGORY]]</f>
        <v>#VALUE!</v>
      </c>
      <c r="C656" t="e">
        <f>Table4[[#This Row],[SUB-CATEGORY]]</f>
        <v>#VALUE!</v>
      </c>
      <c r="D656">
        <f>'RJ ATTENDENCE SHEET'!C:C</f>
        <v>0</v>
      </c>
      <c r="E656" t="e">
        <f t="shared" si="147"/>
        <v>#VALUE!</v>
      </c>
      <c r="F656" t="str">
        <f t="shared" si="154"/>
        <v/>
      </c>
      <c r="G656">
        <f>IFERROR(IF(F656=0,"",COUNTIF($F$3:F656,"&gt;0")),"")</f>
        <v>16</v>
      </c>
      <c r="H656" t="str">
        <f t="shared" si="149"/>
        <v/>
      </c>
      <c r="I656" t="str">
        <f t="shared" si="155"/>
        <v/>
      </c>
      <c r="J656">
        <f>IFERROR(IF(I656=0,"",COUNTIF($I$3:I656,"&gt;0")),"")</f>
        <v>34</v>
      </c>
      <c r="K656" t="str">
        <f t="shared" si="150"/>
        <v/>
      </c>
      <c r="L656" t="str">
        <f t="shared" si="156"/>
        <v/>
      </c>
      <c r="M656" t="str">
        <f t="shared" si="157"/>
        <v/>
      </c>
      <c r="N656">
        <f>IFERROR(IF(M656=0,"",COUNTIF($M$3:M656,"&gt;0")),"")</f>
        <v>33</v>
      </c>
      <c r="O656" t="str">
        <f t="shared" si="151"/>
        <v/>
      </c>
      <c r="P656" t="str">
        <f t="shared" si="158"/>
        <v/>
      </c>
      <c r="Q656" t="str">
        <f t="shared" si="159"/>
        <v/>
      </c>
      <c r="R656">
        <f>IFERROR(IF(Q656=0,"",COUNTIF($Q$3:Q656,"&gt;0")),"")</f>
        <v>16</v>
      </c>
      <c r="S656" t="str">
        <f t="shared" si="152"/>
        <v/>
      </c>
      <c r="T656" t="str">
        <f t="shared" si="160"/>
        <v/>
      </c>
      <c r="U656">
        <f>IFERROR(IF(T656=0,"",COUNTIF($T$3:T656,"&gt;0")),"")</f>
        <v>0</v>
      </c>
      <c r="V656" t="str">
        <f t="shared" si="153"/>
        <v/>
      </c>
    </row>
    <row r="657" spans="1:22">
      <c r="A657" t="e">
        <f t="shared" si="148"/>
        <v>#VALUE!</v>
      </c>
      <c r="B657" t="e">
        <f>Table4[[#This Row],[CATEGORY]]</f>
        <v>#VALUE!</v>
      </c>
      <c r="C657" t="e">
        <f>Table4[[#This Row],[SUB-CATEGORY]]</f>
        <v>#VALUE!</v>
      </c>
      <c r="D657">
        <f>'RJ ATTENDENCE SHEET'!C:C</f>
        <v>0</v>
      </c>
      <c r="E657" t="e">
        <f t="shared" si="147"/>
        <v>#VALUE!</v>
      </c>
      <c r="F657" t="str">
        <f t="shared" si="154"/>
        <v/>
      </c>
      <c r="G657">
        <f>IFERROR(IF(F657=0,"",COUNTIF($F$3:F657,"&gt;0")),"")</f>
        <v>16</v>
      </c>
      <c r="H657" t="str">
        <f t="shared" si="149"/>
        <v/>
      </c>
      <c r="I657" t="str">
        <f t="shared" si="155"/>
        <v/>
      </c>
      <c r="J657">
        <f>IFERROR(IF(I657=0,"",COUNTIF($I$3:I657,"&gt;0")),"")</f>
        <v>34</v>
      </c>
      <c r="K657" t="str">
        <f t="shared" si="150"/>
        <v/>
      </c>
      <c r="L657" t="str">
        <f t="shared" si="156"/>
        <v/>
      </c>
      <c r="M657" t="str">
        <f t="shared" si="157"/>
        <v/>
      </c>
      <c r="N657">
        <f>IFERROR(IF(M657=0,"",COUNTIF($M$3:M657,"&gt;0")),"")</f>
        <v>33</v>
      </c>
      <c r="O657" t="str">
        <f t="shared" si="151"/>
        <v/>
      </c>
      <c r="P657" t="str">
        <f t="shared" si="158"/>
        <v/>
      </c>
      <c r="Q657" t="str">
        <f t="shared" si="159"/>
        <v/>
      </c>
      <c r="R657">
        <f>IFERROR(IF(Q657=0,"",COUNTIF($Q$3:Q657,"&gt;0")),"")</f>
        <v>16</v>
      </c>
      <c r="S657" t="str">
        <f t="shared" si="152"/>
        <v/>
      </c>
      <c r="T657" t="str">
        <f t="shared" si="160"/>
        <v/>
      </c>
      <c r="U657">
        <f>IFERROR(IF(T657=0,"",COUNTIF($T$3:T657,"&gt;0")),"")</f>
        <v>0</v>
      </c>
      <c r="V657" t="str">
        <f t="shared" si="153"/>
        <v/>
      </c>
    </row>
    <row r="658" spans="1:22">
      <c r="A658" t="e">
        <f t="shared" si="148"/>
        <v>#VALUE!</v>
      </c>
      <c r="B658" t="e">
        <f>Table4[[#This Row],[CATEGORY]]</f>
        <v>#VALUE!</v>
      </c>
      <c r="C658" t="e">
        <f>Table4[[#This Row],[SUB-CATEGORY]]</f>
        <v>#VALUE!</v>
      </c>
      <c r="D658">
        <f>'RJ ATTENDENCE SHEET'!C:C</f>
        <v>0</v>
      </c>
      <c r="E658" t="e">
        <f t="shared" si="147"/>
        <v>#VALUE!</v>
      </c>
      <c r="F658" t="str">
        <f t="shared" si="154"/>
        <v/>
      </c>
      <c r="G658">
        <f>IFERROR(IF(F658=0,"",COUNTIF($F$3:F658,"&gt;0")),"")</f>
        <v>16</v>
      </c>
      <c r="H658" t="str">
        <f t="shared" si="149"/>
        <v/>
      </c>
      <c r="I658" t="str">
        <f t="shared" si="155"/>
        <v/>
      </c>
      <c r="J658">
        <f>IFERROR(IF(I658=0,"",COUNTIF($I$3:I658,"&gt;0")),"")</f>
        <v>34</v>
      </c>
      <c r="K658" t="str">
        <f t="shared" si="150"/>
        <v/>
      </c>
      <c r="L658" t="str">
        <f t="shared" si="156"/>
        <v/>
      </c>
      <c r="M658" t="str">
        <f t="shared" si="157"/>
        <v/>
      </c>
      <c r="N658">
        <f>IFERROR(IF(M658=0,"",COUNTIF($M$3:M658,"&gt;0")),"")</f>
        <v>33</v>
      </c>
      <c r="O658" t="str">
        <f t="shared" si="151"/>
        <v/>
      </c>
      <c r="P658" t="str">
        <f t="shared" si="158"/>
        <v/>
      </c>
      <c r="Q658" t="str">
        <f t="shared" si="159"/>
        <v/>
      </c>
      <c r="R658">
        <f>IFERROR(IF(Q658=0,"",COUNTIF($Q$3:Q658,"&gt;0")),"")</f>
        <v>16</v>
      </c>
      <c r="S658" t="str">
        <f t="shared" si="152"/>
        <v/>
      </c>
      <c r="T658" t="str">
        <f t="shared" si="160"/>
        <v/>
      </c>
      <c r="U658">
        <f>IFERROR(IF(T658=0,"",COUNTIF($T$3:T658,"&gt;0")),"")</f>
        <v>0</v>
      </c>
      <c r="V658" t="str">
        <f t="shared" si="153"/>
        <v/>
      </c>
    </row>
    <row r="659" spans="1:22">
      <c r="A659" t="e">
        <f t="shared" si="148"/>
        <v>#VALUE!</v>
      </c>
      <c r="B659" t="e">
        <f>Table4[[#This Row],[CATEGORY]]</f>
        <v>#VALUE!</v>
      </c>
      <c r="C659" t="e">
        <f>Table4[[#This Row],[SUB-CATEGORY]]</f>
        <v>#VALUE!</v>
      </c>
      <c r="D659">
        <f>'RJ ATTENDENCE SHEET'!C:C</f>
        <v>0</v>
      </c>
      <c r="E659" t="e">
        <f t="shared" si="147"/>
        <v>#VALUE!</v>
      </c>
      <c r="F659" t="str">
        <f t="shared" si="154"/>
        <v/>
      </c>
      <c r="G659">
        <f>IFERROR(IF(F659=0,"",COUNTIF($F$3:F659,"&gt;0")),"")</f>
        <v>16</v>
      </c>
      <c r="H659" t="str">
        <f t="shared" si="149"/>
        <v/>
      </c>
      <c r="I659" t="str">
        <f t="shared" si="155"/>
        <v/>
      </c>
      <c r="J659">
        <f>IFERROR(IF(I659=0,"",COUNTIF($I$3:I659,"&gt;0")),"")</f>
        <v>34</v>
      </c>
      <c r="K659" t="str">
        <f t="shared" si="150"/>
        <v/>
      </c>
      <c r="L659" t="str">
        <f t="shared" si="156"/>
        <v/>
      </c>
      <c r="M659" t="str">
        <f t="shared" si="157"/>
        <v/>
      </c>
      <c r="N659">
        <f>IFERROR(IF(M659=0,"",COUNTIF($M$3:M659,"&gt;0")),"")</f>
        <v>33</v>
      </c>
      <c r="O659" t="str">
        <f t="shared" si="151"/>
        <v/>
      </c>
      <c r="P659" t="str">
        <f t="shared" si="158"/>
        <v/>
      </c>
      <c r="Q659" t="str">
        <f t="shared" si="159"/>
        <v/>
      </c>
      <c r="R659">
        <f>IFERROR(IF(Q659=0,"",COUNTIF($Q$3:Q659,"&gt;0")),"")</f>
        <v>16</v>
      </c>
      <c r="S659" t="str">
        <f t="shared" si="152"/>
        <v/>
      </c>
      <c r="T659" t="str">
        <f t="shared" si="160"/>
        <v/>
      </c>
      <c r="U659">
        <f>IFERROR(IF(T659=0,"",COUNTIF($T$3:T659,"&gt;0")),"")</f>
        <v>0</v>
      </c>
      <c r="V659" t="str">
        <f t="shared" si="153"/>
        <v/>
      </c>
    </row>
    <row r="660" spans="1:22">
      <c r="A660" t="e">
        <f t="shared" si="148"/>
        <v>#VALUE!</v>
      </c>
      <c r="B660" t="e">
        <f>Table4[[#This Row],[CATEGORY]]</f>
        <v>#VALUE!</v>
      </c>
      <c r="C660" t="e">
        <f>Table4[[#This Row],[SUB-CATEGORY]]</f>
        <v>#VALUE!</v>
      </c>
      <c r="D660">
        <f>'RJ ATTENDENCE SHEET'!C:C</f>
        <v>0</v>
      </c>
      <c r="E660" t="e">
        <f t="shared" si="147"/>
        <v>#VALUE!</v>
      </c>
      <c r="F660" t="str">
        <f t="shared" si="154"/>
        <v/>
      </c>
      <c r="G660">
        <f>IFERROR(IF(F660=0,"",COUNTIF($F$3:F660,"&gt;0")),"")</f>
        <v>16</v>
      </c>
      <c r="H660" t="str">
        <f t="shared" si="149"/>
        <v/>
      </c>
      <c r="I660" t="str">
        <f t="shared" si="155"/>
        <v/>
      </c>
      <c r="J660">
        <f>IFERROR(IF(I660=0,"",COUNTIF($I$3:I660,"&gt;0")),"")</f>
        <v>34</v>
      </c>
      <c r="K660" t="str">
        <f t="shared" si="150"/>
        <v/>
      </c>
      <c r="L660" t="str">
        <f t="shared" si="156"/>
        <v/>
      </c>
      <c r="M660" t="str">
        <f t="shared" si="157"/>
        <v/>
      </c>
      <c r="N660">
        <f>IFERROR(IF(M660=0,"",COUNTIF($M$3:M660,"&gt;0")),"")</f>
        <v>33</v>
      </c>
      <c r="O660" t="str">
        <f t="shared" si="151"/>
        <v/>
      </c>
      <c r="P660" t="str">
        <f t="shared" si="158"/>
        <v/>
      </c>
      <c r="Q660" t="str">
        <f t="shared" si="159"/>
        <v/>
      </c>
      <c r="R660">
        <f>IFERROR(IF(Q660=0,"",COUNTIF($Q$3:Q660,"&gt;0")),"")</f>
        <v>16</v>
      </c>
      <c r="S660" t="str">
        <f t="shared" si="152"/>
        <v/>
      </c>
      <c r="T660" t="str">
        <f t="shared" si="160"/>
        <v/>
      </c>
      <c r="U660">
        <f>IFERROR(IF(T660=0,"",COUNTIF($T$3:T660,"&gt;0")),"")</f>
        <v>0</v>
      </c>
      <c r="V660" t="str">
        <f t="shared" si="153"/>
        <v/>
      </c>
    </row>
    <row r="661" spans="1:22">
      <c r="A661" t="e">
        <f t="shared" si="148"/>
        <v>#VALUE!</v>
      </c>
      <c r="B661" t="e">
        <f>Table4[[#This Row],[CATEGORY]]</f>
        <v>#VALUE!</v>
      </c>
      <c r="C661" t="e">
        <f>Table4[[#This Row],[SUB-CATEGORY]]</f>
        <v>#VALUE!</v>
      </c>
      <c r="D661">
        <f>'RJ ATTENDENCE SHEET'!C:C</f>
        <v>0</v>
      </c>
      <c r="E661" t="e">
        <f t="shared" si="147"/>
        <v>#VALUE!</v>
      </c>
      <c r="F661" t="str">
        <f t="shared" si="154"/>
        <v/>
      </c>
      <c r="G661">
        <f>IFERROR(IF(F661=0,"",COUNTIF($F$3:F661,"&gt;0")),"")</f>
        <v>16</v>
      </c>
      <c r="H661" t="str">
        <f t="shared" si="149"/>
        <v/>
      </c>
      <c r="I661" t="str">
        <f t="shared" si="155"/>
        <v/>
      </c>
      <c r="J661">
        <f>IFERROR(IF(I661=0,"",COUNTIF($I$3:I661,"&gt;0")),"")</f>
        <v>34</v>
      </c>
      <c r="K661" t="str">
        <f t="shared" si="150"/>
        <v/>
      </c>
      <c r="L661" t="str">
        <f t="shared" si="156"/>
        <v/>
      </c>
      <c r="M661" t="str">
        <f t="shared" si="157"/>
        <v/>
      </c>
      <c r="N661">
        <f>IFERROR(IF(M661=0,"",COUNTIF($M$3:M661,"&gt;0")),"")</f>
        <v>33</v>
      </c>
      <c r="O661" t="str">
        <f t="shared" si="151"/>
        <v/>
      </c>
      <c r="P661" t="str">
        <f t="shared" si="158"/>
        <v/>
      </c>
      <c r="Q661" t="str">
        <f t="shared" si="159"/>
        <v/>
      </c>
      <c r="R661">
        <f>IFERROR(IF(Q661=0,"",COUNTIF($Q$3:Q661,"&gt;0")),"")</f>
        <v>16</v>
      </c>
      <c r="S661" t="str">
        <f t="shared" si="152"/>
        <v/>
      </c>
      <c r="T661" t="str">
        <f t="shared" si="160"/>
        <v/>
      </c>
      <c r="U661">
        <f>IFERROR(IF(T661=0,"",COUNTIF($T$3:T661,"&gt;0")),"")</f>
        <v>0</v>
      </c>
      <c r="V661" t="str">
        <f t="shared" si="153"/>
        <v/>
      </c>
    </row>
    <row r="662" spans="1:22">
      <c r="A662" t="e">
        <f t="shared" si="148"/>
        <v>#VALUE!</v>
      </c>
      <c r="B662" t="e">
        <f>Table4[[#This Row],[CATEGORY]]</f>
        <v>#VALUE!</v>
      </c>
      <c r="C662" t="e">
        <f>Table4[[#This Row],[SUB-CATEGORY]]</f>
        <v>#VALUE!</v>
      </c>
      <c r="D662">
        <f>'RJ ATTENDENCE SHEET'!C:C</f>
        <v>0</v>
      </c>
      <c r="E662" t="e">
        <f t="shared" si="147"/>
        <v>#VALUE!</v>
      </c>
      <c r="F662" t="str">
        <f t="shared" si="154"/>
        <v/>
      </c>
      <c r="G662">
        <f>IFERROR(IF(F662=0,"",COUNTIF($F$3:F662,"&gt;0")),"")</f>
        <v>16</v>
      </c>
      <c r="H662" t="str">
        <f t="shared" si="149"/>
        <v/>
      </c>
      <c r="I662" t="str">
        <f t="shared" si="155"/>
        <v/>
      </c>
      <c r="J662">
        <f>IFERROR(IF(I662=0,"",COUNTIF($I$3:I662,"&gt;0")),"")</f>
        <v>34</v>
      </c>
      <c r="K662" t="str">
        <f t="shared" si="150"/>
        <v/>
      </c>
      <c r="L662" t="str">
        <f t="shared" si="156"/>
        <v/>
      </c>
      <c r="M662" t="str">
        <f t="shared" si="157"/>
        <v/>
      </c>
      <c r="N662">
        <f>IFERROR(IF(M662=0,"",COUNTIF($M$3:M662,"&gt;0")),"")</f>
        <v>33</v>
      </c>
      <c r="O662" t="str">
        <f t="shared" si="151"/>
        <v/>
      </c>
      <c r="P662" t="str">
        <f t="shared" si="158"/>
        <v/>
      </c>
      <c r="Q662" t="str">
        <f t="shared" si="159"/>
        <v/>
      </c>
      <c r="R662">
        <f>IFERROR(IF(Q662=0,"",COUNTIF($Q$3:Q662,"&gt;0")),"")</f>
        <v>16</v>
      </c>
      <c r="S662" t="str">
        <f t="shared" si="152"/>
        <v/>
      </c>
      <c r="T662" t="str">
        <f t="shared" si="160"/>
        <v/>
      </c>
      <c r="U662">
        <f>IFERROR(IF(T662=0,"",COUNTIF($T$3:T662,"&gt;0")),"")</f>
        <v>0</v>
      </c>
      <c r="V662" t="str">
        <f t="shared" si="153"/>
        <v/>
      </c>
    </row>
    <row r="663" spans="1:22">
      <c r="A663" t="e">
        <f t="shared" si="148"/>
        <v>#VALUE!</v>
      </c>
      <c r="B663" t="e">
        <f>Table4[[#This Row],[CATEGORY]]</f>
        <v>#VALUE!</v>
      </c>
      <c r="C663" t="e">
        <f>Table4[[#This Row],[SUB-CATEGORY]]</f>
        <v>#VALUE!</v>
      </c>
      <c r="D663">
        <f>'RJ ATTENDENCE SHEET'!C:C</f>
        <v>0</v>
      </c>
      <c r="E663" t="e">
        <f t="shared" si="147"/>
        <v>#VALUE!</v>
      </c>
      <c r="F663" t="str">
        <f t="shared" si="154"/>
        <v/>
      </c>
      <c r="G663">
        <f>IFERROR(IF(F663=0,"",COUNTIF($F$3:F663,"&gt;0")),"")</f>
        <v>16</v>
      </c>
      <c r="H663" t="str">
        <f t="shared" si="149"/>
        <v/>
      </c>
      <c r="I663" t="str">
        <f t="shared" si="155"/>
        <v/>
      </c>
      <c r="J663">
        <f>IFERROR(IF(I663=0,"",COUNTIF($I$3:I663,"&gt;0")),"")</f>
        <v>34</v>
      </c>
      <c r="K663" t="str">
        <f t="shared" si="150"/>
        <v/>
      </c>
      <c r="L663" t="str">
        <f t="shared" si="156"/>
        <v/>
      </c>
      <c r="M663" t="str">
        <f t="shared" si="157"/>
        <v/>
      </c>
      <c r="N663">
        <f>IFERROR(IF(M663=0,"",COUNTIF($M$3:M663,"&gt;0")),"")</f>
        <v>33</v>
      </c>
      <c r="O663" t="str">
        <f t="shared" si="151"/>
        <v/>
      </c>
      <c r="P663" t="str">
        <f t="shared" si="158"/>
        <v/>
      </c>
      <c r="Q663" t="str">
        <f t="shared" si="159"/>
        <v/>
      </c>
      <c r="R663">
        <f>IFERROR(IF(Q663=0,"",COUNTIF($Q$3:Q663,"&gt;0")),"")</f>
        <v>16</v>
      </c>
      <c r="S663" t="str">
        <f t="shared" si="152"/>
        <v/>
      </c>
      <c r="T663" t="str">
        <f t="shared" si="160"/>
        <v/>
      </c>
      <c r="U663">
        <f>IFERROR(IF(T663=0,"",COUNTIF($T$3:T663,"&gt;0")),"")</f>
        <v>0</v>
      </c>
      <c r="V663" t="str">
        <f t="shared" si="153"/>
        <v/>
      </c>
    </row>
    <row r="664" spans="1:22">
      <c r="A664" t="e">
        <f t="shared" si="148"/>
        <v>#VALUE!</v>
      </c>
      <c r="B664" t="e">
        <f>Table4[[#This Row],[CATEGORY]]</f>
        <v>#VALUE!</v>
      </c>
      <c r="C664" t="e">
        <f>Table4[[#This Row],[SUB-CATEGORY]]</f>
        <v>#VALUE!</v>
      </c>
      <c r="D664">
        <f>'RJ ATTENDENCE SHEET'!C:C</f>
        <v>0</v>
      </c>
      <c r="E664" t="e">
        <f t="shared" si="147"/>
        <v>#VALUE!</v>
      </c>
      <c r="F664" t="str">
        <f t="shared" si="154"/>
        <v/>
      </c>
      <c r="G664">
        <f>IFERROR(IF(F664=0,"",COUNTIF($F$3:F664,"&gt;0")),"")</f>
        <v>16</v>
      </c>
      <c r="H664" t="str">
        <f t="shared" si="149"/>
        <v/>
      </c>
      <c r="I664" t="str">
        <f t="shared" si="155"/>
        <v/>
      </c>
      <c r="J664">
        <f>IFERROR(IF(I664=0,"",COUNTIF($I$3:I664,"&gt;0")),"")</f>
        <v>34</v>
      </c>
      <c r="K664" t="str">
        <f t="shared" si="150"/>
        <v/>
      </c>
      <c r="L664" t="str">
        <f t="shared" si="156"/>
        <v/>
      </c>
      <c r="M664" t="str">
        <f t="shared" si="157"/>
        <v/>
      </c>
      <c r="N664">
        <f>IFERROR(IF(M664=0,"",COUNTIF($M$3:M664,"&gt;0")),"")</f>
        <v>33</v>
      </c>
      <c r="O664" t="str">
        <f t="shared" si="151"/>
        <v/>
      </c>
      <c r="P664" t="str">
        <f t="shared" si="158"/>
        <v/>
      </c>
      <c r="Q664" t="str">
        <f t="shared" si="159"/>
        <v/>
      </c>
      <c r="R664">
        <f>IFERROR(IF(Q664=0,"",COUNTIF($Q$3:Q664,"&gt;0")),"")</f>
        <v>16</v>
      </c>
      <c r="S664" t="str">
        <f t="shared" si="152"/>
        <v/>
      </c>
      <c r="T664" t="str">
        <f t="shared" si="160"/>
        <v/>
      </c>
      <c r="U664">
        <f>IFERROR(IF(T664=0,"",COUNTIF($T$3:T664,"&gt;0")),"")</f>
        <v>0</v>
      </c>
      <c r="V664" t="str">
        <f t="shared" si="153"/>
        <v/>
      </c>
    </row>
    <row r="665" spans="1:22">
      <c r="A665" t="e">
        <f t="shared" si="148"/>
        <v>#VALUE!</v>
      </c>
      <c r="B665" t="e">
        <f>Table4[[#This Row],[CATEGORY]]</f>
        <v>#VALUE!</v>
      </c>
      <c r="C665" t="e">
        <f>Table4[[#This Row],[SUB-CATEGORY]]</f>
        <v>#VALUE!</v>
      </c>
      <c r="D665">
        <f>'RJ ATTENDENCE SHEET'!C:C</f>
        <v>0</v>
      </c>
      <c r="E665" t="e">
        <f t="shared" si="147"/>
        <v>#VALUE!</v>
      </c>
      <c r="F665" t="str">
        <f t="shared" si="154"/>
        <v/>
      </c>
      <c r="G665">
        <f>IFERROR(IF(F665=0,"",COUNTIF($F$3:F665,"&gt;0")),"")</f>
        <v>16</v>
      </c>
      <c r="H665" t="str">
        <f t="shared" si="149"/>
        <v/>
      </c>
      <c r="I665" t="str">
        <f t="shared" si="155"/>
        <v/>
      </c>
      <c r="J665">
        <f>IFERROR(IF(I665=0,"",COUNTIF($I$3:I665,"&gt;0")),"")</f>
        <v>34</v>
      </c>
      <c r="K665" t="str">
        <f t="shared" si="150"/>
        <v/>
      </c>
      <c r="L665" t="str">
        <f t="shared" si="156"/>
        <v/>
      </c>
      <c r="M665" t="str">
        <f t="shared" si="157"/>
        <v/>
      </c>
      <c r="N665">
        <f>IFERROR(IF(M665=0,"",COUNTIF($M$3:M665,"&gt;0")),"")</f>
        <v>33</v>
      </c>
      <c r="O665" t="str">
        <f t="shared" si="151"/>
        <v/>
      </c>
      <c r="P665" t="str">
        <f t="shared" si="158"/>
        <v/>
      </c>
      <c r="Q665" t="str">
        <f t="shared" si="159"/>
        <v/>
      </c>
      <c r="R665">
        <f>IFERROR(IF(Q665=0,"",COUNTIF($Q$3:Q665,"&gt;0")),"")</f>
        <v>16</v>
      </c>
      <c r="S665" t="str">
        <f t="shared" si="152"/>
        <v/>
      </c>
      <c r="T665" t="str">
        <f t="shared" si="160"/>
        <v/>
      </c>
      <c r="U665">
        <f>IFERROR(IF(T665=0,"",COUNTIF($T$3:T665,"&gt;0")),"")</f>
        <v>0</v>
      </c>
      <c r="V665" t="str">
        <f t="shared" si="153"/>
        <v/>
      </c>
    </row>
    <row r="666" spans="1:22">
      <c r="A666" t="e">
        <f t="shared" si="148"/>
        <v>#VALUE!</v>
      </c>
      <c r="B666" t="e">
        <f>Table4[[#This Row],[CATEGORY]]</f>
        <v>#VALUE!</v>
      </c>
      <c r="C666" t="e">
        <f>Table4[[#This Row],[SUB-CATEGORY]]</f>
        <v>#VALUE!</v>
      </c>
      <c r="D666">
        <f>'RJ ATTENDENCE SHEET'!C:C</f>
        <v>0</v>
      </c>
      <c r="E666" t="e">
        <f t="shared" si="147"/>
        <v>#VALUE!</v>
      </c>
      <c r="F666" t="str">
        <f t="shared" si="154"/>
        <v/>
      </c>
      <c r="G666">
        <f>IFERROR(IF(F666=0,"",COUNTIF($F$3:F666,"&gt;0")),"")</f>
        <v>16</v>
      </c>
      <c r="H666" t="str">
        <f t="shared" si="149"/>
        <v/>
      </c>
      <c r="I666" t="str">
        <f t="shared" si="155"/>
        <v/>
      </c>
      <c r="J666">
        <f>IFERROR(IF(I666=0,"",COUNTIF($I$3:I666,"&gt;0")),"")</f>
        <v>34</v>
      </c>
      <c r="K666" t="str">
        <f t="shared" si="150"/>
        <v/>
      </c>
      <c r="L666" t="str">
        <f t="shared" si="156"/>
        <v/>
      </c>
      <c r="M666" t="str">
        <f t="shared" si="157"/>
        <v/>
      </c>
      <c r="N666">
        <f>IFERROR(IF(M666=0,"",COUNTIF($M$3:M666,"&gt;0")),"")</f>
        <v>33</v>
      </c>
      <c r="O666" t="str">
        <f t="shared" si="151"/>
        <v/>
      </c>
      <c r="P666" t="str">
        <f t="shared" si="158"/>
        <v/>
      </c>
      <c r="Q666" t="str">
        <f t="shared" si="159"/>
        <v/>
      </c>
      <c r="R666">
        <f>IFERROR(IF(Q666=0,"",COUNTIF($Q$3:Q666,"&gt;0")),"")</f>
        <v>16</v>
      </c>
      <c r="S666" t="str">
        <f t="shared" si="152"/>
        <v/>
      </c>
      <c r="T666" t="str">
        <f t="shared" si="160"/>
        <v/>
      </c>
      <c r="U666">
        <f>IFERROR(IF(T666=0,"",COUNTIF($T$3:T666,"&gt;0")),"")</f>
        <v>0</v>
      </c>
      <c r="V666" t="str">
        <f t="shared" si="153"/>
        <v/>
      </c>
    </row>
    <row r="667" spans="1:22">
      <c r="A667" t="e">
        <f t="shared" si="148"/>
        <v>#VALUE!</v>
      </c>
      <c r="B667" t="e">
        <f>Table4[[#This Row],[CATEGORY]]</f>
        <v>#VALUE!</v>
      </c>
      <c r="C667" t="e">
        <f>Table4[[#This Row],[SUB-CATEGORY]]</f>
        <v>#VALUE!</v>
      </c>
      <c r="D667">
        <f>'RJ ATTENDENCE SHEET'!C:C</f>
        <v>0</v>
      </c>
      <c r="E667" t="e">
        <f t="shared" si="147"/>
        <v>#VALUE!</v>
      </c>
      <c r="F667" t="str">
        <f t="shared" si="154"/>
        <v/>
      </c>
      <c r="G667">
        <f>IFERROR(IF(F667=0,"",COUNTIF($F$3:F667,"&gt;0")),"")</f>
        <v>16</v>
      </c>
      <c r="H667" t="str">
        <f t="shared" si="149"/>
        <v/>
      </c>
      <c r="I667" t="str">
        <f t="shared" si="155"/>
        <v/>
      </c>
      <c r="J667">
        <f>IFERROR(IF(I667=0,"",COUNTIF($I$3:I667,"&gt;0")),"")</f>
        <v>34</v>
      </c>
      <c r="K667" t="str">
        <f t="shared" si="150"/>
        <v/>
      </c>
      <c r="L667" t="str">
        <f t="shared" si="156"/>
        <v/>
      </c>
      <c r="M667" t="str">
        <f t="shared" si="157"/>
        <v/>
      </c>
      <c r="N667">
        <f>IFERROR(IF(M667=0,"",COUNTIF($M$3:M667,"&gt;0")),"")</f>
        <v>33</v>
      </c>
      <c r="O667" t="str">
        <f t="shared" si="151"/>
        <v/>
      </c>
      <c r="P667" t="str">
        <f t="shared" si="158"/>
        <v/>
      </c>
      <c r="Q667" t="str">
        <f t="shared" si="159"/>
        <v/>
      </c>
      <c r="R667">
        <f>IFERROR(IF(Q667=0,"",COUNTIF($Q$3:Q667,"&gt;0")),"")</f>
        <v>16</v>
      </c>
      <c r="S667" t="str">
        <f t="shared" si="152"/>
        <v/>
      </c>
      <c r="T667" t="str">
        <f t="shared" si="160"/>
        <v/>
      </c>
      <c r="U667">
        <f>IFERROR(IF(T667=0,"",COUNTIF($T$3:T667,"&gt;0")),"")</f>
        <v>0</v>
      </c>
      <c r="V667" t="str">
        <f t="shared" si="153"/>
        <v/>
      </c>
    </row>
    <row r="668" spans="1:22">
      <c r="A668" t="e">
        <f t="shared" si="148"/>
        <v>#VALUE!</v>
      </c>
      <c r="B668" t="e">
        <f>Table4[[#This Row],[CATEGORY]]</f>
        <v>#VALUE!</v>
      </c>
      <c r="C668" t="e">
        <f>Table4[[#This Row],[SUB-CATEGORY]]</f>
        <v>#VALUE!</v>
      </c>
      <c r="D668">
        <f>'RJ ATTENDENCE SHEET'!C:C</f>
        <v>0</v>
      </c>
      <c r="E668" t="e">
        <f t="shared" si="147"/>
        <v>#VALUE!</v>
      </c>
      <c r="F668" t="str">
        <f t="shared" si="154"/>
        <v/>
      </c>
      <c r="G668">
        <f>IFERROR(IF(F668=0,"",COUNTIF($F$3:F668,"&gt;0")),"")</f>
        <v>16</v>
      </c>
      <c r="H668" t="str">
        <f t="shared" si="149"/>
        <v/>
      </c>
      <c r="I668" t="str">
        <f t="shared" si="155"/>
        <v/>
      </c>
      <c r="J668">
        <f>IFERROR(IF(I668=0,"",COUNTIF($I$3:I668,"&gt;0")),"")</f>
        <v>34</v>
      </c>
      <c r="K668" t="str">
        <f t="shared" si="150"/>
        <v/>
      </c>
      <c r="L668" t="str">
        <f t="shared" si="156"/>
        <v/>
      </c>
      <c r="M668" t="str">
        <f t="shared" si="157"/>
        <v/>
      </c>
      <c r="N668">
        <f>IFERROR(IF(M668=0,"",COUNTIF($M$3:M668,"&gt;0")),"")</f>
        <v>33</v>
      </c>
      <c r="O668" t="str">
        <f t="shared" si="151"/>
        <v/>
      </c>
      <c r="P668" t="str">
        <f t="shared" si="158"/>
        <v/>
      </c>
      <c r="Q668" t="str">
        <f t="shared" si="159"/>
        <v/>
      </c>
      <c r="R668">
        <f>IFERROR(IF(Q668=0,"",COUNTIF($Q$3:Q668,"&gt;0")),"")</f>
        <v>16</v>
      </c>
      <c r="S668" t="str">
        <f t="shared" si="152"/>
        <v/>
      </c>
      <c r="T668" t="str">
        <f t="shared" si="160"/>
        <v/>
      </c>
      <c r="U668">
        <f>IFERROR(IF(T668=0,"",COUNTIF($T$3:T668,"&gt;0")),"")</f>
        <v>0</v>
      </c>
      <c r="V668" t="str">
        <f t="shared" si="153"/>
        <v/>
      </c>
    </row>
    <row r="669" spans="1:22">
      <c r="A669" t="e">
        <f t="shared" si="148"/>
        <v>#VALUE!</v>
      </c>
      <c r="B669" t="e">
        <f>Table4[[#This Row],[CATEGORY]]</f>
        <v>#VALUE!</v>
      </c>
      <c r="C669" t="e">
        <f>Table4[[#This Row],[SUB-CATEGORY]]</f>
        <v>#VALUE!</v>
      </c>
      <c r="D669">
        <f>'RJ ATTENDENCE SHEET'!C:C</f>
        <v>0</v>
      </c>
      <c r="E669" t="e">
        <f t="shared" si="147"/>
        <v>#VALUE!</v>
      </c>
      <c r="F669" t="str">
        <f t="shared" si="154"/>
        <v/>
      </c>
      <c r="G669">
        <f>IFERROR(IF(F669=0,"",COUNTIF($F$3:F669,"&gt;0")),"")</f>
        <v>16</v>
      </c>
      <c r="H669" t="str">
        <f t="shared" si="149"/>
        <v/>
      </c>
      <c r="I669" t="str">
        <f t="shared" si="155"/>
        <v/>
      </c>
      <c r="J669">
        <f>IFERROR(IF(I669=0,"",COUNTIF($I$3:I669,"&gt;0")),"")</f>
        <v>34</v>
      </c>
      <c r="K669" t="str">
        <f t="shared" si="150"/>
        <v/>
      </c>
      <c r="L669" t="str">
        <f t="shared" si="156"/>
        <v/>
      </c>
      <c r="M669" t="str">
        <f t="shared" si="157"/>
        <v/>
      </c>
      <c r="N669">
        <f>IFERROR(IF(M669=0,"",COUNTIF($M$3:M669,"&gt;0")),"")</f>
        <v>33</v>
      </c>
      <c r="O669" t="str">
        <f t="shared" si="151"/>
        <v/>
      </c>
      <c r="P669" t="str">
        <f t="shared" si="158"/>
        <v/>
      </c>
      <c r="Q669" t="str">
        <f t="shared" si="159"/>
        <v/>
      </c>
      <c r="R669">
        <f>IFERROR(IF(Q669=0,"",COUNTIF($Q$3:Q669,"&gt;0")),"")</f>
        <v>16</v>
      </c>
      <c r="S669" t="str">
        <f t="shared" si="152"/>
        <v/>
      </c>
      <c r="T669" t="str">
        <f t="shared" si="160"/>
        <v/>
      </c>
      <c r="U669">
        <f>IFERROR(IF(T669=0,"",COUNTIF($T$3:T669,"&gt;0")),"")</f>
        <v>0</v>
      </c>
      <c r="V669" t="str">
        <f t="shared" si="153"/>
        <v/>
      </c>
    </row>
    <row r="670" spans="1:22">
      <c r="A670" t="e">
        <f t="shared" si="148"/>
        <v>#VALUE!</v>
      </c>
      <c r="B670" t="e">
        <f>Table4[[#This Row],[CATEGORY]]</f>
        <v>#VALUE!</v>
      </c>
      <c r="C670" t="e">
        <f>Table4[[#This Row],[SUB-CATEGORY]]</f>
        <v>#VALUE!</v>
      </c>
      <c r="D670">
        <f>'RJ ATTENDENCE SHEET'!C:C</f>
        <v>0</v>
      </c>
      <c r="E670" t="e">
        <f t="shared" si="147"/>
        <v>#VALUE!</v>
      </c>
      <c r="F670" t="str">
        <f t="shared" si="154"/>
        <v/>
      </c>
      <c r="G670">
        <f>IFERROR(IF(F670=0,"",COUNTIF($F$3:F670,"&gt;0")),"")</f>
        <v>16</v>
      </c>
      <c r="H670" t="str">
        <f t="shared" si="149"/>
        <v/>
      </c>
      <c r="I670" t="str">
        <f t="shared" si="155"/>
        <v/>
      </c>
      <c r="J670">
        <f>IFERROR(IF(I670=0,"",COUNTIF($I$3:I670,"&gt;0")),"")</f>
        <v>34</v>
      </c>
      <c r="K670" t="str">
        <f t="shared" si="150"/>
        <v/>
      </c>
      <c r="L670" t="str">
        <f t="shared" si="156"/>
        <v/>
      </c>
      <c r="M670" t="str">
        <f t="shared" si="157"/>
        <v/>
      </c>
      <c r="N670">
        <f>IFERROR(IF(M670=0,"",COUNTIF($M$3:M670,"&gt;0")),"")</f>
        <v>33</v>
      </c>
      <c r="O670" t="str">
        <f t="shared" si="151"/>
        <v/>
      </c>
      <c r="P670" t="str">
        <f t="shared" si="158"/>
        <v/>
      </c>
      <c r="Q670" t="str">
        <f t="shared" si="159"/>
        <v/>
      </c>
      <c r="R670">
        <f>IFERROR(IF(Q670=0,"",COUNTIF($Q$3:Q670,"&gt;0")),"")</f>
        <v>16</v>
      </c>
      <c r="S670" t="str">
        <f t="shared" si="152"/>
        <v/>
      </c>
      <c r="T670" t="str">
        <f t="shared" si="160"/>
        <v/>
      </c>
      <c r="U670">
        <f>IFERROR(IF(T670=0,"",COUNTIF($T$3:T670,"&gt;0")),"")</f>
        <v>0</v>
      </c>
      <c r="V670" t="str">
        <f t="shared" si="153"/>
        <v/>
      </c>
    </row>
    <row r="671" spans="1:22">
      <c r="A671" t="e">
        <f t="shared" si="148"/>
        <v>#VALUE!</v>
      </c>
      <c r="B671" t="e">
        <f>Table4[[#This Row],[CATEGORY]]</f>
        <v>#VALUE!</v>
      </c>
      <c r="C671" t="e">
        <f>Table4[[#This Row],[SUB-CATEGORY]]</f>
        <v>#VALUE!</v>
      </c>
      <c r="D671">
        <f>'RJ ATTENDENCE SHEET'!C:C</f>
        <v>0</v>
      </c>
      <c r="E671" t="e">
        <f t="shared" si="147"/>
        <v>#VALUE!</v>
      </c>
      <c r="F671" t="str">
        <f t="shared" si="154"/>
        <v/>
      </c>
      <c r="G671">
        <f>IFERROR(IF(F671=0,"",COUNTIF($F$3:F671,"&gt;0")),"")</f>
        <v>16</v>
      </c>
      <c r="H671" t="str">
        <f t="shared" si="149"/>
        <v/>
      </c>
      <c r="I671" t="str">
        <f t="shared" si="155"/>
        <v/>
      </c>
      <c r="J671">
        <f>IFERROR(IF(I671=0,"",COUNTIF($I$3:I671,"&gt;0")),"")</f>
        <v>34</v>
      </c>
      <c r="K671" t="str">
        <f t="shared" si="150"/>
        <v/>
      </c>
      <c r="L671" t="str">
        <f t="shared" si="156"/>
        <v/>
      </c>
      <c r="M671" t="str">
        <f t="shared" si="157"/>
        <v/>
      </c>
      <c r="N671">
        <f>IFERROR(IF(M671=0,"",COUNTIF($M$3:M671,"&gt;0")),"")</f>
        <v>33</v>
      </c>
      <c r="O671" t="str">
        <f t="shared" si="151"/>
        <v/>
      </c>
      <c r="P671" t="str">
        <f t="shared" si="158"/>
        <v/>
      </c>
      <c r="Q671" t="str">
        <f t="shared" si="159"/>
        <v/>
      </c>
      <c r="R671">
        <f>IFERROR(IF(Q671=0,"",COUNTIF($Q$3:Q671,"&gt;0")),"")</f>
        <v>16</v>
      </c>
      <c r="S671" t="str">
        <f t="shared" si="152"/>
        <v/>
      </c>
      <c r="T671" t="str">
        <f t="shared" si="160"/>
        <v/>
      </c>
      <c r="U671">
        <f>IFERROR(IF(T671=0,"",COUNTIF($T$3:T671,"&gt;0")),"")</f>
        <v>0</v>
      </c>
      <c r="V671" t="str">
        <f t="shared" si="153"/>
        <v/>
      </c>
    </row>
    <row r="672" spans="1:22">
      <c r="A672" t="e">
        <f t="shared" si="148"/>
        <v>#VALUE!</v>
      </c>
      <c r="B672" t="e">
        <f>Table4[[#This Row],[CATEGORY]]</f>
        <v>#VALUE!</v>
      </c>
      <c r="C672" t="e">
        <f>Table4[[#This Row],[SUB-CATEGORY]]</f>
        <v>#VALUE!</v>
      </c>
      <c r="D672">
        <f>'RJ ATTENDENCE SHEET'!C:C</f>
        <v>0</v>
      </c>
      <c r="E672" t="e">
        <f t="shared" si="147"/>
        <v>#VALUE!</v>
      </c>
      <c r="F672" t="str">
        <f t="shared" si="154"/>
        <v/>
      </c>
      <c r="G672">
        <f>IFERROR(IF(F672=0,"",COUNTIF($F$3:F672,"&gt;0")),"")</f>
        <v>16</v>
      </c>
      <c r="H672" t="str">
        <f t="shared" si="149"/>
        <v/>
      </c>
      <c r="I672" t="str">
        <f t="shared" si="155"/>
        <v/>
      </c>
      <c r="J672">
        <f>IFERROR(IF(I672=0,"",COUNTIF($I$3:I672,"&gt;0")),"")</f>
        <v>34</v>
      </c>
      <c r="K672" t="str">
        <f t="shared" si="150"/>
        <v/>
      </c>
      <c r="L672" t="str">
        <f t="shared" si="156"/>
        <v/>
      </c>
      <c r="M672" t="str">
        <f t="shared" si="157"/>
        <v/>
      </c>
      <c r="N672">
        <f>IFERROR(IF(M672=0,"",COUNTIF($M$3:M672,"&gt;0")),"")</f>
        <v>33</v>
      </c>
      <c r="O672" t="str">
        <f t="shared" si="151"/>
        <v/>
      </c>
      <c r="P672" t="str">
        <f t="shared" si="158"/>
        <v/>
      </c>
      <c r="Q672" t="str">
        <f t="shared" si="159"/>
        <v/>
      </c>
      <c r="R672">
        <f>IFERROR(IF(Q672=0,"",COUNTIF($Q$3:Q672,"&gt;0")),"")</f>
        <v>16</v>
      </c>
      <c r="S672" t="str">
        <f t="shared" si="152"/>
        <v/>
      </c>
      <c r="T672" t="str">
        <f t="shared" si="160"/>
        <v/>
      </c>
      <c r="U672">
        <f>IFERROR(IF(T672=0,"",COUNTIF($T$3:T672,"&gt;0")),"")</f>
        <v>0</v>
      </c>
      <c r="V672" t="str">
        <f t="shared" si="153"/>
        <v/>
      </c>
    </row>
    <row r="673" spans="1:22">
      <c r="A673" t="e">
        <f t="shared" si="148"/>
        <v>#VALUE!</v>
      </c>
      <c r="B673" t="e">
        <f>Table4[[#This Row],[CATEGORY]]</f>
        <v>#VALUE!</v>
      </c>
      <c r="C673" t="e">
        <f>Table4[[#This Row],[SUB-CATEGORY]]</f>
        <v>#VALUE!</v>
      </c>
      <c r="D673">
        <f>'RJ ATTENDENCE SHEET'!C:C</f>
        <v>0</v>
      </c>
      <c r="E673" t="e">
        <f t="shared" si="147"/>
        <v>#VALUE!</v>
      </c>
      <c r="F673" t="str">
        <f t="shared" si="154"/>
        <v/>
      </c>
      <c r="G673">
        <f>IFERROR(IF(F673=0,"",COUNTIF($F$3:F673,"&gt;0")),"")</f>
        <v>16</v>
      </c>
      <c r="H673" t="str">
        <f t="shared" si="149"/>
        <v/>
      </c>
      <c r="I673" t="str">
        <f t="shared" si="155"/>
        <v/>
      </c>
      <c r="J673">
        <f>IFERROR(IF(I673=0,"",COUNTIF($I$3:I673,"&gt;0")),"")</f>
        <v>34</v>
      </c>
      <c r="K673" t="str">
        <f t="shared" si="150"/>
        <v/>
      </c>
      <c r="L673" t="str">
        <f t="shared" si="156"/>
        <v/>
      </c>
      <c r="M673" t="str">
        <f t="shared" si="157"/>
        <v/>
      </c>
      <c r="N673">
        <f>IFERROR(IF(M673=0,"",COUNTIF($M$3:M673,"&gt;0")),"")</f>
        <v>33</v>
      </c>
      <c r="O673" t="str">
        <f t="shared" si="151"/>
        <v/>
      </c>
      <c r="P673" t="str">
        <f t="shared" si="158"/>
        <v/>
      </c>
      <c r="Q673" t="str">
        <f t="shared" si="159"/>
        <v/>
      </c>
      <c r="R673">
        <f>IFERROR(IF(Q673=0,"",COUNTIF($Q$3:Q673,"&gt;0")),"")</f>
        <v>16</v>
      </c>
      <c r="S673" t="str">
        <f t="shared" si="152"/>
        <v/>
      </c>
      <c r="T673" t="str">
        <f t="shared" si="160"/>
        <v/>
      </c>
      <c r="U673">
        <f>IFERROR(IF(T673=0,"",COUNTIF($T$3:T673,"&gt;0")),"")</f>
        <v>0</v>
      </c>
      <c r="V673" t="str">
        <f t="shared" si="153"/>
        <v/>
      </c>
    </row>
    <row r="674" spans="1:22">
      <c r="A674" t="e">
        <f t="shared" si="148"/>
        <v>#VALUE!</v>
      </c>
      <c r="B674" t="e">
        <f>Table4[[#This Row],[CATEGORY]]</f>
        <v>#VALUE!</v>
      </c>
      <c r="C674" t="e">
        <f>Table4[[#This Row],[SUB-CATEGORY]]</f>
        <v>#VALUE!</v>
      </c>
      <c r="D674">
        <f>'RJ ATTENDENCE SHEET'!C:C</f>
        <v>0</v>
      </c>
      <c r="E674" t="e">
        <f t="shared" si="147"/>
        <v>#VALUE!</v>
      </c>
      <c r="F674" t="str">
        <f t="shared" si="154"/>
        <v/>
      </c>
      <c r="G674">
        <f>IFERROR(IF(F674=0,"",COUNTIF($F$3:F674,"&gt;0")),"")</f>
        <v>16</v>
      </c>
      <c r="H674" t="str">
        <f t="shared" si="149"/>
        <v/>
      </c>
      <c r="I674" t="str">
        <f t="shared" si="155"/>
        <v/>
      </c>
      <c r="J674">
        <f>IFERROR(IF(I674=0,"",COUNTIF($I$3:I674,"&gt;0")),"")</f>
        <v>34</v>
      </c>
      <c r="K674" t="str">
        <f t="shared" si="150"/>
        <v/>
      </c>
      <c r="L674" t="str">
        <f t="shared" si="156"/>
        <v/>
      </c>
      <c r="M674" t="str">
        <f t="shared" si="157"/>
        <v/>
      </c>
      <c r="N674">
        <f>IFERROR(IF(M674=0,"",COUNTIF($M$3:M674,"&gt;0")),"")</f>
        <v>33</v>
      </c>
      <c r="O674" t="str">
        <f t="shared" si="151"/>
        <v/>
      </c>
      <c r="P674" t="str">
        <f t="shared" si="158"/>
        <v/>
      </c>
      <c r="Q674" t="str">
        <f t="shared" si="159"/>
        <v/>
      </c>
      <c r="R674">
        <f>IFERROR(IF(Q674=0,"",COUNTIF($Q$3:Q674,"&gt;0")),"")</f>
        <v>16</v>
      </c>
      <c r="S674" t="str">
        <f t="shared" si="152"/>
        <v/>
      </c>
      <c r="T674" t="str">
        <f t="shared" si="160"/>
        <v/>
      </c>
      <c r="U674">
        <f>IFERROR(IF(T674=0,"",COUNTIF($T$3:T674,"&gt;0")),"")</f>
        <v>0</v>
      </c>
      <c r="V674" t="str">
        <f t="shared" si="153"/>
        <v/>
      </c>
    </row>
    <row r="675" spans="1:22">
      <c r="A675" t="e">
        <f t="shared" si="148"/>
        <v>#VALUE!</v>
      </c>
      <c r="B675" t="e">
        <f>Table4[[#This Row],[CATEGORY]]</f>
        <v>#VALUE!</v>
      </c>
      <c r="C675" t="e">
        <f>Table4[[#This Row],[SUB-CATEGORY]]</f>
        <v>#VALUE!</v>
      </c>
      <c r="D675">
        <f>'RJ ATTENDENCE SHEET'!C:C</f>
        <v>0</v>
      </c>
      <c r="E675" t="e">
        <f t="shared" si="147"/>
        <v>#VALUE!</v>
      </c>
      <c r="F675" t="str">
        <f t="shared" si="154"/>
        <v/>
      </c>
      <c r="G675">
        <f>IFERROR(IF(F675=0,"",COUNTIF($F$3:F675,"&gt;0")),"")</f>
        <v>16</v>
      </c>
      <c r="H675" t="str">
        <f t="shared" si="149"/>
        <v/>
      </c>
      <c r="I675" t="str">
        <f t="shared" si="155"/>
        <v/>
      </c>
      <c r="J675">
        <f>IFERROR(IF(I675=0,"",COUNTIF($I$3:I675,"&gt;0")),"")</f>
        <v>34</v>
      </c>
      <c r="K675" t="str">
        <f t="shared" si="150"/>
        <v/>
      </c>
      <c r="L675" t="str">
        <f t="shared" si="156"/>
        <v/>
      </c>
      <c r="M675" t="str">
        <f t="shared" si="157"/>
        <v/>
      </c>
      <c r="N675">
        <f>IFERROR(IF(M675=0,"",COUNTIF($M$3:M675,"&gt;0")),"")</f>
        <v>33</v>
      </c>
      <c r="O675" t="str">
        <f t="shared" si="151"/>
        <v/>
      </c>
      <c r="P675" t="str">
        <f t="shared" si="158"/>
        <v/>
      </c>
      <c r="Q675" t="str">
        <f t="shared" si="159"/>
        <v/>
      </c>
      <c r="R675">
        <f>IFERROR(IF(Q675=0,"",COUNTIF($Q$3:Q675,"&gt;0")),"")</f>
        <v>16</v>
      </c>
      <c r="S675" t="str">
        <f t="shared" si="152"/>
        <v/>
      </c>
      <c r="T675" t="str">
        <f t="shared" si="160"/>
        <v/>
      </c>
      <c r="U675">
        <f>IFERROR(IF(T675=0,"",COUNTIF($T$3:T675,"&gt;0")),"")</f>
        <v>0</v>
      </c>
      <c r="V675" t="str">
        <f t="shared" si="153"/>
        <v/>
      </c>
    </row>
    <row r="676" spans="1:22">
      <c r="A676" t="e">
        <f t="shared" si="148"/>
        <v>#VALUE!</v>
      </c>
      <c r="B676" t="e">
        <f>Table4[[#This Row],[CATEGORY]]</f>
        <v>#VALUE!</v>
      </c>
      <c r="C676" t="e">
        <f>Table4[[#This Row],[SUB-CATEGORY]]</f>
        <v>#VALUE!</v>
      </c>
      <c r="D676">
        <f>'RJ ATTENDENCE SHEET'!C:C</f>
        <v>0</v>
      </c>
      <c r="E676" t="e">
        <f t="shared" si="147"/>
        <v>#VALUE!</v>
      </c>
      <c r="F676" t="str">
        <f t="shared" si="154"/>
        <v/>
      </c>
      <c r="G676">
        <f>IFERROR(IF(F676=0,"",COUNTIF($F$3:F676,"&gt;0")),"")</f>
        <v>16</v>
      </c>
      <c r="H676" t="str">
        <f t="shared" si="149"/>
        <v/>
      </c>
      <c r="I676" t="str">
        <f t="shared" si="155"/>
        <v/>
      </c>
      <c r="J676">
        <f>IFERROR(IF(I676=0,"",COUNTIF($I$3:I676,"&gt;0")),"")</f>
        <v>34</v>
      </c>
      <c r="K676" t="str">
        <f t="shared" si="150"/>
        <v/>
      </c>
      <c r="L676" t="str">
        <f t="shared" si="156"/>
        <v/>
      </c>
      <c r="M676" t="str">
        <f t="shared" si="157"/>
        <v/>
      </c>
      <c r="N676">
        <f>IFERROR(IF(M676=0,"",COUNTIF($M$3:M676,"&gt;0")),"")</f>
        <v>33</v>
      </c>
      <c r="O676" t="str">
        <f t="shared" si="151"/>
        <v/>
      </c>
      <c r="P676" t="str">
        <f t="shared" si="158"/>
        <v/>
      </c>
      <c r="Q676" t="str">
        <f t="shared" si="159"/>
        <v/>
      </c>
      <c r="R676">
        <f>IFERROR(IF(Q676=0,"",COUNTIF($Q$3:Q676,"&gt;0")),"")</f>
        <v>16</v>
      </c>
      <c r="S676" t="str">
        <f t="shared" si="152"/>
        <v/>
      </c>
      <c r="T676" t="str">
        <f t="shared" si="160"/>
        <v/>
      </c>
      <c r="U676">
        <f>IFERROR(IF(T676=0,"",COUNTIF($T$3:T676,"&gt;0")),"")</f>
        <v>0</v>
      </c>
      <c r="V676" t="str">
        <f t="shared" si="153"/>
        <v/>
      </c>
    </row>
    <row r="677" spans="1:22">
      <c r="A677" t="e">
        <f t="shared" si="148"/>
        <v>#VALUE!</v>
      </c>
      <c r="B677" t="e">
        <f>Table4[[#This Row],[CATEGORY]]</f>
        <v>#VALUE!</v>
      </c>
      <c r="C677" t="e">
        <f>Table4[[#This Row],[SUB-CATEGORY]]</f>
        <v>#VALUE!</v>
      </c>
      <c r="D677">
        <f>'RJ ATTENDENCE SHEET'!C:C</f>
        <v>0</v>
      </c>
      <c r="E677" t="e">
        <f t="shared" si="147"/>
        <v>#VALUE!</v>
      </c>
      <c r="F677" t="str">
        <f t="shared" si="154"/>
        <v/>
      </c>
      <c r="G677">
        <f>IFERROR(IF(F677=0,"",COUNTIF($F$3:F677,"&gt;0")),"")</f>
        <v>16</v>
      </c>
      <c r="H677" t="str">
        <f t="shared" si="149"/>
        <v/>
      </c>
      <c r="I677" t="str">
        <f t="shared" si="155"/>
        <v/>
      </c>
      <c r="J677">
        <f>IFERROR(IF(I677=0,"",COUNTIF($I$3:I677,"&gt;0")),"")</f>
        <v>34</v>
      </c>
      <c r="K677" t="str">
        <f t="shared" si="150"/>
        <v/>
      </c>
      <c r="L677" t="str">
        <f t="shared" si="156"/>
        <v/>
      </c>
      <c r="M677" t="str">
        <f t="shared" si="157"/>
        <v/>
      </c>
      <c r="N677">
        <f>IFERROR(IF(M677=0,"",COUNTIF($M$3:M677,"&gt;0")),"")</f>
        <v>33</v>
      </c>
      <c r="O677" t="str">
        <f t="shared" si="151"/>
        <v/>
      </c>
      <c r="P677" t="str">
        <f t="shared" si="158"/>
        <v/>
      </c>
      <c r="Q677" t="str">
        <f t="shared" si="159"/>
        <v/>
      </c>
      <c r="R677">
        <f>IFERROR(IF(Q677=0,"",COUNTIF($Q$3:Q677,"&gt;0")),"")</f>
        <v>16</v>
      </c>
      <c r="S677" t="str">
        <f t="shared" si="152"/>
        <v/>
      </c>
      <c r="T677" t="str">
        <f t="shared" si="160"/>
        <v/>
      </c>
      <c r="U677">
        <f>IFERROR(IF(T677=0,"",COUNTIF($T$3:T677,"&gt;0")),"")</f>
        <v>0</v>
      </c>
      <c r="V677" t="str">
        <f t="shared" si="153"/>
        <v/>
      </c>
    </row>
    <row r="678" spans="1:22">
      <c r="A678" t="e">
        <f t="shared" si="148"/>
        <v>#VALUE!</v>
      </c>
      <c r="B678" t="e">
        <f>Table4[[#This Row],[CATEGORY]]</f>
        <v>#VALUE!</v>
      </c>
      <c r="C678" t="e">
        <f>Table4[[#This Row],[SUB-CATEGORY]]</f>
        <v>#VALUE!</v>
      </c>
      <c r="D678">
        <f>'RJ ATTENDENCE SHEET'!C:C</f>
        <v>0</v>
      </c>
      <c r="E678" t="e">
        <f t="shared" si="147"/>
        <v>#VALUE!</v>
      </c>
      <c r="F678" t="str">
        <f t="shared" si="154"/>
        <v/>
      </c>
      <c r="G678">
        <f>IFERROR(IF(F678=0,"",COUNTIF($F$3:F678,"&gt;0")),"")</f>
        <v>16</v>
      </c>
      <c r="H678" t="str">
        <f t="shared" si="149"/>
        <v/>
      </c>
      <c r="I678" t="str">
        <f t="shared" si="155"/>
        <v/>
      </c>
      <c r="J678">
        <f>IFERROR(IF(I678=0,"",COUNTIF($I$3:I678,"&gt;0")),"")</f>
        <v>34</v>
      </c>
      <c r="K678" t="str">
        <f t="shared" si="150"/>
        <v/>
      </c>
      <c r="L678" t="str">
        <f t="shared" si="156"/>
        <v/>
      </c>
      <c r="M678" t="str">
        <f t="shared" si="157"/>
        <v/>
      </c>
      <c r="N678">
        <f>IFERROR(IF(M678=0,"",COUNTIF($M$3:M678,"&gt;0")),"")</f>
        <v>33</v>
      </c>
      <c r="O678" t="str">
        <f t="shared" si="151"/>
        <v/>
      </c>
      <c r="P678" t="str">
        <f t="shared" si="158"/>
        <v/>
      </c>
      <c r="Q678" t="str">
        <f t="shared" si="159"/>
        <v/>
      </c>
      <c r="R678">
        <f>IFERROR(IF(Q678=0,"",COUNTIF($Q$3:Q678,"&gt;0")),"")</f>
        <v>16</v>
      </c>
      <c r="S678" t="str">
        <f t="shared" si="152"/>
        <v/>
      </c>
      <c r="T678" t="str">
        <f t="shared" si="160"/>
        <v/>
      </c>
      <c r="U678">
        <f>IFERROR(IF(T678=0,"",COUNTIF($T$3:T678,"&gt;0")),"")</f>
        <v>0</v>
      </c>
      <c r="V678" t="str">
        <f t="shared" si="153"/>
        <v/>
      </c>
    </row>
    <row r="679" spans="1:22">
      <c r="A679" t="e">
        <f t="shared" si="148"/>
        <v>#VALUE!</v>
      </c>
      <c r="B679" t="e">
        <f>Table4[[#This Row],[CATEGORY]]</f>
        <v>#VALUE!</v>
      </c>
      <c r="C679" t="e">
        <f>Table4[[#This Row],[SUB-CATEGORY]]</f>
        <v>#VALUE!</v>
      </c>
      <c r="D679">
        <f>'RJ ATTENDENCE SHEET'!C:C</f>
        <v>0</v>
      </c>
      <c r="E679" t="e">
        <f t="shared" si="147"/>
        <v>#VALUE!</v>
      </c>
      <c r="F679" t="str">
        <f t="shared" si="154"/>
        <v/>
      </c>
      <c r="G679">
        <f>IFERROR(IF(F679=0,"",COUNTIF($F$3:F679,"&gt;0")),"")</f>
        <v>16</v>
      </c>
      <c r="H679" t="str">
        <f t="shared" si="149"/>
        <v/>
      </c>
      <c r="I679" t="str">
        <f t="shared" si="155"/>
        <v/>
      </c>
      <c r="J679">
        <f>IFERROR(IF(I679=0,"",COUNTIF($I$3:I679,"&gt;0")),"")</f>
        <v>34</v>
      </c>
      <c r="K679" t="str">
        <f t="shared" si="150"/>
        <v/>
      </c>
      <c r="L679" t="str">
        <f t="shared" si="156"/>
        <v/>
      </c>
      <c r="M679" t="str">
        <f t="shared" si="157"/>
        <v/>
      </c>
      <c r="N679">
        <f>IFERROR(IF(M679=0,"",COUNTIF($M$3:M679,"&gt;0")),"")</f>
        <v>33</v>
      </c>
      <c r="O679" t="str">
        <f t="shared" si="151"/>
        <v/>
      </c>
      <c r="P679" t="str">
        <f t="shared" si="158"/>
        <v/>
      </c>
      <c r="Q679" t="str">
        <f t="shared" si="159"/>
        <v/>
      </c>
      <c r="R679">
        <f>IFERROR(IF(Q679=0,"",COUNTIF($Q$3:Q679,"&gt;0")),"")</f>
        <v>16</v>
      </c>
      <c r="S679" t="str">
        <f t="shared" si="152"/>
        <v/>
      </c>
      <c r="T679" t="str">
        <f t="shared" si="160"/>
        <v/>
      </c>
      <c r="U679">
        <f>IFERROR(IF(T679=0,"",COUNTIF($T$3:T679,"&gt;0")),"")</f>
        <v>0</v>
      </c>
      <c r="V679" t="str">
        <f t="shared" si="153"/>
        <v/>
      </c>
    </row>
    <row r="680" spans="1:22">
      <c r="A680" t="e">
        <f t="shared" si="148"/>
        <v>#VALUE!</v>
      </c>
      <c r="B680" t="e">
        <f>Table4[[#This Row],[CATEGORY]]</f>
        <v>#VALUE!</v>
      </c>
      <c r="C680" t="e">
        <f>Table4[[#This Row],[SUB-CATEGORY]]</f>
        <v>#VALUE!</v>
      </c>
      <c r="D680">
        <f>'RJ ATTENDENCE SHEET'!C:C</f>
        <v>0</v>
      </c>
      <c r="E680" t="e">
        <f t="shared" si="147"/>
        <v>#VALUE!</v>
      </c>
      <c r="F680" t="str">
        <f t="shared" si="154"/>
        <v/>
      </c>
      <c r="G680">
        <f>IFERROR(IF(F680=0,"",COUNTIF($F$3:F680,"&gt;0")),"")</f>
        <v>16</v>
      </c>
      <c r="H680" t="str">
        <f t="shared" si="149"/>
        <v/>
      </c>
      <c r="I680" t="str">
        <f t="shared" si="155"/>
        <v/>
      </c>
      <c r="J680">
        <f>IFERROR(IF(I680=0,"",COUNTIF($I$3:I680,"&gt;0")),"")</f>
        <v>34</v>
      </c>
      <c r="K680" t="str">
        <f t="shared" si="150"/>
        <v/>
      </c>
      <c r="L680" t="str">
        <f t="shared" si="156"/>
        <v/>
      </c>
      <c r="M680" t="str">
        <f t="shared" si="157"/>
        <v/>
      </c>
      <c r="N680">
        <f>IFERROR(IF(M680=0,"",COUNTIF($M$3:M680,"&gt;0")),"")</f>
        <v>33</v>
      </c>
      <c r="O680" t="str">
        <f t="shared" si="151"/>
        <v/>
      </c>
      <c r="P680" t="str">
        <f t="shared" si="158"/>
        <v/>
      </c>
      <c r="Q680" t="str">
        <f t="shared" si="159"/>
        <v/>
      </c>
      <c r="R680">
        <f>IFERROR(IF(Q680=0,"",COUNTIF($Q$3:Q680,"&gt;0")),"")</f>
        <v>16</v>
      </c>
      <c r="S680" t="str">
        <f t="shared" si="152"/>
        <v/>
      </c>
      <c r="T680" t="str">
        <f t="shared" si="160"/>
        <v/>
      </c>
      <c r="U680">
        <f>IFERROR(IF(T680=0,"",COUNTIF($T$3:T680,"&gt;0")),"")</f>
        <v>0</v>
      </c>
      <c r="V680" t="str">
        <f t="shared" si="153"/>
        <v/>
      </c>
    </row>
    <row r="681" spans="1:22">
      <c r="A681" t="e">
        <f t="shared" si="148"/>
        <v>#VALUE!</v>
      </c>
      <c r="B681" t="e">
        <f>Table4[[#This Row],[CATEGORY]]</f>
        <v>#VALUE!</v>
      </c>
      <c r="C681" t="e">
        <f>Table4[[#This Row],[SUB-CATEGORY]]</f>
        <v>#VALUE!</v>
      </c>
      <c r="D681">
        <f>'RJ ATTENDENCE SHEET'!C:C</f>
        <v>0</v>
      </c>
      <c r="E681" t="e">
        <f t="shared" si="147"/>
        <v>#VALUE!</v>
      </c>
      <c r="F681" t="str">
        <f t="shared" si="154"/>
        <v/>
      </c>
      <c r="G681">
        <f>IFERROR(IF(F681=0,"",COUNTIF($F$3:F681,"&gt;0")),"")</f>
        <v>16</v>
      </c>
      <c r="H681" t="str">
        <f t="shared" si="149"/>
        <v/>
      </c>
      <c r="I681" t="str">
        <f t="shared" si="155"/>
        <v/>
      </c>
      <c r="J681">
        <f>IFERROR(IF(I681=0,"",COUNTIF($I$3:I681,"&gt;0")),"")</f>
        <v>34</v>
      </c>
      <c r="K681" t="str">
        <f t="shared" si="150"/>
        <v/>
      </c>
      <c r="L681" t="str">
        <f t="shared" si="156"/>
        <v/>
      </c>
      <c r="M681" t="str">
        <f t="shared" si="157"/>
        <v/>
      </c>
      <c r="N681">
        <f>IFERROR(IF(M681=0,"",COUNTIF($M$3:M681,"&gt;0")),"")</f>
        <v>33</v>
      </c>
      <c r="O681" t="str">
        <f t="shared" si="151"/>
        <v/>
      </c>
      <c r="P681" t="str">
        <f t="shared" si="158"/>
        <v/>
      </c>
      <c r="Q681" t="str">
        <f t="shared" si="159"/>
        <v/>
      </c>
      <c r="R681">
        <f>IFERROR(IF(Q681=0,"",COUNTIF($Q$3:Q681,"&gt;0")),"")</f>
        <v>16</v>
      </c>
      <c r="S681" t="str">
        <f t="shared" si="152"/>
        <v/>
      </c>
      <c r="T681" t="str">
        <f t="shared" si="160"/>
        <v/>
      </c>
      <c r="U681">
        <f>IFERROR(IF(T681=0,"",COUNTIF($T$3:T681,"&gt;0")),"")</f>
        <v>0</v>
      </c>
      <c r="V681" t="str">
        <f t="shared" si="153"/>
        <v/>
      </c>
    </row>
    <row r="682" spans="1:22">
      <c r="A682" t="e">
        <f t="shared" si="148"/>
        <v>#VALUE!</v>
      </c>
      <c r="B682" t="e">
        <f>Table4[[#This Row],[CATEGORY]]</f>
        <v>#VALUE!</v>
      </c>
      <c r="C682" t="e">
        <f>Table4[[#This Row],[SUB-CATEGORY]]</f>
        <v>#VALUE!</v>
      </c>
      <c r="D682">
        <f>'RJ ATTENDENCE SHEET'!C:C</f>
        <v>0</v>
      </c>
      <c r="E682" t="e">
        <f t="shared" si="147"/>
        <v>#VALUE!</v>
      </c>
      <c r="F682" t="str">
        <f t="shared" si="154"/>
        <v/>
      </c>
      <c r="G682">
        <f>IFERROR(IF(F682=0,"",COUNTIF($F$3:F682,"&gt;0")),"")</f>
        <v>16</v>
      </c>
      <c r="H682" t="str">
        <f t="shared" si="149"/>
        <v/>
      </c>
      <c r="I682" t="str">
        <f t="shared" si="155"/>
        <v/>
      </c>
      <c r="J682">
        <f>IFERROR(IF(I682=0,"",COUNTIF($I$3:I682,"&gt;0")),"")</f>
        <v>34</v>
      </c>
      <c r="K682" t="str">
        <f t="shared" si="150"/>
        <v/>
      </c>
      <c r="L682" t="str">
        <f t="shared" si="156"/>
        <v/>
      </c>
      <c r="M682" t="str">
        <f t="shared" si="157"/>
        <v/>
      </c>
      <c r="N682">
        <f>IFERROR(IF(M682=0,"",COUNTIF($M$3:M682,"&gt;0")),"")</f>
        <v>33</v>
      </c>
      <c r="O682" t="str">
        <f t="shared" si="151"/>
        <v/>
      </c>
      <c r="P682" t="str">
        <f t="shared" si="158"/>
        <v/>
      </c>
      <c r="Q682" t="str">
        <f t="shared" si="159"/>
        <v/>
      </c>
      <c r="R682">
        <f>IFERROR(IF(Q682=0,"",COUNTIF($Q$3:Q682,"&gt;0")),"")</f>
        <v>16</v>
      </c>
      <c r="S682" t="str">
        <f t="shared" si="152"/>
        <v/>
      </c>
      <c r="T682" t="str">
        <f t="shared" si="160"/>
        <v/>
      </c>
      <c r="U682">
        <f>IFERROR(IF(T682=0,"",COUNTIF($T$3:T682,"&gt;0")),"")</f>
        <v>0</v>
      </c>
      <c r="V682" t="str">
        <f t="shared" si="153"/>
        <v/>
      </c>
    </row>
    <row r="683" spans="1:22">
      <c r="A683" t="e">
        <f t="shared" si="148"/>
        <v>#VALUE!</v>
      </c>
      <c r="B683" t="e">
        <f>Table4[[#This Row],[CATEGORY]]</f>
        <v>#VALUE!</v>
      </c>
      <c r="C683" t="e">
        <f>Table4[[#This Row],[SUB-CATEGORY]]</f>
        <v>#VALUE!</v>
      </c>
      <c r="D683">
        <f>'RJ ATTENDENCE SHEET'!C:C</f>
        <v>0</v>
      </c>
      <c r="E683" t="e">
        <f t="shared" si="147"/>
        <v>#VALUE!</v>
      </c>
      <c r="F683" t="str">
        <f t="shared" si="154"/>
        <v/>
      </c>
      <c r="G683">
        <f>IFERROR(IF(F683=0,"",COUNTIF($F$3:F683,"&gt;0")),"")</f>
        <v>16</v>
      </c>
      <c r="H683" t="str">
        <f t="shared" si="149"/>
        <v/>
      </c>
      <c r="I683" t="str">
        <f t="shared" si="155"/>
        <v/>
      </c>
      <c r="J683">
        <f>IFERROR(IF(I683=0,"",COUNTIF($I$3:I683,"&gt;0")),"")</f>
        <v>34</v>
      </c>
      <c r="K683" t="str">
        <f t="shared" si="150"/>
        <v/>
      </c>
      <c r="L683" t="str">
        <f t="shared" si="156"/>
        <v/>
      </c>
      <c r="M683" t="str">
        <f t="shared" si="157"/>
        <v/>
      </c>
      <c r="N683">
        <f>IFERROR(IF(M683=0,"",COUNTIF($M$3:M683,"&gt;0")),"")</f>
        <v>33</v>
      </c>
      <c r="O683" t="str">
        <f t="shared" si="151"/>
        <v/>
      </c>
      <c r="P683" t="str">
        <f t="shared" si="158"/>
        <v/>
      </c>
      <c r="Q683" t="str">
        <f t="shared" si="159"/>
        <v/>
      </c>
      <c r="R683">
        <f>IFERROR(IF(Q683=0,"",COUNTIF($Q$3:Q683,"&gt;0")),"")</f>
        <v>16</v>
      </c>
      <c r="S683" t="str">
        <f t="shared" si="152"/>
        <v/>
      </c>
      <c r="T683" t="str">
        <f t="shared" si="160"/>
        <v/>
      </c>
      <c r="U683">
        <f>IFERROR(IF(T683=0,"",COUNTIF($T$3:T683,"&gt;0")),"")</f>
        <v>0</v>
      </c>
      <c r="V683" t="str">
        <f t="shared" si="153"/>
        <v/>
      </c>
    </row>
    <row r="684" spans="1:22">
      <c r="A684" t="e">
        <f t="shared" si="148"/>
        <v>#VALUE!</v>
      </c>
      <c r="B684" t="e">
        <f>Table4[[#This Row],[CATEGORY]]</f>
        <v>#VALUE!</v>
      </c>
      <c r="C684" t="e">
        <f>Table4[[#This Row],[SUB-CATEGORY]]</f>
        <v>#VALUE!</v>
      </c>
      <c r="D684">
        <f>'RJ ATTENDENCE SHEET'!C:C</f>
        <v>0</v>
      </c>
      <c r="E684" t="e">
        <f t="shared" si="147"/>
        <v>#VALUE!</v>
      </c>
      <c r="F684" t="str">
        <f t="shared" si="154"/>
        <v/>
      </c>
      <c r="G684">
        <f>IFERROR(IF(F684=0,"",COUNTIF($F$3:F684,"&gt;0")),"")</f>
        <v>16</v>
      </c>
      <c r="H684" t="str">
        <f t="shared" si="149"/>
        <v/>
      </c>
      <c r="I684" t="str">
        <f t="shared" si="155"/>
        <v/>
      </c>
      <c r="J684">
        <f>IFERROR(IF(I684=0,"",COUNTIF($I$3:I684,"&gt;0")),"")</f>
        <v>34</v>
      </c>
      <c r="K684" t="str">
        <f t="shared" si="150"/>
        <v/>
      </c>
      <c r="L684" t="str">
        <f t="shared" si="156"/>
        <v/>
      </c>
      <c r="M684" t="str">
        <f t="shared" si="157"/>
        <v/>
      </c>
      <c r="N684">
        <f>IFERROR(IF(M684=0,"",COUNTIF($M$3:M684,"&gt;0")),"")</f>
        <v>33</v>
      </c>
      <c r="O684" t="str">
        <f t="shared" si="151"/>
        <v/>
      </c>
      <c r="P684" t="str">
        <f t="shared" si="158"/>
        <v/>
      </c>
      <c r="Q684" t="str">
        <f t="shared" si="159"/>
        <v/>
      </c>
      <c r="R684">
        <f>IFERROR(IF(Q684=0,"",COUNTIF($Q$3:Q684,"&gt;0")),"")</f>
        <v>16</v>
      </c>
      <c r="S684" t="str">
        <f t="shared" si="152"/>
        <v/>
      </c>
      <c r="T684" t="str">
        <f t="shared" si="160"/>
        <v/>
      </c>
      <c r="U684">
        <f>IFERROR(IF(T684=0,"",COUNTIF($T$3:T684,"&gt;0")),"")</f>
        <v>0</v>
      </c>
      <c r="V684" t="str">
        <f t="shared" si="153"/>
        <v/>
      </c>
    </row>
    <row r="685" spans="1:22">
      <c r="A685" t="e">
        <f t="shared" si="148"/>
        <v>#VALUE!</v>
      </c>
      <c r="B685" t="e">
        <f>Table4[[#This Row],[CATEGORY]]</f>
        <v>#VALUE!</v>
      </c>
      <c r="C685" t="e">
        <f>Table4[[#This Row],[SUB-CATEGORY]]</f>
        <v>#VALUE!</v>
      </c>
      <c r="D685">
        <f>'RJ ATTENDENCE SHEET'!C:C</f>
        <v>0</v>
      </c>
      <c r="E685" t="e">
        <f t="shared" si="147"/>
        <v>#VALUE!</v>
      </c>
      <c r="F685" t="str">
        <f t="shared" si="154"/>
        <v/>
      </c>
      <c r="G685">
        <f>IFERROR(IF(F685=0,"",COUNTIF($F$3:F685,"&gt;0")),"")</f>
        <v>16</v>
      </c>
      <c r="H685" t="str">
        <f t="shared" si="149"/>
        <v/>
      </c>
      <c r="I685" t="str">
        <f t="shared" si="155"/>
        <v/>
      </c>
      <c r="J685">
        <f>IFERROR(IF(I685=0,"",COUNTIF($I$3:I685,"&gt;0")),"")</f>
        <v>34</v>
      </c>
      <c r="K685" t="str">
        <f t="shared" si="150"/>
        <v/>
      </c>
      <c r="L685" t="str">
        <f t="shared" si="156"/>
        <v/>
      </c>
      <c r="M685" t="str">
        <f t="shared" si="157"/>
        <v/>
      </c>
      <c r="N685">
        <f>IFERROR(IF(M685=0,"",COUNTIF($M$3:M685,"&gt;0")),"")</f>
        <v>33</v>
      </c>
      <c r="O685" t="str">
        <f t="shared" si="151"/>
        <v/>
      </c>
      <c r="P685" t="str">
        <f t="shared" si="158"/>
        <v/>
      </c>
      <c r="Q685" t="str">
        <f t="shared" si="159"/>
        <v/>
      </c>
      <c r="R685">
        <f>IFERROR(IF(Q685=0,"",COUNTIF($Q$3:Q685,"&gt;0")),"")</f>
        <v>16</v>
      </c>
      <c r="S685" t="str">
        <f t="shared" si="152"/>
        <v/>
      </c>
      <c r="T685" t="str">
        <f t="shared" si="160"/>
        <v/>
      </c>
      <c r="U685">
        <f>IFERROR(IF(T685=0,"",COUNTIF($T$3:T685,"&gt;0")),"")</f>
        <v>0</v>
      </c>
      <c r="V685" t="str">
        <f t="shared" si="153"/>
        <v/>
      </c>
    </row>
    <row r="686" spans="1:22">
      <c r="A686" t="e">
        <f t="shared" si="148"/>
        <v>#VALUE!</v>
      </c>
      <c r="B686" t="e">
        <f>Table4[[#This Row],[CATEGORY]]</f>
        <v>#VALUE!</v>
      </c>
      <c r="C686" t="e">
        <f>Table4[[#This Row],[SUB-CATEGORY]]</f>
        <v>#VALUE!</v>
      </c>
      <c r="D686">
        <f>'RJ ATTENDENCE SHEET'!C:C</f>
        <v>0</v>
      </c>
      <c r="E686" t="e">
        <f t="shared" si="147"/>
        <v>#VALUE!</v>
      </c>
      <c r="F686" t="str">
        <f t="shared" si="154"/>
        <v/>
      </c>
      <c r="G686">
        <f>IFERROR(IF(F686=0,"",COUNTIF($F$3:F686,"&gt;0")),"")</f>
        <v>16</v>
      </c>
      <c r="H686" t="str">
        <f t="shared" si="149"/>
        <v/>
      </c>
      <c r="I686" t="str">
        <f t="shared" si="155"/>
        <v/>
      </c>
      <c r="J686">
        <f>IFERROR(IF(I686=0,"",COUNTIF($I$3:I686,"&gt;0")),"")</f>
        <v>34</v>
      </c>
      <c r="K686" t="str">
        <f t="shared" si="150"/>
        <v/>
      </c>
      <c r="L686" t="str">
        <f t="shared" si="156"/>
        <v/>
      </c>
      <c r="M686" t="str">
        <f t="shared" si="157"/>
        <v/>
      </c>
      <c r="N686">
        <f>IFERROR(IF(M686=0,"",COUNTIF($M$3:M686,"&gt;0")),"")</f>
        <v>33</v>
      </c>
      <c r="O686" t="str">
        <f t="shared" si="151"/>
        <v/>
      </c>
      <c r="P686" t="str">
        <f t="shared" si="158"/>
        <v/>
      </c>
      <c r="Q686" t="str">
        <f t="shared" si="159"/>
        <v/>
      </c>
      <c r="R686">
        <f>IFERROR(IF(Q686=0,"",COUNTIF($Q$3:Q686,"&gt;0")),"")</f>
        <v>16</v>
      </c>
      <c r="S686" t="str">
        <f t="shared" si="152"/>
        <v/>
      </c>
      <c r="T686" t="str">
        <f t="shared" si="160"/>
        <v/>
      </c>
      <c r="U686">
        <f>IFERROR(IF(T686=0,"",COUNTIF($T$3:T686,"&gt;0")),"")</f>
        <v>0</v>
      </c>
      <c r="V686" t="str">
        <f t="shared" si="153"/>
        <v/>
      </c>
    </row>
    <row r="687" spans="1:22">
      <c r="A687" t="e">
        <f t="shared" si="148"/>
        <v>#VALUE!</v>
      </c>
      <c r="B687" t="e">
        <f>Table4[[#This Row],[CATEGORY]]</f>
        <v>#VALUE!</v>
      </c>
      <c r="C687" t="e">
        <f>Table4[[#This Row],[SUB-CATEGORY]]</f>
        <v>#VALUE!</v>
      </c>
      <c r="D687">
        <f>'RJ ATTENDENCE SHEET'!C:C</f>
        <v>0</v>
      </c>
      <c r="E687" t="e">
        <f t="shared" si="147"/>
        <v>#VALUE!</v>
      </c>
      <c r="F687" t="str">
        <f t="shared" si="154"/>
        <v/>
      </c>
      <c r="G687">
        <f>IFERROR(IF(F687=0,"",COUNTIF($F$3:F687,"&gt;0")),"")</f>
        <v>16</v>
      </c>
      <c r="H687" t="str">
        <f t="shared" si="149"/>
        <v/>
      </c>
      <c r="I687" t="str">
        <f t="shared" si="155"/>
        <v/>
      </c>
      <c r="J687">
        <f>IFERROR(IF(I687=0,"",COUNTIF($I$3:I687,"&gt;0")),"")</f>
        <v>34</v>
      </c>
      <c r="K687" t="str">
        <f t="shared" si="150"/>
        <v/>
      </c>
      <c r="L687" t="str">
        <f t="shared" si="156"/>
        <v/>
      </c>
      <c r="M687" t="str">
        <f t="shared" si="157"/>
        <v/>
      </c>
      <c r="N687">
        <f>IFERROR(IF(M687=0,"",COUNTIF($M$3:M687,"&gt;0")),"")</f>
        <v>33</v>
      </c>
      <c r="O687" t="str">
        <f t="shared" si="151"/>
        <v/>
      </c>
      <c r="P687" t="str">
        <f t="shared" si="158"/>
        <v/>
      </c>
      <c r="Q687" t="str">
        <f t="shared" si="159"/>
        <v/>
      </c>
      <c r="R687">
        <f>IFERROR(IF(Q687=0,"",COUNTIF($Q$3:Q687,"&gt;0")),"")</f>
        <v>16</v>
      </c>
      <c r="S687" t="str">
        <f t="shared" si="152"/>
        <v/>
      </c>
      <c r="T687" t="str">
        <f t="shared" si="160"/>
        <v/>
      </c>
      <c r="U687">
        <f>IFERROR(IF(T687=0,"",COUNTIF($T$3:T687,"&gt;0")),"")</f>
        <v>0</v>
      </c>
      <c r="V687" t="str">
        <f t="shared" si="153"/>
        <v/>
      </c>
    </row>
    <row r="688" spans="1:22">
      <c r="A688" t="e">
        <f t="shared" si="148"/>
        <v>#VALUE!</v>
      </c>
      <c r="B688" t="e">
        <f>Table4[[#This Row],[CATEGORY]]</f>
        <v>#VALUE!</v>
      </c>
      <c r="C688" t="e">
        <f>Table4[[#This Row],[SUB-CATEGORY]]</f>
        <v>#VALUE!</v>
      </c>
      <c r="D688">
        <f>'RJ ATTENDENCE SHEET'!C:C</f>
        <v>0</v>
      </c>
      <c r="E688" t="e">
        <f t="shared" si="147"/>
        <v>#VALUE!</v>
      </c>
      <c r="F688" t="str">
        <f t="shared" si="154"/>
        <v/>
      </c>
      <c r="G688">
        <f>IFERROR(IF(F688=0,"",COUNTIF($F$3:F688,"&gt;0")),"")</f>
        <v>16</v>
      </c>
      <c r="H688" t="str">
        <f t="shared" si="149"/>
        <v/>
      </c>
      <c r="I688" t="str">
        <f t="shared" si="155"/>
        <v/>
      </c>
      <c r="J688">
        <f>IFERROR(IF(I688=0,"",COUNTIF($I$3:I688,"&gt;0")),"")</f>
        <v>34</v>
      </c>
      <c r="K688" t="str">
        <f t="shared" si="150"/>
        <v/>
      </c>
      <c r="L688" t="str">
        <f t="shared" si="156"/>
        <v/>
      </c>
      <c r="M688" t="str">
        <f t="shared" si="157"/>
        <v/>
      </c>
      <c r="N688">
        <f>IFERROR(IF(M688=0,"",COUNTIF($M$3:M688,"&gt;0")),"")</f>
        <v>33</v>
      </c>
      <c r="O688" t="str">
        <f t="shared" si="151"/>
        <v/>
      </c>
      <c r="P688" t="str">
        <f t="shared" si="158"/>
        <v/>
      </c>
      <c r="Q688" t="str">
        <f t="shared" si="159"/>
        <v/>
      </c>
      <c r="R688">
        <f>IFERROR(IF(Q688=0,"",COUNTIF($Q$3:Q688,"&gt;0")),"")</f>
        <v>16</v>
      </c>
      <c r="S688" t="str">
        <f t="shared" si="152"/>
        <v/>
      </c>
      <c r="T688" t="str">
        <f t="shared" si="160"/>
        <v/>
      </c>
      <c r="U688">
        <f>IFERROR(IF(T688=0,"",COUNTIF($T$3:T688,"&gt;0")),"")</f>
        <v>0</v>
      </c>
      <c r="V688" t="str">
        <f t="shared" si="153"/>
        <v/>
      </c>
    </row>
    <row r="689" spans="1:22">
      <c r="A689" t="e">
        <f t="shared" si="148"/>
        <v>#VALUE!</v>
      </c>
      <c r="B689" t="e">
        <f>Table4[[#This Row],[CATEGORY]]</f>
        <v>#VALUE!</v>
      </c>
      <c r="C689" t="e">
        <f>Table4[[#This Row],[SUB-CATEGORY]]</f>
        <v>#VALUE!</v>
      </c>
      <c r="D689">
        <f>'RJ ATTENDENCE SHEET'!C:C</f>
        <v>0</v>
      </c>
      <c r="E689" t="e">
        <f t="shared" si="147"/>
        <v>#VALUE!</v>
      </c>
      <c r="F689" t="str">
        <f t="shared" si="154"/>
        <v/>
      </c>
      <c r="G689">
        <f>IFERROR(IF(F689=0,"",COUNTIF($F$3:F689,"&gt;0")),"")</f>
        <v>16</v>
      </c>
      <c r="H689" t="str">
        <f t="shared" si="149"/>
        <v/>
      </c>
      <c r="I689" t="str">
        <f t="shared" si="155"/>
        <v/>
      </c>
      <c r="J689">
        <f>IFERROR(IF(I689=0,"",COUNTIF($I$3:I689,"&gt;0")),"")</f>
        <v>34</v>
      </c>
      <c r="K689" t="str">
        <f t="shared" si="150"/>
        <v/>
      </c>
      <c r="L689" t="str">
        <f t="shared" si="156"/>
        <v/>
      </c>
      <c r="M689" t="str">
        <f t="shared" si="157"/>
        <v/>
      </c>
      <c r="N689">
        <f>IFERROR(IF(M689=0,"",COUNTIF($M$3:M689,"&gt;0")),"")</f>
        <v>33</v>
      </c>
      <c r="O689" t="str">
        <f t="shared" si="151"/>
        <v/>
      </c>
      <c r="P689" t="str">
        <f t="shared" si="158"/>
        <v/>
      </c>
      <c r="Q689" t="str">
        <f t="shared" si="159"/>
        <v/>
      </c>
      <c r="R689">
        <f>IFERROR(IF(Q689=0,"",COUNTIF($Q$3:Q689,"&gt;0")),"")</f>
        <v>16</v>
      </c>
      <c r="S689" t="str">
        <f t="shared" si="152"/>
        <v/>
      </c>
      <c r="T689" t="str">
        <f t="shared" si="160"/>
        <v/>
      </c>
      <c r="U689">
        <f>IFERROR(IF(T689=0,"",COUNTIF($T$3:T689,"&gt;0")),"")</f>
        <v>0</v>
      </c>
      <c r="V689" t="str">
        <f t="shared" si="153"/>
        <v/>
      </c>
    </row>
    <row r="690" spans="1:22">
      <c r="A690" t="e">
        <f t="shared" si="148"/>
        <v>#VALUE!</v>
      </c>
      <c r="B690" t="e">
        <f>Table4[[#This Row],[CATEGORY]]</f>
        <v>#VALUE!</v>
      </c>
      <c r="C690" t="e">
        <f>Table4[[#This Row],[SUB-CATEGORY]]</f>
        <v>#VALUE!</v>
      </c>
      <c r="D690">
        <f>'RJ ATTENDENCE SHEET'!C:C</f>
        <v>0</v>
      </c>
      <c r="E690" t="e">
        <f t="shared" si="147"/>
        <v>#VALUE!</v>
      </c>
      <c r="F690" t="str">
        <f t="shared" si="154"/>
        <v/>
      </c>
      <c r="G690">
        <f>IFERROR(IF(F690=0,"",COUNTIF($F$3:F690,"&gt;0")),"")</f>
        <v>16</v>
      </c>
      <c r="H690" t="str">
        <f t="shared" si="149"/>
        <v/>
      </c>
      <c r="I690" t="str">
        <f t="shared" si="155"/>
        <v/>
      </c>
      <c r="J690">
        <f>IFERROR(IF(I690=0,"",COUNTIF($I$3:I690,"&gt;0")),"")</f>
        <v>34</v>
      </c>
      <c r="K690" t="str">
        <f t="shared" si="150"/>
        <v/>
      </c>
      <c r="L690" t="str">
        <f t="shared" si="156"/>
        <v/>
      </c>
      <c r="M690" t="str">
        <f t="shared" si="157"/>
        <v/>
      </c>
      <c r="N690">
        <f>IFERROR(IF(M690=0,"",COUNTIF($M$3:M690,"&gt;0")),"")</f>
        <v>33</v>
      </c>
      <c r="O690" t="str">
        <f t="shared" si="151"/>
        <v/>
      </c>
      <c r="P690" t="str">
        <f t="shared" si="158"/>
        <v/>
      </c>
      <c r="Q690" t="str">
        <f t="shared" si="159"/>
        <v/>
      </c>
      <c r="R690">
        <f>IFERROR(IF(Q690=0,"",COUNTIF($Q$3:Q690,"&gt;0")),"")</f>
        <v>16</v>
      </c>
      <c r="S690" t="str">
        <f t="shared" si="152"/>
        <v/>
      </c>
      <c r="T690" t="str">
        <f t="shared" si="160"/>
        <v/>
      </c>
      <c r="U690">
        <f>IFERROR(IF(T690=0,"",COUNTIF($T$3:T690,"&gt;0")),"")</f>
        <v>0</v>
      </c>
      <c r="V690" t="str">
        <f t="shared" si="153"/>
        <v/>
      </c>
    </row>
    <row r="691" spans="1:22">
      <c r="A691" t="e">
        <f t="shared" si="148"/>
        <v>#VALUE!</v>
      </c>
      <c r="B691" t="e">
        <f>Table4[[#This Row],[CATEGORY]]</f>
        <v>#VALUE!</v>
      </c>
      <c r="C691" t="e">
        <f>Table4[[#This Row],[SUB-CATEGORY]]</f>
        <v>#VALUE!</v>
      </c>
      <c r="D691">
        <f>'RJ ATTENDENCE SHEET'!C:C</f>
        <v>0</v>
      </c>
      <c r="E691" t="e">
        <f t="shared" si="147"/>
        <v>#VALUE!</v>
      </c>
      <c r="F691" t="str">
        <f t="shared" si="154"/>
        <v/>
      </c>
      <c r="G691">
        <f>IFERROR(IF(F691=0,"",COUNTIF($F$3:F691,"&gt;0")),"")</f>
        <v>16</v>
      </c>
      <c r="H691" t="str">
        <f t="shared" si="149"/>
        <v/>
      </c>
      <c r="I691" t="str">
        <f t="shared" si="155"/>
        <v/>
      </c>
      <c r="J691">
        <f>IFERROR(IF(I691=0,"",COUNTIF($I$3:I691,"&gt;0")),"")</f>
        <v>34</v>
      </c>
      <c r="K691" t="str">
        <f t="shared" si="150"/>
        <v/>
      </c>
      <c r="L691" t="str">
        <f t="shared" si="156"/>
        <v/>
      </c>
      <c r="M691" t="str">
        <f t="shared" si="157"/>
        <v/>
      </c>
      <c r="N691">
        <f>IFERROR(IF(M691=0,"",COUNTIF($M$3:M691,"&gt;0")),"")</f>
        <v>33</v>
      </c>
      <c r="O691" t="str">
        <f t="shared" si="151"/>
        <v/>
      </c>
      <c r="P691" t="str">
        <f t="shared" si="158"/>
        <v/>
      </c>
      <c r="Q691" t="str">
        <f t="shared" si="159"/>
        <v/>
      </c>
      <c r="R691">
        <f>IFERROR(IF(Q691=0,"",COUNTIF($Q$3:Q691,"&gt;0")),"")</f>
        <v>16</v>
      </c>
      <c r="S691" t="str">
        <f t="shared" si="152"/>
        <v/>
      </c>
      <c r="T691" t="str">
        <f t="shared" si="160"/>
        <v/>
      </c>
      <c r="U691">
        <f>IFERROR(IF(T691=0,"",COUNTIF($T$3:T691,"&gt;0")),"")</f>
        <v>0</v>
      </c>
      <c r="V691" t="str">
        <f t="shared" si="153"/>
        <v/>
      </c>
    </row>
    <row r="692" spans="1:22">
      <c r="A692" t="e">
        <f t="shared" si="148"/>
        <v>#VALUE!</v>
      </c>
      <c r="B692" t="e">
        <f>Table4[[#This Row],[CATEGORY]]</f>
        <v>#VALUE!</v>
      </c>
      <c r="C692" t="e">
        <f>Table4[[#This Row],[SUB-CATEGORY]]</f>
        <v>#VALUE!</v>
      </c>
      <c r="D692">
        <f>'RJ ATTENDENCE SHEET'!C:C</f>
        <v>0</v>
      </c>
      <c r="E692" t="e">
        <f t="shared" si="147"/>
        <v>#VALUE!</v>
      </c>
      <c r="F692" t="str">
        <f t="shared" si="154"/>
        <v/>
      </c>
      <c r="G692">
        <f>IFERROR(IF(F692=0,"",COUNTIF($F$3:F692,"&gt;0")),"")</f>
        <v>16</v>
      </c>
      <c r="H692" t="str">
        <f t="shared" si="149"/>
        <v/>
      </c>
      <c r="I692" t="str">
        <f t="shared" si="155"/>
        <v/>
      </c>
      <c r="J692">
        <f>IFERROR(IF(I692=0,"",COUNTIF($I$3:I692,"&gt;0")),"")</f>
        <v>34</v>
      </c>
      <c r="K692" t="str">
        <f t="shared" si="150"/>
        <v/>
      </c>
      <c r="L692" t="str">
        <f t="shared" si="156"/>
        <v/>
      </c>
      <c r="M692" t="str">
        <f t="shared" si="157"/>
        <v/>
      </c>
      <c r="N692">
        <f>IFERROR(IF(M692=0,"",COUNTIF($M$3:M692,"&gt;0")),"")</f>
        <v>33</v>
      </c>
      <c r="O692" t="str">
        <f t="shared" si="151"/>
        <v/>
      </c>
      <c r="P692" t="str">
        <f t="shared" si="158"/>
        <v/>
      </c>
      <c r="Q692" t="str">
        <f t="shared" si="159"/>
        <v/>
      </c>
      <c r="R692">
        <f>IFERROR(IF(Q692=0,"",COUNTIF($Q$3:Q692,"&gt;0")),"")</f>
        <v>16</v>
      </c>
      <c r="S692" t="str">
        <f t="shared" si="152"/>
        <v/>
      </c>
      <c r="T692" t="str">
        <f t="shared" si="160"/>
        <v/>
      </c>
      <c r="U692">
        <f>IFERROR(IF(T692=0,"",COUNTIF($T$3:T692,"&gt;0")),"")</f>
        <v>0</v>
      </c>
      <c r="V692" t="str">
        <f t="shared" si="153"/>
        <v/>
      </c>
    </row>
    <row r="693" spans="1:22">
      <c r="A693" t="e">
        <f t="shared" si="148"/>
        <v>#VALUE!</v>
      </c>
      <c r="B693" t="e">
        <f>Table4[[#This Row],[CATEGORY]]</f>
        <v>#VALUE!</v>
      </c>
      <c r="C693" t="e">
        <f>Table4[[#This Row],[SUB-CATEGORY]]</f>
        <v>#VALUE!</v>
      </c>
      <c r="D693">
        <f>'RJ ATTENDENCE SHEET'!C:C</f>
        <v>0</v>
      </c>
      <c r="E693" t="e">
        <f t="shared" si="147"/>
        <v>#VALUE!</v>
      </c>
      <c r="F693" t="str">
        <f t="shared" si="154"/>
        <v/>
      </c>
      <c r="G693">
        <f>IFERROR(IF(F693=0,"",COUNTIF($F$3:F693,"&gt;0")),"")</f>
        <v>16</v>
      </c>
      <c r="H693" t="str">
        <f t="shared" si="149"/>
        <v/>
      </c>
      <c r="I693" t="str">
        <f t="shared" si="155"/>
        <v/>
      </c>
      <c r="J693">
        <f>IFERROR(IF(I693=0,"",COUNTIF($I$3:I693,"&gt;0")),"")</f>
        <v>34</v>
      </c>
      <c r="K693" t="str">
        <f t="shared" si="150"/>
        <v/>
      </c>
      <c r="L693" t="str">
        <f t="shared" si="156"/>
        <v/>
      </c>
      <c r="M693" t="str">
        <f t="shared" si="157"/>
        <v/>
      </c>
      <c r="N693">
        <f>IFERROR(IF(M693=0,"",COUNTIF($M$3:M693,"&gt;0")),"")</f>
        <v>33</v>
      </c>
      <c r="O693" t="str">
        <f t="shared" si="151"/>
        <v/>
      </c>
      <c r="P693" t="str">
        <f t="shared" si="158"/>
        <v/>
      </c>
      <c r="Q693" t="str">
        <f t="shared" si="159"/>
        <v/>
      </c>
      <c r="R693">
        <f>IFERROR(IF(Q693=0,"",COUNTIF($Q$3:Q693,"&gt;0")),"")</f>
        <v>16</v>
      </c>
      <c r="S693" t="str">
        <f t="shared" si="152"/>
        <v/>
      </c>
      <c r="T693" t="str">
        <f t="shared" si="160"/>
        <v/>
      </c>
      <c r="U693">
        <f>IFERROR(IF(T693=0,"",COUNTIF($T$3:T693,"&gt;0")),"")</f>
        <v>0</v>
      </c>
      <c r="V693" t="str">
        <f t="shared" si="153"/>
        <v/>
      </c>
    </row>
    <row r="694" spans="1:22">
      <c r="A694" t="e">
        <f t="shared" si="148"/>
        <v>#VALUE!</v>
      </c>
      <c r="B694" t="e">
        <f>Table4[[#This Row],[CATEGORY]]</f>
        <v>#VALUE!</v>
      </c>
      <c r="C694" t="e">
        <f>Table4[[#This Row],[SUB-CATEGORY]]</f>
        <v>#VALUE!</v>
      </c>
      <c r="D694">
        <f>'RJ ATTENDENCE SHEET'!C:C</f>
        <v>0</v>
      </c>
      <c r="E694" t="e">
        <f t="shared" si="147"/>
        <v>#VALUE!</v>
      </c>
      <c r="F694" t="str">
        <f t="shared" si="154"/>
        <v/>
      </c>
      <c r="G694">
        <f>IFERROR(IF(F694=0,"",COUNTIF($F$3:F694,"&gt;0")),"")</f>
        <v>16</v>
      </c>
      <c r="H694" t="str">
        <f t="shared" si="149"/>
        <v/>
      </c>
      <c r="I694" t="str">
        <f t="shared" si="155"/>
        <v/>
      </c>
      <c r="J694">
        <f>IFERROR(IF(I694=0,"",COUNTIF($I$3:I694,"&gt;0")),"")</f>
        <v>34</v>
      </c>
      <c r="K694" t="str">
        <f t="shared" si="150"/>
        <v/>
      </c>
      <c r="L694" t="str">
        <f t="shared" si="156"/>
        <v/>
      </c>
      <c r="M694" t="str">
        <f t="shared" si="157"/>
        <v/>
      </c>
      <c r="N694">
        <f>IFERROR(IF(M694=0,"",COUNTIF($M$3:M694,"&gt;0")),"")</f>
        <v>33</v>
      </c>
      <c r="O694" t="str">
        <f t="shared" si="151"/>
        <v/>
      </c>
      <c r="P694" t="str">
        <f t="shared" si="158"/>
        <v/>
      </c>
      <c r="Q694" t="str">
        <f t="shared" si="159"/>
        <v/>
      </c>
      <c r="R694">
        <f>IFERROR(IF(Q694=0,"",COUNTIF($Q$3:Q694,"&gt;0")),"")</f>
        <v>16</v>
      </c>
      <c r="S694" t="str">
        <f t="shared" si="152"/>
        <v/>
      </c>
      <c r="T694" t="str">
        <f t="shared" si="160"/>
        <v/>
      </c>
      <c r="U694">
        <f>IFERROR(IF(T694=0,"",COUNTIF($T$3:T694,"&gt;0")),"")</f>
        <v>0</v>
      </c>
      <c r="V694" t="str">
        <f t="shared" si="153"/>
        <v/>
      </c>
    </row>
    <row r="695" spans="1:22">
      <c r="A695" t="e">
        <f t="shared" si="148"/>
        <v>#VALUE!</v>
      </c>
      <c r="B695" t="e">
        <f>Table4[[#This Row],[CATEGORY]]</f>
        <v>#VALUE!</v>
      </c>
      <c r="C695" t="e">
        <f>Table4[[#This Row],[SUB-CATEGORY]]</f>
        <v>#VALUE!</v>
      </c>
      <c r="D695">
        <f>'RJ ATTENDENCE SHEET'!C:C</f>
        <v>0</v>
      </c>
      <c r="E695" t="e">
        <f t="shared" si="147"/>
        <v>#VALUE!</v>
      </c>
      <c r="F695" t="str">
        <f t="shared" si="154"/>
        <v/>
      </c>
      <c r="G695">
        <f>IFERROR(IF(F695=0,"",COUNTIF($F$3:F695,"&gt;0")),"")</f>
        <v>16</v>
      </c>
      <c r="H695" t="str">
        <f t="shared" si="149"/>
        <v/>
      </c>
      <c r="I695" t="str">
        <f t="shared" si="155"/>
        <v/>
      </c>
      <c r="J695">
        <f>IFERROR(IF(I695=0,"",COUNTIF($I$3:I695,"&gt;0")),"")</f>
        <v>34</v>
      </c>
      <c r="K695" t="str">
        <f t="shared" si="150"/>
        <v/>
      </c>
      <c r="L695" t="str">
        <f t="shared" si="156"/>
        <v/>
      </c>
      <c r="M695" t="str">
        <f t="shared" si="157"/>
        <v/>
      </c>
      <c r="N695">
        <f>IFERROR(IF(M695=0,"",COUNTIF($M$3:M695,"&gt;0")),"")</f>
        <v>33</v>
      </c>
      <c r="O695" t="str">
        <f t="shared" si="151"/>
        <v/>
      </c>
      <c r="P695" t="str">
        <f t="shared" si="158"/>
        <v/>
      </c>
      <c r="Q695" t="str">
        <f t="shared" si="159"/>
        <v/>
      </c>
      <c r="R695">
        <f>IFERROR(IF(Q695=0,"",COUNTIF($Q$3:Q695,"&gt;0")),"")</f>
        <v>16</v>
      </c>
      <c r="S695" t="str">
        <f t="shared" si="152"/>
        <v/>
      </c>
      <c r="T695" t="str">
        <f t="shared" si="160"/>
        <v/>
      </c>
      <c r="U695">
        <f>IFERROR(IF(T695=0,"",COUNTIF($T$3:T695,"&gt;0")),"")</f>
        <v>0</v>
      </c>
      <c r="V695" t="str">
        <f t="shared" si="153"/>
        <v/>
      </c>
    </row>
    <row r="696" spans="1:22">
      <c r="A696" t="e">
        <f t="shared" si="148"/>
        <v>#VALUE!</v>
      </c>
      <c r="B696" t="e">
        <f>Table4[[#This Row],[CATEGORY]]</f>
        <v>#VALUE!</v>
      </c>
      <c r="C696" t="e">
        <f>Table4[[#This Row],[SUB-CATEGORY]]</f>
        <v>#VALUE!</v>
      </c>
      <c r="D696">
        <f>'RJ ATTENDENCE SHEET'!C:C</f>
        <v>0</v>
      </c>
      <c r="E696" t="e">
        <f t="shared" si="147"/>
        <v>#VALUE!</v>
      </c>
      <c r="F696" t="str">
        <f t="shared" si="154"/>
        <v/>
      </c>
      <c r="G696">
        <f>IFERROR(IF(F696=0,"",COUNTIF($F$3:F696,"&gt;0")),"")</f>
        <v>16</v>
      </c>
      <c r="H696" t="str">
        <f t="shared" si="149"/>
        <v/>
      </c>
      <c r="I696" t="str">
        <f t="shared" si="155"/>
        <v/>
      </c>
      <c r="J696">
        <f>IFERROR(IF(I696=0,"",COUNTIF($I$3:I696,"&gt;0")),"")</f>
        <v>34</v>
      </c>
      <c r="K696" t="str">
        <f t="shared" si="150"/>
        <v/>
      </c>
      <c r="L696" t="str">
        <f t="shared" si="156"/>
        <v/>
      </c>
      <c r="M696" t="str">
        <f t="shared" si="157"/>
        <v/>
      </c>
      <c r="N696">
        <f>IFERROR(IF(M696=0,"",COUNTIF($M$3:M696,"&gt;0")),"")</f>
        <v>33</v>
      </c>
      <c r="O696" t="str">
        <f t="shared" si="151"/>
        <v/>
      </c>
      <c r="P696" t="str">
        <f t="shared" si="158"/>
        <v/>
      </c>
      <c r="Q696" t="str">
        <f t="shared" si="159"/>
        <v/>
      </c>
      <c r="R696">
        <f>IFERROR(IF(Q696=0,"",COUNTIF($Q$3:Q696,"&gt;0")),"")</f>
        <v>16</v>
      </c>
      <c r="S696" t="str">
        <f t="shared" si="152"/>
        <v/>
      </c>
      <c r="T696" t="str">
        <f t="shared" si="160"/>
        <v/>
      </c>
      <c r="U696">
        <f>IFERROR(IF(T696=0,"",COUNTIF($T$3:T696,"&gt;0")),"")</f>
        <v>0</v>
      </c>
      <c r="V696" t="str">
        <f t="shared" si="153"/>
        <v/>
      </c>
    </row>
    <row r="697" spans="1:22">
      <c r="A697" t="e">
        <f t="shared" si="148"/>
        <v>#VALUE!</v>
      </c>
      <c r="B697" t="e">
        <f>Table4[[#This Row],[CATEGORY]]</f>
        <v>#VALUE!</v>
      </c>
      <c r="C697" t="e">
        <f>Table4[[#This Row],[SUB-CATEGORY]]</f>
        <v>#VALUE!</v>
      </c>
      <c r="D697">
        <f>'RJ ATTENDENCE SHEET'!C:C</f>
        <v>0</v>
      </c>
      <c r="E697" t="e">
        <f t="shared" si="147"/>
        <v>#VALUE!</v>
      </c>
      <c r="F697" t="str">
        <f t="shared" si="154"/>
        <v/>
      </c>
      <c r="G697">
        <f>IFERROR(IF(F697=0,"",COUNTIF($F$3:F697,"&gt;0")),"")</f>
        <v>16</v>
      </c>
      <c r="H697" t="str">
        <f t="shared" si="149"/>
        <v/>
      </c>
      <c r="I697" t="str">
        <f t="shared" si="155"/>
        <v/>
      </c>
      <c r="J697">
        <f>IFERROR(IF(I697=0,"",COUNTIF($I$3:I697,"&gt;0")),"")</f>
        <v>34</v>
      </c>
      <c r="K697" t="str">
        <f t="shared" si="150"/>
        <v/>
      </c>
      <c r="L697" t="str">
        <f t="shared" si="156"/>
        <v/>
      </c>
      <c r="M697" t="str">
        <f t="shared" si="157"/>
        <v/>
      </c>
      <c r="N697">
        <f>IFERROR(IF(M697=0,"",COUNTIF($M$3:M697,"&gt;0")),"")</f>
        <v>33</v>
      </c>
      <c r="O697" t="str">
        <f t="shared" si="151"/>
        <v/>
      </c>
      <c r="P697" t="str">
        <f t="shared" si="158"/>
        <v/>
      </c>
      <c r="Q697" t="str">
        <f t="shared" si="159"/>
        <v/>
      </c>
      <c r="R697">
        <f>IFERROR(IF(Q697=0,"",COUNTIF($Q$3:Q697,"&gt;0")),"")</f>
        <v>16</v>
      </c>
      <c r="S697" t="str">
        <f t="shared" si="152"/>
        <v/>
      </c>
      <c r="T697" t="str">
        <f t="shared" si="160"/>
        <v/>
      </c>
      <c r="U697">
        <f>IFERROR(IF(T697=0,"",COUNTIF($T$3:T697,"&gt;0")),"")</f>
        <v>0</v>
      </c>
      <c r="V697" t="str">
        <f t="shared" si="153"/>
        <v/>
      </c>
    </row>
    <row r="698" spans="1:22">
      <c r="A698" t="e">
        <f t="shared" si="148"/>
        <v>#VALUE!</v>
      </c>
      <c r="B698" t="e">
        <f>Table4[[#This Row],[CATEGORY]]</f>
        <v>#VALUE!</v>
      </c>
      <c r="C698" t="e">
        <f>Table4[[#This Row],[SUB-CATEGORY]]</f>
        <v>#VALUE!</v>
      </c>
      <c r="D698">
        <f>'RJ ATTENDENCE SHEET'!C:C</f>
        <v>0</v>
      </c>
      <c r="E698" t="e">
        <f t="shared" si="147"/>
        <v>#VALUE!</v>
      </c>
      <c r="F698" t="str">
        <f t="shared" si="154"/>
        <v/>
      </c>
      <c r="G698">
        <f>IFERROR(IF(F698=0,"",COUNTIF($F$3:F698,"&gt;0")),"")</f>
        <v>16</v>
      </c>
      <c r="H698" t="str">
        <f t="shared" si="149"/>
        <v/>
      </c>
      <c r="I698" t="str">
        <f t="shared" si="155"/>
        <v/>
      </c>
      <c r="J698">
        <f>IFERROR(IF(I698=0,"",COUNTIF($I$3:I698,"&gt;0")),"")</f>
        <v>34</v>
      </c>
      <c r="K698" t="str">
        <f t="shared" si="150"/>
        <v/>
      </c>
      <c r="L698" t="str">
        <f t="shared" si="156"/>
        <v/>
      </c>
      <c r="M698" t="str">
        <f t="shared" si="157"/>
        <v/>
      </c>
      <c r="N698">
        <f>IFERROR(IF(M698=0,"",COUNTIF($M$3:M698,"&gt;0")),"")</f>
        <v>33</v>
      </c>
      <c r="O698" t="str">
        <f t="shared" si="151"/>
        <v/>
      </c>
      <c r="P698" t="str">
        <f t="shared" si="158"/>
        <v/>
      </c>
      <c r="Q698" t="str">
        <f t="shared" si="159"/>
        <v/>
      </c>
      <c r="R698">
        <f>IFERROR(IF(Q698=0,"",COUNTIF($Q$3:Q698,"&gt;0")),"")</f>
        <v>16</v>
      </c>
      <c r="S698" t="str">
        <f t="shared" si="152"/>
        <v/>
      </c>
      <c r="T698" t="str">
        <f t="shared" si="160"/>
        <v/>
      </c>
      <c r="U698">
        <f>IFERROR(IF(T698=0,"",COUNTIF($T$3:T698,"&gt;0")),"")</f>
        <v>0</v>
      </c>
      <c r="V698" t="str">
        <f t="shared" si="153"/>
        <v/>
      </c>
    </row>
    <row r="699" spans="1:22">
      <c r="A699" t="e">
        <f t="shared" si="148"/>
        <v>#VALUE!</v>
      </c>
      <c r="B699" t="e">
        <f>Table4[[#This Row],[CATEGORY]]</f>
        <v>#VALUE!</v>
      </c>
      <c r="C699" t="e">
        <f>Table4[[#This Row],[SUB-CATEGORY]]</f>
        <v>#VALUE!</v>
      </c>
      <c r="D699">
        <f>'RJ ATTENDENCE SHEET'!C:C</f>
        <v>0</v>
      </c>
      <c r="E699" t="e">
        <f t="shared" si="147"/>
        <v>#VALUE!</v>
      </c>
      <c r="F699" t="str">
        <f t="shared" si="154"/>
        <v/>
      </c>
      <c r="G699">
        <f>IFERROR(IF(F699=0,"",COUNTIF($F$3:F699,"&gt;0")),"")</f>
        <v>16</v>
      </c>
      <c r="H699" t="str">
        <f t="shared" si="149"/>
        <v/>
      </c>
      <c r="I699" t="str">
        <f t="shared" si="155"/>
        <v/>
      </c>
      <c r="J699">
        <f>IFERROR(IF(I699=0,"",COUNTIF($I$3:I699,"&gt;0")),"")</f>
        <v>34</v>
      </c>
      <c r="K699" t="str">
        <f t="shared" si="150"/>
        <v/>
      </c>
      <c r="L699" t="str">
        <f t="shared" si="156"/>
        <v/>
      </c>
      <c r="M699" t="str">
        <f t="shared" si="157"/>
        <v/>
      </c>
      <c r="N699">
        <f>IFERROR(IF(M699=0,"",COUNTIF($M$3:M699,"&gt;0")),"")</f>
        <v>33</v>
      </c>
      <c r="O699" t="str">
        <f t="shared" si="151"/>
        <v/>
      </c>
      <c r="P699" t="str">
        <f t="shared" si="158"/>
        <v/>
      </c>
      <c r="Q699" t="str">
        <f t="shared" si="159"/>
        <v/>
      </c>
      <c r="R699">
        <f>IFERROR(IF(Q699=0,"",COUNTIF($Q$3:Q699,"&gt;0")),"")</f>
        <v>16</v>
      </c>
      <c r="S699" t="str">
        <f t="shared" si="152"/>
        <v/>
      </c>
      <c r="T699" t="str">
        <f t="shared" si="160"/>
        <v/>
      </c>
      <c r="U699">
        <f>IFERROR(IF(T699=0,"",COUNTIF($T$3:T699,"&gt;0")),"")</f>
        <v>0</v>
      </c>
      <c r="V699" t="str">
        <f t="shared" si="153"/>
        <v/>
      </c>
    </row>
    <row r="700" spans="1:22">
      <c r="A700" t="e">
        <f t="shared" si="148"/>
        <v>#VALUE!</v>
      </c>
      <c r="B700" t="e">
        <f>Table4[[#This Row],[CATEGORY]]</f>
        <v>#VALUE!</v>
      </c>
      <c r="C700" t="e">
        <f>Table4[[#This Row],[SUB-CATEGORY]]</f>
        <v>#VALUE!</v>
      </c>
      <c r="D700">
        <f>'RJ ATTENDENCE SHEET'!C:C</f>
        <v>0</v>
      </c>
      <c r="E700" t="e">
        <f t="shared" si="147"/>
        <v>#VALUE!</v>
      </c>
      <c r="F700" t="str">
        <f t="shared" si="154"/>
        <v/>
      </c>
      <c r="G700">
        <f>IFERROR(IF(F700=0,"",COUNTIF($F$3:F700,"&gt;0")),"")</f>
        <v>16</v>
      </c>
      <c r="H700" t="str">
        <f t="shared" si="149"/>
        <v/>
      </c>
      <c r="I700" t="str">
        <f t="shared" si="155"/>
        <v/>
      </c>
      <c r="J700">
        <f>IFERROR(IF(I700=0,"",COUNTIF($I$3:I700,"&gt;0")),"")</f>
        <v>34</v>
      </c>
      <c r="K700" t="str">
        <f t="shared" si="150"/>
        <v/>
      </c>
      <c r="L700" t="str">
        <f t="shared" si="156"/>
        <v/>
      </c>
      <c r="M700" t="str">
        <f t="shared" si="157"/>
        <v/>
      </c>
      <c r="N700">
        <f>IFERROR(IF(M700=0,"",COUNTIF($M$3:M700,"&gt;0")),"")</f>
        <v>33</v>
      </c>
      <c r="O700" t="str">
        <f t="shared" si="151"/>
        <v/>
      </c>
      <c r="P700" t="str">
        <f t="shared" si="158"/>
        <v/>
      </c>
      <c r="Q700" t="str">
        <f t="shared" si="159"/>
        <v/>
      </c>
      <c r="R700">
        <f>IFERROR(IF(Q700=0,"",COUNTIF($Q$3:Q700,"&gt;0")),"")</f>
        <v>16</v>
      </c>
      <c r="S700" t="str">
        <f t="shared" si="152"/>
        <v/>
      </c>
      <c r="T700" t="str">
        <f t="shared" si="160"/>
        <v/>
      </c>
      <c r="U700">
        <f>IFERROR(IF(T700=0,"",COUNTIF($T$3:T700,"&gt;0")),"")</f>
        <v>0</v>
      </c>
      <c r="V700" t="str">
        <f t="shared" si="153"/>
        <v/>
      </c>
    </row>
    <row r="701" spans="1:22">
      <c r="A701" t="e">
        <f t="shared" si="148"/>
        <v>#VALUE!</v>
      </c>
      <c r="B701" t="e">
        <f>Table4[[#This Row],[CATEGORY]]</f>
        <v>#VALUE!</v>
      </c>
      <c r="C701" t="e">
        <f>Table4[[#This Row],[SUB-CATEGORY]]</f>
        <v>#VALUE!</v>
      </c>
      <c r="D701">
        <f>'RJ ATTENDENCE SHEET'!C:C</f>
        <v>0</v>
      </c>
      <c r="E701" t="e">
        <f t="shared" si="147"/>
        <v>#VALUE!</v>
      </c>
      <c r="F701" t="str">
        <f t="shared" si="154"/>
        <v/>
      </c>
      <c r="G701">
        <f>IFERROR(IF(F701=0,"",COUNTIF($F$3:F701,"&gt;0")),"")</f>
        <v>16</v>
      </c>
      <c r="H701" t="str">
        <f t="shared" si="149"/>
        <v/>
      </c>
      <c r="I701" t="str">
        <f t="shared" si="155"/>
        <v/>
      </c>
      <c r="J701">
        <f>IFERROR(IF(I701=0,"",COUNTIF($I$3:I701,"&gt;0")),"")</f>
        <v>34</v>
      </c>
      <c r="K701" t="str">
        <f t="shared" si="150"/>
        <v/>
      </c>
      <c r="L701" t="str">
        <f t="shared" si="156"/>
        <v/>
      </c>
      <c r="M701" t="str">
        <f t="shared" si="157"/>
        <v/>
      </c>
      <c r="N701">
        <f>IFERROR(IF(M701=0,"",COUNTIF($M$3:M701,"&gt;0")),"")</f>
        <v>33</v>
      </c>
      <c r="O701" t="str">
        <f t="shared" si="151"/>
        <v/>
      </c>
      <c r="P701" t="str">
        <f t="shared" si="158"/>
        <v/>
      </c>
      <c r="Q701" t="str">
        <f t="shared" si="159"/>
        <v/>
      </c>
      <c r="R701">
        <f>IFERROR(IF(Q701=0,"",COUNTIF($Q$3:Q701,"&gt;0")),"")</f>
        <v>16</v>
      </c>
      <c r="S701" t="str">
        <f t="shared" si="152"/>
        <v/>
      </c>
      <c r="T701" t="str">
        <f t="shared" si="160"/>
        <v/>
      </c>
      <c r="U701">
        <f>IFERROR(IF(T701=0,"",COUNTIF($T$3:T701,"&gt;0")),"")</f>
        <v>0</v>
      </c>
      <c r="V701" t="str">
        <f t="shared" si="153"/>
        <v/>
      </c>
    </row>
    <row r="702" spans="1:22">
      <c r="A702" t="e">
        <f t="shared" si="148"/>
        <v>#VALUE!</v>
      </c>
      <c r="B702" t="e">
        <f>Table4[[#This Row],[CATEGORY]]</f>
        <v>#VALUE!</v>
      </c>
      <c r="C702" t="e">
        <f>Table4[[#This Row],[SUB-CATEGORY]]</f>
        <v>#VALUE!</v>
      </c>
      <c r="D702">
        <f>'RJ ATTENDENCE SHEET'!C:C</f>
        <v>0</v>
      </c>
      <c r="E702" t="e">
        <f t="shared" si="147"/>
        <v>#VALUE!</v>
      </c>
      <c r="F702" t="str">
        <f t="shared" si="154"/>
        <v/>
      </c>
      <c r="G702">
        <f>IFERROR(IF(F702=0,"",COUNTIF($F$3:F702,"&gt;0")),"")</f>
        <v>16</v>
      </c>
      <c r="H702" t="str">
        <f t="shared" si="149"/>
        <v/>
      </c>
      <c r="I702" t="str">
        <f t="shared" si="155"/>
        <v/>
      </c>
      <c r="J702">
        <f>IFERROR(IF(I702=0,"",COUNTIF($I$3:I702,"&gt;0")),"")</f>
        <v>34</v>
      </c>
      <c r="K702" t="str">
        <f t="shared" si="150"/>
        <v/>
      </c>
      <c r="L702" t="str">
        <f t="shared" si="156"/>
        <v/>
      </c>
      <c r="M702" t="str">
        <f t="shared" si="157"/>
        <v/>
      </c>
      <c r="N702">
        <f>IFERROR(IF(M702=0,"",COUNTIF($M$3:M702,"&gt;0")),"")</f>
        <v>33</v>
      </c>
      <c r="O702" t="str">
        <f t="shared" si="151"/>
        <v/>
      </c>
      <c r="P702" t="str">
        <f t="shared" si="158"/>
        <v/>
      </c>
      <c r="Q702" t="str">
        <f t="shared" si="159"/>
        <v/>
      </c>
      <c r="R702">
        <f>IFERROR(IF(Q702=0,"",COUNTIF($Q$3:Q702,"&gt;0")),"")</f>
        <v>16</v>
      </c>
      <c r="S702" t="str">
        <f t="shared" si="152"/>
        <v/>
      </c>
      <c r="T702" t="str">
        <f t="shared" si="160"/>
        <v/>
      </c>
      <c r="U702">
        <f>IFERROR(IF(T702=0,"",COUNTIF($T$3:T702,"&gt;0")),"")</f>
        <v>0</v>
      </c>
      <c r="V702" t="str">
        <f t="shared" si="153"/>
        <v/>
      </c>
    </row>
    <row r="703" spans="1:22">
      <c r="A703" t="e">
        <f t="shared" si="148"/>
        <v>#VALUE!</v>
      </c>
      <c r="B703" t="e">
        <f>Table4[[#This Row],[CATEGORY]]</f>
        <v>#VALUE!</v>
      </c>
      <c r="C703" t="e">
        <f>Table4[[#This Row],[SUB-CATEGORY]]</f>
        <v>#VALUE!</v>
      </c>
      <c r="D703">
        <f>'RJ ATTENDENCE SHEET'!C:C</f>
        <v>0</v>
      </c>
      <c r="E703" t="e">
        <f t="shared" si="147"/>
        <v>#VALUE!</v>
      </c>
      <c r="F703" t="str">
        <f t="shared" si="154"/>
        <v/>
      </c>
      <c r="G703">
        <f>IFERROR(IF(F703=0,"",COUNTIF($F$3:F703,"&gt;0")),"")</f>
        <v>16</v>
      </c>
      <c r="H703" t="str">
        <f t="shared" si="149"/>
        <v/>
      </c>
      <c r="I703" t="str">
        <f t="shared" si="155"/>
        <v/>
      </c>
      <c r="J703">
        <f>IFERROR(IF(I703=0,"",COUNTIF($I$3:I703,"&gt;0")),"")</f>
        <v>34</v>
      </c>
      <c r="K703" t="str">
        <f t="shared" si="150"/>
        <v/>
      </c>
      <c r="L703" t="str">
        <f t="shared" si="156"/>
        <v/>
      </c>
      <c r="M703" t="str">
        <f t="shared" si="157"/>
        <v/>
      </c>
      <c r="N703">
        <f>IFERROR(IF(M703=0,"",COUNTIF($M$3:M703,"&gt;0")),"")</f>
        <v>33</v>
      </c>
      <c r="O703" t="str">
        <f t="shared" si="151"/>
        <v/>
      </c>
      <c r="P703" t="str">
        <f t="shared" si="158"/>
        <v/>
      </c>
      <c r="Q703" t="str">
        <f t="shared" si="159"/>
        <v/>
      </c>
      <c r="R703">
        <f>IFERROR(IF(Q703=0,"",COUNTIF($Q$3:Q703,"&gt;0")),"")</f>
        <v>16</v>
      </c>
      <c r="S703" t="str">
        <f t="shared" si="152"/>
        <v/>
      </c>
      <c r="T703" t="str">
        <f t="shared" si="160"/>
        <v/>
      </c>
      <c r="U703">
        <f>IFERROR(IF(T703=0,"",COUNTIF($T$3:T703,"&gt;0")),"")</f>
        <v>0</v>
      </c>
      <c r="V703" t="str">
        <f t="shared" si="153"/>
        <v/>
      </c>
    </row>
    <row r="704" spans="1:22">
      <c r="A704" t="e">
        <f t="shared" si="148"/>
        <v>#VALUE!</v>
      </c>
      <c r="B704" t="e">
        <f>Table4[[#This Row],[CATEGORY]]</f>
        <v>#VALUE!</v>
      </c>
      <c r="C704" t="e">
        <f>Table4[[#This Row],[SUB-CATEGORY]]</f>
        <v>#VALUE!</v>
      </c>
      <c r="D704">
        <f>'RJ ATTENDENCE SHEET'!C:C</f>
        <v>0</v>
      </c>
      <c r="E704" t="e">
        <f t="shared" si="147"/>
        <v>#VALUE!</v>
      </c>
      <c r="F704" t="str">
        <f t="shared" si="154"/>
        <v/>
      </c>
      <c r="G704">
        <f>IFERROR(IF(F704=0,"",COUNTIF($F$3:F704,"&gt;0")),"")</f>
        <v>16</v>
      </c>
      <c r="H704" t="str">
        <f t="shared" si="149"/>
        <v/>
      </c>
      <c r="I704" t="str">
        <f t="shared" si="155"/>
        <v/>
      </c>
      <c r="J704">
        <f>IFERROR(IF(I704=0,"",COUNTIF($I$3:I704,"&gt;0")),"")</f>
        <v>34</v>
      </c>
      <c r="K704" t="str">
        <f t="shared" si="150"/>
        <v/>
      </c>
      <c r="L704" t="str">
        <f t="shared" si="156"/>
        <v/>
      </c>
      <c r="M704" t="str">
        <f t="shared" si="157"/>
        <v/>
      </c>
      <c r="N704">
        <f>IFERROR(IF(M704=0,"",COUNTIF($M$3:M704,"&gt;0")),"")</f>
        <v>33</v>
      </c>
      <c r="O704" t="str">
        <f t="shared" si="151"/>
        <v/>
      </c>
      <c r="P704" t="str">
        <f t="shared" si="158"/>
        <v/>
      </c>
      <c r="Q704" t="str">
        <f t="shared" si="159"/>
        <v/>
      </c>
      <c r="R704">
        <f>IFERROR(IF(Q704=0,"",COUNTIF($Q$3:Q704,"&gt;0")),"")</f>
        <v>16</v>
      </c>
      <c r="S704" t="str">
        <f t="shared" si="152"/>
        <v/>
      </c>
      <c r="T704" t="str">
        <f t="shared" si="160"/>
        <v/>
      </c>
      <c r="U704">
        <f>IFERROR(IF(T704=0,"",COUNTIF($T$3:T704,"&gt;0")),"")</f>
        <v>0</v>
      </c>
      <c r="V704" t="str">
        <f t="shared" si="153"/>
        <v/>
      </c>
    </row>
    <row r="705" spans="1:22">
      <c r="A705" t="e">
        <f t="shared" si="148"/>
        <v>#VALUE!</v>
      </c>
      <c r="B705" t="e">
        <f>Table4[[#This Row],[CATEGORY]]</f>
        <v>#VALUE!</v>
      </c>
      <c r="C705" t="e">
        <f>Table4[[#This Row],[SUB-CATEGORY]]</f>
        <v>#VALUE!</v>
      </c>
      <c r="D705">
        <f>'RJ ATTENDENCE SHEET'!C:C</f>
        <v>0</v>
      </c>
      <c r="E705" t="e">
        <f t="shared" si="147"/>
        <v>#VALUE!</v>
      </c>
      <c r="F705" t="str">
        <f t="shared" si="154"/>
        <v/>
      </c>
      <c r="G705">
        <f>IFERROR(IF(F705=0,"",COUNTIF($F$3:F705,"&gt;0")),"")</f>
        <v>16</v>
      </c>
      <c r="H705" t="str">
        <f t="shared" si="149"/>
        <v/>
      </c>
      <c r="I705" t="str">
        <f t="shared" si="155"/>
        <v/>
      </c>
      <c r="J705">
        <f>IFERROR(IF(I705=0,"",COUNTIF($I$3:I705,"&gt;0")),"")</f>
        <v>34</v>
      </c>
      <c r="K705" t="str">
        <f t="shared" si="150"/>
        <v/>
      </c>
      <c r="L705" t="str">
        <f t="shared" si="156"/>
        <v/>
      </c>
      <c r="M705" t="str">
        <f t="shared" si="157"/>
        <v/>
      </c>
      <c r="N705">
        <f>IFERROR(IF(M705=0,"",COUNTIF($M$3:M705,"&gt;0")),"")</f>
        <v>33</v>
      </c>
      <c r="O705" t="str">
        <f t="shared" si="151"/>
        <v/>
      </c>
      <c r="P705" t="str">
        <f t="shared" si="158"/>
        <v/>
      </c>
      <c r="Q705" t="str">
        <f t="shared" si="159"/>
        <v/>
      </c>
      <c r="R705">
        <f>IFERROR(IF(Q705=0,"",COUNTIF($Q$3:Q705,"&gt;0")),"")</f>
        <v>16</v>
      </c>
      <c r="S705" t="str">
        <f t="shared" si="152"/>
        <v/>
      </c>
      <c r="T705" t="str">
        <f t="shared" si="160"/>
        <v/>
      </c>
      <c r="U705">
        <f>IFERROR(IF(T705=0,"",COUNTIF($T$3:T705,"&gt;0")),"")</f>
        <v>0</v>
      </c>
      <c r="V705" t="str">
        <f t="shared" si="153"/>
        <v/>
      </c>
    </row>
    <row r="706" spans="1:22">
      <c r="A706" t="e">
        <f t="shared" si="148"/>
        <v>#VALUE!</v>
      </c>
      <c r="B706" t="e">
        <f>Table4[[#This Row],[CATEGORY]]</f>
        <v>#VALUE!</v>
      </c>
      <c r="C706" t="e">
        <f>Table4[[#This Row],[SUB-CATEGORY]]</f>
        <v>#VALUE!</v>
      </c>
      <c r="D706">
        <f>'RJ ATTENDENCE SHEET'!C:C</f>
        <v>0</v>
      </c>
      <c r="E706" t="e">
        <f t="shared" ref="E706:E769" si="161">C706</f>
        <v>#VALUE!</v>
      </c>
      <c r="F706" t="str">
        <f t="shared" si="154"/>
        <v/>
      </c>
      <c r="G706">
        <f>IFERROR(IF(F706=0,"",COUNTIF($F$3:F706,"&gt;0")),"")</f>
        <v>16</v>
      </c>
      <c r="H706" t="str">
        <f t="shared" si="149"/>
        <v/>
      </c>
      <c r="I706" t="str">
        <f t="shared" si="155"/>
        <v/>
      </c>
      <c r="J706">
        <f>IFERROR(IF(I706=0,"",COUNTIF($I$3:I706,"&gt;0")),"")</f>
        <v>34</v>
      </c>
      <c r="K706" t="str">
        <f t="shared" si="150"/>
        <v/>
      </c>
      <c r="L706" t="str">
        <f t="shared" si="156"/>
        <v/>
      </c>
      <c r="M706" t="str">
        <f t="shared" si="157"/>
        <v/>
      </c>
      <c r="N706">
        <f>IFERROR(IF(M706=0,"",COUNTIF($M$3:M706,"&gt;0")),"")</f>
        <v>33</v>
      </c>
      <c r="O706" t="str">
        <f t="shared" si="151"/>
        <v/>
      </c>
      <c r="P706" t="str">
        <f t="shared" si="158"/>
        <v/>
      </c>
      <c r="Q706" t="str">
        <f t="shared" si="159"/>
        <v/>
      </c>
      <c r="R706">
        <f>IFERROR(IF(Q706=0,"",COUNTIF($Q$3:Q706,"&gt;0")),"")</f>
        <v>16</v>
      </c>
      <c r="S706" t="str">
        <f t="shared" si="152"/>
        <v/>
      </c>
      <c r="T706" t="str">
        <f t="shared" si="160"/>
        <v/>
      </c>
      <c r="U706">
        <f>IFERROR(IF(T706=0,"",COUNTIF($T$3:T706,"&gt;0")),"")</f>
        <v>0</v>
      </c>
      <c r="V706" t="str">
        <f t="shared" si="153"/>
        <v/>
      </c>
    </row>
    <row r="707" spans="1:22">
      <c r="A707" t="e">
        <f t="shared" ref="A707:A770" si="162">CONCATENATE(B707,C707,D707)</f>
        <v>#VALUE!</v>
      </c>
      <c r="B707" t="e">
        <f>Table4[[#This Row],[CATEGORY]]</f>
        <v>#VALUE!</v>
      </c>
      <c r="C707" t="e">
        <f>Table4[[#This Row],[SUB-CATEGORY]]</f>
        <v>#VALUE!</v>
      </c>
      <c r="D707">
        <f>'RJ ATTENDENCE SHEET'!C:C</f>
        <v>0</v>
      </c>
      <c r="E707" t="e">
        <f t="shared" si="161"/>
        <v>#VALUE!</v>
      </c>
      <c r="F707" t="str">
        <f t="shared" si="154"/>
        <v/>
      </c>
      <c r="G707">
        <f>IFERROR(IF(F707=0,"",COUNTIF($F$3:F707,"&gt;0")),"")</f>
        <v>16</v>
      </c>
      <c r="H707" t="str">
        <f t="shared" ref="H707:H770" si="163">IFERROR(VLOOKUP(INDEX($A:$A,MATCH(ROW(F705),G:G,0)),$A:$D,4,0),"")</f>
        <v/>
      </c>
      <c r="I707" t="str">
        <f t="shared" si="155"/>
        <v/>
      </c>
      <c r="J707">
        <f>IFERROR(IF(I707=0,"",COUNTIF($I$3:I707,"&gt;0")),"")</f>
        <v>34</v>
      </c>
      <c r="K707" t="str">
        <f t="shared" ref="K707:K770" si="164">IFERROR(VLOOKUP(INDEX($A:$A,MATCH(ROW(I705),J:J,0)),$A:$D,4,0),"")</f>
        <v/>
      </c>
      <c r="L707" t="str">
        <f t="shared" si="156"/>
        <v/>
      </c>
      <c r="M707" t="str">
        <f t="shared" si="157"/>
        <v/>
      </c>
      <c r="N707">
        <f>IFERROR(IF(M707=0,"",COUNTIF($M$3:M707,"&gt;0")),"")</f>
        <v>33</v>
      </c>
      <c r="O707" t="str">
        <f t="shared" ref="O707:O770" si="165">IFERROR(VLOOKUP(INDEX($A:$A,MATCH(ROW(M705),N:N,0)),$A:$D,4,0),"")</f>
        <v/>
      </c>
      <c r="P707" t="str">
        <f t="shared" si="158"/>
        <v/>
      </c>
      <c r="Q707" t="str">
        <f t="shared" si="159"/>
        <v/>
      </c>
      <c r="R707">
        <f>IFERROR(IF(Q707=0,"",COUNTIF($Q$3:Q707,"&gt;0")),"")</f>
        <v>16</v>
      </c>
      <c r="S707" t="str">
        <f t="shared" ref="S707:S770" si="166">IFERROR(VLOOKUP(INDEX($A:$A,MATCH(ROW(Q705),R:R,0)),$A:$D,4,0),"")</f>
        <v/>
      </c>
      <c r="T707" t="str">
        <f t="shared" si="160"/>
        <v/>
      </c>
      <c r="U707">
        <f>IFERROR(IF(T707=0,"",COUNTIF($T$3:T707,"&gt;0")),"")</f>
        <v>0</v>
      </c>
      <c r="V707" t="str">
        <f t="shared" ref="V707:V770" si="167">IFERROR(VLOOKUP(INDEX($A:$A,MATCH(ROW(T705),U:U,0)),$A:$D,4,0),"")</f>
        <v/>
      </c>
    </row>
    <row r="708" spans="1:22">
      <c r="A708" t="e">
        <f t="shared" si="162"/>
        <v>#VALUE!</v>
      </c>
      <c r="B708" t="e">
        <f>Table4[[#This Row],[CATEGORY]]</f>
        <v>#VALUE!</v>
      </c>
      <c r="C708" t="e">
        <f>Table4[[#This Row],[SUB-CATEGORY]]</f>
        <v>#VALUE!</v>
      </c>
      <c r="D708">
        <f>'RJ ATTENDENCE SHEET'!C:C</f>
        <v>0</v>
      </c>
      <c r="E708" t="e">
        <f t="shared" si="161"/>
        <v>#VALUE!</v>
      </c>
      <c r="F708" t="str">
        <f t="shared" ref="F708:F771" si="168">IFERROR(SEARCH("SALARYOFFICE",$A:$A),"")</f>
        <v/>
      </c>
      <c r="G708">
        <f>IFERROR(IF(F708=0,"",COUNTIF($F$3:F708,"&gt;0")),"")</f>
        <v>16</v>
      </c>
      <c r="H708" t="str">
        <f t="shared" si="163"/>
        <v/>
      </c>
      <c r="I708" t="str">
        <f t="shared" ref="I708:I771" si="169">IFERROR(SEARCH("WAGES",$A:$A),"")</f>
        <v/>
      </c>
      <c r="J708">
        <f>IFERROR(IF(I708=0,"",COUNTIF($I$3:I708,"&gt;0")),"")</f>
        <v>34</v>
      </c>
      <c r="K708" t="str">
        <f t="shared" si="164"/>
        <v/>
      </c>
      <c r="L708" t="str">
        <f t="shared" ref="L708:L771" si="170">IFERROR(VLOOKUP(K708,$D:$E,2,0),"")</f>
        <v/>
      </c>
      <c r="M708" t="str">
        <f t="shared" ref="M708:M771" si="171">IFERROR(SEARCH("CONTRACT",$A:$A),"")</f>
        <v/>
      </c>
      <c r="N708">
        <f>IFERROR(IF(M708=0,"",COUNTIF($M$3:M708,"&gt;0")),"")</f>
        <v>33</v>
      </c>
      <c r="O708" t="str">
        <f t="shared" si="165"/>
        <v/>
      </c>
      <c r="P708" t="str">
        <f t="shared" ref="P708:P771" si="172">IFERROR(VLOOKUP(O708,$D:$E,2,0),"")</f>
        <v/>
      </c>
      <c r="Q708" t="str">
        <f t="shared" ref="Q708:Q771" si="173">IFERROR(SEARCH("SALARY",$A:$A),"")</f>
        <v/>
      </c>
      <c r="R708">
        <f>IFERROR(IF(Q708=0,"",COUNTIF($Q$3:Q708,"&gt;0")),"")</f>
        <v>16</v>
      </c>
      <c r="S708" t="str">
        <f t="shared" si="166"/>
        <v/>
      </c>
      <c r="T708" t="str">
        <f t="shared" ref="T708:T771" si="174">IFERROR(SEARCH("OTHERS0",$A:$A),"")</f>
        <v/>
      </c>
      <c r="U708">
        <f>IFERROR(IF(T708=0,"",COUNTIF($T$3:T708,"&gt;0")),"")</f>
        <v>0</v>
      </c>
      <c r="V708" t="str">
        <f t="shared" si="167"/>
        <v/>
      </c>
    </row>
    <row r="709" spans="1:22">
      <c r="A709" t="e">
        <f t="shared" si="162"/>
        <v>#VALUE!</v>
      </c>
      <c r="B709" t="e">
        <f>Table4[[#This Row],[CATEGORY]]</f>
        <v>#VALUE!</v>
      </c>
      <c r="C709" t="e">
        <f>Table4[[#This Row],[SUB-CATEGORY]]</f>
        <v>#VALUE!</v>
      </c>
      <c r="D709">
        <f>'RJ ATTENDENCE SHEET'!C:C</f>
        <v>0</v>
      </c>
      <c r="E709" t="e">
        <f t="shared" si="161"/>
        <v>#VALUE!</v>
      </c>
      <c r="F709" t="str">
        <f t="shared" si="168"/>
        <v/>
      </c>
      <c r="G709">
        <f>IFERROR(IF(F709=0,"",COUNTIF($F$3:F709,"&gt;0")),"")</f>
        <v>16</v>
      </c>
      <c r="H709" t="str">
        <f t="shared" si="163"/>
        <v/>
      </c>
      <c r="I709" t="str">
        <f t="shared" si="169"/>
        <v/>
      </c>
      <c r="J709">
        <f>IFERROR(IF(I709=0,"",COUNTIF($I$3:I709,"&gt;0")),"")</f>
        <v>34</v>
      </c>
      <c r="K709" t="str">
        <f t="shared" si="164"/>
        <v/>
      </c>
      <c r="L709" t="str">
        <f t="shared" si="170"/>
        <v/>
      </c>
      <c r="M709" t="str">
        <f t="shared" si="171"/>
        <v/>
      </c>
      <c r="N709">
        <f>IFERROR(IF(M709=0,"",COUNTIF($M$3:M709,"&gt;0")),"")</f>
        <v>33</v>
      </c>
      <c r="O709" t="str">
        <f t="shared" si="165"/>
        <v/>
      </c>
      <c r="P709" t="str">
        <f t="shared" si="172"/>
        <v/>
      </c>
      <c r="Q709" t="str">
        <f t="shared" si="173"/>
        <v/>
      </c>
      <c r="R709">
        <f>IFERROR(IF(Q709=0,"",COUNTIF($Q$3:Q709,"&gt;0")),"")</f>
        <v>16</v>
      </c>
      <c r="S709" t="str">
        <f t="shared" si="166"/>
        <v/>
      </c>
      <c r="T709" t="str">
        <f t="shared" si="174"/>
        <v/>
      </c>
      <c r="U709">
        <f>IFERROR(IF(T709=0,"",COUNTIF($T$3:T709,"&gt;0")),"")</f>
        <v>0</v>
      </c>
      <c r="V709" t="str">
        <f t="shared" si="167"/>
        <v/>
      </c>
    </row>
    <row r="710" spans="1:22">
      <c r="A710" t="e">
        <f t="shared" si="162"/>
        <v>#VALUE!</v>
      </c>
      <c r="B710" t="e">
        <f>Table4[[#This Row],[CATEGORY]]</f>
        <v>#VALUE!</v>
      </c>
      <c r="C710" t="e">
        <f>Table4[[#This Row],[SUB-CATEGORY]]</f>
        <v>#VALUE!</v>
      </c>
      <c r="D710">
        <f>'RJ ATTENDENCE SHEET'!C:C</f>
        <v>0</v>
      </c>
      <c r="E710" t="e">
        <f t="shared" si="161"/>
        <v>#VALUE!</v>
      </c>
      <c r="F710" t="str">
        <f t="shared" si="168"/>
        <v/>
      </c>
      <c r="G710">
        <f>IFERROR(IF(F710=0,"",COUNTIF($F$3:F710,"&gt;0")),"")</f>
        <v>16</v>
      </c>
      <c r="H710" t="str">
        <f t="shared" si="163"/>
        <v/>
      </c>
      <c r="I710" t="str">
        <f t="shared" si="169"/>
        <v/>
      </c>
      <c r="J710">
        <f>IFERROR(IF(I710=0,"",COUNTIF($I$3:I710,"&gt;0")),"")</f>
        <v>34</v>
      </c>
      <c r="K710" t="str">
        <f t="shared" si="164"/>
        <v/>
      </c>
      <c r="L710" t="str">
        <f t="shared" si="170"/>
        <v/>
      </c>
      <c r="M710" t="str">
        <f t="shared" si="171"/>
        <v/>
      </c>
      <c r="N710">
        <f>IFERROR(IF(M710=0,"",COUNTIF($M$3:M710,"&gt;0")),"")</f>
        <v>33</v>
      </c>
      <c r="O710" t="str">
        <f t="shared" si="165"/>
        <v/>
      </c>
      <c r="P710" t="str">
        <f t="shared" si="172"/>
        <v/>
      </c>
      <c r="Q710" t="str">
        <f t="shared" si="173"/>
        <v/>
      </c>
      <c r="R710">
        <f>IFERROR(IF(Q710=0,"",COUNTIF($Q$3:Q710,"&gt;0")),"")</f>
        <v>16</v>
      </c>
      <c r="S710" t="str">
        <f t="shared" si="166"/>
        <v/>
      </c>
      <c r="T710" t="str">
        <f t="shared" si="174"/>
        <v/>
      </c>
      <c r="U710">
        <f>IFERROR(IF(T710=0,"",COUNTIF($T$3:T710,"&gt;0")),"")</f>
        <v>0</v>
      </c>
      <c r="V710" t="str">
        <f t="shared" si="167"/>
        <v/>
      </c>
    </row>
    <row r="711" spans="1:22">
      <c r="A711" t="e">
        <f t="shared" si="162"/>
        <v>#VALUE!</v>
      </c>
      <c r="B711" t="e">
        <f>Table4[[#This Row],[CATEGORY]]</f>
        <v>#VALUE!</v>
      </c>
      <c r="C711" t="e">
        <f>Table4[[#This Row],[SUB-CATEGORY]]</f>
        <v>#VALUE!</v>
      </c>
      <c r="D711">
        <f>'RJ ATTENDENCE SHEET'!C:C</f>
        <v>0</v>
      </c>
      <c r="E711" t="e">
        <f t="shared" si="161"/>
        <v>#VALUE!</v>
      </c>
      <c r="F711" t="str">
        <f t="shared" si="168"/>
        <v/>
      </c>
      <c r="G711">
        <f>IFERROR(IF(F711=0,"",COUNTIF($F$3:F711,"&gt;0")),"")</f>
        <v>16</v>
      </c>
      <c r="H711" t="str">
        <f t="shared" si="163"/>
        <v/>
      </c>
      <c r="I711" t="str">
        <f t="shared" si="169"/>
        <v/>
      </c>
      <c r="J711">
        <f>IFERROR(IF(I711=0,"",COUNTIF($I$3:I711,"&gt;0")),"")</f>
        <v>34</v>
      </c>
      <c r="K711" t="str">
        <f t="shared" si="164"/>
        <v/>
      </c>
      <c r="L711" t="str">
        <f t="shared" si="170"/>
        <v/>
      </c>
      <c r="M711" t="str">
        <f t="shared" si="171"/>
        <v/>
      </c>
      <c r="N711">
        <f>IFERROR(IF(M711=0,"",COUNTIF($M$3:M711,"&gt;0")),"")</f>
        <v>33</v>
      </c>
      <c r="O711" t="str">
        <f t="shared" si="165"/>
        <v/>
      </c>
      <c r="P711" t="str">
        <f t="shared" si="172"/>
        <v/>
      </c>
      <c r="Q711" t="str">
        <f t="shared" si="173"/>
        <v/>
      </c>
      <c r="R711">
        <f>IFERROR(IF(Q711=0,"",COUNTIF($Q$3:Q711,"&gt;0")),"")</f>
        <v>16</v>
      </c>
      <c r="S711" t="str">
        <f t="shared" si="166"/>
        <v/>
      </c>
      <c r="T711" t="str">
        <f t="shared" si="174"/>
        <v/>
      </c>
      <c r="U711">
        <f>IFERROR(IF(T711=0,"",COUNTIF($T$3:T711,"&gt;0")),"")</f>
        <v>0</v>
      </c>
      <c r="V711" t="str">
        <f t="shared" si="167"/>
        <v/>
      </c>
    </row>
    <row r="712" spans="1:22">
      <c r="A712" t="e">
        <f t="shared" si="162"/>
        <v>#VALUE!</v>
      </c>
      <c r="B712" t="e">
        <f>Table4[[#This Row],[CATEGORY]]</f>
        <v>#VALUE!</v>
      </c>
      <c r="C712" t="e">
        <f>Table4[[#This Row],[SUB-CATEGORY]]</f>
        <v>#VALUE!</v>
      </c>
      <c r="D712">
        <f>'RJ ATTENDENCE SHEET'!C:C</f>
        <v>0</v>
      </c>
      <c r="E712" t="e">
        <f t="shared" si="161"/>
        <v>#VALUE!</v>
      </c>
      <c r="F712" t="str">
        <f t="shared" si="168"/>
        <v/>
      </c>
      <c r="G712">
        <f>IFERROR(IF(F712=0,"",COUNTIF($F$3:F712,"&gt;0")),"")</f>
        <v>16</v>
      </c>
      <c r="H712" t="str">
        <f t="shared" si="163"/>
        <v/>
      </c>
      <c r="I712" t="str">
        <f t="shared" si="169"/>
        <v/>
      </c>
      <c r="J712">
        <f>IFERROR(IF(I712=0,"",COUNTIF($I$3:I712,"&gt;0")),"")</f>
        <v>34</v>
      </c>
      <c r="K712" t="str">
        <f t="shared" si="164"/>
        <v/>
      </c>
      <c r="L712" t="str">
        <f t="shared" si="170"/>
        <v/>
      </c>
      <c r="M712" t="str">
        <f t="shared" si="171"/>
        <v/>
      </c>
      <c r="N712">
        <f>IFERROR(IF(M712=0,"",COUNTIF($M$3:M712,"&gt;0")),"")</f>
        <v>33</v>
      </c>
      <c r="O712" t="str">
        <f t="shared" si="165"/>
        <v/>
      </c>
      <c r="P712" t="str">
        <f t="shared" si="172"/>
        <v/>
      </c>
      <c r="Q712" t="str">
        <f t="shared" si="173"/>
        <v/>
      </c>
      <c r="R712">
        <f>IFERROR(IF(Q712=0,"",COUNTIF($Q$3:Q712,"&gt;0")),"")</f>
        <v>16</v>
      </c>
      <c r="S712" t="str">
        <f t="shared" si="166"/>
        <v/>
      </c>
      <c r="T712" t="str">
        <f t="shared" si="174"/>
        <v/>
      </c>
      <c r="U712">
        <f>IFERROR(IF(T712=0,"",COUNTIF($T$3:T712,"&gt;0")),"")</f>
        <v>0</v>
      </c>
      <c r="V712" t="str">
        <f t="shared" si="167"/>
        <v/>
      </c>
    </row>
    <row r="713" spans="1:22">
      <c r="A713" t="e">
        <f t="shared" si="162"/>
        <v>#VALUE!</v>
      </c>
      <c r="B713" t="e">
        <f>Table4[[#This Row],[CATEGORY]]</f>
        <v>#VALUE!</v>
      </c>
      <c r="C713" t="e">
        <f>Table4[[#This Row],[SUB-CATEGORY]]</f>
        <v>#VALUE!</v>
      </c>
      <c r="D713">
        <f>'RJ ATTENDENCE SHEET'!C:C</f>
        <v>0</v>
      </c>
      <c r="E713" t="e">
        <f t="shared" si="161"/>
        <v>#VALUE!</v>
      </c>
      <c r="F713" t="str">
        <f t="shared" si="168"/>
        <v/>
      </c>
      <c r="G713">
        <f>IFERROR(IF(F713=0,"",COUNTIF($F$3:F713,"&gt;0")),"")</f>
        <v>16</v>
      </c>
      <c r="H713" t="str">
        <f t="shared" si="163"/>
        <v/>
      </c>
      <c r="I713" t="str">
        <f t="shared" si="169"/>
        <v/>
      </c>
      <c r="J713">
        <f>IFERROR(IF(I713=0,"",COUNTIF($I$3:I713,"&gt;0")),"")</f>
        <v>34</v>
      </c>
      <c r="K713" t="str">
        <f t="shared" si="164"/>
        <v/>
      </c>
      <c r="L713" t="str">
        <f t="shared" si="170"/>
        <v/>
      </c>
      <c r="M713" t="str">
        <f t="shared" si="171"/>
        <v/>
      </c>
      <c r="N713">
        <f>IFERROR(IF(M713=0,"",COUNTIF($M$3:M713,"&gt;0")),"")</f>
        <v>33</v>
      </c>
      <c r="O713" t="str">
        <f t="shared" si="165"/>
        <v/>
      </c>
      <c r="P713" t="str">
        <f t="shared" si="172"/>
        <v/>
      </c>
      <c r="Q713" t="str">
        <f t="shared" si="173"/>
        <v/>
      </c>
      <c r="R713">
        <f>IFERROR(IF(Q713=0,"",COUNTIF($Q$3:Q713,"&gt;0")),"")</f>
        <v>16</v>
      </c>
      <c r="S713" t="str">
        <f t="shared" si="166"/>
        <v/>
      </c>
      <c r="T713" t="str">
        <f t="shared" si="174"/>
        <v/>
      </c>
      <c r="U713">
        <f>IFERROR(IF(T713=0,"",COUNTIF($T$3:T713,"&gt;0")),"")</f>
        <v>0</v>
      </c>
      <c r="V713" t="str">
        <f t="shared" si="167"/>
        <v/>
      </c>
    </row>
    <row r="714" spans="1:22">
      <c r="A714" t="e">
        <f t="shared" si="162"/>
        <v>#VALUE!</v>
      </c>
      <c r="B714" t="e">
        <f>Table4[[#This Row],[CATEGORY]]</f>
        <v>#VALUE!</v>
      </c>
      <c r="C714" t="e">
        <f>Table4[[#This Row],[SUB-CATEGORY]]</f>
        <v>#VALUE!</v>
      </c>
      <c r="D714">
        <f>'RJ ATTENDENCE SHEET'!C:C</f>
        <v>0</v>
      </c>
      <c r="E714" t="e">
        <f t="shared" si="161"/>
        <v>#VALUE!</v>
      </c>
      <c r="F714" t="str">
        <f t="shared" si="168"/>
        <v/>
      </c>
      <c r="G714">
        <f>IFERROR(IF(F714=0,"",COUNTIF($F$3:F714,"&gt;0")),"")</f>
        <v>16</v>
      </c>
      <c r="H714" t="str">
        <f t="shared" si="163"/>
        <v/>
      </c>
      <c r="I714" t="str">
        <f t="shared" si="169"/>
        <v/>
      </c>
      <c r="J714">
        <f>IFERROR(IF(I714=0,"",COUNTIF($I$3:I714,"&gt;0")),"")</f>
        <v>34</v>
      </c>
      <c r="K714" t="str">
        <f t="shared" si="164"/>
        <v/>
      </c>
      <c r="L714" t="str">
        <f t="shared" si="170"/>
        <v/>
      </c>
      <c r="M714" t="str">
        <f t="shared" si="171"/>
        <v/>
      </c>
      <c r="N714">
        <f>IFERROR(IF(M714=0,"",COUNTIF($M$3:M714,"&gt;0")),"")</f>
        <v>33</v>
      </c>
      <c r="O714" t="str">
        <f t="shared" si="165"/>
        <v/>
      </c>
      <c r="P714" t="str">
        <f t="shared" si="172"/>
        <v/>
      </c>
      <c r="Q714" t="str">
        <f t="shared" si="173"/>
        <v/>
      </c>
      <c r="R714">
        <f>IFERROR(IF(Q714=0,"",COUNTIF($Q$3:Q714,"&gt;0")),"")</f>
        <v>16</v>
      </c>
      <c r="S714" t="str">
        <f t="shared" si="166"/>
        <v/>
      </c>
      <c r="T714" t="str">
        <f t="shared" si="174"/>
        <v/>
      </c>
      <c r="U714">
        <f>IFERROR(IF(T714=0,"",COUNTIF($T$3:T714,"&gt;0")),"")</f>
        <v>0</v>
      </c>
      <c r="V714" t="str">
        <f t="shared" si="167"/>
        <v/>
      </c>
    </row>
    <row r="715" spans="1:22">
      <c r="A715" t="e">
        <f t="shared" si="162"/>
        <v>#VALUE!</v>
      </c>
      <c r="B715" t="e">
        <f>Table4[[#This Row],[CATEGORY]]</f>
        <v>#VALUE!</v>
      </c>
      <c r="C715" t="e">
        <f>Table4[[#This Row],[SUB-CATEGORY]]</f>
        <v>#VALUE!</v>
      </c>
      <c r="D715">
        <f>'RJ ATTENDENCE SHEET'!C:C</f>
        <v>0</v>
      </c>
      <c r="E715" t="e">
        <f t="shared" si="161"/>
        <v>#VALUE!</v>
      </c>
      <c r="F715" t="str">
        <f t="shared" si="168"/>
        <v/>
      </c>
      <c r="G715">
        <f>IFERROR(IF(F715=0,"",COUNTIF($F$3:F715,"&gt;0")),"")</f>
        <v>16</v>
      </c>
      <c r="H715" t="str">
        <f t="shared" si="163"/>
        <v/>
      </c>
      <c r="I715" t="str">
        <f t="shared" si="169"/>
        <v/>
      </c>
      <c r="J715">
        <f>IFERROR(IF(I715=0,"",COUNTIF($I$3:I715,"&gt;0")),"")</f>
        <v>34</v>
      </c>
      <c r="K715" t="str">
        <f t="shared" si="164"/>
        <v/>
      </c>
      <c r="L715" t="str">
        <f t="shared" si="170"/>
        <v/>
      </c>
      <c r="M715" t="str">
        <f t="shared" si="171"/>
        <v/>
      </c>
      <c r="N715">
        <f>IFERROR(IF(M715=0,"",COUNTIF($M$3:M715,"&gt;0")),"")</f>
        <v>33</v>
      </c>
      <c r="O715" t="str">
        <f t="shared" si="165"/>
        <v/>
      </c>
      <c r="P715" t="str">
        <f t="shared" si="172"/>
        <v/>
      </c>
      <c r="Q715" t="str">
        <f t="shared" si="173"/>
        <v/>
      </c>
      <c r="R715">
        <f>IFERROR(IF(Q715=0,"",COUNTIF($Q$3:Q715,"&gt;0")),"")</f>
        <v>16</v>
      </c>
      <c r="S715" t="str">
        <f t="shared" si="166"/>
        <v/>
      </c>
      <c r="T715" t="str">
        <f t="shared" si="174"/>
        <v/>
      </c>
      <c r="U715">
        <f>IFERROR(IF(T715=0,"",COUNTIF($T$3:T715,"&gt;0")),"")</f>
        <v>0</v>
      </c>
      <c r="V715" t="str">
        <f t="shared" si="167"/>
        <v/>
      </c>
    </row>
    <row r="716" spans="1:22">
      <c r="A716" t="e">
        <f t="shared" si="162"/>
        <v>#VALUE!</v>
      </c>
      <c r="B716" t="e">
        <f>Table4[[#This Row],[CATEGORY]]</f>
        <v>#VALUE!</v>
      </c>
      <c r="C716" t="e">
        <f>Table4[[#This Row],[SUB-CATEGORY]]</f>
        <v>#VALUE!</v>
      </c>
      <c r="D716">
        <f>'RJ ATTENDENCE SHEET'!C:C</f>
        <v>0</v>
      </c>
      <c r="E716" t="e">
        <f t="shared" si="161"/>
        <v>#VALUE!</v>
      </c>
      <c r="F716" t="str">
        <f t="shared" si="168"/>
        <v/>
      </c>
      <c r="G716">
        <f>IFERROR(IF(F716=0,"",COUNTIF($F$3:F716,"&gt;0")),"")</f>
        <v>16</v>
      </c>
      <c r="H716" t="str">
        <f t="shared" si="163"/>
        <v/>
      </c>
      <c r="I716" t="str">
        <f t="shared" si="169"/>
        <v/>
      </c>
      <c r="J716">
        <f>IFERROR(IF(I716=0,"",COUNTIF($I$3:I716,"&gt;0")),"")</f>
        <v>34</v>
      </c>
      <c r="K716" t="str">
        <f t="shared" si="164"/>
        <v/>
      </c>
      <c r="L716" t="str">
        <f t="shared" si="170"/>
        <v/>
      </c>
      <c r="M716" t="str">
        <f t="shared" si="171"/>
        <v/>
      </c>
      <c r="N716">
        <f>IFERROR(IF(M716=0,"",COUNTIF($M$3:M716,"&gt;0")),"")</f>
        <v>33</v>
      </c>
      <c r="O716" t="str">
        <f t="shared" si="165"/>
        <v/>
      </c>
      <c r="P716" t="str">
        <f t="shared" si="172"/>
        <v/>
      </c>
      <c r="Q716" t="str">
        <f t="shared" si="173"/>
        <v/>
      </c>
      <c r="R716">
        <f>IFERROR(IF(Q716=0,"",COUNTIF($Q$3:Q716,"&gt;0")),"")</f>
        <v>16</v>
      </c>
      <c r="S716" t="str">
        <f t="shared" si="166"/>
        <v/>
      </c>
      <c r="T716" t="str">
        <f t="shared" si="174"/>
        <v/>
      </c>
      <c r="U716">
        <f>IFERROR(IF(T716=0,"",COUNTIF($T$3:T716,"&gt;0")),"")</f>
        <v>0</v>
      </c>
      <c r="V716" t="str">
        <f t="shared" si="167"/>
        <v/>
      </c>
    </row>
    <row r="717" spans="1:22">
      <c r="A717" t="e">
        <f t="shared" si="162"/>
        <v>#VALUE!</v>
      </c>
      <c r="B717" t="e">
        <f>Table4[[#This Row],[CATEGORY]]</f>
        <v>#VALUE!</v>
      </c>
      <c r="C717" t="e">
        <f>Table4[[#This Row],[SUB-CATEGORY]]</f>
        <v>#VALUE!</v>
      </c>
      <c r="D717">
        <f>'RJ ATTENDENCE SHEET'!C:C</f>
        <v>0</v>
      </c>
      <c r="E717" t="e">
        <f t="shared" si="161"/>
        <v>#VALUE!</v>
      </c>
      <c r="F717" t="str">
        <f t="shared" si="168"/>
        <v/>
      </c>
      <c r="G717">
        <f>IFERROR(IF(F717=0,"",COUNTIF($F$3:F717,"&gt;0")),"")</f>
        <v>16</v>
      </c>
      <c r="H717" t="str">
        <f t="shared" si="163"/>
        <v/>
      </c>
      <c r="I717" t="str">
        <f t="shared" si="169"/>
        <v/>
      </c>
      <c r="J717">
        <f>IFERROR(IF(I717=0,"",COUNTIF($I$3:I717,"&gt;0")),"")</f>
        <v>34</v>
      </c>
      <c r="K717" t="str">
        <f t="shared" si="164"/>
        <v/>
      </c>
      <c r="L717" t="str">
        <f t="shared" si="170"/>
        <v/>
      </c>
      <c r="M717" t="str">
        <f t="shared" si="171"/>
        <v/>
      </c>
      <c r="N717">
        <f>IFERROR(IF(M717=0,"",COUNTIF($M$3:M717,"&gt;0")),"")</f>
        <v>33</v>
      </c>
      <c r="O717" t="str">
        <f t="shared" si="165"/>
        <v/>
      </c>
      <c r="P717" t="str">
        <f t="shared" si="172"/>
        <v/>
      </c>
      <c r="Q717" t="str">
        <f t="shared" si="173"/>
        <v/>
      </c>
      <c r="R717">
        <f>IFERROR(IF(Q717=0,"",COUNTIF($Q$3:Q717,"&gt;0")),"")</f>
        <v>16</v>
      </c>
      <c r="S717" t="str">
        <f t="shared" si="166"/>
        <v/>
      </c>
      <c r="T717" t="str">
        <f t="shared" si="174"/>
        <v/>
      </c>
      <c r="U717">
        <f>IFERROR(IF(T717=0,"",COUNTIF($T$3:T717,"&gt;0")),"")</f>
        <v>0</v>
      </c>
      <c r="V717" t="str">
        <f t="shared" si="167"/>
        <v/>
      </c>
    </row>
    <row r="718" spans="1:22">
      <c r="A718" t="e">
        <f t="shared" si="162"/>
        <v>#VALUE!</v>
      </c>
      <c r="B718" t="e">
        <f>Table4[[#This Row],[CATEGORY]]</f>
        <v>#VALUE!</v>
      </c>
      <c r="C718" t="e">
        <f>Table4[[#This Row],[SUB-CATEGORY]]</f>
        <v>#VALUE!</v>
      </c>
      <c r="D718">
        <f>'RJ ATTENDENCE SHEET'!C:C</f>
        <v>0</v>
      </c>
      <c r="E718" t="e">
        <f t="shared" si="161"/>
        <v>#VALUE!</v>
      </c>
      <c r="F718" t="str">
        <f t="shared" si="168"/>
        <v/>
      </c>
      <c r="G718">
        <f>IFERROR(IF(F718=0,"",COUNTIF($F$3:F718,"&gt;0")),"")</f>
        <v>16</v>
      </c>
      <c r="H718" t="str">
        <f t="shared" si="163"/>
        <v/>
      </c>
      <c r="I718" t="str">
        <f t="shared" si="169"/>
        <v/>
      </c>
      <c r="J718">
        <f>IFERROR(IF(I718=0,"",COUNTIF($I$3:I718,"&gt;0")),"")</f>
        <v>34</v>
      </c>
      <c r="K718" t="str">
        <f t="shared" si="164"/>
        <v/>
      </c>
      <c r="L718" t="str">
        <f t="shared" si="170"/>
        <v/>
      </c>
      <c r="M718" t="str">
        <f t="shared" si="171"/>
        <v/>
      </c>
      <c r="N718">
        <f>IFERROR(IF(M718=0,"",COUNTIF($M$3:M718,"&gt;0")),"")</f>
        <v>33</v>
      </c>
      <c r="O718" t="str">
        <f t="shared" si="165"/>
        <v/>
      </c>
      <c r="P718" t="str">
        <f t="shared" si="172"/>
        <v/>
      </c>
      <c r="Q718" t="str">
        <f t="shared" si="173"/>
        <v/>
      </c>
      <c r="R718">
        <f>IFERROR(IF(Q718=0,"",COUNTIF($Q$3:Q718,"&gt;0")),"")</f>
        <v>16</v>
      </c>
      <c r="S718" t="str">
        <f t="shared" si="166"/>
        <v/>
      </c>
      <c r="T718" t="str">
        <f t="shared" si="174"/>
        <v/>
      </c>
      <c r="U718">
        <f>IFERROR(IF(T718=0,"",COUNTIF($T$3:T718,"&gt;0")),"")</f>
        <v>0</v>
      </c>
      <c r="V718" t="str">
        <f t="shared" si="167"/>
        <v/>
      </c>
    </row>
    <row r="719" spans="1:22">
      <c r="A719" t="e">
        <f t="shared" si="162"/>
        <v>#VALUE!</v>
      </c>
      <c r="B719" t="e">
        <f>Table4[[#This Row],[CATEGORY]]</f>
        <v>#VALUE!</v>
      </c>
      <c r="C719" t="e">
        <f>Table4[[#This Row],[SUB-CATEGORY]]</f>
        <v>#VALUE!</v>
      </c>
      <c r="D719">
        <f>'RJ ATTENDENCE SHEET'!C:C</f>
        <v>0</v>
      </c>
      <c r="E719" t="e">
        <f t="shared" si="161"/>
        <v>#VALUE!</v>
      </c>
      <c r="F719" t="str">
        <f t="shared" si="168"/>
        <v/>
      </c>
      <c r="G719">
        <f>IFERROR(IF(F719=0,"",COUNTIF($F$3:F719,"&gt;0")),"")</f>
        <v>16</v>
      </c>
      <c r="H719" t="str">
        <f t="shared" si="163"/>
        <v/>
      </c>
      <c r="I719" t="str">
        <f t="shared" si="169"/>
        <v/>
      </c>
      <c r="J719">
        <f>IFERROR(IF(I719=0,"",COUNTIF($I$3:I719,"&gt;0")),"")</f>
        <v>34</v>
      </c>
      <c r="K719" t="str">
        <f t="shared" si="164"/>
        <v/>
      </c>
      <c r="L719" t="str">
        <f t="shared" si="170"/>
        <v/>
      </c>
      <c r="M719" t="str">
        <f t="shared" si="171"/>
        <v/>
      </c>
      <c r="N719">
        <f>IFERROR(IF(M719=0,"",COUNTIF($M$3:M719,"&gt;0")),"")</f>
        <v>33</v>
      </c>
      <c r="O719" t="str">
        <f t="shared" si="165"/>
        <v/>
      </c>
      <c r="P719" t="str">
        <f t="shared" si="172"/>
        <v/>
      </c>
      <c r="Q719" t="str">
        <f t="shared" si="173"/>
        <v/>
      </c>
      <c r="R719">
        <f>IFERROR(IF(Q719=0,"",COUNTIF($Q$3:Q719,"&gt;0")),"")</f>
        <v>16</v>
      </c>
      <c r="S719" t="str">
        <f t="shared" si="166"/>
        <v/>
      </c>
      <c r="T719" t="str">
        <f t="shared" si="174"/>
        <v/>
      </c>
      <c r="U719">
        <f>IFERROR(IF(T719=0,"",COUNTIF($T$3:T719,"&gt;0")),"")</f>
        <v>0</v>
      </c>
      <c r="V719" t="str">
        <f t="shared" si="167"/>
        <v/>
      </c>
    </row>
    <row r="720" spans="1:22">
      <c r="A720" t="e">
        <f t="shared" si="162"/>
        <v>#VALUE!</v>
      </c>
      <c r="B720" t="e">
        <f>Table4[[#This Row],[CATEGORY]]</f>
        <v>#VALUE!</v>
      </c>
      <c r="C720" t="e">
        <f>Table4[[#This Row],[SUB-CATEGORY]]</f>
        <v>#VALUE!</v>
      </c>
      <c r="D720">
        <f>'RJ ATTENDENCE SHEET'!C:C</f>
        <v>0</v>
      </c>
      <c r="E720" t="e">
        <f t="shared" si="161"/>
        <v>#VALUE!</v>
      </c>
      <c r="F720" t="str">
        <f t="shared" si="168"/>
        <v/>
      </c>
      <c r="G720">
        <f>IFERROR(IF(F720=0,"",COUNTIF($F$3:F720,"&gt;0")),"")</f>
        <v>16</v>
      </c>
      <c r="H720" t="str">
        <f t="shared" si="163"/>
        <v/>
      </c>
      <c r="I720" t="str">
        <f t="shared" si="169"/>
        <v/>
      </c>
      <c r="J720">
        <f>IFERROR(IF(I720=0,"",COUNTIF($I$3:I720,"&gt;0")),"")</f>
        <v>34</v>
      </c>
      <c r="K720" t="str">
        <f t="shared" si="164"/>
        <v/>
      </c>
      <c r="L720" t="str">
        <f t="shared" si="170"/>
        <v/>
      </c>
      <c r="M720" t="str">
        <f t="shared" si="171"/>
        <v/>
      </c>
      <c r="N720">
        <f>IFERROR(IF(M720=0,"",COUNTIF($M$3:M720,"&gt;0")),"")</f>
        <v>33</v>
      </c>
      <c r="O720" t="str">
        <f t="shared" si="165"/>
        <v/>
      </c>
      <c r="P720" t="str">
        <f t="shared" si="172"/>
        <v/>
      </c>
      <c r="Q720" t="str">
        <f t="shared" si="173"/>
        <v/>
      </c>
      <c r="R720">
        <f>IFERROR(IF(Q720=0,"",COUNTIF($Q$3:Q720,"&gt;0")),"")</f>
        <v>16</v>
      </c>
      <c r="S720" t="str">
        <f t="shared" si="166"/>
        <v/>
      </c>
      <c r="T720" t="str">
        <f t="shared" si="174"/>
        <v/>
      </c>
      <c r="U720">
        <f>IFERROR(IF(T720=0,"",COUNTIF($T$3:T720,"&gt;0")),"")</f>
        <v>0</v>
      </c>
      <c r="V720" t="str">
        <f t="shared" si="167"/>
        <v/>
      </c>
    </row>
    <row r="721" spans="1:22">
      <c r="A721" t="e">
        <f t="shared" si="162"/>
        <v>#VALUE!</v>
      </c>
      <c r="B721" t="e">
        <f>Table4[[#This Row],[CATEGORY]]</f>
        <v>#VALUE!</v>
      </c>
      <c r="C721" t="e">
        <f>Table4[[#This Row],[SUB-CATEGORY]]</f>
        <v>#VALUE!</v>
      </c>
      <c r="D721">
        <f>'RJ ATTENDENCE SHEET'!C:C</f>
        <v>0</v>
      </c>
      <c r="E721" t="e">
        <f t="shared" si="161"/>
        <v>#VALUE!</v>
      </c>
      <c r="F721" t="str">
        <f t="shared" si="168"/>
        <v/>
      </c>
      <c r="G721">
        <f>IFERROR(IF(F721=0,"",COUNTIF($F$3:F721,"&gt;0")),"")</f>
        <v>16</v>
      </c>
      <c r="H721" t="str">
        <f t="shared" si="163"/>
        <v/>
      </c>
      <c r="I721" t="str">
        <f t="shared" si="169"/>
        <v/>
      </c>
      <c r="J721">
        <f>IFERROR(IF(I721=0,"",COUNTIF($I$3:I721,"&gt;0")),"")</f>
        <v>34</v>
      </c>
      <c r="K721" t="str">
        <f t="shared" si="164"/>
        <v/>
      </c>
      <c r="L721" t="str">
        <f t="shared" si="170"/>
        <v/>
      </c>
      <c r="M721" t="str">
        <f t="shared" si="171"/>
        <v/>
      </c>
      <c r="N721">
        <f>IFERROR(IF(M721=0,"",COUNTIF($M$3:M721,"&gt;0")),"")</f>
        <v>33</v>
      </c>
      <c r="O721" t="str">
        <f t="shared" si="165"/>
        <v/>
      </c>
      <c r="P721" t="str">
        <f t="shared" si="172"/>
        <v/>
      </c>
      <c r="Q721" t="str">
        <f t="shared" si="173"/>
        <v/>
      </c>
      <c r="R721">
        <f>IFERROR(IF(Q721=0,"",COUNTIF($Q$3:Q721,"&gt;0")),"")</f>
        <v>16</v>
      </c>
      <c r="S721" t="str">
        <f t="shared" si="166"/>
        <v/>
      </c>
      <c r="T721" t="str">
        <f t="shared" si="174"/>
        <v/>
      </c>
      <c r="U721">
        <f>IFERROR(IF(T721=0,"",COUNTIF($T$3:T721,"&gt;0")),"")</f>
        <v>0</v>
      </c>
      <c r="V721" t="str">
        <f t="shared" si="167"/>
        <v/>
      </c>
    </row>
    <row r="722" spans="1:22">
      <c r="A722" t="e">
        <f t="shared" si="162"/>
        <v>#VALUE!</v>
      </c>
      <c r="B722" t="e">
        <f>Table4[[#This Row],[CATEGORY]]</f>
        <v>#VALUE!</v>
      </c>
      <c r="C722" t="e">
        <f>Table4[[#This Row],[SUB-CATEGORY]]</f>
        <v>#VALUE!</v>
      </c>
      <c r="D722">
        <f>'RJ ATTENDENCE SHEET'!C:C</f>
        <v>0</v>
      </c>
      <c r="E722" t="e">
        <f t="shared" si="161"/>
        <v>#VALUE!</v>
      </c>
      <c r="F722" t="str">
        <f t="shared" si="168"/>
        <v/>
      </c>
      <c r="G722">
        <f>IFERROR(IF(F722=0,"",COUNTIF($F$3:F722,"&gt;0")),"")</f>
        <v>16</v>
      </c>
      <c r="H722" t="str">
        <f t="shared" si="163"/>
        <v/>
      </c>
      <c r="I722" t="str">
        <f t="shared" si="169"/>
        <v/>
      </c>
      <c r="J722">
        <f>IFERROR(IF(I722=0,"",COUNTIF($I$3:I722,"&gt;0")),"")</f>
        <v>34</v>
      </c>
      <c r="K722" t="str">
        <f t="shared" si="164"/>
        <v/>
      </c>
      <c r="L722" t="str">
        <f t="shared" si="170"/>
        <v/>
      </c>
      <c r="M722" t="str">
        <f t="shared" si="171"/>
        <v/>
      </c>
      <c r="N722">
        <f>IFERROR(IF(M722=0,"",COUNTIF($M$3:M722,"&gt;0")),"")</f>
        <v>33</v>
      </c>
      <c r="O722" t="str">
        <f t="shared" si="165"/>
        <v/>
      </c>
      <c r="P722" t="str">
        <f t="shared" si="172"/>
        <v/>
      </c>
      <c r="Q722" t="str">
        <f t="shared" si="173"/>
        <v/>
      </c>
      <c r="R722">
        <f>IFERROR(IF(Q722=0,"",COUNTIF($Q$3:Q722,"&gt;0")),"")</f>
        <v>16</v>
      </c>
      <c r="S722" t="str">
        <f t="shared" si="166"/>
        <v/>
      </c>
      <c r="T722" t="str">
        <f t="shared" si="174"/>
        <v/>
      </c>
      <c r="U722">
        <f>IFERROR(IF(T722=0,"",COUNTIF($T$3:T722,"&gt;0")),"")</f>
        <v>0</v>
      </c>
      <c r="V722" t="str">
        <f t="shared" si="167"/>
        <v/>
      </c>
    </row>
    <row r="723" spans="1:22">
      <c r="A723" t="e">
        <f t="shared" si="162"/>
        <v>#VALUE!</v>
      </c>
      <c r="B723" t="e">
        <f>Table4[[#This Row],[CATEGORY]]</f>
        <v>#VALUE!</v>
      </c>
      <c r="C723" t="e">
        <f>Table4[[#This Row],[SUB-CATEGORY]]</f>
        <v>#VALUE!</v>
      </c>
      <c r="D723">
        <f>'RJ ATTENDENCE SHEET'!C:C</f>
        <v>0</v>
      </c>
      <c r="E723" t="e">
        <f t="shared" si="161"/>
        <v>#VALUE!</v>
      </c>
      <c r="F723" t="str">
        <f t="shared" si="168"/>
        <v/>
      </c>
      <c r="G723">
        <f>IFERROR(IF(F723=0,"",COUNTIF($F$3:F723,"&gt;0")),"")</f>
        <v>16</v>
      </c>
      <c r="H723" t="str">
        <f t="shared" si="163"/>
        <v/>
      </c>
      <c r="I723" t="str">
        <f t="shared" si="169"/>
        <v/>
      </c>
      <c r="J723">
        <f>IFERROR(IF(I723=0,"",COUNTIF($I$3:I723,"&gt;0")),"")</f>
        <v>34</v>
      </c>
      <c r="K723" t="str">
        <f t="shared" si="164"/>
        <v/>
      </c>
      <c r="L723" t="str">
        <f t="shared" si="170"/>
        <v/>
      </c>
      <c r="M723" t="str">
        <f t="shared" si="171"/>
        <v/>
      </c>
      <c r="N723">
        <f>IFERROR(IF(M723=0,"",COUNTIF($M$3:M723,"&gt;0")),"")</f>
        <v>33</v>
      </c>
      <c r="O723" t="str">
        <f t="shared" si="165"/>
        <v/>
      </c>
      <c r="P723" t="str">
        <f t="shared" si="172"/>
        <v/>
      </c>
      <c r="Q723" t="str">
        <f t="shared" si="173"/>
        <v/>
      </c>
      <c r="R723">
        <f>IFERROR(IF(Q723=0,"",COUNTIF($Q$3:Q723,"&gt;0")),"")</f>
        <v>16</v>
      </c>
      <c r="S723" t="str">
        <f t="shared" si="166"/>
        <v/>
      </c>
      <c r="T723" t="str">
        <f t="shared" si="174"/>
        <v/>
      </c>
      <c r="U723">
        <f>IFERROR(IF(T723=0,"",COUNTIF($T$3:T723,"&gt;0")),"")</f>
        <v>0</v>
      </c>
      <c r="V723" t="str">
        <f t="shared" si="167"/>
        <v/>
      </c>
    </row>
    <row r="724" spans="1:22">
      <c r="A724" t="e">
        <f t="shared" si="162"/>
        <v>#VALUE!</v>
      </c>
      <c r="B724" t="e">
        <f>Table4[[#This Row],[CATEGORY]]</f>
        <v>#VALUE!</v>
      </c>
      <c r="C724" t="e">
        <f>Table4[[#This Row],[SUB-CATEGORY]]</f>
        <v>#VALUE!</v>
      </c>
      <c r="D724">
        <f>'RJ ATTENDENCE SHEET'!C:C</f>
        <v>0</v>
      </c>
      <c r="E724" t="e">
        <f t="shared" si="161"/>
        <v>#VALUE!</v>
      </c>
      <c r="F724" t="str">
        <f t="shared" si="168"/>
        <v/>
      </c>
      <c r="G724">
        <f>IFERROR(IF(F724=0,"",COUNTIF($F$3:F724,"&gt;0")),"")</f>
        <v>16</v>
      </c>
      <c r="H724" t="str">
        <f t="shared" si="163"/>
        <v/>
      </c>
      <c r="I724" t="str">
        <f t="shared" si="169"/>
        <v/>
      </c>
      <c r="J724">
        <f>IFERROR(IF(I724=0,"",COUNTIF($I$3:I724,"&gt;0")),"")</f>
        <v>34</v>
      </c>
      <c r="K724" t="str">
        <f t="shared" si="164"/>
        <v/>
      </c>
      <c r="L724" t="str">
        <f t="shared" si="170"/>
        <v/>
      </c>
      <c r="M724" t="str">
        <f t="shared" si="171"/>
        <v/>
      </c>
      <c r="N724">
        <f>IFERROR(IF(M724=0,"",COUNTIF($M$3:M724,"&gt;0")),"")</f>
        <v>33</v>
      </c>
      <c r="O724" t="str">
        <f t="shared" si="165"/>
        <v/>
      </c>
      <c r="P724" t="str">
        <f t="shared" si="172"/>
        <v/>
      </c>
      <c r="Q724" t="str">
        <f t="shared" si="173"/>
        <v/>
      </c>
      <c r="R724">
        <f>IFERROR(IF(Q724=0,"",COUNTIF($Q$3:Q724,"&gt;0")),"")</f>
        <v>16</v>
      </c>
      <c r="S724" t="str">
        <f t="shared" si="166"/>
        <v/>
      </c>
      <c r="T724" t="str">
        <f t="shared" si="174"/>
        <v/>
      </c>
      <c r="U724">
        <f>IFERROR(IF(T724=0,"",COUNTIF($T$3:T724,"&gt;0")),"")</f>
        <v>0</v>
      </c>
      <c r="V724" t="str">
        <f t="shared" si="167"/>
        <v/>
      </c>
    </row>
    <row r="725" spans="1:22">
      <c r="A725" t="e">
        <f t="shared" si="162"/>
        <v>#VALUE!</v>
      </c>
      <c r="B725" t="e">
        <f>Table4[[#This Row],[CATEGORY]]</f>
        <v>#VALUE!</v>
      </c>
      <c r="C725" t="e">
        <f>Table4[[#This Row],[SUB-CATEGORY]]</f>
        <v>#VALUE!</v>
      </c>
      <c r="D725">
        <f>'RJ ATTENDENCE SHEET'!C:C</f>
        <v>0</v>
      </c>
      <c r="E725" t="e">
        <f t="shared" si="161"/>
        <v>#VALUE!</v>
      </c>
      <c r="F725" t="str">
        <f t="shared" si="168"/>
        <v/>
      </c>
      <c r="G725">
        <f>IFERROR(IF(F725=0,"",COUNTIF($F$3:F725,"&gt;0")),"")</f>
        <v>16</v>
      </c>
      <c r="H725" t="str">
        <f t="shared" si="163"/>
        <v/>
      </c>
      <c r="I725" t="str">
        <f t="shared" si="169"/>
        <v/>
      </c>
      <c r="J725">
        <f>IFERROR(IF(I725=0,"",COUNTIF($I$3:I725,"&gt;0")),"")</f>
        <v>34</v>
      </c>
      <c r="K725" t="str">
        <f t="shared" si="164"/>
        <v/>
      </c>
      <c r="L725" t="str">
        <f t="shared" si="170"/>
        <v/>
      </c>
      <c r="M725" t="str">
        <f t="shared" si="171"/>
        <v/>
      </c>
      <c r="N725">
        <f>IFERROR(IF(M725=0,"",COUNTIF($M$3:M725,"&gt;0")),"")</f>
        <v>33</v>
      </c>
      <c r="O725" t="str">
        <f t="shared" si="165"/>
        <v/>
      </c>
      <c r="P725" t="str">
        <f t="shared" si="172"/>
        <v/>
      </c>
      <c r="Q725" t="str">
        <f t="shared" si="173"/>
        <v/>
      </c>
      <c r="R725">
        <f>IFERROR(IF(Q725=0,"",COUNTIF($Q$3:Q725,"&gt;0")),"")</f>
        <v>16</v>
      </c>
      <c r="S725" t="str">
        <f t="shared" si="166"/>
        <v/>
      </c>
      <c r="T725" t="str">
        <f t="shared" si="174"/>
        <v/>
      </c>
      <c r="U725">
        <f>IFERROR(IF(T725=0,"",COUNTIF($T$3:T725,"&gt;0")),"")</f>
        <v>0</v>
      </c>
      <c r="V725" t="str">
        <f t="shared" si="167"/>
        <v/>
      </c>
    </row>
    <row r="726" spans="1:22">
      <c r="A726" t="e">
        <f t="shared" si="162"/>
        <v>#VALUE!</v>
      </c>
      <c r="B726" t="e">
        <f>Table4[[#This Row],[CATEGORY]]</f>
        <v>#VALUE!</v>
      </c>
      <c r="C726" t="e">
        <f>Table4[[#This Row],[SUB-CATEGORY]]</f>
        <v>#VALUE!</v>
      </c>
      <c r="D726">
        <f>'RJ ATTENDENCE SHEET'!C:C</f>
        <v>0</v>
      </c>
      <c r="E726" t="e">
        <f t="shared" si="161"/>
        <v>#VALUE!</v>
      </c>
      <c r="F726" t="str">
        <f t="shared" si="168"/>
        <v/>
      </c>
      <c r="G726">
        <f>IFERROR(IF(F726=0,"",COUNTIF($F$3:F726,"&gt;0")),"")</f>
        <v>16</v>
      </c>
      <c r="H726" t="str">
        <f t="shared" si="163"/>
        <v/>
      </c>
      <c r="I726" t="str">
        <f t="shared" si="169"/>
        <v/>
      </c>
      <c r="J726">
        <f>IFERROR(IF(I726=0,"",COUNTIF($I$3:I726,"&gt;0")),"")</f>
        <v>34</v>
      </c>
      <c r="K726" t="str">
        <f t="shared" si="164"/>
        <v/>
      </c>
      <c r="L726" t="str">
        <f t="shared" si="170"/>
        <v/>
      </c>
      <c r="M726" t="str">
        <f t="shared" si="171"/>
        <v/>
      </c>
      <c r="N726">
        <f>IFERROR(IF(M726=0,"",COUNTIF($M$3:M726,"&gt;0")),"")</f>
        <v>33</v>
      </c>
      <c r="O726" t="str">
        <f t="shared" si="165"/>
        <v/>
      </c>
      <c r="P726" t="str">
        <f t="shared" si="172"/>
        <v/>
      </c>
      <c r="Q726" t="str">
        <f t="shared" si="173"/>
        <v/>
      </c>
      <c r="R726">
        <f>IFERROR(IF(Q726=0,"",COUNTIF($Q$3:Q726,"&gt;0")),"")</f>
        <v>16</v>
      </c>
      <c r="S726" t="str">
        <f t="shared" si="166"/>
        <v/>
      </c>
      <c r="T726" t="str">
        <f t="shared" si="174"/>
        <v/>
      </c>
      <c r="U726">
        <f>IFERROR(IF(T726=0,"",COUNTIF($T$3:T726,"&gt;0")),"")</f>
        <v>0</v>
      </c>
      <c r="V726" t="str">
        <f t="shared" si="167"/>
        <v/>
      </c>
    </row>
    <row r="727" spans="1:22">
      <c r="A727" t="e">
        <f t="shared" si="162"/>
        <v>#VALUE!</v>
      </c>
      <c r="B727" t="e">
        <f>Table4[[#This Row],[CATEGORY]]</f>
        <v>#VALUE!</v>
      </c>
      <c r="C727" t="e">
        <f>Table4[[#This Row],[SUB-CATEGORY]]</f>
        <v>#VALUE!</v>
      </c>
      <c r="D727">
        <f>'RJ ATTENDENCE SHEET'!C:C</f>
        <v>0</v>
      </c>
      <c r="E727" t="e">
        <f t="shared" si="161"/>
        <v>#VALUE!</v>
      </c>
      <c r="F727" t="str">
        <f t="shared" si="168"/>
        <v/>
      </c>
      <c r="G727">
        <f>IFERROR(IF(F727=0,"",COUNTIF($F$3:F727,"&gt;0")),"")</f>
        <v>16</v>
      </c>
      <c r="H727" t="str">
        <f t="shared" si="163"/>
        <v/>
      </c>
      <c r="I727" t="str">
        <f t="shared" si="169"/>
        <v/>
      </c>
      <c r="J727">
        <f>IFERROR(IF(I727=0,"",COUNTIF($I$3:I727,"&gt;0")),"")</f>
        <v>34</v>
      </c>
      <c r="K727" t="str">
        <f t="shared" si="164"/>
        <v/>
      </c>
      <c r="L727" t="str">
        <f t="shared" si="170"/>
        <v/>
      </c>
      <c r="M727" t="str">
        <f t="shared" si="171"/>
        <v/>
      </c>
      <c r="N727">
        <f>IFERROR(IF(M727=0,"",COUNTIF($M$3:M727,"&gt;0")),"")</f>
        <v>33</v>
      </c>
      <c r="O727" t="str">
        <f t="shared" si="165"/>
        <v/>
      </c>
      <c r="P727" t="str">
        <f t="shared" si="172"/>
        <v/>
      </c>
      <c r="Q727" t="str">
        <f t="shared" si="173"/>
        <v/>
      </c>
      <c r="R727">
        <f>IFERROR(IF(Q727=0,"",COUNTIF($Q$3:Q727,"&gt;0")),"")</f>
        <v>16</v>
      </c>
      <c r="S727" t="str">
        <f t="shared" si="166"/>
        <v/>
      </c>
      <c r="T727" t="str">
        <f t="shared" si="174"/>
        <v/>
      </c>
      <c r="U727">
        <f>IFERROR(IF(T727=0,"",COUNTIF($T$3:T727,"&gt;0")),"")</f>
        <v>0</v>
      </c>
      <c r="V727" t="str">
        <f t="shared" si="167"/>
        <v/>
      </c>
    </row>
    <row r="728" spans="1:22">
      <c r="A728" t="e">
        <f t="shared" si="162"/>
        <v>#VALUE!</v>
      </c>
      <c r="B728" t="e">
        <f>Table4[[#This Row],[CATEGORY]]</f>
        <v>#VALUE!</v>
      </c>
      <c r="C728" t="e">
        <f>Table4[[#This Row],[SUB-CATEGORY]]</f>
        <v>#VALUE!</v>
      </c>
      <c r="D728">
        <f>'RJ ATTENDENCE SHEET'!C:C</f>
        <v>0</v>
      </c>
      <c r="E728" t="e">
        <f t="shared" si="161"/>
        <v>#VALUE!</v>
      </c>
      <c r="F728" t="str">
        <f t="shared" si="168"/>
        <v/>
      </c>
      <c r="G728">
        <f>IFERROR(IF(F728=0,"",COUNTIF($F$3:F728,"&gt;0")),"")</f>
        <v>16</v>
      </c>
      <c r="H728" t="str">
        <f t="shared" si="163"/>
        <v/>
      </c>
      <c r="I728" t="str">
        <f t="shared" si="169"/>
        <v/>
      </c>
      <c r="J728">
        <f>IFERROR(IF(I728=0,"",COUNTIF($I$3:I728,"&gt;0")),"")</f>
        <v>34</v>
      </c>
      <c r="K728" t="str">
        <f t="shared" si="164"/>
        <v/>
      </c>
      <c r="L728" t="str">
        <f t="shared" si="170"/>
        <v/>
      </c>
      <c r="M728" t="str">
        <f t="shared" si="171"/>
        <v/>
      </c>
      <c r="N728">
        <f>IFERROR(IF(M728=0,"",COUNTIF($M$3:M728,"&gt;0")),"")</f>
        <v>33</v>
      </c>
      <c r="O728" t="str">
        <f t="shared" si="165"/>
        <v/>
      </c>
      <c r="P728" t="str">
        <f t="shared" si="172"/>
        <v/>
      </c>
      <c r="Q728" t="str">
        <f t="shared" si="173"/>
        <v/>
      </c>
      <c r="R728">
        <f>IFERROR(IF(Q728=0,"",COUNTIF($Q$3:Q728,"&gt;0")),"")</f>
        <v>16</v>
      </c>
      <c r="S728" t="str">
        <f t="shared" si="166"/>
        <v/>
      </c>
      <c r="T728" t="str">
        <f t="shared" si="174"/>
        <v/>
      </c>
      <c r="U728">
        <f>IFERROR(IF(T728=0,"",COUNTIF($T$3:T728,"&gt;0")),"")</f>
        <v>0</v>
      </c>
      <c r="V728" t="str">
        <f t="shared" si="167"/>
        <v/>
      </c>
    </row>
    <row r="729" spans="1:22">
      <c r="A729" t="e">
        <f t="shared" si="162"/>
        <v>#VALUE!</v>
      </c>
      <c r="B729" t="e">
        <f>Table4[[#This Row],[CATEGORY]]</f>
        <v>#VALUE!</v>
      </c>
      <c r="C729" t="e">
        <f>Table4[[#This Row],[SUB-CATEGORY]]</f>
        <v>#VALUE!</v>
      </c>
      <c r="D729">
        <f>'RJ ATTENDENCE SHEET'!C:C</f>
        <v>0</v>
      </c>
      <c r="E729" t="e">
        <f t="shared" si="161"/>
        <v>#VALUE!</v>
      </c>
      <c r="F729" t="str">
        <f t="shared" si="168"/>
        <v/>
      </c>
      <c r="G729">
        <f>IFERROR(IF(F729=0,"",COUNTIF($F$3:F729,"&gt;0")),"")</f>
        <v>16</v>
      </c>
      <c r="H729" t="str">
        <f t="shared" si="163"/>
        <v/>
      </c>
      <c r="I729" t="str">
        <f t="shared" si="169"/>
        <v/>
      </c>
      <c r="J729">
        <f>IFERROR(IF(I729=0,"",COUNTIF($I$3:I729,"&gt;0")),"")</f>
        <v>34</v>
      </c>
      <c r="K729" t="str">
        <f t="shared" si="164"/>
        <v/>
      </c>
      <c r="L729" t="str">
        <f t="shared" si="170"/>
        <v/>
      </c>
      <c r="M729" t="str">
        <f t="shared" si="171"/>
        <v/>
      </c>
      <c r="N729">
        <f>IFERROR(IF(M729=0,"",COUNTIF($M$3:M729,"&gt;0")),"")</f>
        <v>33</v>
      </c>
      <c r="O729" t="str">
        <f t="shared" si="165"/>
        <v/>
      </c>
      <c r="P729" t="str">
        <f t="shared" si="172"/>
        <v/>
      </c>
      <c r="Q729" t="str">
        <f t="shared" si="173"/>
        <v/>
      </c>
      <c r="R729">
        <f>IFERROR(IF(Q729=0,"",COUNTIF($Q$3:Q729,"&gt;0")),"")</f>
        <v>16</v>
      </c>
      <c r="S729" t="str">
        <f t="shared" si="166"/>
        <v/>
      </c>
      <c r="T729" t="str">
        <f t="shared" si="174"/>
        <v/>
      </c>
      <c r="U729">
        <f>IFERROR(IF(T729=0,"",COUNTIF($T$3:T729,"&gt;0")),"")</f>
        <v>0</v>
      </c>
      <c r="V729" t="str">
        <f t="shared" si="167"/>
        <v/>
      </c>
    </row>
    <row r="730" spans="1:22">
      <c r="A730" t="e">
        <f t="shared" si="162"/>
        <v>#VALUE!</v>
      </c>
      <c r="B730" t="e">
        <f>Table4[[#This Row],[CATEGORY]]</f>
        <v>#VALUE!</v>
      </c>
      <c r="C730" t="e">
        <f>Table4[[#This Row],[SUB-CATEGORY]]</f>
        <v>#VALUE!</v>
      </c>
      <c r="D730">
        <f>'RJ ATTENDENCE SHEET'!C:C</f>
        <v>0</v>
      </c>
      <c r="E730" t="e">
        <f t="shared" si="161"/>
        <v>#VALUE!</v>
      </c>
      <c r="F730" t="str">
        <f t="shared" si="168"/>
        <v/>
      </c>
      <c r="G730">
        <f>IFERROR(IF(F730=0,"",COUNTIF($F$3:F730,"&gt;0")),"")</f>
        <v>16</v>
      </c>
      <c r="H730" t="str">
        <f t="shared" si="163"/>
        <v/>
      </c>
      <c r="I730" t="str">
        <f t="shared" si="169"/>
        <v/>
      </c>
      <c r="J730">
        <f>IFERROR(IF(I730=0,"",COUNTIF($I$3:I730,"&gt;0")),"")</f>
        <v>34</v>
      </c>
      <c r="K730" t="str">
        <f t="shared" si="164"/>
        <v/>
      </c>
      <c r="L730" t="str">
        <f t="shared" si="170"/>
        <v/>
      </c>
      <c r="M730" t="str">
        <f t="shared" si="171"/>
        <v/>
      </c>
      <c r="N730">
        <f>IFERROR(IF(M730=0,"",COUNTIF($M$3:M730,"&gt;0")),"")</f>
        <v>33</v>
      </c>
      <c r="O730" t="str">
        <f t="shared" si="165"/>
        <v/>
      </c>
      <c r="P730" t="str">
        <f t="shared" si="172"/>
        <v/>
      </c>
      <c r="Q730" t="str">
        <f t="shared" si="173"/>
        <v/>
      </c>
      <c r="R730">
        <f>IFERROR(IF(Q730=0,"",COUNTIF($Q$3:Q730,"&gt;0")),"")</f>
        <v>16</v>
      </c>
      <c r="S730" t="str">
        <f t="shared" si="166"/>
        <v/>
      </c>
      <c r="T730" t="str">
        <f t="shared" si="174"/>
        <v/>
      </c>
      <c r="U730">
        <f>IFERROR(IF(T730=0,"",COUNTIF($T$3:T730,"&gt;0")),"")</f>
        <v>0</v>
      </c>
      <c r="V730" t="str">
        <f t="shared" si="167"/>
        <v/>
      </c>
    </row>
    <row r="731" spans="1:22">
      <c r="A731" t="e">
        <f t="shared" si="162"/>
        <v>#VALUE!</v>
      </c>
      <c r="B731" t="e">
        <f>Table4[[#This Row],[CATEGORY]]</f>
        <v>#VALUE!</v>
      </c>
      <c r="C731" t="e">
        <f>Table4[[#This Row],[SUB-CATEGORY]]</f>
        <v>#VALUE!</v>
      </c>
      <c r="D731">
        <f>'RJ ATTENDENCE SHEET'!C:C</f>
        <v>0</v>
      </c>
      <c r="E731" t="e">
        <f t="shared" si="161"/>
        <v>#VALUE!</v>
      </c>
      <c r="F731" t="str">
        <f t="shared" si="168"/>
        <v/>
      </c>
      <c r="G731">
        <f>IFERROR(IF(F731=0,"",COUNTIF($F$3:F731,"&gt;0")),"")</f>
        <v>16</v>
      </c>
      <c r="H731" t="str">
        <f t="shared" si="163"/>
        <v/>
      </c>
      <c r="I731" t="str">
        <f t="shared" si="169"/>
        <v/>
      </c>
      <c r="J731">
        <f>IFERROR(IF(I731=0,"",COUNTIF($I$3:I731,"&gt;0")),"")</f>
        <v>34</v>
      </c>
      <c r="K731" t="str">
        <f t="shared" si="164"/>
        <v/>
      </c>
      <c r="L731" t="str">
        <f t="shared" si="170"/>
        <v/>
      </c>
      <c r="M731" t="str">
        <f t="shared" si="171"/>
        <v/>
      </c>
      <c r="N731">
        <f>IFERROR(IF(M731=0,"",COUNTIF($M$3:M731,"&gt;0")),"")</f>
        <v>33</v>
      </c>
      <c r="O731" t="str">
        <f t="shared" si="165"/>
        <v/>
      </c>
      <c r="P731" t="str">
        <f t="shared" si="172"/>
        <v/>
      </c>
      <c r="Q731" t="str">
        <f t="shared" si="173"/>
        <v/>
      </c>
      <c r="R731">
        <f>IFERROR(IF(Q731=0,"",COUNTIF($Q$3:Q731,"&gt;0")),"")</f>
        <v>16</v>
      </c>
      <c r="S731" t="str">
        <f t="shared" si="166"/>
        <v/>
      </c>
      <c r="T731" t="str">
        <f t="shared" si="174"/>
        <v/>
      </c>
      <c r="U731">
        <f>IFERROR(IF(T731=0,"",COUNTIF($T$3:T731,"&gt;0")),"")</f>
        <v>0</v>
      </c>
      <c r="V731" t="str">
        <f t="shared" si="167"/>
        <v/>
      </c>
    </row>
    <row r="732" spans="1:22">
      <c r="A732" t="e">
        <f t="shared" si="162"/>
        <v>#VALUE!</v>
      </c>
      <c r="B732" t="e">
        <f>Table4[[#This Row],[CATEGORY]]</f>
        <v>#VALUE!</v>
      </c>
      <c r="C732" t="e">
        <f>Table4[[#This Row],[SUB-CATEGORY]]</f>
        <v>#VALUE!</v>
      </c>
      <c r="D732">
        <f>'RJ ATTENDENCE SHEET'!C:C</f>
        <v>0</v>
      </c>
      <c r="E732" t="e">
        <f t="shared" si="161"/>
        <v>#VALUE!</v>
      </c>
      <c r="F732" t="str">
        <f t="shared" si="168"/>
        <v/>
      </c>
      <c r="G732">
        <f>IFERROR(IF(F732=0,"",COUNTIF($F$3:F732,"&gt;0")),"")</f>
        <v>16</v>
      </c>
      <c r="H732" t="str">
        <f t="shared" si="163"/>
        <v/>
      </c>
      <c r="I732" t="str">
        <f t="shared" si="169"/>
        <v/>
      </c>
      <c r="J732">
        <f>IFERROR(IF(I732=0,"",COUNTIF($I$3:I732,"&gt;0")),"")</f>
        <v>34</v>
      </c>
      <c r="K732" t="str">
        <f t="shared" si="164"/>
        <v/>
      </c>
      <c r="L732" t="str">
        <f t="shared" si="170"/>
        <v/>
      </c>
      <c r="M732" t="str">
        <f t="shared" si="171"/>
        <v/>
      </c>
      <c r="N732">
        <f>IFERROR(IF(M732=0,"",COUNTIF($M$3:M732,"&gt;0")),"")</f>
        <v>33</v>
      </c>
      <c r="O732" t="str">
        <f t="shared" si="165"/>
        <v/>
      </c>
      <c r="P732" t="str">
        <f t="shared" si="172"/>
        <v/>
      </c>
      <c r="Q732" t="str">
        <f t="shared" si="173"/>
        <v/>
      </c>
      <c r="R732">
        <f>IFERROR(IF(Q732=0,"",COUNTIF($Q$3:Q732,"&gt;0")),"")</f>
        <v>16</v>
      </c>
      <c r="S732" t="str">
        <f t="shared" si="166"/>
        <v/>
      </c>
      <c r="T732" t="str">
        <f t="shared" si="174"/>
        <v/>
      </c>
      <c r="U732">
        <f>IFERROR(IF(T732=0,"",COUNTIF($T$3:T732,"&gt;0")),"")</f>
        <v>0</v>
      </c>
      <c r="V732" t="str">
        <f t="shared" si="167"/>
        <v/>
      </c>
    </row>
    <row r="733" spans="1:22">
      <c r="A733" t="e">
        <f t="shared" si="162"/>
        <v>#VALUE!</v>
      </c>
      <c r="B733" t="e">
        <f>Table4[[#This Row],[CATEGORY]]</f>
        <v>#VALUE!</v>
      </c>
      <c r="C733" t="e">
        <f>Table4[[#This Row],[SUB-CATEGORY]]</f>
        <v>#VALUE!</v>
      </c>
      <c r="D733">
        <f>'RJ ATTENDENCE SHEET'!C:C</f>
        <v>0</v>
      </c>
      <c r="E733" t="e">
        <f t="shared" si="161"/>
        <v>#VALUE!</v>
      </c>
      <c r="F733" t="str">
        <f t="shared" si="168"/>
        <v/>
      </c>
      <c r="G733">
        <f>IFERROR(IF(F733=0,"",COUNTIF($F$3:F733,"&gt;0")),"")</f>
        <v>16</v>
      </c>
      <c r="H733" t="str">
        <f t="shared" si="163"/>
        <v/>
      </c>
      <c r="I733" t="str">
        <f t="shared" si="169"/>
        <v/>
      </c>
      <c r="J733">
        <f>IFERROR(IF(I733=0,"",COUNTIF($I$3:I733,"&gt;0")),"")</f>
        <v>34</v>
      </c>
      <c r="K733" t="str">
        <f t="shared" si="164"/>
        <v/>
      </c>
      <c r="L733" t="str">
        <f t="shared" si="170"/>
        <v/>
      </c>
      <c r="M733" t="str">
        <f t="shared" si="171"/>
        <v/>
      </c>
      <c r="N733">
        <f>IFERROR(IF(M733=0,"",COUNTIF($M$3:M733,"&gt;0")),"")</f>
        <v>33</v>
      </c>
      <c r="O733" t="str">
        <f t="shared" si="165"/>
        <v/>
      </c>
      <c r="P733" t="str">
        <f t="shared" si="172"/>
        <v/>
      </c>
      <c r="Q733" t="str">
        <f t="shared" si="173"/>
        <v/>
      </c>
      <c r="R733">
        <f>IFERROR(IF(Q733=0,"",COUNTIF($Q$3:Q733,"&gt;0")),"")</f>
        <v>16</v>
      </c>
      <c r="S733" t="str">
        <f t="shared" si="166"/>
        <v/>
      </c>
      <c r="T733" t="str">
        <f t="shared" si="174"/>
        <v/>
      </c>
      <c r="U733">
        <f>IFERROR(IF(T733=0,"",COUNTIF($T$3:T733,"&gt;0")),"")</f>
        <v>0</v>
      </c>
      <c r="V733" t="str">
        <f t="shared" si="167"/>
        <v/>
      </c>
    </row>
    <row r="734" spans="1:22">
      <c r="A734" t="e">
        <f t="shared" si="162"/>
        <v>#VALUE!</v>
      </c>
      <c r="B734" t="e">
        <f>Table4[[#This Row],[CATEGORY]]</f>
        <v>#VALUE!</v>
      </c>
      <c r="C734" t="e">
        <f>Table4[[#This Row],[SUB-CATEGORY]]</f>
        <v>#VALUE!</v>
      </c>
      <c r="D734">
        <f>'RJ ATTENDENCE SHEET'!C:C</f>
        <v>0</v>
      </c>
      <c r="E734" t="e">
        <f t="shared" si="161"/>
        <v>#VALUE!</v>
      </c>
      <c r="F734" t="str">
        <f t="shared" si="168"/>
        <v/>
      </c>
      <c r="G734">
        <f>IFERROR(IF(F734=0,"",COUNTIF($F$3:F734,"&gt;0")),"")</f>
        <v>16</v>
      </c>
      <c r="H734" t="str">
        <f t="shared" si="163"/>
        <v/>
      </c>
      <c r="I734" t="str">
        <f t="shared" si="169"/>
        <v/>
      </c>
      <c r="J734">
        <f>IFERROR(IF(I734=0,"",COUNTIF($I$3:I734,"&gt;0")),"")</f>
        <v>34</v>
      </c>
      <c r="K734" t="str">
        <f t="shared" si="164"/>
        <v/>
      </c>
      <c r="L734" t="str">
        <f t="shared" si="170"/>
        <v/>
      </c>
      <c r="M734" t="str">
        <f t="shared" si="171"/>
        <v/>
      </c>
      <c r="N734">
        <f>IFERROR(IF(M734=0,"",COUNTIF($M$3:M734,"&gt;0")),"")</f>
        <v>33</v>
      </c>
      <c r="O734" t="str">
        <f t="shared" si="165"/>
        <v/>
      </c>
      <c r="P734" t="str">
        <f t="shared" si="172"/>
        <v/>
      </c>
      <c r="Q734" t="str">
        <f t="shared" si="173"/>
        <v/>
      </c>
      <c r="R734">
        <f>IFERROR(IF(Q734=0,"",COUNTIF($Q$3:Q734,"&gt;0")),"")</f>
        <v>16</v>
      </c>
      <c r="S734" t="str">
        <f t="shared" si="166"/>
        <v/>
      </c>
      <c r="T734" t="str">
        <f t="shared" si="174"/>
        <v/>
      </c>
      <c r="U734">
        <f>IFERROR(IF(T734=0,"",COUNTIF($T$3:T734,"&gt;0")),"")</f>
        <v>0</v>
      </c>
      <c r="V734" t="str">
        <f t="shared" si="167"/>
        <v/>
      </c>
    </row>
    <row r="735" spans="1:22">
      <c r="A735" t="e">
        <f t="shared" si="162"/>
        <v>#VALUE!</v>
      </c>
      <c r="B735" t="e">
        <f>Table4[[#This Row],[CATEGORY]]</f>
        <v>#VALUE!</v>
      </c>
      <c r="C735" t="e">
        <f>Table4[[#This Row],[SUB-CATEGORY]]</f>
        <v>#VALUE!</v>
      </c>
      <c r="D735">
        <f>'RJ ATTENDENCE SHEET'!C:C</f>
        <v>0</v>
      </c>
      <c r="E735" t="e">
        <f t="shared" si="161"/>
        <v>#VALUE!</v>
      </c>
      <c r="F735" t="str">
        <f t="shared" si="168"/>
        <v/>
      </c>
      <c r="G735">
        <f>IFERROR(IF(F735=0,"",COUNTIF($F$3:F735,"&gt;0")),"")</f>
        <v>16</v>
      </c>
      <c r="H735" t="str">
        <f t="shared" si="163"/>
        <v/>
      </c>
      <c r="I735" t="str">
        <f t="shared" si="169"/>
        <v/>
      </c>
      <c r="J735">
        <f>IFERROR(IF(I735=0,"",COUNTIF($I$3:I735,"&gt;0")),"")</f>
        <v>34</v>
      </c>
      <c r="K735" t="str">
        <f t="shared" si="164"/>
        <v/>
      </c>
      <c r="L735" t="str">
        <f t="shared" si="170"/>
        <v/>
      </c>
      <c r="M735" t="str">
        <f t="shared" si="171"/>
        <v/>
      </c>
      <c r="N735">
        <f>IFERROR(IF(M735=0,"",COUNTIF($M$3:M735,"&gt;0")),"")</f>
        <v>33</v>
      </c>
      <c r="O735" t="str">
        <f t="shared" si="165"/>
        <v/>
      </c>
      <c r="P735" t="str">
        <f t="shared" si="172"/>
        <v/>
      </c>
      <c r="Q735" t="str">
        <f t="shared" si="173"/>
        <v/>
      </c>
      <c r="R735">
        <f>IFERROR(IF(Q735=0,"",COUNTIF($Q$3:Q735,"&gt;0")),"")</f>
        <v>16</v>
      </c>
      <c r="S735" t="str">
        <f t="shared" si="166"/>
        <v/>
      </c>
      <c r="T735" t="str">
        <f t="shared" si="174"/>
        <v/>
      </c>
      <c r="U735">
        <f>IFERROR(IF(T735=0,"",COUNTIF($T$3:T735,"&gt;0")),"")</f>
        <v>0</v>
      </c>
      <c r="V735" t="str">
        <f t="shared" si="167"/>
        <v/>
      </c>
    </row>
    <row r="736" spans="1:22">
      <c r="A736" t="e">
        <f t="shared" si="162"/>
        <v>#VALUE!</v>
      </c>
      <c r="B736" t="e">
        <f>Table4[[#This Row],[CATEGORY]]</f>
        <v>#VALUE!</v>
      </c>
      <c r="C736" t="e">
        <f>Table4[[#This Row],[SUB-CATEGORY]]</f>
        <v>#VALUE!</v>
      </c>
      <c r="D736">
        <f>'RJ ATTENDENCE SHEET'!C:C</f>
        <v>0</v>
      </c>
      <c r="E736" t="e">
        <f t="shared" si="161"/>
        <v>#VALUE!</v>
      </c>
      <c r="F736" t="str">
        <f t="shared" si="168"/>
        <v/>
      </c>
      <c r="G736">
        <f>IFERROR(IF(F736=0,"",COUNTIF($F$3:F736,"&gt;0")),"")</f>
        <v>16</v>
      </c>
      <c r="H736" t="str">
        <f t="shared" si="163"/>
        <v/>
      </c>
      <c r="I736" t="str">
        <f t="shared" si="169"/>
        <v/>
      </c>
      <c r="J736">
        <f>IFERROR(IF(I736=0,"",COUNTIF($I$3:I736,"&gt;0")),"")</f>
        <v>34</v>
      </c>
      <c r="K736" t="str">
        <f t="shared" si="164"/>
        <v/>
      </c>
      <c r="L736" t="str">
        <f t="shared" si="170"/>
        <v/>
      </c>
      <c r="M736" t="str">
        <f t="shared" si="171"/>
        <v/>
      </c>
      <c r="N736">
        <f>IFERROR(IF(M736=0,"",COUNTIF($M$3:M736,"&gt;0")),"")</f>
        <v>33</v>
      </c>
      <c r="O736" t="str">
        <f t="shared" si="165"/>
        <v/>
      </c>
      <c r="P736" t="str">
        <f t="shared" si="172"/>
        <v/>
      </c>
      <c r="Q736" t="str">
        <f t="shared" si="173"/>
        <v/>
      </c>
      <c r="R736">
        <f>IFERROR(IF(Q736=0,"",COUNTIF($Q$3:Q736,"&gt;0")),"")</f>
        <v>16</v>
      </c>
      <c r="S736" t="str">
        <f t="shared" si="166"/>
        <v/>
      </c>
      <c r="T736" t="str">
        <f t="shared" si="174"/>
        <v/>
      </c>
      <c r="U736">
        <f>IFERROR(IF(T736=0,"",COUNTIF($T$3:T736,"&gt;0")),"")</f>
        <v>0</v>
      </c>
      <c r="V736" t="str">
        <f t="shared" si="167"/>
        <v/>
      </c>
    </row>
    <row r="737" spans="1:22">
      <c r="A737" t="e">
        <f t="shared" si="162"/>
        <v>#VALUE!</v>
      </c>
      <c r="B737" t="e">
        <f>Table4[[#This Row],[CATEGORY]]</f>
        <v>#VALUE!</v>
      </c>
      <c r="C737" t="e">
        <f>Table4[[#This Row],[SUB-CATEGORY]]</f>
        <v>#VALUE!</v>
      </c>
      <c r="D737">
        <f>'RJ ATTENDENCE SHEET'!C:C</f>
        <v>0</v>
      </c>
      <c r="E737" t="e">
        <f t="shared" si="161"/>
        <v>#VALUE!</v>
      </c>
      <c r="F737" t="str">
        <f t="shared" si="168"/>
        <v/>
      </c>
      <c r="G737">
        <f>IFERROR(IF(F737=0,"",COUNTIF($F$3:F737,"&gt;0")),"")</f>
        <v>16</v>
      </c>
      <c r="H737" t="str">
        <f t="shared" si="163"/>
        <v/>
      </c>
      <c r="I737" t="str">
        <f t="shared" si="169"/>
        <v/>
      </c>
      <c r="J737">
        <f>IFERROR(IF(I737=0,"",COUNTIF($I$3:I737,"&gt;0")),"")</f>
        <v>34</v>
      </c>
      <c r="K737" t="str">
        <f t="shared" si="164"/>
        <v/>
      </c>
      <c r="L737" t="str">
        <f t="shared" si="170"/>
        <v/>
      </c>
      <c r="M737" t="str">
        <f t="shared" si="171"/>
        <v/>
      </c>
      <c r="N737">
        <f>IFERROR(IF(M737=0,"",COUNTIF($M$3:M737,"&gt;0")),"")</f>
        <v>33</v>
      </c>
      <c r="O737" t="str">
        <f t="shared" si="165"/>
        <v/>
      </c>
      <c r="P737" t="str">
        <f t="shared" si="172"/>
        <v/>
      </c>
      <c r="Q737" t="str">
        <f t="shared" si="173"/>
        <v/>
      </c>
      <c r="R737">
        <f>IFERROR(IF(Q737=0,"",COUNTIF($Q$3:Q737,"&gt;0")),"")</f>
        <v>16</v>
      </c>
      <c r="S737" t="str">
        <f t="shared" si="166"/>
        <v/>
      </c>
      <c r="T737" t="str">
        <f t="shared" si="174"/>
        <v/>
      </c>
      <c r="U737">
        <f>IFERROR(IF(T737=0,"",COUNTIF($T$3:T737,"&gt;0")),"")</f>
        <v>0</v>
      </c>
      <c r="V737" t="str">
        <f t="shared" si="167"/>
        <v/>
      </c>
    </row>
    <row r="738" spans="1:22">
      <c r="A738" t="e">
        <f t="shared" si="162"/>
        <v>#VALUE!</v>
      </c>
      <c r="B738" t="e">
        <f>Table4[[#This Row],[CATEGORY]]</f>
        <v>#VALUE!</v>
      </c>
      <c r="C738" t="e">
        <f>Table4[[#This Row],[SUB-CATEGORY]]</f>
        <v>#VALUE!</v>
      </c>
      <c r="D738">
        <f>'RJ ATTENDENCE SHEET'!C:C</f>
        <v>0</v>
      </c>
      <c r="E738" t="e">
        <f t="shared" si="161"/>
        <v>#VALUE!</v>
      </c>
      <c r="F738" t="str">
        <f t="shared" si="168"/>
        <v/>
      </c>
      <c r="G738">
        <f>IFERROR(IF(F738=0,"",COUNTIF($F$3:F738,"&gt;0")),"")</f>
        <v>16</v>
      </c>
      <c r="H738" t="str">
        <f t="shared" si="163"/>
        <v/>
      </c>
      <c r="I738" t="str">
        <f t="shared" si="169"/>
        <v/>
      </c>
      <c r="J738">
        <f>IFERROR(IF(I738=0,"",COUNTIF($I$3:I738,"&gt;0")),"")</f>
        <v>34</v>
      </c>
      <c r="K738" t="str">
        <f t="shared" si="164"/>
        <v/>
      </c>
      <c r="L738" t="str">
        <f t="shared" si="170"/>
        <v/>
      </c>
      <c r="M738" t="str">
        <f t="shared" si="171"/>
        <v/>
      </c>
      <c r="N738">
        <f>IFERROR(IF(M738=0,"",COUNTIF($M$3:M738,"&gt;0")),"")</f>
        <v>33</v>
      </c>
      <c r="O738" t="str">
        <f t="shared" si="165"/>
        <v/>
      </c>
      <c r="P738" t="str">
        <f t="shared" si="172"/>
        <v/>
      </c>
      <c r="Q738" t="str">
        <f t="shared" si="173"/>
        <v/>
      </c>
      <c r="R738">
        <f>IFERROR(IF(Q738=0,"",COUNTIF($Q$3:Q738,"&gt;0")),"")</f>
        <v>16</v>
      </c>
      <c r="S738" t="str">
        <f t="shared" si="166"/>
        <v/>
      </c>
      <c r="T738" t="str">
        <f t="shared" si="174"/>
        <v/>
      </c>
      <c r="U738">
        <f>IFERROR(IF(T738=0,"",COUNTIF($T$3:T738,"&gt;0")),"")</f>
        <v>0</v>
      </c>
      <c r="V738" t="str">
        <f t="shared" si="167"/>
        <v/>
      </c>
    </row>
    <row r="739" spans="1:22">
      <c r="A739" t="e">
        <f t="shared" si="162"/>
        <v>#VALUE!</v>
      </c>
      <c r="B739" t="e">
        <f>Table4[[#This Row],[CATEGORY]]</f>
        <v>#VALUE!</v>
      </c>
      <c r="C739" t="e">
        <f>Table4[[#This Row],[SUB-CATEGORY]]</f>
        <v>#VALUE!</v>
      </c>
      <c r="D739">
        <f>'RJ ATTENDENCE SHEET'!C:C</f>
        <v>0</v>
      </c>
      <c r="E739" t="e">
        <f t="shared" si="161"/>
        <v>#VALUE!</v>
      </c>
      <c r="F739" t="str">
        <f t="shared" si="168"/>
        <v/>
      </c>
      <c r="G739">
        <f>IFERROR(IF(F739=0,"",COUNTIF($F$3:F739,"&gt;0")),"")</f>
        <v>16</v>
      </c>
      <c r="H739" t="str">
        <f t="shared" si="163"/>
        <v/>
      </c>
      <c r="I739" t="str">
        <f t="shared" si="169"/>
        <v/>
      </c>
      <c r="J739">
        <f>IFERROR(IF(I739=0,"",COUNTIF($I$3:I739,"&gt;0")),"")</f>
        <v>34</v>
      </c>
      <c r="K739" t="str">
        <f t="shared" si="164"/>
        <v/>
      </c>
      <c r="L739" t="str">
        <f t="shared" si="170"/>
        <v/>
      </c>
      <c r="M739" t="str">
        <f t="shared" si="171"/>
        <v/>
      </c>
      <c r="N739">
        <f>IFERROR(IF(M739=0,"",COUNTIF($M$3:M739,"&gt;0")),"")</f>
        <v>33</v>
      </c>
      <c r="O739" t="str">
        <f t="shared" si="165"/>
        <v/>
      </c>
      <c r="P739" t="str">
        <f t="shared" si="172"/>
        <v/>
      </c>
      <c r="Q739" t="str">
        <f t="shared" si="173"/>
        <v/>
      </c>
      <c r="R739">
        <f>IFERROR(IF(Q739=0,"",COUNTIF($Q$3:Q739,"&gt;0")),"")</f>
        <v>16</v>
      </c>
      <c r="S739" t="str">
        <f t="shared" si="166"/>
        <v/>
      </c>
      <c r="T739" t="str">
        <f t="shared" si="174"/>
        <v/>
      </c>
      <c r="U739">
        <f>IFERROR(IF(T739=0,"",COUNTIF($T$3:T739,"&gt;0")),"")</f>
        <v>0</v>
      </c>
      <c r="V739" t="str">
        <f t="shared" si="167"/>
        <v/>
      </c>
    </row>
    <row r="740" spans="1:22">
      <c r="A740" t="e">
        <f t="shared" si="162"/>
        <v>#VALUE!</v>
      </c>
      <c r="B740" t="e">
        <f>Table4[[#This Row],[CATEGORY]]</f>
        <v>#VALUE!</v>
      </c>
      <c r="C740" t="e">
        <f>Table4[[#This Row],[SUB-CATEGORY]]</f>
        <v>#VALUE!</v>
      </c>
      <c r="D740">
        <f>'RJ ATTENDENCE SHEET'!C:C</f>
        <v>0</v>
      </c>
      <c r="E740" t="e">
        <f t="shared" si="161"/>
        <v>#VALUE!</v>
      </c>
      <c r="F740" t="str">
        <f t="shared" si="168"/>
        <v/>
      </c>
      <c r="G740">
        <f>IFERROR(IF(F740=0,"",COUNTIF($F$3:F740,"&gt;0")),"")</f>
        <v>16</v>
      </c>
      <c r="H740" t="str">
        <f t="shared" si="163"/>
        <v/>
      </c>
      <c r="I740" t="str">
        <f t="shared" si="169"/>
        <v/>
      </c>
      <c r="J740">
        <f>IFERROR(IF(I740=0,"",COUNTIF($I$3:I740,"&gt;0")),"")</f>
        <v>34</v>
      </c>
      <c r="K740" t="str">
        <f t="shared" si="164"/>
        <v/>
      </c>
      <c r="L740" t="str">
        <f t="shared" si="170"/>
        <v/>
      </c>
      <c r="M740" t="str">
        <f t="shared" si="171"/>
        <v/>
      </c>
      <c r="N740">
        <f>IFERROR(IF(M740=0,"",COUNTIF($M$3:M740,"&gt;0")),"")</f>
        <v>33</v>
      </c>
      <c r="O740" t="str">
        <f t="shared" si="165"/>
        <v/>
      </c>
      <c r="P740" t="str">
        <f t="shared" si="172"/>
        <v/>
      </c>
      <c r="Q740" t="str">
        <f t="shared" si="173"/>
        <v/>
      </c>
      <c r="R740">
        <f>IFERROR(IF(Q740=0,"",COUNTIF($Q$3:Q740,"&gt;0")),"")</f>
        <v>16</v>
      </c>
      <c r="S740" t="str">
        <f t="shared" si="166"/>
        <v/>
      </c>
      <c r="T740" t="str">
        <f t="shared" si="174"/>
        <v/>
      </c>
      <c r="U740">
        <f>IFERROR(IF(T740=0,"",COUNTIF($T$3:T740,"&gt;0")),"")</f>
        <v>0</v>
      </c>
      <c r="V740" t="str">
        <f t="shared" si="167"/>
        <v/>
      </c>
    </row>
    <row r="741" spans="1:22">
      <c r="A741" t="e">
        <f t="shared" si="162"/>
        <v>#VALUE!</v>
      </c>
      <c r="B741" t="e">
        <f>Table4[[#This Row],[CATEGORY]]</f>
        <v>#VALUE!</v>
      </c>
      <c r="C741" t="e">
        <f>Table4[[#This Row],[SUB-CATEGORY]]</f>
        <v>#VALUE!</v>
      </c>
      <c r="D741">
        <f>'RJ ATTENDENCE SHEET'!C:C</f>
        <v>0</v>
      </c>
      <c r="E741" t="e">
        <f t="shared" si="161"/>
        <v>#VALUE!</v>
      </c>
      <c r="F741" t="str">
        <f t="shared" si="168"/>
        <v/>
      </c>
      <c r="G741">
        <f>IFERROR(IF(F741=0,"",COUNTIF($F$3:F741,"&gt;0")),"")</f>
        <v>16</v>
      </c>
      <c r="H741" t="str">
        <f t="shared" si="163"/>
        <v/>
      </c>
      <c r="I741" t="str">
        <f t="shared" si="169"/>
        <v/>
      </c>
      <c r="J741">
        <f>IFERROR(IF(I741=0,"",COUNTIF($I$3:I741,"&gt;0")),"")</f>
        <v>34</v>
      </c>
      <c r="K741" t="str">
        <f t="shared" si="164"/>
        <v/>
      </c>
      <c r="L741" t="str">
        <f t="shared" si="170"/>
        <v/>
      </c>
      <c r="M741" t="str">
        <f t="shared" si="171"/>
        <v/>
      </c>
      <c r="N741">
        <f>IFERROR(IF(M741=0,"",COUNTIF($M$3:M741,"&gt;0")),"")</f>
        <v>33</v>
      </c>
      <c r="O741" t="str">
        <f t="shared" si="165"/>
        <v/>
      </c>
      <c r="P741" t="str">
        <f t="shared" si="172"/>
        <v/>
      </c>
      <c r="Q741" t="str">
        <f t="shared" si="173"/>
        <v/>
      </c>
      <c r="R741">
        <f>IFERROR(IF(Q741=0,"",COUNTIF($Q$3:Q741,"&gt;0")),"")</f>
        <v>16</v>
      </c>
      <c r="S741" t="str">
        <f t="shared" si="166"/>
        <v/>
      </c>
      <c r="T741" t="str">
        <f t="shared" si="174"/>
        <v/>
      </c>
      <c r="U741">
        <f>IFERROR(IF(T741=0,"",COUNTIF($T$3:T741,"&gt;0")),"")</f>
        <v>0</v>
      </c>
      <c r="V741" t="str">
        <f t="shared" si="167"/>
        <v/>
      </c>
    </row>
    <row r="742" spans="1:22">
      <c r="A742" t="e">
        <f t="shared" si="162"/>
        <v>#VALUE!</v>
      </c>
      <c r="B742" t="e">
        <f>Table4[[#This Row],[CATEGORY]]</f>
        <v>#VALUE!</v>
      </c>
      <c r="C742" t="e">
        <f>Table4[[#This Row],[SUB-CATEGORY]]</f>
        <v>#VALUE!</v>
      </c>
      <c r="D742">
        <f>'RJ ATTENDENCE SHEET'!C:C</f>
        <v>0</v>
      </c>
      <c r="E742" t="e">
        <f t="shared" si="161"/>
        <v>#VALUE!</v>
      </c>
      <c r="F742" t="str">
        <f t="shared" si="168"/>
        <v/>
      </c>
      <c r="G742">
        <f>IFERROR(IF(F742=0,"",COUNTIF($F$3:F742,"&gt;0")),"")</f>
        <v>16</v>
      </c>
      <c r="H742" t="str">
        <f t="shared" si="163"/>
        <v/>
      </c>
      <c r="I742" t="str">
        <f t="shared" si="169"/>
        <v/>
      </c>
      <c r="J742">
        <f>IFERROR(IF(I742=0,"",COUNTIF($I$3:I742,"&gt;0")),"")</f>
        <v>34</v>
      </c>
      <c r="K742" t="str">
        <f t="shared" si="164"/>
        <v/>
      </c>
      <c r="L742" t="str">
        <f t="shared" si="170"/>
        <v/>
      </c>
      <c r="M742" t="str">
        <f t="shared" si="171"/>
        <v/>
      </c>
      <c r="N742">
        <f>IFERROR(IF(M742=0,"",COUNTIF($M$3:M742,"&gt;0")),"")</f>
        <v>33</v>
      </c>
      <c r="O742" t="str">
        <f t="shared" si="165"/>
        <v/>
      </c>
      <c r="P742" t="str">
        <f t="shared" si="172"/>
        <v/>
      </c>
      <c r="Q742" t="str">
        <f t="shared" si="173"/>
        <v/>
      </c>
      <c r="R742">
        <f>IFERROR(IF(Q742=0,"",COUNTIF($Q$3:Q742,"&gt;0")),"")</f>
        <v>16</v>
      </c>
      <c r="S742" t="str">
        <f t="shared" si="166"/>
        <v/>
      </c>
      <c r="T742" t="str">
        <f t="shared" si="174"/>
        <v/>
      </c>
      <c r="U742">
        <f>IFERROR(IF(T742=0,"",COUNTIF($T$3:T742,"&gt;0")),"")</f>
        <v>0</v>
      </c>
      <c r="V742" t="str">
        <f t="shared" si="167"/>
        <v/>
      </c>
    </row>
    <row r="743" spans="1:22">
      <c r="A743" t="e">
        <f t="shared" si="162"/>
        <v>#VALUE!</v>
      </c>
      <c r="B743" t="e">
        <f>Table4[[#This Row],[CATEGORY]]</f>
        <v>#VALUE!</v>
      </c>
      <c r="C743" t="e">
        <f>Table4[[#This Row],[SUB-CATEGORY]]</f>
        <v>#VALUE!</v>
      </c>
      <c r="D743">
        <f>'RJ ATTENDENCE SHEET'!C:C</f>
        <v>0</v>
      </c>
      <c r="E743" t="e">
        <f t="shared" si="161"/>
        <v>#VALUE!</v>
      </c>
      <c r="F743" t="str">
        <f t="shared" si="168"/>
        <v/>
      </c>
      <c r="G743">
        <f>IFERROR(IF(F743=0,"",COUNTIF($F$3:F743,"&gt;0")),"")</f>
        <v>16</v>
      </c>
      <c r="H743" t="str">
        <f t="shared" si="163"/>
        <v/>
      </c>
      <c r="I743" t="str">
        <f t="shared" si="169"/>
        <v/>
      </c>
      <c r="J743">
        <f>IFERROR(IF(I743=0,"",COUNTIF($I$3:I743,"&gt;0")),"")</f>
        <v>34</v>
      </c>
      <c r="K743" t="str">
        <f t="shared" si="164"/>
        <v/>
      </c>
      <c r="L743" t="str">
        <f t="shared" si="170"/>
        <v/>
      </c>
      <c r="M743" t="str">
        <f t="shared" si="171"/>
        <v/>
      </c>
      <c r="N743">
        <f>IFERROR(IF(M743=0,"",COUNTIF($M$3:M743,"&gt;0")),"")</f>
        <v>33</v>
      </c>
      <c r="O743" t="str">
        <f t="shared" si="165"/>
        <v/>
      </c>
      <c r="P743" t="str">
        <f t="shared" si="172"/>
        <v/>
      </c>
      <c r="Q743" t="str">
        <f t="shared" si="173"/>
        <v/>
      </c>
      <c r="R743">
        <f>IFERROR(IF(Q743=0,"",COUNTIF($Q$3:Q743,"&gt;0")),"")</f>
        <v>16</v>
      </c>
      <c r="S743" t="str">
        <f t="shared" si="166"/>
        <v/>
      </c>
      <c r="T743" t="str">
        <f t="shared" si="174"/>
        <v/>
      </c>
      <c r="U743">
        <f>IFERROR(IF(T743=0,"",COUNTIF($T$3:T743,"&gt;0")),"")</f>
        <v>0</v>
      </c>
      <c r="V743" t="str">
        <f t="shared" si="167"/>
        <v/>
      </c>
    </row>
    <row r="744" spans="1:22">
      <c r="A744" t="e">
        <f t="shared" si="162"/>
        <v>#VALUE!</v>
      </c>
      <c r="B744" t="e">
        <f>Table4[[#This Row],[CATEGORY]]</f>
        <v>#VALUE!</v>
      </c>
      <c r="C744" t="e">
        <f>Table4[[#This Row],[SUB-CATEGORY]]</f>
        <v>#VALUE!</v>
      </c>
      <c r="D744">
        <f>'RJ ATTENDENCE SHEET'!C:C</f>
        <v>0</v>
      </c>
      <c r="E744" t="e">
        <f t="shared" si="161"/>
        <v>#VALUE!</v>
      </c>
      <c r="F744" t="str">
        <f t="shared" si="168"/>
        <v/>
      </c>
      <c r="G744">
        <f>IFERROR(IF(F744=0,"",COUNTIF($F$3:F744,"&gt;0")),"")</f>
        <v>16</v>
      </c>
      <c r="H744" t="str">
        <f t="shared" si="163"/>
        <v/>
      </c>
      <c r="I744" t="str">
        <f t="shared" si="169"/>
        <v/>
      </c>
      <c r="J744">
        <f>IFERROR(IF(I744=0,"",COUNTIF($I$3:I744,"&gt;0")),"")</f>
        <v>34</v>
      </c>
      <c r="K744" t="str">
        <f t="shared" si="164"/>
        <v/>
      </c>
      <c r="L744" t="str">
        <f t="shared" si="170"/>
        <v/>
      </c>
      <c r="M744" t="str">
        <f t="shared" si="171"/>
        <v/>
      </c>
      <c r="N744">
        <f>IFERROR(IF(M744=0,"",COUNTIF($M$3:M744,"&gt;0")),"")</f>
        <v>33</v>
      </c>
      <c r="O744" t="str">
        <f t="shared" si="165"/>
        <v/>
      </c>
      <c r="P744" t="str">
        <f t="shared" si="172"/>
        <v/>
      </c>
      <c r="Q744" t="str">
        <f t="shared" si="173"/>
        <v/>
      </c>
      <c r="R744">
        <f>IFERROR(IF(Q744=0,"",COUNTIF($Q$3:Q744,"&gt;0")),"")</f>
        <v>16</v>
      </c>
      <c r="S744" t="str">
        <f t="shared" si="166"/>
        <v/>
      </c>
      <c r="T744" t="str">
        <f t="shared" si="174"/>
        <v/>
      </c>
      <c r="U744">
        <f>IFERROR(IF(T744=0,"",COUNTIF($T$3:T744,"&gt;0")),"")</f>
        <v>0</v>
      </c>
      <c r="V744" t="str">
        <f t="shared" si="167"/>
        <v/>
      </c>
    </row>
    <row r="745" spans="1:22">
      <c r="A745" t="e">
        <f t="shared" si="162"/>
        <v>#VALUE!</v>
      </c>
      <c r="B745" t="e">
        <f>Table4[[#This Row],[CATEGORY]]</f>
        <v>#VALUE!</v>
      </c>
      <c r="C745" t="e">
        <f>Table4[[#This Row],[SUB-CATEGORY]]</f>
        <v>#VALUE!</v>
      </c>
      <c r="D745">
        <f>'RJ ATTENDENCE SHEET'!C:C</f>
        <v>0</v>
      </c>
      <c r="E745" t="e">
        <f t="shared" si="161"/>
        <v>#VALUE!</v>
      </c>
      <c r="F745" t="str">
        <f t="shared" si="168"/>
        <v/>
      </c>
      <c r="G745">
        <f>IFERROR(IF(F745=0,"",COUNTIF($F$3:F745,"&gt;0")),"")</f>
        <v>16</v>
      </c>
      <c r="H745" t="str">
        <f t="shared" si="163"/>
        <v/>
      </c>
      <c r="I745" t="str">
        <f t="shared" si="169"/>
        <v/>
      </c>
      <c r="J745">
        <f>IFERROR(IF(I745=0,"",COUNTIF($I$3:I745,"&gt;0")),"")</f>
        <v>34</v>
      </c>
      <c r="K745" t="str">
        <f t="shared" si="164"/>
        <v/>
      </c>
      <c r="L745" t="str">
        <f t="shared" si="170"/>
        <v/>
      </c>
      <c r="M745" t="str">
        <f t="shared" si="171"/>
        <v/>
      </c>
      <c r="N745">
        <f>IFERROR(IF(M745=0,"",COUNTIF($M$3:M745,"&gt;0")),"")</f>
        <v>33</v>
      </c>
      <c r="O745" t="str">
        <f t="shared" si="165"/>
        <v/>
      </c>
      <c r="P745" t="str">
        <f t="shared" si="172"/>
        <v/>
      </c>
      <c r="Q745" t="str">
        <f t="shared" si="173"/>
        <v/>
      </c>
      <c r="R745">
        <f>IFERROR(IF(Q745=0,"",COUNTIF($Q$3:Q745,"&gt;0")),"")</f>
        <v>16</v>
      </c>
      <c r="S745" t="str">
        <f t="shared" si="166"/>
        <v/>
      </c>
      <c r="T745" t="str">
        <f t="shared" si="174"/>
        <v/>
      </c>
      <c r="U745">
        <f>IFERROR(IF(T745=0,"",COUNTIF($T$3:T745,"&gt;0")),"")</f>
        <v>0</v>
      </c>
      <c r="V745" t="str">
        <f t="shared" si="167"/>
        <v/>
      </c>
    </row>
    <row r="746" spans="1:22">
      <c r="A746" t="e">
        <f t="shared" si="162"/>
        <v>#VALUE!</v>
      </c>
      <c r="B746" t="e">
        <f>Table4[[#This Row],[CATEGORY]]</f>
        <v>#VALUE!</v>
      </c>
      <c r="C746" t="e">
        <f>Table4[[#This Row],[SUB-CATEGORY]]</f>
        <v>#VALUE!</v>
      </c>
      <c r="D746">
        <f>'RJ ATTENDENCE SHEET'!C:C</f>
        <v>0</v>
      </c>
      <c r="E746" t="e">
        <f t="shared" si="161"/>
        <v>#VALUE!</v>
      </c>
      <c r="F746" t="str">
        <f t="shared" si="168"/>
        <v/>
      </c>
      <c r="G746">
        <f>IFERROR(IF(F746=0,"",COUNTIF($F$3:F746,"&gt;0")),"")</f>
        <v>16</v>
      </c>
      <c r="H746" t="str">
        <f t="shared" si="163"/>
        <v/>
      </c>
      <c r="I746" t="str">
        <f t="shared" si="169"/>
        <v/>
      </c>
      <c r="J746">
        <f>IFERROR(IF(I746=0,"",COUNTIF($I$3:I746,"&gt;0")),"")</f>
        <v>34</v>
      </c>
      <c r="K746" t="str">
        <f t="shared" si="164"/>
        <v/>
      </c>
      <c r="L746" t="str">
        <f t="shared" si="170"/>
        <v/>
      </c>
      <c r="M746" t="str">
        <f t="shared" si="171"/>
        <v/>
      </c>
      <c r="N746">
        <f>IFERROR(IF(M746=0,"",COUNTIF($M$3:M746,"&gt;0")),"")</f>
        <v>33</v>
      </c>
      <c r="O746" t="str">
        <f t="shared" si="165"/>
        <v/>
      </c>
      <c r="P746" t="str">
        <f t="shared" si="172"/>
        <v/>
      </c>
      <c r="Q746" t="str">
        <f t="shared" si="173"/>
        <v/>
      </c>
      <c r="R746">
        <f>IFERROR(IF(Q746=0,"",COUNTIF($Q$3:Q746,"&gt;0")),"")</f>
        <v>16</v>
      </c>
      <c r="S746" t="str">
        <f t="shared" si="166"/>
        <v/>
      </c>
      <c r="T746" t="str">
        <f t="shared" si="174"/>
        <v/>
      </c>
      <c r="U746">
        <f>IFERROR(IF(T746=0,"",COUNTIF($T$3:T746,"&gt;0")),"")</f>
        <v>0</v>
      </c>
      <c r="V746" t="str">
        <f t="shared" si="167"/>
        <v/>
      </c>
    </row>
    <row r="747" spans="1:22">
      <c r="A747" t="e">
        <f t="shared" si="162"/>
        <v>#VALUE!</v>
      </c>
      <c r="B747" t="e">
        <f>Table4[[#This Row],[CATEGORY]]</f>
        <v>#VALUE!</v>
      </c>
      <c r="C747" t="e">
        <f>Table4[[#This Row],[SUB-CATEGORY]]</f>
        <v>#VALUE!</v>
      </c>
      <c r="D747">
        <f>'RJ ATTENDENCE SHEET'!C:C</f>
        <v>0</v>
      </c>
      <c r="E747" t="e">
        <f t="shared" si="161"/>
        <v>#VALUE!</v>
      </c>
      <c r="F747" t="str">
        <f t="shared" si="168"/>
        <v/>
      </c>
      <c r="G747">
        <f>IFERROR(IF(F747=0,"",COUNTIF($F$3:F747,"&gt;0")),"")</f>
        <v>16</v>
      </c>
      <c r="H747" t="str">
        <f t="shared" si="163"/>
        <v/>
      </c>
      <c r="I747" t="str">
        <f t="shared" si="169"/>
        <v/>
      </c>
      <c r="J747">
        <f>IFERROR(IF(I747=0,"",COUNTIF($I$3:I747,"&gt;0")),"")</f>
        <v>34</v>
      </c>
      <c r="K747" t="str">
        <f t="shared" si="164"/>
        <v/>
      </c>
      <c r="L747" t="str">
        <f t="shared" si="170"/>
        <v/>
      </c>
      <c r="M747" t="str">
        <f t="shared" si="171"/>
        <v/>
      </c>
      <c r="N747">
        <f>IFERROR(IF(M747=0,"",COUNTIF($M$3:M747,"&gt;0")),"")</f>
        <v>33</v>
      </c>
      <c r="O747" t="str">
        <f t="shared" si="165"/>
        <v/>
      </c>
      <c r="P747" t="str">
        <f t="shared" si="172"/>
        <v/>
      </c>
      <c r="Q747" t="str">
        <f t="shared" si="173"/>
        <v/>
      </c>
      <c r="R747">
        <f>IFERROR(IF(Q747=0,"",COUNTIF($Q$3:Q747,"&gt;0")),"")</f>
        <v>16</v>
      </c>
      <c r="S747" t="str">
        <f t="shared" si="166"/>
        <v/>
      </c>
      <c r="T747" t="str">
        <f t="shared" si="174"/>
        <v/>
      </c>
      <c r="U747">
        <f>IFERROR(IF(T747=0,"",COUNTIF($T$3:T747,"&gt;0")),"")</f>
        <v>0</v>
      </c>
      <c r="V747" t="str">
        <f t="shared" si="167"/>
        <v/>
      </c>
    </row>
    <row r="748" spans="1:22">
      <c r="A748" t="e">
        <f t="shared" si="162"/>
        <v>#VALUE!</v>
      </c>
      <c r="B748" t="e">
        <f>Table4[[#This Row],[CATEGORY]]</f>
        <v>#VALUE!</v>
      </c>
      <c r="C748" t="e">
        <f>Table4[[#This Row],[SUB-CATEGORY]]</f>
        <v>#VALUE!</v>
      </c>
      <c r="D748">
        <f>'RJ ATTENDENCE SHEET'!C:C</f>
        <v>0</v>
      </c>
      <c r="E748" t="e">
        <f t="shared" si="161"/>
        <v>#VALUE!</v>
      </c>
      <c r="F748" t="str">
        <f t="shared" si="168"/>
        <v/>
      </c>
      <c r="G748">
        <f>IFERROR(IF(F748=0,"",COUNTIF($F$3:F748,"&gt;0")),"")</f>
        <v>16</v>
      </c>
      <c r="H748" t="str">
        <f t="shared" si="163"/>
        <v/>
      </c>
      <c r="I748" t="str">
        <f t="shared" si="169"/>
        <v/>
      </c>
      <c r="J748">
        <f>IFERROR(IF(I748=0,"",COUNTIF($I$3:I748,"&gt;0")),"")</f>
        <v>34</v>
      </c>
      <c r="K748" t="str">
        <f t="shared" si="164"/>
        <v/>
      </c>
      <c r="L748" t="str">
        <f t="shared" si="170"/>
        <v/>
      </c>
      <c r="M748" t="str">
        <f t="shared" si="171"/>
        <v/>
      </c>
      <c r="N748">
        <f>IFERROR(IF(M748=0,"",COUNTIF($M$3:M748,"&gt;0")),"")</f>
        <v>33</v>
      </c>
      <c r="O748" t="str">
        <f t="shared" si="165"/>
        <v/>
      </c>
      <c r="P748" t="str">
        <f t="shared" si="172"/>
        <v/>
      </c>
      <c r="Q748" t="str">
        <f t="shared" si="173"/>
        <v/>
      </c>
      <c r="R748">
        <f>IFERROR(IF(Q748=0,"",COUNTIF($Q$3:Q748,"&gt;0")),"")</f>
        <v>16</v>
      </c>
      <c r="S748" t="str">
        <f t="shared" si="166"/>
        <v/>
      </c>
      <c r="T748" t="str">
        <f t="shared" si="174"/>
        <v/>
      </c>
      <c r="U748">
        <f>IFERROR(IF(T748=0,"",COUNTIF($T$3:T748,"&gt;0")),"")</f>
        <v>0</v>
      </c>
      <c r="V748" t="str">
        <f t="shared" si="167"/>
        <v/>
      </c>
    </row>
    <row r="749" spans="1:22">
      <c r="A749" t="e">
        <f t="shared" si="162"/>
        <v>#VALUE!</v>
      </c>
      <c r="B749" t="e">
        <f>Table4[[#This Row],[CATEGORY]]</f>
        <v>#VALUE!</v>
      </c>
      <c r="C749" t="e">
        <f>Table4[[#This Row],[SUB-CATEGORY]]</f>
        <v>#VALUE!</v>
      </c>
      <c r="D749">
        <f>'RJ ATTENDENCE SHEET'!C:C</f>
        <v>0</v>
      </c>
      <c r="E749" t="e">
        <f t="shared" si="161"/>
        <v>#VALUE!</v>
      </c>
      <c r="F749" t="str">
        <f t="shared" si="168"/>
        <v/>
      </c>
      <c r="G749">
        <f>IFERROR(IF(F749=0,"",COUNTIF($F$3:F749,"&gt;0")),"")</f>
        <v>16</v>
      </c>
      <c r="H749" t="str">
        <f t="shared" si="163"/>
        <v/>
      </c>
      <c r="I749" t="str">
        <f t="shared" si="169"/>
        <v/>
      </c>
      <c r="J749">
        <f>IFERROR(IF(I749=0,"",COUNTIF($I$3:I749,"&gt;0")),"")</f>
        <v>34</v>
      </c>
      <c r="K749" t="str">
        <f t="shared" si="164"/>
        <v/>
      </c>
      <c r="L749" t="str">
        <f t="shared" si="170"/>
        <v/>
      </c>
      <c r="M749" t="str">
        <f t="shared" si="171"/>
        <v/>
      </c>
      <c r="N749">
        <f>IFERROR(IF(M749=0,"",COUNTIF($M$3:M749,"&gt;0")),"")</f>
        <v>33</v>
      </c>
      <c r="O749" t="str">
        <f t="shared" si="165"/>
        <v/>
      </c>
      <c r="P749" t="str">
        <f t="shared" si="172"/>
        <v/>
      </c>
      <c r="Q749" t="str">
        <f t="shared" si="173"/>
        <v/>
      </c>
      <c r="R749">
        <f>IFERROR(IF(Q749=0,"",COUNTIF($Q$3:Q749,"&gt;0")),"")</f>
        <v>16</v>
      </c>
      <c r="S749" t="str">
        <f t="shared" si="166"/>
        <v/>
      </c>
      <c r="T749" t="str">
        <f t="shared" si="174"/>
        <v/>
      </c>
      <c r="U749">
        <f>IFERROR(IF(T749=0,"",COUNTIF($T$3:T749,"&gt;0")),"")</f>
        <v>0</v>
      </c>
      <c r="V749" t="str">
        <f t="shared" si="167"/>
        <v/>
      </c>
    </row>
    <row r="750" spans="1:22">
      <c r="A750" t="e">
        <f t="shared" si="162"/>
        <v>#VALUE!</v>
      </c>
      <c r="B750" t="e">
        <f>Table4[[#This Row],[CATEGORY]]</f>
        <v>#VALUE!</v>
      </c>
      <c r="C750" t="e">
        <f>Table4[[#This Row],[SUB-CATEGORY]]</f>
        <v>#VALUE!</v>
      </c>
      <c r="D750">
        <f>'RJ ATTENDENCE SHEET'!C:C</f>
        <v>0</v>
      </c>
      <c r="E750" t="e">
        <f t="shared" si="161"/>
        <v>#VALUE!</v>
      </c>
      <c r="F750" t="str">
        <f t="shared" si="168"/>
        <v/>
      </c>
      <c r="G750">
        <f>IFERROR(IF(F750=0,"",COUNTIF($F$3:F750,"&gt;0")),"")</f>
        <v>16</v>
      </c>
      <c r="H750" t="str">
        <f t="shared" si="163"/>
        <v/>
      </c>
      <c r="I750" t="str">
        <f t="shared" si="169"/>
        <v/>
      </c>
      <c r="J750">
        <f>IFERROR(IF(I750=0,"",COUNTIF($I$3:I750,"&gt;0")),"")</f>
        <v>34</v>
      </c>
      <c r="K750" t="str">
        <f t="shared" si="164"/>
        <v/>
      </c>
      <c r="L750" t="str">
        <f t="shared" si="170"/>
        <v/>
      </c>
      <c r="M750" t="str">
        <f t="shared" si="171"/>
        <v/>
      </c>
      <c r="N750">
        <f>IFERROR(IF(M750=0,"",COUNTIF($M$3:M750,"&gt;0")),"")</f>
        <v>33</v>
      </c>
      <c r="O750" t="str">
        <f t="shared" si="165"/>
        <v/>
      </c>
      <c r="P750" t="str">
        <f t="shared" si="172"/>
        <v/>
      </c>
      <c r="Q750" t="str">
        <f t="shared" si="173"/>
        <v/>
      </c>
      <c r="R750">
        <f>IFERROR(IF(Q750=0,"",COUNTIF($Q$3:Q750,"&gt;0")),"")</f>
        <v>16</v>
      </c>
      <c r="S750" t="str">
        <f t="shared" si="166"/>
        <v/>
      </c>
      <c r="T750" t="str">
        <f t="shared" si="174"/>
        <v/>
      </c>
      <c r="U750">
        <f>IFERROR(IF(T750=0,"",COUNTIF($T$3:T750,"&gt;0")),"")</f>
        <v>0</v>
      </c>
      <c r="V750" t="str">
        <f t="shared" si="167"/>
        <v/>
      </c>
    </row>
    <row r="751" spans="1:22">
      <c r="A751" t="e">
        <f t="shared" si="162"/>
        <v>#VALUE!</v>
      </c>
      <c r="B751" t="e">
        <f>Table4[[#This Row],[CATEGORY]]</f>
        <v>#VALUE!</v>
      </c>
      <c r="C751" t="e">
        <f>Table4[[#This Row],[SUB-CATEGORY]]</f>
        <v>#VALUE!</v>
      </c>
      <c r="D751">
        <f>'RJ ATTENDENCE SHEET'!C:C</f>
        <v>0</v>
      </c>
      <c r="E751" t="e">
        <f t="shared" si="161"/>
        <v>#VALUE!</v>
      </c>
      <c r="F751" t="str">
        <f t="shared" si="168"/>
        <v/>
      </c>
      <c r="G751">
        <f>IFERROR(IF(F751=0,"",COUNTIF($F$3:F751,"&gt;0")),"")</f>
        <v>16</v>
      </c>
      <c r="H751" t="str">
        <f t="shared" si="163"/>
        <v/>
      </c>
      <c r="I751" t="str">
        <f t="shared" si="169"/>
        <v/>
      </c>
      <c r="J751">
        <f>IFERROR(IF(I751=0,"",COUNTIF($I$3:I751,"&gt;0")),"")</f>
        <v>34</v>
      </c>
      <c r="K751" t="str">
        <f t="shared" si="164"/>
        <v/>
      </c>
      <c r="L751" t="str">
        <f t="shared" si="170"/>
        <v/>
      </c>
      <c r="M751" t="str">
        <f t="shared" si="171"/>
        <v/>
      </c>
      <c r="N751">
        <f>IFERROR(IF(M751=0,"",COUNTIF($M$3:M751,"&gt;0")),"")</f>
        <v>33</v>
      </c>
      <c r="O751" t="str">
        <f t="shared" si="165"/>
        <v/>
      </c>
      <c r="P751" t="str">
        <f t="shared" si="172"/>
        <v/>
      </c>
      <c r="Q751" t="str">
        <f t="shared" si="173"/>
        <v/>
      </c>
      <c r="R751">
        <f>IFERROR(IF(Q751=0,"",COUNTIF($Q$3:Q751,"&gt;0")),"")</f>
        <v>16</v>
      </c>
      <c r="S751" t="str">
        <f t="shared" si="166"/>
        <v/>
      </c>
      <c r="T751" t="str">
        <f t="shared" si="174"/>
        <v/>
      </c>
      <c r="U751">
        <f>IFERROR(IF(T751=0,"",COUNTIF($T$3:T751,"&gt;0")),"")</f>
        <v>0</v>
      </c>
      <c r="V751" t="str">
        <f t="shared" si="167"/>
        <v/>
      </c>
    </row>
    <row r="752" spans="1:22">
      <c r="A752" t="e">
        <f t="shared" si="162"/>
        <v>#VALUE!</v>
      </c>
      <c r="B752" t="e">
        <f>Table4[[#This Row],[CATEGORY]]</f>
        <v>#VALUE!</v>
      </c>
      <c r="C752" t="e">
        <f>Table4[[#This Row],[SUB-CATEGORY]]</f>
        <v>#VALUE!</v>
      </c>
      <c r="D752">
        <f>'RJ ATTENDENCE SHEET'!C:C</f>
        <v>0</v>
      </c>
      <c r="E752" t="e">
        <f t="shared" si="161"/>
        <v>#VALUE!</v>
      </c>
      <c r="F752" t="str">
        <f t="shared" si="168"/>
        <v/>
      </c>
      <c r="G752">
        <f>IFERROR(IF(F752=0,"",COUNTIF($F$3:F752,"&gt;0")),"")</f>
        <v>16</v>
      </c>
      <c r="H752" t="str">
        <f t="shared" si="163"/>
        <v/>
      </c>
      <c r="I752" t="str">
        <f t="shared" si="169"/>
        <v/>
      </c>
      <c r="J752">
        <f>IFERROR(IF(I752=0,"",COUNTIF($I$3:I752,"&gt;0")),"")</f>
        <v>34</v>
      </c>
      <c r="K752" t="str">
        <f t="shared" si="164"/>
        <v/>
      </c>
      <c r="L752" t="str">
        <f t="shared" si="170"/>
        <v/>
      </c>
      <c r="M752" t="str">
        <f t="shared" si="171"/>
        <v/>
      </c>
      <c r="N752">
        <f>IFERROR(IF(M752=0,"",COUNTIF($M$3:M752,"&gt;0")),"")</f>
        <v>33</v>
      </c>
      <c r="O752" t="str">
        <f t="shared" si="165"/>
        <v/>
      </c>
      <c r="P752" t="str">
        <f t="shared" si="172"/>
        <v/>
      </c>
      <c r="Q752" t="str">
        <f t="shared" si="173"/>
        <v/>
      </c>
      <c r="R752">
        <f>IFERROR(IF(Q752=0,"",COUNTIF($Q$3:Q752,"&gt;0")),"")</f>
        <v>16</v>
      </c>
      <c r="S752" t="str">
        <f t="shared" si="166"/>
        <v/>
      </c>
      <c r="T752" t="str">
        <f t="shared" si="174"/>
        <v/>
      </c>
      <c r="U752">
        <f>IFERROR(IF(T752=0,"",COUNTIF($T$3:T752,"&gt;0")),"")</f>
        <v>0</v>
      </c>
      <c r="V752" t="str">
        <f t="shared" si="167"/>
        <v/>
      </c>
    </row>
    <row r="753" spans="1:22">
      <c r="A753" t="e">
        <f t="shared" si="162"/>
        <v>#VALUE!</v>
      </c>
      <c r="B753" t="e">
        <f>Table4[[#This Row],[CATEGORY]]</f>
        <v>#VALUE!</v>
      </c>
      <c r="C753" t="e">
        <f>Table4[[#This Row],[SUB-CATEGORY]]</f>
        <v>#VALUE!</v>
      </c>
      <c r="D753">
        <f>'RJ ATTENDENCE SHEET'!C:C</f>
        <v>0</v>
      </c>
      <c r="E753" t="e">
        <f t="shared" si="161"/>
        <v>#VALUE!</v>
      </c>
      <c r="F753" t="str">
        <f t="shared" si="168"/>
        <v/>
      </c>
      <c r="G753">
        <f>IFERROR(IF(F753=0,"",COUNTIF($F$3:F753,"&gt;0")),"")</f>
        <v>16</v>
      </c>
      <c r="H753" t="str">
        <f t="shared" si="163"/>
        <v/>
      </c>
      <c r="I753" t="str">
        <f t="shared" si="169"/>
        <v/>
      </c>
      <c r="J753">
        <f>IFERROR(IF(I753=0,"",COUNTIF($I$3:I753,"&gt;0")),"")</f>
        <v>34</v>
      </c>
      <c r="K753" t="str">
        <f t="shared" si="164"/>
        <v/>
      </c>
      <c r="L753" t="str">
        <f t="shared" si="170"/>
        <v/>
      </c>
      <c r="M753" t="str">
        <f t="shared" si="171"/>
        <v/>
      </c>
      <c r="N753">
        <f>IFERROR(IF(M753=0,"",COUNTIF($M$3:M753,"&gt;0")),"")</f>
        <v>33</v>
      </c>
      <c r="O753" t="str">
        <f t="shared" si="165"/>
        <v/>
      </c>
      <c r="P753" t="str">
        <f t="shared" si="172"/>
        <v/>
      </c>
      <c r="Q753" t="str">
        <f t="shared" si="173"/>
        <v/>
      </c>
      <c r="R753">
        <f>IFERROR(IF(Q753=0,"",COUNTIF($Q$3:Q753,"&gt;0")),"")</f>
        <v>16</v>
      </c>
      <c r="S753" t="str">
        <f t="shared" si="166"/>
        <v/>
      </c>
      <c r="T753" t="str">
        <f t="shared" si="174"/>
        <v/>
      </c>
      <c r="U753">
        <f>IFERROR(IF(T753=0,"",COUNTIF($T$3:T753,"&gt;0")),"")</f>
        <v>0</v>
      </c>
      <c r="V753" t="str">
        <f t="shared" si="167"/>
        <v/>
      </c>
    </row>
    <row r="754" spans="1:22">
      <c r="A754" t="e">
        <f t="shared" si="162"/>
        <v>#VALUE!</v>
      </c>
      <c r="B754" t="e">
        <f>Table4[[#This Row],[CATEGORY]]</f>
        <v>#VALUE!</v>
      </c>
      <c r="C754" t="e">
        <f>Table4[[#This Row],[SUB-CATEGORY]]</f>
        <v>#VALUE!</v>
      </c>
      <c r="D754">
        <f>'RJ ATTENDENCE SHEET'!C:C</f>
        <v>0</v>
      </c>
      <c r="E754" t="e">
        <f t="shared" si="161"/>
        <v>#VALUE!</v>
      </c>
      <c r="F754" t="str">
        <f t="shared" si="168"/>
        <v/>
      </c>
      <c r="G754">
        <f>IFERROR(IF(F754=0,"",COUNTIF($F$3:F754,"&gt;0")),"")</f>
        <v>16</v>
      </c>
      <c r="H754" t="str">
        <f t="shared" si="163"/>
        <v/>
      </c>
      <c r="I754" t="str">
        <f t="shared" si="169"/>
        <v/>
      </c>
      <c r="J754">
        <f>IFERROR(IF(I754=0,"",COUNTIF($I$3:I754,"&gt;0")),"")</f>
        <v>34</v>
      </c>
      <c r="K754" t="str">
        <f t="shared" si="164"/>
        <v/>
      </c>
      <c r="L754" t="str">
        <f t="shared" si="170"/>
        <v/>
      </c>
      <c r="M754" t="str">
        <f t="shared" si="171"/>
        <v/>
      </c>
      <c r="N754">
        <f>IFERROR(IF(M754=0,"",COUNTIF($M$3:M754,"&gt;0")),"")</f>
        <v>33</v>
      </c>
      <c r="O754" t="str">
        <f t="shared" si="165"/>
        <v/>
      </c>
      <c r="P754" t="str">
        <f t="shared" si="172"/>
        <v/>
      </c>
      <c r="Q754" t="str">
        <f t="shared" si="173"/>
        <v/>
      </c>
      <c r="R754">
        <f>IFERROR(IF(Q754=0,"",COUNTIF($Q$3:Q754,"&gt;0")),"")</f>
        <v>16</v>
      </c>
      <c r="S754" t="str">
        <f t="shared" si="166"/>
        <v/>
      </c>
      <c r="T754" t="str">
        <f t="shared" si="174"/>
        <v/>
      </c>
      <c r="U754">
        <f>IFERROR(IF(T754=0,"",COUNTIF($T$3:T754,"&gt;0")),"")</f>
        <v>0</v>
      </c>
      <c r="V754" t="str">
        <f t="shared" si="167"/>
        <v/>
      </c>
    </row>
    <row r="755" spans="1:22">
      <c r="A755" t="e">
        <f t="shared" si="162"/>
        <v>#VALUE!</v>
      </c>
      <c r="B755" t="e">
        <f>Table4[[#This Row],[CATEGORY]]</f>
        <v>#VALUE!</v>
      </c>
      <c r="C755" t="e">
        <f>Table4[[#This Row],[SUB-CATEGORY]]</f>
        <v>#VALUE!</v>
      </c>
      <c r="D755">
        <f>'RJ ATTENDENCE SHEET'!C:C</f>
        <v>0</v>
      </c>
      <c r="E755" t="e">
        <f t="shared" si="161"/>
        <v>#VALUE!</v>
      </c>
      <c r="F755" t="str">
        <f t="shared" si="168"/>
        <v/>
      </c>
      <c r="G755">
        <f>IFERROR(IF(F755=0,"",COUNTIF($F$3:F755,"&gt;0")),"")</f>
        <v>16</v>
      </c>
      <c r="H755" t="str">
        <f t="shared" si="163"/>
        <v/>
      </c>
      <c r="I755" t="str">
        <f t="shared" si="169"/>
        <v/>
      </c>
      <c r="J755">
        <f>IFERROR(IF(I755=0,"",COUNTIF($I$3:I755,"&gt;0")),"")</f>
        <v>34</v>
      </c>
      <c r="K755" t="str">
        <f t="shared" si="164"/>
        <v/>
      </c>
      <c r="L755" t="str">
        <f t="shared" si="170"/>
        <v/>
      </c>
      <c r="M755" t="str">
        <f t="shared" si="171"/>
        <v/>
      </c>
      <c r="N755">
        <f>IFERROR(IF(M755=0,"",COUNTIF($M$3:M755,"&gt;0")),"")</f>
        <v>33</v>
      </c>
      <c r="O755" t="str">
        <f t="shared" si="165"/>
        <v/>
      </c>
      <c r="P755" t="str">
        <f t="shared" si="172"/>
        <v/>
      </c>
      <c r="Q755" t="str">
        <f t="shared" si="173"/>
        <v/>
      </c>
      <c r="R755">
        <f>IFERROR(IF(Q755=0,"",COUNTIF($Q$3:Q755,"&gt;0")),"")</f>
        <v>16</v>
      </c>
      <c r="S755" t="str">
        <f t="shared" si="166"/>
        <v/>
      </c>
      <c r="T755" t="str">
        <f t="shared" si="174"/>
        <v/>
      </c>
      <c r="U755">
        <f>IFERROR(IF(T755=0,"",COUNTIF($T$3:T755,"&gt;0")),"")</f>
        <v>0</v>
      </c>
      <c r="V755" t="str">
        <f t="shared" si="167"/>
        <v/>
      </c>
    </row>
    <row r="756" spans="1:22">
      <c r="A756" t="e">
        <f t="shared" si="162"/>
        <v>#VALUE!</v>
      </c>
      <c r="B756" t="e">
        <f>Table4[[#This Row],[CATEGORY]]</f>
        <v>#VALUE!</v>
      </c>
      <c r="C756" t="e">
        <f>Table4[[#This Row],[SUB-CATEGORY]]</f>
        <v>#VALUE!</v>
      </c>
      <c r="D756">
        <f>'RJ ATTENDENCE SHEET'!C:C</f>
        <v>0</v>
      </c>
      <c r="E756" t="e">
        <f t="shared" si="161"/>
        <v>#VALUE!</v>
      </c>
      <c r="F756" t="str">
        <f t="shared" si="168"/>
        <v/>
      </c>
      <c r="G756">
        <f>IFERROR(IF(F756=0,"",COUNTIF($F$3:F756,"&gt;0")),"")</f>
        <v>16</v>
      </c>
      <c r="H756" t="str">
        <f t="shared" si="163"/>
        <v/>
      </c>
      <c r="I756" t="str">
        <f t="shared" si="169"/>
        <v/>
      </c>
      <c r="J756">
        <f>IFERROR(IF(I756=0,"",COUNTIF($I$3:I756,"&gt;0")),"")</f>
        <v>34</v>
      </c>
      <c r="K756" t="str">
        <f t="shared" si="164"/>
        <v/>
      </c>
      <c r="L756" t="str">
        <f t="shared" si="170"/>
        <v/>
      </c>
      <c r="M756" t="str">
        <f t="shared" si="171"/>
        <v/>
      </c>
      <c r="N756">
        <f>IFERROR(IF(M756=0,"",COUNTIF($M$3:M756,"&gt;0")),"")</f>
        <v>33</v>
      </c>
      <c r="O756" t="str">
        <f t="shared" si="165"/>
        <v/>
      </c>
      <c r="P756" t="str">
        <f t="shared" si="172"/>
        <v/>
      </c>
      <c r="Q756" t="str">
        <f t="shared" si="173"/>
        <v/>
      </c>
      <c r="R756">
        <f>IFERROR(IF(Q756=0,"",COUNTIF($Q$3:Q756,"&gt;0")),"")</f>
        <v>16</v>
      </c>
      <c r="S756" t="str">
        <f t="shared" si="166"/>
        <v/>
      </c>
      <c r="T756" t="str">
        <f t="shared" si="174"/>
        <v/>
      </c>
      <c r="U756">
        <f>IFERROR(IF(T756=0,"",COUNTIF($T$3:T756,"&gt;0")),"")</f>
        <v>0</v>
      </c>
      <c r="V756" t="str">
        <f t="shared" si="167"/>
        <v/>
      </c>
    </row>
    <row r="757" spans="1:22">
      <c r="A757" t="e">
        <f t="shared" si="162"/>
        <v>#VALUE!</v>
      </c>
      <c r="B757" t="e">
        <f>Table4[[#This Row],[CATEGORY]]</f>
        <v>#VALUE!</v>
      </c>
      <c r="C757" t="e">
        <f>Table4[[#This Row],[SUB-CATEGORY]]</f>
        <v>#VALUE!</v>
      </c>
      <c r="D757">
        <f>'RJ ATTENDENCE SHEET'!C:C</f>
        <v>0</v>
      </c>
      <c r="E757" t="e">
        <f t="shared" si="161"/>
        <v>#VALUE!</v>
      </c>
      <c r="F757" t="str">
        <f t="shared" si="168"/>
        <v/>
      </c>
      <c r="G757">
        <f>IFERROR(IF(F757=0,"",COUNTIF($F$3:F757,"&gt;0")),"")</f>
        <v>16</v>
      </c>
      <c r="H757" t="str">
        <f t="shared" si="163"/>
        <v/>
      </c>
      <c r="I757" t="str">
        <f t="shared" si="169"/>
        <v/>
      </c>
      <c r="J757">
        <f>IFERROR(IF(I757=0,"",COUNTIF($I$3:I757,"&gt;0")),"")</f>
        <v>34</v>
      </c>
      <c r="K757" t="str">
        <f t="shared" si="164"/>
        <v/>
      </c>
      <c r="L757" t="str">
        <f t="shared" si="170"/>
        <v/>
      </c>
      <c r="M757" t="str">
        <f t="shared" si="171"/>
        <v/>
      </c>
      <c r="N757">
        <f>IFERROR(IF(M757=0,"",COUNTIF($M$3:M757,"&gt;0")),"")</f>
        <v>33</v>
      </c>
      <c r="O757" t="str">
        <f t="shared" si="165"/>
        <v/>
      </c>
      <c r="P757" t="str">
        <f t="shared" si="172"/>
        <v/>
      </c>
      <c r="Q757" t="str">
        <f t="shared" si="173"/>
        <v/>
      </c>
      <c r="R757">
        <f>IFERROR(IF(Q757=0,"",COUNTIF($Q$3:Q757,"&gt;0")),"")</f>
        <v>16</v>
      </c>
      <c r="S757" t="str">
        <f t="shared" si="166"/>
        <v/>
      </c>
      <c r="T757" t="str">
        <f t="shared" si="174"/>
        <v/>
      </c>
      <c r="U757">
        <f>IFERROR(IF(T757=0,"",COUNTIF($T$3:T757,"&gt;0")),"")</f>
        <v>0</v>
      </c>
      <c r="V757" t="str">
        <f t="shared" si="167"/>
        <v/>
      </c>
    </row>
    <row r="758" spans="1:22">
      <c r="A758" t="e">
        <f t="shared" si="162"/>
        <v>#VALUE!</v>
      </c>
      <c r="B758" t="e">
        <f>Table4[[#This Row],[CATEGORY]]</f>
        <v>#VALUE!</v>
      </c>
      <c r="C758" t="e">
        <f>Table4[[#This Row],[SUB-CATEGORY]]</f>
        <v>#VALUE!</v>
      </c>
      <c r="D758">
        <f>'RJ ATTENDENCE SHEET'!C:C</f>
        <v>0</v>
      </c>
      <c r="E758" t="e">
        <f t="shared" si="161"/>
        <v>#VALUE!</v>
      </c>
      <c r="F758" t="str">
        <f t="shared" si="168"/>
        <v/>
      </c>
      <c r="G758">
        <f>IFERROR(IF(F758=0,"",COUNTIF($F$3:F758,"&gt;0")),"")</f>
        <v>16</v>
      </c>
      <c r="H758" t="str">
        <f t="shared" si="163"/>
        <v/>
      </c>
      <c r="I758" t="str">
        <f t="shared" si="169"/>
        <v/>
      </c>
      <c r="J758">
        <f>IFERROR(IF(I758=0,"",COUNTIF($I$3:I758,"&gt;0")),"")</f>
        <v>34</v>
      </c>
      <c r="K758" t="str">
        <f t="shared" si="164"/>
        <v/>
      </c>
      <c r="L758" t="str">
        <f t="shared" si="170"/>
        <v/>
      </c>
      <c r="M758" t="str">
        <f t="shared" si="171"/>
        <v/>
      </c>
      <c r="N758">
        <f>IFERROR(IF(M758=0,"",COUNTIF($M$3:M758,"&gt;0")),"")</f>
        <v>33</v>
      </c>
      <c r="O758" t="str">
        <f t="shared" si="165"/>
        <v/>
      </c>
      <c r="P758" t="str">
        <f t="shared" si="172"/>
        <v/>
      </c>
      <c r="Q758" t="str">
        <f t="shared" si="173"/>
        <v/>
      </c>
      <c r="R758">
        <f>IFERROR(IF(Q758=0,"",COUNTIF($Q$3:Q758,"&gt;0")),"")</f>
        <v>16</v>
      </c>
      <c r="S758" t="str">
        <f t="shared" si="166"/>
        <v/>
      </c>
      <c r="T758" t="str">
        <f t="shared" si="174"/>
        <v/>
      </c>
      <c r="U758">
        <f>IFERROR(IF(T758=0,"",COUNTIF($T$3:T758,"&gt;0")),"")</f>
        <v>0</v>
      </c>
      <c r="V758" t="str">
        <f t="shared" si="167"/>
        <v/>
      </c>
    </row>
    <row r="759" spans="1:22">
      <c r="A759" t="e">
        <f t="shared" si="162"/>
        <v>#VALUE!</v>
      </c>
      <c r="B759" t="e">
        <f>Table4[[#This Row],[CATEGORY]]</f>
        <v>#VALUE!</v>
      </c>
      <c r="C759" t="e">
        <f>Table4[[#This Row],[SUB-CATEGORY]]</f>
        <v>#VALUE!</v>
      </c>
      <c r="D759">
        <f>'RJ ATTENDENCE SHEET'!C:C</f>
        <v>0</v>
      </c>
      <c r="E759" t="e">
        <f t="shared" si="161"/>
        <v>#VALUE!</v>
      </c>
      <c r="F759" t="str">
        <f t="shared" si="168"/>
        <v/>
      </c>
      <c r="G759">
        <f>IFERROR(IF(F759=0,"",COUNTIF($F$3:F759,"&gt;0")),"")</f>
        <v>16</v>
      </c>
      <c r="H759" t="str">
        <f t="shared" si="163"/>
        <v/>
      </c>
      <c r="I759" t="str">
        <f t="shared" si="169"/>
        <v/>
      </c>
      <c r="J759">
        <f>IFERROR(IF(I759=0,"",COUNTIF($I$3:I759,"&gt;0")),"")</f>
        <v>34</v>
      </c>
      <c r="K759" t="str">
        <f t="shared" si="164"/>
        <v/>
      </c>
      <c r="L759" t="str">
        <f t="shared" si="170"/>
        <v/>
      </c>
      <c r="M759" t="str">
        <f t="shared" si="171"/>
        <v/>
      </c>
      <c r="N759">
        <f>IFERROR(IF(M759=0,"",COUNTIF($M$3:M759,"&gt;0")),"")</f>
        <v>33</v>
      </c>
      <c r="O759" t="str">
        <f t="shared" si="165"/>
        <v/>
      </c>
      <c r="P759" t="str">
        <f t="shared" si="172"/>
        <v/>
      </c>
      <c r="Q759" t="str">
        <f t="shared" si="173"/>
        <v/>
      </c>
      <c r="R759">
        <f>IFERROR(IF(Q759=0,"",COUNTIF($Q$3:Q759,"&gt;0")),"")</f>
        <v>16</v>
      </c>
      <c r="S759" t="str">
        <f t="shared" si="166"/>
        <v/>
      </c>
      <c r="T759" t="str">
        <f t="shared" si="174"/>
        <v/>
      </c>
      <c r="U759">
        <f>IFERROR(IF(T759=0,"",COUNTIF($T$3:T759,"&gt;0")),"")</f>
        <v>0</v>
      </c>
      <c r="V759" t="str">
        <f t="shared" si="167"/>
        <v/>
      </c>
    </row>
    <row r="760" spans="1:22">
      <c r="A760" t="e">
        <f t="shared" si="162"/>
        <v>#VALUE!</v>
      </c>
      <c r="B760" t="e">
        <f>Table4[[#This Row],[CATEGORY]]</f>
        <v>#VALUE!</v>
      </c>
      <c r="C760" t="e">
        <f>Table4[[#This Row],[SUB-CATEGORY]]</f>
        <v>#VALUE!</v>
      </c>
      <c r="D760">
        <f>'RJ ATTENDENCE SHEET'!C:C</f>
        <v>0</v>
      </c>
      <c r="E760" t="e">
        <f t="shared" si="161"/>
        <v>#VALUE!</v>
      </c>
      <c r="F760" t="str">
        <f t="shared" si="168"/>
        <v/>
      </c>
      <c r="G760">
        <f>IFERROR(IF(F760=0,"",COUNTIF($F$3:F760,"&gt;0")),"")</f>
        <v>16</v>
      </c>
      <c r="H760" t="str">
        <f t="shared" si="163"/>
        <v/>
      </c>
      <c r="I760" t="str">
        <f t="shared" si="169"/>
        <v/>
      </c>
      <c r="J760">
        <f>IFERROR(IF(I760=0,"",COUNTIF($I$3:I760,"&gt;0")),"")</f>
        <v>34</v>
      </c>
      <c r="K760" t="str">
        <f t="shared" si="164"/>
        <v/>
      </c>
      <c r="L760" t="str">
        <f t="shared" si="170"/>
        <v/>
      </c>
      <c r="M760" t="str">
        <f t="shared" si="171"/>
        <v/>
      </c>
      <c r="N760">
        <f>IFERROR(IF(M760=0,"",COUNTIF($M$3:M760,"&gt;0")),"")</f>
        <v>33</v>
      </c>
      <c r="O760" t="str">
        <f t="shared" si="165"/>
        <v/>
      </c>
      <c r="P760" t="str">
        <f t="shared" si="172"/>
        <v/>
      </c>
      <c r="Q760" t="str">
        <f t="shared" si="173"/>
        <v/>
      </c>
      <c r="R760">
        <f>IFERROR(IF(Q760=0,"",COUNTIF($Q$3:Q760,"&gt;0")),"")</f>
        <v>16</v>
      </c>
      <c r="S760" t="str">
        <f t="shared" si="166"/>
        <v/>
      </c>
      <c r="T760" t="str">
        <f t="shared" si="174"/>
        <v/>
      </c>
      <c r="U760">
        <f>IFERROR(IF(T760=0,"",COUNTIF($T$3:T760,"&gt;0")),"")</f>
        <v>0</v>
      </c>
      <c r="V760" t="str">
        <f t="shared" si="167"/>
        <v/>
      </c>
    </row>
    <row r="761" spans="1:22">
      <c r="A761" t="e">
        <f t="shared" si="162"/>
        <v>#VALUE!</v>
      </c>
      <c r="B761" t="e">
        <f>Table4[[#This Row],[CATEGORY]]</f>
        <v>#VALUE!</v>
      </c>
      <c r="C761" t="e">
        <f>Table4[[#This Row],[SUB-CATEGORY]]</f>
        <v>#VALUE!</v>
      </c>
      <c r="D761">
        <f>'RJ ATTENDENCE SHEET'!C:C</f>
        <v>0</v>
      </c>
      <c r="E761" t="e">
        <f t="shared" si="161"/>
        <v>#VALUE!</v>
      </c>
      <c r="F761" t="str">
        <f t="shared" si="168"/>
        <v/>
      </c>
      <c r="G761">
        <f>IFERROR(IF(F761=0,"",COUNTIF($F$3:F761,"&gt;0")),"")</f>
        <v>16</v>
      </c>
      <c r="H761" t="str">
        <f t="shared" si="163"/>
        <v/>
      </c>
      <c r="I761" t="str">
        <f t="shared" si="169"/>
        <v/>
      </c>
      <c r="J761">
        <f>IFERROR(IF(I761=0,"",COUNTIF($I$3:I761,"&gt;0")),"")</f>
        <v>34</v>
      </c>
      <c r="K761" t="str">
        <f t="shared" si="164"/>
        <v/>
      </c>
      <c r="L761" t="str">
        <f t="shared" si="170"/>
        <v/>
      </c>
      <c r="M761" t="str">
        <f t="shared" si="171"/>
        <v/>
      </c>
      <c r="N761">
        <f>IFERROR(IF(M761=0,"",COUNTIF($M$3:M761,"&gt;0")),"")</f>
        <v>33</v>
      </c>
      <c r="O761" t="str">
        <f t="shared" si="165"/>
        <v/>
      </c>
      <c r="P761" t="str">
        <f t="shared" si="172"/>
        <v/>
      </c>
      <c r="Q761" t="str">
        <f t="shared" si="173"/>
        <v/>
      </c>
      <c r="R761">
        <f>IFERROR(IF(Q761=0,"",COUNTIF($Q$3:Q761,"&gt;0")),"")</f>
        <v>16</v>
      </c>
      <c r="S761" t="str">
        <f t="shared" si="166"/>
        <v/>
      </c>
      <c r="T761" t="str">
        <f t="shared" si="174"/>
        <v/>
      </c>
      <c r="U761">
        <f>IFERROR(IF(T761=0,"",COUNTIF($T$3:T761,"&gt;0")),"")</f>
        <v>0</v>
      </c>
      <c r="V761" t="str">
        <f t="shared" si="167"/>
        <v/>
      </c>
    </row>
    <row r="762" spans="1:22">
      <c r="A762" t="e">
        <f t="shared" si="162"/>
        <v>#VALUE!</v>
      </c>
      <c r="B762" t="e">
        <f>Table4[[#This Row],[CATEGORY]]</f>
        <v>#VALUE!</v>
      </c>
      <c r="C762" t="e">
        <f>Table4[[#This Row],[SUB-CATEGORY]]</f>
        <v>#VALUE!</v>
      </c>
      <c r="D762">
        <f>'RJ ATTENDENCE SHEET'!C:C</f>
        <v>0</v>
      </c>
      <c r="E762" t="e">
        <f t="shared" si="161"/>
        <v>#VALUE!</v>
      </c>
      <c r="F762" t="str">
        <f t="shared" si="168"/>
        <v/>
      </c>
      <c r="G762">
        <f>IFERROR(IF(F762=0,"",COUNTIF($F$3:F762,"&gt;0")),"")</f>
        <v>16</v>
      </c>
      <c r="H762" t="str">
        <f t="shared" si="163"/>
        <v/>
      </c>
      <c r="I762" t="str">
        <f t="shared" si="169"/>
        <v/>
      </c>
      <c r="J762">
        <f>IFERROR(IF(I762=0,"",COUNTIF($I$3:I762,"&gt;0")),"")</f>
        <v>34</v>
      </c>
      <c r="K762" t="str">
        <f t="shared" si="164"/>
        <v/>
      </c>
      <c r="L762" t="str">
        <f t="shared" si="170"/>
        <v/>
      </c>
      <c r="M762" t="str">
        <f t="shared" si="171"/>
        <v/>
      </c>
      <c r="N762">
        <f>IFERROR(IF(M762=0,"",COUNTIF($M$3:M762,"&gt;0")),"")</f>
        <v>33</v>
      </c>
      <c r="O762" t="str">
        <f t="shared" si="165"/>
        <v/>
      </c>
      <c r="P762" t="str">
        <f t="shared" si="172"/>
        <v/>
      </c>
      <c r="Q762" t="str">
        <f t="shared" si="173"/>
        <v/>
      </c>
      <c r="R762">
        <f>IFERROR(IF(Q762=0,"",COUNTIF($Q$3:Q762,"&gt;0")),"")</f>
        <v>16</v>
      </c>
      <c r="S762" t="str">
        <f t="shared" si="166"/>
        <v/>
      </c>
      <c r="T762" t="str">
        <f t="shared" si="174"/>
        <v/>
      </c>
      <c r="U762">
        <f>IFERROR(IF(T762=0,"",COUNTIF($T$3:T762,"&gt;0")),"")</f>
        <v>0</v>
      </c>
      <c r="V762" t="str">
        <f t="shared" si="167"/>
        <v/>
      </c>
    </row>
    <row r="763" spans="1:22">
      <c r="A763" t="e">
        <f t="shared" si="162"/>
        <v>#VALUE!</v>
      </c>
      <c r="B763" t="e">
        <f>Table4[[#This Row],[CATEGORY]]</f>
        <v>#VALUE!</v>
      </c>
      <c r="C763" t="e">
        <f>Table4[[#This Row],[SUB-CATEGORY]]</f>
        <v>#VALUE!</v>
      </c>
      <c r="D763">
        <f>'RJ ATTENDENCE SHEET'!C:C</f>
        <v>0</v>
      </c>
      <c r="E763" t="e">
        <f t="shared" si="161"/>
        <v>#VALUE!</v>
      </c>
      <c r="F763" t="str">
        <f t="shared" si="168"/>
        <v/>
      </c>
      <c r="G763">
        <f>IFERROR(IF(F763=0,"",COUNTIF($F$3:F763,"&gt;0")),"")</f>
        <v>16</v>
      </c>
      <c r="H763" t="str">
        <f t="shared" si="163"/>
        <v/>
      </c>
      <c r="I763" t="str">
        <f t="shared" si="169"/>
        <v/>
      </c>
      <c r="J763">
        <f>IFERROR(IF(I763=0,"",COUNTIF($I$3:I763,"&gt;0")),"")</f>
        <v>34</v>
      </c>
      <c r="K763" t="str">
        <f t="shared" si="164"/>
        <v/>
      </c>
      <c r="L763" t="str">
        <f t="shared" si="170"/>
        <v/>
      </c>
      <c r="M763" t="str">
        <f t="shared" si="171"/>
        <v/>
      </c>
      <c r="N763">
        <f>IFERROR(IF(M763=0,"",COUNTIF($M$3:M763,"&gt;0")),"")</f>
        <v>33</v>
      </c>
      <c r="O763" t="str">
        <f t="shared" si="165"/>
        <v/>
      </c>
      <c r="P763" t="str">
        <f t="shared" si="172"/>
        <v/>
      </c>
      <c r="Q763" t="str">
        <f t="shared" si="173"/>
        <v/>
      </c>
      <c r="R763">
        <f>IFERROR(IF(Q763=0,"",COUNTIF($Q$3:Q763,"&gt;0")),"")</f>
        <v>16</v>
      </c>
      <c r="S763" t="str">
        <f t="shared" si="166"/>
        <v/>
      </c>
      <c r="T763" t="str">
        <f t="shared" si="174"/>
        <v/>
      </c>
      <c r="U763">
        <f>IFERROR(IF(T763=0,"",COUNTIF($T$3:T763,"&gt;0")),"")</f>
        <v>0</v>
      </c>
      <c r="V763" t="str">
        <f t="shared" si="167"/>
        <v/>
      </c>
    </row>
    <row r="764" spans="1:22">
      <c r="A764" t="e">
        <f t="shared" si="162"/>
        <v>#VALUE!</v>
      </c>
      <c r="B764" t="e">
        <f>Table4[[#This Row],[CATEGORY]]</f>
        <v>#VALUE!</v>
      </c>
      <c r="C764" t="e">
        <f>Table4[[#This Row],[SUB-CATEGORY]]</f>
        <v>#VALUE!</v>
      </c>
      <c r="D764">
        <f>'RJ ATTENDENCE SHEET'!C:C</f>
        <v>0</v>
      </c>
      <c r="E764" t="e">
        <f t="shared" si="161"/>
        <v>#VALUE!</v>
      </c>
      <c r="F764" t="str">
        <f t="shared" si="168"/>
        <v/>
      </c>
      <c r="G764">
        <f>IFERROR(IF(F764=0,"",COUNTIF($F$3:F764,"&gt;0")),"")</f>
        <v>16</v>
      </c>
      <c r="H764" t="str">
        <f t="shared" si="163"/>
        <v/>
      </c>
      <c r="I764" t="str">
        <f t="shared" si="169"/>
        <v/>
      </c>
      <c r="J764">
        <f>IFERROR(IF(I764=0,"",COUNTIF($I$3:I764,"&gt;0")),"")</f>
        <v>34</v>
      </c>
      <c r="K764" t="str">
        <f t="shared" si="164"/>
        <v/>
      </c>
      <c r="L764" t="str">
        <f t="shared" si="170"/>
        <v/>
      </c>
      <c r="M764" t="str">
        <f t="shared" si="171"/>
        <v/>
      </c>
      <c r="N764">
        <f>IFERROR(IF(M764=0,"",COUNTIF($M$3:M764,"&gt;0")),"")</f>
        <v>33</v>
      </c>
      <c r="O764" t="str">
        <f t="shared" si="165"/>
        <v/>
      </c>
      <c r="P764" t="str">
        <f t="shared" si="172"/>
        <v/>
      </c>
      <c r="Q764" t="str">
        <f t="shared" si="173"/>
        <v/>
      </c>
      <c r="R764">
        <f>IFERROR(IF(Q764=0,"",COUNTIF($Q$3:Q764,"&gt;0")),"")</f>
        <v>16</v>
      </c>
      <c r="S764" t="str">
        <f t="shared" si="166"/>
        <v/>
      </c>
      <c r="T764" t="str">
        <f t="shared" si="174"/>
        <v/>
      </c>
      <c r="U764">
        <f>IFERROR(IF(T764=0,"",COUNTIF($T$3:T764,"&gt;0")),"")</f>
        <v>0</v>
      </c>
      <c r="V764" t="str">
        <f t="shared" si="167"/>
        <v/>
      </c>
    </row>
    <row r="765" spans="1:22">
      <c r="A765" t="e">
        <f t="shared" si="162"/>
        <v>#VALUE!</v>
      </c>
      <c r="B765" t="e">
        <f>Table4[[#This Row],[CATEGORY]]</f>
        <v>#VALUE!</v>
      </c>
      <c r="C765" t="e">
        <f>Table4[[#This Row],[SUB-CATEGORY]]</f>
        <v>#VALUE!</v>
      </c>
      <c r="D765">
        <f>'RJ ATTENDENCE SHEET'!C:C</f>
        <v>0</v>
      </c>
      <c r="E765" t="e">
        <f t="shared" si="161"/>
        <v>#VALUE!</v>
      </c>
      <c r="F765" t="str">
        <f t="shared" si="168"/>
        <v/>
      </c>
      <c r="G765">
        <f>IFERROR(IF(F765=0,"",COUNTIF($F$3:F765,"&gt;0")),"")</f>
        <v>16</v>
      </c>
      <c r="H765" t="str">
        <f t="shared" si="163"/>
        <v/>
      </c>
      <c r="I765" t="str">
        <f t="shared" si="169"/>
        <v/>
      </c>
      <c r="J765">
        <f>IFERROR(IF(I765=0,"",COUNTIF($I$3:I765,"&gt;0")),"")</f>
        <v>34</v>
      </c>
      <c r="K765" t="str">
        <f t="shared" si="164"/>
        <v/>
      </c>
      <c r="L765" t="str">
        <f t="shared" si="170"/>
        <v/>
      </c>
      <c r="M765" t="str">
        <f t="shared" si="171"/>
        <v/>
      </c>
      <c r="N765">
        <f>IFERROR(IF(M765=0,"",COUNTIF($M$3:M765,"&gt;0")),"")</f>
        <v>33</v>
      </c>
      <c r="O765" t="str">
        <f t="shared" si="165"/>
        <v/>
      </c>
      <c r="P765" t="str">
        <f t="shared" si="172"/>
        <v/>
      </c>
      <c r="Q765" t="str">
        <f t="shared" si="173"/>
        <v/>
      </c>
      <c r="R765">
        <f>IFERROR(IF(Q765=0,"",COUNTIF($Q$3:Q765,"&gt;0")),"")</f>
        <v>16</v>
      </c>
      <c r="S765" t="str">
        <f t="shared" si="166"/>
        <v/>
      </c>
      <c r="T765" t="str">
        <f t="shared" si="174"/>
        <v/>
      </c>
      <c r="U765">
        <f>IFERROR(IF(T765=0,"",COUNTIF($T$3:T765,"&gt;0")),"")</f>
        <v>0</v>
      </c>
      <c r="V765" t="str">
        <f t="shared" si="167"/>
        <v/>
      </c>
    </row>
    <row r="766" spans="1:22">
      <c r="A766" t="e">
        <f t="shared" si="162"/>
        <v>#VALUE!</v>
      </c>
      <c r="B766" t="e">
        <f>Table4[[#This Row],[CATEGORY]]</f>
        <v>#VALUE!</v>
      </c>
      <c r="C766" t="e">
        <f>Table4[[#This Row],[SUB-CATEGORY]]</f>
        <v>#VALUE!</v>
      </c>
      <c r="D766">
        <f>'RJ ATTENDENCE SHEET'!C:C</f>
        <v>0</v>
      </c>
      <c r="E766" t="e">
        <f t="shared" si="161"/>
        <v>#VALUE!</v>
      </c>
      <c r="F766" t="str">
        <f t="shared" si="168"/>
        <v/>
      </c>
      <c r="G766">
        <f>IFERROR(IF(F766=0,"",COUNTIF($F$3:F766,"&gt;0")),"")</f>
        <v>16</v>
      </c>
      <c r="H766" t="str">
        <f t="shared" si="163"/>
        <v/>
      </c>
      <c r="I766" t="str">
        <f t="shared" si="169"/>
        <v/>
      </c>
      <c r="J766">
        <f>IFERROR(IF(I766=0,"",COUNTIF($I$3:I766,"&gt;0")),"")</f>
        <v>34</v>
      </c>
      <c r="K766" t="str">
        <f t="shared" si="164"/>
        <v/>
      </c>
      <c r="L766" t="str">
        <f t="shared" si="170"/>
        <v/>
      </c>
      <c r="M766" t="str">
        <f t="shared" si="171"/>
        <v/>
      </c>
      <c r="N766">
        <f>IFERROR(IF(M766=0,"",COUNTIF($M$3:M766,"&gt;0")),"")</f>
        <v>33</v>
      </c>
      <c r="O766" t="str">
        <f t="shared" si="165"/>
        <v/>
      </c>
      <c r="P766" t="str">
        <f t="shared" si="172"/>
        <v/>
      </c>
      <c r="Q766" t="str">
        <f t="shared" si="173"/>
        <v/>
      </c>
      <c r="R766">
        <f>IFERROR(IF(Q766=0,"",COUNTIF($Q$3:Q766,"&gt;0")),"")</f>
        <v>16</v>
      </c>
      <c r="S766" t="str">
        <f t="shared" si="166"/>
        <v/>
      </c>
      <c r="T766" t="str">
        <f t="shared" si="174"/>
        <v/>
      </c>
      <c r="U766">
        <f>IFERROR(IF(T766=0,"",COUNTIF($T$3:T766,"&gt;0")),"")</f>
        <v>0</v>
      </c>
      <c r="V766" t="str">
        <f t="shared" si="167"/>
        <v/>
      </c>
    </row>
    <row r="767" spans="1:22">
      <c r="A767" t="e">
        <f t="shared" si="162"/>
        <v>#VALUE!</v>
      </c>
      <c r="B767" t="e">
        <f>Table4[[#This Row],[CATEGORY]]</f>
        <v>#VALUE!</v>
      </c>
      <c r="C767" t="e">
        <f>Table4[[#This Row],[SUB-CATEGORY]]</f>
        <v>#VALUE!</v>
      </c>
      <c r="D767">
        <f>'RJ ATTENDENCE SHEET'!C:C</f>
        <v>0</v>
      </c>
      <c r="E767" t="e">
        <f t="shared" si="161"/>
        <v>#VALUE!</v>
      </c>
      <c r="F767" t="str">
        <f t="shared" si="168"/>
        <v/>
      </c>
      <c r="G767">
        <f>IFERROR(IF(F767=0,"",COUNTIF($F$3:F767,"&gt;0")),"")</f>
        <v>16</v>
      </c>
      <c r="H767" t="str">
        <f t="shared" si="163"/>
        <v/>
      </c>
      <c r="I767" t="str">
        <f t="shared" si="169"/>
        <v/>
      </c>
      <c r="J767">
        <f>IFERROR(IF(I767=0,"",COUNTIF($I$3:I767,"&gt;0")),"")</f>
        <v>34</v>
      </c>
      <c r="K767" t="str">
        <f t="shared" si="164"/>
        <v/>
      </c>
      <c r="L767" t="str">
        <f t="shared" si="170"/>
        <v/>
      </c>
      <c r="M767" t="str">
        <f t="shared" si="171"/>
        <v/>
      </c>
      <c r="N767">
        <f>IFERROR(IF(M767=0,"",COUNTIF($M$3:M767,"&gt;0")),"")</f>
        <v>33</v>
      </c>
      <c r="O767" t="str">
        <f t="shared" si="165"/>
        <v/>
      </c>
      <c r="P767" t="str">
        <f t="shared" si="172"/>
        <v/>
      </c>
      <c r="Q767" t="str">
        <f t="shared" si="173"/>
        <v/>
      </c>
      <c r="R767">
        <f>IFERROR(IF(Q767=0,"",COUNTIF($Q$3:Q767,"&gt;0")),"")</f>
        <v>16</v>
      </c>
      <c r="S767" t="str">
        <f t="shared" si="166"/>
        <v/>
      </c>
      <c r="T767" t="str">
        <f t="shared" si="174"/>
        <v/>
      </c>
      <c r="U767">
        <f>IFERROR(IF(T767=0,"",COUNTIF($T$3:T767,"&gt;0")),"")</f>
        <v>0</v>
      </c>
      <c r="V767" t="str">
        <f t="shared" si="167"/>
        <v/>
      </c>
    </row>
    <row r="768" spans="1:22">
      <c r="A768" t="e">
        <f t="shared" si="162"/>
        <v>#VALUE!</v>
      </c>
      <c r="B768" t="e">
        <f>Table4[[#This Row],[CATEGORY]]</f>
        <v>#VALUE!</v>
      </c>
      <c r="C768" t="e">
        <f>Table4[[#This Row],[SUB-CATEGORY]]</f>
        <v>#VALUE!</v>
      </c>
      <c r="D768">
        <f>'RJ ATTENDENCE SHEET'!C:C</f>
        <v>0</v>
      </c>
      <c r="E768" t="e">
        <f t="shared" si="161"/>
        <v>#VALUE!</v>
      </c>
      <c r="F768" t="str">
        <f t="shared" si="168"/>
        <v/>
      </c>
      <c r="G768">
        <f>IFERROR(IF(F768=0,"",COUNTIF($F$3:F768,"&gt;0")),"")</f>
        <v>16</v>
      </c>
      <c r="H768" t="str">
        <f t="shared" si="163"/>
        <v/>
      </c>
      <c r="I768" t="str">
        <f t="shared" si="169"/>
        <v/>
      </c>
      <c r="J768">
        <f>IFERROR(IF(I768=0,"",COUNTIF($I$3:I768,"&gt;0")),"")</f>
        <v>34</v>
      </c>
      <c r="K768" t="str">
        <f t="shared" si="164"/>
        <v/>
      </c>
      <c r="L768" t="str">
        <f t="shared" si="170"/>
        <v/>
      </c>
      <c r="M768" t="str">
        <f t="shared" si="171"/>
        <v/>
      </c>
      <c r="N768">
        <f>IFERROR(IF(M768=0,"",COUNTIF($M$3:M768,"&gt;0")),"")</f>
        <v>33</v>
      </c>
      <c r="O768" t="str">
        <f t="shared" si="165"/>
        <v/>
      </c>
      <c r="P768" t="str">
        <f t="shared" si="172"/>
        <v/>
      </c>
      <c r="Q768" t="str">
        <f t="shared" si="173"/>
        <v/>
      </c>
      <c r="R768">
        <f>IFERROR(IF(Q768=0,"",COUNTIF($Q$3:Q768,"&gt;0")),"")</f>
        <v>16</v>
      </c>
      <c r="S768" t="str">
        <f t="shared" si="166"/>
        <v/>
      </c>
      <c r="T768" t="str">
        <f t="shared" si="174"/>
        <v/>
      </c>
      <c r="U768">
        <f>IFERROR(IF(T768=0,"",COUNTIF($T$3:T768,"&gt;0")),"")</f>
        <v>0</v>
      </c>
      <c r="V768" t="str">
        <f t="shared" si="167"/>
        <v/>
      </c>
    </row>
    <row r="769" spans="1:22">
      <c r="A769" t="e">
        <f t="shared" si="162"/>
        <v>#VALUE!</v>
      </c>
      <c r="B769" t="e">
        <f>Table4[[#This Row],[CATEGORY]]</f>
        <v>#VALUE!</v>
      </c>
      <c r="C769" t="e">
        <f>Table4[[#This Row],[SUB-CATEGORY]]</f>
        <v>#VALUE!</v>
      </c>
      <c r="D769">
        <f>'RJ ATTENDENCE SHEET'!C:C</f>
        <v>0</v>
      </c>
      <c r="E769" t="e">
        <f t="shared" si="161"/>
        <v>#VALUE!</v>
      </c>
      <c r="F769" t="str">
        <f t="shared" si="168"/>
        <v/>
      </c>
      <c r="G769">
        <f>IFERROR(IF(F769=0,"",COUNTIF($F$3:F769,"&gt;0")),"")</f>
        <v>16</v>
      </c>
      <c r="H769" t="str">
        <f t="shared" si="163"/>
        <v/>
      </c>
      <c r="I769" t="str">
        <f t="shared" si="169"/>
        <v/>
      </c>
      <c r="J769">
        <f>IFERROR(IF(I769=0,"",COUNTIF($I$3:I769,"&gt;0")),"")</f>
        <v>34</v>
      </c>
      <c r="K769" t="str">
        <f t="shared" si="164"/>
        <v/>
      </c>
      <c r="L769" t="str">
        <f t="shared" si="170"/>
        <v/>
      </c>
      <c r="M769" t="str">
        <f t="shared" si="171"/>
        <v/>
      </c>
      <c r="N769">
        <f>IFERROR(IF(M769=0,"",COUNTIF($M$3:M769,"&gt;0")),"")</f>
        <v>33</v>
      </c>
      <c r="O769" t="str">
        <f t="shared" si="165"/>
        <v/>
      </c>
      <c r="P769" t="str">
        <f t="shared" si="172"/>
        <v/>
      </c>
      <c r="Q769" t="str">
        <f t="shared" si="173"/>
        <v/>
      </c>
      <c r="R769">
        <f>IFERROR(IF(Q769=0,"",COUNTIF($Q$3:Q769,"&gt;0")),"")</f>
        <v>16</v>
      </c>
      <c r="S769" t="str">
        <f t="shared" si="166"/>
        <v/>
      </c>
      <c r="T769" t="str">
        <f t="shared" si="174"/>
        <v/>
      </c>
      <c r="U769">
        <f>IFERROR(IF(T769=0,"",COUNTIF($T$3:T769,"&gt;0")),"")</f>
        <v>0</v>
      </c>
      <c r="V769" t="str">
        <f t="shared" si="167"/>
        <v/>
      </c>
    </row>
    <row r="770" spans="1:22">
      <c r="A770" t="e">
        <f t="shared" si="162"/>
        <v>#VALUE!</v>
      </c>
      <c r="B770" t="e">
        <f>Table4[[#This Row],[CATEGORY]]</f>
        <v>#VALUE!</v>
      </c>
      <c r="C770" t="e">
        <f>Table4[[#This Row],[SUB-CATEGORY]]</f>
        <v>#VALUE!</v>
      </c>
      <c r="D770">
        <f>'RJ ATTENDENCE SHEET'!C:C</f>
        <v>0</v>
      </c>
      <c r="E770" t="e">
        <f t="shared" ref="E770:E833" si="175">C770</f>
        <v>#VALUE!</v>
      </c>
      <c r="F770" t="str">
        <f t="shared" si="168"/>
        <v/>
      </c>
      <c r="G770">
        <f>IFERROR(IF(F770=0,"",COUNTIF($F$3:F770,"&gt;0")),"")</f>
        <v>16</v>
      </c>
      <c r="H770" t="str">
        <f t="shared" si="163"/>
        <v/>
      </c>
      <c r="I770" t="str">
        <f t="shared" si="169"/>
        <v/>
      </c>
      <c r="J770">
        <f>IFERROR(IF(I770=0,"",COUNTIF($I$3:I770,"&gt;0")),"")</f>
        <v>34</v>
      </c>
      <c r="K770" t="str">
        <f t="shared" si="164"/>
        <v/>
      </c>
      <c r="L770" t="str">
        <f t="shared" si="170"/>
        <v/>
      </c>
      <c r="M770" t="str">
        <f t="shared" si="171"/>
        <v/>
      </c>
      <c r="N770">
        <f>IFERROR(IF(M770=0,"",COUNTIF($M$3:M770,"&gt;0")),"")</f>
        <v>33</v>
      </c>
      <c r="O770" t="str">
        <f t="shared" si="165"/>
        <v/>
      </c>
      <c r="P770" t="str">
        <f t="shared" si="172"/>
        <v/>
      </c>
      <c r="Q770" t="str">
        <f t="shared" si="173"/>
        <v/>
      </c>
      <c r="R770">
        <f>IFERROR(IF(Q770=0,"",COUNTIF($Q$3:Q770,"&gt;0")),"")</f>
        <v>16</v>
      </c>
      <c r="S770" t="str">
        <f t="shared" si="166"/>
        <v/>
      </c>
      <c r="T770" t="str">
        <f t="shared" si="174"/>
        <v/>
      </c>
      <c r="U770">
        <f>IFERROR(IF(T770=0,"",COUNTIF($T$3:T770,"&gt;0")),"")</f>
        <v>0</v>
      </c>
      <c r="V770" t="str">
        <f t="shared" si="167"/>
        <v/>
      </c>
    </row>
    <row r="771" spans="1:22">
      <c r="A771" t="e">
        <f t="shared" ref="A771:A834" si="176">CONCATENATE(B771,C771,D771)</f>
        <v>#VALUE!</v>
      </c>
      <c r="B771" t="e">
        <f>Table4[[#This Row],[CATEGORY]]</f>
        <v>#VALUE!</v>
      </c>
      <c r="C771" t="e">
        <f>Table4[[#This Row],[SUB-CATEGORY]]</f>
        <v>#VALUE!</v>
      </c>
      <c r="D771">
        <f>'RJ ATTENDENCE SHEET'!C:C</f>
        <v>0</v>
      </c>
      <c r="E771" t="e">
        <f t="shared" si="175"/>
        <v>#VALUE!</v>
      </c>
      <c r="F771" t="str">
        <f t="shared" si="168"/>
        <v/>
      </c>
      <c r="G771">
        <f>IFERROR(IF(F771=0,"",COUNTIF($F$3:F771,"&gt;0")),"")</f>
        <v>16</v>
      </c>
      <c r="H771" t="str">
        <f t="shared" ref="H771:H834" si="177">IFERROR(VLOOKUP(INDEX($A:$A,MATCH(ROW(F769),G:G,0)),$A:$D,4,0),"")</f>
        <v/>
      </c>
      <c r="I771" t="str">
        <f t="shared" si="169"/>
        <v/>
      </c>
      <c r="J771">
        <f>IFERROR(IF(I771=0,"",COUNTIF($I$3:I771,"&gt;0")),"")</f>
        <v>34</v>
      </c>
      <c r="K771" t="str">
        <f t="shared" ref="K771:K834" si="178">IFERROR(VLOOKUP(INDEX($A:$A,MATCH(ROW(I769),J:J,0)),$A:$D,4,0),"")</f>
        <v/>
      </c>
      <c r="L771" t="str">
        <f t="shared" si="170"/>
        <v/>
      </c>
      <c r="M771" t="str">
        <f t="shared" si="171"/>
        <v/>
      </c>
      <c r="N771">
        <f>IFERROR(IF(M771=0,"",COUNTIF($M$3:M771,"&gt;0")),"")</f>
        <v>33</v>
      </c>
      <c r="O771" t="str">
        <f t="shared" ref="O771:O834" si="179">IFERROR(VLOOKUP(INDEX($A:$A,MATCH(ROW(M769),N:N,0)),$A:$D,4,0),"")</f>
        <v/>
      </c>
      <c r="P771" t="str">
        <f t="shared" si="172"/>
        <v/>
      </c>
      <c r="Q771" t="str">
        <f t="shared" si="173"/>
        <v/>
      </c>
      <c r="R771">
        <f>IFERROR(IF(Q771=0,"",COUNTIF($Q$3:Q771,"&gt;0")),"")</f>
        <v>16</v>
      </c>
      <c r="S771" t="str">
        <f t="shared" ref="S771:S834" si="180">IFERROR(VLOOKUP(INDEX($A:$A,MATCH(ROW(Q769),R:R,0)),$A:$D,4,0),"")</f>
        <v/>
      </c>
      <c r="T771" t="str">
        <f t="shared" si="174"/>
        <v/>
      </c>
      <c r="U771">
        <f>IFERROR(IF(T771=0,"",COUNTIF($T$3:T771,"&gt;0")),"")</f>
        <v>0</v>
      </c>
      <c r="V771" t="str">
        <f t="shared" ref="V771:V834" si="181">IFERROR(VLOOKUP(INDEX($A:$A,MATCH(ROW(T769),U:U,0)),$A:$D,4,0),"")</f>
        <v/>
      </c>
    </row>
    <row r="772" spans="1:22">
      <c r="A772" t="e">
        <f t="shared" si="176"/>
        <v>#VALUE!</v>
      </c>
      <c r="B772" t="e">
        <f>Table4[[#This Row],[CATEGORY]]</f>
        <v>#VALUE!</v>
      </c>
      <c r="C772" t="e">
        <f>Table4[[#This Row],[SUB-CATEGORY]]</f>
        <v>#VALUE!</v>
      </c>
      <c r="D772">
        <f>'RJ ATTENDENCE SHEET'!C:C</f>
        <v>0</v>
      </c>
      <c r="E772" t="e">
        <f t="shared" si="175"/>
        <v>#VALUE!</v>
      </c>
      <c r="F772" t="str">
        <f t="shared" ref="F772:F835" si="182">IFERROR(SEARCH("SALARYOFFICE",$A:$A),"")</f>
        <v/>
      </c>
      <c r="G772">
        <f>IFERROR(IF(F772=0,"",COUNTIF($F$3:F772,"&gt;0")),"")</f>
        <v>16</v>
      </c>
      <c r="H772" t="str">
        <f t="shared" si="177"/>
        <v/>
      </c>
      <c r="I772" t="str">
        <f t="shared" ref="I772:I835" si="183">IFERROR(SEARCH("WAGES",$A:$A),"")</f>
        <v/>
      </c>
      <c r="J772">
        <f>IFERROR(IF(I772=0,"",COUNTIF($I$3:I772,"&gt;0")),"")</f>
        <v>34</v>
      </c>
      <c r="K772" t="str">
        <f t="shared" si="178"/>
        <v/>
      </c>
      <c r="L772" t="str">
        <f t="shared" ref="L772:L835" si="184">IFERROR(VLOOKUP(K772,$D:$E,2,0),"")</f>
        <v/>
      </c>
      <c r="M772" t="str">
        <f t="shared" ref="M772:M835" si="185">IFERROR(SEARCH("CONTRACT",$A:$A),"")</f>
        <v/>
      </c>
      <c r="N772">
        <f>IFERROR(IF(M772=0,"",COUNTIF($M$3:M772,"&gt;0")),"")</f>
        <v>33</v>
      </c>
      <c r="O772" t="str">
        <f t="shared" si="179"/>
        <v/>
      </c>
      <c r="P772" t="str">
        <f t="shared" ref="P772:P835" si="186">IFERROR(VLOOKUP(O772,$D:$E,2,0),"")</f>
        <v/>
      </c>
      <c r="Q772" t="str">
        <f t="shared" ref="Q772:Q835" si="187">IFERROR(SEARCH("SALARY",$A:$A),"")</f>
        <v/>
      </c>
      <c r="R772">
        <f>IFERROR(IF(Q772=0,"",COUNTIF($Q$3:Q772,"&gt;0")),"")</f>
        <v>16</v>
      </c>
      <c r="S772" t="str">
        <f t="shared" si="180"/>
        <v/>
      </c>
      <c r="T772" t="str">
        <f t="shared" ref="T772:T835" si="188">IFERROR(SEARCH("OTHERS0",$A:$A),"")</f>
        <v/>
      </c>
      <c r="U772">
        <f>IFERROR(IF(T772=0,"",COUNTIF($T$3:T772,"&gt;0")),"")</f>
        <v>0</v>
      </c>
      <c r="V772" t="str">
        <f t="shared" si="181"/>
        <v/>
      </c>
    </row>
    <row r="773" spans="1:22">
      <c r="A773" t="e">
        <f t="shared" si="176"/>
        <v>#VALUE!</v>
      </c>
      <c r="B773" t="e">
        <f>Table4[[#This Row],[CATEGORY]]</f>
        <v>#VALUE!</v>
      </c>
      <c r="C773" t="e">
        <f>Table4[[#This Row],[SUB-CATEGORY]]</f>
        <v>#VALUE!</v>
      </c>
      <c r="D773">
        <f>'RJ ATTENDENCE SHEET'!C:C</f>
        <v>0</v>
      </c>
      <c r="E773" t="e">
        <f t="shared" si="175"/>
        <v>#VALUE!</v>
      </c>
      <c r="F773" t="str">
        <f t="shared" si="182"/>
        <v/>
      </c>
      <c r="G773">
        <f>IFERROR(IF(F773=0,"",COUNTIF($F$3:F773,"&gt;0")),"")</f>
        <v>16</v>
      </c>
      <c r="H773" t="str">
        <f t="shared" si="177"/>
        <v/>
      </c>
      <c r="I773" t="str">
        <f t="shared" si="183"/>
        <v/>
      </c>
      <c r="J773">
        <f>IFERROR(IF(I773=0,"",COUNTIF($I$3:I773,"&gt;0")),"")</f>
        <v>34</v>
      </c>
      <c r="K773" t="str">
        <f t="shared" si="178"/>
        <v/>
      </c>
      <c r="L773" t="str">
        <f t="shared" si="184"/>
        <v/>
      </c>
      <c r="M773" t="str">
        <f t="shared" si="185"/>
        <v/>
      </c>
      <c r="N773">
        <f>IFERROR(IF(M773=0,"",COUNTIF($M$3:M773,"&gt;0")),"")</f>
        <v>33</v>
      </c>
      <c r="O773" t="str">
        <f t="shared" si="179"/>
        <v/>
      </c>
      <c r="P773" t="str">
        <f t="shared" si="186"/>
        <v/>
      </c>
      <c r="Q773" t="str">
        <f t="shared" si="187"/>
        <v/>
      </c>
      <c r="R773">
        <f>IFERROR(IF(Q773=0,"",COUNTIF($Q$3:Q773,"&gt;0")),"")</f>
        <v>16</v>
      </c>
      <c r="S773" t="str">
        <f t="shared" si="180"/>
        <v/>
      </c>
      <c r="T773" t="str">
        <f t="shared" si="188"/>
        <v/>
      </c>
      <c r="U773">
        <f>IFERROR(IF(T773=0,"",COUNTIF($T$3:T773,"&gt;0")),"")</f>
        <v>0</v>
      </c>
      <c r="V773" t="str">
        <f t="shared" si="181"/>
        <v/>
      </c>
    </row>
    <row r="774" spans="1:22">
      <c r="A774" t="e">
        <f t="shared" si="176"/>
        <v>#VALUE!</v>
      </c>
      <c r="B774" t="e">
        <f>Table4[[#This Row],[CATEGORY]]</f>
        <v>#VALUE!</v>
      </c>
      <c r="C774" t="e">
        <f>Table4[[#This Row],[SUB-CATEGORY]]</f>
        <v>#VALUE!</v>
      </c>
      <c r="D774">
        <f>'RJ ATTENDENCE SHEET'!C:C</f>
        <v>0</v>
      </c>
      <c r="E774" t="e">
        <f t="shared" si="175"/>
        <v>#VALUE!</v>
      </c>
      <c r="F774" t="str">
        <f t="shared" si="182"/>
        <v/>
      </c>
      <c r="G774">
        <f>IFERROR(IF(F774=0,"",COUNTIF($F$3:F774,"&gt;0")),"")</f>
        <v>16</v>
      </c>
      <c r="H774" t="str">
        <f t="shared" si="177"/>
        <v/>
      </c>
      <c r="I774" t="str">
        <f t="shared" si="183"/>
        <v/>
      </c>
      <c r="J774">
        <f>IFERROR(IF(I774=0,"",COUNTIF($I$3:I774,"&gt;0")),"")</f>
        <v>34</v>
      </c>
      <c r="K774" t="str">
        <f t="shared" si="178"/>
        <v/>
      </c>
      <c r="L774" t="str">
        <f t="shared" si="184"/>
        <v/>
      </c>
      <c r="M774" t="str">
        <f t="shared" si="185"/>
        <v/>
      </c>
      <c r="N774">
        <f>IFERROR(IF(M774=0,"",COUNTIF($M$3:M774,"&gt;0")),"")</f>
        <v>33</v>
      </c>
      <c r="O774" t="str">
        <f t="shared" si="179"/>
        <v/>
      </c>
      <c r="P774" t="str">
        <f t="shared" si="186"/>
        <v/>
      </c>
      <c r="Q774" t="str">
        <f t="shared" si="187"/>
        <v/>
      </c>
      <c r="R774">
        <f>IFERROR(IF(Q774=0,"",COUNTIF($Q$3:Q774,"&gt;0")),"")</f>
        <v>16</v>
      </c>
      <c r="S774" t="str">
        <f t="shared" si="180"/>
        <v/>
      </c>
      <c r="T774" t="str">
        <f t="shared" si="188"/>
        <v/>
      </c>
      <c r="U774">
        <f>IFERROR(IF(T774=0,"",COUNTIF($T$3:T774,"&gt;0")),"")</f>
        <v>0</v>
      </c>
      <c r="V774" t="str">
        <f t="shared" si="181"/>
        <v/>
      </c>
    </row>
    <row r="775" spans="1:22">
      <c r="A775" t="e">
        <f t="shared" si="176"/>
        <v>#VALUE!</v>
      </c>
      <c r="B775" t="e">
        <f>Table4[[#This Row],[CATEGORY]]</f>
        <v>#VALUE!</v>
      </c>
      <c r="C775" t="e">
        <f>Table4[[#This Row],[SUB-CATEGORY]]</f>
        <v>#VALUE!</v>
      </c>
      <c r="D775">
        <f>'RJ ATTENDENCE SHEET'!C:C</f>
        <v>0</v>
      </c>
      <c r="E775" t="e">
        <f t="shared" si="175"/>
        <v>#VALUE!</v>
      </c>
      <c r="F775" t="str">
        <f t="shared" si="182"/>
        <v/>
      </c>
      <c r="G775">
        <f>IFERROR(IF(F775=0,"",COUNTIF($F$3:F775,"&gt;0")),"")</f>
        <v>16</v>
      </c>
      <c r="H775" t="str">
        <f t="shared" si="177"/>
        <v/>
      </c>
      <c r="I775" t="str">
        <f t="shared" si="183"/>
        <v/>
      </c>
      <c r="J775">
        <f>IFERROR(IF(I775=0,"",COUNTIF($I$3:I775,"&gt;0")),"")</f>
        <v>34</v>
      </c>
      <c r="K775" t="str">
        <f t="shared" si="178"/>
        <v/>
      </c>
      <c r="L775" t="str">
        <f t="shared" si="184"/>
        <v/>
      </c>
      <c r="M775" t="str">
        <f t="shared" si="185"/>
        <v/>
      </c>
      <c r="N775">
        <f>IFERROR(IF(M775=0,"",COUNTIF($M$3:M775,"&gt;0")),"")</f>
        <v>33</v>
      </c>
      <c r="O775" t="str">
        <f t="shared" si="179"/>
        <v/>
      </c>
      <c r="P775" t="str">
        <f t="shared" si="186"/>
        <v/>
      </c>
      <c r="Q775" t="str">
        <f t="shared" si="187"/>
        <v/>
      </c>
      <c r="R775">
        <f>IFERROR(IF(Q775=0,"",COUNTIF($Q$3:Q775,"&gt;0")),"")</f>
        <v>16</v>
      </c>
      <c r="S775" t="str">
        <f t="shared" si="180"/>
        <v/>
      </c>
      <c r="T775" t="str">
        <f t="shared" si="188"/>
        <v/>
      </c>
      <c r="U775">
        <f>IFERROR(IF(T775=0,"",COUNTIF($T$3:T775,"&gt;0")),"")</f>
        <v>0</v>
      </c>
      <c r="V775" t="str">
        <f t="shared" si="181"/>
        <v/>
      </c>
    </row>
    <row r="776" spans="1:22">
      <c r="A776" t="e">
        <f t="shared" si="176"/>
        <v>#VALUE!</v>
      </c>
      <c r="B776" t="e">
        <f>Table4[[#This Row],[CATEGORY]]</f>
        <v>#VALUE!</v>
      </c>
      <c r="C776" t="e">
        <f>Table4[[#This Row],[SUB-CATEGORY]]</f>
        <v>#VALUE!</v>
      </c>
      <c r="D776">
        <f>'RJ ATTENDENCE SHEET'!C:C</f>
        <v>0</v>
      </c>
      <c r="E776" t="e">
        <f t="shared" si="175"/>
        <v>#VALUE!</v>
      </c>
      <c r="F776" t="str">
        <f t="shared" si="182"/>
        <v/>
      </c>
      <c r="G776">
        <f>IFERROR(IF(F776=0,"",COUNTIF($F$3:F776,"&gt;0")),"")</f>
        <v>16</v>
      </c>
      <c r="H776" t="str">
        <f t="shared" si="177"/>
        <v/>
      </c>
      <c r="I776" t="str">
        <f t="shared" si="183"/>
        <v/>
      </c>
      <c r="J776">
        <f>IFERROR(IF(I776=0,"",COUNTIF($I$3:I776,"&gt;0")),"")</f>
        <v>34</v>
      </c>
      <c r="K776" t="str">
        <f t="shared" si="178"/>
        <v/>
      </c>
      <c r="L776" t="str">
        <f t="shared" si="184"/>
        <v/>
      </c>
      <c r="M776" t="str">
        <f t="shared" si="185"/>
        <v/>
      </c>
      <c r="N776">
        <f>IFERROR(IF(M776=0,"",COUNTIF($M$3:M776,"&gt;0")),"")</f>
        <v>33</v>
      </c>
      <c r="O776" t="str">
        <f t="shared" si="179"/>
        <v/>
      </c>
      <c r="P776" t="str">
        <f t="shared" si="186"/>
        <v/>
      </c>
      <c r="Q776" t="str">
        <f t="shared" si="187"/>
        <v/>
      </c>
      <c r="R776">
        <f>IFERROR(IF(Q776=0,"",COUNTIF($Q$3:Q776,"&gt;0")),"")</f>
        <v>16</v>
      </c>
      <c r="S776" t="str">
        <f t="shared" si="180"/>
        <v/>
      </c>
      <c r="T776" t="str">
        <f t="shared" si="188"/>
        <v/>
      </c>
      <c r="U776">
        <f>IFERROR(IF(T776=0,"",COUNTIF($T$3:T776,"&gt;0")),"")</f>
        <v>0</v>
      </c>
      <c r="V776" t="str">
        <f t="shared" si="181"/>
        <v/>
      </c>
    </row>
    <row r="777" spans="1:22">
      <c r="A777" t="e">
        <f t="shared" si="176"/>
        <v>#VALUE!</v>
      </c>
      <c r="B777" t="e">
        <f>Table4[[#This Row],[CATEGORY]]</f>
        <v>#VALUE!</v>
      </c>
      <c r="C777" t="e">
        <f>Table4[[#This Row],[SUB-CATEGORY]]</f>
        <v>#VALUE!</v>
      </c>
      <c r="D777">
        <f>'RJ ATTENDENCE SHEET'!C:C</f>
        <v>0</v>
      </c>
      <c r="E777" t="e">
        <f t="shared" si="175"/>
        <v>#VALUE!</v>
      </c>
      <c r="F777" t="str">
        <f t="shared" si="182"/>
        <v/>
      </c>
      <c r="G777">
        <f>IFERROR(IF(F777=0,"",COUNTIF($F$3:F777,"&gt;0")),"")</f>
        <v>16</v>
      </c>
      <c r="H777" t="str">
        <f t="shared" si="177"/>
        <v/>
      </c>
      <c r="I777" t="str">
        <f t="shared" si="183"/>
        <v/>
      </c>
      <c r="J777">
        <f>IFERROR(IF(I777=0,"",COUNTIF($I$3:I777,"&gt;0")),"")</f>
        <v>34</v>
      </c>
      <c r="K777" t="str">
        <f t="shared" si="178"/>
        <v/>
      </c>
      <c r="L777" t="str">
        <f t="shared" si="184"/>
        <v/>
      </c>
      <c r="M777" t="str">
        <f t="shared" si="185"/>
        <v/>
      </c>
      <c r="N777">
        <f>IFERROR(IF(M777=0,"",COUNTIF($M$3:M777,"&gt;0")),"")</f>
        <v>33</v>
      </c>
      <c r="O777" t="str">
        <f t="shared" si="179"/>
        <v/>
      </c>
      <c r="P777" t="str">
        <f t="shared" si="186"/>
        <v/>
      </c>
      <c r="Q777" t="str">
        <f t="shared" si="187"/>
        <v/>
      </c>
      <c r="R777">
        <f>IFERROR(IF(Q777=0,"",COUNTIF($Q$3:Q777,"&gt;0")),"")</f>
        <v>16</v>
      </c>
      <c r="S777" t="str">
        <f t="shared" si="180"/>
        <v/>
      </c>
      <c r="T777" t="str">
        <f t="shared" si="188"/>
        <v/>
      </c>
      <c r="U777">
        <f>IFERROR(IF(T777=0,"",COUNTIF($T$3:T777,"&gt;0")),"")</f>
        <v>0</v>
      </c>
      <c r="V777" t="str">
        <f t="shared" si="181"/>
        <v/>
      </c>
    </row>
    <row r="778" spans="1:22">
      <c r="A778" t="e">
        <f t="shared" si="176"/>
        <v>#VALUE!</v>
      </c>
      <c r="B778" t="e">
        <f>Table4[[#This Row],[CATEGORY]]</f>
        <v>#VALUE!</v>
      </c>
      <c r="C778" t="e">
        <f>Table4[[#This Row],[SUB-CATEGORY]]</f>
        <v>#VALUE!</v>
      </c>
      <c r="D778">
        <f>'RJ ATTENDENCE SHEET'!C:C</f>
        <v>0</v>
      </c>
      <c r="E778" t="e">
        <f t="shared" si="175"/>
        <v>#VALUE!</v>
      </c>
      <c r="F778" t="str">
        <f t="shared" si="182"/>
        <v/>
      </c>
      <c r="G778">
        <f>IFERROR(IF(F778=0,"",COUNTIF($F$3:F778,"&gt;0")),"")</f>
        <v>16</v>
      </c>
      <c r="H778" t="str">
        <f t="shared" si="177"/>
        <v/>
      </c>
      <c r="I778" t="str">
        <f t="shared" si="183"/>
        <v/>
      </c>
      <c r="J778">
        <f>IFERROR(IF(I778=0,"",COUNTIF($I$3:I778,"&gt;0")),"")</f>
        <v>34</v>
      </c>
      <c r="K778" t="str">
        <f t="shared" si="178"/>
        <v/>
      </c>
      <c r="L778" t="str">
        <f t="shared" si="184"/>
        <v/>
      </c>
      <c r="M778" t="str">
        <f t="shared" si="185"/>
        <v/>
      </c>
      <c r="N778">
        <f>IFERROR(IF(M778=0,"",COUNTIF($M$3:M778,"&gt;0")),"")</f>
        <v>33</v>
      </c>
      <c r="O778" t="str">
        <f t="shared" si="179"/>
        <v/>
      </c>
      <c r="P778" t="str">
        <f t="shared" si="186"/>
        <v/>
      </c>
      <c r="Q778" t="str">
        <f t="shared" si="187"/>
        <v/>
      </c>
      <c r="R778">
        <f>IFERROR(IF(Q778=0,"",COUNTIF($Q$3:Q778,"&gt;0")),"")</f>
        <v>16</v>
      </c>
      <c r="S778" t="str">
        <f t="shared" si="180"/>
        <v/>
      </c>
      <c r="T778" t="str">
        <f t="shared" si="188"/>
        <v/>
      </c>
      <c r="U778">
        <f>IFERROR(IF(T778=0,"",COUNTIF($T$3:T778,"&gt;0")),"")</f>
        <v>0</v>
      </c>
      <c r="V778" t="str">
        <f t="shared" si="181"/>
        <v/>
      </c>
    </row>
    <row r="779" spans="1:22">
      <c r="A779" t="e">
        <f t="shared" si="176"/>
        <v>#VALUE!</v>
      </c>
      <c r="B779" t="e">
        <f>Table4[[#This Row],[CATEGORY]]</f>
        <v>#VALUE!</v>
      </c>
      <c r="C779" t="e">
        <f>Table4[[#This Row],[SUB-CATEGORY]]</f>
        <v>#VALUE!</v>
      </c>
      <c r="D779">
        <f>'RJ ATTENDENCE SHEET'!C:C</f>
        <v>0</v>
      </c>
      <c r="E779" t="e">
        <f t="shared" si="175"/>
        <v>#VALUE!</v>
      </c>
      <c r="F779" t="str">
        <f t="shared" si="182"/>
        <v/>
      </c>
      <c r="G779">
        <f>IFERROR(IF(F779=0,"",COUNTIF($F$3:F779,"&gt;0")),"")</f>
        <v>16</v>
      </c>
      <c r="H779" t="str">
        <f t="shared" si="177"/>
        <v/>
      </c>
      <c r="I779" t="str">
        <f t="shared" si="183"/>
        <v/>
      </c>
      <c r="J779">
        <f>IFERROR(IF(I779=0,"",COUNTIF($I$3:I779,"&gt;0")),"")</f>
        <v>34</v>
      </c>
      <c r="K779" t="str">
        <f t="shared" si="178"/>
        <v/>
      </c>
      <c r="L779" t="str">
        <f t="shared" si="184"/>
        <v/>
      </c>
      <c r="M779" t="str">
        <f t="shared" si="185"/>
        <v/>
      </c>
      <c r="N779">
        <f>IFERROR(IF(M779=0,"",COUNTIF($M$3:M779,"&gt;0")),"")</f>
        <v>33</v>
      </c>
      <c r="O779" t="str">
        <f t="shared" si="179"/>
        <v/>
      </c>
      <c r="P779" t="str">
        <f t="shared" si="186"/>
        <v/>
      </c>
      <c r="Q779" t="str">
        <f t="shared" si="187"/>
        <v/>
      </c>
      <c r="R779">
        <f>IFERROR(IF(Q779=0,"",COUNTIF($Q$3:Q779,"&gt;0")),"")</f>
        <v>16</v>
      </c>
      <c r="S779" t="str">
        <f t="shared" si="180"/>
        <v/>
      </c>
      <c r="T779" t="str">
        <f t="shared" si="188"/>
        <v/>
      </c>
      <c r="U779">
        <f>IFERROR(IF(T779=0,"",COUNTIF($T$3:T779,"&gt;0")),"")</f>
        <v>0</v>
      </c>
      <c r="V779" t="str">
        <f t="shared" si="181"/>
        <v/>
      </c>
    </row>
    <row r="780" spans="1:22">
      <c r="A780" t="e">
        <f t="shared" si="176"/>
        <v>#VALUE!</v>
      </c>
      <c r="B780" t="e">
        <f>Table4[[#This Row],[CATEGORY]]</f>
        <v>#VALUE!</v>
      </c>
      <c r="C780" t="e">
        <f>Table4[[#This Row],[SUB-CATEGORY]]</f>
        <v>#VALUE!</v>
      </c>
      <c r="D780">
        <f>'RJ ATTENDENCE SHEET'!C:C</f>
        <v>0</v>
      </c>
      <c r="E780" t="e">
        <f t="shared" si="175"/>
        <v>#VALUE!</v>
      </c>
      <c r="F780" t="str">
        <f t="shared" si="182"/>
        <v/>
      </c>
      <c r="G780">
        <f>IFERROR(IF(F780=0,"",COUNTIF($F$3:F780,"&gt;0")),"")</f>
        <v>16</v>
      </c>
      <c r="H780" t="str">
        <f t="shared" si="177"/>
        <v/>
      </c>
      <c r="I780" t="str">
        <f t="shared" si="183"/>
        <v/>
      </c>
      <c r="J780">
        <f>IFERROR(IF(I780=0,"",COUNTIF($I$3:I780,"&gt;0")),"")</f>
        <v>34</v>
      </c>
      <c r="K780" t="str">
        <f t="shared" si="178"/>
        <v/>
      </c>
      <c r="L780" t="str">
        <f t="shared" si="184"/>
        <v/>
      </c>
      <c r="M780" t="str">
        <f t="shared" si="185"/>
        <v/>
      </c>
      <c r="N780">
        <f>IFERROR(IF(M780=0,"",COUNTIF($M$3:M780,"&gt;0")),"")</f>
        <v>33</v>
      </c>
      <c r="O780" t="str">
        <f t="shared" si="179"/>
        <v/>
      </c>
      <c r="P780" t="str">
        <f t="shared" si="186"/>
        <v/>
      </c>
      <c r="Q780" t="str">
        <f t="shared" si="187"/>
        <v/>
      </c>
      <c r="R780">
        <f>IFERROR(IF(Q780=0,"",COUNTIF($Q$3:Q780,"&gt;0")),"")</f>
        <v>16</v>
      </c>
      <c r="S780" t="str">
        <f t="shared" si="180"/>
        <v/>
      </c>
      <c r="T780" t="str">
        <f t="shared" si="188"/>
        <v/>
      </c>
      <c r="U780">
        <f>IFERROR(IF(T780=0,"",COUNTIF($T$3:T780,"&gt;0")),"")</f>
        <v>0</v>
      </c>
      <c r="V780" t="str">
        <f t="shared" si="181"/>
        <v/>
      </c>
    </row>
    <row r="781" spans="1:22">
      <c r="A781" t="e">
        <f t="shared" si="176"/>
        <v>#VALUE!</v>
      </c>
      <c r="B781" t="e">
        <f>Table4[[#This Row],[CATEGORY]]</f>
        <v>#VALUE!</v>
      </c>
      <c r="C781" t="e">
        <f>Table4[[#This Row],[SUB-CATEGORY]]</f>
        <v>#VALUE!</v>
      </c>
      <c r="D781">
        <f>'RJ ATTENDENCE SHEET'!C:C</f>
        <v>0</v>
      </c>
      <c r="E781" t="e">
        <f t="shared" si="175"/>
        <v>#VALUE!</v>
      </c>
      <c r="F781" t="str">
        <f t="shared" si="182"/>
        <v/>
      </c>
      <c r="G781">
        <f>IFERROR(IF(F781=0,"",COUNTIF($F$3:F781,"&gt;0")),"")</f>
        <v>16</v>
      </c>
      <c r="H781" t="str">
        <f t="shared" si="177"/>
        <v/>
      </c>
      <c r="I781" t="str">
        <f t="shared" si="183"/>
        <v/>
      </c>
      <c r="J781">
        <f>IFERROR(IF(I781=0,"",COUNTIF($I$3:I781,"&gt;0")),"")</f>
        <v>34</v>
      </c>
      <c r="K781" t="str">
        <f t="shared" si="178"/>
        <v/>
      </c>
      <c r="L781" t="str">
        <f t="shared" si="184"/>
        <v/>
      </c>
      <c r="M781" t="str">
        <f t="shared" si="185"/>
        <v/>
      </c>
      <c r="N781">
        <f>IFERROR(IF(M781=0,"",COUNTIF($M$3:M781,"&gt;0")),"")</f>
        <v>33</v>
      </c>
      <c r="O781" t="str">
        <f t="shared" si="179"/>
        <v/>
      </c>
      <c r="P781" t="str">
        <f t="shared" si="186"/>
        <v/>
      </c>
      <c r="Q781" t="str">
        <f t="shared" si="187"/>
        <v/>
      </c>
      <c r="R781">
        <f>IFERROR(IF(Q781=0,"",COUNTIF($Q$3:Q781,"&gt;0")),"")</f>
        <v>16</v>
      </c>
      <c r="S781" t="str">
        <f t="shared" si="180"/>
        <v/>
      </c>
      <c r="T781" t="str">
        <f t="shared" si="188"/>
        <v/>
      </c>
      <c r="U781">
        <f>IFERROR(IF(T781=0,"",COUNTIF($T$3:T781,"&gt;0")),"")</f>
        <v>0</v>
      </c>
      <c r="V781" t="str">
        <f t="shared" si="181"/>
        <v/>
      </c>
    </row>
    <row r="782" spans="1:22">
      <c r="A782" t="e">
        <f t="shared" si="176"/>
        <v>#VALUE!</v>
      </c>
      <c r="B782" t="e">
        <f>Table4[[#This Row],[CATEGORY]]</f>
        <v>#VALUE!</v>
      </c>
      <c r="C782" t="e">
        <f>Table4[[#This Row],[SUB-CATEGORY]]</f>
        <v>#VALUE!</v>
      </c>
      <c r="D782">
        <f>'RJ ATTENDENCE SHEET'!C:C</f>
        <v>0</v>
      </c>
      <c r="E782" t="e">
        <f t="shared" si="175"/>
        <v>#VALUE!</v>
      </c>
      <c r="F782" t="str">
        <f t="shared" si="182"/>
        <v/>
      </c>
      <c r="G782">
        <f>IFERROR(IF(F782=0,"",COUNTIF($F$3:F782,"&gt;0")),"")</f>
        <v>16</v>
      </c>
      <c r="H782" t="str">
        <f t="shared" si="177"/>
        <v/>
      </c>
      <c r="I782" t="str">
        <f t="shared" si="183"/>
        <v/>
      </c>
      <c r="J782">
        <f>IFERROR(IF(I782=0,"",COUNTIF($I$3:I782,"&gt;0")),"")</f>
        <v>34</v>
      </c>
      <c r="K782" t="str">
        <f t="shared" si="178"/>
        <v/>
      </c>
      <c r="L782" t="str">
        <f t="shared" si="184"/>
        <v/>
      </c>
      <c r="M782" t="str">
        <f t="shared" si="185"/>
        <v/>
      </c>
      <c r="N782">
        <f>IFERROR(IF(M782=0,"",COUNTIF($M$3:M782,"&gt;0")),"")</f>
        <v>33</v>
      </c>
      <c r="O782" t="str">
        <f t="shared" si="179"/>
        <v/>
      </c>
      <c r="P782" t="str">
        <f t="shared" si="186"/>
        <v/>
      </c>
      <c r="Q782" t="str">
        <f t="shared" si="187"/>
        <v/>
      </c>
      <c r="R782">
        <f>IFERROR(IF(Q782=0,"",COUNTIF($Q$3:Q782,"&gt;0")),"")</f>
        <v>16</v>
      </c>
      <c r="S782" t="str">
        <f t="shared" si="180"/>
        <v/>
      </c>
      <c r="T782" t="str">
        <f t="shared" si="188"/>
        <v/>
      </c>
      <c r="U782">
        <f>IFERROR(IF(T782=0,"",COUNTIF($T$3:T782,"&gt;0")),"")</f>
        <v>0</v>
      </c>
      <c r="V782" t="str">
        <f t="shared" si="181"/>
        <v/>
      </c>
    </row>
    <row r="783" spans="1:22">
      <c r="A783" t="e">
        <f t="shared" si="176"/>
        <v>#VALUE!</v>
      </c>
      <c r="B783" t="e">
        <f>Table4[[#This Row],[CATEGORY]]</f>
        <v>#VALUE!</v>
      </c>
      <c r="C783" t="e">
        <f>Table4[[#This Row],[SUB-CATEGORY]]</f>
        <v>#VALUE!</v>
      </c>
      <c r="D783">
        <f>'RJ ATTENDENCE SHEET'!C:C</f>
        <v>0</v>
      </c>
      <c r="E783" t="e">
        <f t="shared" si="175"/>
        <v>#VALUE!</v>
      </c>
      <c r="F783" t="str">
        <f t="shared" si="182"/>
        <v/>
      </c>
      <c r="G783">
        <f>IFERROR(IF(F783=0,"",COUNTIF($F$3:F783,"&gt;0")),"")</f>
        <v>16</v>
      </c>
      <c r="H783" t="str">
        <f t="shared" si="177"/>
        <v/>
      </c>
      <c r="I783" t="str">
        <f t="shared" si="183"/>
        <v/>
      </c>
      <c r="J783">
        <f>IFERROR(IF(I783=0,"",COUNTIF($I$3:I783,"&gt;0")),"")</f>
        <v>34</v>
      </c>
      <c r="K783" t="str">
        <f t="shared" si="178"/>
        <v/>
      </c>
      <c r="L783" t="str">
        <f t="shared" si="184"/>
        <v/>
      </c>
      <c r="M783" t="str">
        <f t="shared" si="185"/>
        <v/>
      </c>
      <c r="N783">
        <f>IFERROR(IF(M783=0,"",COUNTIF($M$3:M783,"&gt;0")),"")</f>
        <v>33</v>
      </c>
      <c r="O783" t="str">
        <f t="shared" si="179"/>
        <v/>
      </c>
      <c r="P783" t="str">
        <f t="shared" si="186"/>
        <v/>
      </c>
      <c r="Q783" t="str">
        <f t="shared" si="187"/>
        <v/>
      </c>
      <c r="R783">
        <f>IFERROR(IF(Q783=0,"",COUNTIF($Q$3:Q783,"&gt;0")),"")</f>
        <v>16</v>
      </c>
      <c r="S783" t="str">
        <f t="shared" si="180"/>
        <v/>
      </c>
      <c r="T783" t="str">
        <f t="shared" si="188"/>
        <v/>
      </c>
      <c r="U783">
        <f>IFERROR(IF(T783=0,"",COUNTIF($T$3:T783,"&gt;0")),"")</f>
        <v>0</v>
      </c>
      <c r="V783" t="str">
        <f t="shared" si="181"/>
        <v/>
      </c>
    </row>
    <row r="784" spans="1:22">
      <c r="A784" t="e">
        <f t="shared" si="176"/>
        <v>#VALUE!</v>
      </c>
      <c r="B784" t="e">
        <f>Table4[[#This Row],[CATEGORY]]</f>
        <v>#VALUE!</v>
      </c>
      <c r="C784" t="e">
        <f>Table4[[#This Row],[SUB-CATEGORY]]</f>
        <v>#VALUE!</v>
      </c>
      <c r="D784">
        <f>'RJ ATTENDENCE SHEET'!C:C</f>
        <v>0</v>
      </c>
      <c r="E784" t="e">
        <f t="shared" si="175"/>
        <v>#VALUE!</v>
      </c>
      <c r="F784" t="str">
        <f t="shared" si="182"/>
        <v/>
      </c>
      <c r="G784">
        <f>IFERROR(IF(F784=0,"",COUNTIF($F$3:F784,"&gt;0")),"")</f>
        <v>16</v>
      </c>
      <c r="H784" t="str">
        <f t="shared" si="177"/>
        <v/>
      </c>
      <c r="I784" t="str">
        <f t="shared" si="183"/>
        <v/>
      </c>
      <c r="J784">
        <f>IFERROR(IF(I784=0,"",COUNTIF($I$3:I784,"&gt;0")),"")</f>
        <v>34</v>
      </c>
      <c r="K784" t="str">
        <f t="shared" si="178"/>
        <v/>
      </c>
      <c r="L784" t="str">
        <f t="shared" si="184"/>
        <v/>
      </c>
      <c r="M784" t="str">
        <f t="shared" si="185"/>
        <v/>
      </c>
      <c r="N784">
        <f>IFERROR(IF(M784=0,"",COUNTIF($M$3:M784,"&gt;0")),"")</f>
        <v>33</v>
      </c>
      <c r="O784" t="str">
        <f t="shared" si="179"/>
        <v/>
      </c>
      <c r="P784" t="str">
        <f t="shared" si="186"/>
        <v/>
      </c>
      <c r="Q784" t="str">
        <f t="shared" si="187"/>
        <v/>
      </c>
      <c r="R784">
        <f>IFERROR(IF(Q784=0,"",COUNTIF($Q$3:Q784,"&gt;0")),"")</f>
        <v>16</v>
      </c>
      <c r="S784" t="str">
        <f t="shared" si="180"/>
        <v/>
      </c>
      <c r="T784" t="str">
        <f t="shared" si="188"/>
        <v/>
      </c>
      <c r="U784">
        <f>IFERROR(IF(T784=0,"",COUNTIF($T$3:T784,"&gt;0")),"")</f>
        <v>0</v>
      </c>
      <c r="V784" t="str">
        <f t="shared" si="181"/>
        <v/>
      </c>
    </row>
    <row r="785" spans="1:22">
      <c r="A785" t="e">
        <f t="shared" si="176"/>
        <v>#VALUE!</v>
      </c>
      <c r="B785" t="e">
        <f>Table4[[#This Row],[CATEGORY]]</f>
        <v>#VALUE!</v>
      </c>
      <c r="C785" t="e">
        <f>Table4[[#This Row],[SUB-CATEGORY]]</f>
        <v>#VALUE!</v>
      </c>
      <c r="D785">
        <f>'RJ ATTENDENCE SHEET'!C:C</f>
        <v>0</v>
      </c>
      <c r="E785" t="e">
        <f t="shared" si="175"/>
        <v>#VALUE!</v>
      </c>
      <c r="F785" t="str">
        <f t="shared" si="182"/>
        <v/>
      </c>
      <c r="G785">
        <f>IFERROR(IF(F785=0,"",COUNTIF($F$3:F785,"&gt;0")),"")</f>
        <v>16</v>
      </c>
      <c r="H785" t="str">
        <f t="shared" si="177"/>
        <v/>
      </c>
      <c r="I785" t="str">
        <f t="shared" si="183"/>
        <v/>
      </c>
      <c r="J785">
        <f>IFERROR(IF(I785=0,"",COUNTIF($I$3:I785,"&gt;0")),"")</f>
        <v>34</v>
      </c>
      <c r="K785" t="str">
        <f t="shared" si="178"/>
        <v/>
      </c>
      <c r="L785" t="str">
        <f t="shared" si="184"/>
        <v/>
      </c>
      <c r="M785" t="str">
        <f t="shared" si="185"/>
        <v/>
      </c>
      <c r="N785">
        <f>IFERROR(IF(M785=0,"",COUNTIF($M$3:M785,"&gt;0")),"")</f>
        <v>33</v>
      </c>
      <c r="O785" t="str">
        <f t="shared" si="179"/>
        <v/>
      </c>
      <c r="P785" t="str">
        <f t="shared" si="186"/>
        <v/>
      </c>
      <c r="Q785" t="str">
        <f t="shared" si="187"/>
        <v/>
      </c>
      <c r="R785">
        <f>IFERROR(IF(Q785=0,"",COUNTIF($Q$3:Q785,"&gt;0")),"")</f>
        <v>16</v>
      </c>
      <c r="S785" t="str">
        <f t="shared" si="180"/>
        <v/>
      </c>
      <c r="T785" t="str">
        <f t="shared" si="188"/>
        <v/>
      </c>
      <c r="U785">
        <f>IFERROR(IF(T785=0,"",COUNTIF($T$3:T785,"&gt;0")),"")</f>
        <v>0</v>
      </c>
      <c r="V785" t="str">
        <f t="shared" si="181"/>
        <v/>
      </c>
    </row>
    <row r="786" spans="1:22">
      <c r="A786" t="e">
        <f t="shared" si="176"/>
        <v>#VALUE!</v>
      </c>
      <c r="B786" t="e">
        <f>Table4[[#This Row],[CATEGORY]]</f>
        <v>#VALUE!</v>
      </c>
      <c r="C786" t="e">
        <f>Table4[[#This Row],[SUB-CATEGORY]]</f>
        <v>#VALUE!</v>
      </c>
      <c r="D786">
        <f>'RJ ATTENDENCE SHEET'!C:C</f>
        <v>0</v>
      </c>
      <c r="E786" t="e">
        <f t="shared" si="175"/>
        <v>#VALUE!</v>
      </c>
      <c r="F786" t="str">
        <f t="shared" si="182"/>
        <v/>
      </c>
      <c r="G786">
        <f>IFERROR(IF(F786=0,"",COUNTIF($F$3:F786,"&gt;0")),"")</f>
        <v>16</v>
      </c>
      <c r="H786" t="str">
        <f t="shared" si="177"/>
        <v/>
      </c>
      <c r="I786" t="str">
        <f t="shared" si="183"/>
        <v/>
      </c>
      <c r="J786">
        <f>IFERROR(IF(I786=0,"",COUNTIF($I$3:I786,"&gt;0")),"")</f>
        <v>34</v>
      </c>
      <c r="K786" t="str">
        <f t="shared" si="178"/>
        <v/>
      </c>
      <c r="L786" t="str">
        <f t="shared" si="184"/>
        <v/>
      </c>
      <c r="M786" t="str">
        <f t="shared" si="185"/>
        <v/>
      </c>
      <c r="N786">
        <f>IFERROR(IF(M786=0,"",COUNTIF($M$3:M786,"&gt;0")),"")</f>
        <v>33</v>
      </c>
      <c r="O786" t="str">
        <f t="shared" si="179"/>
        <v/>
      </c>
      <c r="P786" t="str">
        <f t="shared" si="186"/>
        <v/>
      </c>
      <c r="Q786" t="str">
        <f t="shared" si="187"/>
        <v/>
      </c>
      <c r="R786">
        <f>IFERROR(IF(Q786=0,"",COUNTIF($Q$3:Q786,"&gt;0")),"")</f>
        <v>16</v>
      </c>
      <c r="S786" t="str">
        <f t="shared" si="180"/>
        <v/>
      </c>
      <c r="T786" t="str">
        <f t="shared" si="188"/>
        <v/>
      </c>
      <c r="U786">
        <f>IFERROR(IF(T786=0,"",COUNTIF($T$3:T786,"&gt;0")),"")</f>
        <v>0</v>
      </c>
      <c r="V786" t="str">
        <f t="shared" si="181"/>
        <v/>
      </c>
    </row>
    <row r="787" spans="1:22">
      <c r="A787" t="e">
        <f t="shared" si="176"/>
        <v>#VALUE!</v>
      </c>
      <c r="B787" t="e">
        <f>Table4[[#This Row],[CATEGORY]]</f>
        <v>#VALUE!</v>
      </c>
      <c r="C787" t="e">
        <f>Table4[[#This Row],[SUB-CATEGORY]]</f>
        <v>#VALUE!</v>
      </c>
      <c r="D787">
        <f>'RJ ATTENDENCE SHEET'!C:C</f>
        <v>0</v>
      </c>
      <c r="E787" t="e">
        <f t="shared" si="175"/>
        <v>#VALUE!</v>
      </c>
      <c r="F787" t="str">
        <f t="shared" si="182"/>
        <v/>
      </c>
      <c r="G787">
        <f>IFERROR(IF(F787=0,"",COUNTIF($F$3:F787,"&gt;0")),"")</f>
        <v>16</v>
      </c>
      <c r="H787" t="str">
        <f t="shared" si="177"/>
        <v/>
      </c>
      <c r="I787" t="str">
        <f t="shared" si="183"/>
        <v/>
      </c>
      <c r="J787">
        <f>IFERROR(IF(I787=0,"",COUNTIF($I$3:I787,"&gt;0")),"")</f>
        <v>34</v>
      </c>
      <c r="K787" t="str">
        <f t="shared" si="178"/>
        <v/>
      </c>
      <c r="L787" t="str">
        <f t="shared" si="184"/>
        <v/>
      </c>
      <c r="M787" t="str">
        <f t="shared" si="185"/>
        <v/>
      </c>
      <c r="N787">
        <f>IFERROR(IF(M787=0,"",COUNTIF($M$3:M787,"&gt;0")),"")</f>
        <v>33</v>
      </c>
      <c r="O787" t="str">
        <f t="shared" si="179"/>
        <v/>
      </c>
      <c r="P787" t="str">
        <f t="shared" si="186"/>
        <v/>
      </c>
      <c r="Q787" t="str">
        <f t="shared" si="187"/>
        <v/>
      </c>
      <c r="R787">
        <f>IFERROR(IF(Q787=0,"",COUNTIF($Q$3:Q787,"&gt;0")),"")</f>
        <v>16</v>
      </c>
      <c r="S787" t="str">
        <f t="shared" si="180"/>
        <v/>
      </c>
      <c r="T787" t="str">
        <f t="shared" si="188"/>
        <v/>
      </c>
      <c r="U787">
        <f>IFERROR(IF(T787=0,"",COUNTIF($T$3:T787,"&gt;0")),"")</f>
        <v>0</v>
      </c>
      <c r="V787" t="str">
        <f t="shared" si="181"/>
        <v/>
      </c>
    </row>
    <row r="788" spans="1:22">
      <c r="A788" t="e">
        <f t="shared" si="176"/>
        <v>#VALUE!</v>
      </c>
      <c r="B788" t="e">
        <f>Table4[[#This Row],[CATEGORY]]</f>
        <v>#VALUE!</v>
      </c>
      <c r="C788" t="e">
        <f>Table4[[#This Row],[SUB-CATEGORY]]</f>
        <v>#VALUE!</v>
      </c>
      <c r="D788">
        <f>'RJ ATTENDENCE SHEET'!C:C</f>
        <v>0</v>
      </c>
      <c r="E788" t="e">
        <f t="shared" si="175"/>
        <v>#VALUE!</v>
      </c>
      <c r="F788" t="str">
        <f t="shared" si="182"/>
        <v/>
      </c>
      <c r="G788">
        <f>IFERROR(IF(F788=0,"",COUNTIF($F$3:F788,"&gt;0")),"")</f>
        <v>16</v>
      </c>
      <c r="H788" t="str">
        <f t="shared" si="177"/>
        <v/>
      </c>
      <c r="I788" t="str">
        <f t="shared" si="183"/>
        <v/>
      </c>
      <c r="J788">
        <f>IFERROR(IF(I788=0,"",COUNTIF($I$3:I788,"&gt;0")),"")</f>
        <v>34</v>
      </c>
      <c r="K788" t="str">
        <f t="shared" si="178"/>
        <v/>
      </c>
      <c r="L788" t="str">
        <f t="shared" si="184"/>
        <v/>
      </c>
      <c r="M788" t="str">
        <f t="shared" si="185"/>
        <v/>
      </c>
      <c r="N788">
        <f>IFERROR(IF(M788=0,"",COUNTIF($M$3:M788,"&gt;0")),"")</f>
        <v>33</v>
      </c>
      <c r="O788" t="str">
        <f t="shared" si="179"/>
        <v/>
      </c>
      <c r="P788" t="str">
        <f t="shared" si="186"/>
        <v/>
      </c>
      <c r="Q788" t="str">
        <f t="shared" si="187"/>
        <v/>
      </c>
      <c r="R788">
        <f>IFERROR(IF(Q788=0,"",COUNTIF($Q$3:Q788,"&gt;0")),"")</f>
        <v>16</v>
      </c>
      <c r="S788" t="str">
        <f t="shared" si="180"/>
        <v/>
      </c>
      <c r="T788" t="str">
        <f t="shared" si="188"/>
        <v/>
      </c>
      <c r="U788">
        <f>IFERROR(IF(T788=0,"",COUNTIF($T$3:T788,"&gt;0")),"")</f>
        <v>0</v>
      </c>
      <c r="V788" t="str">
        <f t="shared" si="181"/>
        <v/>
      </c>
    </row>
    <row r="789" spans="1:22">
      <c r="A789" t="e">
        <f t="shared" si="176"/>
        <v>#VALUE!</v>
      </c>
      <c r="B789" t="e">
        <f>Table4[[#This Row],[CATEGORY]]</f>
        <v>#VALUE!</v>
      </c>
      <c r="C789" t="e">
        <f>Table4[[#This Row],[SUB-CATEGORY]]</f>
        <v>#VALUE!</v>
      </c>
      <c r="D789">
        <f>'RJ ATTENDENCE SHEET'!C:C</f>
        <v>0</v>
      </c>
      <c r="E789" t="e">
        <f t="shared" si="175"/>
        <v>#VALUE!</v>
      </c>
      <c r="F789" t="str">
        <f t="shared" si="182"/>
        <v/>
      </c>
      <c r="G789">
        <f>IFERROR(IF(F789=0,"",COUNTIF($F$3:F789,"&gt;0")),"")</f>
        <v>16</v>
      </c>
      <c r="H789" t="str">
        <f t="shared" si="177"/>
        <v/>
      </c>
      <c r="I789" t="str">
        <f t="shared" si="183"/>
        <v/>
      </c>
      <c r="J789">
        <f>IFERROR(IF(I789=0,"",COUNTIF($I$3:I789,"&gt;0")),"")</f>
        <v>34</v>
      </c>
      <c r="K789" t="str">
        <f t="shared" si="178"/>
        <v/>
      </c>
      <c r="L789" t="str">
        <f t="shared" si="184"/>
        <v/>
      </c>
      <c r="M789" t="str">
        <f t="shared" si="185"/>
        <v/>
      </c>
      <c r="N789">
        <f>IFERROR(IF(M789=0,"",COUNTIF($M$3:M789,"&gt;0")),"")</f>
        <v>33</v>
      </c>
      <c r="O789" t="str">
        <f t="shared" si="179"/>
        <v/>
      </c>
      <c r="P789" t="str">
        <f t="shared" si="186"/>
        <v/>
      </c>
      <c r="Q789" t="str">
        <f t="shared" si="187"/>
        <v/>
      </c>
      <c r="R789">
        <f>IFERROR(IF(Q789=0,"",COUNTIF($Q$3:Q789,"&gt;0")),"")</f>
        <v>16</v>
      </c>
      <c r="S789" t="str">
        <f t="shared" si="180"/>
        <v/>
      </c>
      <c r="T789" t="str">
        <f t="shared" si="188"/>
        <v/>
      </c>
      <c r="U789">
        <f>IFERROR(IF(T789=0,"",COUNTIF($T$3:T789,"&gt;0")),"")</f>
        <v>0</v>
      </c>
      <c r="V789" t="str">
        <f t="shared" si="181"/>
        <v/>
      </c>
    </row>
    <row r="790" spans="1:22">
      <c r="A790" t="e">
        <f t="shared" si="176"/>
        <v>#VALUE!</v>
      </c>
      <c r="B790" t="e">
        <f>Table4[[#This Row],[CATEGORY]]</f>
        <v>#VALUE!</v>
      </c>
      <c r="C790" t="e">
        <f>Table4[[#This Row],[SUB-CATEGORY]]</f>
        <v>#VALUE!</v>
      </c>
      <c r="D790">
        <f>'RJ ATTENDENCE SHEET'!C:C</f>
        <v>0</v>
      </c>
      <c r="E790" t="e">
        <f t="shared" si="175"/>
        <v>#VALUE!</v>
      </c>
      <c r="F790" t="str">
        <f t="shared" si="182"/>
        <v/>
      </c>
      <c r="G790">
        <f>IFERROR(IF(F790=0,"",COUNTIF($F$3:F790,"&gt;0")),"")</f>
        <v>16</v>
      </c>
      <c r="H790" t="str">
        <f t="shared" si="177"/>
        <v/>
      </c>
      <c r="I790" t="str">
        <f t="shared" si="183"/>
        <v/>
      </c>
      <c r="J790">
        <f>IFERROR(IF(I790=0,"",COUNTIF($I$3:I790,"&gt;0")),"")</f>
        <v>34</v>
      </c>
      <c r="K790" t="str">
        <f t="shared" si="178"/>
        <v/>
      </c>
      <c r="L790" t="str">
        <f t="shared" si="184"/>
        <v/>
      </c>
      <c r="M790" t="str">
        <f t="shared" si="185"/>
        <v/>
      </c>
      <c r="N790">
        <f>IFERROR(IF(M790=0,"",COUNTIF($M$3:M790,"&gt;0")),"")</f>
        <v>33</v>
      </c>
      <c r="O790" t="str">
        <f t="shared" si="179"/>
        <v/>
      </c>
      <c r="P790" t="str">
        <f t="shared" si="186"/>
        <v/>
      </c>
      <c r="Q790" t="str">
        <f t="shared" si="187"/>
        <v/>
      </c>
      <c r="R790">
        <f>IFERROR(IF(Q790=0,"",COUNTIF($Q$3:Q790,"&gt;0")),"")</f>
        <v>16</v>
      </c>
      <c r="S790" t="str">
        <f t="shared" si="180"/>
        <v/>
      </c>
      <c r="T790" t="str">
        <f t="shared" si="188"/>
        <v/>
      </c>
      <c r="U790">
        <f>IFERROR(IF(T790=0,"",COUNTIF($T$3:T790,"&gt;0")),"")</f>
        <v>0</v>
      </c>
      <c r="V790" t="str">
        <f t="shared" si="181"/>
        <v/>
      </c>
    </row>
    <row r="791" spans="1:22">
      <c r="A791" t="e">
        <f t="shared" si="176"/>
        <v>#VALUE!</v>
      </c>
      <c r="B791" t="e">
        <f>Table4[[#This Row],[CATEGORY]]</f>
        <v>#VALUE!</v>
      </c>
      <c r="C791" t="e">
        <f>Table4[[#This Row],[SUB-CATEGORY]]</f>
        <v>#VALUE!</v>
      </c>
      <c r="D791">
        <f>'RJ ATTENDENCE SHEET'!C:C</f>
        <v>0</v>
      </c>
      <c r="E791" t="e">
        <f t="shared" si="175"/>
        <v>#VALUE!</v>
      </c>
      <c r="F791" t="str">
        <f t="shared" si="182"/>
        <v/>
      </c>
      <c r="G791">
        <f>IFERROR(IF(F791=0,"",COUNTIF($F$3:F791,"&gt;0")),"")</f>
        <v>16</v>
      </c>
      <c r="H791" t="str">
        <f t="shared" si="177"/>
        <v/>
      </c>
      <c r="I791" t="str">
        <f t="shared" si="183"/>
        <v/>
      </c>
      <c r="J791">
        <f>IFERROR(IF(I791=0,"",COUNTIF($I$3:I791,"&gt;0")),"")</f>
        <v>34</v>
      </c>
      <c r="K791" t="str">
        <f t="shared" si="178"/>
        <v/>
      </c>
      <c r="L791" t="str">
        <f t="shared" si="184"/>
        <v/>
      </c>
      <c r="M791" t="str">
        <f t="shared" si="185"/>
        <v/>
      </c>
      <c r="N791">
        <f>IFERROR(IF(M791=0,"",COUNTIF($M$3:M791,"&gt;0")),"")</f>
        <v>33</v>
      </c>
      <c r="O791" t="str">
        <f t="shared" si="179"/>
        <v/>
      </c>
      <c r="P791" t="str">
        <f t="shared" si="186"/>
        <v/>
      </c>
      <c r="Q791" t="str">
        <f t="shared" si="187"/>
        <v/>
      </c>
      <c r="R791">
        <f>IFERROR(IF(Q791=0,"",COUNTIF($Q$3:Q791,"&gt;0")),"")</f>
        <v>16</v>
      </c>
      <c r="S791" t="str">
        <f t="shared" si="180"/>
        <v/>
      </c>
      <c r="T791" t="str">
        <f t="shared" si="188"/>
        <v/>
      </c>
      <c r="U791">
        <f>IFERROR(IF(T791=0,"",COUNTIF($T$3:T791,"&gt;0")),"")</f>
        <v>0</v>
      </c>
      <c r="V791" t="str">
        <f t="shared" si="181"/>
        <v/>
      </c>
    </row>
    <row r="792" spans="1:22">
      <c r="A792" t="e">
        <f t="shared" si="176"/>
        <v>#VALUE!</v>
      </c>
      <c r="B792" t="e">
        <f>Table4[[#This Row],[CATEGORY]]</f>
        <v>#VALUE!</v>
      </c>
      <c r="C792" t="e">
        <f>Table4[[#This Row],[SUB-CATEGORY]]</f>
        <v>#VALUE!</v>
      </c>
      <c r="D792">
        <f>'RJ ATTENDENCE SHEET'!C:C</f>
        <v>0</v>
      </c>
      <c r="E792" t="e">
        <f t="shared" si="175"/>
        <v>#VALUE!</v>
      </c>
      <c r="F792" t="str">
        <f t="shared" si="182"/>
        <v/>
      </c>
      <c r="G792">
        <f>IFERROR(IF(F792=0,"",COUNTIF($F$3:F792,"&gt;0")),"")</f>
        <v>16</v>
      </c>
      <c r="H792" t="str">
        <f t="shared" si="177"/>
        <v/>
      </c>
      <c r="I792" t="str">
        <f t="shared" si="183"/>
        <v/>
      </c>
      <c r="J792">
        <f>IFERROR(IF(I792=0,"",COUNTIF($I$3:I792,"&gt;0")),"")</f>
        <v>34</v>
      </c>
      <c r="K792" t="str">
        <f t="shared" si="178"/>
        <v/>
      </c>
      <c r="L792" t="str">
        <f t="shared" si="184"/>
        <v/>
      </c>
      <c r="M792" t="str">
        <f t="shared" si="185"/>
        <v/>
      </c>
      <c r="N792">
        <f>IFERROR(IF(M792=0,"",COUNTIF($M$3:M792,"&gt;0")),"")</f>
        <v>33</v>
      </c>
      <c r="O792" t="str">
        <f t="shared" si="179"/>
        <v/>
      </c>
      <c r="P792" t="str">
        <f t="shared" si="186"/>
        <v/>
      </c>
      <c r="Q792" t="str">
        <f t="shared" si="187"/>
        <v/>
      </c>
      <c r="R792">
        <f>IFERROR(IF(Q792=0,"",COUNTIF($Q$3:Q792,"&gt;0")),"")</f>
        <v>16</v>
      </c>
      <c r="S792" t="str">
        <f t="shared" si="180"/>
        <v/>
      </c>
      <c r="T792" t="str">
        <f t="shared" si="188"/>
        <v/>
      </c>
      <c r="U792">
        <f>IFERROR(IF(T792=0,"",COUNTIF($T$3:T792,"&gt;0")),"")</f>
        <v>0</v>
      </c>
      <c r="V792" t="str">
        <f t="shared" si="181"/>
        <v/>
      </c>
    </row>
    <row r="793" spans="1:22">
      <c r="A793" t="e">
        <f t="shared" si="176"/>
        <v>#VALUE!</v>
      </c>
      <c r="B793" t="e">
        <f>Table4[[#This Row],[CATEGORY]]</f>
        <v>#VALUE!</v>
      </c>
      <c r="C793" t="e">
        <f>Table4[[#This Row],[SUB-CATEGORY]]</f>
        <v>#VALUE!</v>
      </c>
      <c r="D793">
        <f>'RJ ATTENDENCE SHEET'!C:C</f>
        <v>0</v>
      </c>
      <c r="E793" t="e">
        <f t="shared" si="175"/>
        <v>#VALUE!</v>
      </c>
      <c r="F793" t="str">
        <f t="shared" si="182"/>
        <v/>
      </c>
      <c r="G793">
        <f>IFERROR(IF(F793=0,"",COUNTIF($F$3:F793,"&gt;0")),"")</f>
        <v>16</v>
      </c>
      <c r="H793" t="str">
        <f t="shared" si="177"/>
        <v/>
      </c>
      <c r="I793" t="str">
        <f t="shared" si="183"/>
        <v/>
      </c>
      <c r="J793">
        <f>IFERROR(IF(I793=0,"",COUNTIF($I$3:I793,"&gt;0")),"")</f>
        <v>34</v>
      </c>
      <c r="K793" t="str">
        <f t="shared" si="178"/>
        <v/>
      </c>
      <c r="L793" t="str">
        <f t="shared" si="184"/>
        <v/>
      </c>
      <c r="M793" t="str">
        <f t="shared" si="185"/>
        <v/>
      </c>
      <c r="N793">
        <f>IFERROR(IF(M793=0,"",COUNTIF($M$3:M793,"&gt;0")),"")</f>
        <v>33</v>
      </c>
      <c r="O793" t="str">
        <f t="shared" si="179"/>
        <v/>
      </c>
      <c r="P793" t="str">
        <f t="shared" si="186"/>
        <v/>
      </c>
      <c r="Q793" t="str">
        <f t="shared" si="187"/>
        <v/>
      </c>
      <c r="R793">
        <f>IFERROR(IF(Q793=0,"",COUNTIF($Q$3:Q793,"&gt;0")),"")</f>
        <v>16</v>
      </c>
      <c r="S793" t="str">
        <f t="shared" si="180"/>
        <v/>
      </c>
      <c r="T793" t="str">
        <f t="shared" si="188"/>
        <v/>
      </c>
      <c r="U793">
        <f>IFERROR(IF(T793=0,"",COUNTIF($T$3:T793,"&gt;0")),"")</f>
        <v>0</v>
      </c>
      <c r="V793" t="str">
        <f t="shared" si="181"/>
        <v/>
      </c>
    </row>
    <row r="794" spans="1:22">
      <c r="A794" t="e">
        <f t="shared" si="176"/>
        <v>#VALUE!</v>
      </c>
      <c r="B794" t="e">
        <f>Table4[[#This Row],[CATEGORY]]</f>
        <v>#VALUE!</v>
      </c>
      <c r="C794" t="e">
        <f>Table4[[#This Row],[SUB-CATEGORY]]</f>
        <v>#VALUE!</v>
      </c>
      <c r="D794">
        <f>'RJ ATTENDENCE SHEET'!C:C</f>
        <v>0</v>
      </c>
      <c r="E794" t="e">
        <f t="shared" si="175"/>
        <v>#VALUE!</v>
      </c>
      <c r="F794" t="str">
        <f t="shared" si="182"/>
        <v/>
      </c>
      <c r="G794">
        <f>IFERROR(IF(F794=0,"",COUNTIF($F$3:F794,"&gt;0")),"")</f>
        <v>16</v>
      </c>
      <c r="H794" t="str">
        <f t="shared" si="177"/>
        <v/>
      </c>
      <c r="I794" t="str">
        <f t="shared" si="183"/>
        <v/>
      </c>
      <c r="J794">
        <f>IFERROR(IF(I794=0,"",COUNTIF($I$3:I794,"&gt;0")),"")</f>
        <v>34</v>
      </c>
      <c r="K794" t="str">
        <f t="shared" si="178"/>
        <v/>
      </c>
      <c r="L794" t="str">
        <f t="shared" si="184"/>
        <v/>
      </c>
      <c r="M794" t="str">
        <f t="shared" si="185"/>
        <v/>
      </c>
      <c r="N794">
        <f>IFERROR(IF(M794=0,"",COUNTIF($M$3:M794,"&gt;0")),"")</f>
        <v>33</v>
      </c>
      <c r="O794" t="str">
        <f t="shared" si="179"/>
        <v/>
      </c>
      <c r="P794" t="str">
        <f t="shared" si="186"/>
        <v/>
      </c>
      <c r="Q794" t="str">
        <f t="shared" si="187"/>
        <v/>
      </c>
      <c r="R794">
        <f>IFERROR(IF(Q794=0,"",COUNTIF($Q$3:Q794,"&gt;0")),"")</f>
        <v>16</v>
      </c>
      <c r="S794" t="str">
        <f t="shared" si="180"/>
        <v/>
      </c>
      <c r="T794" t="str">
        <f t="shared" si="188"/>
        <v/>
      </c>
      <c r="U794">
        <f>IFERROR(IF(T794=0,"",COUNTIF($T$3:T794,"&gt;0")),"")</f>
        <v>0</v>
      </c>
      <c r="V794" t="str">
        <f t="shared" si="181"/>
        <v/>
      </c>
    </row>
    <row r="795" spans="1:22">
      <c r="A795" t="e">
        <f t="shared" si="176"/>
        <v>#VALUE!</v>
      </c>
      <c r="B795" t="e">
        <f>Table4[[#This Row],[CATEGORY]]</f>
        <v>#VALUE!</v>
      </c>
      <c r="C795" t="e">
        <f>Table4[[#This Row],[SUB-CATEGORY]]</f>
        <v>#VALUE!</v>
      </c>
      <c r="D795">
        <f>'RJ ATTENDENCE SHEET'!C:C</f>
        <v>0</v>
      </c>
      <c r="E795" t="e">
        <f t="shared" si="175"/>
        <v>#VALUE!</v>
      </c>
      <c r="F795" t="str">
        <f t="shared" si="182"/>
        <v/>
      </c>
      <c r="G795">
        <f>IFERROR(IF(F795=0,"",COUNTIF($F$3:F795,"&gt;0")),"")</f>
        <v>16</v>
      </c>
      <c r="H795" t="str">
        <f t="shared" si="177"/>
        <v/>
      </c>
      <c r="I795" t="str">
        <f t="shared" si="183"/>
        <v/>
      </c>
      <c r="J795">
        <f>IFERROR(IF(I795=0,"",COUNTIF($I$3:I795,"&gt;0")),"")</f>
        <v>34</v>
      </c>
      <c r="K795" t="str">
        <f t="shared" si="178"/>
        <v/>
      </c>
      <c r="L795" t="str">
        <f t="shared" si="184"/>
        <v/>
      </c>
      <c r="M795" t="str">
        <f t="shared" si="185"/>
        <v/>
      </c>
      <c r="N795">
        <f>IFERROR(IF(M795=0,"",COUNTIF($M$3:M795,"&gt;0")),"")</f>
        <v>33</v>
      </c>
      <c r="O795" t="str">
        <f t="shared" si="179"/>
        <v/>
      </c>
      <c r="P795" t="str">
        <f t="shared" si="186"/>
        <v/>
      </c>
      <c r="Q795" t="str">
        <f t="shared" si="187"/>
        <v/>
      </c>
      <c r="R795">
        <f>IFERROR(IF(Q795=0,"",COUNTIF($Q$3:Q795,"&gt;0")),"")</f>
        <v>16</v>
      </c>
      <c r="S795" t="str">
        <f t="shared" si="180"/>
        <v/>
      </c>
      <c r="T795" t="str">
        <f t="shared" si="188"/>
        <v/>
      </c>
      <c r="U795">
        <f>IFERROR(IF(T795=0,"",COUNTIF($T$3:T795,"&gt;0")),"")</f>
        <v>0</v>
      </c>
      <c r="V795" t="str">
        <f t="shared" si="181"/>
        <v/>
      </c>
    </row>
    <row r="796" spans="1:22">
      <c r="A796" t="e">
        <f t="shared" si="176"/>
        <v>#VALUE!</v>
      </c>
      <c r="B796" t="e">
        <f>Table4[[#This Row],[CATEGORY]]</f>
        <v>#VALUE!</v>
      </c>
      <c r="C796" t="e">
        <f>Table4[[#This Row],[SUB-CATEGORY]]</f>
        <v>#VALUE!</v>
      </c>
      <c r="D796">
        <f>'RJ ATTENDENCE SHEET'!C:C</f>
        <v>0</v>
      </c>
      <c r="E796" t="e">
        <f t="shared" si="175"/>
        <v>#VALUE!</v>
      </c>
      <c r="F796" t="str">
        <f t="shared" si="182"/>
        <v/>
      </c>
      <c r="G796">
        <f>IFERROR(IF(F796=0,"",COUNTIF($F$3:F796,"&gt;0")),"")</f>
        <v>16</v>
      </c>
      <c r="H796" t="str">
        <f t="shared" si="177"/>
        <v/>
      </c>
      <c r="I796" t="str">
        <f t="shared" si="183"/>
        <v/>
      </c>
      <c r="J796">
        <f>IFERROR(IF(I796=0,"",COUNTIF($I$3:I796,"&gt;0")),"")</f>
        <v>34</v>
      </c>
      <c r="K796" t="str">
        <f t="shared" si="178"/>
        <v/>
      </c>
      <c r="L796" t="str">
        <f t="shared" si="184"/>
        <v/>
      </c>
      <c r="M796" t="str">
        <f t="shared" si="185"/>
        <v/>
      </c>
      <c r="N796">
        <f>IFERROR(IF(M796=0,"",COUNTIF($M$3:M796,"&gt;0")),"")</f>
        <v>33</v>
      </c>
      <c r="O796" t="str">
        <f t="shared" si="179"/>
        <v/>
      </c>
      <c r="P796" t="str">
        <f t="shared" si="186"/>
        <v/>
      </c>
      <c r="Q796" t="str">
        <f t="shared" si="187"/>
        <v/>
      </c>
      <c r="R796">
        <f>IFERROR(IF(Q796=0,"",COUNTIF($Q$3:Q796,"&gt;0")),"")</f>
        <v>16</v>
      </c>
      <c r="S796" t="str">
        <f t="shared" si="180"/>
        <v/>
      </c>
      <c r="T796" t="str">
        <f t="shared" si="188"/>
        <v/>
      </c>
      <c r="U796">
        <f>IFERROR(IF(T796=0,"",COUNTIF($T$3:T796,"&gt;0")),"")</f>
        <v>0</v>
      </c>
      <c r="V796" t="str">
        <f t="shared" si="181"/>
        <v/>
      </c>
    </row>
    <row r="797" spans="1:22">
      <c r="A797" t="e">
        <f t="shared" si="176"/>
        <v>#VALUE!</v>
      </c>
      <c r="B797" t="e">
        <f>Table4[[#This Row],[CATEGORY]]</f>
        <v>#VALUE!</v>
      </c>
      <c r="C797" t="e">
        <f>Table4[[#This Row],[SUB-CATEGORY]]</f>
        <v>#VALUE!</v>
      </c>
      <c r="D797">
        <f>'RJ ATTENDENCE SHEET'!C:C</f>
        <v>0</v>
      </c>
      <c r="E797" t="e">
        <f t="shared" si="175"/>
        <v>#VALUE!</v>
      </c>
      <c r="F797" t="str">
        <f t="shared" si="182"/>
        <v/>
      </c>
      <c r="G797">
        <f>IFERROR(IF(F797=0,"",COUNTIF($F$3:F797,"&gt;0")),"")</f>
        <v>16</v>
      </c>
      <c r="H797" t="str">
        <f t="shared" si="177"/>
        <v/>
      </c>
      <c r="I797" t="str">
        <f t="shared" si="183"/>
        <v/>
      </c>
      <c r="J797">
        <f>IFERROR(IF(I797=0,"",COUNTIF($I$3:I797,"&gt;0")),"")</f>
        <v>34</v>
      </c>
      <c r="K797" t="str">
        <f t="shared" si="178"/>
        <v/>
      </c>
      <c r="L797" t="str">
        <f t="shared" si="184"/>
        <v/>
      </c>
      <c r="M797" t="str">
        <f t="shared" si="185"/>
        <v/>
      </c>
      <c r="N797">
        <f>IFERROR(IF(M797=0,"",COUNTIF($M$3:M797,"&gt;0")),"")</f>
        <v>33</v>
      </c>
      <c r="O797" t="str">
        <f t="shared" si="179"/>
        <v/>
      </c>
      <c r="P797" t="str">
        <f t="shared" si="186"/>
        <v/>
      </c>
      <c r="Q797" t="str">
        <f t="shared" si="187"/>
        <v/>
      </c>
      <c r="R797">
        <f>IFERROR(IF(Q797=0,"",COUNTIF($Q$3:Q797,"&gt;0")),"")</f>
        <v>16</v>
      </c>
      <c r="S797" t="str">
        <f t="shared" si="180"/>
        <v/>
      </c>
      <c r="T797" t="str">
        <f t="shared" si="188"/>
        <v/>
      </c>
      <c r="U797">
        <f>IFERROR(IF(T797=0,"",COUNTIF($T$3:T797,"&gt;0")),"")</f>
        <v>0</v>
      </c>
      <c r="V797" t="str">
        <f t="shared" si="181"/>
        <v/>
      </c>
    </row>
    <row r="798" spans="1:22">
      <c r="A798" t="e">
        <f t="shared" si="176"/>
        <v>#VALUE!</v>
      </c>
      <c r="B798" t="e">
        <f>Table4[[#This Row],[CATEGORY]]</f>
        <v>#VALUE!</v>
      </c>
      <c r="C798" t="e">
        <f>Table4[[#This Row],[SUB-CATEGORY]]</f>
        <v>#VALUE!</v>
      </c>
      <c r="D798">
        <f>'RJ ATTENDENCE SHEET'!C:C</f>
        <v>0</v>
      </c>
      <c r="E798" t="e">
        <f t="shared" si="175"/>
        <v>#VALUE!</v>
      </c>
      <c r="F798" t="str">
        <f t="shared" si="182"/>
        <v/>
      </c>
      <c r="G798">
        <f>IFERROR(IF(F798=0,"",COUNTIF($F$3:F798,"&gt;0")),"")</f>
        <v>16</v>
      </c>
      <c r="H798" t="str">
        <f t="shared" si="177"/>
        <v/>
      </c>
      <c r="I798" t="str">
        <f t="shared" si="183"/>
        <v/>
      </c>
      <c r="J798">
        <f>IFERROR(IF(I798=0,"",COUNTIF($I$3:I798,"&gt;0")),"")</f>
        <v>34</v>
      </c>
      <c r="K798" t="str">
        <f t="shared" si="178"/>
        <v/>
      </c>
      <c r="L798" t="str">
        <f t="shared" si="184"/>
        <v/>
      </c>
      <c r="M798" t="str">
        <f t="shared" si="185"/>
        <v/>
      </c>
      <c r="N798">
        <f>IFERROR(IF(M798=0,"",COUNTIF($M$3:M798,"&gt;0")),"")</f>
        <v>33</v>
      </c>
      <c r="O798" t="str">
        <f t="shared" si="179"/>
        <v/>
      </c>
      <c r="P798" t="str">
        <f t="shared" si="186"/>
        <v/>
      </c>
      <c r="Q798" t="str">
        <f t="shared" si="187"/>
        <v/>
      </c>
      <c r="R798">
        <f>IFERROR(IF(Q798=0,"",COUNTIF($Q$3:Q798,"&gt;0")),"")</f>
        <v>16</v>
      </c>
      <c r="S798" t="str">
        <f t="shared" si="180"/>
        <v/>
      </c>
      <c r="T798" t="str">
        <f t="shared" si="188"/>
        <v/>
      </c>
      <c r="U798">
        <f>IFERROR(IF(T798=0,"",COUNTIF($T$3:T798,"&gt;0")),"")</f>
        <v>0</v>
      </c>
      <c r="V798" t="str">
        <f t="shared" si="181"/>
        <v/>
      </c>
    </row>
    <row r="799" spans="1:22">
      <c r="A799" t="e">
        <f t="shared" si="176"/>
        <v>#VALUE!</v>
      </c>
      <c r="B799" t="e">
        <f>Table4[[#This Row],[CATEGORY]]</f>
        <v>#VALUE!</v>
      </c>
      <c r="C799" t="e">
        <f>Table4[[#This Row],[SUB-CATEGORY]]</f>
        <v>#VALUE!</v>
      </c>
      <c r="D799">
        <f>'RJ ATTENDENCE SHEET'!C:C</f>
        <v>0</v>
      </c>
      <c r="E799" t="e">
        <f t="shared" si="175"/>
        <v>#VALUE!</v>
      </c>
      <c r="F799" t="str">
        <f t="shared" si="182"/>
        <v/>
      </c>
      <c r="G799">
        <f>IFERROR(IF(F799=0,"",COUNTIF($F$3:F799,"&gt;0")),"")</f>
        <v>16</v>
      </c>
      <c r="H799" t="str">
        <f t="shared" si="177"/>
        <v/>
      </c>
      <c r="I799" t="str">
        <f t="shared" si="183"/>
        <v/>
      </c>
      <c r="J799">
        <f>IFERROR(IF(I799=0,"",COUNTIF($I$3:I799,"&gt;0")),"")</f>
        <v>34</v>
      </c>
      <c r="K799" t="str">
        <f t="shared" si="178"/>
        <v/>
      </c>
      <c r="L799" t="str">
        <f t="shared" si="184"/>
        <v/>
      </c>
      <c r="M799" t="str">
        <f t="shared" si="185"/>
        <v/>
      </c>
      <c r="N799">
        <f>IFERROR(IF(M799=0,"",COUNTIF($M$3:M799,"&gt;0")),"")</f>
        <v>33</v>
      </c>
      <c r="O799" t="str">
        <f t="shared" si="179"/>
        <v/>
      </c>
      <c r="P799" t="str">
        <f t="shared" si="186"/>
        <v/>
      </c>
      <c r="Q799" t="str">
        <f t="shared" si="187"/>
        <v/>
      </c>
      <c r="R799">
        <f>IFERROR(IF(Q799=0,"",COUNTIF($Q$3:Q799,"&gt;0")),"")</f>
        <v>16</v>
      </c>
      <c r="S799" t="str">
        <f t="shared" si="180"/>
        <v/>
      </c>
      <c r="T799" t="str">
        <f t="shared" si="188"/>
        <v/>
      </c>
      <c r="U799">
        <f>IFERROR(IF(T799=0,"",COUNTIF($T$3:T799,"&gt;0")),"")</f>
        <v>0</v>
      </c>
      <c r="V799" t="str">
        <f t="shared" si="181"/>
        <v/>
      </c>
    </row>
    <row r="800" spans="1:22">
      <c r="A800" t="e">
        <f t="shared" si="176"/>
        <v>#VALUE!</v>
      </c>
      <c r="B800" t="e">
        <f>Table4[[#This Row],[CATEGORY]]</f>
        <v>#VALUE!</v>
      </c>
      <c r="C800" t="e">
        <f>Table4[[#This Row],[SUB-CATEGORY]]</f>
        <v>#VALUE!</v>
      </c>
      <c r="D800">
        <f>'RJ ATTENDENCE SHEET'!C:C</f>
        <v>0</v>
      </c>
      <c r="E800" t="e">
        <f t="shared" si="175"/>
        <v>#VALUE!</v>
      </c>
      <c r="F800" t="str">
        <f t="shared" si="182"/>
        <v/>
      </c>
      <c r="G800">
        <f>IFERROR(IF(F800=0,"",COUNTIF($F$3:F800,"&gt;0")),"")</f>
        <v>16</v>
      </c>
      <c r="H800" t="str">
        <f t="shared" si="177"/>
        <v/>
      </c>
      <c r="I800" t="str">
        <f t="shared" si="183"/>
        <v/>
      </c>
      <c r="J800">
        <f>IFERROR(IF(I800=0,"",COUNTIF($I$3:I800,"&gt;0")),"")</f>
        <v>34</v>
      </c>
      <c r="K800" t="str">
        <f t="shared" si="178"/>
        <v/>
      </c>
      <c r="L800" t="str">
        <f t="shared" si="184"/>
        <v/>
      </c>
      <c r="M800" t="str">
        <f t="shared" si="185"/>
        <v/>
      </c>
      <c r="N800">
        <f>IFERROR(IF(M800=0,"",COUNTIF($M$3:M800,"&gt;0")),"")</f>
        <v>33</v>
      </c>
      <c r="O800" t="str">
        <f t="shared" si="179"/>
        <v/>
      </c>
      <c r="P800" t="str">
        <f t="shared" si="186"/>
        <v/>
      </c>
      <c r="Q800" t="str">
        <f t="shared" si="187"/>
        <v/>
      </c>
      <c r="R800">
        <f>IFERROR(IF(Q800=0,"",COUNTIF($Q$3:Q800,"&gt;0")),"")</f>
        <v>16</v>
      </c>
      <c r="S800" t="str">
        <f t="shared" si="180"/>
        <v/>
      </c>
      <c r="T800" t="str">
        <f t="shared" si="188"/>
        <v/>
      </c>
      <c r="U800">
        <f>IFERROR(IF(T800=0,"",COUNTIF($T$3:T800,"&gt;0")),"")</f>
        <v>0</v>
      </c>
      <c r="V800" t="str">
        <f t="shared" si="181"/>
        <v/>
      </c>
    </row>
    <row r="801" spans="1:22">
      <c r="A801" t="e">
        <f t="shared" si="176"/>
        <v>#VALUE!</v>
      </c>
      <c r="B801" t="e">
        <f>Table4[[#This Row],[CATEGORY]]</f>
        <v>#VALUE!</v>
      </c>
      <c r="C801" t="e">
        <f>Table4[[#This Row],[SUB-CATEGORY]]</f>
        <v>#VALUE!</v>
      </c>
      <c r="D801">
        <f>'RJ ATTENDENCE SHEET'!C:C</f>
        <v>0</v>
      </c>
      <c r="E801" t="e">
        <f t="shared" si="175"/>
        <v>#VALUE!</v>
      </c>
      <c r="F801" t="str">
        <f t="shared" si="182"/>
        <v/>
      </c>
      <c r="G801">
        <f>IFERROR(IF(F801=0,"",COUNTIF($F$3:F801,"&gt;0")),"")</f>
        <v>16</v>
      </c>
      <c r="H801" t="str">
        <f t="shared" si="177"/>
        <v/>
      </c>
      <c r="I801" t="str">
        <f t="shared" si="183"/>
        <v/>
      </c>
      <c r="J801">
        <f>IFERROR(IF(I801=0,"",COUNTIF($I$3:I801,"&gt;0")),"")</f>
        <v>34</v>
      </c>
      <c r="K801" t="str">
        <f t="shared" si="178"/>
        <v/>
      </c>
      <c r="L801" t="str">
        <f t="shared" si="184"/>
        <v/>
      </c>
      <c r="M801" t="str">
        <f t="shared" si="185"/>
        <v/>
      </c>
      <c r="N801">
        <f>IFERROR(IF(M801=0,"",COUNTIF($M$3:M801,"&gt;0")),"")</f>
        <v>33</v>
      </c>
      <c r="O801" t="str">
        <f t="shared" si="179"/>
        <v/>
      </c>
      <c r="P801" t="str">
        <f t="shared" si="186"/>
        <v/>
      </c>
      <c r="Q801" t="str">
        <f t="shared" si="187"/>
        <v/>
      </c>
      <c r="R801">
        <f>IFERROR(IF(Q801=0,"",COUNTIF($Q$3:Q801,"&gt;0")),"")</f>
        <v>16</v>
      </c>
      <c r="S801" t="str">
        <f t="shared" si="180"/>
        <v/>
      </c>
      <c r="T801" t="str">
        <f t="shared" si="188"/>
        <v/>
      </c>
      <c r="U801">
        <f>IFERROR(IF(T801=0,"",COUNTIF($T$3:T801,"&gt;0")),"")</f>
        <v>0</v>
      </c>
      <c r="V801" t="str">
        <f t="shared" si="181"/>
        <v/>
      </c>
    </row>
    <row r="802" spans="1:22">
      <c r="A802" t="e">
        <f t="shared" si="176"/>
        <v>#VALUE!</v>
      </c>
      <c r="B802" t="e">
        <f>Table4[[#This Row],[CATEGORY]]</f>
        <v>#VALUE!</v>
      </c>
      <c r="C802" t="e">
        <f>Table4[[#This Row],[SUB-CATEGORY]]</f>
        <v>#VALUE!</v>
      </c>
      <c r="D802">
        <f>'RJ ATTENDENCE SHEET'!C:C</f>
        <v>0</v>
      </c>
      <c r="E802" t="e">
        <f t="shared" si="175"/>
        <v>#VALUE!</v>
      </c>
      <c r="F802" t="str">
        <f t="shared" si="182"/>
        <v/>
      </c>
      <c r="G802">
        <f>IFERROR(IF(F802=0,"",COUNTIF($F$3:F802,"&gt;0")),"")</f>
        <v>16</v>
      </c>
      <c r="H802" t="str">
        <f t="shared" si="177"/>
        <v/>
      </c>
      <c r="I802" t="str">
        <f t="shared" si="183"/>
        <v/>
      </c>
      <c r="J802">
        <f>IFERROR(IF(I802=0,"",COUNTIF($I$3:I802,"&gt;0")),"")</f>
        <v>34</v>
      </c>
      <c r="K802" t="str">
        <f t="shared" si="178"/>
        <v/>
      </c>
      <c r="L802" t="str">
        <f t="shared" si="184"/>
        <v/>
      </c>
      <c r="M802" t="str">
        <f t="shared" si="185"/>
        <v/>
      </c>
      <c r="N802">
        <f>IFERROR(IF(M802=0,"",COUNTIF($M$3:M802,"&gt;0")),"")</f>
        <v>33</v>
      </c>
      <c r="O802" t="str">
        <f t="shared" si="179"/>
        <v/>
      </c>
      <c r="P802" t="str">
        <f t="shared" si="186"/>
        <v/>
      </c>
      <c r="Q802" t="str">
        <f t="shared" si="187"/>
        <v/>
      </c>
      <c r="R802">
        <f>IFERROR(IF(Q802=0,"",COUNTIF($Q$3:Q802,"&gt;0")),"")</f>
        <v>16</v>
      </c>
      <c r="S802" t="str">
        <f t="shared" si="180"/>
        <v/>
      </c>
      <c r="T802" t="str">
        <f t="shared" si="188"/>
        <v/>
      </c>
      <c r="U802">
        <f>IFERROR(IF(T802=0,"",COUNTIF($T$3:T802,"&gt;0")),"")</f>
        <v>0</v>
      </c>
      <c r="V802" t="str">
        <f t="shared" si="181"/>
        <v/>
      </c>
    </row>
    <row r="803" spans="1:22">
      <c r="A803" t="e">
        <f t="shared" si="176"/>
        <v>#VALUE!</v>
      </c>
      <c r="B803" t="e">
        <f>Table4[[#This Row],[CATEGORY]]</f>
        <v>#VALUE!</v>
      </c>
      <c r="C803" t="e">
        <f>Table4[[#This Row],[SUB-CATEGORY]]</f>
        <v>#VALUE!</v>
      </c>
      <c r="D803">
        <f>'RJ ATTENDENCE SHEET'!C:C</f>
        <v>0</v>
      </c>
      <c r="E803" t="e">
        <f t="shared" si="175"/>
        <v>#VALUE!</v>
      </c>
      <c r="F803" t="str">
        <f t="shared" si="182"/>
        <v/>
      </c>
      <c r="G803">
        <f>IFERROR(IF(F803=0,"",COUNTIF($F$3:F803,"&gt;0")),"")</f>
        <v>16</v>
      </c>
      <c r="H803" t="str">
        <f t="shared" si="177"/>
        <v/>
      </c>
      <c r="I803" t="str">
        <f t="shared" si="183"/>
        <v/>
      </c>
      <c r="J803">
        <f>IFERROR(IF(I803=0,"",COUNTIF($I$3:I803,"&gt;0")),"")</f>
        <v>34</v>
      </c>
      <c r="K803" t="str">
        <f t="shared" si="178"/>
        <v/>
      </c>
      <c r="L803" t="str">
        <f t="shared" si="184"/>
        <v/>
      </c>
      <c r="M803" t="str">
        <f t="shared" si="185"/>
        <v/>
      </c>
      <c r="N803">
        <f>IFERROR(IF(M803=0,"",COUNTIF($M$3:M803,"&gt;0")),"")</f>
        <v>33</v>
      </c>
      <c r="O803" t="str">
        <f t="shared" si="179"/>
        <v/>
      </c>
      <c r="P803" t="str">
        <f t="shared" si="186"/>
        <v/>
      </c>
      <c r="Q803" t="str">
        <f t="shared" si="187"/>
        <v/>
      </c>
      <c r="R803">
        <f>IFERROR(IF(Q803=0,"",COUNTIF($Q$3:Q803,"&gt;0")),"")</f>
        <v>16</v>
      </c>
      <c r="S803" t="str">
        <f t="shared" si="180"/>
        <v/>
      </c>
      <c r="T803" t="str">
        <f t="shared" si="188"/>
        <v/>
      </c>
      <c r="U803">
        <f>IFERROR(IF(T803=0,"",COUNTIF($T$3:T803,"&gt;0")),"")</f>
        <v>0</v>
      </c>
      <c r="V803" t="str">
        <f t="shared" si="181"/>
        <v/>
      </c>
    </row>
    <row r="804" spans="1:22">
      <c r="A804" t="e">
        <f t="shared" si="176"/>
        <v>#VALUE!</v>
      </c>
      <c r="B804" t="e">
        <f>Table4[[#This Row],[CATEGORY]]</f>
        <v>#VALUE!</v>
      </c>
      <c r="C804" t="e">
        <f>Table4[[#This Row],[SUB-CATEGORY]]</f>
        <v>#VALUE!</v>
      </c>
      <c r="D804">
        <f>'RJ ATTENDENCE SHEET'!C:C</f>
        <v>0</v>
      </c>
      <c r="E804" t="e">
        <f t="shared" si="175"/>
        <v>#VALUE!</v>
      </c>
      <c r="F804" t="str">
        <f t="shared" si="182"/>
        <v/>
      </c>
      <c r="G804">
        <f>IFERROR(IF(F804=0,"",COUNTIF($F$3:F804,"&gt;0")),"")</f>
        <v>16</v>
      </c>
      <c r="H804" t="str">
        <f t="shared" si="177"/>
        <v/>
      </c>
      <c r="I804" t="str">
        <f t="shared" si="183"/>
        <v/>
      </c>
      <c r="J804">
        <f>IFERROR(IF(I804=0,"",COUNTIF($I$3:I804,"&gt;0")),"")</f>
        <v>34</v>
      </c>
      <c r="K804" t="str">
        <f t="shared" si="178"/>
        <v/>
      </c>
      <c r="L804" t="str">
        <f t="shared" si="184"/>
        <v/>
      </c>
      <c r="M804" t="str">
        <f t="shared" si="185"/>
        <v/>
      </c>
      <c r="N804">
        <f>IFERROR(IF(M804=0,"",COUNTIF($M$3:M804,"&gt;0")),"")</f>
        <v>33</v>
      </c>
      <c r="O804" t="str">
        <f t="shared" si="179"/>
        <v/>
      </c>
      <c r="P804" t="str">
        <f t="shared" si="186"/>
        <v/>
      </c>
      <c r="Q804" t="str">
        <f t="shared" si="187"/>
        <v/>
      </c>
      <c r="R804">
        <f>IFERROR(IF(Q804=0,"",COUNTIF($Q$3:Q804,"&gt;0")),"")</f>
        <v>16</v>
      </c>
      <c r="S804" t="str">
        <f t="shared" si="180"/>
        <v/>
      </c>
      <c r="T804" t="str">
        <f t="shared" si="188"/>
        <v/>
      </c>
      <c r="U804">
        <f>IFERROR(IF(T804=0,"",COUNTIF($T$3:T804,"&gt;0")),"")</f>
        <v>0</v>
      </c>
      <c r="V804" t="str">
        <f t="shared" si="181"/>
        <v/>
      </c>
    </row>
    <row r="805" spans="1:22">
      <c r="A805" t="e">
        <f t="shared" si="176"/>
        <v>#VALUE!</v>
      </c>
      <c r="B805" t="e">
        <f>Table4[[#This Row],[CATEGORY]]</f>
        <v>#VALUE!</v>
      </c>
      <c r="C805" t="e">
        <f>Table4[[#This Row],[SUB-CATEGORY]]</f>
        <v>#VALUE!</v>
      </c>
      <c r="D805">
        <f>'RJ ATTENDENCE SHEET'!C:C</f>
        <v>0</v>
      </c>
      <c r="E805" t="e">
        <f t="shared" si="175"/>
        <v>#VALUE!</v>
      </c>
      <c r="F805" t="str">
        <f t="shared" si="182"/>
        <v/>
      </c>
      <c r="G805">
        <f>IFERROR(IF(F805=0,"",COUNTIF($F$3:F805,"&gt;0")),"")</f>
        <v>16</v>
      </c>
      <c r="H805" t="str">
        <f t="shared" si="177"/>
        <v/>
      </c>
      <c r="I805" t="str">
        <f t="shared" si="183"/>
        <v/>
      </c>
      <c r="J805">
        <f>IFERROR(IF(I805=0,"",COUNTIF($I$3:I805,"&gt;0")),"")</f>
        <v>34</v>
      </c>
      <c r="K805" t="str">
        <f t="shared" si="178"/>
        <v/>
      </c>
      <c r="L805" t="str">
        <f t="shared" si="184"/>
        <v/>
      </c>
      <c r="M805" t="str">
        <f t="shared" si="185"/>
        <v/>
      </c>
      <c r="N805">
        <f>IFERROR(IF(M805=0,"",COUNTIF($M$3:M805,"&gt;0")),"")</f>
        <v>33</v>
      </c>
      <c r="O805" t="str">
        <f t="shared" si="179"/>
        <v/>
      </c>
      <c r="P805" t="str">
        <f t="shared" si="186"/>
        <v/>
      </c>
      <c r="Q805" t="str">
        <f t="shared" si="187"/>
        <v/>
      </c>
      <c r="R805">
        <f>IFERROR(IF(Q805=0,"",COUNTIF($Q$3:Q805,"&gt;0")),"")</f>
        <v>16</v>
      </c>
      <c r="S805" t="str">
        <f t="shared" si="180"/>
        <v/>
      </c>
      <c r="T805" t="str">
        <f t="shared" si="188"/>
        <v/>
      </c>
      <c r="U805">
        <f>IFERROR(IF(T805=0,"",COUNTIF($T$3:T805,"&gt;0")),"")</f>
        <v>0</v>
      </c>
      <c r="V805" t="str">
        <f t="shared" si="181"/>
        <v/>
      </c>
    </row>
    <row r="806" spans="1:22">
      <c r="A806" t="e">
        <f t="shared" si="176"/>
        <v>#VALUE!</v>
      </c>
      <c r="B806" t="e">
        <f>Table4[[#This Row],[CATEGORY]]</f>
        <v>#VALUE!</v>
      </c>
      <c r="C806" t="e">
        <f>Table4[[#This Row],[SUB-CATEGORY]]</f>
        <v>#VALUE!</v>
      </c>
      <c r="D806">
        <f>'RJ ATTENDENCE SHEET'!C:C</f>
        <v>0</v>
      </c>
      <c r="E806" t="e">
        <f t="shared" si="175"/>
        <v>#VALUE!</v>
      </c>
      <c r="F806" t="str">
        <f t="shared" si="182"/>
        <v/>
      </c>
      <c r="G806">
        <f>IFERROR(IF(F806=0,"",COUNTIF($F$3:F806,"&gt;0")),"")</f>
        <v>16</v>
      </c>
      <c r="H806" t="str">
        <f t="shared" si="177"/>
        <v/>
      </c>
      <c r="I806" t="str">
        <f t="shared" si="183"/>
        <v/>
      </c>
      <c r="J806">
        <f>IFERROR(IF(I806=0,"",COUNTIF($I$3:I806,"&gt;0")),"")</f>
        <v>34</v>
      </c>
      <c r="K806" t="str">
        <f t="shared" si="178"/>
        <v/>
      </c>
      <c r="L806" t="str">
        <f t="shared" si="184"/>
        <v/>
      </c>
      <c r="M806" t="str">
        <f t="shared" si="185"/>
        <v/>
      </c>
      <c r="N806">
        <f>IFERROR(IF(M806=0,"",COUNTIF($M$3:M806,"&gt;0")),"")</f>
        <v>33</v>
      </c>
      <c r="O806" t="str">
        <f t="shared" si="179"/>
        <v/>
      </c>
      <c r="P806" t="str">
        <f t="shared" si="186"/>
        <v/>
      </c>
      <c r="Q806" t="str">
        <f t="shared" si="187"/>
        <v/>
      </c>
      <c r="R806">
        <f>IFERROR(IF(Q806=0,"",COUNTIF($Q$3:Q806,"&gt;0")),"")</f>
        <v>16</v>
      </c>
      <c r="S806" t="str">
        <f t="shared" si="180"/>
        <v/>
      </c>
      <c r="T806" t="str">
        <f t="shared" si="188"/>
        <v/>
      </c>
      <c r="U806">
        <f>IFERROR(IF(T806=0,"",COUNTIF($T$3:T806,"&gt;0")),"")</f>
        <v>0</v>
      </c>
      <c r="V806" t="str">
        <f t="shared" si="181"/>
        <v/>
      </c>
    </row>
    <row r="807" spans="1:22">
      <c r="A807" t="e">
        <f t="shared" si="176"/>
        <v>#VALUE!</v>
      </c>
      <c r="B807" t="e">
        <f>Table4[[#This Row],[CATEGORY]]</f>
        <v>#VALUE!</v>
      </c>
      <c r="C807" t="e">
        <f>Table4[[#This Row],[SUB-CATEGORY]]</f>
        <v>#VALUE!</v>
      </c>
      <c r="D807">
        <f>'RJ ATTENDENCE SHEET'!C:C</f>
        <v>0</v>
      </c>
      <c r="E807" t="e">
        <f t="shared" si="175"/>
        <v>#VALUE!</v>
      </c>
      <c r="F807" t="str">
        <f t="shared" si="182"/>
        <v/>
      </c>
      <c r="G807">
        <f>IFERROR(IF(F807=0,"",COUNTIF($F$3:F807,"&gt;0")),"")</f>
        <v>16</v>
      </c>
      <c r="H807" t="str">
        <f t="shared" si="177"/>
        <v/>
      </c>
      <c r="I807" t="str">
        <f t="shared" si="183"/>
        <v/>
      </c>
      <c r="J807">
        <f>IFERROR(IF(I807=0,"",COUNTIF($I$3:I807,"&gt;0")),"")</f>
        <v>34</v>
      </c>
      <c r="K807" t="str">
        <f t="shared" si="178"/>
        <v/>
      </c>
      <c r="L807" t="str">
        <f t="shared" si="184"/>
        <v/>
      </c>
      <c r="M807" t="str">
        <f t="shared" si="185"/>
        <v/>
      </c>
      <c r="N807">
        <f>IFERROR(IF(M807=0,"",COUNTIF($M$3:M807,"&gt;0")),"")</f>
        <v>33</v>
      </c>
      <c r="O807" t="str">
        <f t="shared" si="179"/>
        <v/>
      </c>
      <c r="P807" t="str">
        <f t="shared" si="186"/>
        <v/>
      </c>
      <c r="Q807" t="str">
        <f t="shared" si="187"/>
        <v/>
      </c>
      <c r="R807">
        <f>IFERROR(IF(Q807=0,"",COUNTIF($Q$3:Q807,"&gt;0")),"")</f>
        <v>16</v>
      </c>
      <c r="S807" t="str">
        <f t="shared" si="180"/>
        <v/>
      </c>
      <c r="T807" t="str">
        <f t="shared" si="188"/>
        <v/>
      </c>
      <c r="U807">
        <f>IFERROR(IF(T807=0,"",COUNTIF($T$3:T807,"&gt;0")),"")</f>
        <v>0</v>
      </c>
      <c r="V807" t="str">
        <f t="shared" si="181"/>
        <v/>
      </c>
    </row>
    <row r="808" spans="1:22">
      <c r="A808" t="e">
        <f t="shared" si="176"/>
        <v>#VALUE!</v>
      </c>
      <c r="B808" t="e">
        <f>Table4[[#This Row],[CATEGORY]]</f>
        <v>#VALUE!</v>
      </c>
      <c r="C808" t="e">
        <f>Table4[[#This Row],[SUB-CATEGORY]]</f>
        <v>#VALUE!</v>
      </c>
      <c r="D808">
        <f>'RJ ATTENDENCE SHEET'!C:C</f>
        <v>0</v>
      </c>
      <c r="E808" t="e">
        <f t="shared" si="175"/>
        <v>#VALUE!</v>
      </c>
      <c r="F808" t="str">
        <f t="shared" si="182"/>
        <v/>
      </c>
      <c r="G808">
        <f>IFERROR(IF(F808=0,"",COUNTIF($F$3:F808,"&gt;0")),"")</f>
        <v>16</v>
      </c>
      <c r="H808" t="str">
        <f t="shared" si="177"/>
        <v/>
      </c>
      <c r="I808" t="str">
        <f t="shared" si="183"/>
        <v/>
      </c>
      <c r="J808">
        <f>IFERROR(IF(I808=0,"",COUNTIF($I$3:I808,"&gt;0")),"")</f>
        <v>34</v>
      </c>
      <c r="K808" t="str">
        <f t="shared" si="178"/>
        <v/>
      </c>
      <c r="L808" t="str">
        <f t="shared" si="184"/>
        <v/>
      </c>
      <c r="M808" t="str">
        <f t="shared" si="185"/>
        <v/>
      </c>
      <c r="N808">
        <f>IFERROR(IF(M808=0,"",COUNTIF($M$3:M808,"&gt;0")),"")</f>
        <v>33</v>
      </c>
      <c r="O808" t="str">
        <f t="shared" si="179"/>
        <v/>
      </c>
      <c r="P808" t="str">
        <f t="shared" si="186"/>
        <v/>
      </c>
      <c r="Q808" t="str">
        <f t="shared" si="187"/>
        <v/>
      </c>
      <c r="R808">
        <f>IFERROR(IF(Q808=0,"",COUNTIF($Q$3:Q808,"&gt;0")),"")</f>
        <v>16</v>
      </c>
      <c r="S808" t="str">
        <f t="shared" si="180"/>
        <v/>
      </c>
      <c r="T808" t="str">
        <f t="shared" si="188"/>
        <v/>
      </c>
      <c r="U808">
        <f>IFERROR(IF(T808=0,"",COUNTIF($T$3:T808,"&gt;0")),"")</f>
        <v>0</v>
      </c>
      <c r="V808" t="str">
        <f t="shared" si="181"/>
        <v/>
      </c>
    </row>
    <row r="809" spans="1:22">
      <c r="A809" t="e">
        <f t="shared" si="176"/>
        <v>#VALUE!</v>
      </c>
      <c r="B809" t="e">
        <f>Table4[[#This Row],[CATEGORY]]</f>
        <v>#VALUE!</v>
      </c>
      <c r="C809" t="e">
        <f>Table4[[#This Row],[SUB-CATEGORY]]</f>
        <v>#VALUE!</v>
      </c>
      <c r="D809">
        <f>'RJ ATTENDENCE SHEET'!C:C</f>
        <v>0</v>
      </c>
      <c r="E809" t="e">
        <f t="shared" si="175"/>
        <v>#VALUE!</v>
      </c>
      <c r="F809" t="str">
        <f t="shared" si="182"/>
        <v/>
      </c>
      <c r="G809">
        <f>IFERROR(IF(F809=0,"",COUNTIF($F$3:F809,"&gt;0")),"")</f>
        <v>16</v>
      </c>
      <c r="H809" t="str">
        <f t="shared" si="177"/>
        <v/>
      </c>
      <c r="I809" t="str">
        <f t="shared" si="183"/>
        <v/>
      </c>
      <c r="J809">
        <f>IFERROR(IF(I809=0,"",COUNTIF($I$3:I809,"&gt;0")),"")</f>
        <v>34</v>
      </c>
      <c r="K809" t="str">
        <f t="shared" si="178"/>
        <v/>
      </c>
      <c r="L809" t="str">
        <f t="shared" si="184"/>
        <v/>
      </c>
      <c r="M809" t="str">
        <f t="shared" si="185"/>
        <v/>
      </c>
      <c r="N809">
        <f>IFERROR(IF(M809=0,"",COUNTIF($M$3:M809,"&gt;0")),"")</f>
        <v>33</v>
      </c>
      <c r="O809" t="str">
        <f t="shared" si="179"/>
        <v/>
      </c>
      <c r="P809" t="str">
        <f t="shared" si="186"/>
        <v/>
      </c>
      <c r="Q809" t="str">
        <f t="shared" si="187"/>
        <v/>
      </c>
      <c r="R809">
        <f>IFERROR(IF(Q809=0,"",COUNTIF($Q$3:Q809,"&gt;0")),"")</f>
        <v>16</v>
      </c>
      <c r="S809" t="str">
        <f t="shared" si="180"/>
        <v/>
      </c>
      <c r="T809" t="str">
        <f t="shared" si="188"/>
        <v/>
      </c>
      <c r="U809">
        <f>IFERROR(IF(T809=0,"",COUNTIF($T$3:T809,"&gt;0")),"")</f>
        <v>0</v>
      </c>
      <c r="V809" t="str">
        <f t="shared" si="181"/>
        <v/>
      </c>
    </row>
    <row r="810" spans="1:22">
      <c r="A810" t="e">
        <f t="shared" si="176"/>
        <v>#VALUE!</v>
      </c>
      <c r="B810" t="e">
        <f>Table4[[#This Row],[CATEGORY]]</f>
        <v>#VALUE!</v>
      </c>
      <c r="C810" t="e">
        <f>Table4[[#This Row],[SUB-CATEGORY]]</f>
        <v>#VALUE!</v>
      </c>
      <c r="D810">
        <f>'RJ ATTENDENCE SHEET'!C:C</f>
        <v>0</v>
      </c>
      <c r="E810" t="e">
        <f t="shared" si="175"/>
        <v>#VALUE!</v>
      </c>
      <c r="F810" t="str">
        <f t="shared" si="182"/>
        <v/>
      </c>
      <c r="G810">
        <f>IFERROR(IF(F810=0,"",COUNTIF($F$3:F810,"&gt;0")),"")</f>
        <v>16</v>
      </c>
      <c r="H810" t="str">
        <f t="shared" si="177"/>
        <v/>
      </c>
      <c r="I810" t="str">
        <f t="shared" si="183"/>
        <v/>
      </c>
      <c r="J810">
        <f>IFERROR(IF(I810=0,"",COUNTIF($I$3:I810,"&gt;0")),"")</f>
        <v>34</v>
      </c>
      <c r="K810" t="str">
        <f t="shared" si="178"/>
        <v/>
      </c>
      <c r="L810" t="str">
        <f t="shared" si="184"/>
        <v/>
      </c>
      <c r="M810" t="str">
        <f t="shared" si="185"/>
        <v/>
      </c>
      <c r="N810">
        <f>IFERROR(IF(M810=0,"",COUNTIF($M$3:M810,"&gt;0")),"")</f>
        <v>33</v>
      </c>
      <c r="O810" t="str">
        <f t="shared" si="179"/>
        <v/>
      </c>
      <c r="P810" t="str">
        <f t="shared" si="186"/>
        <v/>
      </c>
      <c r="Q810" t="str">
        <f t="shared" si="187"/>
        <v/>
      </c>
      <c r="R810">
        <f>IFERROR(IF(Q810=0,"",COUNTIF($Q$3:Q810,"&gt;0")),"")</f>
        <v>16</v>
      </c>
      <c r="S810" t="str">
        <f t="shared" si="180"/>
        <v/>
      </c>
      <c r="T810" t="str">
        <f t="shared" si="188"/>
        <v/>
      </c>
      <c r="U810">
        <f>IFERROR(IF(T810=0,"",COUNTIF($T$3:T810,"&gt;0")),"")</f>
        <v>0</v>
      </c>
      <c r="V810" t="str">
        <f t="shared" si="181"/>
        <v/>
      </c>
    </row>
    <row r="811" spans="1:22">
      <c r="A811" t="e">
        <f t="shared" si="176"/>
        <v>#VALUE!</v>
      </c>
      <c r="B811" t="e">
        <f>Table4[[#This Row],[CATEGORY]]</f>
        <v>#VALUE!</v>
      </c>
      <c r="C811" t="e">
        <f>Table4[[#This Row],[SUB-CATEGORY]]</f>
        <v>#VALUE!</v>
      </c>
      <c r="D811">
        <f>'RJ ATTENDENCE SHEET'!C:C</f>
        <v>0</v>
      </c>
      <c r="E811" t="e">
        <f t="shared" si="175"/>
        <v>#VALUE!</v>
      </c>
      <c r="F811" t="str">
        <f t="shared" si="182"/>
        <v/>
      </c>
      <c r="G811">
        <f>IFERROR(IF(F811=0,"",COUNTIF($F$3:F811,"&gt;0")),"")</f>
        <v>16</v>
      </c>
      <c r="H811" t="str">
        <f t="shared" si="177"/>
        <v/>
      </c>
      <c r="I811" t="str">
        <f t="shared" si="183"/>
        <v/>
      </c>
      <c r="J811">
        <f>IFERROR(IF(I811=0,"",COUNTIF($I$3:I811,"&gt;0")),"")</f>
        <v>34</v>
      </c>
      <c r="K811" t="str">
        <f t="shared" si="178"/>
        <v/>
      </c>
      <c r="L811" t="str">
        <f t="shared" si="184"/>
        <v/>
      </c>
      <c r="M811" t="str">
        <f t="shared" si="185"/>
        <v/>
      </c>
      <c r="N811">
        <f>IFERROR(IF(M811=0,"",COUNTIF($M$3:M811,"&gt;0")),"")</f>
        <v>33</v>
      </c>
      <c r="O811" t="str">
        <f t="shared" si="179"/>
        <v/>
      </c>
      <c r="P811" t="str">
        <f t="shared" si="186"/>
        <v/>
      </c>
      <c r="Q811" t="str">
        <f t="shared" si="187"/>
        <v/>
      </c>
      <c r="R811">
        <f>IFERROR(IF(Q811=0,"",COUNTIF($Q$3:Q811,"&gt;0")),"")</f>
        <v>16</v>
      </c>
      <c r="S811" t="str">
        <f t="shared" si="180"/>
        <v/>
      </c>
      <c r="T811" t="str">
        <f t="shared" si="188"/>
        <v/>
      </c>
      <c r="U811">
        <f>IFERROR(IF(T811=0,"",COUNTIF($T$3:T811,"&gt;0")),"")</f>
        <v>0</v>
      </c>
      <c r="V811" t="str">
        <f t="shared" si="181"/>
        <v/>
      </c>
    </row>
    <row r="812" spans="1:22">
      <c r="A812" t="e">
        <f t="shared" si="176"/>
        <v>#VALUE!</v>
      </c>
      <c r="B812" t="e">
        <f>Table4[[#This Row],[CATEGORY]]</f>
        <v>#VALUE!</v>
      </c>
      <c r="C812" t="e">
        <f>Table4[[#This Row],[SUB-CATEGORY]]</f>
        <v>#VALUE!</v>
      </c>
      <c r="D812">
        <f>'RJ ATTENDENCE SHEET'!C:C</f>
        <v>0</v>
      </c>
      <c r="E812" t="e">
        <f t="shared" si="175"/>
        <v>#VALUE!</v>
      </c>
      <c r="F812" t="str">
        <f t="shared" si="182"/>
        <v/>
      </c>
      <c r="G812">
        <f>IFERROR(IF(F812=0,"",COUNTIF($F$3:F812,"&gt;0")),"")</f>
        <v>16</v>
      </c>
      <c r="H812" t="str">
        <f t="shared" si="177"/>
        <v/>
      </c>
      <c r="I812" t="str">
        <f t="shared" si="183"/>
        <v/>
      </c>
      <c r="J812">
        <f>IFERROR(IF(I812=0,"",COUNTIF($I$3:I812,"&gt;0")),"")</f>
        <v>34</v>
      </c>
      <c r="K812" t="str">
        <f t="shared" si="178"/>
        <v/>
      </c>
      <c r="L812" t="str">
        <f t="shared" si="184"/>
        <v/>
      </c>
      <c r="M812" t="str">
        <f t="shared" si="185"/>
        <v/>
      </c>
      <c r="N812">
        <f>IFERROR(IF(M812=0,"",COUNTIF($M$3:M812,"&gt;0")),"")</f>
        <v>33</v>
      </c>
      <c r="O812" t="str">
        <f t="shared" si="179"/>
        <v/>
      </c>
      <c r="P812" t="str">
        <f t="shared" si="186"/>
        <v/>
      </c>
      <c r="Q812" t="str">
        <f t="shared" si="187"/>
        <v/>
      </c>
      <c r="R812">
        <f>IFERROR(IF(Q812=0,"",COUNTIF($Q$3:Q812,"&gt;0")),"")</f>
        <v>16</v>
      </c>
      <c r="S812" t="str">
        <f t="shared" si="180"/>
        <v/>
      </c>
      <c r="T812" t="str">
        <f t="shared" si="188"/>
        <v/>
      </c>
      <c r="U812">
        <f>IFERROR(IF(T812=0,"",COUNTIF($T$3:T812,"&gt;0")),"")</f>
        <v>0</v>
      </c>
      <c r="V812" t="str">
        <f t="shared" si="181"/>
        <v/>
      </c>
    </row>
    <row r="813" spans="1:22">
      <c r="A813" t="e">
        <f t="shared" si="176"/>
        <v>#VALUE!</v>
      </c>
      <c r="B813" t="e">
        <f>Table4[[#This Row],[CATEGORY]]</f>
        <v>#VALUE!</v>
      </c>
      <c r="C813" t="e">
        <f>Table4[[#This Row],[SUB-CATEGORY]]</f>
        <v>#VALUE!</v>
      </c>
      <c r="D813">
        <f>'RJ ATTENDENCE SHEET'!C:C</f>
        <v>0</v>
      </c>
      <c r="E813" t="e">
        <f t="shared" si="175"/>
        <v>#VALUE!</v>
      </c>
      <c r="F813" t="str">
        <f t="shared" si="182"/>
        <v/>
      </c>
      <c r="G813">
        <f>IFERROR(IF(F813=0,"",COUNTIF($F$3:F813,"&gt;0")),"")</f>
        <v>16</v>
      </c>
      <c r="H813" t="str">
        <f t="shared" si="177"/>
        <v/>
      </c>
      <c r="I813" t="str">
        <f t="shared" si="183"/>
        <v/>
      </c>
      <c r="J813">
        <f>IFERROR(IF(I813=0,"",COUNTIF($I$3:I813,"&gt;0")),"")</f>
        <v>34</v>
      </c>
      <c r="K813" t="str">
        <f t="shared" si="178"/>
        <v/>
      </c>
      <c r="L813" t="str">
        <f t="shared" si="184"/>
        <v/>
      </c>
      <c r="M813" t="str">
        <f t="shared" si="185"/>
        <v/>
      </c>
      <c r="N813">
        <f>IFERROR(IF(M813=0,"",COUNTIF($M$3:M813,"&gt;0")),"")</f>
        <v>33</v>
      </c>
      <c r="O813" t="str">
        <f t="shared" si="179"/>
        <v/>
      </c>
      <c r="P813" t="str">
        <f t="shared" si="186"/>
        <v/>
      </c>
      <c r="Q813" t="str">
        <f t="shared" si="187"/>
        <v/>
      </c>
      <c r="R813">
        <f>IFERROR(IF(Q813=0,"",COUNTIF($Q$3:Q813,"&gt;0")),"")</f>
        <v>16</v>
      </c>
      <c r="S813" t="str">
        <f t="shared" si="180"/>
        <v/>
      </c>
      <c r="T813" t="str">
        <f t="shared" si="188"/>
        <v/>
      </c>
      <c r="U813">
        <f>IFERROR(IF(T813=0,"",COUNTIF($T$3:T813,"&gt;0")),"")</f>
        <v>0</v>
      </c>
      <c r="V813" t="str">
        <f t="shared" si="181"/>
        <v/>
      </c>
    </row>
    <row r="814" spans="1:22">
      <c r="A814" t="e">
        <f t="shared" si="176"/>
        <v>#VALUE!</v>
      </c>
      <c r="B814" t="e">
        <f>Table4[[#This Row],[CATEGORY]]</f>
        <v>#VALUE!</v>
      </c>
      <c r="C814" t="e">
        <f>Table4[[#This Row],[SUB-CATEGORY]]</f>
        <v>#VALUE!</v>
      </c>
      <c r="D814">
        <f>'RJ ATTENDENCE SHEET'!C:C</f>
        <v>0</v>
      </c>
      <c r="E814" t="e">
        <f t="shared" si="175"/>
        <v>#VALUE!</v>
      </c>
      <c r="F814" t="str">
        <f t="shared" si="182"/>
        <v/>
      </c>
      <c r="G814">
        <f>IFERROR(IF(F814=0,"",COUNTIF($F$3:F814,"&gt;0")),"")</f>
        <v>16</v>
      </c>
      <c r="H814" t="str">
        <f t="shared" si="177"/>
        <v/>
      </c>
      <c r="I814" t="str">
        <f t="shared" si="183"/>
        <v/>
      </c>
      <c r="J814">
        <f>IFERROR(IF(I814=0,"",COUNTIF($I$3:I814,"&gt;0")),"")</f>
        <v>34</v>
      </c>
      <c r="K814" t="str">
        <f t="shared" si="178"/>
        <v/>
      </c>
      <c r="L814" t="str">
        <f t="shared" si="184"/>
        <v/>
      </c>
      <c r="M814" t="str">
        <f t="shared" si="185"/>
        <v/>
      </c>
      <c r="N814">
        <f>IFERROR(IF(M814=0,"",COUNTIF($M$3:M814,"&gt;0")),"")</f>
        <v>33</v>
      </c>
      <c r="O814" t="str">
        <f t="shared" si="179"/>
        <v/>
      </c>
      <c r="P814" t="str">
        <f t="shared" si="186"/>
        <v/>
      </c>
      <c r="Q814" t="str">
        <f t="shared" si="187"/>
        <v/>
      </c>
      <c r="R814">
        <f>IFERROR(IF(Q814=0,"",COUNTIF($Q$3:Q814,"&gt;0")),"")</f>
        <v>16</v>
      </c>
      <c r="S814" t="str">
        <f t="shared" si="180"/>
        <v/>
      </c>
      <c r="T814" t="str">
        <f t="shared" si="188"/>
        <v/>
      </c>
      <c r="U814">
        <f>IFERROR(IF(T814=0,"",COUNTIF($T$3:T814,"&gt;0")),"")</f>
        <v>0</v>
      </c>
      <c r="V814" t="str">
        <f t="shared" si="181"/>
        <v/>
      </c>
    </row>
    <row r="815" spans="1:22">
      <c r="A815" t="e">
        <f t="shared" si="176"/>
        <v>#VALUE!</v>
      </c>
      <c r="B815" t="e">
        <f>Table4[[#This Row],[CATEGORY]]</f>
        <v>#VALUE!</v>
      </c>
      <c r="C815" t="e">
        <f>Table4[[#This Row],[SUB-CATEGORY]]</f>
        <v>#VALUE!</v>
      </c>
      <c r="D815">
        <f>'RJ ATTENDENCE SHEET'!C:C</f>
        <v>0</v>
      </c>
      <c r="E815" t="e">
        <f t="shared" si="175"/>
        <v>#VALUE!</v>
      </c>
      <c r="F815" t="str">
        <f t="shared" si="182"/>
        <v/>
      </c>
      <c r="G815">
        <f>IFERROR(IF(F815=0,"",COUNTIF($F$3:F815,"&gt;0")),"")</f>
        <v>16</v>
      </c>
      <c r="H815" t="str">
        <f t="shared" si="177"/>
        <v/>
      </c>
      <c r="I815" t="str">
        <f t="shared" si="183"/>
        <v/>
      </c>
      <c r="J815">
        <f>IFERROR(IF(I815=0,"",COUNTIF($I$3:I815,"&gt;0")),"")</f>
        <v>34</v>
      </c>
      <c r="K815" t="str">
        <f t="shared" si="178"/>
        <v/>
      </c>
      <c r="L815" t="str">
        <f t="shared" si="184"/>
        <v/>
      </c>
      <c r="M815" t="str">
        <f t="shared" si="185"/>
        <v/>
      </c>
      <c r="N815">
        <f>IFERROR(IF(M815=0,"",COUNTIF($M$3:M815,"&gt;0")),"")</f>
        <v>33</v>
      </c>
      <c r="O815" t="str">
        <f t="shared" si="179"/>
        <v/>
      </c>
      <c r="P815" t="str">
        <f t="shared" si="186"/>
        <v/>
      </c>
      <c r="Q815" t="str">
        <f t="shared" si="187"/>
        <v/>
      </c>
      <c r="R815">
        <f>IFERROR(IF(Q815=0,"",COUNTIF($Q$3:Q815,"&gt;0")),"")</f>
        <v>16</v>
      </c>
      <c r="S815" t="str">
        <f t="shared" si="180"/>
        <v/>
      </c>
      <c r="T815" t="str">
        <f t="shared" si="188"/>
        <v/>
      </c>
      <c r="U815">
        <f>IFERROR(IF(T815=0,"",COUNTIF($T$3:T815,"&gt;0")),"")</f>
        <v>0</v>
      </c>
      <c r="V815" t="str">
        <f t="shared" si="181"/>
        <v/>
      </c>
    </row>
    <row r="816" spans="1:22">
      <c r="A816" t="e">
        <f t="shared" si="176"/>
        <v>#VALUE!</v>
      </c>
      <c r="B816" t="e">
        <f>Table4[[#This Row],[CATEGORY]]</f>
        <v>#VALUE!</v>
      </c>
      <c r="C816" t="e">
        <f>Table4[[#This Row],[SUB-CATEGORY]]</f>
        <v>#VALUE!</v>
      </c>
      <c r="D816">
        <f>'RJ ATTENDENCE SHEET'!C:C</f>
        <v>0</v>
      </c>
      <c r="E816" t="e">
        <f t="shared" si="175"/>
        <v>#VALUE!</v>
      </c>
      <c r="F816" t="str">
        <f t="shared" si="182"/>
        <v/>
      </c>
      <c r="G816">
        <f>IFERROR(IF(F816=0,"",COUNTIF($F$3:F816,"&gt;0")),"")</f>
        <v>16</v>
      </c>
      <c r="H816" t="str">
        <f t="shared" si="177"/>
        <v/>
      </c>
      <c r="I816" t="str">
        <f t="shared" si="183"/>
        <v/>
      </c>
      <c r="J816">
        <f>IFERROR(IF(I816=0,"",COUNTIF($I$3:I816,"&gt;0")),"")</f>
        <v>34</v>
      </c>
      <c r="K816" t="str">
        <f t="shared" si="178"/>
        <v/>
      </c>
      <c r="L816" t="str">
        <f t="shared" si="184"/>
        <v/>
      </c>
      <c r="M816" t="str">
        <f t="shared" si="185"/>
        <v/>
      </c>
      <c r="N816">
        <f>IFERROR(IF(M816=0,"",COUNTIF($M$3:M816,"&gt;0")),"")</f>
        <v>33</v>
      </c>
      <c r="O816" t="str">
        <f t="shared" si="179"/>
        <v/>
      </c>
      <c r="P816" t="str">
        <f t="shared" si="186"/>
        <v/>
      </c>
      <c r="Q816" t="str">
        <f t="shared" si="187"/>
        <v/>
      </c>
      <c r="R816">
        <f>IFERROR(IF(Q816=0,"",COUNTIF($Q$3:Q816,"&gt;0")),"")</f>
        <v>16</v>
      </c>
      <c r="S816" t="str">
        <f t="shared" si="180"/>
        <v/>
      </c>
      <c r="T816" t="str">
        <f t="shared" si="188"/>
        <v/>
      </c>
      <c r="U816">
        <f>IFERROR(IF(T816=0,"",COUNTIF($T$3:T816,"&gt;0")),"")</f>
        <v>0</v>
      </c>
      <c r="V816" t="str">
        <f t="shared" si="181"/>
        <v/>
      </c>
    </row>
    <row r="817" spans="1:22">
      <c r="A817" t="e">
        <f t="shared" si="176"/>
        <v>#VALUE!</v>
      </c>
      <c r="B817" t="e">
        <f>Table4[[#This Row],[CATEGORY]]</f>
        <v>#VALUE!</v>
      </c>
      <c r="C817" t="e">
        <f>Table4[[#This Row],[SUB-CATEGORY]]</f>
        <v>#VALUE!</v>
      </c>
      <c r="D817">
        <f>'RJ ATTENDENCE SHEET'!C:C</f>
        <v>0</v>
      </c>
      <c r="E817" t="e">
        <f t="shared" si="175"/>
        <v>#VALUE!</v>
      </c>
      <c r="F817" t="str">
        <f t="shared" si="182"/>
        <v/>
      </c>
      <c r="G817">
        <f>IFERROR(IF(F817=0,"",COUNTIF($F$3:F817,"&gt;0")),"")</f>
        <v>16</v>
      </c>
      <c r="H817" t="str">
        <f t="shared" si="177"/>
        <v/>
      </c>
      <c r="I817" t="str">
        <f t="shared" si="183"/>
        <v/>
      </c>
      <c r="J817">
        <f>IFERROR(IF(I817=0,"",COUNTIF($I$3:I817,"&gt;0")),"")</f>
        <v>34</v>
      </c>
      <c r="K817" t="str">
        <f t="shared" si="178"/>
        <v/>
      </c>
      <c r="L817" t="str">
        <f t="shared" si="184"/>
        <v/>
      </c>
      <c r="M817" t="str">
        <f t="shared" si="185"/>
        <v/>
      </c>
      <c r="N817">
        <f>IFERROR(IF(M817=0,"",COUNTIF($M$3:M817,"&gt;0")),"")</f>
        <v>33</v>
      </c>
      <c r="O817" t="str">
        <f t="shared" si="179"/>
        <v/>
      </c>
      <c r="P817" t="str">
        <f t="shared" si="186"/>
        <v/>
      </c>
      <c r="Q817" t="str">
        <f t="shared" si="187"/>
        <v/>
      </c>
      <c r="R817">
        <f>IFERROR(IF(Q817=0,"",COUNTIF($Q$3:Q817,"&gt;0")),"")</f>
        <v>16</v>
      </c>
      <c r="S817" t="str">
        <f t="shared" si="180"/>
        <v/>
      </c>
      <c r="T817" t="str">
        <f t="shared" si="188"/>
        <v/>
      </c>
      <c r="U817">
        <f>IFERROR(IF(T817=0,"",COUNTIF($T$3:T817,"&gt;0")),"")</f>
        <v>0</v>
      </c>
      <c r="V817" t="str">
        <f t="shared" si="181"/>
        <v/>
      </c>
    </row>
    <row r="818" spans="1:22">
      <c r="A818" t="e">
        <f t="shared" si="176"/>
        <v>#VALUE!</v>
      </c>
      <c r="B818" t="e">
        <f>Table4[[#This Row],[CATEGORY]]</f>
        <v>#VALUE!</v>
      </c>
      <c r="C818" t="e">
        <f>Table4[[#This Row],[SUB-CATEGORY]]</f>
        <v>#VALUE!</v>
      </c>
      <c r="D818">
        <f>'RJ ATTENDENCE SHEET'!C:C</f>
        <v>0</v>
      </c>
      <c r="E818" t="e">
        <f t="shared" si="175"/>
        <v>#VALUE!</v>
      </c>
      <c r="F818" t="str">
        <f t="shared" si="182"/>
        <v/>
      </c>
      <c r="G818">
        <f>IFERROR(IF(F818=0,"",COUNTIF($F$3:F818,"&gt;0")),"")</f>
        <v>16</v>
      </c>
      <c r="H818" t="str">
        <f t="shared" si="177"/>
        <v/>
      </c>
      <c r="I818" t="str">
        <f t="shared" si="183"/>
        <v/>
      </c>
      <c r="J818">
        <f>IFERROR(IF(I818=0,"",COUNTIF($I$3:I818,"&gt;0")),"")</f>
        <v>34</v>
      </c>
      <c r="K818" t="str">
        <f t="shared" si="178"/>
        <v/>
      </c>
      <c r="L818" t="str">
        <f t="shared" si="184"/>
        <v/>
      </c>
      <c r="M818" t="str">
        <f t="shared" si="185"/>
        <v/>
      </c>
      <c r="N818">
        <f>IFERROR(IF(M818=0,"",COUNTIF($M$3:M818,"&gt;0")),"")</f>
        <v>33</v>
      </c>
      <c r="O818" t="str">
        <f t="shared" si="179"/>
        <v/>
      </c>
      <c r="P818" t="str">
        <f t="shared" si="186"/>
        <v/>
      </c>
      <c r="Q818" t="str">
        <f t="shared" si="187"/>
        <v/>
      </c>
      <c r="R818">
        <f>IFERROR(IF(Q818=0,"",COUNTIF($Q$3:Q818,"&gt;0")),"")</f>
        <v>16</v>
      </c>
      <c r="S818" t="str">
        <f t="shared" si="180"/>
        <v/>
      </c>
      <c r="T818" t="str">
        <f t="shared" si="188"/>
        <v/>
      </c>
      <c r="U818">
        <f>IFERROR(IF(T818=0,"",COUNTIF($T$3:T818,"&gt;0")),"")</f>
        <v>0</v>
      </c>
      <c r="V818" t="str">
        <f t="shared" si="181"/>
        <v/>
      </c>
    </row>
    <row r="819" spans="1:22">
      <c r="A819" t="e">
        <f t="shared" si="176"/>
        <v>#VALUE!</v>
      </c>
      <c r="B819" t="e">
        <f>Table4[[#This Row],[CATEGORY]]</f>
        <v>#VALUE!</v>
      </c>
      <c r="C819" t="e">
        <f>Table4[[#This Row],[SUB-CATEGORY]]</f>
        <v>#VALUE!</v>
      </c>
      <c r="D819">
        <f>'RJ ATTENDENCE SHEET'!C:C</f>
        <v>0</v>
      </c>
      <c r="E819" t="e">
        <f t="shared" si="175"/>
        <v>#VALUE!</v>
      </c>
      <c r="F819" t="str">
        <f t="shared" si="182"/>
        <v/>
      </c>
      <c r="G819">
        <f>IFERROR(IF(F819=0,"",COUNTIF($F$3:F819,"&gt;0")),"")</f>
        <v>16</v>
      </c>
      <c r="H819" t="str">
        <f t="shared" si="177"/>
        <v/>
      </c>
      <c r="I819" t="str">
        <f t="shared" si="183"/>
        <v/>
      </c>
      <c r="J819">
        <f>IFERROR(IF(I819=0,"",COUNTIF($I$3:I819,"&gt;0")),"")</f>
        <v>34</v>
      </c>
      <c r="K819" t="str">
        <f t="shared" si="178"/>
        <v/>
      </c>
      <c r="L819" t="str">
        <f t="shared" si="184"/>
        <v/>
      </c>
      <c r="M819" t="str">
        <f t="shared" si="185"/>
        <v/>
      </c>
      <c r="N819">
        <f>IFERROR(IF(M819=0,"",COUNTIF($M$3:M819,"&gt;0")),"")</f>
        <v>33</v>
      </c>
      <c r="O819" t="str">
        <f t="shared" si="179"/>
        <v/>
      </c>
      <c r="P819" t="str">
        <f t="shared" si="186"/>
        <v/>
      </c>
      <c r="Q819" t="str">
        <f t="shared" si="187"/>
        <v/>
      </c>
      <c r="R819">
        <f>IFERROR(IF(Q819=0,"",COUNTIF($Q$3:Q819,"&gt;0")),"")</f>
        <v>16</v>
      </c>
      <c r="S819" t="str">
        <f t="shared" si="180"/>
        <v/>
      </c>
      <c r="T819" t="str">
        <f t="shared" si="188"/>
        <v/>
      </c>
      <c r="U819">
        <f>IFERROR(IF(T819=0,"",COUNTIF($T$3:T819,"&gt;0")),"")</f>
        <v>0</v>
      </c>
      <c r="V819" t="str">
        <f t="shared" si="181"/>
        <v/>
      </c>
    </row>
    <row r="820" spans="1:22">
      <c r="A820" t="e">
        <f t="shared" si="176"/>
        <v>#VALUE!</v>
      </c>
      <c r="B820" t="e">
        <f>Table4[[#This Row],[CATEGORY]]</f>
        <v>#VALUE!</v>
      </c>
      <c r="C820" t="e">
        <f>Table4[[#This Row],[SUB-CATEGORY]]</f>
        <v>#VALUE!</v>
      </c>
      <c r="D820">
        <f>'RJ ATTENDENCE SHEET'!C:C</f>
        <v>0</v>
      </c>
      <c r="E820" t="e">
        <f t="shared" si="175"/>
        <v>#VALUE!</v>
      </c>
      <c r="F820" t="str">
        <f t="shared" si="182"/>
        <v/>
      </c>
      <c r="G820">
        <f>IFERROR(IF(F820=0,"",COUNTIF($F$3:F820,"&gt;0")),"")</f>
        <v>16</v>
      </c>
      <c r="H820" t="str">
        <f t="shared" si="177"/>
        <v/>
      </c>
      <c r="I820" t="str">
        <f t="shared" si="183"/>
        <v/>
      </c>
      <c r="J820">
        <f>IFERROR(IF(I820=0,"",COUNTIF($I$3:I820,"&gt;0")),"")</f>
        <v>34</v>
      </c>
      <c r="K820" t="str">
        <f t="shared" si="178"/>
        <v/>
      </c>
      <c r="L820" t="str">
        <f t="shared" si="184"/>
        <v/>
      </c>
      <c r="M820" t="str">
        <f t="shared" si="185"/>
        <v/>
      </c>
      <c r="N820">
        <f>IFERROR(IF(M820=0,"",COUNTIF($M$3:M820,"&gt;0")),"")</f>
        <v>33</v>
      </c>
      <c r="O820" t="str">
        <f t="shared" si="179"/>
        <v/>
      </c>
      <c r="P820" t="str">
        <f t="shared" si="186"/>
        <v/>
      </c>
      <c r="Q820" t="str">
        <f t="shared" si="187"/>
        <v/>
      </c>
      <c r="R820">
        <f>IFERROR(IF(Q820=0,"",COUNTIF($Q$3:Q820,"&gt;0")),"")</f>
        <v>16</v>
      </c>
      <c r="S820" t="str">
        <f t="shared" si="180"/>
        <v/>
      </c>
      <c r="T820" t="str">
        <f t="shared" si="188"/>
        <v/>
      </c>
      <c r="U820">
        <f>IFERROR(IF(T820=0,"",COUNTIF($T$3:T820,"&gt;0")),"")</f>
        <v>0</v>
      </c>
      <c r="V820" t="str">
        <f t="shared" si="181"/>
        <v/>
      </c>
    </row>
    <row r="821" spans="1:22">
      <c r="A821" t="e">
        <f t="shared" si="176"/>
        <v>#VALUE!</v>
      </c>
      <c r="B821" t="e">
        <f>Table4[[#This Row],[CATEGORY]]</f>
        <v>#VALUE!</v>
      </c>
      <c r="C821" t="e">
        <f>Table4[[#This Row],[SUB-CATEGORY]]</f>
        <v>#VALUE!</v>
      </c>
      <c r="D821">
        <f>'RJ ATTENDENCE SHEET'!C:C</f>
        <v>0</v>
      </c>
      <c r="E821" t="e">
        <f t="shared" si="175"/>
        <v>#VALUE!</v>
      </c>
      <c r="F821" t="str">
        <f t="shared" si="182"/>
        <v/>
      </c>
      <c r="G821">
        <f>IFERROR(IF(F821=0,"",COUNTIF($F$3:F821,"&gt;0")),"")</f>
        <v>16</v>
      </c>
      <c r="H821" t="str">
        <f t="shared" si="177"/>
        <v/>
      </c>
      <c r="I821" t="str">
        <f t="shared" si="183"/>
        <v/>
      </c>
      <c r="J821">
        <f>IFERROR(IF(I821=0,"",COUNTIF($I$3:I821,"&gt;0")),"")</f>
        <v>34</v>
      </c>
      <c r="K821" t="str">
        <f t="shared" si="178"/>
        <v/>
      </c>
      <c r="L821" t="str">
        <f t="shared" si="184"/>
        <v/>
      </c>
      <c r="M821" t="str">
        <f t="shared" si="185"/>
        <v/>
      </c>
      <c r="N821">
        <f>IFERROR(IF(M821=0,"",COUNTIF($M$3:M821,"&gt;0")),"")</f>
        <v>33</v>
      </c>
      <c r="O821" t="str">
        <f t="shared" si="179"/>
        <v/>
      </c>
      <c r="P821" t="str">
        <f t="shared" si="186"/>
        <v/>
      </c>
      <c r="Q821" t="str">
        <f t="shared" si="187"/>
        <v/>
      </c>
      <c r="R821">
        <f>IFERROR(IF(Q821=0,"",COUNTIF($Q$3:Q821,"&gt;0")),"")</f>
        <v>16</v>
      </c>
      <c r="S821" t="str">
        <f t="shared" si="180"/>
        <v/>
      </c>
      <c r="T821" t="str">
        <f t="shared" si="188"/>
        <v/>
      </c>
      <c r="U821">
        <f>IFERROR(IF(T821=0,"",COUNTIF($T$3:T821,"&gt;0")),"")</f>
        <v>0</v>
      </c>
      <c r="V821" t="str">
        <f t="shared" si="181"/>
        <v/>
      </c>
    </row>
    <row r="822" spans="1:22">
      <c r="A822" t="e">
        <f t="shared" si="176"/>
        <v>#VALUE!</v>
      </c>
      <c r="B822" t="e">
        <f>Table4[[#This Row],[CATEGORY]]</f>
        <v>#VALUE!</v>
      </c>
      <c r="C822" t="e">
        <f>Table4[[#This Row],[SUB-CATEGORY]]</f>
        <v>#VALUE!</v>
      </c>
      <c r="D822">
        <f>'RJ ATTENDENCE SHEET'!C:C</f>
        <v>0</v>
      </c>
      <c r="E822" t="e">
        <f t="shared" si="175"/>
        <v>#VALUE!</v>
      </c>
      <c r="F822" t="str">
        <f t="shared" si="182"/>
        <v/>
      </c>
      <c r="G822">
        <f>IFERROR(IF(F822=0,"",COUNTIF($F$3:F822,"&gt;0")),"")</f>
        <v>16</v>
      </c>
      <c r="H822" t="str">
        <f t="shared" si="177"/>
        <v/>
      </c>
      <c r="I822" t="str">
        <f t="shared" si="183"/>
        <v/>
      </c>
      <c r="J822">
        <f>IFERROR(IF(I822=0,"",COUNTIF($I$3:I822,"&gt;0")),"")</f>
        <v>34</v>
      </c>
      <c r="K822" t="str">
        <f t="shared" si="178"/>
        <v/>
      </c>
      <c r="L822" t="str">
        <f t="shared" si="184"/>
        <v/>
      </c>
      <c r="M822" t="str">
        <f t="shared" si="185"/>
        <v/>
      </c>
      <c r="N822">
        <f>IFERROR(IF(M822=0,"",COUNTIF($M$3:M822,"&gt;0")),"")</f>
        <v>33</v>
      </c>
      <c r="O822" t="str">
        <f t="shared" si="179"/>
        <v/>
      </c>
      <c r="P822" t="str">
        <f t="shared" si="186"/>
        <v/>
      </c>
      <c r="Q822" t="str">
        <f t="shared" si="187"/>
        <v/>
      </c>
      <c r="R822">
        <f>IFERROR(IF(Q822=0,"",COUNTIF($Q$3:Q822,"&gt;0")),"")</f>
        <v>16</v>
      </c>
      <c r="S822" t="str">
        <f t="shared" si="180"/>
        <v/>
      </c>
      <c r="T822" t="str">
        <f t="shared" si="188"/>
        <v/>
      </c>
      <c r="U822">
        <f>IFERROR(IF(T822=0,"",COUNTIF($T$3:T822,"&gt;0")),"")</f>
        <v>0</v>
      </c>
      <c r="V822" t="str">
        <f t="shared" si="181"/>
        <v/>
      </c>
    </row>
    <row r="823" spans="1:22">
      <c r="A823" t="e">
        <f t="shared" si="176"/>
        <v>#VALUE!</v>
      </c>
      <c r="B823" t="e">
        <f>Table4[[#This Row],[CATEGORY]]</f>
        <v>#VALUE!</v>
      </c>
      <c r="C823" t="e">
        <f>Table4[[#This Row],[SUB-CATEGORY]]</f>
        <v>#VALUE!</v>
      </c>
      <c r="D823">
        <f>'RJ ATTENDENCE SHEET'!C:C</f>
        <v>0</v>
      </c>
      <c r="E823" t="e">
        <f t="shared" si="175"/>
        <v>#VALUE!</v>
      </c>
      <c r="F823" t="str">
        <f t="shared" si="182"/>
        <v/>
      </c>
      <c r="G823">
        <f>IFERROR(IF(F823=0,"",COUNTIF($F$3:F823,"&gt;0")),"")</f>
        <v>16</v>
      </c>
      <c r="H823" t="str">
        <f t="shared" si="177"/>
        <v/>
      </c>
      <c r="I823" t="str">
        <f t="shared" si="183"/>
        <v/>
      </c>
      <c r="J823">
        <f>IFERROR(IF(I823=0,"",COUNTIF($I$3:I823,"&gt;0")),"")</f>
        <v>34</v>
      </c>
      <c r="K823" t="str">
        <f t="shared" si="178"/>
        <v/>
      </c>
      <c r="L823" t="str">
        <f t="shared" si="184"/>
        <v/>
      </c>
      <c r="M823" t="str">
        <f t="shared" si="185"/>
        <v/>
      </c>
      <c r="N823">
        <f>IFERROR(IF(M823=0,"",COUNTIF($M$3:M823,"&gt;0")),"")</f>
        <v>33</v>
      </c>
      <c r="O823" t="str">
        <f t="shared" si="179"/>
        <v/>
      </c>
      <c r="P823" t="str">
        <f t="shared" si="186"/>
        <v/>
      </c>
      <c r="Q823" t="str">
        <f t="shared" si="187"/>
        <v/>
      </c>
      <c r="R823">
        <f>IFERROR(IF(Q823=0,"",COUNTIF($Q$3:Q823,"&gt;0")),"")</f>
        <v>16</v>
      </c>
      <c r="S823" t="str">
        <f t="shared" si="180"/>
        <v/>
      </c>
      <c r="T823" t="str">
        <f t="shared" si="188"/>
        <v/>
      </c>
      <c r="U823">
        <f>IFERROR(IF(T823=0,"",COUNTIF($T$3:T823,"&gt;0")),"")</f>
        <v>0</v>
      </c>
      <c r="V823" t="str">
        <f t="shared" si="181"/>
        <v/>
      </c>
    </row>
    <row r="824" spans="1:22">
      <c r="A824" t="e">
        <f t="shared" si="176"/>
        <v>#VALUE!</v>
      </c>
      <c r="B824" t="e">
        <f>Table4[[#This Row],[CATEGORY]]</f>
        <v>#VALUE!</v>
      </c>
      <c r="C824" t="e">
        <f>Table4[[#This Row],[SUB-CATEGORY]]</f>
        <v>#VALUE!</v>
      </c>
      <c r="D824">
        <f>'RJ ATTENDENCE SHEET'!C:C</f>
        <v>0</v>
      </c>
      <c r="E824" t="e">
        <f t="shared" si="175"/>
        <v>#VALUE!</v>
      </c>
      <c r="F824" t="str">
        <f t="shared" si="182"/>
        <v/>
      </c>
      <c r="G824">
        <f>IFERROR(IF(F824=0,"",COUNTIF($F$3:F824,"&gt;0")),"")</f>
        <v>16</v>
      </c>
      <c r="H824" t="str">
        <f t="shared" si="177"/>
        <v/>
      </c>
      <c r="I824" t="str">
        <f t="shared" si="183"/>
        <v/>
      </c>
      <c r="J824">
        <f>IFERROR(IF(I824=0,"",COUNTIF($I$3:I824,"&gt;0")),"")</f>
        <v>34</v>
      </c>
      <c r="K824" t="str">
        <f t="shared" si="178"/>
        <v/>
      </c>
      <c r="L824" t="str">
        <f t="shared" si="184"/>
        <v/>
      </c>
      <c r="M824" t="str">
        <f t="shared" si="185"/>
        <v/>
      </c>
      <c r="N824">
        <f>IFERROR(IF(M824=0,"",COUNTIF($M$3:M824,"&gt;0")),"")</f>
        <v>33</v>
      </c>
      <c r="O824" t="str">
        <f t="shared" si="179"/>
        <v/>
      </c>
      <c r="P824" t="str">
        <f t="shared" si="186"/>
        <v/>
      </c>
      <c r="Q824" t="str">
        <f t="shared" si="187"/>
        <v/>
      </c>
      <c r="R824">
        <f>IFERROR(IF(Q824=0,"",COUNTIF($Q$3:Q824,"&gt;0")),"")</f>
        <v>16</v>
      </c>
      <c r="S824" t="str">
        <f t="shared" si="180"/>
        <v/>
      </c>
      <c r="T824" t="str">
        <f t="shared" si="188"/>
        <v/>
      </c>
      <c r="U824">
        <f>IFERROR(IF(T824=0,"",COUNTIF($T$3:T824,"&gt;0")),"")</f>
        <v>0</v>
      </c>
      <c r="V824" t="str">
        <f t="shared" si="181"/>
        <v/>
      </c>
    </row>
    <row r="825" spans="1:22">
      <c r="A825" t="e">
        <f t="shared" si="176"/>
        <v>#VALUE!</v>
      </c>
      <c r="B825" t="e">
        <f>Table4[[#This Row],[CATEGORY]]</f>
        <v>#VALUE!</v>
      </c>
      <c r="C825" t="e">
        <f>Table4[[#This Row],[SUB-CATEGORY]]</f>
        <v>#VALUE!</v>
      </c>
      <c r="D825">
        <f>'RJ ATTENDENCE SHEET'!C:C</f>
        <v>0</v>
      </c>
      <c r="E825" t="e">
        <f t="shared" si="175"/>
        <v>#VALUE!</v>
      </c>
      <c r="F825" t="str">
        <f t="shared" si="182"/>
        <v/>
      </c>
      <c r="G825">
        <f>IFERROR(IF(F825=0,"",COUNTIF($F$3:F825,"&gt;0")),"")</f>
        <v>16</v>
      </c>
      <c r="H825" t="str">
        <f t="shared" si="177"/>
        <v/>
      </c>
      <c r="I825" t="str">
        <f t="shared" si="183"/>
        <v/>
      </c>
      <c r="J825">
        <f>IFERROR(IF(I825=0,"",COUNTIF($I$3:I825,"&gt;0")),"")</f>
        <v>34</v>
      </c>
      <c r="K825" t="str">
        <f t="shared" si="178"/>
        <v/>
      </c>
      <c r="L825" t="str">
        <f t="shared" si="184"/>
        <v/>
      </c>
      <c r="M825" t="str">
        <f t="shared" si="185"/>
        <v/>
      </c>
      <c r="N825">
        <f>IFERROR(IF(M825=0,"",COUNTIF($M$3:M825,"&gt;0")),"")</f>
        <v>33</v>
      </c>
      <c r="O825" t="str">
        <f t="shared" si="179"/>
        <v/>
      </c>
      <c r="P825" t="str">
        <f t="shared" si="186"/>
        <v/>
      </c>
      <c r="Q825" t="str">
        <f t="shared" si="187"/>
        <v/>
      </c>
      <c r="R825">
        <f>IFERROR(IF(Q825=0,"",COUNTIF($Q$3:Q825,"&gt;0")),"")</f>
        <v>16</v>
      </c>
      <c r="S825" t="str">
        <f t="shared" si="180"/>
        <v/>
      </c>
      <c r="T825" t="str">
        <f t="shared" si="188"/>
        <v/>
      </c>
      <c r="U825">
        <f>IFERROR(IF(T825=0,"",COUNTIF($T$3:T825,"&gt;0")),"")</f>
        <v>0</v>
      </c>
      <c r="V825" t="str">
        <f t="shared" si="181"/>
        <v/>
      </c>
    </row>
    <row r="826" spans="1:22">
      <c r="A826" t="e">
        <f t="shared" si="176"/>
        <v>#VALUE!</v>
      </c>
      <c r="B826" t="e">
        <f>Table4[[#This Row],[CATEGORY]]</f>
        <v>#VALUE!</v>
      </c>
      <c r="C826" t="e">
        <f>Table4[[#This Row],[SUB-CATEGORY]]</f>
        <v>#VALUE!</v>
      </c>
      <c r="D826">
        <f>'RJ ATTENDENCE SHEET'!C:C</f>
        <v>0</v>
      </c>
      <c r="E826" t="e">
        <f t="shared" si="175"/>
        <v>#VALUE!</v>
      </c>
      <c r="F826" t="str">
        <f t="shared" si="182"/>
        <v/>
      </c>
      <c r="G826">
        <f>IFERROR(IF(F826=0,"",COUNTIF($F$3:F826,"&gt;0")),"")</f>
        <v>16</v>
      </c>
      <c r="H826" t="str">
        <f t="shared" si="177"/>
        <v/>
      </c>
      <c r="I826" t="str">
        <f t="shared" si="183"/>
        <v/>
      </c>
      <c r="J826">
        <f>IFERROR(IF(I826=0,"",COUNTIF($I$3:I826,"&gt;0")),"")</f>
        <v>34</v>
      </c>
      <c r="K826" t="str">
        <f t="shared" si="178"/>
        <v/>
      </c>
      <c r="L826" t="str">
        <f t="shared" si="184"/>
        <v/>
      </c>
      <c r="M826" t="str">
        <f t="shared" si="185"/>
        <v/>
      </c>
      <c r="N826">
        <f>IFERROR(IF(M826=0,"",COUNTIF($M$3:M826,"&gt;0")),"")</f>
        <v>33</v>
      </c>
      <c r="O826" t="str">
        <f t="shared" si="179"/>
        <v/>
      </c>
      <c r="P826" t="str">
        <f t="shared" si="186"/>
        <v/>
      </c>
      <c r="Q826" t="str">
        <f t="shared" si="187"/>
        <v/>
      </c>
      <c r="R826">
        <f>IFERROR(IF(Q826=0,"",COUNTIF($Q$3:Q826,"&gt;0")),"")</f>
        <v>16</v>
      </c>
      <c r="S826" t="str">
        <f t="shared" si="180"/>
        <v/>
      </c>
      <c r="T826" t="str">
        <f t="shared" si="188"/>
        <v/>
      </c>
      <c r="U826">
        <f>IFERROR(IF(T826=0,"",COUNTIF($T$3:T826,"&gt;0")),"")</f>
        <v>0</v>
      </c>
      <c r="V826" t="str">
        <f t="shared" si="181"/>
        <v/>
      </c>
    </row>
    <row r="827" spans="1:22">
      <c r="A827" t="e">
        <f t="shared" si="176"/>
        <v>#VALUE!</v>
      </c>
      <c r="B827" t="e">
        <f>Table4[[#This Row],[CATEGORY]]</f>
        <v>#VALUE!</v>
      </c>
      <c r="C827" t="e">
        <f>Table4[[#This Row],[SUB-CATEGORY]]</f>
        <v>#VALUE!</v>
      </c>
      <c r="D827">
        <f>'RJ ATTENDENCE SHEET'!C:C</f>
        <v>0</v>
      </c>
      <c r="E827" t="e">
        <f t="shared" si="175"/>
        <v>#VALUE!</v>
      </c>
      <c r="F827" t="str">
        <f t="shared" si="182"/>
        <v/>
      </c>
      <c r="G827">
        <f>IFERROR(IF(F827=0,"",COUNTIF($F$3:F827,"&gt;0")),"")</f>
        <v>16</v>
      </c>
      <c r="H827" t="str">
        <f t="shared" si="177"/>
        <v/>
      </c>
      <c r="I827" t="str">
        <f t="shared" si="183"/>
        <v/>
      </c>
      <c r="J827">
        <f>IFERROR(IF(I827=0,"",COUNTIF($I$3:I827,"&gt;0")),"")</f>
        <v>34</v>
      </c>
      <c r="K827" t="str">
        <f t="shared" si="178"/>
        <v/>
      </c>
      <c r="L827" t="str">
        <f t="shared" si="184"/>
        <v/>
      </c>
      <c r="M827" t="str">
        <f t="shared" si="185"/>
        <v/>
      </c>
      <c r="N827">
        <f>IFERROR(IF(M827=0,"",COUNTIF($M$3:M827,"&gt;0")),"")</f>
        <v>33</v>
      </c>
      <c r="O827" t="str">
        <f t="shared" si="179"/>
        <v/>
      </c>
      <c r="P827" t="str">
        <f t="shared" si="186"/>
        <v/>
      </c>
      <c r="Q827" t="str">
        <f t="shared" si="187"/>
        <v/>
      </c>
      <c r="R827">
        <f>IFERROR(IF(Q827=0,"",COUNTIF($Q$3:Q827,"&gt;0")),"")</f>
        <v>16</v>
      </c>
      <c r="S827" t="str">
        <f t="shared" si="180"/>
        <v/>
      </c>
      <c r="T827" t="str">
        <f t="shared" si="188"/>
        <v/>
      </c>
      <c r="U827">
        <f>IFERROR(IF(T827=0,"",COUNTIF($T$3:T827,"&gt;0")),"")</f>
        <v>0</v>
      </c>
      <c r="V827" t="str">
        <f t="shared" si="181"/>
        <v/>
      </c>
    </row>
    <row r="828" spans="1:22">
      <c r="A828" t="e">
        <f t="shared" si="176"/>
        <v>#VALUE!</v>
      </c>
      <c r="B828" t="e">
        <f>Table4[[#This Row],[CATEGORY]]</f>
        <v>#VALUE!</v>
      </c>
      <c r="C828" t="e">
        <f>Table4[[#This Row],[SUB-CATEGORY]]</f>
        <v>#VALUE!</v>
      </c>
      <c r="D828">
        <f>'RJ ATTENDENCE SHEET'!C:C</f>
        <v>0</v>
      </c>
      <c r="E828" t="e">
        <f t="shared" si="175"/>
        <v>#VALUE!</v>
      </c>
      <c r="F828" t="str">
        <f t="shared" si="182"/>
        <v/>
      </c>
      <c r="G828">
        <f>IFERROR(IF(F828=0,"",COUNTIF($F$3:F828,"&gt;0")),"")</f>
        <v>16</v>
      </c>
      <c r="H828" t="str">
        <f t="shared" si="177"/>
        <v/>
      </c>
      <c r="I828" t="str">
        <f t="shared" si="183"/>
        <v/>
      </c>
      <c r="J828">
        <f>IFERROR(IF(I828=0,"",COUNTIF($I$3:I828,"&gt;0")),"")</f>
        <v>34</v>
      </c>
      <c r="K828" t="str">
        <f t="shared" si="178"/>
        <v/>
      </c>
      <c r="L828" t="str">
        <f t="shared" si="184"/>
        <v/>
      </c>
      <c r="M828" t="str">
        <f t="shared" si="185"/>
        <v/>
      </c>
      <c r="N828">
        <f>IFERROR(IF(M828=0,"",COUNTIF($M$3:M828,"&gt;0")),"")</f>
        <v>33</v>
      </c>
      <c r="O828" t="str">
        <f t="shared" si="179"/>
        <v/>
      </c>
      <c r="P828" t="str">
        <f t="shared" si="186"/>
        <v/>
      </c>
      <c r="Q828" t="str">
        <f t="shared" si="187"/>
        <v/>
      </c>
      <c r="R828">
        <f>IFERROR(IF(Q828=0,"",COUNTIF($Q$3:Q828,"&gt;0")),"")</f>
        <v>16</v>
      </c>
      <c r="S828" t="str">
        <f t="shared" si="180"/>
        <v/>
      </c>
      <c r="T828" t="str">
        <f t="shared" si="188"/>
        <v/>
      </c>
      <c r="U828">
        <f>IFERROR(IF(T828=0,"",COUNTIF($T$3:T828,"&gt;0")),"")</f>
        <v>0</v>
      </c>
      <c r="V828" t="str">
        <f t="shared" si="181"/>
        <v/>
      </c>
    </row>
    <row r="829" spans="1:22">
      <c r="A829" t="e">
        <f t="shared" si="176"/>
        <v>#VALUE!</v>
      </c>
      <c r="B829" t="e">
        <f>Table4[[#This Row],[CATEGORY]]</f>
        <v>#VALUE!</v>
      </c>
      <c r="C829" t="e">
        <f>Table4[[#This Row],[SUB-CATEGORY]]</f>
        <v>#VALUE!</v>
      </c>
      <c r="D829">
        <f>'RJ ATTENDENCE SHEET'!C:C</f>
        <v>0</v>
      </c>
      <c r="E829" t="e">
        <f t="shared" si="175"/>
        <v>#VALUE!</v>
      </c>
      <c r="F829" t="str">
        <f t="shared" si="182"/>
        <v/>
      </c>
      <c r="G829">
        <f>IFERROR(IF(F829=0,"",COUNTIF($F$3:F829,"&gt;0")),"")</f>
        <v>16</v>
      </c>
      <c r="H829" t="str">
        <f t="shared" si="177"/>
        <v/>
      </c>
      <c r="I829" t="str">
        <f t="shared" si="183"/>
        <v/>
      </c>
      <c r="J829">
        <f>IFERROR(IF(I829=0,"",COUNTIF($I$3:I829,"&gt;0")),"")</f>
        <v>34</v>
      </c>
      <c r="K829" t="str">
        <f t="shared" si="178"/>
        <v/>
      </c>
      <c r="L829" t="str">
        <f t="shared" si="184"/>
        <v/>
      </c>
      <c r="M829" t="str">
        <f t="shared" si="185"/>
        <v/>
      </c>
      <c r="N829">
        <f>IFERROR(IF(M829=0,"",COUNTIF($M$3:M829,"&gt;0")),"")</f>
        <v>33</v>
      </c>
      <c r="O829" t="str">
        <f t="shared" si="179"/>
        <v/>
      </c>
      <c r="P829" t="str">
        <f t="shared" si="186"/>
        <v/>
      </c>
      <c r="Q829" t="str">
        <f t="shared" si="187"/>
        <v/>
      </c>
      <c r="R829">
        <f>IFERROR(IF(Q829=0,"",COUNTIF($Q$3:Q829,"&gt;0")),"")</f>
        <v>16</v>
      </c>
      <c r="S829" t="str">
        <f t="shared" si="180"/>
        <v/>
      </c>
      <c r="T829" t="str">
        <f t="shared" si="188"/>
        <v/>
      </c>
      <c r="U829">
        <f>IFERROR(IF(T829=0,"",COUNTIF($T$3:T829,"&gt;0")),"")</f>
        <v>0</v>
      </c>
      <c r="V829" t="str">
        <f t="shared" si="181"/>
        <v/>
      </c>
    </row>
    <row r="830" spans="1:22">
      <c r="A830" t="e">
        <f t="shared" si="176"/>
        <v>#VALUE!</v>
      </c>
      <c r="B830" t="e">
        <f>Table4[[#This Row],[CATEGORY]]</f>
        <v>#VALUE!</v>
      </c>
      <c r="C830" t="e">
        <f>Table4[[#This Row],[SUB-CATEGORY]]</f>
        <v>#VALUE!</v>
      </c>
      <c r="D830">
        <f>'RJ ATTENDENCE SHEET'!C:C</f>
        <v>0</v>
      </c>
      <c r="E830" t="e">
        <f t="shared" si="175"/>
        <v>#VALUE!</v>
      </c>
      <c r="F830" t="str">
        <f t="shared" si="182"/>
        <v/>
      </c>
      <c r="G830">
        <f>IFERROR(IF(F830=0,"",COUNTIF($F$3:F830,"&gt;0")),"")</f>
        <v>16</v>
      </c>
      <c r="H830" t="str">
        <f t="shared" si="177"/>
        <v/>
      </c>
      <c r="I830" t="str">
        <f t="shared" si="183"/>
        <v/>
      </c>
      <c r="J830">
        <f>IFERROR(IF(I830=0,"",COUNTIF($I$3:I830,"&gt;0")),"")</f>
        <v>34</v>
      </c>
      <c r="K830" t="str">
        <f t="shared" si="178"/>
        <v/>
      </c>
      <c r="L830" t="str">
        <f t="shared" si="184"/>
        <v/>
      </c>
      <c r="M830" t="str">
        <f t="shared" si="185"/>
        <v/>
      </c>
      <c r="N830">
        <f>IFERROR(IF(M830=0,"",COUNTIF($M$3:M830,"&gt;0")),"")</f>
        <v>33</v>
      </c>
      <c r="O830" t="str">
        <f t="shared" si="179"/>
        <v/>
      </c>
      <c r="P830" t="str">
        <f t="shared" si="186"/>
        <v/>
      </c>
      <c r="Q830" t="str">
        <f t="shared" si="187"/>
        <v/>
      </c>
      <c r="R830">
        <f>IFERROR(IF(Q830=0,"",COUNTIF($Q$3:Q830,"&gt;0")),"")</f>
        <v>16</v>
      </c>
      <c r="S830" t="str">
        <f t="shared" si="180"/>
        <v/>
      </c>
      <c r="T830" t="str">
        <f t="shared" si="188"/>
        <v/>
      </c>
      <c r="U830">
        <f>IFERROR(IF(T830=0,"",COUNTIF($T$3:T830,"&gt;0")),"")</f>
        <v>0</v>
      </c>
      <c r="V830" t="str">
        <f t="shared" si="181"/>
        <v/>
      </c>
    </row>
    <row r="831" spans="1:22">
      <c r="A831" t="e">
        <f t="shared" si="176"/>
        <v>#VALUE!</v>
      </c>
      <c r="B831" t="e">
        <f>Table4[[#This Row],[CATEGORY]]</f>
        <v>#VALUE!</v>
      </c>
      <c r="C831" t="e">
        <f>Table4[[#This Row],[SUB-CATEGORY]]</f>
        <v>#VALUE!</v>
      </c>
      <c r="D831">
        <f>'RJ ATTENDENCE SHEET'!C:C</f>
        <v>0</v>
      </c>
      <c r="E831" t="e">
        <f t="shared" si="175"/>
        <v>#VALUE!</v>
      </c>
      <c r="F831" t="str">
        <f t="shared" si="182"/>
        <v/>
      </c>
      <c r="G831">
        <f>IFERROR(IF(F831=0,"",COUNTIF($F$3:F831,"&gt;0")),"")</f>
        <v>16</v>
      </c>
      <c r="H831" t="str">
        <f t="shared" si="177"/>
        <v/>
      </c>
      <c r="I831" t="str">
        <f t="shared" si="183"/>
        <v/>
      </c>
      <c r="J831">
        <f>IFERROR(IF(I831=0,"",COUNTIF($I$3:I831,"&gt;0")),"")</f>
        <v>34</v>
      </c>
      <c r="K831" t="str">
        <f t="shared" si="178"/>
        <v/>
      </c>
      <c r="L831" t="str">
        <f t="shared" si="184"/>
        <v/>
      </c>
      <c r="M831" t="str">
        <f t="shared" si="185"/>
        <v/>
      </c>
      <c r="N831">
        <f>IFERROR(IF(M831=0,"",COUNTIF($M$3:M831,"&gt;0")),"")</f>
        <v>33</v>
      </c>
      <c r="O831" t="str">
        <f t="shared" si="179"/>
        <v/>
      </c>
      <c r="P831" t="str">
        <f t="shared" si="186"/>
        <v/>
      </c>
      <c r="Q831" t="str">
        <f t="shared" si="187"/>
        <v/>
      </c>
      <c r="R831">
        <f>IFERROR(IF(Q831=0,"",COUNTIF($Q$3:Q831,"&gt;0")),"")</f>
        <v>16</v>
      </c>
      <c r="S831" t="str">
        <f t="shared" si="180"/>
        <v/>
      </c>
      <c r="T831" t="str">
        <f t="shared" si="188"/>
        <v/>
      </c>
      <c r="U831">
        <f>IFERROR(IF(T831=0,"",COUNTIF($T$3:T831,"&gt;0")),"")</f>
        <v>0</v>
      </c>
      <c r="V831" t="str">
        <f t="shared" si="181"/>
        <v/>
      </c>
    </row>
    <row r="832" spans="1:22">
      <c r="A832" t="e">
        <f t="shared" si="176"/>
        <v>#VALUE!</v>
      </c>
      <c r="B832" t="e">
        <f>Table4[[#This Row],[CATEGORY]]</f>
        <v>#VALUE!</v>
      </c>
      <c r="C832" t="e">
        <f>Table4[[#This Row],[SUB-CATEGORY]]</f>
        <v>#VALUE!</v>
      </c>
      <c r="D832">
        <f>'RJ ATTENDENCE SHEET'!C:C</f>
        <v>0</v>
      </c>
      <c r="E832" t="e">
        <f t="shared" si="175"/>
        <v>#VALUE!</v>
      </c>
      <c r="F832" t="str">
        <f t="shared" si="182"/>
        <v/>
      </c>
      <c r="G832">
        <f>IFERROR(IF(F832=0,"",COUNTIF($F$3:F832,"&gt;0")),"")</f>
        <v>16</v>
      </c>
      <c r="H832" t="str">
        <f t="shared" si="177"/>
        <v/>
      </c>
      <c r="I832" t="str">
        <f t="shared" si="183"/>
        <v/>
      </c>
      <c r="J832">
        <f>IFERROR(IF(I832=0,"",COUNTIF($I$3:I832,"&gt;0")),"")</f>
        <v>34</v>
      </c>
      <c r="K832" t="str">
        <f t="shared" si="178"/>
        <v/>
      </c>
      <c r="L832" t="str">
        <f t="shared" si="184"/>
        <v/>
      </c>
      <c r="M832" t="str">
        <f t="shared" si="185"/>
        <v/>
      </c>
      <c r="N832">
        <f>IFERROR(IF(M832=0,"",COUNTIF($M$3:M832,"&gt;0")),"")</f>
        <v>33</v>
      </c>
      <c r="O832" t="str">
        <f t="shared" si="179"/>
        <v/>
      </c>
      <c r="P832" t="str">
        <f t="shared" si="186"/>
        <v/>
      </c>
      <c r="Q832" t="str">
        <f t="shared" si="187"/>
        <v/>
      </c>
      <c r="R832">
        <f>IFERROR(IF(Q832=0,"",COUNTIF($Q$3:Q832,"&gt;0")),"")</f>
        <v>16</v>
      </c>
      <c r="S832" t="str">
        <f t="shared" si="180"/>
        <v/>
      </c>
      <c r="T832" t="str">
        <f t="shared" si="188"/>
        <v/>
      </c>
      <c r="U832">
        <f>IFERROR(IF(T832=0,"",COUNTIF($T$3:T832,"&gt;0")),"")</f>
        <v>0</v>
      </c>
      <c r="V832" t="str">
        <f t="shared" si="181"/>
        <v/>
      </c>
    </row>
    <row r="833" spans="1:22">
      <c r="A833" t="e">
        <f t="shared" si="176"/>
        <v>#VALUE!</v>
      </c>
      <c r="B833" t="e">
        <f>Table4[[#This Row],[CATEGORY]]</f>
        <v>#VALUE!</v>
      </c>
      <c r="C833" t="e">
        <f>Table4[[#This Row],[SUB-CATEGORY]]</f>
        <v>#VALUE!</v>
      </c>
      <c r="D833">
        <f>'RJ ATTENDENCE SHEET'!C:C</f>
        <v>0</v>
      </c>
      <c r="E833" t="e">
        <f t="shared" si="175"/>
        <v>#VALUE!</v>
      </c>
      <c r="F833" t="str">
        <f t="shared" si="182"/>
        <v/>
      </c>
      <c r="G833">
        <f>IFERROR(IF(F833=0,"",COUNTIF($F$3:F833,"&gt;0")),"")</f>
        <v>16</v>
      </c>
      <c r="H833" t="str">
        <f t="shared" si="177"/>
        <v/>
      </c>
      <c r="I833" t="str">
        <f t="shared" si="183"/>
        <v/>
      </c>
      <c r="J833">
        <f>IFERROR(IF(I833=0,"",COUNTIF($I$3:I833,"&gt;0")),"")</f>
        <v>34</v>
      </c>
      <c r="K833" t="str">
        <f t="shared" si="178"/>
        <v/>
      </c>
      <c r="L833" t="str">
        <f t="shared" si="184"/>
        <v/>
      </c>
      <c r="M833" t="str">
        <f t="shared" si="185"/>
        <v/>
      </c>
      <c r="N833">
        <f>IFERROR(IF(M833=0,"",COUNTIF($M$3:M833,"&gt;0")),"")</f>
        <v>33</v>
      </c>
      <c r="O833" t="str">
        <f t="shared" si="179"/>
        <v/>
      </c>
      <c r="P833" t="str">
        <f t="shared" si="186"/>
        <v/>
      </c>
      <c r="Q833" t="str">
        <f t="shared" si="187"/>
        <v/>
      </c>
      <c r="R833">
        <f>IFERROR(IF(Q833=0,"",COUNTIF($Q$3:Q833,"&gt;0")),"")</f>
        <v>16</v>
      </c>
      <c r="S833" t="str">
        <f t="shared" si="180"/>
        <v/>
      </c>
      <c r="T833" t="str">
        <f t="shared" si="188"/>
        <v/>
      </c>
      <c r="U833">
        <f>IFERROR(IF(T833=0,"",COUNTIF($T$3:T833,"&gt;0")),"")</f>
        <v>0</v>
      </c>
      <c r="V833" t="str">
        <f t="shared" si="181"/>
        <v/>
      </c>
    </row>
    <row r="834" spans="1:22">
      <c r="A834" t="e">
        <f t="shared" si="176"/>
        <v>#VALUE!</v>
      </c>
      <c r="B834" t="e">
        <f>Table4[[#This Row],[CATEGORY]]</f>
        <v>#VALUE!</v>
      </c>
      <c r="C834" t="e">
        <f>Table4[[#This Row],[SUB-CATEGORY]]</f>
        <v>#VALUE!</v>
      </c>
      <c r="D834">
        <f>'RJ ATTENDENCE SHEET'!C:C</f>
        <v>0</v>
      </c>
      <c r="E834" t="e">
        <f t="shared" ref="E834:E897" si="189">C834</f>
        <v>#VALUE!</v>
      </c>
      <c r="F834" t="str">
        <f t="shared" si="182"/>
        <v/>
      </c>
      <c r="G834">
        <f>IFERROR(IF(F834=0,"",COUNTIF($F$3:F834,"&gt;0")),"")</f>
        <v>16</v>
      </c>
      <c r="H834" t="str">
        <f t="shared" si="177"/>
        <v/>
      </c>
      <c r="I834" t="str">
        <f t="shared" si="183"/>
        <v/>
      </c>
      <c r="J834">
        <f>IFERROR(IF(I834=0,"",COUNTIF($I$3:I834,"&gt;0")),"")</f>
        <v>34</v>
      </c>
      <c r="K834" t="str">
        <f t="shared" si="178"/>
        <v/>
      </c>
      <c r="L834" t="str">
        <f t="shared" si="184"/>
        <v/>
      </c>
      <c r="M834" t="str">
        <f t="shared" si="185"/>
        <v/>
      </c>
      <c r="N834">
        <f>IFERROR(IF(M834=0,"",COUNTIF($M$3:M834,"&gt;0")),"")</f>
        <v>33</v>
      </c>
      <c r="O834" t="str">
        <f t="shared" si="179"/>
        <v/>
      </c>
      <c r="P834" t="str">
        <f t="shared" si="186"/>
        <v/>
      </c>
      <c r="Q834" t="str">
        <f t="shared" si="187"/>
        <v/>
      </c>
      <c r="R834">
        <f>IFERROR(IF(Q834=0,"",COUNTIF($Q$3:Q834,"&gt;0")),"")</f>
        <v>16</v>
      </c>
      <c r="S834" t="str">
        <f t="shared" si="180"/>
        <v/>
      </c>
      <c r="T834" t="str">
        <f t="shared" si="188"/>
        <v/>
      </c>
      <c r="U834">
        <f>IFERROR(IF(T834=0,"",COUNTIF($T$3:T834,"&gt;0")),"")</f>
        <v>0</v>
      </c>
      <c r="V834" t="str">
        <f t="shared" si="181"/>
        <v/>
      </c>
    </row>
    <row r="835" spans="1:22">
      <c r="A835" t="e">
        <f t="shared" ref="A835:A898" si="190">CONCATENATE(B835,C835,D835)</f>
        <v>#VALUE!</v>
      </c>
      <c r="B835" t="e">
        <f>Table4[[#This Row],[CATEGORY]]</f>
        <v>#VALUE!</v>
      </c>
      <c r="C835" t="e">
        <f>Table4[[#This Row],[SUB-CATEGORY]]</f>
        <v>#VALUE!</v>
      </c>
      <c r="D835">
        <f>'RJ ATTENDENCE SHEET'!C:C</f>
        <v>0</v>
      </c>
      <c r="E835" t="e">
        <f t="shared" si="189"/>
        <v>#VALUE!</v>
      </c>
      <c r="F835" t="str">
        <f t="shared" si="182"/>
        <v/>
      </c>
      <c r="G835">
        <f>IFERROR(IF(F835=0,"",COUNTIF($F$3:F835,"&gt;0")),"")</f>
        <v>16</v>
      </c>
      <c r="H835" t="str">
        <f t="shared" ref="H835:H898" si="191">IFERROR(VLOOKUP(INDEX($A:$A,MATCH(ROW(F833),G:G,0)),$A:$D,4,0),"")</f>
        <v/>
      </c>
      <c r="I835" t="str">
        <f t="shared" si="183"/>
        <v/>
      </c>
      <c r="J835">
        <f>IFERROR(IF(I835=0,"",COUNTIF($I$3:I835,"&gt;0")),"")</f>
        <v>34</v>
      </c>
      <c r="K835" t="str">
        <f t="shared" ref="K835:K898" si="192">IFERROR(VLOOKUP(INDEX($A:$A,MATCH(ROW(I833),J:J,0)),$A:$D,4,0),"")</f>
        <v/>
      </c>
      <c r="L835" t="str">
        <f t="shared" si="184"/>
        <v/>
      </c>
      <c r="M835" t="str">
        <f t="shared" si="185"/>
        <v/>
      </c>
      <c r="N835">
        <f>IFERROR(IF(M835=0,"",COUNTIF($M$3:M835,"&gt;0")),"")</f>
        <v>33</v>
      </c>
      <c r="O835" t="str">
        <f t="shared" ref="O835:O898" si="193">IFERROR(VLOOKUP(INDEX($A:$A,MATCH(ROW(M833),N:N,0)),$A:$D,4,0),"")</f>
        <v/>
      </c>
      <c r="P835" t="str">
        <f t="shared" si="186"/>
        <v/>
      </c>
      <c r="Q835" t="str">
        <f t="shared" si="187"/>
        <v/>
      </c>
      <c r="R835">
        <f>IFERROR(IF(Q835=0,"",COUNTIF($Q$3:Q835,"&gt;0")),"")</f>
        <v>16</v>
      </c>
      <c r="S835" t="str">
        <f t="shared" ref="S835:S898" si="194">IFERROR(VLOOKUP(INDEX($A:$A,MATCH(ROW(Q833),R:R,0)),$A:$D,4,0),"")</f>
        <v/>
      </c>
      <c r="T835" t="str">
        <f t="shared" si="188"/>
        <v/>
      </c>
      <c r="U835">
        <f>IFERROR(IF(T835=0,"",COUNTIF($T$3:T835,"&gt;0")),"")</f>
        <v>0</v>
      </c>
      <c r="V835" t="str">
        <f t="shared" ref="V835:V898" si="195">IFERROR(VLOOKUP(INDEX($A:$A,MATCH(ROW(T833),U:U,0)),$A:$D,4,0),"")</f>
        <v/>
      </c>
    </row>
    <row r="836" spans="1:22">
      <c r="A836" t="e">
        <f t="shared" si="190"/>
        <v>#VALUE!</v>
      </c>
      <c r="B836" t="e">
        <f>Table4[[#This Row],[CATEGORY]]</f>
        <v>#VALUE!</v>
      </c>
      <c r="C836" t="e">
        <f>Table4[[#This Row],[SUB-CATEGORY]]</f>
        <v>#VALUE!</v>
      </c>
      <c r="D836">
        <f>'RJ ATTENDENCE SHEET'!C:C</f>
        <v>0</v>
      </c>
      <c r="E836" t="e">
        <f t="shared" si="189"/>
        <v>#VALUE!</v>
      </c>
      <c r="F836" t="str">
        <f t="shared" ref="F836:F899" si="196">IFERROR(SEARCH("SALARYOFFICE",$A:$A),"")</f>
        <v/>
      </c>
      <c r="G836">
        <f>IFERROR(IF(F836=0,"",COUNTIF($F$3:F836,"&gt;0")),"")</f>
        <v>16</v>
      </c>
      <c r="H836" t="str">
        <f t="shared" si="191"/>
        <v/>
      </c>
      <c r="I836" t="str">
        <f t="shared" ref="I836:I899" si="197">IFERROR(SEARCH("WAGES",$A:$A),"")</f>
        <v/>
      </c>
      <c r="J836">
        <f>IFERROR(IF(I836=0,"",COUNTIF($I$3:I836,"&gt;0")),"")</f>
        <v>34</v>
      </c>
      <c r="K836" t="str">
        <f t="shared" si="192"/>
        <v/>
      </c>
      <c r="L836" t="str">
        <f t="shared" ref="L836:L899" si="198">IFERROR(VLOOKUP(K836,$D:$E,2,0),"")</f>
        <v/>
      </c>
      <c r="M836" t="str">
        <f t="shared" ref="M836:M899" si="199">IFERROR(SEARCH("CONTRACT",$A:$A),"")</f>
        <v/>
      </c>
      <c r="N836">
        <f>IFERROR(IF(M836=0,"",COUNTIF($M$3:M836,"&gt;0")),"")</f>
        <v>33</v>
      </c>
      <c r="O836" t="str">
        <f t="shared" si="193"/>
        <v/>
      </c>
      <c r="P836" t="str">
        <f t="shared" ref="P836:P899" si="200">IFERROR(VLOOKUP(O836,$D:$E,2,0),"")</f>
        <v/>
      </c>
      <c r="Q836" t="str">
        <f t="shared" ref="Q836:Q899" si="201">IFERROR(SEARCH("SALARY",$A:$A),"")</f>
        <v/>
      </c>
      <c r="R836">
        <f>IFERROR(IF(Q836=0,"",COUNTIF($Q$3:Q836,"&gt;0")),"")</f>
        <v>16</v>
      </c>
      <c r="S836" t="str">
        <f t="shared" si="194"/>
        <v/>
      </c>
      <c r="T836" t="str">
        <f t="shared" ref="T836:T899" si="202">IFERROR(SEARCH("OTHERS0",$A:$A),"")</f>
        <v/>
      </c>
      <c r="U836">
        <f>IFERROR(IF(T836=0,"",COUNTIF($T$3:T836,"&gt;0")),"")</f>
        <v>0</v>
      </c>
      <c r="V836" t="str">
        <f t="shared" si="195"/>
        <v/>
      </c>
    </row>
    <row r="837" spans="1:22">
      <c r="A837" t="e">
        <f t="shared" si="190"/>
        <v>#VALUE!</v>
      </c>
      <c r="B837" t="e">
        <f>Table4[[#This Row],[CATEGORY]]</f>
        <v>#VALUE!</v>
      </c>
      <c r="C837" t="e">
        <f>Table4[[#This Row],[SUB-CATEGORY]]</f>
        <v>#VALUE!</v>
      </c>
      <c r="D837">
        <f>'RJ ATTENDENCE SHEET'!C:C</f>
        <v>0</v>
      </c>
      <c r="E837" t="e">
        <f t="shared" si="189"/>
        <v>#VALUE!</v>
      </c>
      <c r="F837" t="str">
        <f t="shared" si="196"/>
        <v/>
      </c>
      <c r="G837">
        <f>IFERROR(IF(F837=0,"",COUNTIF($F$3:F837,"&gt;0")),"")</f>
        <v>16</v>
      </c>
      <c r="H837" t="str">
        <f t="shared" si="191"/>
        <v/>
      </c>
      <c r="I837" t="str">
        <f t="shared" si="197"/>
        <v/>
      </c>
      <c r="J837">
        <f>IFERROR(IF(I837=0,"",COUNTIF($I$3:I837,"&gt;0")),"")</f>
        <v>34</v>
      </c>
      <c r="K837" t="str">
        <f t="shared" si="192"/>
        <v/>
      </c>
      <c r="L837" t="str">
        <f t="shared" si="198"/>
        <v/>
      </c>
      <c r="M837" t="str">
        <f t="shared" si="199"/>
        <v/>
      </c>
      <c r="N837">
        <f>IFERROR(IF(M837=0,"",COUNTIF($M$3:M837,"&gt;0")),"")</f>
        <v>33</v>
      </c>
      <c r="O837" t="str">
        <f t="shared" si="193"/>
        <v/>
      </c>
      <c r="P837" t="str">
        <f t="shared" si="200"/>
        <v/>
      </c>
      <c r="Q837" t="str">
        <f t="shared" si="201"/>
        <v/>
      </c>
      <c r="R837">
        <f>IFERROR(IF(Q837=0,"",COUNTIF($Q$3:Q837,"&gt;0")),"")</f>
        <v>16</v>
      </c>
      <c r="S837" t="str">
        <f t="shared" si="194"/>
        <v/>
      </c>
      <c r="T837" t="str">
        <f t="shared" si="202"/>
        <v/>
      </c>
      <c r="U837">
        <f>IFERROR(IF(T837=0,"",COUNTIF($T$3:T837,"&gt;0")),"")</f>
        <v>0</v>
      </c>
      <c r="V837" t="str">
        <f t="shared" si="195"/>
        <v/>
      </c>
    </row>
    <row r="838" spans="1:22">
      <c r="A838" t="e">
        <f t="shared" si="190"/>
        <v>#VALUE!</v>
      </c>
      <c r="B838" t="e">
        <f>Table4[[#This Row],[CATEGORY]]</f>
        <v>#VALUE!</v>
      </c>
      <c r="C838" t="e">
        <f>Table4[[#This Row],[SUB-CATEGORY]]</f>
        <v>#VALUE!</v>
      </c>
      <c r="D838">
        <f>'RJ ATTENDENCE SHEET'!C:C</f>
        <v>0</v>
      </c>
      <c r="E838" t="e">
        <f t="shared" si="189"/>
        <v>#VALUE!</v>
      </c>
      <c r="F838" t="str">
        <f t="shared" si="196"/>
        <v/>
      </c>
      <c r="G838">
        <f>IFERROR(IF(F838=0,"",COUNTIF($F$3:F838,"&gt;0")),"")</f>
        <v>16</v>
      </c>
      <c r="H838" t="str">
        <f t="shared" si="191"/>
        <v/>
      </c>
      <c r="I838" t="str">
        <f t="shared" si="197"/>
        <v/>
      </c>
      <c r="J838">
        <f>IFERROR(IF(I838=0,"",COUNTIF($I$3:I838,"&gt;0")),"")</f>
        <v>34</v>
      </c>
      <c r="K838" t="str">
        <f t="shared" si="192"/>
        <v/>
      </c>
      <c r="L838" t="str">
        <f t="shared" si="198"/>
        <v/>
      </c>
      <c r="M838" t="str">
        <f t="shared" si="199"/>
        <v/>
      </c>
      <c r="N838">
        <f>IFERROR(IF(M838=0,"",COUNTIF($M$3:M838,"&gt;0")),"")</f>
        <v>33</v>
      </c>
      <c r="O838" t="str">
        <f t="shared" si="193"/>
        <v/>
      </c>
      <c r="P838" t="str">
        <f t="shared" si="200"/>
        <v/>
      </c>
      <c r="Q838" t="str">
        <f t="shared" si="201"/>
        <v/>
      </c>
      <c r="R838">
        <f>IFERROR(IF(Q838=0,"",COUNTIF($Q$3:Q838,"&gt;0")),"")</f>
        <v>16</v>
      </c>
      <c r="S838" t="str">
        <f t="shared" si="194"/>
        <v/>
      </c>
      <c r="T838" t="str">
        <f t="shared" si="202"/>
        <v/>
      </c>
      <c r="U838">
        <f>IFERROR(IF(T838=0,"",COUNTIF($T$3:T838,"&gt;0")),"")</f>
        <v>0</v>
      </c>
      <c r="V838" t="str">
        <f t="shared" si="195"/>
        <v/>
      </c>
    </row>
    <row r="839" spans="1:22">
      <c r="A839" t="e">
        <f t="shared" si="190"/>
        <v>#VALUE!</v>
      </c>
      <c r="B839" t="e">
        <f>Table4[[#This Row],[CATEGORY]]</f>
        <v>#VALUE!</v>
      </c>
      <c r="C839" t="e">
        <f>Table4[[#This Row],[SUB-CATEGORY]]</f>
        <v>#VALUE!</v>
      </c>
      <c r="D839">
        <f>'RJ ATTENDENCE SHEET'!C:C</f>
        <v>0</v>
      </c>
      <c r="E839" t="e">
        <f t="shared" si="189"/>
        <v>#VALUE!</v>
      </c>
      <c r="F839" t="str">
        <f t="shared" si="196"/>
        <v/>
      </c>
      <c r="G839">
        <f>IFERROR(IF(F839=0,"",COUNTIF($F$3:F839,"&gt;0")),"")</f>
        <v>16</v>
      </c>
      <c r="H839" t="str">
        <f t="shared" si="191"/>
        <v/>
      </c>
      <c r="I839" t="str">
        <f t="shared" si="197"/>
        <v/>
      </c>
      <c r="J839">
        <f>IFERROR(IF(I839=0,"",COUNTIF($I$3:I839,"&gt;0")),"")</f>
        <v>34</v>
      </c>
      <c r="K839" t="str">
        <f t="shared" si="192"/>
        <v/>
      </c>
      <c r="L839" t="str">
        <f t="shared" si="198"/>
        <v/>
      </c>
      <c r="M839" t="str">
        <f t="shared" si="199"/>
        <v/>
      </c>
      <c r="N839">
        <f>IFERROR(IF(M839=0,"",COUNTIF($M$3:M839,"&gt;0")),"")</f>
        <v>33</v>
      </c>
      <c r="O839" t="str">
        <f t="shared" si="193"/>
        <v/>
      </c>
      <c r="P839" t="str">
        <f t="shared" si="200"/>
        <v/>
      </c>
      <c r="Q839" t="str">
        <f t="shared" si="201"/>
        <v/>
      </c>
      <c r="R839">
        <f>IFERROR(IF(Q839=0,"",COUNTIF($Q$3:Q839,"&gt;0")),"")</f>
        <v>16</v>
      </c>
      <c r="S839" t="str">
        <f t="shared" si="194"/>
        <v/>
      </c>
      <c r="T839" t="str">
        <f t="shared" si="202"/>
        <v/>
      </c>
      <c r="U839">
        <f>IFERROR(IF(T839=0,"",COUNTIF($T$3:T839,"&gt;0")),"")</f>
        <v>0</v>
      </c>
      <c r="V839" t="str">
        <f t="shared" si="195"/>
        <v/>
      </c>
    </row>
    <row r="840" spans="1:22">
      <c r="A840" t="e">
        <f t="shared" si="190"/>
        <v>#VALUE!</v>
      </c>
      <c r="B840" t="e">
        <f>Table4[[#This Row],[CATEGORY]]</f>
        <v>#VALUE!</v>
      </c>
      <c r="C840" t="e">
        <f>Table4[[#This Row],[SUB-CATEGORY]]</f>
        <v>#VALUE!</v>
      </c>
      <c r="D840">
        <f>'RJ ATTENDENCE SHEET'!C:C</f>
        <v>0</v>
      </c>
      <c r="E840" t="e">
        <f t="shared" si="189"/>
        <v>#VALUE!</v>
      </c>
      <c r="F840" t="str">
        <f t="shared" si="196"/>
        <v/>
      </c>
      <c r="G840">
        <f>IFERROR(IF(F840=0,"",COUNTIF($F$3:F840,"&gt;0")),"")</f>
        <v>16</v>
      </c>
      <c r="H840" t="str">
        <f t="shared" si="191"/>
        <v/>
      </c>
      <c r="I840" t="str">
        <f t="shared" si="197"/>
        <v/>
      </c>
      <c r="J840">
        <f>IFERROR(IF(I840=0,"",COUNTIF($I$3:I840,"&gt;0")),"")</f>
        <v>34</v>
      </c>
      <c r="K840" t="str">
        <f t="shared" si="192"/>
        <v/>
      </c>
      <c r="L840" t="str">
        <f t="shared" si="198"/>
        <v/>
      </c>
      <c r="M840" t="str">
        <f t="shared" si="199"/>
        <v/>
      </c>
      <c r="N840">
        <f>IFERROR(IF(M840=0,"",COUNTIF($M$3:M840,"&gt;0")),"")</f>
        <v>33</v>
      </c>
      <c r="O840" t="str">
        <f t="shared" si="193"/>
        <v/>
      </c>
      <c r="P840" t="str">
        <f t="shared" si="200"/>
        <v/>
      </c>
      <c r="Q840" t="str">
        <f t="shared" si="201"/>
        <v/>
      </c>
      <c r="R840">
        <f>IFERROR(IF(Q840=0,"",COUNTIF($Q$3:Q840,"&gt;0")),"")</f>
        <v>16</v>
      </c>
      <c r="S840" t="str">
        <f t="shared" si="194"/>
        <v/>
      </c>
      <c r="T840" t="str">
        <f t="shared" si="202"/>
        <v/>
      </c>
      <c r="U840">
        <f>IFERROR(IF(T840=0,"",COUNTIF($T$3:T840,"&gt;0")),"")</f>
        <v>0</v>
      </c>
      <c r="V840" t="str">
        <f t="shared" si="195"/>
        <v/>
      </c>
    </row>
    <row r="841" spans="1:22">
      <c r="A841" t="e">
        <f t="shared" si="190"/>
        <v>#VALUE!</v>
      </c>
      <c r="B841" t="e">
        <f>Table4[[#This Row],[CATEGORY]]</f>
        <v>#VALUE!</v>
      </c>
      <c r="C841" t="e">
        <f>Table4[[#This Row],[SUB-CATEGORY]]</f>
        <v>#VALUE!</v>
      </c>
      <c r="D841">
        <f>'RJ ATTENDENCE SHEET'!C:C</f>
        <v>0</v>
      </c>
      <c r="E841" t="e">
        <f t="shared" si="189"/>
        <v>#VALUE!</v>
      </c>
      <c r="F841" t="str">
        <f t="shared" si="196"/>
        <v/>
      </c>
      <c r="G841">
        <f>IFERROR(IF(F841=0,"",COUNTIF($F$3:F841,"&gt;0")),"")</f>
        <v>16</v>
      </c>
      <c r="H841" t="str">
        <f t="shared" si="191"/>
        <v/>
      </c>
      <c r="I841" t="str">
        <f t="shared" si="197"/>
        <v/>
      </c>
      <c r="J841">
        <f>IFERROR(IF(I841=0,"",COUNTIF($I$3:I841,"&gt;0")),"")</f>
        <v>34</v>
      </c>
      <c r="K841" t="str">
        <f t="shared" si="192"/>
        <v/>
      </c>
      <c r="L841" t="str">
        <f t="shared" si="198"/>
        <v/>
      </c>
      <c r="M841" t="str">
        <f t="shared" si="199"/>
        <v/>
      </c>
      <c r="N841">
        <f>IFERROR(IF(M841=0,"",COUNTIF($M$3:M841,"&gt;0")),"")</f>
        <v>33</v>
      </c>
      <c r="O841" t="str">
        <f t="shared" si="193"/>
        <v/>
      </c>
      <c r="P841" t="str">
        <f t="shared" si="200"/>
        <v/>
      </c>
      <c r="Q841" t="str">
        <f t="shared" si="201"/>
        <v/>
      </c>
      <c r="R841">
        <f>IFERROR(IF(Q841=0,"",COUNTIF($Q$3:Q841,"&gt;0")),"")</f>
        <v>16</v>
      </c>
      <c r="S841" t="str">
        <f t="shared" si="194"/>
        <v/>
      </c>
      <c r="T841" t="str">
        <f t="shared" si="202"/>
        <v/>
      </c>
      <c r="U841">
        <f>IFERROR(IF(T841=0,"",COUNTIF($T$3:T841,"&gt;0")),"")</f>
        <v>0</v>
      </c>
      <c r="V841" t="str">
        <f t="shared" si="195"/>
        <v/>
      </c>
    </row>
    <row r="842" spans="1:22">
      <c r="A842" t="e">
        <f t="shared" si="190"/>
        <v>#VALUE!</v>
      </c>
      <c r="B842" t="e">
        <f>Table4[[#This Row],[CATEGORY]]</f>
        <v>#VALUE!</v>
      </c>
      <c r="C842" t="e">
        <f>Table4[[#This Row],[SUB-CATEGORY]]</f>
        <v>#VALUE!</v>
      </c>
      <c r="D842">
        <f>'RJ ATTENDENCE SHEET'!C:C</f>
        <v>0</v>
      </c>
      <c r="E842" t="e">
        <f t="shared" si="189"/>
        <v>#VALUE!</v>
      </c>
      <c r="F842" t="str">
        <f t="shared" si="196"/>
        <v/>
      </c>
      <c r="G842">
        <f>IFERROR(IF(F842=0,"",COUNTIF($F$3:F842,"&gt;0")),"")</f>
        <v>16</v>
      </c>
      <c r="H842" t="str">
        <f t="shared" si="191"/>
        <v/>
      </c>
      <c r="I842" t="str">
        <f t="shared" si="197"/>
        <v/>
      </c>
      <c r="J842">
        <f>IFERROR(IF(I842=0,"",COUNTIF($I$3:I842,"&gt;0")),"")</f>
        <v>34</v>
      </c>
      <c r="K842" t="str">
        <f t="shared" si="192"/>
        <v/>
      </c>
      <c r="L842" t="str">
        <f t="shared" si="198"/>
        <v/>
      </c>
      <c r="M842" t="str">
        <f t="shared" si="199"/>
        <v/>
      </c>
      <c r="N842">
        <f>IFERROR(IF(M842=0,"",COUNTIF($M$3:M842,"&gt;0")),"")</f>
        <v>33</v>
      </c>
      <c r="O842" t="str">
        <f t="shared" si="193"/>
        <v/>
      </c>
      <c r="P842" t="str">
        <f t="shared" si="200"/>
        <v/>
      </c>
      <c r="Q842" t="str">
        <f t="shared" si="201"/>
        <v/>
      </c>
      <c r="R842">
        <f>IFERROR(IF(Q842=0,"",COUNTIF($Q$3:Q842,"&gt;0")),"")</f>
        <v>16</v>
      </c>
      <c r="S842" t="str">
        <f t="shared" si="194"/>
        <v/>
      </c>
      <c r="T842" t="str">
        <f t="shared" si="202"/>
        <v/>
      </c>
      <c r="U842">
        <f>IFERROR(IF(T842=0,"",COUNTIF($T$3:T842,"&gt;0")),"")</f>
        <v>0</v>
      </c>
      <c r="V842" t="str">
        <f t="shared" si="195"/>
        <v/>
      </c>
    </row>
    <row r="843" spans="1:22">
      <c r="A843" t="e">
        <f t="shared" si="190"/>
        <v>#VALUE!</v>
      </c>
      <c r="B843" t="e">
        <f>Table4[[#This Row],[CATEGORY]]</f>
        <v>#VALUE!</v>
      </c>
      <c r="C843" t="e">
        <f>Table4[[#This Row],[SUB-CATEGORY]]</f>
        <v>#VALUE!</v>
      </c>
      <c r="D843">
        <f>'RJ ATTENDENCE SHEET'!C:C</f>
        <v>0</v>
      </c>
      <c r="E843" t="e">
        <f t="shared" si="189"/>
        <v>#VALUE!</v>
      </c>
      <c r="F843" t="str">
        <f t="shared" si="196"/>
        <v/>
      </c>
      <c r="G843">
        <f>IFERROR(IF(F843=0,"",COUNTIF($F$3:F843,"&gt;0")),"")</f>
        <v>16</v>
      </c>
      <c r="H843" t="str">
        <f t="shared" si="191"/>
        <v/>
      </c>
      <c r="I843" t="str">
        <f t="shared" si="197"/>
        <v/>
      </c>
      <c r="J843">
        <f>IFERROR(IF(I843=0,"",COUNTIF($I$3:I843,"&gt;0")),"")</f>
        <v>34</v>
      </c>
      <c r="K843" t="str">
        <f t="shared" si="192"/>
        <v/>
      </c>
      <c r="L843" t="str">
        <f t="shared" si="198"/>
        <v/>
      </c>
      <c r="M843" t="str">
        <f t="shared" si="199"/>
        <v/>
      </c>
      <c r="N843">
        <f>IFERROR(IF(M843=0,"",COUNTIF($M$3:M843,"&gt;0")),"")</f>
        <v>33</v>
      </c>
      <c r="O843" t="str">
        <f t="shared" si="193"/>
        <v/>
      </c>
      <c r="P843" t="str">
        <f t="shared" si="200"/>
        <v/>
      </c>
      <c r="Q843" t="str">
        <f t="shared" si="201"/>
        <v/>
      </c>
      <c r="R843">
        <f>IFERROR(IF(Q843=0,"",COUNTIF($Q$3:Q843,"&gt;0")),"")</f>
        <v>16</v>
      </c>
      <c r="S843" t="str">
        <f t="shared" si="194"/>
        <v/>
      </c>
      <c r="T843" t="str">
        <f t="shared" si="202"/>
        <v/>
      </c>
      <c r="U843">
        <f>IFERROR(IF(T843=0,"",COUNTIF($T$3:T843,"&gt;0")),"")</f>
        <v>0</v>
      </c>
      <c r="V843" t="str">
        <f t="shared" si="195"/>
        <v/>
      </c>
    </row>
    <row r="844" spans="1:22">
      <c r="A844" t="e">
        <f t="shared" si="190"/>
        <v>#VALUE!</v>
      </c>
      <c r="B844" t="e">
        <f>Table4[[#This Row],[CATEGORY]]</f>
        <v>#VALUE!</v>
      </c>
      <c r="C844" t="e">
        <f>Table4[[#This Row],[SUB-CATEGORY]]</f>
        <v>#VALUE!</v>
      </c>
      <c r="D844">
        <f>'RJ ATTENDENCE SHEET'!C:C</f>
        <v>0</v>
      </c>
      <c r="E844" t="e">
        <f t="shared" si="189"/>
        <v>#VALUE!</v>
      </c>
      <c r="F844" t="str">
        <f t="shared" si="196"/>
        <v/>
      </c>
      <c r="G844">
        <f>IFERROR(IF(F844=0,"",COUNTIF($F$3:F844,"&gt;0")),"")</f>
        <v>16</v>
      </c>
      <c r="H844" t="str">
        <f t="shared" si="191"/>
        <v/>
      </c>
      <c r="I844" t="str">
        <f t="shared" si="197"/>
        <v/>
      </c>
      <c r="J844">
        <f>IFERROR(IF(I844=0,"",COUNTIF($I$3:I844,"&gt;0")),"")</f>
        <v>34</v>
      </c>
      <c r="K844" t="str">
        <f t="shared" si="192"/>
        <v/>
      </c>
      <c r="L844" t="str">
        <f t="shared" si="198"/>
        <v/>
      </c>
      <c r="M844" t="str">
        <f t="shared" si="199"/>
        <v/>
      </c>
      <c r="N844">
        <f>IFERROR(IF(M844=0,"",COUNTIF($M$3:M844,"&gt;0")),"")</f>
        <v>33</v>
      </c>
      <c r="O844" t="str">
        <f t="shared" si="193"/>
        <v/>
      </c>
      <c r="P844" t="str">
        <f t="shared" si="200"/>
        <v/>
      </c>
      <c r="Q844" t="str">
        <f t="shared" si="201"/>
        <v/>
      </c>
      <c r="R844">
        <f>IFERROR(IF(Q844=0,"",COUNTIF($Q$3:Q844,"&gt;0")),"")</f>
        <v>16</v>
      </c>
      <c r="S844" t="str">
        <f t="shared" si="194"/>
        <v/>
      </c>
      <c r="T844" t="str">
        <f t="shared" si="202"/>
        <v/>
      </c>
      <c r="U844">
        <f>IFERROR(IF(T844=0,"",COUNTIF($T$3:T844,"&gt;0")),"")</f>
        <v>0</v>
      </c>
      <c r="V844" t="str">
        <f t="shared" si="195"/>
        <v/>
      </c>
    </row>
    <row r="845" spans="1:22">
      <c r="A845" t="e">
        <f t="shared" si="190"/>
        <v>#VALUE!</v>
      </c>
      <c r="B845" t="e">
        <f>Table4[[#This Row],[CATEGORY]]</f>
        <v>#VALUE!</v>
      </c>
      <c r="C845" t="e">
        <f>Table4[[#This Row],[SUB-CATEGORY]]</f>
        <v>#VALUE!</v>
      </c>
      <c r="D845">
        <f>'RJ ATTENDENCE SHEET'!C:C</f>
        <v>0</v>
      </c>
      <c r="E845" t="e">
        <f t="shared" si="189"/>
        <v>#VALUE!</v>
      </c>
      <c r="F845" t="str">
        <f t="shared" si="196"/>
        <v/>
      </c>
      <c r="G845">
        <f>IFERROR(IF(F845=0,"",COUNTIF($F$3:F845,"&gt;0")),"")</f>
        <v>16</v>
      </c>
      <c r="H845" t="str">
        <f t="shared" si="191"/>
        <v/>
      </c>
      <c r="I845" t="str">
        <f t="shared" si="197"/>
        <v/>
      </c>
      <c r="J845">
        <f>IFERROR(IF(I845=0,"",COUNTIF($I$3:I845,"&gt;0")),"")</f>
        <v>34</v>
      </c>
      <c r="K845" t="str">
        <f t="shared" si="192"/>
        <v/>
      </c>
      <c r="L845" t="str">
        <f t="shared" si="198"/>
        <v/>
      </c>
      <c r="M845" t="str">
        <f t="shared" si="199"/>
        <v/>
      </c>
      <c r="N845">
        <f>IFERROR(IF(M845=0,"",COUNTIF($M$3:M845,"&gt;0")),"")</f>
        <v>33</v>
      </c>
      <c r="O845" t="str">
        <f t="shared" si="193"/>
        <v/>
      </c>
      <c r="P845" t="str">
        <f t="shared" si="200"/>
        <v/>
      </c>
      <c r="Q845" t="str">
        <f t="shared" si="201"/>
        <v/>
      </c>
      <c r="R845">
        <f>IFERROR(IF(Q845=0,"",COUNTIF($Q$3:Q845,"&gt;0")),"")</f>
        <v>16</v>
      </c>
      <c r="S845" t="str">
        <f t="shared" si="194"/>
        <v/>
      </c>
      <c r="T845" t="str">
        <f t="shared" si="202"/>
        <v/>
      </c>
      <c r="U845">
        <f>IFERROR(IF(T845=0,"",COUNTIF($T$3:T845,"&gt;0")),"")</f>
        <v>0</v>
      </c>
      <c r="V845" t="str">
        <f t="shared" si="195"/>
        <v/>
      </c>
    </row>
    <row r="846" spans="1:22">
      <c r="A846" t="e">
        <f t="shared" si="190"/>
        <v>#VALUE!</v>
      </c>
      <c r="B846" t="e">
        <f>Table4[[#This Row],[CATEGORY]]</f>
        <v>#VALUE!</v>
      </c>
      <c r="C846" t="e">
        <f>Table4[[#This Row],[SUB-CATEGORY]]</f>
        <v>#VALUE!</v>
      </c>
      <c r="D846">
        <f>'RJ ATTENDENCE SHEET'!C:C</f>
        <v>0</v>
      </c>
      <c r="E846" t="e">
        <f t="shared" si="189"/>
        <v>#VALUE!</v>
      </c>
      <c r="F846" t="str">
        <f t="shared" si="196"/>
        <v/>
      </c>
      <c r="G846">
        <f>IFERROR(IF(F846=0,"",COUNTIF($F$3:F846,"&gt;0")),"")</f>
        <v>16</v>
      </c>
      <c r="H846" t="str">
        <f t="shared" si="191"/>
        <v/>
      </c>
      <c r="I846" t="str">
        <f t="shared" si="197"/>
        <v/>
      </c>
      <c r="J846">
        <f>IFERROR(IF(I846=0,"",COUNTIF($I$3:I846,"&gt;0")),"")</f>
        <v>34</v>
      </c>
      <c r="K846" t="str">
        <f t="shared" si="192"/>
        <v/>
      </c>
      <c r="L846" t="str">
        <f t="shared" si="198"/>
        <v/>
      </c>
      <c r="M846" t="str">
        <f t="shared" si="199"/>
        <v/>
      </c>
      <c r="N846">
        <f>IFERROR(IF(M846=0,"",COUNTIF($M$3:M846,"&gt;0")),"")</f>
        <v>33</v>
      </c>
      <c r="O846" t="str">
        <f t="shared" si="193"/>
        <v/>
      </c>
      <c r="P846" t="str">
        <f t="shared" si="200"/>
        <v/>
      </c>
      <c r="Q846" t="str">
        <f t="shared" si="201"/>
        <v/>
      </c>
      <c r="R846">
        <f>IFERROR(IF(Q846=0,"",COUNTIF($Q$3:Q846,"&gt;0")),"")</f>
        <v>16</v>
      </c>
      <c r="S846" t="str">
        <f t="shared" si="194"/>
        <v/>
      </c>
      <c r="T846" t="str">
        <f t="shared" si="202"/>
        <v/>
      </c>
      <c r="U846">
        <f>IFERROR(IF(T846=0,"",COUNTIF($T$3:T846,"&gt;0")),"")</f>
        <v>0</v>
      </c>
      <c r="V846" t="str">
        <f t="shared" si="195"/>
        <v/>
      </c>
    </row>
    <row r="847" spans="1:22">
      <c r="A847" t="e">
        <f t="shared" si="190"/>
        <v>#VALUE!</v>
      </c>
      <c r="B847" t="e">
        <f>Table4[[#This Row],[CATEGORY]]</f>
        <v>#VALUE!</v>
      </c>
      <c r="C847" t="e">
        <f>Table4[[#This Row],[SUB-CATEGORY]]</f>
        <v>#VALUE!</v>
      </c>
      <c r="D847">
        <f>'RJ ATTENDENCE SHEET'!C:C</f>
        <v>0</v>
      </c>
      <c r="E847" t="e">
        <f t="shared" si="189"/>
        <v>#VALUE!</v>
      </c>
      <c r="F847" t="str">
        <f t="shared" si="196"/>
        <v/>
      </c>
      <c r="G847">
        <f>IFERROR(IF(F847=0,"",COUNTIF($F$3:F847,"&gt;0")),"")</f>
        <v>16</v>
      </c>
      <c r="H847" t="str">
        <f t="shared" si="191"/>
        <v/>
      </c>
      <c r="I847" t="str">
        <f t="shared" si="197"/>
        <v/>
      </c>
      <c r="J847">
        <f>IFERROR(IF(I847=0,"",COUNTIF($I$3:I847,"&gt;0")),"")</f>
        <v>34</v>
      </c>
      <c r="K847" t="str">
        <f t="shared" si="192"/>
        <v/>
      </c>
      <c r="L847" t="str">
        <f t="shared" si="198"/>
        <v/>
      </c>
      <c r="M847" t="str">
        <f t="shared" si="199"/>
        <v/>
      </c>
      <c r="N847">
        <f>IFERROR(IF(M847=0,"",COUNTIF($M$3:M847,"&gt;0")),"")</f>
        <v>33</v>
      </c>
      <c r="O847" t="str">
        <f t="shared" si="193"/>
        <v/>
      </c>
      <c r="P847" t="str">
        <f t="shared" si="200"/>
        <v/>
      </c>
      <c r="Q847" t="str">
        <f t="shared" si="201"/>
        <v/>
      </c>
      <c r="R847">
        <f>IFERROR(IF(Q847=0,"",COUNTIF($Q$3:Q847,"&gt;0")),"")</f>
        <v>16</v>
      </c>
      <c r="S847" t="str">
        <f t="shared" si="194"/>
        <v/>
      </c>
      <c r="T847" t="str">
        <f t="shared" si="202"/>
        <v/>
      </c>
      <c r="U847">
        <f>IFERROR(IF(T847=0,"",COUNTIF($T$3:T847,"&gt;0")),"")</f>
        <v>0</v>
      </c>
      <c r="V847" t="str">
        <f t="shared" si="195"/>
        <v/>
      </c>
    </row>
    <row r="848" spans="1:22">
      <c r="A848" t="e">
        <f t="shared" si="190"/>
        <v>#VALUE!</v>
      </c>
      <c r="B848" t="e">
        <f>Table4[[#This Row],[CATEGORY]]</f>
        <v>#VALUE!</v>
      </c>
      <c r="C848" t="e">
        <f>Table4[[#This Row],[SUB-CATEGORY]]</f>
        <v>#VALUE!</v>
      </c>
      <c r="D848">
        <f>'RJ ATTENDENCE SHEET'!C:C</f>
        <v>0</v>
      </c>
      <c r="E848" t="e">
        <f t="shared" si="189"/>
        <v>#VALUE!</v>
      </c>
      <c r="F848" t="str">
        <f t="shared" si="196"/>
        <v/>
      </c>
      <c r="G848">
        <f>IFERROR(IF(F848=0,"",COUNTIF($F$3:F848,"&gt;0")),"")</f>
        <v>16</v>
      </c>
      <c r="H848" t="str">
        <f t="shared" si="191"/>
        <v/>
      </c>
      <c r="I848" t="str">
        <f t="shared" si="197"/>
        <v/>
      </c>
      <c r="J848">
        <f>IFERROR(IF(I848=0,"",COUNTIF($I$3:I848,"&gt;0")),"")</f>
        <v>34</v>
      </c>
      <c r="K848" t="str">
        <f t="shared" si="192"/>
        <v/>
      </c>
      <c r="L848" t="str">
        <f t="shared" si="198"/>
        <v/>
      </c>
      <c r="M848" t="str">
        <f t="shared" si="199"/>
        <v/>
      </c>
      <c r="N848">
        <f>IFERROR(IF(M848=0,"",COUNTIF($M$3:M848,"&gt;0")),"")</f>
        <v>33</v>
      </c>
      <c r="O848" t="str">
        <f t="shared" si="193"/>
        <v/>
      </c>
      <c r="P848" t="str">
        <f t="shared" si="200"/>
        <v/>
      </c>
      <c r="Q848" t="str">
        <f t="shared" si="201"/>
        <v/>
      </c>
      <c r="R848">
        <f>IFERROR(IF(Q848=0,"",COUNTIF($Q$3:Q848,"&gt;0")),"")</f>
        <v>16</v>
      </c>
      <c r="S848" t="str">
        <f t="shared" si="194"/>
        <v/>
      </c>
      <c r="T848" t="str">
        <f t="shared" si="202"/>
        <v/>
      </c>
      <c r="U848">
        <f>IFERROR(IF(T848=0,"",COUNTIF($T$3:T848,"&gt;0")),"")</f>
        <v>0</v>
      </c>
      <c r="V848" t="str">
        <f t="shared" si="195"/>
        <v/>
      </c>
    </row>
    <row r="849" spans="1:22">
      <c r="A849" t="e">
        <f t="shared" si="190"/>
        <v>#VALUE!</v>
      </c>
      <c r="B849" t="e">
        <f>Table4[[#This Row],[CATEGORY]]</f>
        <v>#VALUE!</v>
      </c>
      <c r="C849" t="e">
        <f>Table4[[#This Row],[SUB-CATEGORY]]</f>
        <v>#VALUE!</v>
      </c>
      <c r="D849">
        <f>'RJ ATTENDENCE SHEET'!C:C</f>
        <v>0</v>
      </c>
      <c r="E849" t="e">
        <f t="shared" si="189"/>
        <v>#VALUE!</v>
      </c>
      <c r="F849" t="str">
        <f t="shared" si="196"/>
        <v/>
      </c>
      <c r="G849">
        <f>IFERROR(IF(F849=0,"",COUNTIF($F$3:F849,"&gt;0")),"")</f>
        <v>16</v>
      </c>
      <c r="H849" t="str">
        <f t="shared" si="191"/>
        <v/>
      </c>
      <c r="I849" t="str">
        <f t="shared" si="197"/>
        <v/>
      </c>
      <c r="J849">
        <f>IFERROR(IF(I849=0,"",COUNTIF($I$3:I849,"&gt;0")),"")</f>
        <v>34</v>
      </c>
      <c r="K849" t="str">
        <f t="shared" si="192"/>
        <v/>
      </c>
      <c r="L849" t="str">
        <f t="shared" si="198"/>
        <v/>
      </c>
      <c r="M849" t="str">
        <f t="shared" si="199"/>
        <v/>
      </c>
      <c r="N849">
        <f>IFERROR(IF(M849=0,"",COUNTIF($M$3:M849,"&gt;0")),"")</f>
        <v>33</v>
      </c>
      <c r="O849" t="str">
        <f t="shared" si="193"/>
        <v/>
      </c>
      <c r="P849" t="str">
        <f t="shared" si="200"/>
        <v/>
      </c>
      <c r="Q849" t="str">
        <f t="shared" si="201"/>
        <v/>
      </c>
      <c r="R849">
        <f>IFERROR(IF(Q849=0,"",COUNTIF($Q$3:Q849,"&gt;0")),"")</f>
        <v>16</v>
      </c>
      <c r="S849" t="str">
        <f t="shared" si="194"/>
        <v/>
      </c>
      <c r="T849" t="str">
        <f t="shared" si="202"/>
        <v/>
      </c>
      <c r="U849">
        <f>IFERROR(IF(T849=0,"",COUNTIF($T$3:T849,"&gt;0")),"")</f>
        <v>0</v>
      </c>
      <c r="V849" t="str">
        <f t="shared" si="195"/>
        <v/>
      </c>
    </row>
    <row r="850" spans="1:22">
      <c r="A850" t="e">
        <f t="shared" si="190"/>
        <v>#VALUE!</v>
      </c>
      <c r="B850" t="e">
        <f>Table4[[#This Row],[CATEGORY]]</f>
        <v>#VALUE!</v>
      </c>
      <c r="C850" t="e">
        <f>Table4[[#This Row],[SUB-CATEGORY]]</f>
        <v>#VALUE!</v>
      </c>
      <c r="D850">
        <f>'RJ ATTENDENCE SHEET'!C:C</f>
        <v>0</v>
      </c>
      <c r="E850" t="e">
        <f t="shared" si="189"/>
        <v>#VALUE!</v>
      </c>
      <c r="F850" t="str">
        <f t="shared" si="196"/>
        <v/>
      </c>
      <c r="G850">
        <f>IFERROR(IF(F850=0,"",COUNTIF($F$3:F850,"&gt;0")),"")</f>
        <v>16</v>
      </c>
      <c r="H850" t="str">
        <f t="shared" si="191"/>
        <v/>
      </c>
      <c r="I850" t="str">
        <f t="shared" si="197"/>
        <v/>
      </c>
      <c r="J850">
        <f>IFERROR(IF(I850=0,"",COUNTIF($I$3:I850,"&gt;0")),"")</f>
        <v>34</v>
      </c>
      <c r="K850" t="str">
        <f t="shared" si="192"/>
        <v/>
      </c>
      <c r="L850" t="str">
        <f t="shared" si="198"/>
        <v/>
      </c>
      <c r="M850" t="str">
        <f t="shared" si="199"/>
        <v/>
      </c>
      <c r="N850">
        <f>IFERROR(IF(M850=0,"",COUNTIF($M$3:M850,"&gt;0")),"")</f>
        <v>33</v>
      </c>
      <c r="O850" t="str">
        <f t="shared" si="193"/>
        <v/>
      </c>
      <c r="P850" t="str">
        <f t="shared" si="200"/>
        <v/>
      </c>
      <c r="Q850" t="str">
        <f t="shared" si="201"/>
        <v/>
      </c>
      <c r="R850">
        <f>IFERROR(IF(Q850=0,"",COUNTIF($Q$3:Q850,"&gt;0")),"")</f>
        <v>16</v>
      </c>
      <c r="S850" t="str">
        <f t="shared" si="194"/>
        <v/>
      </c>
      <c r="T850" t="str">
        <f t="shared" si="202"/>
        <v/>
      </c>
      <c r="U850">
        <f>IFERROR(IF(T850=0,"",COUNTIF($T$3:T850,"&gt;0")),"")</f>
        <v>0</v>
      </c>
      <c r="V850" t="str">
        <f t="shared" si="195"/>
        <v/>
      </c>
    </row>
    <row r="851" spans="1:22">
      <c r="A851" t="e">
        <f t="shared" si="190"/>
        <v>#VALUE!</v>
      </c>
      <c r="B851" t="e">
        <f>Table4[[#This Row],[CATEGORY]]</f>
        <v>#VALUE!</v>
      </c>
      <c r="C851" t="e">
        <f>Table4[[#This Row],[SUB-CATEGORY]]</f>
        <v>#VALUE!</v>
      </c>
      <c r="D851">
        <f>'RJ ATTENDENCE SHEET'!C:C</f>
        <v>0</v>
      </c>
      <c r="E851" t="e">
        <f t="shared" si="189"/>
        <v>#VALUE!</v>
      </c>
      <c r="F851" t="str">
        <f t="shared" si="196"/>
        <v/>
      </c>
      <c r="G851">
        <f>IFERROR(IF(F851=0,"",COUNTIF($F$3:F851,"&gt;0")),"")</f>
        <v>16</v>
      </c>
      <c r="H851" t="str">
        <f t="shared" si="191"/>
        <v/>
      </c>
      <c r="I851" t="str">
        <f t="shared" si="197"/>
        <v/>
      </c>
      <c r="J851">
        <f>IFERROR(IF(I851=0,"",COUNTIF($I$3:I851,"&gt;0")),"")</f>
        <v>34</v>
      </c>
      <c r="K851" t="str">
        <f t="shared" si="192"/>
        <v/>
      </c>
      <c r="L851" t="str">
        <f t="shared" si="198"/>
        <v/>
      </c>
      <c r="M851" t="str">
        <f t="shared" si="199"/>
        <v/>
      </c>
      <c r="N851">
        <f>IFERROR(IF(M851=0,"",COUNTIF($M$3:M851,"&gt;0")),"")</f>
        <v>33</v>
      </c>
      <c r="O851" t="str">
        <f t="shared" si="193"/>
        <v/>
      </c>
      <c r="P851" t="str">
        <f t="shared" si="200"/>
        <v/>
      </c>
      <c r="Q851" t="str">
        <f t="shared" si="201"/>
        <v/>
      </c>
      <c r="R851">
        <f>IFERROR(IF(Q851=0,"",COUNTIF($Q$3:Q851,"&gt;0")),"")</f>
        <v>16</v>
      </c>
      <c r="S851" t="str">
        <f t="shared" si="194"/>
        <v/>
      </c>
      <c r="T851" t="str">
        <f t="shared" si="202"/>
        <v/>
      </c>
      <c r="U851">
        <f>IFERROR(IF(T851=0,"",COUNTIF($T$3:T851,"&gt;0")),"")</f>
        <v>0</v>
      </c>
      <c r="V851" t="str">
        <f t="shared" si="195"/>
        <v/>
      </c>
    </row>
    <row r="852" spans="1:22">
      <c r="A852" t="e">
        <f t="shared" si="190"/>
        <v>#VALUE!</v>
      </c>
      <c r="B852" t="e">
        <f>Table4[[#This Row],[CATEGORY]]</f>
        <v>#VALUE!</v>
      </c>
      <c r="C852" t="e">
        <f>Table4[[#This Row],[SUB-CATEGORY]]</f>
        <v>#VALUE!</v>
      </c>
      <c r="D852">
        <f>'RJ ATTENDENCE SHEET'!C:C</f>
        <v>0</v>
      </c>
      <c r="E852" t="e">
        <f t="shared" si="189"/>
        <v>#VALUE!</v>
      </c>
      <c r="F852" t="str">
        <f t="shared" si="196"/>
        <v/>
      </c>
      <c r="G852">
        <f>IFERROR(IF(F852=0,"",COUNTIF($F$3:F852,"&gt;0")),"")</f>
        <v>16</v>
      </c>
      <c r="H852" t="str">
        <f t="shared" si="191"/>
        <v/>
      </c>
      <c r="I852" t="str">
        <f t="shared" si="197"/>
        <v/>
      </c>
      <c r="J852">
        <f>IFERROR(IF(I852=0,"",COUNTIF($I$3:I852,"&gt;0")),"")</f>
        <v>34</v>
      </c>
      <c r="K852" t="str">
        <f t="shared" si="192"/>
        <v/>
      </c>
      <c r="L852" t="str">
        <f t="shared" si="198"/>
        <v/>
      </c>
      <c r="M852" t="str">
        <f t="shared" si="199"/>
        <v/>
      </c>
      <c r="N852">
        <f>IFERROR(IF(M852=0,"",COUNTIF($M$3:M852,"&gt;0")),"")</f>
        <v>33</v>
      </c>
      <c r="O852" t="str">
        <f t="shared" si="193"/>
        <v/>
      </c>
      <c r="P852" t="str">
        <f t="shared" si="200"/>
        <v/>
      </c>
      <c r="Q852" t="str">
        <f t="shared" si="201"/>
        <v/>
      </c>
      <c r="R852">
        <f>IFERROR(IF(Q852=0,"",COUNTIF($Q$3:Q852,"&gt;0")),"")</f>
        <v>16</v>
      </c>
      <c r="S852" t="str">
        <f t="shared" si="194"/>
        <v/>
      </c>
      <c r="T852" t="str">
        <f t="shared" si="202"/>
        <v/>
      </c>
      <c r="U852">
        <f>IFERROR(IF(T852=0,"",COUNTIF($T$3:T852,"&gt;0")),"")</f>
        <v>0</v>
      </c>
      <c r="V852" t="str">
        <f t="shared" si="195"/>
        <v/>
      </c>
    </row>
    <row r="853" spans="1:22">
      <c r="A853" t="e">
        <f t="shared" si="190"/>
        <v>#VALUE!</v>
      </c>
      <c r="B853" t="e">
        <f>Table4[[#This Row],[CATEGORY]]</f>
        <v>#VALUE!</v>
      </c>
      <c r="C853" t="e">
        <f>Table4[[#This Row],[SUB-CATEGORY]]</f>
        <v>#VALUE!</v>
      </c>
      <c r="D853">
        <f>'RJ ATTENDENCE SHEET'!C:C</f>
        <v>0</v>
      </c>
      <c r="E853" t="e">
        <f t="shared" si="189"/>
        <v>#VALUE!</v>
      </c>
      <c r="F853" t="str">
        <f t="shared" si="196"/>
        <v/>
      </c>
      <c r="G853">
        <f>IFERROR(IF(F853=0,"",COUNTIF($F$3:F853,"&gt;0")),"")</f>
        <v>16</v>
      </c>
      <c r="H853" t="str">
        <f t="shared" si="191"/>
        <v/>
      </c>
      <c r="I853" t="str">
        <f t="shared" si="197"/>
        <v/>
      </c>
      <c r="J853">
        <f>IFERROR(IF(I853=0,"",COUNTIF($I$3:I853,"&gt;0")),"")</f>
        <v>34</v>
      </c>
      <c r="K853" t="str">
        <f t="shared" si="192"/>
        <v/>
      </c>
      <c r="L853" t="str">
        <f t="shared" si="198"/>
        <v/>
      </c>
      <c r="M853" t="str">
        <f t="shared" si="199"/>
        <v/>
      </c>
      <c r="N853">
        <f>IFERROR(IF(M853=0,"",COUNTIF($M$3:M853,"&gt;0")),"")</f>
        <v>33</v>
      </c>
      <c r="O853" t="str">
        <f t="shared" si="193"/>
        <v/>
      </c>
      <c r="P853" t="str">
        <f t="shared" si="200"/>
        <v/>
      </c>
      <c r="Q853" t="str">
        <f t="shared" si="201"/>
        <v/>
      </c>
      <c r="R853">
        <f>IFERROR(IF(Q853=0,"",COUNTIF($Q$3:Q853,"&gt;0")),"")</f>
        <v>16</v>
      </c>
      <c r="S853" t="str">
        <f t="shared" si="194"/>
        <v/>
      </c>
      <c r="T853" t="str">
        <f t="shared" si="202"/>
        <v/>
      </c>
      <c r="U853">
        <f>IFERROR(IF(T853=0,"",COUNTIF($T$3:T853,"&gt;0")),"")</f>
        <v>0</v>
      </c>
      <c r="V853" t="str">
        <f t="shared" si="195"/>
        <v/>
      </c>
    </row>
    <row r="854" spans="1:22">
      <c r="A854" t="e">
        <f t="shared" si="190"/>
        <v>#VALUE!</v>
      </c>
      <c r="B854" t="e">
        <f>Table4[[#This Row],[CATEGORY]]</f>
        <v>#VALUE!</v>
      </c>
      <c r="C854" t="e">
        <f>Table4[[#This Row],[SUB-CATEGORY]]</f>
        <v>#VALUE!</v>
      </c>
      <c r="D854">
        <f>'RJ ATTENDENCE SHEET'!C:C</f>
        <v>0</v>
      </c>
      <c r="E854" t="e">
        <f t="shared" si="189"/>
        <v>#VALUE!</v>
      </c>
      <c r="F854" t="str">
        <f t="shared" si="196"/>
        <v/>
      </c>
      <c r="G854">
        <f>IFERROR(IF(F854=0,"",COUNTIF($F$3:F854,"&gt;0")),"")</f>
        <v>16</v>
      </c>
      <c r="H854" t="str">
        <f t="shared" si="191"/>
        <v/>
      </c>
      <c r="I854" t="str">
        <f t="shared" si="197"/>
        <v/>
      </c>
      <c r="J854">
        <f>IFERROR(IF(I854=0,"",COUNTIF($I$3:I854,"&gt;0")),"")</f>
        <v>34</v>
      </c>
      <c r="K854" t="str">
        <f t="shared" si="192"/>
        <v/>
      </c>
      <c r="L854" t="str">
        <f t="shared" si="198"/>
        <v/>
      </c>
      <c r="M854" t="str">
        <f t="shared" si="199"/>
        <v/>
      </c>
      <c r="N854">
        <f>IFERROR(IF(M854=0,"",COUNTIF($M$3:M854,"&gt;0")),"")</f>
        <v>33</v>
      </c>
      <c r="O854" t="str">
        <f t="shared" si="193"/>
        <v/>
      </c>
      <c r="P854" t="str">
        <f t="shared" si="200"/>
        <v/>
      </c>
      <c r="Q854" t="str">
        <f t="shared" si="201"/>
        <v/>
      </c>
      <c r="R854">
        <f>IFERROR(IF(Q854=0,"",COUNTIF($Q$3:Q854,"&gt;0")),"")</f>
        <v>16</v>
      </c>
      <c r="S854" t="str">
        <f t="shared" si="194"/>
        <v/>
      </c>
      <c r="T854" t="str">
        <f t="shared" si="202"/>
        <v/>
      </c>
      <c r="U854">
        <f>IFERROR(IF(T854=0,"",COUNTIF($T$3:T854,"&gt;0")),"")</f>
        <v>0</v>
      </c>
      <c r="V854" t="str">
        <f t="shared" si="195"/>
        <v/>
      </c>
    </row>
    <row r="855" spans="1:22">
      <c r="A855" t="e">
        <f t="shared" si="190"/>
        <v>#VALUE!</v>
      </c>
      <c r="B855" t="e">
        <f>Table4[[#This Row],[CATEGORY]]</f>
        <v>#VALUE!</v>
      </c>
      <c r="C855" t="e">
        <f>Table4[[#This Row],[SUB-CATEGORY]]</f>
        <v>#VALUE!</v>
      </c>
      <c r="D855">
        <f>'RJ ATTENDENCE SHEET'!C:C</f>
        <v>0</v>
      </c>
      <c r="E855" t="e">
        <f t="shared" si="189"/>
        <v>#VALUE!</v>
      </c>
      <c r="F855" t="str">
        <f t="shared" si="196"/>
        <v/>
      </c>
      <c r="G855">
        <f>IFERROR(IF(F855=0,"",COUNTIF($F$3:F855,"&gt;0")),"")</f>
        <v>16</v>
      </c>
      <c r="H855" t="str">
        <f t="shared" si="191"/>
        <v/>
      </c>
      <c r="I855" t="str">
        <f t="shared" si="197"/>
        <v/>
      </c>
      <c r="J855">
        <f>IFERROR(IF(I855=0,"",COUNTIF($I$3:I855,"&gt;0")),"")</f>
        <v>34</v>
      </c>
      <c r="K855" t="str">
        <f t="shared" si="192"/>
        <v/>
      </c>
      <c r="L855" t="str">
        <f t="shared" si="198"/>
        <v/>
      </c>
      <c r="M855" t="str">
        <f t="shared" si="199"/>
        <v/>
      </c>
      <c r="N855">
        <f>IFERROR(IF(M855=0,"",COUNTIF($M$3:M855,"&gt;0")),"")</f>
        <v>33</v>
      </c>
      <c r="O855" t="str">
        <f t="shared" si="193"/>
        <v/>
      </c>
      <c r="P855" t="str">
        <f t="shared" si="200"/>
        <v/>
      </c>
      <c r="Q855" t="str">
        <f t="shared" si="201"/>
        <v/>
      </c>
      <c r="R855">
        <f>IFERROR(IF(Q855=0,"",COUNTIF($Q$3:Q855,"&gt;0")),"")</f>
        <v>16</v>
      </c>
      <c r="S855" t="str">
        <f t="shared" si="194"/>
        <v/>
      </c>
      <c r="T855" t="str">
        <f t="shared" si="202"/>
        <v/>
      </c>
      <c r="U855">
        <f>IFERROR(IF(T855=0,"",COUNTIF($T$3:T855,"&gt;0")),"")</f>
        <v>0</v>
      </c>
      <c r="V855" t="str">
        <f t="shared" si="195"/>
        <v/>
      </c>
    </row>
    <row r="856" spans="1:22">
      <c r="A856" t="e">
        <f t="shared" si="190"/>
        <v>#VALUE!</v>
      </c>
      <c r="B856" t="e">
        <f>Table4[[#This Row],[CATEGORY]]</f>
        <v>#VALUE!</v>
      </c>
      <c r="C856" t="e">
        <f>Table4[[#This Row],[SUB-CATEGORY]]</f>
        <v>#VALUE!</v>
      </c>
      <c r="D856">
        <f>'RJ ATTENDENCE SHEET'!C:C</f>
        <v>0</v>
      </c>
      <c r="E856" t="e">
        <f t="shared" si="189"/>
        <v>#VALUE!</v>
      </c>
      <c r="F856" t="str">
        <f t="shared" si="196"/>
        <v/>
      </c>
      <c r="G856">
        <f>IFERROR(IF(F856=0,"",COUNTIF($F$3:F856,"&gt;0")),"")</f>
        <v>16</v>
      </c>
      <c r="H856" t="str">
        <f t="shared" si="191"/>
        <v/>
      </c>
      <c r="I856" t="str">
        <f t="shared" si="197"/>
        <v/>
      </c>
      <c r="J856">
        <f>IFERROR(IF(I856=0,"",COUNTIF($I$3:I856,"&gt;0")),"")</f>
        <v>34</v>
      </c>
      <c r="K856" t="str">
        <f t="shared" si="192"/>
        <v/>
      </c>
      <c r="L856" t="str">
        <f t="shared" si="198"/>
        <v/>
      </c>
      <c r="M856" t="str">
        <f t="shared" si="199"/>
        <v/>
      </c>
      <c r="N856">
        <f>IFERROR(IF(M856=0,"",COUNTIF($M$3:M856,"&gt;0")),"")</f>
        <v>33</v>
      </c>
      <c r="O856" t="str">
        <f t="shared" si="193"/>
        <v/>
      </c>
      <c r="P856" t="str">
        <f t="shared" si="200"/>
        <v/>
      </c>
      <c r="Q856" t="str">
        <f t="shared" si="201"/>
        <v/>
      </c>
      <c r="R856">
        <f>IFERROR(IF(Q856=0,"",COUNTIF($Q$3:Q856,"&gt;0")),"")</f>
        <v>16</v>
      </c>
      <c r="S856" t="str">
        <f t="shared" si="194"/>
        <v/>
      </c>
      <c r="T856" t="str">
        <f t="shared" si="202"/>
        <v/>
      </c>
      <c r="U856">
        <f>IFERROR(IF(T856=0,"",COUNTIF($T$3:T856,"&gt;0")),"")</f>
        <v>0</v>
      </c>
      <c r="V856" t="str">
        <f t="shared" si="195"/>
        <v/>
      </c>
    </row>
    <row r="857" spans="1:22">
      <c r="A857" t="e">
        <f t="shared" si="190"/>
        <v>#VALUE!</v>
      </c>
      <c r="B857" t="e">
        <f>Table4[[#This Row],[CATEGORY]]</f>
        <v>#VALUE!</v>
      </c>
      <c r="C857" t="e">
        <f>Table4[[#This Row],[SUB-CATEGORY]]</f>
        <v>#VALUE!</v>
      </c>
      <c r="D857">
        <f>'RJ ATTENDENCE SHEET'!C:C</f>
        <v>0</v>
      </c>
      <c r="E857" t="e">
        <f t="shared" si="189"/>
        <v>#VALUE!</v>
      </c>
      <c r="F857" t="str">
        <f t="shared" si="196"/>
        <v/>
      </c>
      <c r="G857">
        <f>IFERROR(IF(F857=0,"",COUNTIF($F$3:F857,"&gt;0")),"")</f>
        <v>16</v>
      </c>
      <c r="H857" t="str">
        <f t="shared" si="191"/>
        <v/>
      </c>
      <c r="I857" t="str">
        <f t="shared" si="197"/>
        <v/>
      </c>
      <c r="J857">
        <f>IFERROR(IF(I857=0,"",COUNTIF($I$3:I857,"&gt;0")),"")</f>
        <v>34</v>
      </c>
      <c r="K857" t="str">
        <f t="shared" si="192"/>
        <v/>
      </c>
      <c r="L857" t="str">
        <f t="shared" si="198"/>
        <v/>
      </c>
      <c r="M857" t="str">
        <f t="shared" si="199"/>
        <v/>
      </c>
      <c r="N857">
        <f>IFERROR(IF(M857=0,"",COUNTIF($M$3:M857,"&gt;0")),"")</f>
        <v>33</v>
      </c>
      <c r="O857" t="str">
        <f t="shared" si="193"/>
        <v/>
      </c>
      <c r="P857" t="str">
        <f t="shared" si="200"/>
        <v/>
      </c>
      <c r="Q857" t="str">
        <f t="shared" si="201"/>
        <v/>
      </c>
      <c r="R857">
        <f>IFERROR(IF(Q857=0,"",COUNTIF($Q$3:Q857,"&gt;0")),"")</f>
        <v>16</v>
      </c>
      <c r="S857" t="str">
        <f t="shared" si="194"/>
        <v/>
      </c>
      <c r="T857" t="str">
        <f t="shared" si="202"/>
        <v/>
      </c>
      <c r="U857">
        <f>IFERROR(IF(T857=0,"",COUNTIF($T$3:T857,"&gt;0")),"")</f>
        <v>0</v>
      </c>
      <c r="V857" t="str">
        <f t="shared" si="195"/>
        <v/>
      </c>
    </row>
    <row r="858" spans="1:22">
      <c r="A858" t="e">
        <f t="shared" si="190"/>
        <v>#VALUE!</v>
      </c>
      <c r="B858" t="e">
        <f>Table4[[#This Row],[CATEGORY]]</f>
        <v>#VALUE!</v>
      </c>
      <c r="C858" t="e">
        <f>Table4[[#This Row],[SUB-CATEGORY]]</f>
        <v>#VALUE!</v>
      </c>
      <c r="D858">
        <f>'RJ ATTENDENCE SHEET'!C:C</f>
        <v>0</v>
      </c>
      <c r="E858" t="e">
        <f t="shared" si="189"/>
        <v>#VALUE!</v>
      </c>
      <c r="F858" t="str">
        <f t="shared" si="196"/>
        <v/>
      </c>
      <c r="G858">
        <f>IFERROR(IF(F858=0,"",COUNTIF($F$3:F858,"&gt;0")),"")</f>
        <v>16</v>
      </c>
      <c r="H858" t="str">
        <f t="shared" si="191"/>
        <v/>
      </c>
      <c r="I858" t="str">
        <f t="shared" si="197"/>
        <v/>
      </c>
      <c r="J858">
        <f>IFERROR(IF(I858=0,"",COUNTIF($I$3:I858,"&gt;0")),"")</f>
        <v>34</v>
      </c>
      <c r="K858" t="str">
        <f t="shared" si="192"/>
        <v/>
      </c>
      <c r="L858" t="str">
        <f t="shared" si="198"/>
        <v/>
      </c>
      <c r="M858" t="str">
        <f t="shared" si="199"/>
        <v/>
      </c>
      <c r="N858">
        <f>IFERROR(IF(M858=0,"",COUNTIF($M$3:M858,"&gt;0")),"")</f>
        <v>33</v>
      </c>
      <c r="O858" t="str">
        <f t="shared" si="193"/>
        <v/>
      </c>
      <c r="P858" t="str">
        <f t="shared" si="200"/>
        <v/>
      </c>
      <c r="Q858" t="str">
        <f t="shared" si="201"/>
        <v/>
      </c>
      <c r="R858">
        <f>IFERROR(IF(Q858=0,"",COUNTIF($Q$3:Q858,"&gt;0")),"")</f>
        <v>16</v>
      </c>
      <c r="S858" t="str">
        <f t="shared" si="194"/>
        <v/>
      </c>
      <c r="T858" t="str">
        <f t="shared" si="202"/>
        <v/>
      </c>
      <c r="U858">
        <f>IFERROR(IF(T858=0,"",COUNTIF($T$3:T858,"&gt;0")),"")</f>
        <v>0</v>
      </c>
      <c r="V858" t="str">
        <f t="shared" si="195"/>
        <v/>
      </c>
    </row>
    <row r="859" spans="1:22">
      <c r="A859" t="e">
        <f t="shared" si="190"/>
        <v>#VALUE!</v>
      </c>
      <c r="B859" t="e">
        <f>Table4[[#This Row],[CATEGORY]]</f>
        <v>#VALUE!</v>
      </c>
      <c r="C859" t="e">
        <f>Table4[[#This Row],[SUB-CATEGORY]]</f>
        <v>#VALUE!</v>
      </c>
      <c r="D859">
        <f>'RJ ATTENDENCE SHEET'!C:C</f>
        <v>0</v>
      </c>
      <c r="E859" t="e">
        <f t="shared" si="189"/>
        <v>#VALUE!</v>
      </c>
      <c r="F859" t="str">
        <f t="shared" si="196"/>
        <v/>
      </c>
      <c r="G859">
        <f>IFERROR(IF(F859=0,"",COUNTIF($F$3:F859,"&gt;0")),"")</f>
        <v>16</v>
      </c>
      <c r="H859" t="str">
        <f t="shared" si="191"/>
        <v/>
      </c>
      <c r="I859" t="str">
        <f t="shared" si="197"/>
        <v/>
      </c>
      <c r="J859">
        <f>IFERROR(IF(I859=0,"",COUNTIF($I$3:I859,"&gt;0")),"")</f>
        <v>34</v>
      </c>
      <c r="K859" t="str">
        <f t="shared" si="192"/>
        <v/>
      </c>
      <c r="L859" t="str">
        <f t="shared" si="198"/>
        <v/>
      </c>
      <c r="M859" t="str">
        <f t="shared" si="199"/>
        <v/>
      </c>
      <c r="N859">
        <f>IFERROR(IF(M859=0,"",COUNTIF($M$3:M859,"&gt;0")),"")</f>
        <v>33</v>
      </c>
      <c r="O859" t="str">
        <f t="shared" si="193"/>
        <v/>
      </c>
      <c r="P859" t="str">
        <f t="shared" si="200"/>
        <v/>
      </c>
      <c r="Q859" t="str">
        <f t="shared" si="201"/>
        <v/>
      </c>
      <c r="R859">
        <f>IFERROR(IF(Q859=0,"",COUNTIF($Q$3:Q859,"&gt;0")),"")</f>
        <v>16</v>
      </c>
      <c r="S859" t="str">
        <f t="shared" si="194"/>
        <v/>
      </c>
      <c r="T859" t="str">
        <f t="shared" si="202"/>
        <v/>
      </c>
      <c r="U859">
        <f>IFERROR(IF(T859=0,"",COUNTIF($T$3:T859,"&gt;0")),"")</f>
        <v>0</v>
      </c>
      <c r="V859" t="str">
        <f t="shared" si="195"/>
        <v/>
      </c>
    </row>
    <row r="860" spans="1:22">
      <c r="A860" t="e">
        <f t="shared" si="190"/>
        <v>#VALUE!</v>
      </c>
      <c r="B860" t="e">
        <f>Table4[[#This Row],[CATEGORY]]</f>
        <v>#VALUE!</v>
      </c>
      <c r="C860" t="e">
        <f>Table4[[#This Row],[SUB-CATEGORY]]</f>
        <v>#VALUE!</v>
      </c>
      <c r="D860">
        <f>'RJ ATTENDENCE SHEET'!C:C</f>
        <v>0</v>
      </c>
      <c r="E860" t="e">
        <f t="shared" si="189"/>
        <v>#VALUE!</v>
      </c>
      <c r="F860" t="str">
        <f t="shared" si="196"/>
        <v/>
      </c>
      <c r="G860">
        <f>IFERROR(IF(F860=0,"",COUNTIF($F$3:F860,"&gt;0")),"")</f>
        <v>16</v>
      </c>
      <c r="H860" t="str">
        <f t="shared" si="191"/>
        <v/>
      </c>
      <c r="I860" t="str">
        <f t="shared" si="197"/>
        <v/>
      </c>
      <c r="J860">
        <f>IFERROR(IF(I860=0,"",COUNTIF($I$3:I860,"&gt;0")),"")</f>
        <v>34</v>
      </c>
      <c r="K860" t="str">
        <f t="shared" si="192"/>
        <v/>
      </c>
      <c r="L860" t="str">
        <f t="shared" si="198"/>
        <v/>
      </c>
      <c r="M860" t="str">
        <f t="shared" si="199"/>
        <v/>
      </c>
      <c r="N860">
        <f>IFERROR(IF(M860=0,"",COUNTIF($M$3:M860,"&gt;0")),"")</f>
        <v>33</v>
      </c>
      <c r="O860" t="str">
        <f t="shared" si="193"/>
        <v/>
      </c>
      <c r="P860" t="str">
        <f t="shared" si="200"/>
        <v/>
      </c>
      <c r="Q860" t="str">
        <f t="shared" si="201"/>
        <v/>
      </c>
      <c r="R860">
        <f>IFERROR(IF(Q860=0,"",COUNTIF($Q$3:Q860,"&gt;0")),"")</f>
        <v>16</v>
      </c>
      <c r="S860" t="str">
        <f t="shared" si="194"/>
        <v/>
      </c>
      <c r="T860" t="str">
        <f t="shared" si="202"/>
        <v/>
      </c>
      <c r="U860">
        <f>IFERROR(IF(T860=0,"",COUNTIF($T$3:T860,"&gt;0")),"")</f>
        <v>0</v>
      </c>
      <c r="V860" t="str">
        <f t="shared" si="195"/>
        <v/>
      </c>
    </row>
    <row r="861" spans="1:22">
      <c r="A861" t="e">
        <f t="shared" si="190"/>
        <v>#VALUE!</v>
      </c>
      <c r="B861" t="e">
        <f>Table4[[#This Row],[CATEGORY]]</f>
        <v>#VALUE!</v>
      </c>
      <c r="C861" t="e">
        <f>Table4[[#This Row],[SUB-CATEGORY]]</f>
        <v>#VALUE!</v>
      </c>
      <c r="D861">
        <f>'RJ ATTENDENCE SHEET'!C:C</f>
        <v>0</v>
      </c>
      <c r="E861" t="e">
        <f t="shared" si="189"/>
        <v>#VALUE!</v>
      </c>
      <c r="F861" t="str">
        <f t="shared" si="196"/>
        <v/>
      </c>
      <c r="G861">
        <f>IFERROR(IF(F861=0,"",COUNTIF($F$3:F861,"&gt;0")),"")</f>
        <v>16</v>
      </c>
      <c r="H861" t="str">
        <f t="shared" si="191"/>
        <v/>
      </c>
      <c r="I861" t="str">
        <f t="shared" si="197"/>
        <v/>
      </c>
      <c r="J861">
        <f>IFERROR(IF(I861=0,"",COUNTIF($I$3:I861,"&gt;0")),"")</f>
        <v>34</v>
      </c>
      <c r="K861" t="str">
        <f t="shared" si="192"/>
        <v/>
      </c>
      <c r="L861" t="str">
        <f t="shared" si="198"/>
        <v/>
      </c>
      <c r="M861" t="str">
        <f t="shared" si="199"/>
        <v/>
      </c>
      <c r="N861">
        <f>IFERROR(IF(M861=0,"",COUNTIF($M$3:M861,"&gt;0")),"")</f>
        <v>33</v>
      </c>
      <c r="O861" t="str">
        <f t="shared" si="193"/>
        <v/>
      </c>
      <c r="P861" t="str">
        <f t="shared" si="200"/>
        <v/>
      </c>
      <c r="Q861" t="str">
        <f t="shared" si="201"/>
        <v/>
      </c>
      <c r="R861">
        <f>IFERROR(IF(Q861=0,"",COUNTIF($Q$3:Q861,"&gt;0")),"")</f>
        <v>16</v>
      </c>
      <c r="S861" t="str">
        <f t="shared" si="194"/>
        <v/>
      </c>
      <c r="T861" t="str">
        <f t="shared" si="202"/>
        <v/>
      </c>
      <c r="U861">
        <f>IFERROR(IF(T861=0,"",COUNTIF($T$3:T861,"&gt;0")),"")</f>
        <v>0</v>
      </c>
      <c r="V861" t="str">
        <f t="shared" si="195"/>
        <v/>
      </c>
    </row>
    <row r="862" spans="1:22">
      <c r="A862" t="e">
        <f t="shared" si="190"/>
        <v>#VALUE!</v>
      </c>
      <c r="B862" t="e">
        <f>Table4[[#This Row],[CATEGORY]]</f>
        <v>#VALUE!</v>
      </c>
      <c r="C862" t="e">
        <f>Table4[[#This Row],[SUB-CATEGORY]]</f>
        <v>#VALUE!</v>
      </c>
      <c r="D862">
        <f>'RJ ATTENDENCE SHEET'!C:C</f>
        <v>0</v>
      </c>
      <c r="E862" t="e">
        <f t="shared" si="189"/>
        <v>#VALUE!</v>
      </c>
      <c r="F862" t="str">
        <f t="shared" si="196"/>
        <v/>
      </c>
      <c r="G862">
        <f>IFERROR(IF(F862=0,"",COUNTIF($F$3:F862,"&gt;0")),"")</f>
        <v>16</v>
      </c>
      <c r="H862" t="str">
        <f t="shared" si="191"/>
        <v/>
      </c>
      <c r="I862" t="str">
        <f t="shared" si="197"/>
        <v/>
      </c>
      <c r="J862">
        <f>IFERROR(IF(I862=0,"",COUNTIF($I$3:I862,"&gt;0")),"")</f>
        <v>34</v>
      </c>
      <c r="K862" t="str">
        <f t="shared" si="192"/>
        <v/>
      </c>
      <c r="L862" t="str">
        <f t="shared" si="198"/>
        <v/>
      </c>
      <c r="M862" t="str">
        <f t="shared" si="199"/>
        <v/>
      </c>
      <c r="N862">
        <f>IFERROR(IF(M862=0,"",COUNTIF($M$3:M862,"&gt;0")),"")</f>
        <v>33</v>
      </c>
      <c r="O862" t="str">
        <f t="shared" si="193"/>
        <v/>
      </c>
      <c r="P862" t="str">
        <f t="shared" si="200"/>
        <v/>
      </c>
      <c r="Q862" t="str">
        <f t="shared" si="201"/>
        <v/>
      </c>
      <c r="R862">
        <f>IFERROR(IF(Q862=0,"",COUNTIF($Q$3:Q862,"&gt;0")),"")</f>
        <v>16</v>
      </c>
      <c r="S862" t="str">
        <f t="shared" si="194"/>
        <v/>
      </c>
      <c r="T862" t="str">
        <f t="shared" si="202"/>
        <v/>
      </c>
      <c r="U862">
        <f>IFERROR(IF(T862=0,"",COUNTIF($T$3:T862,"&gt;0")),"")</f>
        <v>0</v>
      </c>
      <c r="V862" t="str">
        <f t="shared" si="195"/>
        <v/>
      </c>
    </row>
    <row r="863" spans="1:22">
      <c r="A863" t="e">
        <f t="shared" si="190"/>
        <v>#VALUE!</v>
      </c>
      <c r="B863" t="e">
        <f>Table4[[#This Row],[CATEGORY]]</f>
        <v>#VALUE!</v>
      </c>
      <c r="C863" t="e">
        <f>Table4[[#This Row],[SUB-CATEGORY]]</f>
        <v>#VALUE!</v>
      </c>
      <c r="D863">
        <f>'RJ ATTENDENCE SHEET'!C:C</f>
        <v>0</v>
      </c>
      <c r="E863" t="e">
        <f t="shared" si="189"/>
        <v>#VALUE!</v>
      </c>
      <c r="F863" t="str">
        <f t="shared" si="196"/>
        <v/>
      </c>
      <c r="G863">
        <f>IFERROR(IF(F863=0,"",COUNTIF($F$3:F863,"&gt;0")),"")</f>
        <v>16</v>
      </c>
      <c r="H863" t="str">
        <f t="shared" si="191"/>
        <v/>
      </c>
      <c r="I863" t="str">
        <f t="shared" si="197"/>
        <v/>
      </c>
      <c r="J863">
        <f>IFERROR(IF(I863=0,"",COUNTIF($I$3:I863,"&gt;0")),"")</f>
        <v>34</v>
      </c>
      <c r="K863" t="str">
        <f t="shared" si="192"/>
        <v/>
      </c>
      <c r="L863" t="str">
        <f t="shared" si="198"/>
        <v/>
      </c>
      <c r="M863" t="str">
        <f t="shared" si="199"/>
        <v/>
      </c>
      <c r="N863">
        <f>IFERROR(IF(M863=0,"",COUNTIF($M$3:M863,"&gt;0")),"")</f>
        <v>33</v>
      </c>
      <c r="O863" t="str">
        <f t="shared" si="193"/>
        <v/>
      </c>
      <c r="P863" t="str">
        <f t="shared" si="200"/>
        <v/>
      </c>
      <c r="Q863" t="str">
        <f t="shared" si="201"/>
        <v/>
      </c>
      <c r="R863">
        <f>IFERROR(IF(Q863=0,"",COUNTIF($Q$3:Q863,"&gt;0")),"")</f>
        <v>16</v>
      </c>
      <c r="S863" t="str">
        <f t="shared" si="194"/>
        <v/>
      </c>
      <c r="T863" t="str">
        <f t="shared" si="202"/>
        <v/>
      </c>
      <c r="U863">
        <f>IFERROR(IF(T863=0,"",COUNTIF($T$3:T863,"&gt;0")),"")</f>
        <v>0</v>
      </c>
      <c r="V863" t="str">
        <f t="shared" si="195"/>
        <v/>
      </c>
    </row>
    <row r="864" spans="1:22">
      <c r="A864" t="e">
        <f t="shared" si="190"/>
        <v>#VALUE!</v>
      </c>
      <c r="B864" t="e">
        <f>Table4[[#This Row],[CATEGORY]]</f>
        <v>#VALUE!</v>
      </c>
      <c r="C864" t="e">
        <f>Table4[[#This Row],[SUB-CATEGORY]]</f>
        <v>#VALUE!</v>
      </c>
      <c r="D864">
        <f>'RJ ATTENDENCE SHEET'!C:C</f>
        <v>0</v>
      </c>
      <c r="E864" t="e">
        <f t="shared" si="189"/>
        <v>#VALUE!</v>
      </c>
      <c r="F864" t="str">
        <f t="shared" si="196"/>
        <v/>
      </c>
      <c r="G864">
        <f>IFERROR(IF(F864=0,"",COUNTIF($F$3:F864,"&gt;0")),"")</f>
        <v>16</v>
      </c>
      <c r="H864" t="str">
        <f t="shared" si="191"/>
        <v/>
      </c>
      <c r="I864" t="str">
        <f t="shared" si="197"/>
        <v/>
      </c>
      <c r="J864">
        <f>IFERROR(IF(I864=0,"",COUNTIF($I$3:I864,"&gt;0")),"")</f>
        <v>34</v>
      </c>
      <c r="K864" t="str">
        <f t="shared" si="192"/>
        <v/>
      </c>
      <c r="L864" t="str">
        <f t="shared" si="198"/>
        <v/>
      </c>
      <c r="M864" t="str">
        <f t="shared" si="199"/>
        <v/>
      </c>
      <c r="N864">
        <f>IFERROR(IF(M864=0,"",COUNTIF($M$3:M864,"&gt;0")),"")</f>
        <v>33</v>
      </c>
      <c r="O864" t="str">
        <f t="shared" si="193"/>
        <v/>
      </c>
      <c r="P864" t="str">
        <f t="shared" si="200"/>
        <v/>
      </c>
      <c r="Q864" t="str">
        <f t="shared" si="201"/>
        <v/>
      </c>
      <c r="R864">
        <f>IFERROR(IF(Q864=0,"",COUNTIF($Q$3:Q864,"&gt;0")),"")</f>
        <v>16</v>
      </c>
      <c r="S864" t="str">
        <f t="shared" si="194"/>
        <v/>
      </c>
      <c r="T864" t="str">
        <f t="shared" si="202"/>
        <v/>
      </c>
      <c r="U864">
        <f>IFERROR(IF(T864=0,"",COUNTIF($T$3:T864,"&gt;0")),"")</f>
        <v>0</v>
      </c>
      <c r="V864" t="str">
        <f t="shared" si="195"/>
        <v/>
      </c>
    </row>
    <row r="865" spans="1:22">
      <c r="A865" t="e">
        <f t="shared" si="190"/>
        <v>#VALUE!</v>
      </c>
      <c r="B865" t="e">
        <f>Table4[[#This Row],[CATEGORY]]</f>
        <v>#VALUE!</v>
      </c>
      <c r="C865" t="e">
        <f>Table4[[#This Row],[SUB-CATEGORY]]</f>
        <v>#VALUE!</v>
      </c>
      <c r="D865">
        <f>'RJ ATTENDENCE SHEET'!C:C</f>
        <v>0</v>
      </c>
      <c r="E865" t="e">
        <f t="shared" si="189"/>
        <v>#VALUE!</v>
      </c>
      <c r="F865" t="str">
        <f t="shared" si="196"/>
        <v/>
      </c>
      <c r="G865">
        <f>IFERROR(IF(F865=0,"",COUNTIF($F$3:F865,"&gt;0")),"")</f>
        <v>16</v>
      </c>
      <c r="H865" t="str">
        <f t="shared" si="191"/>
        <v/>
      </c>
      <c r="I865" t="str">
        <f t="shared" si="197"/>
        <v/>
      </c>
      <c r="J865">
        <f>IFERROR(IF(I865=0,"",COUNTIF($I$3:I865,"&gt;0")),"")</f>
        <v>34</v>
      </c>
      <c r="K865" t="str">
        <f t="shared" si="192"/>
        <v/>
      </c>
      <c r="L865" t="str">
        <f t="shared" si="198"/>
        <v/>
      </c>
      <c r="M865" t="str">
        <f t="shared" si="199"/>
        <v/>
      </c>
      <c r="N865">
        <f>IFERROR(IF(M865=0,"",COUNTIF($M$3:M865,"&gt;0")),"")</f>
        <v>33</v>
      </c>
      <c r="O865" t="str">
        <f t="shared" si="193"/>
        <v/>
      </c>
      <c r="P865" t="str">
        <f t="shared" si="200"/>
        <v/>
      </c>
      <c r="Q865" t="str">
        <f t="shared" si="201"/>
        <v/>
      </c>
      <c r="R865">
        <f>IFERROR(IF(Q865=0,"",COUNTIF($Q$3:Q865,"&gt;0")),"")</f>
        <v>16</v>
      </c>
      <c r="S865" t="str">
        <f t="shared" si="194"/>
        <v/>
      </c>
      <c r="T865" t="str">
        <f t="shared" si="202"/>
        <v/>
      </c>
      <c r="U865">
        <f>IFERROR(IF(T865=0,"",COUNTIF($T$3:T865,"&gt;0")),"")</f>
        <v>0</v>
      </c>
      <c r="V865" t="str">
        <f t="shared" si="195"/>
        <v/>
      </c>
    </row>
    <row r="866" spans="1:22">
      <c r="A866" t="e">
        <f t="shared" si="190"/>
        <v>#VALUE!</v>
      </c>
      <c r="B866" t="e">
        <f>Table4[[#This Row],[CATEGORY]]</f>
        <v>#VALUE!</v>
      </c>
      <c r="C866" t="e">
        <f>Table4[[#This Row],[SUB-CATEGORY]]</f>
        <v>#VALUE!</v>
      </c>
      <c r="D866">
        <f>'RJ ATTENDENCE SHEET'!C:C</f>
        <v>0</v>
      </c>
      <c r="E866" t="e">
        <f t="shared" si="189"/>
        <v>#VALUE!</v>
      </c>
      <c r="F866" t="str">
        <f t="shared" si="196"/>
        <v/>
      </c>
      <c r="G866">
        <f>IFERROR(IF(F866=0,"",COUNTIF($F$3:F866,"&gt;0")),"")</f>
        <v>16</v>
      </c>
      <c r="H866" t="str">
        <f t="shared" si="191"/>
        <v/>
      </c>
      <c r="I866" t="str">
        <f t="shared" si="197"/>
        <v/>
      </c>
      <c r="J866">
        <f>IFERROR(IF(I866=0,"",COUNTIF($I$3:I866,"&gt;0")),"")</f>
        <v>34</v>
      </c>
      <c r="K866" t="str">
        <f t="shared" si="192"/>
        <v/>
      </c>
      <c r="L866" t="str">
        <f t="shared" si="198"/>
        <v/>
      </c>
      <c r="M866" t="str">
        <f t="shared" si="199"/>
        <v/>
      </c>
      <c r="N866">
        <f>IFERROR(IF(M866=0,"",COUNTIF($M$3:M866,"&gt;0")),"")</f>
        <v>33</v>
      </c>
      <c r="O866" t="str">
        <f t="shared" si="193"/>
        <v/>
      </c>
      <c r="P866" t="str">
        <f t="shared" si="200"/>
        <v/>
      </c>
      <c r="Q866" t="str">
        <f t="shared" si="201"/>
        <v/>
      </c>
      <c r="R866">
        <f>IFERROR(IF(Q866=0,"",COUNTIF($Q$3:Q866,"&gt;0")),"")</f>
        <v>16</v>
      </c>
      <c r="S866" t="str">
        <f t="shared" si="194"/>
        <v/>
      </c>
      <c r="T866" t="str">
        <f t="shared" si="202"/>
        <v/>
      </c>
      <c r="U866">
        <f>IFERROR(IF(T866=0,"",COUNTIF($T$3:T866,"&gt;0")),"")</f>
        <v>0</v>
      </c>
      <c r="V866" t="str">
        <f t="shared" si="195"/>
        <v/>
      </c>
    </row>
    <row r="867" spans="1:22">
      <c r="A867" t="e">
        <f t="shared" si="190"/>
        <v>#VALUE!</v>
      </c>
      <c r="B867" t="e">
        <f>Table4[[#This Row],[CATEGORY]]</f>
        <v>#VALUE!</v>
      </c>
      <c r="C867" t="e">
        <f>Table4[[#This Row],[SUB-CATEGORY]]</f>
        <v>#VALUE!</v>
      </c>
      <c r="D867">
        <f>'RJ ATTENDENCE SHEET'!C:C</f>
        <v>0</v>
      </c>
      <c r="E867" t="e">
        <f t="shared" si="189"/>
        <v>#VALUE!</v>
      </c>
      <c r="F867" t="str">
        <f t="shared" si="196"/>
        <v/>
      </c>
      <c r="G867">
        <f>IFERROR(IF(F867=0,"",COUNTIF($F$3:F867,"&gt;0")),"")</f>
        <v>16</v>
      </c>
      <c r="H867" t="str">
        <f t="shared" si="191"/>
        <v/>
      </c>
      <c r="I867" t="str">
        <f t="shared" si="197"/>
        <v/>
      </c>
      <c r="J867">
        <f>IFERROR(IF(I867=0,"",COUNTIF($I$3:I867,"&gt;0")),"")</f>
        <v>34</v>
      </c>
      <c r="K867" t="str">
        <f t="shared" si="192"/>
        <v/>
      </c>
      <c r="L867" t="str">
        <f t="shared" si="198"/>
        <v/>
      </c>
      <c r="M867" t="str">
        <f t="shared" si="199"/>
        <v/>
      </c>
      <c r="N867">
        <f>IFERROR(IF(M867=0,"",COUNTIF($M$3:M867,"&gt;0")),"")</f>
        <v>33</v>
      </c>
      <c r="O867" t="str">
        <f t="shared" si="193"/>
        <v/>
      </c>
      <c r="P867" t="str">
        <f t="shared" si="200"/>
        <v/>
      </c>
      <c r="Q867" t="str">
        <f t="shared" si="201"/>
        <v/>
      </c>
      <c r="R867">
        <f>IFERROR(IF(Q867=0,"",COUNTIF($Q$3:Q867,"&gt;0")),"")</f>
        <v>16</v>
      </c>
      <c r="S867" t="str">
        <f t="shared" si="194"/>
        <v/>
      </c>
      <c r="T867" t="str">
        <f t="shared" si="202"/>
        <v/>
      </c>
      <c r="U867">
        <f>IFERROR(IF(T867=0,"",COUNTIF($T$3:T867,"&gt;0")),"")</f>
        <v>0</v>
      </c>
      <c r="V867" t="str">
        <f t="shared" si="195"/>
        <v/>
      </c>
    </row>
    <row r="868" spans="1:22">
      <c r="A868" t="e">
        <f t="shared" si="190"/>
        <v>#VALUE!</v>
      </c>
      <c r="B868" t="e">
        <f>Table4[[#This Row],[CATEGORY]]</f>
        <v>#VALUE!</v>
      </c>
      <c r="C868" t="e">
        <f>Table4[[#This Row],[SUB-CATEGORY]]</f>
        <v>#VALUE!</v>
      </c>
      <c r="D868">
        <f>'RJ ATTENDENCE SHEET'!C:C</f>
        <v>0</v>
      </c>
      <c r="E868" t="e">
        <f t="shared" si="189"/>
        <v>#VALUE!</v>
      </c>
      <c r="F868" t="str">
        <f t="shared" si="196"/>
        <v/>
      </c>
      <c r="G868">
        <f>IFERROR(IF(F868=0,"",COUNTIF($F$3:F868,"&gt;0")),"")</f>
        <v>16</v>
      </c>
      <c r="H868" t="str">
        <f t="shared" si="191"/>
        <v/>
      </c>
      <c r="I868" t="str">
        <f t="shared" si="197"/>
        <v/>
      </c>
      <c r="J868">
        <f>IFERROR(IF(I868=0,"",COUNTIF($I$3:I868,"&gt;0")),"")</f>
        <v>34</v>
      </c>
      <c r="K868" t="str">
        <f t="shared" si="192"/>
        <v/>
      </c>
      <c r="L868" t="str">
        <f t="shared" si="198"/>
        <v/>
      </c>
      <c r="M868" t="str">
        <f t="shared" si="199"/>
        <v/>
      </c>
      <c r="N868">
        <f>IFERROR(IF(M868=0,"",COUNTIF($M$3:M868,"&gt;0")),"")</f>
        <v>33</v>
      </c>
      <c r="O868" t="str">
        <f t="shared" si="193"/>
        <v/>
      </c>
      <c r="P868" t="str">
        <f t="shared" si="200"/>
        <v/>
      </c>
      <c r="Q868" t="str">
        <f t="shared" si="201"/>
        <v/>
      </c>
      <c r="R868">
        <f>IFERROR(IF(Q868=0,"",COUNTIF($Q$3:Q868,"&gt;0")),"")</f>
        <v>16</v>
      </c>
      <c r="S868" t="str">
        <f t="shared" si="194"/>
        <v/>
      </c>
      <c r="T868" t="str">
        <f t="shared" si="202"/>
        <v/>
      </c>
      <c r="U868">
        <f>IFERROR(IF(T868=0,"",COUNTIF($T$3:T868,"&gt;0")),"")</f>
        <v>0</v>
      </c>
      <c r="V868" t="str">
        <f t="shared" si="195"/>
        <v/>
      </c>
    </row>
    <row r="869" spans="1:22">
      <c r="A869" t="e">
        <f t="shared" si="190"/>
        <v>#VALUE!</v>
      </c>
      <c r="B869" t="e">
        <f>Table4[[#This Row],[CATEGORY]]</f>
        <v>#VALUE!</v>
      </c>
      <c r="C869" t="e">
        <f>Table4[[#This Row],[SUB-CATEGORY]]</f>
        <v>#VALUE!</v>
      </c>
      <c r="D869">
        <f>'RJ ATTENDENCE SHEET'!C:C</f>
        <v>0</v>
      </c>
      <c r="E869" t="e">
        <f t="shared" si="189"/>
        <v>#VALUE!</v>
      </c>
      <c r="F869" t="str">
        <f t="shared" si="196"/>
        <v/>
      </c>
      <c r="G869">
        <f>IFERROR(IF(F869=0,"",COUNTIF($F$3:F869,"&gt;0")),"")</f>
        <v>16</v>
      </c>
      <c r="H869" t="str">
        <f t="shared" si="191"/>
        <v/>
      </c>
      <c r="I869" t="str">
        <f t="shared" si="197"/>
        <v/>
      </c>
      <c r="J869">
        <f>IFERROR(IF(I869=0,"",COUNTIF($I$3:I869,"&gt;0")),"")</f>
        <v>34</v>
      </c>
      <c r="K869" t="str">
        <f t="shared" si="192"/>
        <v/>
      </c>
      <c r="L869" t="str">
        <f t="shared" si="198"/>
        <v/>
      </c>
      <c r="M869" t="str">
        <f t="shared" si="199"/>
        <v/>
      </c>
      <c r="N869">
        <f>IFERROR(IF(M869=0,"",COUNTIF($M$3:M869,"&gt;0")),"")</f>
        <v>33</v>
      </c>
      <c r="O869" t="str">
        <f t="shared" si="193"/>
        <v/>
      </c>
      <c r="P869" t="str">
        <f t="shared" si="200"/>
        <v/>
      </c>
      <c r="Q869" t="str">
        <f t="shared" si="201"/>
        <v/>
      </c>
      <c r="R869">
        <f>IFERROR(IF(Q869=0,"",COUNTIF($Q$3:Q869,"&gt;0")),"")</f>
        <v>16</v>
      </c>
      <c r="S869" t="str">
        <f t="shared" si="194"/>
        <v/>
      </c>
      <c r="T869" t="str">
        <f t="shared" si="202"/>
        <v/>
      </c>
      <c r="U869">
        <f>IFERROR(IF(T869=0,"",COUNTIF($T$3:T869,"&gt;0")),"")</f>
        <v>0</v>
      </c>
      <c r="V869" t="str">
        <f t="shared" si="195"/>
        <v/>
      </c>
    </row>
    <row r="870" spans="1:22">
      <c r="A870" t="e">
        <f t="shared" si="190"/>
        <v>#VALUE!</v>
      </c>
      <c r="B870" t="e">
        <f>Table4[[#This Row],[CATEGORY]]</f>
        <v>#VALUE!</v>
      </c>
      <c r="C870" t="e">
        <f>Table4[[#This Row],[SUB-CATEGORY]]</f>
        <v>#VALUE!</v>
      </c>
      <c r="D870">
        <f>'RJ ATTENDENCE SHEET'!C:C</f>
        <v>0</v>
      </c>
      <c r="E870" t="e">
        <f t="shared" si="189"/>
        <v>#VALUE!</v>
      </c>
      <c r="F870" t="str">
        <f t="shared" si="196"/>
        <v/>
      </c>
      <c r="G870">
        <f>IFERROR(IF(F870=0,"",COUNTIF($F$3:F870,"&gt;0")),"")</f>
        <v>16</v>
      </c>
      <c r="H870" t="str">
        <f t="shared" si="191"/>
        <v/>
      </c>
      <c r="I870" t="str">
        <f t="shared" si="197"/>
        <v/>
      </c>
      <c r="J870">
        <f>IFERROR(IF(I870=0,"",COUNTIF($I$3:I870,"&gt;0")),"")</f>
        <v>34</v>
      </c>
      <c r="K870" t="str">
        <f t="shared" si="192"/>
        <v/>
      </c>
      <c r="L870" t="str">
        <f t="shared" si="198"/>
        <v/>
      </c>
      <c r="M870" t="str">
        <f t="shared" si="199"/>
        <v/>
      </c>
      <c r="N870">
        <f>IFERROR(IF(M870=0,"",COUNTIF($M$3:M870,"&gt;0")),"")</f>
        <v>33</v>
      </c>
      <c r="O870" t="str">
        <f t="shared" si="193"/>
        <v/>
      </c>
      <c r="P870" t="str">
        <f t="shared" si="200"/>
        <v/>
      </c>
      <c r="Q870" t="str">
        <f t="shared" si="201"/>
        <v/>
      </c>
      <c r="R870">
        <f>IFERROR(IF(Q870=0,"",COUNTIF($Q$3:Q870,"&gt;0")),"")</f>
        <v>16</v>
      </c>
      <c r="S870" t="str">
        <f t="shared" si="194"/>
        <v/>
      </c>
      <c r="T870" t="str">
        <f t="shared" si="202"/>
        <v/>
      </c>
      <c r="U870">
        <f>IFERROR(IF(T870=0,"",COUNTIF($T$3:T870,"&gt;0")),"")</f>
        <v>0</v>
      </c>
      <c r="V870" t="str">
        <f t="shared" si="195"/>
        <v/>
      </c>
    </row>
    <row r="871" spans="1:22">
      <c r="A871" t="e">
        <f t="shared" si="190"/>
        <v>#VALUE!</v>
      </c>
      <c r="B871" t="e">
        <f>Table4[[#This Row],[CATEGORY]]</f>
        <v>#VALUE!</v>
      </c>
      <c r="C871" t="e">
        <f>Table4[[#This Row],[SUB-CATEGORY]]</f>
        <v>#VALUE!</v>
      </c>
      <c r="D871">
        <f>'RJ ATTENDENCE SHEET'!C:C</f>
        <v>0</v>
      </c>
      <c r="E871" t="e">
        <f t="shared" si="189"/>
        <v>#VALUE!</v>
      </c>
      <c r="F871" t="str">
        <f t="shared" si="196"/>
        <v/>
      </c>
      <c r="G871">
        <f>IFERROR(IF(F871=0,"",COUNTIF($F$3:F871,"&gt;0")),"")</f>
        <v>16</v>
      </c>
      <c r="H871" t="str">
        <f t="shared" si="191"/>
        <v/>
      </c>
      <c r="I871" t="str">
        <f t="shared" si="197"/>
        <v/>
      </c>
      <c r="J871">
        <f>IFERROR(IF(I871=0,"",COUNTIF($I$3:I871,"&gt;0")),"")</f>
        <v>34</v>
      </c>
      <c r="K871" t="str">
        <f t="shared" si="192"/>
        <v/>
      </c>
      <c r="L871" t="str">
        <f t="shared" si="198"/>
        <v/>
      </c>
      <c r="M871" t="str">
        <f t="shared" si="199"/>
        <v/>
      </c>
      <c r="N871">
        <f>IFERROR(IF(M871=0,"",COUNTIF($M$3:M871,"&gt;0")),"")</f>
        <v>33</v>
      </c>
      <c r="O871" t="str">
        <f t="shared" si="193"/>
        <v/>
      </c>
      <c r="P871" t="str">
        <f t="shared" si="200"/>
        <v/>
      </c>
      <c r="Q871" t="str">
        <f t="shared" si="201"/>
        <v/>
      </c>
      <c r="R871">
        <f>IFERROR(IF(Q871=0,"",COUNTIF($Q$3:Q871,"&gt;0")),"")</f>
        <v>16</v>
      </c>
      <c r="S871" t="str">
        <f t="shared" si="194"/>
        <v/>
      </c>
      <c r="T871" t="str">
        <f t="shared" si="202"/>
        <v/>
      </c>
      <c r="U871">
        <f>IFERROR(IF(T871=0,"",COUNTIF($T$3:T871,"&gt;0")),"")</f>
        <v>0</v>
      </c>
      <c r="V871" t="str">
        <f t="shared" si="195"/>
        <v/>
      </c>
    </row>
    <row r="872" spans="1:22">
      <c r="A872" t="e">
        <f t="shared" si="190"/>
        <v>#VALUE!</v>
      </c>
      <c r="B872" t="e">
        <f>Table4[[#This Row],[CATEGORY]]</f>
        <v>#VALUE!</v>
      </c>
      <c r="C872" t="e">
        <f>Table4[[#This Row],[SUB-CATEGORY]]</f>
        <v>#VALUE!</v>
      </c>
      <c r="D872">
        <f>'RJ ATTENDENCE SHEET'!C:C</f>
        <v>0</v>
      </c>
      <c r="E872" t="e">
        <f t="shared" si="189"/>
        <v>#VALUE!</v>
      </c>
      <c r="F872" t="str">
        <f t="shared" si="196"/>
        <v/>
      </c>
      <c r="G872">
        <f>IFERROR(IF(F872=0,"",COUNTIF($F$3:F872,"&gt;0")),"")</f>
        <v>16</v>
      </c>
      <c r="H872" t="str">
        <f t="shared" si="191"/>
        <v/>
      </c>
      <c r="I872" t="str">
        <f t="shared" si="197"/>
        <v/>
      </c>
      <c r="J872">
        <f>IFERROR(IF(I872=0,"",COUNTIF($I$3:I872,"&gt;0")),"")</f>
        <v>34</v>
      </c>
      <c r="K872" t="str">
        <f t="shared" si="192"/>
        <v/>
      </c>
      <c r="L872" t="str">
        <f t="shared" si="198"/>
        <v/>
      </c>
      <c r="M872" t="str">
        <f t="shared" si="199"/>
        <v/>
      </c>
      <c r="N872">
        <f>IFERROR(IF(M872=0,"",COUNTIF($M$3:M872,"&gt;0")),"")</f>
        <v>33</v>
      </c>
      <c r="O872" t="str">
        <f t="shared" si="193"/>
        <v/>
      </c>
      <c r="P872" t="str">
        <f t="shared" si="200"/>
        <v/>
      </c>
      <c r="Q872" t="str">
        <f t="shared" si="201"/>
        <v/>
      </c>
      <c r="R872">
        <f>IFERROR(IF(Q872=0,"",COUNTIF($Q$3:Q872,"&gt;0")),"")</f>
        <v>16</v>
      </c>
      <c r="S872" t="str">
        <f t="shared" si="194"/>
        <v/>
      </c>
      <c r="T872" t="str">
        <f t="shared" si="202"/>
        <v/>
      </c>
      <c r="U872">
        <f>IFERROR(IF(T872=0,"",COUNTIF($T$3:T872,"&gt;0")),"")</f>
        <v>0</v>
      </c>
      <c r="V872" t="str">
        <f t="shared" si="195"/>
        <v/>
      </c>
    </row>
    <row r="873" spans="1:22">
      <c r="A873" t="e">
        <f t="shared" si="190"/>
        <v>#VALUE!</v>
      </c>
      <c r="B873" t="e">
        <f>Table4[[#This Row],[CATEGORY]]</f>
        <v>#VALUE!</v>
      </c>
      <c r="C873" t="e">
        <f>Table4[[#This Row],[SUB-CATEGORY]]</f>
        <v>#VALUE!</v>
      </c>
      <c r="D873">
        <f>'RJ ATTENDENCE SHEET'!C:C</f>
        <v>0</v>
      </c>
      <c r="E873" t="e">
        <f t="shared" si="189"/>
        <v>#VALUE!</v>
      </c>
      <c r="F873" t="str">
        <f t="shared" si="196"/>
        <v/>
      </c>
      <c r="G873">
        <f>IFERROR(IF(F873=0,"",COUNTIF($F$3:F873,"&gt;0")),"")</f>
        <v>16</v>
      </c>
      <c r="H873" t="str">
        <f t="shared" si="191"/>
        <v/>
      </c>
      <c r="I873" t="str">
        <f t="shared" si="197"/>
        <v/>
      </c>
      <c r="J873">
        <f>IFERROR(IF(I873=0,"",COUNTIF($I$3:I873,"&gt;0")),"")</f>
        <v>34</v>
      </c>
      <c r="K873" t="str">
        <f t="shared" si="192"/>
        <v/>
      </c>
      <c r="L873" t="str">
        <f t="shared" si="198"/>
        <v/>
      </c>
      <c r="M873" t="str">
        <f t="shared" si="199"/>
        <v/>
      </c>
      <c r="N873">
        <f>IFERROR(IF(M873=0,"",COUNTIF($M$3:M873,"&gt;0")),"")</f>
        <v>33</v>
      </c>
      <c r="O873" t="str">
        <f t="shared" si="193"/>
        <v/>
      </c>
      <c r="P873" t="str">
        <f t="shared" si="200"/>
        <v/>
      </c>
      <c r="Q873" t="str">
        <f t="shared" si="201"/>
        <v/>
      </c>
      <c r="R873">
        <f>IFERROR(IF(Q873=0,"",COUNTIF($Q$3:Q873,"&gt;0")),"")</f>
        <v>16</v>
      </c>
      <c r="S873" t="str">
        <f t="shared" si="194"/>
        <v/>
      </c>
      <c r="T873" t="str">
        <f t="shared" si="202"/>
        <v/>
      </c>
      <c r="U873">
        <f>IFERROR(IF(T873=0,"",COUNTIF($T$3:T873,"&gt;0")),"")</f>
        <v>0</v>
      </c>
      <c r="V873" t="str">
        <f t="shared" si="195"/>
        <v/>
      </c>
    </row>
    <row r="874" spans="1:22">
      <c r="A874" t="e">
        <f t="shared" si="190"/>
        <v>#VALUE!</v>
      </c>
      <c r="B874" t="e">
        <f>Table4[[#This Row],[CATEGORY]]</f>
        <v>#VALUE!</v>
      </c>
      <c r="C874" t="e">
        <f>Table4[[#This Row],[SUB-CATEGORY]]</f>
        <v>#VALUE!</v>
      </c>
      <c r="D874">
        <f>'RJ ATTENDENCE SHEET'!C:C</f>
        <v>0</v>
      </c>
      <c r="E874" t="e">
        <f t="shared" si="189"/>
        <v>#VALUE!</v>
      </c>
      <c r="F874" t="str">
        <f t="shared" si="196"/>
        <v/>
      </c>
      <c r="G874">
        <f>IFERROR(IF(F874=0,"",COUNTIF($F$3:F874,"&gt;0")),"")</f>
        <v>16</v>
      </c>
      <c r="H874" t="str">
        <f t="shared" si="191"/>
        <v/>
      </c>
      <c r="I874" t="str">
        <f t="shared" si="197"/>
        <v/>
      </c>
      <c r="J874">
        <f>IFERROR(IF(I874=0,"",COUNTIF($I$3:I874,"&gt;0")),"")</f>
        <v>34</v>
      </c>
      <c r="K874" t="str">
        <f t="shared" si="192"/>
        <v/>
      </c>
      <c r="L874" t="str">
        <f t="shared" si="198"/>
        <v/>
      </c>
      <c r="M874" t="str">
        <f t="shared" si="199"/>
        <v/>
      </c>
      <c r="N874">
        <f>IFERROR(IF(M874=0,"",COUNTIF($M$3:M874,"&gt;0")),"")</f>
        <v>33</v>
      </c>
      <c r="O874" t="str">
        <f t="shared" si="193"/>
        <v/>
      </c>
      <c r="P874" t="str">
        <f t="shared" si="200"/>
        <v/>
      </c>
      <c r="Q874" t="str">
        <f t="shared" si="201"/>
        <v/>
      </c>
      <c r="R874">
        <f>IFERROR(IF(Q874=0,"",COUNTIF($Q$3:Q874,"&gt;0")),"")</f>
        <v>16</v>
      </c>
      <c r="S874" t="str">
        <f t="shared" si="194"/>
        <v/>
      </c>
      <c r="T874" t="str">
        <f t="shared" si="202"/>
        <v/>
      </c>
      <c r="U874">
        <f>IFERROR(IF(T874=0,"",COUNTIF($T$3:T874,"&gt;0")),"")</f>
        <v>0</v>
      </c>
      <c r="V874" t="str">
        <f t="shared" si="195"/>
        <v/>
      </c>
    </row>
    <row r="875" spans="1:22">
      <c r="A875" t="e">
        <f t="shared" si="190"/>
        <v>#VALUE!</v>
      </c>
      <c r="B875" t="e">
        <f>Table4[[#This Row],[CATEGORY]]</f>
        <v>#VALUE!</v>
      </c>
      <c r="C875" t="e">
        <f>Table4[[#This Row],[SUB-CATEGORY]]</f>
        <v>#VALUE!</v>
      </c>
      <c r="D875">
        <f>'RJ ATTENDENCE SHEET'!C:C</f>
        <v>0</v>
      </c>
      <c r="E875" t="e">
        <f t="shared" si="189"/>
        <v>#VALUE!</v>
      </c>
      <c r="F875" t="str">
        <f t="shared" si="196"/>
        <v/>
      </c>
      <c r="G875">
        <f>IFERROR(IF(F875=0,"",COUNTIF($F$3:F875,"&gt;0")),"")</f>
        <v>16</v>
      </c>
      <c r="H875" t="str">
        <f t="shared" si="191"/>
        <v/>
      </c>
      <c r="I875" t="str">
        <f t="shared" si="197"/>
        <v/>
      </c>
      <c r="J875">
        <f>IFERROR(IF(I875=0,"",COUNTIF($I$3:I875,"&gt;0")),"")</f>
        <v>34</v>
      </c>
      <c r="K875" t="str">
        <f t="shared" si="192"/>
        <v/>
      </c>
      <c r="L875" t="str">
        <f t="shared" si="198"/>
        <v/>
      </c>
      <c r="M875" t="str">
        <f t="shared" si="199"/>
        <v/>
      </c>
      <c r="N875">
        <f>IFERROR(IF(M875=0,"",COUNTIF($M$3:M875,"&gt;0")),"")</f>
        <v>33</v>
      </c>
      <c r="O875" t="str">
        <f t="shared" si="193"/>
        <v/>
      </c>
      <c r="P875" t="str">
        <f t="shared" si="200"/>
        <v/>
      </c>
      <c r="Q875" t="str">
        <f t="shared" si="201"/>
        <v/>
      </c>
      <c r="R875">
        <f>IFERROR(IF(Q875=0,"",COUNTIF($Q$3:Q875,"&gt;0")),"")</f>
        <v>16</v>
      </c>
      <c r="S875" t="str">
        <f t="shared" si="194"/>
        <v/>
      </c>
      <c r="T875" t="str">
        <f t="shared" si="202"/>
        <v/>
      </c>
      <c r="U875">
        <f>IFERROR(IF(T875=0,"",COUNTIF($T$3:T875,"&gt;0")),"")</f>
        <v>0</v>
      </c>
      <c r="V875" t="str">
        <f t="shared" si="195"/>
        <v/>
      </c>
    </row>
    <row r="876" spans="1:22">
      <c r="A876" t="e">
        <f t="shared" si="190"/>
        <v>#VALUE!</v>
      </c>
      <c r="B876" t="e">
        <f>Table4[[#This Row],[CATEGORY]]</f>
        <v>#VALUE!</v>
      </c>
      <c r="C876" t="e">
        <f>Table4[[#This Row],[SUB-CATEGORY]]</f>
        <v>#VALUE!</v>
      </c>
      <c r="D876">
        <f>'RJ ATTENDENCE SHEET'!C:C</f>
        <v>0</v>
      </c>
      <c r="E876" t="e">
        <f t="shared" si="189"/>
        <v>#VALUE!</v>
      </c>
      <c r="F876" t="str">
        <f t="shared" si="196"/>
        <v/>
      </c>
      <c r="G876">
        <f>IFERROR(IF(F876=0,"",COUNTIF($F$3:F876,"&gt;0")),"")</f>
        <v>16</v>
      </c>
      <c r="H876" t="str">
        <f t="shared" si="191"/>
        <v/>
      </c>
      <c r="I876" t="str">
        <f t="shared" si="197"/>
        <v/>
      </c>
      <c r="J876">
        <f>IFERROR(IF(I876=0,"",COUNTIF($I$3:I876,"&gt;0")),"")</f>
        <v>34</v>
      </c>
      <c r="K876" t="str">
        <f t="shared" si="192"/>
        <v/>
      </c>
      <c r="L876" t="str">
        <f t="shared" si="198"/>
        <v/>
      </c>
      <c r="M876" t="str">
        <f t="shared" si="199"/>
        <v/>
      </c>
      <c r="N876">
        <f>IFERROR(IF(M876=0,"",COUNTIF($M$3:M876,"&gt;0")),"")</f>
        <v>33</v>
      </c>
      <c r="O876" t="str">
        <f t="shared" si="193"/>
        <v/>
      </c>
      <c r="P876" t="str">
        <f t="shared" si="200"/>
        <v/>
      </c>
      <c r="Q876" t="str">
        <f t="shared" si="201"/>
        <v/>
      </c>
      <c r="R876">
        <f>IFERROR(IF(Q876=0,"",COUNTIF($Q$3:Q876,"&gt;0")),"")</f>
        <v>16</v>
      </c>
      <c r="S876" t="str">
        <f t="shared" si="194"/>
        <v/>
      </c>
      <c r="T876" t="str">
        <f t="shared" si="202"/>
        <v/>
      </c>
      <c r="U876">
        <f>IFERROR(IF(T876=0,"",COUNTIF($T$3:T876,"&gt;0")),"")</f>
        <v>0</v>
      </c>
      <c r="V876" t="str">
        <f t="shared" si="195"/>
        <v/>
      </c>
    </row>
    <row r="877" spans="1:22">
      <c r="A877" t="e">
        <f t="shared" si="190"/>
        <v>#VALUE!</v>
      </c>
      <c r="B877" t="e">
        <f>Table4[[#This Row],[CATEGORY]]</f>
        <v>#VALUE!</v>
      </c>
      <c r="C877" t="e">
        <f>Table4[[#This Row],[SUB-CATEGORY]]</f>
        <v>#VALUE!</v>
      </c>
      <c r="D877">
        <f>'RJ ATTENDENCE SHEET'!C:C</f>
        <v>0</v>
      </c>
      <c r="E877" t="e">
        <f t="shared" si="189"/>
        <v>#VALUE!</v>
      </c>
      <c r="F877" t="str">
        <f t="shared" si="196"/>
        <v/>
      </c>
      <c r="G877">
        <f>IFERROR(IF(F877=0,"",COUNTIF($F$3:F877,"&gt;0")),"")</f>
        <v>16</v>
      </c>
      <c r="H877" t="str">
        <f t="shared" si="191"/>
        <v/>
      </c>
      <c r="I877" t="str">
        <f t="shared" si="197"/>
        <v/>
      </c>
      <c r="J877">
        <f>IFERROR(IF(I877=0,"",COUNTIF($I$3:I877,"&gt;0")),"")</f>
        <v>34</v>
      </c>
      <c r="K877" t="str">
        <f t="shared" si="192"/>
        <v/>
      </c>
      <c r="L877" t="str">
        <f t="shared" si="198"/>
        <v/>
      </c>
      <c r="M877" t="str">
        <f t="shared" si="199"/>
        <v/>
      </c>
      <c r="N877">
        <f>IFERROR(IF(M877=0,"",COUNTIF($M$3:M877,"&gt;0")),"")</f>
        <v>33</v>
      </c>
      <c r="O877" t="str">
        <f t="shared" si="193"/>
        <v/>
      </c>
      <c r="P877" t="str">
        <f t="shared" si="200"/>
        <v/>
      </c>
      <c r="Q877" t="str">
        <f t="shared" si="201"/>
        <v/>
      </c>
      <c r="R877">
        <f>IFERROR(IF(Q877=0,"",COUNTIF($Q$3:Q877,"&gt;0")),"")</f>
        <v>16</v>
      </c>
      <c r="S877" t="str">
        <f t="shared" si="194"/>
        <v/>
      </c>
      <c r="T877" t="str">
        <f t="shared" si="202"/>
        <v/>
      </c>
      <c r="U877">
        <f>IFERROR(IF(T877=0,"",COUNTIF($T$3:T877,"&gt;0")),"")</f>
        <v>0</v>
      </c>
      <c r="V877" t="str">
        <f t="shared" si="195"/>
        <v/>
      </c>
    </row>
    <row r="878" spans="1:22">
      <c r="A878" t="e">
        <f t="shared" si="190"/>
        <v>#VALUE!</v>
      </c>
      <c r="B878" t="e">
        <f>Table4[[#This Row],[CATEGORY]]</f>
        <v>#VALUE!</v>
      </c>
      <c r="C878" t="e">
        <f>Table4[[#This Row],[SUB-CATEGORY]]</f>
        <v>#VALUE!</v>
      </c>
      <c r="D878">
        <f>'RJ ATTENDENCE SHEET'!C:C</f>
        <v>0</v>
      </c>
      <c r="E878" t="e">
        <f t="shared" si="189"/>
        <v>#VALUE!</v>
      </c>
      <c r="F878" t="str">
        <f t="shared" si="196"/>
        <v/>
      </c>
      <c r="G878">
        <f>IFERROR(IF(F878=0,"",COUNTIF($F$3:F878,"&gt;0")),"")</f>
        <v>16</v>
      </c>
      <c r="H878" t="str">
        <f t="shared" si="191"/>
        <v/>
      </c>
      <c r="I878" t="str">
        <f t="shared" si="197"/>
        <v/>
      </c>
      <c r="J878">
        <f>IFERROR(IF(I878=0,"",COUNTIF($I$3:I878,"&gt;0")),"")</f>
        <v>34</v>
      </c>
      <c r="K878" t="str">
        <f t="shared" si="192"/>
        <v/>
      </c>
      <c r="L878" t="str">
        <f t="shared" si="198"/>
        <v/>
      </c>
      <c r="M878" t="str">
        <f t="shared" si="199"/>
        <v/>
      </c>
      <c r="N878">
        <f>IFERROR(IF(M878=0,"",COUNTIF($M$3:M878,"&gt;0")),"")</f>
        <v>33</v>
      </c>
      <c r="O878" t="str">
        <f t="shared" si="193"/>
        <v/>
      </c>
      <c r="P878" t="str">
        <f t="shared" si="200"/>
        <v/>
      </c>
      <c r="Q878" t="str">
        <f t="shared" si="201"/>
        <v/>
      </c>
      <c r="R878">
        <f>IFERROR(IF(Q878=0,"",COUNTIF($Q$3:Q878,"&gt;0")),"")</f>
        <v>16</v>
      </c>
      <c r="S878" t="str">
        <f t="shared" si="194"/>
        <v/>
      </c>
      <c r="T878" t="str">
        <f t="shared" si="202"/>
        <v/>
      </c>
      <c r="U878">
        <f>IFERROR(IF(T878=0,"",COUNTIF($T$3:T878,"&gt;0")),"")</f>
        <v>0</v>
      </c>
      <c r="V878" t="str">
        <f t="shared" si="195"/>
        <v/>
      </c>
    </row>
    <row r="879" spans="1:22">
      <c r="A879" t="e">
        <f t="shared" si="190"/>
        <v>#VALUE!</v>
      </c>
      <c r="B879" t="e">
        <f>Table4[[#This Row],[CATEGORY]]</f>
        <v>#VALUE!</v>
      </c>
      <c r="C879" t="e">
        <f>Table4[[#This Row],[SUB-CATEGORY]]</f>
        <v>#VALUE!</v>
      </c>
      <c r="D879">
        <f>'RJ ATTENDENCE SHEET'!C:C</f>
        <v>0</v>
      </c>
      <c r="E879" t="e">
        <f t="shared" si="189"/>
        <v>#VALUE!</v>
      </c>
      <c r="F879" t="str">
        <f t="shared" si="196"/>
        <v/>
      </c>
      <c r="G879">
        <f>IFERROR(IF(F879=0,"",COUNTIF($F$3:F879,"&gt;0")),"")</f>
        <v>16</v>
      </c>
      <c r="H879" t="str">
        <f t="shared" si="191"/>
        <v/>
      </c>
      <c r="I879" t="str">
        <f t="shared" si="197"/>
        <v/>
      </c>
      <c r="J879">
        <f>IFERROR(IF(I879=0,"",COUNTIF($I$3:I879,"&gt;0")),"")</f>
        <v>34</v>
      </c>
      <c r="K879" t="str">
        <f t="shared" si="192"/>
        <v/>
      </c>
      <c r="L879" t="str">
        <f t="shared" si="198"/>
        <v/>
      </c>
      <c r="M879" t="str">
        <f t="shared" si="199"/>
        <v/>
      </c>
      <c r="N879">
        <f>IFERROR(IF(M879=0,"",COUNTIF($M$3:M879,"&gt;0")),"")</f>
        <v>33</v>
      </c>
      <c r="O879" t="str">
        <f t="shared" si="193"/>
        <v/>
      </c>
      <c r="P879" t="str">
        <f t="shared" si="200"/>
        <v/>
      </c>
      <c r="Q879" t="str">
        <f t="shared" si="201"/>
        <v/>
      </c>
      <c r="R879">
        <f>IFERROR(IF(Q879=0,"",COUNTIF($Q$3:Q879,"&gt;0")),"")</f>
        <v>16</v>
      </c>
      <c r="S879" t="str">
        <f t="shared" si="194"/>
        <v/>
      </c>
      <c r="T879" t="str">
        <f t="shared" si="202"/>
        <v/>
      </c>
      <c r="U879">
        <f>IFERROR(IF(T879=0,"",COUNTIF($T$3:T879,"&gt;0")),"")</f>
        <v>0</v>
      </c>
      <c r="V879" t="str">
        <f t="shared" si="195"/>
        <v/>
      </c>
    </row>
    <row r="880" spans="1:22">
      <c r="A880" t="e">
        <f t="shared" si="190"/>
        <v>#VALUE!</v>
      </c>
      <c r="B880" t="e">
        <f>Table4[[#This Row],[CATEGORY]]</f>
        <v>#VALUE!</v>
      </c>
      <c r="C880" t="e">
        <f>Table4[[#This Row],[SUB-CATEGORY]]</f>
        <v>#VALUE!</v>
      </c>
      <c r="D880">
        <f>'RJ ATTENDENCE SHEET'!C:C</f>
        <v>0</v>
      </c>
      <c r="E880" t="e">
        <f t="shared" si="189"/>
        <v>#VALUE!</v>
      </c>
      <c r="F880" t="str">
        <f t="shared" si="196"/>
        <v/>
      </c>
      <c r="G880">
        <f>IFERROR(IF(F880=0,"",COUNTIF($F$3:F880,"&gt;0")),"")</f>
        <v>16</v>
      </c>
      <c r="H880" t="str">
        <f t="shared" si="191"/>
        <v/>
      </c>
      <c r="I880" t="str">
        <f t="shared" si="197"/>
        <v/>
      </c>
      <c r="J880">
        <f>IFERROR(IF(I880=0,"",COUNTIF($I$3:I880,"&gt;0")),"")</f>
        <v>34</v>
      </c>
      <c r="K880" t="str">
        <f t="shared" si="192"/>
        <v/>
      </c>
      <c r="L880" t="str">
        <f t="shared" si="198"/>
        <v/>
      </c>
      <c r="M880" t="str">
        <f t="shared" si="199"/>
        <v/>
      </c>
      <c r="N880">
        <f>IFERROR(IF(M880=0,"",COUNTIF($M$3:M880,"&gt;0")),"")</f>
        <v>33</v>
      </c>
      <c r="O880" t="str">
        <f t="shared" si="193"/>
        <v/>
      </c>
      <c r="P880" t="str">
        <f t="shared" si="200"/>
        <v/>
      </c>
      <c r="Q880" t="str">
        <f t="shared" si="201"/>
        <v/>
      </c>
      <c r="R880">
        <f>IFERROR(IF(Q880=0,"",COUNTIF($Q$3:Q880,"&gt;0")),"")</f>
        <v>16</v>
      </c>
      <c r="S880" t="str">
        <f t="shared" si="194"/>
        <v/>
      </c>
      <c r="T880" t="str">
        <f t="shared" si="202"/>
        <v/>
      </c>
      <c r="U880">
        <f>IFERROR(IF(T880=0,"",COUNTIF($T$3:T880,"&gt;0")),"")</f>
        <v>0</v>
      </c>
      <c r="V880" t="str">
        <f t="shared" si="195"/>
        <v/>
      </c>
    </row>
    <row r="881" spans="1:22">
      <c r="A881" t="e">
        <f t="shared" si="190"/>
        <v>#VALUE!</v>
      </c>
      <c r="B881" t="e">
        <f>Table4[[#This Row],[CATEGORY]]</f>
        <v>#VALUE!</v>
      </c>
      <c r="C881" t="e">
        <f>Table4[[#This Row],[SUB-CATEGORY]]</f>
        <v>#VALUE!</v>
      </c>
      <c r="D881">
        <f>'RJ ATTENDENCE SHEET'!C:C</f>
        <v>0</v>
      </c>
      <c r="E881" t="e">
        <f t="shared" si="189"/>
        <v>#VALUE!</v>
      </c>
      <c r="F881" t="str">
        <f t="shared" si="196"/>
        <v/>
      </c>
      <c r="G881">
        <f>IFERROR(IF(F881=0,"",COUNTIF($F$3:F881,"&gt;0")),"")</f>
        <v>16</v>
      </c>
      <c r="H881" t="str">
        <f t="shared" si="191"/>
        <v/>
      </c>
      <c r="I881" t="str">
        <f t="shared" si="197"/>
        <v/>
      </c>
      <c r="J881">
        <f>IFERROR(IF(I881=0,"",COUNTIF($I$3:I881,"&gt;0")),"")</f>
        <v>34</v>
      </c>
      <c r="K881" t="str">
        <f t="shared" si="192"/>
        <v/>
      </c>
      <c r="L881" t="str">
        <f t="shared" si="198"/>
        <v/>
      </c>
      <c r="M881" t="str">
        <f t="shared" si="199"/>
        <v/>
      </c>
      <c r="N881">
        <f>IFERROR(IF(M881=0,"",COUNTIF($M$3:M881,"&gt;0")),"")</f>
        <v>33</v>
      </c>
      <c r="O881" t="str">
        <f t="shared" si="193"/>
        <v/>
      </c>
      <c r="P881" t="str">
        <f t="shared" si="200"/>
        <v/>
      </c>
      <c r="Q881" t="str">
        <f t="shared" si="201"/>
        <v/>
      </c>
      <c r="R881">
        <f>IFERROR(IF(Q881=0,"",COUNTIF($Q$3:Q881,"&gt;0")),"")</f>
        <v>16</v>
      </c>
      <c r="S881" t="str">
        <f t="shared" si="194"/>
        <v/>
      </c>
      <c r="T881" t="str">
        <f t="shared" si="202"/>
        <v/>
      </c>
      <c r="U881">
        <f>IFERROR(IF(T881=0,"",COUNTIF($T$3:T881,"&gt;0")),"")</f>
        <v>0</v>
      </c>
      <c r="V881" t="str">
        <f t="shared" si="195"/>
        <v/>
      </c>
    </row>
    <row r="882" spans="1:22">
      <c r="A882" t="e">
        <f t="shared" si="190"/>
        <v>#VALUE!</v>
      </c>
      <c r="B882" t="e">
        <f>Table4[[#This Row],[CATEGORY]]</f>
        <v>#VALUE!</v>
      </c>
      <c r="C882" t="e">
        <f>Table4[[#This Row],[SUB-CATEGORY]]</f>
        <v>#VALUE!</v>
      </c>
      <c r="D882">
        <f>'RJ ATTENDENCE SHEET'!C:C</f>
        <v>0</v>
      </c>
      <c r="E882" t="e">
        <f t="shared" si="189"/>
        <v>#VALUE!</v>
      </c>
      <c r="F882" t="str">
        <f t="shared" si="196"/>
        <v/>
      </c>
      <c r="G882">
        <f>IFERROR(IF(F882=0,"",COUNTIF($F$3:F882,"&gt;0")),"")</f>
        <v>16</v>
      </c>
      <c r="H882" t="str">
        <f t="shared" si="191"/>
        <v/>
      </c>
      <c r="I882" t="str">
        <f t="shared" si="197"/>
        <v/>
      </c>
      <c r="J882">
        <f>IFERROR(IF(I882=0,"",COUNTIF($I$3:I882,"&gt;0")),"")</f>
        <v>34</v>
      </c>
      <c r="K882" t="str">
        <f t="shared" si="192"/>
        <v/>
      </c>
      <c r="L882" t="str">
        <f t="shared" si="198"/>
        <v/>
      </c>
      <c r="M882" t="str">
        <f t="shared" si="199"/>
        <v/>
      </c>
      <c r="N882">
        <f>IFERROR(IF(M882=0,"",COUNTIF($M$3:M882,"&gt;0")),"")</f>
        <v>33</v>
      </c>
      <c r="O882" t="str">
        <f t="shared" si="193"/>
        <v/>
      </c>
      <c r="P882" t="str">
        <f t="shared" si="200"/>
        <v/>
      </c>
      <c r="Q882" t="str">
        <f t="shared" si="201"/>
        <v/>
      </c>
      <c r="R882">
        <f>IFERROR(IF(Q882=0,"",COUNTIF($Q$3:Q882,"&gt;0")),"")</f>
        <v>16</v>
      </c>
      <c r="S882" t="str">
        <f t="shared" si="194"/>
        <v/>
      </c>
      <c r="T882" t="str">
        <f t="shared" si="202"/>
        <v/>
      </c>
      <c r="U882">
        <f>IFERROR(IF(T882=0,"",COUNTIF($T$3:T882,"&gt;0")),"")</f>
        <v>0</v>
      </c>
      <c r="V882" t="str">
        <f t="shared" si="195"/>
        <v/>
      </c>
    </row>
    <row r="883" spans="1:22">
      <c r="A883" t="e">
        <f t="shared" si="190"/>
        <v>#VALUE!</v>
      </c>
      <c r="B883" t="e">
        <f>Table4[[#This Row],[CATEGORY]]</f>
        <v>#VALUE!</v>
      </c>
      <c r="C883" t="e">
        <f>Table4[[#This Row],[SUB-CATEGORY]]</f>
        <v>#VALUE!</v>
      </c>
      <c r="D883">
        <f>'RJ ATTENDENCE SHEET'!C:C</f>
        <v>0</v>
      </c>
      <c r="E883" t="e">
        <f t="shared" si="189"/>
        <v>#VALUE!</v>
      </c>
      <c r="F883" t="str">
        <f t="shared" si="196"/>
        <v/>
      </c>
      <c r="G883">
        <f>IFERROR(IF(F883=0,"",COUNTIF($F$3:F883,"&gt;0")),"")</f>
        <v>16</v>
      </c>
      <c r="H883" t="str">
        <f t="shared" si="191"/>
        <v/>
      </c>
      <c r="I883" t="str">
        <f t="shared" si="197"/>
        <v/>
      </c>
      <c r="J883">
        <f>IFERROR(IF(I883=0,"",COUNTIF($I$3:I883,"&gt;0")),"")</f>
        <v>34</v>
      </c>
      <c r="K883" t="str">
        <f t="shared" si="192"/>
        <v/>
      </c>
      <c r="L883" t="str">
        <f t="shared" si="198"/>
        <v/>
      </c>
      <c r="M883" t="str">
        <f t="shared" si="199"/>
        <v/>
      </c>
      <c r="N883">
        <f>IFERROR(IF(M883=0,"",COUNTIF($M$3:M883,"&gt;0")),"")</f>
        <v>33</v>
      </c>
      <c r="O883" t="str">
        <f t="shared" si="193"/>
        <v/>
      </c>
      <c r="P883" t="str">
        <f t="shared" si="200"/>
        <v/>
      </c>
      <c r="Q883" t="str">
        <f t="shared" si="201"/>
        <v/>
      </c>
      <c r="R883">
        <f>IFERROR(IF(Q883=0,"",COUNTIF($Q$3:Q883,"&gt;0")),"")</f>
        <v>16</v>
      </c>
      <c r="S883" t="str">
        <f t="shared" si="194"/>
        <v/>
      </c>
      <c r="T883" t="str">
        <f t="shared" si="202"/>
        <v/>
      </c>
      <c r="U883">
        <f>IFERROR(IF(T883=0,"",COUNTIF($T$3:T883,"&gt;0")),"")</f>
        <v>0</v>
      </c>
      <c r="V883" t="str">
        <f t="shared" si="195"/>
        <v/>
      </c>
    </row>
    <row r="884" spans="1:22">
      <c r="A884" t="e">
        <f t="shared" si="190"/>
        <v>#VALUE!</v>
      </c>
      <c r="B884" t="e">
        <f>Table4[[#This Row],[CATEGORY]]</f>
        <v>#VALUE!</v>
      </c>
      <c r="C884" t="e">
        <f>Table4[[#This Row],[SUB-CATEGORY]]</f>
        <v>#VALUE!</v>
      </c>
      <c r="D884">
        <f>'RJ ATTENDENCE SHEET'!C:C</f>
        <v>0</v>
      </c>
      <c r="E884" t="e">
        <f t="shared" si="189"/>
        <v>#VALUE!</v>
      </c>
      <c r="F884" t="str">
        <f t="shared" si="196"/>
        <v/>
      </c>
      <c r="G884">
        <f>IFERROR(IF(F884=0,"",COUNTIF($F$3:F884,"&gt;0")),"")</f>
        <v>16</v>
      </c>
      <c r="H884" t="str">
        <f t="shared" si="191"/>
        <v/>
      </c>
      <c r="I884" t="str">
        <f t="shared" si="197"/>
        <v/>
      </c>
      <c r="J884">
        <f>IFERROR(IF(I884=0,"",COUNTIF($I$3:I884,"&gt;0")),"")</f>
        <v>34</v>
      </c>
      <c r="K884" t="str">
        <f t="shared" si="192"/>
        <v/>
      </c>
      <c r="L884" t="str">
        <f t="shared" si="198"/>
        <v/>
      </c>
      <c r="M884" t="str">
        <f t="shared" si="199"/>
        <v/>
      </c>
      <c r="N884">
        <f>IFERROR(IF(M884=0,"",COUNTIF($M$3:M884,"&gt;0")),"")</f>
        <v>33</v>
      </c>
      <c r="O884" t="str">
        <f t="shared" si="193"/>
        <v/>
      </c>
      <c r="P884" t="str">
        <f t="shared" si="200"/>
        <v/>
      </c>
      <c r="Q884" t="str">
        <f t="shared" si="201"/>
        <v/>
      </c>
      <c r="R884">
        <f>IFERROR(IF(Q884=0,"",COUNTIF($Q$3:Q884,"&gt;0")),"")</f>
        <v>16</v>
      </c>
      <c r="S884" t="str">
        <f t="shared" si="194"/>
        <v/>
      </c>
      <c r="T884" t="str">
        <f t="shared" si="202"/>
        <v/>
      </c>
      <c r="U884">
        <f>IFERROR(IF(T884=0,"",COUNTIF($T$3:T884,"&gt;0")),"")</f>
        <v>0</v>
      </c>
      <c r="V884" t="str">
        <f t="shared" si="195"/>
        <v/>
      </c>
    </row>
    <row r="885" spans="1:22">
      <c r="A885" t="e">
        <f t="shared" si="190"/>
        <v>#VALUE!</v>
      </c>
      <c r="B885" t="e">
        <f>Table4[[#This Row],[CATEGORY]]</f>
        <v>#VALUE!</v>
      </c>
      <c r="C885" t="e">
        <f>Table4[[#This Row],[SUB-CATEGORY]]</f>
        <v>#VALUE!</v>
      </c>
      <c r="D885">
        <f>'RJ ATTENDENCE SHEET'!C:C</f>
        <v>0</v>
      </c>
      <c r="E885" t="e">
        <f t="shared" si="189"/>
        <v>#VALUE!</v>
      </c>
      <c r="F885" t="str">
        <f t="shared" si="196"/>
        <v/>
      </c>
      <c r="G885">
        <f>IFERROR(IF(F885=0,"",COUNTIF($F$3:F885,"&gt;0")),"")</f>
        <v>16</v>
      </c>
      <c r="H885" t="str">
        <f t="shared" si="191"/>
        <v/>
      </c>
      <c r="I885" t="str">
        <f t="shared" si="197"/>
        <v/>
      </c>
      <c r="J885">
        <f>IFERROR(IF(I885=0,"",COUNTIF($I$3:I885,"&gt;0")),"")</f>
        <v>34</v>
      </c>
      <c r="K885" t="str">
        <f t="shared" si="192"/>
        <v/>
      </c>
      <c r="L885" t="str">
        <f t="shared" si="198"/>
        <v/>
      </c>
      <c r="M885" t="str">
        <f t="shared" si="199"/>
        <v/>
      </c>
      <c r="N885">
        <f>IFERROR(IF(M885=0,"",COUNTIF($M$3:M885,"&gt;0")),"")</f>
        <v>33</v>
      </c>
      <c r="O885" t="str">
        <f t="shared" si="193"/>
        <v/>
      </c>
      <c r="P885" t="str">
        <f t="shared" si="200"/>
        <v/>
      </c>
      <c r="Q885" t="str">
        <f t="shared" si="201"/>
        <v/>
      </c>
      <c r="R885">
        <f>IFERROR(IF(Q885=0,"",COUNTIF($Q$3:Q885,"&gt;0")),"")</f>
        <v>16</v>
      </c>
      <c r="S885" t="str">
        <f t="shared" si="194"/>
        <v/>
      </c>
      <c r="T885" t="str">
        <f t="shared" si="202"/>
        <v/>
      </c>
      <c r="U885">
        <f>IFERROR(IF(T885=0,"",COUNTIF($T$3:T885,"&gt;0")),"")</f>
        <v>0</v>
      </c>
      <c r="V885" t="str">
        <f t="shared" si="195"/>
        <v/>
      </c>
    </row>
    <row r="886" spans="1:22">
      <c r="A886" t="e">
        <f t="shared" si="190"/>
        <v>#VALUE!</v>
      </c>
      <c r="B886" t="e">
        <f>Table4[[#This Row],[CATEGORY]]</f>
        <v>#VALUE!</v>
      </c>
      <c r="C886" t="e">
        <f>Table4[[#This Row],[SUB-CATEGORY]]</f>
        <v>#VALUE!</v>
      </c>
      <c r="D886">
        <f>'RJ ATTENDENCE SHEET'!C:C</f>
        <v>0</v>
      </c>
      <c r="E886" t="e">
        <f t="shared" si="189"/>
        <v>#VALUE!</v>
      </c>
      <c r="F886" t="str">
        <f t="shared" si="196"/>
        <v/>
      </c>
      <c r="G886">
        <f>IFERROR(IF(F886=0,"",COUNTIF($F$3:F886,"&gt;0")),"")</f>
        <v>16</v>
      </c>
      <c r="H886" t="str">
        <f t="shared" si="191"/>
        <v/>
      </c>
      <c r="I886" t="str">
        <f t="shared" si="197"/>
        <v/>
      </c>
      <c r="J886">
        <f>IFERROR(IF(I886=0,"",COUNTIF($I$3:I886,"&gt;0")),"")</f>
        <v>34</v>
      </c>
      <c r="K886" t="str">
        <f t="shared" si="192"/>
        <v/>
      </c>
      <c r="L886" t="str">
        <f t="shared" si="198"/>
        <v/>
      </c>
      <c r="M886" t="str">
        <f t="shared" si="199"/>
        <v/>
      </c>
      <c r="N886">
        <f>IFERROR(IF(M886=0,"",COUNTIF($M$3:M886,"&gt;0")),"")</f>
        <v>33</v>
      </c>
      <c r="O886" t="str">
        <f t="shared" si="193"/>
        <v/>
      </c>
      <c r="P886" t="str">
        <f t="shared" si="200"/>
        <v/>
      </c>
      <c r="Q886" t="str">
        <f t="shared" si="201"/>
        <v/>
      </c>
      <c r="R886">
        <f>IFERROR(IF(Q886=0,"",COUNTIF($Q$3:Q886,"&gt;0")),"")</f>
        <v>16</v>
      </c>
      <c r="S886" t="str">
        <f t="shared" si="194"/>
        <v/>
      </c>
      <c r="T886" t="str">
        <f t="shared" si="202"/>
        <v/>
      </c>
      <c r="U886">
        <f>IFERROR(IF(T886=0,"",COUNTIF($T$3:T886,"&gt;0")),"")</f>
        <v>0</v>
      </c>
      <c r="V886" t="str">
        <f t="shared" si="195"/>
        <v/>
      </c>
    </row>
    <row r="887" spans="1:22">
      <c r="A887" t="e">
        <f t="shared" si="190"/>
        <v>#VALUE!</v>
      </c>
      <c r="B887" t="e">
        <f>Table4[[#This Row],[CATEGORY]]</f>
        <v>#VALUE!</v>
      </c>
      <c r="C887" t="e">
        <f>Table4[[#This Row],[SUB-CATEGORY]]</f>
        <v>#VALUE!</v>
      </c>
      <c r="D887">
        <f>'RJ ATTENDENCE SHEET'!C:C</f>
        <v>0</v>
      </c>
      <c r="E887" t="e">
        <f t="shared" si="189"/>
        <v>#VALUE!</v>
      </c>
      <c r="F887" t="str">
        <f t="shared" si="196"/>
        <v/>
      </c>
      <c r="G887">
        <f>IFERROR(IF(F887=0,"",COUNTIF($F$3:F887,"&gt;0")),"")</f>
        <v>16</v>
      </c>
      <c r="H887" t="str">
        <f t="shared" si="191"/>
        <v/>
      </c>
      <c r="I887" t="str">
        <f t="shared" si="197"/>
        <v/>
      </c>
      <c r="J887">
        <f>IFERROR(IF(I887=0,"",COUNTIF($I$3:I887,"&gt;0")),"")</f>
        <v>34</v>
      </c>
      <c r="K887" t="str">
        <f t="shared" si="192"/>
        <v/>
      </c>
      <c r="L887" t="str">
        <f t="shared" si="198"/>
        <v/>
      </c>
      <c r="M887" t="str">
        <f t="shared" si="199"/>
        <v/>
      </c>
      <c r="N887">
        <f>IFERROR(IF(M887=0,"",COUNTIF($M$3:M887,"&gt;0")),"")</f>
        <v>33</v>
      </c>
      <c r="O887" t="str">
        <f t="shared" si="193"/>
        <v/>
      </c>
      <c r="P887" t="str">
        <f t="shared" si="200"/>
        <v/>
      </c>
      <c r="Q887" t="str">
        <f t="shared" si="201"/>
        <v/>
      </c>
      <c r="R887">
        <f>IFERROR(IF(Q887=0,"",COUNTIF($Q$3:Q887,"&gt;0")),"")</f>
        <v>16</v>
      </c>
      <c r="S887" t="str">
        <f t="shared" si="194"/>
        <v/>
      </c>
      <c r="T887" t="str">
        <f t="shared" si="202"/>
        <v/>
      </c>
      <c r="U887">
        <f>IFERROR(IF(T887=0,"",COUNTIF($T$3:T887,"&gt;0")),"")</f>
        <v>0</v>
      </c>
      <c r="V887" t="str">
        <f t="shared" si="195"/>
        <v/>
      </c>
    </row>
    <row r="888" spans="1:22">
      <c r="A888" t="e">
        <f t="shared" si="190"/>
        <v>#VALUE!</v>
      </c>
      <c r="B888" t="e">
        <f>Table4[[#This Row],[CATEGORY]]</f>
        <v>#VALUE!</v>
      </c>
      <c r="C888" t="e">
        <f>Table4[[#This Row],[SUB-CATEGORY]]</f>
        <v>#VALUE!</v>
      </c>
      <c r="D888">
        <f>'RJ ATTENDENCE SHEET'!C:C</f>
        <v>0</v>
      </c>
      <c r="E888" t="e">
        <f t="shared" si="189"/>
        <v>#VALUE!</v>
      </c>
      <c r="F888" t="str">
        <f t="shared" si="196"/>
        <v/>
      </c>
      <c r="G888">
        <f>IFERROR(IF(F888=0,"",COUNTIF($F$3:F888,"&gt;0")),"")</f>
        <v>16</v>
      </c>
      <c r="H888" t="str">
        <f t="shared" si="191"/>
        <v/>
      </c>
      <c r="I888" t="str">
        <f t="shared" si="197"/>
        <v/>
      </c>
      <c r="J888">
        <f>IFERROR(IF(I888=0,"",COUNTIF($I$3:I888,"&gt;0")),"")</f>
        <v>34</v>
      </c>
      <c r="K888" t="str">
        <f t="shared" si="192"/>
        <v/>
      </c>
      <c r="L888" t="str">
        <f t="shared" si="198"/>
        <v/>
      </c>
      <c r="M888" t="str">
        <f t="shared" si="199"/>
        <v/>
      </c>
      <c r="N888">
        <f>IFERROR(IF(M888=0,"",COUNTIF($M$3:M888,"&gt;0")),"")</f>
        <v>33</v>
      </c>
      <c r="O888" t="str">
        <f t="shared" si="193"/>
        <v/>
      </c>
      <c r="P888" t="str">
        <f t="shared" si="200"/>
        <v/>
      </c>
      <c r="Q888" t="str">
        <f t="shared" si="201"/>
        <v/>
      </c>
      <c r="R888">
        <f>IFERROR(IF(Q888=0,"",COUNTIF($Q$3:Q888,"&gt;0")),"")</f>
        <v>16</v>
      </c>
      <c r="S888" t="str">
        <f t="shared" si="194"/>
        <v/>
      </c>
      <c r="T888" t="str">
        <f t="shared" si="202"/>
        <v/>
      </c>
      <c r="U888">
        <f>IFERROR(IF(T888=0,"",COUNTIF($T$3:T888,"&gt;0")),"")</f>
        <v>0</v>
      </c>
      <c r="V888" t="str">
        <f t="shared" si="195"/>
        <v/>
      </c>
    </row>
    <row r="889" spans="1:22">
      <c r="A889" t="e">
        <f t="shared" si="190"/>
        <v>#VALUE!</v>
      </c>
      <c r="B889" t="e">
        <f>Table4[[#This Row],[CATEGORY]]</f>
        <v>#VALUE!</v>
      </c>
      <c r="C889" t="e">
        <f>Table4[[#This Row],[SUB-CATEGORY]]</f>
        <v>#VALUE!</v>
      </c>
      <c r="D889">
        <f>'RJ ATTENDENCE SHEET'!C:C</f>
        <v>0</v>
      </c>
      <c r="E889" t="e">
        <f t="shared" si="189"/>
        <v>#VALUE!</v>
      </c>
      <c r="F889" t="str">
        <f t="shared" si="196"/>
        <v/>
      </c>
      <c r="G889">
        <f>IFERROR(IF(F889=0,"",COUNTIF($F$3:F889,"&gt;0")),"")</f>
        <v>16</v>
      </c>
      <c r="H889" t="str">
        <f t="shared" si="191"/>
        <v/>
      </c>
      <c r="I889" t="str">
        <f t="shared" si="197"/>
        <v/>
      </c>
      <c r="J889">
        <f>IFERROR(IF(I889=0,"",COUNTIF($I$3:I889,"&gt;0")),"")</f>
        <v>34</v>
      </c>
      <c r="K889" t="str">
        <f t="shared" si="192"/>
        <v/>
      </c>
      <c r="L889" t="str">
        <f t="shared" si="198"/>
        <v/>
      </c>
      <c r="M889" t="str">
        <f t="shared" si="199"/>
        <v/>
      </c>
      <c r="N889">
        <f>IFERROR(IF(M889=0,"",COUNTIF($M$3:M889,"&gt;0")),"")</f>
        <v>33</v>
      </c>
      <c r="O889" t="str">
        <f t="shared" si="193"/>
        <v/>
      </c>
      <c r="P889" t="str">
        <f t="shared" si="200"/>
        <v/>
      </c>
      <c r="Q889" t="str">
        <f t="shared" si="201"/>
        <v/>
      </c>
      <c r="R889">
        <f>IFERROR(IF(Q889=0,"",COUNTIF($Q$3:Q889,"&gt;0")),"")</f>
        <v>16</v>
      </c>
      <c r="S889" t="str">
        <f t="shared" si="194"/>
        <v/>
      </c>
      <c r="T889" t="str">
        <f t="shared" si="202"/>
        <v/>
      </c>
      <c r="U889">
        <f>IFERROR(IF(T889=0,"",COUNTIF($T$3:T889,"&gt;0")),"")</f>
        <v>0</v>
      </c>
      <c r="V889" t="str">
        <f t="shared" si="195"/>
        <v/>
      </c>
    </row>
    <row r="890" spans="1:22">
      <c r="A890" t="e">
        <f t="shared" si="190"/>
        <v>#VALUE!</v>
      </c>
      <c r="B890" t="e">
        <f>Table4[[#This Row],[CATEGORY]]</f>
        <v>#VALUE!</v>
      </c>
      <c r="C890" t="e">
        <f>Table4[[#This Row],[SUB-CATEGORY]]</f>
        <v>#VALUE!</v>
      </c>
      <c r="D890">
        <f>'RJ ATTENDENCE SHEET'!C:C</f>
        <v>0</v>
      </c>
      <c r="E890" t="e">
        <f t="shared" si="189"/>
        <v>#VALUE!</v>
      </c>
      <c r="F890" t="str">
        <f t="shared" si="196"/>
        <v/>
      </c>
      <c r="G890">
        <f>IFERROR(IF(F890=0,"",COUNTIF($F$3:F890,"&gt;0")),"")</f>
        <v>16</v>
      </c>
      <c r="H890" t="str">
        <f t="shared" si="191"/>
        <v/>
      </c>
      <c r="I890" t="str">
        <f t="shared" si="197"/>
        <v/>
      </c>
      <c r="J890">
        <f>IFERROR(IF(I890=0,"",COUNTIF($I$3:I890,"&gt;0")),"")</f>
        <v>34</v>
      </c>
      <c r="K890" t="str">
        <f t="shared" si="192"/>
        <v/>
      </c>
      <c r="L890" t="str">
        <f t="shared" si="198"/>
        <v/>
      </c>
      <c r="M890" t="str">
        <f t="shared" si="199"/>
        <v/>
      </c>
      <c r="N890">
        <f>IFERROR(IF(M890=0,"",COUNTIF($M$3:M890,"&gt;0")),"")</f>
        <v>33</v>
      </c>
      <c r="O890" t="str">
        <f t="shared" si="193"/>
        <v/>
      </c>
      <c r="P890" t="str">
        <f t="shared" si="200"/>
        <v/>
      </c>
      <c r="Q890" t="str">
        <f t="shared" si="201"/>
        <v/>
      </c>
      <c r="R890">
        <f>IFERROR(IF(Q890=0,"",COUNTIF($Q$3:Q890,"&gt;0")),"")</f>
        <v>16</v>
      </c>
      <c r="S890" t="str">
        <f t="shared" si="194"/>
        <v/>
      </c>
      <c r="T890" t="str">
        <f t="shared" si="202"/>
        <v/>
      </c>
      <c r="U890">
        <f>IFERROR(IF(T890=0,"",COUNTIF($T$3:T890,"&gt;0")),"")</f>
        <v>0</v>
      </c>
      <c r="V890" t="str">
        <f t="shared" si="195"/>
        <v/>
      </c>
    </row>
    <row r="891" spans="1:22">
      <c r="A891" t="e">
        <f t="shared" si="190"/>
        <v>#VALUE!</v>
      </c>
      <c r="B891" t="e">
        <f>Table4[[#This Row],[CATEGORY]]</f>
        <v>#VALUE!</v>
      </c>
      <c r="C891" t="e">
        <f>Table4[[#This Row],[SUB-CATEGORY]]</f>
        <v>#VALUE!</v>
      </c>
      <c r="D891">
        <f>'RJ ATTENDENCE SHEET'!C:C</f>
        <v>0</v>
      </c>
      <c r="E891" t="e">
        <f t="shared" si="189"/>
        <v>#VALUE!</v>
      </c>
      <c r="F891" t="str">
        <f t="shared" si="196"/>
        <v/>
      </c>
      <c r="G891">
        <f>IFERROR(IF(F891=0,"",COUNTIF($F$3:F891,"&gt;0")),"")</f>
        <v>16</v>
      </c>
      <c r="H891" t="str">
        <f t="shared" si="191"/>
        <v/>
      </c>
      <c r="I891" t="str">
        <f t="shared" si="197"/>
        <v/>
      </c>
      <c r="J891">
        <f>IFERROR(IF(I891=0,"",COUNTIF($I$3:I891,"&gt;0")),"")</f>
        <v>34</v>
      </c>
      <c r="K891" t="str">
        <f t="shared" si="192"/>
        <v/>
      </c>
      <c r="L891" t="str">
        <f t="shared" si="198"/>
        <v/>
      </c>
      <c r="M891" t="str">
        <f t="shared" si="199"/>
        <v/>
      </c>
      <c r="N891">
        <f>IFERROR(IF(M891=0,"",COUNTIF($M$3:M891,"&gt;0")),"")</f>
        <v>33</v>
      </c>
      <c r="O891" t="str">
        <f t="shared" si="193"/>
        <v/>
      </c>
      <c r="P891" t="str">
        <f t="shared" si="200"/>
        <v/>
      </c>
      <c r="Q891" t="str">
        <f t="shared" si="201"/>
        <v/>
      </c>
      <c r="R891">
        <f>IFERROR(IF(Q891=0,"",COUNTIF($Q$3:Q891,"&gt;0")),"")</f>
        <v>16</v>
      </c>
      <c r="S891" t="str">
        <f t="shared" si="194"/>
        <v/>
      </c>
      <c r="T891" t="str">
        <f t="shared" si="202"/>
        <v/>
      </c>
      <c r="U891">
        <f>IFERROR(IF(T891=0,"",COUNTIF($T$3:T891,"&gt;0")),"")</f>
        <v>0</v>
      </c>
      <c r="V891" t="str">
        <f t="shared" si="195"/>
        <v/>
      </c>
    </row>
    <row r="892" spans="1:22">
      <c r="A892" t="e">
        <f t="shared" si="190"/>
        <v>#VALUE!</v>
      </c>
      <c r="B892" t="e">
        <f>Table4[[#This Row],[CATEGORY]]</f>
        <v>#VALUE!</v>
      </c>
      <c r="C892" t="e">
        <f>Table4[[#This Row],[SUB-CATEGORY]]</f>
        <v>#VALUE!</v>
      </c>
      <c r="D892">
        <f>'RJ ATTENDENCE SHEET'!C:C</f>
        <v>0</v>
      </c>
      <c r="E892" t="e">
        <f t="shared" si="189"/>
        <v>#VALUE!</v>
      </c>
      <c r="F892" t="str">
        <f t="shared" si="196"/>
        <v/>
      </c>
      <c r="G892">
        <f>IFERROR(IF(F892=0,"",COUNTIF($F$3:F892,"&gt;0")),"")</f>
        <v>16</v>
      </c>
      <c r="H892" t="str">
        <f t="shared" si="191"/>
        <v/>
      </c>
      <c r="I892" t="str">
        <f t="shared" si="197"/>
        <v/>
      </c>
      <c r="J892">
        <f>IFERROR(IF(I892=0,"",COUNTIF($I$3:I892,"&gt;0")),"")</f>
        <v>34</v>
      </c>
      <c r="K892" t="str">
        <f t="shared" si="192"/>
        <v/>
      </c>
      <c r="L892" t="str">
        <f t="shared" si="198"/>
        <v/>
      </c>
      <c r="M892" t="str">
        <f t="shared" si="199"/>
        <v/>
      </c>
      <c r="N892">
        <f>IFERROR(IF(M892=0,"",COUNTIF($M$3:M892,"&gt;0")),"")</f>
        <v>33</v>
      </c>
      <c r="O892" t="str">
        <f t="shared" si="193"/>
        <v/>
      </c>
      <c r="P892" t="str">
        <f t="shared" si="200"/>
        <v/>
      </c>
      <c r="Q892" t="str">
        <f t="shared" si="201"/>
        <v/>
      </c>
      <c r="R892">
        <f>IFERROR(IF(Q892=0,"",COUNTIF($Q$3:Q892,"&gt;0")),"")</f>
        <v>16</v>
      </c>
      <c r="S892" t="str">
        <f t="shared" si="194"/>
        <v/>
      </c>
      <c r="T892" t="str">
        <f t="shared" si="202"/>
        <v/>
      </c>
      <c r="U892">
        <f>IFERROR(IF(T892=0,"",COUNTIF($T$3:T892,"&gt;0")),"")</f>
        <v>0</v>
      </c>
      <c r="V892" t="str">
        <f t="shared" si="195"/>
        <v/>
      </c>
    </row>
    <row r="893" spans="1:22">
      <c r="A893" t="e">
        <f t="shared" si="190"/>
        <v>#VALUE!</v>
      </c>
      <c r="B893" t="e">
        <f>Table4[[#This Row],[CATEGORY]]</f>
        <v>#VALUE!</v>
      </c>
      <c r="C893" t="e">
        <f>Table4[[#This Row],[SUB-CATEGORY]]</f>
        <v>#VALUE!</v>
      </c>
      <c r="D893">
        <f>'RJ ATTENDENCE SHEET'!C:C</f>
        <v>0</v>
      </c>
      <c r="E893" t="e">
        <f t="shared" si="189"/>
        <v>#VALUE!</v>
      </c>
      <c r="F893" t="str">
        <f t="shared" si="196"/>
        <v/>
      </c>
      <c r="G893">
        <f>IFERROR(IF(F893=0,"",COUNTIF($F$3:F893,"&gt;0")),"")</f>
        <v>16</v>
      </c>
      <c r="H893" t="str">
        <f t="shared" si="191"/>
        <v/>
      </c>
      <c r="I893" t="str">
        <f t="shared" si="197"/>
        <v/>
      </c>
      <c r="J893">
        <f>IFERROR(IF(I893=0,"",COUNTIF($I$3:I893,"&gt;0")),"")</f>
        <v>34</v>
      </c>
      <c r="K893" t="str">
        <f t="shared" si="192"/>
        <v/>
      </c>
      <c r="L893" t="str">
        <f t="shared" si="198"/>
        <v/>
      </c>
      <c r="M893" t="str">
        <f t="shared" si="199"/>
        <v/>
      </c>
      <c r="N893">
        <f>IFERROR(IF(M893=0,"",COUNTIF($M$3:M893,"&gt;0")),"")</f>
        <v>33</v>
      </c>
      <c r="O893" t="str">
        <f t="shared" si="193"/>
        <v/>
      </c>
      <c r="P893" t="str">
        <f t="shared" si="200"/>
        <v/>
      </c>
      <c r="Q893" t="str">
        <f t="shared" si="201"/>
        <v/>
      </c>
      <c r="R893">
        <f>IFERROR(IF(Q893=0,"",COUNTIF($Q$3:Q893,"&gt;0")),"")</f>
        <v>16</v>
      </c>
      <c r="S893" t="str">
        <f t="shared" si="194"/>
        <v/>
      </c>
      <c r="T893" t="str">
        <f t="shared" si="202"/>
        <v/>
      </c>
      <c r="U893">
        <f>IFERROR(IF(T893=0,"",COUNTIF($T$3:T893,"&gt;0")),"")</f>
        <v>0</v>
      </c>
      <c r="V893" t="str">
        <f t="shared" si="195"/>
        <v/>
      </c>
    </row>
    <row r="894" spans="1:22">
      <c r="A894" t="e">
        <f t="shared" si="190"/>
        <v>#VALUE!</v>
      </c>
      <c r="B894" t="e">
        <f>Table4[[#This Row],[CATEGORY]]</f>
        <v>#VALUE!</v>
      </c>
      <c r="C894" t="e">
        <f>Table4[[#This Row],[SUB-CATEGORY]]</f>
        <v>#VALUE!</v>
      </c>
      <c r="D894">
        <f>'RJ ATTENDENCE SHEET'!C:C</f>
        <v>0</v>
      </c>
      <c r="E894" t="e">
        <f t="shared" si="189"/>
        <v>#VALUE!</v>
      </c>
      <c r="F894" t="str">
        <f t="shared" si="196"/>
        <v/>
      </c>
      <c r="G894">
        <f>IFERROR(IF(F894=0,"",COUNTIF($F$3:F894,"&gt;0")),"")</f>
        <v>16</v>
      </c>
      <c r="H894" t="str">
        <f t="shared" si="191"/>
        <v/>
      </c>
      <c r="I894" t="str">
        <f t="shared" si="197"/>
        <v/>
      </c>
      <c r="J894">
        <f>IFERROR(IF(I894=0,"",COUNTIF($I$3:I894,"&gt;0")),"")</f>
        <v>34</v>
      </c>
      <c r="K894" t="str">
        <f t="shared" si="192"/>
        <v/>
      </c>
      <c r="L894" t="str">
        <f t="shared" si="198"/>
        <v/>
      </c>
      <c r="M894" t="str">
        <f t="shared" si="199"/>
        <v/>
      </c>
      <c r="N894">
        <f>IFERROR(IF(M894=0,"",COUNTIF($M$3:M894,"&gt;0")),"")</f>
        <v>33</v>
      </c>
      <c r="O894" t="str">
        <f t="shared" si="193"/>
        <v/>
      </c>
      <c r="P894" t="str">
        <f t="shared" si="200"/>
        <v/>
      </c>
      <c r="Q894" t="str">
        <f t="shared" si="201"/>
        <v/>
      </c>
      <c r="R894">
        <f>IFERROR(IF(Q894=0,"",COUNTIF($Q$3:Q894,"&gt;0")),"")</f>
        <v>16</v>
      </c>
      <c r="S894" t="str">
        <f t="shared" si="194"/>
        <v/>
      </c>
      <c r="T894" t="str">
        <f t="shared" si="202"/>
        <v/>
      </c>
      <c r="U894">
        <f>IFERROR(IF(T894=0,"",COUNTIF($T$3:T894,"&gt;0")),"")</f>
        <v>0</v>
      </c>
      <c r="V894" t="str">
        <f t="shared" si="195"/>
        <v/>
      </c>
    </row>
    <row r="895" spans="1:22">
      <c r="A895" t="e">
        <f t="shared" si="190"/>
        <v>#VALUE!</v>
      </c>
      <c r="B895" t="e">
        <f>Table4[[#This Row],[CATEGORY]]</f>
        <v>#VALUE!</v>
      </c>
      <c r="C895" t="e">
        <f>Table4[[#This Row],[SUB-CATEGORY]]</f>
        <v>#VALUE!</v>
      </c>
      <c r="D895">
        <f>'RJ ATTENDENCE SHEET'!C:C</f>
        <v>0</v>
      </c>
      <c r="E895" t="e">
        <f t="shared" si="189"/>
        <v>#VALUE!</v>
      </c>
      <c r="F895" t="str">
        <f t="shared" si="196"/>
        <v/>
      </c>
      <c r="G895">
        <f>IFERROR(IF(F895=0,"",COUNTIF($F$3:F895,"&gt;0")),"")</f>
        <v>16</v>
      </c>
      <c r="H895" t="str">
        <f t="shared" si="191"/>
        <v/>
      </c>
      <c r="I895" t="str">
        <f t="shared" si="197"/>
        <v/>
      </c>
      <c r="J895">
        <f>IFERROR(IF(I895=0,"",COUNTIF($I$3:I895,"&gt;0")),"")</f>
        <v>34</v>
      </c>
      <c r="K895" t="str">
        <f t="shared" si="192"/>
        <v/>
      </c>
      <c r="L895" t="str">
        <f t="shared" si="198"/>
        <v/>
      </c>
      <c r="M895" t="str">
        <f t="shared" si="199"/>
        <v/>
      </c>
      <c r="N895">
        <f>IFERROR(IF(M895=0,"",COUNTIF($M$3:M895,"&gt;0")),"")</f>
        <v>33</v>
      </c>
      <c r="O895" t="str">
        <f t="shared" si="193"/>
        <v/>
      </c>
      <c r="P895" t="str">
        <f t="shared" si="200"/>
        <v/>
      </c>
      <c r="Q895" t="str">
        <f t="shared" si="201"/>
        <v/>
      </c>
      <c r="R895">
        <f>IFERROR(IF(Q895=0,"",COUNTIF($Q$3:Q895,"&gt;0")),"")</f>
        <v>16</v>
      </c>
      <c r="S895" t="str">
        <f t="shared" si="194"/>
        <v/>
      </c>
      <c r="T895" t="str">
        <f t="shared" si="202"/>
        <v/>
      </c>
      <c r="U895">
        <f>IFERROR(IF(T895=0,"",COUNTIF($T$3:T895,"&gt;0")),"")</f>
        <v>0</v>
      </c>
      <c r="V895" t="str">
        <f t="shared" si="195"/>
        <v/>
      </c>
    </row>
    <row r="896" spans="1:22">
      <c r="A896" t="e">
        <f t="shared" si="190"/>
        <v>#VALUE!</v>
      </c>
      <c r="B896" t="e">
        <f>Table4[[#This Row],[CATEGORY]]</f>
        <v>#VALUE!</v>
      </c>
      <c r="C896" t="e">
        <f>Table4[[#This Row],[SUB-CATEGORY]]</f>
        <v>#VALUE!</v>
      </c>
      <c r="D896">
        <f>'RJ ATTENDENCE SHEET'!C:C</f>
        <v>0</v>
      </c>
      <c r="E896" t="e">
        <f t="shared" si="189"/>
        <v>#VALUE!</v>
      </c>
      <c r="F896" t="str">
        <f t="shared" si="196"/>
        <v/>
      </c>
      <c r="G896">
        <f>IFERROR(IF(F896=0,"",COUNTIF($F$3:F896,"&gt;0")),"")</f>
        <v>16</v>
      </c>
      <c r="H896" t="str">
        <f t="shared" si="191"/>
        <v/>
      </c>
      <c r="I896" t="str">
        <f t="shared" si="197"/>
        <v/>
      </c>
      <c r="J896">
        <f>IFERROR(IF(I896=0,"",COUNTIF($I$3:I896,"&gt;0")),"")</f>
        <v>34</v>
      </c>
      <c r="K896" t="str">
        <f t="shared" si="192"/>
        <v/>
      </c>
      <c r="L896" t="str">
        <f t="shared" si="198"/>
        <v/>
      </c>
      <c r="M896" t="str">
        <f t="shared" si="199"/>
        <v/>
      </c>
      <c r="N896">
        <f>IFERROR(IF(M896=0,"",COUNTIF($M$3:M896,"&gt;0")),"")</f>
        <v>33</v>
      </c>
      <c r="O896" t="str">
        <f t="shared" si="193"/>
        <v/>
      </c>
      <c r="P896" t="str">
        <f t="shared" si="200"/>
        <v/>
      </c>
      <c r="Q896" t="str">
        <f t="shared" si="201"/>
        <v/>
      </c>
      <c r="R896">
        <f>IFERROR(IF(Q896=0,"",COUNTIF($Q$3:Q896,"&gt;0")),"")</f>
        <v>16</v>
      </c>
      <c r="S896" t="str">
        <f t="shared" si="194"/>
        <v/>
      </c>
      <c r="T896" t="str">
        <f t="shared" si="202"/>
        <v/>
      </c>
      <c r="U896">
        <f>IFERROR(IF(T896=0,"",COUNTIF($T$3:T896,"&gt;0")),"")</f>
        <v>0</v>
      </c>
      <c r="V896" t="str">
        <f t="shared" si="195"/>
        <v/>
      </c>
    </row>
    <row r="897" spans="1:22">
      <c r="A897" t="e">
        <f t="shared" si="190"/>
        <v>#VALUE!</v>
      </c>
      <c r="B897" t="e">
        <f>Table4[[#This Row],[CATEGORY]]</f>
        <v>#VALUE!</v>
      </c>
      <c r="C897" t="e">
        <f>Table4[[#This Row],[SUB-CATEGORY]]</f>
        <v>#VALUE!</v>
      </c>
      <c r="D897">
        <f>'RJ ATTENDENCE SHEET'!C:C</f>
        <v>0</v>
      </c>
      <c r="E897" t="e">
        <f t="shared" si="189"/>
        <v>#VALUE!</v>
      </c>
      <c r="F897" t="str">
        <f t="shared" si="196"/>
        <v/>
      </c>
      <c r="G897">
        <f>IFERROR(IF(F897=0,"",COUNTIF($F$3:F897,"&gt;0")),"")</f>
        <v>16</v>
      </c>
      <c r="H897" t="str">
        <f t="shared" si="191"/>
        <v/>
      </c>
      <c r="I897" t="str">
        <f t="shared" si="197"/>
        <v/>
      </c>
      <c r="J897">
        <f>IFERROR(IF(I897=0,"",COUNTIF($I$3:I897,"&gt;0")),"")</f>
        <v>34</v>
      </c>
      <c r="K897" t="str">
        <f t="shared" si="192"/>
        <v/>
      </c>
      <c r="L897" t="str">
        <f t="shared" si="198"/>
        <v/>
      </c>
      <c r="M897" t="str">
        <f t="shared" si="199"/>
        <v/>
      </c>
      <c r="N897">
        <f>IFERROR(IF(M897=0,"",COUNTIF($M$3:M897,"&gt;0")),"")</f>
        <v>33</v>
      </c>
      <c r="O897" t="str">
        <f t="shared" si="193"/>
        <v/>
      </c>
      <c r="P897" t="str">
        <f t="shared" si="200"/>
        <v/>
      </c>
      <c r="Q897" t="str">
        <f t="shared" si="201"/>
        <v/>
      </c>
      <c r="R897">
        <f>IFERROR(IF(Q897=0,"",COUNTIF($Q$3:Q897,"&gt;0")),"")</f>
        <v>16</v>
      </c>
      <c r="S897" t="str">
        <f t="shared" si="194"/>
        <v/>
      </c>
      <c r="T897" t="str">
        <f t="shared" si="202"/>
        <v/>
      </c>
      <c r="U897">
        <f>IFERROR(IF(T897=0,"",COUNTIF($T$3:T897,"&gt;0")),"")</f>
        <v>0</v>
      </c>
      <c r="V897" t="str">
        <f t="shared" si="195"/>
        <v/>
      </c>
    </row>
    <row r="898" spans="1:22">
      <c r="A898" t="e">
        <f t="shared" si="190"/>
        <v>#VALUE!</v>
      </c>
      <c r="B898" t="e">
        <f>Table4[[#This Row],[CATEGORY]]</f>
        <v>#VALUE!</v>
      </c>
      <c r="C898" t="e">
        <f>Table4[[#This Row],[SUB-CATEGORY]]</f>
        <v>#VALUE!</v>
      </c>
      <c r="D898">
        <f>'RJ ATTENDENCE SHEET'!C:C</f>
        <v>0</v>
      </c>
      <c r="E898" t="e">
        <f t="shared" ref="E898:E961" si="203">C898</f>
        <v>#VALUE!</v>
      </c>
      <c r="F898" t="str">
        <f t="shared" si="196"/>
        <v/>
      </c>
      <c r="G898">
        <f>IFERROR(IF(F898=0,"",COUNTIF($F$3:F898,"&gt;0")),"")</f>
        <v>16</v>
      </c>
      <c r="H898" t="str">
        <f t="shared" si="191"/>
        <v/>
      </c>
      <c r="I898" t="str">
        <f t="shared" si="197"/>
        <v/>
      </c>
      <c r="J898">
        <f>IFERROR(IF(I898=0,"",COUNTIF($I$3:I898,"&gt;0")),"")</f>
        <v>34</v>
      </c>
      <c r="K898" t="str">
        <f t="shared" si="192"/>
        <v/>
      </c>
      <c r="L898" t="str">
        <f t="shared" si="198"/>
        <v/>
      </c>
      <c r="M898" t="str">
        <f t="shared" si="199"/>
        <v/>
      </c>
      <c r="N898">
        <f>IFERROR(IF(M898=0,"",COUNTIF($M$3:M898,"&gt;0")),"")</f>
        <v>33</v>
      </c>
      <c r="O898" t="str">
        <f t="shared" si="193"/>
        <v/>
      </c>
      <c r="P898" t="str">
        <f t="shared" si="200"/>
        <v/>
      </c>
      <c r="Q898" t="str">
        <f t="shared" si="201"/>
        <v/>
      </c>
      <c r="R898">
        <f>IFERROR(IF(Q898=0,"",COUNTIF($Q$3:Q898,"&gt;0")),"")</f>
        <v>16</v>
      </c>
      <c r="S898" t="str">
        <f t="shared" si="194"/>
        <v/>
      </c>
      <c r="T898" t="str">
        <f t="shared" si="202"/>
        <v/>
      </c>
      <c r="U898">
        <f>IFERROR(IF(T898=0,"",COUNTIF($T$3:T898,"&gt;0")),"")</f>
        <v>0</v>
      </c>
      <c r="V898" t="str">
        <f t="shared" si="195"/>
        <v/>
      </c>
    </row>
    <row r="899" spans="1:22">
      <c r="A899" t="e">
        <f t="shared" ref="A899:A962" si="204">CONCATENATE(B899,C899,D899)</f>
        <v>#VALUE!</v>
      </c>
      <c r="B899" t="e">
        <f>Table4[[#This Row],[CATEGORY]]</f>
        <v>#VALUE!</v>
      </c>
      <c r="C899" t="e">
        <f>Table4[[#This Row],[SUB-CATEGORY]]</f>
        <v>#VALUE!</v>
      </c>
      <c r="D899">
        <f>'RJ ATTENDENCE SHEET'!C:C</f>
        <v>0</v>
      </c>
      <c r="E899" t="e">
        <f t="shared" si="203"/>
        <v>#VALUE!</v>
      </c>
      <c r="F899" t="str">
        <f t="shared" si="196"/>
        <v/>
      </c>
      <c r="G899">
        <f>IFERROR(IF(F899=0,"",COUNTIF($F$3:F899,"&gt;0")),"")</f>
        <v>16</v>
      </c>
      <c r="H899" t="str">
        <f t="shared" ref="H899:H962" si="205">IFERROR(VLOOKUP(INDEX($A:$A,MATCH(ROW(F897),G:G,0)),$A:$D,4,0),"")</f>
        <v/>
      </c>
      <c r="I899" t="str">
        <f t="shared" si="197"/>
        <v/>
      </c>
      <c r="J899">
        <f>IFERROR(IF(I899=0,"",COUNTIF($I$3:I899,"&gt;0")),"")</f>
        <v>34</v>
      </c>
      <c r="K899" t="str">
        <f t="shared" ref="K899:K962" si="206">IFERROR(VLOOKUP(INDEX($A:$A,MATCH(ROW(I897),J:J,0)),$A:$D,4,0),"")</f>
        <v/>
      </c>
      <c r="L899" t="str">
        <f t="shared" si="198"/>
        <v/>
      </c>
      <c r="M899" t="str">
        <f t="shared" si="199"/>
        <v/>
      </c>
      <c r="N899">
        <f>IFERROR(IF(M899=0,"",COUNTIF($M$3:M899,"&gt;0")),"")</f>
        <v>33</v>
      </c>
      <c r="O899" t="str">
        <f t="shared" ref="O899:O962" si="207">IFERROR(VLOOKUP(INDEX($A:$A,MATCH(ROW(M897),N:N,0)),$A:$D,4,0),"")</f>
        <v/>
      </c>
      <c r="P899" t="str">
        <f t="shared" si="200"/>
        <v/>
      </c>
      <c r="Q899" t="str">
        <f t="shared" si="201"/>
        <v/>
      </c>
      <c r="R899">
        <f>IFERROR(IF(Q899=0,"",COUNTIF($Q$3:Q899,"&gt;0")),"")</f>
        <v>16</v>
      </c>
      <c r="S899" t="str">
        <f t="shared" ref="S899:S962" si="208">IFERROR(VLOOKUP(INDEX($A:$A,MATCH(ROW(Q897),R:R,0)),$A:$D,4,0),"")</f>
        <v/>
      </c>
      <c r="T899" t="str">
        <f t="shared" si="202"/>
        <v/>
      </c>
      <c r="U899">
        <f>IFERROR(IF(T899=0,"",COUNTIF($T$3:T899,"&gt;0")),"")</f>
        <v>0</v>
      </c>
      <c r="V899" t="str">
        <f t="shared" ref="V899:V962" si="209">IFERROR(VLOOKUP(INDEX($A:$A,MATCH(ROW(T897),U:U,0)),$A:$D,4,0),"")</f>
        <v/>
      </c>
    </row>
    <row r="900" spans="1:22">
      <c r="A900" t="e">
        <f t="shared" si="204"/>
        <v>#VALUE!</v>
      </c>
      <c r="B900" t="e">
        <f>Table4[[#This Row],[CATEGORY]]</f>
        <v>#VALUE!</v>
      </c>
      <c r="C900" t="e">
        <f>Table4[[#This Row],[SUB-CATEGORY]]</f>
        <v>#VALUE!</v>
      </c>
      <c r="D900">
        <f>'RJ ATTENDENCE SHEET'!C:C</f>
        <v>0</v>
      </c>
      <c r="E900" t="e">
        <f t="shared" si="203"/>
        <v>#VALUE!</v>
      </c>
      <c r="F900" t="str">
        <f t="shared" ref="F900:F963" si="210">IFERROR(SEARCH("SALARYOFFICE",$A:$A),"")</f>
        <v/>
      </c>
      <c r="G900">
        <f>IFERROR(IF(F900=0,"",COUNTIF($F$3:F900,"&gt;0")),"")</f>
        <v>16</v>
      </c>
      <c r="H900" t="str">
        <f t="shared" si="205"/>
        <v/>
      </c>
      <c r="I900" t="str">
        <f t="shared" ref="I900:I963" si="211">IFERROR(SEARCH("WAGES",$A:$A),"")</f>
        <v/>
      </c>
      <c r="J900">
        <f>IFERROR(IF(I900=0,"",COUNTIF($I$3:I900,"&gt;0")),"")</f>
        <v>34</v>
      </c>
      <c r="K900" t="str">
        <f t="shared" si="206"/>
        <v/>
      </c>
      <c r="L900" t="str">
        <f t="shared" ref="L900:L963" si="212">IFERROR(VLOOKUP(K900,$D:$E,2,0),"")</f>
        <v/>
      </c>
      <c r="M900" t="str">
        <f t="shared" ref="M900:M963" si="213">IFERROR(SEARCH("CONTRACT",$A:$A),"")</f>
        <v/>
      </c>
      <c r="N900">
        <f>IFERROR(IF(M900=0,"",COUNTIF($M$3:M900,"&gt;0")),"")</f>
        <v>33</v>
      </c>
      <c r="O900" t="str">
        <f t="shared" si="207"/>
        <v/>
      </c>
      <c r="P900" t="str">
        <f t="shared" ref="P900:P963" si="214">IFERROR(VLOOKUP(O900,$D:$E,2,0),"")</f>
        <v/>
      </c>
      <c r="Q900" t="str">
        <f t="shared" ref="Q900:Q963" si="215">IFERROR(SEARCH("SALARY",$A:$A),"")</f>
        <v/>
      </c>
      <c r="R900">
        <f>IFERROR(IF(Q900=0,"",COUNTIF($Q$3:Q900,"&gt;0")),"")</f>
        <v>16</v>
      </c>
      <c r="S900" t="str">
        <f t="shared" si="208"/>
        <v/>
      </c>
      <c r="T900" t="str">
        <f t="shared" ref="T900:T963" si="216">IFERROR(SEARCH("OTHERS0",$A:$A),"")</f>
        <v/>
      </c>
      <c r="U900">
        <f>IFERROR(IF(T900=0,"",COUNTIF($T$3:T900,"&gt;0")),"")</f>
        <v>0</v>
      </c>
      <c r="V900" t="str">
        <f t="shared" si="209"/>
        <v/>
      </c>
    </row>
    <row r="901" spans="1:22">
      <c r="A901" t="e">
        <f t="shared" si="204"/>
        <v>#VALUE!</v>
      </c>
      <c r="B901" t="e">
        <f>Table4[[#This Row],[CATEGORY]]</f>
        <v>#VALUE!</v>
      </c>
      <c r="C901" t="e">
        <f>Table4[[#This Row],[SUB-CATEGORY]]</f>
        <v>#VALUE!</v>
      </c>
      <c r="D901">
        <f>'RJ ATTENDENCE SHEET'!C:C</f>
        <v>0</v>
      </c>
      <c r="E901" t="e">
        <f t="shared" si="203"/>
        <v>#VALUE!</v>
      </c>
      <c r="F901" t="str">
        <f t="shared" si="210"/>
        <v/>
      </c>
      <c r="G901">
        <f>IFERROR(IF(F901=0,"",COUNTIF($F$3:F901,"&gt;0")),"")</f>
        <v>16</v>
      </c>
      <c r="H901" t="str">
        <f t="shared" si="205"/>
        <v/>
      </c>
      <c r="I901" t="str">
        <f t="shared" si="211"/>
        <v/>
      </c>
      <c r="J901">
        <f>IFERROR(IF(I901=0,"",COUNTIF($I$3:I901,"&gt;0")),"")</f>
        <v>34</v>
      </c>
      <c r="K901" t="str">
        <f t="shared" si="206"/>
        <v/>
      </c>
      <c r="L901" t="str">
        <f t="shared" si="212"/>
        <v/>
      </c>
      <c r="M901" t="str">
        <f t="shared" si="213"/>
        <v/>
      </c>
      <c r="N901">
        <f>IFERROR(IF(M901=0,"",COUNTIF($M$3:M901,"&gt;0")),"")</f>
        <v>33</v>
      </c>
      <c r="O901" t="str">
        <f t="shared" si="207"/>
        <v/>
      </c>
      <c r="P901" t="str">
        <f t="shared" si="214"/>
        <v/>
      </c>
      <c r="Q901" t="str">
        <f t="shared" si="215"/>
        <v/>
      </c>
      <c r="R901">
        <f>IFERROR(IF(Q901=0,"",COUNTIF($Q$3:Q901,"&gt;0")),"")</f>
        <v>16</v>
      </c>
      <c r="S901" t="str">
        <f t="shared" si="208"/>
        <v/>
      </c>
      <c r="T901" t="str">
        <f t="shared" si="216"/>
        <v/>
      </c>
      <c r="U901">
        <f>IFERROR(IF(T901=0,"",COUNTIF($T$3:T901,"&gt;0")),"")</f>
        <v>0</v>
      </c>
      <c r="V901" t="str">
        <f t="shared" si="209"/>
        <v/>
      </c>
    </row>
    <row r="902" spans="1:22">
      <c r="A902" t="e">
        <f t="shared" si="204"/>
        <v>#VALUE!</v>
      </c>
      <c r="B902" t="e">
        <f>Table4[[#This Row],[CATEGORY]]</f>
        <v>#VALUE!</v>
      </c>
      <c r="C902" t="e">
        <f>Table4[[#This Row],[SUB-CATEGORY]]</f>
        <v>#VALUE!</v>
      </c>
      <c r="D902">
        <f>'RJ ATTENDENCE SHEET'!C:C</f>
        <v>0</v>
      </c>
      <c r="E902" t="e">
        <f t="shared" si="203"/>
        <v>#VALUE!</v>
      </c>
      <c r="F902" t="str">
        <f t="shared" si="210"/>
        <v/>
      </c>
      <c r="G902">
        <f>IFERROR(IF(F902=0,"",COUNTIF($F$3:F902,"&gt;0")),"")</f>
        <v>16</v>
      </c>
      <c r="H902" t="str">
        <f t="shared" si="205"/>
        <v/>
      </c>
      <c r="I902" t="str">
        <f t="shared" si="211"/>
        <v/>
      </c>
      <c r="J902">
        <f>IFERROR(IF(I902=0,"",COUNTIF($I$3:I902,"&gt;0")),"")</f>
        <v>34</v>
      </c>
      <c r="K902" t="str">
        <f t="shared" si="206"/>
        <v/>
      </c>
      <c r="L902" t="str">
        <f t="shared" si="212"/>
        <v/>
      </c>
      <c r="M902" t="str">
        <f t="shared" si="213"/>
        <v/>
      </c>
      <c r="N902">
        <f>IFERROR(IF(M902=0,"",COUNTIF($M$3:M902,"&gt;0")),"")</f>
        <v>33</v>
      </c>
      <c r="O902" t="str">
        <f t="shared" si="207"/>
        <v/>
      </c>
      <c r="P902" t="str">
        <f t="shared" si="214"/>
        <v/>
      </c>
      <c r="Q902" t="str">
        <f t="shared" si="215"/>
        <v/>
      </c>
      <c r="R902">
        <f>IFERROR(IF(Q902=0,"",COUNTIF($Q$3:Q902,"&gt;0")),"")</f>
        <v>16</v>
      </c>
      <c r="S902" t="str">
        <f t="shared" si="208"/>
        <v/>
      </c>
      <c r="T902" t="str">
        <f t="shared" si="216"/>
        <v/>
      </c>
      <c r="U902">
        <f>IFERROR(IF(T902=0,"",COUNTIF($T$3:T902,"&gt;0")),"")</f>
        <v>0</v>
      </c>
      <c r="V902" t="str">
        <f t="shared" si="209"/>
        <v/>
      </c>
    </row>
    <row r="903" spans="1:22">
      <c r="A903" t="e">
        <f t="shared" si="204"/>
        <v>#VALUE!</v>
      </c>
      <c r="B903" t="e">
        <f>Table4[[#This Row],[CATEGORY]]</f>
        <v>#VALUE!</v>
      </c>
      <c r="C903" t="e">
        <f>Table4[[#This Row],[SUB-CATEGORY]]</f>
        <v>#VALUE!</v>
      </c>
      <c r="D903">
        <f>'RJ ATTENDENCE SHEET'!C:C</f>
        <v>0</v>
      </c>
      <c r="E903" t="e">
        <f t="shared" si="203"/>
        <v>#VALUE!</v>
      </c>
      <c r="F903" t="str">
        <f t="shared" si="210"/>
        <v/>
      </c>
      <c r="G903">
        <f>IFERROR(IF(F903=0,"",COUNTIF($F$3:F903,"&gt;0")),"")</f>
        <v>16</v>
      </c>
      <c r="H903" t="str">
        <f t="shared" si="205"/>
        <v/>
      </c>
      <c r="I903" t="str">
        <f t="shared" si="211"/>
        <v/>
      </c>
      <c r="J903">
        <f>IFERROR(IF(I903=0,"",COUNTIF($I$3:I903,"&gt;0")),"")</f>
        <v>34</v>
      </c>
      <c r="K903" t="str">
        <f t="shared" si="206"/>
        <v/>
      </c>
      <c r="L903" t="str">
        <f t="shared" si="212"/>
        <v/>
      </c>
      <c r="M903" t="str">
        <f t="shared" si="213"/>
        <v/>
      </c>
      <c r="N903">
        <f>IFERROR(IF(M903=0,"",COUNTIF($M$3:M903,"&gt;0")),"")</f>
        <v>33</v>
      </c>
      <c r="O903" t="str">
        <f t="shared" si="207"/>
        <v/>
      </c>
      <c r="P903" t="str">
        <f t="shared" si="214"/>
        <v/>
      </c>
      <c r="Q903" t="str">
        <f t="shared" si="215"/>
        <v/>
      </c>
      <c r="R903">
        <f>IFERROR(IF(Q903=0,"",COUNTIF($Q$3:Q903,"&gt;0")),"")</f>
        <v>16</v>
      </c>
      <c r="S903" t="str">
        <f t="shared" si="208"/>
        <v/>
      </c>
      <c r="T903" t="str">
        <f t="shared" si="216"/>
        <v/>
      </c>
      <c r="U903">
        <f>IFERROR(IF(T903=0,"",COUNTIF($T$3:T903,"&gt;0")),"")</f>
        <v>0</v>
      </c>
      <c r="V903" t="str">
        <f t="shared" si="209"/>
        <v/>
      </c>
    </row>
    <row r="904" spans="1:22">
      <c r="A904" t="e">
        <f t="shared" si="204"/>
        <v>#VALUE!</v>
      </c>
      <c r="B904" t="e">
        <f>Table4[[#This Row],[CATEGORY]]</f>
        <v>#VALUE!</v>
      </c>
      <c r="C904" t="e">
        <f>Table4[[#This Row],[SUB-CATEGORY]]</f>
        <v>#VALUE!</v>
      </c>
      <c r="D904">
        <f>'RJ ATTENDENCE SHEET'!C:C</f>
        <v>0</v>
      </c>
      <c r="E904" t="e">
        <f t="shared" si="203"/>
        <v>#VALUE!</v>
      </c>
      <c r="F904" t="str">
        <f t="shared" si="210"/>
        <v/>
      </c>
      <c r="G904">
        <f>IFERROR(IF(F904=0,"",COUNTIF($F$3:F904,"&gt;0")),"")</f>
        <v>16</v>
      </c>
      <c r="H904" t="str">
        <f t="shared" si="205"/>
        <v/>
      </c>
      <c r="I904" t="str">
        <f t="shared" si="211"/>
        <v/>
      </c>
      <c r="J904">
        <f>IFERROR(IF(I904=0,"",COUNTIF($I$3:I904,"&gt;0")),"")</f>
        <v>34</v>
      </c>
      <c r="K904" t="str">
        <f t="shared" si="206"/>
        <v/>
      </c>
      <c r="L904" t="str">
        <f t="shared" si="212"/>
        <v/>
      </c>
      <c r="M904" t="str">
        <f t="shared" si="213"/>
        <v/>
      </c>
      <c r="N904">
        <f>IFERROR(IF(M904=0,"",COUNTIF($M$3:M904,"&gt;0")),"")</f>
        <v>33</v>
      </c>
      <c r="O904" t="str">
        <f t="shared" si="207"/>
        <v/>
      </c>
      <c r="P904" t="str">
        <f t="shared" si="214"/>
        <v/>
      </c>
      <c r="Q904" t="str">
        <f t="shared" si="215"/>
        <v/>
      </c>
      <c r="R904">
        <f>IFERROR(IF(Q904=0,"",COUNTIF($Q$3:Q904,"&gt;0")),"")</f>
        <v>16</v>
      </c>
      <c r="S904" t="str">
        <f t="shared" si="208"/>
        <v/>
      </c>
      <c r="T904" t="str">
        <f t="shared" si="216"/>
        <v/>
      </c>
      <c r="U904">
        <f>IFERROR(IF(T904=0,"",COUNTIF($T$3:T904,"&gt;0")),"")</f>
        <v>0</v>
      </c>
      <c r="V904" t="str">
        <f t="shared" si="209"/>
        <v/>
      </c>
    </row>
    <row r="905" spans="1:22">
      <c r="A905" t="e">
        <f t="shared" si="204"/>
        <v>#VALUE!</v>
      </c>
      <c r="B905" t="e">
        <f>Table4[[#This Row],[CATEGORY]]</f>
        <v>#VALUE!</v>
      </c>
      <c r="C905" t="e">
        <f>Table4[[#This Row],[SUB-CATEGORY]]</f>
        <v>#VALUE!</v>
      </c>
      <c r="D905">
        <f>'RJ ATTENDENCE SHEET'!C:C</f>
        <v>0</v>
      </c>
      <c r="E905" t="e">
        <f t="shared" si="203"/>
        <v>#VALUE!</v>
      </c>
      <c r="F905" t="str">
        <f t="shared" si="210"/>
        <v/>
      </c>
      <c r="G905">
        <f>IFERROR(IF(F905=0,"",COUNTIF($F$3:F905,"&gt;0")),"")</f>
        <v>16</v>
      </c>
      <c r="H905" t="str">
        <f t="shared" si="205"/>
        <v/>
      </c>
      <c r="I905" t="str">
        <f t="shared" si="211"/>
        <v/>
      </c>
      <c r="J905">
        <f>IFERROR(IF(I905=0,"",COUNTIF($I$3:I905,"&gt;0")),"")</f>
        <v>34</v>
      </c>
      <c r="K905" t="str">
        <f t="shared" si="206"/>
        <v/>
      </c>
      <c r="L905" t="str">
        <f t="shared" si="212"/>
        <v/>
      </c>
      <c r="M905" t="str">
        <f t="shared" si="213"/>
        <v/>
      </c>
      <c r="N905">
        <f>IFERROR(IF(M905=0,"",COUNTIF($M$3:M905,"&gt;0")),"")</f>
        <v>33</v>
      </c>
      <c r="O905" t="str">
        <f t="shared" si="207"/>
        <v/>
      </c>
      <c r="P905" t="str">
        <f t="shared" si="214"/>
        <v/>
      </c>
      <c r="Q905" t="str">
        <f t="shared" si="215"/>
        <v/>
      </c>
      <c r="R905">
        <f>IFERROR(IF(Q905=0,"",COUNTIF($Q$3:Q905,"&gt;0")),"")</f>
        <v>16</v>
      </c>
      <c r="S905" t="str">
        <f t="shared" si="208"/>
        <v/>
      </c>
      <c r="T905" t="str">
        <f t="shared" si="216"/>
        <v/>
      </c>
      <c r="U905">
        <f>IFERROR(IF(T905=0,"",COUNTIF($T$3:T905,"&gt;0")),"")</f>
        <v>0</v>
      </c>
      <c r="V905" t="str">
        <f t="shared" si="209"/>
        <v/>
      </c>
    </row>
    <row r="906" spans="1:22">
      <c r="A906" t="e">
        <f t="shared" si="204"/>
        <v>#VALUE!</v>
      </c>
      <c r="B906" t="e">
        <f>Table4[[#This Row],[CATEGORY]]</f>
        <v>#VALUE!</v>
      </c>
      <c r="C906" t="e">
        <f>Table4[[#This Row],[SUB-CATEGORY]]</f>
        <v>#VALUE!</v>
      </c>
      <c r="D906">
        <f>'RJ ATTENDENCE SHEET'!C:C</f>
        <v>0</v>
      </c>
      <c r="E906" t="e">
        <f t="shared" si="203"/>
        <v>#VALUE!</v>
      </c>
      <c r="F906" t="str">
        <f t="shared" si="210"/>
        <v/>
      </c>
      <c r="G906">
        <f>IFERROR(IF(F906=0,"",COUNTIF($F$3:F906,"&gt;0")),"")</f>
        <v>16</v>
      </c>
      <c r="H906" t="str">
        <f t="shared" si="205"/>
        <v/>
      </c>
      <c r="I906" t="str">
        <f t="shared" si="211"/>
        <v/>
      </c>
      <c r="J906">
        <f>IFERROR(IF(I906=0,"",COUNTIF($I$3:I906,"&gt;0")),"")</f>
        <v>34</v>
      </c>
      <c r="K906" t="str">
        <f t="shared" si="206"/>
        <v/>
      </c>
      <c r="L906" t="str">
        <f t="shared" si="212"/>
        <v/>
      </c>
      <c r="M906" t="str">
        <f t="shared" si="213"/>
        <v/>
      </c>
      <c r="N906">
        <f>IFERROR(IF(M906=0,"",COUNTIF($M$3:M906,"&gt;0")),"")</f>
        <v>33</v>
      </c>
      <c r="O906" t="str">
        <f t="shared" si="207"/>
        <v/>
      </c>
      <c r="P906" t="str">
        <f t="shared" si="214"/>
        <v/>
      </c>
      <c r="Q906" t="str">
        <f t="shared" si="215"/>
        <v/>
      </c>
      <c r="R906">
        <f>IFERROR(IF(Q906=0,"",COUNTIF($Q$3:Q906,"&gt;0")),"")</f>
        <v>16</v>
      </c>
      <c r="S906" t="str">
        <f t="shared" si="208"/>
        <v/>
      </c>
      <c r="T906" t="str">
        <f t="shared" si="216"/>
        <v/>
      </c>
      <c r="U906">
        <f>IFERROR(IF(T906=0,"",COUNTIF($T$3:T906,"&gt;0")),"")</f>
        <v>0</v>
      </c>
      <c r="V906" t="str">
        <f t="shared" si="209"/>
        <v/>
      </c>
    </row>
    <row r="907" spans="1:22">
      <c r="A907" t="e">
        <f t="shared" si="204"/>
        <v>#VALUE!</v>
      </c>
      <c r="B907" t="e">
        <f>Table4[[#This Row],[CATEGORY]]</f>
        <v>#VALUE!</v>
      </c>
      <c r="C907" t="e">
        <f>Table4[[#This Row],[SUB-CATEGORY]]</f>
        <v>#VALUE!</v>
      </c>
      <c r="D907">
        <f>'RJ ATTENDENCE SHEET'!C:C</f>
        <v>0</v>
      </c>
      <c r="E907" t="e">
        <f t="shared" si="203"/>
        <v>#VALUE!</v>
      </c>
      <c r="F907" t="str">
        <f t="shared" si="210"/>
        <v/>
      </c>
      <c r="G907">
        <f>IFERROR(IF(F907=0,"",COUNTIF($F$3:F907,"&gt;0")),"")</f>
        <v>16</v>
      </c>
      <c r="H907" t="str">
        <f t="shared" si="205"/>
        <v/>
      </c>
      <c r="I907" t="str">
        <f t="shared" si="211"/>
        <v/>
      </c>
      <c r="J907">
        <f>IFERROR(IF(I907=0,"",COUNTIF($I$3:I907,"&gt;0")),"")</f>
        <v>34</v>
      </c>
      <c r="K907" t="str">
        <f t="shared" si="206"/>
        <v/>
      </c>
      <c r="L907" t="str">
        <f t="shared" si="212"/>
        <v/>
      </c>
      <c r="M907" t="str">
        <f t="shared" si="213"/>
        <v/>
      </c>
      <c r="N907">
        <f>IFERROR(IF(M907=0,"",COUNTIF($M$3:M907,"&gt;0")),"")</f>
        <v>33</v>
      </c>
      <c r="O907" t="str">
        <f t="shared" si="207"/>
        <v/>
      </c>
      <c r="P907" t="str">
        <f t="shared" si="214"/>
        <v/>
      </c>
      <c r="Q907" t="str">
        <f t="shared" si="215"/>
        <v/>
      </c>
      <c r="R907">
        <f>IFERROR(IF(Q907=0,"",COUNTIF($Q$3:Q907,"&gt;0")),"")</f>
        <v>16</v>
      </c>
      <c r="S907" t="str">
        <f t="shared" si="208"/>
        <v/>
      </c>
      <c r="T907" t="str">
        <f t="shared" si="216"/>
        <v/>
      </c>
      <c r="U907">
        <f>IFERROR(IF(T907=0,"",COUNTIF($T$3:T907,"&gt;0")),"")</f>
        <v>0</v>
      </c>
      <c r="V907" t="str">
        <f t="shared" si="209"/>
        <v/>
      </c>
    </row>
    <row r="908" spans="1:22">
      <c r="A908" t="e">
        <f t="shared" si="204"/>
        <v>#VALUE!</v>
      </c>
      <c r="B908" t="e">
        <f>Table4[[#This Row],[CATEGORY]]</f>
        <v>#VALUE!</v>
      </c>
      <c r="C908" t="e">
        <f>Table4[[#This Row],[SUB-CATEGORY]]</f>
        <v>#VALUE!</v>
      </c>
      <c r="D908">
        <f>'RJ ATTENDENCE SHEET'!C:C</f>
        <v>0</v>
      </c>
      <c r="E908" t="e">
        <f t="shared" si="203"/>
        <v>#VALUE!</v>
      </c>
      <c r="F908" t="str">
        <f t="shared" si="210"/>
        <v/>
      </c>
      <c r="G908">
        <f>IFERROR(IF(F908=0,"",COUNTIF($F$3:F908,"&gt;0")),"")</f>
        <v>16</v>
      </c>
      <c r="H908" t="str">
        <f t="shared" si="205"/>
        <v/>
      </c>
      <c r="I908" t="str">
        <f t="shared" si="211"/>
        <v/>
      </c>
      <c r="J908">
        <f>IFERROR(IF(I908=0,"",COUNTIF($I$3:I908,"&gt;0")),"")</f>
        <v>34</v>
      </c>
      <c r="K908" t="str">
        <f t="shared" si="206"/>
        <v/>
      </c>
      <c r="L908" t="str">
        <f t="shared" si="212"/>
        <v/>
      </c>
      <c r="M908" t="str">
        <f t="shared" si="213"/>
        <v/>
      </c>
      <c r="N908">
        <f>IFERROR(IF(M908=0,"",COUNTIF($M$3:M908,"&gt;0")),"")</f>
        <v>33</v>
      </c>
      <c r="O908" t="str">
        <f t="shared" si="207"/>
        <v/>
      </c>
      <c r="P908" t="str">
        <f t="shared" si="214"/>
        <v/>
      </c>
      <c r="Q908" t="str">
        <f t="shared" si="215"/>
        <v/>
      </c>
      <c r="R908">
        <f>IFERROR(IF(Q908=0,"",COUNTIF($Q$3:Q908,"&gt;0")),"")</f>
        <v>16</v>
      </c>
      <c r="S908" t="str">
        <f t="shared" si="208"/>
        <v/>
      </c>
      <c r="T908" t="str">
        <f t="shared" si="216"/>
        <v/>
      </c>
      <c r="U908">
        <f>IFERROR(IF(T908=0,"",COUNTIF($T$3:T908,"&gt;0")),"")</f>
        <v>0</v>
      </c>
      <c r="V908" t="str">
        <f t="shared" si="209"/>
        <v/>
      </c>
    </row>
    <row r="909" spans="1:22">
      <c r="A909" t="e">
        <f t="shared" si="204"/>
        <v>#VALUE!</v>
      </c>
      <c r="B909" t="e">
        <f>Table4[[#This Row],[CATEGORY]]</f>
        <v>#VALUE!</v>
      </c>
      <c r="C909" t="e">
        <f>Table4[[#This Row],[SUB-CATEGORY]]</f>
        <v>#VALUE!</v>
      </c>
      <c r="D909">
        <f>'RJ ATTENDENCE SHEET'!C:C</f>
        <v>0</v>
      </c>
      <c r="E909" t="e">
        <f t="shared" si="203"/>
        <v>#VALUE!</v>
      </c>
      <c r="F909" t="str">
        <f t="shared" si="210"/>
        <v/>
      </c>
      <c r="G909">
        <f>IFERROR(IF(F909=0,"",COUNTIF($F$3:F909,"&gt;0")),"")</f>
        <v>16</v>
      </c>
      <c r="H909" t="str">
        <f t="shared" si="205"/>
        <v/>
      </c>
      <c r="I909" t="str">
        <f t="shared" si="211"/>
        <v/>
      </c>
      <c r="J909">
        <f>IFERROR(IF(I909=0,"",COUNTIF($I$3:I909,"&gt;0")),"")</f>
        <v>34</v>
      </c>
      <c r="K909" t="str">
        <f t="shared" si="206"/>
        <v/>
      </c>
      <c r="L909" t="str">
        <f t="shared" si="212"/>
        <v/>
      </c>
      <c r="M909" t="str">
        <f t="shared" si="213"/>
        <v/>
      </c>
      <c r="N909">
        <f>IFERROR(IF(M909=0,"",COUNTIF($M$3:M909,"&gt;0")),"")</f>
        <v>33</v>
      </c>
      <c r="O909" t="str">
        <f t="shared" si="207"/>
        <v/>
      </c>
      <c r="P909" t="str">
        <f t="shared" si="214"/>
        <v/>
      </c>
      <c r="Q909" t="str">
        <f t="shared" si="215"/>
        <v/>
      </c>
      <c r="R909">
        <f>IFERROR(IF(Q909=0,"",COUNTIF($Q$3:Q909,"&gt;0")),"")</f>
        <v>16</v>
      </c>
      <c r="S909" t="str">
        <f t="shared" si="208"/>
        <v/>
      </c>
      <c r="T909" t="str">
        <f t="shared" si="216"/>
        <v/>
      </c>
      <c r="U909">
        <f>IFERROR(IF(T909=0,"",COUNTIF($T$3:T909,"&gt;0")),"")</f>
        <v>0</v>
      </c>
      <c r="V909" t="str">
        <f t="shared" si="209"/>
        <v/>
      </c>
    </row>
    <row r="910" spans="1:22">
      <c r="A910" t="e">
        <f t="shared" si="204"/>
        <v>#VALUE!</v>
      </c>
      <c r="B910" t="e">
        <f>Table4[[#This Row],[CATEGORY]]</f>
        <v>#VALUE!</v>
      </c>
      <c r="C910" t="e">
        <f>Table4[[#This Row],[SUB-CATEGORY]]</f>
        <v>#VALUE!</v>
      </c>
      <c r="D910">
        <f>'RJ ATTENDENCE SHEET'!C:C</f>
        <v>0</v>
      </c>
      <c r="E910" t="e">
        <f t="shared" si="203"/>
        <v>#VALUE!</v>
      </c>
      <c r="F910" t="str">
        <f t="shared" si="210"/>
        <v/>
      </c>
      <c r="G910">
        <f>IFERROR(IF(F910=0,"",COUNTIF($F$3:F910,"&gt;0")),"")</f>
        <v>16</v>
      </c>
      <c r="H910" t="str">
        <f t="shared" si="205"/>
        <v/>
      </c>
      <c r="I910" t="str">
        <f t="shared" si="211"/>
        <v/>
      </c>
      <c r="J910">
        <f>IFERROR(IF(I910=0,"",COUNTIF($I$3:I910,"&gt;0")),"")</f>
        <v>34</v>
      </c>
      <c r="K910" t="str">
        <f t="shared" si="206"/>
        <v/>
      </c>
      <c r="L910" t="str">
        <f t="shared" si="212"/>
        <v/>
      </c>
      <c r="M910" t="str">
        <f t="shared" si="213"/>
        <v/>
      </c>
      <c r="N910">
        <f>IFERROR(IF(M910=0,"",COUNTIF($M$3:M910,"&gt;0")),"")</f>
        <v>33</v>
      </c>
      <c r="O910" t="str">
        <f t="shared" si="207"/>
        <v/>
      </c>
      <c r="P910" t="str">
        <f t="shared" si="214"/>
        <v/>
      </c>
      <c r="Q910" t="str">
        <f t="shared" si="215"/>
        <v/>
      </c>
      <c r="R910">
        <f>IFERROR(IF(Q910=0,"",COUNTIF($Q$3:Q910,"&gt;0")),"")</f>
        <v>16</v>
      </c>
      <c r="S910" t="str">
        <f t="shared" si="208"/>
        <v/>
      </c>
      <c r="T910" t="str">
        <f t="shared" si="216"/>
        <v/>
      </c>
      <c r="U910">
        <f>IFERROR(IF(T910=0,"",COUNTIF($T$3:T910,"&gt;0")),"")</f>
        <v>0</v>
      </c>
      <c r="V910" t="str">
        <f t="shared" si="209"/>
        <v/>
      </c>
    </row>
    <row r="911" spans="1:22">
      <c r="A911" t="e">
        <f t="shared" si="204"/>
        <v>#VALUE!</v>
      </c>
      <c r="B911" t="e">
        <f>Table4[[#This Row],[CATEGORY]]</f>
        <v>#VALUE!</v>
      </c>
      <c r="C911" t="e">
        <f>Table4[[#This Row],[SUB-CATEGORY]]</f>
        <v>#VALUE!</v>
      </c>
      <c r="D911">
        <f>'RJ ATTENDENCE SHEET'!C:C</f>
        <v>0</v>
      </c>
      <c r="E911" t="e">
        <f t="shared" si="203"/>
        <v>#VALUE!</v>
      </c>
      <c r="F911" t="str">
        <f t="shared" si="210"/>
        <v/>
      </c>
      <c r="G911">
        <f>IFERROR(IF(F911=0,"",COUNTIF($F$3:F911,"&gt;0")),"")</f>
        <v>16</v>
      </c>
      <c r="H911" t="str">
        <f t="shared" si="205"/>
        <v/>
      </c>
      <c r="I911" t="str">
        <f t="shared" si="211"/>
        <v/>
      </c>
      <c r="J911">
        <f>IFERROR(IF(I911=0,"",COUNTIF($I$3:I911,"&gt;0")),"")</f>
        <v>34</v>
      </c>
      <c r="K911" t="str">
        <f t="shared" si="206"/>
        <v/>
      </c>
      <c r="L911" t="str">
        <f t="shared" si="212"/>
        <v/>
      </c>
      <c r="M911" t="str">
        <f t="shared" si="213"/>
        <v/>
      </c>
      <c r="N911">
        <f>IFERROR(IF(M911=0,"",COUNTIF($M$3:M911,"&gt;0")),"")</f>
        <v>33</v>
      </c>
      <c r="O911" t="str">
        <f t="shared" si="207"/>
        <v/>
      </c>
      <c r="P911" t="str">
        <f t="shared" si="214"/>
        <v/>
      </c>
      <c r="Q911" t="str">
        <f t="shared" si="215"/>
        <v/>
      </c>
      <c r="R911">
        <f>IFERROR(IF(Q911=0,"",COUNTIF($Q$3:Q911,"&gt;0")),"")</f>
        <v>16</v>
      </c>
      <c r="S911" t="str">
        <f t="shared" si="208"/>
        <v/>
      </c>
      <c r="T911" t="str">
        <f t="shared" si="216"/>
        <v/>
      </c>
      <c r="U911">
        <f>IFERROR(IF(T911=0,"",COUNTIF($T$3:T911,"&gt;0")),"")</f>
        <v>0</v>
      </c>
      <c r="V911" t="str">
        <f t="shared" si="209"/>
        <v/>
      </c>
    </row>
    <row r="912" spans="1:22">
      <c r="A912" t="e">
        <f t="shared" si="204"/>
        <v>#VALUE!</v>
      </c>
      <c r="B912" t="e">
        <f>Table4[[#This Row],[CATEGORY]]</f>
        <v>#VALUE!</v>
      </c>
      <c r="C912" t="e">
        <f>Table4[[#This Row],[SUB-CATEGORY]]</f>
        <v>#VALUE!</v>
      </c>
      <c r="D912">
        <f>'RJ ATTENDENCE SHEET'!C:C</f>
        <v>0</v>
      </c>
      <c r="E912" t="e">
        <f t="shared" si="203"/>
        <v>#VALUE!</v>
      </c>
      <c r="F912" t="str">
        <f t="shared" si="210"/>
        <v/>
      </c>
      <c r="G912">
        <f>IFERROR(IF(F912=0,"",COUNTIF($F$3:F912,"&gt;0")),"")</f>
        <v>16</v>
      </c>
      <c r="H912" t="str">
        <f t="shared" si="205"/>
        <v/>
      </c>
      <c r="I912" t="str">
        <f t="shared" si="211"/>
        <v/>
      </c>
      <c r="J912">
        <f>IFERROR(IF(I912=0,"",COUNTIF($I$3:I912,"&gt;0")),"")</f>
        <v>34</v>
      </c>
      <c r="K912" t="str">
        <f t="shared" si="206"/>
        <v/>
      </c>
      <c r="L912" t="str">
        <f t="shared" si="212"/>
        <v/>
      </c>
      <c r="M912" t="str">
        <f t="shared" si="213"/>
        <v/>
      </c>
      <c r="N912">
        <f>IFERROR(IF(M912=0,"",COUNTIF($M$3:M912,"&gt;0")),"")</f>
        <v>33</v>
      </c>
      <c r="O912" t="str">
        <f t="shared" si="207"/>
        <v/>
      </c>
      <c r="P912" t="str">
        <f t="shared" si="214"/>
        <v/>
      </c>
      <c r="Q912" t="str">
        <f t="shared" si="215"/>
        <v/>
      </c>
      <c r="R912">
        <f>IFERROR(IF(Q912=0,"",COUNTIF($Q$3:Q912,"&gt;0")),"")</f>
        <v>16</v>
      </c>
      <c r="S912" t="str">
        <f t="shared" si="208"/>
        <v/>
      </c>
      <c r="T912" t="str">
        <f t="shared" si="216"/>
        <v/>
      </c>
      <c r="U912">
        <f>IFERROR(IF(T912=0,"",COUNTIF($T$3:T912,"&gt;0")),"")</f>
        <v>0</v>
      </c>
      <c r="V912" t="str">
        <f t="shared" si="209"/>
        <v/>
      </c>
    </row>
    <row r="913" spans="1:22">
      <c r="A913" t="e">
        <f t="shared" si="204"/>
        <v>#VALUE!</v>
      </c>
      <c r="B913" t="e">
        <f>Table4[[#This Row],[CATEGORY]]</f>
        <v>#VALUE!</v>
      </c>
      <c r="C913" t="e">
        <f>Table4[[#This Row],[SUB-CATEGORY]]</f>
        <v>#VALUE!</v>
      </c>
      <c r="D913">
        <f>'RJ ATTENDENCE SHEET'!C:C</f>
        <v>0</v>
      </c>
      <c r="E913" t="e">
        <f t="shared" si="203"/>
        <v>#VALUE!</v>
      </c>
      <c r="F913" t="str">
        <f t="shared" si="210"/>
        <v/>
      </c>
      <c r="G913">
        <f>IFERROR(IF(F913=0,"",COUNTIF($F$3:F913,"&gt;0")),"")</f>
        <v>16</v>
      </c>
      <c r="H913" t="str">
        <f t="shared" si="205"/>
        <v/>
      </c>
      <c r="I913" t="str">
        <f t="shared" si="211"/>
        <v/>
      </c>
      <c r="J913">
        <f>IFERROR(IF(I913=0,"",COUNTIF($I$3:I913,"&gt;0")),"")</f>
        <v>34</v>
      </c>
      <c r="K913" t="str">
        <f t="shared" si="206"/>
        <v/>
      </c>
      <c r="L913" t="str">
        <f t="shared" si="212"/>
        <v/>
      </c>
      <c r="M913" t="str">
        <f t="shared" si="213"/>
        <v/>
      </c>
      <c r="N913">
        <f>IFERROR(IF(M913=0,"",COUNTIF($M$3:M913,"&gt;0")),"")</f>
        <v>33</v>
      </c>
      <c r="O913" t="str">
        <f t="shared" si="207"/>
        <v/>
      </c>
      <c r="P913" t="str">
        <f t="shared" si="214"/>
        <v/>
      </c>
      <c r="Q913" t="str">
        <f t="shared" si="215"/>
        <v/>
      </c>
      <c r="R913">
        <f>IFERROR(IF(Q913=0,"",COUNTIF($Q$3:Q913,"&gt;0")),"")</f>
        <v>16</v>
      </c>
      <c r="S913" t="str">
        <f t="shared" si="208"/>
        <v/>
      </c>
      <c r="T913" t="str">
        <f t="shared" si="216"/>
        <v/>
      </c>
      <c r="U913">
        <f>IFERROR(IF(T913=0,"",COUNTIF($T$3:T913,"&gt;0")),"")</f>
        <v>0</v>
      </c>
      <c r="V913" t="str">
        <f t="shared" si="209"/>
        <v/>
      </c>
    </row>
    <row r="914" spans="1:22">
      <c r="A914" t="e">
        <f t="shared" si="204"/>
        <v>#VALUE!</v>
      </c>
      <c r="B914" t="e">
        <f>Table4[[#This Row],[CATEGORY]]</f>
        <v>#VALUE!</v>
      </c>
      <c r="C914" t="e">
        <f>Table4[[#This Row],[SUB-CATEGORY]]</f>
        <v>#VALUE!</v>
      </c>
      <c r="D914">
        <f>'RJ ATTENDENCE SHEET'!C:C</f>
        <v>0</v>
      </c>
      <c r="E914" t="e">
        <f t="shared" si="203"/>
        <v>#VALUE!</v>
      </c>
      <c r="F914" t="str">
        <f t="shared" si="210"/>
        <v/>
      </c>
      <c r="G914">
        <f>IFERROR(IF(F914=0,"",COUNTIF($F$3:F914,"&gt;0")),"")</f>
        <v>16</v>
      </c>
      <c r="H914" t="str">
        <f t="shared" si="205"/>
        <v/>
      </c>
      <c r="I914" t="str">
        <f t="shared" si="211"/>
        <v/>
      </c>
      <c r="J914">
        <f>IFERROR(IF(I914=0,"",COUNTIF($I$3:I914,"&gt;0")),"")</f>
        <v>34</v>
      </c>
      <c r="K914" t="str">
        <f t="shared" si="206"/>
        <v/>
      </c>
      <c r="L914" t="str">
        <f t="shared" si="212"/>
        <v/>
      </c>
      <c r="M914" t="str">
        <f t="shared" si="213"/>
        <v/>
      </c>
      <c r="N914">
        <f>IFERROR(IF(M914=0,"",COUNTIF($M$3:M914,"&gt;0")),"")</f>
        <v>33</v>
      </c>
      <c r="O914" t="str">
        <f t="shared" si="207"/>
        <v/>
      </c>
      <c r="P914" t="str">
        <f t="shared" si="214"/>
        <v/>
      </c>
      <c r="Q914" t="str">
        <f t="shared" si="215"/>
        <v/>
      </c>
      <c r="R914">
        <f>IFERROR(IF(Q914=0,"",COUNTIF($Q$3:Q914,"&gt;0")),"")</f>
        <v>16</v>
      </c>
      <c r="S914" t="str">
        <f t="shared" si="208"/>
        <v/>
      </c>
      <c r="T914" t="str">
        <f t="shared" si="216"/>
        <v/>
      </c>
      <c r="U914">
        <f>IFERROR(IF(T914=0,"",COUNTIF($T$3:T914,"&gt;0")),"")</f>
        <v>0</v>
      </c>
      <c r="V914" t="str">
        <f t="shared" si="209"/>
        <v/>
      </c>
    </row>
    <row r="915" spans="1:22">
      <c r="A915" t="e">
        <f t="shared" si="204"/>
        <v>#VALUE!</v>
      </c>
      <c r="B915" t="e">
        <f>Table4[[#This Row],[CATEGORY]]</f>
        <v>#VALUE!</v>
      </c>
      <c r="C915" t="e">
        <f>Table4[[#This Row],[SUB-CATEGORY]]</f>
        <v>#VALUE!</v>
      </c>
      <c r="D915">
        <f>'RJ ATTENDENCE SHEET'!C:C</f>
        <v>0</v>
      </c>
      <c r="E915" t="e">
        <f t="shared" si="203"/>
        <v>#VALUE!</v>
      </c>
      <c r="F915" t="str">
        <f t="shared" si="210"/>
        <v/>
      </c>
      <c r="G915">
        <f>IFERROR(IF(F915=0,"",COUNTIF($F$3:F915,"&gt;0")),"")</f>
        <v>16</v>
      </c>
      <c r="H915" t="str">
        <f t="shared" si="205"/>
        <v/>
      </c>
      <c r="I915" t="str">
        <f t="shared" si="211"/>
        <v/>
      </c>
      <c r="J915">
        <f>IFERROR(IF(I915=0,"",COUNTIF($I$3:I915,"&gt;0")),"")</f>
        <v>34</v>
      </c>
      <c r="K915" t="str">
        <f t="shared" si="206"/>
        <v/>
      </c>
      <c r="L915" t="str">
        <f t="shared" si="212"/>
        <v/>
      </c>
      <c r="M915" t="str">
        <f t="shared" si="213"/>
        <v/>
      </c>
      <c r="N915">
        <f>IFERROR(IF(M915=0,"",COUNTIF($M$3:M915,"&gt;0")),"")</f>
        <v>33</v>
      </c>
      <c r="O915" t="str">
        <f t="shared" si="207"/>
        <v/>
      </c>
      <c r="P915" t="str">
        <f t="shared" si="214"/>
        <v/>
      </c>
      <c r="Q915" t="str">
        <f t="shared" si="215"/>
        <v/>
      </c>
      <c r="R915">
        <f>IFERROR(IF(Q915=0,"",COUNTIF($Q$3:Q915,"&gt;0")),"")</f>
        <v>16</v>
      </c>
      <c r="S915" t="str">
        <f t="shared" si="208"/>
        <v/>
      </c>
      <c r="T915" t="str">
        <f t="shared" si="216"/>
        <v/>
      </c>
      <c r="U915">
        <f>IFERROR(IF(T915=0,"",COUNTIF($T$3:T915,"&gt;0")),"")</f>
        <v>0</v>
      </c>
      <c r="V915" t="str">
        <f t="shared" si="209"/>
        <v/>
      </c>
    </row>
    <row r="916" spans="1:22">
      <c r="A916" t="e">
        <f t="shared" si="204"/>
        <v>#VALUE!</v>
      </c>
      <c r="B916" t="e">
        <f>Table4[[#This Row],[CATEGORY]]</f>
        <v>#VALUE!</v>
      </c>
      <c r="C916" t="e">
        <f>Table4[[#This Row],[SUB-CATEGORY]]</f>
        <v>#VALUE!</v>
      </c>
      <c r="D916">
        <f>'RJ ATTENDENCE SHEET'!C:C</f>
        <v>0</v>
      </c>
      <c r="E916" t="e">
        <f t="shared" si="203"/>
        <v>#VALUE!</v>
      </c>
      <c r="F916" t="str">
        <f t="shared" si="210"/>
        <v/>
      </c>
      <c r="G916">
        <f>IFERROR(IF(F916=0,"",COUNTIF($F$3:F916,"&gt;0")),"")</f>
        <v>16</v>
      </c>
      <c r="H916" t="str">
        <f t="shared" si="205"/>
        <v/>
      </c>
      <c r="I916" t="str">
        <f t="shared" si="211"/>
        <v/>
      </c>
      <c r="J916">
        <f>IFERROR(IF(I916=0,"",COUNTIF($I$3:I916,"&gt;0")),"")</f>
        <v>34</v>
      </c>
      <c r="K916" t="str">
        <f t="shared" si="206"/>
        <v/>
      </c>
      <c r="L916" t="str">
        <f t="shared" si="212"/>
        <v/>
      </c>
      <c r="M916" t="str">
        <f t="shared" si="213"/>
        <v/>
      </c>
      <c r="N916">
        <f>IFERROR(IF(M916=0,"",COUNTIF($M$3:M916,"&gt;0")),"")</f>
        <v>33</v>
      </c>
      <c r="O916" t="str">
        <f t="shared" si="207"/>
        <v/>
      </c>
      <c r="P916" t="str">
        <f t="shared" si="214"/>
        <v/>
      </c>
      <c r="Q916" t="str">
        <f t="shared" si="215"/>
        <v/>
      </c>
      <c r="R916">
        <f>IFERROR(IF(Q916=0,"",COUNTIF($Q$3:Q916,"&gt;0")),"")</f>
        <v>16</v>
      </c>
      <c r="S916" t="str">
        <f t="shared" si="208"/>
        <v/>
      </c>
      <c r="T916" t="str">
        <f t="shared" si="216"/>
        <v/>
      </c>
      <c r="U916">
        <f>IFERROR(IF(T916=0,"",COUNTIF($T$3:T916,"&gt;0")),"")</f>
        <v>0</v>
      </c>
      <c r="V916" t="str">
        <f t="shared" si="209"/>
        <v/>
      </c>
    </row>
    <row r="917" spans="1:22">
      <c r="A917" t="e">
        <f t="shared" si="204"/>
        <v>#VALUE!</v>
      </c>
      <c r="B917" t="e">
        <f>Table4[[#This Row],[CATEGORY]]</f>
        <v>#VALUE!</v>
      </c>
      <c r="C917" t="e">
        <f>Table4[[#This Row],[SUB-CATEGORY]]</f>
        <v>#VALUE!</v>
      </c>
      <c r="D917">
        <f>'RJ ATTENDENCE SHEET'!C:C</f>
        <v>0</v>
      </c>
      <c r="E917" t="e">
        <f t="shared" si="203"/>
        <v>#VALUE!</v>
      </c>
      <c r="F917" t="str">
        <f t="shared" si="210"/>
        <v/>
      </c>
      <c r="G917">
        <f>IFERROR(IF(F917=0,"",COUNTIF($F$3:F917,"&gt;0")),"")</f>
        <v>16</v>
      </c>
      <c r="H917" t="str">
        <f t="shared" si="205"/>
        <v/>
      </c>
      <c r="I917" t="str">
        <f t="shared" si="211"/>
        <v/>
      </c>
      <c r="J917">
        <f>IFERROR(IF(I917=0,"",COUNTIF($I$3:I917,"&gt;0")),"")</f>
        <v>34</v>
      </c>
      <c r="K917" t="str">
        <f t="shared" si="206"/>
        <v/>
      </c>
      <c r="L917" t="str">
        <f t="shared" si="212"/>
        <v/>
      </c>
      <c r="M917" t="str">
        <f t="shared" si="213"/>
        <v/>
      </c>
      <c r="N917">
        <f>IFERROR(IF(M917=0,"",COUNTIF($M$3:M917,"&gt;0")),"")</f>
        <v>33</v>
      </c>
      <c r="O917" t="str">
        <f t="shared" si="207"/>
        <v/>
      </c>
      <c r="P917" t="str">
        <f t="shared" si="214"/>
        <v/>
      </c>
      <c r="Q917" t="str">
        <f t="shared" si="215"/>
        <v/>
      </c>
      <c r="R917">
        <f>IFERROR(IF(Q917=0,"",COUNTIF($Q$3:Q917,"&gt;0")),"")</f>
        <v>16</v>
      </c>
      <c r="S917" t="str">
        <f t="shared" si="208"/>
        <v/>
      </c>
      <c r="T917" t="str">
        <f t="shared" si="216"/>
        <v/>
      </c>
      <c r="U917">
        <f>IFERROR(IF(T917=0,"",COUNTIF($T$3:T917,"&gt;0")),"")</f>
        <v>0</v>
      </c>
      <c r="V917" t="str">
        <f t="shared" si="209"/>
        <v/>
      </c>
    </row>
    <row r="918" spans="1:22">
      <c r="A918" t="e">
        <f t="shared" si="204"/>
        <v>#VALUE!</v>
      </c>
      <c r="B918" t="e">
        <f>Table4[[#This Row],[CATEGORY]]</f>
        <v>#VALUE!</v>
      </c>
      <c r="C918" t="e">
        <f>Table4[[#This Row],[SUB-CATEGORY]]</f>
        <v>#VALUE!</v>
      </c>
      <c r="D918">
        <f>'RJ ATTENDENCE SHEET'!C:C</f>
        <v>0</v>
      </c>
      <c r="E918" t="e">
        <f t="shared" si="203"/>
        <v>#VALUE!</v>
      </c>
      <c r="F918" t="str">
        <f t="shared" si="210"/>
        <v/>
      </c>
      <c r="G918">
        <f>IFERROR(IF(F918=0,"",COUNTIF($F$3:F918,"&gt;0")),"")</f>
        <v>16</v>
      </c>
      <c r="H918" t="str">
        <f t="shared" si="205"/>
        <v/>
      </c>
      <c r="I918" t="str">
        <f t="shared" si="211"/>
        <v/>
      </c>
      <c r="J918">
        <f>IFERROR(IF(I918=0,"",COUNTIF($I$3:I918,"&gt;0")),"")</f>
        <v>34</v>
      </c>
      <c r="K918" t="str">
        <f t="shared" si="206"/>
        <v/>
      </c>
      <c r="L918" t="str">
        <f t="shared" si="212"/>
        <v/>
      </c>
      <c r="M918" t="str">
        <f t="shared" si="213"/>
        <v/>
      </c>
      <c r="N918">
        <f>IFERROR(IF(M918=0,"",COUNTIF($M$3:M918,"&gt;0")),"")</f>
        <v>33</v>
      </c>
      <c r="O918" t="str">
        <f t="shared" si="207"/>
        <v/>
      </c>
      <c r="P918" t="str">
        <f t="shared" si="214"/>
        <v/>
      </c>
      <c r="Q918" t="str">
        <f t="shared" si="215"/>
        <v/>
      </c>
      <c r="R918">
        <f>IFERROR(IF(Q918=0,"",COUNTIF($Q$3:Q918,"&gt;0")),"")</f>
        <v>16</v>
      </c>
      <c r="S918" t="str">
        <f t="shared" si="208"/>
        <v/>
      </c>
      <c r="T918" t="str">
        <f t="shared" si="216"/>
        <v/>
      </c>
      <c r="U918">
        <f>IFERROR(IF(T918=0,"",COUNTIF($T$3:T918,"&gt;0")),"")</f>
        <v>0</v>
      </c>
      <c r="V918" t="str">
        <f t="shared" si="209"/>
        <v/>
      </c>
    </row>
    <row r="919" spans="1:22">
      <c r="A919" t="e">
        <f t="shared" si="204"/>
        <v>#VALUE!</v>
      </c>
      <c r="B919" t="e">
        <f>Table4[[#This Row],[CATEGORY]]</f>
        <v>#VALUE!</v>
      </c>
      <c r="C919" t="e">
        <f>Table4[[#This Row],[SUB-CATEGORY]]</f>
        <v>#VALUE!</v>
      </c>
      <c r="D919">
        <f>'RJ ATTENDENCE SHEET'!C:C</f>
        <v>0</v>
      </c>
      <c r="E919" t="e">
        <f t="shared" si="203"/>
        <v>#VALUE!</v>
      </c>
      <c r="F919" t="str">
        <f t="shared" si="210"/>
        <v/>
      </c>
      <c r="G919">
        <f>IFERROR(IF(F919=0,"",COUNTIF($F$3:F919,"&gt;0")),"")</f>
        <v>16</v>
      </c>
      <c r="H919" t="str">
        <f t="shared" si="205"/>
        <v/>
      </c>
      <c r="I919" t="str">
        <f t="shared" si="211"/>
        <v/>
      </c>
      <c r="J919">
        <f>IFERROR(IF(I919=0,"",COUNTIF($I$3:I919,"&gt;0")),"")</f>
        <v>34</v>
      </c>
      <c r="K919" t="str">
        <f t="shared" si="206"/>
        <v/>
      </c>
      <c r="L919" t="str">
        <f t="shared" si="212"/>
        <v/>
      </c>
      <c r="M919" t="str">
        <f t="shared" si="213"/>
        <v/>
      </c>
      <c r="N919">
        <f>IFERROR(IF(M919=0,"",COUNTIF($M$3:M919,"&gt;0")),"")</f>
        <v>33</v>
      </c>
      <c r="O919" t="str">
        <f t="shared" si="207"/>
        <v/>
      </c>
      <c r="P919" t="str">
        <f t="shared" si="214"/>
        <v/>
      </c>
      <c r="Q919" t="str">
        <f t="shared" si="215"/>
        <v/>
      </c>
      <c r="R919">
        <f>IFERROR(IF(Q919=0,"",COUNTIF($Q$3:Q919,"&gt;0")),"")</f>
        <v>16</v>
      </c>
      <c r="S919" t="str">
        <f t="shared" si="208"/>
        <v/>
      </c>
      <c r="T919" t="str">
        <f t="shared" si="216"/>
        <v/>
      </c>
      <c r="U919">
        <f>IFERROR(IF(T919=0,"",COUNTIF($T$3:T919,"&gt;0")),"")</f>
        <v>0</v>
      </c>
      <c r="V919" t="str">
        <f t="shared" si="209"/>
        <v/>
      </c>
    </row>
    <row r="920" spans="1:22">
      <c r="A920" t="e">
        <f t="shared" si="204"/>
        <v>#VALUE!</v>
      </c>
      <c r="B920" t="e">
        <f>Table4[[#This Row],[CATEGORY]]</f>
        <v>#VALUE!</v>
      </c>
      <c r="C920" t="e">
        <f>Table4[[#This Row],[SUB-CATEGORY]]</f>
        <v>#VALUE!</v>
      </c>
      <c r="D920">
        <f>'RJ ATTENDENCE SHEET'!C:C</f>
        <v>0</v>
      </c>
      <c r="E920" t="e">
        <f t="shared" si="203"/>
        <v>#VALUE!</v>
      </c>
      <c r="F920" t="str">
        <f t="shared" si="210"/>
        <v/>
      </c>
      <c r="G920">
        <f>IFERROR(IF(F920=0,"",COUNTIF($F$3:F920,"&gt;0")),"")</f>
        <v>16</v>
      </c>
      <c r="H920" t="str">
        <f t="shared" si="205"/>
        <v/>
      </c>
      <c r="I920" t="str">
        <f t="shared" si="211"/>
        <v/>
      </c>
      <c r="J920">
        <f>IFERROR(IF(I920=0,"",COUNTIF($I$3:I920,"&gt;0")),"")</f>
        <v>34</v>
      </c>
      <c r="K920" t="str">
        <f t="shared" si="206"/>
        <v/>
      </c>
      <c r="L920" t="str">
        <f t="shared" si="212"/>
        <v/>
      </c>
      <c r="M920" t="str">
        <f t="shared" si="213"/>
        <v/>
      </c>
      <c r="N920">
        <f>IFERROR(IF(M920=0,"",COUNTIF($M$3:M920,"&gt;0")),"")</f>
        <v>33</v>
      </c>
      <c r="O920" t="str">
        <f t="shared" si="207"/>
        <v/>
      </c>
      <c r="P920" t="str">
        <f t="shared" si="214"/>
        <v/>
      </c>
      <c r="Q920" t="str">
        <f t="shared" si="215"/>
        <v/>
      </c>
      <c r="R920">
        <f>IFERROR(IF(Q920=0,"",COUNTIF($Q$3:Q920,"&gt;0")),"")</f>
        <v>16</v>
      </c>
      <c r="S920" t="str">
        <f t="shared" si="208"/>
        <v/>
      </c>
      <c r="T920" t="str">
        <f t="shared" si="216"/>
        <v/>
      </c>
      <c r="U920">
        <f>IFERROR(IF(T920=0,"",COUNTIF($T$3:T920,"&gt;0")),"")</f>
        <v>0</v>
      </c>
      <c r="V920" t="str">
        <f t="shared" si="209"/>
        <v/>
      </c>
    </row>
    <row r="921" spans="1:22">
      <c r="A921" t="e">
        <f t="shared" si="204"/>
        <v>#VALUE!</v>
      </c>
      <c r="B921" t="e">
        <f>Table4[[#This Row],[CATEGORY]]</f>
        <v>#VALUE!</v>
      </c>
      <c r="C921" t="e">
        <f>Table4[[#This Row],[SUB-CATEGORY]]</f>
        <v>#VALUE!</v>
      </c>
      <c r="D921">
        <f>'RJ ATTENDENCE SHEET'!C:C</f>
        <v>0</v>
      </c>
      <c r="E921" t="e">
        <f t="shared" si="203"/>
        <v>#VALUE!</v>
      </c>
      <c r="F921" t="str">
        <f t="shared" si="210"/>
        <v/>
      </c>
      <c r="G921">
        <f>IFERROR(IF(F921=0,"",COUNTIF($F$3:F921,"&gt;0")),"")</f>
        <v>16</v>
      </c>
      <c r="H921" t="str">
        <f t="shared" si="205"/>
        <v/>
      </c>
      <c r="I921" t="str">
        <f t="shared" si="211"/>
        <v/>
      </c>
      <c r="J921">
        <f>IFERROR(IF(I921=0,"",COUNTIF($I$3:I921,"&gt;0")),"")</f>
        <v>34</v>
      </c>
      <c r="K921" t="str">
        <f t="shared" si="206"/>
        <v/>
      </c>
      <c r="L921" t="str">
        <f t="shared" si="212"/>
        <v/>
      </c>
      <c r="M921" t="str">
        <f t="shared" si="213"/>
        <v/>
      </c>
      <c r="N921">
        <f>IFERROR(IF(M921=0,"",COUNTIF($M$3:M921,"&gt;0")),"")</f>
        <v>33</v>
      </c>
      <c r="O921" t="str">
        <f t="shared" si="207"/>
        <v/>
      </c>
      <c r="P921" t="str">
        <f t="shared" si="214"/>
        <v/>
      </c>
      <c r="Q921" t="str">
        <f t="shared" si="215"/>
        <v/>
      </c>
      <c r="R921">
        <f>IFERROR(IF(Q921=0,"",COUNTIF($Q$3:Q921,"&gt;0")),"")</f>
        <v>16</v>
      </c>
      <c r="S921" t="str">
        <f t="shared" si="208"/>
        <v/>
      </c>
      <c r="T921" t="str">
        <f t="shared" si="216"/>
        <v/>
      </c>
      <c r="U921">
        <f>IFERROR(IF(T921=0,"",COUNTIF($T$3:T921,"&gt;0")),"")</f>
        <v>0</v>
      </c>
      <c r="V921" t="str">
        <f t="shared" si="209"/>
        <v/>
      </c>
    </row>
    <row r="922" spans="1:22">
      <c r="A922" t="e">
        <f t="shared" si="204"/>
        <v>#VALUE!</v>
      </c>
      <c r="B922" t="e">
        <f>Table4[[#This Row],[CATEGORY]]</f>
        <v>#VALUE!</v>
      </c>
      <c r="C922" t="e">
        <f>Table4[[#This Row],[SUB-CATEGORY]]</f>
        <v>#VALUE!</v>
      </c>
      <c r="D922">
        <f>'RJ ATTENDENCE SHEET'!C:C</f>
        <v>0</v>
      </c>
      <c r="E922" t="e">
        <f t="shared" si="203"/>
        <v>#VALUE!</v>
      </c>
      <c r="F922" t="str">
        <f t="shared" si="210"/>
        <v/>
      </c>
      <c r="G922">
        <f>IFERROR(IF(F922=0,"",COUNTIF($F$3:F922,"&gt;0")),"")</f>
        <v>16</v>
      </c>
      <c r="H922" t="str">
        <f t="shared" si="205"/>
        <v/>
      </c>
      <c r="I922" t="str">
        <f t="shared" si="211"/>
        <v/>
      </c>
      <c r="J922">
        <f>IFERROR(IF(I922=0,"",COUNTIF($I$3:I922,"&gt;0")),"")</f>
        <v>34</v>
      </c>
      <c r="K922" t="str">
        <f t="shared" si="206"/>
        <v/>
      </c>
      <c r="L922" t="str">
        <f t="shared" si="212"/>
        <v/>
      </c>
      <c r="M922" t="str">
        <f t="shared" si="213"/>
        <v/>
      </c>
      <c r="N922">
        <f>IFERROR(IF(M922=0,"",COUNTIF($M$3:M922,"&gt;0")),"")</f>
        <v>33</v>
      </c>
      <c r="O922" t="str">
        <f t="shared" si="207"/>
        <v/>
      </c>
      <c r="P922" t="str">
        <f t="shared" si="214"/>
        <v/>
      </c>
      <c r="Q922" t="str">
        <f t="shared" si="215"/>
        <v/>
      </c>
      <c r="R922">
        <f>IFERROR(IF(Q922=0,"",COUNTIF($Q$3:Q922,"&gt;0")),"")</f>
        <v>16</v>
      </c>
      <c r="S922" t="str">
        <f t="shared" si="208"/>
        <v/>
      </c>
      <c r="T922" t="str">
        <f t="shared" si="216"/>
        <v/>
      </c>
      <c r="U922">
        <f>IFERROR(IF(T922=0,"",COUNTIF($T$3:T922,"&gt;0")),"")</f>
        <v>0</v>
      </c>
      <c r="V922" t="str">
        <f t="shared" si="209"/>
        <v/>
      </c>
    </row>
    <row r="923" spans="1:22">
      <c r="A923" t="e">
        <f t="shared" si="204"/>
        <v>#VALUE!</v>
      </c>
      <c r="B923" t="e">
        <f>Table4[[#This Row],[CATEGORY]]</f>
        <v>#VALUE!</v>
      </c>
      <c r="C923" t="e">
        <f>Table4[[#This Row],[SUB-CATEGORY]]</f>
        <v>#VALUE!</v>
      </c>
      <c r="D923">
        <f>'RJ ATTENDENCE SHEET'!C:C</f>
        <v>0</v>
      </c>
      <c r="E923" t="e">
        <f t="shared" si="203"/>
        <v>#VALUE!</v>
      </c>
      <c r="F923" t="str">
        <f t="shared" si="210"/>
        <v/>
      </c>
      <c r="G923">
        <f>IFERROR(IF(F923=0,"",COUNTIF($F$3:F923,"&gt;0")),"")</f>
        <v>16</v>
      </c>
      <c r="H923" t="str">
        <f t="shared" si="205"/>
        <v/>
      </c>
      <c r="I923" t="str">
        <f t="shared" si="211"/>
        <v/>
      </c>
      <c r="J923">
        <f>IFERROR(IF(I923=0,"",COUNTIF($I$3:I923,"&gt;0")),"")</f>
        <v>34</v>
      </c>
      <c r="K923" t="str">
        <f t="shared" si="206"/>
        <v/>
      </c>
      <c r="L923" t="str">
        <f t="shared" si="212"/>
        <v/>
      </c>
      <c r="M923" t="str">
        <f t="shared" si="213"/>
        <v/>
      </c>
      <c r="N923">
        <f>IFERROR(IF(M923=0,"",COUNTIF($M$3:M923,"&gt;0")),"")</f>
        <v>33</v>
      </c>
      <c r="O923" t="str">
        <f t="shared" si="207"/>
        <v/>
      </c>
      <c r="P923" t="str">
        <f t="shared" si="214"/>
        <v/>
      </c>
      <c r="Q923" t="str">
        <f t="shared" si="215"/>
        <v/>
      </c>
      <c r="R923">
        <f>IFERROR(IF(Q923=0,"",COUNTIF($Q$3:Q923,"&gt;0")),"")</f>
        <v>16</v>
      </c>
      <c r="S923" t="str">
        <f t="shared" si="208"/>
        <v/>
      </c>
      <c r="T923" t="str">
        <f t="shared" si="216"/>
        <v/>
      </c>
      <c r="U923">
        <f>IFERROR(IF(T923=0,"",COUNTIF($T$3:T923,"&gt;0")),"")</f>
        <v>0</v>
      </c>
      <c r="V923" t="str">
        <f t="shared" si="209"/>
        <v/>
      </c>
    </row>
    <row r="924" spans="1:22">
      <c r="A924" t="e">
        <f t="shared" si="204"/>
        <v>#VALUE!</v>
      </c>
      <c r="B924" t="e">
        <f>Table4[[#This Row],[CATEGORY]]</f>
        <v>#VALUE!</v>
      </c>
      <c r="C924" t="e">
        <f>Table4[[#This Row],[SUB-CATEGORY]]</f>
        <v>#VALUE!</v>
      </c>
      <c r="D924">
        <f>'RJ ATTENDENCE SHEET'!C:C</f>
        <v>0</v>
      </c>
      <c r="E924" t="e">
        <f t="shared" si="203"/>
        <v>#VALUE!</v>
      </c>
      <c r="F924" t="str">
        <f t="shared" si="210"/>
        <v/>
      </c>
      <c r="G924">
        <f>IFERROR(IF(F924=0,"",COUNTIF($F$3:F924,"&gt;0")),"")</f>
        <v>16</v>
      </c>
      <c r="H924" t="str">
        <f t="shared" si="205"/>
        <v/>
      </c>
      <c r="I924" t="str">
        <f t="shared" si="211"/>
        <v/>
      </c>
      <c r="J924">
        <f>IFERROR(IF(I924=0,"",COUNTIF($I$3:I924,"&gt;0")),"")</f>
        <v>34</v>
      </c>
      <c r="K924" t="str">
        <f t="shared" si="206"/>
        <v/>
      </c>
      <c r="L924" t="str">
        <f t="shared" si="212"/>
        <v/>
      </c>
      <c r="M924" t="str">
        <f t="shared" si="213"/>
        <v/>
      </c>
      <c r="N924">
        <f>IFERROR(IF(M924=0,"",COUNTIF($M$3:M924,"&gt;0")),"")</f>
        <v>33</v>
      </c>
      <c r="O924" t="str">
        <f t="shared" si="207"/>
        <v/>
      </c>
      <c r="P924" t="str">
        <f t="shared" si="214"/>
        <v/>
      </c>
      <c r="Q924" t="str">
        <f t="shared" si="215"/>
        <v/>
      </c>
      <c r="R924">
        <f>IFERROR(IF(Q924=0,"",COUNTIF($Q$3:Q924,"&gt;0")),"")</f>
        <v>16</v>
      </c>
      <c r="S924" t="str">
        <f t="shared" si="208"/>
        <v/>
      </c>
      <c r="T924" t="str">
        <f t="shared" si="216"/>
        <v/>
      </c>
      <c r="U924">
        <f>IFERROR(IF(T924=0,"",COUNTIF($T$3:T924,"&gt;0")),"")</f>
        <v>0</v>
      </c>
      <c r="V924" t="str">
        <f t="shared" si="209"/>
        <v/>
      </c>
    </row>
    <row r="925" spans="1:22">
      <c r="A925" t="e">
        <f t="shared" si="204"/>
        <v>#VALUE!</v>
      </c>
      <c r="B925" t="e">
        <f>Table4[[#This Row],[CATEGORY]]</f>
        <v>#VALUE!</v>
      </c>
      <c r="C925" t="e">
        <f>Table4[[#This Row],[SUB-CATEGORY]]</f>
        <v>#VALUE!</v>
      </c>
      <c r="D925">
        <f>'RJ ATTENDENCE SHEET'!C:C</f>
        <v>0</v>
      </c>
      <c r="E925" t="e">
        <f t="shared" si="203"/>
        <v>#VALUE!</v>
      </c>
      <c r="F925" t="str">
        <f t="shared" si="210"/>
        <v/>
      </c>
      <c r="G925">
        <f>IFERROR(IF(F925=0,"",COUNTIF($F$3:F925,"&gt;0")),"")</f>
        <v>16</v>
      </c>
      <c r="H925" t="str">
        <f t="shared" si="205"/>
        <v/>
      </c>
      <c r="I925" t="str">
        <f t="shared" si="211"/>
        <v/>
      </c>
      <c r="J925">
        <f>IFERROR(IF(I925=0,"",COUNTIF($I$3:I925,"&gt;0")),"")</f>
        <v>34</v>
      </c>
      <c r="K925" t="str">
        <f t="shared" si="206"/>
        <v/>
      </c>
      <c r="L925" t="str">
        <f t="shared" si="212"/>
        <v/>
      </c>
      <c r="M925" t="str">
        <f t="shared" si="213"/>
        <v/>
      </c>
      <c r="N925">
        <f>IFERROR(IF(M925=0,"",COUNTIF($M$3:M925,"&gt;0")),"")</f>
        <v>33</v>
      </c>
      <c r="O925" t="str">
        <f t="shared" si="207"/>
        <v/>
      </c>
      <c r="P925" t="str">
        <f t="shared" si="214"/>
        <v/>
      </c>
      <c r="Q925" t="str">
        <f t="shared" si="215"/>
        <v/>
      </c>
      <c r="R925">
        <f>IFERROR(IF(Q925=0,"",COUNTIF($Q$3:Q925,"&gt;0")),"")</f>
        <v>16</v>
      </c>
      <c r="S925" t="str">
        <f t="shared" si="208"/>
        <v/>
      </c>
      <c r="T925" t="str">
        <f t="shared" si="216"/>
        <v/>
      </c>
      <c r="U925">
        <f>IFERROR(IF(T925=0,"",COUNTIF($T$3:T925,"&gt;0")),"")</f>
        <v>0</v>
      </c>
      <c r="V925" t="str">
        <f t="shared" si="209"/>
        <v/>
      </c>
    </row>
    <row r="926" spans="1:22">
      <c r="A926" t="e">
        <f t="shared" si="204"/>
        <v>#VALUE!</v>
      </c>
      <c r="B926" t="e">
        <f>Table4[[#This Row],[CATEGORY]]</f>
        <v>#VALUE!</v>
      </c>
      <c r="C926" t="e">
        <f>Table4[[#This Row],[SUB-CATEGORY]]</f>
        <v>#VALUE!</v>
      </c>
      <c r="D926">
        <f>'RJ ATTENDENCE SHEET'!C:C</f>
        <v>0</v>
      </c>
      <c r="E926" t="e">
        <f t="shared" si="203"/>
        <v>#VALUE!</v>
      </c>
      <c r="F926" t="str">
        <f t="shared" si="210"/>
        <v/>
      </c>
      <c r="G926">
        <f>IFERROR(IF(F926=0,"",COUNTIF($F$3:F926,"&gt;0")),"")</f>
        <v>16</v>
      </c>
      <c r="H926" t="str">
        <f t="shared" si="205"/>
        <v/>
      </c>
      <c r="I926" t="str">
        <f t="shared" si="211"/>
        <v/>
      </c>
      <c r="J926">
        <f>IFERROR(IF(I926=0,"",COUNTIF($I$3:I926,"&gt;0")),"")</f>
        <v>34</v>
      </c>
      <c r="K926" t="str">
        <f t="shared" si="206"/>
        <v/>
      </c>
      <c r="L926" t="str">
        <f t="shared" si="212"/>
        <v/>
      </c>
      <c r="M926" t="str">
        <f t="shared" si="213"/>
        <v/>
      </c>
      <c r="N926">
        <f>IFERROR(IF(M926=0,"",COUNTIF($M$3:M926,"&gt;0")),"")</f>
        <v>33</v>
      </c>
      <c r="O926" t="str">
        <f t="shared" si="207"/>
        <v/>
      </c>
      <c r="P926" t="str">
        <f t="shared" si="214"/>
        <v/>
      </c>
      <c r="Q926" t="str">
        <f t="shared" si="215"/>
        <v/>
      </c>
      <c r="R926">
        <f>IFERROR(IF(Q926=0,"",COUNTIF($Q$3:Q926,"&gt;0")),"")</f>
        <v>16</v>
      </c>
      <c r="S926" t="str">
        <f t="shared" si="208"/>
        <v/>
      </c>
      <c r="T926" t="str">
        <f t="shared" si="216"/>
        <v/>
      </c>
      <c r="U926">
        <f>IFERROR(IF(T926=0,"",COUNTIF($T$3:T926,"&gt;0")),"")</f>
        <v>0</v>
      </c>
      <c r="V926" t="str">
        <f t="shared" si="209"/>
        <v/>
      </c>
    </row>
    <row r="927" spans="1:22">
      <c r="A927" t="e">
        <f t="shared" si="204"/>
        <v>#VALUE!</v>
      </c>
      <c r="B927" t="e">
        <f>Table4[[#This Row],[CATEGORY]]</f>
        <v>#VALUE!</v>
      </c>
      <c r="C927" t="e">
        <f>Table4[[#This Row],[SUB-CATEGORY]]</f>
        <v>#VALUE!</v>
      </c>
      <c r="D927">
        <f>'RJ ATTENDENCE SHEET'!C:C</f>
        <v>0</v>
      </c>
      <c r="E927" t="e">
        <f t="shared" si="203"/>
        <v>#VALUE!</v>
      </c>
      <c r="F927" t="str">
        <f t="shared" si="210"/>
        <v/>
      </c>
      <c r="G927">
        <f>IFERROR(IF(F927=0,"",COUNTIF($F$3:F927,"&gt;0")),"")</f>
        <v>16</v>
      </c>
      <c r="H927" t="str">
        <f t="shared" si="205"/>
        <v/>
      </c>
      <c r="I927" t="str">
        <f t="shared" si="211"/>
        <v/>
      </c>
      <c r="J927">
        <f>IFERROR(IF(I927=0,"",COUNTIF($I$3:I927,"&gt;0")),"")</f>
        <v>34</v>
      </c>
      <c r="K927" t="str">
        <f t="shared" si="206"/>
        <v/>
      </c>
      <c r="L927" t="str">
        <f t="shared" si="212"/>
        <v/>
      </c>
      <c r="M927" t="str">
        <f t="shared" si="213"/>
        <v/>
      </c>
      <c r="N927">
        <f>IFERROR(IF(M927=0,"",COUNTIF($M$3:M927,"&gt;0")),"")</f>
        <v>33</v>
      </c>
      <c r="O927" t="str">
        <f t="shared" si="207"/>
        <v/>
      </c>
      <c r="P927" t="str">
        <f t="shared" si="214"/>
        <v/>
      </c>
      <c r="Q927" t="str">
        <f t="shared" si="215"/>
        <v/>
      </c>
      <c r="R927">
        <f>IFERROR(IF(Q927=0,"",COUNTIF($Q$3:Q927,"&gt;0")),"")</f>
        <v>16</v>
      </c>
      <c r="S927" t="str">
        <f t="shared" si="208"/>
        <v/>
      </c>
      <c r="T927" t="str">
        <f t="shared" si="216"/>
        <v/>
      </c>
      <c r="U927">
        <f>IFERROR(IF(T927=0,"",COUNTIF($T$3:T927,"&gt;0")),"")</f>
        <v>0</v>
      </c>
      <c r="V927" t="str">
        <f t="shared" si="209"/>
        <v/>
      </c>
    </row>
    <row r="928" spans="1:22">
      <c r="A928" t="e">
        <f t="shared" si="204"/>
        <v>#VALUE!</v>
      </c>
      <c r="B928" t="e">
        <f>Table4[[#This Row],[CATEGORY]]</f>
        <v>#VALUE!</v>
      </c>
      <c r="C928" t="e">
        <f>Table4[[#This Row],[SUB-CATEGORY]]</f>
        <v>#VALUE!</v>
      </c>
      <c r="D928">
        <f>'RJ ATTENDENCE SHEET'!C:C</f>
        <v>0</v>
      </c>
      <c r="E928" t="e">
        <f t="shared" si="203"/>
        <v>#VALUE!</v>
      </c>
      <c r="F928" t="str">
        <f t="shared" si="210"/>
        <v/>
      </c>
      <c r="G928">
        <f>IFERROR(IF(F928=0,"",COUNTIF($F$3:F928,"&gt;0")),"")</f>
        <v>16</v>
      </c>
      <c r="H928" t="str">
        <f t="shared" si="205"/>
        <v/>
      </c>
      <c r="I928" t="str">
        <f t="shared" si="211"/>
        <v/>
      </c>
      <c r="J928">
        <f>IFERROR(IF(I928=0,"",COUNTIF($I$3:I928,"&gt;0")),"")</f>
        <v>34</v>
      </c>
      <c r="K928" t="str">
        <f t="shared" si="206"/>
        <v/>
      </c>
      <c r="L928" t="str">
        <f t="shared" si="212"/>
        <v/>
      </c>
      <c r="M928" t="str">
        <f t="shared" si="213"/>
        <v/>
      </c>
      <c r="N928">
        <f>IFERROR(IF(M928=0,"",COUNTIF($M$3:M928,"&gt;0")),"")</f>
        <v>33</v>
      </c>
      <c r="O928" t="str">
        <f t="shared" si="207"/>
        <v/>
      </c>
      <c r="P928" t="str">
        <f t="shared" si="214"/>
        <v/>
      </c>
      <c r="Q928" t="str">
        <f t="shared" si="215"/>
        <v/>
      </c>
      <c r="R928">
        <f>IFERROR(IF(Q928=0,"",COUNTIF($Q$3:Q928,"&gt;0")),"")</f>
        <v>16</v>
      </c>
      <c r="S928" t="str">
        <f t="shared" si="208"/>
        <v/>
      </c>
      <c r="T928" t="str">
        <f t="shared" si="216"/>
        <v/>
      </c>
      <c r="U928">
        <f>IFERROR(IF(T928=0,"",COUNTIF($T$3:T928,"&gt;0")),"")</f>
        <v>0</v>
      </c>
      <c r="V928" t="str">
        <f t="shared" si="209"/>
        <v/>
      </c>
    </row>
    <row r="929" spans="1:22">
      <c r="A929" t="e">
        <f t="shared" si="204"/>
        <v>#VALUE!</v>
      </c>
      <c r="B929" t="e">
        <f>Table4[[#This Row],[CATEGORY]]</f>
        <v>#VALUE!</v>
      </c>
      <c r="C929" t="e">
        <f>Table4[[#This Row],[SUB-CATEGORY]]</f>
        <v>#VALUE!</v>
      </c>
      <c r="D929">
        <f>'RJ ATTENDENCE SHEET'!C:C</f>
        <v>0</v>
      </c>
      <c r="E929" t="e">
        <f t="shared" si="203"/>
        <v>#VALUE!</v>
      </c>
      <c r="F929" t="str">
        <f t="shared" si="210"/>
        <v/>
      </c>
      <c r="G929">
        <f>IFERROR(IF(F929=0,"",COUNTIF($F$3:F929,"&gt;0")),"")</f>
        <v>16</v>
      </c>
      <c r="H929" t="str">
        <f t="shared" si="205"/>
        <v/>
      </c>
      <c r="I929" t="str">
        <f t="shared" si="211"/>
        <v/>
      </c>
      <c r="J929">
        <f>IFERROR(IF(I929=0,"",COUNTIF($I$3:I929,"&gt;0")),"")</f>
        <v>34</v>
      </c>
      <c r="K929" t="str">
        <f t="shared" si="206"/>
        <v/>
      </c>
      <c r="L929" t="str">
        <f t="shared" si="212"/>
        <v/>
      </c>
      <c r="M929" t="str">
        <f t="shared" si="213"/>
        <v/>
      </c>
      <c r="N929">
        <f>IFERROR(IF(M929=0,"",COUNTIF($M$3:M929,"&gt;0")),"")</f>
        <v>33</v>
      </c>
      <c r="O929" t="str">
        <f t="shared" si="207"/>
        <v/>
      </c>
      <c r="P929" t="str">
        <f t="shared" si="214"/>
        <v/>
      </c>
      <c r="Q929" t="str">
        <f t="shared" si="215"/>
        <v/>
      </c>
      <c r="R929">
        <f>IFERROR(IF(Q929=0,"",COUNTIF($Q$3:Q929,"&gt;0")),"")</f>
        <v>16</v>
      </c>
      <c r="S929" t="str">
        <f t="shared" si="208"/>
        <v/>
      </c>
      <c r="T929" t="str">
        <f t="shared" si="216"/>
        <v/>
      </c>
      <c r="U929">
        <f>IFERROR(IF(T929=0,"",COUNTIF($T$3:T929,"&gt;0")),"")</f>
        <v>0</v>
      </c>
      <c r="V929" t="str">
        <f t="shared" si="209"/>
        <v/>
      </c>
    </row>
    <row r="930" spans="1:22">
      <c r="A930" t="e">
        <f t="shared" si="204"/>
        <v>#VALUE!</v>
      </c>
      <c r="B930" t="e">
        <f>Table4[[#This Row],[CATEGORY]]</f>
        <v>#VALUE!</v>
      </c>
      <c r="C930" t="e">
        <f>Table4[[#This Row],[SUB-CATEGORY]]</f>
        <v>#VALUE!</v>
      </c>
      <c r="D930">
        <f>'RJ ATTENDENCE SHEET'!C:C</f>
        <v>0</v>
      </c>
      <c r="E930" t="e">
        <f t="shared" si="203"/>
        <v>#VALUE!</v>
      </c>
      <c r="F930" t="str">
        <f t="shared" si="210"/>
        <v/>
      </c>
      <c r="G930">
        <f>IFERROR(IF(F930=0,"",COUNTIF($F$3:F930,"&gt;0")),"")</f>
        <v>16</v>
      </c>
      <c r="H930" t="str">
        <f t="shared" si="205"/>
        <v/>
      </c>
      <c r="I930" t="str">
        <f t="shared" si="211"/>
        <v/>
      </c>
      <c r="J930">
        <f>IFERROR(IF(I930=0,"",COUNTIF($I$3:I930,"&gt;0")),"")</f>
        <v>34</v>
      </c>
      <c r="K930" t="str">
        <f t="shared" si="206"/>
        <v/>
      </c>
      <c r="L930" t="str">
        <f t="shared" si="212"/>
        <v/>
      </c>
      <c r="M930" t="str">
        <f t="shared" si="213"/>
        <v/>
      </c>
      <c r="N930">
        <f>IFERROR(IF(M930=0,"",COUNTIF($M$3:M930,"&gt;0")),"")</f>
        <v>33</v>
      </c>
      <c r="O930" t="str">
        <f t="shared" si="207"/>
        <v/>
      </c>
      <c r="P930" t="str">
        <f t="shared" si="214"/>
        <v/>
      </c>
      <c r="Q930" t="str">
        <f t="shared" si="215"/>
        <v/>
      </c>
      <c r="R930">
        <f>IFERROR(IF(Q930=0,"",COUNTIF($Q$3:Q930,"&gt;0")),"")</f>
        <v>16</v>
      </c>
      <c r="S930" t="str">
        <f t="shared" si="208"/>
        <v/>
      </c>
      <c r="T930" t="str">
        <f t="shared" si="216"/>
        <v/>
      </c>
      <c r="U930">
        <f>IFERROR(IF(T930=0,"",COUNTIF($T$3:T930,"&gt;0")),"")</f>
        <v>0</v>
      </c>
      <c r="V930" t="str">
        <f t="shared" si="209"/>
        <v/>
      </c>
    </row>
    <row r="931" spans="1:22">
      <c r="A931" t="e">
        <f t="shared" si="204"/>
        <v>#VALUE!</v>
      </c>
      <c r="B931" t="e">
        <f>Table4[[#This Row],[CATEGORY]]</f>
        <v>#VALUE!</v>
      </c>
      <c r="C931" t="e">
        <f>Table4[[#This Row],[SUB-CATEGORY]]</f>
        <v>#VALUE!</v>
      </c>
      <c r="D931">
        <f>'RJ ATTENDENCE SHEET'!C:C</f>
        <v>0</v>
      </c>
      <c r="E931" t="e">
        <f t="shared" si="203"/>
        <v>#VALUE!</v>
      </c>
      <c r="F931" t="str">
        <f t="shared" si="210"/>
        <v/>
      </c>
      <c r="G931">
        <f>IFERROR(IF(F931=0,"",COUNTIF($F$3:F931,"&gt;0")),"")</f>
        <v>16</v>
      </c>
      <c r="H931" t="str">
        <f t="shared" si="205"/>
        <v/>
      </c>
      <c r="I931" t="str">
        <f t="shared" si="211"/>
        <v/>
      </c>
      <c r="J931">
        <f>IFERROR(IF(I931=0,"",COUNTIF($I$3:I931,"&gt;0")),"")</f>
        <v>34</v>
      </c>
      <c r="K931" t="str">
        <f t="shared" si="206"/>
        <v/>
      </c>
      <c r="L931" t="str">
        <f t="shared" si="212"/>
        <v/>
      </c>
      <c r="M931" t="str">
        <f t="shared" si="213"/>
        <v/>
      </c>
      <c r="N931">
        <f>IFERROR(IF(M931=0,"",COUNTIF($M$3:M931,"&gt;0")),"")</f>
        <v>33</v>
      </c>
      <c r="O931" t="str">
        <f t="shared" si="207"/>
        <v/>
      </c>
      <c r="P931" t="str">
        <f t="shared" si="214"/>
        <v/>
      </c>
      <c r="Q931" t="str">
        <f t="shared" si="215"/>
        <v/>
      </c>
      <c r="R931">
        <f>IFERROR(IF(Q931=0,"",COUNTIF($Q$3:Q931,"&gt;0")),"")</f>
        <v>16</v>
      </c>
      <c r="S931" t="str">
        <f t="shared" si="208"/>
        <v/>
      </c>
      <c r="T931" t="str">
        <f t="shared" si="216"/>
        <v/>
      </c>
      <c r="U931">
        <f>IFERROR(IF(T931=0,"",COUNTIF($T$3:T931,"&gt;0")),"")</f>
        <v>0</v>
      </c>
      <c r="V931" t="str">
        <f t="shared" si="209"/>
        <v/>
      </c>
    </row>
    <row r="932" spans="1:22">
      <c r="A932" t="e">
        <f t="shared" si="204"/>
        <v>#VALUE!</v>
      </c>
      <c r="B932" t="e">
        <f>Table4[[#This Row],[CATEGORY]]</f>
        <v>#VALUE!</v>
      </c>
      <c r="C932" t="e">
        <f>Table4[[#This Row],[SUB-CATEGORY]]</f>
        <v>#VALUE!</v>
      </c>
      <c r="D932">
        <f>'RJ ATTENDENCE SHEET'!C:C</f>
        <v>0</v>
      </c>
      <c r="E932" t="e">
        <f t="shared" si="203"/>
        <v>#VALUE!</v>
      </c>
      <c r="F932" t="str">
        <f t="shared" si="210"/>
        <v/>
      </c>
      <c r="G932">
        <f>IFERROR(IF(F932=0,"",COUNTIF($F$3:F932,"&gt;0")),"")</f>
        <v>16</v>
      </c>
      <c r="H932" t="str">
        <f t="shared" si="205"/>
        <v/>
      </c>
      <c r="I932" t="str">
        <f t="shared" si="211"/>
        <v/>
      </c>
      <c r="J932">
        <f>IFERROR(IF(I932=0,"",COUNTIF($I$3:I932,"&gt;0")),"")</f>
        <v>34</v>
      </c>
      <c r="K932" t="str">
        <f t="shared" si="206"/>
        <v/>
      </c>
      <c r="L932" t="str">
        <f t="shared" si="212"/>
        <v/>
      </c>
      <c r="M932" t="str">
        <f t="shared" si="213"/>
        <v/>
      </c>
      <c r="N932">
        <f>IFERROR(IF(M932=0,"",COUNTIF($M$3:M932,"&gt;0")),"")</f>
        <v>33</v>
      </c>
      <c r="O932" t="str">
        <f t="shared" si="207"/>
        <v/>
      </c>
      <c r="P932" t="str">
        <f t="shared" si="214"/>
        <v/>
      </c>
      <c r="Q932" t="str">
        <f t="shared" si="215"/>
        <v/>
      </c>
      <c r="R932">
        <f>IFERROR(IF(Q932=0,"",COUNTIF($Q$3:Q932,"&gt;0")),"")</f>
        <v>16</v>
      </c>
      <c r="S932" t="str">
        <f t="shared" si="208"/>
        <v/>
      </c>
      <c r="T932" t="str">
        <f t="shared" si="216"/>
        <v/>
      </c>
      <c r="U932">
        <f>IFERROR(IF(T932=0,"",COUNTIF($T$3:T932,"&gt;0")),"")</f>
        <v>0</v>
      </c>
      <c r="V932" t="str">
        <f t="shared" si="209"/>
        <v/>
      </c>
    </row>
    <row r="933" spans="1:22">
      <c r="A933" t="e">
        <f t="shared" si="204"/>
        <v>#VALUE!</v>
      </c>
      <c r="B933" t="e">
        <f>Table4[[#This Row],[CATEGORY]]</f>
        <v>#VALUE!</v>
      </c>
      <c r="C933" t="e">
        <f>Table4[[#This Row],[SUB-CATEGORY]]</f>
        <v>#VALUE!</v>
      </c>
      <c r="D933">
        <f>'RJ ATTENDENCE SHEET'!C:C</f>
        <v>0</v>
      </c>
      <c r="E933" t="e">
        <f t="shared" si="203"/>
        <v>#VALUE!</v>
      </c>
      <c r="F933" t="str">
        <f t="shared" si="210"/>
        <v/>
      </c>
      <c r="G933">
        <f>IFERROR(IF(F933=0,"",COUNTIF($F$3:F933,"&gt;0")),"")</f>
        <v>16</v>
      </c>
      <c r="H933" t="str">
        <f t="shared" si="205"/>
        <v/>
      </c>
      <c r="I933" t="str">
        <f t="shared" si="211"/>
        <v/>
      </c>
      <c r="J933">
        <f>IFERROR(IF(I933=0,"",COUNTIF($I$3:I933,"&gt;0")),"")</f>
        <v>34</v>
      </c>
      <c r="K933" t="str">
        <f t="shared" si="206"/>
        <v/>
      </c>
      <c r="L933" t="str">
        <f t="shared" si="212"/>
        <v/>
      </c>
      <c r="M933" t="str">
        <f t="shared" si="213"/>
        <v/>
      </c>
      <c r="N933">
        <f>IFERROR(IF(M933=0,"",COUNTIF($M$3:M933,"&gt;0")),"")</f>
        <v>33</v>
      </c>
      <c r="O933" t="str">
        <f t="shared" si="207"/>
        <v/>
      </c>
      <c r="P933" t="str">
        <f t="shared" si="214"/>
        <v/>
      </c>
      <c r="Q933" t="str">
        <f t="shared" si="215"/>
        <v/>
      </c>
      <c r="R933">
        <f>IFERROR(IF(Q933=0,"",COUNTIF($Q$3:Q933,"&gt;0")),"")</f>
        <v>16</v>
      </c>
      <c r="S933" t="str">
        <f t="shared" si="208"/>
        <v/>
      </c>
      <c r="T933" t="str">
        <f t="shared" si="216"/>
        <v/>
      </c>
      <c r="U933">
        <f>IFERROR(IF(T933=0,"",COUNTIF($T$3:T933,"&gt;0")),"")</f>
        <v>0</v>
      </c>
      <c r="V933" t="str">
        <f t="shared" si="209"/>
        <v/>
      </c>
    </row>
    <row r="934" spans="1:22">
      <c r="A934" t="e">
        <f t="shared" si="204"/>
        <v>#VALUE!</v>
      </c>
      <c r="B934" t="e">
        <f>Table4[[#This Row],[CATEGORY]]</f>
        <v>#VALUE!</v>
      </c>
      <c r="C934" t="e">
        <f>Table4[[#This Row],[SUB-CATEGORY]]</f>
        <v>#VALUE!</v>
      </c>
      <c r="D934">
        <f>'RJ ATTENDENCE SHEET'!C:C</f>
        <v>0</v>
      </c>
      <c r="E934" t="e">
        <f t="shared" si="203"/>
        <v>#VALUE!</v>
      </c>
      <c r="F934" t="str">
        <f t="shared" si="210"/>
        <v/>
      </c>
      <c r="G934">
        <f>IFERROR(IF(F934=0,"",COUNTIF($F$3:F934,"&gt;0")),"")</f>
        <v>16</v>
      </c>
      <c r="H934" t="str">
        <f t="shared" si="205"/>
        <v/>
      </c>
      <c r="I934" t="str">
        <f t="shared" si="211"/>
        <v/>
      </c>
      <c r="J934">
        <f>IFERROR(IF(I934=0,"",COUNTIF($I$3:I934,"&gt;0")),"")</f>
        <v>34</v>
      </c>
      <c r="K934" t="str">
        <f t="shared" si="206"/>
        <v/>
      </c>
      <c r="L934" t="str">
        <f t="shared" si="212"/>
        <v/>
      </c>
      <c r="M934" t="str">
        <f t="shared" si="213"/>
        <v/>
      </c>
      <c r="N934">
        <f>IFERROR(IF(M934=0,"",COUNTIF($M$3:M934,"&gt;0")),"")</f>
        <v>33</v>
      </c>
      <c r="O934" t="str">
        <f t="shared" si="207"/>
        <v/>
      </c>
      <c r="P934" t="str">
        <f t="shared" si="214"/>
        <v/>
      </c>
      <c r="Q934" t="str">
        <f t="shared" si="215"/>
        <v/>
      </c>
      <c r="R934">
        <f>IFERROR(IF(Q934=0,"",COUNTIF($Q$3:Q934,"&gt;0")),"")</f>
        <v>16</v>
      </c>
      <c r="S934" t="str">
        <f t="shared" si="208"/>
        <v/>
      </c>
      <c r="T934" t="str">
        <f t="shared" si="216"/>
        <v/>
      </c>
      <c r="U934">
        <f>IFERROR(IF(T934=0,"",COUNTIF($T$3:T934,"&gt;0")),"")</f>
        <v>0</v>
      </c>
      <c r="V934" t="str">
        <f t="shared" si="209"/>
        <v/>
      </c>
    </row>
    <row r="935" spans="1:22">
      <c r="A935" t="e">
        <f t="shared" si="204"/>
        <v>#VALUE!</v>
      </c>
      <c r="B935" t="e">
        <f>Table4[[#This Row],[CATEGORY]]</f>
        <v>#VALUE!</v>
      </c>
      <c r="C935" t="e">
        <f>Table4[[#This Row],[SUB-CATEGORY]]</f>
        <v>#VALUE!</v>
      </c>
      <c r="D935">
        <f>'RJ ATTENDENCE SHEET'!C:C</f>
        <v>0</v>
      </c>
      <c r="E935" t="e">
        <f t="shared" si="203"/>
        <v>#VALUE!</v>
      </c>
      <c r="F935" t="str">
        <f t="shared" si="210"/>
        <v/>
      </c>
      <c r="G935">
        <f>IFERROR(IF(F935=0,"",COUNTIF($F$3:F935,"&gt;0")),"")</f>
        <v>16</v>
      </c>
      <c r="H935" t="str">
        <f t="shared" si="205"/>
        <v/>
      </c>
      <c r="I935" t="str">
        <f t="shared" si="211"/>
        <v/>
      </c>
      <c r="J935">
        <f>IFERROR(IF(I935=0,"",COUNTIF($I$3:I935,"&gt;0")),"")</f>
        <v>34</v>
      </c>
      <c r="K935" t="str">
        <f t="shared" si="206"/>
        <v/>
      </c>
      <c r="L935" t="str">
        <f t="shared" si="212"/>
        <v/>
      </c>
      <c r="M935" t="str">
        <f t="shared" si="213"/>
        <v/>
      </c>
      <c r="N935">
        <f>IFERROR(IF(M935=0,"",COUNTIF($M$3:M935,"&gt;0")),"")</f>
        <v>33</v>
      </c>
      <c r="O935" t="str">
        <f t="shared" si="207"/>
        <v/>
      </c>
      <c r="P935" t="str">
        <f t="shared" si="214"/>
        <v/>
      </c>
      <c r="Q935" t="str">
        <f t="shared" si="215"/>
        <v/>
      </c>
      <c r="R935">
        <f>IFERROR(IF(Q935=0,"",COUNTIF($Q$3:Q935,"&gt;0")),"")</f>
        <v>16</v>
      </c>
      <c r="S935" t="str">
        <f t="shared" si="208"/>
        <v/>
      </c>
      <c r="T935" t="str">
        <f t="shared" si="216"/>
        <v/>
      </c>
      <c r="U935">
        <f>IFERROR(IF(T935=0,"",COUNTIF($T$3:T935,"&gt;0")),"")</f>
        <v>0</v>
      </c>
      <c r="V935" t="str">
        <f t="shared" si="209"/>
        <v/>
      </c>
    </row>
    <row r="936" spans="1:22">
      <c r="A936" t="e">
        <f t="shared" si="204"/>
        <v>#VALUE!</v>
      </c>
      <c r="B936" t="e">
        <f>Table4[[#This Row],[CATEGORY]]</f>
        <v>#VALUE!</v>
      </c>
      <c r="C936" t="e">
        <f>Table4[[#This Row],[SUB-CATEGORY]]</f>
        <v>#VALUE!</v>
      </c>
      <c r="D936">
        <f>'RJ ATTENDENCE SHEET'!C:C</f>
        <v>0</v>
      </c>
      <c r="E936" t="e">
        <f t="shared" si="203"/>
        <v>#VALUE!</v>
      </c>
      <c r="F936" t="str">
        <f t="shared" si="210"/>
        <v/>
      </c>
      <c r="G936">
        <f>IFERROR(IF(F936=0,"",COUNTIF($F$3:F936,"&gt;0")),"")</f>
        <v>16</v>
      </c>
      <c r="H936" t="str">
        <f t="shared" si="205"/>
        <v/>
      </c>
      <c r="I936" t="str">
        <f t="shared" si="211"/>
        <v/>
      </c>
      <c r="J936">
        <f>IFERROR(IF(I936=0,"",COUNTIF($I$3:I936,"&gt;0")),"")</f>
        <v>34</v>
      </c>
      <c r="K936" t="str">
        <f t="shared" si="206"/>
        <v/>
      </c>
      <c r="L936" t="str">
        <f t="shared" si="212"/>
        <v/>
      </c>
      <c r="M936" t="str">
        <f t="shared" si="213"/>
        <v/>
      </c>
      <c r="N936">
        <f>IFERROR(IF(M936=0,"",COUNTIF($M$3:M936,"&gt;0")),"")</f>
        <v>33</v>
      </c>
      <c r="O936" t="str">
        <f t="shared" si="207"/>
        <v/>
      </c>
      <c r="P936" t="str">
        <f t="shared" si="214"/>
        <v/>
      </c>
      <c r="Q936" t="str">
        <f t="shared" si="215"/>
        <v/>
      </c>
      <c r="R936">
        <f>IFERROR(IF(Q936=0,"",COUNTIF($Q$3:Q936,"&gt;0")),"")</f>
        <v>16</v>
      </c>
      <c r="S936" t="str">
        <f t="shared" si="208"/>
        <v/>
      </c>
      <c r="T936" t="str">
        <f t="shared" si="216"/>
        <v/>
      </c>
      <c r="U936">
        <f>IFERROR(IF(T936=0,"",COUNTIF($T$3:T936,"&gt;0")),"")</f>
        <v>0</v>
      </c>
      <c r="V936" t="str">
        <f t="shared" si="209"/>
        <v/>
      </c>
    </row>
    <row r="937" spans="1:22">
      <c r="A937" t="e">
        <f t="shared" si="204"/>
        <v>#VALUE!</v>
      </c>
      <c r="B937" t="e">
        <f>Table4[[#This Row],[CATEGORY]]</f>
        <v>#VALUE!</v>
      </c>
      <c r="C937" t="e">
        <f>Table4[[#This Row],[SUB-CATEGORY]]</f>
        <v>#VALUE!</v>
      </c>
      <c r="D937">
        <f>'RJ ATTENDENCE SHEET'!C:C</f>
        <v>0</v>
      </c>
      <c r="E937" t="e">
        <f t="shared" si="203"/>
        <v>#VALUE!</v>
      </c>
      <c r="F937" t="str">
        <f t="shared" si="210"/>
        <v/>
      </c>
      <c r="G937">
        <f>IFERROR(IF(F937=0,"",COUNTIF($F$3:F937,"&gt;0")),"")</f>
        <v>16</v>
      </c>
      <c r="H937" t="str">
        <f t="shared" si="205"/>
        <v/>
      </c>
      <c r="I937" t="str">
        <f t="shared" si="211"/>
        <v/>
      </c>
      <c r="J937">
        <f>IFERROR(IF(I937=0,"",COUNTIF($I$3:I937,"&gt;0")),"")</f>
        <v>34</v>
      </c>
      <c r="K937" t="str">
        <f t="shared" si="206"/>
        <v/>
      </c>
      <c r="L937" t="str">
        <f t="shared" si="212"/>
        <v/>
      </c>
      <c r="M937" t="str">
        <f t="shared" si="213"/>
        <v/>
      </c>
      <c r="N937">
        <f>IFERROR(IF(M937=0,"",COUNTIF($M$3:M937,"&gt;0")),"")</f>
        <v>33</v>
      </c>
      <c r="O937" t="str">
        <f t="shared" si="207"/>
        <v/>
      </c>
      <c r="P937" t="str">
        <f t="shared" si="214"/>
        <v/>
      </c>
      <c r="Q937" t="str">
        <f t="shared" si="215"/>
        <v/>
      </c>
      <c r="R937">
        <f>IFERROR(IF(Q937=0,"",COUNTIF($Q$3:Q937,"&gt;0")),"")</f>
        <v>16</v>
      </c>
      <c r="S937" t="str">
        <f t="shared" si="208"/>
        <v/>
      </c>
      <c r="T937" t="str">
        <f t="shared" si="216"/>
        <v/>
      </c>
      <c r="U937">
        <f>IFERROR(IF(T937=0,"",COUNTIF($T$3:T937,"&gt;0")),"")</f>
        <v>0</v>
      </c>
      <c r="V937" t="str">
        <f t="shared" si="209"/>
        <v/>
      </c>
    </row>
    <row r="938" spans="1:22">
      <c r="A938" t="e">
        <f t="shared" si="204"/>
        <v>#VALUE!</v>
      </c>
      <c r="B938" t="e">
        <f>Table4[[#This Row],[CATEGORY]]</f>
        <v>#VALUE!</v>
      </c>
      <c r="C938" t="e">
        <f>Table4[[#This Row],[SUB-CATEGORY]]</f>
        <v>#VALUE!</v>
      </c>
      <c r="D938">
        <f>'RJ ATTENDENCE SHEET'!C:C</f>
        <v>0</v>
      </c>
      <c r="E938" t="e">
        <f t="shared" si="203"/>
        <v>#VALUE!</v>
      </c>
      <c r="F938" t="str">
        <f t="shared" si="210"/>
        <v/>
      </c>
      <c r="G938">
        <f>IFERROR(IF(F938=0,"",COUNTIF($F$3:F938,"&gt;0")),"")</f>
        <v>16</v>
      </c>
      <c r="H938" t="str">
        <f t="shared" si="205"/>
        <v/>
      </c>
      <c r="I938" t="str">
        <f t="shared" si="211"/>
        <v/>
      </c>
      <c r="J938">
        <f>IFERROR(IF(I938=0,"",COUNTIF($I$3:I938,"&gt;0")),"")</f>
        <v>34</v>
      </c>
      <c r="K938" t="str">
        <f t="shared" si="206"/>
        <v/>
      </c>
      <c r="L938" t="str">
        <f t="shared" si="212"/>
        <v/>
      </c>
      <c r="M938" t="str">
        <f t="shared" si="213"/>
        <v/>
      </c>
      <c r="N938">
        <f>IFERROR(IF(M938=0,"",COUNTIF($M$3:M938,"&gt;0")),"")</f>
        <v>33</v>
      </c>
      <c r="O938" t="str">
        <f t="shared" si="207"/>
        <v/>
      </c>
      <c r="P938" t="str">
        <f t="shared" si="214"/>
        <v/>
      </c>
      <c r="Q938" t="str">
        <f t="shared" si="215"/>
        <v/>
      </c>
      <c r="R938">
        <f>IFERROR(IF(Q938=0,"",COUNTIF($Q$3:Q938,"&gt;0")),"")</f>
        <v>16</v>
      </c>
      <c r="S938" t="str">
        <f t="shared" si="208"/>
        <v/>
      </c>
      <c r="T938" t="str">
        <f t="shared" si="216"/>
        <v/>
      </c>
      <c r="U938">
        <f>IFERROR(IF(T938=0,"",COUNTIF($T$3:T938,"&gt;0")),"")</f>
        <v>0</v>
      </c>
      <c r="V938" t="str">
        <f t="shared" si="209"/>
        <v/>
      </c>
    </row>
    <row r="939" spans="1:22">
      <c r="A939" t="e">
        <f t="shared" si="204"/>
        <v>#VALUE!</v>
      </c>
      <c r="B939" t="e">
        <f>Table4[[#This Row],[CATEGORY]]</f>
        <v>#VALUE!</v>
      </c>
      <c r="C939" t="e">
        <f>Table4[[#This Row],[SUB-CATEGORY]]</f>
        <v>#VALUE!</v>
      </c>
      <c r="D939">
        <f>'RJ ATTENDENCE SHEET'!C:C</f>
        <v>0</v>
      </c>
      <c r="E939" t="e">
        <f t="shared" si="203"/>
        <v>#VALUE!</v>
      </c>
      <c r="F939" t="str">
        <f t="shared" si="210"/>
        <v/>
      </c>
      <c r="G939">
        <f>IFERROR(IF(F939=0,"",COUNTIF($F$3:F939,"&gt;0")),"")</f>
        <v>16</v>
      </c>
      <c r="H939" t="str">
        <f t="shared" si="205"/>
        <v/>
      </c>
      <c r="I939" t="str">
        <f t="shared" si="211"/>
        <v/>
      </c>
      <c r="J939">
        <f>IFERROR(IF(I939=0,"",COUNTIF($I$3:I939,"&gt;0")),"")</f>
        <v>34</v>
      </c>
      <c r="K939" t="str">
        <f t="shared" si="206"/>
        <v/>
      </c>
      <c r="L939" t="str">
        <f t="shared" si="212"/>
        <v/>
      </c>
      <c r="M939" t="str">
        <f t="shared" si="213"/>
        <v/>
      </c>
      <c r="N939">
        <f>IFERROR(IF(M939=0,"",COUNTIF($M$3:M939,"&gt;0")),"")</f>
        <v>33</v>
      </c>
      <c r="O939" t="str">
        <f t="shared" si="207"/>
        <v/>
      </c>
      <c r="P939" t="str">
        <f t="shared" si="214"/>
        <v/>
      </c>
      <c r="Q939" t="str">
        <f t="shared" si="215"/>
        <v/>
      </c>
      <c r="R939">
        <f>IFERROR(IF(Q939=0,"",COUNTIF($Q$3:Q939,"&gt;0")),"")</f>
        <v>16</v>
      </c>
      <c r="S939" t="str">
        <f t="shared" si="208"/>
        <v/>
      </c>
      <c r="T939" t="str">
        <f t="shared" si="216"/>
        <v/>
      </c>
      <c r="U939">
        <f>IFERROR(IF(T939=0,"",COUNTIF($T$3:T939,"&gt;0")),"")</f>
        <v>0</v>
      </c>
      <c r="V939" t="str">
        <f t="shared" si="209"/>
        <v/>
      </c>
    </row>
    <row r="940" spans="1:22">
      <c r="A940" t="e">
        <f t="shared" si="204"/>
        <v>#VALUE!</v>
      </c>
      <c r="B940" t="e">
        <f>Table4[[#This Row],[CATEGORY]]</f>
        <v>#VALUE!</v>
      </c>
      <c r="C940" t="e">
        <f>Table4[[#This Row],[SUB-CATEGORY]]</f>
        <v>#VALUE!</v>
      </c>
      <c r="D940">
        <f>'RJ ATTENDENCE SHEET'!C:C</f>
        <v>0</v>
      </c>
      <c r="E940" t="e">
        <f t="shared" si="203"/>
        <v>#VALUE!</v>
      </c>
      <c r="F940" t="str">
        <f t="shared" si="210"/>
        <v/>
      </c>
      <c r="G940">
        <f>IFERROR(IF(F940=0,"",COUNTIF($F$3:F940,"&gt;0")),"")</f>
        <v>16</v>
      </c>
      <c r="H940" t="str">
        <f t="shared" si="205"/>
        <v/>
      </c>
      <c r="I940" t="str">
        <f t="shared" si="211"/>
        <v/>
      </c>
      <c r="J940">
        <f>IFERROR(IF(I940=0,"",COUNTIF($I$3:I940,"&gt;0")),"")</f>
        <v>34</v>
      </c>
      <c r="K940" t="str">
        <f t="shared" si="206"/>
        <v/>
      </c>
      <c r="L940" t="str">
        <f t="shared" si="212"/>
        <v/>
      </c>
      <c r="M940" t="str">
        <f t="shared" si="213"/>
        <v/>
      </c>
      <c r="N940">
        <f>IFERROR(IF(M940=0,"",COUNTIF($M$3:M940,"&gt;0")),"")</f>
        <v>33</v>
      </c>
      <c r="O940" t="str">
        <f t="shared" si="207"/>
        <v/>
      </c>
      <c r="P940" t="str">
        <f t="shared" si="214"/>
        <v/>
      </c>
      <c r="Q940" t="str">
        <f t="shared" si="215"/>
        <v/>
      </c>
      <c r="R940">
        <f>IFERROR(IF(Q940=0,"",COUNTIF($Q$3:Q940,"&gt;0")),"")</f>
        <v>16</v>
      </c>
      <c r="S940" t="str">
        <f t="shared" si="208"/>
        <v/>
      </c>
      <c r="T940" t="str">
        <f t="shared" si="216"/>
        <v/>
      </c>
      <c r="U940">
        <f>IFERROR(IF(T940=0,"",COUNTIF($T$3:T940,"&gt;0")),"")</f>
        <v>0</v>
      </c>
      <c r="V940" t="str">
        <f t="shared" si="209"/>
        <v/>
      </c>
    </row>
    <row r="941" spans="1:22">
      <c r="A941" t="e">
        <f t="shared" si="204"/>
        <v>#VALUE!</v>
      </c>
      <c r="B941" t="e">
        <f>Table4[[#This Row],[CATEGORY]]</f>
        <v>#VALUE!</v>
      </c>
      <c r="C941" t="e">
        <f>Table4[[#This Row],[SUB-CATEGORY]]</f>
        <v>#VALUE!</v>
      </c>
      <c r="D941">
        <f>'RJ ATTENDENCE SHEET'!C:C</f>
        <v>0</v>
      </c>
      <c r="E941" t="e">
        <f t="shared" si="203"/>
        <v>#VALUE!</v>
      </c>
      <c r="F941" t="str">
        <f t="shared" si="210"/>
        <v/>
      </c>
      <c r="G941">
        <f>IFERROR(IF(F941=0,"",COUNTIF($F$3:F941,"&gt;0")),"")</f>
        <v>16</v>
      </c>
      <c r="H941" t="str">
        <f t="shared" si="205"/>
        <v/>
      </c>
      <c r="I941" t="str">
        <f t="shared" si="211"/>
        <v/>
      </c>
      <c r="J941">
        <f>IFERROR(IF(I941=0,"",COUNTIF($I$3:I941,"&gt;0")),"")</f>
        <v>34</v>
      </c>
      <c r="K941" t="str">
        <f t="shared" si="206"/>
        <v/>
      </c>
      <c r="L941" t="str">
        <f t="shared" si="212"/>
        <v/>
      </c>
      <c r="M941" t="str">
        <f t="shared" si="213"/>
        <v/>
      </c>
      <c r="N941">
        <f>IFERROR(IF(M941=0,"",COUNTIF($M$3:M941,"&gt;0")),"")</f>
        <v>33</v>
      </c>
      <c r="O941" t="str">
        <f t="shared" si="207"/>
        <v/>
      </c>
      <c r="P941" t="str">
        <f t="shared" si="214"/>
        <v/>
      </c>
      <c r="Q941" t="str">
        <f t="shared" si="215"/>
        <v/>
      </c>
      <c r="R941">
        <f>IFERROR(IF(Q941=0,"",COUNTIF($Q$3:Q941,"&gt;0")),"")</f>
        <v>16</v>
      </c>
      <c r="S941" t="str">
        <f t="shared" si="208"/>
        <v/>
      </c>
      <c r="T941" t="str">
        <f t="shared" si="216"/>
        <v/>
      </c>
      <c r="U941">
        <f>IFERROR(IF(T941=0,"",COUNTIF($T$3:T941,"&gt;0")),"")</f>
        <v>0</v>
      </c>
      <c r="V941" t="str">
        <f t="shared" si="209"/>
        <v/>
      </c>
    </row>
    <row r="942" spans="1:22">
      <c r="A942" t="e">
        <f t="shared" si="204"/>
        <v>#VALUE!</v>
      </c>
      <c r="B942" t="e">
        <f>Table4[[#This Row],[CATEGORY]]</f>
        <v>#VALUE!</v>
      </c>
      <c r="C942" t="e">
        <f>Table4[[#This Row],[SUB-CATEGORY]]</f>
        <v>#VALUE!</v>
      </c>
      <c r="D942">
        <f>'RJ ATTENDENCE SHEET'!C:C</f>
        <v>0</v>
      </c>
      <c r="E942" t="e">
        <f t="shared" si="203"/>
        <v>#VALUE!</v>
      </c>
      <c r="F942" t="str">
        <f t="shared" si="210"/>
        <v/>
      </c>
      <c r="G942">
        <f>IFERROR(IF(F942=0,"",COUNTIF($F$3:F942,"&gt;0")),"")</f>
        <v>16</v>
      </c>
      <c r="H942" t="str">
        <f t="shared" si="205"/>
        <v/>
      </c>
      <c r="I942" t="str">
        <f t="shared" si="211"/>
        <v/>
      </c>
      <c r="J942">
        <f>IFERROR(IF(I942=0,"",COUNTIF($I$3:I942,"&gt;0")),"")</f>
        <v>34</v>
      </c>
      <c r="K942" t="str">
        <f t="shared" si="206"/>
        <v/>
      </c>
      <c r="L942" t="str">
        <f t="shared" si="212"/>
        <v/>
      </c>
      <c r="M942" t="str">
        <f t="shared" si="213"/>
        <v/>
      </c>
      <c r="N942">
        <f>IFERROR(IF(M942=0,"",COUNTIF($M$3:M942,"&gt;0")),"")</f>
        <v>33</v>
      </c>
      <c r="O942" t="str">
        <f t="shared" si="207"/>
        <v/>
      </c>
      <c r="P942" t="str">
        <f t="shared" si="214"/>
        <v/>
      </c>
      <c r="Q942" t="str">
        <f t="shared" si="215"/>
        <v/>
      </c>
      <c r="R942">
        <f>IFERROR(IF(Q942=0,"",COUNTIF($Q$3:Q942,"&gt;0")),"")</f>
        <v>16</v>
      </c>
      <c r="S942" t="str">
        <f t="shared" si="208"/>
        <v/>
      </c>
      <c r="T942" t="str">
        <f t="shared" si="216"/>
        <v/>
      </c>
      <c r="U942">
        <f>IFERROR(IF(T942=0,"",COUNTIF($T$3:T942,"&gt;0")),"")</f>
        <v>0</v>
      </c>
      <c r="V942" t="str">
        <f t="shared" si="209"/>
        <v/>
      </c>
    </row>
    <row r="943" spans="1:22">
      <c r="A943" t="e">
        <f t="shared" si="204"/>
        <v>#VALUE!</v>
      </c>
      <c r="B943" t="e">
        <f>Table4[[#This Row],[CATEGORY]]</f>
        <v>#VALUE!</v>
      </c>
      <c r="C943" t="e">
        <f>Table4[[#This Row],[SUB-CATEGORY]]</f>
        <v>#VALUE!</v>
      </c>
      <c r="D943">
        <f>'RJ ATTENDENCE SHEET'!C:C</f>
        <v>0</v>
      </c>
      <c r="E943" t="e">
        <f t="shared" si="203"/>
        <v>#VALUE!</v>
      </c>
      <c r="F943" t="str">
        <f t="shared" si="210"/>
        <v/>
      </c>
      <c r="G943">
        <f>IFERROR(IF(F943=0,"",COUNTIF($F$3:F943,"&gt;0")),"")</f>
        <v>16</v>
      </c>
      <c r="H943" t="str">
        <f t="shared" si="205"/>
        <v/>
      </c>
      <c r="I943" t="str">
        <f t="shared" si="211"/>
        <v/>
      </c>
      <c r="J943">
        <f>IFERROR(IF(I943=0,"",COUNTIF($I$3:I943,"&gt;0")),"")</f>
        <v>34</v>
      </c>
      <c r="K943" t="str">
        <f t="shared" si="206"/>
        <v/>
      </c>
      <c r="L943" t="str">
        <f t="shared" si="212"/>
        <v/>
      </c>
      <c r="M943" t="str">
        <f t="shared" si="213"/>
        <v/>
      </c>
      <c r="N943">
        <f>IFERROR(IF(M943=0,"",COUNTIF($M$3:M943,"&gt;0")),"")</f>
        <v>33</v>
      </c>
      <c r="O943" t="str">
        <f t="shared" si="207"/>
        <v/>
      </c>
      <c r="P943" t="str">
        <f t="shared" si="214"/>
        <v/>
      </c>
      <c r="Q943" t="str">
        <f t="shared" si="215"/>
        <v/>
      </c>
      <c r="R943">
        <f>IFERROR(IF(Q943=0,"",COUNTIF($Q$3:Q943,"&gt;0")),"")</f>
        <v>16</v>
      </c>
      <c r="S943" t="str">
        <f t="shared" si="208"/>
        <v/>
      </c>
      <c r="T943" t="str">
        <f t="shared" si="216"/>
        <v/>
      </c>
      <c r="U943">
        <f>IFERROR(IF(T943=0,"",COUNTIF($T$3:T943,"&gt;0")),"")</f>
        <v>0</v>
      </c>
      <c r="V943" t="str">
        <f t="shared" si="209"/>
        <v/>
      </c>
    </row>
    <row r="944" spans="1:22">
      <c r="A944" t="e">
        <f t="shared" si="204"/>
        <v>#VALUE!</v>
      </c>
      <c r="B944" t="e">
        <f>Table4[[#This Row],[CATEGORY]]</f>
        <v>#VALUE!</v>
      </c>
      <c r="C944" t="e">
        <f>Table4[[#This Row],[SUB-CATEGORY]]</f>
        <v>#VALUE!</v>
      </c>
      <c r="D944">
        <f>'RJ ATTENDENCE SHEET'!C:C</f>
        <v>0</v>
      </c>
      <c r="E944" t="e">
        <f t="shared" si="203"/>
        <v>#VALUE!</v>
      </c>
      <c r="F944" t="str">
        <f t="shared" si="210"/>
        <v/>
      </c>
      <c r="G944">
        <f>IFERROR(IF(F944=0,"",COUNTIF($F$3:F944,"&gt;0")),"")</f>
        <v>16</v>
      </c>
      <c r="H944" t="str">
        <f t="shared" si="205"/>
        <v/>
      </c>
      <c r="I944" t="str">
        <f t="shared" si="211"/>
        <v/>
      </c>
      <c r="J944">
        <f>IFERROR(IF(I944=0,"",COUNTIF($I$3:I944,"&gt;0")),"")</f>
        <v>34</v>
      </c>
      <c r="K944" t="str">
        <f t="shared" si="206"/>
        <v/>
      </c>
      <c r="L944" t="str">
        <f t="shared" si="212"/>
        <v/>
      </c>
      <c r="M944" t="str">
        <f t="shared" si="213"/>
        <v/>
      </c>
      <c r="N944">
        <f>IFERROR(IF(M944=0,"",COUNTIF($M$3:M944,"&gt;0")),"")</f>
        <v>33</v>
      </c>
      <c r="O944" t="str">
        <f t="shared" si="207"/>
        <v/>
      </c>
      <c r="P944" t="str">
        <f t="shared" si="214"/>
        <v/>
      </c>
      <c r="Q944" t="str">
        <f t="shared" si="215"/>
        <v/>
      </c>
      <c r="R944">
        <f>IFERROR(IF(Q944=0,"",COUNTIF($Q$3:Q944,"&gt;0")),"")</f>
        <v>16</v>
      </c>
      <c r="S944" t="str">
        <f t="shared" si="208"/>
        <v/>
      </c>
      <c r="T944" t="str">
        <f t="shared" si="216"/>
        <v/>
      </c>
      <c r="U944">
        <f>IFERROR(IF(T944=0,"",COUNTIF($T$3:T944,"&gt;0")),"")</f>
        <v>0</v>
      </c>
      <c r="V944" t="str">
        <f t="shared" si="209"/>
        <v/>
      </c>
    </row>
    <row r="945" spans="1:22">
      <c r="A945" t="e">
        <f t="shared" si="204"/>
        <v>#VALUE!</v>
      </c>
      <c r="B945" t="e">
        <f>Table4[[#This Row],[CATEGORY]]</f>
        <v>#VALUE!</v>
      </c>
      <c r="C945" t="e">
        <f>Table4[[#This Row],[SUB-CATEGORY]]</f>
        <v>#VALUE!</v>
      </c>
      <c r="D945">
        <f>'RJ ATTENDENCE SHEET'!C:C</f>
        <v>0</v>
      </c>
      <c r="E945" t="e">
        <f t="shared" si="203"/>
        <v>#VALUE!</v>
      </c>
      <c r="F945" t="str">
        <f t="shared" si="210"/>
        <v/>
      </c>
      <c r="G945">
        <f>IFERROR(IF(F945=0,"",COUNTIF($F$3:F945,"&gt;0")),"")</f>
        <v>16</v>
      </c>
      <c r="H945" t="str">
        <f t="shared" si="205"/>
        <v/>
      </c>
      <c r="I945" t="str">
        <f t="shared" si="211"/>
        <v/>
      </c>
      <c r="J945">
        <f>IFERROR(IF(I945=0,"",COUNTIF($I$3:I945,"&gt;0")),"")</f>
        <v>34</v>
      </c>
      <c r="K945" t="str">
        <f t="shared" si="206"/>
        <v/>
      </c>
      <c r="L945" t="str">
        <f t="shared" si="212"/>
        <v/>
      </c>
      <c r="M945" t="str">
        <f t="shared" si="213"/>
        <v/>
      </c>
      <c r="N945">
        <f>IFERROR(IF(M945=0,"",COUNTIF($M$3:M945,"&gt;0")),"")</f>
        <v>33</v>
      </c>
      <c r="O945" t="str">
        <f t="shared" si="207"/>
        <v/>
      </c>
      <c r="P945" t="str">
        <f t="shared" si="214"/>
        <v/>
      </c>
      <c r="Q945" t="str">
        <f t="shared" si="215"/>
        <v/>
      </c>
      <c r="R945">
        <f>IFERROR(IF(Q945=0,"",COUNTIF($Q$3:Q945,"&gt;0")),"")</f>
        <v>16</v>
      </c>
      <c r="S945" t="str">
        <f t="shared" si="208"/>
        <v/>
      </c>
      <c r="T945" t="str">
        <f t="shared" si="216"/>
        <v/>
      </c>
      <c r="U945">
        <f>IFERROR(IF(T945=0,"",COUNTIF($T$3:T945,"&gt;0")),"")</f>
        <v>0</v>
      </c>
      <c r="V945" t="str">
        <f t="shared" si="209"/>
        <v/>
      </c>
    </row>
    <row r="946" spans="1:22">
      <c r="A946" t="e">
        <f t="shared" si="204"/>
        <v>#VALUE!</v>
      </c>
      <c r="B946" t="e">
        <f>Table4[[#This Row],[CATEGORY]]</f>
        <v>#VALUE!</v>
      </c>
      <c r="C946" t="e">
        <f>Table4[[#This Row],[SUB-CATEGORY]]</f>
        <v>#VALUE!</v>
      </c>
      <c r="D946">
        <f>'RJ ATTENDENCE SHEET'!C:C</f>
        <v>0</v>
      </c>
      <c r="E946" t="e">
        <f t="shared" si="203"/>
        <v>#VALUE!</v>
      </c>
      <c r="F946" t="str">
        <f t="shared" si="210"/>
        <v/>
      </c>
      <c r="G946">
        <f>IFERROR(IF(F946=0,"",COUNTIF($F$3:F946,"&gt;0")),"")</f>
        <v>16</v>
      </c>
      <c r="H946" t="str">
        <f t="shared" si="205"/>
        <v/>
      </c>
      <c r="I946" t="str">
        <f t="shared" si="211"/>
        <v/>
      </c>
      <c r="J946">
        <f>IFERROR(IF(I946=0,"",COUNTIF($I$3:I946,"&gt;0")),"")</f>
        <v>34</v>
      </c>
      <c r="K946" t="str">
        <f t="shared" si="206"/>
        <v/>
      </c>
      <c r="L946" t="str">
        <f t="shared" si="212"/>
        <v/>
      </c>
      <c r="M946" t="str">
        <f t="shared" si="213"/>
        <v/>
      </c>
      <c r="N946">
        <f>IFERROR(IF(M946=0,"",COUNTIF($M$3:M946,"&gt;0")),"")</f>
        <v>33</v>
      </c>
      <c r="O946" t="str">
        <f t="shared" si="207"/>
        <v/>
      </c>
      <c r="P946" t="str">
        <f t="shared" si="214"/>
        <v/>
      </c>
      <c r="Q946" t="str">
        <f t="shared" si="215"/>
        <v/>
      </c>
      <c r="R946">
        <f>IFERROR(IF(Q946=0,"",COUNTIF($Q$3:Q946,"&gt;0")),"")</f>
        <v>16</v>
      </c>
      <c r="S946" t="str">
        <f t="shared" si="208"/>
        <v/>
      </c>
      <c r="T946" t="str">
        <f t="shared" si="216"/>
        <v/>
      </c>
      <c r="U946">
        <f>IFERROR(IF(T946=0,"",COUNTIF($T$3:T946,"&gt;0")),"")</f>
        <v>0</v>
      </c>
      <c r="V946" t="str">
        <f t="shared" si="209"/>
        <v/>
      </c>
    </row>
    <row r="947" spans="1:22">
      <c r="A947" t="e">
        <f t="shared" si="204"/>
        <v>#VALUE!</v>
      </c>
      <c r="B947" t="e">
        <f>Table4[[#This Row],[CATEGORY]]</f>
        <v>#VALUE!</v>
      </c>
      <c r="C947" t="e">
        <f>Table4[[#This Row],[SUB-CATEGORY]]</f>
        <v>#VALUE!</v>
      </c>
      <c r="D947">
        <f>'RJ ATTENDENCE SHEET'!C:C</f>
        <v>0</v>
      </c>
      <c r="E947" t="e">
        <f t="shared" si="203"/>
        <v>#VALUE!</v>
      </c>
      <c r="F947" t="str">
        <f t="shared" si="210"/>
        <v/>
      </c>
      <c r="G947">
        <f>IFERROR(IF(F947=0,"",COUNTIF($F$3:F947,"&gt;0")),"")</f>
        <v>16</v>
      </c>
      <c r="H947" t="str">
        <f t="shared" si="205"/>
        <v/>
      </c>
      <c r="I947" t="str">
        <f t="shared" si="211"/>
        <v/>
      </c>
      <c r="J947">
        <f>IFERROR(IF(I947=0,"",COUNTIF($I$3:I947,"&gt;0")),"")</f>
        <v>34</v>
      </c>
      <c r="K947" t="str">
        <f t="shared" si="206"/>
        <v/>
      </c>
      <c r="L947" t="str">
        <f t="shared" si="212"/>
        <v/>
      </c>
      <c r="M947" t="str">
        <f t="shared" si="213"/>
        <v/>
      </c>
      <c r="N947">
        <f>IFERROR(IF(M947=0,"",COUNTIF($M$3:M947,"&gt;0")),"")</f>
        <v>33</v>
      </c>
      <c r="O947" t="str">
        <f t="shared" si="207"/>
        <v/>
      </c>
      <c r="P947" t="str">
        <f t="shared" si="214"/>
        <v/>
      </c>
      <c r="Q947" t="str">
        <f t="shared" si="215"/>
        <v/>
      </c>
      <c r="R947">
        <f>IFERROR(IF(Q947=0,"",COUNTIF($Q$3:Q947,"&gt;0")),"")</f>
        <v>16</v>
      </c>
      <c r="S947" t="str">
        <f t="shared" si="208"/>
        <v/>
      </c>
      <c r="T947" t="str">
        <f t="shared" si="216"/>
        <v/>
      </c>
      <c r="U947">
        <f>IFERROR(IF(T947=0,"",COUNTIF($T$3:T947,"&gt;0")),"")</f>
        <v>0</v>
      </c>
      <c r="V947" t="str">
        <f t="shared" si="209"/>
        <v/>
      </c>
    </row>
    <row r="948" spans="1:22">
      <c r="A948" t="e">
        <f t="shared" si="204"/>
        <v>#VALUE!</v>
      </c>
      <c r="B948" t="e">
        <f>Table4[[#This Row],[CATEGORY]]</f>
        <v>#VALUE!</v>
      </c>
      <c r="C948" t="e">
        <f>Table4[[#This Row],[SUB-CATEGORY]]</f>
        <v>#VALUE!</v>
      </c>
      <c r="D948">
        <f>'RJ ATTENDENCE SHEET'!C:C</f>
        <v>0</v>
      </c>
      <c r="E948" t="e">
        <f t="shared" si="203"/>
        <v>#VALUE!</v>
      </c>
      <c r="F948" t="str">
        <f t="shared" si="210"/>
        <v/>
      </c>
      <c r="G948">
        <f>IFERROR(IF(F948=0,"",COUNTIF($F$3:F948,"&gt;0")),"")</f>
        <v>16</v>
      </c>
      <c r="H948" t="str">
        <f t="shared" si="205"/>
        <v/>
      </c>
      <c r="I948" t="str">
        <f t="shared" si="211"/>
        <v/>
      </c>
      <c r="J948">
        <f>IFERROR(IF(I948=0,"",COUNTIF($I$3:I948,"&gt;0")),"")</f>
        <v>34</v>
      </c>
      <c r="K948" t="str">
        <f t="shared" si="206"/>
        <v/>
      </c>
      <c r="L948" t="str">
        <f t="shared" si="212"/>
        <v/>
      </c>
      <c r="M948" t="str">
        <f t="shared" si="213"/>
        <v/>
      </c>
      <c r="N948">
        <f>IFERROR(IF(M948=0,"",COUNTIF($M$3:M948,"&gt;0")),"")</f>
        <v>33</v>
      </c>
      <c r="O948" t="str">
        <f t="shared" si="207"/>
        <v/>
      </c>
      <c r="P948" t="str">
        <f t="shared" si="214"/>
        <v/>
      </c>
      <c r="Q948" t="str">
        <f t="shared" si="215"/>
        <v/>
      </c>
      <c r="R948">
        <f>IFERROR(IF(Q948=0,"",COUNTIF($Q$3:Q948,"&gt;0")),"")</f>
        <v>16</v>
      </c>
      <c r="S948" t="str">
        <f t="shared" si="208"/>
        <v/>
      </c>
      <c r="T948" t="str">
        <f t="shared" si="216"/>
        <v/>
      </c>
      <c r="U948">
        <f>IFERROR(IF(T948=0,"",COUNTIF($T$3:T948,"&gt;0")),"")</f>
        <v>0</v>
      </c>
      <c r="V948" t="str">
        <f t="shared" si="209"/>
        <v/>
      </c>
    </row>
    <row r="949" spans="1:22">
      <c r="A949" t="e">
        <f t="shared" si="204"/>
        <v>#VALUE!</v>
      </c>
      <c r="B949" t="e">
        <f>Table4[[#This Row],[CATEGORY]]</f>
        <v>#VALUE!</v>
      </c>
      <c r="C949" t="e">
        <f>Table4[[#This Row],[SUB-CATEGORY]]</f>
        <v>#VALUE!</v>
      </c>
      <c r="D949">
        <f>'RJ ATTENDENCE SHEET'!C:C</f>
        <v>0</v>
      </c>
      <c r="E949" t="e">
        <f t="shared" si="203"/>
        <v>#VALUE!</v>
      </c>
      <c r="F949" t="str">
        <f t="shared" si="210"/>
        <v/>
      </c>
      <c r="G949">
        <f>IFERROR(IF(F949=0,"",COUNTIF($F$3:F949,"&gt;0")),"")</f>
        <v>16</v>
      </c>
      <c r="H949" t="str">
        <f t="shared" si="205"/>
        <v/>
      </c>
      <c r="I949" t="str">
        <f t="shared" si="211"/>
        <v/>
      </c>
      <c r="J949">
        <f>IFERROR(IF(I949=0,"",COUNTIF($I$3:I949,"&gt;0")),"")</f>
        <v>34</v>
      </c>
      <c r="K949" t="str">
        <f t="shared" si="206"/>
        <v/>
      </c>
      <c r="L949" t="str">
        <f t="shared" si="212"/>
        <v/>
      </c>
      <c r="M949" t="str">
        <f t="shared" si="213"/>
        <v/>
      </c>
      <c r="N949">
        <f>IFERROR(IF(M949=0,"",COUNTIF($M$3:M949,"&gt;0")),"")</f>
        <v>33</v>
      </c>
      <c r="O949" t="str">
        <f t="shared" si="207"/>
        <v/>
      </c>
      <c r="P949" t="str">
        <f t="shared" si="214"/>
        <v/>
      </c>
      <c r="Q949" t="str">
        <f t="shared" si="215"/>
        <v/>
      </c>
      <c r="R949">
        <f>IFERROR(IF(Q949=0,"",COUNTIF($Q$3:Q949,"&gt;0")),"")</f>
        <v>16</v>
      </c>
      <c r="S949" t="str">
        <f t="shared" si="208"/>
        <v/>
      </c>
      <c r="T949" t="str">
        <f t="shared" si="216"/>
        <v/>
      </c>
      <c r="U949">
        <f>IFERROR(IF(T949=0,"",COUNTIF($T$3:T949,"&gt;0")),"")</f>
        <v>0</v>
      </c>
      <c r="V949" t="str">
        <f t="shared" si="209"/>
        <v/>
      </c>
    </row>
    <row r="950" spans="1:22">
      <c r="A950" t="e">
        <f t="shared" si="204"/>
        <v>#VALUE!</v>
      </c>
      <c r="B950" t="e">
        <f>Table4[[#This Row],[CATEGORY]]</f>
        <v>#VALUE!</v>
      </c>
      <c r="C950" t="e">
        <f>Table4[[#This Row],[SUB-CATEGORY]]</f>
        <v>#VALUE!</v>
      </c>
      <c r="D950">
        <f>'RJ ATTENDENCE SHEET'!C:C</f>
        <v>0</v>
      </c>
      <c r="E950" t="e">
        <f t="shared" si="203"/>
        <v>#VALUE!</v>
      </c>
      <c r="F950" t="str">
        <f t="shared" si="210"/>
        <v/>
      </c>
      <c r="G950">
        <f>IFERROR(IF(F950=0,"",COUNTIF($F$3:F950,"&gt;0")),"")</f>
        <v>16</v>
      </c>
      <c r="H950" t="str">
        <f t="shared" si="205"/>
        <v/>
      </c>
      <c r="I950" t="str">
        <f t="shared" si="211"/>
        <v/>
      </c>
      <c r="J950">
        <f>IFERROR(IF(I950=0,"",COUNTIF($I$3:I950,"&gt;0")),"")</f>
        <v>34</v>
      </c>
      <c r="K950" t="str">
        <f t="shared" si="206"/>
        <v/>
      </c>
      <c r="L950" t="str">
        <f t="shared" si="212"/>
        <v/>
      </c>
      <c r="M950" t="str">
        <f t="shared" si="213"/>
        <v/>
      </c>
      <c r="N950">
        <f>IFERROR(IF(M950=0,"",COUNTIF($M$3:M950,"&gt;0")),"")</f>
        <v>33</v>
      </c>
      <c r="O950" t="str">
        <f t="shared" si="207"/>
        <v/>
      </c>
      <c r="P950" t="str">
        <f t="shared" si="214"/>
        <v/>
      </c>
      <c r="Q950" t="str">
        <f t="shared" si="215"/>
        <v/>
      </c>
      <c r="R950">
        <f>IFERROR(IF(Q950=0,"",COUNTIF($Q$3:Q950,"&gt;0")),"")</f>
        <v>16</v>
      </c>
      <c r="S950" t="str">
        <f t="shared" si="208"/>
        <v/>
      </c>
      <c r="T950" t="str">
        <f t="shared" si="216"/>
        <v/>
      </c>
      <c r="U950">
        <f>IFERROR(IF(T950=0,"",COUNTIF($T$3:T950,"&gt;0")),"")</f>
        <v>0</v>
      </c>
      <c r="V950" t="str">
        <f t="shared" si="209"/>
        <v/>
      </c>
    </row>
    <row r="951" spans="1:22">
      <c r="A951" t="e">
        <f t="shared" si="204"/>
        <v>#VALUE!</v>
      </c>
      <c r="B951" t="e">
        <f>Table4[[#This Row],[CATEGORY]]</f>
        <v>#VALUE!</v>
      </c>
      <c r="C951" t="e">
        <f>Table4[[#This Row],[SUB-CATEGORY]]</f>
        <v>#VALUE!</v>
      </c>
      <c r="D951">
        <f>'RJ ATTENDENCE SHEET'!C:C</f>
        <v>0</v>
      </c>
      <c r="E951" t="e">
        <f t="shared" si="203"/>
        <v>#VALUE!</v>
      </c>
      <c r="F951" t="str">
        <f t="shared" si="210"/>
        <v/>
      </c>
      <c r="G951">
        <f>IFERROR(IF(F951=0,"",COUNTIF($F$3:F951,"&gt;0")),"")</f>
        <v>16</v>
      </c>
      <c r="H951" t="str">
        <f t="shared" si="205"/>
        <v/>
      </c>
      <c r="I951" t="str">
        <f t="shared" si="211"/>
        <v/>
      </c>
      <c r="J951">
        <f>IFERROR(IF(I951=0,"",COUNTIF($I$3:I951,"&gt;0")),"")</f>
        <v>34</v>
      </c>
      <c r="K951" t="str">
        <f t="shared" si="206"/>
        <v/>
      </c>
      <c r="L951" t="str">
        <f t="shared" si="212"/>
        <v/>
      </c>
      <c r="M951" t="str">
        <f t="shared" si="213"/>
        <v/>
      </c>
      <c r="N951">
        <f>IFERROR(IF(M951=0,"",COUNTIF($M$3:M951,"&gt;0")),"")</f>
        <v>33</v>
      </c>
      <c r="O951" t="str">
        <f t="shared" si="207"/>
        <v/>
      </c>
      <c r="P951" t="str">
        <f t="shared" si="214"/>
        <v/>
      </c>
      <c r="Q951" t="str">
        <f t="shared" si="215"/>
        <v/>
      </c>
      <c r="R951">
        <f>IFERROR(IF(Q951=0,"",COUNTIF($Q$3:Q951,"&gt;0")),"")</f>
        <v>16</v>
      </c>
      <c r="S951" t="str">
        <f t="shared" si="208"/>
        <v/>
      </c>
      <c r="T951" t="str">
        <f t="shared" si="216"/>
        <v/>
      </c>
      <c r="U951">
        <f>IFERROR(IF(T951=0,"",COUNTIF($T$3:T951,"&gt;0")),"")</f>
        <v>0</v>
      </c>
      <c r="V951" t="str">
        <f t="shared" si="209"/>
        <v/>
      </c>
    </row>
    <row r="952" spans="1:22">
      <c r="A952" t="e">
        <f t="shared" si="204"/>
        <v>#VALUE!</v>
      </c>
      <c r="B952" t="e">
        <f>Table4[[#This Row],[CATEGORY]]</f>
        <v>#VALUE!</v>
      </c>
      <c r="C952" t="e">
        <f>Table4[[#This Row],[SUB-CATEGORY]]</f>
        <v>#VALUE!</v>
      </c>
      <c r="D952">
        <f>'RJ ATTENDENCE SHEET'!C:C</f>
        <v>0</v>
      </c>
      <c r="E952" t="e">
        <f t="shared" si="203"/>
        <v>#VALUE!</v>
      </c>
      <c r="F952" t="str">
        <f t="shared" si="210"/>
        <v/>
      </c>
      <c r="G952">
        <f>IFERROR(IF(F952=0,"",COUNTIF($F$3:F952,"&gt;0")),"")</f>
        <v>16</v>
      </c>
      <c r="H952" t="str">
        <f t="shared" si="205"/>
        <v/>
      </c>
      <c r="I952" t="str">
        <f t="shared" si="211"/>
        <v/>
      </c>
      <c r="J952">
        <f>IFERROR(IF(I952=0,"",COUNTIF($I$3:I952,"&gt;0")),"")</f>
        <v>34</v>
      </c>
      <c r="K952" t="str">
        <f t="shared" si="206"/>
        <v/>
      </c>
      <c r="L952" t="str">
        <f t="shared" si="212"/>
        <v/>
      </c>
      <c r="M952" t="str">
        <f t="shared" si="213"/>
        <v/>
      </c>
      <c r="N952">
        <f>IFERROR(IF(M952=0,"",COUNTIF($M$3:M952,"&gt;0")),"")</f>
        <v>33</v>
      </c>
      <c r="O952" t="str">
        <f t="shared" si="207"/>
        <v/>
      </c>
      <c r="P952" t="str">
        <f t="shared" si="214"/>
        <v/>
      </c>
      <c r="Q952" t="str">
        <f t="shared" si="215"/>
        <v/>
      </c>
      <c r="R952">
        <f>IFERROR(IF(Q952=0,"",COUNTIF($Q$3:Q952,"&gt;0")),"")</f>
        <v>16</v>
      </c>
      <c r="S952" t="str">
        <f t="shared" si="208"/>
        <v/>
      </c>
      <c r="T952" t="str">
        <f t="shared" si="216"/>
        <v/>
      </c>
      <c r="U952">
        <f>IFERROR(IF(T952=0,"",COUNTIF($T$3:T952,"&gt;0")),"")</f>
        <v>0</v>
      </c>
      <c r="V952" t="str">
        <f t="shared" si="209"/>
        <v/>
      </c>
    </row>
    <row r="953" spans="1:22">
      <c r="A953" t="e">
        <f t="shared" si="204"/>
        <v>#VALUE!</v>
      </c>
      <c r="B953" t="e">
        <f>Table4[[#This Row],[CATEGORY]]</f>
        <v>#VALUE!</v>
      </c>
      <c r="C953" t="e">
        <f>Table4[[#This Row],[SUB-CATEGORY]]</f>
        <v>#VALUE!</v>
      </c>
      <c r="D953">
        <f>'RJ ATTENDENCE SHEET'!C:C</f>
        <v>0</v>
      </c>
      <c r="E953" t="e">
        <f t="shared" si="203"/>
        <v>#VALUE!</v>
      </c>
      <c r="F953" t="str">
        <f t="shared" si="210"/>
        <v/>
      </c>
      <c r="G953">
        <f>IFERROR(IF(F953=0,"",COUNTIF($F$3:F953,"&gt;0")),"")</f>
        <v>16</v>
      </c>
      <c r="H953" t="str">
        <f t="shared" si="205"/>
        <v/>
      </c>
      <c r="I953" t="str">
        <f t="shared" si="211"/>
        <v/>
      </c>
      <c r="J953">
        <f>IFERROR(IF(I953=0,"",COUNTIF($I$3:I953,"&gt;0")),"")</f>
        <v>34</v>
      </c>
      <c r="K953" t="str">
        <f t="shared" si="206"/>
        <v/>
      </c>
      <c r="L953" t="str">
        <f t="shared" si="212"/>
        <v/>
      </c>
      <c r="M953" t="str">
        <f t="shared" si="213"/>
        <v/>
      </c>
      <c r="N953">
        <f>IFERROR(IF(M953=0,"",COUNTIF($M$3:M953,"&gt;0")),"")</f>
        <v>33</v>
      </c>
      <c r="O953" t="str">
        <f t="shared" si="207"/>
        <v/>
      </c>
      <c r="P953" t="str">
        <f t="shared" si="214"/>
        <v/>
      </c>
      <c r="Q953" t="str">
        <f t="shared" si="215"/>
        <v/>
      </c>
      <c r="R953">
        <f>IFERROR(IF(Q953=0,"",COUNTIF($Q$3:Q953,"&gt;0")),"")</f>
        <v>16</v>
      </c>
      <c r="S953" t="str">
        <f t="shared" si="208"/>
        <v/>
      </c>
      <c r="T953" t="str">
        <f t="shared" si="216"/>
        <v/>
      </c>
      <c r="U953">
        <f>IFERROR(IF(T953=0,"",COUNTIF($T$3:T953,"&gt;0")),"")</f>
        <v>0</v>
      </c>
      <c r="V953" t="str">
        <f t="shared" si="209"/>
        <v/>
      </c>
    </row>
    <row r="954" spans="1:22">
      <c r="A954" t="e">
        <f t="shared" si="204"/>
        <v>#VALUE!</v>
      </c>
      <c r="B954" t="e">
        <f>Table4[[#This Row],[CATEGORY]]</f>
        <v>#VALUE!</v>
      </c>
      <c r="C954" t="e">
        <f>Table4[[#This Row],[SUB-CATEGORY]]</f>
        <v>#VALUE!</v>
      </c>
      <c r="D954">
        <f>'RJ ATTENDENCE SHEET'!C:C</f>
        <v>0</v>
      </c>
      <c r="E954" t="e">
        <f t="shared" si="203"/>
        <v>#VALUE!</v>
      </c>
      <c r="F954" t="str">
        <f t="shared" si="210"/>
        <v/>
      </c>
      <c r="G954">
        <f>IFERROR(IF(F954=0,"",COUNTIF($F$3:F954,"&gt;0")),"")</f>
        <v>16</v>
      </c>
      <c r="H954" t="str">
        <f t="shared" si="205"/>
        <v/>
      </c>
      <c r="I954" t="str">
        <f t="shared" si="211"/>
        <v/>
      </c>
      <c r="J954">
        <f>IFERROR(IF(I954=0,"",COUNTIF($I$3:I954,"&gt;0")),"")</f>
        <v>34</v>
      </c>
      <c r="K954" t="str">
        <f t="shared" si="206"/>
        <v/>
      </c>
      <c r="L954" t="str">
        <f t="shared" si="212"/>
        <v/>
      </c>
      <c r="M954" t="str">
        <f t="shared" si="213"/>
        <v/>
      </c>
      <c r="N954">
        <f>IFERROR(IF(M954=0,"",COUNTIF($M$3:M954,"&gt;0")),"")</f>
        <v>33</v>
      </c>
      <c r="O954" t="str">
        <f t="shared" si="207"/>
        <v/>
      </c>
      <c r="P954" t="str">
        <f t="shared" si="214"/>
        <v/>
      </c>
      <c r="Q954" t="str">
        <f t="shared" si="215"/>
        <v/>
      </c>
      <c r="R954">
        <f>IFERROR(IF(Q954=0,"",COUNTIF($Q$3:Q954,"&gt;0")),"")</f>
        <v>16</v>
      </c>
      <c r="S954" t="str">
        <f t="shared" si="208"/>
        <v/>
      </c>
      <c r="T954" t="str">
        <f t="shared" si="216"/>
        <v/>
      </c>
      <c r="U954">
        <f>IFERROR(IF(T954=0,"",COUNTIF($T$3:T954,"&gt;0")),"")</f>
        <v>0</v>
      </c>
      <c r="V954" t="str">
        <f t="shared" si="209"/>
        <v/>
      </c>
    </row>
    <row r="955" spans="1:22">
      <c r="A955" t="e">
        <f t="shared" si="204"/>
        <v>#VALUE!</v>
      </c>
      <c r="B955" t="e">
        <f>Table4[[#This Row],[CATEGORY]]</f>
        <v>#VALUE!</v>
      </c>
      <c r="C955" t="e">
        <f>Table4[[#This Row],[SUB-CATEGORY]]</f>
        <v>#VALUE!</v>
      </c>
      <c r="D955">
        <f>'RJ ATTENDENCE SHEET'!C:C</f>
        <v>0</v>
      </c>
      <c r="E955" t="e">
        <f t="shared" si="203"/>
        <v>#VALUE!</v>
      </c>
      <c r="F955" t="str">
        <f t="shared" si="210"/>
        <v/>
      </c>
      <c r="G955">
        <f>IFERROR(IF(F955=0,"",COUNTIF($F$3:F955,"&gt;0")),"")</f>
        <v>16</v>
      </c>
      <c r="H955" t="str">
        <f t="shared" si="205"/>
        <v/>
      </c>
      <c r="I955" t="str">
        <f t="shared" si="211"/>
        <v/>
      </c>
      <c r="J955">
        <f>IFERROR(IF(I955=0,"",COUNTIF($I$3:I955,"&gt;0")),"")</f>
        <v>34</v>
      </c>
      <c r="K955" t="str">
        <f t="shared" si="206"/>
        <v/>
      </c>
      <c r="L955" t="str">
        <f t="shared" si="212"/>
        <v/>
      </c>
      <c r="M955" t="str">
        <f t="shared" si="213"/>
        <v/>
      </c>
      <c r="N955">
        <f>IFERROR(IF(M955=0,"",COUNTIF($M$3:M955,"&gt;0")),"")</f>
        <v>33</v>
      </c>
      <c r="O955" t="str">
        <f t="shared" si="207"/>
        <v/>
      </c>
      <c r="P955" t="str">
        <f t="shared" si="214"/>
        <v/>
      </c>
      <c r="Q955" t="str">
        <f t="shared" si="215"/>
        <v/>
      </c>
      <c r="R955">
        <f>IFERROR(IF(Q955=0,"",COUNTIF($Q$3:Q955,"&gt;0")),"")</f>
        <v>16</v>
      </c>
      <c r="S955" t="str">
        <f t="shared" si="208"/>
        <v/>
      </c>
      <c r="T955" t="str">
        <f t="shared" si="216"/>
        <v/>
      </c>
      <c r="U955">
        <f>IFERROR(IF(T955=0,"",COUNTIF($T$3:T955,"&gt;0")),"")</f>
        <v>0</v>
      </c>
      <c r="V955" t="str">
        <f t="shared" si="209"/>
        <v/>
      </c>
    </row>
    <row r="956" spans="1:22">
      <c r="A956" t="e">
        <f t="shared" si="204"/>
        <v>#VALUE!</v>
      </c>
      <c r="B956" t="e">
        <f>Table4[[#This Row],[CATEGORY]]</f>
        <v>#VALUE!</v>
      </c>
      <c r="C956" t="e">
        <f>Table4[[#This Row],[SUB-CATEGORY]]</f>
        <v>#VALUE!</v>
      </c>
      <c r="D956">
        <f>'RJ ATTENDENCE SHEET'!C:C</f>
        <v>0</v>
      </c>
      <c r="E956" t="e">
        <f t="shared" si="203"/>
        <v>#VALUE!</v>
      </c>
      <c r="F956" t="str">
        <f t="shared" si="210"/>
        <v/>
      </c>
      <c r="G956">
        <f>IFERROR(IF(F956=0,"",COUNTIF($F$3:F956,"&gt;0")),"")</f>
        <v>16</v>
      </c>
      <c r="H956" t="str">
        <f t="shared" si="205"/>
        <v/>
      </c>
      <c r="I956" t="str">
        <f t="shared" si="211"/>
        <v/>
      </c>
      <c r="J956">
        <f>IFERROR(IF(I956=0,"",COUNTIF($I$3:I956,"&gt;0")),"")</f>
        <v>34</v>
      </c>
      <c r="K956" t="str">
        <f t="shared" si="206"/>
        <v/>
      </c>
      <c r="L956" t="str">
        <f t="shared" si="212"/>
        <v/>
      </c>
      <c r="M956" t="str">
        <f t="shared" si="213"/>
        <v/>
      </c>
      <c r="N956">
        <f>IFERROR(IF(M956=0,"",COUNTIF($M$3:M956,"&gt;0")),"")</f>
        <v>33</v>
      </c>
      <c r="O956" t="str">
        <f t="shared" si="207"/>
        <v/>
      </c>
      <c r="P956" t="str">
        <f t="shared" si="214"/>
        <v/>
      </c>
      <c r="Q956" t="str">
        <f t="shared" si="215"/>
        <v/>
      </c>
      <c r="R956">
        <f>IFERROR(IF(Q956=0,"",COUNTIF($Q$3:Q956,"&gt;0")),"")</f>
        <v>16</v>
      </c>
      <c r="S956" t="str">
        <f t="shared" si="208"/>
        <v/>
      </c>
      <c r="T956" t="str">
        <f t="shared" si="216"/>
        <v/>
      </c>
      <c r="U956">
        <f>IFERROR(IF(T956=0,"",COUNTIF($T$3:T956,"&gt;0")),"")</f>
        <v>0</v>
      </c>
      <c r="V956" t="str">
        <f t="shared" si="209"/>
        <v/>
      </c>
    </row>
    <row r="957" spans="1:22">
      <c r="A957" t="e">
        <f t="shared" si="204"/>
        <v>#VALUE!</v>
      </c>
      <c r="B957" t="e">
        <f>Table4[[#This Row],[CATEGORY]]</f>
        <v>#VALUE!</v>
      </c>
      <c r="C957" t="e">
        <f>Table4[[#This Row],[SUB-CATEGORY]]</f>
        <v>#VALUE!</v>
      </c>
      <c r="D957">
        <f>'RJ ATTENDENCE SHEET'!C:C</f>
        <v>0</v>
      </c>
      <c r="E957" t="e">
        <f t="shared" si="203"/>
        <v>#VALUE!</v>
      </c>
      <c r="F957" t="str">
        <f t="shared" si="210"/>
        <v/>
      </c>
      <c r="G957">
        <f>IFERROR(IF(F957=0,"",COUNTIF($F$3:F957,"&gt;0")),"")</f>
        <v>16</v>
      </c>
      <c r="H957" t="str">
        <f t="shared" si="205"/>
        <v/>
      </c>
      <c r="I957" t="str">
        <f t="shared" si="211"/>
        <v/>
      </c>
      <c r="J957">
        <f>IFERROR(IF(I957=0,"",COUNTIF($I$3:I957,"&gt;0")),"")</f>
        <v>34</v>
      </c>
      <c r="K957" t="str">
        <f t="shared" si="206"/>
        <v/>
      </c>
      <c r="L957" t="str">
        <f t="shared" si="212"/>
        <v/>
      </c>
      <c r="M957" t="str">
        <f t="shared" si="213"/>
        <v/>
      </c>
      <c r="N957">
        <f>IFERROR(IF(M957=0,"",COUNTIF($M$3:M957,"&gt;0")),"")</f>
        <v>33</v>
      </c>
      <c r="O957" t="str">
        <f t="shared" si="207"/>
        <v/>
      </c>
      <c r="P957" t="str">
        <f t="shared" si="214"/>
        <v/>
      </c>
      <c r="Q957" t="str">
        <f t="shared" si="215"/>
        <v/>
      </c>
      <c r="R957">
        <f>IFERROR(IF(Q957=0,"",COUNTIF($Q$3:Q957,"&gt;0")),"")</f>
        <v>16</v>
      </c>
      <c r="S957" t="str">
        <f t="shared" si="208"/>
        <v/>
      </c>
      <c r="T957" t="str">
        <f t="shared" si="216"/>
        <v/>
      </c>
      <c r="U957">
        <f>IFERROR(IF(T957=0,"",COUNTIF($T$3:T957,"&gt;0")),"")</f>
        <v>0</v>
      </c>
      <c r="V957" t="str">
        <f t="shared" si="209"/>
        <v/>
      </c>
    </row>
    <row r="958" spans="1:22">
      <c r="A958" t="e">
        <f t="shared" si="204"/>
        <v>#VALUE!</v>
      </c>
      <c r="B958" t="e">
        <f>Table4[[#This Row],[CATEGORY]]</f>
        <v>#VALUE!</v>
      </c>
      <c r="C958" t="e">
        <f>Table4[[#This Row],[SUB-CATEGORY]]</f>
        <v>#VALUE!</v>
      </c>
      <c r="D958">
        <f>'RJ ATTENDENCE SHEET'!C:C</f>
        <v>0</v>
      </c>
      <c r="E958" t="e">
        <f t="shared" si="203"/>
        <v>#VALUE!</v>
      </c>
      <c r="F958" t="str">
        <f t="shared" si="210"/>
        <v/>
      </c>
      <c r="G958">
        <f>IFERROR(IF(F958=0,"",COUNTIF($F$3:F958,"&gt;0")),"")</f>
        <v>16</v>
      </c>
      <c r="H958" t="str">
        <f t="shared" si="205"/>
        <v/>
      </c>
      <c r="I958" t="str">
        <f t="shared" si="211"/>
        <v/>
      </c>
      <c r="J958">
        <f>IFERROR(IF(I958=0,"",COUNTIF($I$3:I958,"&gt;0")),"")</f>
        <v>34</v>
      </c>
      <c r="K958" t="str">
        <f t="shared" si="206"/>
        <v/>
      </c>
      <c r="L958" t="str">
        <f t="shared" si="212"/>
        <v/>
      </c>
      <c r="M958" t="str">
        <f t="shared" si="213"/>
        <v/>
      </c>
      <c r="N958">
        <f>IFERROR(IF(M958=0,"",COUNTIF($M$3:M958,"&gt;0")),"")</f>
        <v>33</v>
      </c>
      <c r="O958" t="str">
        <f t="shared" si="207"/>
        <v/>
      </c>
      <c r="P958" t="str">
        <f t="shared" si="214"/>
        <v/>
      </c>
      <c r="Q958" t="str">
        <f t="shared" si="215"/>
        <v/>
      </c>
      <c r="R958">
        <f>IFERROR(IF(Q958=0,"",COUNTIF($Q$3:Q958,"&gt;0")),"")</f>
        <v>16</v>
      </c>
      <c r="S958" t="str">
        <f t="shared" si="208"/>
        <v/>
      </c>
      <c r="T958" t="str">
        <f t="shared" si="216"/>
        <v/>
      </c>
      <c r="U958">
        <f>IFERROR(IF(T958=0,"",COUNTIF($T$3:T958,"&gt;0")),"")</f>
        <v>0</v>
      </c>
      <c r="V958" t="str">
        <f t="shared" si="209"/>
        <v/>
      </c>
    </row>
    <row r="959" spans="1:22">
      <c r="A959" t="e">
        <f t="shared" si="204"/>
        <v>#VALUE!</v>
      </c>
      <c r="B959" t="e">
        <f>Table4[[#This Row],[CATEGORY]]</f>
        <v>#VALUE!</v>
      </c>
      <c r="C959" t="e">
        <f>Table4[[#This Row],[SUB-CATEGORY]]</f>
        <v>#VALUE!</v>
      </c>
      <c r="D959">
        <f>'RJ ATTENDENCE SHEET'!C:C</f>
        <v>0</v>
      </c>
      <c r="E959" t="e">
        <f t="shared" si="203"/>
        <v>#VALUE!</v>
      </c>
      <c r="F959" t="str">
        <f t="shared" si="210"/>
        <v/>
      </c>
      <c r="G959">
        <f>IFERROR(IF(F959=0,"",COUNTIF($F$3:F959,"&gt;0")),"")</f>
        <v>16</v>
      </c>
      <c r="H959" t="str">
        <f t="shared" si="205"/>
        <v/>
      </c>
      <c r="I959" t="str">
        <f t="shared" si="211"/>
        <v/>
      </c>
      <c r="J959">
        <f>IFERROR(IF(I959=0,"",COUNTIF($I$3:I959,"&gt;0")),"")</f>
        <v>34</v>
      </c>
      <c r="K959" t="str">
        <f t="shared" si="206"/>
        <v/>
      </c>
      <c r="L959" t="str">
        <f t="shared" si="212"/>
        <v/>
      </c>
      <c r="M959" t="str">
        <f t="shared" si="213"/>
        <v/>
      </c>
      <c r="N959">
        <f>IFERROR(IF(M959=0,"",COUNTIF($M$3:M959,"&gt;0")),"")</f>
        <v>33</v>
      </c>
      <c r="O959" t="str">
        <f t="shared" si="207"/>
        <v/>
      </c>
      <c r="P959" t="str">
        <f t="shared" si="214"/>
        <v/>
      </c>
      <c r="Q959" t="str">
        <f t="shared" si="215"/>
        <v/>
      </c>
      <c r="R959">
        <f>IFERROR(IF(Q959=0,"",COUNTIF($Q$3:Q959,"&gt;0")),"")</f>
        <v>16</v>
      </c>
      <c r="S959" t="str">
        <f t="shared" si="208"/>
        <v/>
      </c>
      <c r="T959" t="str">
        <f t="shared" si="216"/>
        <v/>
      </c>
      <c r="U959">
        <f>IFERROR(IF(T959=0,"",COUNTIF($T$3:T959,"&gt;0")),"")</f>
        <v>0</v>
      </c>
      <c r="V959" t="str">
        <f t="shared" si="209"/>
        <v/>
      </c>
    </row>
    <row r="960" spans="1:22">
      <c r="A960" t="e">
        <f t="shared" si="204"/>
        <v>#VALUE!</v>
      </c>
      <c r="B960" t="e">
        <f>Table4[[#This Row],[CATEGORY]]</f>
        <v>#VALUE!</v>
      </c>
      <c r="C960" t="e">
        <f>Table4[[#This Row],[SUB-CATEGORY]]</f>
        <v>#VALUE!</v>
      </c>
      <c r="D960">
        <f>'RJ ATTENDENCE SHEET'!C:C</f>
        <v>0</v>
      </c>
      <c r="E960" t="e">
        <f t="shared" si="203"/>
        <v>#VALUE!</v>
      </c>
      <c r="F960" t="str">
        <f t="shared" si="210"/>
        <v/>
      </c>
      <c r="G960">
        <f>IFERROR(IF(F960=0,"",COUNTIF($F$3:F960,"&gt;0")),"")</f>
        <v>16</v>
      </c>
      <c r="H960" t="str">
        <f t="shared" si="205"/>
        <v/>
      </c>
      <c r="I960" t="str">
        <f t="shared" si="211"/>
        <v/>
      </c>
      <c r="J960">
        <f>IFERROR(IF(I960=0,"",COUNTIF($I$3:I960,"&gt;0")),"")</f>
        <v>34</v>
      </c>
      <c r="K960" t="str">
        <f t="shared" si="206"/>
        <v/>
      </c>
      <c r="L960" t="str">
        <f t="shared" si="212"/>
        <v/>
      </c>
      <c r="M960" t="str">
        <f t="shared" si="213"/>
        <v/>
      </c>
      <c r="N960">
        <f>IFERROR(IF(M960=0,"",COUNTIF($M$3:M960,"&gt;0")),"")</f>
        <v>33</v>
      </c>
      <c r="O960" t="str">
        <f t="shared" si="207"/>
        <v/>
      </c>
      <c r="P960" t="str">
        <f t="shared" si="214"/>
        <v/>
      </c>
      <c r="Q960" t="str">
        <f t="shared" si="215"/>
        <v/>
      </c>
      <c r="R960">
        <f>IFERROR(IF(Q960=0,"",COUNTIF($Q$3:Q960,"&gt;0")),"")</f>
        <v>16</v>
      </c>
      <c r="S960" t="str">
        <f t="shared" si="208"/>
        <v/>
      </c>
      <c r="T960" t="str">
        <f t="shared" si="216"/>
        <v/>
      </c>
      <c r="U960">
        <f>IFERROR(IF(T960=0,"",COUNTIF($T$3:T960,"&gt;0")),"")</f>
        <v>0</v>
      </c>
      <c r="V960" t="str">
        <f t="shared" si="209"/>
        <v/>
      </c>
    </row>
    <row r="961" spans="1:22">
      <c r="A961" t="e">
        <f t="shared" si="204"/>
        <v>#VALUE!</v>
      </c>
      <c r="B961" t="e">
        <f>Table4[[#This Row],[CATEGORY]]</f>
        <v>#VALUE!</v>
      </c>
      <c r="C961" t="e">
        <f>Table4[[#This Row],[SUB-CATEGORY]]</f>
        <v>#VALUE!</v>
      </c>
      <c r="D961">
        <f>'RJ ATTENDENCE SHEET'!C:C</f>
        <v>0</v>
      </c>
      <c r="E961" t="e">
        <f t="shared" si="203"/>
        <v>#VALUE!</v>
      </c>
      <c r="F961" t="str">
        <f t="shared" si="210"/>
        <v/>
      </c>
      <c r="G961">
        <f>IFERROR(IF(F961=0,"",COUNTIF($F$3:F961,"&gt;0")),"")</f>
        <v>16</v>
      </c>
      <c r="H961" t="str">
        <f t="shared" si="205"/>
        <v/>
      </c>
      <c r="I961" t="str">
        <f t="shared" si="211"/>
        <v/>
      </c>
      <c r="J961">
        <f>IFERROR(IF(I961=0,"",COUNTIF($I$3:I961,"&gt;0")),"")</f>
        <v>34</v>
      </c>
      <c r="K961" t="str">
        <f t="shared" si="206"/>
        <v/>
      </c>
      <c r="L961" t="str">
        <f t="shared" si="212"/>
        <v/>
      </c>
      <c r="M961" t="str">
        <f t="shared" si="213"/>
        <v/>
      </c>
      <c r="N961">
        <f>IFERROR(IF(M961=0,"",COUNTIF($M$3:M961,"&gt;0")),"")</f>
        <v>33</v>
      </c>
      <c r="O961" t="str">
        <f t="shared" si="207"/>
        <v/>
      </c>
      <c r="P961" t="str">
        <f t="shared" si="214"/>
        <v/>
      </c>
      <c r="Q961" t="str">
        <f t="shared" si="215"/>
        <v/>
      </c>
      <c r="R961">
        <f>IFERROR(IF(Q961=0,"",COUNTIF($Q$3:Q961,"&gt;0")),"")</f>
        <v>16</v>
      </c>
      <c r="S961" t="str">
        <f t="shared" si="208"/>
        <v/>
      </c>
      <c r="T961" t="str">
        <f t="shared" si="216"/>
        <v/>
      </c>
      <c r="U961">
        <f>IFERROR(IF(T961=0,"",COUNTIF($T$3:T961,"&gt;0")),"")</f>
        <v>0</v>
      </c>
      <c r="V961" t="str">
        <f t="shared" si="209"/>
        <v/>
      </c>
    </row>
    <row r="962" spans="1:22">
      <c r="A962" t="e">
        <f t="shared" si="204"/>
        <v>#VALUE!</v>
      </c>
      <c r="B962" t="e">
        <f>Table4[[#This Row],[CATEGORY]]</f>
        <v>#VALUE!</v>
      </c>
      <c r="C962" t="e">
        <f>Table4[[#This Row],[SUB-CATEGORY]]</f>
        <v>#VALUE!</v>
      </c>
      <c r="D962">
        <f>'RJ ATTENDENCE SHEET'!C:C</f>
        <v>0</v>
      </c>
      <c r="E962" t="e">
        <f t="shared" ref="E962:E1000" si="217">C962</f>
        <v>#VALUE!</v>
      </c>
      <c r="F962" t="str">
        <f t="shared" si="210"/>
        <v/>
      </c>
      <c r="G962">
        <f>IFERROR(IF(F962=0,"",COUNTIF($F$3:F962,"&gt;0")),"")</f>
        <v>16</v>
      </c>
      <c r="H962" t="str">
        <f t="shared" si="205"/>
        <v/>
      </c>
      <c r="I962" t="str">
        <f t="shared" si="211"/>
        <v/>
      </c>
      <c r="J962">
        <f>IFERROR(IF(I962=0,"",COUNTIF($I$3:I962,"&gt;0")),"")</f>
        <v>34</v>
      </c>
      <c r="K962" t="str">
        <f t="shared" si="206"/>
        <v/>
      </c>
      <c r="L962" t="str">
        <f t="shared" si="212"/>
        <v/>
      </c>
      <c r="M962" t="str">
        <f t="shared" si="213"/>
        <v/>
      </c>
      <c r="N962">
        <f>IFERROR(IF(M962=0,"",COUNTIF($M$3:M962,"&gt;0")),"")</f>
        <v>33</v>
      </c>
      <c r="O962" t="str">
        <f t="shared" si="207"/>
        <v/>
      </c>
      <c r="P962" t="str">
        <f t="shared" si="214"/>
        <v/>
      </c>
      <c r="Q962" t="str">
        <f t="shared" si="215"/>
        <v/>
      </c>
      <c r="R962">
        <f>IFERROR(IF(Q962=0,"",COUNTIF($Q$3:Q962,"&gt;0")),"")</f>
        <v>16</v>
      </c>
      <c r="S962" t="str">
        <f t="shared" si="208"/>
        <v/>
      </c>
      <c r="T962" t="str">
        <f t="shared" si="216"/>
        <v/>
      </c>
      <c r="U962">
        <f>IFERROR(IF(T962=0,"",COUNTIF($T$3:T962,"&gt;0")),"")</f>
        <v>0</v>
      </c>
      <c r="V962" t="str">
        <f t="shared" si="209"/>
        <v/>
      </c>
    </row>
    <row r="963" spans="1:22">
      <c r="A963" t="e">
        <f t="shared" ref="A963:A1000" si="218">CONCATENATE(B963,C963,D963)</f>
        <v>#VALUE!</v>
      </c>
      <c r="B963" t="e">
        <f>Table4[[#This Row],[CATEGORY]]</f>
        <v>#VALUE!</v>
      </c>
      <c r="C963" t="e">
        <f>Table4[[#This Row],[SUB-CATEGORY]]</f>
        <v>#VALUE!</v>
      </c>
      <c r="D963">
        <f>'RJ ATTENDENCE SHEET'!C:C</f>
        <v>0</v>
      </c>
      <c r="E963" t="e">
        <f t="shared" si="217"/>
        <v>#VALUE!</v>
      </c>
      <c r="F963" t="str">
        <f t="shared" si="210"/>
        <v/>
      </c>
      <c r="G963">
        <f>IFERROR(IF(F963=0,"",COUNTIF($F$3:F963,"&gt;0")),"")</f>
        <v>16</v>
      </c>
      <c r="H963" t="str">
        <f t="shared" ref="H963:H1000" si="219">IFERROR(VLOOKUP(INDEX($A:$A,MATCH(ROW(F961),G:G,0)),$A:$D,4,0),"")</f>
        <v/>
      </c>
      <c r="I963" t="str">
        <f t="shared" si="211"/>
        <v/>
      </c>
      <c r="J963">
        <f>IFERROR(IF(I963=0,"",COUNTIF($I$3:I963,"&gt;0")),"")</f>
        <v>34</v>
      </c>
      <c r="K963" t="str">
        <f t="shared" ref="K963:K1000" si="220">IFERROR(VLOOKUP(INDEX($A:$A,MATCH(ROW(I961),J:J,0)),$A:$D,4,0),"")</f>
        <v/>
      </c>
      <c r="L963" t="str">
        <f t="shared" si="212"/>
        <v/>
      </c>
      <c r="M963" t="str">
        <f t="shared" si="213"/>
        <v/>
      </c>
      <c r="N963">
        <f>IFERROR(IF(M963=0,"",COUNTIF($M$3:M963,"&gt;0")),"")</f>
        <v>33</v>
      </c>
      <c r="O963" t="str">
        <f t="shared" ref="O963:O1000" si="221">IFERROR(VLOOKUP(INDEX($A:$A,MATCH(ROW(M961),N:N,0)),$A:$D,4,0),"")</f>
        <v/>
      </c>
      <c r="P963" t="str">
        <f t="shared" si="214"/>
        <v/>
      </c>
      <c r="Q963" t="str">
        <f t="shared" si="215"/>
        <v/>
      </c>
      <c r="R963">
        <f>IFERROR(IF(Q963=0,"",COUNTIF($Q$3:Q963,"&gt;0")),"")</f>
        <v>16</v>
      </c>
      <c r="S963" t="str">
        <f t="shared" ref="S963:S1000" si="222">IFERROR(VLOOKUP(INDEX($A:$A,MATCH(ROW(Q961),R:R,0)),$A:$D,4,0),"")</f>
        <v/>
      </c>
      <c r="T963" t="str">
        <f t="shared" si="216"/>
        <v/>
      </c>
      <c r="U963">
        <f>IFERROR(IF(T963=0,"",COUNTIF($T$3:T963,"&gt;0")),"")</f>
        <v>0</v>
      </c>
      <c r="V963" t="str">
        <f t="shared" ref="V963:V1000" si="223">IFERROR(VLOOKUP(INDEX($A:$A,MATCH(ROW(T961),U:U,0)),$A:$D,4,0),"")</f>
        <v/>
      </c>
    </row>
    <row r="964" spans="1:22">
      <c r="A964" t="e">
        <f t="shared" si="218"/>
        <v>#VALUE!</v>
      </c>
      <c r="B964" t="e">
        <f>Table4[[#This Row],[CATEGORY]]</f>
        <v>#VALUE!</v>
      </c>
      <c r="C964" t="e">
        <f>Table4[[#This Row],[SUB-CATEGORY]]</f>
        <v>#VALUE!</v>
      </c>
      <c r="D964">
        <f>'RJ ATTENDENCE SHEET'!C:C</f>
        <v>0</v>
      </c>
      <c r="E964" t="e">
        <f t="shared" si="217"/>
        <v>#VALUE!</v>
      </c>
      <c r="F964" t="str">
        <f t="shared" ref="F964:F1000" si="224">IFERROR(SEARCH("SALARYOFFICE",$A:$A),"")</f>
        <v/>
      </c>
      <c r="G964">
        <f>IFERROR(IF(F964=0,"",COUNTIF($F$3:F964,"&gt;0")),"")</f>
        <v>16</v>
      </c>
      <c r="H964" t="str">
        <f t="shared" si="219"/>
        <v/>
      </c>
      <c r="I964" t="str">
        <f t="shared" ref="I964:I1000" si="225">IFERROR(SEARCH("WAGES",$A:$A),"")</f>
        <v/>
      </c>
      <c r="J964">
        <f>IFERROR(IF(I964=0,"",COUNTIF($I$3:I964,"&gt;0")),"")</f>
        <v>34</v>
      </c>
      <c r="K964" t="str">
        <f t="shared" si="220"/>
        <v/>
      </c>
      <c r="L964" t="str">
        <f t="shared" ref="L964:L1000" si="226">IFERROR(VLOOKUP(K964,$D:$E,2,0),"")</f>
        <v/>
      </c>
      <c r="M964" t="str">
        <f t="shared" ref="M964:M1000" si="227">IFERROR(SEARCH("CONTRACT",$A:$A),"")</f>
        <v/>
      </c>
      <c r="N964">
        <f>IFERROR(IF(M964=0,"",COUNTIF($M$3:M964,"&gt;0")),"")</f>
        <v>33</v>
      </c>
      <c r="O964" t="str">
        <f t="shared" si="221"/>
        <v/>
      </c>
      <c r="P964" t="str">
        <f t="shared" ref="P964:P1000" si="228">IFERROR(VLOOKUP(O964,$D:$E,2,0),"")</f>
        <v/>
      </c>
      <c r="Q964" t="str">
        <f t="shared" ref="Q964:Q1000" si="229">IFERROR(SEARCH("SALARY",$A:$A),"")</f>
        <v/>
      </c>
      <c r="R964">
        <f>IFERROR(IF(Q964=0,"",COUNTIF($Q$3:Q964,"&gt;0")),"")</f>
        <v>16</v>
      </c>
      <c r="S964" t="str">
        <f t="shared" si="222"/>
        <v/>
      </c>
      <c r="T964" t="str">
        <f t="shared" ref="T964:T1000" si="230">IFERROR(SEARCH("OTHERS0",$A:$A),"")</f>
        <v/>
      </c>
      <c r="U964">
        <f>IFERROR(IF(T964=0,"",COUNTIF($T$3:T964,"&gt;0")),"")</f>
        <v>0</v>
      </c>
      <c r="V964" t="str">
        <f t="shared" si="223"/>
        <v/>
      </c>
    </row>
    <row r="965" spans="1:22">
      <c r="A965" t="e">
        <f t="shared" si="218"/>
        <v>#VALUE!</v>
      </c>
      <c r="B965" t="e">
        <f>Table4[[#This Row],[CATEGORY]]</f>
        <v>#VALUE!</v>
      </c>
      <c r="C965" t="e">
        <f>Table4[[#This Row],[SUB-CATEGORY]]</f>
        <v>#VALUE!</v>
      </c>
      <c r="D965">
        <f>'RJ ATTENDENCE SHEET'!C:C</f>
        <v>0</v>
      </c>
      <c r="E965" t="e">
        <f t="shared" si="217"/>
        <v>#VALUE!</v>
      </c>
      <c r="F965" t="str">
        <f t="shared" si="224"/>
        <v/>
      </c>
      <c r="G965">
        <f>IFERROR(IF(F965=0,"",COUNTIF($F$3:F965,"&gt;0")),"")</f>
        <v>16</v>
      </c>
      <c r="H965" t="str">
        <f t="shared" si="219"/>
        <v/>
      </c>
      <c r="I965" t="str">
        <f t="shared" si="225"/>
        <v/>
      </c>
      <c r="J965">
        <f>IFERROR(IF(I965=0,"",COUNTIF($I$3:I965,"&gt;0")),"")</f>
        <v>34</v>
      </c>
      <c r="K965" t="str">
        <f t="shared" si="220"/>
        <v/>
      </c>
      <c r="L965" t="str">
        <f t="shared" si="226"/>
        <v/>
      </c>
      <c r="M965" t="str">
        <f t="shared" si="227"/>
        <v/>
      </c>
      <c r="N965">
        <f>IFERROR(IF(M965=0,"",COUNTIF($M$3:M965,"&gt;0")),"")</f>
        <v>33</v>
      </c>
      <c r="O965" t="str">
        <f t="shared" si="221"/>
        <v/>
      </c>
      <c r="P965" t="str">
        <f t="shared" si="228"/>
        <v/>
      </c>
      <c r="Q965" t="str">
        <f t="shared" si="229"/>
        <v/>
      </c>
      <c r="R965">
        <f>IFERROR(IF(Q965=0,"",COUNTIF($Q$3:Q965,"&gt;0")),"")</f>
        <v>16</v>
      </c>
      <c r="S965" t="str">
        <f t="shared" si="222"/>
        <v/>
      </c>
      <c r="T965" t="str">
        <f t="shared" si="230"/>
        <v/>
      </c>
      <c r="U965">
        <f>IFERROR(IF(T965=0,"",COUNTIF($T$3:T965,"&gt;0")),"")</f>
        <v>0</v>
      </c>
      <c r="V965" t="str">
        <f t="shared" si="223"/>
        <v/>
      </c>
    </row>
    <row r="966" spans="1:22">
      <c r="A966" t="e">
        <f t="shared" si="218"/>
        <v>#VALUE!</v>
      </c>
      <c r="B966" t="e">
        <f>Table4[[#This Row],[CATEGORY]]</f>
        <v>#VALUE!</v>
      </c>
      <c r="C966" t="e">
        <f>Table4[[#This Row],[SUB-CATEGORY]]</f>
        <v>#VALUE!</v>
      </c>
      <c r="D966">
        <f>'RJ ATTENDENCE SHEET'!C:C</f>
        <v>0</v>
      </c>
      <c r="E966" t="e">
        <f t="shared" si="217"/>
        <v>#VALUE!</v>
      </c>
      <c r="F966" t="str">
        <f t="shared" si="224"/>
        <v/>
      </c>
      <c r="G966">
        <f>IFERROR(IF(F966=0,"",COUNTIF($F$3:F966,"&gt;0")),"")</f>
        <v>16</v>
      </c>
      <c r="H966" t="str">
        <f t="shared" si="219"/>
        <v/>
      </c>
      <c r="I966" t="str">
        <f t="shared" si="225"/>
        <v/>
      </c>
      <c r="J966">
        <f>IFERROR(IF(I966=0,"",COUNTIF($I$3:I966,"&gt;0")),"")</f>
        <v>34</v>
      </c>
      <c r="K966" t="str">
        <f t="shared" si="220"/>
        <v/>
      </c>
      <c r="L966" t="str">
        <f t="shared" si="226"/>
        <v/>
      </c>
      <c r="M966" t="str">
        <f t="shared" si="227"/>
        <v/>
      </c>
      <c r="N966">
        <f>IFERROR(IF(M966=0,"",COUNTIF($M$3:M966,"&gt;0")),"")</f>
        <v>33</v>
      </c>
      <c r="O966" t="str">
        <f t="shared" si="221"/>
        <v/>
      </c>
      <c r="P966" t="str">
        <f t="shared" si="228"/>
        <v/>
      </c>
      <c r="Q966" t="str">
        <f t="shared" si="229"/>
        <v/>
      </c>
      <c r="R966">
        <f>IFERROR(IF(Q966=0,"",COUNTIF($Q$3:Q966,"&gt;0")),"")</f>
        <v>16</v>
      </c>
      <c r="S966" t="str">
        <f t="shared" si="222"/>
        <v/>
      </c>
      <c r="T966" t="str">
        <f t="shared" si="230"/>
        <v/>
      </c>
      <c r="U966">
        <f>IFERROR(IF(T966=0,"",COUNTIF($T$3:T966,"&gt;0")),"")</f>
        <v>0</v>
      </c>
      <c r="V966" t="str">
        <f t="shared" si="223"/>
        <v/>
      </c>
    </row>
    <row r="967" spans="1:22">
      <c r="A967" t="e">
        <f t="shared" si="218"/>
        <v>#VALUE!</v>
      </c>
      <c r="B967" t="e">
        <f>Table4[[#This Row],[CATEGORY]]</f>
        <v>#VALUE!</v>
      </c>
      <c r="C967" t="e">
        <f>Table4[[#This Row],[SUB-CATEGORY]]</f>
        <v>#VALUE!</v>
      </c>
      <c r="D967">
        <f>'RJ ATTENDENCE SHEET'!C:C</f>
        <v>0</v>
      </c>
      <c r="E967" t="e">
        <f t="shared" si="217"/>
        <v>#VALUE!</v>
      </c>
      <c r="F967" t="str">
        <f t="shared" si="224"/>
        <v/>
      </c>
      <c r="G967">
        <f>IFERROR(IF(F967=0,"",COUNTIF($F$3:F967,"&gt;0")),"")</f>
        <v>16</v>
      </c>
      <c r="H967" t="str">
        <f t="shared" si="219"/>
        <v/>
      </c>
      <c r="I967" t="str">
        <f t="shared" si="225"/>
        <v/>
      </c>
      <c r="J967">
        <f>IFERROR(IF(I967=0,"",COUNTIF($I$3:I967,"&gt;0")),"")</f>
        <v>34</v>
      </c>
      <c r="K967" t="str">
        <f t="shared" si="220"/>
        <v/>
      </c>
      <c r="L967" t="str">
        <f t="shared" si="226"/>
        <v/>
      </c>
      <c r="M967" t="str">
        <f t="shared" si="227"/>
        <v/>
      </c>
      <c r="N967">
        <f>IFERROR(IF(M967=0,"",COUNTIF($M$3:M967,"&gt;0")),"")</f>
        <v>33</v>
      </c>
      <c r="O967" t="str">
        <f t="shared" si="221"/>
        <v/>
      </c>
      <c r="P967" t="str">
        <f t="shared" si="228"/>
        <v/>
      </c>
      <c r="Q967" t="str">
        <f t="shared" si="229"/>
        <v/>
      </c>
      <c r="R967">
        <f>IFERROR(IF(Q967=0,"",COUNTIF($Q$3:Q967,"&gt;0")),"")</f>
        <v>16</v>
      </c>
      <c r="S967" t="str">
        <f t="shared" si="222"/>
        <v/>
      </c>
      <c r="T967" t="str">
        <f t="shared" si="230"/>
        <v/>
      </c>
      <c r="U967">
        <f>IFERROR(IF(T967=0,"",COUNTIF($T$3:T967,"&gt;0")),"")</f>
        <v>0</v>
      </c>
      <c r="V967" t="str">
        <f t="shared" si="223"/>
        <v/>
      </c>
    </row>
    <row r="968" spans="1:22">
      <c r="A968" t="e">
        <f t="shared" si="218"/>
        <v>#VALUE!</v>
      </c>
      <c r="B968" t="e">
        <f>Table4[[#This Row],[CATEGORY]]</f>
        <v>#VALUE!</v>
      </c>
      <c r="C968" t="e">
        <f>Table4[[#This Row],[SUB-CATEGORY]]</f>
        <v>#VALUE!</v>
      </c>
      <c r="D968">
        <f>'RJ ATTENDENCE SHEET'!C:C</f>
        <v>0</v>
      </c>
      <c r="E968" t="e">
        <f t="shared" si="217"/>
        <v>#VALUE!</v>
      </c>
      <c r="F968" t="str">
        <f t="shared" si="224"/>
        <v/>
      </c>
      <c r="G968">
        <f>IFERROR(IF(F968=0,"",COUNTIF($F$3:F968,"&gt;0")),"")</f>
        <v>16</v>
      </c>
      <c r="H968" t="str">
        <f t="shared" si="219"/>
        <v/>
      </c>
      <c r="I968" t="str">
        <f t="shared" si="225"/>
        <v/>
      </c>
      <c r="J968">
        <f>IFERROR(IF(I968=0,"",COUNTIF($I$3:I968,"&gt;0")),"")</f>
        <v>34</v>
      </c>
      <c r="K968" t="str">
        <f t="shared" si="220"/>
        <v/>
      </c>
      <c r="L968" t="str">
        <f t="shared" si="226"/>
        <v/>
      </c>
      <c r="M968" t="str">
        <f t="shared" si="227"/>
        <v/>
      </c>
      <c r="N968">
        <f>IFERROR(IF(M968=0,"",COUNTIF($M$3:M968,"&gt;0")),"")</f>
        <v>33</v>
      </c>
      <c r="O968" t="str">
        <f t="shared" si="221"/>
        <v/>
      </c>
      <c r="P968" t="str">
        <f t="shared" si="228"/>
        <v/>
      </c>
      <c r="Q968" t="str">
        <f t="shared" si="229"/>
        <v/>
      </c>
      <c r="R968">
        <f>IFERROR(IF(Q968=0,"",COUNTIF($Q$3:Q968,"&gt;0")),"")</f>
        <v>16</v>
      </c>
      <c r="S968" t="str">
        <f t="shared" si="222"/>
        <v/>
      </c>
      <c r="T968" t="str">
        <f t="shared" si="230"/>
        <v/>
      </c>
      <c r="U968">
        <f>IFERROR(IF(T968=0,"",COUNTIF($T$3:T968,"&gt;0")),"")</f>
        <v>0</v>
      </c>
      <c r="V968" t="str">
        <f t="shared" si="223"/>
        <v/>
      </c>
    </row>
    <row r="969" spans="1:22">
      <c r="A969" t="e">
        <f t="shared" si="218"/>
        <v>#VALUE!</v>
      </c>
      <c r="B969" t="e">
        <f>Table4[[#This Row],[CATEGORY]]</f>
        <v>#VALUE!</v>
      </c>
      <c r="C969" t="e">
        <f>Table4[[#This Row],[SUB-CATEGORY]]</f>
        <v>#VALUE!</v>
      </c>
      <c r="D969">
        <f>'RJ ATTENDENCE SHEET'!C:C</f>
        <v>0</v>
      </c>
      <c r="E969" t="e">
        <f t="shared" si="217"/>
        <v>#VALUE!</v>
      </c>
      <c r="F969" t="str">
        <f t="shared" si="224"/>
        <v/>
      </c>
      <c r="G969">
        <f>IFERROR(IF(F969=0,"",COUNTIF($F$3:F969,"&gt;0")),"")</f>
        <v>16</v>
      </c>
      <c r="H969" t="str">
        <f t="shared" si="219"/>
        <v/>
      </c>
      <c r="I969" t="str">
        <f t="shared" si="225"/>
        <v/>
      </c>
      <c r="J969">
        <f>IFERROR(IF(I969=0,"",COUNTIF($I$3:I969,"&gt;0")),"")</f>
        <v>34</v>
      </c>
      <c r="K969" t="str">
        <f t="shared" si="220"/>
        <v/>
      </c>
      <c r="L969" t="str">
        <f t="shared" si="226"/>
        <v/>
      </c>
      <c r="M969" t="str">
        <f t="shared" si="227"/>
        <v/>
      </c>
      <c r="N969">
        <f>IFERROR(IF(M969=0,"",COUNTIF($M$3:M969,"&gt;0")),"")</f>
        <v>33</v>
      </c>
      <c r="O969" t="str">
        <f t="shared" si="221"/>
        <v/>
      </c>
      <c r="P969" t="str">
        <f t="shared" si="228"/>
        <v/>
      </c>
      <c r="Q969" t="str">
        <f t="shared" si="229"/>
        <v/>
      </c>
      <c r="R969">
        <f>IFERROR(IF(Q969=0,"",COUNTIF($Q$3:Q969,"&gt;0")),"")</f>
        <v>16</v>
      </c>
      <c r="S969" t="str">
        <f t="shared" si="222"/>
        <v/>
      </c>
      <c r="T969" t="str">
        <f t="shared" si="230"/>
        <v/>
      </c>
      <c r="U969">
        <f>IFERROR(IF(T969=0,"",COUNTIF($T$3:T969,"&gt;0")),"")</f>
        <v>0</v>
      </c>
      <c r="V969" t="str">
        <f t="shared" si="223"/>
        <v/>
      </c>
    </row>
    <row r="970" spans="1:22">
      <c r="A970" t="e">
        <f t="shared" si="218"/>
        <v>#VALUE!</v>
      </c>
      <c r="B970" t="e">
        <f>Table4[[#This Row],[CATEGORY]]</f>
        <v>#VALUE!</v>
      </c>
      <c r="C970" t="e">
        <f>Table4[[#This Row],[SUB-CATEGORY]]</f>
        <v>#VALUE!</v>
      </c>
      <c r="D970">
        <f>'RJ ATTENDENCE SHEET'!C:C</f>
        <v>0</v>
      </c>
      <c r="E970" t="e">
        <f t="shared" si="217"/>
        <v>#VALUE!</v>
      </c>
      <c r="F970" t="str">
        <f t="shared" si="224"/>
        <v/>
      </c>
      <c r="G970">
        <f>IFERROR(IF(F970=0,"",COUNTIF($F$3:F970,"&gt;0")),"")</f>
        <v>16</v>
      </c>
      <c r="H970" t="str">
        <f t="shared" si="219"/>
        <v/>
      </c>
      <c r="I970" t="str">
        <f t="shared" si="225"/>
        <v/>
      </c>
      <c r="J970">
        <f>IFERROR(IF(I970=0,"",COUNTIF($I$3:I970,"&gt;0")),"")</f>
        <v>34</v>
      </c>
      <c r="K970" t="str">
        <f t="shared" si="220"/>
        <v/>
      </c>
      <c r="L970" t="str">
        <f t="shared" si="226"/>
        <v/>
      </c>
      <c r="M970" t="str">
        <f t="shared" si="227"/>
        <v/>
      </c>
      <c r="N970">
        <f>IFERROR(IF(M970=0,"",COUNTIF($M$3:M970,"&gt;0")),"")</f>
        <v>33</v>
      </c>
      <c r="O970" t="str">
        <f t="shared" si="221"/>
        <v/>
      </c>
      <c r="P970" t="str">
        <f t="shared" si="228"/>
        <v/>
      </c>
      <c r="Q970" t="str">
        <f t="shared" si="229"/>
        <v/>
      </c>
      <c r="R970">
        <f>IFERROR(IF(Q970=0,"",COUNTIF($Q$3:Q970,"&gt;0")),"")</f>
        <v>16</v>
      </c>
      <c r="S970" t="str">
        <f t="shared" si="222"/>
        <v/>
      </c>
      <c r="T970" t="str">
        <f t="shared" si="230"/>
        <v/>
      </c>
      <c r="U970">
        <f>IFERROR(IF(T970=0,"",COUNTIF($T$3:T970,"&gt;0")),"")</f>
        <v>0</v>
      </c>
      <c r="V970" t="str">
        <f t="shared" si="223"/>
        <v/>
      </c>
    </row>
    <row r="971" spans="1:22">
      <c r="A971" t="e">
        <f t="shared" si="218"/>
        <v>#VALUE!</v>
      </c>
      <c r="B971" t="e">
        <f>Table4[[#This Row],[CATEGORY]]</f>
        <v>#VALUE!</v>
      </c>
      <c r="C971" t="e">
        <f>Table4[[#This Row],[SUB-CATEGORY]]</f>
        <v>#VALUE!</v>
      </c>
      <c r="D971">
        <f>'RJ ATTENDENCE SHEET'!C:C</f>
        <v>0</v>
      </c>
      <c r="E971" t="e">
        <f t="shared" si="217"/>
        <v>#VALUE!</v>
      </c>
      <c r="F971" t="str">
        <f t="shared" si="224"/>
        <v/>
      </c>
      <c r="G971">
        <f>IFERROR(IF(F971=0,"",COUNTIF($F$3:F971,"&gt;0")),"")</f>
        <v>16</v>
      </c>
      <c r="H971" t="str">
        <f t="shared" si="219"/>
        <v/>
      </c>
      <c r="I971" t="str">
        <f t="shared" si="225"/>
        <v/>
      </c>
      <c r="J971">
        <f>IFERROR(IF(I971=0,"",COUNTIF($I$3:I971,"&gt;0")),"")</f>
        <v>34</v>
      </c>
      <c r="K971" t="str">
        <f t="shared" si="220"/>
        <v/>
      </c>
      <c r="L971" t="str">
        <f t="shared" si="226"/>
        <v/>
      </c>
      <c r="M971" t="str">
        <f t="shared" si="227"/>
        <v/>
      </c>
      <c r="N971">
        <f>IFERROR(IF(M971=0,"",COUNTIF($M$3:M971,"&gt;0")),"")</f>
        <v>33</v>
      </c>
      <c r="O971" t="str">
        <f t="shared" si="221"/>
        <v/>
      </c>
      <c r="P971" t="str">
        <f t="shared" si="228"/>
        <v/>
      </c>
      <c r="Q971" t="str">
        <f t="shared" si="229"/>
        <v/>
      </c>
      <c r="R971">
        <f>IFERROR(IF(Q971=0,"",COUNTIF($Q$3:Q971,"&gt;0")),"")</f>
        <v>16</v>
      </c>
      <c r="S971" t="str">
        <f t="shared" si="222"/>
        <v/>
      </c>
      <c r="T971" t="str">
        <f t="shared" si="230"/>
        <v/>
      </c>
      <c r="U971">
        <f>IFERROR(IF(T971=0,"",COUNTIF($T$3:T971,"&gt;0")),"")</f>
        <v>0</v>
      </c>
      <c r="V971" t="str">
        <f t="shared" si="223"/>
        <v/>
      </c>
    </row>
    <row r="972" spans="1:22">
      <c r="A972" t="e">
        <f t="shared" si="218"/>
        <v>#VALUE!</v>
      </c>
      <c r="B972" t="e">
        <f>Table4[[#This Row],[CATEGORY]]</f>
        <v>#VALUE!</v>
      </c>
      <c r="C972" t="e">
        <f>Table4[[#This Row],[SUB-CATEGORY]]</f>
        <v>#VALUE!</v>
      </c>
      <c r="D972">
        <f>'RJ ATTENDENCE SHEET'!C:C</f>
        <v>0</v>
      </c>
      <c r="E972" t="e">
        <f t="shared" si="217"/>
        <v>#VALUE!</v>
      </c>
      <c r="F972" t="str">
        <f t="shared" si="224"/>
        <v/>
      </c>
      <c r="G972">
        <f>IFERROR(IF(F972=0,"",COUNTIF($F$3:F972,"&gt;0")),"")</f>
        <v>16</v>
      </c>
      <c r="H972" t="str">
        <f t="shared" si="219"/>
        <v/>
      </c>
      <c r="I972" t="str">
        <f t="shared" si="225"/>
        <v/>
      </c>
      <c r="J972">
        <f>IFERROR(IF(I972=0,"",COUNTIF($I$3:I972,"&gt;0")),"")</f>
        <v>34</v>
      </c>
      <c r="K972" t="str">
        <f t="shared" si="220"/>
        <v/>
      </c>
      <c r="L972" t="str">
        <f t="shared" si="226"/>
        <v/>
      </c>
      <c r="M972" t="str">
        <f t="shared" si="227"/>
        <v/>
      </c>
      <c r="N972">
        <f>IFERROR(IF(M972=0,"",COUNTIF($M$3:M972,"&gt;0")),"")</f>
        <v>33</v>
      </c>
      <c r="O972" t="str">
        <f t="shared" si="221"/>
        <v/>
      </c>
      <c r="P972" t="str">
        <f t="shared" si="228"/>
        <v/>
      </c>
      <c r="Q972" t="str">
        <f t="shared" si="229"/>
        <v/>
      </c>
      <c r="R972">
        <f>IFERROR(IF(Q972=0,"",COUNTIF($Q$3:Q972,"&gt;0")),"")</f>
        <v>16</v>
      </c>
      <c r="S972" t="str">
        <f t="shared" si="222"/>
        <v/>
      </c>
      <c r="T972" t="str">
        <f t="shared" si="230"/>
        <v/>
      </c>
      <c r="U972">
        <f>IFERROR(IF(T972=0,"",COUNTIF($T$3:T972,"&gt;0")),"")</f>
        <v>0</v>
      </c>
      <c r="V972" t="str">
        <f t="shared" si="223"/>
        <v/>
      </c>
    </row>
    <row r="973" spans="1:22">
      <c r="A973" t="e">
        <f t="shared" si="218"/>
        <v>#VALUE!</v>
      </c>
      <c r="B973" t="e">
        <f>Table4[[#This Row],[CATEGORY]]</f>
        <v>#VALUE!</v>
      </c>
      <c r="C973" t="e">
        <f>Table4[[#This Row],[SUB-CATEGORY]]</f>
        <v>#VALUE!</v>
      </c>
      <c r="D973">
        <f>'RJ ATTENDENCE SHEET'!C:C</f>
        <v>0</v>
      </c>
      <c r="E973" t="e">
        <f t="shared" si="217"/>
        <v>#VALUE!</v>
      </c>
      <c r="F973" t="str">
        <f t="shared" si="224"/>
        <v/>
      </c>
      <c r="G973">
        <f>IFERROR(IF(F973=0,"",COUNTIF($F$3:F973,"&gt;0")),"")</f>
        <v>16</v>
      </c>
      <c r="H973" t="str">
        <f t="shared" si="219"/>
        <v/>
      </c>
      <c r="I973" t="str">
        <f t="shared" si="225"/>
        <v/>
      </c>
      <c r="J973">
        <f>IFERROR(IF(I973=0,"",COUNTIF($I$3:I973,"&gt;0")),"")</f>
        <v>34</v>
      </c>
      <c r="K973" t="str">
        <f t="shared" si="220"/>
        <v/>
      </c>
      <c r="L973" t="str">
        <f t="shared" si="226"/>
        <v/>
      </c>
      <c r="M973" t="str">
        <f t="shared" si="227"/>
        <v/>
      </c>
      <c r="N973">
        <f>IFERROR(IF(M973=0,"",COUNTIF($M$3:M973,"&gt;0")),"")</f>
        <v>33</v>
      </c>
      <c r="O973" t="str">
        <f t="shared" si="221"/>
        <v/>
      </c>
      <c r="P973" t="str">
        <f t="shared" si="228"/>
        <v/>
      </c>
      <c r="Q973" t="str">
        <f t="shared" si="229"/>
        <v/>
      </c>
      <c r="R973">
        <f>IFERROR(IF(Q973=0,"",COUNTIF($Q$3:Q973,"&gt;0")),"")</f>
        <v>16</v>
      </c>
      <c r="S973" t="str">
        <f t="shared" si="222"/>
        <v/>
      </c>
      <c r="T973" t="str">
        <f t="shared" si="230"/>
        <v/>
      </c>
      <c r="U973">
        <f>IFERROR(IF(T973=0,"",COUNTIF($T$3:T973,"&gt;0")),"")</f>
        <v>0</v>
      </c>
      <c r="V973" t="str">
        <f t="shared" si="223"/>
        <v/>
      </c>
    </row>
    <row r="974" spans="1:22">
      <c r="A974" t="e">
        <f t="shared" si="218"/>
        <v>#VALUE!</v>
      </c>
      <c r="B974" t="e">
        <f>Table4[[#This Row],[CATEGORY]]</f>
        <v>#VALUE!</v>
      </c>
      <c r="C974" t="e">
        <f>Table4[[#This Row],[SUB-CATEGORY]]</f>
        <v>#VALUE!</v>
      </c>
      <c r="D974">
        <f>'RJ ATTENDENCE SHEET'!C:C</f>
        <v>0</v>
      </c>
      <c r="E974" t="e">
        <f t="shared" si="217"/>
        <v>#VALUE!</v>
      </c>
      <c r="F974" t="str">
        <f t="shared" si="224"/>
        <v/>
      </c>
      <c r="G974">
        <f>IFERROR(IF(F974=0,"",COUNTIF($F$3:F974,"&gt;0")),"")</f>
        <v>16</v>
      </c>
      <c r="H974" t="str">
        <f t="shared" si="219"/>
        <v/>
      </c>
      <c r="I974" t="str">
        <f t="shared" si="225"/>
        <v/>
      </c>
      <c r="J974">
        <f>IFERROR(IF(I974=0,"",COUNTIF($I$3:I974,"&gt;0")),"")</f>
        <v>34</v>
      </c>
      <c r="K974" t="str">
        <f t="shared" si="220"/>
        <v/>
      </c>
      <c r="L974" t="str">
        <f t="shared" si="226"/>
        <v/>
      </c>
      <c r="M974" t="str">
        <f t="shared" si="227"/>
        <v/>
      </c>
      <c r="N974">
        <f>IFERROR(IF(M974=0,"",COUNTIF($M$3:M974,"&gt;0")),"")</f>
        <v>33</v>
      </c>
      <c r="O974" t="str">
        <f t="shared" si="221"/>
        <v/>
      </c>
      <c r="P974" t="str">
        <f t="shared" si="228"/>
        <v/>
      </c>
      <c r="Q974" t="str">
        <f t="shared" si="229"/>
        <v/>
      </c>
      <c r="R974">
        <f>IFERROR(IF(Q974=0,"",COUNTIF($Q$3:Q974,"&gt;0")),"")</f>
        <v>16</v>
      </c>
      <c r="S974" t="str">
        <f t="shared" si="222"/>
        <v/>
      </c>
      <c r="T974" t="str">
        <f t="shared" si="230"/>
        <v/>
      </c>
      <c r="U974">
        <f>IFERROR(IF(T974=0,"",COUNTIF($T$3:T974,"&gt;0")),"")</f>
        <v>0</v>
      </c>
      <c r="V974" t="str">
        <f t="shared" si="223"/>
        <v/>
      </c>
    </row>
    <row r="975" spans="1:22">
      <c r="A975" t="e">
        <f t="shared" si="218"/>
        <v>#VALUE!</v>
      </c>
      <c r="B975" t="e">
        <f>Table4[[#This Row],[CATEGORY]]</f>
        <v>#VALUE!</v>
      </c>
      <c r="C975" t="e">
        <f>Table4[[#This Row],[SUB-CATEGORY]]</f>
        <v>#VALUE!</v>
      </c>
      <c r="D975">
        <f>'RJ ATTENDENCE SHEET'!C:C</f>
        <v>0</v>
      </c>
      <c r="E975" t="e">
        <f t="shared" si="217"/>
        <v>#VALUE!</v>
      </c>
      <c r="F975" t="str">
        <f t="shared" si="224"/>
        <v/>
      </c>
      <c r="G975">
        <f>IFERROR(IF(F975=0,"",COUNTIF($F$3:F975,"&gt;0")),"")</f>
        <v>16</v>
      </c>
      <c r="H975" t="str">
        <f t="shared" si="219"/>
        <v/>
      </c>
      <c r="I975" t="str">
        <f t="shared" si="225"/>
        <v/>
      </c>
      <c r="J975">
        <f>IFERROR(IF(I975=0,"",COUNTIF($I$3:I975,"&gt;0")),"")</f>
        <v>34</v>
      </c>
      <c r="K975" t="str">
        <f t="shared" si="220"/>
        <v/>
      </c>
      <c r="L975" t="str">
        <f t="shared" si="226"/>
        <v/>
      </c>
      <c r="M975" t="str">
        <f t="shared" si="227"/>
        <v/>
      </c>
      <c r="N975">
        <f>IFERROR(IF(M975=0,"",COUNTIF($M$3:M975,"&gt;0")),"")</f>
        <v>33</v>
      </c>
      <c r="O975" t="str">
        <f t="shared" si="221"/>
        <v/>
      </c>
      <c r="P975" t="str">
        <f t="shared" si="228"/>
        <v/>
      </c>
      <c r="Q975" t="str">
        <f t="shared" si="229"/>
        <v/>
      </c>
      <c r="R975">
        <f>IFERROR(IF(Q975=0,"",COUNTIF($Q$3:Q975,"&gt;0")),"")</f>
        <v>16</v>
      </c>
      <c r="S975" t="str">
        <f t="shared" si="222"/>
        <v/>
      </c>
      <c r="T975" t="str">
        <f t="shared" si="230"/>
        <v/>
      </c>
      <c r="U975">
        <f>IFERROR(IF(T975=0,"",COUNTIF($T$3:T975,"&gt;0")),"")</f>
        <v>0</v>
      </c>
      <c r="V975" t="str">
        <f t="shared" si="223"/>
        <v/>
      </c>
    </row>
    <row r="976" spans="1:22">
      <c r="A976" t="e">
        <f t="shared" si="218"/>
        <v>#VALUE!</v>
      </c>
      <c r="B976" t="e">
        <f>Table4[[#This Row],[CATEGORY]]</f>
        <v>#VALUE!</v>
      </c>
      <c r="C976" t="e">
        <f>Table4[[#This Row],[SUB-CATEGORY]]</f>
        <v>#VALUE!</v>
      </c>
      <c r="D976">
        <f>'RJ ATTENDENCE SHEET'!C:C</f>
        <v>0</v>
      </c>
      <c r="E976" t="e">
        <f t="shared" si="217"/>
        <v>#VALUE!</v>
      </c>
      <c r="F976" t="str">
        <f t="shared" si="224"/>
        <v/>
      </c>
      <c r="G976">
        <f>IFERROR(IF(F976=0,"",COUNTIF($F$3:F976,"&gt;0")),"")</f>
        <v>16</v>
      </c>
      <c r="H976" t="str">
        <f t="shared" si="219"/>
        <v/>
      </c>
      <c r="I976" t="str">
        <f t="shared" si="225"/>
        <v/>
      </c>
      <c r="J976">
        <f>IFERROR(IF(I976=0,"",COUNTIF($I$3:I976,"&gt;0")),"")</f>
        <v>34</v>
      </c>
      <c r="K976" t="str">
        <f t="shared" si="220"/>
        <v/>
      </c>
      <c r="L976" t="str">
        <f t="shared" si="226"/>
        <v/>
      </c>
      <c r="M976" t="str">
        <f t="shared" si="227"/>
        <v/>
      </c>
      <c r="N976">
        <f>IFERROR(IF(M976=0,"",COUNTIF($M$3:M976,"&gt;0")),"")</f>
        <v>33</v>
      </c>
      <c r="O976" t="str">
        <f t="shared" si="221"/>
        <v/>
      </c>
      <c r="P976" t="str">
        <f t="shared" si="228"/>
        <v/>
      </c>
      <c r="Q976" t="str">
        <f t="shared" si="229"/>
        <v/>
      </c>
      <c r="R976">
        <f>IFERROR(IF(Q976=0,"",COUNTIF($Q$3:Q976,"&gt;0")),"")</f>
        <v>16</v>
      </c>
      <c r="S976" t="str">
        <f t="shared" si="222"/>
        <v/>
      </c>
      <c r="T976" t="str">
        <f t="shared" si="230"/>
        <v/>
      </c>
      <c r="U976">
        <f>IFERROR(IF(T976=0,"",COUNTIF($T$3:T976,"&gt;0")),"")</f>
        <v>0</v>
      </c>
      <c r="V976" t="str">
        <f t="shared" si="223"/>
        <v/>
      </c>
    </row>
    <row r="977" spans="1:22">
      <c r="A977" t="e">
        <f t="shared" si="218"/>
        <v>#VALUE!</v>
      </c>
      <c r="B977" t="e">
        <f>Table4[[#This Row],[CATEGORY]]</f>
        <v>#VALUE!</v>
      </c>
      <c r="C977" t="e">
        <f>Table4[[#This Row],[SUB-CATEGORY]]</f>
        <v>#VALUE!</v>
      </c>
      <c r="D977">
        <f>'RJ ATTENDENCE SHEET'!C:C</f>
        <v>0</v>
      </c>
      <c r="E977" t="e">
        <f t="shared" si="217"/>
        <v>#VALUE!</v>
      </c>
      <c r="F977" t="str">
        <f t="shared" si="224"/>
        <v/>
      </c>
      <c r="G977">
        <f>IFERROR(IF(F977=0,"",COUNTIF($F$3:F977,"&gt;0")),"")</f>
        <v>16</v>
      </c>
      <c r="H977" t="str">
        <f t="shared" si="219"/>
        <v/>
      </c>
      <c r="I977" t="str">
        <f t="shared" si="225"/>
        <v/>
      </c>
      <c r="J977">
        <f>IFERROR(IF(I977=0,"",COUNTIF($I$3:I977,"&gt;0")),"")</f>
        <v>34</v>
      </c>
      <c r="K977" t="str">
        <f t="shared" si="220"/>
        <v/>
      </c>
      <c r="L977" t="str">
        <f t="shared" si="226"/>
        <v/>
      </c>
      <c r="M977" t="str">
        <f t="shared" si="227"/>
        <v/>
      </c>
      <c r="N977">
        <f>IFERROR(IF(M977=0,"",COUNTIF($M$3:M977,"&gt;0")),"")</f>
        <v>33</v>
      </c>
      <c r="O977" t="str">
        <f t="shared" si="221"/>
        <v/>
      </c>
      <c r="P977" t="str">
        <f t="shared" si="228"/>
        <v/>
      </c>
      <c r="Q977" t="str">
        <f t="shared" si="229"/>
        <v/>
      </c>
      <c r="R977">
        <f>IFERROR(IF(Q977=0,"",COUNTIF($Q$3:Q977,"&gt;0")),"")</f>
        <v>16</v>
      </c>
      <c r="S977" t="str">
        <f t="shared" si="222"/>
        <v/>
      </c>
      <c r="T977" t="str">
        <f t="shared" si="230"/>
        <v/>
      </c>
      <c r="U977">
        <f>IFERROR(IF(T977=0,"",COUNTIF($T$3:T977,"&gt;0")),"")</f>
        <v>0</v>
      </c>
      <c r="V977" t="str">
        <f t="shared" si="223"/>
        <v/>
      </c>
    </row>
    <row r="978" spans="1:22">
      <c r="A978" t="e">
        <f t="shared" si="218"/>
        <v>#VALUE!</v>
      </c>
      <c r="B978" t="e">
        <f>Table4[[#This Row],[CATEGORY]]</f>
        <v>#VALUE!</v>
      </c>
      <c r="C978" t="e">
        <f>Table4[[#This Row],[SUB-CATEGORY]]</f>
        <v>#VALUE!</v>
      </c>
      <c r="D978">
        <f>'RJ ATTENDENCE SHEET'!C:C</f>
        <v>0</v>
      </c>
      <c r="E978" t="e">
        <f t="shared" si="217"/>
        <v>#VALUE!</v>
      </c>
      <c r="F978" t="str">
        <f t="shared" si="224"/>
        <v/>
      </c>
      <c r="G978">
        <f>IFERROR(IF(F978=0,"",COUNTIF($F$3:F978,"&gt;0")),"")</f>
        <v>16</v>
      </c>
      <c r="H978" t="str">
        <f t="shared" si="219"/>
        <v/>
      </c>
      <c r="I978" t="str">
        <f t="shared" si="225"/>
        <v/>
      </c>
      <c r="J978">
        <f>IFERROR(IF(I978=0,"",COUNTIF($I$3:I978,"&gt;0")),"")</f>
        <v>34</v>
      </c>
      <c r="K978" t="str">
        <f t="shared" si="220"/>
        <v/>
      </c>
      <c r="L978" t="str">
        <f t="shared" si="226"/>
        <v/>
      </c>
      <c r="M978" t="str">
        <f t="shared" si="227"/>
        <v/>
      </c>
      <c r="N978">
        <f>IFERROR(IF(M978=0,"",COUNTIF($M$3:M978,"&gt;0")),"")</f>
        <v>33</v>
      </c>
      <c r="O978" t="str">
        <f t="shared" si="221"/>
        <v/>
      </c>
      <c r="P978" t="str">
        <f t="shared" si="228"/>
        <v/>
      </c>
      <c r="Q978" t="str">
        <f t="shared" si="229"/>
        <v/>
      </c>
      <c r="R978">
        <f>IFERROR(IF(Q978=0,"",COUNTIF($Q$3:Q978,"&gt;0")),"")</f>
        <v>16</v>
      </c>
      <c r="S978" t="str">
        <f t="shared" si="222"/>
        <v/>
      </c>
      <c r="T978" t="str">
        <f t="shared" si="230"/>
        <v/>
      </c>
      <c r="U978">
        <f>IFERROR(IF(T978=0,"",COUNTIF($T$3:T978,"&gt;0")),"")</f>
        <v>0</v>
      </c>
      <c r="V978" t="str">
        <f t="shared" si="223"/>
        <v/>
      </c>
    </row>
    <row r="979" spans="1:22">
      <c r="A979" t="e">
        <f t="shared" si="218"/>
        <v>#VALUE!</v>
      </c>
      <c r="B979" t="e">
        <f>Table4[[#This Row],[CATEGORY]]</f>
        <v>#VALUE!</v>
      </c>
      <c r="C979" t="e">
        <f>Table4[[#This Row],[SUB-CATEGORY]]</f>
        <v>#VALUE!</v>
      </c>
      <c r="D979">
        <f>'RJ ATTENDENCE SHEET'!C:C</f>
        <v>0</v>
      </c>
      <c r="E979" t="e">
        <f t="shared" si="217"/>
        <v>#VALUE!</v>
      </c>
      <c r="F979" t="str">
        <f t="shared" si="224"/>
        <v/>
      </c>
      <c r="G979">
        <f>IFERROR(IF(F979=0,"",COUNTIF($F$3:F979,"&gt;0")),"")</f>
        <v>16</v>
      </c>
      <c r="H979" t="str">
        <f t="shared" si="219"/>
        <v/>
      </c>
      <c r="I979" t="str">
        <f t="shared" si="225"/>
        <v/>
      </c>
      <c r="J979">
        <f>IFERROR(IF(I979=0,"",COUNTIF($I$3:I979,"&gt;0")),"")</f>
        <v>34</v>
      </c>
      <c r="K979" t="str">
        <f t="shared" si="220"/>
        <v/>
      </c>
      <c r="L979" t="str">
        <f t="shared" si="226"/>
        <v/>
      </c>
      <c r="M979" t="str">
        <f t="shared" si="227"/>
        <v/>
      </c>
      <c r="N979">
        <f>IFERROR(IF(M979=0,"",COUNTIF($M$3:M979,"&gt;0")),"")</f>
        <v>33</v>
      </c>
      <c r="O979" t="str">
        <f t="shared" si="221"/>
        <v/>
      </c>
      <c r="P979" t="str">
        <f t="shared" si="228"/>
        <v/>
      </c>
      <c r="Q979" t="str">
        <f t="shared" si="229"/>
        <v/>
      </c>
      <c r="R979">
        <f>IFERROR(IF(Q979=0,"",COUNTIF($Q$3:Q979,"&gt;0")),"")</f>
        <v>16</v>
      </c>
      <c r="S979" t="str">
        <f t="shared" si="222"/>
        <v/>
      </c>
      <c r="T979" t="str">
        <f t="shared" si="230"/>
        <v/>
      </c>
      <c r="U979">
        <f>IFERROR(IF(T979=0,"",COUNTIF($T$3:T979,"&gt;0")),"")</f>
        <v>0</v>
      </c>
      <c r="V979" t="str">
        <f t="shared" si="223"/>
        <v/>
      </c>
    </row>
    <row r="980" spans="1:22">
      <c r="A980" t="e">
        <f t="shared" si="218"/>
        <v>#VALUE!</v>
      </c>
      <c r="B980" t="e">
        <f>Table4[[#This Row],[CATEGORY]]</f>
        <v>#VALUE!</v>
      </c>
      <c r="C980" t="e">
        <f>Table4[[#This Row],[SUB-CATEGORY]]</f>
        <v>#VALUE!</v>
      </c>
      <c r="D980">
        <f>'RJ ATTENDENCE SHEET'!C:C</f>
        <v>0</v>
      </c>
      <c r="E980" t="e">
        <f t="shared" si="217"/>
        <v>#VALUE!</v>
      </c>
      <c r="F980" t="str">
        <f t="shared" si="224"/>
        <v/>
      </c>
      <c r="G980">
        <f>IFERROR(IF(F980=0,"",COUNTIF($F$3:F980,"&gt;0")),"")</f>
        <v>16</v>
      </c>
      <c r="H980" t="str">
        <f t="shared" si="219"/>
        <v/>
      </c>
      <c r="I980" t="str">
        <f t="shared" si="225"/>
        <v/>
      </c>
      <c r="J980">
        <f>IFERROR(IF(I980=0,"",COUNTIF($I$3:I980,"&gt;0")),"")</f>
        <v>34</v>
      </c>
      <c r="K980" t="str">
        <f t="shared" si="220"/>
        <v/>
      </c>
      <c r="L980" t="str">
        <f t="shared" si="226"/>
        <v/>
      </c>
      <c r="M980" t="str">
        <f t="shared" si="227"/>
        <v/>
      </c>
      <c r="N980">
        <f>IFERROR(IF(M980=0,"",COUNTIF($M$3:M980,"&gt;0")),"")</f>
        <v>33</v>
      </c>
      <c r="O980" t="str">
        <f t="shared" si="221"/>
        <v/>
      </c>
      <c r="P980" t="str">
        <f t="shared" si="228"/>
        <v/>
      </c>
      <c r="Q980" t="str">
        <f t="shared" si="229"/>
        <v/>
      </c>
      <c r="R980">
        <f>IFERROR(IF(Q980=0,"",COUNTIF($Q$3:Q980,"&gt;0")),"")</f>
        <v>16</v>
      </c>
      <c r="S980" t="str">
        <f t="shared" si="222"/>
        <v/>
      </c>
      <c r="T980" t="str">
        <f t="shared" si="230"/>
        <v/>
      </c>
      <c r="U980">
        <f>IFERROR(IF(T980=0,"",COUNTIF($T$3:T980,"&gt;0")),"")</f>
        <v>0</v>
      </c>
      <c r="V980" t="str">
        <f t="shared" si="223"/>
        <v/>
      </c>
    </row>
    <row r="981" spans="1:22">
      <c r="A981" t="e">
        <f t="shared" si="218"/>
        <v>#VALUE!</v>
      </c>
      <c r="B981" t="e">
        <f>Table4[[#This Row],[CATEGORY]]</f>
        <v>#VALUE!</v>
      </c>
      <c r="C981" t="e">
        <f>Table4[[#This Row],[SUB-CATEGORY]]</f>
        <v>#VALUE!</v>
      </c>
      <c r="D981">
        <f>'RJ ATTENDENCE SHEET'!C:C</f>
        <v>0</v>
      </c>
      <c r="E981" t="e">
        <f t="shared" si="217"/>
        <v>#VALUE!</v>
      </c>
      <c r="F981" t="str">
        <f t="shared" si="224"/>
        <v/>
      </c>
      <c r="G981">
        <f>IFERROR(IF(F981=0,"",COUNTIF($F$3:F981,"&gt;0")),"")</f>
        <v>16</v>
      </c>
      <c r="H981" t="str">
        <f t="shared" si="219"/>
        <v/>
      </c>
      <c r="I981" t="str">
        <f t="shared" si="225"/>
        <v/>
      </c>
      <c r="J981">
        <f>IFERROR(IF(I981=0,"",COUNTIF($I$3:I981,"&gt;0")),"")</f>
        <v>34</v>
      </c>
      <c r="K981" t="str">
        <f t="shared" si="220"/>
        <v/>
      </c>
      <c r="L981" t="str">
        <f t="shared" si="226"/>
        <v/>
      </c>
      <c r="M981" t="str">
        <f t="shared" si="227"/>
        <v/>
      </c>
      <c r="N981">
        <f>IFERROR(IF(M981=0,"",COUNTIF($M$3:M981,"&gt;0")),"")</f>
        <v>33</v>
      </c>
      <c r="O981" t="str">
        <f t="shared" si="221"/>
        <v/>
      </c>
      <c r="P981" t="str">
        <f t="shared" si="228"/>
        <v/>
      </c>
      <c r="Q981" t="str">
        <f t="shared" si="229"/>
        <v/>
      </c>
      <c r="R981">
        <f>IFERROR(IF(Q981=0,"",COUNTIF($Q$3:Q981,"&gt;0")),"")</f>
        <v>16</v>
      </c>
      <c r="S981" t="str">
        <f t="shared" si="222"/>
        <v/>
      </c>
      <c r="T981" t="str">
        <f t="shared" si="230"/>
        <v/>
      </c>
      <c r="U981">
        <f>IFERROR(IF(T981=0,"",COUNTIF($T$3:T981,"&gt;0")),"")</f>
        <v>0</v>
      </c>
      <c r="V981" t="str">
        <f t="shared" si="223"/>
        <v/>
      </c>
    </row>
    <row r="982" spans="1:22">
      <c r="A982" t="e">
        <f t="shared" si="218"/>
        <v>#VALUE!</v>
      </c>
      <c r="B982" t="e">
        <f>Table4[[#This Row],[CATEGORY]]</f>
        <v>#VALUE!</v>
      </c>
      <c r="C982" t="e">
        <f>Table4[[#This Row],[SUB-CATEGORY]]</f>
        <v>#VALUE!</v>
      </c>
      <c r="D982">
        <f>'RJ ATTENDENCE SHEET'!C:C</f>
        <v>0</v>
      </c>
      <c r="E982" t="e">
        <f t="shared" si="217"/>
        <v>#VALUE!</v>
      </c>
      <c r="F982" t="str">
        <f t="shared" si="224"/>
        <v/>
      </c>
      <c r="G982">
        <f>IFERROR(IF(F982=0,"",COUNTIF($F$3:F982,"&gt;0")),"")</f>
        <v>16</v>
      </c>
      <c r="H982" t="str">
        <f t="shared" si="219"/>
        <v/>
      </c>
      <c r="I982" t="str">
        <f t="shared" si="225"/>
        <v/>
      </c>
      <c r="J982">
        <f>IFERROR(IF(I982=0,"",COUNTIF($I$3:I982,"&gt;0")),"")</f>
        <v>34</v>
      </c>
      <c r="K982" t="str">
        <f t="shared" si="220"/>
        <v/>
      </c>
      <c r="L982" t="str">
        <f t="shared" si="226"/>
        <v/>
      </c>
      <c r="M982" t="str">
        <f t="shared" si="227"/>
        <v/>
      </c>
      <c r="N982">
        <f>IFERROR(IF(M982=0,"",COUNTIF($M$3:M982,"&gt;0")),"")</f>
        <v>33</v>
      </c>
      <c r="O982" t="str">
        <f t="shared" si="221"/>
        <v/>
      </c>
      <c r="P982" t="str">
        <f t="shared" si="228"/>
        <v/>
      </c>
      <c r="Q982" t="str">
        <f t="shared" si="229"/>
        <v/>
      </c>
      <c r="R982">
        <f>IFERROR(IF(Q982=0,"",COUNTIF($Q$3:Q982,"&gt;0")),"")</f>
        <v>16</v>
      </c>
      <c r="S982" t="str">
        <f t="shared" si="222"/>
        <v/>
      </c>
      <c r="T982" t="str">
        <f t="shared" si="230"/>
        <v/>
      </c>
      <c r="U982">
        <f>IFERROR(IF(T982=0,"",COUNTIF($T$3:T982,"&gt;0")),"")</f>
        <v>0</v>
      </c>
      <c r="V982" t="str">
        <f t="shared" si="223"/>
        <v/>
      </c>
    </row>
    <row r="983" spans="1:22">
      <c r="A983" t="e">
        <f t="shared" si="218"/>
        <v>#VALUE!</v>
      </c>
      <c r="B983" t="e">
        <f>Table4[[#This Row],[CATEGORY]]</f>
        <v>#VALUE!</v>
      </c>
      <c r="C983" t="e">
        <f>Table4[[#This Row],[SUB-CATEGORY]]</f>
        <v>#VALUE!</v>
      </c>
      <c r="D983">
        <f>'RJ ATTENDENCE SHEET'!C:C</f>
        <v>0</v>
      </c>
      <c r="E983" t="e">
        <f t="shared" si="217"/>
        <v>#VALUE!</v>
      </c>
      <c r="F983" t="str">
        <f t="shared" si="224"/>
        <v/>
      </c>
      <c r="G983">
        <f>IFERROR(IF(F983=0,"",COUNTIF($F$3:F983,"&gt;0")),"")</f>
        <v>16</v>
      </c>
      <c r="H983" t="str">
        <f t="shared" si="219"/>
        <v/>
      </c>
      <c r="I983" t="str">
        <f t="shared" si="225"/>
        <v/>
      </c>
      <c r="J983">
        <f>IFERROR(IF(I983=0,"",COUNTIF($I$3:I983,"&gt;0")),"")</f>
        <v>34</v>
      </c>
      <c r="K983" t="str">
        <f t="shared" si="220"/>
        <v/>
      </c>
      <c r="L983" t="str">
        <f t="shared" si="226"/>
        <v/>
      </c>
      <c r="M983" t="str">
        <f t="shared" si="227"/>
        <v/>
      </c>
      <c r="N983">
        <f>IFERROR(IF(M983=0,"",COUNTIF($M$3:M983,"&gt;0")),"")</f>
        <v>33</v>
      </c>
      <c r="O983" t="str">
        <f t="shared" si="221"/>
        <v/>
      </c>
      <c r="P983" t="str">
        <f t="shared" si="228"/>
        <v/>
      </c>
      <c r="Q983" t="str">
        <f t="shared" si="229"/>
        <v/>
      </c>
      <c r="R983">
        <f>IFERROR(IF(Q983=0,"",COUNTIF($Q$3:Q983,"&gt;0")),"")</f>
        <v>16</v>
      </c>
      <c r="S983" t="str">
        <f t="shared" si="222"/>
        <v/>
      </c>
      <c r="T983" t="str">
        <f t="shared" si="230"/>
        <v/>
      </c>
      <c r="U983">
        <f>IFERROR(IF(T983=0,"",COUNTIF($T$3:T983,"&gt;0")),"")</f>
        <v>0</v>
      </c>
      <c r="V983" t="str">
        <f t="shared" si="223"/>
        <v/>
      </c>
    </row>
    <row r="984" spans="1:22">
      <c r="A984" t="e">
        <f t="shared" si="218"/>
        <v>#VALUE!</v>
      </c>
      <c r="B984" t="e">
        <f>Table4[[#This Row],[CATEGORY]]</f>
        <v>#VALUE!</v>
      </c>
      <c r="C984" t="e">
        <f>Table4[[#This Row],[SUB-CATEGORY]]</f>
        <v>#VALUE!</v>
      </c>
      <c r="D984">
        <f>'RJ ATTENDENCE SHEET'!C:C</f>
        <v>0</v>
      </c>
      <c r="E984" t="e">
        <f t="shared" si="217"/>
        <v>#VALUE!</v>
      </c>
      <c r="F984" t="str">
        <f t="shared" si="224"/>
        <v/>
      </c>
      <c r="G984">
        <f>IFERROR(IF(F984=0,"",COUNTIF($F$3:F984,"&gt;0")),"")</f>
        <v>16</v>
      </c>
      <c r="H984" t="str">
        <f t="shared" si="219"/>
        <v/>
      </c>
      <c r="I984" t="str">
        <f t="shared" si="225"/>
        <v/>
      </c>
      <c r="J984">
        <f>IFERROR(IF(I984=0,"",COUNTIF($I$3:I984,"&gt;0")),"")</f>
        <v>34</v>
      </c>
      <c r="K984" t="str">
        <f t="shared" si="220"/>
        <v/>
      </c>
      <c r="L984" t="str">
        <f t="shared" si="226"/>
        <v/>
      </c>
      <c r="M984" t="str">
        <f t="shared" si="227"/>
        <v/>
      </c>
      <c r="N984">
        <f>IFERROR(IF(M984=0,"",COUNTIF($M$3:M984,"&gt;0")),"")</f>
        <v>33</v>
      </c>
      <c r="O984" t="str">
        <f t="shared" si="221"/>
        <v/>
      </c>
      <c r="P984" t="str">
        <f t="shared" si="228"/>
        <v/>
      </c>
      <c r="Q984" t="str">
        <f t="shared" si="229"/>
        <v/>
      </c>
      <c r="R984">
        <f>IFERROR(IF(Q984=0,"",COUNTIF($Q$3:Q984,"&gt;0")),"")</f>
        <v>16</v>
      </c>
      <c r="S984" t="str">
        <f t="shared" si="222"/>
        <v/>
      </c>
      <c r="T984" t="str">
        <f t="shared" si="230"/>
        <v/>
      </c>
      <c r="U984">
        <f>IFERROR(IF(T984=0,"",COUNTIF($T$3:T984,"&gt;0")),"")</f>
        <v>0</v>
      </c>
      <c r="V984" t="str">
        <f t="shared" si="223"/>
        <v/>
      </c>
    </row>
    <row r="985" spans="1:22">
      <c r="A985" t="e">
        <f t="shared" si="218"/>
        <v>#VALUE!</v>
      </c>
      <c r="B985" t="e">
        <f>Table4[[#This Row],[CATEGORY]]</f>
        <v>#VALUE!</v>
      </c>
      <c r="C985" t="e">
        <f>Table4[[#This Row],[SUB-CATEGORY]]</f>
        <v>#VALUE!</v>
      </c>
      <c r="D985">
        <f>'RJ ATTENDENCE SHEET'!C:C</f>
        <v>0</v>
      </c>
      <c r="E985" t="e">
        <f t="shared" si="217"/>
        <v>#VALUE!</v>
      </c>
      <c r="F985" t="str">
        <f t="shared" si="224"/>
        <v/>
      </c>
      <c r="G985">
        <f>IFERROR(IF(F985=0,"",COUNTIF($F$3:F985,"&gt;0")),"")</f>
        <v>16</v>
      </c>
      <c r="H985" t="str">
        <f t="shared" si="219"/>
        <v/>
      </c>
      <c r="I985" t="str">
        <f t="shared" si="225"/>
        <v/>
      </c>
      <c r="J985">
        <f>IFERROR(IF(I985=0,"",COUNTIF($I$3:I985,"&gt;0")),"")</f>
        <v>34</v>
      </c>
      <c r="K985" t="str">
        <f t="shared" si="220"/>
        <v/>
      </c>
      <c r="L985" t="str">
        <f t="shared" si="226"/>
        <v/>
      </c>
      <c r="M985" t="str">
        <f t="shared" si="227"/>
        <v/>
      </c>
      <c r="N985">
        <f>IFERROR(IF(M985=0,"",COUNTIF($M$3:M985,"&gt;0")),"")</f>
        <v>33</v>
      </c>
      <c r="O985" t="str">
        <f t="shared" si="221"/>
        <v/>
      </c>
      <c r="P985" t="str">
        <f t="shared" si="228"/>
        <v/>
      </c>
      <c r="Q985" t="str">
        <f t="shared" si="229"/>
        <v/>
      </c>
      <c r="R985">
        <f>IFERROR(IF(Q985=0,"",COUNTIF($Q$3:Q985,"&gt;0")),"")</f>
        <v>16</v>
      </c>
      <c r="S985" t="str">
        <f t="shared" si="222"/>
        <v/>
      </c>
      <c r="T985" t="str">
        <f t="shared" si="230"/>
        <v/>
      </c>
      <c r="U985">
        <f>IFERROR(IF(T985=0,"",COUNTIF($T$3:T985,"&gt;0")),"")</f>
        <v>0</v>
      </c>
      <c r="V985" t="str">
        <f t="shared" si="223"/>
        <v/>
      </c>
    </row>
    <row r="986" spans="1:22">
      <c r="A986" t="e">
        <f t="shared" si="218"/>
        <v>#VALUE!</v>
      </c>
      <c r="B986" t="e">
        <f>Table4[[#This Row],[CATEGORY]]</f>
        <v>#VALUE!</v>
      </c>
      <c r="C986" t="e">
        <f>Table4[[#This Row],[SUB-CATEGORY]]</f>
        <v>#VALUE!</v>
      </c>
      <c r="D986">
        <f>'RJ ATTENDENCE SHEET'!C:C</f>
        <v>0</v>
      </c>
      <c r="E986" t="e">
        <f t="shared" si="217"/>
        <v>#VALUE!</v>
      </c>
      <c r="F986" t="str">
        <f t="shared" si="224"/>
        <v/>
      </c>
      <c r="G986">
        <f>IFERROR(IF(F986=0,"",COUNTIF($F$3:F986,"&gt;0")),"")</f>
        <v>16</v>
      </c>
      <c r="H986" t="str">
        <f t="shared" si="219"/>
        <v/>
      </c>
      <c r="I986" t="str">
        <f t="shared" si="225"/>
        <v/>
      </c>
      <c r="J986">
        <f>IFERROR(IF(I986=0,"",COUNTIF($I$3:I986,"&gt;0")),"")</f>
        <v>34</v>
      </c>
      <c r="K986" t="str">
        <f t="shared" si="220"/>
        <v/>
      </c>
      <c r="L986" t="str">
        <f t="shared" si="226"/>
        <v/>
      </c>
      <c r="M986" t="str">
        <f t="shared" si="227"/>
        <v/>
      </c>
      <c r="N986">
        <f>IFERROR(IF(M986=0,"",COUNTIF($M$3:M986,"&gt;0")),"")</f>
        <v>33</v>
      </c>
      <c r="O986" t="str">
        <f t="shared" si="221"/>
        <v/>
      </c>
      <c r="P986" t="str">
        <f t="shared" si="228"/>
        <v/>
      </c>
      <c r="Q986" t="str">
        <f t="shared" si="229"/>
        <v/>
      </c>
      <c r="R986">
        <f>IFERROR(IF(Q986=0,"",COUNTIF($Q$3:Q986,"&gt;0")),"")</f>
        <v>16</v>
      </c>
      <c r="S986" t="str">
        <f t="shared" si="222"/>
        <v/>
      </c>
      <c r="T986" t="str">
        <f t="shared" si="230"/>
        <v/>
      </c>
      <c r="U986">
        <f>IFERROR(IF(T986=0,"",COUNTIF($T$3:T986,"&gt;0")),"")</f>
        <v>0</v>
      </c>
      <c r="V986" t="str">
        <f t="shared" si="223"/>
        <v/>
      </c>
    </row>
    <row r="987" spans="1:22">
      <c r="A987" t="e">
        <f t="shared" si="218"/>
        <v>#VALUE!</v>
      </c>
      <c r="B987" t="e">
        <f>Table4[[#This Row],[CATEGORY]]</f>
        <v>#VALUE!</v>
      </c>
      <c r="C987" t="e">
        <f>Table4[[#This Row],[SUB-CATEGORY]]</f>
        <v>#VALUE!</v>
      </c>
      <c r="D987">
        <f>'RJ ATTENDENCE SHEET'!C:C</f>
        <v>0</v>
      </c>
      <c r="E987" t="e">
        <f t="shared" si="217"/>
        <v>#VALUE!</v>
      </c>
      <c r="F987" t="str">
        <f t="shared" si="224"/>
        <v/>
      </c>
      <c r="G987">
        <f>IFERROR(IF(F987=0,"",COUNTIF($F$3:F987,"&gt;0")),"")</f>
        <v>16</v>
      </c>
      <c r="H987" t="str">
        <f t="shared" si="219"/>
        <v/>
      </c>
      <c r="I987" t="str">
        <f t="shared" si="225"/>
        <v/>
      </c>
      <c r="J987">
        <f>IFERROR(IF(I987=0,"",COUNTIF($I$3:I987,"&gt;0")),"")</f>
        <v>34</v>
      </c>
      <c r="K987" t="str">
        <f t="shared" si="220"/>
        <v/>
      </c>
      <c r="L987" t="str">
        <f t="shared" si="226"/>
        <v/>
      </c>
      <c r="M987" t="str">
        <f t="shared" si="227"/>
        <v/>
      </c>
      <c r="N987">
        <f>IFERROR(IF(M987=0,"",COUNTIF($M$3:M987,"&gt;0")),"")</f>
        <v>33</v>
      </c>
      <c r="O987" t="str">
        <f t="shared" si="221"/>
        <v/>
      </c>
      <c r="P987" t="str">
        <f t="shared" si="228"/>
        <v/>
      </c>
      <c r="Q987" t="str">
        <f t="shared" si="229"/>
        <v/>
      </c>
      <c r="R987">
        <f>IFERROR(IF(Q987=0,"",COUNTIF($Q$3:Q987,"&gt;0")),"")</f>
        <v>16</v>
      </c>
      <c r="S987" t="str">
        <f t="shared" si="222"/>
        <v/>
      </c>
      <c r="T987" t="str">
        <f t="shared" si="230"/>
        <v/>
      </c>
      <c r="U987">
        <f>IFERROR(IF(T987=0,"",COUNTIF($T$3:T987,"&gt;0")),"")</f>
        <v>0</v>
      </c>
      <c r="V987" t="str">
        <f t="shared" si="223"/>
        <v/>
      </c>
    </row>
    <row r="988" spans="1:22">
      <c r="A988" t="e">
        <f t="shared" si="218"/>
        <v>#VALUE!</v>
      </c>
      <c r="B988" t="e">
        <f>Table4[[#This Row],[CATEGORY]]</f>
        <v>#VALUE!</v>
      </c>
      <c r="C988" t="e">
        <f>Table4[[#This Row],[SUB-CATEGORY]]</f>
        <v>#VALUE!</v>
      </c>
      <c r="D988">
        <f>'RJ ATTENDENCE SHEET'!C:C</f>
        <v>0</v>
      </c>
      <c r="E988" t="e">
        <f t="shared" si="217"/>
        <v>#VALUE!</v>
      </c>
      <c r="F988" t="str">
        <f t="shared" si="224"/>
        <v/>
      </c>
      <c r="G988">
        <f>IFERROR(IF(F988=0,"",COUNTIF($F$3:F988,"&gt;0")),"")</f>
        <v>16</v>
      </c>
      <c r="H988" t="str">
        <f t="shared" si="219"/>
        <v/>
      </c>
      <c r="I988" t="str">
        <f t="shared" si="225"/>
        <v/>
      </c>
      <c r="J988">
        <f>IFERROR(IF(I988=0,"",COUNTIF($I$3:I988,"&gt;0")),"")</f>
        <v>34</v>
      </c>
      <c r="K988" t="str">
        <f t="shared" si="220"/>
        <v/>
      </c>
      <c r="L988" t="str">
        <f t="shared" si="226"/>
        <v/>
      </c>
      <c r="M988" t="str">
        <f t="shared" si="227"/>
        <v/>
      </c>
      <c r="N988">
        <f>IFERROR(IF(M988=0,"",COUNTIF($M$3:M988,"&gt;0")),"")</f>
        <v>33</v>
      </c>
      <c r="O988" t="str">
        <f t="shared" si="221"/>
        <v/>
      </c>
      <c r="P988" t="str">
        <f t="shared" si="228"/>
        <v/>
      </c>
      <c r="Q988" t="str">
        <f t="shared" si="229"/>
        <v/>
      </c>
      <c r="R988">
        <f>IFERROR(IF(Q988=0,"",COUNTIF($Q$3:Q988,"&gt;0")),"")</f>
        <v>16</v>
      </c>
      <c r="S988" t="str">
        <f t="shared" si="222"/>
        <v/>
      </c>
      <c r="T988" t="str">
        <f t="shared" si="230"/>
        <v/>
      </c>
      <c r="U988">
        <f>IFERROR(IF(T988=0,"",COUNTIF($T$3:T988,"&gt;0")),"")</f>
        <v>0</v>
      </c>
      <c r="V988" t="str">
        <f t="shared" si="223"/>
        <v/>
      </c>
    </row>
    <row r="989" spans="1:22">
      <c r="A989" t="e">
        <f t="shared" si="218"/>
        <v>#VALUE!</v>
      </c>
      <c r="B989" t="e">
        <f>Table4[[#This Row],[CATEGORY]]</f>
        <v>#VALUE!</v>
      </c>
      <c r="C989" t="e">
        <f>Table4[[#This Row],[SUB-CATEGORY]]</f>
        <v>#VALUE!</v>
      </c>
      <c r="D989">
        <f>'RJ ATTENDENCE SHEET'!C:C</f>
        <v>0</v>
      </c>
      <c r="E989" t="e">
        <f t="shared" si="217"/>
        <v>#VALUE!</v>
      </c>
      <c r="F989" t="str">
        <f t="shared" si="224"/>
        <v/>
      </c>
      <c r="G989">
        <f>IFERROR(IF(F989=0,"",COUNTIF($F$3:F989,"&gt;0")),"")</f>
        <v>16</v>
      </c>
      <c r="H989" t="str">
        <f t="shared" si="219"/>
        <v/>
      </c>
      <c r="I989" t="str">
        <f t="shared" si="225"/>
        <v/>
      </c>
      <c r="J989">
        <f>IFERROR(IF(I989=0,"",COUNTIF($I$3:I989,"&gt;0")),"")</f>
        <v>34</v>
      </c>
      <c r="K989" t="str">
        <f t="shared" si="220"/>
        <v/>
      </c>
      <c r="L989" t="str">
        <f t="shared" si="226"/>
        <v/>
      </c>
      <c r="M989" t="str">
        <f t="shared" si="227"/>
        <v/>
      </c>
      <c r="N989">
        <f>IFERROR(IF(M989=0,"",COUNTIF($M$3:M989,"&gt;0")),"")</f>
        <v>33</v>
      </c>
      <c r="O989" t="str">
        <f t="shared" si="221"/>
        <v/>
      </c>
      <c r="P989" t="str">
        <f t="shared" si="228"/>
        <v/>
      </c>
      <c r="Q989" t="str">
        <f t="shared" si="229"/>
        <v/>
      </c>
      <c r="R989">
        <f>IFERROR(IF(Q989=0,"",COUNTIF($Q$3:Q989,"&gt;0")),"")</f>
        <v>16</v>
      </c>
      <c r="S989" t="str">
        <f t="shared" si="222"/>
        <v/>
      </c>
      <c r="T989" t="str">
        <f t="shared" si="230"/>
        <v/>
      </c>
      <c r="U989">
        <f>IFERROR(IF(T989=0,"",COUNTIF($T$3:T989,"&gt;0")),"")</f>
        <v>0</v>
      </c>
      <c r="V989" t="str">
        <f t="shared" si="223"/>
        <v/>
      </c>
    </row>
    <row r="990" spans="1:22">
      <c r="A990" t="e">
        <f t="shared" si="218"/>
        <v>#VALUE!</v>
      </c>
      <c r="B990" t="e">
        <f>Table4[[#This Row],[CATEGORY]]</f>
        <v>#VALUE!</v>
      </c>
      <c r="C990" t="e">
        <f>Table4[[#This Row],[SUB-CATEGORY]]</f>
        <v>#VALUE!</v>
      </c>
      <c r="D990">
        <f>'RJ ATTENDENCE SHEET'!C:C</f>
        <v>0</v>
      </c>
      <c r="E990" t="e">
        <f t="shared" si="217"/>
        <v>#VALUE!</v>
      </c>
      <c r="F990" t="str">
        <f t="shared" si="224"/>
        <v/>
      </c>
      <c r="G990">
        <f>IFERROR(IF(F990=0,"",COUNTIF($F$3:F990,"&gt;0")),"")</f>
        <v>16</v>
      </c>
      <c r="H990" t="str">
        <f t="shared" si="219"/>
        <v/>
      </c>
      <c r="I990" t="str">
        <f t="shared" si="225"/>
        <v/>
      </c>
      <c r="J990">
        <f>IFERROR(IF(I990=0,"",COUNTIF($I$3:I990,"&gt;0")),"")</f>
        <v>34</v>
      </c>
      <c r="K990" t="str">
        <f t="shared" si="220"/>
        <v/>
      </c>
      <c r="L990" t="str">
        <f t="shared" si="226"/>
        <v/>
      </c>
      <c r="M990" t="str">
        <f t="shared" si="227"/>
        <v/>
      </c>
      <c r="N990">
        <f>IFERROR(IF(M990=0,"",COUNTIF($M$3:M990,"&gt;0")),"")</f>
        <v>33</v>
      </c>
      <c r="O990" t="str">
        <f t="shared" si="221"/>
        <v/>
      </c>
      <c r="P990" t="str">
        <f t="shared" si="228"/>
        <v/>
      </c>
      <c r="Q990" t="str">
        <f t="shared" si="229"/>
        <v/>
      </c>
      <c r="R990">
        <f>IFERROR(IF(Q990=0,"",COUNTIF($Q$3:Q990,"&gt;0")),"")</f>
        <v>16</v>
      </c>
      <c r="S990" t="str">
        <f t="shared" si="222"/>
        <v/>
      </c>
      <c r="T990" t="str">
        <f t="shared" si="230"/>
        <v/>
      </c>
      <c r="U990">
        <f>IFERROR(IF(T990=0,"",COUNTIF($T$3:T990,"&gt;0")),"")</f>
        <v>0</v>
      </c>
      <c r="V990" t="str">
        <f t="shared" si="223"/>
        <v/>
      </c>
    </row>
    <row r="991" spans="1:22">
      <c r="A991" t="e">
        <f t="shared" si="218"/>
        <v>#VALUE!</v>
      </c>
      <c r="B991" t="e">
        <f>Table4[[#This Row],[CATEGORY]]</f>
        <v>#VALUE!</v>
      </c>
      <c r="C991" t="e">
        <f>Table4[[#This Row],[SUB-CATEGORY]]</f>
        <v>#VALUE!</v>
      </c>
      <c r="D991">
        <f>'RJ ATTENDENCE SHEET'!C:C</f>
        <v>0</v>
      </c>
      <c r="E991" t="e">
        <f t="shared" si="217"/>
        <v>#VALUE!</v>
      </c>
      <c r="F991" t="str">
        <f t="shared" si="224"/>
        <v/>
      </c>
      <c r="G991">
        <f>IFERROR(IF(F991=0,"",COUNTIF($F$3:F991,"&gt;0")),"")</f>
        <v>16</v>
      </c>
      <c r="H991" t="str">
        <f t="shared" si="219"/>
        <v/>
      </c>
      <c r="I991" t="str">
        <f t="shared" si="225"/>
        <v/>
      </c>
      <c r="J991">
        <f>IFERROR(IF(I991=0,"",COUNTIF($I$3:I991,"&gt;0")),"")</f>
        <v>34</v>
      </c>
      <c r="K991" t="str">
        <f t="shared" si="220"/>
        <v/>
      </c>
      <c r="L991" t="str">
        <f t="shared" si="226"/>
        <v/>
      </c>
      <c r="M991" t="str">
        <f t="shared" si="227"/>
        <v/>
      </c>
      <c r="N991">
        <f>IFERROR(IF(M991=0,"",COUNTIF($M$3:M991,"&gt;0")),"")</f>
        <v>33</v>
      </c>
      <c r="O991" t="str">
        <f t="shared" si="221"/>
        <v/>
      </c>
      <c r="P991" t="str">
        <f t="shared" si="228"/>
        <v/>
      </c>
      <c r="Q991" t="str">
        <f t="shared" si="229"/>
        <v/>
      </c>
      <c r="R991">
        <f>IFERROR(IF(Q991=0,"",COUNTIF($Q$3:Q991,"&gt;0")),"")</f>
        <v>16</v>
      </c>
      <c r="S991" t="str">
        <f t="shared" si="222"/>
        <v/>
      </c>
      <c r="T991" t="str">
        <f t="shared" si="230"/>
        <v/>
      </c>
      <c r="U991">
        <f>IFERROR(IF(T991=0,"",COUNTIF($T$3:T991,"&gt;0")),"")</f>
        <v>0</v>
      </c>
      <c r="V991" t="str">
        <f t="shared" si="223"/>
        <v/>
      </c>
    </row>
    <row r="992" spans="1:22">
      <c r="A992" t="e">
        <f t="shared" si="218"/>
        <v>#VALUE!</v>
      </c>
      <c r="B992" t="e">
        <f>Table4[[#This Row],[CATEGORY]]</f>
        <v>#VALUE!</v>
      </c>
      <c r="C992" t="e">
        <f>Table4[[#This Row],[SUB-CATEGORY]]</f>
        <v>#VALUE!</v>
      </c>
      <c r="D992">
        <f>'RJ ATTENDENCE SHEET'!C:C</f>
        <v>0</v>
      </c>
      <c r="E992" t="e">
        <f t="shared" si="217"/>
        <v>#VALUE!</v>
      </c>
      <c r="F992" t="str">
        <f t="shared" si="224"/>
        <v/>
      </c>
      <c r="G992">
        <f>IFERROR(IF(F992=0,"",COUNTIF($F$3:F992,"&gt;0")),"")</f>
        <v>16</v>
      </c>
      <c r="H992" t="str">
        <f t="shared" si="219"/>
        <v/>
      </c>
      <c r="I992" t="str">
        <f t="shared" si="225"/>
        <v/>
      </c>
      <c r="J992">
        <f>IFERROR(IF(I992=0,"",COUNTIF($I$3:I992,"&gt;0")),"")</f>
        <v>34</v>
      </c>
      <c r="K992" t="str">
        <f t="shared" si="220"/>
        <v/>
      </c>
      <c r="L992" t="str">
        <f t="shared" si="226"/>
        <v/>
      </c>
      <c r="M992" t="str">
        <f t="shared" si="227"/>
        <v/>
      </c>
      <c r="N992">
        <f>IFERROR(IF(M992=0,"",COUNTIF($M$3:M992,"&gt;0")),"")</f>
        <v>33</v>
      </c>
      <c r="O992" t="str">
        <f t="shared" si="221"/>
        <v/>
      </c>
      <c r="P992" t="str">
        <f t="shared" si="228"/>
        <v/>
      </c>
      <c r="Q992" t="str">
        <f t="shared" si="229"/>
        <v/>
      </c>
      <c r="R992">
        <f>IFERROR(IF(Q992=0,"",COUNTIF($Q$3:Q992,"&gt;0")),"")</f>
        <v>16</v>
      </c>
      <c r="S992" t="str">
        <f t="shared" si="222"/>
        <v/>
      </c>
      <c r="T992" t="str">
        <f t="shared" si="230"/>
        <v/>
      </c>
      <c r="U992">
        <f>IFERROR(IF(T992=0,"",COUNTIF($T$3:T992,"&gt;0")),"")</f>
        <v>0</v>
      </c>
      <c r="V992" t="str">
        <f t="shared" si="223"/>
        <v/>
      </c>
    </row>
    <row r="993" spans="1:22">
      <c r="A993" t="e">
        <f t="shared" si="218"/>
        <v>#VALUE!</v>
      </c>
      <c r="B993" t="e">
        <f>Table4[[#This Row],[CATEGORY]]</f>
        <v>#VALUE!</v>
      </c>
      <c r="C993" t="e">
        <f>Table4[[#This Row],[SUB-CATEGORY]]</f>
        <v>#VALUE!</v>
      </c>
      <c r="D993">
        <f>'RJ ATTENDENCE SHEET'!C:C</f>
        <v>0</v>
      </c>
      <c r="E993" t="e">
        <f t="shared" si="217"/>
        <v>#VALUE!</v>
      </c>
      <c r="F993" t="str">
        <f t="shared" si="224"/>
        <v/>
      </c>
      <c r="G993">
        <f>IFERROR(IF(F993=0,"",COUNTIF($F$3:F993,"&gt;0")),"")</f>
        <v>16</v>
      </c>
      <c r="H993" t="str">
        <f t="shared" si="219"/>
        <v/>
      </c>
      <c r="I993" t="str">
        <f t="shared" si="225"/>
        <v/>
      </c>
      <c r="J993">
        <f>IFERROR(IF(I993=0,"",COUNTIF($I$3:I993,"&gt;0")),"")</f>
        <v>34</v>
      </c>
      <c r="K993" t="str">
        <f t="shared" si="220"/>
        <v/>
      </c>
      <c r="L993" t="str">
        <f t="shared" si="226"/>
        <v/>
      </c>
      <c r="M993" t="str">
        <f t="shared" si="227"/>
        <v/>
      </c>
      <c r="N993">
        <f>IFERROR(IF(M993=0,"",COUNTIF($M$3:M993,"&gt;0")),"")</f>
        <v>33</v>
      </c>
      <c r="O993" t="str">
        <f t="shared" si="221"/>
        <v/>
      </c>
      <c r="P993" t="str">
        <f t="shared" si="228"/>
        <v/>
      </c>
      <c r="Q993" t="str">
        <f t="shared" si="229"/>
        <v/>
      </c>
      <c r="R993">
        <f>IFERROR(IF(Q993=0,"",COUNTIF($Q$3:Q993,"&gt;0")),"")</f>
        <v>16</v>
      </c>
      <c r="S993" t="str">
        <f t="shared" si="222"/>
        <v/>
      </c>
      <c r="T993" t="str">
        <f t="shared" si="230"/>
        <v/>
      </c>
      <c r="U993">
        <f>IFERROR(IF(T993=0,"",COUNTIF($T$3:T993,"&gt;0")),"")</f>
        <v>0</v>
      </c>
      <c r="V993" t="str">
        <f t="shared" si="223"/>
        <v/>
      </c>
    </row>
    <row r="994" spans="1:22">
      <c r="A994" t="e">
        <f t="shared" si="218"/>
        <v>#VALUE!</v>
      </c>
      <c r="B994" t="e">
        <f>Table4[[#This Row],[CATEGORY]]</f>
        <v>#VALUE!</v>
      </c>
      <c r="C994" t="e">
        <f>Table4[[#This Row],[SUB-CATEGORY]]</f>
        <v>#VALUE!</v>
      </c>
      <c r="D994">
        <f>'RJ ATTENDENCE SHEET'!C:C</f>
        <v>0</v>
      </c>
      <c r="E994" t="e">
        <f t="shared" si="217"/>
        <v>#VALUE!</v>
      </c>
      <c r="F994" t="str">
        <f t="shared" si="224"/>
        <v/>
      </c>
      <c r="G994">
        <f>IFERROR(IF(F994=0,"",COUNTIF($F$3:F994,"&gt;0")),"")</f>
        <v>16</v>
      </c>
      <c r="H994" t="str">
        <f t="shared" si="219"/>
        <v/>
      </c>
      <c r="I994" t="str">
        <f t="shared" si="225"/>
        <v/>
      </c>
      <c r="J994">
        <f>IFERROR(IF(I994=0,"",COUNTIF($I$3:I994,"&gt;0")),"")</f>
        <v>34</v>
      </c>
      <c r="K994" t="str">
        <f t="shared" si="220"/>
        <v/>
      </c>
      <c r="L994" t="str">
        <f t="shared" si="226"/>
        <v/>
      </c>
      <c r="M994" t="str">
        <f t="shared" si="227"/>
        <v/>
      </c>
      <c r="N994">
        <f>IFERROR(IF(M994=0,"",COUNTIF($M$3:M994,"&gt;0")),"")</f>
        <v>33</v>
      </c>
      <c r="O994" t="str">
        <f t="shared" si="221"/>
        <v/>
      </c>
      <c r="P994" t="str">
        <f t="shared" si="228"/>
        <v/>
      </c>
      <c r="Q994" t="str">
        <f t="shared" si="229"/>
        <v/>
      </c>
      <c r="R994">
        <f>IFERROR(IF(Q994=0,"",COUNTIF($Q$3:Q994,"&gt;0")),"")</f>
        <v>16</v>
      </c>
      <c r="S994" t="str">
        <f t="shared" si="222"/>
        <v/>
      </c>
      <c r="T994" t="str">
        <f t="shared" si="230"/>
        <v/>
      </c>
      <c r="U994">
        <f>IFERROR(IF(T994=0,"",COUNTIF($T$3:T994,"&gt;0")),"")</f>
        <v>0</v>
      </c>
      <c r="V994" t="str">
        <f t="shared" si="223"/>
        <v/>
      </c>
    </row>
    <row r="995" spans="1:22">
      <c r="A995" t="e">
        <f t="shared" si="218"/>
        <v>#VALUE!</v>
      </c>
      <c r="B995" t="e">
        <f>Table4[[#This Row],[CATEGORY]]</f>
        <v>#VALUE!</v>
      </c>
      <c r="C995" t="e">
        <f>Table4[[#This Row],[SUB-CATEGORY]]</f>
        <v>#VALUE!</v>
      </c>
      <c r="D995">
        <f>'RJ ATTENDENCE SHEET'!C:C</f>
        <v>0</v>
      </c>
      <c r="E995" t="e">
        <f t="shared" si="217"/>
        <v>#VALUE!</v>
      </c>
      <c r="F995" t="str">
        <f t="shared" si="224"/>
        <v/>
      </c>
      <c r="G995">
        <f>IFERROR(IF(F995=0,"",COUNTIF($F$3:F995,"&gt;0")),"")</f>
        <v>16</v>
      </c>
      <c r="H995" t="str">
        <f t="shared" si="219"/>
        <v/>
      </c>
      <c r="I995" t="str">
        <f t="shared" si="225"/>
        <v/>
      </c>
      <c r="J995">
        <f>IFERROR(IF(I995=0,"",COUNTIF($I$3:I995,"&gt;0")),"")</f>
        <v>34</v>
      </c>
      <c r="K995" t="str">
        <f t="shared" si="220"/>
        <v/>
      </c>
      <c r="L995" t="str">
        <f t="shared" si="226"/>
        <v/>
      </c>
      <c r="M995" t="str">
        <f t="shared" si="227"/>
        <v/>
      </c>
      <c r="N995">
        <f>IFERROR(IF(M995=0,"",COUNTIF($M$3:M995,"&gt;0")),"")</f>
        <v>33</v>
      </c>
      <c r="O995" t="str">
        <f t="shared" si="221"/>
        <v/>
      </c>
      <c r="P995" t="str">
        <f t="shared" si="228"/>
        <v/>
      </c>
      <c r="Q995" t="str">
        <f t="shared" si="229"/>
        <v/>
      </c>
      <c r="R995">
        <f>IFERROR(IF(Q995=0,"",COUNTIF($Q$3:Q995,"&gt;0")),"")</f>
        <v>16</v>
      </c>
      <c r="S995" t="str">
        <f t="shared" si="222"/>
        <v/>
      </c>
      <c r="T995" t="str">
        <f t="shared" si="230"/>
        <v/>
      </c>
      <c r="U995">
        <f>IFERROR(IF(T995=0,"",COUNTIF($T$3:T995,"&gt;0")),"")</f>
        <v>0</v>
      </c>
      <c r="V995" t="str">
        <f t="shared" si="223"/>
        <v/>
      </c>
    </row>
    <row r="996" spans="1:22">
      <c r="A996" t="e">
        <f t="shared" si="218"/>
        <v>#VALUE!</v>
      </c>
      <c r="B996" t="e">
        <f>Table4[[#This Row],[CATEGORY]]</f>
        <v>#VALUE!</v>
      </c>
      <c r="C996" t="e">
        <f>Table4[[#This Row],[SUB-CATEGORY]]</f>
        <v>#VALUE!</v>
      </c>
      <c r="D996">
        <f>'RJ ATTENDENCE SHEET'!C:C</f>
        <v>0</v>
      </c>
      <c r="E996" t="e">
        <f t="shared" si="217"/>
        <v>#VALUE!</v>
      </c>
      <c r="F996" t="str">
        <f t="shared" si="224"/>
        <v/>
      </c>
      <c r="G996">
        <f>IFERROR(IF(F996=0,"",COUNTIF($F$3:F996,"&gt;0")),"")</f>
        <v>16</v>
      </c>
      <c r="H996" t="str">
        <f t="shared" si="219"/>
        <v/>
      </c>
      <c r="I996" t="str">
        <f t="shared" si="225"/>
        <v/>
      </c>
      <c r="J996">
        <f>IFERROR(IF(I996=0,"",COUNTIF($I$3:I996,"&gt;0")),"")</f>
        <v>34</v>
      </c>
      <c r="K996" t="str">
        <f t="shared" si="220"/>
        <v/>
      </c>
      <c r="L996" t="str">
        <f t="shared" si="226"/>
        <v/>
      </c>
      <c r="M996" t="str">
        <f t="shared" si="227"/>
        <v/>
      </c>
      <c r="N996">
        <f>IFERROR(IF(M996=0,"",COUNTIF($M$3:M996,"&gt;0")),"")</f>
        <v>33</v>
      </c>
      <c r="O996" t="str">
        <f t="shared" si="221"/>
        <v/>
      </c>
      <c r="P996" t="str">
        <f t="shared" si="228"/>
        <v/>
      </c>
      <c r="Q996" t="str">
        <f t="shared" si="229"/>
        <v/>
      </c>
      <c r="R996">
        <f>IFERROR(IF(Q996=0,"",COUNTIF($Q$3:Q996,"&gt;0")),"")</f>
        <v>16</v>
      </c>
      <c r="S996" t="str">
        <f t="shared" si="222"/>
        <v/>
      </c>
      <c r="T996" t="str">
        <f t="shared" si="230"/>
        <v/>
      </c>
      <c r="U996">
        <f>IFERROR(IF(T996=0,"",COUNTIF($T$3:T996,"&gt;0")),"")</f>
        <v>0</v>
      </c>
      <c r="V996" t="str">
        <f t="shared" si="223"/>
        <v/>
      </c>
    </row>
    <row r="997" spans="1:22">
      <c r="A997" t="e">
        <f t="shared" si="218"/>
        <v>#VALUE!</v>
      </c>
      <c r="B997" t="e">
        <f>Table4[[#This Row],[CATEGORY]]</f>
        <v>#VALUE!</v>
      </c>
      <c r="C997" t="e">
        <f>Table4[[#This Row],[SUB-CATEGORY]]</f>
        <v>#VALUE!</v>
      </c>
      <c r="D997">
        <f>'RJ ATTENDENCE SHEET'!C:C</f>
        <v>0</v>
      </c>
      <c r="E997" t="e">
        <f t="shared" si="217"/>
        <v>#VALUE!</v>
      </c>
      <c r="F997" t="str">
        <f t="shared" si="224"/>
        <v/>
      </c>
      <c r="G997">
        <f>IFERROR(IF(F997=0,"",COUNTIF($F$3:F997,"&gt;0")),"")</f>
        <v>16</v>
      </c>
      <c r="H997" t="str">
        <f t="shared" si="219"/>
        <v/>
      </c>
      <c r="I997" t="str">
        <f t="shared" si="225"/>
        <v/>
      </c>
      <c r="J997">
        <f>IFERROR(IF(I997=0,"",COUNTIF($I$3:I997,"&gt;0")),"")</f>
        <v>34</v>
      </c>
      <c r="K997" t="str">
        <f t="shared" si="220"/>
        <v/>
      </c>
      <c r="L997" t="str">
        <f t="shared" si="226"/>
        <v/>
      </c>
      <c r="M997" t="str">
        <f t="shared" si="227"/>
        <v/>
      </c>
      <c r="N997">
        <f>IFERROR(IF(M997=0,"",COUNTIF($M$3:M997,"&gt;0")),"")</f>
        <v>33</v>
      </c>
      <c r="O997" t="str">
        <f t="shared" si="221"/>
        <v/>
      </c>
      <c r="P997" t="str">
        <f t="shared" si="228"/>
        <v/>
      </c>
      <c r="Q997" t="str">
        <f t="shared" si="229"/>
        <v/>
      </c>
      <c r="R997">
        <f>IFERROR(IF(Q997=0,"",COUNTIF($Q$3:Q997,"&gt;0")),"")</f>
        <v>16</v>
      </c>
      <c r="S997" t="str">
        <f t="shared" si="222"/>
        <v/>
      </c>
      <c r="T997" t="str">
        <f t="shared" si="230"/>
        <v/>
      </c>
      <c r="U997">
        <f>IFERROR(IF(T997=0,"",COUNTIF($T$3:T997,"&gt;0")),"")</f>
        <v>0</v>
      </c>
      <c r="V997" t="str">
        <f t="shared" si="223"/>
        <v/>
      </c>
    </row>
    <row r="998" spans="1:22">
      <c r="A998" t="e">
        <f t="shared" si="218"/>
        <v>#VALUE!</v>
      </c>
      <c r="B998" t="e">
        <f>Table4[[#This Row],[CATEGORY]]</f>
        <v>#VALUE!</v>
      </c>
      <c r="C998" t="e">
        <f>Table4[[#This Row],[SUB-CATEGORY]]</f>
        <v>#VALUE!</v>
      </c>
      <c r="D998">
        <f>'RJ ATTENDENCE SHEET'!C:C</f>
        <v>0</v>
      </c>
      <c r="E998" t="e">
        <f t="shared" si="217"/>
        <v>#VALUE!</v>
      </c>
      <c r="F998" t="str">
        <f t="shared" si="224"/>
        <v/>
      </c>
      <c r="G998">
        <f>IFERROR(IF(F998=0,"",COUNTIF($F$3:F998,"&gt;0")),"")</f>
        <v>16</v>
      </c>
      <c r="H998" t="str">
        <f t="shared" si="219"/>
        <v/>
      </c>
      <c r="I998" t="str">
        <f t="shared" si="225"/>
        <v/>
      </c>
      <c r="J998">
        <f>IFERROR(IF(I998=0,"",COUNTIF($I$3:I998,"&gt;0")),"")</f>
        <v>34</v>
      </c>
      <c r="K998" t="str">
        <f t="shared" si="220"/>
        <v/>
      </c>
      <c r="L998" t="str">
        <f t="shared" si="226"/>
        <v/>
      </c>
      <c r="M998" t="str">
        <f t="shared" si="227"/>
        <v/>
      </c>
      <c r="N998">
        <f>IFERROR(IF(M998=0,"",COUNTIF($M$3:M998,"&gt;0")),"")</f>
        <v>33</v>
      </c>
      <c r="O998" t="str">
        <f t="shared" si="221"/>
        <v/>
      </c>
      <c r="P998" t="str">
        <f t="shared" si="228"/>
        <v/>
      </c>
      <c r="Q998" t="str">
        <f t="shared" si="229"/>
        <v/>
      </c>
      <c r="R998">
        <f>IFERROR(IF(Q998=0,"",COUNTIF($Q$3:Q998,"&gt;0")),"")</f>
        <v>16</v>
      </c>
      <c r="S998" t="str">
        <f t="shared" si="222"/>
        <v/>
      </c>
      <c r="T998" t="str">
        <f t="shared" si="230"/>
        <v/>
      </c>
      <c r="U998">
        <f>IFERROR(IF(T998=0,"",COUNTIF($T$3:T998,"&gt;0")),"")</f>
        <v>0</v>
      </c>
      <c r="V998" t="str">
        <f t="shared" si="223"/>
        <v/>
      </c>
    </row>
    <row r="999" spans="1:22">
      <c r="A999" t="e">
        <f t="shared" si="218"/>
        <v>#VALUE!</v>
      </c>
      <c r="B999" t="e">
        <f>Table4[[#This Row],[CATEGORY]]</f>
        <v>#VALUE!</v>
      </c>
      <c r="C999" t="e">
        <f>Table4[[#This Row],[SUB-CATEGORY]]</f>
        <v>#VALUE!</v>
      </c>
      <c r="D999">
        <f>'RJ ATTENDENCE SHEET'!C:C</f>
        <v>0</v>
      </c>
      <c r="E999" t="e">
        <f t="shared" si="217"/>
        <v>#VALUE!</v>
      </c>
      <c r="F999" t="str">
        <f t="shared" si="224"/>
        <v/>
      </c>
      <c r="G999">
        <f>IFERROR(IF(F999=0,"",COUNTIF($F$3:F999,"&gt;0")),"")</f>
        <v>16</v>
      </c>
      <c r="H999" t="str">
        <f t="shared" si="219"/>
        <v/>
      </c>
      <c r="I999" t="str">
        <f t="shared" si="225"/>
        <v/>
      </c>
      <c r="J999">
        <f>IFERROR(IF(I999=0,"",COUNTIF($I$3:I999,"&gt;0")),"")</f>
        <v>34</v>
      </c>
      <c r="K999" t="str">
        <f t="shared" si="220"/>
        <v/>
      </c>
      <c r="L999" t="str">
        <f t="shared" si="226"/>
        <v/>
      </c>
      <c r="M999" t="str">
        <f t="shared" si="227"/>
        <v/>
      </c>
      <c r="N999">
        <f>IFERROR(IF(M999=0,"",COUNTIF($M$3:M999,"&gt;0")),"")</f>
        <v>33</v>
      </c>
      <c r="O999" t="str">
        <f t="shared" si="221"/>
        <v/>
      </c>
      <c r="P999" t="str">
        <f t="shared" si="228"/>
        <v/>
      </c>
      <c r="Q999" t="str">
        <f t="shared" si="229"/>
        <v/>
      </c>
      <c r="R999">
        <f>IFERROR(IF(Q999=0,"",COUNTIF($Q$3:Q999,"&gt;0")),"")</f>
        <v>16</v>
      </c>
      <c r="S999" t="str">
        <f t="shared" si="222"/>
        <v/>
      </c>
      <c r="T999" t="str">
        <f t="shared" si="230"/>
        <v/>
      </c>
      <c r="U999">
        <f>IFERROR(IF(T999=0,"",COUNTIF($T$3:T999,"&gt;0")),"")</f>
        <v>0</v>
      </c>
      <c r="V999" t="str">
        <f t="shared" si="223"/>
        <v/>
      </c>
    </row>
    <row r="1000" spans="1:22">
      <c r="A1000" t="e">
        <f t="shared" si="218"/>
        <v>#VALUE!</v>
      </c>
      <c r="B1000" t="e">
        <f>Table4[[#This Row],[CATEGORY]]</f>
        <v>#VALUE!</v>
      </c>
      <c r="C1000" t="e">
        <f>Table4[[#This Row],[SUB-CATEGORY]]</f>
        <v>#VALUE!</v>
      </c>
      <c r="D1000">
        <f>'RJ ATTENDENCE SHEET'!C:C</f>
        <v>0</v>
      </c>
      <c r="E1000" t="e">
        <f t="shared" si="217"/>
        <v>#VALUE!</v>
      </c>
      <c r="F1000" t="str">
        <f t="shared" si="224"/>
        <v/>
      </c>
      <c r="G1000">
        <f>IFERROR(IF(F1000=0,"",COUNTIF($F$3:F1000,"&gt;0")),"")</f>
        <v>16</v>
      </c>
      <c r="H1000" t="str">
        <f t="shared" si="219"/>
        <v/>
      </c>
      <c r="I1000" t="str">
        <f t="shared" si="225"/>
        <v/>
      </c>
      <c r="J1000">
        <f>IFERROR(IF(I1000=0,"",COUNTIF($I$3:I1000,"&gt;0")),"")</f>
        <v>34</v>
      </c>
      <c r="K1000" t="str">
        <f t="shared" si="220"/>
        <v/>
      </c>
      <c r="L1000" t="str">
        <f t="shared" si="226"/>
        <v/>
      </c>
      <c r="M1000" t="str">
        <f t="shared" si="227"/>
        <v/>
      </c>
      <c r="N1000">
        <f>IFERROR(IF(M1000=0,"",COUNTIF($M$3:M1000,"&gt;0")),"")</f>
        <v>33</v>
      </c>
      <c r="O1000" t="str">
        <f t="shared" si="221"/>
        <v/>
      </c>
      <c r="P1000" t="str">
        <f t="shared" si="228"/>
        <v/>
      </c>
      <c r="Q1000" t="str">
        <f t="shared" si="229"/>
        <v/>
      </c>
      <c r="R1000">
        <f>IFERROR(IF(Q1000=0,"",COUNTIF($Q$3:Q1000,"&gt;0")),"")</f>
        <v>16</v>
      </c>
      <c r="S1000" t="str">
        <f t="shared" si="222"/>
        <v/>
      </c>
      <c r="T1000" t="str">
        <f t="shared" si="230"/>
        <v/>
      </c>
      <c r="U1000">
        <f>IFERROR(IF(T1000=0,"",COUNTIF($T$3:T1000,"&gt;0")),"")</f>
        <v>0</v>
      </c>
      <c r="V1000" t="str">
        <f t="shared" si="223"/>
        <v/>
      </c>
    </row>
    <row r="1200" spans="1:1">
      <c r="A1200" t="s">
        <v>87</v>
      </c>
    </row>
    <row r="1201" spans="1:1">
      <c r="A1201" t="s">
        <v>88</v>
      </c>
    </row>
  </sheetData>
  <sheetProtection password="A563" sheet="1" objects="1" scenarios="1"/>
  <mergeCells count="5">
    <mergeCell ref="F2:H2"/>
    <mergeCell ref="I2:K2"/>
    <mergeCell ref="M2:O2"/>
    <mergeCell ref="Q2:S2"/>
    <mergeCell ref="T2:V2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3:N133"/>
  <sheetViews>
    <sheetView topLeftCell="A100" workbookViewId="0">
      <selection activeCell="F76" sqref="F76"/>
    </sheetView>
  </sheetViews>
  <sheetFormatPr defaultColWidth="9.125" defaultRowHeight="14.25"/>
  <cols>
    <col min="1" max="1" width="6.625" style="2" customWidth="1"/>
    <col min="2" max="2" width="8.375" style="2" customWidth="1"/>
    <col min="3" max="3" width="27.125" style="2" customWidth="1"/>
    <col min="4" max="6" width="9.125" style="2"/>
    <col min="7" max="7" width="3.875" style="2" customWidth="1"/>
    <col min="8" max="8" width="6.25" style="2" customWidth="1"/>
    <col min="9" max="9" width="8.625" style="2" customWidth="1"/>
    <col min="10" max="10" width="38.125" style="2" customWidth="1"/>
    <col min="11" max="12" width="9.125" style="2"/>
    <col min="13" max="13" width="10.625" style="2" customWidth="1"/>
    <col min="14" max="16384" width="9.125" style="2"/>
  </cols>
  <sheetData>
    <row r="3" spans="1:13" ht="27">
      <c r="A3" s="334" t="s">
        <v>89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6"/>
    </row>
    <row r="4" spans="1:13" s="1" customFormat="1" ht="15.75" customHeight="1">
      <c r="J4" s="214" t="s">
        <v>90</v>
      </c>
      <c r="K4" s="337">
        <v>43911</v>
      </c>
      <c r="L4" s="338"/>
      <c r="M4" s="339"/>
    </row>
    <row r="5" spans="1:13">
      <c r="A5" s="308" t="s">
        <v>91</v>
      </c>
      <c r="B5" s="312" t="s">
        <v>92</v>
      </c>
      <c r="C5" s="313"/>
      <c r="D5" s="308" t="s">
        <v>93</v>
      </c>
      <c r="E5" s="308"/>
      <c r="F5" s="307"/>
      <c r="H5" s="344" t="s">
        <v>91</v>
      </c>
      <c r="I5" s="346"/>
      <c r="J5" s="346" t="s">
        <v>92</v>
      </c>
      <c r="K5" s="340" t="s">
        <v>93</v>
      </c>
      <c r="L5" s="340"/>
      <c r="M5" s="348" t="s">
        <v>94</v>
      </c>
    </row>
    <row r="6" spans="1:13">
      <c r="A6" s="308"/>
      <c r="B6" s="314"/>
      <c r="C6" s="315"/>
      <c r="D6" s="205" t="s">
        <v>95</v>
      </c>
      <c r="E6" s="205" t="s">
        <v>96</v>
      </c>
      <c r="F6" s="307"/>
      <c r="H6" s="345"/>
      <c r="I6" s="347"/>
      <c r="J6" s="347"/>
      <c r="K6" s="215" t="s">
        <v>95</v>
      </c>
      <c r="L6" s="215" t="s">
        <v>96</v>
      </c>
      <c r="M6" s="349"/>
    </row>
    <row r="7" spans="1:13">
      <c r="A7" s="308" t="s">
        <v>79</v>
      </c>
      <c r="B7" s="308"/>
      <c r="C7" s="308"/>
      <c r="D7" s="308"/>
      <c r="E7" s="308"/>
      <c r="F7" s="206"/>
      <c r="H7" s="341" t="s">
        <v>81</v>
      </c>
      <c r="I7" s="342"/>
      <c r="J7" s="342"/>
      <c r="K7" s="342"/>
      <c r="L7" s="342"/>
      <c r="M7" s="343"/>
    </row>
    <row r="8" spans="1:13" ht="15.75">
      <c r="A8" s="207">
        <v>1</v>
      </c>
      <c r="B8" s="332" t="str">
        <f>'DATA '!S3</f>
        <v>ABED ALI</v>
      </c>
      <c r="C8" s="333"/>
      <c r="D8" s="207" t="str">
        <f>IFERROR(VLOOKUP(B8,'RJ ATTENDENCE SHEET'!$C:$CG,('DATA '!$AA$3+21+('DATA '!$AA$3-1)),0),"")</f>
        <v>P</v>
      </c>
      <c r="E8" s="207" t="str">
        <f>IFERROR(VLOOKUP(B8,'RJ ATTENDENCE SHEET'!$C:$CG,('DATA '!$AA$3+22+('DATA '!$AA$3-1)),0),"")</f>
        <v>A</v>
      </c>
      <c r="H8" s="208">
        <v>1</v>
      </c>
      <c r="I8" s="208" t="str">
        <f>VLOOKUP(J8,'DATA '!$O:$P,2,0)</f>
        <v>HELPER</v>
      </c>
      <c r="J8" s="43" t="str">
        <f>'DATA '!O3</f>
        <v xml:space="preserve">AMIT BISWAS  </v>
      </c>
      <c r="K8" s="208" t="str">
        <f>IFERROR(VLOOKUP(J8,'RJ ATTENDENCE SHEET'!$C:$CG,('DATA '!$AA$3+21+('DATA '!$AA$3-1)),0),"")</f>
        <v>A</v>
      </c>
      <c r="L8" s="208" t="str">
        <f>IFERROR(VLOOKUP(J8,'RJ ATTENDENCE SHEET'!$C:$CG,('DATA '!$AA$3+22+('DATA '!$AA$3-1)),0),"")</f>
        <v>P</v>
      </c>
      <c r="M8" s="208">
        <f>IFERROR(VLOOKUP(J8,'RJ ATTENDENCE SHEET'!$C:$DM,('DATA '!$AA$3+84),0),"")</f>
        <v>0</v>
      </c>
    </row>
    <row r="9" spans="1:13" ht="15.75">
      <c r="A9" s="207">
        <v>2</v>
      </c>
      <c r="B9" s="332" t="str">
        <f>'DATA '!S4</f>
        <v>ABHI MUKHERJEE</v>
      </c>
      <c r="C9" s="333"/>
      <c r="D9" s="207" t="str">
        <f>IFERROR(VLOOKUP(B9,'RJ ATTENDENCE SHEET'!$C:$CG,('DATA '!$AA$3+21+('DATA '!$AA$3-1)),0),"")</f>
        <v>P</v>
      </c>
      <c r="E9" s="207" t="str">
        <f>IFERROR(VLOOKUP(B9,'RJ ATTENDENCE SHEET'!$C:$CG,('DATA '!$AA$3+22+('DATA '!$AA$3-1)),0),"")</f>
        <v>A</v>
      </c>
      <c r="H9" s="208">
        <v>2</v>
      </c>
      <c r="I9" s="216" t="str">
        <f>VLOOKUP(J9,'DATA '!$O:$P,2,0)</f>
        <v>HELPER</v>
      </c>
      <c r="J9" s="43" t="str">
        <f>'DATA '!O4</f>
        <v>JHANTU MONDAL</v>
      </c>
      <c r="K9" s="208" t="str">
        <f>IFERROR(VLOOKUP(J9,'RJ ATTENDENCE SHEET'!$C:$CG,('DATA '!$AA$3+21+('DATA '!$AA$3-1)),0),"")</f>
        <v>P</v>
      </c>
      <c r="L9" s="208" t="str">
        <f>IFERROR(VLOOKUP(J9,'RJ ATTENDENCE SHEET'!$C:$CG,('DATA '!$AA$3+22+('DATA '!$AA$3-1)),0),"")</f>
        <v>A</v>
      </c>
      <c r="M9" s="208">
        <f>IFERROR(VLOOKUP(J9,'RJ ATTENDENCE SHEET'!$C:$DM,('DATA '!$AA$3+84),0),"")</f>
        <v>0</v>
      </c>
    </row>
    <row r="10" spans="1:13" ht="15.75">
      <c r="A10" s="207">
        <v>3</v>
      </c>
      <c r="B10" s="332" t="str">
        <f>'DATA '!S5</f>
        <v>ACHIN GUPTA</v>
      </c>
      <c r="C10" s="333"/>
      <c r="D10" s="207" t="str">
        <f>IFERROR(VLOOKUP(B10,'RJ ATTENDENCE SHEET'!$C:$CG,('DATA '!$AA$3+21+('DATA '!$AA$3-1)),0),"")</f>
        <v>P</v>
      </c>
      <c r="E10" s="207" t="str">
        <f>IFERROR(VLOOKUP(B10,'RJ ATTENDENCE SHEET'!$C:$CG,('DATA '!$AA$3+22+('DATA '!$AA$3-1)),0),"")</f>
        <v>A</v>
      </c>
      <c r="H10" s="208">
        <v>3</v>
      </c>
      <c r="I10" s="216" t="str">
        <f>VLOOKUP(J10,'DATA '!$O:$P,2,0)</f>
        <v>DRIVER</v>
      </c>
      <c r="J10" s="43" t="str">
        <f>'DATA '!O5</f>
        <v xml:space="preserve">ASHIT BISWAS </v>
      </c>
      <c r="K10" s="208" t="str">
        <f>IFERROR(VLOOKUP(J10,'RJ ATTENDENCE SHEET'!$C:$CG,('DATA '!$AA$3+21+('DATA '!$AA$3-1)),0),"")</f>
        <v>A</v>
      </c>
      <c r="L10" s="208" t="str">
        <f>IFERROR(VLOOKUP(J10,'RJ ATTENDENCE SHEET'!$C:$CG,('DATA '!$AA$3+22+('DATA '!$AA$3-1)),0),"")</f>
        <v>P</v>
      </c>
      <c r="M10" s="208">
        <f>IFERROR(VLOOKUP(J10,'RJ ATTENDENCE SHEET'!$C:$DM,('DATA '!$AA$3+84),0),"")</f>
        <v>0</v>
      </c>
    </row>
    <row r="11" spans="1:13" ht="15.75">
      <c r="A11" s="207">
        <v>4</v>
      </c>
      <c r="B11" s="332" t="str">
        <f>'DATA '!S6</f>
        <v>AMIN YADAV</v>
      </c>
      <c r="C11" s="333"/>
      <c r="D11" s="207" t="str">
        <f>IFERROR(VLOOKUP(B11,'RJ ATTENDENCE SHEET'!$C:$CG,('DATA '!$AA$3+21+('DATA '!$AA$3-1)),0),"")</f>
        <v>P</v>
      </c>
      <c r="E11" s="207" t="str">
        <f>IFERROR(VLOOKUP(B11,'RJ ATTENDENCE SHEET'!$C:$CG,('DATA '!$AA$3+22+('DATA '!$AA$3-1)),0),"")</f>
        <v>A</v>
      </c>
      <c r="H11" s="208">
        <v>4</v>
      </c>
      <c r="I11" s="216" t="str">
        <f>VLOOKUP(J11,'DATA '!$O:$P,2,0)</f>
        <v>HELPER</v>
      </c>
      <c r="J11" s="43" t="str">
        <f>'DATA '!O6</f>
        <v>NASIB KARIKAR</v>
      </c>
      <c r="K11" s="208" t="str">
        <f>IFERROR(VLOOKUP(J11,'RJ ATTENDENCE SHEET'!$C:$CG,('DATA '!$AA$3+21+('DATA '!$AA$3-1)),0),"")</f>
        <v>P</v>
      </c>
      <c r="L11" s="208" t="str">
        <f>IFERROR(VLOOKUP(J11,'RJ ATTENDENCE SHEET'!$C:$CG,('DATA '!$AA$3+22+('DATA '!$AA$3-1)),0),"")</f>
        <v>P</v>
      </c>
      <c r="M11" s="208">
        <f>IFERROR(VLOOKUP(J11,'RJ ATTENDENCE SHEET'!$C:$DM,('DATA '!$AA$3+84),0),"")</f>
        <v>0</v>
      </c>
    </row>
    <row r="12" spans="1:13" ht="15.75">
      <c r="A12" s="207">
        <v>5</v>
      </c>
      <c r="B12" s="332" t="str">
        <f>'DATA '!S7</f>
        <v>ANOWAR MOLLA</v>
      </c>
      <c r="C12" s="333"/>
      <c r="D12" s="207" t="str">
        <f>IFERROR(VLOOKUP(B12,'RJ ATTENDENCE SHEET'!$C:$CG,('DATA '!$AA$3+21+('DATA '!$AA$3-1)),0),"")</f>
        <v>P</v>
      </c>
      <c r="E12" s="207" t="str">
        <f>IFERROR(VLOOKUP(B12,'RJ ATTENDENCE SHEET'!$C:$CG,('DATA '!$AA$3+22+('DATA '!$AA$3-1)),0),"")</f>
        <v>A</v>
      </c>
      <c r="H12" s="208">
        <v>5</v>
      </c>
      <c r="I12" s="216" t="str">
        <f>VLOOKUP(J12,'DATA '!$O:$P,2,0)</f>
        <v>OTHERS</v>
      </c>
      <c r="J12" s="43" t="str">
        <f>'DATA '!O7</f>
        <v>BASIRUDDIN KHAN</v>
      </c>
      <c r="K12" s="208" t="str">
        <f>IFERROR(VLOOKUP(J12,'RJ ATTENDENCE SHEET'!$C:$CG,('DATA '!$AA$3+21+('DATA '!$AA$3-1)),0),"")</f>
        <v>P</v>
      </c>
      <c r="L12" s="208" t="str">
        <f>IFERROR(VLOOKUP(J12,'RJ ATTENDENCE SHEET'!$C:$CG,('DATA '!$AA$3+22+('DATA '!$AA$3-1)),0),"")</f>
        <v>A</v>
      </c>
      <c r="M12" s="208">
        <f>IFERROR(VLOOKUP(J12,'RJ ATTENDENCE SHEET'!$C:$DM,('DATA '!$AA$3+84),0),"")</f>
        <v>0</v>
      </c>
    </row>
    <row r="13" spans="1:13" ht="15.75">
      <c r="A13" s="207">
        <v>6</v>
      </c>
      <c r="B13" s="332" t="str">
        <f>'DATA '!S8</f>
        <v>DIBAKAR MONDAL</v>
      </c>
      <c r="C13" s="333"/>
      <c r="D13" s="207" t="str">
        <f>IFERROR(VLOOKUP(B13,'RJ ATTENDENCE SHEET'!$C:$CG,('DATA '!$AA$3+21+('DATA '!$AA$3-1)),0),"")</f>
        <v>P</v>
      </c>
      <c r="E13" s="207" t="str">
        <f>IFERROR(VLOOKUP(B13,'RJ ATTENDENCE SHEET'!$C:$CG,('DATA '!$AA$3+22+('DATA '!$AA$3-1)),0),"")</f>
        <v>A</v>
      </c>
      <c r="H13" s="208">
        <v>6</v>
      </c>
      <c r="I13" s="216" t="str">
        <f>VLOOKUP(J13,'DATA '!$O:$P,2,0)</f>
        <v>DRIVER</v>
      </c>
      <c r="J13" s="43" t="str">
        <f>'DATA '!O8</f>
        <v>DIN MOHAMMOD ALI</v>
      </c>
      <c r="K13" s="208" t="str">
        <f>IFERROR(VLOOKUP(J13,'RJ ATTENDENCE SHEET'!$C:$CG,('DATA '!$AA$3+21+('DATA '!$AA$3-1)),0),"")</f>
        <v>P</v>
      </c>
      <c r="L13" s="208" t="str">
        <f>IFERROR(VLOOKUP(J13,'RJ ATTENDENCE SHEET'!$C:$CG,('DATA '!$AA$3+22+('DATA '!$AA$3-1)),0),"")</f>
        <v>A</v>
      </c>
      <c r="M13" s="208">
        <f>IFERROR(VLOOKUP(J13,'RJ ATTENDENCE SHEET'!$C:$DM,('DATA '!$AA$3+84),0),"")</f>
        <v>0</v>
      </c>
    </row>
    <row r="14" spans="1:13" ht="15.75">
      <c r="A14" s="207">
        <v>7</v>
      </c>
      <c r="B14" s="332" t="str">
        <f>'DATA '!S9</f>
        <v xml:space="preserve">GOLAM SARWAR </v>
      </c>
      <c r="C14" s="333"/>
      <c r="D14" s="207" t="str">
        <f>IFERROR(VLOOKUP(B14,'RJ ATTENDENCE SHEET'!$C:$CG,('DATA '!$AA$3+21+('DATA '!$AA$3-1)),0),"")</f>
        <v>P</v>
      </c>
      <c r="E14" s="207" t="str">
        <f>IFERROR(VLOOKUP(B14,'RJ ATTENDENCE SHEET'!$C:$CG,('DATA '!$AA$3+22+('DATA '!$AA$3-1)),0),"")</f>
        <v>A</v>
      </c>
      <c r="H14" s="208">
        <v>7</v>
      </c>
      <c r="I14" s="216" t="str">
        <f>VLOOKUP(J14,'DATA '!$O:$P,2,0)</f>
        <v>DRIVER</v>
      </c>
      <c r="J14" s="43" t="str">
        <f>'DATA '!O9</f>
        <v>RAFIQUE MOLLA</v>
      </c>
      <c r="K14" s="208" t="str">
        <f>IFERROR(VLOOKUP(J14,'RJ ATTENDENCE SHEET'!$C:$CG,('DATA '!$AA$3+21+('DATA '!$AA$3-1)),0),"")</f>
        <v>A</v>
      </c>
      <c r="L14" s="208" t="str">
        <f>IFERROR(VLOOKUP(J14,'RJ ATTENDENCE SHEET'!$C:$CG,('DATA '!$AA$3+22+('DATA '!$AA$3-1)),0),"")</f>
        <v>P</v>
      </c>
      <c r="M14" s="208">
        <f>IFERROR(VLOOKUP(J14,'RJ ATTENDENCE SHEET'!$C:$DM,('DATA '!$AA$3+84),0),"")</f>
        <v>0</v>
      </c>
    </row>
    <row r="15" spans="1:13" ht="15.75">
      <c r="A15" s="207">
        <v>8</v>
      </c>
      <c r="B15" s="332" t="str">
        <f>'DATA '!S10</f>
        <v>IMAN ALI MOLLA</v>
      </c>
      <c r="C15" s="333"/>
      <c r="D15" s="207" t="str">
        <f>IFERROR(VLOOKUP(B15,'RJ ATTENDENCE SHEET'!$C:$CG,('DATA '!$AA$3+21+('DATA '!$AA$3-1)),0),"")</f>
        <v>P</v>
      </c>
      <c r="E15" s="207" t="str">
        <f>IFERROR(VLOOKUP(B15,'RJ ATTENDENCE SHEET'!$C:$CG,('DATA '!$AA$3+22+('DATA '!$AA$3-1)),0),"")</f>
        <v>A</v>
      </c>
      <c r="H15" s="208">
        <v>8</v>
      </c>
      <c r="I15" s="216" t="str">
        <f>VLOOKUP(J15,'DATA '!$O:$P,2,0)</f>
        <v>HELPER</v>
      </c>
      <c r="J15" s="43" t="str">
        <f>'DATA '!O10</f>
        <v>RAFIKUL MOLLA</v>
      </c>
      <c r="K15" s="208" t="str">
        <f>IFERROR(VLOOKUP(J15,'RJ ATTENDENCE SHEET'!$C:$CG,('DATA '!$AA$3+21+('DATA '!$AA$3-1)),0),"")</f>
        <v>A</v>
      </c>
      <c r="L15" s="208" t="str">
        <f>IFERROR(VLOOKUP(J15,'RJ ATTENDENCE SHEET'!$C:$CG,('DATA '!$AA$3+22+('DATA '!$AA$3-1)),0),"")</f>
        <v>A</v>
      </c>
      <c r="M15" s="208">
        <f>IFERROR(VLOOKUP(J15,'RJ ATTENDENCE SHEET'!$C:$DM,('DATA '!$AA$3+84),0),"")</f>
        <v>0</v>
      </c>
    </row>
    <row r="16" spans="1:13" ht="15.75">
      <c r="A16" s="207">
        <v>9</v>
      </c>
      <c r="B16" s="332" t="str">
        <f>'DATA '!S11</f>
        <v>PULIN MONDAL</v>
      </c>
      <c r="C16" s="333"/>
      <c r="D16" s="207" t="str">
        <f>IFERROR(VLOOKUP(B16,'RJ ATTENDENCE SHEET'!$C:$CG,('DATA '!$AA$3+21+('DATA '!$AA$3-1)),0),"")</f>
        <v>P</v>
      </c>
      <c r="E16" s="207" t="str">
        <f>IFERROR(VLOOKUP(B16,'RJ ATTENDENCE SHEET'!$C:$CG,('DATA '!$AA$3+22+('DATA '!$AA$3-1)),0),"")</f>
        <v>A</v>
      </c>
      <c r="H16" s="208">
        <v>9</v>
      </c>
      <c r="I16" s="216" t="str">
        <f>VLOOKUP(J16,'DATA '!$O:$P,2,0)</f>
        <v>OTHERS</v>
      </c>
      <c r="J16" s="43" t="str">
        <f>'DATA '!O11</f>
        <v>AYAN PAUL</v>
      </c>
      <c r="K16" s="208" t="str">
        <f>IFERROR(VLOOKUP(J16,'RJ ATTENDENCE SHEET'!$C:$CG,('DATA '!$AA$3+21+('DATA '!$AA$3-1)),0),"")</f>
        <v>P</v>
      </c>
      <c r="L16" s="208" t="str">
        <f>IFERROR(VLOOKUP(J16,'RJ ATTENDENCE SHEET'!$C:$CG,('DATA '!$AA$3+22+('DATA '!$AA$3-1)),0),"")</f>
        <v>A</v>
      </c>
      <c r="M16" s="208">
        <f>IFERROR(VLOOKUP(J16,'RJ ATTENDENCE SHEET'!$C:$DM,('DATA '!$AA$3+84),0),"")</f>
        <v>0</v>
      </c>
    </row>
    <row r="17" spans="1:13" ht="15.75">
      <c r="A17" s="207">
        <v>10</v>
      </c>
      <c r="B17" s="332" t="str">
        <f>'DATA '!S12</f>
        <v>RAJU PAL</v>
      </c>
      <c r="C17" s="333"/>
      <c r="D17" s="207" t="str">
        <f>IFERROR(VLOOKUP(B17,'RJ ATTENDENCE SHEET'!$C:$CG,('DATA '!$AA$3+21+('DATA '!$AA$3-1)),0),"")</f>
        <v>P</v>
      </c>
      <c r="E17" s="207" t="str">
        <f>IFERROR(VLOOKUP(B17,'RJ ATTENDENCE SHEET'!$C:$CG,('DATA '!$AA$3+22+('DATA '!$AA$3-1)),0),"")</f>
        <v>A</v>
      </c>
      <c r="H17" s="208">
        <v>10</v>
      </c>
      <c r="I17" s="216" t="str">
        <f>VLOOKUP(J17,'DATA '!$O:$P,2,0)</f>
        <v>HELPER</v>
      </c>
      <c r="J17" s="43" t="str">
        <f>'DATA '!O12</f>
        <v>NAYAN MONDAL</v>
      </c>
      <c r="K17" s="208" t="str">
        <f>IFERROR(VLOOKUP(J17,'RJ ATTENDENCE SHEET'!$C:$CG,('DATA '!$AA$3+21+('DATA '!$AA$3-1)),0),"")</f>
        <v>P</v>
      </c>
      <c r="L17" s="208" t="str">
        <f>IFERROR(VLOOKUP(J17,'RJ ATTENDENCE SHEET'!$C:$CG,('DATA '!$AA$3+22+('DATA '!$AA$3-1)),0),"")</f>
        <v>A</v>
      </c>
      <c r="M17" s="208">
        <f>IFERROR(VLOOKUP(J17,'RJ ATTENDENCE SHEET'!$C:$DM,('DATA '!$AA$3+84),0),"")</f>
        <v>0</v>
      </c>
    </row>
    <row r="18" spans="1:13" ht="15.75">
      <c r="A18" s="207">
        <v>11</v>
      </c>
      <c r="B18" s="332" t="str">
        <f>'DATA '!S13</f>
        <v>UJJAL MUKHERJEE</v>
      </c>
      <c r="C18" s="333"/>
      <c r="D18" s="207" t="str">
        <f>IFERROR(VLOOKUP(B18,'RJ ATTENDENCE SHEET'!$C:$CG,('DATA '!$AA$3+21+('DATA '!$AA$3-1)),0),"")</f>
        <v>P</v>
      </c>
      <c r="E18" s="207" t="str">
        <f>IFERROR(VLOOKUP(B18,'RJ ATTENDENCE SHEET'!$C:$CG,('DATA '!$AA$3+22+('DATA '!$AA$3-1)),0),"")</f>
        <v>A</v>
      </c>
      <c r="H18" s="208">
        <v>11</v>
      </c>
      <c r="I18" s="216" t="str">
        <f>VLOOKUP(J18,'DATA '!$O:$P,2,0)</f>
        <v>OTHERS</v>
      </c>
      <c r="J18" s="43" t="str">
        <f>'DATA '!O13</f>
        <v>SHIB SANKAR MAJHI</v>
      </c>
      <c r="K18" s="208" t="str">
        <f>IFERROR(VLOOKUP(J18,'RJ ATTENDENCE SHEET'!$C:$CG,('DATA '!$AA$3+21+('DATA '!$AA$3-1)),0),"")</f>
        <v>P</v>
      </c>
      <c r="L18" s="208" t="str">
        <f>IFERROR(VLOOKUP(J18,'RJ ATTENDENCE SHEET'!$C:$CG,('DATA '!$AA$3+22+('DATA '!$AA$3-1)),0),"")</f>
        <v>A</v>
      </c>
      <c r="M18" s="208">
        <f>IFERROR(VLOOKUP(J18,'RJ ATTENDENCE SHEET'!$C:$DM,('DATA '!$AA$3+84),0),"")</f>
        <v>0</v>
      </c>
    </row>
    <row r="19" spans="1:13" ht="15.75">
      <c r="A19" s="207">
        <v>12</v>
      </c>
      <c r="B19" s="332" t="str">
        <f>'DATA '!S14</f>
        <v>PROBIR GHOSH</v>
      </c>
      <c r="C19" s="333"/>
      <c r="D19" s="207" t="str">
        <f>IFERROR(VLOOKUP(B19,'RJ ATTENDENCE SHEET'!$C:$CG,('DATA '!$AA$3+21+('DATA '!$AA$3-1)),0),"")</f>
        <v>P</v>
      </c>
      <c r="E19" s="207" t="str">
        <f>IFERROR(VLOOKUP(B19,'RJ ATTENDENCE SHEET'!$C:$CG,('DATA '!$AA$3+22+('DATA '!$AA$3-1)),0),"")</f>
        <v>A</v>
      </c>
      <c r="H19" s="208">
        <v>12</v>
      </c>
      <c r="I19" s="216" t="str">
        <f>VLOOKUP(J19,'DATA '!$O:$P,2,0)</f>
        <v>OTHERS</v>
      </c>
      <c r="J19" s="43" t="str">
        <f>'DATA '!O14</f>
        <v>ABUL KALAM AZAD</v>
      </c>
      <c r="K19" s="208" t="str">
        <f>IFERROR(VLOOKUP(J19,'RJ ATTENDENCE SHEET'!$C:$CG,('DATA '!$AA$3+21+('DATA '!$AA$3-1)),0),"")</f>
        <v>P</v>
      </c>
      <c r="L19" s="208" t="str">
        <f>IFERROR(VLOOKUP(J19,'RJ ATTENDENCE SHEET'!$C:$CG,('DATA '!$AA$3+22+('DATA '!$AA$3-1)),0),"")</f>
        <v>A</v>
      </c>
      <c r="M19" s="208">
        <f>IFERROR(VLOOKUP(J19,'RJ ATTENDENCE SHEET'!$C:$DM,('DATA '!$AA$3+84),0),"")</f>
        <v>0</v>
      </c>
    </row>
    <row r="20" spans="1:13" ht="15.75">
      <c r="A20" s="207">
        <v>13</v>
      </c>
      <c r="B20" s="332" t="str">
        <f>'DATA '!S15</f>
        <v>NABA KUMAR  BISWAS</v>
      </c>
      <c r="C20" s="333"/>
      <c r="D20" s="207" t="str">
        <f>IFERROR(VLOOKUP(B20,'RJ ATTENDENCE SHEET'!$C:$CG,('DATA '!$AA$3+21+('DATA '!$AA$3-1)),0),"")</f>
        <v>P</v>
      </c>
      <c r="E20" s="207" t="str">
        <f>IFERROR(VLOOKUP(B20,'RJ ATTENDENCE SHEET'!$C:$CG,('DATA '!$AA$3+22+('DATA '!$AA$3-1)),0),"")</f>
        <v>A</v>
      </c>
      <c r="H20" s="208">
        <v>13</v>
      </c>
      <c r="I20" s="216" t="str">
        <f>VLOOKUP(J20,'DATA '!$O:$P,2,0)</f>
        <v>DRIVER</v>
      </c>
      <c r="J20" s="43" t="str">
        <f>'DATA '!O15</f>
        <v>SATYA NASKAR</v>
      </c>
      <c r="K20" s="208" t="str">
        <f>IFERROR(VLOOKUP(J20,'RJ ATTENDENCE SHEET'!$C:$CG,('DATA '!$AA$3+21+('DATA '!$AA$3-1)),0),"")</f>
        <v>A</v>
      </c>
      <c r="L20" s="208" t="str">
        <f>IFERROR(VLOOKUP(J20,'RJ ATTENDENCE SHEET'!$C:$CG,('DATA '!$AA$3+22+('DATA '!$AA$3-1)),0),"")</f>
        <v>P</v>
      </c>
      <c r="M20" s="208">
        <f>IFERROR(VLOOKUP(J20,'RJ ATTENDENCE SHEET'!$C:$DM,('DATA '!$AA$3+84),0),"")</f>
        <v>0</v>
      </c>
    </row>
    <row r="21" spans="1:13" ht="15.75">
      <c r="A21" s="207">
        <v>14</v>
      </c>
      <c r="B21" s="332" t="str">
        <f>'DATA '!S16</f>
        <v>ASIM KHUNTIA</v>
      </c>
      <c r="C21" s="333"/>
      <c r="D21" s="207" t="str">
        <f>IFERROR(VLOOKUP(B21,'RJ ATTENDENCE SHEET'!$C:$CG,('DATA '!$AA$3+21+('DATA '!$AA$3-1)),0),"")</f>
        <v>P</v>
      </c>
      <c r="E21" s="207" t="str">
        <f>IFERROR(VLOOKUP(B21,'RJ ATTENDENCE SHEET'!$C:$CG,('DATA '!$AA$3+22+('DATA '!$AA$3-1)),0),"")</f>
        <v>A</v>
      </c>
      <c r="H21" s="208">
        <v>14</v>
      </c>
      <c r="I21" s="216" t="str">
        <f>VLOOKUP(J21,'DATA '!$O:$P,2,0)</f>
        <v>HELPER</v>
      </c>
      <c r="J21" s="43" t="str">
        <f>'DATA '!O16</f>
        <v>JAMSHED ALI</v>
      </c>
      <c r="K21" s="208" t="str">
        <f>IFERROR(VLOOKUP(J21,'RJ ATTENDENCE SHEET'!$C:$CG,('DATA '!$AA$3+21+('DATA '!$AA$3-1)),0),"")</f>
        <v>A</v>
      </c>
      <c r="L21" s="208" t="str">
        <f>IFERROR(VLOOKUP(J21,'RJ ATTENDENCE SHEET'!$C:$CG,('DATA '!$AA$3+22+('DATA '!$AA$3-1)),0),"")</f>
        <v>P</v>
      </c>
      <c r="M21" s="208">
        <f>IFERROR(VLOOKUP(J21,'RJ ATTENDENCE SHEET'!$C:$DM,('DATA '!$AA$3+84),0),"")</f>
        <v>0</v>
      </c>
    </row>
    <row r="22" spans="1:13" ht="15.75">
      <c r="A22" s="207">
        <v>15</v>
      </c>
      <c r="B22" s="332" t="str">
        <f>'DATA '!S17</f>
        <v>MANABINDU BISWAS</v>
      </c>
      <c r="C22" s="333"/>
      <c r="D22" s="207" t="str">
        <f>IFERROR(VLOOKUP(B22,'RJ ATTENDENCE SHEET'!$C:$CG,('DATA '!$AA$3+21+('DATA '!$AA$3-1)),0),"")</f>
        <v>P</v>
      </c>
      <c r="E22" s="207" t="str">
        <f>IFERROR(VLOOKUP(B22,'RJ ATTENDENCE SHEET'!$C:$CG,('DATA '!$AA$3+22+('DATA '!$AA$3-1)),0),"")</f>
        <v>A</v>
      </c>
      <c r="H22" s="208">
        <v>15</v>
      </c>
      <c r="I22" s="216" t="str">
        <f>VLOOKUP(J22,'DATA '!$O:$P,2,0)</f>
        <v>HELPER</v>
      </c>
      <c r="J22" s="43" t="str">
        <f>'DATA '!O17</f>
        <v>ABHIJIT MONDAL</v>
      </c>
      <c r="K22" s="208" t="str">
        <f>IFERROR(VLOOKUP(J22,'RJ ATTENDENCE SHEET'!$C:$CG,('DATA '!$AA$3+21+('DATA '!$AA$3-1)),0),"")</f>
        <v>A</v>
      </c>
      <c r="L22" s="208" t="str">
        <f>IFERROR(VLOOKUP(J22,'RJ ATTENDENCE SHEET'!$C:$CG,('DATA '!$AA$3+22+('DATA '!$AA$3-1)),0),"")</f>
        <v>P</v>
      </c>
      <c r="M22" s="208">
        <f>IFERROR(VLOOKUP(J22,'RJ ATTENDENCE SHEET'!$C:$DM,('DATA '!$AA$3+84),0),"")</f>
        <v>0</v>
      </c>
    </row>
    <row r="23" spans="1:13" ht="15.75">
      <c r="A23" s="207">
        <v>16</v>
      </c>
      <c r="B23" s="332" t="str">
        <f>'DATA '!S18</f>
        <v>SUVANKAR SAMADDAR</v>
      </c>
      <c r="C23" s="333"/>
      <c r="D23" s="207" t="str">
        <f>IFERROR(VLOOKUP(B23,'RJ ATTENDENCE SHEET'!$C:$CG,('DATA '!$AA$3+21+('DATA '!$AA$3-1)),0),"")</f>
        <v>P</v>
      </c>
      <c r="E23" s="207" t="str">
        <f>IFERROR(VLOOKUP(B23,'RJ ATTENDENCE SHEET'!$C:$CG,('DATA '!$AA$3+22+('DATA '!$AA$3-1)),0),"")</f>
        <v>A</v>
      </c>
      <c r="H23" s="208">
        <v>16</v>
      </c>
      <c r="I23" s="216" t="str">
        <f>VLOOKUP(J23,'DATA '!$O:$P,2,0)</f>
        <v>HELPER</v>
      </c>
      <c r="J23" s="43" t="str">
        <f>'DATA '!O18</f>
        <v>KHALEK DHALI</v>
      </c>
      <c r="K23" s="208" t="str">
        <f>IFERROR(VLOOKUP(J23,'RJ ATTENDENCE SHEET'!$C:$CG,('DATA '!$AA$3+21+('DATA '!$AA$3-1)),0),"")</f>
        <v>P</v>
      </c>
      <c r="L23" s="208" t="str">
        <f>IFERROR(VLOOKUP(J23,'RJ ATTENDENCE SHEET'!$C:$CG,('DATA '!$AA$3+22+('DATA '!$AA$3-1)),0),"")</f>
        <v>A</v>
      </c>
      <c r="M23" s="208">
        <f>IFERROR(VLOOKUP(J23,'RJ ATTENDENCE SHEET'!$C:$DM,('DATA '!$AA$3+84),0),"")</f>
        <v>0</v>
      </c>
    </row>
    <row r="24" spans="1:13" ht="15.75">
      <c r="A24" s="207">
        <v>17</v>
      </c>
      <c r="B24" s="332" t="str">
        <f>'DATA '!S19</f>
        <v/>
      </c>
      <c r="C24" s="333"/>
      <c r="D24" s="207" t="str">
        <f>IFERROR(VLOOKUP(B24,'RJ ATTENDENCE SHEET'!$C:$CG,('DATA '!$AA$3+21+('DATA '!$AA$3-1)),0),"")</f>
        <v/>
      </c>
      <c r="E24" s="207" t="str">
        <f>IFERROR(VLOOKUP(B24,'RJ ATTENDENCE SHEET'!$C:$CG,('DATA '!$AA$3+22+('DATA '!$AA$3-1)),0),"")</f>
        <v/>
      </c>
      <c r="H24" s="208">
        <v>17</v>
      </c>
      <c r="I24" s="216" t="str">
        <f>VLOOKUP(J24,'DATA '!$O:$P,2,0)</f>
        <v>HELPER</v>
      </c>
      <c r="J24" s="43" t="str">
        <f>'DATA '!O19</f>
        <v>JAMIR ALI</v>
      </c>
      <c r="K24" s="208" t="str">
        <f>IFERROR(VLOOKUP(J24,'RJ ATTENDENCE SHEET'!$C:$CG,('DATA '!$AA$3+21+('DATA '!$AA$3-1)),0),"")</f>
        <v>A</v>
      </c>
      <c r="L24" s="208" t="str">
        <f>IFERROR(VLOOKUP(J24,'RJ ATTENDENCE SHEET'!$C:$CG,('DATA '!$AA$3+22+('DATA '!$AA$3-1)),0),"")</f>
        <v>P</v>
      </c>
      <c r="M24" s="208">
        <f>IFERROR(VLOOKUP(J24,'RJ ATTENDENCE SHEET'!$C:$DM,('DATA '!$AA$3+84),0),"")</f>
        <v>0</v>
      </c>
    </row>
    <row r="25" spans="1:13" ht="15.75">
      <c r="A25" s="207">
        <v>18</v>
      </c>
      <c r="B25" s="332" t="str">
        <f>'DATA '!S20</f>
        <v/>
      </c>
      <c r="C25" s="333"/>
      <c r="D25" s="207" t="str">
        <f>IFERROR(VLOOKUP(B25,'RJ ATTENDENCE SHEET'!$C:$CG,('DATA '!$AA$3+21+('DATA '!$AA$3-1)),0),"")</f>
        <v/>
      </c>
      <c r="E25" s="207" t="str">
        <f>IFERROR(VLOOKUP(B25,'RJ ATTENDENCE SHEET'!$C:$CG,('DATA '!$AA$3+22+('DATA '!$AA$3-1)),0),"")</f>
        <v/>
      </c>
      <c r="H25" s="208">
        <v>18</v>
      </c>
      <c r="I25" s="216" t="str">
        <f>VLOOKUP(J25,'DATA '!$O:$P,2,0)</f>
        <v>HELPER</v>
      </c>
      <c r="J25" s="43" t="str">
        <f>'DATA '!O20</f>
        <v>MADAN</v>
      </c>
      <c r="K25" s="208" t="str">
        <f>IFERROR(VLOOKUP(J25,'RJ ATTENDENCE SHEET'!$C:$CG,('DATA '!$AA$3+21+('DATA '!$AA$3-1)),0),"")</f>
        <v>P</v>
      </c>
      <c r="L25" s="208" t="str">
        <f>IFERROR(VLOOKUP(J25,'RJ ATTENDENCE SHEET'!$C:$CG,('DATA '!$AA$3+22+('DATA '!$AA$3-1)),0),"")</f>
        <v>A</v>
      </c>
      <c r="M25" s="208">
        <f>IFERROR(VLOOKUP(J25,'RJ ATTENDENCE SHEET'!$C:$DM,('DATA '!$AA$3+84),0),"")</f>
        <v>0</v>
      </c>
    </row>
    <row r="26" spans="1:13" ht="15.75">
      <c r="A26" s="207">
        <v>19</v>
      </c>
      <c r="B26" s="332" t="str">
        <f>'DATA '!S21</f>
        <v/>
      </c>
      <c r="C26" s="333"/>
      <c r="D26" s="207" t="str">
        <f>IFERROR(VLOOKUP(B26,'RJ ATTENDENCE SHEET'!$C:$CG,('DATA '!$AA$3+21+('DATA '!$AA$3-1)),0),"")</f>
        <v/>
      </c>
      <c r="E26" s="207" t="str">
        <f>IFERROR(VLOOKUP(B26,'RJ ATTENDENCE SHEET'!$C:$CG,('DATA '!$AA$3+22+('DATA '!$AA$3-1)),0),"")</f>
        <v/>
      </c>
      <c r="H26" s="208">
        <v>19</v>
      </c>
      <c r="I26" s="216" t="str">
        <f>VLOOKUP(J26,'DATA '!$O:$P,2,0)</f>
        <v>HELPER</v>
      </c>
      <c r="J26" s="43" t="str">
        <f>'DATA '!O21</f>
        <v>SALAUDDIN SHAH</v>
      </c>
      <c r="K26" s="208" t="str">
        <f>IFERROR(VLOOKUP(J26,'RJ ATTENDENCE SHEET'!$C:$CG,('DATA '!$AA$3+21+('DATA '!$AA$3-1)),0),"")</f>
        <v>P</v>
      </c>
      <c r="L26" s="208" t="str">
        <f>IFERROR(VLOOKUP(J26,'RJ ATTENDENCE SHEET'!$C:$CG,('DATA '!$AA$3+22+('DATA '!$AA$3-1)),0),"")</f>
        <v>P</v>
      </c>
      <c r="M26" s="208">
        <f>IFERROR(VLOOKUP(J26,'RJ ATTENDENCE SHEET'!$C:$DM,('DATA '!$AA$3+84),0),"")</f>
        <v>0</v>
      </c>
    </row>
    <row r="27" spans="1:13" ht="15.75">
      <c r="A27" s="207">
        <v>20</v>
      </c>
      <c r="B27" s="332" t="str">
        <f>'DATA '!S22</f>
        <v/>
      </c>
      <c r="C27" s="333"/>
      <c r="D27" s="207" t="str">
        <f>IFERROR(VLOOKUP(B27,'RJ ATTENDENCE SHEET'!$C:$CG,('DATA '!$AA$3+21+('DATA '!$AA$3-1)),0),"")</f>
        <v/>
      </c>
      <c r="E27" s="207" t="str">
        <f>IFERROR(VLOOKUP(B27,'RJ ATTENDENCE SHEET'!$C:$CG,('DATA '!$AA$3+22+('DATA '!$AA$3-1)),0),"")</f>
        <v/>
      </c>
      <c r="H27" s="208">
        <v>20</v>
      </c>
      <c r="I27" s="216" t="str">
        <f>VLOOKUP(J27,'DATA '!$O:$P,2,0)</f>
        <v>DRIVER</v>
      </c>
      <c r="J27" s="43" t="str">
        <f>'DATA '!O22</f>
        <v>MOFIJUL ALI</v>
      </c>
      <c r="K27" s="208" t="str">
        <f>IFERROR(VLOOKUP(J27,'RJ ATTENDENCE SHEET'!$C:$CG,('DATA '!$AA$3+21+('DATA '!$AA$3-1)),0),"")</f>
        <v>P</v>
      </c>
      <c r="L27" s="208" t="str">
        <f>IFERROR(VLOOKUP(J27,'RJ ATTENDENCE SHEET'!$C:$CG,('DATA '!$AA$3+22+('DATA '!$AA$3-1)),0),"")</f>
        <v>A</v>
      </c>
      <c r="M27" s="208">
        <f>IFERROR(VLOOKUP(J27,'RJ ATTENDENCE SHEET'!$C:$DM,('DATA '!$AA$3+84),0),"")</f>
        <v>0</v>
      </c>
    </row>
    <row r="28" spans="1:13" ht="15.75">
      <c r="A28" s="207"/>
      <c r="B28" s="332" t="str">
        <f>'DATA '!S23</f>
        <v/>
      </c>
      <c r="C28" s="333"/>
      <c r="D28" s="207" t="str">
        <f>IFERROR(VLOOKUP(B28,'RJ ATTENDENCE SHEET'!$C:$CG,('DATA '!$AA$3+21+('DATA '!$AA$3-1)),0),"")</f>
        <v/>
      </c>
      <c r="E28" s="207" t="str">
        <f>IFERROR(VLOOKUP(B28,'RJ ATTENDENCE SHEET'!$C:$CG,('DATA '!$AA$3+22+('DATA '!$AA$3-1)),0),"")</f>
        <v/>
      </c>
      <c r="H28" s="208">
        <v>21</v>
      </c>
      <c r="I28" s="216" t="str">
        <f>VLOOKUP(J28,'DATA '!$O:$P,2,0)</f>
        <v>LAB</v>
      </c>
      <c r="J28" s="43" t="str">
        <f>'DATA '!O23</f>
        <v>ASHIK AHMED</v>
      </c>
      <c r="K28" s="208" t="str">
        <f>IFERROR(VLOOKUP(J28,'RJ ATTENDENCE SHEET'!$C:$CG,('DATA '!$AA$3+21+('DATA '!$AA$3-1)),0),"")</f>
        <v>A</v>
      </c>
      <c r="L28" s="208" t="str">
        <f>IFERROR(VLOOKUP(J28,'RJ ATTENDENCE SHEET'!$C:$CG,('DATA '!$AA$3+22+('DATA '!$AA$3-1)),0),"")</f>
        <v>P</v>
      </c>
      <c r="M28" s="208">
        <f>IFERROR(VLOOKUP(J28,'RJ ATTENDENCE SHEET'!$C:$DM,('DATA '!$AA$3+84),0),"")</f>
        <v>0</v>
      </c>
    </row>
    <row r="29" spans="1:13" ht="15.75">
      <c r="A29" s="207"/>
      <c r="B29" s="332" t="str">
        <f>'DATA '!S24</f>
        <v/>
      </c>
      <c r="C29" s="333"/>
      <c r="D29" s="207" t="str">
        <f>IFERROR(VLOOKUP(B29,'RJ ATTENDENCE SHEET'!$C:$CG,('DATA '!$AA$3+21+('DATA '!$AA$3-1)),0),"")</f>
        <v/>
      </c>
      <c r="E29" s="207" t="str">
        <f>IFERROR(VLOOKUP(B29,'RJ ATTENDENCE SHEET'!$C:$CG,('DATA '!$AA$3+22+('DATA '!$AA$3-1)),0),"")</f>
        <v/>
      </c>
      <c r="H29" s="208">
        <v>22</v>
      </c>
      <c r="I29" s="216" t="str">
        <f>VLOOKUP(J29,'DATA '!$O:$P,2,0)</f>
        <v>LAB</v>
      </c>
      <c r="J29" s="43" t="str">
        <f>'DATA '!O24</f>
        <v>SAMIT MONDAL</v>
      </c>
      <c r="K29" s="208" t="str">
        <f>IFERROR(VLOOKUP(J29,'RJ ATTENDENCE SHEET'!$C:$CG,('DATA '!$AA$3+21+('DATA '!$AA$3-1)),0),"")</f>
        <v>P</v>
      </c>
      <c r="L29" s="208" t="str">
        <f>IFERROR(VLOOKUP(J29,'RJ ATTENDENCE SHEET'!$C:$CG,('DATA '!$AA$3+22+('DATA '!$AA$3-1)),0),"")</f>
        <v>A</v>
      </c>
      <c r="M29" s="208">
        <f>IFERROR(VLOOKUP(J29,'RJ ATTENDENCE SHEET'!$C:$DM,('DATA '!$AA$3+84),0),"")</f>
        <v>0</v>
      </c>
    </row>
    <row r="30" spans="1:13" ht="15.75">
      <c r="A30" s="207"/>
      <c r="B30" s="332" t="str">
        <f>'DATA '!S25</f>
        <v/>
      </c>
      <c r="C30" s="333"/>
      <c r="D30" s="207" t="str">
        <f>IFERROR(VLOOKUP(B30,'RJ ATTENDENCE SHEET'!$C:$CG,('DATA '!$AA$3+21+('DATA '!$AA$3-1)),0),"")</f>
        <v/>
      </c>
      <c r="E30" s="207" t="str">
        <f>IFERROR(VLOOKUP(B30,'RJ ATTENDENCE SHEET'!$C:$CG,('DATA '!$AA$3+22+('DATA '!$AA$3-1)),0),"")</f>
        <v/>
      </c>
      <c r="H30" s="208">
        <v>23</v>
      </c>
      <c r="I30" s="216" t="str">
        <f>VLOOKUP(J30,'DATA '!$O:$P,2,0)</f>
        <v>LAB</v>
      </c>
      <c r="J30" s="43" t="str">
        <f>'DATA '!O25</f>
        <v>SIDHARTHA MONDAL</v>
      </c>
      <c r="K30" s="208" t="str">
        <f>IFERROR(VLOOKUP(J30,'RJ ATTENDENCE SHEET'!$C:$CG,('DATA '!$AA$3+21+('DATA '!$AA$3-1)),0),"")</f>
        <v>P</v>
      </c>
      <c r="L30" s="208" t="str">
        <f>IFERROR(VLOOKUP(J30,'RJ ATTENDENCE SHEET'!$C:$CG,('DATA '!$AA$3+22+('DATA '!$AA$3-1)),0),"")</f>
        <v>A</v>
      </c>
      <c r="M30" s="208">
        <f>IFERROR(VLOOKUP(J30,'RJ ATTENDENCE SHEET'!$C:$DM,('DATA '!$AA$3+84),0),"")</f>
        <v>0</v>
      </c>
    </row>
    <row r="31" spans="1:13" ht="15.75">
      <c r="A31" s="207"/>
      <c r="B31" s="332" t="str">
        <f>'DATA '!S26</f>
        <v/>
      </c>
      <c r="C31" s="333"/>
      <c r="D31" s="207" t="str">
        <f>IFERROR(VLOOKUP(B31,'RJ ATTENDENCE SHEET'!$C:$CG,('DATA '!$AA$3+21+('DATA '!$AA$3-1)),0),"")</f>
        <v/>
      </c>
      <c r="E31" s="207" t="str">
        <f>IFERROR(VLOOKUP(B31,'RJ ATTENDENCE SHEET'!$C:$CG,('DATA '!$AA$3+22+('DATA '!$AA$3-1)),0),"")</f>
        <v/>
      </c>
      <c r="H31" s="208">
        <v>24</v>
      </c>
      <c r="I31" s="216" t="str">
        <f>VLOOKUP(J31,'DATA '!$O:$P,2,0)</f>
        <v>HOPPER</v>
      </c>
      <c r="J31" s="43" t="str">
        <f>'DATA '!O26</f>
        <v>SUBRATA MONDAL</v>
      </c>
      <c r="K31" s="208" t="str">
        <f>IFERROR(VLOOKUP(J31,'RJ ATTENDENCE SHEET'!$C:$CG,('DATA '!$AA$3+21+('DATA '!$AA$3-1)),0),"")</f>
        <v>P</v>
      </c>
      <c r="L31" s="208" t="str">
        <f>IFERROR(VLOOKUP(J31,'RJ ATTENDENCE SHEET'!$C:$CG,('DATA '!$AA$3+22+('DATA '!$AA$3-1)),0),"")</f>
        <v>A</v>
      </c>
      <c r="M31" s="208">
        <f>IFERROR(VLOOKUP(J31,'RJ ATTENDENCE SHEET'!$C:$DM,('DATA '!$AA$3+84),0),"")</f>
        <v>0</v>
      </c>
    </row>
    <row r="32" spans="1:13" ht="15.75">
      <c r="A32" s="207"/>
      <c r="B32" s="332" t="str">
        <f>'DATA '!S27</f>
        <v/>
      </c>
      <c r="C32" s="333"/>
      <c r="D32" s="207" t="str">
        <f>IFERROR(VLOOKUP(B32,'RJ ATTENDENCE SHEET'!$C:$CG,('DATA '!$AA$3+21+('DATA '!$AA$3-1)),0),"")</f>
        <v/>
      </c>
      <c r="E32" s="207" t="str">
        <f>IFERROR(VLOOKUP(B32,'RJ ATTENDENCE SHEET'!$C:$CG,('DATA '!$AA$3+22+('DATA '!$AA$3-1)),0),"")</f>
        <v/>
      </c>
      <c r="H32" s="208">
        <v>25</v>
      </c>
      <c r="I32" s="216" t="str">
        <f>VLOOKUP(J32,'DATA '!$O:$P,2,0)</f>
        <v>HELPER</v>
      </c>
      <c r="J32" s="43" t="str">
        <f>'DATA '!O27</f>
        <v>REJJAK MONDAL</v>
      </c>
      <c r="K32" s="208" t="str">
        <f>IFERROR(VLOOKUP(J32,'RJ ATTENDENCE SHEET'!$C:$CG,('DATA '!$AA$3+21+('DATA '!$AA$3-1)),0),"")</f>
        <v>P</v>
      </c>
      <c r="L32" s="208" t="str">
        <f>IFERROR(VLOOKUP(J32,'RJ ATTENDENCE SHEET'!$C:$CG,('DATA '!$AA$3+22+('DATA '!$AA$3-1)),0),"")</f>
        <v>A</v>
      </c>
      <c r="M32" s="208">
        <f>IFERROR(VLOOKUP(J32,'RJ ATTENDENCE SHEET'!$C:$DM,('DATA '!$AA$3+84),0),"")</f>
        <v>0</v>
      </c>
    </row>
    <row r="33" spans="1:13" ht="15.75">
      <c r="A33" s="207"/>
      <c r="B33" s="332" t="str">
        <f>'DATA '!S28</f>
        <v/>
      </c>
      <c r="C33" s="333"/>
      <c r="D33" s="207" t="str">
        <f>IFERROR(VLOOKUP(B33,'RJ ATTENDENCE SHEET'!$C:$CG,('DATA '!$AA$3+21+('DATA '!$AA$3-1)),0),"")</f>
        <v/>
      </c>
      <c r="E33" s="207" t="str">
        <f>IFERROR(VLOOKUP(B33,'RJ ATTENDENCE SHEET'!$C:$CG,('DATA '!$AA$3+22+('DATA '!$AA$3-1)),0),"")</f>
        <v/>
      </c>
      <c r="H33" s="208">
        <v>26</v>
      </c>
      <c r="I33" s="216" t="str">
        <f>VLOOKUP(J33,'DATA '!$O:$P,2,0)</f>
        <v>DRIVER</v>
      </c>
      <c r="J33" s="43" t="str">
        <f>'DATA '!O28</f>
        <v>BISWANTH MONDAL</v>
      </c>
      <c r="K33" s="208" t="str">
        <f>IFERROR(VLOOKUP(J33,'RJ ATTENDENCE SHEET'!$C:$CG,('DATA '!$AA$3+21+('DATA '!$AA$3-1)),0),"")</f>
        <v>A</v>
      </c>
      <c r="L33" s="208" t="str">
        <f>IFERROR(VLOOKUP(J33,'RJ ATTENDENCE SHEET'!$C:$CG,('DATA '!$AA$3+22+('DATA '!$AA$3-1)),0),"")</f>
        <v>P</v>
      </c>
      <c r="M33" s="208">
        <f>IFERROR(VLOOKUP(J33,'RJ ATTENDENCE SHEET'!$C:$DM,('DATA '!$AA$3+84),0),"")</f>
        <v>0</v>
      </c>
    </row>
    <row r="34" spans="1:13" ht="15.75">
      <c r="A34" s="207"/>
      <c r="B34" s="332" t="str">
        <f>'DATA '!S29</f>
        <v/>
      </c>
      <c r="C34" s="333"/>
      <c r="D34" s="207" t="str">
        <f>IFERROR(VLOOKUP(B34,'RJ ATTENDENCE SHEET'!$C:$CG,('DATA '!$AA$3+21+('DATA '!$AA$3-1)),0),"")</f>
        <v/>
      </c>
      <c r="E34" s="207" t="str">
        <f>IFERROR(VLOOKUP(B34,'RJ ATTENDENCE SHEET'!$C:$CG,('DATA '!$AA$3+22+('DATA '!$AA$3-1)),0),"")</f>
        <v/>
      </c>
      <c r="H34" s="208">
        <v>27</v>
      </c>
      <c r="I34" s="216" t="str">
        <f>VLOOKUP(J34,'DATA '!$O:$P,2,0)</f>
        <v>HELPER</v>
      </c>
      <c r="J34" s="43" t="str">
        <f>'DATA '!O29</f>
        <v>TAPAS MONDAL</v>
      </c>
      <c r="K34" s="208" t="str">
        <f>IFERROR(VLOOKUP(J34,'RJ ATTENDENCE SHEET'!$C:$CG,('DATA '!$AA$3+21+('DATA '!$AA$3-1)),0),"")</f>
        <v>P</v>
      </c>
      <c r="L34" s="208" t="str">
        <f>IFERROR(VLOOKUP(J34,'RJ ATTENDENCE SHEET'!$C:$CG,('DATA '!$AA$3+22+('DATA '!$AA$3-1)),0),"")</f>
        <v>P</v>
      </c>
      <c r="M34" s="208">
        <f>IFERROR(VLOOKUP(J34,'RJ ATTENDENCE SHEET'!$C:$DM,('DATA '!$AA$3+84),0),"")</f>
        <v>1</v>
      </c>
    </row>
    <row r="35" spans="1:13" ht="15.75">
      <c r="A35" s="207"/>
      <c r="B35" s="332" t="str">
        <f>'DATA '!S30</f>
        <v/>
      </c>
      <c r="C35" s="333"/>
      <c r="D35" s="207" t="str">
        <f>IFERROR(VLOOKUP(B35,'RJ ATTENDENCE SHEET'!$C:$CG,('DATA '!$AA$3+21+('DATA '!$AA$3-1)),0),"")</f>
        <v/>
      </c>
      <c r="E35" s="207" t="str">
        <f>IFERROR(VLOOKUP(B35,'RJ ATTENDENCE SHEET'!$C:$CG,('DATA '!$AA$3+22+('DATA '!$AA$3-1)),0),"")</f>
        <v/>
      </c>
      <c r="H35" s="208">
        <v>28</v>
      </c>
      <c r="I35" s="216" t="str">
        <f>VLOOKUP(J35,'DATA '!$O:$P,2,0)</f>
        <v>HELPER</v>
      </c>
      <c r="J35" s="43" t="str">
        <f>'DATA '!O30</f>
        <v>RASHID MONDAL</v>
      </c>
      <c r="K35" s="208" t="str">
        <f>IFERROR(VLOOKUP(J35,'RJ ATTENDENCE SHEET'!$C:$CG,('DATA '!$AA$3+21+('DATA '!$AA$3-1)),0),"")</f>
        <v>P</v>
      </c>
      <c r="L35" s="208" t="str">
        <f>IFERROR(VLOOKUP(J35,'RJ ATTENDENCE SHEET'!$C:$CG,('DATA '!$AA$3+22+('DATA '!$AA$3-1)),0),"")</f>
        <v>A</v>
      </c>
      <c r="M35" s="208">
        <f>IFERROR(VLOOKUP(J35,'RJ ATTENDENCE SHEET'!$C:$DM,('DATA '!$AA$3+84),0),"")</f>
        <v>0</v>
      </c>
    </row>
    <row r="36" spans="1:13" ht="15.75">
      <c r="A36" s="207"/>
      <c r="B36" s="332" t="str">
        <f>'DATA '!S31</f>
        <v/>
      </c>
      <c r="C36" s="333"/>
      <c r="D36" s="207" t="str">
        <f>IFERROR(VLOOKUP(B36,'RJ ATTENDENCE SHEET'!$C:$CG,('DATA '!$AA$3+21+('DATA '!$AA$3-1)),0),"")</f>
        <v/>
      </c>
      <c r="E36" s="207" t="str">
        <f>IFERROR(VLOOKUP(B36,'RJ ATTENDENCE SHEET'!$C:$CG,('DATA '!$AA$3+22+('DATA '!$AA$3-1)),0),"")</f>
        <v/>
      </c>
      <c r="H36" s="208">
        <v>29</v>
      </c>
      <c r="I36" s="216" t="str">
        <f>VLOOKUP(J36,'DATA '!$O:$P,2,0)</f>
        <v>HELPER</v>
      </c>
      <c r="J36" s="43" t="str">
        <f>'DATA '!O31</f>
        <v>RAJU MONDAL</v>
      </c>
      <c r="K36" s="208" t="str">
        <f>IFERROR(VLOOKUP(J36,'RJ ATTENDENCE SHEET'!$C:$CG,('DATA '!$AA$3+21+('DATA '!$AA$3-1)),0),"")</f>
        <v>A</v>
      </c>
      <c r="L36" s="208" t="str">
        <f>IFERROR(VLOOKUP(J36,'RJ ATTENDENCE SHEET'!$C:$CG,('DATA '!$AA$3+22+('DATA '!$AA$3-1)),0),"")</f>
        <v>P</v>
      </c>
      <c r="M36" s="208">
        <f>IFERROR(VLOOKUP(J36,'RJ ATTENDENCE SHEET'!$C:$DM,('DATA '!$AA$3+84),0),"")</f>
        <v>0</v>
      </c>
    </row>
    <row r="37" spans="1:13" ht="15.75">
      <c r="A37" s="207"/>
      <c r="B37" s="332" t="str">
        <f>'DATA '!S32</f>
        <v/>
      </c>
      <c r="C37" s="333"/>
      <c r="D37" s="207" t="str">
        <f>IFERROR(VLOOKUP(B37,'RJ ATTENDENCE SHEET'!$C:$CG,('DATA '!$AA$3+21+('DATA '!$AA$3-1)),0),"")</f>
        <v/>
      </c>
      <c r="E37" s="207" t="str">
        <f>IFERROR(VLOOKUP(B37,'RJ ATTENDENCE SHEET'!$C:$CG,('DATA '!$AA$3+22+('DATA '!$AA$3-1)),0),"")</f>
        <v/>
      </c>
      <c r="H37" s="208">
        <v>30</v>
      </c>
      <c r="I37" s="216" t="str">
        <f>VLOOKUP(J37,'DATA '!$O:$P,2,0)</f>
        <v>HELPER</v>
      </c>
      <c r="J37" s="43" t="str">
        <f>'DATA '!O32</f>
        <v>SUDIP MONDAL</v>
      </c>
      <c r="K37" s="208" t="str">
        <f>IFERROR(VLOOKUP(J37,'RJ ATTENDENCE SHEET'!$C:$CG,('DATA '!$AA$3+21+('DATA '!$AA$3-1)),0),"")</f>
        <v>A</v>
      </c>
      <c r="L37" s="208" t="str">
        <f>IFERROR(VLOOKUP(J37,'RJ ATTENDENCE SHEET'!$C:$CG,('DATA '!$AA$3+22+('DATA '!$AA$3-1)),0),"")</f>
        <v>P</v>
      </c>
      <c r="M37" s="208">
        <f>IFERROR(VLOOKUP(J37,'RJ ATTENDENCE SHEET'!$C:$DM,('DATA '!$AA$3+84),0),"")</f>
        <v>0</v>
      </c>
    </row>
    <row r="38" spans="1:13" ht="15.75">
      <c r="A38" s="207"/>
      <c r="B38" s="332" t="str">
        <f>'DATA '!S33</f>
        <v/>
      </c>
      <c r="C38" s="333"/>
      <c r="D38" s="207" t="str">
        <f>IFERROR(VLOOKUP(B38,'RJ ATTENDENCE SHEET'!$C:$CG,('DATA '!$AA$3+21+('DATA '!$AA$3-1)),0),"")</f>
        <v/>
      </c>
      <c r="E38" s="207" t="str">
        <f>IFERROR(VLOOKUP(B38,'RJ ATTENDENCE SHEET'!$C:$CG,('DATA '!$AA$3+22+('DATA '!$AA$3-1)),0),"")</f>
        <v/>
      </c>
      <c r="H38" s="208">
        <v>31</v>
      </c>
      <c r="I38" s="216" t="str">
        <f>VLOOKUP(J38,'DATA '!$O:$P,2,0)</f>
        <v>OTHERS</v>
      </c>
      <c r="J38" s="43" t="str">
        <f>'DATA '!O33</f>
        <v>ALMIRAJ JHAN</v>
      </c>
      <c r="K38" s="208">
        <f>IFERROR(VLOOKUP(J38,'RJ ATTENDENCE SHEET'!$C:$CG,('DATA '!$AA$3+21+('DATA '!$AA$3-1)),0),"")</f>
        <v>0</v>
      </c>
      <c r="L38" s="208">
        <f>IFERROR(VLOOKUP(J38,'RJ ATTENDENCE SHEET'!$C:$CG,('DATA '!$AA$3+22+('DATA '!$AA$3-1)),0),"")</f>
        <v>0</v>
      </c>
      <c r="M38" s="208">
        <f>IFERROR(VLOOKUP(J38,'RJ ATTENDENCE SHEET'!$C:$DM,('DATA '!$AA$3+84),0),"")</f>
        <v>0</v>
      </c>
    </row>
    <row r="39" spans="1:13" ht="15.75">
      <c r="A39" s="207"/>
      <c r="B39" s="332" t="str">
        <f>'DATA '!S34</f>
        <v/>
      </c>
      <c r="C39" s="333"/>
      <c r="D39" s="207" t="str">
        <f>IFERROR(VLOOKUP(B39,'RJ ATTENDENCE SHEET'!$C:$CG,('DATA '!$AA$3+21+('DATA '!$AA$3-1)),0),"")</f>
        <v/>
      </c>
      <c r="E39" s="207" t="str">
        <f>IFERROR(VLOOKUP(B39,'RJ ATTENDENCE SHEET'!$C:$CG,('DATA '!$AA$3+22+('DATA '!$AA$3-1)),0),"")</f>
        <v/>
      </c>
      <c r="H39" s="208">
        <v>32</v>
      </c>
      <c r="I39" s="216" t="str">
        <f>VLOOKUP(J39,'DATA '!$O:$P,2,0)</f>
        <v>HELPER</v>
      </c>
      <c r="J39" s="43" t="str">
        <f>'DATA '!O34</f>
        <v>SAMSUR</v>
      </c>
      <c r="K39" s="208" t="str">
        <f>IFERROR(VLOOKUP(J39,'RJ ATTENDENCE SHEET'!$C:$CG,('DATA '!$AA$3+21+('DATA '!$AA$3-1)),0),"")</f>
        <v>P</v>
      </c>
      <c r="L39" s="208" t="str">
        <f>IFERROR(VLOOKUP(J39,'RJ ATTENDENCE SHEET'!$C:$CG,('DATA '!$AA$3+22+('DATA '!$AA$3-1)),0),"")</f>
        <v>P</v>
      </c>
      <c r="M39" s="208">
        <f>IFERROR(VLOOKUP(J39,'RJ ATTENDENCE SHEET'!$C:$DM,('DATA '!$AA$3+84),0),"")</f>
        <v>0</v>
      </c>
    </row>
    <row r="40" spans="1:13" ht="15.75">
      <c r="A40" s="207"/>
      <c r="B40" s="332" t="str">
        <f>'DATA '!S35</f>
        <v/>
      </c>
      <c r="C40" s="333"/>
      <c r="D40" s="207" t="str">
        <f>IFERROR(VLOOKUP(B40,'RJ ATTENDENCE SHEET'!$C:$CG,('DATA '!$AA$3+21+('DATA '!$AA$3-1)),0),"")</f>
        <v/>
      </c>
      <c r="E40" s="207" t="str">
        <f>IFERROR(VLOOKUP(B40,'RJ ATTENDENCE SHEET'!$C:$CG,('DATA '!$AA$3+22+('DATA '!$AA$3-1)),0),"")</f>
        <v/>
      </c>
      <c r="H40" s="208">
        <v>33</v>
      </c>
      <c r="I40" s="216" t="str">
        <f>VLOOKUP(J40,'DATA '!$O:$P,2,0)</f>
        <v>LAB</v>
      </c>
      <c r="J40" s="43" t="str">
        <f>'DATA '!O35</f>
        <v>BALAI CHAND ROY</v>
      </c>
      <c r="K40" s="208" t="str">
        <f>IFERROR(VLOOKUP(J40,'RJ ATTENDENCE SHEET'!$C:$CG,('DATA '!$AA$3+21+('DATA '!$AA$3-1)),0),"")</f>
        <v>P</v>
      </c>
      <c r="L40" s="208" t="str">
        <f>IFERROR(VLOOKUP(J40,'RJ ATTENDENCE SHEET'!$C:$CG,('DATA '!$AA$3+22+('DATA '!$AA$3-1)),0),"")</f>
        <v>A</v>
      </c>
      <c r="M40" s="208">
        <f>IFERROR(VLOOKUP(J40,'RJ ATTENDENCE SHEET'!$C:$DM,('DATA '!$AA$3+84),0),"")</f>
        <v>0</v>
      </c>
    </row>
    <row r="41" spans="1:13" ht="15.75">
      <c r="A41" s="207"/>
      <c r="B41" s="332" t="str">
        <f>'DATA '!S36</f>
        <v/>
      </c>
      <c r="C41" s="333"/>
      <c r="D41" s="207" t="str">
        <f>IFERROR(VLOOKUP(B41,'RJ ATTENDENCE SHEET'!$C:$CG,('DATA '!$AA$3+21+('DATA '!$AA$3-1)),0),"")</f>
        <v/>
      </c>
      <c r="E41" s="207" t="str">
        <f>IFERROR(VLOOKUP(B41,'RJ ATTENDENCE SHEET'!$C:$CG,('DATA '!$AA$3+22+('DATA '!$AA$3-1)),0),"")</f>
        <v/>
      </c>
      <c r="H41" s="208">
        <v>34</v>
      </c>
      <c r="I41" s="216" t="str">
        <f>VLOOKUP(J41,'DATA '!$O:$P,2,0)</f>
        <v/>
      </c>
      <c r="J41" s="43" t="str">
        <f>'DATA '!O36</f>
        <v/>
      </c>
      <c r="K41" s="208" t="str">
        <f>IFERROR(VLOOKUP(J41,'RJ ATTENDENCE SHEET'!$C:$CG,('DATA '!$AA$3+21+('DATA '!$AA$3-1)),0),"")</f>
        <v/>
      </c>
      <c r="L41" s="208" t="str">
        <f>IFERROR(VLOOKUP(J41,'RJ ATTENDENCE SHEET'!$C:$CG,('DATA '!$AA$3+22+('DATA '!$AA$3-1)),0),"")</f>
        <v/>
      </c>
      <c r="M41" s="208" t="str">
        <f>IFERROR(VLOOKUP(J41,'RJ ATTENDENCE SHEET'!$C:$DM,('DATA '!$AA$3+84),0),"")</f>
        <v/>
      </c>
    </row>
    <row r="42" spans="1:13" ht="15.75">
      <c r="A42" s="207"/>
      <c r="B42" s="332" t="str">
        <f>'DATA '!S37</f>
        <v/>
      </c>
      <c r="C42" s="333"/>
      <c r="D42" s="207" t="str">
        <f>IFERROR(VLOOKUP(B42,'RJ ATTENDENCE SHEET'!$C:$CG,('DATA '!$AA$3+21+('DATA '!$AA$3-1)),0),"")</f>
        <v/>
      </c>
      <c r="E42" s="207" t="str">
        <f>IFERROR(VLOOKUP(B42,'RJ ATTENDENCE SHEET'!$C:$CG,('DATA '!$AA$3+22+('DATA '!$AA$3-1)),0),"")</f>
        <v/>
      </c>
      <c r="F42" s="209"/>
      <c r="H42" s="208">
        <v>35</v>
      </c>
      <c r="I42" s="216" t="str">
        <f>VLOOKUP(J42,'DATA '!$O:$P,2,0)</f>
        <v/>
      </c>
      <c r="J42" s="43" t="str">
        <f>'DATA '!O37</f>
        <v/>
      </c>
      <c r="K42" s="208" t="str">
        <f>IFERROR(VLOOKUP(J42,'RJ ATTENDENCE SHEET'!$C:$CG,('DATA '!$AA$3+21+('DATA '!$AA$3-1)),0),"")</f>
        <v/>
      </c>
      <c r="L42" s="208" t="str">
        <f>IFERROR(VLOOKUP(J42,'RJ ATTENDENCE SHEET'!$C:$CG,('DATA '!$AA$3+22+('DATA '!$AA$3-1)),0),"")</f>
        <v/>
      </c>
      <c r="M42" s="208" t="str">
        <f>IFERROR(VLOOKUP(J42,'RJ ATTENDENCE SHEET'!$C:$DM,('DATA '!$AA$3+84),0),"")</f>
        <v/>
      </c>
    </row>
    <row r="43" spans="1:13" ht="15.75">
      <c r="H43" s="208">
        <v>36</v>
      </c>
      <c r="I43" s="216" t="str">
        <f>VLOOKUP(J43,'DATA '!$O:$P,2,0)</f>
        <v/>
      </c>
      <c r="J43" s="43" t="str">
        <f>'DATA '!O38</f>
        <v/>
      </c>
      <c r="K43" s="208" t="str">
        <f>IFERROR(VLOOKUP(J43,'RJ ATTENDENCE SHEET'!$C:$CG,('DATA '!$AA$3+21+('DATA '!$AA$3-1)),0),"")</f>
        <v/>
      </c>
      <c r="L43" s="208" t="str">
        <f>IFERROR(VLOOKUP(J43,'RJ ATTENDENCE SHEET'!$C:$CG,('DATA '!$AA$3+22+('DATA '!$AA$3-1)),0),"")</f>
        <v/>
      </c>
      <c r="M43" s="208" t="str">
        <f>IFERROR(VLOOKUP(J43,'RJ ATTENDENCE SHEET'!$C:$DM,('DATA '!$AA$3+84),0),"")</f>
        <v/>
      </c>
    </row>
    <row r="44" spans="1:13" ht="15.75">
      <c r="H44" s="208">
        <v>37</v>
      </c>
      <c r="I44" s="216" t="str">
        <f>VLOOKUP(J44,'DATA '!$O:$P,2,0)</f>
        <v/>
      </c>
      <c r="J44" s="43" t="str">
        <f>'DATA '!O39</f>
        <v/>
      </c>
      <c r="K44" s="208" t="str">
        <f>IFERROR(VLOOKUP(J44,'RJ ATTENDENCE SHEET'!$C:$CG,('DATA '!$AA$3+21+('DATA '!$AA$3-1)),0),"")</f>
        <v/>
      </c>
      <c r="L44" s="208" t="str">
        <f>IFERROR(VLOOKUP(J44,'RJ ATTENDENCE SHEET'!$C:$CG,('DATA '!$AA$3+22+('DATA '!$AA$3-1)),0),"")</f>
        <v/>
      </c>
      <c r="M44" s="208" t="str">
        <f>IFERROR(VLOOKUP(J44,'RJ ATTENDENCE SHEET'!$C:$DM,('DATA '!$AA$3+84),0),"")</f>
        <v/>
      </c>
    </row>
    <row r="45" spans="1:13" ht="15.75">
      <c r="H45" s="208">
        <v>38</v>
      </c>
      <c r="I45" s="216" t="str">
        <f>VLOOKUP(J45,'DATA '!$O:$P,2,0)</f>
        <v/>
      </c>
      <c r="J45" s="43" t="str">
        <f>'DATA '!O40</f>
        <v/>
      </c>
      <c r="K45" s="208" t="str">
        <f>IFERROR(VLOOKUP(J45,'RJ ATTENDENCE SHEET'!$C:$CG,('DATA '!$AA$3+21+('DATA '!$AA$3-1)),0),"")</f>
        <v/>
      </c>
      <c r="L45" s="208" t="str">
        <f>IFERROR(VLOOKUP(J45,'RJ ATTENDENCE SHEET'!$C:$CG,('DATA '!$AA$3+22+('DATA '!$AA$3-1)),0),"")</f>
        <v/>
      </c>
      <c r="M45" s="208" t="str">
        <f>IFERROR(VLOOKUP(J45,'RJ ATTENDENCE SHEET'!$C:$DM,('DATA '!$AA$3+84),0),"")</f>
        <v/>
      </c>
    </row>
    <row r="46" spans="1:13" ht="15.75">
      <c r="H46" s="208">
        <v>39</v>
      </c>
      <c r="I46" s="216" t="str">
        <f>VLOOKUP(J46,'DATA '!$O:$P,2,0)</f>
        <v/>
      </c>
      <c r="J46" s="43" t="str">
        <f>'DATA '!O41</f>
        <v/>
      </c>
      <c r="K46" s="208" t="str">
        <f>IFERROR(VLOOKUP(J46,'RJ ATTENDENCE SHEET'!$C:$CG,('DATA '!$AA$3+21+('DATA '!$AA$3-1)),0),"")</f>
        <v/>
      </c>
      <c r="L46" s="208" t="str">
        <f>IFERROR(VLOOKUP(J46,'RJ ATTENDENCE SHEET'!$C:$CG,('DATA '!$AA$3+22+('DATA '!$AA$3-1)),0),"")</f>
        <v/>
      </c>
      <c r="M46" s="208" t="str">
        <f>IFERROR(VLOOKUP(J46,'RJ ATTENDENCE SHEET'!$C:$DM,('DATA '!$AA$3+84),0),"")</f>
        <v/>
      </c>
    </row>
    <row r="47" spans="1:13" ht="15.75">
      <c r="H47" s="208">
        <v>40</v>
      </c>
      <c r="I47" s="216" t="str">
        <f>VLOOKUP(J47,'DATA '!$O:$P,2,0)</f>
        <v/>
      </c>
      <c r="J47" s="43" t="str">
        <f>'DATA '!O42</f>
        <v/>
      </c>
      <c r="K47" s="208" t="str">
        <f>IFERROR(VLOOKUP(J47,'RJ ATTENDENCE SHEET'!$C:$CG,('DATA '!$AA$3+21+('DATA '!$AA$3-1)),0),"")</f>
        <v/>
      </c>
      <c r="L47" s="208" t="str">
        <f>IFERROR(VLOOKUP(J47,'RJ ATTENDENCE SHEET'!$C:$CG,('DATA '!$AA$3+22+('DATA '!$AA$3-1)),0),"")</f>
        <v/>
      </c>
      <c r="M47" s="208" t="str">
        <f>IFERROR(VLOOKUP(J47,'RJ ATTENDENCE SHEET'!$C:$DM,('DATA '!$AA$3+84),0),"")</f>
        <v/>
      </c>
    </row>
    <row r="48" spans="1:13" ht="15.75">
      <c r="H48" s="208">
        <v>41</v>
      </c>
      <c r="I48" s="216" t="str">
        <f>VLOOKUP(J48,'DATA '!$O:$P,2,0)</f>
        <v/>
      </c>
      <c r="J48" s="43" t="str">
        <f>'DATA '!O43</f>
        <v/>
      </c>
      <c r="K48" s="208" t="str">
        <f>IFERROR(VLOOKUP(J48,'RJ ATTENDENCE SHEET'!$C:$CG,('DATA '!$AA$3+21+('DATA '!$AA$3-1)),0),"")</f>
        <v/>
      </c>
      <c r="L48" s="208" t="str">
        <f>IFERROR(VLOOKUP(J48,'RJ ATTENDENCE SHEET'!$C:$CG,('DATA '!$AA$3+22+('DATA '!$AA$3-1)),0),"")</f>
        <v/>
      </c>
      <c r="M48" s="208" t="str">
        <f>IFERROR(VLOOKUP(J48,'RJ ATTENDENCE SHEET'!$C:$DM,('DATA '!$AA$3+84),0),"")</f>
        <v/>
      </c>
    </row>
    <row r="49" spans="1:14" ht="15.75">
      <c r="A49" s="309" t="s">
        <v>91</v>
      </c>
      <c r="B49" s="310"/>
      <c r="C49" s="309" t="s">
        <v>92</v>
      </c>
      <c r="D49" s="309" t="s">
        <v>93</v>
      </c>
      <c r="E49" s="309"/>
      <c r="F49" s="309" t="s">
        <v>94</v>
      </c>
      <c r="H49" s="208">
        <v>42</v>
      </c>
      <c r="I49" s="216" t="str">
        <f>VLOOKUP(J49,'DATA '!$O:$P,2,0)</f>
        <v/>
      </c>
      <c r="J49" s="43" t="str">
        <f>'DATA '!O44</f>
        <v/>
      </c>
      <c r="K49" s="208" t="str">
        <f>IFERROR(VLOOKUP(J49,'RJ ATTENDENCE SHEET'!$C:$CG,('DATA '!$AA$3+21+('DATA '!$AA$3-1)),0),"")</f>
        <v/>
      </c>
      <c r="L49" s="208" t="str">
        <f>IFERROR(VLOOKUP(J49,'RJ ATTENDENCE SHEET'!$C:$CG,('DATA '!$AA$3+22+('DATA '!$AA$3-1)),0),"")</f>
        <v/>
      </c>
      <c r="M49" s="208" t="str">
        <f>IFERROR(VLOOKUP(J49,'RJ ATTENDENCE SHEET'!$C:$DM,('DATA '!$AA$3+84),0),"")</f>
        <v/>
      </c>
    </row>
    <row r="50" spans="1:14" ht="15.75">
      <c r="A50" s="309"/>
      <c r="B50" s="311"/>
      <c r="C50" s="309"/>
      <c r="D50" s="210" t="s">
        <v>95</v>
      </c>
      <c r="E50" s="210" t="s">
        <v>96</v>
      </c>
      <c r="F50" s="309"/>
      <c r="H50" s="208">
        <v>43</v>
      </c>
      <c r="I50" s="216" t="str">
        <f>VLOOKUP(J50,'DATA '!$O:$P,2,0)</f>
        <v/>
      </c>
      <c r="J50" s="43" t="str">
        <f>'DATA '!O45</f>
        <v/>
      </c>
      <c r="K50" s="208" t="str">
        <f>IFERROR(VLOOKUP(J50,'RJ ATTENDENCE SHEET'!$C:$CG,('DATA '!$AA$3+21+('DATA '!$AA$3-1)),0),"")</f>
        <v/>
      </c>
      <c r="L50" s="208" t="str">
        <f>IFERROR(VLOOKUP(J50,'RJ ATTENDENCE SHEET'!$C:$CG,('DATA '!$AA$3+22+('DATA '!$AA$3-1)),0),"")</f>
        <v/>
      </c>
      <c r="M50" s="208" t="str">
        <f>IFERROR(VLOOKUP(J50,'RJ ATTENDENCE SHEET'!$C:$DM,('DATA '!$AA$3+84),0),"")</f>
        <v/>
      </c>
    </row>
    <row r="51" spans="1:14" ht="15.75">
      <c r="A51" s="321" t="s">
        <v>80</v>
      </c>
      <c r="B51" s="322"/>
      <c r="C51" s="323"/>
      <c r="D51" s="323"/>
      <c r="E51" s="323"/>
      <c r="F51" s="324"/>
      <c r="H51" s="208">
        <v>44</v>
      </c>
      <c r="I51" s="216" t="str">
        <f>VLOOKUP(J51,'DATA '!$O:$P,2,0)</f>
        <v/>
      </c>
      <c r="J51" s="43" t="str">
        <f>'DATA '!O46</f>
        <v/>
      </c>
      <c r="K51" s="208" t="str">
        <f>IFERROR(VLOOKUP(J51,'RJ ATTENDENCE SHEET'!$C:$CG,('DATA '!$AA$3+21+('DATA '!$AA$3-1)),0),"")</f>
        <v/>
      </c>
      <c r="L51" s="208" t="str">
        <f>IFERROR(VLOOKUP(J51,'RJ ATTENDENCE SHEET'!$C:$CG,('DATA '!$AA$3+22+('DATA '!$AA$3-1)),0),"")</f>
        <v/>
      </c>
      <c r="M51" s="208" t="str">
        <f>IFERROR(VLOOKUP(J51,'RJ ATTENDENCE SHEET'!$C:$DM,('DATA '!$AA$3+84),0),"")</f>
        <v/>
      </c>
      <c r="N51" s="217"/>
    </row>
    <row r="52" spans="1:14" ht="15.75">
      <c r="A52" s="211">
        <v>1</v>
      </c>
      <c r="B52" s="211" t="str">
        <f>VLOOKUP(C52,'DATA '!$K:$L,2,0)</f>
        <v>DRIVER</v>
      </c>
      <c r="C52" s="212" t="str">
        <f>'DATA '!K3</f>
        <v xml:space="preserve">ANISUR </v>
      </c>
      <c r="D52" s="213" t="str">
        <f>IFERROR(VLOOKUP(C52,'RJ ATTENDENCE SHEET'!$C:$CG,('DATA '!$AA$3+21+('DATA '!$AA$3-1)),0),"")</f>
        <v>A</v>
      </c>
      <c r="E52" s="213" t="str">
        <f>IFERROR(VLOOKUP(C52,'RJ ATTENDENCE SHEET'!$C:$CG,('DATA '!$AA$3+22+('DATA '!$AA$3-1)),0),"")</f>
        <v>P</v>
      </c>
      <c r="F52" s="213">
        <f>VLOOKUP(C52,'RJ ATTENDENCE SHEET'!$C:$DM,('DATA '!$AA$3+84),0)</f>
        <v>0</v>
      </c>
      <c r="H52" s="208">
        <v>45</v>
      </c>
      <c r="I52" s="216" t="str">
        <f>VLOOKUP(J52,'DATA '!$O:$P,2,0)</f>
        <v/>
      </c>
      <c r="J52" s="43" t="str">
        <f>'DATA '!O47</f>
        <v/>
      </c>
      <c r="K52" s="208" t="str">
        <f>IFERROR(VLOOKUP(J52,'RJ ATTENDENCE SHEET'!$C:$CG,('DATA '!$AA$3+21+('DATA '!$AA$3-1)),0),"")</f>
        <v/>
      </c>
      <c r="L52" s="208" t="str">
        <f>IFERROR(VLOOKUP(J52,'RJ ATTENDENCE SHEET'!$C:$CG,('DATA '!$AA$3+22+('DATA '!$AA$3-1)),0),"")</f>
        <v/>
      </c>
      <c r="M52" s="208" t="str">
        <f>IFERROR(VLOOKUP(J52,'RJ ATTENDENCE SHEET'!$C:$DM,('DATA '!$AA$3+84),0),"")</f>
        <v/>
      </c>
    </row>
    <row r="53" spans="1:14" ht="15.75">
      <c r="A53" s="213">
        <v>2</v>
      </c>
      <c r="B53" s="211" t="str">
        <f>VLOOKUP(C53,'DATA '!$K:$L,2,0)</f>
        <v>DRIVER</v>
      </c>
      <c r="C53" s="212" t="str">
        <f>'DATA '!K4</f>
        <v xml:space="preserve">ARMAN ALI MONDAL </v>
      </c>
      <c r="D53" s="213" t="str">
        <f>IFERROR(VLOOKUP(C53,'RJ ATTENDENCE SHEET'!$C:$CG,('DATA '!$AA$3+21+('DATA '!$AA$3-1)),0),"")</f>
        <v>P</v>
      </c>
      <c r="E53" s="213" t="str">
        <f>IFERROR(VLOOKUP(C53,'RJ ATTENDENCE SHEET'!$C:$CG,('DATA '!$AA$3+22+('DATA '!$AA$3-1)),0),"")</f>
        <v>P</v>
      </c>
      <c r="F53" s="213">
        <f>VLOOKUP(C53,'RJ ATTENDENCE SHEET'!$C:$DM,('DATA '!$AA$3+84),0)</f>
        <v>1</v>
      </c>
      <c r="H53" s="208">
        <v>46</v>
      </c>
      <c r="I53" s="216" t="str">
        <f>VLOOKUP(J53,'DATA '!$O:$P,2,0)</f>
        <v/>
      </c>
      <c r="J53" s="43" t="str">
        <f>'DATA '!O48</f>
        <v/>
      </c>
      <c r="K53" s="208" t="str">
        <f>IFERROR(VLOOKUP(J53,'RJ ATTENDENCE SHEET'!$C:$CG,('DATA '!$AA$3+21+('DATA '!$AA$3-1)),0),"")</f>
        <v/>
      </c>
      <c r="L53" s="208" t="str">
        <f>IFERROR(VLOOKUP(J53,'RJ ATTENDENCE SHEET'!$C:$CG,('DATA '!$AA$3+22+('DATA '!$AA$3-1)),0),"")</f>
        <v/>
      </c>
      <c r="M53" s="208" t="str">
        <f>IFERROR(VLOOKUP(J53,'RJ ATTENDENCE SHEET'!$C:$DM,('DATA '!$AA$3+84),0),"")</f>
        <v/>
      </c>
    </row>
    <row r="54" spans="1:14" ht="15.75">
      <c r="A54" s="213">
        <v>3</v>
      </c>
      <c r="B54" s="211" t="str">
        <f>VLOOKUP(C54,'DATA '!$K:$L,2,0)</f>
        <v>HELPER</v>
      </c>
      <c r="C54" s="212" t="str">
        <f>'DATA '!K5</f>
        <v>ASUTOSH SARDAR</v>
      </c>
      <c r="D54" s="213" t="str">
        <f>IFERROR(VLOOKUP(C54,'RJ ATTENDENCE SHEET'!$C:$CG,('DATA '!$AA$3+21+('DATA '!$AA$3-1)),0),"")</f>
        <v>P</v>
      </c>
      <c r="E54" s="213" t="str">
        <f>IFERROR(VLOOKUP(C54,'RJ ATTENDENCE SHEET'!$C:$CG,('DATA '!$AA$3+22+('DATA '!$AA$3-1)),0),"")</f>
        <v>P</v>
      </c>
      <c r="F54" s="213">
        <f>VLOOKUP(C54,'RJ ATTENDENCE SHEET'!$C:$DM,('DATA '!$AA$3+84),0)</f>
        <v>1</v>
      </c>
      <c r="H54" s="208">
        <v>47</v>
      </c>
      <c r="I54" s="216" t="str">
        <f>VLOOKUP(J54,'DATA '!$O:$P,2,0)</f>
        <v/>
      </c>
      <c r="J54" s="43" t="str">
        <f>'DATA '!O49</f>
        <v/>
      </c>
      <c r="K54" s="208" t="str">
        <f>IFERROR(VLOOKUP(J54,'RJ ATTENDENCE SHEET'!$C:$CG,('DATA '!$AA$3+21+('DATA '!$AA$3-1)),0),"")</f>
        <v/>
      </c>
      <c r="L54" s="208" t="str">
        <f>IFERROR(VLOOKUP(J54,'RJ ATTENDENCE SHEET'!$C:$CG,('DATA '!$AA$3+22+('DATA '!$AA$3-1)),0),"")</f>
        <v/>
      </c>
      <c r="M54" s="208" t="str">
        <f>IFERROR(VLOOKUP(J54,'RJ ATTENDENCE SHEET'!$C:$DM,('DATA '!$AA$3+84),0),"")</f>
        <v/>
      </c>
    </row>
    <row r="55" spans="1:14" ht="15.75">
      <c r="A55" s="211">
        <v>4</v>
      </c>
      <c r="B55" s="211" t="str">
        <f>VLOOKUP(C55,'DATA '!$K:$L,2,0)</f>
        <v>LAB</v>
      </c>
      <c r="C55" s="212" t="str">
        <f>'DATA '!K6</f>
        <v>BUDDHADEV SEAL</v>
      </c>
      <c r="D55" s="213" t="str">
        <f>IFERROR(VLOOKUP(C55,'RJ ATTENDENCE SHEET'!$C:$CG,('DATA '!$AA$3+21+('DATA '!$AA$3-1)),0),"")</f>
        <v>A</v>
      </c>
      <c r="E55" s="213" t="str">
        <f>IFERROR(VLOOKUP(C55,'RJ ATTENDENCE SHEET'!$C:$CG,('DATA '!$AA$3+22+('DATA '!$AA$3-1)),0),"")</f>
        <v>P</v>
      </c>
      <c r="F55" s="213">
        <f>VLOOKUP(C55,'RJ ATTENDENCE SHEET'!$C:$DM,('DATA '!$AA$3+84),0)</f>
        <v>0</v>
      </c>
      <c r="H55" s="208">
        <v>48</v>
      </c>
      <c r="I55" s="216" t="str">
        <f>VLOOKUP(J55,'DATA '!$O:$P,2,0)</f>
        <v/>
      </c>
      <c r="J55" s="43" t="str">
        <f>'DATA '!O50</f>
        <v/>
      </c>
      <c r="K55" s="208" t="str">
        <f>IFERROR(VLOOKUP(J55,'RJ ATTENDENCE SHEET'!$C:$CG,('DATA '!$AA$3+21+('DATA '!$AA$3-1)),0),"")</f>
        <v/>
      </c>
      <c r="L55" s="208" t="str">
        <f>IFERROR(VLOOKUP(J55,'RJ ATTENDENCE SHEET'!$C:$CG,('DATA '!$AA$3+22+('DATA '!$AA$3-1)),0),"")</f>
        <v/>
      </c>
      <c r="M55" s="208" t="str">
        <f>IFERROR(VLOOKUP(J55,'RJ ATTENDENCE SHEET'!$C:$DM,('DATA '!$AA$3+84),0),"")</f>
        <v/>
      </c>
    </row>
    <row r="56" spans="1:14" ht="15.75">
      <c r="A56" s="213">
        <v>5</v>
      </c>
      <c r="B56" s="211" t="str">
        <f>VLOOKUP(C56,'DATA '!$K:$L,2,0)</f>
        <v>DRIVER</v>
      </c>
      <c r="C56" s="212" t="str">
        <f>'DATA '!K7</f>
        <v xml:space="preserve">FARUK ALI </v>
      </c>
      <c r="D56" s="213" t="str">
        <f>IFERROR(VLOOKUP(C56,'RJ ATTENDENCE SHEET'!$C:$CG,('DATA '!$AA$3+21+('DATA '!$AA$3-1)),0),"")</f>
        <v>P</v>
      </c>
      <c r="E56" s="213" t="str">
        <f>IFERROR(VLOOKUP(C56,'RJ ATTENDENCE SHEET'!$C:$CG,('DATA '!$AA$3+22+('DATA '!$AA$3-1)),0),"")</f>
        <v>P</v>
      </c>
      <c r="F56" s="213">
        <f>VLOOKUP(C56,'RJ ATTENDENCE SHEET'!$C:$DM,('DATA '!$AA$3+84),0)</f>
        <v>1</v>
      </c>
      <c r="H56" s="208">
        <v>49</v>
      </c>
      <c r="I56" s="216" t="str">
        <f>VLOOKUP(J56,'DATA '!$O:$P,2,0)</f>
        <v/>
      </c>
      <c r="J56" s="43" t="str">
        <f>'DATA '!O51</f>
        <v/>
      </c>
      <c r="K56" s="208" t="str">
        <f>IFERROR(VLOOKUP(J56,'RJ ATTENDENCE SHEET'!$C:$CG,('DATA '!$AA$3+21+('DATA '!$AA$3-1)),0),"")</f>
        <v/>
      </c>
      <c r="L56" s="208" t="str">
        <f>IFERROR(VLOOKUP(J56,'RJ ATTENDENCE SHEET'!$C:$CG,('DATA '!$AA$3+22+('DATA '!$AA$3-1)),0),"")</f>
        <v/>
      </c>
      <c r="M56" s="208" t="str">
        <f>IFERROR(VLOOKUP(J56,'RJ ATTENDENCE SHEET'!$C:$DM,('DATA '!$AA$3+84),0),"")</f>
        <v/>
      </c>
    </row>
    <row r="57" spans="1:14" ht="15.75">
      <c r="A57" s="213">
        <v>6</v>
      </c>
      <c r="B57" s="211" t="str">
        <f>VLOOKUP(C57,'DATA '!$K:$L,2,0)</f>
        <v>HOPPER</v>
      </c>
      <c r="C57" s="212" t="str">
        <f>'DATA '!K8</f>
        <v>KUTUBUDDIN MOLLA</v>
      </c>
      <c r="D57" s="213" t="str">
        <f>IFERROR(VLOOKUP(C57,'RJ ATTENDENCE SHEET'!$C:$CG,('DATA '!$AA$3+21+('DATA '!$AA$3-1)),0),"")</f>
        <v>P</v>
      </c>
      <c r="E57" s="213" t="str">
        <f>IFERROR(VLOOKUP(C57,'RJ ATTENDENCE SHEET'!$C:$CG,('DATA '!$AA$3+22+('DATA '!$AA$3-1)),0),"")</f>
        <v>A</v>
      </c>
      <c r="F57" s="213">
        <f>VLOOKUP(C57,'RJ ATTENDENCE SHEET'!$C:$DM,('DATA '!$AA$3+84),0)</f>
        <v>0</v>
      </c>
      <c r="H57" s="208">
        <v>50</v>
      </c>
      <c r="I57" s="216" t="str">
        <f>VLOOKUP(J57,'DATA '!$O:$P,2,0)</f>
        <v/>
      </c>
      <c r="J57" s="43" t="str">
        <f>'DATA '!O52</f>
        <v/>
      </c>
      <c r="K57" s="208" t="str">
        <f>IFERROR(VLOOKUP(J57,'RJ ATTENDENCE SHEET'!$C:$CG,('DATA '!$AA$3+21+('DATA '!$AA$3-1)),0),"")</f>
        <v/>
      </c>
      <c r="L57" s="208" t="str">
        <f>IFERROR(VLOOKUP(J57,'RJ ATTENDENCE SHEET'!$C:$CG,('DATA '!$AA$3+22+('DATA '!$AA$3-1)),0),"")</f>
        <v/>
      </c>
      <c r="M57" s="208" t="str">
        <f>IFERROR(VLOOKUP(J57,'RJ ATTENDENCE SHEET'!$C:$DM,('DATA '!$AA$3+84),0),"")</f>
        <v/>
      </c>
    </row>
    <row r="58" spans="1:14" ht="15.75">
      <c r="A58" s="211">
        <v>7</v>
      </c>
      <c r="B58" s="211" t="str">
        <f>VLOOKUP(C58,'DATA '!$K:$L,2,0)</f>
        <v>OTHERS</v>
      </c>
      <c r="C58" s="212" t="str">
        <f>'DATA '!K9</f>
        <v>MD. SAMIM AKRAM</v>
      </c>
      <c r="D58" s="213" t="str">
        <f>IFERROR(VLOOKUP(C58,'RJ ATTENDENCE SHEET'!$C:$CG,('DATA '!$AA$3+21+('DATA '!$AA$3-1)),0),"")</f>
        <v>P</v>
      </c>
      <c r="E58" s="213" t="str">
        <f>IFERROR(VLOOKUP(C58,'RJ ATTENDENCE SHEET'!$C:$CG,('DATA '!$AA$3+22+('DATA '!$AA$3-1)),0),"")</f>
        <v>A</v>
      </c>
      <c r="F58" s="213">
        <f>VLOOKUP(C58,'RJ ATTENDENCE SHEET'!$C:$DM,('DATA '!$AA$3+84),0)</f>
        <v>0</v>
      </c>
      <c r="H58" s="208">
        <v>51</v>
      </c>
      <c r="I58" s="216" t="str">
        <f>VLOOKUP(J58,'DATA '!$O:$P,2,0)</f>
        <v/>
      </c>
      <c r="J58" s="43" t="str">
        <f>'DATA '!O53</f>
        <v/>
      </c>
      <c r="K58" s="208" t="str">
        <f>IFERROR(VLOOKUP(J58,'RJ ATTENDENCE SHEET'!$C:$CG,('DATA '!$AA$3+21+('DATA '!$AA$3-1)),0),"")</f>
        <v/>
      </c>
      <c r="L58" s="208" t="str">
        <f>IFERROR(VLOOKUP(J58,'RJ ATTENDENCE SHEET'!$C:$CG,('DATA '!$AA$3+22+('DATA '!$AA$3-1)),0),"")</f>
        <v/>
      </c>
      <c r="M58" s="208" t="str">
        <f>IFERROR(VLOOKUP(J58,'RJ ATTENDENCE SHEET'!$C:$DM,('DATA '!$AA$3+84),0),"")</f>
        <v/>
      </c>
    </row>
    <row r="59" spans="1:14" ht="15.75">
      <c r="A59" s="213">
        <v>8</v>
      </c>
      <c r="B59" s="211" t="str">
        <f>VLOOKUP(C59,'DATA '!$K:$L,2,0)</f>
        <v>DRIVER</v>
      </c>
      <c r="C59" s="212" t="str">
        <f>'DATA '!K10</f>
        <v>MOTIAR RAHAMAN</v>
      </c>
      <c r="D59" s="213" t="str">
        <f>IFERROR(VLOOKUP(C59,'RJ ATTENDENCE SHEET'!$C:$CG,('DATA '!$AA$3+21+('DATA '!$AA$3-1)),0),"")</f>
        <v>P</v>
      </c>
      <c r="E59" s="213" t="str">
        <f>IFERROR(VLOOKUP(C59,'RJ ATTENDENCE SHEET'!$C:$CG,('DATA '!$AA$3+22+('DATA '!$AA$3-1)),0),"")</f>
        <v>P</v>
      </c>
      <c r="F59" s="213">
        <f>VLOOKUP(C59,'RJ ATTENDENCE SHEET'!$C:$DM,('DATA '!$AA$3+84),0)</f>
        <v>0</v>
      </c>
      <c r="H59" s="208">
        <v>52</v>
      </c>
      <c r="I59" s="216" t="str">
        <f>VLOOKUP(J59,'DATA '!$O:$P,2,0)</f>
        <v/>
      </c>
      <c r="J59" s="43" t="str">
        <f>'DATA '!O54</f>
        <v/>
      </c>
      <c r="K59" s="208" t="str">
        <f>IFERROR(VLOOKUP(J59,'RJ ATTENDENCE SHEET'!$C:$CG,('DATA '!$AA$3+21+('DATA '!$AA$3-1)),0),"")</f>
        <v/>
      </c>
      <c r="L59" s="208" t="str">
        <f>IFERROR(VLOOKUP(J59,'RJ ATTENDENCE SHEET'!$C:$CG,('DATA '!$AA$3+22+('DATA '!$AA$3-1)),0),"")</f>
        <v/>
      </c>
      <c r="M59" s="208" t="str">
        <f>IFERROR(VLOOKUP(J59,'RJ ATTENDENCE SHEET'!$C:$DM,('DATA '!$AA$3+84),0),"")</f>
        <v/>
      </c>
    </row>
    <row r="60" spans="1:14" ht="15.75">
      <c r="A60" s="213">
        <v>9</v>
      </c>
      <c r="B60" s="211" t="str">
        <f>VLOOKUP(C60,'DATA '!$K:$L,2,0)</f>
        <v>DRIVER</v>
      </c>
      <c r="C60" s="212" t="str">
        <f>'DATA '!K11</f>
        <v>MOKSHED ALI</v>
      </c>
      <c r="D60" s="213" t="str">
        <f>IFERROR(VLOOKUP(C60,'RJ ATTENDENCE SHEET'!$C:$CG,('DATA '!$AA$3+21+('DATA '!$AA$3-1)),0),"")</f>
        <v>P</v>
      </c>
      <c r="E60" s="213" t="str">
        <f>IFERROR(VLOOKUP(C60,'RJ ATTENDENCE SHEET'!$C:$CG,('DATA '!$AA$3+22+('DATA '!$AA$3-1)),0),"")</f>
        <v>P</v>
      </c>
      <c r="F60" s="213">
        <f>VLOOKUP(C60,'RJ ATTENDENCE SHEET'!$C:$DM,('DATA '!$AA$3+84),0)</f>
        <v>0</v>
      </c>
      <c r="H60" s="208">
        <v>53</v>
      </c>
      <c r="I60" s="216" t="str">
        <f>VLOOKUP(J60,'DATA '!$O:$P,2,0)</f>
        <v/>
      </c>
      <c r="J60" s="43" t="str">
        <f>'DATA '!O55</f>
        <v/>
      </c>
      <c r="K60" s="208" t="str">
        <f>IFERROR(VLOOKUP(J60,'RJ ATTENDENCE SHEET'!$C:$CG,('DATA '!$AA$3+21+('DATA '!$AA$3-1)),0),"")</f>
        <v/>
      </c>
      <c r="L60" s="208" t="str">
        <f>IFERROR(VLOOKUP(J60,'RJ ATTENDENCE SHEET'!$C:$CG,('DATA '!$AA$3+22+('DATA '!$AA$3-1)),0),"")</f>
        <v/>
      </c>
      <c r="M60" s="208" t="str">
        <f>IFERROR(VLOOKUP(J60,'RJ ATTENDENCE SHEET'!$C:$DM,('DATA '!$AA$3+84),0),"")</f>
        <v/>
      </c>
    </row>
    <row r="61" spans="1:14" ht="15.75">
      <c r="A61" s="211">
        <v>10</v>
      </c>
      <c r="B61" s="211" t="str">
        <f>VLOOKUP(C61,'DATA '!$K:$L,2,0)</f>
        <v>DRIVER</v>
      </c>
      <c r="C61" s="212" t="str">
        <f>'DATA '!K12</f>
        <v xml:space="preserve">SAMSER ALI </v>
      </c>
      <c r="D61" s="213" t="str">
        <f>IFERROR(VLOOKUP(C61,'RJ ATTENDENCE SHEET'!$C:$CG,('DATA '!$AA$3+21+('DATA '!$AA$3-1)),0),"")</f>
        <v>P</v>
      </c>
      <c r="E61" s="213" t="str">
        <f>IFERROR(VLOOKUP(C61,'RJ ATTENDENCE SHEET'!$C:$CG,('DATA '!$AA$3+22+('DATA '!$AA$3-1)),0),"")</f>
        <v>A</v>
      </c>
      <c r="F61" s="213">
        <f>VLOOKUP(C61,'RJ ATTENDENCE SHEET'!$C:$DM,('DATA '!$AA$3+84),0)</f>
        <v>0</v>
      </c>
      <c r="H61" s="208">
        <v>54</v>
      </c>
      <c r="I61" s="216" t="str">
        <f>VLOOKUP(J61,'DATA '!$O:$P,2,0)</f>
        <v/>
      </c>
      <c r="J61" s="43" t="str">
        <f>'DATA '!O56</f>
        <v/>
      </c>
      <c r="K61" s="208" t="str">
        <f>IFERROR(VLOOKUP(J61,'RJ ATTENDENCE SHEET'!$C:$CG,('DATA '!$AA$3+21+('DATA '!$AA$3-1)),0),"")</f>
        <v/>
      </c>
      <c r="L61" s="208" t="str">
        <f>IFERROR(VLOOKUP(J61,'RJ ATTENDENCE SHEET'!$C:$CG,('DATA '!$AA$3+22+('DATA '!$AA$3-1)),0),"")</f>
        <v/>
      </c>
      <c r="M61" s="208" t="str">
        <f>IFERROR(VLOOKUP(J61,'RJ ATTENDENCE SHEET'!$C:$DM,('DATA '!$AA$3+84),0),"")</f>
        <v/>
      </c>
    </row>
    <row r="62" spans="1:14" ht="15.75">
      <c r="A62" s="213">
        <v>11</v>
      </c>
      <c r="B62" s="211" t="str">
        <f>VLOOKUP(C62,'DATA '!$K:$L,2,0)</f>
        <v>DRIVER</v>
      </c>
      <c r="C62" s="212" t="str">
        <f>'DATA '!K13</f>
        <v>SHANTI  MONDAL</v>
      </c>
      <c r="D62" s="213" t="str">
        <f>IFERROR(VLOOKUP(C62,'RJ ATTENDENCE SHEET'!$C:$CG,('DATA '!$AA$3+21+('DATA '!$AA$3-1)),0),"")</f>
        <v>P</v>
      </c>
      <c r="E62" s="213" t="str">
        <f>IFERROR(VLOOKUP(C62,'RJ ATTENDENCE SHEET'!$C:$CG,('DATA '!$AA$3+22+('DATA '!$AA$3-1)),0),"")</f>
        <v>P</v>
      </c>
      <c r="F62" s="213">
        <f>VLOOKUP(C62,'RJ ATTENDENCE SHEET'!$C:$DM,('DATA '!$AA$3+84),0)</f>
        <v>0</v>
      </c>
      <c r="H62" s="208">
        <v>55</v>
      </c>
      <c r="I62" s="216" t="str">
        <f>VLOOKUP(J62,'DATA '!$O:$P,2,0)</f>
        <v/>
      </c>
      <c r="J62" s="43" t="str">
        <f>'DATA '!O57</f>
        <v/>
      </c>
      <c r="K62" s="208" t="str">
        <f>IFERROR(VLOOKUP(J62,'RJ ATTENDENCE SHEET'!$C:$CG,('DATA '!$AA$3+21+('DATA '!$AA$3-1)),0),"")</f>
        <v/>
      </c>
      <c r="L62" s="208" t="str">
        <f>IFERROR(VLOOKUP(J62,'RJ ATTENDENCE SHEET'!$C:$CG,('DATA '!$AA$3+22+('DATA '!$AA$3-1)),0),"")</f>
        <v/>
      </c>
      <c r="M62" s="208" t="str">
        <f>IFERROR(VLOOKUP(J62,'RJ ATTENDENCE SHEET'!$C:$DM,('DATA '!$AA$3+84),0),"")</f>
        <v/>
      </c>
    </row>
    <row r="63" spans="1:14" ht="15.75">
      <c r="A63" s="213">
        <v>12</v>
      </c>
      <c r="B63" s="211" t="str">
        <f>VLOOKUP(C63,'DATA '!$K:$L,2,0)</f>
        <v>DRIVER</v>
      </c>
      <c r="C63" s="212" t="str">
        <f>'DATA '!K14</f>
        <v xml:space="preserve">SIRAJUL  MOLLA  </v>
      </c>
      <c r="D63" s="213" t="str">
        <f>IFERROR(VLOOKUP(C63,'RJ ATTENDENCE SHEET'!$C:$CG,('DATA '!$AA$3+21+('DATA '!$AA$3-1)),0),"")</f>
        <v>A</v>
      </c>
      <c r="E63" s="213" t="str">
        <f>IFERROR(VLOOKUP(C63,'RJ ATTENDENCE SHEET'!$C:$CG,('DATA '!$AA$3+22+('DATA '!$AA$3-1)),0),"")</f>
        <v>P</v>
      </c>
      <c r="F63" s="213">
        <f>VLOOKUP(C63,'RJ ATTENDENCE SHEET'!$C:$DM,('DATA '!$AA$3+84),0)</f>
        <v>0</v>
      </c>
      <c r="H63" s="208">
        <v>56</v>
      </c>
      <c r="I63" s="216" t="str">
        <f>VLOOKUP(J63,'DATA '!$O:$P,2,0)</f>
        <v/>
      </c>
      <c r="J63" s="43" t="str">
        <f>'DATA '!O58</f>
        <v/>
      </c>
      <c r="K63" s="208" t="str">
        <f>IFERROR(VLOOKUP(J63,'RJ ATTENDENCE SHEET'!$C:$CG,('DATA '!$AA$3+21+('DATA '!$AA$3-1)),0),"")</f>
        <v/>
      </c>
      <c r="L63" s="208" t="str">
        <f>IFERROR(VLOOKUP(J63,'RJ ATTENDENCE SHEET'!$C:$CG,('DATA '!$AA$3+22+('DATA '!$AA$3-1)),0),"")</f>
        <v/>
      </c>
      <c r="M63" s="208" t="str">
        <f>IFERROR(VLOOKUP(J63,'RJ ATTENDENCE SHEET'!$C:$DM,('DATA '!$AA$3+84),0),"")</f>
        <v/>
      </c>
    </row>
    <row r="64" spans="1:14" ht="15.75">
      <c r="A64" s="211">
        <v>13</v>
      </c>
      <c r="B64" s="211" t="str">
        <f>VLOOKUP(C64,'DATA '!$K:$L,2,0)</f>
        <v>HELPER</v>
      </c>
      <c r="C64" s="212" t="str">
        <f>'DATA '!K15</f>
        <v>SK. ANARUL ISLAM</v>
      </c>
      <c r="D64" s="213" t="str">
        <f>IFERROR(VLOOKUP(C64,'RJ ATTENDENCE SHEET'!$C:$CG,('DATA '!$AA$3+21+('DATA '!$AA$3-1)),0),"")</f>
        <v>P</v>
      </c>
      <c r="E64" s="213" t="str">
        <f>IFERROR(VLOOKUP(C64,'RJ ATTENDENCE SHEET'!$C:$CG,('DATA '!$AA$3+22+('DATA '!$AA$3-1)),0),"")</f>
        <v>A</v>
      </c>
      <c r="F64" s="213">
        <f>VLOOKUP(C64,'RJ ATTENDENCE SHEET'!$C:$DM,('DATA '!$AA$3+84),0)</f>
        <v>0</v>
      </c>
      <c r="H64" s="208">
        <v>57</v>
      </c>
      <c r="I64" s="216" t="str">
        <f>VLOOKUP(J64,'DATA '!$O:$P,2,0)</f>
        <v/>
      </c>
      <c r="J64" s="43" t="str">
        <f>'DATA '!O59</f>
        <v/>
      </c>
      <c r="K64" s="208" t="str">
        <f>IFERROR(VLOOKUP(J64,'RJ ATTENDENCE SHEET'!$C:$CG,('DATA '!$AA$3+21+('DATA '!$AA$3-1)),0),"")</f>
        <v/>
      </c>
      <c r="L64" s="208" t="str">
        <f>IFERROR(VLOOKUP(J64,'RJ ATTENDENCE SHEET'!$C:$CG,('DATA '!$AA$3+22+('DATA '!$AA$3-1)),0),"")</f>
        <v/>
      </c>
      <c r="M64" s="208" t="str">
        <f>IFERROR(VLOOKUP(J64,'RJ ATTENDENCE SHEET'!$C:$DM,('DATA '!$AA$3+84),0),"")</f>
        <v/>
      </c>
    </row>
    <row r="65" spans="1:13" ht="15.75">
      <c r="A65" s="213">
        <v>14</v>
      </c>
      <c r="B65" s="211" t="str">
        <f>VLOOKUP(C65,'DATA '!$K:$L,2,0)</f>
        <v>HOPPER</v>
      </c>
      <c r="C65" s="212" t="str">
        <f>'DATA '!K16</f>
        <v>SRISTI DHAR MONDAL</v>
      </c>
      <c r="D65" s="213" t="str">
        <f>IFERROR(VLOOKUP(C65,'RJ ATTENDENCE SHEET'!$C:$CG,('DATA '!$AA$3+21+('DATA '!$AA$3-1)),0),"")</f>
        <v>P</v>
      </c>
      <c r="E65" s="213" t="str">
        <f>IFERROR(VLOOKUP(C65,'RJ ATTENDENCE SHEET'!$C:$CG,('DATA '!$AA$3+22+('DATA '!$AA$3-1)),0),"")</f>
        <v>A</v>
      </c>
      <c r="F65" s="213">
        <f>VLOOKUP(C65,'RJ ATTENDENCE SHEET'!$C:$DM,('DATA '!$AA$3+84),0)</f>
        <v>0</v>
      </c>
      <c r="H65" s="208">
        <v>58</v>
      </c>
      <c r="I65" s="216" t="str">
        <f>VLOOKUP(J65,'DATA '!$O:$P,2,0)</f>
        <v/>
      </c>
      <c r="J65" s="43" t="str">
        <f>'DATA '!O60</f>
        <v/>
      </c>
      <c r="K65" s="208" t="str">
        <f>IFERROR(VLOOKUP(J65,'RJ ATTENDENCE SHEET'!$C:$CG,('DATA '!$AA$3+21+('DATA '!$AA$3-1)),0),"")</f>
        <v/>
      </c>
      <c r="L65" s="208" t="str">
        <f>IFERROR(VLOOKUP(J65,'RJ ATTENDENCE SHEET'!$C:$CG,('DATA '!$AA$3+22+('DATA '!$AA$3-1)),0),"")</f>
        <v/>
      </c>
      <c r="M65" s="208" t="str">
        <f>IFERROR(VLOOKUP(J65,'RJ ATTENDENCE SHEET'!$C:$DM,('DATA '!$AA$3+84),0),"")</f>
        <v/>
      </c>
    </row>
    <row r="66" spans="1:13" ht="15.75">
      <c r="A66" s="213">
        <v>15</v>
      </c>
      <c r="B66" s="211" t="str">
        <f>VLOOKUP(C66,'DATA '!$K:$L,2,0)</f>
        <v>HOPPER</v>
      </c>
      <c r="C66" s="212" t="str">
        <f>'DATA '!K17</f>
        <v>SUDHAN MONDAL</v>
      </c>
      <c r="D66" s="213" t="str">
        <f>IFERROR(VLOOKUP(C66,'RJ ATTENDENCE SHEET'!$C:$CG,('DATA '!$AA$3+21+('DATA '!$AA$3-1)),0),"")</f>
        <v>P</v>
      </c>
      <c r="E66" s="213" t="str">
        <f>IFERROR(VLOOKUP(C66,'RJ ATTENDENCE SHEET'!$C:$CG,('DATA '!$AA$3+22+('DATA '!$AA$3-1)),0),"")</f>
        <v>A</v>
      </c>
      <c r="F66" s="213">
        <f>VLOOKUP(C66,'RJ ATTENDENCE SHEET'!$C:$DM,('DATA '!$AA$3+84),0)</f>
        <v>0</v>
      </c>
      <c r="H66" s="208">
        <v>59</v>
      </c>
      <c r="I66" s="216" t="str">
        <f>VLOOKUP(J66,'DATA '!$O:$P,2,0)</f>
        <v/>
      </c>
      <c r="J66" s="43" t="str">
        <f>'DATA '!O61</f>
        <v/>
      </c>
      <c r="K66" s="208" t="str">
        <f>IFERROR(VLOOKUP(J66,'RJ ATTENDENCE SHEET'!$C:$CG,('DATA '!$AA$3+21+('DATA '!$AA$3-1)),0),"")</f>
        <v/>
      </c>
      <c r="L66" s="208" t="str">
        <f>IFERROR(VLOOKUP(J66,'RJ ATTENDENCE SHEET'!$C:$CG,('DATA '!$AA$3+22+('DATA '!$AA$3-1)),0),"")</f>
        <v/>
      </c>
      <c r="M66" s="208" t="str">
        <f>IFERROR(VLOOKUP(J66,'RJ ATTENDENCE SHEET'!$C:$DM,('DATA '!$AA$3+84),0),"")</f>
        <v/>
      </c>
    </row>
    <row r="67" spans="1:13" ht="15.75">
      <c r="A67" s="211">
        <v>16</v>
      </c>
      <c r="B67" s="211" t="str">
        <f>VLOOKUP(C67,'DATA '!$K:$L,2,0)</f>
        <v>LAB</v>
      </c>
      <c r="C67" s="212" t="str">
        <f>'DATA '!K18</f>
        <v>SWAPAN MONDAL</v>
      </c>
      <c r="D67" s="213" t="str">
        <f>IFERROR(VLOOKUP(C67,'RJ ATTENDENCE SHEET'!$C:$CG,('DATA '!$AA$3+21+('DATA '!$AA$3-1)),0),"")</f>
        <v>P</v>
      </c>
      <c r="E67" s="213" t="str">
        <f>IFERROR(VLOOKUP(C67,'RJ ATTENDENCE SHEET'!$C:$CG,('DATA '!$AA$3+22+('DATA '!$AA$3-1)),0),"")</f>
        <v>A</v>
      </c>
      <c r="F67" s="213">
        <f>VLOOKUP(C67,'RJ ATTENDENCE SHEET'!$C:$DM,('DATA '!$AA$3+84),0)</f>
        <v>0</v>
      </c>
      <c r="H67" s="208">
        <v>60</v>
      </c>
      <c r="I67" s="216" t="str">
        <f>VLOOKUP(J67,'DATA '!$O:$P,2,0)</f>
        <v/>
      </c>
      <c r="J67" s="43" t="str">
        <f>'DATA '!O62</f>
        <v/>
      </c>
      <c r="K67" s="208" t="str">
        <f>IFERROR(VLOOKUP(J67,'RJ ATTENDENCE SHEET'!$C:$CG,('DATA '!$AA$3+21+('DATA '!$AA$3-1)),0),"")</f>
        <v/>
      </c>
      <c r="L67" s="208" t="str">
        <f>IFERROR(VLOOKUP(J67,'RJ ATTENDENCE SHEET'!$C:$CG,('DATA '!$AA$3+22+('DATA '!$AA$3-1)),0),"")</f>
        <v/>
      </c>
      <c r="M67" s="208" t="str">
        <f>IFERROR(VLOOKUP(J67,'RJ ATTENDENCE SHEET'!$C:$DM,('DATA '!$AA$3+84),0),"")</f>
        <v/>
      </c>
    </row>
    <row r="68" spans="1:13" ht="15.75">
      <c r="A68" s="213">
        <v>17</v>
      </c>
      <c r="B68" s="211" t="str">
        <f>VLOOKUP(C68,'DATA '!$K:$L,2,0)</f>
        <v>DRIVER</v>
      </c>
      <c r="C68" s="212" t="str">
        <f>'DATA '!K19</f>
        <v>MOSIAR MOLLA</v>
      </c>
      <c r="D68" s="213" t="str">
        <f>IFERROR(VLOOKUP(C68,'RJ ATTENDENCE SHEET'!$C:$CG,('DATA '!$AA$3+21+('DATA '!$AA$3-1)),0),"")</f>
        <v>A</v>
      </c>
      <c r="E68" s="213" t="str">
        <f>IFERROR(VLOOKUP(C68,'RJ ATTENDENCE SHEET'!$C:$CG,('DATA '!$AA$3+22+('DATA '!$AA$3-1)),0),"")</f>
        <v>A</v>
      </c>
      <c r="F68" s="213">
        <f>VLOOKUP(C68,'RJ ATTENDENCE SHEET'!$C:$DM,('DATA '!$AA$3+84),0)</f>
        <v>0</v>
      </c>
      <c r="H68" s="208">
        <v>61</v>
      </c>
      <c r="I68" s="216" t="str">
        <f>VLOOKUP(J68,'DATA '!$O:$P,2,0)</f>
        <v/>
      </c>
      <c r="J68" s="43" t="str">
        <f>'DATA '!O63</f>
        <v/>
      </c>
      <c r="K68" s="208" t="str">
        <f>IFERROR(VLOOKUP(J68,'RJ ATTENDENCE SHEET'!$C:$CG,('DATA '!$AA$3+21+('DATA '!$AA$3-1)),0),"")</f>
        <v/>
      </c>
      <c r="L68" s="208" t="str">
        <f>IFERROR(VLOOKUP(J68,'RJ ATTENDENCE SHEET'!$C:$CG,('DATA '!$AA$3+22+('DATA '!$AA$3-1)),0),"")</f>
        <v/>
      </c>
      <c r="M68" s="208" t="str">
        <f>IFERROR(VLOOKUP(J68,'RJ ATTENDENCE SHEET'!$C:$DM,('DATA '!$AA$3+84),0),"")</f>
        <v/>
      </c>
    </row>
    <row r="69" spans="1:13" ht="15.75">
      <c r="A69" s="213">
        <v>18</v>
      </c>
      <c r="B69" s="211" t="str">
        <f>VLOOKUP(C69,'DATA '!$K:$L,2,0)</f>
        <v>DRIVER</v>
      </c>
      <c r="C69" s="212" t="str">
        <f>'DATA '!K20</f>
        <v>ISRAFIL DHALI</v>
      </c>
      <c r="D69" s="213" t="str">
        <f>IFERROR(VLOOKUP(C69,'RJ ATTENDENCE SHEET'!$C:$CG,('DATA '!$AA$3+21+('DATA '!$AA$3-1)),0),"")</f>
        <v>P</v>
      </c>
      <c r="E69" s="213" t="str">
        <f>IFERROR(VLOOKUP(C69,'RJ ATTENDENCE SHEET'!$C:$CG,('DATA '!$AA$3+22+('DATA '!$AA$3-1)),0),"")</f>
        <v>P</v>
      </c>
      <c r="F69" s="213">
        <f>VLOOKUP(C69,'RJ ATTENDENCE SHEET'!$C:$DM,('DATA '!$AA$3+84),0)</f>
        <v>0</v>
      </c>
      <c r="H69" s="208">
        <v>62</v>
      </c>
      <c r="I69" s="216" t="str">
        <f>VLOOKUP(J69,'DATA '!$O:$P,2,0)</f>
        <v/>
      </c>
      <c r="J69" s="43" t="str">
        <f>'DATA '!O64</f>
        <v/>
      </c>
      <c r="K69" s="208" t="str">
        <f>IFERROR(VLOOKUP(J69,'RJ ATTENDENCE SHEET'!$C:$CG,('DATA '!$AA$3+21+('DATA '!$AA$3-1)),0),"")</f>
        <v/>
      </c>
      <c r="L69" s="208" t="str">
        <f>IFERROR(VLOOKUP(J69,'RJ ATTENDENCE SHEET'!$C:$CG,('DATA '!$AA$3+22+('DATA '!$AA$3-1)),0),"")</f>
        <v/>
      </c>
      <c r="M69" s="208" t="str">
        <f>IFERROR(VLOOKUP(J69,'RJ ATTENDENCE SHEET'!$C:$DM,('DATA '!$AA$3+84),0),"")</f>
        <v/>
      </c>
    </row>
    <row r="70" spans="1:13" ht="15.75">
      <c r="A70" s="211">
        <v>19</v>
      </c>
      <c r="B70" s="211" t="str">
        <f>VLOOKUP(C70,'DATA '!$K:$L,2,0)</f>
        <v>DRIVER</v>
      </c>
      <c r="C70" s="212" t="str">
        <f>'DATA '!K21</f>
        <v>ROUF MONDAL</v>
      </c>
      <c r="D70" s="213" t="str">
        <f>IFERROR(VLOOKUP(C70,'RJ ATTENDENCE SHEET'!$C:$CG,('DATA '!$AA$3+21+('DATA '!$AA$3-1)),0),"")</f>
        <v>P</v>
      </c>
      <c r="E70" s="213" t="str">
        <f>IFERROR(VLOOKUP(C70,'RJ ATTENDENCE SHEET'!$C:$CG,('DATA '!$AA$3+22+('DATA '!$AA$3-1)),0),"")</f>
        <v>A</v>
      </c>
      <c r="F70" s="213">
        <f>VLOOKUP(C70,'RJ ATTENDENCE SHEET'!$C:$DM,('DATA '!$AA$3+84),0)</f>
        <v>0</v>
      </c>
      <c r="H70" s="208">
        <v>63</v>
      </c>
      <c r="I70" s="216" t="str">
        <f>VLOOKUP(J70,'DATA '!$O:$P,2,0)</f>
        <v/>
      </c>
      <c r="J70" s="43" t="str">
        <f>'DATA '!O65</f>
        <v/>
      </c>
      <c r="K70" s="208" t="str">
        <f>IFERROR(VLOOKUP(J70,'RJ ATTENDENCE SHEET'!$C:$CG,('DATA '!$AA$3+21+('DATA '!$AA$3-1)),0),"")</f>
        <v/>
      </c>
      <c r="L70" s="208" t="str">
        <f>IFERROR(VLOOKUP(J70,'RJ ATTENDENCE SHEET'!$C:$CG,('DATA '!$AA$3+22+('DATA '!$AA$3-1)),0),"")</f>
        <v/>
      </c>
      <c r="M70" s="208" t="str">
        <f>IFERROR(VLOOKUP(J70,'RJ ATTENDENCE SHEET'!$C:$DM,('DATA '!$AA$3+84),0),"")</f>
        <v/>
      </c>
    </row>
    <row r="71" spans="1:13" ht="15.75">
      <c r="A71" s="213">
        <v>20</v>
      </c>
      <c r="B71" s="211" t="str">
        <f>VLOOKUP(C71,'DATA '!$K:$L,2,0)</f>
        <v>LAB</v>
      </c>
      <c r="C71" s="212" t="str">
        <f>'DATA '!K22</f>
        <v>KANAK JANA</v>
      </c>
      <c r="D71" s="213" t="str">
        <f>IFERROR(VLOOKUP(C71,'RJ ATTENDENCE SHEET'!$C:$CG,('DATA '!$AA$3+21+('DATA '!$AA$3-1)),0),"")</f>
        <v>A</v>
      </c>
      <c r="E71" s="213" t="str">
        <f>IFERROR(VLOOKUP(C71,'RJ ATTENDENCE SHEET'!$C:$CG,('DATA '!$AA$3+22+('DATA '!$AA$3-1)),0),"")</f>
        <v>P</v>
      </c>
      <c r="F71" s="213">
        <f>VLOOKUP(C71,'RJ ATTENDENCE SHEET'!$C:$DM,('DATA '!$AA$3+84),0)</f>
        <v>0</v>
      </c>
      <c r="H71" s="208">
        <v>64</v>
      </c>
      <c r="I71" s="216" t="str">
        <f>VLOOKUP(J71,'DATA '!$O:$P,2,0)</f>
        <v/>
      </c>
      <c r="J71" s="43" t="str">
        <f>'DATA '!O66</f>
        <v/>
      </c>
      <c r="K71" s="208" t="str">
        <f>IFERROR(VLOOKUP(J71,'RJ ATTENDENCE SHEET'!$C:$CG,('DATA '!$AA$3+21+('DATA '!$AA$3-1)),0),"")</f>
        <v/>
      </c>
      <c r="L71" s="208" t="str">
        <f>IFERROR(VLOOKUP(J71,'RJ ATTENDENCE SHEET'!$C:$CG,('DATA '!$AA$3+22+('DATA '!$AA$3-1)),0),"")</f>
        <v/>
      </c>
      <c r="M71" s="208" t="str">
        <f>IFERROR(VLOOKUP(J71,'RJ ATTENDENCE SHEET'!$C:$DM,('DATA '!$AA$3+84),0),"")</f>
        <v/>
      </c>
    </row>
    <row r="72" spans="1:13" ht="15.75">
      <c r="A72" s="213">
        <v>21</v>
      </c>
      <c r="B72" s="211" t="str">
        <f>VLOOKUP(C72,'DATA '!$K:$L,2,0)</f>
        <v>OTHERS</v>
      </c>
      <c r="C72" s="212" t="str">
        <f>'DATA '!K23</f>
        <v>SOUMEN GARAI</v>
      </c>
      <c r="D72" s="213" t="str">
        <f>IFERROR(VLOOKUP(C72,'RJ ATTENDENCE SHEET'!$C:$CG,('DATA '!$AA$3+21+('DATA '!$AA$3-1)),0),"")</f>
        <v>P</v>
      </c>
      <c r="E72" s="213" t="str">
        <f>IFERROR(VLOOKUP(C72,'RJ ATTENDENCE SHEET'!$C:$CG,('DATA '!$AA$3+22+('DATA '!$AA$3-1)),0),"")</f>
        <v>A</v>
      </c>
      <c r="F72" s="213">
        <f>VLOOKUP(C72,'RJ ATTENDENCE SHEET'!$C:$DM,('DATA '!$AA$3+84),0)</f>
        <v>0</v>
      </c>
      <c r="H72" s="208">
        <v>65</v>
      </c>
      <c r="I72" s="216" t="str">
        <f>VLOOKUP(J72,'DATA '!$O:$P,2,0)</f>
        <v/>
      </c>
      <c r="J72" s="43" t="str">
        <f>'DATA '!O67</f>
        <v/>
      </c>
      <c r="K72" s="208" t="str">
        <f>IFERROR(VLOOKUP(J72,'RJ ATTENDENCE SHEET'!$C:$CG,('DATA '!$AA$3+21+('DATA '!$AA$3-1)),0),"")</f>
        <v/>
      </c>
      <c r="L72" s="208" t="str">
        <f>IFERROR(VLOOKUP(J72,'RJ ATTENDENCE SHEET'!$C:$CG,('DATA '!$AA$3+22+('DATA '!$AA$3-1)),0),"")</f>
        <v/>
      </c>
      <c r="M72" s="208" t="str">
        <f>IFERROR(VLOOKUP(J72,'RJ ATTENDENCE SHEET'!$C:$DM,('DATA '!$AA$3+84),0),"")</f>
        <v/>
      </c>
    </row>
    <row r="73" spans="1:13" ht="15.75">
      <c r="A73" s="211">
        <v>22</v>
      </c>
      <c r="B73" s="211" t="str">
        <f>VLOOKUP(C73,'DATA '!$K:$L,2,0)</f>
        <v>DRIVER</v>
      </c>
      <c r="C73" s="212" t="str">
        <f>'DATA '!K24</f>
        <v>ASHOK MONDAL</v>
      </c>
      <c r="D73" s="213" t="str">
        <f>IFERROR(VLOOKUP(C73,'RJ ATTENDENCE SHEET'!$C:$CG,('DATA '!$AA$3+21+('DATA '!$AA$3-1)),0),"")</f>
        <v>A</v>
      </c>
      <c r="E73" s="213" t="str">
        <f>IFERROR(VLOOKUP(C73,'RJ ATTENDENCE SHEET'!$C:$CG,('DATA '!$AA$3+22+('DATA '!$AA$3-1)),0),"")</f>
        <v>P</v>
      </c>
      <c r="F73" s="213">
        <f>VLOOKUP(C73,'RJ ATTENDENCE SHEET'!$C:$DM,('DATA '!$AA$3+84),0)</f>
        <v>0</v>
      </c>
      <c r="H73" s="208">
        <v>66</v>
      </c>
      <c r="I73" s="216" t="str">
        <f>VLOOKUP(J73,'DATA '!$O:$P,2,0)</f>
        <v/>
      </c>
      <c r="J73" s="43" t="str">
        <f>'DATA '!O68</f>
        <v/>
      </c>
      <c r="K73" s="208" t="str">
        <f>IFERROR(VLOOKUP(J73,'RJ ATTENDENCE SHEET'!$C:$CG,('DATA '!$AA$3+21+('DATA '!$AA$3-1)),0),"")</f>
        <v/>
      </c>
      <c r="L73" s="208" t="str">
        <f>IFERROR(VLOOKUP(J73,'RJ ATTENDENCE SHEET'!$C:$CG,('DATA '!$AA$3+22+('DATA '!$AA$3-1)),0),"")</f>
        <v/>
      </c>
      <c r="M73" s="208" t="str">
        <f>IFERROR(VLOOKUP(J73,'RJ ATTENDENCE SHEET'!$C:$DM,('DATA '!$AA$3+84),0),"")</f>
        <v/>
      </c>
    </row>
    <row r="74" spans="1:13" ht="15.75">
      <c r="A74" s="213">
        <v>23</v>
      </c>
      <c r="B74" s="211" t="str">
        <f>VLOOKUP(C74,'DATA '!$K:$L,2,0)</f>
        <v>DRIVER</v>
      </c>
      <c r="C74" s="212" t="str">
        <f>'DATA '!K25</f>
        <v>ANSWAR ALI MOLLA</v>
      </c>
      <c r="D74" s="213" t="str">
        <f>IFERROR(VLOOKUP(C74,'RJ ATTENDENCE SHEET'!$C:$CG,('DATA '!$AA$3+21+('DATA '!$AA$3-1)),0),"")</f>
        <v>P</v>
      </c>
      <c r="E74" s="213" t="str">
        <f>IFERROR(VLOOKUP(C74,'RJ ATTENDENCE SHEET'!$C:$CG,('DATA '!$AA$3+22+('DATA '!$AA$3-1)),0),"")</f>
        <v>A</v>
      </c>
      <c r="F74" s="213">
        <f>VLOOKUP(C74,'RJ ATTENDENCE SHEET'!$C:$DM,('DATA '!$AA$3+84),0)</f>
        <v>0</v>
      </c>
      <c r="H74" s="208">
        <v>67</v>
      </c>
      <c r="I74" s="216" t="str">
        <f>VLOOKUP(J74,'DATA '!$O:$P,2,0)</f>
        <v/>
      </c>
      <c r="J74" s="43" t="str">
        <f>'DATA '!O69</f>
        <v/>
      </c>
      <c r="K74" s="208" t="str">
        <f>IFERROR(VLOOKUP(J74,'RJ ATTENDENCE SHEET'!$C:$CG,('DATA '!$AA$3+21+('DATA '!$AA$3-1)),0),"")</f>
        <v/>
      </c>
      <c r="L74" s="208" t="str">
        <f>IFERROR(VLOOKUP(J74,'RJ ATTENDENCE SHEET'!$C:$CG,('DATA '!$AA$3+22+('DATA '!$AA$3-1)),0),"")</f>
        <v/>
      </c>
      <c r="M74" s="208" t="str">
        <f>IFERROR(VLOOKUP(J74,'RJ ATTENDENCE SHEET'!$C:$DM,('DATA '!$AA$3+84),0),"")</f>
        <v/>
      </c>
    </row>
    <row r="75" spans="1:13" ht="15.75">
      <c r="A75" s="213">
        <v>24</v>
      </c>
      <c r="B75" s="211" t="str">
        <f>VLOOKUP(C75,'DATA '!$K:$L,2,0)</f>
        <v>LAB</v>
      </c>
      <c r="C75" s="212" t="str">
        <f>'DATA '!K26</f>
        <v>MOMINUL HAQUE</v>
      </c>
      <c r="D75" s="213" t="str">
        <f>IFERROR(VLOOKUP(C75,'RJ ATTENDENCE SHEET'!$C:$CG,('DATA '!$AA$3+21+('DATA '!$AA$3-1)),0),"")</f>
        <v>P</v>
      </c>
      <c r="E75" s="213" t="str">
        <f>IFERROR(VLOOKUP(C75,'RJ ATTENDENCE SHEET'!$C:$CG,('DATA '!$AA$3+22+('DATA '!$AA$3-1)),0),"")</f>
        <v>A</v>
      </c>
      <c r="F75" s="213">
        <f>VLOOKUP(C75,'RJ ATTENDENCE SHEET'!$C:$DM,('DATA '!$AA$3+84),0)</f>
        <v>0</v>
      </c>
      <c r="H75" s="208">
        <v>68</v>
      </c>
      <c r="I75" s="216" t="str">
        <f>VLOOKUP(J75,'DATA '!$O:$P,2,0)</f>
        <v/>
      </c>
      <c r="J75" s="43" t="str">
        <f>'DATA '!O70</f>
        <v/>
      </c>
      <c r="K75" s="208" t="str">
        <f>IFERROR(VLOOKUP(J75,'RJ ATTENDENCE SHEET'!$C:$CG,('DATA '!$AA$3+21+('DATA '!$AA$3-1)),0),"")</f>
        <v/>
      </c>
      <c r="L75" s="208" t="str">
        <f>IFERROR(VLOOKUP(J75,'RJ ATTENDENCE SHEET'!$C:$CG,('DATA '!$AA$3+22+('DATA '!$AA$3-1)),0),"")</f>
        <v/>
      </c>
      <c r="M75" s="208" t="str">
        <f>IFERROR(VLOOKUP(J75,'RJ ATTENDENCE SHEET'!$C:$DM,('DATA '!$AA$3+84),0),"")</f>
        <v/>
      </c>
    </row>
    <row r="76" spans="1:13" ht="15.75">
      <c r="A76" s="211">
        <v>25</v>
      </c>
      <c r="B76" s="211" t="str">
        <f>VLOOKUP(C76,'DATA '!$K:$L,2,0)</f>
        <v>HELPER</v>
      </c>
      <c r="C76" s="212" t="str">
        <f>'DATA '!K27</f>
        <v>EKRAMUL ALI</v>
      </c>
      <c r="D76" s="213" t="str">
        <f>IFERROR(VLOOKUP(C76,'RJ ATTENDENCE SHEET'!$C:$CG,('DATA '!$AA$3+18+('DATA '!$AA$3-1)),0),"")</f>
        <v>P</v>
      </c>
      <c r="E76" s="213" t="str">
        <f>IFERROR(VLOOKUP(C76,'RJ ATTENDENCE SHEET'!$C:$CG,('DATA '!$AA$3+19+('DATA '!$AA$3-1)),0),"")</f>
        <v>P</v>
      </c>
      <c r="F76" s="213">
        <f>VLOOKUP(C76,'RJ ATTENDENCE SHEET'!$C:$DM,('DATA '!$AA$3+84),0)</f>
        <v>0</v>
      </c>
      <c r="H76" s="208">
        <v>69</v>
      </c>
      <c r="I76" s="216" t="str">
        <f>VLOOKUP(J76,'DATA '!$O:$P,2,0)</f>
        <v/>
      </c>
      <c r="J76" s="43" t="str">
        <f>'DATA '!O71</f>
        <v/>
      </c>
      <c r="K76" s="208" t="str">
        <f>IFERROR(VLOOKUP(J76,'RJ ATTENDENCE SHEET'!$C:$CG,('DATA '!$AA$3+21+('DATA '!$AA$3-1)),0),"")</f>
        <v/>
      </c>
      <c r="L76" s="208" t="str">
        <f>IFERROR(VLOOKUP(J76,'RJ ATTENDENCE SHEET'!$C:$CG,('DATA '!$AA$3+22+('DATA '!$AA$3-1)),0),"")</f>
        <v/>
      </c>
      <c r="M76" s="208" t="str">
        <f>IFERROR(VLOOKUP(J76,'RJ ATTENDENCE SHEET'!$C:$DM,('DATA '!$AA$3+84),0),"")</f>
        <v/>
      </c>
    </row>
    <row r="77" spans="1:13" ht="15.75">
      <c r="A77" s="213">
        <v>26</v>
      </c>
      <c r="B77" s="211" t="str">
        <f>VLOOKUP(C77,'DATA '!$K:$L,2,0)</f>
        <v>DRIVER</v>
      </c>
      <c r="C77" s="212" t="str">
        <f>'DATA '!K28</f>
        <v>JULFIKAR DHALI</v>
      </c>
      <c r="D77" s="213" t="str">
        <f>IFERROR(VLOOKUP(C77,'RJ ATTENDENCE SHEET'!$C:$CG,('DATA '!$AA$3+18+('DATA '!$AA$3-1)),0),"")</f>
        <v>P</v>
      </c>
      <c r="E77" s="213" t="str">
        <f>IFERROR(VLOOKUP(C77,'RJ ATTENDENCE SHEET'!$C:$CG,('DATA '!$AA$3+19+('DATA '!$AA$3-1)),0),"")</f>
        <v>P</v>
      </c>
      <c r="F77" s="213"/>
      <c r="H77" s="208">
        <v>70</v>
      </c>
      <c r="I77" s="216" t="str">
        <f>VLOOKUP(J77,'DATA '!$O:$P,2,0)</f>
        <v/>
      </c>
      <c r="J77" s="43" t="str">
        <f>'DATA '!O72</f>
        <v/>
      </c>
      <c r="K77" s="208" t="str">
        <f>IFERROR(VLOOKUP(J77,'RJ ATTENDENCE SHEET'!$C:$CG,('DATA '!$AA$3+21+('DATA '!$AA$3-1)),0),"")</f>
        <v/>
      </c>
      <c r="L77" s="208" t="str">
        <f>IFERROR(VLOOKUP(J77,'RJ ATTENDENCE SHEET'!$C:$CG,('DATA '!$AA$3+22+('DATA '!$AA$3-1)),0),"")</f>
        <v/>
      </c>
      <c r="M77" s="208" t="str">
        <f>IFERROR(VLOOKUP(J77,'RJ ATTENDENCE SHEET'!$C:$DM,('DATA '!$AA$3+84),0),"")</f>
        <v/>
      </c>
    </row>
    <row r="78" spans="1:13" ht="15.75">
      <c r="A78" s="213">
        <v>27</v>
      </c>
      <c r="B78" s="211" t="str">
        <f>VLOOKUP(C78,'DATA '!$K:$L,2,0)</f>
        <v>LAB</v>
      </c>
      <c r="C78" s="212" t="str">
        <f>'DATA '!K29</f>
        <v>SUPRAKASH SAMANTO</v>
      </c>
      <c r="D78" s="213" t="str">
        <f>IFERROR(VLOOKUP(C78,'RJ ATTENDENCE SHEET'!$C:$CG,('DATA '!$AA$3+18+('DATA '!$AA$3-1)),0),"")</f>
        <v>A</v>
      </c>
      <c r="E78" s="213" t="str">
        <f>IFERROR(VLOOKUP(C78,'RJ ATTENDENCE SHEET'!$C:$CG,('DATA '!$AA$3+19+('DATA '!$AA$3-1)),0),"")</f>
        <v>A</v>
      </c>
      <c r="F78" s="213"/>
      <c r="H78" s="208">
        <v>71</v>
      </c>
      <c r="I78" s="216" t="str">
        <f>VLOOKUP(J78,'DATA '!$O:$P,2,0)</f>
        <v/>
      </c>
      <c r="J78" s="43" t="str">
        <f>'DATA '!O73</f>
        <v/>
      </c>
      <c r="K78" s="208" t="str">
        <f>IFERROR(VLOOKUP(J78,'RJ ATTENDENCE SHEET'!$C:$CG,('DATA '!$AA$3+21+('DATA '!$AA$3-1)),0),"")</f>
        <v/>
      </c>
      <c r="L78" s="208" t="str">
        <f>IFERROR(VLOOKUP(J78,'RJ ATTENDENCE SHEET'!$C:$CG,('DATA '!$AA$3+22+('DATA '!$AA$3-1)),0),"")</f>
        <v/>
      </c>
      <c r="M78" s="208" t="str">
        <f>IFERROR(VLOOKUP(J78,'RJ ATTENDENCE SHEET'!$C:$DM,('DATA '!$AA$3+84),0),"")</f>
        <v/>
      </c>
    </row>
    <row r="79" spans="1:13" ht="15.75">
      <c r="A79" s="211"/>
      <c r="B79" s="211"/>
      <c r="C79" s="212"/>
      <c r="D79" s="213" t="str">
        <f>IFERROR(VLOOKUP(C79,'RJ ATTENDENCE SHEET'!$C:$CG,('DATA '!$AA$3+5+('DATA '!$AA$3-1)),0),"")</f>
        <v/>
      </c>
      <c r="E79" s="213" t="str">
        <f>IFERROR(VLOOKUP(C79,'RJ ATTENDENCE SHEET'!$C:$CG,('DATA '!$AA$3+6+('DATA '!$AA$3-1)),0),"")</f>
        <v/>
      </c>
      <c r="F79" s="213"/>
      <c r="H79" s="208">
        <v>72</v>
      </c>
      <c r="I79" s="216" t="str">
        <f>VLOOKUP(J79,'DATA '!$O:$P,2,0)</f>
        <v/>
      </c>
      <c r="J79" s="43" t="str">
        <f>'DATA '!O74</f>
        <v/>
      </c>
      <c r="K79" s="208" t="str">
        <f>IFERROR(VLOOKUP(J79,'RJ ATTENDENCE SHEET'!$C:$CG,('DATA '!$AA$3+21+('DATA '!$AA$3-1)),0),"")</f>
        <v/>
      </c>
      <c r="L79" s="208" t="str">
        <f>IFERROR(VLOOKUP(J79,'RJ ATTENDENCE SHEET'!$C:$CG,('DATA '!$AA$3+22+('DATA '!$AA$3-1)),0),"")</f>
        <v/>
      </c>
      <c r="M79" s="208" t="str">
        <f>IFERROR(VLOOKUP(J79,'RJ ATTENDENCE SHEET'!$C:$DM,('DATA '!$AA$3+84),0),"")</f>
        <v/>
      </c>
    </row>
    <row r="80" spans="1:13" ht="15.75">
      <c r="A80" s="211"/>
      <c r="B80" s="211"/>
      <c r="C80" s="212"/>
      <c r="D80" s="213" t="str">
        <f>IFERROR(VLOOKUP(C80,'RJ ATTENDENCE SHEET'!$C:$CG,('DATA '!$AA$3+5+('DATA '!$AA$3-1)),0),"")</f>
        <v/>
      </c>
      <c r="E80" s="213" t="str">
        <f>IFERROR(VLOOKUP(C80,'RJ ATTENDENCE SHEET'!$C:$CG,('DATA '!$AA$3+6+('DATA '!$AA$3-1)),0),"")</f>
        <v/>
      </c>
      <c r="F80" s="213"/>
      <c r="H80" s="208">
        <v>73</v>
      </c>
      <c r="I80" s="216" t="str">
        <f>VLOOKUP(J80,'DATA '!$O:$P,2,0)</f>
        <v/>
      </c>
      <c r="J80" s="43" t="str">
        <f>'DATA '!O75</f>
        <v/>
      </c>
      <c r="K80" s="208" t="str">
        <f>IFERROR(VLOOKUP(J80,'RJ ATTENDENCE SHEET'!$C:$CG,('DATA '!$AA$3+21+('DATA '!$AA$3-1)),0),"")</f>
        <v/>
      </c>
      <c r="L80" s="208" t="str">
        <f>IFERROR(VLOOKUP(J80,'RJ ATTENDENCE SHEET'!$C:$CG,('DATA '!$AA$3+22+('DATA '!$AA$3-1)),0),"")</f>
        <v/>
      </c>
      <c r="M80" s="208" t="str">
        <f>IFERROR(VLOOKUP(J80,'RJ ATTENDENCE SHEET'!$C:$DM,('DATA '!$AA$3+84),0),"")</f>
        <v/>
      </c>
    </row>
    <row r="81" spans="1:13" ht="15.75">
      <c r="A81" s="213"/>
      <c r="B81" s="213"/>
      <c r="C81" s="213"/>
      <c r="D81" s="213" t="str">
        <f>IFERROR(VLOOKUP(C81,'RJ ATTENDENCE SHEET'!$C:$CG,('DATA '!$AA$3+5+('DATA '!$AA$3-1)),0),"")</f>
        <v/>
      </c>
      <c r="E81" s="213" t="str">
        <f>IFERROR(VLOOKUP(C81,'RJ ATTENDENCE SHEET'!$C:$CG,('DATA '!$AA$3+6+('DATA '!$AA$3-1)),0),"")</f>
        <v/>
      </c>
      <c r="F81" s="213"/>
      <c r="H81" s="208">
        <v>74</v>
      </c>
      <c r="I81" s="216" t="str">
        <f>VLOOKUP(J81,'DATA '!$O:$P,2,0)</f>
        <v/>
      </c>
      <c r="J81" s="43" t="str">
        <f>'DATA '!O76</f>
        <v/>
      </c>
      <c r="K81" s="208" t="str">
        <f>IFERROR(VLOOKUP(J81,'RJ ATTENDENCE SHEET'!$C:$CG,('DATA '!$AA$3+21+('DATA '!$AA$3-1)),0),"")</f>
        <v/>
      </c>
      <c r="L81" s="208" t="str">
        <f>IFERROR(VLOOKUP(J81,'RJ ATTENDENCE SHEET'!$C:$CG,('DATA '!$AA$3+22+('DATA '!$AA$3-1)),0),"")</f>
        <v/>
      </c>
      <c r="M81" s="208" t="str">
        <f>IFERROR(VLOOKUP(J81,'RJ ATTENDENCE SHEET'!$C:$DM,('DATA '!$AA$3+84),0),"")</f>
        <v/>
      </c>
    </row>
    <row r="82" spans="1:13" ht="15.75">
      <c r="A82" s="213"/>
      <c r="B82" s="213"/>
      <c r="C82" s="213"/>
      <c r="D82" s="213" t="str">
        <f>IFERROR(VLOOKUP(C82,'RJ ATTENDENCE SHEET'!$C:$CG,('DATA '!$AA$3+5+('DATA '!$AA$3-1)),0),"")</f>
        <v/>
      </c>
      <c r="E82" s="213" t="str">
        <f>IFERROR(VLOOKUP(C82,'RJ ATTENDENCE SHEET'!$C:$CG,('DATA '!$AA$3+6+('DATA '!$AA$3-1)),0),"")</f>
        <v/>
      </c>
      <c r="F82" s="213"/>
      <c r="H82" s="208">
        <v>75</v>
      </c>
      <c r="I82" s="216" t="str">
        <f>VLOOKUP(J82,'DATA '!$O:$P,2,0)</f>
        <v/>
      </c>
      <c r="J82" s="43" t="str">
        <f>'DATA '!O77</f>
        <v/>
      </c>
      <c r="K82" s="208" t="str">
        <f>IFERROR(VLOOKUP(J82,'RJ ATTENDENCE SHEET'!$C:$CG,('DATA '!$AA$3+21+('DATA '!$AA$3-1)),0),"")</f>
        <v/>
      </c>
      <c r="L82" s="208" t="str">
        <f>IFERROR(VLOOKUP(J82,'RJ ATTENDENCE SHEET'!$C:$CG,('DATA '!$AA$3+22+('DATA '!$AA$3-1)),0),"")</f>
        <v/>
      </c>
      <c r="M82" s="208" t="str">
        <f>IFERROR(VLOOKUP(J82,'RJ ATTENDENCE SHEET'!$C:$DM,('DATA '!$AA$3+84),0),"")</f>
        <v/>
      </c>
    </row>
    <row r="83" spans="1:13" ht="15.75">
      <c r="A83" s="213"/>
      <c r="B83" s="213"/>
      <c r="C83" s="213"/>
      <c r="D83" s="213" t="str">
        <f>IFERROR(VLOOKUP(C83,'RJ ATTENDENCE SHEET'!$C:$CG,('DATA '!$AA$3+5+('DATA '!$AA$3-1)),0),"")</f>
        <v/>
      </c>
      <c r="E83" s="213" t="str">
        <f>IFERROR(VLOOKUP(C83,'RJ ATTENDENCE SHEET'!$C:$CG,('DATA '!$AA$3+6+('DATA '!$AA$3-1)),0),"")</f>
        <v/>
      </c>
      <c r="F83" s="213"/>
      <c r="H83" s="208">
        <v>76</v>
      </c>
      <c r="I83" s="216" t="str">
        <f>VLOOKUP(J83,'DATA '!$O:$P,2,0)</f>
        <v/>
      </c>
      <c r="J83" s="43" t="str">
        <f>'DATA '!O78</f>
        <v/>
      </c>
      <c r="K83" s="208" t="str">
        <f>IFERROR(VLOOKUP(J83,'RJ ATTENDENCE SHEET'!$C:$CG,('DATA '!$AA$3+21+('DATA '!$AA$3-1)),0),"")</f>
        <v/>
      </c>
      <c r="L83" s="208" t="str">
        <f>IFERROR(VLOOKUP(J83,'RJ ATTENDENCE SHEET'!$C:$CG,('DATA '!$AA$3+22+('DATA '!$AA$3-1)),0),"")</f>
        <v/>
      </c>
      <c r="M83" s="208" t="str">
        <f>IFERROR(VLOOKUP(J83,'RJ ATTENDENCE SHEET'!$C:$DM,('DATA '!$AA$3+84),0),"")</f>
        <v/>
      </c>
    </row>
    <row r="84" spans="1:13" ht="15.75">
      <c r="A84" s="213"/>
      <c r="B84" s="213"/>
      <c r="C84" s="213"/>
      <c r="D84" s="213" t="str">
        <f>IFERROR(VLOOKUP(C84,'RJ ATTENDENCE SHEET'!$C:$CG,('DATA '!$AA$3+5+('DATA '!$AA$3-1)),0),"")</f>
        <v/>
      </c>
      <c r="E84" s="213" t="str">
        <f>IFERROR(VLOOKUP(C84,'RJ ATTENDENCE SHEET'!$C:$CG,('DATA '!$AA$3+6+('DATA '!$AA$3-1)),0),"")</f>
        <v/>
      </c>
      <c r="F84" s="213"/>
      <c r="H84" s="208">
        <v>77</v>
      </c>
      <c r="I84" s="216" t="str">
        <f>VLOOKUP(J84,'DATA '!$O:$P,2,0)</f>
        <v/>
      </c>
      <c r="J84" s="43" t="str">
        <f>'DATA '!O79</f>
        <v/>
      </c>
      <c r="K84" s="208" t="str">
        <f>IFERROR(VLOOKUP(J84,'RJ ATTENDENCE SHEET'!$C:$CG,('DATA '!$AA$3+21+('DATA '!$AA$3-1)),0),"")</f>
        <v/>
      </c>
      <c r="L84" s="208" t="str">
        <f>IFERROR(VLOOKUP(J84,'RJ ATTENDENCE SHEET'!$C:$CG,('DATA '!$AA$3+22+('DATA '!$AA$3-1)),0),"")</f>
        <v/>
      </c>
      <c r="M84" s="208" t="str">
        <f>IFERROR(VLOOKUP(J84,'RJ ATTENDENCE SHEET'!$C:$DM,('DATA '!$AA$3+84),0),"")</f>
        <v/>
      </c>
    </row>
    <row r="85" spans="1:13" ht="15.75">
      <c r="A85" s="213"/>
      <c r="B85" s="213"/>
      <c r="C85" s="213"/>
      <c r="D85" s="213" t="str">
        <f>IFERROR(VLOOKUP(C85,'RJ ATTENDENCE SHEET'!$C:$CG,('DATA '!$AA$3+5+('DATA '!$AA$3-1)),0),"")</f>
        <v/>
      </c>
      <c r="E85" s="213" t="str">
        <f>IFERROR(VLOOKUP(C85,'RJ ATTENDENCE SHEET'!$C:$CG,('DATA '!$AA$3+6+('DATA '!$AA$3-1)),0),"")</f>
        <v/>
      </c>
      <c r="F85" s="213"/>
      <c r="H85" s="208">
        <v>78</v>
      </c>
      <c r="I85" s="216" t="str">
        <f>VLOOKUP(J85,'DATA '!$O:$P,2,0)</f>
        <v/>
      </c>
      <c r="J85" s="43" t="str">
        <f>'DATA '!O80</f>
        <v/>
      </c>
      <c r="K85" s="208" t="str">
        <f>IFERROR(VLOOKUP(J85,'RJ ATTENDENCE SHEET'!$C:$CG,('DATA '!$AA$3+21+('DATA '!$AA$3-1)),0),"")</f>
        <v/>
      </c>
      <c r="L85" s="208" t="str">
        <f>IFERROR(VLOOKUP(J85,'RJ ATTENDENCE SHEET'!$C:$CG,('DATA '!$AA$3+22+('DATA '!$AA$3-1)),0),"")</f>
        <v/>
      </c>
      <c r="M85" s="208" t="str">
        <f>IFERROR(VLOOKUP(J85,'RJ ATTENDENCE SHEET'!$C:$DM,('DATA '!$AA$3+84),0),"")</f>
        <v/>
      </c>
    </row>
    <row r="86" spans="1:13" ht="15.75">
      <c r="A86" s="213"/>
      <c r="B86" s="213"/>
      <c r="C86" s="213"/>
      <c r="D86" s="213" t="str">
        <f>IFERROR(VLOOKUP(C86,'RJ ATTENDENCE SHEET'!$C:$CG,('DATA '!$AA$3+5+('DATA '!$AA$3-1)),0),"")</f>
        <v/>
      </c>
      <c r="E86" s="213" t="str">
        <f>IFERROR(VLOOKUP(C86,'RJ ATTENDENCE SHEET'!$C:$CG,('DATA '!$AA$3+6+('DATA '!$AA$3-1)),0),"")</f>
        <v/>
      </c>
      <c r="F86" s="213"/>
      <c r="H86" s="208">
        <v>79</v>
      </c>
      <c r="I86" s="216" t="str">
        <f>VLOOKUP(J86,'DATA '!$O:$P,2,0)</f>
        <v/>
      </c>
      <c r="J86" s="43" t="str">
        <f>'DATA '!O81</f>
        <v/>
      </c>
      <c r="K86" s="208" t="str">
        <f>IFERROR(VLOOKUP(J86,'RJ ATTENDENCE SHEET'!$C:$CG,('DATA '!$AA$3+21+('DATA '!$AA$3-1)),0),"")</f>
        <v/>
      </c>
      <c r="L86" s="208" t="str">
        <f>IFERROR(VLOOKUP(J86,'RJ ATTENDENCE SHEET'!$C:$CG,('DATA '!$AA$3+22+('DATA '!$AA$3-1)),0),"")</f>
        <v/>
      </c>
      <c r="M86" s="208" t="str">
        <f>IFERROR(VLOOKUP(J86,'RJ ATTENDENCE SHEET'!$C:$DM,('DATA '!$AA$3+84),0),"")</f>
        <v/>
      </c>
    </row>
    <row r="87" spans="1:13" ht="15.75">
      <c r="A87" s="325" t="s">
        <v>97</v>
      </c>
      <c r="B87" s="326"/>
      <c r="C87" s="326"/>
      <c r="D87" s="326"/>
      <c r="E87" s="327"/>
      <c r="F87" s="210">
        <f>SUM(F52:F86)</f>
        <v>3</v>
      </c>
      <c r="H87" s="208">
        <v>80</v>
      </c>
      <c r="I87" s="216" t="str">
        <f>VLOOKUP(J87,'DATA '!$O:$P,2,0)</f>
        <v/>
      </c>
      <c r="J87" s="43" t="str">
        <f>'DATA '!O82</f>
        <v/>
      </c>
      <c r="K87" s="208" t="str">
        <f>IFERROR(VLOOKUP(J87,'RJ ATTENDENCE SHEET'!$C:$CG,('DATA '!$AA$3+21+('DATA '!$AA$3-1)),0),"")</f>
        <v/>
      </c>
      <c r="L87" s="208" t="str">
        <f>IFERROR(VLOOKUP(J87,'RJ ATTENDENCE SHEET'!$C:$CG,('DATA '!$AA$3+22+('DATA '!$AA$3-1)),0),"")</f>
        <v/>
      </c>
      <c r="M87" s="208" t="str">
        <f>IFERROR(VLOOKUP(J87,'RJ ATTENDENCE SHEET'!$C:$DM,('DATA '!$AA$3+84),0),"")</f>
        <v/>
      </c>
    </row>
    <row r="88" spans="1:13" ht="15.75">
      <c r="H88" s="208">
        <v>81</v>
      </c>
      <c r="I88" s="216" t="str">
        <f>VLOOKUP(J88,'DATA '!$O:$P,2,0)</f>
        <v/>
      </c>
      <c r="J88" s="43" t="str">
        <f>'DATA '!O83</f>
        <v/>
      </c>
      <c r="K88" s="208" t="str">
        <f>IFERROR(VLOOKUP(J88,'RJ ATTENDENCE SHEET'!$C:$CG,('DATA '!$AA$3+21+('DATA '!$AA$3-1)),0),"")</f>
        <v/>
      </c>
      <c r="L88" s="208" t="str">
        <f>IFERROR(VLOOKUP(J88,'RJ ATTENDENCE SHEET'!$C:$CG,('DATA '!$AA$3+22+('DATA '!$AA$3-1)),0),"")</f>
        <v/>
      </c>
      <c r="M88" s="208" t="str">
        <f>IFERROR(VLOOKUP(J88,'RJ ATTENDENCE SHEET'!$C:$DM,('DATA '!$AA$3+84),0),"")</f>
        <v/>
      </c>
    </row>
    <row r="89" spans="1:13" ht="15.75">
      <c r="H89" s="208">
        <v>82</v>
      </c>
      <c r="I89" s="216" t="str">
        <f>VLOOKUP(J89,'DATA '!$O:$P,2,0)</f>
        <v/>
      </c>
      <c r="J89" s="43" t="str">
        <f>'DATA '!O84</f>
        <v/>
      </c>
      <c r="K89" s="208" t="str">
        <f>IFERROR(VLOOKUP(J89,'RJ ATTENDENCE SHEET'!$C:$CG,('DATA '!$AA$3+21+('DATA '!$AA$3-1)),0),"")</f>
        <v/>
      </c>
      <c r="L89" s="208" t="str">
        <f>IFERROR(VLOOKUP(J89,'RJ ATTENDENCE SHEET'!$C:$CG,('DATA '!$AA$3+22+('DATA '!$AA$3-1)),0),"")</f>
        <v/>
      </c>
      <c r="M89" s="208" t="str">
        <f>IFERROR(VLOOKUP(J89,'RJ ATTENDENCE SHEET'!$C:$DM,('DATA '!$AA$3+84),0),"")</f>
        <v/>
      </c>
    </row>
    <row r="90" spans="1:13" ht="15.75">
      <c r="H90" s="208">
        <v>83</v>
      </c>
      <c r="I90" s="216" t="str">
        <f>VLOOKUP(J90,'DATA '!$O:$P,2,0)</f>
        <v/>
      </c>
      <c r="J90" s="43" t="str">
        <f>'DATA '!O85</f>
        <v/>
      </c>
      <c r="K90" s="208" t="str">
        <f>IFERROR(VLOOKUP(J90,'RJ ATTENDENCE SHEET'!$C:$CG,('DATA '!$AA$3+21+('DATA '!$AA$3-1)),0),"")</f>
        <v/>
      </c>
      <c r="L90" s="208" t="str">
        <f>IFERROR(VLOOKUP(J90,'RJ ATTENDENCE SHEET'!$C:$CG,('DATA '!$AA$3+22+('DATA '!$AA$3-1)),0),"")</f>
        <v/>
      </c>
      <c r="M90" s="208" t="str">
        <f>IFERROR(VLOOKUP(J90,'RJ ATTENDENCE SHEET'!$C:$DM,('DATA '!$AA$3+84),0),"")</f>
        <v/>
      </c>
    </row>
    <row r="91" spans="1:13" ht="15.75">
      <c r="H91" s="208">
        <v>84</v>
      </c>
      <c r="I91" s="216" t="str">
        <f>VLOOKUP(J91,'DATA '!$O:$P,2,0)</f>
        <v/>
      </c>
      <c r="J91" s="43" t="str">
        <f>'DATA '!O86</f>
        <v/>
      </c>
      <c r="K91" s="208" t="str">
        <f>IFERROR(VLOOKUP(J91,'RJ ATTENDENCE SHEET'!$C:$CG,('DATA '!$AA$3+21+('DATA '!$AA$3-1)),0),"")</f>
        <v/>
      </c>
      <c r="L91" s="208" t="str">
        <f>IFERROR(VLOOKUP(J91,'RJ ATTENDENCE SHEET'!$C:$CG,('DATA '!$AA$3+22+('DATA '!$AA$3-1)),0),"")</f>
        <v/>
      </c>
      <c r="M91" s="208" t="str">
        <f>IFERROR(VLOOKUP(J91,'RJ ATTENDENCE SHEET'!$C:$DM,('DATA '!$AA$3+84),0),"")</f>
        <v/>
      </c>
    </row>
    <row r="92" spans="1:13" ht="15.75">
      <c r="H92" s="208">
        <v>85</v>
      </c>
      <c r="I92" s="216" t="str">
        <f>VLOOKUP(J92,'DATA '!$O:$P,2,0)</f>
        <v/>
      </c>
      <c r="J92" s="43" t="str">
        <f>'DATA '!O87</f>
        <v/>
      </c>
      <c r="K92" s="208" t="str">
        <f>IFERROR(VLOOKUP(J92,'RJ ATTENDENCE SHEET'!$C:$CG,('DATA '!$AA$3+21+('DATA '!$AA$3-1)),0),"")</f>
        <v/>
      </c>
      <c r="L92" s="208" t="str">
        <f>IFERROR(VLOOKUP(J92,'RJ ATTENDENCE SHEET'!$C:$CG,('DATA '!$AA$3+22+('DATA '!$AA$3-1)),0),"")</f>
        <v/>
      </c>
      <c r="M92" s="208" t="str">
        <f>IFERROR(VLOOKUP(J92,'RJ ATTENDENCE SHEET'!$C:$DM,('DATA '!$AA$3+84),0),"")</f>
        <v/>
      </c>
    </row>
    <row r="93" spans="1:13" ht="15.75">
      <c r="H93" s="208">
        <v>86</v>
      </c>
      <c r="I93" s="216" t="str">
        <f>VLOOKUP(J93,'DATA '!$O:$P,2,0)</f>
        <v/>
      </c>
      <c r="J93" s="43" t="str">
        <f>'DATA '!O88</f>
        <v/>
      </c>
      <c r="K93" s="208" t="str">
        <f>IFERROR(VLOOKUP(J93,'RJ ATTENDENCE SHEET'!$C:$CG,('DATA '!$AA$3+21+('DATA '!$AA$3-1)),0),"")</f>
        <v/>
      </c>
      <c r="L93" s="208" t="str">
        <f>IFERROR(VLOOKUP(J93,'RJ ATTENDENCE SHEET'!$C:$CG,('DATA '!$AA$3+22+('DATA '!$AA$3-1)),0),"")</f>
        <v/>
      </c>
      <c r="M93" s="208" t="str">
        <f>IFERROR(VLOOKUP(J93,'RJ ATTENDENCE SHEET'!$C:$DM,('DATA '!$AA$3+84),0),"")</f>
        <v/>
      </c>
    </row>
    <row r="94" spans="1:13" ht="15.75">
      <c r="H94" s="208">
        <v>87</v>
      </c>
      <c r="I94" s="216" t="str">
        <f>VLOOKUP(J94,'DATA '!$O:$P,2,0)</f>
        <v/>
      </c>
      <c r="J94" s="43" t="str">
        <f>'DATA '!O89</f>
        <v/>
      </c>
      <c r="K94" s="208" t="str">
        <f>IFERROR(VLOOKUP(J94,'RJ ATTENDENCE SHEET'!$C:$CG,('DATA '!$AA$3+21+('DATA '!$AA$3-1)),0),"")</f>
        <v/>
      </c>
      <c r="L94" s="208" t="str">
        <f>IFERROR(VLOOKUP(J94,'RJ ATTENDENCE SHEET'!$C:$CG,('DATA '!$AA$3+22+('DATA '!$AA$3-1)),0),"")</f>
        <v/>
      </c>
      <c r="M94" s="208" t="str">
        <f>IFERROR(VLOOKUP(J94,'RJ ATTENDENCE SHEET'!$C:$DM,('DATA '!$AA$3+84),0),"")</f>
        <v/>
      </c>
    </row>
    <row r="95" spans="1:13" ht="15.75">
      <c r="H95" s="208">
        <v>88</v>
      </c>
      <c r="I95" s="216" t="str">
        <f>VLOOKUP(J95,'DATA '!$O:$P,2,0)</f>
        <v/>
      </c>
      <c r="J95" s="43" t="str">
        <f>'DATA '!O90</f>
        <v/>
      </c>
      <c r="K95" s="208" t="str">
        <f>IFERROR(VLOOKUP(J95,'RJ ATTENDENCE SHEET'!$C:$CG,('DATA '!$AA$3+5+('DATA '!$AA$3-1)),0),"")</f>
        <v/>
      </c>
      <c r="L95" s="208" t="str">
        <f>IFERROR(VLOOKUP(J95,'RJ ATTENDENCE SHEET'!$C:$CG,('DATA '!$AA$3+6+('DATA '!$AA$3-1)),0),"")</f>
        <v/>
      </c>
      <c r="M95" s="222"/>
    </row>
    <row r="96" spans="1:13" ht="15.75">
      <c r="H96" s="208">
        <v>89</v>
      </c>
      <c r="I96" s="216" t="str">
        <f>VLOOKUP(J96,'DATA '!$O:$P,2,0)</f>
        <v/>
      </c>
      <c r="J96" s="43" t="str">
        <f>'DATA '!O91</f>
        <v/>
      </c>
      <c r="K96" s="208" t="str">
        <f>IFERROR(VLOOKUP(J96,'RJ ATTENDENCE SHEET'!$C:$CG,('DATA '!$AA$3+5+('DATA '!$AA$3-1)),0),"")</f>
        <v/>
      </c>
      <c r="L96" s="208" t="str">
        <f>IFERROR(VLOOKUP(J96,'RJ ATTENDENCE SHEET'!$C:$CG,('DATA '!$AA$3+6+('DATA '!$AA$3-1)),0),"")</f>
        <v/>
      </c>
      <c r="M96" s="208"/>
    </row>
    <row r="97" spans="1:13">
      <c r="A97" s="218" t="s">
        <v>98</v>
      </c>
      <c r="B97" s="218"/>
      <c r="C97" s="218" t="s">
        <v>0</v>
      </c>
      <c r="D97" s="328" t="s">
        <v>92</v>
      </c>
      <c r="E97" s="328"/>
      <c r="F97" s="219" t="s">
        <v>94</v>
      </c>
      <c r="H97" s="329" t="s">
        <v>97</v>
      </c>
      <c r="I97" s="330"/>
      <c r="J97" s="330"/>
      <c r="K97" s="330"/>
      <c r="L97" s="331"/>
      <c r="M97" s="223">
        <f>SUM(M8:M96)</f>
        <v>1</v>
      </c>
    </row>
    <row r="98" spans="1:13">
      <c r="A98" s="320" t="s">
        <v>99</v>
      </c>
      <c r="B98" s="320"/>
      <c r="C98" s="320"/>
      <c r="D98" s="320"/>
      <c r="E98" s="320"/>
      <c r="F98" s="320"/>
    </row>
    <row r="99" spans="1:13">
      <c r="A99" s="220">
        <v>1</v>
      </c>
      <c r="B99" s="220" t="str">
        <f>VLOOKUP(D99,'DATA '!$X:$Y,2,0)</f>
        <v>DRIVER</v>
      </c>
      <c r="C99" s="220" t="str">
        <f>VLOOKUP(D99,'DATA '!$X:$Z,3,0)</f>
        <v>TARATALA</v>
      </c>
      <c r="D99" s="319" t="str">
        <f>'DATA '!X3</f>
        <v>MANOJ</v>
      </c>
      <c r="E99" s="319"/>
      <c r="F99" s="220">
        <f>VLOOKUP(D99,'OTHER PLANT ATTN.'!$C:$AH,('DATA '!$AA$3+1),0)</f>
        <v>0</v>
      </c>
      <c r="J99" s="224" t="s">
        <v>100</v>
      </c>
      <c r="K99" s="225" t="e">
        <f>M97+F87+F128</f>
        <v>#N/A</v>
      </c>
    </row>
    <row r="100" spans="1:13">
      <c r="A100" s="220">
        <v>2</v>
      </c>
      <c r="B100" s="220">
        <f>VLOOKUP(D100,'DATA '!$X:$Y,2,0)</f>
        <v>0</v>
      </c>
      <c r="C100" s="220">
        <f>VLOOKUP(D100,'DATA '!$X:$Z,3,0)</f>
        <v>0</v>
      </c>
      <c r="D100" s="319">
        <f>'DATA '!X4</f>
        <v>0</v>
      </c>
      <c r="E100" s="319"/>
      <c r="F100" s="220" t="e">
        <f>VLOOKUP(D100,'OTHER PLANT ATTN.'!$C:$AH,('DATA '!$AA$3+1),0)</f>
        <v>#N/A</v>
      </c>
      <c r="J100" s="224" t="s">
        <v>101</v>
      </c>
      <c r="K100" s="224" t="e">
        <f>K99/2</f>
        <v>#N/A</v>
      </c>
    </row>
    <row r="101" spans="1:13">
      <c r="A101" s="220">
        <v>3</v>
      </c>
      <c r="B101" s="220" t="str">
        <f>VLOOKUP(D101,'DATA '!$X:$Y,2,0)</f>
        <v>DRIVER</v>
      </c>
      <c r="C101" s="220" t="str">
        <f>VLOOKUP(D101,'DATA '!$X:$Z,3,0)</f>
        <v>TARATALA</v>
      </c>
      <c r="D101" s="319" t="str">
        <f>'DATA '!X5</f>
        <v>TAPAS</v>
      </c>
      <c r="E101" s="319"/>
      <c r="F101" s="220">
        <f>VLOOKUP(D101,'OTHER PLANT ATTN.'!$C:$AH,('DATA '!$AA$3+1),0)</f>
        <v>0</v>
      </c>
      <c r="J101" s="224" t="s">
        <v>102</v>
      </c>
      <c r="K101" s="224" t="e">
        <f>K100</f>
        <v>#N/A</v>
      </c>
    </row>
    <row r="102" spans="1:13">
      <c r="A102" s="220">
        <v>4</v>
      </c>
      <c r="B102" s="220" t="str">
        <f>VLOOKUP(D102,'DATA '!$X:$Y,2,0)</f>
        <v>HELPER</v>
      </c>
      <c r="C102" s="220" t="str">
        <f>VLOOKUP(D102,'DATA '!$X:$Z,3,0)</f>
        <v>TARATALA</v>
      </c>
      <c r="D102" s="319" t="str">
        <f>'DATA '!X6</f>
        <v>KRISH</v>
      </c>
      <c r="E102" s="319"/>
      <c r="F102" s="220">
        <f>VLOOKUP(D102,'OTHER PLANT ATTN.'!$C:$AH,('DATA '!$AA$3+1),0)</f>
        <v>0</v>
      </c>
      <c r="J102" s="224" t="s">
        <v>103</v>
      </c>
      <c r="K102" s="224" t="e">
        <f>K100</f>
        <v>#N/A</v>
      </c>
    </row>
    <row r="103" spans="1:13">
      <c r="A103" s="220">
        <v>5</v>
      </c>
      <c r="B103" s="220" t="str">
        <f>VLOOKUP(D103,'DATA '!$X:$Y,2,0)</f>
        <v>HELPER</v>
      </c>
      <c r="C103" s="220" t="str">
        <f>VLOOKUP(D103,'DATA '!$X:$Z,3,0)</f>
        <v>TARATALA</v>
      </c>
      <c r="D103" s="319" t="str">
        <f>'DATA '!X7</f>
        <v>KHAIRUL</v>
      </c>
      <c r="E103" s="319"/>
      <c r="F103" s="220">
        <f>VLOOKUP(D103,'OTHER PLANT ATTN.'!$C:$AH,('DATA '!$AA$3+1),0)</f>
        <v>0</v>
      </c>
      <c r="J103" s="11"/>
      <c r="K103" s="11"/>
    </row>
    <row r="104" spans="1:13">
      <c r="A104" s="220">
        <v>6</v>
      </c>
      <c r="B104" s="220" t="str">
        <f>VLOOKUP(D104,'DATA '!$X:$Y,2,0)</f>
        <v>HELPER</v>
      </c>
      <c r="C104" s="220" t="str">
        <f>VLOOKUP(D104,'DATA '!$X:$Z,3,0)</f>
        <v>TARATALA</v>
      </c>
      <c r="D104" s="319" t="str">
        <f>'DATA '!X8</f>
        <v>SAJAN</v>
      </c>
      <c r="E104" s="319"/>
      <c r="F104" s="220">
        <f>VLOOKUP(D104,'OTHER PLANT ATTN.'!$C:$AH,('DATA '!$AA$3+1),0)</f>
        <v>0</v>
      </c>
      <c r="J104" s="209"/>
    </row>
    <row r="105" spans="1:13">
      <c r="A105" s="220">
        <v>7</v>
      </c>
      <c r="B105" s="220" t="str">
        <f>VLOOKUP(D105,'DATA '!$X:$Y,2,0)</f>
        <v>DRIVER</v>
      </c>
      <c r="C105" s="220" t="str">
        <f>VLOOKUP(D105,'DATA '!$X:$Z,3,0)</f>
        <v>TARATALA</v>
      </c>
      <c r="D105" s="319" t="str">
        <f>'DATA '!X9</f>
        <v>GIASUDDIN</v>
      </c>
      <c r="E105" s="319"/>
      <c r="F105" s="220">
        <f>VLOOKUP(D105,'OTHER PLANT ATTN.'!$C:$AH,('DATA '!$AA$3+1),0)</f>
        <v>0</v>
      </c>
      <c r="J105" s="209"/>
    </row>
    <row r="106" spans="1:13">
      <c r="A106" s="220">
        <v>8</v>
      </c>
      <c r="B106" s="220" t="str">
        <f>VLOOKUP(D106,'DATA '!$X:$Y,2,0)</f>
        <v>DRIVER</v>
      </c>
      <c r="C106" s="220" t="str">
        <f>VLOOKUP(D106,'DATA '!$X:$Z,3,0)</f>
        <v>JALAN</v>
      </c>
      <c r="D106" s="319" t="str">
        <f>'DATA '!X10</f>
        <v>RAKESH</v>
      </c>
      <c r="E106" s="319"/>
      <c r="F106" s="220">
        <f>VLOOKUP(D106,'OTHER PLANT ATTN.'!$C:$AH,('DATA '!$AA$3+1),0)</f>
        <v>0</v>
      </c>
      <c r="J106" s="209"/>
    </row>
    <row r="107" spans="1:13">
      <c r="A107" s="220">
        <v>9</v>
      </c>
      <c r="B107" s="220" t="str">
        <f>VLOOKUP(D107,'DATA '!$X:$Y,2,0)</f>
        <v>DRIVER</v>
      </c>
      <c r="C107" s="220" t="str">
        <f>VLOOKUP(D107,'DATA '!$X:$Z,3,0)</f>
        <v>TARATALA</v>
      </c>
      <c r="D107" s="319" t="str">
        <f>'DATA '!X11</f>
        <v>ANSAR</v>
      </c>
      <c r="E107" s="319"/>
      <c r="F107" s="220">
        <f>VLOOKUP(D107,'OTHER PLANT ATTN.'!$C:$AH,('DATA '!$AA$3+1),0)</f>
        <v>0</v>
      </c>
    </row>
    <row r="108" spans="1:13">
      <c r="A108" s="220">
        <v>10</v>
      </c>
      <c r="B108" s="220" t="str">
        <f>VLOOKUP(D108,'DATA '!$X:$Y,2,0)</f>
        <v>DRIVER</v>
      </c>
      <c r="C108" s="220" t="str">
        <f>VLOOKUP(D108,'DATA '!$X:$Z,3,0)</f>
        <v>TARATALA</v>
      </c>
      <c r="D108" s="319" t="str">
        <f>'DATA '!X12</f>
        <v>RANJIT</v>
      </c>
      <c r="E108" s="319"/>
      <c r="F108" s="220">
        <f>VLOOKUP(D108,'OTHER PLANT ATTN.'!$C:$AH,('DATA '!$AA$3+1),0)</f>
        <v>0</v>
      </c>
    </row>
    <row r="109" spans="1:13">
      <c r="A109" s="220">
        <v>11</v>
      </c>
      <c r="B109" s="220" t="str">
        <f>VLOOKUP(D109,'DATA '!$X:$Y,2,0)</f>
        <v>HELPER</v>
      </c>
      <c r="C109" s="220" t="str">
        <f>VLOOKUP(D109,'DATA '!$X:$Z,3,0)</f>
        <v>TARATALA</v>
      </c>
      <c r="D109" s="319" t="str">
        <f>'DATA '!X13</f>
        <v>KAPIL</v>
      </c>
      <c r="E109" s="319"/>
      <c r="F109" s="220">
        <f>VLOOKUP(D109,'OTHER PLANT ATTN.'!$C:$AH,('DATA '!$AA$3+1),0)</f>
        <v>0</v>
      </c>
    </row>
    <row r="110" spans="1:13">
      <c r="A110" s="220">
        <v>12</v>
      </c>
      <c r="B110" s="220" t="str">
        <f>VLOOKUP(D110,'DATA '!$X:$Y,2,0)</f>
        <v>HELPER</v>
      </c>
      <c r="C110" s="220" t="str">
        <f>VLOOKUP(D110,'DATA '!$X:$Z,3,0)</f>
        <v>TARATALA</v>
      </c>
      <c r="D110" s="319" t="str">
        <f>'DATA '!X14</f>
        <v>RINTU</v>
      </c>
      <c r="E110" s="319"/>
      <c r="F110" s="220">
        <f>VLOOKUP(D110,'OTHER PLANT ATTN.'!$C:$AH,('DATA '!$AA$3+1),0)</f>
        <v>0</v>
      </c>
    </row>
    <row r="111" spans="1:13">
      <c r="A111" s="220">
        <v>13</v>
      </c>
      <c r="B111" s="220" t="str">
        <f>VLOOKUP(D111,'DATA '!$X:$Y,2,0)</f>
        <v>HELPER</v>
      </c>
      <c r="C111" s="220" t="str">
        <f>VLOOKUP(D111,'DATA '!$X:$Z,3,0)</f>
        <v>TARATALA</v>
      </c>
      <c r="D111" s="319" t="str">
        <f>'DATA '!X15</f>
        <v>RABIN</v>
      </c>
      <c r="E111" s="319"/>
      <c r="F111" s="220">
        <f>VLOOKUP(D111,'OTHER PLANT ATTN.'!$C:$AH,('DATA '!$AA$3+1),0)</f>
        <v>0</v>
      </c>
    </row>
    <row r="112" spans="1:13">
      <c r="A112" s="220">
        <v>14</v>
      </c>
      <c r="B112" s="220" t="str">
        <f>VLOOKUP(D112,'DATA '!$X:$Y,2,0)</f>
        <v>HELPER</v>
      </c>
      <c r="C112" s="220" t="str">
        <f>VLOOKUP(D112,'DATA '!$X:$Z,3,0)</f>
        <v>JALAN</v>
      </c>
      <c r="D112" s="319" t="str">
        <f>'DATA '!X16</f>
        <v>MITHUN</v>
      </c>
      <c r="E112" s="319"/>
      <c r="F112" s="220">
        <f>VLOOKUP(D112,'OTHER PLANT ATTN.'!$C:$AH,('DATA '!$AA$3+1),0)</f>
        <v>0</v>
      </c>
    </row>
    <row r="113" spans="1:6">
      <c r="A113" s="220">
        <v>15</v>
      </c>
      <c r="B113" s="220" t="str">
        <f>VLOOKUP(D113,'DATA '!$X:$Y,2,0)</f>
        <v>HELPER</v>
      </c>
      <c r="C113" s="220" t="str">
        <f>VLOOKUP(D113,'DATA '!$X:$Z,3,0)</f>
        <v>JALAN</v>
      </c>
      <c r="D113" s="319" t="str">
        <f>'DATA '!X17</f>
        <v>RAMU</v>
      </c>
      <c r="E113" s="319"/>
      <c r="F113" s="220">
        <f>VLOOKUP(D113,'OTHER PLANT ATTN.'!$C:$AH,('DATA '!$AA$3+1),0)</f>
        <v>0</v>
      </c>
    </row>
    <row r="114" spans="1:6">
      <c r="A114" s="220">
        <v>16</v>
      </c>
      <c r="B114" s="220" t="str">
        <f>VLOOKUP(D114,'DATA '!$X:$Y,2,0)</f>
        <v>DRIVER</v>
      </c>
      <c r="C114" s="220" t="str">
        <f>VLOOKUP(D114,'DATA '!$X:$Z,3,0)</f>
        <v>TARATALA</v>
      </c>
      <c r="D114" s="319" t="str">
        <f>'DATA '!X18</f>
        <v>TAPAS</v>
      </c>
      <c r="E114" s="319"/>
      <c r="F114" s="220">
        <f>VLOOKUP(D114,'OTHER PLANT ATTN.'!$C:$AH,('DATA '!$AA$3+1),0)</f>
        <v>0</v>
      </c>
    </row>
    <row r="115" spans="1:6">
      <c r="A115" s="220">
        <v>17</v>
      </c>
      <c r="B115" s="220" t="str">
        <f>VLOOKUP(D115,'DATA '!$X:$Y,2,0)</f>
        <v>DRIVER</v>
      </c>
      <c r="C115" s="220" t="str">
        <f>VLOOKUP(D115,'DATA '!$X:$Z,3,0)</f>
        <v>TARATALA</v>
      </c>
      <c r="D115" s="319" t="str">
        <f>'DATA '!X19</f>
        <v>SANJOY</v>
      </c>
      <c r="E115" s="319"/>
      <c r="F115" s="220">
        <f>VLOOKUP(D115,'OTHER PLANT ATTN.'!$C:$AH,('DATA '!$AA$3+1),0)</f>
        <v>0</v>
      </c>
    </row>
    <row r="116" spans="1:6">
      <c r="A116" s="220">
        <v>18</v>
      </c>
      <c r="B116" s="220" t="str">
        <f>VLOOKUP(D116,'DATA '!$X:$Y,2,0)</f>
        <v>DRIVER</v>
      </c>
      <c r="C116" s="220" t="str">
        <f>VLOOKUP(D116,'DATA '!$X:$Z,3,0)</f>
        <v>TARATALA</v>
      </c>
      <c r="D116" s="319" t="str">
        <f>'DATA '!X20</f>
        <v>ASIT</v>
      </c>
      <c r="E116" s="319"/>
      <c r="F116" s="220">
        <f>VLOOKUP(D116,'OTHER PLANT ATTN.'!$C:$AH,('DATA '!$AA$3+1),0)</f>
        <v>0</v>
      </c>
    </row>
    <row r="117" spans="1:6">
      <c r="A117" s="220">
        <v>19</v>
      </c>
      <c r="B117" s="220" t="str">
        <f>VLOOKUP(D117,'DATA '!$X:$Y,2,0)</f>
        <v>HELPER</v>
      </c>
      <c r="C117" s="220" t="str">
        <f>VLOOKUP(D117,'DATA '!$X:$Z,3,0)</f>
        <v>TARATALA</v>
      </c>
      <c r="D117" s="319" t="str">
        <f>'DATA '!X21</f>
        <v>BIJOY</v>
      </c>
      <c r="E117" s="319"/>
      <c r="F117" s="220">
        <f>VLOOKUP(D117,'OTHER PLANT ATTN.'!$C:$AH,('DATA '!$AA$3+1),0)</f>
        <v>0</v>
      </c>
    </row>
    <row r="118" spans="1:6">
      <c r="A118" s="220">
        <v>20</v>
      </c>
      <c r="B118" s="220" t="str">
        <f>VLOOKUP(D118,'DATA '!$X:$Y,2,0)</f>
        <v>HELPER</v>
      </c>
      <c r="C118" s="220" t="str">
        <f>VLOOKUP(D118,'DATA '!$X:$Z,3,0)</f>
        <v>TARATALA</v>
      </c>
      <c r="D118" s="319" t="str">
        <f>'DATA '!X22</f>
        <v>LOUL</v>
      </c>
      <c r="E118" s="319"/>
      <c r="F118" s="220">
        <f>VLOOKUP(D118,'OTHER PLANT ATTN.'!$C:$AH,('DATA '!$AA$3+1),0)</f>
        <v>0</v>
      </c>
    </row>
    <row r="119" spans="1:6">
      <c r="A119" s="220">
        <v>21</v>
      </c>
      <c r="B119" s="220" t="str">
        <f>VLOOKUP(D119,'DATA '!$X:$Y,2,0)</f>
        <v>HELPER</v>
      </c>
      <c r="C119" s="220" t="str">
        <f>VLOOKUP(D119,'DATA '!$X:$Z,3,0)</f>
        <v>TARATALA</v>
      </c>
      <c r="D119" s="319" t="str">
        <f>'DATA '!X23</f>
        <v>SAMIR BARMAN</v>
      </c>
      <c r="E119" s="319"/>
      <c r="F119" s="220">
        <f>VLOOKUP(D119,'OTHER PLANT ATTN.'!$C:$AH,('DATA '!$AA$3+1),0)</f>
        <v>0</v>
      </c>
    </row>
    <row r="120" spans="1:6">
      <c r="A120" s="220"/>
      <c r="B120" s="220"/>
      <c r="C120" s="220"/>
      <c r="D120" s="319"/>
      <c r="E120" s="319"/>
      <c r="F120" s="220"/>
    </row>
    <row r="121" spans="1:6">
      <c r="A121" s="220"/>
      <c r="B121" s="220"/>
      <c r="C121" s="220"/>
      <c r="D121" s="319"/>
      <c r="E121" s="319"/>
      <c r="F121" s="220"/>
    </row>
    <row r="122" spans="1:6">
      <c r="A122" s="220"/>
      <c r="B122" s="220"/>
      <c r="C122" s="220"/>
      <c r="D122" s="319"/>
      <c r="E122" s="319"/>
      <c r="F122" s="220"/>
    </row>
    <row r="123" spans="1:6">
      <c r="A123" s="220"/>
      <c r="B123" s="220"/>
      <c r="C123" s="220"/>
      <c r="D123" s="319"/>
      <c r="E123" s="319"/>
      <c r="F123" s="220"/>
    </row>
    <row r="124" spans="1:6">
      <c r="A124" s="220"/>
      <c r="B124" s="220"/>
      <c r="C124" s="220"/>
      <c r="D124" s="319"/>
      <c r="E124" s="319"/>
      <c r="F124" s="220"/>
    </row>
    <row r="125" spans="1:6">
      <c r="A125" s="220"/>
      <c r="B125" s="220"/>
      <c r="C125" s="220"/>
      <c r="D125" s="319"/>
      <c r="E125" s="319"/>
      <c r="F125" s="220"/>
    </row>
    <row r="126" spans="1:6">
      <c r="A126" s="220"/>
      <c r="B126" s="220"/>
      <c r="C126" s="220"/>
      <c r="D126" s="319"/>
      <c r="E126" s="319"/>
      <c r="F126" s="220"/>
    </row>
    <row r="127" spans="1:6">
      <c r="A127" s="220"/>
      <c r="B127" s="220"/>
      <c r="C127" s="220"/>
      <c r="D127" s="319"/>
      <c r="E127" s="319"/>
      <c r="F127" s="220"/>
    </row>
    <row r="128" spans="1:6">
      <c r="A128" s="316" t="s">
        <v>97</v>
      </c>
      <c r="B128" s="317"/>
      <c r="C128" s="317"/>
      <c r="D128" s="317"/>
      <c r="E128" s="318"/>
      <c r="F128" s="221" t="e">
        <f>SUM(F99:F127)</f>
        <v>#N/A</v>
      </c>
    </row>
    <row r="129" spans="4:5">
      <c r="D129" s="307"/>
      <c r="E129" s="307"/>
    </row>
    <row r="130" spans="4:5">
      <c r="D130" s="307"/>
      <c r="E130" s="307"/>
    </row>
    <row r="131" spans="4:5">
      <c r="D131" s="307"/>
      <c r="E131" s="307"/>
    </row>
    <row r="132" spans="4:5">
      <c r="D132" s="307"/>
      <c r="E132" s="307"/>
    </row>
    <row r="133" spans="4:5">
      <c r="D133" s="307"/>
      <c r="E133" s="307"/>
    </row>
  </sheetData>
  <mergeCells count="93">
    <mergeCell ref="A3:M3"/>
    <mergeCell ref="K4:M4"/>
    <mergeCell ref="D5:E5"/>
    <mergeCell ref="K5:L5"/>
    <mergeCell ref="A7:E7"/>
    <mergeCell ref="H7:M7"/>
    <mergeCell ref="F5:F6"/>
    <mergeCell ref="H5:H6"/>
    <mergeCell ref="I5:I6"/>
    <mergeCell ref="J5:J6"/>
    <mergeCell ref="M5:M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D49:E49"/>
    <mergeCell ref="A51:F51"/>
    <mergeCell ref="A87:E87"/>
    <mergeCell ref="D97:E97"/>
    <mergeCell ref="H97:L97"/>
    <mergeCell ref="F49:F50"/>
    <mergeCell ref="A98:F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33:E133"/>
    <mergeCell ref="A5:A6"/>
    <mergeCell ref="A49:A50"/>
    <mergeCell ref="B49:B50"/>
    <mergeCell ref="C49:C50"/>
    <mergeCell ref="B5:C6"/>
    <mergeCell ref="A128:E128"/>
    <mergeCell ref="D129:E129"/>
    <mergeCell ref="D130:E130"/>
    <mergeCell ref="D131:E131"/>
    <mergeCell ref="D132:E132"/>
    <mergeCell ref="D123:E123"/>
    <mergeCell ref="D124:E124"/>
    <mergeCell ref="D125:E125"/>
    <mergeCell ref="D126:E126"/>
    <mergeCell ref="D127:E127"/>
  </mergeCells>
  <conditionalFormatting sqref="D8:E42">
    <cfRule type="containsText" dxfId="2064" priority="5" operator="containsText" text="P">
      <formula>NOT(ISERROR(SEARCH("P",D8)))</formula>
    </cfRule>
    <cfRule type="containsText" dxfId="2063" priority="6" operator="containsText" text="A">
      <formula>NOT(ISERROR(SEARCH("A",D8)))</formula>
    </cfRule>
  </conditionalFormatting>
  <conditionalFormatting sqref="D52:E86">
    <cfRule type="containsText" dxfId="2062" priority="1" operator="containsText" text="P">
      <formula>NOT(ISERROR(SEARCH("P",D52)))</formula>
    </cfRule>
    <cfRule type="containsText" dxfId="2061" priority="2" operator="containsText" text="A">
      <formula>NOT(ISERROR(SEARCH("A",D52)))</formula>
    </cfRule>
  </conditionalFormatting>
  <conditionalFormatting sqref="K8:L96">
    <cfRule type="containsText" dxfId="2060" priority="3" operator="containsText" text="P">
      <formula>NOT(ISERROR(SEARCH("P",K8)))</formula>
    </cfRule>
    <cfRule type="containsText" dxfId="2059" priority="4" operator="containsText" text="A">
      <formula>NOT(ISERROR(SEARCH("A",K8)))</formula>
    </cfRule>
  </conditionalFormatting>
  <pageMargins left="0.25" right="0" top="0" bottom="0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FFFF00"/>
  </sheetPr>
  <dimension ref="A1:DN287"/>
  <sheetViews>
    <sheetView zoomScale="70" zoomScaleNormal="70" zoomScaleSheetLayoutView="70" workbookViewId="0">
      <pane xSplit="3" ySplit="2" topLeftCell="D3" activePane="bottomRight" state="frozen"/>
      <selection pane="topRight"/>
      <selection pane="bottomLeft"/>
      <selection pane="bottomRight" activeCell="G6" sqref="G6"/>
    </sheetView>
  </sheetViews>
  <sheetFormatPr defaultColWidth="9.125" defaultRowHeight="15.75"/>
  <cols>
    <col min="1" max="1" width="13.375" style="134" customWidth="1"/>
    <col min="2" max="2" width="12.125" style="134" customWidth="1"/>
    <col min="3" max="3" width="43.375" style="135" customWidth="1"/>
    <col min="4" max="4" width="16.25" customWidth="1"/>
    <col min="5" max="5" width="12.25" customWidth="1"/>
    <col min="6" max="6" width="10.875" customWidth="1"/>
    <col min="7" max="7" width="12.25" customWidth="1"/>
    <col min="8" max="8" width="13.125" customWidth="1"/>
    <col min="9" max="9" width="21.625" style="136" customWidth="1"/>
    <col min="10" max="10" width="17.25" customWidth="1"/>
    <col min="11" max="11" width="16.625" customWidth="1"/>
    <col min="12" max="12" width="15.625" customWidth="1"/>
    <col min="13" max="13" width="14.125" customWidth="1"/>
    <col min="14" max="14" width="15.625" customWidth="1"/>
    <col min="15" max="15" width="16.375" customWidth="1"/>
    <col min="16" max="16" width="25.25" customWidth="1"/>
    <col min="17" max="17" width="16.625" customWidth="1"/>
    <col min="18" max="18" width="28.25" style="137" customWidth="1"/>
    <col min="19" max="19" width="15.625" style="138" customWidth="1"/>
    <col min="20" max="20" width="7.25" style="2" customWidth="1"/>
    <col min="21" max="21" width="7.25" style="138" customWidth="1"/>
    <col min="22" max="22" width="7.25" style="2" customWidth="1"/>
    <col min="23" max="23" width="7" style="2" customWidth="1"/>
    <col min="24" max="24" width="4.75" style="139" customWidth="1"/>
    <col min="25" max="25" width="4.75" style="140" customWidth="1"/>
    <col min="26" max="26" width="4.75" style="139" customWidth="1"/>
    <col min="27" max="27" width="4.75" style="140" customWidth="1"/>
    <col min="28" max="28" width="4.75" style="139" customWidth="1"/>
    <col min="29" max="29" width="4.75" style="140" customWidth="1"/>
    <col min="30" max="30" width="4.75" style="139" customWidth="1"/>
    <col min="31" max="31" width="4.75" style="140" customWidth="1"/>
    <col min="32" max="32" width="4.75" style="139" customWidth="1"/>
    <col min="33" max="33" width="4.75" style="140" customWidth="1"/>
    <col min="34" max="34" width="4.75" style="139" customWidth="1"/>
    <col min="35" max="35" width="4.75" style="140" customWidth="1"/>
    <col min="36" max="36" width="4.75" style="139" customWidth="1"/>
    <col min="37" max="37" width="4.75" style="140" customWidth="1"/>
    <col min="38" max="38" width="4.75" style="139" customWidth="1"/>
    <col min="39" max="39" width="4.75" style="140" customWidth="1"/>
    <col min="40" max="40" width="4.75" style="139" customWidth="1"/>
    <col min="41" max="41" width="4.75" style="140" customWidth="1"/>
    <col min="42" max="42" width="4.75" style="139" customWidth="1"/>
    <col min="43" max="43" width="4.75" style="140" customWidth="1"/>
    <col min="44" max="44" width="4.75" style="139" customWidth="1"/>
    <col min="45" max="45" width="4.75" style="140" customWidth="1"/>
    <col min="46" max="46" width="4.75" style="139" customWidth="1"/>
    <col min="47" max="47" width="4.75" style="140" customWidth="1"/>
    <col min="48" max="48" width="4.75" style="139" customWidth="1"/>
    <col min="49" max="49" width="4.75" style="140" customWidth="1"/>
    <col min="50" max="50" width="4.75" style="139" customWidth="1"/>
    <col min="51" max="51" width="4.75" style="140" customWidth="1"/>
    <col min="52" max="52" width="4.75" style="139" customWidth="1"/>
    <col min="53" max="53" width="4.75" style="140" customWidth="1"/>
    <col min="54" max="54" width="4.75" style="139" customWidth="1"/>
    <col min="55" max="55" width="4.75" style="140" customWidth="1"/>
    <col min="56" max="56" width="4.75" style="139" customWidth="1"/>
    <col min="57" max="57" width="4.75" style="140" customWidth="1"/>
    <col min="58" max="58" width="4.75" style="139" customWidth="1"/>
    <col min="59" max="59" width="4.75" style="140" customWidth="1"/>
    <col min="60" max="60" width="4.75" style="139" customWidth="1"/>
    <col min="61" max="61" width="4.75" style="140" customWidth="1"/>
    <col min="62" max="62" width="4.75" style="139" customWidth="1"/>
    <col min="63" max="63" width="4.75" style="140" customWidth="1"/>
    <col min="64" max="64" width="4.75" style="139" customWidth="1"/>
    <col min="65" max="65" width="4.75" style="140" customWidth="1"/>
    <col min="66" max="66" width="4.75" style="139" customWidth="1"/>
    <col min="67" max="67" width="4.75" style="140" customWidth="1"/>
    <col min="68" max="68" width="4.75" style="139" customWidth="1"/>
    <col min="69" max="69" width="4.75" style="140" customWidth="1"/>
    <col min="70" max="70" width="4.75" style="139" customWidth="1"/>
    <col min="71" max="71" width="4.75" style="140" customWidth="1"/>
    <col min="72" max="72" width="4.75" style="139" customWidth="1"/>
    <col min="73" max="73" width="4.75" style="140" customWidth="1"/>
    <col min="74" max="74" width="4.75" style="139" customWidth="1"/>
    <col min="75" max="75" width="4.75" style="140" customWidth="1"/>
    <col min="76" max="76" width="4.75" style="139" customWidth="1"/>
    <col min="77" max="77" width="4.75" style="140" customWidth="1"/>
    <col min="78" max="78" width="4.75" style="139" customWidth="1"/>
    <col min="79" max="79" width="4.75" style="140" customWidth="1"/>
    <col min="80" max="80" width="4.75" style="139" customWidth="1"/>
    <col min="81" max="81" width="4.75" style="140" customWidth="1"/>
    <col min="82" max="82" width="4.75" style="139" customWidth="1"/>
    <col min="83" max="83" width="4.75" style="140" customWidth="1"/>
    <col min="84" max="84" width="4.75" style="139" customWidth="1"/>
    <col min="85" max="85" width="4.75" style="140" customWidth="1"/>
    <col min="86" max="86" width="5" customWidth="1"/>
    <col min="87" max="87" width="4.375" style="141" customWidth="1"/>
    <col min="88" max="94" width="5" style="141" customWidth="1"/>
    <col min="95" max="95" width="5.125" style="141" customWidth="1"/>
    <col min="96" max="96" width="5.75" style="141" customWidth="1"/>
    <col min="97" max="97" width="6" style="142" customWidth="1"/>
    <col min="98" max="98" width="5.875" style="141" customWidth="1"/>
    <col min="99" max="99" width="6.75" style="141" customWidth="1"/>
    <col min="100" max="100" width="5.875" style="141" customWidth="1"/>
    <col min="101" max="101" width="5.375" style="141" customWidth="1"/>
    <col min="102" max="103" width="5.625" style="141" customWidth="1"/>
    <col min="104" max="104" width="5.875" style="141" customWidth="1"/>
    <col min="105" max="106" width="5.375" style="141" customWidth="1"/>
    <col min="107" max="107" width="6.125" style="141" customWidth="1"/>
    <col min="108" max="108" width="5.375" style="141" customWidth="1"/>
    <col min="109" max="110" width="5.625" style="141" customWidth="1"/>
    <col min="111" max="111" width="5.875" style="141" customWidth="1"/>
    <col min="112" max="112" width="5.625" style="141" customWidth="1"/>
    <col min="113" max="113" width="5.375" style="141" customWidth="1"/>
    <col min="114" max="117" width="5.625" style="141" customWidth="1"/>
  </cols>
  <sheetData>
    <row r="1" spans="1:118" s="132" customFormat="1" ht="54" customHeight="1">
      <c r="A1" s="352">
        <v>46204</v>
      </c>
      <c r="B1" s="353"/>
      <c r="C1" s="354"/>
      <c r="D1" s="143"/>
      <c r="E1" s="143"/>
      <c r="F1" s="143"/>
      <c r="G1" s="143"/>
      <c r="H1" s="143"/>
      <c r="I1" s="153"/>
      <c r="J1" s="143"/>
      <c r="K1" s="143"/>
      <c r="L1" s="143"/>
      <c r="M1" s="143"/>
      <c r="N1" s="143"/>
      <c r="O1" s="143"/>
      <c r="P1" s="154" t="s">
        <v>104</v>
      </c>
      <c r="Q1" s="154" t="s">
        <v>105</v>
      </c>
      <c r="R1" s="161" t="s">
        <v>106</v>
      </c>
      <c r="S1" s="162" t="s">
        <v>107</v>
      </c>
      <c r="T1" s="163" t="s">
        <v>108</v>
      </c>
      <c r="U1" s="162" t="s">
        <v>109</v>
      </c>
      <c r="V1" s="164" t="s">
        <v>110</v>
      </c>
      <c r="W1" s="154" t="s">
        <v>111</v>
      </c>
      <c r="X1" s="355">
        <v>1</v>
      </c>
      <c r="Y1" s="356"/>
      <c r="Z1" s="350">
        <v>2</v>
      </c>
      <c r="AA1" s="351"/>
      <c r="AB1" s="350">
        <v>3</v>
      </c>
      <c r="AC1" s="351"/>
      <c r="AD1" s="350">
        <v>4</v>
      </c>
      <c r="AE1" s="351"/>
      <c r="AF1" s="350">
        <v>5</v>
      </c>
      <c r="AG1" s="351"/>
      <c r="AH1" s="350">
        <v>6</v>
      </c>
      <c r="AI1" s="351"/>
      <c r="AJ1" s="350">
        <v>7</v>
      </c>
      <c r="AK1" s="351"/>
      <c r="AL1" s="350">
        <v>8</v>
      </c>
      <c r="AM1" s="351"/>
      <c r="AN1" s="350">
        <v>9</v>
      </c>
      <c r="AO1" s="351"/>
      <c r="AP1" s="350">
        <v>10</v>
      </c>
      <c r="AQ1" s="351"/>
      <c r="AR1" s="350">
        <v>11</v>
      </c>
      <c r="AS1" s="351"/>
      <c r="AT1" s="350">
        <v>12</v>
      </c>
      <c r="AU1" s="351"/>
      <c r="AV1" s="350">
        <v>13</v>
      </c>
      <c r="AW1" s="351"/>
      <c r="AX1" s="350">
        <v>14</v>
      </c>
      <c r="AY1" s="351"/>
      <c r="AZ1" s="350">
        <v>15</v>
      </c>
      <c r="BA1" s="351"/>
      <c r="BB1" s="350">
        <v>16</v>
      </c>
      <c r="BC1" s="351"/>
      <c r="BD1" s="350">
        <v>17</v>
      </c>
      <c r="BE1" s="351"/>
      <c r="BF1" s="350">
        <v>18</v>
      </c>
      <c r="BG1" s="351"/>
      <c r="BH1" s="350">
        <v>19</v>
      </c>
      <c r="BI1" s="351"/>
      <c r="BJ1" s="350">
        <v>20</v>
      </c>
      <c r="BK1" s="351"/>
      <c r="BL1" s="350">
        <v>21</v>
      </c>
      <c r="BM1" s="351"/>
      <c r="BN1" s="350">
        <v>22</v>
      </c>
      <c r="BO1" s="351"/>
      <c r="BP1" s="350">
        <v>23</v>
      </c>
      <c r="BQ1" s="351"/>
      <c r="BR1" s="350">
        <v>24</v>
      </c>
      <c r="BS1" s="351"/>
      <c r="BT1" s="350">
        <v>25</v>
      </c>
      <c r="BU1" s="351"/>
      <c r="BV1" s="350">
        <v>26</v>
      </c>
      <c r="BW1" s="351"/>
      <c r="BX1" s="350">
        <v>27</v>
      </c>
      <c r="BY1" s="351"/>
      <c r="BZ1" s="350">
        <v>28</v>
      </c>
      <c r="CA1" s="351"/>
      <c r="CB1" s="350">
        <v>29</v>
      </c>
      <c r="CC1" s="351"/>
      <c r="CD1" s="350">
        <v>30</v>
      </c>
      <c r="CE1" s="351"/>
      <c r="CF1" s="350">
        <v>31</v>
      </c>
      <c r="CG1" s="351"/>
      <c r="CH1" s="180"/>
      <c r="CI1" s="181">
        <v>1</v>
      </c>
      <c r="CJ1" s="181">
        <v>2</v>
      </c>
      <c r="CK1" s="181">
        <v>3</v>
      </c>
      <c r="CL1" s="181">
        <v>4</v>
      </c>
      <c r="CM1" s="181">
        <v>5</v>
      </c>
      <c r="CN1" s="181">
        <v>6</v>
      </c>
      <c r="CO1" s="181">
        <v>7</v>
      </c>
      <c r="CP1" s="181">
        <v>8</v>
      </c>
      <c r="CQ1" s="181">
        <v>9</v>
      </c>
      <c r="CR1" s="181">
        <v>10</v>
      </c>
      <c r="CS1" s="181">
        <v>11</v>
      </c>
      <c r="CT1" s="181">
        <v>12</v>
      </c>
      <c r="CU1" s="181">
        <v>13</v>
      </c>
      <c r="CV1" s="181">
        <v>14</v>
      </c>
      <c r="CW1" s="181">
        <v>15</v>
      </c>
      <c r="CX1" s="181">
        <v>16</v>
      </c>
      <c r="CY1" s="181">
        <v>17</v>
      </c>
      <c r="CZ1" s="181">
        <v>18</v>
      </c>
      <c r="DA1" s="181">
        <v>19</v>
      </c>
      <c r="DB1" s="181">
        <v>20</v>
      </c>
      <c r="DC1" s="181">
        <v>21</v>
      </c>
      <c r="DD1" s="181">
        <v>22</v>
      </c>
      <c r="DE1" s="181">
        <v>23</v>
      </c>
      <c r="DF1" s="181">
        <v>24</v>
      </c>
      <c r="DG1" s="181">
        <v>25</v>
      </c>
      <c r="DH1" s="181">
        <v>26</v>
      </c>
      <c r="DI1" s="181">
        <v>27</v>
      </c>
      <c r="DJ1" s="181">
        <v>28</v>
      </c>
      <c r="DK1" s="181">
        <v>29</v>
      </c>
      <c r="DL1" s="181">
        <v>30</v>
      </c>
      <c r="DM1" s="181">
        <v>31</v>
      </c>
    </row>
    <row r="2" spans="1:118" s="133" customFormat="1" ht="30" customHeight="1">
      <c r="A2" s="144" t="s">
        <v>112</v>
      </c>
      <c r="B2" s="144" t="s">
        <v>113</v>
      </c>
      <c r="C2" s="144" t="s">
        <v>92</v>
      </c>
      <c r="D2" s="145" t="s">
        <v>114</v>
      </c>
      <c r="E2" s="145" t="s">
        <v>115</v>
      </c>
      <c r="F2" s="145" t="s">
        <v>116</v>
      </c>
      <c r="G2" s="145" t="s">
        <v>117</v>
      </c>
      <c r="H2" s="145" t="s">
        <v>97</v>
      </c>
      <c r="I2" s="155" t="s">
        <v>118</v>
      </c>
      <c r="J2" s="156" t="s">
        <v>119</v>
      </c>
      <c r="K2" s="156" t="s">
        <v>120</v>
      </c>
      <c r="L2" s="157" t="s">
        <v>121</v>
      </c>
      <c r="M2" s="157" t="s">
        <v>122</v>
      </c>
      <c r="N2" s="157" t="s">
        <v>123</v>
      </c>
      <c r="O2" s="157" t="s">
        <v>124</v>
      </c>
      <c r="P2" s="158" t="s">
        <v>104</v>
      </c>
      <c r="Q2" s="158" t="s">
        <v>105</v>
      </c>
      <c r="R2" s="165" t="s">
        <v>106</v>
      </c>
      <c r="S2" s="166" t="s">
        <v>107</v>
      </c>
      <c r="T2" s="158" t="s">
        <v>125</v>
      </c>
      <c r="U2" s="166" t="s">
        <v>126</v>
      </c>
      <c r="V2" s="158" t="s">
        <v>127</v>
      </c>
      <c r="W2" s="158" t="s">
        <v>128</v>
      </c>
      <c r="X2" s="158" t="s">
        <v>95</v>
      </c>
      <c r="Y2" s="158" t="s">
        <v>96</v>
      </c>
      <c r="Z2" s="158" t="s">
        <v>129</v>
      </c>
      <c r="AA2" s="158" t="s">
        <v>130</v>
      </c>
      <c r="AB2" s="158" t="s">
        <v>131</v>
      </c>
      <c r="AC2" s="158" t="s">
        <v>132</v>
      </c>
      <c r="AD2" s="158" t="s">
        <v>133</v>
      </c>
      <c r="AE2" s="158" t="s">
        <v>134</v>
      </c>
      <c r="AF2" s="158" t="s">
        <v>135</v>
      </c>
      <c r="AG2" s="158" t="s">
        <v>136</v>
      </c>
      <c r="AH2" s="158" t="s">
        <v>137</v>
      </c>
      <c r="AI2" s="158" t="s">
        <v>138</v>
      </c>
      <c r="AJ2" s="158" t="s">
        <v>139</v>
      </c>
      <c r="AK2" s="158" t="s">
        <v>140</v>
      </c>
      <c r="AL2" s="158" t="s">
        <v>141</v>
      </c>
      <c r="AM2" s="158" t="s">
        <v>142</v>
      </c>
      <c r="AN2" s="158" t="s">
        <v>143</v>
      </c>
      <c r="AO2" s="158" t="s">
        <v>144</v>
      </c>
      <c r="AP2" s="158" t="s">
        <v>145</v>
      </c>
      <c r="AQ2" s="158" t="s">
        <v>146</v>
      </c>
      <c r="AR2" s="158" t="s">
        <v>147</v>
      </c>
      <c r="AS2" s="158" t="s">
        <v>148</v>
      </c>
      <c r="AT2" s="158" t="s">
        <v>149</v>
      </c>
      <c r="AU2" s="158" t="s">
        <v>150</v>
      </c>
      <c r="AV2" s="158" t="s">
        <v>151</v>
      </c>
      <c r="AW2" s="158" t="s">
        <v>152</v>
      </c>
      <c r="AX2" s="158" t="s">
        <v>153</v>
      </c>
      <c r="AY2" s="158" t="s">
        <v>154</v>
      </c>
      <c r="AZ2" s="158" t="s">
        <v>155</v>
      </c>
      <c r="BA2" s="158" t="s">
        <v>156</v>
      </c>
      <c r="BB2" s="158" t="s">
        <v>157</v>
      </c>
      <c r="BC2" s="158" t="s">
        <v>158</v>
      </c>
      <c r="BD2" s="158" t="s">
        <v>159</v>
      </c>
      <c r="BE2" s="158" t="s">
        <v>160</v>
      </c>
      <c r="BF2" s="158" t="s">
        <v>161</v>
      </c>
      <c r="BG2" s="158" t="s">
        <v>162</v>
      </c>
      <c r="BH2" s="158" t="s">
        <v>163</v>
      </c>
      <c r="BI2" s="158" t="s">
        <v>164</v>
      </c>
      <c r="BJ2" s="158" t="s">
        <v>165</v>
      </c>
      <c r="BK2" s="158" t="s">
        <v>166</v>
      </c>
      <c r="BL2" s="158" t="s">
        <v>167</v>
      </c>
      <c r="BM2" s="158" t="s">
        <v>168</v>
      </c>
      <c r="BN2" s="158" t="s">
        <v>169</v>
      </c>
      <c r="BO2" s="158" t="s">
        <v>170</v>
      </c>
      <c r="BP2" s="158" t="s">
        <v>171</v>
      </c>
      <c r="BQ2" s="158" t="s">
        <v>172</v>
      </c>
      <c r="BR2" s="158" t="s">
        <v>173</v>
      </c>
      <c r="BS2" s="158" t="s">
        <v>174</v>
      </c>
      <c r="BT2" s="158" t="s">
        <v>175</v>
      </c>
      <c r="BU2" s="158" t="s">
        <v>176</v>
      </c>
      <c r="BV2" s="158" t="s">
        <v>177</v>
      </c>
      <c r="BW2" s="158" t="s">
        <v>178</v>
      </c>
      <c r="BX2" s="158" t="s">
        <v>179</v>
      </c>
      <c r="BY2" s="158" t="s">
        <v>180</v>
      </c>
      <c r="BZ2" s="158" t="s">
        <v>181</v>
      </c>
      <c r="CA2" s="158" t="s">
        <v>182</v>
      </c>
      <c r="CB2" s="158" t="s">
        <v>183</v>
      </c>
      <c r="CC2" s="158" t="s">
        <v>184</v>
      </c>
      <c r="CD2" s="158" t="s">
        <v>185</v>
      </c>
      <c r="CE2" s="158" t="s">
        <v>186</v>
      </c>
      <c r="CF2" s="158" t="s">
        <v>187</v>
      </c>
      <c r="CG2" s="182" t="s">
        <v>188</v>
      </c>
      <c r="CH2" s="183" t="s">
        <v>189</v>
      </c>
      <c r="CI2" s="184" t="s">
        <v>190</v>
      </c>
      <c r="CJ2" s="158" t="s">
        <v>4</v>
      </c>
      <c r="CK2" s="158" t="s">
        <v>5</v>
      </c>
      <c r="CL2" s="158" t="s">
        <v>6</v>
      </c>
      <c r="CM2" s="158" t="s">
        <v>7</v>
      </c>
      <c r="CN2" s="158" t="s">
        <v>8</v>
      </c>
      <c r="CO2" s="158" t="s">
        <v>9</v>
      </c>
      <c r="CP2" s="158" t="s">
        <v>10</v>
      </c>
      <c r="CQ2" s="158" t="s">
        <v>11</v>
      </c>
      <c r="CR2" s="158" t="s">
        <v>12</v>
      </c>
      <c r="CS2" s="158" t="s">
        <v>13</v>
      </c>
      <c r="CT2" s="158" t="s">
        <v>14</v>
      </c>
      <c r="CU2" s="158" t="s">
        <v>15</v>
      </c>
      <c r="CV2" s="158" t="s">
        <v>16</v>
      </c>
      <c r="CW2" s="158" t="s">
        <v>17</v>
      </c>
      <c r="CX2" s="158" t="s">
        <v>18</v>
      </c>
      <c r="CY2" s="158" t="s">
        <v>19</v>
      </c>
      <c r="CZ2" s="158" t="s">
        <v>20</v>
      </c>
      <c r="DA2" s="158" t="s">
        <v>21</v>
      </c>
      <c r="DB2" s="158" t="s">
        <v>22</v>
      </c>
      <c r="DC2" s="158" t="s">
        <v>23</v>
      </c>
      <c r="DD2" s="158" t="s">
        <v>24</v>
      </c>
      <c r="DE2" s="158" t="s">
        <v>25</v>
      </c>
      <c r="DF2" s="158" t="s">
        <v>26</v>
      </c>
      <c r="DG2" s="158" t="s">
        <v>27</v>
      </c>
      <c r="DH2" s="158" t="s">
        <v>28</v>
      </c>
      <c r="DI2" s="158" t="s">
        <v>29</v>
      </c>
      <c r="DJ2" s="158" t="s">
        <v>30</v>
      </c>
      <c r="DK2" s="158" t="s">
        <v>31</v>
      </c>
      <c r="DL2" s="158" t="s">
        <v>32</v>
      </c>
      <c r="DM2" s="158" t="s">
        <v>33</v>
      </c>
      <c r="DN2" s="158" t="s">
        <v>191</v>
      </c>
    </row>
    <row r="3" spans="1:118">
      <c r="A3" s="146" t="s">
        <v>79</v>
      </c>
      <c r="B3" s="146" t="s">
        <v>83</v>
      </c>
      <c r="C3" s="28" t="s">
        <v>244</v>
      </c>
      <c r="D3" s="55" t="s">
        <v>288</v>
      </c>
      <c r="E3" s="62">
        <v>10560</v>
      </c>
      <c r="F3" s="62">
        <v>5000</v>
      </c>
      <c r="G3" s="62">
        <v>4440</v>
      </c>
      <c r="H3" s="62">
        <f>SUBTOTAL(9,Table4[[#This Row],[BASIC]:[FOOD]])</f>
        <v>20000</v>
      </c>
      <c r="I3" s="62"/>
      <c r="J3" s="62"/>
      <c r="K3" s="62"/>
      <c r="L3" s="62"/>
      <c r="M3" s="62"/>
      <c r="N3" s="62"/>
      <c r="O3" s="62"/>
      <c r="P3" s="11" t="s">
        <v>300</v>
      </c>
      <c r="Q3" s="11" t="s">
        <v>301</v>
      </c>
      <c r="R3" s="12">
        <v>1301000024464</v>
      </c>
      <c r="S3" s="167"/>
      <c r="T3" s="10">
        <f>COUNTIF(X3:CG3,"P")</f>
        <v>29</v>
      </c>
      <c r="U3" s="167">
        <v>2</v>
      </c>
      <c r="V3" s="10">
        <f>T3+U3</f>
        <v>31</v>
      </c>
      <c r="W3" s="10">
        <f>SUM(CI3:DM3)</f>
        <v>0</v>
      </c>
      <c r="X3" s="168" t="s">
        <v>153</v>
      </c>
      <c r="Y3" s="168" t="s">
        <v>192</v>
      </c>
      <c r="Z3" s="170" t="s">
        <v>153</v>
      </c>
      <c r="AA3" s="168" t="s">
        <v>192</v>
      </c>
      <c r="AB3" s="168" t="s">
        <v>153</v>
      </c>
      <c r="AC3" s="168" t="s">
        <v>192</v>
      </c>
      <c r="AD3" s="168" t="s">
        <v>153</v>
      </c>
      <c r="AE3" s="168" t="s">
        <v>192</v>
      </c>
      <c r="AF3" s="168" t="s">
        <v>153</v>
      </c>
      <c r="AG3" s="168" t="s">
        <v>192</v>
      </c>
      <c r="AH3" s="168" t="s">
        <v>153</v>
      </c>
      <c r="AI3" s="168" t="s">
        <v>192</v>
      </c>
      <c r="AJ3" s="168" t="s">
        <v>153</v>
      </c>
      <c r="AK3" s="168" t="s">
        <v>192</v>
      </c>
      <c r="AL3" s="168" t="s">
        <v>192</v>
      </c>
      <c r="AM3" s="168" t="s">
        <v>192</v>
      </c>
      <c r="AN3" s="168" t="s">
        <v>153</v>
      </c>
      <c r="AO3" s="168" t="s">
        <v>192</v>
      </c>
      <c r="AP3" s="168" t="s">
        <v>153</v>
      </c>
      <c r="AQ3" s="168" t="s">
        <v>192</v>
      </c>
      <c r="AR3" s="168" t="s">
        <v>153</v>
      </c>
      <c r="AS3" s="168" t="s">
        <v>192</v>
      </c>
      <c r="AT3" s="168" t="s">
        <v>153</v>
      </c>
      <c r="AU3" s="168" t="s">
        <v>192</v>
      </c>
      <c r="AV3" s="168" t="s">
        <v>153</v>
      </c>
      <c r="AW3" s="168" t="s">
        <v>192</v>
      </c>
      <c r="AX3" s="168" t="s">
        <v>153</v>
      </c>
      <c r="AY3" s="168" t="s">
        <v>192</v>
      </c>
      <c r="AZ3" s="168" t="s">
        <v>153</v>
      </c>
      <c r="BA3" s="168" t="s">
        <v>192</v>
      </c>
      <c r="BB3" s="168" t="s">
        <v>153</v>
      </c>
      <c r="BC3" s="168" t="s">
        <v>192</v>
      </c>
      <c r="BD3" s="168" t="s">
        <v>153</v>
      </c>
      <c r="BE3" s="168" t="s">
        <v>192</v>
      </c>
      <c r="BF3" s="168" t="s">
        <v>153</v>
      </c>
      <c r="BG3" s="168" t="s">
        <v>192</v>
      </c>
      <c r="BH3" s="168" t="s">
        <v>153</v>
      </c>
      <c r="BI3" s="168" t="s">
        <v>192</v>
      </c>
      <c r="BJ3" s="168" t="s">
        <v>153</v>
      </c>
      <c r="BK3" s="168" t="s">
        <v>192</v>
      </c>
      <c r="BL3" s="168" t="s">
        <v>153</v>
      </c>
      <c r="BM3" s="168" t="s">
        <v>192</v>
      </c>
      <c r="BN3" s="168" t="s">
        <v>153</v>
      </c>
      <c r="BO3" s="168" t="s">
        <v>192</v>
      </c>
      <c r="BP3" s="168" t="s">
        <v>153</v>
      </c>
      <c r="BQ3" s="168" t="s">
        <v>192</v>
      </c>
      <c r="BR3" s="168" t="s">
        <v>153</v>
      </c>
      <c r="BS3" s="168" t="s">
        <v>192</v>
      </c>
      <c r="BT3" s="168" t="s">
        <v>153</v>
      </c>
      <c r="BU3" s="168" t="s">
        <v>192</v>
      </c>
      <c r="BV3" s="168" t="s">
        <v>192</v>
      </c>
      <c r="BW3" s="168" t="s">
        <v>192</v>
      </c>
      <c r="BX3" s="168" t="s">
        <v>153</v>
      </c>
      <c r="BY3" s="168" t="s">
        <v>192</v>
      </c>
      <c r="BZ3" s="168" t="s">
        <v>153</v>
      </c>
      <c r="CA3" s="168" t="s">
        <v>192</v>
      </c>
      <c r="CB3" s="168" t="s">
        <v>153</v>
      </c>
      <c r="CC3" s="168" t="s">
        <v>192</v>
      </c>
      <c r="CD3" s="168" t="s">
        <v>153</v>
      </c>
      <c r="CE3" s="168" t="s">
        <v>192</v>
      </c>
      <c r="CF3" s="168" t="s">
        <v>153</v>
      </c>
      <c r="CG3" s="244" t="s">
        <v>192</v>
      </c>
      <c r="CH3" s="183"/>
      <c r="CI3" s="185"/>
      <c r="CJ3" s="160"/>
      <c r="CK3" s="160"/>
      <c r="CL3" s="160"/>
      <c r="CM3" s="160"/>
      <c r="CN3" s="160"/>
      <c r="CO3" s="160"/>
      <c r="CP3" s="160"/>
      <c r="CQ3" s="160"/>
      <c r="CR3" s="160"/>
      <c r="CS3" s="179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  <c r="DI3" s="160"/>
      <c r="DJ3" s="160"/>
      <c r="DK3" s="160"/>
      <c r="DL3" s="160"/>
      <c r="DM3" s="160"/>
      <c r="DN3" s="189"/>
    </row>
    <row r="4" spans="1:118">
      <c r="A4" s="146" t="s">
        <v>79</v>
      </c>
      <c r="B4" s="146" t="s">
        <v>83</v>
      </c>
      <c r="C4" s="28" t="s">
        <v>245</v>
      </c>
      <c r="D4" s="55" t="s">
        <v>289</v>
      </c>
      <c r="E4" s="62">
        <v>14300</v>
      </c>
      <c r="F4" s="62">
        <v>7000</v>
      </c>
      <c r="G4" s="62">
        <v>7200</v>
      </c>
      <c r="H4" s="62">
        <f>SUBTOTAL(9,Table4[[#This Row],[BASIC]:[FOOD]])</f>
        <v>28500</v>
      </c>
      <c r="I4" s="62"/>
      <c r="J4" s="62"/>
      <c r="K4" s="62"/>
      <c r="L4" s="62"/>
      <c r="M4" s="62"/>
      <c r="N4" s="62"/>
      <c r="O4" s="62"/>
      <c r="P4" s="11" t="s">
        <v>302</v>
      </c>
      <c r="Q4" s="11" t="s">
        <v>303</v>
      </c>
      <c r="R4" s="12">
        <v>37720693683</v>
      </c>
      <c r="S4" s="167"/>
      <c r="T4" s="10">
        <f>COUNTIF(X4:CG4,"P")</f>
        <v>29</v>
      </c>
      <c r="U4" s="167">
        <v>2</v>
      </c>
      <c r="V4" s="10">
        <f>T4+U4</f>
        <v>31</v>
      </c>
      <c r="W4" s="10">
        <f>SUM(CI4:DM4)</f>
        <v>0</v>
      </c>
      <c r="X4" s="168" t="s">
        <v>153</v>
      </c>
      <c r="Y4" s="168" t="s">
        <v>192</v>
      </c>
      <c r="Z4" s="170" t="s">
        <v>153</v>
      </c>
      <c r="AA4" s="168" t="s">
        <v>192</v>
      </c>
      <c r="AB4" s="168" t="s">
        <v>153</v>
      </c>
      <c r="AC4" s="168" t="s">
        <v>192</v>
      </c>
      <c r="AD4" s="168" t="s">
        <v>153</v>
      </c>
      <c r="AE4" s="168" t="s">
        <v>192</v>
      </c>
      <c r="AF4" s="168" t="s">
        <v>153</v>
      </c>
      <c r="AG4" s="168" t="s">
        <v>192</v>
      </c>
      <c r="AH4" s="168" t="s">
        <v>153</v>
      </c>
      <c r="AI4" s="168" t="s">
        <v>192</v>
      </c>
      <c r="AJ4" s="168" t="s">
        <v>153</v>
      </c>
      <c r="AK4" s="168" t="s">
        <v>192</v>
      </c>
      <c r="AL4" s="168" t="s">
        <v>153</v>
      </c>
      <c r="AM4" s="168" t="s">
        <v>192</v>
      </c>
      <c r="AN4" s="168" t="s">
        <v>153</v>
      </c>
      <c r="AO4" s="168" t="s">
        <v>192</v>
      </c>
      <c r="AP4" s="168" t="s">
        <v>192</v>
      </c>
      <c r="AQ4" s="168" t="s">
        <v>192</v>
      </c>
      <c r="AR4" s="168" t="s">
        <v>153</v>
      </c>
      <c r="AS4" s="168" t="s">
        <v>192</v>
      </c>
      <c r="AT4" s="168" t="s">
        <v>153</v>
      </c>
      <c r="AU4" s="168" t="s">
        <v>192</v>
      </c>
      <c r="AV4" s="168" t="s">
        <v>153</v>
      </c>
      <c r="AW4" s="168" t="s">
        <v>192</v>
      </c>
      <c r="AX4" s="168" t="s">
        <v>153</v>
      </c>
      <c r="AY4" s="168" t="s">
        <v>192</v>
      </c>
      <c r="AZ4" s="168" t="s">
        <v>153</v>
      </c>
      <c r="BA4" s="168" t="s">
        <v>192</v>
      </c>
      <c r="BB4" s="168" t="s">
        <v>153</v>
      </c>
      <c r="BC4" s="168" t="s">
        <v>192</v>
      </c>
      <c r="BD4" s="168" t="s">
        <v>153</v>
      </c>
      <c r="BE4" s="168" t="s">
        <v>192</v>
      </c>
      <c r="BF4" s="168" t="s">
        <v>153</v>
      </c>
      <c r="BG4" s="168" t="s">
        <v>192</v>
      </c>
      <c r="BH4" s="168" t="s">
        <v>153</v>
      </c>
      <c r="BI4" s="168" t="s">
        <v>192</v>
      </c>
      <c r="BJ4" s="168" t="s">
        <v>153</v>
      </c>
      <c r="BK4" s="168" t="s">
        <v>192</v>
      </c>
      <c r="BL4" s="168" t="s">
        <v>153</v>
      </c>
      <c r="BM4" s="168" t="s">
        <v>192</v>
      </c>
      <c r="BN4" s="168" t="s">
        <v>153</v>
      </c>
      <c r="BO4" s="168" t="s">
        <v>192</v>
      </c>
      <c r="BP4" s="168" t="s">
        <v>153</v>
      </c>
      <c r="BQ4" s="168" t="s">
        <v>192</v>
      </c>
      <c r="BR4" s="168" t="s">
        <v>153</v>
      </c>
      <c r="BS4" s="168" t="s">
        <v>192</v>
      </c>
      <c r="BT4" s="168" t="s">
        <v>153</v>
      </c>
      <c r="BU4" s="168" t="s">
        <v>192</v>
      </c>
      <c r="BV4" s="168" t="s">
        <v>153</v>
      </c>
      <c r="BW4" s="168" t="s">
        <v>192</v>
      </c>
      <c r="BX4" s="168" t="s">
        <v>153</v>
      </c>
      <c r="BY4" s="168" t="s">
        <v>192</v>
      </c>
      <c r="BZ4" s="168" t="s">
        <v>192</v>
      </c>
      <c r="CA4" s="168" t="s">
        <v>192</v>
      </c>
      <c r="CB4" s="168" t="s">
        <v>153</v>
      </c>
      <c r="CC4" s="168" t="s">
        <v>192</v>
      </c>
      <c r="CD4" s="168" t="s">
        <v>153</v>
      </c>
      <c r="CE4" s="168" t="s">
        <v>192</v>
      </c>
      <c r="CF4" s="168" t="s">
        <v>153</v>
      </c>
      <c r="CG4" s="244" t="s">
        <v>192</v>
      </c>
      <c r="CH4" s="183"/>
      <c r="CI4" s="185"/>
      <c r="CJ4" s="160"/>
      <c r="CK4" s="160"/>
      <c r="CL4" s="160"/>
      <c r="CM4" s="160"/>
      <c r="CN4" s="160"/>
      <c r="CO4" s="160"/>
      <c r="CP4" s="160"/>
      <c r="CQ4" s="160"/>
      <c r="CR4" s="160"/>
      <c r="CS4" s="179"/>
      <c r="CT4" s="160"/>
      <c r="CU4" s="160"/>
      <c r="CV4" s="160"/>
      <c r="CW4" s="160"/>
      <c r="CX4" s="160"/>
      <c r="CY4" s="160"/>
      <c r="CZ4" s="160"/>
      <c r="DA4" s="160"/>
      <c r="DB4" s="160"/>
      <c r="DC4" s="160"/>
      <c r="DD4" s="160"/>
      <c r="DE4" s="160"/>
      <c r="DF4" s="160"/>
      <c r="DG4" s="160"/>
      <c r="DH4" s="160"/>
      <c r="DI4" s="160"/>
      <c r="DJ4" s="160"/>
      <c r="DK4" s="160"/>
      <c r="DL4" s="160"/>
      <c r="DM4" s="160"/>
      <c r="DN4" s="160"/>
    </row>
    <row r="5" spans="1:118">
      <c r="A5" s="146" t="s">
        <v>79</v>
      </c>
      <c r="B5" s="146" t="s">
        <v>83</v>
      </c>
      <c r="C5" s="28" t="s">
        <v>246</v>
      </c>
      <c r="D5" s="147" t="s">
        <v>290</v>
      </c>
      <c r="E5" s="62">
        <v>12000</v>
      </c>
      <c r="F5" s="62">
        <v>6000</v>
      </c>
      <c r="G5" s="62">
        <v>4500</v>
      </c>
      <c r="H5" s="62">
        <f>SUBTOTAL(9,Table4[[#This Row],[BASIC]:[FOOD]])</f>
        <v>22500</v>
      </c>
      <c r="I5" s="62"/>
      <c r="J5" s="62"/>
      <c r="K5" s="62"/>
      <c r="L5" s="62"/>
      <c r="M5" s="62"/>
      <c r="N5" s="62"/>
      <c r="O5" s="62"/>
      <c r="P5" s="11" t="s">
        <v>304</v>
      </c>
      <c r="Q5" s="11" t="s">
        <v>305</v>
      </c>
      <c r="R5" s="12">
        <v>80850100001569</v>
      </c>
      <c r="S5" s="167"/>
      <c r="T5" s="10">
        <f>COUNTIF(X5:CG5,"P")</f>
        <v>30</v>
      </c>
      <c r="U5" s="167">
        <v>1</v>
      </c>
      <c r="V5" s="10">
        <f>T5+U5</f>
        <v>31</v>
      </c>
      <c r="W5" s="10">
        <f>SUM(CI5:DM5)</f>
        <v>0</v>
      </c>
      <c r="X5" s="168" t="s">
        <v>153</v>
      </c>
      <c r="Y5" s="168" t="s">
        <v>192</v>
      </c>
      <c r="Z5" s="170" t="s">
        <v>153</v>
      </c>
      <c r="AA5" s="168" t="s">
        <v>192</v>
      </c>
      <c r="AB5" s="168" t="s">
        <v>153</v>
      </c>
      <c r="AC5" s="168" t="s">
        <v>192</v>
      </c>
      <c r="AD5" s="168" t="s">
        <v>153</v>
      </c>
      <c r="AE5" s="168" t="s">
        <v>192</v>
      </c>
      <c r="AF5" s="168" t="s">
        <v>153</v>
      </c>
      <c r="AG5" s="168" t="s">
        <v>192</v>
      </c>
      <c r="AH5" s="168" t="s">
        <v>153</v>
      </c>
      <c r="AI5" s="168" t="s">
        <v>192</v>
      </c>
      <c r="AJ5" s="168" t="s">
        <v>153</v>
      </c>
      <c r="AK5" s="168" t="s">
        <v>192</v>
      </c>
      <c r="AL5" s="168" t="s">
        <v>192</v>
      </c>
      <c r="AM5" s="168" t="s">
        <v>192</v>
      </c>
      <c r="AN5" s="168" t="s">
        <v>153</v>
      </c>
      <c r="AO5" s="168" t="s">
        <v>192</v>
      </c>
      <c r="AP5" s="168" t="s">
        <v>153</v>
      </c>
      <c r="AQ5" s="168" t="s">
        <v>192</v>
      </c>
      <c r="AR5" s="168" t="s">
        <v>153</v>
      </c>
      <c r="AS5" s="168" t="s">
        <v>192</v>
      </c>
      <c r="AT5" s="168" t="s">
        <v>153</v>
      </c>
      <c r="AU5" s="168" t="s">
        <v>192</v>
      </c>
      <c r="AV5" s="168" t="s">
        <v>153</v>
      </c>
      <c r="AW5" s="168" t="s">
        <v>192</v>
      </c>
      <c r="AX5" s="168" t="s">
        <v>153</v>
      </c>
      <c r="AY5" s="168" t="s">
        <v>192</v>
      </c>
      <c r="AZ5" s="168" t="s">
        <v>153</v>
      </c>
      <c r="BA5" s="168" t="s">
        <v>192</v>
      </c>
      <c r="BB5" s="168" t="s">
        <v>153</v>
      </c>
      <c r="BC5" s="168" t="s">
        <v>192</v>
      </c>
      <c r="BD5" s="168" t="s">
        <v>153</v>
      </c>
      <c r="BE5" s="168" t="s">
        <v>192</v>
      </c>
      <c r="BF5" s="168" t="s">
        <v>153</v>
      </c>
      <c r="BG5" s="168" t="s">
        <v>192</v>
      </c>
      <c r="BH5" s="168" t="s">
        <v>153</v>
      </c>
      <c r="BI5" s="168" t="s">
        <v>192</v>
      </c>
      <c r="BJ5" s="168" t="s">
        <v>153</v>
      </c>
      <c r="BK5" s="168" t="s">
        <v>192</v>
      </c>
      <c r="BL5" s="168" t="s">
        <v>153</v>
      </c>
      <c r="BM5" s="168" t="s">
        <v>192</v>
      </c>
      <c r="BN5" s="168" t="s">
        <v>153</v>
      </c>
      <c r="BO5" s="168" t="s">
        <v>192</v>
      </c>
      <c r="BP5" s="168" t="s">
        <v>153</v>
      </c>
      <c r="BQ5" s="168" t="s">
        <v>192</v>
      </c>
      <c r="BR5" s="168" t="s">
        <v>153</v>
      </c>
      <c r="BS5" s="168" t="s">
        <v>192</v>
      </c>
      <c r="BT5" s="168" t="s">
        <v>153</v>
      </c>
      <c r="BU5" s="168" t="s">
        <v>192</v>
      </c>
      <c r="BV5" s="168" t="s">
        <v>153</v>
      </c>
      <c r="BW5" s="168" t="s">
        <v>192</v>
      </c>
      <c r="BX5" s="168" t="s">
        <v>153</v>
      </c>
      <c r="BY5" s="168" t="s">
        <v>192</v>
      </c>
      <c r="BZ5" s="168" t="s">
        <v>153</v>
      </c>
      <c r="CA5" s="168" t="s">
        <v>192</v>
      </c>
      <c r="CB5" s="168" t="s">
        <v>153</v>
      </c>
      <c r="CC5" s="168" t="s">
        <v>192</v>
      </c>
      <c r="CD5" s="168" t="s">
        <v>153</v>
      </c>
      <c r="CE5" s="168" t="s">
        <v>192</v>
      </c>
      <c r="CF5" s="168" t="s">
        <v>153</v>
      </c>
      <c r="CG5" s="244" t="s">
        <v>192</v>
      </c>
      <c r="CH5" s="183"/>
      <c r="CI5" s="185"/>
      <c r="CJ5" s="160"/>
      <c r="CK5" s="160"/>
      <c r="CL5" s="160"/>
      <c r="CM5" s="160"/>
      <c r="CN5" s="160"/>
      <c r="CO5" s="160"/>
      <c r="CP5" s="160"/>
      <c r="CQ5" s="160"/>
      <c r="CR5" s="160"/>
      <c r="CS5" s="179"/>
      <c r="CT5" s="160"/>
      <c r="CU5" s="160"/>
      <c r="CV5" s="160"/>
      <c r="CW5" s="160"/>
      <c r="CX5" s="160"/>
      <c r="CY5" s="160"/>
      <c r="CZ5" s="160"/>
      <c r="DA5" s="160"/>
      <c r="DB5" s="160"/>
      <c r="DC5" s="160"/>
      <c r="DD5" s="160"/>
      <c r="DE5" s="160"/>
      <c r="DF5" s="160"/>
      <c r="DG5" s="160"/>
      <c r="DH5" s="160"/>
      <c r="DI5" s="160"/>
      <c r="DJ5" s="160"/>
      <c r="DK5" s="160"/>
      <c r="DL5" s="160"/>
      <c r="DM5" s="160"/>
      <c r="DN5" s="160"/>
    </row>
    <row r="6" spans="1:118">
      <c r="A6" s="146" t="s">
        <v>79</v>
      </c>
      <c r="B6" s="146" t="s">
        <v>83</v>
      </c>
      <c r="C6" s="28" t="s">
        <v>414</v>
      </c>
      <c r="D6" s="147" t="s">
        <v>291</v>
      </c>
      <c r="E6" s="62">
        <v>12780</v>
      </c>
      <c r="F6" s="62">
        <v>6000</v>
      </c>
      <c r="G6" s="62">
        <v>5720</v>
      </c>
      <c r="H6" s="62">
        <f>SUBTOTAL(9,Table4[[#This Row],[BASIC]:[FOOD]])</f>
        <v>24500</v>
      </c>
      <c r="I6" s="62"/>
      <c r="J6" s="62"/>
      <c r="K6" s="62"/>
      <c r="L6" s="62"/>
      <c r="M6" s="62"/>
      <c r="N6" s="62"/>
      <c r="O6" s="62"/>
      <c r="P6" s="11" t="s">
        <v>300</v>
      </c>
      <c r="Q6" s="11" t="s">
        <v>301</v>
      </c>
      <c r="R6" s="12">
        <v>1301000024469</v>
      </c>
      <c r="S6" s="167"/>
      <c r="T6" s="10">
        <f>COUNTIF(X6:CG6,"P")</f>
        <v>26</v>
      </c>
      <c r="U6" s="167">
        <v>5</v>
      </c>
      <c r="V6" s="10">
        <f>T6+U6</f>
        <v>31</v>
      </c>
      <c r="W6" s="10">
        <f>SUM(CI6:DM6)</f>
        <v>0</v>
      </c>
      <c r="X6" s="168" t="s">
        <v>153</v>
      </c>
      <c r="Y6" s="168" t="s">
        <v>192</v>
      </c>
      <c r="Z6" s="170" t="s">
        <v>153</v>
      </c>
      <c r="AA6" s="168" t="s">
        <v>192</v>
      </c>
      <c r="AB6" s="168" t="s">
        <v>153</v>
      </c>
      <c r="AC6" s="168" t="s">
        <v>192</v>
      </c>
      <c r="AD6" s="168" t="s">
        <v>153</v>
      </c>
      <c r="AE6" s="168" t="s">
        <v>192</v>
      </c>
      <c r="AF6" s="168" t="s">
        <v>153</v>
      </c>
      <c r="AG6" s="168" t="s">
        <v>192</v>
      </c>
      <c r="AH6" s="168" t="s">
        <v>153</v>
      </c>
      <c r="AI6" s="168" t="s">
        <v>192</v>
      </c>
      <c r="AJ6" s="168" t="s">
        <v>153</v>
      </c>
      <c r="AK6" s="168" t="s">
        <v>192</v>
      </c>
      <c r="AL6" s="168" t="s">
        <v>153</v>
      </c>
      <c r="AM6" s="168" t="s">
        <v>192</v>
      </c>
      <c r="AN6" s="168" t="s">
        <v>153</v>
      </c>
      <c r="AO6" s="168" t="s">
        <v>192</v>
      </c>
      <c r="AP6" s="168" t="s">
        <v>192</v>
      </c>
      <c r="AQ6" s="168" t="s">
        <v>192</v>
      </c>
      <c r="AR6" s="168" t="s">
        <v>192</v>
      </c>
      <c r="AS6" s="168" t="s">
        <v>192</v>
      </c>
      <c r="AT6" s="168" t="s">
        <v>192</v>
      </c>
      <c r="AU6" s="168" t="s">
        <v>192</v>
      </c>
      <c r="AV6" s="168" t="s">
        <v>192</v>
      </c>
      <c r="AW6" s="168" t="s">
        <v>192</v>
      </c>
      <c r="AX6" s="168" t="s">
        <v>192</v>
      </c>
      <c r="AY6" s="168" t="s">
        <v>192</v>
      </c>
      <c r="AZ6" s="168" t="s">
        <v>153</v>
      </c>
      <c r="BA6" s="168" t="s">
        <v>192</v>
      </c>
      <c r="BB6" s="168" t="s">
        <v>153</v>
      </c>
      <c r="BC6" s="168" t="s">
        <v>192</v>
      </c>
      <c r="BD6" s="168" t="s">
        <v>153</v>
      </c>
      <c r="BE6" s="168" t="s">
        <v>192</v>
      </c>
      <c r="BF6" s="168" t="s">
        <v>153</v>
      </c>
      <c r="BG6" s="168" t="s">
        <v>192</v>
      </c>
      <c r="BH6" s="168" t="s">
        <v>153</v>
      </c>
      <c r="BI6" s="168" t="s">
        <v>192</v>
      </c>
      <c r="BJ6" s="168" t="s">
        <v>153</v>
      </c>
      <c r="BK6" s="168" t="s">
        <v>192</v>
      </c>
      <c r="BL6" s="168" t="s">
        <v>153</v>
      </c>
      <c r="BM6" s="168" t="s">
        <v>192</v>
      </c>
      <c r="BN6" s="168" t="s">
        <v>153</v>
      </c>
      <c r="BO6" s="168" t="s">
        <v>192</v>
      </c>
      <c r="BP6" s="168" t="s">
        <v>153</v>
      </c>
      <c r="BQ6" s="168" t="s">
        <v>192</v>
      </c>
      <c r="BR6" s="168" t="s">
        <v>153</v>
      </c>
      <c r="BS6" s="168" t="s">
        <v>192</v>
      </c>
      <c r="BT6" s="168" t="s">
        <v>153</v>
      </c>
      <c r="BU6" s="168" t="s">
        <v>192</v>
      </c>
      <c r="BV6" s="168" t="s">
        <v>153</v>
      </c>
      <c r="BW6" s="168" t="s">
        <v>192</v>
      </c>
      <c r="BX6" s="168" t="s">
        <v>153</v>
      </c>
      <c r="BY6" s="168" t="s">
        <v>192</v>
      </c>
      <c r="BZ6" s="168" t="s">
        <v>153</v>
      </c>
      <c r="CA6" s="168" t="s">
        <v>192</v>
      </c>
      <c r="CB6" s="168" t="s">
        <v>153</v>
      </c>
      <c r="CC6" s="168" t="s">
        <v>192</v>
      </c>
      <c r="CD6" s="168" t="s">
        <v>153</v>
      </c>
      <c r="CE6" s="168" t="s">
        <v>192</v>
      </c>
      <c r="CF6" s="168" t="s">
        <v>153</v>
      </c>
      <c r="CG6" s="244" t="s">
        <v>192</v>
      </c>
      <c r="CH6" s="183"/>
      <c r="CI6" s="186"/>
      <c r="CJ6" s="179"/>
      <c r="CK6" s="179"/>
      <c r="CL6" s="179"/>
      <c r="CM6" s="179"/>
      <c r="CN6" s="179"/>
      <c r="CO6" s="160"/>
      <c r="CP6" s="160"/>
      <c r="CQ6" s="160"/>
      <c r="CR6" s="179"/>
      <c r="CS6" s="179"/>
      <c r="CT6" s="179"/>
      <c r="CU6" s="179"/>
      <c r="CV6" s="179"/>
      <c r="CW6" s="160"/>
      <c r="CX6" s="188"/>
      <c r="CY6" s="179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</row>
    <row r="7" spans="1:118" hidden="1">
      <c r="A7" s="146" t="s">
        <v>81</v>
      </c>
      <c r="B7" s="146" t="s">
        <v>38</v>
      </c>
      <c r="C7" s="28" t="s">
        <v>247</v>
      </c>
      <c r="D7" s="147"/>
      <c r="E7" s="62"/>
      <c r="F7" s="62"/>
      <c r="G7" s="62"/>
      <c r="H7" s="62">
        <v>0</v>
      </c>
      <c r="I7" s="62"/>
      <c r="J7" s="62">
        <v>285</v>
      </c>
      <c r="K7" s="62">
        <v>80</v>
      </c>
      <c r="L7" s="62"/>
      <c r="M7" s="62"/>
      <c r="N7" s="62"/>
      <c r="O7" s="62">
        <f>SUBTOTAL(9,Table4[[#This Row],[ESI BASIC]:[ESI FOOD]])</f>
        <v>0</v>
      </c>
      <c r="P7" s="11"/>
      <c r="Q7" s="11"/>
      <c r="R7" s="12"/>
      <c r="S7" s="167"/>
      <c r="T7" s="10">
        <f t="shared" ref="T7:T36" si="0">COUNTIF(X7:CG7,"P")</f>
        <v>38</v>
      </c>
      <c r="U7" s="167"/>
      <c r="V7" s="10">
        <f t="shared" ref="V7:V36" si="1">T7+U7</f>
        <v>38</v>
      </c>
      <c r="W7" s="10">
        <f t="shared" ref="W7:W36" si="2">SUM(CI7:DM7)</f>
        <v>10</v>
      </c>
      <c r="X7" s="168" t="s">
        <v>153</v>
      </c>
      <c r="Y7" s="168" t="s">
        <v>192</v>
      </c>
      <c r="Z7" s="170" t="s">
        <v>153</v>
      </c>
      <c r="AA7" s="168" t="s">
        <v>153</v>
      </c>
      <c r="AB7" s="168" t="s">
        <v>192</v>
      </c>
      <c r="AC7" s="168" t="s">
        <v>153</v>
      </c>
      <c r="AD7" s="168" t="s">
        <v>153</v>
      </c>
      <c r="AE7" s="168" t="s">
        <v>192</v>
      </c>
      <c r="AF7" s="168" t="s">
        <v>153</v>
      </c>
      <c r="AG7" s="168" t="s">
        <v>153</v>
      </c>
      <c r="AH7" s="168" t="s">
        <v>192</v>
      </c>
      <c r="AI7" s="168" t="s">
        <v>153</v>
      </c>
      <c r="AJ7" s="168" t="s">
        <v>153</v>
      </c>
      <c r="AK7" s="168" t="s">
        <v>192</v>
      </c>
      <c r="AL7" s="168" t="s">
        <v>153</v>
      </c>
      <c r="AM7" s="168" t="s">
        <v>153</v>
      </c>
      <c r="AN7" s="168" t="s">
        <v>192</v>
      </c>
      <c r="AO7" s="168" t="s">
        <v>153</v>
      </c>
      <c r="AP7" s="168" t="s">
        <v>153</v>
      </c>
      <c r="AQ7" s="168" t="s">
        <v>192</v>
      </c>
      <c r="AR7" s="168" t="s">
        <v>153</v>
      </c>
      <c r="AS7" s="168" t="s">
        <v>153</v>
      </c>
      <c r="AT7" s="168" t="s">
        <v>192</v>
      </c>
      <c r="AU7" s="168" t="s">
        <v>153</v>
      </c>
      <c r="AV7" s="168" t="s">
        <v>153</v>
      </c>
      <c r="AW7" s="168" t="s">
        <v>192</v>
      </c>
      <c r="AX7" s="168" t="s">
        <v>153</v>
      </c>
      <c r="AY7" s="168" t="s">
        <v>153</v>
      </c>
      <c r="AZ7" s="168" t="s">
        <v>192</v>
      </c>
      <c r="BA7" s="168" t="s">
        <v>153</v>
      </c>
      <c r="BB7" s="168" t="s">
        <v>153</v>
      </c>
      <c r="BC7" s="168" t="s">
        <v>192</v>
      </c>
      <c r="BD7" s="168" t="s">
        <v>153</v>
      </c>
      <c r="BE7" s="168" t="s">
        <v>153</v>
      </c>
      <c r="BF7" s="168" t="s">
        <v>192</v>
      </c>
      <c r="BG7" s="168" t="s">
        <v>153</v>
      </c>
      <c r="BH7" s="168" t="s">
        <v>153</v>
      </c>
      <c r="BI7" s="168" t="s">
        <v>192</v>
      </c>
      <c r="BJ7" s="168" t="s">
        <v>153</v>
      </c>
      <c r="BK7" s="168" t="s">
        <v>153</v>
      </c>
      <c r="BL7" s="168" t="s">
        <v>192</v>
      </c>
      <c r="BM7" s="168" t="s">
        <v>153</v>
      </c>
      <c r="BN7" s="168" t="s">
        <v>153</v>
      </c>
      <c r="BO7" s="168" t="s">
        <v>192</v>
      </c>
      <c r="BP7" s="168" t="s">
        <v>153</v>
      </c>
      <c r="BQ7" s="168" t="s">
        <v>153</v>
      </c>
      <c r="BR7" s="168" t="s">
        <v>192</v>
      </c>
      <c r="BS7" s="168" t="s">
        <v>192</v>
      </c>
      <c r="BT7" s="168" t="s">
        <v>192</v>
      </c>
      <c r="BU7" s="168" t="s">
        <v>192</v>
      </c>
      <c r="BV7" s="168" t="s">
        <v>153</v>
      </c>
      <c r="BW7" s="168" t="s">
        <v>153</v>
      </c>
      <c r="BX7" s="168" t="s">
        <v>192</v>
      </c>
      <c r="BY7" s="168" t="s">
        <v>153</v>
      </c>
      <c r="BZ7" s="168" t="s">
        <v>153</v>
      </c>
      <c r="CA7" s="168" t="s">
        <v>192</v>
      </c>
      <c r="CB7" s="168" t="s">
        <v>153</v>
      </c>
      <c r="CC7" s="168" t="s">
        <v>153</v>
      </c>
      <c r="CD7" s="168" t="s">
        <v>192</v>
      </c>
      <c r="CE7" s="168" t="s">
        <v>153</v>
      </c>
      <c r="CF7" s="168" t="s">
        <v>192</v>
      </c>
      <c r="CG7" s="244" t="s">
        <v>192</v>
      </c>
      <c r="CH7" s="183"/>
      <c r="CI7" s="186">
        <v>0</v>
      </c>
      <c r="CJ7" s="179">
        <v>0</v>
      </c>
      <c r="CK7" s="179">
        <v>0</v>
      </c>
      <c r="CL7" s="179">
        <v>0</v>
      </c>
      <c r="CM7" s="179">
        <v>0</v>
      </c>
      <c r="CN7" s="160">
        <v>0</v>
      </c>
      <c r="CO7" s="160">
        <v>0</v>
      </c>
      <c r="CP7" s="160">
        <v>1</v>
      </c>
      <c r="CQ7" s="160">
        <v>0</v>
      </c>
      <c r="CR7" s="179">
        <v>0</v>
      </c>
      <c r="CS7" s="179">
        <v>1</v>
      </c>
      <c r="CT7" s="179">
        <v>0</v>
      </c>
      <c r="CU7" s="179">
        <v>0</v>
      </c>
      <c r="CV7" s="179">
        <v>4</v>
      </c>
      <c r="CW7" s="160">
        <v>0</v>
      </c>
      <c r="CX7" s="188">
        <v>1</v>
      </c>
      <c r="CY7" s="179">
        <v>0</v>
      </c>
      <c r="CZ7" s="160">
        <v>1</v>
      </c>
      <c r="DA7" s="160">
        <v>0</v>
      </c>
      <c r="DB7" s="160">
        <v>1</v>
      </c>
      <c r="DC7" s="160">
        <v>0</v>
      </c>
      <c r="DD7" s="160">
        <v>0</v>
      </c>
      <c r="DE7" s="160">
        <v>0</v>
      </c>
      <c r="DF7" s="160">
        <v>0</v>
      </c>
      <c r="DG7" s="160">
        <v>0</v>
      </c>
      <c r="DH7" s="160">
        <v>0</v>
      </c>
      <c r="DI7" s="160">
        <v>0</v>
      </c>
      <c r="DJ7" s="160">
        <v>1</v>
      </c>
      <c r="DK7" s="160">
        <v>0</v>
      </c>
      <c r="DL7" s="160">
        <v>0</v>
      </c>
      <c r="DM7" s="160">
        <v>0</v>
      </c>
      <c r="DN7" s="160"/>
    </row>
    <row r="8" spans="1:118" hidden="1">
      <c r="A8" s="146" t="s">
        <v>80</v>
      </c>
      <c r="B8" s="146" t="s">
        <v>35</v>
      </c>
      <c r="C8" s="28" t="s">
        <v>248</v>
      </c>
      <c r="D8" s="147" t="s">
        <v>319</v>
      </c>
      <c r="E8" s="62"/>
      <c r="F8" s="62"/>
      <c r="G8" s="62"/>
      <c r="H8" s="62">
        <v>0</v>
      </c>
      <c r="I8" s="62"/>
      <c r="J8" s="62">
        <v>325</v>
      </c>
      <c r="K8" s="62">
        <v>185</v>
      </c>
      <c r="L8" s="62">
        <v>20200</v>
      </c>
      <c r="M8" s="62"/>
      <c r="N8" s="62"/>
      <c r="O8" s="62">
        <f>SUBTOTAL(9,Table4[[#This Row],[ESI BASIC]:[ESI FOOD]])</f>
        <v>0</v>
      </c>
      <c r="P8" s="11" t="s">
        <v>304</v>
      </c>
      <c r="Q8" s="11" t="s">
        <v>305</v>
      </c>
      <c r="R8" s="13">
        <v>119710024815</v>
      </c>
      <c r="S8" s="167"/>
      <c r="T8" s="10">
        <f t="shared" si="0"/>
        <v>40</v>
      </c>
      <c r="U8" s="167"/>
      <c r="V8" s="10">
        <f t="shared" si="1"/>
        <v>40</v>
      </c>
      <c r="W8" s="10">
        <f t="shared" si="2"/>
        <v>13</v>
      </c>
      <c r="X8" s="168" t="s">
        <v>153</v>
      </c>
      <c r="Y8" s="168" t="s">
        <v>192</v>
      </c>
      <c r="Z8" s="168" t="s">
        <v>153</v>
      </c>
      <c r="AA8" s="168" t="s">
        <v>153</v>
      </c>
      <c r="AB8" s="168" t="s">
        <v>192</v>
      </c>
      <c r="AC8" s="168" t="s">
        <v>153</v>
      </c>
      <c r="AD8" s="168" t="s">
        <v>153</v>
      </c>
      <c r="AE8" s="168" t="s">
        <v>192</v>
      </c>
      <c r="AF8" s="168" t="s">
        <v>153</v>
      </c>
      <c r="AG8" s="168" t="s">
        <v>153</v>
      </c>
      <c r="AH8" s="168" t="s">
        <v>192</v>
      </c>
      <c r="AI8" s="168" t="s">
        <v>153</v>
      </c>
      <c r="AJ8" s="168" t="s">
        <v>153</v>
      </c>
      <c r="AK8" s="168" t="s">
        <v>192</v>
      </c>
      <c r="AL8" s="168" t="s">
        <v>153</v>
      </c>
      <c r="AM8" s="168" t="s">
        <v>153</v>
      </c>
      <c r="AN8" s="168" t="s">
        <v>192</v>
      </c>
      <c r="AO8" s="168" t="s">
        <v>153</v>
      </c>
      <c r="AP8" s="168" t="s">
        <v>153</v>
      </c>
      <c r="AQ8" s="168" t="s">
        <v>192</v>
      </c>
      <c r="AR8" s="168" t="s">
        <v>153</v>
      </c>
      <c r="AS8" s="168" t="s">
        <v>153</v>
      </c>
      <c r="AT8" s="168" t="s">
        <v>192</v>
      </c>
      <c r="AU8" s="168" t="s">
        <v>153</v>
      </c>
      <c r="AV8" s="168" t="s">
        <v>153</v>
      </c>
      <c r="AW8" s="168" t="s">
        <v>192</v>
      </c>
      <c r="AX8" s="168" t="s">
        <v>153</v>
      </c>
      <c r="AY8" s="168" t="s">
        <v>153</v>
      </c>
      <c r="AZ8" s="168" t="s">
        <v>192</v>
      </c>
      <c r="BA8" s="168" t="s">
        <v>153</v>
      </c>
      <c r="BB8" s="168" t="s">
        <v>153</v>
      </c>
      <c r="BC8" s="168" t="s">
        <v>192</v>
      </c>
      <c r="BD8" s="168" t="s">
        <v>192</v>
      </c>
      <c r="BE8" s="168" t="s">
        <v>153</v>
      </c>
      <c r="BF8" s="168" t="s">
        <v>192</v>
      </c>
      <c r="BG8" s="168" t="s">
        <v>153</v>
      </c>
      <c r="BH8" s="168" t="s">
        <v>153</v>
      </c>
      <c r="BI8" s="168" t="s">
        <v>192</v>
      </c>
      <c r="BJ8" s="168" t="s">
        <v>153</v>
      </c>
      <c r="BK8" s="168" t="s">
        <v>153</v>
      </c>
      <c r="BL8" s="168" t="s">
        <v>192</v>
      </c>
      <c r="BM8" s="168" t="s">
        <v>153</v>
      </c>
      <c r="BN8" s="168" t="s">
        <v>153</v>
      </c>
      <c r="BO8" s="168" t="s">
        <v>192</v>
      </c>
      <c r="BP8" s="168" t="s">
        <v>153</v>
      </c>
      <c r="BQ8" s="168" t="s">
        <v>153</v>
      </c>
      <c r="BR8" s="168" t="s">
        <v>192</v>
      </c>
      <c r="BS8" s="168" t="s">
        <v>153</v>
      </c>
      <c r="BT8" s="168" t="s">
        <v>153</v>
      </c>
      <c r="BU8" s="168" t="s">
        <v>192</v>
      </c>
      <c r="BV8" s="168" t="s">
        <v>153</v>
      </c>
      <c r="BW8" s="168" t="s">
        <v>153</v>
      </c>
      <c r="BX8" s="168" t="s">
        <v>192</v>
      </c>
      <c r="BY8" s="168" t="s">
        <v>153</v>
      </c>
      <c r="BZ8" s="168" t="s">
        <v>153</v>
      </c>
      <c r="CA8" s="168" t="s">
        <v>192</v>
      </c>
      <c r="CB8" s="168" t="s">
        <v>153</v>
      </c>
      <c r="CC8" s="168" t="s">
        <v>153</v>
      </c>
      <c r="CD8" s="168" t="s">
        <v>192</v>
      </c>
      <c r="CE8" s="168" t="s">
        <v>153</v>
      </c>
      <c r="CF8" s="168" t="s">
        <v>153</v>
      </c>
      <c r="CG8" s="244" t="s">
        <v>192</v>
      </c>
      <c r="CH8" s="183"/>
      <c r="CI8" s="186">
        <v>0</v>
      </c>
      <c r="CJ8" s="179">
        <v>0</v>
      </c>
      <c r="CK8" s="179">
        <v>0</v>
      </c>
      <c r="CL8" s="179">
        <v>0</v>
      </c>
      <c r="CM8" s="160">
        <v>0</v>
      </c>
      <c r="CN8" s="160">
        <v>0</v>
      </c>
      <c r="CO8" s="160">
        <v>0</v>
      </c>
      <c r="CP8" s="160">
        <v>0</v>
      </c>
      <c r="CQ8" s="160">
        <v>1</v>
      </c>
      <c r="CR8" s="179">
        <v>0</v>
      </c>
      <c r="CS8" s="179">
        <v>1</v>
      </c>
      <c r="CT8" s="179">
        <v>0</v>
      </c>
      <c r="CU8" s="179">
        <v>0</v>
      </c>
      <c r="CV8" s="179">
        <v>3</v>
      </c>
      <c r="CW8" s="160">
        <v>2</v>
      </c>
      <c r="CX8" s="188">
        <v>0</v>
      </c>
      <c r="CY8" s="160">
        <v>0</v>
      </c>
      <c r="CZ8" s="160">
        <v>1</v>
      </c>
      <c r="DA8" s="160">
        <v>1</v>
      </c>
      <c r="DB8" s="160">
        <v>0</v>
      </c>
      <c r="DC8" s="160">
        <v>0</v>
      </c>
      <c r="DD8" s="160">
        <v>1</v>
      </c>
      <c r="DE8" s="160">
        <v>0</v>
      </c>
      <c r="DF8" s="160">
        <v>1</v>
      </c>
      <c r="DG8" s="160">
        <v>0</v>
      </c>
      <c r="DH8" s="160">
        <v>0</v>
      </c>
      <c r="DI8" s="160">
        <v>1</v>
      </c>
      <c r="DJ8" s="160">
        <v>0</v>
      </c>
      <c r="DK8" s="160">
        <v>1</v>
      </c>
      <c r="DL8" s="160">
        <v>0</v>
      </c>
      <c r="DM8" s="160"/>
      <c r="DN8" s="160"/>
    </row>
    <row r="9" spans="1:118">
      <c r="A9" s="146" t="s">
        <v>79</v>
      </c>
      <c r="B9" s="146" t="s">
        <v>83</v>
      </c>
      <c r="C9" s="28" t="s">
        <v>249</v>
      </c>
      <c r="D9" s="147" t="s">
        <v>292</v>
      </c>
      <c r="E9" s="62">
        <v>10560</v>
      </c>
      <c r="F9" s="62">
        <v>2000</v>
      </c>
      <c r="G9" s="62">
        <v>1440</v>
      </c>
      <c r="H9" s="62">
        <f>SUBTOTAL(9,Table4[[#This Row],[BASIC]:[FOOD]])</f>
        <v>14000</v>
      </c>
      <c r="I9" s="62"/>
      <c r="J9" s="62"/>
      <c r="K9" s="62"/>
      <c r="L9" s="62"/>
      <c r="M9" s="62"/>
      <c r="N9" s="62"/>
      <c r="O9" s="62"/>
      <c r="P9" s="11" t="s">
        <v>302</v>
      </c>
      <c r="Q9" s="11" t="s">
        <v>306</v>
      </c>
      <c r="R9" s="12">
        <v>20357794848</v>
      </c>
      <c r="S9" s="167"/>
      <c r="T9" s="10">
        <f t="shared" si="0"/>
        <v>27</v>
      </c>
      <c r="U9" s="167">
        <v>4</v>
      </c>
      <c r="V9" s="10">
        <f t="shared" si="1"/>
        <v>31</v>
      </c>
      <c r="W9" s="10">
        <f t="shared" si="2"/>
        <v>0</v>
      </c>
      <c r="X9" s="168" t="s">
        <v>153</v>
      </c>
      <c r="Y9" s="168" t="s">
        <v>192</v>
      </c>
      <c r="Z9" s="170" t="s">
        <v>153</v>
      </c>
      <c r="AA9" s="168" t="s">
        <v>192</v>
      </c>
      <c r="AB9" s="168" t="s">
        <v>153</v>
      </c>
      <c r="AC9" s="168" t="s">
        <v>192</v>
      </c>
      <c r="AD9" s="168" t="s">
        <v>153</v>
      </c>
      <c r="AE9" s="168" t="s">
        <v>192</v>
      </c>
      <c r="AF9" s="168" t="s">
        <v>192</v>
      </c>
      <c r="AG9" s="168" t="s">
        <v>192</v>
      </c>
      <c r="AH9" s="168" t="s">
        <v>153</v>
      </c>
      <c r="AI9" s="168" t="s">
        <v>192</v>
      </c>
      <c r="AJ9" s="168" t="s">
        <v>153</v>
      </c>
      <c r="AK9" s="168" t="s">
        <v>192</v>
      </c>
      <c r="AL9" s="168" t="s">
        <v>153</v>
      </c>
      <c r="AM9" s="168" t="s">
        <v>192</v>
      </c>
      <c r="AN9" s="168" t="s">
        <v>153</v>
      </c>
      <c r="AO9" s="168" t="s">
        <v>192</v>
      </c>
      <c r="AP9" s="168" t="s">
        <v>192</v>
      </c>
      <c r="AQ9" s="168" t="s">
        <v>192</v>
      </c>
      <c r="AR9" s="168" t="s">
        <v>153</v>
      </c>
      <c r="AS9" s="168" t="s">
        <v>192</v>
      </c>
      <c r="AT9" s="168" t="s">
        <v>153</v>
      </c>
      <c r="AU9" s="168" t="s">
        <v>192</v>
      </c>
      <c r="AV9" s="168" t="s">
        <v>153</v>
      </c>
      <c r="AW9" s="168" t="s">
        <v>192</v>
      </c>
      <c r="AX9" s="168" t="s">
        <v>153</v>
      </c>
      <c r="AY9" s="168" t="s">
        <v>192</v>
      </c>
      <c r="AZ9" s="168" t="s">
        <v>153</v>
      </c>
      <c r="BA9" s="168" t="s">
        <v>192</v>
      </c>
      <c r="BB9" s="168" t="s">
        <v>153</v>
      </c>
      <c r="BC9" s="168" t="s">
        <v>192</v>
      </c>
      <c r="BD9" s="168" t="s">
        <v>153</v>
      </c>
      <c r="BE9" s="168" t="s">
        <v>192</v>
      </c>
      <c r="BF9" s="168" t="s">
        <v>153</v>
      </c>
      <c r="BG9" s="168" t="s">
        <v>192</v>
      </c>
      <c r="BH9" s="168" t="s">
        <v>192</v>
      </c>
      <c r="BI9" s="168" t="s">
        <v>192</v>
      </c>
      <c r="BJ9" s="168" t="s">
        <v>153</v>
      </c>
      <c r="BK9" s="168" t="s">
        <v>192</v>
      </c>
      <c r="BL9" s="168" t="s">
        <v>153</v>
      </c>
      <c r="BM9" s="168" t="s">
        <v>192</v>
      </c>
      <c r="BN9" s="168" t="s">
        <v>153</v>
      </c>
      <c r="BO9" s="168" t="s">
        <v>192</v>
      </c>
      <c r="BP9" s="168" t="s">
        <v>153</v>
      </c>
      <c r="BQ9" s="168" t="s">
        <v>192</v>
      </c>
      <c r="BR9" s="168" t="s">
        <v>153</v>
      </c>
      <c r="BS9" s="168" t="s">
        <v>192</v>
      </c>
      <c r="BT9" s="168" t="s">
        <v>153</v>
      </c>
      <c r="BU9" s="168" t="s">
        <v>192</v>
      </c>
      <c r="BV9" s="168" t="s">
        <v>192</v>
      </c>
      <c r="BW9" s="168" t="s">
        <v>192</v>
      </c>
      <c r="BX9" s="168" t="s">
        <v>153</v>
      </c>
      <c r="BY9" s="168" t="s">
        <v>192</v>
      </c>
      <c r="BZ9" s="168" t="s">
        <v>153</v>
      </c>
      <c r="CA9" s="168" t="s">
        <v>192</v>
      </c>
      <c r="CB9" s="168" t="s">
        <v>153</v>
      </c>
      <c r="CC9" s="168" t="s">
        <v>192</v>
      </c>
      <c r="CD9" s="168" t="s">
        <v>153</v>
      </c>
      <c r="CE9" s="168" t="s">
        <v>192</v>
      </c>
      <c r="CF9" s="168" t="s">
        <v>153</v>
      </c>
      <c r="CG9" s="244" t="s">
        <v>192</v>
      </c>
      <c r="CH9" s="183"/>
      <c r="CI9" s="185"/>
      <c r="CJ9" s="160"/>
      <c r="CK9" s="160"/>
      <c r="CL9" s="160"/>
      <c r="CM9" s="160"/>
      <c r="CN9" s="160"/>
      <c r="CO9" s="160"/>
      <c r="CP9" s="160"/>
      <c r="CQ9" s="160"/>
      <c r="CR9" s="160"/>
      <c r="CS9" s="179"/>
      <c r="CT9" s="160"/>
      <c r="CU9" s="179"/>
      <c r="CV9" s="160"/>
      <c r="CW9" s="160"/>
      <c r="CX9" s="160"/>
      <c r="CY9" s="160"/>
      <c r="CZ9" s="160"/>
      <c r="DA9" s="160"/>
      <c r="DB9" s="160"/>
      <c r="DC9" s="160"/>
      <c r="DD9" s="160"/>
      <c r="DE9" s="160"/>
      <c r="DF9" s="160"/>
      <c r="DG9" s="160"/>
      <c r="DH9" s="160"/>
      <c r="DI9" s="160"/>
      <c r="DJ9" s="160"/>
      <c r="DK9" s="160"/>
      <c r="DL9" s="160"/>
      <c r="DM9" s="160"/>
      <c r="DN9" s="160"/>
    </row>
    <row r="10" spans="1:118" hidden="1">
      <c r="A10" s="146" t="s">
        <v>80</v>
      </c>
      <c r="B10" s="146" t="s">
        <v>35</v>
      </c>
      <c r="C10" s="28" t="s">
        <v>250</v>
      </c>
      <c r="D10" s="147" t="s">
        <v>320</v>
      </c>
      <c r="E10" s="62"/>
      <c r="F10" s="62"/>
      <c r="G10" s="62"/>
      <c r="H10" s="62">
        <v>0</v>
      </c>
      <c r="I10" s="62"/>
      <c r="J10" s="62">
        <v>320</v>
      </c>
      <c r="K10" s="62">
        <v>185</v>
      </c>
      <c r="L10" s="62">
        <v>11620</v>
      </c>
      <c r="M10" s="62">
        <v>2240</v>
      </c>
      <c r="N10" s="62">
        <v>2040</v>
      </c>
      <c r="O10" s="62">
        <f>SUBTOTAL(9,Table4[[#This Row],[ESI BASIC]:[ESI FOOD]])</f>
        <v>0</v>
      </c>
      <c r="P10" s="86" t="s">
        <v>307</v>
      </c>
      <c r="Q10" s="86" t="s">
        <v>308</v>
      </c>
      <c r="R10" s="254">
        <v>97762010009114</v>
      </c>
      <c r="S10" s="167"/>
      <c r="T10" s="10">
        <f t="shared" si="0"/>
        <v>41</v>
      </c>
      <c r="U10" s="167"/>
      <c r="V10" s="10">
        <f t="shared" si="1"/>
        <v>41</v>
      </c>
      <c r="W10" s="10">
        <f t="shared" si="2"/>
        <v>8</v>
      </c>
      <c r="X10" s="170" t="s">
        <v>192</v>
      </c>
      <c r="Y10" s="170" t="s">
        <v>153</v>
      </c>
      <c r="Z10" s="170" t="s">
        <v>153</v>
      </c>
      <c r="AA10" s="170" t="s">
        <v>192</v>
      </c>
      <c r="AB10" s="170" t="s">
        <v>153</v>
      </c>
      <c r="AC10" s="170" t="s">
        <v>153</v>
      </c>
      <c r="AD10" s="170" t="s">
        <v>192</v>
      </c>
      <c r="AE10" s="170" t="s">
        <v>153</v>
      </c>
      <c r="AF10" s="170" t="s">
        <v>153</v>
      </c>
      <c r="AG10" s="170" t="s">
        <v>192</v>
      </c>
      <c r="AH10" s="170" t="s">
        <v>153</v>
      </c>
      <c r="AI10" s="170" t="s">
        <v>153</v>
      </c>
      <c r="AJ10" s="170" t="s">
        <v>192</v>
      </c>
      <c r="AK10" s="170" t="s">
        <v>153</v>
      </c>
      <c r="AL10" s="170" t="s">
        <v>153</v>
      </c>
      <c r="AM10" s="170" t="s">
        <v>192</v>
      </c>
      <c r="AN10" s="170" t="s">
        <v>153</v>
      </c>
      <c r="AO10" s="170" t="s">
        <v>153</v>
      </c>
      <c r="AP10" s="170" t="s">
        <v>192</v>
      </c>
      <c r="AQ10" s="170" t="s">
        <v>153</v>
      </c>
      <c r="AR10" s="170" t="s">
        <v>153</v>
      </c>
      <c r="AS10" s="170" t="s">
        <v>192</v>
      </c>
      <c r="AT10" s="170" t="s">
        <v>153</v>
      </c>
      <c r="AU10" s="170" t="s">
        <v>153</v>
      </c>
      <c r="AV10" s="170" t="s">
        <v>192</v>
      </c>
      <c r="AW10" s="170" t="s">
        <v>153</v>
      </c>
      <c r="AX10" s="168" t="s">
        <v>153</v>
      </c>
      <c r="AY10" s="168" t="s">
        <v>192</v>
      </c>
      <c r="AZ10" s="168" t="s">
        <v>153</v>
      </c>
      <c r="BA10" s="168" t="s">
        <v>153</v>
      </c>
      <c r="BB10" s="168" t="s">
        <v>192</v>
      </c>
      <c r="BC10" s="168" t="s">
        <v>153</v>
      </c>
      <c r="BD10" s="168" t="s">
        <v>153</v>
      </c>
      <c r="BE10" s="168" t="s">
        <v>192</v>
      </c>
      <c r="BF10" s="168" t="s">
        <v>153</v>
      </c>
      <c r="BG10" s="168" t="s">
        <v>153</v>
      </c>
      <c r="BH10" s="168" t="s">
        <v>192</v>
      </c>
      <c r="BI10" s="168" t="s">
        <v>153</v>
      </c>
      <c r="BJ10" s="168" t="s">
        <v>153</v>
      </c>
      <c r="BK10" s="168" t="s">
        <v>192</v>
      </c>
      <c r="BL10" s="168" t="s">
        <v>153</v>
      </c>
      <c r="BM10" s="168" t="s">
        <v>153</v>
      </c>
      <c r="BN10" s="168" t="s">
        <v>192</v>
      </c>
      <c r="BO10" s="168" t="s">
        <v>153</v>
      </c>
      <c r="BP10" s="168" t="s">
        <v>153</v>
      </c>
      <c r="BQ10" s="168" t="s">
        <v>192</v>
      </c>
      <c r="BR10" s="168" t="s">
        <v>153</v>
      </c>
      <c r="BS10" s="168" t="s">
        <v>153</v>
      </c>
      <c r="BT10" s="168" t="s">
        <v>192</v>
      </c>
      <c r="BU10" s="168" t="s">
        <v>153</v>
      </c>
      <c r="BV10" s="168" t="s">
        <v>153</v>
      </c>
      <c r="BW10" s="168" t="s">
        <v>192</v>
      </c>
      <c r="BX10" s="168" t="s">
        <v>153</v>
      </c>
      <c r="BY10" s="168" t="s">
        <v>153</v>
      </c>
      <c r="BZ10" s="168" t="s">
        <v>192</v>
      </c>
      <c r="CA10" s="168" t="s">
        <v>153</v>
      </c>
      <c r="CB10" s="168" t="s">
        <v>153</v>
      </c>
      <c r="CC10" s="168" t="s">
        <v>192</v>
      </c>
      <c r="CD10" s="168" t="s">
        <v>153</v>
      </c>
      <c r="CE10" s="168" t="s">
        <v>153</v>
      </c>
      <c r="CF10" s="168" t="s">
        <v>192</v>
      </c>
      <c r="CG10" s="244" t="s">
        <v>153</v>
      </c>
      <c r="CH10" s="183"/>
      <c r="CI10" s="186">
        <v>0</v>
      </c>
      <c r="CJ10" s="179">
        <v>1</v>
      </c>
      <c r="CK10" s="179">
        <v>0</v>
      </c>
      <c r="CL10" s="179">
        <v>0</v>
      </c>
      <c r="CM10" s="179">
        <v>0</v>
      </c>
      <c r="CN10" s="160">
        <v>0</v>
      </c>
      <c r="CO10" s="160">
        <v>1</v>
      </c>
      <c r="CP10" s="160">
        <v>0</v>
      </c>
      <c r="CQ10" s="160">
        <v>0</v>
      </c>
      <c r="CR10" s="179">
        <v>0</v>
      </c>
      <c r="CS10" s="179">
        <v>0</v>
      </c>
      <c r="CT10" s="179">
        <v>0</v>
      </c>
      <c r="CU10" s="179">
        <v>0</v>
      </c>
      <c r="CV10" s="179">
        <v>2</v>
      </c>
      <c r="CW10" s="160">
        <v>0</v>
      </c>
      <c r="CX10" s="188">
        <v>0</v>
      </c>
      <c r="CY10" s="160">
        <v>0</v>
      </c>
      <c r="CZ10" s="160">
        <v>0</v>
      </c>
      <c r="DA10" s="160">
        <v>0</v>
      </c>
      <c r="DB10" s="160">
        <v>1</v>
      </c>
      <c r="DC10" s="160">
        <v>1</v>
      </c>
      <c r="DD10" s="160">
        <v>0</v>
      </c>
      <c r="DE10" s="160">
        <v>0</v>
      </c>
      <c r="DF10" s="160">
        <v>0</v>
      </c>
      <c r="DG10" s="160">
        <v>0</v>
      </c>
      <c r="DH10" s="160">
        <v>0</v>
      </c>
      <c r="DI10" s="160">
        <v>1</v>
      </c>
      <c r="DJ10" s="160">
        <v>0</v>
      </c>
      <c r="DK10" s="160">
        <v>1</v>
      </c>
      <c r="DL10" s="160">
        <v>0</v>
      </c>
      <c r="DM10" s="160">
        <v>0</v>
      </c>
      <c r="DN10" s="160"/>
    </row>
    <row r="11" spans="1:118" hidden="1">
      <c r="A11" s="146" t="s">
        <v>81</v>
      </c>
      <c r="B11" s="146" t="s">
        <v>38</v>
      </c>
      <c r="C11" s="28" t="s">
        <v>365</v>
      </c>
      <c r="D11" s="147"/>
      <c r="E11" s="62"/>
      <c r="F11" s="62"/>
      <c r="G11" s="62"/>
      <c r="H11" s="62">
        <v>0</v>
      </c>
      <c r="I11" s="62"/>
      <c r="J11" s="62">
        <v>260</v>
      </c>
      <c r="K11" s="62">
        <v>80</v>
      </c>
      <c r="L11" s="62"/>
      <c r="M11" s="62"/>
      <c r="N11" s="62"/>
      <c r="O11" s="62">
        <f>SUBTOTAL(9,Table4[[#This Row],[ESI BASIC]:[ESI FOOD]])</f>
        <v>0</v>
      </c>
      <c r="P11" s="11"/>
      <c r="Q11" s="86"/>
      <c r="R11" s="254"/>
      <c r="S11" s="167"/>
      <c r="T11" s="10">
        <f t="shared" si="0"/>
        <v>41</v>
      </c>
      <c r="U11" s="167"/>
      <c r="V11" s="10">
        <f t="shared" si="1"/>
        <v>41</v>
      </c>
      <c r="W11" s="10">
        <f t="shared" si="2"/>
        <v>10</v>
      </c>
      <c r="X11" s="170" t="s">
        <v>153</v>
      </c>
      <c r="Y11" s="168" t="s">
        <v>153</v>
      </c>
      <c r="Z11" s="170" t="s">
        <v>192</v>
      </c>
      <c r="AA11" s="168" t="s">
        <v>153</v>
      </c>
      <c r="AB11" s="168" t="s">
        <v>153</v>
      </c>
      <c r="AC11" s="168" t="s">
        <v>192</v>
      </c>
      <c r="AD11" s="168" t="s">
        <v>153</v>
      </c>
      <c r="AE11" s="168" t="s">
        <v>153</v>
      </c>
      <c r="AF11" s="168" t="s">
        <v>192</v>
      </c>
      <c r="AG11" s="168" t="s">
        <v>153</v>
      </c>
      <c r="AH11" s="168" t="s">
        <v>153</v>
      </c>
      <c r="AI11" s="168" t="s">
        <v>192</v>
      </c>
      <c r="AJ11" s="168" t="s">
        <v>153</v>
      </c>
      <c r="AK11" s="168" t="s">
        <v>153</v>
      </c>
      <c r="AL11" s="168" t="s">
        <v>192</v>
      </c>
      <c r="AM11" s="168" t="s">
        <v>153</v>
      </c>
      <c r="AN11" s="168" t="s">
        <v>153</v>
      </c>
      <c r="AO11" s="168" t="s">
        <v>192</v>
      </c>
      <c r="AP11" s="168" t="s">
        <v>192</v>
      </c>
      <c r="AQ11" s="168" t="s">
        <v>153</v>
      </c>
      <c r="AR11" s="168" t="s">
        <v>192</v>
      </c>
      <c r="AS11" s="168" t="s">
        <v>153</v>
      </c>
      <c r="AT11" s="168" t="s">
        <v>153</v>
      </c>
      <c r="AU11" s="168" t="s">
        <v>192</v>
      </c>
      <c r="AV11" s="168" t="s">
        <v>153</v>
      </c>
      <c r="AW11" s="168" t="s">
        <v>153</v>
      </c>
      <c r="AX11" s="168" t="s">
        <v>192</v>
      </c>
      <c r="AY11" s="168" t="s">
        <v>153</v>
      </c>
      <c r="AZ11" s="168" t="s">
        <v>153</v>
      </c>
      <c r="BA11" s="168" t="s">
        <v>192</v>
      </c>
      <c r="BB11" s="168" t="s">
        <v>153</v>
      </c>
      <c r="BC11" s="168" t="s">
        <v>153</v>
      </c>
      <c r="BD11" s="168" t="s">
        <v>192</v>
      </c>
      <c r="BE11" s="168" t="s">
        <v>153</v>
      </c>
      <c r="BF11" s="168" t="s">
        <v>153</v>
      </c>
      <c r="BG11" s="168" t="s">
        <v>192</v>
      </c>
      <c r="BH11" s="177" t="s">
        <v>153</v>
      </c>
      <c r="BI11" s="177" t="s">
        <v>153</v>
      </c>
      <c r="BJ11" s="168" t="s">
        <v>192</v>
      </c>
      <c r="BK11" s="168" t="s">
        <v>153</v>
      </c>
      <c r="BL11" s="168" t="s">
        <v>153</v>
      </c>
      <c r="BM11" s="168" t="s">
        <v>192</v>
      </c>
      <c r="BN11" s="168" t="s">
        <v>153</v>
      </c>
      <c r="BO11" s="168" t="s">
        <v>153</v>
      </c>
      <c r="BP11" s="168" t="s">
        <v>192</v>
      </c>
      <c r="BQ11" s="168" t="s">
        <v>153</v>
      </c>
      <c r="BR11" s="168" t="s">
        <v>153</v>
      </c>
      <c r="BS11" s="168" t="s">
        <v>192</v>
      </c>
      <c r="BT11" s="168" t="s">
        <v>153</v>
      </c>
      <c r="BU11" s="168" t="s">
        <v>153</v>
      </c>
      <c r="BV11" s="168" t="s">
        <v>192</v>
      </c>
      <c r="BW11" s="168" t="s">
        <v>153</v>
      </c>
      <c r="BX11" s="168" t="s">
        <v>153</v>
      </c>
      <c r="BY11" s="168" t="s">
        <v>192</v>
      </c>
      <c r="BZ11" s="168" t="s">
        <v>153</v>
      </c>
      <c r="CA11" s="168" t="s">
        <v>153</v>
      </c>
      <c r="CB11" s="168" t="s">
        <v>192</v>
      </c>
      <c r="CC11" s="168" t="s">
        <v>153</v>
      </c>
      <c r="CD11" s="168" t="s">
        <v>153</v>
      </c>
      <c r="CE11" s="168" t="s">
        <v>192</v>
      </c>
      <c r="CF11" s="168" t="s">
        <v>153</v>
      </c>
      <c r="CG11" s="168" t="s">
        <v>153</v>
      </c>
      <c r="CH11" s="183"/>
      <c r="CI11" s="186">
        <v>0</v>
      </c>
      <c r="CJ11" s="179">
        <v>0</v>
      </c>
      <c r="CK11" s="179">
        <v>0</v>
      </c>
      <c r="CL11" s="179">
        <v>0</v>
      </c>
      <c r="CM11" s="160">
        <v>0</v>
      </c>
      <c r="CN11" s="160">
        <v>0</v>
      </c>
      <c r="CO11" s="160">
        <v>0</v>
      </c>
      <c r="CP11" s="179">
        <v>0</v>
      </c>
      <c r="CQ11" s="160">
        <v>1</v>
      </c>
      <c r="CR11" s="179">
        <v>0</v>
      </c>
      <c r="CS11" s="179">
        <v>0</v>
      </c>
      <c r="CT11" s="179">
        <v>1</v>
      </c>
      <c r="CU11" s="179">
        <v>0</v>
      </c>
      <c r="CV11" s="179">
        <v>1</v>
      </c>
      <c r="CW11" s="160">
        <v>1</v>
      </c>
      <c r="CX11" s="179">
        <v>1</v>
      </c>
      <c r="CY11" s="160">
        <v>0</v>
      </c>
      <c r="CZ11" s="160">
        <v>0</v>
      </c>
      <c r="DA11" s="160">
        <v>0</v>
      </c>
      <c r="DB11" s="160">
        <v>0</v>
      </c>
      <c r="DC11" s="160">
        <v>0</v>
      </c>
      <c r="DD11" s="160">
        <v>2</v>
      </c>
      <c r="DE11" s="160">
        <v>0</v>
      </c>
      <c r="DF11" s="160">
        <v>0</v>
      </c>
      <c r="DG11" s="160">
        <v>0</v>
      </c>
      <c r="DH11" s="160">
        <v>0</v>
      </c>
      <c r="DI11" s="160">
        <v>2</v>
      </c>
      <c r="DJ11" s="160">
        <v>0</v>
      </c>
      <c r="DK11" s="160">
        <v>1</v>
      </c>
      <c r="DL11" s="160">
        <v>0</v>
      </c>
      <c r="DM11" s="160">
        <v>0</v>
      </c>
      <c r="DN11" s="160"/>
    </row>
    <row r="12" spans="1:118" hidden="1">
      <c r="A12" s="146" t="s">
        <v>81</v>
      </c>
      <c r="B12" s="146" t="s">
        <v>35</v>
      </c>
      <c r="C12" s="28" t="s">
        <v>251</v>
      </c>
      <c r="D12" s="147"/>
      <c r="E12" s="62"/>
      <c r="F12" s="62"/>
      <c r="G12" s="62"/>
      <c r="H12" s="62">
        <v>0</v>
      </c>
      <c r="I12" s="62"/>
      <c r="J12" s="62">
        <v>320</v>
      </c>
      <c r="K12" s="62">
        <v>185</v>
      </c>
      <c r="L12" s="62"/>
      <c r="M12" s="62"/>
      <c r="N12" s="62"/>
      <c r="O12" s="62">
        <f>SUBTOTAL(9,Table4[[#This Row],[ESI BASIC]:[ESI FOOD]])</f>
        <v>0</v>
      </c>
      <c r="P12" s="86"/>
      <c r="Q12" s="86"/>
      <c r="R12" s="254"/>
      <c r="S12" s="167"/>
      <c r="T12" s="10">
        <f t="shared" si="0"/>
        <v>40</v>
      </c>
      <c r="U12" s="167"/>
      <c r="V12" s="10">
        <f t="shared" si="1"/>
        <v>40</v>
      </c>
      <c r="W12" s="10">
        <f t="shared" si="2"/>
        <v>9</v>
      </c>
      <c r="X12" s="168" t="s">
        <v>153</v>
      </c>
      <c r="Y12" s="168" t="s">
        <v>192</v>
      </c>
      <c r="Z12" s="170" t="s">
        <v>153</v>
      </c>
      <c r="AA12" s="168" t="s">
        <v>153</v>
      </c>
      <c r="AB12" s="168" t="s">
        <v>192</v>
      </c>
      <c r="AC12" s="168" t="s">
        <v>153</v>
      </c>
      <c r="AD12" s="168" t="s">
        <v>153</v>
      </c>
      <c r="AE12" s="168" t="s">
        <v>192</v>
      </c>
      <c r="AF12" s="168" t="s">
        <v>153</v>
      </c>
      <c r="AG12" s="168" t="s">
        <v>153</v>
      </c>
      <c r="AH12" s="168" t="s">
        <v>192</v>
      </c>
      <c r="AI12" s="168" t="s">
        <v>153</v>
      </c>
      <c r="AJ12" s="168" t="s">
        <v>153</v>
      </c>
      <c r="AK12" s="168" t="s">
        <v>192</v>
      </c>
      <c r="AL12" s="168" t="s">
        <v>153</v>
      </c>
      <c r="AM12" s="168" t="s">
        <v>153</v>
      </c>
      <c r="AN12" s="168" t="s">
        <v>192</v>
      </c>
      <c r="AO12" s="168" t="s">
        <v>153</v>
      </c>
      <c r="AP12" s="168" t="s">
        <v>153</v>
      </c>
      <c r="AQ12" s="168" t="s">
        <v>192</v>
      </c>
      <c r="AR12" s="168" t="s">
        <v>153</v>
      </c>
      <c r="AS12" s="168" t="s">
        <v>153</v>
      </c>
      <c r="AT12" s="168" t="s">
        <v>192</v>
      </c>
      <c r="AU12" s="168" t="s">
        <v>153</v>
      </c>
      <c r="AV12" s="168" t="s">
        <v>153</v>
      </c>
      <c r="AW12" s="168" t="s">
        <v>192</v>
      </c>
      <c r="AX12" s="168" t="s">
        <v>153</v>
      </c>
      <c r="AY12" s="168" t="s">
        <v>153</v>
      </c>
      <c r="AZ12" s="168" t="s">
        <v>192</v>
      </c>
      <c r="BA12" s="168" t="s">
        <v>153</v>
      </c>
      <c r="BB12" s="168" t="s">
        <v>153</v>
      </c>
      <c r="BC12" s="168" t="s">
        <v>192</v>
      </c>
      <c r="BD12" s="168" t="s">
        <v>153</v>
      </c>
      <c r="BE12" s="168" t="s">
        <v>153</v>
      </c>
      <c r="BF12" s="168" t="s">
        <v>192</v>
      </c>
      <c r="BG12" s="168" t="s">
        <v>153</v>
      </c>
      <c r="BH12" s="168" t="s">
        <v>153</v>
      </c>
      <c r="BI12" s="168" t="s">
        <v>192</v>
      </c>
      <c r="BJ12" s="168" t="s">
        <v>153</v>
      </c>
      <c r="BK12" s="168" t="s">
        <v>153</v>
      </c>
      <c r="BL12" s="168" t="s">
        <v>192</v>
      </c>
      <c r="BM12" s="168" t="s">
        <v>153</v>
      </c>
      <c r="BN12" s="168" t="s">
        <v>153</v>
      </c>
      <c r="BO12" s="168" t="s">
        <v>192</v>
      </c>
      <c r="BP12" s="168" t="s">
        <v>153</v>
      </c>
      <c r="BQ12" s="168" t="s">
        <v>153</v>
      </c>
      <c r="BR12" s="168" t="s">
        <v>192</v>
      </c>
      <c r="BS12" s="168" t="s">
        <v>153</v>
      </c>
      <c r="BT12" s="168" t="s">
        <v>192</v>
      </c>
      <c r="BU12" s="168" t="s">
        <v>192</v>
      </c>
      <c r="BV12" s="168" t="s">
        <v>153</v>
      </c>
      <c r="BW12" s="168" t="s">
        <v>153</v>
      </c>
      <c r="BX12" s="168" t="s">
        <v>192</v>
      </c>
      <c r="BY12" s="168" t="s">
        <v>153</v>
      </c>
      <c r="BZ12" s="168" t="s">
        <v>153</v>
      </c>
      <c r="CA12" s="168" t="s">
        <v>192</v>
      </c>
      <c r="CB12" s="168" t="s">
        <v>153</v>
      </c>
      <c r="CC12" s="168" t="s">
        <v>153</v>
      </c>
      <c r="CD12" s="168" t="s">
        <v>192</v>
      </c>
      <c r="CE12" s="168" t="s">
        <v>153</v>
      </c>
      <c r="CF12" s="168" t="s">
        <v>153</v>
      </c>
      <c r="CG12" s="244" t="s">
        <v>192</v>
      </c>
      <c r="CH12" s="183"/>
      <c r="CI12" s="186">
        <v>0</v>
      </c>
      <c r="CJ12" s="179">
        <v>0</v>
      </c>
      <c r="CK12" s="179">
        <v>0</v>
      </c>
      <c r="CL12" s="179">
        <v>0</v>
      </c>
      <c r="CM12" s="179">
        <v>0</v>
      </c>
      <c r="CN12" s="160">
        <v>0</v>
      </c>
      <c r="CO12" s="160">
        <v>0</v>
      </c>
      <c r="CP12" s="160">
        <v>0</v>
      </c>
      <c r="CQ12" s="160">
        <v>0</v>
      </c>
      <c r="CR12" s="179">
        <v>0</v>
      </c>
      <c r="CS12" s="179">
        <v>1</v>
      </c>
      <c r="CT12" s="179">
        <v>0</v>
      </c>
      <c r="CU12" s="179">
        <v>0</v>
      </c>
      <c r="CV12" s="179">
        <v>4</v>
      </c>
      <c r="CW12" s="160">
        <v>0</v>
      </c>
      <c r="CX12" s="188">
        <v>0</v>
      </c>
      <c r="CY12" s="160">
        <v>0</v>
      </c>
      <c r="CZ12" s="160">
        <v>0</v>
      </c>
      <c r="DA12" s="160">
        <v>1</v>
      </c>
      <c r="DB12" s="160">
        <v>0</v>
      </c>
      <c r="DC12" s="160">
        <v>0</v>
      </c>
      <c r="DD12" s="160">
        <v>1</v>
      </c>
      <c r="DE12" s="160">
        <v>1</v>
      </c>
      <c r="DF12" s="160">
        <v>0</v>
      </c>
      <c r="DG12" s="160">
        <v>0</v>
      </c>
      <c r="DH12" s="160">
        <v>0</v>
      </c>
      <c r="DI12" s="160">
        <v>0</v>
      </c>
      <c r="DJ12" s="160">
        <v>1</v>
      </c>
      <c r="DK12" s="160">
        <v>0</v>
      </c>
      <c r="DL12" s="160">
        <v>0</v>
      </c>
      <c r="DM12" s="160">
        <v>0</v>
      </c>
      <c r="DN12" s="160"/>
    </row>
    <row r="13" spans="1:118" ht="15.75" hidden="1" customHeight="1">
      <c r="A13" s="146" t="s">
        <v>80</v>
      </c>
      <c r="B13" s="146" t="s">
        <v>38</v>
      </c>
      <c r="C13" s="28" t="s">
        <v>252</v>
      </c>
      <c r="D13" s="147" t="s">
        <v>321</v>
      </c>
      <c r="E13" s="62"/>
      <c r="F13" s="62"/>
      <c r="G13" s="62"/>
      <c r="H13" s="62">
        <v>0</v>
      </c>
      <c r="I13" s="62"/>
      <c r="J13" s="62">
        <v>285</v>
      </c>
      <c r="K13" s="62">
        <v>80</v>
      </c>
      <c r="L13" s="62">
        <v>10560</v>
      </c>
      <c r="M13" s="62">
        <v>920</v>
      </c>
      <c r="N13" s="62">
        <v>720</v>
      </c>
      <c r="O13" s="62">
        <f>SUBTOTAL(9,Table4[[#This Row],[ESI BASIC]:[ESI FOOD]])</f>
        <v>0</v>
      </c>
      <c r="P13" s="86" t="s">
        <v>330</v>
      </c>
      <c r="Q13" s="86" t="s">
        <v>331</v>
      </c>
      <c r="R13" s="242" t="s">
        <v>332</v>
      </c>
      <c r="S13" s="167"/>
      <c r="T13" s="10">
        <f t="shared" si="0"/>
        <v>40</v>
      </c>
      <c r="U13" s="167"/>
      <c r="V13" s="10">
        <f t="shared" si="1"/>
        <v>40</v>
      </c>
      <c r="W13" s="10">
        <f t="shared" si="2"/>
        <v>8</v>
      </c>
      <c r="X13" s="170" t="s">
        <v>192</v>
      </c>
      <c r="Y13" s="168" t="s">
        <v>153</v>
      </c>
      <c r="Z13" s="168" t="s">
        <v>153</v>
      </c>
      <c r="AA13" s="168" t="s">
        <v>192</v>
      </c>
      <c r="AB13" s="168" t="s">
        <v>153</v>
      </c>
      <c r="AC13" s="168" t="s">
        <v>153</v>
      </c>
      <c r="AD13" s="168" t="s">
        <v>192</v>
      </c>
      <c r="AE13" s="168" t="s">
        <v>153</v>
      </c>
      <c r="AF13" s="168" t="s">
        <v>153</v>
      </c>
      <c r="AG13" s="168" t="s">
        <v>192</v>
      </c>
      <c r="AH13" s="168" t="s">
        <v>153</v>
      </c>
      <c r="AI13" s="168" t="s">
        <v>153</v>
      </c>
      <c r="AJ13" s="168" t="s">
        <v>192</v>
      </c>
      <c r="AK13" s="168" t="s">
        <v>153</v>
      </c>
      <c r="AL13" s="168" t="s">
        <v>153</v>
      </c>
      <c r="AM13" s="168" t="s">
        <v>192</v>
      </c>
      <c r="AN13" s="168" t="s">
        <v>153</v>
      </c>
      <c r="AO13" s="168" t="s">
        <v>153</v>
      </c>
      <c r="AP13" s="168" t="s">
        <v>192</v>
      </c>
      <c r="AQ13" s="168" t="s">
        <v>153</v>
      </c>
      <c r="AR13" s="168" t="s">
        <v>153</v>
      </c>
      <c r="AS13" s="168" t="s">
        <v>192</v>
      </c>
      <c r="AT13" s="168" t="s">
        <v>153</v>
      </c>
      <c r="AU13" s="168" t="s">
        <v>153</v>
      </c>
      <c r="AV13" s="168" t="s">
        <v>192</v>
      </c>
      <c r="AW13" s="168" t="s">
        <v>153</v>
      </c>
      <c r="AX13" s="168" t="s">
        <v>153</v>
      </c>
      <c r="AY13" s="168" t="s">
        <v>192</v>
      </c>
      <c r="AZ13" s="168" t="s">
        <v>153</v>
      </c>
      <c r="BA13" s="168" t="s">
        <v>153</v>
      </c>
      <c r="BB13" s="168" t="s">
        <v>192</v>
      </c>
      <c r="BC13" s="168" t="s">
        <v>153</v>
      </c>
      <c r="BD13" s="168" t="s">
        <v>153</v>
      </c>
      <c r="BE13" s="168" t="s">
        <v>192</v>
      </c>
      <c r="BF13" s="168" t="s">
        <v>153</v>
      </c>
      <c r="BG13" s="168" t="s">
        <v>192</v>
      </c>
      <c r="BH13" s="168" t="s">
        <v>192</v>
      </c>
      <c r="BI13" s="168" t="s">
        <v>153</v>
      </c>
      <c r="BJ13" s="168" t="s">
        <v>153</v>
      </c>
      <c r="BK13" s="168" t="s">
        <v>192</v>
      </c>
      <c r="BL13" s="168" t="s">
        <v>153</v>
      </c>
      <c r="BM13" s="168" t="s">
        <v>153</v>
      </c>
      <c r="BN13" s="168" t="s">
        <v>192</v>
      </c>
      <c r="BO13" s="168" t="s">
        <v>153</v>
      </c>
      <c r="BP13" s="168" t="s">
        <v>153</v>
      </c>
      <c r="BQ13" s="168" t="s">
        <v>192</v>
      </c>
      <c r="BR13" s="168" t="s">
        <v>153</v>
      </c>
      <c r="BS13" s="168" t="s">
        <v>153</v>
      </c>
      <c r="BT13" s="168" t="s">
        <v>192</v>
      </c>
      <c r="BU13" s="168" t="s">
        <v>153</v>
      </c>
      <c r="BV13" s="168" t="s">
        <v>153</v>
      </c>
      <c r="BW13" s="168" t="s">
        <v>192</v>
      </c>
      <c r="BX13" s="168" t="s">
        <v>153</v>
      </c>
      <c r="BY13" s="168" t="s">
        <v>153</v>
      </c>
      <c r="BZ13" s="168" t="s">
        <v>192</v>
      </c>
      <c r="CA13" s="168" t="s">
        <v>153</v>
      </c>
      <c r="CB13" s="168" t="s">
        <v>153</v>
      </c>
      <c r="CC13" s="168" t="s">
        <v>192</v>
      </c>
      <c r="CD13" s="168" t="s">
        <v>153</v>
      </c>
      <c r="CE13" s="168" t="s">
        <v>153</v>
      </c>
      <c r="CF13" s="168" t="s">
        <v>192</v>
      </c>
      <c r="CG13" s="168" t="s">
        <v>153</v>
      </c>
      <c r="CH13" s="183"/>
      <c r="CI13" s="186">
        <v>0</v>
      </c>
      <c r="CJ13" s="179">
        <v>1</v>
      </c>
      <c r="CK13" s="179">
        <v>0</v>
      </c>
      <c r="CL13" s="179">
        <v>0</v>
      </c>
      <c r="CM13" s="179">
        <v>0</v>
      </c>
      <c r="CN13" s="179">
        <v>0</v>
      </c>
      <c r="CO13" s="160">
        <v>1</v>
      </c>
      <c r="CP13" s="160">
        <v>0</v>
      </c>
      <c r="CQ13" s="179">
        <v>0</v>
      </c>
      <c r="CR13" s="19">
        <v>0</v>
      </c>
      <c r="CS13" s="179">
        <v>0</v>
      </c>
      <c r="CT13" s="179">
        <v>0</v>
      </c>
      <c r="CU13" s="179">
        <v>0</v>
      </c>
      <c r="CV13" s="179">
        <v>2</v>
      </c>
      <c r="CW13" s="179">
        <v>0</v>
      </c>
      <c r="CX13" s="188">
        <v>0</v>
      </c>
      <c r="CY13" s="160">
        <v>0</v>
      </c>
      <c r="CZ13" s="160">
        <v>0</v>
      </c>
      <c r="DA13" s="160">
        <v>0</v>
      </c>
      <c r="DB13" s="160">
        <v>1</v>
      </c>
      <c r="DC13" s="160">
        <v>1</v>
      </c>
      <c r="DD13" s="160">
        <v>0</v>
      </c>
      <c r="DE13" s="160">
        <v>0</v>
      </c>
      <c r="DF13" s="160">
        <v>0</v>
      </c>
      <c r="DG13" s="160">
        <v>0</v>
      </c>
      <c r="DH13" s="160">
        <v>0</v>
      </c>
      <c r="DI13" s="160">
        <v>1</v>
      </c>
      <c r="DJ13" s="160">
        <v>0</v>
      </c>
      <c r="DK13" s="160">
        <v>1</v>
      </c>
      <c r="DL13" s="160">
        <v>0</v>
      </c>
      <c r="DM13" s="160">
        <v>0</v>
      </c>
      <c r="DN13" s="160"/>
    </row>
    <row r="14" spans="1:118" ht="15.75" hidden="1" customHeight="1">
      <c r="A14" s="146" t="s">
        <v>81</v>
      </c>
      <c r="B14" s="146" t="s">
        <v>38</v>
      </c>
      <c r="C14" s="148" t="s">
        <v>405</v>
      </c>
      <c r="D14" s="62"/>
      <c r="E14" s="62"/>
      <c r="F14" s="62"/>
      <c r="G14" s="62"/>
      <c r="H14" s="62">
        <v>0</v>
      </c>
      <c r="I14" s="62"/>
      <c r="J14" s="62">
        <v>250</v>
      </c>
      <c r="K14" s="62">
        <v>70</v>
      </c>
      <c r="L14" s="62"/>
      <c r="M14" s="62"/>
      <c r="N14" s="62"/>
      <c r="O14" s="62">
        <f>Table4[[#This Row],[ESI FOOD]]+Table4[[#This Row],[ESI HRA]]+Table4[[#This Row],[ESI BASIC]]</f>
        <v>0</v>
      </c>
      <c r="P14" s="264"/>
      <c r="Q14" s="263"/>
      <c r="R14" s="86"/>
      <c r="S14" s="167"/>
      <c r="T14" s="10">
        <f t="shared" si="0"/>
        <v>40</v>
      </c>
      <c r="U14" s="167"/>
      <c r="V14" s="10">
        <f t="shared" si="1"/>
        <v>40</v>
      </c>
      <c r="W14" s="10">
        <f t="shared" si="2"/>
        <v>7</v>
      </c>
      <c r="X14" s="168" t="s">
        <v>192</v>
      </c>
      <c r="Y14" s="168" t="s">
        <v>153</v>
      </c>
      <c r="Z14" s="170" t="s">
        <v>153</v>
      </c>
      <c r="AA14" s="168" t="s">
        <v>192</v>
      </c>
      <c r="AB14" s="168" t="s">
        <v>153</v>
      </c>
      <c r="AC14" s="168" t="s">
        <v>153</v>
      </c>
      <c r="AD14" s="168" t="s">
        <v>192</v>
      </c>
      <c r="AE14" s="168" t="s">
        <v>153</v>
      </c>
      <c r="AF14" s="168" t="s">
        <v>153</v>
      </c>
      <c r="AG14" s="168" t="s">
        <v>192</v>
      </c>
      <c r="AH14" s="168" t="s">
        <v>153</v>
      </c>
      <c r="AI14" s="168" t="s">
        <v>153</v>
      </c>
      <c r="AJ14" s="168" t="s">
        <v>192</v>
      </c>
      <c r="AK14" s="168" t="s">
        <v>153</v>
      </c>
      <c r="AL14" s="168" t="s">
        <v>153</v>
      </c>
      <c r="AM14" s="168" t="s">
        <v>192</v>
      </c>
      <c r="AN14" s="168" t="s">
        <v>153</v>
      </c>
      <c r="AO14" s="168" t="s">
        <v>153</v>
      </c>
      <c r="AP14" s="168" t="s">
        <v>192</v>
      </c>
      <c r="AQ14" s="168" t="s">
        <v>153</v>
      </c>
      <c r="AR14" s="168" t="s">
        <v>153</v>
      </c>
      <c r="AS14" s="168" t="s">
        <v>192</v>
      </c>
      <c r="AT14" s="168" t="s">
        <v>192</v>
      </c>
      <c r="AU14" s="168" t="s">
        <v>153</v>
      </c>
      <c r="AV14" s="168" t="s">
        <v>192</v>
      </c>
      <c r="AW14" s="168" t="s">
        <v>153</v>
      </c>
      <c r="AX14" s="168" t="s">
        <v>153</v>
      </c>
      <c r="AY14" s="168" t="s">
        <v>192</v>
      </c>
      <c r="AZ14" s="168" t="s">
        <v>153</v>
      </c>
      <c r="BA14" s="168" t="s">
        <v>153</v>
      </c>
      <c r="BB14" s="168" t="s">
        <v>192</v>
      </c>
      <c r="BC14" s="168" t="s">
        <v>153</v>
      </c>
      <c r="BD14" s="168" t="s">
        <v>153</v>
      </c>
      <c r="BE14" s="168" t="s">
        <v>192</v>
      </c>
      <c r="BF14" s="168" t="s">
        <v>153</v>
      </c>
      <c r="BG14" s="168" t="s">
        <v>153</v>
      </c>
      <c r="BH14" s="168" t="s">
        <v>192</v>
      </c>
      <c r="BI14" s="168" t="s">
        <v>153</v>
      </c>
      <c r="BJ14" s="168" t="s">
        <v>153</v>
      </c>
      <c r="BK14" s="168" t="s">
        <v>192</v>
      </c>
      <c r="BL14" s="168" t="s">
        <v>153</v>
      </c>
      <c r="BM14" s="168" t="s">
        <v>153</v>
      </c>
      <c r="BN14" s="168" t="s">
        <v>192</v>
      </c>
      <c r="BO14" s="168" t="s">
        <v>153</v>
      </c>
      <c r="BP14" s="168" t="s">
        <v>153</v>
      </c>
      <c r="BQ14" s="168" t="s">
        <v>192</v>
      </c>
      <c r="BR14" s="168" t="s">
        <v>153</v>
      </c>
      <c r="BS14" s="168" t="s">
        <v>153</v>
      </c>
      <c r="BT14" s="168" t="s">
        <v>192</v>
      </c>
      <c r="BU14" s="168" t="s">
        <v>153</v>
      </c>
      <c r="BV14" s="168" t="s">
        <v>153</v>
      </c>
      <c r="BW14" s="168" t="s">
        <v>192</v>
      </c>
      <c r="BX14" s="168" t="s">
        <v>153</v>
      </c>
      <c r="BY14" s="168" t="s">
        <v>153</v>
      </c>
      <c r="BZ14" s="168" t="s">
        <v>192</v>
      </c>
      <c r="CA14" s="168" t="s">
        <v>153</v>
      </c>
      <c r="CB14" s="168" t="s">
        <v>153</v>
      </c>
      <c r="CC14" s="168" t="s">
        <v>192</v>
      </c>
      <c r="CD14" s="168" t="s">
        <v>153</v>
      </c>
      <c r="CE14" s="168" t="s">
        <v>153</v>
      </c>
      <c r="CF14" s="168" t="s">
        <v>192</v>
      </c>
      <c r="CG14" s="244" t="s">
        <v>153</v>
      </c>
      <c r="CH14" s="183"/>
      <c r="CI14" s="186">
        <v>0</v>
      </c>
      <c r="CJ14" s="179">
        <v>0</v>
      </c>
      <c r="CK14" s="179">
        <v>0</v>
      </c>
      <c r="CL14" s="179">
        <v>0</v>
      </c>
      <c r="CM14" s="160">
        <v>0</v>
      </c>
      <c r="CN14" s="160">
        <v>0</v>
      </c>
      <c r="CO14" s="160">
        <v>0</v>
      </c>
      <c r="CP14" s="160">
        <v>0</v>
      </c>
      <c r="CQ14" s="160">
        <v>0</v>
      </c>
      <c r="CR14" s="179">
        <v>0</v>
      </c>
      <c r="CS14" s="179">
        <v>0</v>
      </c>
      <c r="CT14" s="179">
        <v>0</v>
      </c>
      <c r="CU14" s="179">
        <v>0</v>
      </c>
      <c r="CV14" s="179">
        <v>1</v>
      </c>
      <c r="CW14" s="160">
        <v>0</v>
      </c>
      <c r="CX14" s="160">
        <v>0</v>
      </c>
      <c r="CY14" s="160">
        <v>0</v>
      </c>
      <c r="CZ14" s="160">
        <v>1</v>
      </c>
      <c r="DA14" s="160">
        <v>0</v>
      </c>
      <c r="DB14" s="160">
        <v>0</v>
      </c>
      <c r="DC14" s="160">
        <v>0</v>
      </c>
      <c r="DD14" s="160">
        <v>1</v>
      </c>
      <c r="DE14" s="160">
        <v>1</v>
      </c>
      <c r="DF14" s="160">
        <v>0</v>
      </c>
      <c r="DG14" s="160">
        <v>0</v>
      </c>
      <c r="DH14" s="160">
        <v>0</v>
      </c>
      <c r="DI14" s="179">
        <v>1</v>
      </c>
      <c r="DJ14" s="160">
        <v>2</v>
      </c>
      <c r="DK14" s="160">
        <v>0</v>
      </c>
      <c r="DL14" s="160">
        <v>0</v>
      </c>
      <c r="DM14" s="160">
        <v>0</v>
      </c>
      <c r="DN14" s="160"/>
    </row>
    <row r="15" spans="1:118" hidden="1">
      <c r="A15" s="146" t="s">
        <v>81</v>
      </c>
      <c r="B15" s="146" t="s">
        <v>85</v>
      </c>
      <c r="C15" s="28" t="s">
        <v>412</v>
      </c>
      <c r="D15" s="62"/>
      <c r="E15" s="62"/>
      <c r="F15" s="62"/>
      <c r="G15" s="62"/>
      <c r="H15" s="62">
        <v>0</v>
      </c>
      <c r="I15" s="62">
        <v>15500</v>
      </c>
      <c r="J15" s="62"/>
      <c r="K15" s="62"/>
      <c r="L15" s="62"/>
      <c r="M15" s="62"/>
      <c r="N15" s="62"/>
      <c r="O15" s="62"/>
      <c r="P15" s="19"/>
      <c r="Q15" s="19"/>
      <c r="R15" s="169"/>
      <c r="S15" s="167"/>
      <c r="T15" s="10">
        <f t="shared" si="0"/>
        <v>31</v>
      </c>
      <c r="U15" s="167">
        <v>4</v>
      </c>
      <c r="V15" s="10">
        <f t="shared" si="1"/>
        <v>35</v>
      </c>
      <c r="W15" s="10">
        <f t="shared" si="2"/>
        <v>0</v>
      </c>
      <c r="X15" s="168" t="s">
        <v>153</v>
      </c>
      <c r="Y15" s="168" t="s">
        <v>192</v>
      </c>
      <c r="Z15" s="170" t="s">
        <v>153</v>
      </c>
      <c r="AA15" s="168" t="s">
        <v>192</v>
      </c>
      <c r="AB15" s="168" t="s">
        <v>153</v>
      </c>
      <c r="AC15" s="168" t="s">
        <v>192</v>
      </c>
      <c r="AD15" s="168" t="s">
        <v>153</v>
      </c>
      <c r="AE15" s="168" t="s">
        <v>192</v>
      </c>
      <c r="AF15" s="168" t="s">
        <v>153</v>
      </c>
      <c r="AG15" s="168" t="s">
        <v>192</v>
      </c>
      <c r="AH15" s="168" t="s">
        <v>153</v>
      </c>
      <c r="AI15" s="168" t="s">
        <v>192</v>
      </c>
      <c r="AJ15" s="168" t="s">
        <v>153</v>
      </c>
      <c r="AK15" s="168" t="s">
        <v>192</v>
      </c>
      <c r="AL15" s="168" t="s">
        <v>153</v>
      </c>
      <c r="AM15" s="168" t="s">
        <v>192</v>
      </c>
      <c r="AN15" s="168" t="s">
        <v>153</v>
      </c>
      <c r="AO15" s="168" t="s">
        <v>192</v>
      </c>
      <c r="AP15" s="168" t="s">
        <v>153</v>
      </c>
      <c r="AQ15" s="168" t="s">
        <v>192</v>
      </c>
      <c r="AR15" s="168" t="s">
        <v>153</v>
      </c>
      <c r="AS15" s="168" t="s">
        <v>192</v>
      </c>
      <c r="AT15" s="168" t="s">
        <v>153</v>
      </c>
      <c r="AU15" s="168" t="s">
        <v>192</v>
      </c>
      <c r="AV15" s="168" t="s">
        <v>153</v>
      </c>
      <c r="AW15" s="168" t="s">
        <v>192</v>
      </c>
      <c r="AX15" s="168" t="s">
        <v>153</v>
      </c>
      <c r="AY15" s="168" t="s">
        <v>192</v>
      </c>
      <c r="AZ15" s="168" t="s">
        <v>153</v>
      </c>
      <c r="BA15" s="168" t="s">
        <v>192</v>
      </c>
      <c r="BB15" s="168" t="s">
        <v>153</v>
      </c>
      <c r="BC15" s="168" t="s">
        <v>192</v>
      </c>
      <c r="BD15" s="168" t="s">
        <v>153</v>
      </c>
      <c r="BE15" s="168" t="s">
        <v>192</v>
      </c>
      <c r="BF15" s="168" t="s">
        <v>153</v>
      </c>
      <c r="BG15" s="168" t="s">
        <v>192</v>
      </c>
      <c r="BH15" s="168" t="s">
        <v>153</v>
      </c>
      <c r="BI15" s="168" t="s">
        <v>192</v>
      </c>
      <c r="BJ15" s="168" t="s">
        <v>153</v>
      </c>
      <c r="BK15" s="168" t="s">
        <v>192</v>
      </c>
      <c r="BL15" s="168" t="s">
        <v>153</v>
      </c>
      <c r="BM15" s="168" t="s">
        <v>192</v>
      </c>
      <c r="BN15" s="168" t="s">
        <v>153</v>
      </c>
      <c r="BO15" s="168" t="s">
        <v>192</v>
      </c>
      <c r="BP15" s="168" t="s">
        <v>153</v>
      </c>
      <c r="BQ15" s="168" t="s">
        <v>192</v>
      </c>
      <c r="BR15" s="168" t="s">
        <v>153</v>
      </c>
      <c r="BS15" s="168" t="s">
        <v>192</v>
      </c>
      <c r="BT15" s="168" t="s">
        <v>153</v>
      </c>
      <c r="BU15" s="168" t="s">
        <v>192</v>
      </c>
      <c r="BV15" s="168" t="s">
        <v>153</v>
      </c>
      <c r="BW15" s="168" t="s">
        <v>192</v>
      </c>
      <c r="BX15" s="168" t="s">
        <v>153</v>
      </c>
      <c r="BY15" s="168" t="s">
        <v>192</v>
      </c>
      <c r="BZ15" s="168" t="s">
        <v>153</v>
      </c>
      <c r="CA15" s="168" t="s">
        <v>192</v>
      </c>
      <c r="CB15" s="168" t="s">
        <v>153</v>
      </c>
      <c r="CC15" s="168" t="s">
        <v>192</v>
      </c>
      <c r="CD15" s="168" t="s">
        <v>153</v>
      </c>
      <c r="CE15" s="168" t="s">
        <v>192</v>
      </c>
      <c r="CF15" s="168" t="s">
        <v>153</v>
      </c>
      <c r="CG15" s="244" t="s">
        <v>192</v>
      </c>
      <c r="CH15" s="183"/>
      <c r="CI15" s="185"/>
      <c r="CJ15" s="160"/>
      <c r="CK15" s="160"/>
      <c r="CL15" s="160"/>
      <c r="CM15" s="160"/>
      <c r="CN15" s="160"/>
      <c r="CO15" s="160"/>
      <c r="CP15" s="160"/>
      <c r="CQ15" s="160"/>
      <c r="CR15" s="160"/>
      <c r="CS15" s="179"/>
      <c r="CT15" s="160"/>
      <c r="CU15" s="179"/>
      <c r="CV15" s="160"/>
      <c r="CW15" s="160"/>
      <c r="CX15" s="160"/>
      <c r="CY15" s="160"/>
      <c r="CZ15" s="160"/>
      <c r="DA15" s="160"/>
      <c r="DB15" s="160"/>
      <c r="DC15" s="160"/>
      <c r="DD15" s="160"/>
      <c r="DE15" s="160"/>
      <c r="DF15" s="160"/>
      <c r="DG15" s="160"/>
      <c r="DH15" s="160"/>
      <c r="DI15" s="160"/>
      <c r="DJ15" s="160"/>
      <c r="DK15" s="160"/>
      <c r="DL15" s="160"/>
      <c r="DM15" s="160"/>
      <c r="DN15" s="160"/>
    </row>
    <row r="16" spans="1:118" hidden="1">
      <c r="A16" s="146" t="s">
        <v>80</v>
      </c>
      <c r="B16" s="146" t="s">
        <v>84</v>
      </c>
      <c r="C16" s="28" t="s">
        <v>253</v>
      </c>
      <c r="D16" s="62" t="s">
        <v>322</v>
      </c>
      <c r="E16" s="62"/>
      <c r="F16" s="62"/>
      <c r="G16" s="62"/>
      <c r="H16" s="62">
        <v>0</v>
      </c>
      <c r="I16" s="62">
        <v>15225</v>
      </c>
      <c r="J16" s="62"/>
      <c r="K16" s="62"/>
      <c r="L16" s="62">
        <v>10560</v>
      </c>
      <c r="M16" s="62">
        <v>2665</v>
      </c>
      <c r="N16" s="62">
        <v>2000</v>
      </c>
      <c r="O16" s="62">
        <f>SUBTOTAL(9,Table4[[#This Row],[ESI BASIC]:[ESI FOOD]])</f>
        <v>0</v>
      </c>
      <c r="P16" s="86" t="s">
        <v>302</v>
      </c>
      <c r="Q16" s="86" t="s">
        <v>333</v>
      </c>
      <c r="R16" s="254">
        <v>36573214016</v>
      </c>
      <c r="S16" s="167"/>
      <c r="T16" s="10">
        <f>COUNTIF(X16:CG16,"P")</f>
        <v>30</v>
      </c>
      <c r="U16" s="167">
        <v>4</v>
      </c>
      <c r="V16" s="10">
        <f t="shared" si="1"/>
        <v>34</v>
      </c>
      <c r="W16" s="10">
        <f t="shared" si="2"/>
        <v>0</v>
      </c>
      <c r="X16" s="168" t="s">
        <v>153</v>
      </c>
      <c r="Y16" s="170" t="s">
        <v>192</v>
      </c>
      <c r="Z16" s="170" t="s">
        <v>153</v>
      </c>
      <c r="AA16" s="170" t="s">
        <v>192</v>
      </c>
      <c r="AB16" s="170" t="s">
        <v>153</v>
      </c>
      <c r="AC16" s="170" t="s">
        <v>192</v>
      </c>
      <c r="AD16" s="170" t="s">
        <v>153</v>
      </c>
      <c r="AE16" s="170" t="s">
        <v>192</v>
      </c>
      <c r="AF16" s="170" t="s">
        <v>153</v>
      </c>
      <c r="AG16" s="170" t="s">
        <v>192</v>
      </c>
      <c r="AH16" s="168" t="s">
        <v>153</v>
      </c>
      <c r="AI16" s="168" t="s">
        <v>153</v>
      </c>
      <c r="AJ16" s="168" t="s">
        <v>153</v>
      </c>
      <c r="AK16" s="168" t="s">
        <v>192</v>
      </c>
      <c r="AL16" s="168" t="s">
        <v>153</v>
      </c>
      <c r="AM16" s="168" t="s">
        <v>192</v>
      </c>
      <c r="AN16" s="170" t="s">
        <v>153</v>
      </c>
      <c r="AO16" s="168" t="s">
        <v>192</v>
      </c>
      <c r="AP16" s="168" t="s">
        <v>153</v>
      </c>
      <c r="AQ16" s="168" t="s">
        <v>192</v>
      </c>
      <c r="AR16" s="168" t="s">
        <v>153</v>
      </c>
      <c r="AS16" s="168" t="s">
        <v>192</v>
      </c>
      <c r="AT16" s="168" t="s">
        <v>153</v>
      </c>
      <c r="AU16" s="168" t="s">
        <v>192</v>
      </c>
      <c r="AV16" s="168" t="s">
        <v>153</v>
      </c>
      <c r="AW16" s="168" t="s">
        <v>192</v>
      </c>
      <c r="AX16" s="168" t="s">
        <v>153</v>
      </c>
      <c r="AY16" s="168" t="s">
        <v>192</v>
      </c>
      <c r="AZ16" s="168" t="s">
        <v>153</v>
      </c>
      <c r="BA16" s="168" t="s">
        <v>192</v>
      </c>
      <c r="BB16" s="168" t="s">
        <v>192</v>
      </c>
      <c r="BC16" s="168" t="s">
        <v>192</v>
      </c>
      <c r="BD16" s="168" t="s">
        <v>153</v>
      </c>
      <c r="BE16" s="168" t="s">
        <v>192</v>
      </c>
      <c r="BF16" s="168" t="s">
        <v>153</v>
      </c>
      <c r="BG16" s="168" t="s">
        <v>192</v>
      </c>
      <c r="BH16" s="168" t="s">
        <v>153</v>
      </c>
      <c r="BI16" s="168" t="s">
        <v>192</v>
      </c>
      <c r="BJ16" s="168" t="s">
        <v>192</v>
      </c>
      <c r="BK16" s="168" t="s">
        <v>153</v>
      </c>
      <c r="BL16" s="168" t="s">
        <v>192</v>
      </c>
      <c r="BM16" s="168" t="s">
        <v>153</v>
      </c>
      <c r="BN16" s="168" t="s">
        <v>192</v>
      </c>
      <c r="BO16" s="168" t="s">
        <v>153</v>
      </c>
      <c r="BP16" s="168" t="s">
        <v>192</v>
      </c>
      <c r="BQ16" s="168" t="s">
        <v>153</v>
      </c>
      <c r="BR16" s="168" t="s">
        <v>192</v>
      </c>
      <c r="BS16" s="168" t="s">
        <v>192</v>
      </c>
      <c r="BT16" s="168" t="s">
        <v>192</v>
      </c>
      <c r="BU16" s="168" t="s">
        <v>153</v>
      </c>
      <c r="BV16" s="168" t="s">
        <v>192</v>
      </c>
      <c r="BW16" s="168" t="s">
        <v>153</v>
      </c>
      <c r="BX16" s="168" t="s">
        <v>153</v>
      </c>
      <c r="BY16" s="168" t="s">
        <v>192</v>
      </c>
      <c r="BZ16" s="168" t="s">
        <v>153</v>
      </c>
      <c r="CA16" s="168" t="s">
        <v>192</v>
      </c>
      <c r="CB16" s="168" t="s">
        <v>153</v>
      </c>
      <c r="CC16" s="168" t="s">
        <v>192</v>
      </c>
      <c r="CD16" s="168" t="s">
        <v>153</v>
      </c>
      <c r="CE16" s="168" t="s">
        <v>192</v>
      </c>
      <c r="CF16" s="168" t="s">
        <v>153</v>
      </c>
      <c r="CG16" s="168" t="s">
        <v>192</v>
      </c>
      <c r="CH16" s="183"/>
      <c r="CI16" s="185"/>
      <c r="CJ16" s="160"/>
      <c r="CK16" s="160"/>
      <c r="CL16" s="160"/>
      <c r="CM16" s="160"/>
      <c r="CN16" s="160"/>
      <c r="CO16" s="160"/>
      <c r="CP16" s="160"/>
      <c r="CQ16" s="160"/>
      <c r="CR16" s="160"/>
      <c r="CS16" s="179"/>
      <c r="CT16" s="160"/>
      <c r="CU16" s="160"/>
      <c r="CV16" s="160"/>
      <c r="CW16" s="160"/>
      <c r="CX16" s="160"/>
      <c r="CY16" s="160"/>
      <c r="CZ16" s="160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0"/>
      <c r="DL16" s="160"/>
      <c r="DM16" s="160"/>
      <c r="DN16" s="160"/>
    </row>
    <row r="17" spans="1:118">
      <c r="A17" s="146" t="s">
        <v>79</v>
      </c>
      <c r="B17" s="146" t="s">
        <v>83</v>
      </c>
      <c r="C17" s="28" t="s">
        <v>254</v>
      </c>
      <c r="D17" s="62" t="s">
        <v>293</v>
      </c>
      <c r="E17" s="62">
        <v>10560</v>
      </c>
      <c r="F17" s="62">
        <v>4000</v>
      </c>
      <c r="G17" s="62">
        <v>3440</v>
      </c>
      <c r="H17" s="62">
        <f>SUBTOTAL(9,Table4[[#This Row],[BASIC]:[FOOD]])</f>
        <v>18000</v>
      </c>
      <c r="I17" s="62"/>
      <c r="J17" s="62"/>
      <c r="K17" s="62"/>
      <c r="L17" s="62"/>
      <c r="M17" s="62"/>
      <c r="N17" s="62"/>
      <c r="O17" s="62"/>
      <c r="P17" s="249" t="s">
        <v>307</v>
      </c>
      <c r="Q17" s="249" t="s">
        <v>308</v>
      </c>
      <c r="R17" s="250" t="s">
        <v>309</v>
      </c>
      <c r="S17" s="167"/>
      <c r="T17" s="10">
        <f t="shared" si="0"/>
        <v>31</v>
      </c>
      <c r="U17" s="167"/>
      <c r="V17" s="10">
        <f t="shared" si="1"/>
        <v>31</v>
      </c>
      <c r="W17" s="10">
        <f t="shared" si="2"/>
        <v>0</v>
      </c>
      <c r="X17" s="168" t="s">
        <v>153</v>
      </c>
      <c r="Y17" s="168" t="s">
        <v>192</v>
      </c>
      <c r="Z17" s="170" t="s">
        <v>153</v>
      </c>
      <c r="AA17" s="168" t="s">
        <v>192</v>
      </c>
      <c r="AB17" s="168" t="s">
        <v>153</v>
      </c>
      <c r="AC17" s="168" t="s">
        <v>192</v>
      </c>
      <c r="AD17" s="168" t="s">
        <v>153</v>
      </c>
      <c r="AE17" s="168" t="s">
        <v>192</v>
      </c>
      <c r="AF17" s="168" t="s">
        <v>153</v>
      </c>
      <c r="AG17" s="168" t="s">
        <v>192</v>
      </c>
      <c r="AH17" s="168" t="s">
        <v>153</v>
      </c>
      <c r="AI17" s="168" t="s">
        <v>192</v>
      </c>
      <c r="AJ17" s="168" t="s">
        <v>153</v>
      </c>
      <c r="AK17" s="168" t="s">
        <v>192</v>
      </c>
      <c r="AL17" s="168" t="s">
        <v>153</v>
      </c>
      <c r="AM17" s="168" t="s">
        <v>192</v>
      </c>
      <c r="AN17" s="168" t="s">
        <v>153</v>
      </c>
      <c r="AO17" s="168" t="s">
        <v>192</v>
      </c>
      <c r="AP17" s="168" t="s">
        <v>153</v>
      </c>
      <c r="AQ17" s="168" t="s">
        <v>192</v>
      </c>
      <c r="AR17" s="168" t="s">
        <v>153</v>
      </c>
      <c r="AS17" s="168" t="s">
        <v>192</v>
      </c>
      <c r="AT17" s="168" t="s">
        <v>153</v>
      </c>
      <c r="AU17" s="168" t="s">
        <v>192</v>
      </c>
      <c r="AV17" s="168" t="s">
        <v>153</v>
      </c>
      <c r="AW17" s="168" t="s">
        <v>192</v>
      </c>
      <c r="AX17" s="168" t="s">
        <v>153</v>
      </c>
      <c r="AY17" s="168" t="s">
        <v>153</v>
      </c>
      <c r="AZ17" s="168" t="s">
        <v>153</v>
      </c>
      <c r="BA17" s="168" t="s">
        <v>192</v>
      </c>
      <c r="BB17" s="168" t="s">
        <v>153</v>
      </c>
      <c r="BC17" s="168" t="s">
        <v>192</v>
      </c>
      <c r="BD17" s="168" t="s">
        <v>192</v>
      </c>
      <c r="BE17" s="168" t="s">
        <v>192</v>
      </c>
      <c r="BF17" s="168" t="s">
        <v>153</v>
      </c>
      <c r="BG17" s="168" t="s">
        <v>192</v>
      </c>
      <c r="BH17" s="168" t="s">
        <v>153</v>
      </c>
      <c r="BI17" s="168" t="s">
        <v>192</v>
      </c>
      <c r="BJ17" s="168" t="s">
        <v>153</v>
      </c>
      <c r="BK17" s="168" t="s">
        <v>192</v>
      </c>
      <c r="BL17" s="168" t="s">
        <v>153</v>
      </c>
      <c r="BM17" s="168" t="s">
        <v>192</v>
      </c>
      <c r="BN17" s="168" t="s">
        <v>153</v>
      </c>
      <c r="BO17" s="168" t="s">
        <v>192</v>
      </c>
      <c r="BP17" s="168" t="s">
        <v>153</v>
      </c>
      <c r="BQ17" s="168" t="s">
        <v>192</v>
      </c>
      <c r="BR17" s="168" t="s">
        <v>153</v>
      </c>
      <c r="BS17" s="168" t="s">
        <v>192</v>
      </c>
      <c r="BT17" s="168" t="s">
        <v>153</v>
      </c>
      <c r="BU17" s="168" t="s">
        <v>192</v>
      </c>
      <c r="BV17" s="168" t="s">
        <v>153</v>
      </c>
      <c r="BW17" s="168" t="s">
        <v>192</v>
      </c>
      <c r="BX17" s="168" t="s">
        <v>153</v>
      </c>
      <c r="BY17" s="168" t="s">
        <v>192</v>
      </c>
      <c r="BZ17" s="168" t="s">
        <v>153</v>
      </c>
      <c r="CA17" s="168" t="s">
        <v>192</v>
      </c>
      <c r="CB17" s="168" t="s">
        <v>153</v>
      </c>
      <c r="CC17" s="168" t="s">
        <v>192</v>
      </c>
      <c r="CD17" s="168" t="s">
        <v>153</v>
      </c>
      <c r="CE17" s="168" t="s">
        <v>192</v>
      </c>
      <c r="CF17" s="168" t="s">
        <v>153</v>
      </c>
      <c r="CG17" s="244" t="s">
        <v>192</v>
      </c>
      <c r="CH17" s="183"/>
      <c r="CI17" s="185"/>
      <c r="CJ17" s="160"/>
      <c r="CK17" s="160"/>
      <c r="CL17" s="160"/>
      <c r="CM17" s="160"/>
      <c r="CN17" s="160"/>
      <c r="CO17" s="160"/>
      <c r="CP17" s="160"/>
      <c r="CQ17" s="160"/>
      <c r="CR17" s="160"/>
      <c r="CS17" s="179"/>
      <c r="CT17" s="160"/>
      <c r="CU17" s="160"/>
      <c r="CV17" s="160"/>
      <c r="CW17" s="160"/>
      <c r="CX17" s="160"/>
      <c r="CY17" s="160"/>
      <c r="CZ17" s="160"/>
      <c r="DA17" s="160"/>
      <c r="DB17" s="160"/>
      <c r="DC17" s="160"/>
      <c r="DD17" s="160"/>
      <c r="DE17" s="160"/>
      <c r="DF17" s="160"/>
      <c r="DG17" s="160"/>
      <c r="DH17" s="160"/>
      <c r="DI17" s="160"/>
      <c r="DJ17" s="160"/>
      <c r="DK17" s="160"/>
      <c r="DL17" s="160"/>
      <c r="DM17" s="160"/>
      <c r="DN17" s="160"/>
    </row>
    <row r="18" spans="1:118" hidden="1">
      <c r="A18" s="146" t="s">
        <v>81</v>
      </c>
      <c r="B18" s="146" t="s">
        <v>35</v>
      </c>
      <c r="C18" s="28" t="s">
        <v>418</v>
      </c>
      <c r="D18" s="62"/>
      <c r="E18" s="62"/>
      <c r="F18" s="62"/>
      <c r="G18" s="62"/>
      <c r="H18" s="62">
        <v>0</v>
      </c>
      <c r="I18" s="62"/>
      <c r="J18" s="62">
        <v>320</v>
      </c>
      <c r="K18" s="62">
        <v>185</v>
      </c>
      <c r="L18" s="62"/>
      <c r="M18" s="62"/>
      <c r="N18" s="62"/>
      <c r="O18" s="62">
        <f>SUBTOTAL(9,Table4[[#This Row],[ESI BASIC]:[ESI FOOD]])</f>
        <v>0</v>
      </c>
      <c r="P18" s="11"/>
      <c r="Q18" s="11"/>
      <c r="R18" s="12"/>
      <c r="S18" s="167"/>
      <c r="T18" s="10">
        <f t="shared" si="0"/>
        <v>41</v>
      </c>
      <c r="U18" s="167"/>
      <c r="V18" s="10">
        <f t="shared" si="1"/>
        <v>41</v>
      </c>
      <c r="W18" s="10">
        <f t="shared" si="2"/>
        <v>10</v>
      </c>
      <c r="X18" s="170" t="s">
        <v>153</v>
      </c>
      <c r="Y18" s="170" t="s">
        <v>153</v>
      </c>
      <c r="Z18" s="170" t="s">
        <v>192</v>
      </c>
      <c r="AA18" s="170" t="s">
        <v>153</v>
      </c>
      <c r="AB18" s="170" t="s">
        <v>153</v>
      </c>
      <c r="AC18" s="168" t="s">
        <v>192</v>
      </c>
      <c r="AD18" s="170" t="s">
        <v>153</v>
      </c>
      <c r="AE18" s="168" t="s">
        <v>153</v>
      </c>
      <c r="AF18" s="170" t="s">
        <v>192</v>
      </c>
      <c r="AG18" s="168" t="s">
        <v>153</v>
      </c>
      <c r="AH18" s="168" t="s">
        <v>153</v>
      </c>
      <c r="AI18" s="168" t="s">
        <v>192</v>
      </c>
      <c r="AJ18" s="168" t="s">
        <v>153</v>
      </c>
      <c r="AK18" s="168" t="s">
        <v>153</v>
      </c>
      <c r="AL18" s="168" t="s">
        <v>192</v>
      </c>
      <c r="AM18" s="170" t="s">
        <v>153</v>
      </c>
      <c r="AN18" s="170" t="s">
        <v>153</v>
      </c>
      <c r="AO18" s="170" t="s">
        <v>192</v>
      </c>
      <c r="AP18" s="170" t="s">
        <v>153</v>
      </c>
      <c r="AQ18" s="168" t="s">
        <v>153</v>
      </c>
      <c r="AR18" s="168" t="s">
        <v>192</v>
      </c>
      <c r="AS18" s="168" t="s">
        <v>153</v>
      </c>
      <c r="AT18" s="168" t="s">
        <v>153</v>
      </c>
      <c r="AU18" s="168" t="s">
        <v>192</v>
      </c>
      <c r="AV18" s="168" t="s">
        <v>153</v>
      </c>
      <c r="AW18" s="168" t="s">
        <v>153</v>
      </c>
      <c r="AX18" s="168" t="s">
        <v>192</v>
      </c>
      <c r="AY18" s="168" t="s">
        <v>153</v>
      </c>
      <c r="AZ18" s="168" t="s">
        <v>153</v>
      </c>
      <c r="BA18" s="168" t="s">
        <v>192</v>
      </c>
      <c r="BB18" s="168" t="s">
        <v>153</v>
      </c>
      <c r="BC18" s="168" t="s">
        <v>192</v>
      </c>
      <c r="BD18" s="168" t="s">
        <v>192</v>
      </c>
      <c r="BE18" s="168" t="s">
        <v>153</v>
      </c>
      <c r="BF18" s="168" t="s">
        <v>153</v>
      </c>
      <c r="BG18" s="168" t="s">
        <v>192</v>
      </c>
      <c r="BH18" s="168" t="s">
        <v>153</v>
      </c>
      <c r="BI18" s="168" t="s">
        <v>153</v>
      </c>
      <c r="BJ18" s="168" t="s">
        <v>192</v>
      </c>
      <c r="BK18" s="168" t="s">
        <v>153</v>
      </c>
      <c r="BL18" s="168" t="s">
        <v>153</v>
      </c>
      <c r="BM18" s="168" t="s">
        <v>192</v>
      </c>
      <c r="BN18" s="168" t="s">
        <v>153</v>
      </c>
      <c r="BO18" s="168" t="s">
        <v>153</v>
      </c>
      <c r="BP18" s="168" t="s">
        <v>192</v>
      </c>
      <c r="BQ18" s="168" t="s">
        <v>153</v>
      </c>
      <c r="BR18" s="168" t="s">
        <v>153</v>
      </c>
      <c r="BS18" s="168" t="s">
        <v>192</v>
      </c>
      <c r="BT18" s="168" t="s">
        <v>153</v>
      </c>
      <c r="BU18" s="168" t="s">
        <v>153</v>
      </c>
      <c r="BV18" s="168" t="s">
        <v>192</v>
      </c>
      <c r="BW18" s="168" t="s">
        <v>153</v>
      </c>
      <c r="BX18" s="168" t="s">
        <v>153</v>
      </c>
      <c r="BY18" s="168" t="s">
        <v>192</v>
      </c>
      <c r="BZ18" s="168" t="s">
        <v>153</v>
      </c>
      <c r="CA18" s="168" t="s">
        <v>153</v>
      </c>
      <c r="CB18" s="168" t="s">
        <v>192</v>
      </c>
      <c r="CC18" s="168" t="s">
        <v>153</v>
      </c>
      <c r="CD18" s="168" t="s">
        <v>153</v>
      </c>
      <c r="CE18" s="168" t="s">
        <v>192</v>
      </c>
      <c r="CF18" s="168" t="s">
        <v>153</v>
      </c>
      <c r="CG18" s="244" t="s">
        <v>153</v>
      </c>
      <c r="CH18" s="183"/>
      <c r="CI18" s="186">
        <v>0</v>
      </c>
      <c r="CJ18" s="179">
        <v>0</v>
      </c>
      <c r="CK18" s="179">
        <v>0</v>
      </c>
      <c r="CL18" s="179">
        <v>0</v>
      </c>
      <c r="CM18" s="179">
        <v>0</v>
      </c>
      <c r="CN18" s="160">
        <v>0</v>
      </c>
      <c r="CO18" s="160">
        <v>0</v>
      </c>
      <c r="CP18" s="160">
        <v>0</v>
      </c>
      <c r="CQ18" s="160">
        <v>1</v>
      </c>
      <c r="CR18" s="179">
        <v>0</v>
      </c>
      <c r="CS18" s="179">
        <v>0</v>
      </c>
      <c r="CT18" s="179">
        <v>1</v>
      </c>
      <c r="CU18" s="160">
        <v>0</v>
      </c>
      <c r="CV18" s="179">
        <v>2</v>
      </c>
      <c r="CW18" s="160">
        <v>1</v>
      </c>
      <c r="CX18" s="179">
        <v>0</v>
      </c>
      <c r="CY18" s="160">
        <v>1</v>
      </c>
      <c r="CZ18" s="160">
        <v>0</v>
      </c>
      <c r="DA18" s="160">
        <v>1</v>
      </c>
      <c r="DB18" s="160">
        <v>0</v>
      </c>
      <c r="DC18" s="160">
        <v>0</v>
      </c>
      <c r="DD18" s="160">
        <v>1</v>
      </c>
      <c r="DE18" s="160">
        <v>1</v>
      </c>
      <c r="DF18" s="160">
        <v>0</v>
      </c>
      <c r="DG18" s="160">
        <v>0</v>
      </c>
      <c r="DH18" s="160">
        <v>0</v>
      </c>
      <c r="DI18" s="179">
        <v>1</v>
      </c>
      <c r="DJ18" s="179">
        <v>0</v>
      </c>
      <c r="DK18" s="160">
        <v>0</v>
      </c>
      <c r="DL18" s="160">
        <v>0</v>
      </c>
      <c r="DM18" s="160">
        <v>0</v>
      </c>
      <c r="DN18" s="160"/>
    </row>
    <row r="19" spans="1:118" hidden="1">
      <c r="A19" s="146" t="s">
        <v>80</v>
      </c>
      <c r="B19" s="146" t="s">
        <v>35</v>
      </c>
      <c r="C19" s="28" t="s">
        <v>255</v>
      </c>
      <c r="D19" s="62" t="s">
        <v>355</v>
      </c>
      <c r="E19" s="62"/>
      <c r="F19" s="62"/>
      <c r="G19" s="62"/>
      <c r="H19" s="62">
        <v>0</v>
      </c>
      <c r="I19" s="62"/>
      <c r="J19" s="62">
        <v>300</v>
      </c>
      <c r="K19" s="62">
        <v>185</v>
      </c>
      <c r="L19" s="62">
        <v>11620</v>
      </c>
      <c r="M19" s="62">
        <v>2170</v>
      </c>
      <c r="N19" s="62">
        <v>2010</v>
      </c>
      <c r="O19" s="62">
        <f>SUBTOTAL(9,Table4[[#This Row],[ESI BASIC]:[ESI FOOD]])</f>
        <v>0</v>
      </c>
      <c r="P19" s="11" t="s">
        <v>302</v>
      </c>
      <c r="Q19" s="11" t="s">
        <v>303</v>
      </c>
      <c r="R19" s="12">
        <v>40361475410</v>
      </c>
      <c r="S19" s="167"/>
      <c r="T19" s="10">
        <f t="shared" si="0"/>
        <v>41</v>
      </c>
      <c r="U19" s="167"/>
      <c r="V19" s="10">
        <f t="shared" si="1"/>
        <v>41</v>
      </c>
      <c r="W19" s="10">
        <f t="shared" si="2"/>
        <v>12</v>
      </c>
      <c r="X19" s="170" t="s">
        <v>192</v>
      </c>
      <c r="Y19" s="170" t="s">
        <v>153</v>
      </c>
      <c r="Z19" s="168" t="s">
        <v>153</v>
      </c>
      <c r="AA19" s="168" t="s">
        <v>192</v>
      </c>
      <c r="AB19" s="168" t="s">
        <v>153</v>
      </c>
      <c r="AC19" s="168" t="s">
        <v>153</v>
      </c>
      <c r="AD19" s="168" t="s">
        <v>192</v>
      </c>
      <c r="AE19" s="168" t="s">
        <v>153</v>
      </c>
      <c r="AF19" s="168" t="s">
        <v>153</v>
      </c>
      <c r="AG19" s="168" t="s">
        <v>192</v>
      </c>
      <c r="AH19" s="168" t="s">
        <v>153</v>
      </c>
      <c r="AI19" s="168" t="s">
        <v>153</v>
      </c>
      <c r="AJ19" s="168" t="s">
        <v>192</v>
      </c>
      <c r="AK19" s="168" t="s">
        <v>153</v>
      </c>
      <c r="AL19" s="168" t="s">
        <v>153</v>
      </c>
      <c r="AM19" s="168" t="s">
        <v>192</v>
      </c>
      <c r="AN19" s="168" t="s">
        <v>153</v>
      </c>
      <c r="AO19" s="168" t="s">
        <v>153</v>
      </c>
      <c r="AP19" s="168" t="s">
        <v>192</v>
      </c>
      <c r="AQ19" s="168" t="s">
        <v>153</v>
      </c>
      <c r="AR19" s="168" t="s">
        <v>153</v>
      </c>
      <c r="AS19" s="168" t="s">
        <v>192</v>
      </c>
      <c r="AT19" s="168" t="s">
        <v>153</v>
      </c>
      <c r="AU19" s="168" t="s">
        <v>153</v>
      </c>
      <c r="AV19" s="168" t="s">
        <v>192</v>
      </c>
      <c r="AW19" s="168" t="s">
        <v>153</v>
      </c>
      <c r="AX19" s="168" t="s">
        <v>153</v>
      </c>
      <c r="AY19" s="168" t="s">
        <v>192</v>
      </c>
      <c r="AZ19" s="168" t="s">
        <v>153</v>
      </c>
      <c r="BA19" s="168" t="s">
        <v>153</v>
      </c>
      <c r="BB19" s="168" t="s">
        <v>192</v>
      </c>
      <c r="BC19" s="168" t="s">
        <v>153</v>
      </c>
      <c r="BD19" s="168" t="s">
        <v>153</v>
      </c>
      <c r="BE19" s="168" t="s">
        <v>192</v>
      </c>
      <c r="BF19" s="168" t="s">
        <v>153</v>
      </c>
      <c r="BG19" s="168" t="s">
        <v>153</v>
      </c>
      <c r="BH19" s="168" t="s">
        <v>192</v>
      </c>
      <c r="BI19" s="168" t="s">
        <v>153</v>
      </c>
      <c r="BJ19" s="168" t="s">
        <v>153</v>
      </c>
      <c r="BK19" s="168" t="s">
        <v>192</v>
      </c>
      <c r="BL19" s="168" t="s">
        <v>153</v>
      </c>
      <c r="BM19" s="168" t="s">
        <v>153</v>
      </c>
      <c r="BN19" s="168" t="s">
        <v>192</v>
      </c>
      <c r="BO19" s="168" t="s">
        <v>153</v>
      </c>
      <c r="BP19" s="168" t="s">
        <v>153</v>
      </c>
      <c r="BQ19" s="168" t="s">
        <v>192</v>
      </c>
      <c r="BR19" s="168" t="s">
        <v>153</v>
      </c>
      <c r="BS19" s="168" t="s">
        <v>153</v>
      </c>
      <c r="BT19" s="168" t="s">
        <v>192</v>
      </c>
      <c r="BU19" s="168" t="s">
        <v>153</v>
      </c>
      <c r="BV19" s="168" t="s">
        <v>153</v>
      </c>
      <c r="BW19" s="168" t="s">
        <v>192</v>
      </c>
      <c r="BX19" s="168" t="s">
        <v>153</v>
      </c>
      <c r="BY19" s="168" t="s">
        <v>153</v>
      </c>
      <c r="BZ19" s="168" t="s">
        <v>192</v>
      </c>
      <c r="CA19" s="168" t="s">
        <v>153</v>
      </c>
      <c r="CB19" s="168" t="s">
        <v>153</v>
      </c>
      <c r="CC19" s="168" t="s">
        <v>192</v>
      </c>
      <c r="CD19" s="168" t="s">
        <v>153</v>
      </c>
      <c r="CE19" s="168" t="s">
        <v>153</v>
      </c>
      <c r="CF19" s="168" t="s">
        <v>192</v>
      </c>
      <c r="CG19" s="244" t="s">
        <v>153</v>
      </c>
      <c r="CH19" s="183"/>
      <c r="CI19" s="186">
        <v>0</v>
      </c>
      <c r="CJ19" s="179">
        <v>0</v>
      </c>
      <c r="CK19" s="179">
        <v>0</v>
      </c>
      <c r="CL19" s="179">
        <v>0</v>
      </c>
      <c r="CM19" s="179">
        <v>1</v>
      </c>
      <c r="CN19" s="160">
        <v>0</v>
      </c>
      <c r="CO19" s="160">
        <v>0</v>
      </c>
      <c r="CP19" s="179">
        <v>1</v>
      </c>
      <c r="CQ19" s="160">
        <v>1</v>
      </c>
      <c r="CR19" s="179">
        <v>0</v>
      </c>
      <c r="CS19" s="179">
        <v>1</v>
      </c>
      <c r="CT19" s="179">
        <v>0</v>
      </c>
      <c r="CU19" s="160">
        <v>0</v>
      </c>
      <c r="CV19" s="179">
        <v>2</v>
      </c>
      <c r="CW19" s="160">
        <v>1</v>
      </c>
      <c r="CX19" s="179">
        <v>0</v>
      </c>
      <c r="CY19" s="160">
        <v>0</v>
      </c>
      <c r="CZ19" s="160">
        <v>0</v>
      </c>
      <c r="DA19" s="160">
        <v>0</v>
      </c>
      <c r="DB19" s="160">
        <v>0</v>
      </c>
      <c r="DC19" s="160">
        <v>1</v>
      </c>
      <c r="DD19" s="160">
        <v>1</v>
      </c>
      <c r="DE19" s="160">
        <v>1</v>
      </c>
      <c r="DF19" s="160">
        <v>0</v>
      </c>
      <c r="DG19" s="160">
        <v>0</v>
      </c>
      <c r="DH19" s="160">
        <v>0</v>
      </c>
      <c r="DI19" s="160">
        <v>2</v>
      </c>
      <c r="DJ19" s="179">
        <v>0</v>
      </c>
      <c r="DK19" s="160">
        <v>0</v>
      </c>
      <c r="DL19" s="160">
        <v>0</v>
      </c>
      <c r="DM19" s="160">
        <v>0</v>
      </c>
      <c r="DN19" s="160"/>
    </row>
    <row r="20" spans="1:118">
      <c r="A20" s="146" t="s">
        <v>79</v>
      </c>
      <c r="B20" s="146" t="s">
        <v>83</v>
      </c>
      <c r="C20" s="28" t="s">
        <v>256</v>
      </c>
      <c r="D20" s="62" t="s">
        <v>294</v>
      </c>
      <c r="E20" s="62">
        <v>26000</v>
      </c>
      <c r="F20" s="62">
        <v>0</v>
      </c>
      <c r="G20" s="62">
        <v>0</v>
      </c>
      <c r="H20" s="62">
        <f>SUBTOTAL(9,Table4[[#This Row],[BASIC]:[FOOD]])</f>
        <v>26000</v>
      </c>
      <c r="I20" s="62"/>
      <c r="J20" s="62"/>
      <c r="K20" s="62"/>
      <c r="L20" s="62"/>
      <c r="M20" s="62"/>
      <c r="N20" s="62"/>
      <c r="O20" s="62"/>
      <c r="P20" s="11" t="s">
        <v>310</v>
      </c>
      <c r="Q20" s="11" t="s">
        <v>311</v>
      </c>
      <c r="R20" s="12">
        <v>163000100058792</v>
      </c>
      <c r="S20" s="167"/>
      <c r="T20" s="10">
        <f t="shared" si="0"/>
        <v>30</v>
      </c>
      <c r="U20" s="167">
        <v>1</v>
      </c>
      <c r="V20" s="10">
        <f t="shared" si="1"/>
        <v>31</v>
      </c>
      <c r="W20" s="10">
        <f t="shared" si="2"/>
        <v>0</v>
      </c>
      <c r="X20" s="168" t="s">
        <v>153</v>
      </c>
      <c r="Y20" s="168" t="s">
        <v>192</v>
      </c>
      <c r="Z20" s="170" t="s">
        <v>153</v>
      </c>
      <c r="AA20" s="168" t="s">
        <v>192</v>
      </c>
      <c r="AB20" s="168" t="s">
        <v>192</v>
      </c>
      <c r="AC20" s="168" t="s">
        <v>192</v>
      </c>
      <c r="AD20" s="168" t="s">
        <v>153</v>
      </c>
      <c r="AE20" s="168" t="s">
        <v>192</v>
      </c>
      <c r="AF20" s="168" t="s">
        <v>153</v>
      </c>
      <c r="AG20" s="168" t="s">
        <v>192</v>
      </c>
      <c r="AH20" s="168" t="s">
        <v>153</v>
      </c>
      <c r="AI20" s="168" t="s">
        <v>192</v>
      </c>
      <c r="AJ20" s="168" t="s">
        <v>153</v>
      </c>
      <c r="AK20" s="168" t="s">
        <v>192</v>
      </c>
      <c r="AL20" s="168" t="s">
        <v>153</v>
      </c>
      <c r="AM20" s="168" t="s">
        <v>192</v>
      </c>
      <c r="AN20" s="168" t="s">
        <v>153</v>
      </c>
      <c r="AO20" s="168" t="s">
        <v>192</v>
      </c>
      <c r="AP20" s="168" t="s">
        <v>153</v>
      </c>
      <c r="AQ20" s="168" t="s">
        <v>192</v>
      </c>
      <c r="AR20" s="168" t="s">
        <v>153</v>
      </c>
      <c r="AS20" s="168" t="s">
        <v>192</v>
      </c>
      <c r="AT20" s="168" t="s">
        <v>153</v>
      </c>
      <c r="AU20" s="168" t="s">
        <v>192</v>
      </c>
      <c r="AV20" s="168" t="s">
        <v>153</v>
      </c>
      <c r="AW20" s="168" t="s">
        <v>192</v>
      </c>
      <c r="AX20" s="168" t="s">
        <v>153</v>
      </c>
      <c r="AY20" s="168" t="s">
        <v>192</v>
      </c>
      <c r="AZ20" s="168" t="s">
        <v>153</v>
      </c>
      <c r="BA20" s="168" t="s">
        <v>192</v>
      </c>
      <c r="BB20" s="168" t="s">
        <v>153</v>
      </c>
      <c r="BC20" s="168" t="s">
        <v>192</v>
      </c>
      <c r="BD20" s="168" t="s">
        <v>153</v>
      </c>
      <c r="BE20" s="168" t="s">
        <v>192</v>
      </c>
      <c r="BF20" s="168" t="s">
        <v>153</v>
      </c>
      <c r="BG20" s="168" t="s">
        <v>192</v>
      </c>
      <c r="BH20" s="168" t="s">
        <v>153</v>
      </c>
      <c r="BI20" s="168" t="s">
        <v>192</v>
      </c>
      <c r="BJ20" s="168" t="s">
        <v>153</v>
      </c>
      <c r="BK20" s="168" t="s">
        <v>192</v>
      </c>
      <c r="BL20" s="168" t="s">
        <v>153</v>
      </c>
      <c r="BM20" s="168" t="s">
        <v>192</v>
      </c>
      <c r="BN20" s="168" t="s">
        <v>153</v>
      </c>
      <c r="BO20" s="168" t="s">
        <v>192</v>
      </c>
      <c r="BP20" s="168" t="s">
        <v>153</v>
      </c>
      <c r="BQ20" s="168" t="s">
        <v>192</v>
      </c>
      <c r="BR20" s="168" t="s">
        <v>153</v>
      </c>
      <c r="BS20" s="168" t="s">
        <v>192</v>
      </c>
      <c r="BT20" s="168" t="s">
        <v>153</v>
      </c>
      <c r="BU20" s="168" t="s">
        <v>192</v>
      </c>
      <c r="BV20" s="168" t="s">
        <v>153</v>
      </c>
      <c r="BW20" s="168" t="s">
        <v>192</v>
      </c>
      <c r="BX20" s="168" t="s">
        <v>153</v>
      </c>
      <c r="BY20" s="168" t="s">
        <v>192</v>
      </c>
      <c r="BZ20" s="168" t="s">
        <v>153</v>
      </c>
      <c r="CA20" s="168" t="s">
        <v>192</v>
      </c>
      <c r="CB20" s="168" t="s">
        <v>153</v>
      </c>
      <c r="CC20" s="168" t="s">
        <v>192</v>
      </c>
      <c r="CD20" s="168" t="s">
        <v>153</v>
      </c>
      <c r="CE20" s="168" t="s">
        <v>192</v>
      </c>
      <c r="CF20" s="168" t="s">
        <v>153</v>
      </c>
      <c r="CG20" s="244" t="s">
        <v>192</v>
      </c>
      <c r="CH20" s="183"/>
      <c r="CI20" s="185"/>
      <c r="CJ20" s="160"/>
      <c r="CK20" s="160"/>
      <c r="CL20" s="160"/>
      <c r="CM20" s="160"/>
      <c r="CN20" s="160"/>
      <c r="CO20" s="160"/>
      <c r="CP20" s="160"/>
      <c r="CQ20" s="160"/>
      <c r="CR20" s="160"/>
      <c r="CS20" s="179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  <c r="DG20" s="160"/>
      <c r="DH20" s="160"/>
      <c r="DI20" s="160"/>
      <c r="DJ20" s="160"/>
      <c r="DK20" s="160"/>
      <c r="DL20" s="160"/>
      <c r="DM20" s="160"/>
      <c r="DN20" s="160"/>
    </row>
    <row r="21" spans="1:118">
      <c r="A21" s="146" t="s">
        <v>79</v>
      </c>
      <c r="B21" s="146" t="s">
        <v>83</v>
      </c>
      <c r="C21" s="28" t="s">
        <v>257</v>
      </c>
      <c r="D21" s="62" t="s">
        <v>295</v>
      </c>
      <c r="E21" s="62">
        <v>10560</v>
      </c>
      <c r="F21" s="62">
        <v>4000</v>
      </c>
      <c r="G21" s="62">
        <v>2440</v>
      </c>
      <c r="H21" s="62">
        <f>SUBTOTAL(9,Table4[[#This Row],[BASIC]:[FOOD]])</f>
        <v>17000</v>
      </c>
      <c r="I21" s="62"/>
      <c r="J21" s="62"/>
      <c r="K21" s="62"/>
      <c r="L21" s="62"/>
      <c r="M21" s="62"/>
      <c r="N21" s="62"/>
      <c r="O21" s="62"/>
      <c r="P21" s="11" t="s">
        <v>312</v>
      </c>
      <c r="Q21" s="11" t="s">
        <v>313</v>
      </c>
      <c r="R21" s="12">
        <v>29510110048184</v>
      </c>
      <c r="S21" s="167"/>
      <c r="T21" s="10">
        <f t="shared" si="0"/>
        <v>27</v>
      </c>
      <c r="U21" s="167">
        <v>4</v>
      </c>
      <c r="V21" s="10">
        <f t="shared" si="1"/>
        <v>31</v>
      </c>
      <c r="W21" s="10">
        <f t="shared" si="2"/>
        <v>0</v>
      </c>
      <c r="X21" s="168" t="s">
        <v>153</v>
      </c>
      <c r="Y21" s="168" t="s">
        <v>192</v>
      </c>
      <c r="Z21" s="170" t="s">
        <v>153</v>
      </c>
      <c r="AA21" s="168" t="s">
        <v>192</v>
      </c>
      <c r="AB21" s="168" t="s">
        <v>153</v>
      </c>
      <c r="AC21" s="168" t="s">
        <v>192</v>
      </c>
      <c r="AD21" s="168" t="s">
        <v>153</v>
      </c>
      <c r="AE21" s="168" t="s">
        <v>192</v>
      </c>
      <c r="AF21" s="168" t="s">
        <v>153</v>
      </c>
      <c r="AG21" s="168" t="s">
        <v>192</v>
      </c>
      <c r="AH21" s="168" t="s">
        <v>153</v>
      </c>
      <c r="AI21" s="168" t="s">
        <v>192</v>
      </c>
      <c r="AJ21" s="168" t="s">
        <v>192</v>
      </c>
      <c r="AK21" s="168" t="s">
        <v>192</v>
      </c>
      <c r="AL21" s="168" t="s">
        <v>153</v>
      </c>
      <c r="AM21" s="168" t="s">
        <v>192</v>
      </c>
      <c r="AN21" s="168" t="s">
        <v>153</v>
      </c>
      <c r="AO21" s="168" t="s">
        <v>192</v>
      </c>
      <c r="AP21" s="168" t="s">
        <v>153</v>
      </c>
      <c r="AQ21" s="168" t="s">
        <v>192</v>
      </c>
      <c r="AR21" s="168" t="s">
        <v>153</v>
      </c>
      <c r="AS21" s="168" t="s">
        <v>192</v>
      </c>
      <c r="AT21" s="168" t="s">
        <v>153</v>
      </c>
      <c r="AU21" s="168" t="s">
        <v>192</v>
      </c>
      <c r="AV21" s="168" t="s">
        <v>153</v>
      </c>
      <c r="AW21" s="168" t="s">
        <v>192</v>
      </c>
      <c r="AX21" s="168" t="s">
        <v>153</v>
      </c>
      <c r="AY21" s="168" t="s">
        <v>192</v>
      </c>
      <c r="AZ21" s="168" t="s">
        <v>153</v>
      </c>
      <c r="BA21" s="168" t="s">
        <v>192</v>
      </c>
      <c r="BB21" s="168" t="s">
        <v>192</v>
      </c>
      <c r="BC21" s="168" t="s">
        <v>192</v>
      </c>
      <c r="BD21" s="168" t="s">
        <v>153</v>
      </c>
      <c r="BE21" s="168" t="s">
        <v>192</v>
      </c>
      <c r="BF21" s="168" t="s">
        <v>153</v>
      </c>
      <c r="BG21" s="168" t="s">
        <v>192</v>
      </c>
      <c r="BH21" s="168" t="s">
        <v>153</v>
      </c>
      <c r="BI21" s="168" t="s">
        <v>192</v>
      </c>
      <c r="BJ21" s="168" t="s">
        <v>153</v>
      </c>
      <c r="BK21" s="168" t="s">
        <v>192</v>
      </c>
      <c r="BL21" s="168" t="s">
        <v>153</v>
      </c>
      <c r="BM21" s="168" t="s">
        <v>192</v>
      </c>
      <c r="BN21" s="168" t="s">
        <v>153</v>
      </c>
      <c r="BO21" s="168" t="s">
        <v>192</v>
      </c>
      <c r="BP21" s="168" t="s">
        <v>192</v>
      </c>
      <c r="BQ21" s="168" t="s">
        <v>192</v>
      </c>
      <c r="BR21" s="168" t="s">
        <v>153</v>
      </c>
      <c r="BS21" s="168" t="s">
        <v>192</v>
      </c>
      <c r="BT21" s="168" t="s">
        <v>153</v>
      </c>
      <c r="BU21" s="168" t="s">
        <v>192</v>
      </c>
      <c r="BV21" s="168" t="s">
        <v>153</v>
      </c>
      <c r="BW21" s="168" t="s">
        <v>192</v>
      </c>
      <c r="BX21" s="168" t="s">
        <v>153</v>
      </c>
      <c r="BY21" s="168" t="s">
        <v>192</v>
      </c>
      <c r="BZ21" s="168" t="s">
        <v>153</v>
      </c>
      <c r="CA21" s="168" t="s">
        <v>192</v>
      </c>
      <c r="CB21" s="168" t="s">
        <v>153</v>
      </c>
      <c r="CC21" s="168" t="s">
        <v>192</v>
      </c>
      <c r="CD21" s="168" t="s">
        <v>192</v>
      </c>
      <c r="CE21" s="168" t="s">
        <v>192</v>
      </c>
      <c r="CF21" s="168" t="s">
        <v>153</v>
      </c>
      <c r="CG21" s="244" t="s">
        <v>192</v>
      </c>
      <c r="CH21" s="183"/>
      <c r="CI21" s="185"/>
      <c r="CJ21" s="160"/>
      <c r="CK21" s="160"/>
      <c r="CL21" s="160"/>
      <c r="CM21" s="160"/>
      <c r="CN21" s="160"/>
      <c r="CO21" s="160"/>
      <c r="CP21" s="160"/>
      <c r="CQ21" s="160"/>
      <c r="CR21" s="160"/>
      <c r="CS21" s="179"/>
      <c r="CT21" s="160"/>
      <c r="CU21" s="160"/>
      <c r="CV21" s="160"/>
      <c r="CW21" s="160"/>
      <c r="CX21" s="160"/>
      <c r="CY21" s="160"/>
      <c r="CZ21" s="160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0"/>
      <c r="DL21" s="160"/>
      <c r="DM21" s="160"/>
      <c r="DN21" s="160"/>
    </row>
    <row r="22" spans="1:118" hidden="1">
      <c r="A22" s="146" t="s">
        <v>81</v>
      </c>
      <c r="B22" s="146" t="s">
        <v>35</v>
      </c>
      <c r="C22" s="28" t="s">
        <v>417</v>
      </c>
      <c r="D22" s="62"/>
      <c r="E22" s="62"/>
      <c r="F22" s="62"/>
      <c r="G22" s="62"/>
      <c r="H22" s="62">
        <v>0</v>
      </c>
      <c r="I22" s="62"/>
      <c r="J22" s="62">
        <v>300</v>
      </c>
      <c r="K22" s="62">
        <v>185</v>
      </c>
      <c r="L22" s="62"/>
      <c r="M22" s="62"/>
      <c r="N22" s="62"/>
      <c r="O22" s="62">
        <f>SUBTOTAL(9,Table4[[#This Row],[ESI BASIC]:[ESI FOOD]])</f>
        <v>0</v>
      </c>
      <c r="P22" s="11"/>
      <c r="Q22" s="11"/>
      <c r="R22" s="12"/>
      <c r="S22" s="167"/>
      <c r="T22" s="10">
        <f t="shared" si="0"/>
        <v>41</v>
      </c>
      <c r="U22" s="167"/>
      <c r="V22" s="10">
        <f t="shared" si="1"/>
        <v>41</v>
      </c>
      <c r="W22" s="10">
        <f t="shared" si="2"/>
        <v>10</v>
      </c>
      <c r="X22" s="171" t="s">
        <v>153</v>
      </c>
      <c r="Y22" s="176" t="s">
        <v>192</v>
      </c>
      <c r="Z22" s="170" t="s">
        <v>153</v>
      </c>
      <c r="AA22" s="168" t="s">
        <v>153</v>
      </c>
      <c r="AB22" s="168" t="s">
        <v>192</v>
      </c>
      <c r="AC22" s="168" t="s">
        <v>153</v>
      </c>
      <c r="AD22" s="168" t="s">
        <v>153</v>
      </c>
      <c r="AE22" s="168" t="s">
        <v>192</v>
      </c>
      <c r="AF22" s="168" t="s">
        <v>153</v>
      </c>
      <c r="AG22" s="168" t="s">
        <v>153</v>
      </c>
      <c r="AH22" s="168" t="s">
        <v>192</v>
      </c>
      <c r="AI22" s="168" t="s">
        <v>153</v>
      </c>
      <c r="AJ22" s="168" t="s">
        <v>153</v>
      </c>
      <c r="AK22" s="168" t="s">
        <v>192</v>
      </c>
      <c r="AL22" s="168" t="s">
        <v>153</v>
      </c>
      <c r="AM22" s="168" t="s">
        <v>153</v>
      </c>
      <c r="AN22" s="168" t="s">
        <v>192</v>
      </c>
      <c r="AO22" s="168" t="s">
        <v>153</v>
      </c>
      <c r="AP22" s="168" t="s">
        <v>153</v>
      </c>
      <c r="AQ22" s="168" t="s">
        <v>192</v>
      </c>
      <c r="AR22" s="168" t="s">
        <v>153</v>
      </c>
      <c r="AS22" s="168" t="s">
        <v>153</v>
      </c>
      <c r="AT22" s="168" t="s">
        <v>192</v>
      </c>
      <c r="AU22" s="168" t="s">
        <v>153</v>
      </c>
      <c r="AV22" s="168" t="s">
        <v>153</v>
      </c>
      <c r="AW22" s="168" t="s">
        <v>192</v>
      </c>
      <c r="AX22" s="168" t="s">
        <v>153</v>
      </c>
      <c r="AY22" s="168" t="s">
        <v>153</v>
      </c>
      <c r="AZ22" s="168" t="s">
        <v>192</v>
      </c>
      <c r="BA22" s="168" t="s">
        <v>153</v>
      </c>
      <c r="BB22" s="168" t="s">
        <v>153</v>
      </c>
      <c r="BC22" s="168" t="s">
        <v>192</v>
      </c>
      <c r="BD22" s="168" t="s">
        <v>153</v>
      </c>
      <c r="BE22" s="168" t="s">
        <v>153</v>
      </c>
      <c r="BF22" s="168" t="s">
        <v>192</v>
      </c>
      <c r="BG22" s="168" t="s">
        <v>153</v>
      </c>
      <c r="BH22" s="168" t="s">
        <v>153</v>
      </c>
      <c r="BI22" s="168" t="s">
        <v>192</v>
      </c>
      <c r="BJ22" s="168" t="s">
        <v>153</v>
      </c>
      <c r="BK22" s="168" t="s">
        <v>153</v>
      </c>
      <c r="BL22" s="168" t="s">
        <v>192</v>
      </c>
      <c r="BM22" s="168" t="s">
        <v>153</v>
      </c>
      <c r="BN22" s="168" t="s">
        <v>153</v>
      </c>
      <c r="BO22" s="168" t="s">
        <v>192</v>
      </c>
      <c r="BP22" s="168" t="s">
        <v>153</v>
      </c>
      <c r="BQ22" s="168" t="s">
        <v>153</v>
      </c>
      <c r="BR22" s="168" t="s">
        <v>192</v>
      </c>
      <c r="BS22" s="168" t="s">
        <v>153</v>
      </c>
      <c r="BT22" s="168" t="s">
        <v>153</v>
      </c>
      <c r="BU22" s="168" t="s">
        <v>192</v>
      </c>
      <c r="BV22" s="168" t="s">
        <v>153</v>
      </c>
      <c r="BW22" s="168" t="s">
        <v>153</v>
      </c>
      <c r="BX22" s="168" t="s">
        <v>192</v>
      </c>
      <c r="BY22" s="168" t="s">
        <v>153</v>
      </c>
      <c r="BZ22" s="168" t="s">
        <v>153</v>
      </c>
      <c r="CA22" s="168" t="s">
        <v>192</v>
      </c>
      <c r="CB22" s="168" t="s">
        <v>153</v>
      </c>
      <c r="CC22" s="168" t="s">
        <v>153</v>
      </c>
      <c r="CD22" s="168" t="s">
        <v>192</v>
      </c>
      <c r="CE22" s="168" t="s">
        <v>153</v>
      </c>
      <c r="CF22" s="168" t="s">
        <v>153</v>
      </c>
      <c r="CG22" s="244" t="s">
        <v>192</v>
      </c>
      <c r="CH22" s="183"/>
      <c r="CI22" s="186">
        <v>0</v>
      </c>
      <c r="CJ22" s="179">
        <v>0</v>
      </c>
      <c r="CK22" s="179">
        <v>0</v>
      </c>
      <c r="CL22" s="179">
        <v>0</v>
      </c>
      <c r="CM22" s="179">
        <v>0</v>
      </c>
      <c r="CN22" s="160">
        <v>0</v>
      </c>
      <c r="CO22" s="160">
        <v>0</v>
      </c>
      <c r="CP22" s="160">
        <v>1</v>
      </c>
      <c r="CQ22" s="160">
        <v>0</v>
      </c>
      <c r="CR22" s="179">
        <v>0</v>
      </c>
      <c r="CS22" s="179">
        <v>1</v>
      </c>
      <c r="CT22" s="179">
        <v>0</v>
      </c>
      <c r="CU22" s="160">
        <v>0</v>
      </c>
      <c r="CV22" s="179">
        <v>4</v>
      </c>
      <c r="CW22" s="160">
        <v>0</v>
      </c>
      <c r="CX22" s="179">
        <v>0</v>
      </c>
      <c r="CY22" s="160">
        <v>0</v>
      </c>
      <c r="CZ22" s="160">
        <v>1</v>
      </c>
      <c r="DA22" s="160">
        <v>0</v>
      </c>
      <c r="DB22" s="160">
        <v>1</v>
      </c>
      <c r="DC22" s="160">
        <v>0</v>
      </c>
      <c r="DD22" s="160">
        <v>1</v>
      </c>
      <c r="DE22" s="160">
        <v>0</v>
      </c>
      <c r="DF22" s="160">
        <v>0</v>
      </c>
      <c r="DG22" s="160">
        <v>0</v>
      </c>
      <c r="DH22" s="160">
        <v>0</v>
      </c>
      <c r="DI22" s="160">
        <v>0</v>
      </c>
      <c r="DJ22" s="160">
        <v>0</v>
      </c>
      <c r="DK22" s="160">
        <v>1</v>
      </c>
      <c r="DL22" s="160">
        <v>0</v>
      </c>
      <c r="DM22" s="160">
        <v>0</v>
      </c>
      <c r="DN22" s="160"/>
    </row>
    <row r="23" spans="1:118" hidden="1">
      <c r="A23" s="146" t="s">
        <v>80</v>
      </c>
      <c r="B23" s="146" t="s">
        <v>86</v>
      </c>
      <c r="C23" s="28" t="s">
        <v>258</v>
      </c>
      <c r="D23" s="62" t="s">
        <v>323</v>
      </c>
      <c r="E23" s="62"/>
      <c r="F23" s="62"/>
      <c r="G23" s="62"/>
      <c r="H23" s="62">
        <v>0</v>
      </c>
      <c r="I23" s="62">
        <v>15000</v>
      </c>
      <c r="J23" s="62"/>
      <c r="K23" s="62"/>
      <c r="L23" s="62">
        <v>11615</v>
      </c>
      <c r="M23" s="62">
        <v>1765</v>
      </c>
      <c r="N23" s="62">
        <v>1620</v>
      </c>
      <c r="O23" s="62">
        <f>SUBTOTAL(9,Table4[[#This Row],[ESI BASIC]:[ESI FOOD]])</f>
        <v>0</v>
      </c>
      <c r="P23" s="11" t="s">
        <v>314</v>
      </c>
      <c r="Q23" s="11" t="s">
        <v>335</v>
      </c>
      <c r="R23" s="12">
        <v>25500110064306</v>
      </c>
      <c r="S23" s="167"/>
      <c r="T23" s="10">
        <f t="shared" si="0"/>
        <v>30</v>
      </c>
      <c r="U23" s="167">
        <v>4</v>
      </c>
      <c r="V23" s="10">
        <f t="shared" si="1"/>
        <v>34</v>
      </c>
      <c r="W23" s="10">
        <f t="shared" si="2"/>
        <v>0</v>
      </c>
      <c r="X23" s="172" t="s">
        <v>153</v>
      </c>
      <c r="Y23" s="176" t="s">
        <v>192</v>
      </c>
      <c r="Z23" s="171" t="s">
        <v>153</v>
      </c>
      <c r="AA23" s="176" t="s">
        <v>192</v>
      </c>
      <c r="AB23" s="171" t="s">
        <v>153</v>
      </c>
      <c r="AC23" s="176" t="s">
        <v>192</v>
      </c>
      <c r="AD23" s="171" t="s">
        <v>153</v>
      </c>
      <c r="AE23" s="176" t="s">
        <v>192</v>
      </c>
      <c r="AF23" s="171" t="s">
        <v>153</v>
      </c>
      <c r="AG23" s="176" t="s">
        <v>192</v>
      </c>
      <c r="AH23" s="171" t="s">
        <v>153</v>
      </c>
      <c r="AI23" s="176" t="s">
        <v>192</v>
      </c>
      <c r="AJ23" s="171" t="s">
        <v>153</v>
      </c>
      <c r="AK23" s="176" t="s">
        <v>192</v>
      </c>
      <c r="AL23" s="171" t="s">
        <v>153</v>
      </c>
      <c r="AM23" s="176" t="s">
        <v>192</v>
      </c>
      <c r="AN23" s="171" t="s">
        <v>153</v>
      </c>
      <c r="AO23" s="176" t="s">
        <v>192</v>
      </c>
      <c r="AP23" s="171" t="s">
        <v>153</v>
      </c>
      <c r="AQ23" s="176" t="s">
        <v>192</v>
      </c>
      <c r="AR23" s="171" t="s">
        <v>153</v>
      </c>
      <c r="AS23" s="176" t="s">
        <v>192</v>
      </c>
      <c r="AT23" s="171" t="s">
        <v>153</v>
      </c>
      <c r="AU23" s="176" t="s">
        <v>192</v>
      </c>
      <c r="AV23" s="171" t="s">
        <v>153</v>
      </c>
      <c r="AW23" s="176" t="s">
        <v>192</v>
      </c>
      <c r="AX23" s="171" t="s">
        <v>153</v>
      </c>
      <c r="AY23" s="176" t="s">
        <v>192</v>
      </c>
      <c r="AZ23" s="171" t="s">
        <v>153</v>
      </c>
      <c r="BA23" s="176" t="s">
        <v>192</v>
      </c>
      <c r="BB23" s="171" t="s">
        <v>153</v>
      </c>
      <c r="BC23" s="176" t="s">
        <v>192</v>
      </c>
      <c r="BD23" s="171" t="s">
        <v>153</v>
      </c>
      <c r="BE23" s="176" t="s">
        <v>192</v>
      </c>
      <c r="BF23" s="171" t="s">
        <v>153</v>
      </c>
      <c r="BG23" s="171" t="s">
        <v>192</v>
      </c>
      <c r="BH23" s="176" t="s">
        <v>153</v>
      </c>
      <c r="BI23" s="171" t="s">
        <v>192</v>
      </c>
      <c r="BJ23" s="176" t="s">
        <v>153</v>
      </c>
      <c r="BK23" s="171" t="s">
        <v>192</v>
      </c>
      <c r="BL23" s="176" t="s">
        <v>153</v>
      </c>
      <c r="BM23" s="171" t="s">
        <v>192</v>
      </c>
      <c r="BN23" s="176" t="s">
        <v>153</v>
      </c>
      <c r="BO23" s="171" t="s">
        <v>192</v>
      </c>
      <c r="BP23" s="176" t="s">
        <v>153</v>
      </c>
      <c r="BQ23" s="171" t="s">
        <v>192</v>
      </c>
      <c r="BR23" s="176" t="s">
        <v>153</v>
      </c>
      <c r="BS23" s="171" t="s">
        <v>192</v>
      </c>
      <c r="BT23" s="176" t="s">
        <v>153</v>
      </c>
      <c r="BU23" s="176" t="s">
        <v>192</v>
      </c>
      <c r="BV23" s="171" t="s">
        <v>192</v>
      </c>
      <c r="BW23" s="176" t="s">
        <v>192</v>
      </c>
      <c r="BX23" s="171" t="s">
        <v>153</v>
      </c>
      <c r="BY23" s="176" t="s">
        <v>192</v>
      </c>
      <c r="BZ23" s="171" t="s">
        <v>153</v>
      </c>
      <c r="CA23" s="176" t="s">
        <v>192</v>
      </c>
      <c r="CB23" s="168" t="s">
        <v>153</v>
      </c>
      <c r="CC23" s="168" t="s">
        <v>192</v>
      </c>
      <c r="CD23" s="168" t="s">
        <v>153</v>
      </c>
      <c r="CE23" s="168" t="s">
        <v>192</v>
      </c>
      <c r="CF23" s="168" t="s">
        <v>153</v>
      </c>
      <c r="CG23" s="168" t="s">
        <v>192</v>
      </c>
      <c r="CH23" s="183"/>
      <c r="CI23" s="186"/>
      <c r="CJ23" s="160"/>
      <c r="CK23" s="160"/>
      <c r="CL23" s="160"/>
      <c r="CM23" s="160"/>
      <c r="CN23" s="160"/>
      <c r="CO23" s="160"/>
      <c r="CP23" s="160"/>
      <c r="CQ23" s="160"/>
      <c r="CR23" s="179"/>
      <c r="CS23" s="179"/>
      <c r="CT23" s="179"/>
      <c r="CU23" s="160"/>
      <c r="CV23" s="179"/>
      <c r="CW23" s="179"/>
      <c r="CX23" s="179"/>
      <c r="CY23" s="160"/>
      <c r="CZ23" s="160"/>
      <c r="DA23" s="160"/>
      <c r="DB23" s="160"/>
      <c r="DC23" s="160"/>
      <c r="DD23" s="160"/>
      <c r="DE23" s="160"/>
      <c r="DF23" s="160"/>
      <c r="DG23" s="160"/>
      <c r="DH23" s="160"/>
      <c r="DI23" s="160"/>
      <c r="DJ23" s="160"/>
      <c r="DK23" s="160"/>
      <c r="DL23" s="160"/>
      <c r="DM23" s="160"/>
      <c r="DN23" s="160"/>
    </row>
    <row r="24" spans="1:118" hidden="1">
      <c r="A24" s="146" t="s">
        <v>81</v>
      </c>
      <c r="B24" s="146" t="s">
        <v>38</v>
      </c>
      <c r="C24" s="28" t="s">
        <v>353</v>
      </c>
      <c r="D24" s="62"/>
      <c r="E24" s="62"/>
      <c r="F24" s="62"/>
      <c r="G24" s="62"/>
      <c r="H24" s="62">
        <v>0</v>
      </c>
      <c r="I24" s="62"/>
      <c r="J24" s="62">
        <v>260</v>
      </c>
      <c r="K24" s="62">
        <v>80</v>
      </c>
      <c r="L24" s="62"/>
      <c r="M24" s="62"/>
      <c r="N24" s="62"/>
      <c r="O24" s="62">
        <f>SUBTOTAL(9,Table4[[#This Row],[ESI BASIC]:[ESI FOOD]])</f>
        <v>0</v>
      </c>
      <c r="P24" s="11"/>
      <c r="Q24" s="11"/>
      <c r="R24" s="12"/>
      <c r="S24" s="167"/>
      <c r="T24" s="10">
        <f t="shared" si="0"/>
        <v>36</v>
      </c>
      <c r="U24" s="167"/>
      <c r="V24" s="10">
        <f t="shared" si="1"/>
        <v>36</v>
      </c>
      <c r="W24" s="10">
        <f t="shared" si="2"/>
        <v>8</v>
      </c>
      <c r="X24" s="170" t="s">
        <v>192</v>
      </c>
      <c r="Y24" s="168" t="s">
        <v>153</v>
      </c>
      <c r="Z24" s="168" t="s">
        <v>153</v>
      </c>
      <c r="AA24" s="168" t="s">
        <v>192</v>
      </c>
      <c r="AB24" s="168" t="s">
        <v>153</v>
      </c>
      <c r="AC24" s="168" t="s">
        <v>153</v>
      </c>
      <c r="AD24" s="168" t="s">
        <v>192</v>
      </c>
      <c r="AE24" s="168" t="s">
        <v>153</v>
      </c>
      <c r="AF24" s="168" t="s">
        <v>153</v>
      </c>
      <c r="AG24" s="168" t="s">
        <v>192</v>
      </c>
      <c r="AH24" s="168" t="s">
        <v>153</v>
      </c>
      <c r="AI24" s="168" t="s">
        <v>153</v>
      </c>
      <c r="AJ24" s="168" t="s">
        <v>192</v>
      </c>
      <c r="AK24" s="168" t="s">
        <v>153</v>
      </c>
      <c r="AL24" s="168" t="s">
        <v>153</v>
      </c>
      <c r="AM24" s="168" t="s">
        <v>192</v>
      </c>
      <c r="AN24" s="168" t="s">
        <v>192</v>
      </c>
      <c r="AO24" s="168" t="s">
        <v>153</v>
      </c>
      <c r="AP24" s="168" t="s">
        <v>192</v>
      </c>
      <c r="AQ24" s="168" t="s">
        <v>153</v>
      </c>
      <c r="AR24" s="168" t="s">
        <v>153</v>
      </c>
      <c r="AS24" s="168" t="s">
        <v>192</v>
      </c>
      <c r="AT24" s="168" t="s">
        <v>153</v>
      </c>
      <c r="AU24" s="168" t="s">
        <v>153</v>
      </c>
      <c r="AV24" s="168" t="s">
        <v>192</v>
      </c>
      <c r="AW24" s="168" t="s">
        <v>153</v>
      </c>
      <c r="AX24" s="168" t="s">
        <v>153</v>
      </c>
      <c r="AY24" s="168" t="s">
        <v>192</v>
      </c>
      <c r="AZ24" s="168" t="s">
        <v>153</v>
      </c>
      <c r="BA24" s="168" t="s">
        <v>153</v>
      </c>
      <c r="BB24" s="168" t="s">
        <v>192</v>
      </c>
      <c r="BC24" s="168" t="s">
        <v>153</v>
      </c>
      <c r="BD24" s="168" t="s">
        <v>153</v>
      </c>
      <c r="BE24" s="168" t="s">
        <v>192</v>
      </c>
      <c r="BF24" s="168" t="s">
        <v>192</v>
      </c>
      <c r="BG24" s="168" t="s">
        <v>153</v>
      </c>
      <c r="BH24" s="168" t="s">
        <v>192</v>
      </c>
      <c r="BI24" s="168" t="s">
        <v>153</v>
      </c>
      <c r="BJ24" s="168" t="s">
        <v>192</v>
      </c>
      <c r="BK24" s="168" t="s">
        <v>192</v>
      </c>
      <c r="BL24" s="168" t="s">
        <v>192</v>
      </c>
      <c r="BM24" s="168" t="s">
        <v>192</v>
      </c>
      <c r="BN24" s="168" t="s">
        <v>192</v>
      </c>
      <c r="BO24" s="168" t="s">
        <v>153</v>
      </c>
      <c r="BP24" s="168" t="s">
        <v>153</v>
      </c>
      <c r="BQ24" s="168" t="s">
        <v>192</v>
      </c>
      <c r="BR24" s="168" t="s">
        <v>153</v>
      </c>
      <c r="BS24" s="168" t="s">
        <v>153</v>
      </c>
      <c r="BT24" s="168" t="s">
        <v>192</v>
      </c>
      <c r="BU24" s="168" t="s">
        <v>153</v>
      </c>
      <c r="BV24" s="168" t="s">
        <v>153</v>
      </c>
      <c r="BW24" s="168" t="s">
        <v>192</v>
      </c>
      <c r="BX24" s="168" t="s">
        <v>153</v>
      </c>
      <c r="BY24" s="168" t="s">
        <v>153</v>
      </c>
      <c r="BZ24" s="168" t="s">
        <v>192</v>
      </c>
      <c r="CA24" s="168" t="s">
        <v>153</v>
      </c>
      <c r="CB24" s="168" t="s">
        <v>153</v>
      </c>
      <c r="CC24" s="168" t="s">
        <v>192</v>
      </c>
      <c r="CD24" s="168" t="s">
        <v>153</v>
      </c>
      <c r="CE24" s="168" t="s">
        <v>153</v>
      </c>
      <c r="CF24" s="168" t="s">
        <v>192</v>
      </c>
      <c r="CG24" s="168" t="s">
        <v>153</v>
      </c>
      <c r="CH24" s="183"/>
      <c r="CI24" s="185">
        <v>0</v>
      </c>
      <c r="CJ24" s="160">
        <v>0</v>
      </c>
      <c r="CK24" s="160">
        <v>0</v>
      </c>
      <c r="CL24" s="160">
        <v>0</v>
      </c>
      <c r="CM24" s="160">
        <v>0</v>
      </c>
      <c r="CN24" s="160">
        <v>1</v>
      </c>
      <c r="CO24" s="160">
        <v>1</v>
      </c>
      <c r="CP24" s="160">
        <v>0</v>
      </c>
      <c r="CQ24" s="160">
        <v>0</v>
      </c>
      <c r="CR24" s="160">
        <v>0</v>
      </c>
      <c r="CS24" s="179">
        <v>0</v>
      </c>
      <c r="CT24" s="160">
        <v>0</v>
      </c>
      <c r="CU24" s="160">
        <v>0</v>
      </c>
      <c r="CV24" s="160">
        <v>1</v>
      </c>
      <c r="CW24" s="160">
        <v>0</v>
      </c>
      <c r="CX24" s="160">
        <v>0</v>
      </c>
      <c r="CY24" s="160">
        <v>0</v>
      </c>
      <c r="CZ24" s="160">
        <v>0</v>
      </c>
      <c r="DA24" s="160">
        <v>0</v>
      </c>
      <c r="DB24" s="160">
        <v>0</v>
      </c>
      <c r="DC24" s="160">
        <v>0</v>
      </c>
      <c r="DD24" s="160">
        <v>1</v>
      </c>
      <c r="DE24" s="160">
        <v>0</v>
      </c>
      <c r="DF24" s="160">
        <v>0</v>
      </c>
      <c r="DG24" s="160">
        <v>1</v>
      </c>
      <c r="DH24" s="160">
        <v>0</v>
      </c>
      <c r="DI24" s="160">
        <v>1</v>
      </c>
      <c r="DJ24" s="160">
        <v>1</v>
      </c>
      <c r="DK24" s="160">
        <v>1</v>
      </c>
      <c r="DL24" s="160">
        <v>0</v>
      </c>
      <c r="DM24" s="160">
        <v>0</v>
      </c>
      <c r="DN24" s="160"/>
    </row>
    <row r="25" spans="1:118" hidden="1">
      <c r="A25" s="146" t="s">
        <v>80</v>
      </c>
      <c r="B25" s="146" t="s">
        <v>85</v>
      </c>
      <c r="C25" s="28" t="s">
        <v>413</v>
      </c>
      <c r="D25" s="62" t="s">
        <v>356</v>
      </c>
      <c r="E25" s="62"/>
      <c r="F25" s="62"/>
      <c r="G25" s="62"/>
      <c r="H25" s="62">
        <v>0</v>
      </c>
      <c r="I25" s="62">
        <v>15500</v>
      </c>
      <c r="J25" s="62"/>
      <c r="K25" s="62"/>
      <c r="L25" s="62">
        <v>12777</v>
      </c>
      <c r="M25" s="62">
        <v>1556</v>
      </c>
      <c r="N25" s="62">
        <v>1167</v>
      </c>
      <c r="O25" s="62">
        <f>SUBTOTAL(9,Table4[[#This Row],[ESI BASIC]:[ESI FOOD]])</f>
        <v>0</v>
      </c>
      <c r="P25" s="11" t="s">
        <v>314</v>
      </c>
      <c r="Q25" s="11" t="s">
        <v>346</v>
      </c>
      <c r="R25" s="12">
        <v>11193210017690</v>
      </c>
      <c r="S25" s="167"/>
      <c r="T25" s="10">
        <f t="shared" si="0"/>
        <v>31</v>
      </c>
      <c r="U25" s="167">
        <v>4</v>
      </c>
      <c r="V25" s="10">
        <f t="shared" si="1"/>
        <v>35</v>
      </c>
      <c r="W25" s="10">
        <f t="shared" si="2"/>
        <v>0</v>
      </c>
      <c r="X25" s="168" t="s">
        <v>153</v>
      </c>
      <c r="Y25" s="168" t="s">
        <v>192</v>
      </c>
      <c r="Z25" s="170" t="s">
        <v>153</v>
      </c>
      <c r="AA25" s="168" t="s">
        <v>192</v>
      </c>
      <c r="AB25" s="168" t="s">
        <v>153</v>
      </c>
      <c r="AC25" s="168" t="s">
        <v>192</v>
      </c>
      <c r="AD25" s="168" t="s">
        <v>153</v>
      </c>
      <c r="AE25" s="168" t="s">
        <v>192</v>
      </c>
      <c r="AF25" s="168" t="s">
        <v>153</v>
      </c>
      <c r="AG25" s="168" t="s">
        <v>192</v>
      </c>
      <c r="AH25" s="168" t="s">
        <v>153</v>
      </c>
      <c r="AI25" s="168" t="s">
        <v>192</v>
      </c>
      <c r="AJ25" s="168" t="s">
        <v>153</v>
      </c>
      <c r="AK25" s="168" t="s">
        <v>192</v>
      </c>
      <c r="AL25" s="168" t="s">
        <v>153</v>
      </c>
      <c r="AM25" s="168" t="s">
        <v>192</v>
      </c>
      <c r="AN25" s="168" t="s">
        <v>153</v>
      </c>
      <c r="AO25" s="168" t="s">
        <v>192</v>
      </c>
      <c r="AP25" s="168" t="s">
        <v>153</v>
      </c>
      <c r="AQ25" s="168" t="s">
        <v>192</v>
      </c>
      <c r="AR25" s="168" t="s">
        <v>153</v>
      </c>
      <c r="AS25" s="168" t="s">
        <v>192</v>
      </c>
      <c r="AT25" s="168" t="s">
        <v>153</v>
      </c>
      <c r="AU25" s="168" t="s">
        <v>192</v>
      </c>
      <c r="AV25" s="168" t="s">
        <v>153</v>
      </c>
      <c r="AW25" s="168" t="s">
        <v>192</v>
      </c>
      <c r="AX25" s="168" t="s">
        <v>153</v>
      </c>
      <c r="AY25" s="168" t="s">
        <v>192</v>
      </c>
      <c r="AZ25" s="168" t="s">
        <v>153</v>
      </c>
      <c r="BA25" s="168" t="s">
        <v>192</v>
      </c>
      <c r="BB25" s="168" t="s">
        <v>153</v>
      </c>
      <c r="BC25" s="168" t="s">
        <v>192</v>
      </c>
      <c r="BD25" s="168" t="s">
        <v>153</v>
      </c>
      <c r="BE25" s="168" t="s">
        <v>192</v>
      </c>
      <c r="BF25" s="168" t="s">
        <v>153</v>
      </c>
      <c r="BG25" s="168" t="s">
        <v>192</v>
      </c>
      <c r="BH25" s="168" t="s">
        <v>153</v>
      </c>
      <c r="BI25" s="168" t="s">
        <v>192</v>
      </c>
      <c r="BJ25" s="168" t="s">
        <v>153</v>
      </c>
      <c r="BK25" s="168" t="s">
        <v>192</v>
      </c>
      <c r="BL25" s="168" t="s">
        <v>153</v>
      </c>
      <c r="BM25" s="168" t="s">
        <v>192</v>
      </c>
      <c r="BN25" s="168" t="s">
        <v>153</v>
      </c>
      <c r="BO25" s="168" t="s">
        <v>192</v>
      </c>
      <c r="BP25" s="168" t="s">
        <v>153</v>
      </c>
      <c r="BQ25" s="168" t="s">
        <v>192</v>
      </c>
      <c r="BR25" s="168" t="s">
        <v>153</v>
      </c>
      <c r="BS25" s="168" t="s">
        <v>192</v>
      </c>
      <c r="BT25" s="168" t="s">
        <v>153</v>
      </c>
      <c r="BU25" s="168" t="s">
        <v>192</v>
      </c>
      <c r="BV25" s="168" t="s">
        <v>153</v>
      </c>
      <c r="BW25" s="168" t="s">
        <v>192</v>
      </c>
      <c r="BX25" s="168" t="s">
        <v>153</v>
      </c>
      <c r="BY25" s="168" t="s">
        <v>192</v>
      </c>
      <c r="BZ25" s="168" t="s">
        <v>153</v>
      </c>
      <c r="CA25" s="168" t="s">
        <v>192</v>
      </c>
      <c r="CB25" s="168" t="s">
        <v>153</v>
      </c>
      <c r="CC25" s="168" t="s">
        <v>192</v>
      </c>
      <c r="CD25" s="168" t="s">
        <v>153</v>
      </c>
      <c r="CE25" s="168" t="s">
        <v>192</v>
      </c>
      <c r="CF25" s="168" t="s">
        <v>153</v>
      </c>
      <c r="CG25" s="244" t="s">
        <v>192</v>
      </c>
      <c r="CH25" s="183"/>
      <c r="CI25" s="186"/>
      <c r="CJ25" s="160"/>
      <c r="CK25" s="160"/>
      <c r="CL25" s="160"/>
      <c r="CM25" s="179"/>
      <c r="CN25" s="160"/>
      <c r="CO25" s="160"/>
      <c r="CP25" s="160"/>
      <c r="CQ25" s="160"/>
      <c r="CR25" s="179"/>
      <c r="CS25" s="179"/>
      <c r="CT25" s="179"/>
      <c r="CU25" s="160"/>
      <c r="CV25" s="179"/>
      <c r="CW25" s="179"/>
      <c r="CX25" s="179"/>
      <c r="CY25" s="160"/>
      <c r="CZ25" s="160"/>
      <c r="DA25" s="160"/>
      <c r="DB25" s="160"/>
      <c r="DC25" s="160"/>
      <c r="DD25" s="160"/>
      <c r="DE25" s="160"/>
      <c r="DF25" s="160"/>
      <c r="DG25" s="160"/>
      <c r="DH25" s="160"/>
      <c r="DI25" s="160"/>
      <c r="DJ25" s="160"/>
      <c r="DK25" s="160"/>
      <c r="DL25" s="160"/>
      <c r="DM25" s="160"/>
      <c r="DN25" s="160"/>
    </row>
    <row r="26" spans="1:118" hidden="1">
      <c r="A26" s="146" t="s">
        <v>80</v>
      </c>
      <c r="B26" s="146" t="s">
        <v>35</v>
      </c>
      <c r="C26" s="28" t="s">
        <v>259</v>
      </c>
      <c r="D26" s="62" t="s">
        <v>364</v>
      </c>
      <c r="E26" s="62"/>
      <c r="F26" s="62"/>
      <c r="G26" s="62"/>
      <c r="H26" s="62">
        <v>0</v>
      </c>
      <c r="I26" s="62"/>
      <c r="J26" s="62">
        <v>360</v>
      </c>
      <c r="K26" s="62">
        <v>185</v>
      </c>
      <c r="L26" s="62">
        <v>11620</v>
      </c>
      <c r="M26" s="62">
        <v>3130</v>
      </c>
      <c r="N26" s="62">
        <v>2550</v>
      </c>
      <c r="O26" s="62">
        <f>SUBTOTAL(9,Table4[[#This Row],[ESI BASIC]:[ESI FOOD]])</f>
        <v>0</v>
      </c>
      <c r="P26" s="159" t="s">
        <v>314</v>
      </c>
      <c r="Q26" s="159" t="s">
        <v>335</v>
      </c>
      <c r="R26" s="173">
        <v>25500110099254</v>
      </c>
      <c r="S26" s="167"/>
      <c r="T26" s="10">
        <f t="shared" si="0"/>
        <v>33</v>
      </c>
      <c r="U26" s="167"/>
      <c r="V26" s="10">
        <f t="shared" si="1"/>
        <v>33</v>
      </c>
      <c r="W26" s="10">
        <f t="shared" si="2"/>
        <v>6</v>
      </c>
      <c r="X26" s="170" t="s">
        <v>192</v>
      </c>
      <c r="Y26" s="168" t="s">
        <v>153</v>
      </c>
      <c r="Z26" s="168" t="s">
        <v>153</v>
      </c>
      <c r="AA26" s="168" t="s">
        <v>192</v>
      </c>
      <c r="AB26" s="168" t="s">
        <v>153</v>
      </c>
      <c r="AC26" s="168" t="s">
        <v>153</v>
      </c>
      <c r="AD26" s="168" t="s">
        <v>192</v>
      </c>
      <c r="AE26" s="168" t="s">
        <v>153</v>
      </c>
      <c r="AF26" s="168" t="s">
        <v>153</v>
      </c>
      <c r="AG26" s="168" t="s">
        <v>192</v>
      </c>
      <c r="AH26" s="168" t="s">
        <v>153</v>
      </c>
      <c r="AI26" s="168" t="s">
        <v>153</v>
      </c>
      <c r="AJ26" s="168" t="s">
        <v>192</v>
      </c>
      <c r="AK26" s="168" t="s">
        <v>153</v>
      </c>
      <c r="AL26" s="168" t="s">
        <v>153</v>
      </c>
      <c r="AM26" s="168" t="s">
        <v>192</v>
      </c>
      <c r="AN26" s="168" t="s">
        <v>192</v>
      </c>
      <c r="AO26" s="168" t="s">
        <v>192</v>
      </c>
      <c r="AP26" s="170" t="s">
        <v>192</v>
      </c>
      <c r="AQ26" s="168" t="s">
        <v>153</v>
      </c>
      <c r="AR26" s="168" t="s">
        <v>153</v>
      </c>
      <c r="AS26" s="168" t="s">
        <v>192</v>
      </c>
      <c r="AT26" s="168" t="s">
        <v>192</v>
      </c>
      <c r="AU26" s="168" t="s">
        <v>192</v>
      </c>
      <c r="AV26" s="168" t="s">
        <v>192</v>
      </c>
      <c r="AW26" s="168" t="s">
        <v>192</v>
      </c>
      <c r="AX26" s="168" t="s">
        <v>192</v>
      </c>
      <c r="AY26" s="168" t="s">
        <v>192</v>
      </c>
      <c r="AZ26" s="168" t="s">
        <v>192</v>
      </c>
      <c r="BA26" s="168" t="s">
        <v>192</v>
      </c>
      <c r="BB26" s="168" t="s">
        <v>192</v>
      </c>
      <c r="BC26" s="168" t="s">
        <v>153</v>
      </c>
      <c r="BD26" s="168" t="s">
        <v>153</v>
      </c>
      <c r="BE26" s="168" t="s">
        <v>192</v>
      </c>
      <c r="BF26" s="168" t="s">
        <v>153</v>
      </c>
      <c r="BG26" s="168" t="s">
        <v>153</v>
      </c>
      <c r="BH26" s="168" t="s">
        <v>192</v>
      </c>
      <c r="BI26" s="168" t="s">
        <v>153</v>
      </c>
      <c r="BJ26" s="168" t="s">
        <v>153</v>
      </c>
      <c r="BK26" s="168" t="s">
        <v>192</v>
      </c>
      <c r="BL26" s="168" t="s">
        <v>153</v>
      </c>
      <c r="BM26" s="168" t="s">
        <v>153</v>
      </c>
      <c r="BN26" s="168" t="s">
        <v>192</v>
      </c>
      <c r="BO26" s="168" t="s">
        <v>153</v>
      </c>
      <c r="BP26" s="168" t="s">
        <v>153</v>
      </c>
      <c r="BQ26" s="168" t="s">
        <v>192</v>
      </c>
      <c r="BR26" s="168" t="s">
        <v>153</v>
      </c>
      <c r="BS26" s="168" t="s">
        <v>153</v>
      </c>
      <c r="BT26" s="168" t="s">
        <v>192</v>
      </c>
      <c r="BU26" s="168" t="s">
        <v>153</v>
      </c>
      <c r="BV26" s="168" t="s">
        <v>153</v>
      </c>
      <c r="BW26" s="168" t="s">
        <v>192</v>
      </c>
      <c r="BX26" s="168" t="s">
        <v>153</v>
      </c>
      <c r="BY26" s="168" t="s">
        <v>153</v>
      </c>
      <c r="BZ26" s="168" t="s">
        <v>192</v>
      </c>
      <c r="CA26" s="168" t="s">
        <v>153</v>
      </c>
      <c r="CB26" s="168" t="s">
        <v>153</v>
      </c>
      <c r="CC26" s="168" t="s">
        <v>192</v>
      </c>
      <c r="CD26" s="168" t="s">
        <v>153</v>
      </c>
      <c r="CE26" s="168" t="s">
        <v>153</v>
      </c>
      <c r="CF26" s="168" t="s">
        <v>192</v>
      </c>
      <c r="CG26" s="168" t="s">
        <v>153</v>
      </c>
      <c r="CH26" s="168"/>
      <c r="CI26" s="168">
        <v>0</v>
      </c>
      <c r="CJ26" s="160">
        <v>0</v>
      </c>
      <c r="CK26" s="160">
        <v>0</v>
      </c>
      <c r="CL26" s="160">
        <v>0</v>
      </c>
      <c r="CM26" s="160">
        <v>0</v>
      </c>
      <c r="CN26" s="160">
        <v>1</v>
      </c>
      <c r="CO26" s="160">
        <v>1</v>
      </c>
      <c r="CP26" s="160">
        <v>0</v>
      </c>
      <c r="CQ26" s="160">
        <v>0</v>
      </c>
      <c r="CR26" s="160">
        <v>0</v>
      </c>
      <c r="CS26" s="179">
        <v>0</v>
      </c>
      <c r="CT26" s="160">
        <v>0</v>
      </c>
      <c r="CU26" s="160">
        <v>0</v>
      </c>
      <c r="CV26" s="160">
        <v>0</v>
      </c>
      <c r="CW26" s="160">
        <v>0</v>
      </c>
      <c r="CX26" s="160">
        <v>0</v>
      </c>
      <c r="CY26" s="160">
        <v>0</v>
      </c>
      <c r="CZ26" s="160">
        <v>0</v>
      </c>
      <c r="DA26" s="160">
        <v>0</v>
      </c>
      <c r="DB26" s="160">
        <v>0</v>
      </c>
      <c r="DC26" s="160">
        <v>0</v>
      </c>
      <c r="DD26" s="160">
        <v>1</v>
      </c>
      <c r="DE26" s="160">
        <v>0</v>
      </c>
      <c r="DF26" s="160">
        <v>0</v>
      </c>
      <c r="DG26" s="160">
        <v>1</v>
      </c>
      <c r="DH26" s="160">
        <v>0</v>
      </c>
      <c r="DI26" s="160">
        <v>1</v>
      </c>
      <c r="DJ26" s="160">
        <v>0</v>
      </c>
      <c r="DK26" s="160">
        <v>1</v>
      </c>
      <c r="DL26" s="160">
        <v>0</v>
      </c>
      <c r="DM26" s="160">
        <v>0</v>
      </c>
      <c r="DN26" s="160"/>
    </row>
    <row r="27" spans="1:118" ht="19.5" hidden="1" customHeight="1">
      <c r="A27" s="146" t="s">
        <v>81</v>
      </c>
      <c r="B27" s="146" t="s">
        <v>85</v>
      </c>
      <c r="C27" s="28" t="s">
        <v>407</v>
      </c>
      <c r="D27" s="62"/>
      <c r="E27" s="62"/>
      <c r="F27" s="62"/>
      <c r="G27" s="62"/>
      <c r="H27" s="62">
        <v>0</v>
      </c>
      <c r="I27" s="62">
        <v>12000</v>
      </c>
      <c r="J27" s="62"/>
      <c r="K27" s="62"/>
      <c r="L27" s="62"/>
      <c r="M27" s="62"/>
      <c r="N27" s="62"/>
      <c r="O27" s="62">
        <f>SUBTOTAL(9,Table4[[#This Row],[ESI BASIC]:[ESI FOOD]])</f>
        <v>0</v>
      </c>
      <c r="P27" s="159"/>
      <c r="Q27" s="159"/>
      <c r="R27" s="173"/>
      <c r="S27" s="167"/>
      <c r="T27" s="10">
        <f t="shared" si="0"/>
        <v>31</v>
      </c>
      <c r="U27" s="167">
        <v>4</v>
      </c>
      <c r="V27" s="10">
        <f t="shared" si="1"/>
        <v>35</v>
      </c>
      <c r="W27" s="10">
        <f t="shared" si="2"/>
        <v>0</v>
      </c>
      <c r="X27" s="170" t="s">
        <v>153</v>
      </c>
      <c r="Y27" s="177" t="s">
        <v>192</v>
      </c>
      <c r="Z27" s="168" t="s">
        <v>153</v>
      </c>
      <c r="AA27" s="168" t="s">
        <v>192</v>
      </c>
      <c r="AB27" s="168" t="s">
        <v>153</v>
      </c>
      <c r="AC27" s="177" t="s">
        <v>192</v>
      </c>
      <c r="AD27" s="168" t="s">
        <v>153</v>
      </c>
      <c r="AE27" s="177" t="s">
        <v>192</v>
      </c>
      <c r="AF27" s="168" t="s">
        <v>153</v>
      </c>
      <c r="AG27" s="177" t="s">
        <v>192</v>
      </c>
      <c r="AH27" s="168" t="s">
        <v>153</v>
      </c>
      <c r="AI27" s="177" t="s">
        <v>192</v>
      </c>
      <c r="AJ27" s="168" t="s">
        <v>153</v>
      </c>
      <c r="AK27" s="177" t="s">
        <v>192</v>
      </c>
      <c r="AL27" s="168" t="s">
        <v>153</v>
      </c>
      <c r="AM27" s="177" t="s">
        <v>192</v>
      </c>
      <c r="AN27" s="168" t="s">
        <v>153</v>
      </c>
      <c r="AO27" s="177" t="s">
        <v>192</v>
      </c>
      <c r="AP27" s="168" t="s">
        <v>153</v>
      </c>
      <c r="AQ27" s="177" t="s">
        <v>192</v>
      </c>
      <c r="AR27" s="168" t="s">
        <v>153</v>
      </c>
      <c r="AS27" s="177" t="s">
        <v>192</v>
      </c>
      <c r="AT27" s="168" t="s">
        <v>153</v>
      </c>
      <c r="AU27" s="177" t="s">
        <v>192</v>
      </c>
      <c r="AV27" s="168" t="s">
        <v>153</v>
      </c>
      <c r="AW27" s="177" t="s">
        <v>192</v>
      </c>
      <c r="AX27" s="168" t="s">
        <v>153</v>
      </c>
      <c r="AY27" s="168" t="s">
        <v>192</v>
      </c>
      <c r="AZ27" s="168" t="s">
        <v>153</v>
      </c>
      <c r="BA27" s="168" t="s">
        <v>192</v>
      </c>
      <c r="BB27" s="168" t="s">
        <v>153</v>
      </c>
      <c r="BC27" s="168" t="s">
        <v>192</v>
      </c>
      <c r="BD27" s="168" t="s">
        <v>153</v>
      </c>
      <c r="BE27" s="168" t="s">
        <v>192</v>
      </c>
      <c r="BF27" s="168" t="s">
        <v>153</v>
      </c>
      <c r="BG27" s="168" t="s">
        <v>192</v>
      </c>
      <c r="BH27" s="168" t="s">
        <v>153</v>
      </c>
      <c r="BI27" s="168" t="s">
        <v>192</v>
      </c>
      <c r="BJ27" s="168" t="s">
        <v>153</v>
      </c>
      <c r="BK27" s="168" t="s">
        <v>192</v>
      </c>
      <c r="BL27" s="168" t="s">
        <v>153</v>
      </c>
      <c r="BM27" s="168" t="s">
        <v>192</v>
      </c>
      <c r="BN27" s="177" t="s">
        <v>153</v>
      </c>
      <c r="BO27" s="177" t="s">
        <v>192</v>
      </c>
      <c r="BP27" s="168" t="s">
        <v>153</v>
      </c>
      <c r="BQ27" s="177" t="s">
        <v>192</v>
      </c>
      <c r="BR27" s="168" t="s">
        <v>153</v>
      </c>
      <c r="BS27" s="168" t="s">
        <v>192</v>
      </c>
      <c r="BT27" s="168" t="s">
        <v>153</v>
      </c>
      <c r="BU27" s="168" t="s">
        <v>192</v>
      </c>
      <c r="BV27" s="168" t="s">
        <v>153</v>
      </c>
      <c r="BW27" s="168" t="s">
        <v>192</v>
      </c>
      <c r="BX27" s="168" t="s">
        <v>153</v>
      </c>
      <c r="BY27" s="168" t="s">
        <v>192</v>
      </c>
      <c r="BZ27" s="168" t="s">
        <v>153</v>
      </c>
      <c r="CA27" s="168" t="s">
        <v>192</v>
      </c>
      <c r="CB27" s="168" t="s">
        <v>153</v>
      </c>
      <c r="CC27" s="168" t="s">
        <v>192</v>
      </c>
      <c r="CD27" s="168" t="s">
        <v>153</v>
      </c>
      <c r="CE27" s="168" t="s">
        <v>192</v>
      </c>
      <c r="CF27" s="168" t="s">
        <v>153</v>
      </c>
      <c r="CG27" s="244" t="s">
        <v>192</v>
      </c>
      <c r="CH27" s="183"/>
      <c r="CI27" s="160"/>
      <c r="CJ27" s="160"/>
      <c r="CK27" s="160"/>
      <c r="CL27" s="160"/>
      <c r="CM27" s="160"/>
      <c r="CN27" s="160"/>
      <c r="CO27" s="160"/>
      <c r="CP27" s="160"/>
      <c r="CQ27" s="160"/>
      <c r="CR27" s="160"/>
      <c r="CS27" s="179"/>
      <c r="CT27" s="160"/>
      <c r="CU27" s="160"/>
      <c r="CV27" s="160"/>
      <c r="CW27" s="160"/>
      <c r="CX27" s="179"/>
      <c r="CY27" s="160"/>
      <c r="CZ27" s="160"/>
      <c r="DA27" s="160"/>
      <c r="DB27" s="160"/>
      <c r="DC27" s="160"/>
      <c r="DD27" s="160"/>
      <c r="DE27" s="160"/>
      <c r="DF27" s="160"/>
      <c r="DG27" s="160"/>
      <c r="DH27" s="160"/>
      <c r="DI27" s="160"/>
      <c r="DJ27" s="160"/>
      <c r="DK27" s="160"/>
      <c r="DL27" s="160"/>
      <c r="DM27" s="160"/>
      <c r="DN27" s="160"/>
    </row>
    <row r="28" spans="1:118" ht="15.75" customHeight="1">
      <c r="A28" s="146" t="s">
        <v>79</v>
      </c>
      <c r="B28" s="146" t="s">
        <v>83</v>
      </c>
      <c r="C28" s="28" t="s">
        <v>260</v>
      </c>
      <c r="D28" s="62" t="s">
        <v>296</v>
      </c>
      <c r="E28" s="62">
        <v>10560</v>
      </c>
      <c r="F28" s="62">
        <v>500</v>
      </c>
      <c r="G28" s="62">
        <v>440</v>
      </c>
      <c r="H28" s="62">
        <f>SUBTOTAL(9,Table4[[#This Row],[BASIC]:[FOOD]])</f>
        <v>11500</v>
      </c>
      <c r="I28" s="62"/>
      <c r="J28" s="62"/>
      <c r="K28" s="62"/>
      <c r="L28" s="62"/>
      <c r="M28" s="62"/>
      <c r="N28" s="62"/>
      <c r="O28" s="62"/>
      <c r="P28" s="251" t="s">
        <v>302</v>
      </c>
      <c r="Q28" s="251" t="s">
        <v>303</v>
      </c>
      <c r="R28" s="252">
        <v>34576474280</v>
      </c>
      <c r="S28" s="167"/>
      <c r="T28" s="10">
        <f t="shared" si="0"/>
        <v>27</v>
      </c>
      <c r="U28" s="167">
        <v>4</v>
      </c>
      <c r="V28" s="10">
        <f t="shared" si="1"/>
        <v>31</v>
      </c>
      <c r="W28" s="10">
        <f t="shared" si="2"/>
        <v>0</v>
      </c>
      <c r="X28" s="168" t="s">
        <v>153</v>
      </c>
      <c r="Y28" s="168" t="s">
        <v>192</v>
      </c>
      <c r="Z28" s="170" t="s">
        <v>153</v>
      </c>
      <c r="AA28" s="168" t="s">
        <v>192</v>
      </c>
      <c r="AB28" s="168" t="s">
        <v>153</v>
      </c>
      <c r="AC28" s="168" t="s">
        <v>192</v>
      </c>
      <c r="AD28" s="168" t="s">
        <v>153</v>
      </c>
      <c r="AE28" s="168" t="s">
        <v>192</v>
      </c>
      <c r="AF28" s="168" t="s">
        <v>192</v>
      </c>
      <c r="AG28" s="168" t="s">
        <v>192</v>
      </c>
      <c r="AH28" s="168" t="s">
        <v>153</v>
      </c>
      <c r="AI28" s="168" t="s">
        <v>192</v>
      </c>
      <c r="AJ28" s="168" t="s">
        <v>153</v>
      </c>
      <c r="AK28" s="168" t="s">
        <v>192</v>
      </c>
      <c r="AL28" s="168" t="s">
        <v>153</v>
      </c>
      <c r="AM28" s="168" t="s">
        <v>192</v>
      </c>
      <c r="AN28" s="168" t="s">
        <v>153</v>
      </c>
      <c r="AO28" s="168" t="s">
        <v>192</v>
      </c>
      <c r="AP28" s="168" t="s">
        <v>153</v>
      </c>
      <c r="AQ28" s="168" t="s">
        <v>192</v>
      </c>
      <c r="AR28" s="168" t="s">
        <v>153</v>
      </c>
      <c r="AS28" s="168" t="s">
        <v>192</v>
      </c>
      <c r="AT28" s="168" t="s">
        <v>192</v>
      </c>
      <c r="AU28" s="168" t="s">
        <v>192</v>
      </c>
      <c r="AV28" s="168" t="s">
        <v>153</v>
      </c>
      <c r="AW28" s="168" t="s">
        <v>192</v>
      </c>
      <c r="AX28" s="168" t="s">
        <v>153</v>
      </c>
      <c r="AY28" s="168" t="s">
        <v>192</v>
      </c>
      <c r="AZ28" s="168" t="s">
        <v>153</v>
      </c>
      <c r="BA28" s="168" t="s">
        <v>192</v>
      </c>
      <c r="BB28" s="168" t="s">
        <v>153</v>
      </c>
      <c r="BC28" s="168" t="s">
        <v>192</v>
      </c>
      <c r="BD28" s="168" t="s">
        <v>153</v>
      </c>
      <c r="BE28" s="168" t="s">
        <v>192</v>
      </c>
      <c r="BF28" s="168" t="s">
        <v>153</v>
      </c>
      <c r="BG28" s="168" t="s">
        <v>192</v>
      </c>
      <c r="BH28" s="168" t="s">
        <v>192</v>
      </c>
      <c r="BI28" s="168" t="s">
        <v>192</v>
      </c>
      <c r="BJ28" s="168" t="s">
        <v>153</v>
      </c>
      <c r="BK28" s="168" t="s">
        <v>192</v>
      </c>
      <c r="BL28" s="168" t="s">
        <v>153</v>
      </c>
      <c r="BM28" s="168" t="s">
        <v>192</v>
      </c>
      <c r="BN28" s="168" t="s">
        <v>153</v>
      </c>
      <c r="BO28" s="168" t="s">
        <v>192</v>
      </c>
      <c r="BP28" s="168" t="s">
        <v>153</v>
      </c>
      <c r="BQ28" s="168" t="s">
        <v>192</v>
      </c>
      <c r="BR28" s="168" t="s">
        <v>153</v>
      </c>
      <c r="BS28" s="168" t="s">
        <v>192</v>
      </c>
      <c r="BT28" s="168" t="s">
        <v>153</v>
      </c>
      <c r="BU28" s="168" t="s">
        <v>192</v>
      </c>
      <c r="BV28" s="168" t="s">
        <v>192</v>
      </c>
      <c r="BW28" s="168" t="s">
        <v>192</v>
      </c>
      <c r="BX28" s="168" t="s">
        <v>153</v>
      </c>
      <c r="BY28" s="168" t="s">
        <v>192</v>
      </c>
      <c r="BZ28" s="168" t="s">
        <v>153</v>
      </c>
      <c r="CA28" s="168" t="s">
        <v>192</v>
      </c>
      <c r="CB28" s="168" t="s">
        <v>153</v>
      </c>
      <c r="CC28" s="168" t="s">
        <v>192</v>
      </c>
      <c r="CD28" s="168" t="s">
        <v>153</v>
      </c>
      <c r="CE28" s="168" t="s">
        <v>192</v>
      </c>
      <c r="CF28" s="168" t="s">
        <v>153</v>
      </c>
      <c r="CG28" s="244" t="s">
        <v>192</v>
      </c>
      <c r="CH28" s="183" t="s">
        <v>192</v>
      </c>
      <c r="CI28" s="186"/>
      <c r="CJ28" s="160"/>
      <c r="CK28" s="179"/>
      <c r="CL28" s="179"/>
      <c r="CM28" s="160"/>
      <c r="CN28" s="160"/>
      <c r="CO28" s="160"/>
      <c r="CP28" s="160"/>
      <c r="CQ28" s="160"/>
      <c r="CR28" s="19"/>
      <c r="CS28" s="179"/>
      <c r="CT28" s="179"/>
      <c r="CU28" s="160"/>
      <c r="CV28" s="179"/>
      <c r="CW28" s="179"/>
      <c r="CX28" s="188"/>
      <c r="CY28" s="160"/>
      <c r="CZ28" s="160"/>
      <c r="DA28" s="160"/>
      <c r="DB28" s="160"/>
      <c r="DC28" s="160"/>
      <c r="DD28" s="160"/>
      <c r="DE28" s="160"/>
      <c r="DF28" s="160"/>
      <c r="DG28" s="160"/>
      <c r="DH28" s="160"/>
      <c r="DI28" s="160"/>
      <c r="DJ28" s="160"/>
      <c r="DK28" s="160"/>
      <c r="DL28" s="160"/>
      <c r="DM28" s="160"/>
      <c r="DN28" s="160"/>
    </row>
    <row r="29" spans="1:118">
      <c r="A29" s="146" t="s">
        <v>79</v>
      </c>
      <c r="B29" s="146" t="s">
        <v>83</v>
      </c>
      <c r="C29" s="28" t="s">
        <v>261</v>
      </c>
      <c r="D29" s="62" t="s">
        <v>297</v>
      </c>
      <c r="E29" s="62">
        <v>11620</v>
      </c>
      <c r="F29" s="62">
        <v>5000</v>
      </c>
      <c r="G29" s="62">
        <v>3380</v>
      </c>
      <c r="H29" s="62">
        <f>SUBTOTAL(9,Table4[[#This Row],[BASIC]:[FOOD]])</f>
        <v>20000</v>
      </c>
      <c r="I29" s="62"/>
      <c r="J29" s="62"/>
      <c r="K29" s="62"/>
      <c r="L29" s="62"/>
      <c r="M29" s="62"/>
      <c r="N29" s="62"/>
      <c r="O29" s="62"/>
      <c r="P29" s="11" t="s">
        <v>314</v>
      </c>
      <c r="Q29" s="11" t="s">
        <v>315</v>
      </c>
      <c r="R29" s="253">
        <v>25670110051610</v>
      </c>
      <c r="S29" s="167"/>
      <c r="T29" s="10">
        <f t="shared" si="0"/>
        <v>29</v>
      </c>
      <c r="U29" s="167">
        <v>2</v>
      </c>
      <c r="V29" s="10">
        <f>T29+U29</f>
        <v>31</v>
      </c>
      <c r="W29" s="10">
        <f t="shared" si="2"/>
        <v>0</v>
      </c>
      <c r="X29" s="168" t="s">
        <v>153</v>
      </c>
      <c r="Y29" s="168" t="s">
        <v>192</v>
      </c>
      <c r="Z29" s="170" t="s">
        <v>153</v>
      </c>
      <c r="AA29" s="168" t="s">
        <v>192</v>
      </c>
      <c r="AB29" s="168" t="s">
        <v>153</v>
      </c>
      <c r="AC29" s="168" t="s">
        <v>192</v>
      </c>
      <c r="AD29" s="168" t="s">
        <v>153</v>
      </c>
      <c r="AE29" s="168" t="s">
        <v>192</v>
      </c>
      <c r="AF29" s="168" t="s">
        <v>153</v>
      </c>
      <c r="AG29" s="168" t="s">
        <v>192</v>
      </c>
      <c r="AH29" s="168" t="s">
        <v>153</v>
      </c>
      <c r="AI29" s="168" t="s">
        <v>192</v>
      </c>
      <c r="AJ29" s="168" t="s">
        <v>153</v>
      </c>
      <c r="AK29" s="168" t="s">
        <v>192</v>
      </c>
      <c r="AL29" s="168" t="s">
        <v>153</v>
      </c>
      <c r="AM29" s="168" t="s">
        <v>192</v>
      </c>
      <c r="AN29" s="168" t="s">
        <v>153</v>
      </c>
      <c r="AO29" s="168" t="s">
        <v>192</v>
      </c>
      <c r="AP29" s="168" t="s">
        <v>153</v>
      </c>
      <c r="AQ29" s="168" t="s">
        <v>192</v>
      </c>
      <c r="AR29" s="168" t="s">
        <v>153</v>
      </c>
      <c r="AS29" s="168" t="s">
        <v>192</v>
      </c>
      <c r="AT29" s="168" t="s">
        <v>153</v>
      </c>
      <c r="AU29" s="168" t="s">
        <v>192</v>
      </c>
      <c r="AV29" s="168" t="s">
        <v>153</v>
      </c>
      <c r="AW29" s="168" t="s">
        <v>192</v>
      </c>
      <c r="AX29" s="168" t="s">
        <v>153</v>
      </c>
      <c r="AY29" s="168" t="s">
        <v>192</v>
      </c>
      <c r="AZ29" s="168" t="s">
        <v>153</v>
      </c>
      <c r="BA29" s="168" t="s">
        <v>192</v>
      </c>
      <c r="BB29" s="168" t="s">
        <v>192</v>
      </c>
      <c r="BC29" s="168" t="s">
        <v>192</v>
      </c>
      <c r="BD29" s="168" t="s">
        <v>153</v>
      </c>
      <c r="BE29" s="168" t="s">
        <v>192</v>
      </c>
      <c r="BF29" s="168" t="s">
        <v>153</v>
      </c>
      <c r="BG29" s="168" t="s">
        <v>192</v>
      </c>
      <c r="BH29" s="168" t="s">
        <v>153</v>
      </c>
      <c r="BI29" s="168" t="s">
        <v>192</v>
      </c>
      <c r="BJ29" s="168" t="s">
        <v>153</v>
      </c>
      <c r="BK29" s="168" t="s">
        <v>192</v>
      </c>
      <c r="BL29" s="168" t="s">
        <v>153</v>
      </c>
      <c r="BM29" s="168" t="s">
        <v>192</v>
      </c>
      <c r="BN29" s="168" t="s">
        <v>153</v>
      </c>
      <c r="BO29" s="168" t="s">
        <v>192</v>
      </c>
      <c r="BP29" s="168" t="s">
        <v>153</v>
      </c>
      <c r="BQ29" s="168" t="s">
        <v>192</v>
      </c>
      <c r="BR29" s="168" t="s">
        <v>153</v>
      </c>
      <c r="BS29" s="168" t="s">
        <v>192</v>
      </c>
      <c r="BT29" s="168" t="s">
        <v>153</v>
      </c>
      <c r="BU29" s="168" t="s">
        <v>192</v>
      </c>
      <c r="BV29" s="168" t="s">
        <v>153</v>
      </c>
      <c r="BW29" s="168" t="s">
        <v>192</v>
      </c>
      <c r="BX29" s="168" t="s">
        <v>153</v>
      </c>
      <c r="BY29" s="168" t="s">
        <v>192</v>
      </c>
      <c r="BZ29" s="168" t="s">
        <v>153</v>
      </c>
      <c r="CA29" s="168" t="s">
        <v>192</v>
      </c>
      <c r="CB29" s="168" t="s">
        <v>153</v>
      </c>
      <c r="CC29" s="168" t="s">
        <v>192</v>
      </c>
      <c r="CD29" s="168" t="s">
        <v>192</v>
      </c>
      <c r="CE29" s="168" t="s">
        <v>192</v>
      </c>
      <c r="CF29" s="168" t="s">
        <v>153</v>
      </c>
      <c r="CG29" s="244" t="s">
        <v>192</v>
      </c>
      <c r="CH29" s="183"/>
      <c r="CI29" s="185"/>
      <c r="CJ29" s="160"/>
      <c r="CK29" s="160"/>
      <c r="CL29" s="160"/>
      <c r="CM29" s="160"/>
      <c r="CN29" s="160"/>
      <c r="CO29" s="160"/>
      <c r="CP29" s="160"/>
      <c r="CQ29" s="160"/>
      <c r="CR29" s="160"/>
      <c r="CS29" s="179"/>
      <c r="CT29" s="160"/>
      <c r="CU29" s="160"/>
      <c r="CV29" s="160"/>
      <c r="CW29" s="160"/>
      <c r="CX29" s="160"/>
      <c r="CY29" s="160"/>
      <c r="CZ29" s="160"/>
      <c r="DA29" s="160"/>
      <c r="DB29" s="160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0"/>
    </row>
    <row r="30" spans="1:118" hidden="1">
      <c r="A30" s="146" t="s">
        <v>80</v>
      </c>
      <c r="B30" s="146" t="s">
        <v>35</v>
      </c>
      <c r="C30" s="28" t="s">
        <v>369</v>
      </c>
      <c r="D30" s="62"/>
      <c r="E30" s="62"/>
      <c r="F30" s="62"/>
      <c r="G30" s="62"/>
      <c r="H30" s="62">
        <v>0</v>
      </c>
      <c r="I30" s="62"/>
      <c r="J30" s="62">
        <v>300</v>
      </c>
      <c r="K30" s="62">
        <v>185</v>
      </c>
      <c r="L30" s="62">
        <v>19000</v>
      </c>
      <c r="M30" s="62"/>
      <c r="N30" s="62"/>
      <c r="O30" s="62">
        <f>SUBTOTAL(9,Table4[[#This Row],[ESI BASIC]:[ESI FOOD]])</f>
        <v>0</v>
      </c>
      <c r="P30" s="11" t="s">
        <v>330</v>
      </c>
      <c r="Q30" s="11" t="s">
        <v>331</v>
      </c>
      <c r="R30" s="13">
        <v>520441033294786</v>
      </c>
      <c r="S30" s="167"/>
      <c r="T30" s="10">
        <f t="shared" si="0"/>
        <v>41</v>
      </c>
      <c r="U30" s="167"/>
      <c r="V30" s="10">
        <f t="shared" si="1"/>
        <v>41</v>
      </c>
      <c r="W30" s="10">
        <f t="shared" si="2"/>
        <v>12</v>
      </c>
      <c r="X30" s="168" t="s">
        <v>192</v>
      </c>
      <c r="Y30" s="168" t="s">
        <v>153</v>
      </c>
      <c r="Z30" s="168" t="s">
        <v>153</v>
      </c>
      <c r="AA30" s="168" t="s">
        <v>192</v>
      </c>
      <c r="AB30" s="168" t="s">
        <v>153</v>
      </c>
      <c r="AC30" s="168" t="s">
        <v>153</v>
      </c>
      <c r="AD30" s="168" t="s">
        <v>192</v>
      </c>
      <c r="AE30" s="168" t="s">
        <v>153</v>
      </c>
      <c r="AF30" s="168" t="s">
        <v>153</v>
      </c>
      <c r="AG30" s="168" t="s">
        <v>192</v>
      </c>
      <c r="AH30" s="168" t="s">
        <v>153</v>
      </c>
      <c r="AI30" s="168" t="s">
        <v>153</v>
      </c>
      <c r="AJ30" s="168" t="s">
        <v>192</v>
      </c>
      <c r="AK30" s="168" t="s">
        <v>153</v>
      </c>
      <c r="AL30" s="168" t="s">
        <v>153</v>
      </c>
      <c r="AM30" s="168" t="s">
        <v>192</v>
      </c>
      <c r="AN30" s="168" t="s">
        <v>153</v>
      </c>
      <c r="AO30" s="168" t="s">
        <v>153</v>
      </c>
      <c r="AP30" s="168" t="s">
        <v>192</v>
      </c>
      <c r="AQ30" s="168" t="s">
        <v>153</v>
      </c>
      <c r="AR30" s="168" t="s">
        <v>153</v>
      </c>
      <c r="AS30" s="168" t="s">
        <v>192</v>
      </c>
      <c r="AT30" s="168" t="s">
        <v>153</v>
      </c>
      <c r="AU30" s="168" t="s">
        <v>153</v>
      </c>
      <c r="AV30" s="168" t="s">
        <v>192</v>
      </c>
      <c r="AW30" s="168" t="s">
        <v>153</v>
      </c>
      <c r="AX30" s="168" t="s">
        <v>153</v>
      </c>
      <c r="AY30" s="168" t="s">
        <v>192</v>
      </c>
      <c r="AZ30" s="168" t="s">
        <v>153</v>
      </c>
      <c r="BA30" s="168" t="s">
        <v>153</v>
      </c>
      <c r="BB30" s="168" t="s">
        <v>192</v>
      </c>
      <c r="BC30" s="168" t="s">
        <v>153</v>
      </c>
      <c r="BD30" s="168" t="s">
        <v>153</v>
      </c>
      <c r="BE30" s="168" t="s">
        <v>192</v>
      </c>
      <c r="BF30" s="168" t="s">
        <v>153</v>
      </c>
      <c r="BG30" s="168" t="s">
        <v>153</v>
      </c>
      <c r="BH30" s="168" t="s">
        <v>192</v>
      </c>
      <c r="BI30" s="168" t="s">
        <v>153</v>
      </c>
      <c r="BJ30" s="168" t="s">
        <v>153</v>
      </c>
      <c r="BK30" s="168" t="s">
        <v>192</v>
      </c>
      <c r="BL30" s="168" t="s">
        <v>153</v>
      </c>
      <c r="BM30" s="168" t="s">
        <v>153</v>
      </c>
      <c r="BN30" s="168" t="s">
        <v>192</v>
      </c>
      <c r="BO30" s="168" t="s">
        <v>153</v>
      </c>
      <c r="BP30" s="168" t="s">
        <v>153</v>
      </c>
      <c r="BQ30" s="168" t="s">
        <v>192</v>
      </c>
      <c r="BR30" s="168" t="s">
        <v>153</v>
      </c>
      <c r="BS30" s="168" t="s">
        <v>153</v>
      </c>
      <c r="BT30" s="168" t="s">
        <v>192</v>
      </c>
      <c r="BU30" s="168" t="s">
        <v>153</v>
      </c>
      <c r="BV30" s="168" t="s">
        <v>153</v>
      </c>
      <c r="BW30" s="168" t="s">
        <v>192</v>
      </c>
      <c r="BX30" s="168" t="s">
        <v>153</v>
      </c>
      <c r="BY30" s="168" t="s">
        <v>153</v>
      </c>
      <c r="BZ30" s="168" t="s">
        <v>192</v>
      </c>
      <c r="CA30" s="168" t="s">
        <v>153</v>
      </c>
      <c r="CB30" s="168" t="s">
        <v>153</v>
      </c>
      <c r="CC30" s="168" t="s">
        <v>192</v>
      </c>
      <c r="CD30" s="168" t="s">
        <v>153</v>
      </c>
      <c r="CE30" s="168" t="s">
        <v>153</v>
      </c>
      <c r="CF30" s="168" t="s">
        <v>192</v>
      </c>
      <c r="CG30" s="244" t="s">
        <v>153</v>
      </c>
      <c r="CH30" s="183"/>
      <c r="CI30" s="185">
        <v>0</v>
      </c>
      <c r="CJ30" s="160">
        <v>0</v>
      </c>
      <c r="CK30" s="160">
        <v>0</v>
      </c>
      <c r="CL30" s="160">
        <v>1</v>
      </c>
      <c r="CM30" s="160">
        <v>0</v>
      </c>
      <c r="CN30" s="160">
        <v>0</v>
      </c>
      <c r="CO30" s="160">
        <v>2</v>
      </c>
      <c r="CP30" s="160">
        <v>0</v>
      </c>
      <c r="CQ30" s="160">
        <v>1</v>
      </c>
      <c r="CR30" s="160">
        <v>0</v>
      </c>
      <c r="CS30" s="179">
        <v>0</v>
      </c>
      <c r="CT30" s="160">
        <v>0</v>
      </c>
      <c r="CU30" s="160">
        <v>0</v>
      </c>
      <c r="CV30" s="160">
        <v>1</v>
      </c>
      <c r="CW30" s="160">
        <v>1</v>
      </c>
      <c r="CX30" s="160">
        <v>0</v>
      </c>
      <c r="CY30" s="160">
        <v>0</v>
      </c>
      <c r="CZ30" s="160">
        <v>0</v>
      </c>
      <c r="DA30" s="160">
        <v>0</v>
      </c>
      <c r="DB30" s="160">
        <v>1</v>
      </c>
      <c r="DC30" s="160">
        <v>0</v>
      </c>
      <c r="DD30" s="160">
        <v>0</v>
      </c>
      <c r="DE30" s="160">
        <v>1</v>
      </c>
      <c r="DF30" s="160">
        <v>0</v>
      </c>
      <c r="DG30" s="160">
        <v>0</v>
      </c>
      <c r="DH30" s="160">
        <v>0</v>
      </c>
      <c r="DI30" s="160">
        <v>1</v>
      </c>
      <c r="DJ30" s="160">
        <v>1</v>
      </c>
      <c r="DK30" s="160">
        <v>1</v>
      </c>
      <c r="DL30" s="160">
        <v>1</v>
      </c>
      <c r="DM30" s="160">
        <v>0</v>
      </c>
      <c r="DN30" s="160"/>
    </row>
    <row r="31" spans="1:118" hidden="1">
      <c r="A31" s="146" t="s">
        <v>81</v>
      </c>
      <c r="B31" s="146" t="s">
        <v>38</v>
      </c>
      <c r="C31" s="28" t="s">
        <v>375</v>
      </c>
      <c r="D31" s="62"/>
      <c r="E31" s="62"/>
      <c r="F31" s="62"/>
      <c r="G31" s="62"/>
      <c r="H31" s="62">
        <v>0</v>
      </c>
      <c r="I31" s="62"/>
      <c r="J31" s="62">
        <v>250</v>
      </c>
      <c r="K31" s="62">
        <v>70</v>
      </c>
      <c r="L31" s="62"/>
      <c r="M31" s="62"/>
      <c r="N31" s="62"/>
      <c r="O31" s="62">
        <f>SUBTOTAL(9,Table4[[#This Row],[ESI BASIC]:[ESI FOOD]])</f>
        <v>0</v>
      </c>
      <c r="P31" s="11"/>
      <c r="Q31" s="11"/>
      <c r="R31" s="13"/>
      <c r="S31" s="167"/>
      <c r="T31" s="10">
        <f t="shared" si="0"/>
        <v>42</v>
      </c>
      <c r="U31" s="167"/>
      <c r="V31" s="10">
        <f t="shared" si="1"/>
        <v>42</v>
      </c>
      <c r="W31" s="10">
        <f t="shared" si="2"/>
        <v>9</v>
      </c>
      <c r="X31" s="168" t="s">
        <v>153</v>
      </c>
      <c r="Y31" s="168" t="s">
        <v>153</v>
      </c>
      <c r="Z31" s="170" t="s">
        <v>192</v>
      </c>
      <c r="AA31" s="168" t="s">
        <v>153</v>
      </c>
      <c r="AB31" s="168" t="s">
        <v>153</v>
      </c>
      <c r="AC31" s="168" t="s">
        <v>192</v>
      </c>
      <c r="AD31" s="168" t="s">
        <v>153</v>
      </c>
      <c r="AE31" s="168" t="s">
        <v>153</v>
      </c>
      <c r="AF31" s="168" t="s">
        <v>192</v>
      </c>
      <c r="AG31" s="168" t="s">
        <v>153</v>
      </c>
      <c r="AH31" s="168" t="s">
        <v>153</v>
      </c>
      <c r="AI31" s="168" t="s">
        <v>192</v>
      </c>
      <c r="AJ31" s="168" t="s">
        <v>153</v>
      </c>
      <c r="AK31" s="168" t="s">
        <v>153</v>
      </c>
      <c r="AL31" s="168" t="s">
        <v>192</v>
      </c>
      <c r="AM31" s="168" t="s">
        <v>153</v>
      </c>
      <c r="AN31" s="170" t="s">
        <v>153</v>
      </c>
      <c r="AO31" s="168" t="s">
        <v>192</v>
      </c>
      <c r="AP31" s="168" t="s">
        <v>153</v>
      </c>
      <c r="AQ31" s="168" t="s">
        <v>153</v>
      </c>
      <c r="AR31" s="168" t="s">
        <v>192</v>
      </c>
      <c r="AS31" s="168" t="s">
        <v>153</v>
      </c>
      <c r="AT31" s="168" t="s">
        <v>153</v>
      </c>
      <c r="AU31" s="168" t="s">
        <v>192</v>
      </c>
      <c r="AV31" s="168" t="s">
        <v>153</v>
      </c>
      <c r="AW31" s="168" t="s">
        <v>153</v>
      </c>
      <c r="AX31" s="168" t="s">
        <v>192</v>
      </c>
      <c r="AY31" s="168" t="s">
        <v>153</v>
      </c>
      <c r="AZ31" s="168" t="s">
        <v>153</v>
      </c>
      <c r="BA31" s="168" t="s">
        <v>192</v>
      </c>
      <c r="BB31" s="168" t="s">
        <v>153</v>
      </c>
      <c r="BC31" s="168" t="s">
        <v>153</v>
      </c>
      <c r="BD31" s="168" t="s">
        <v>192</v>
      </c>
      <c r="BE31" s="168" t="s">
        <v>153</v>
      </c>
      <c r="BF31" s="168" t="s">
        <v>153</v>
      </c>
      <c r="BG31" s="168" t="s">
        <v>192</v>
      </c>
      <c r="BH31" s="168" t="s">
        <v>153</v>
      </c>
      <c r="BI31" s="168" t="s">
        <v>153</v>
      </c>
      <c r="BJ31" s="168" t="s">
        <v>192</v>
      </c>
      <c r="BK31" s="168" t="s">
        <v>153</v>
      </c>
      <c r="BL31" s="168" t="s">
        <v>153</v>
      </c>
      <c r="BM31" s="168" t="s">
        <v>192</v>
      </c>
      <c r="BN31" s="168" t="s">
        <v>153</v>
      </c>
      <c r="BO31" s="168" t="s">
        <v>153</v>
      </c>
      <c r="BP31" s="168" t="s">
        <v>192</v>
      </c>
      <c r="BQ31" s="168" t="s">
        <v>153</v>
      </c>
      <c r="BR31" s="168" t="s">
        <v>153</v>
      </c>
      <c r="BS31" s="168" t="s">
        <v>192</v>
      </c>
      <c r="BT31" s="168" t="s">
        <v>153</v>
      </c>
      <c r="BU31" s="168" t="s">
        <v>153</v>
      </c>
      <c r="BV31" s="168" t="s">
        <v>192</v>
      </c>
      <c r="BW31" s="168" t="s">
        <v>153</v>
      </c>
      <c r="BX31" s="168" t="s">
        <v>153</v>
      </c>
      <c r="BY31" s="168" t="s">
        <v>192</v>
      </c>
      <c r="BZ31" s="168" t="s">
        <v>153</v>
      </c>
      <c r="CA31" s="168" t="s">
        <v>153</v>
      </c>
      <c r="CB31" s="168" t="s">
        <v>192</v>
      </c>
      <c r="CC31" s="168" t="s">
        <v>153</v>
      </c>
      <c r="CD31" s="168" t="s">
        <v>153</v>
      </c>
      <c r="CE31" s="168" t="s">
        <v>192</v>
      </c>
      <c r="CF31" s="168" t="s">
        <v>153</v>
      </c>
      <c r="CG31" s="168" t="s">
        <v>153</v>
      </c>
      <c r="CH31" s="183"/>
      <c r="CI31" s="185">
        <v>0</v>
      </c>
      <c r="CJ31" s="160">
        <v>0</v>
      </c>
      <c r="CK31" s="160">
        <v>0</v>
      </c>
      <c r="CL31" s="160">
        <v>0</v>
      </c>
      <c r="CM31" s="160">
        <v>0</v>
      </c>
      <c r="CN31" s="160">
        <v>0</v>
      </c>
      <c r="CO31" s="160">
        <v>0</v>
      </c>
      <c r="CP31" s="160">
        <v>0</v>
      </c>
      <c r="CQ31" s="160">
        <v>1</v>
      </c>
      <c r="CR31" s="160">
        <v>0</v>
      </c>
      <c r="CS31" s="179">
        <v>0</v>
      </c>
      <c r="CT31" s="160">
        <v>1</v>
      </c>
      <c r="CU31" s="160">
        <v>0</v>
      </c>
      <c r="CV31" s="160">
        <v>0</v>
      </c>
      <c r="CW31" s="160">
        <v>0</v>
      </c>
      <c r="CX31" s="160">
        <v>1</v>
      </c>
      <c r="CY31" s="160">
        <v>0</v>
      </c>
      <c r="CZ31" s="160">
        <v>1</v>
      </c>
      <c r="DA31" s="160">
        <v>0</v>
      </c>
      <c r="DB31" s="160">
        <v>0</v>
      </c>
      <c r="DC31" s="160">
        <v>0</v>
      </c>
      <c r="DD31" s="160">
        <v>1</v>
      </c>
      <c r="DE31" s="160">
        <v>0</v>
      </c>
      <c r="DF31" s="160">
        <v>0</v>
      </c>
      <c r="DG31" s="160">
        <v>1</v>
      </c>
      <c r="DH31" s="160">
        <v>0</v>
      </c>
      <c r="DI31" s="160">
        <v>2</v>
      </c>
      <c r="DJ31" s="160">
        <v>1</v>
      </c>
      <c r="DK31" s="160">
        <v>0</v>
      </c>
      <c r="DL31" s="160">
        <v>0</v>
      </c>
      <c r="DM31" s="160">
        <v>0</v>
      </c>
      <c r="DN31" s="160"/>
    </row>
    <row r="32" spans="1:118" hidden="1">
      <c r="A32" s="146" t="s">
        <v>81</v>
      </c>
      <c r="B32" s="146" t="s">
        <v>85</v>
      </c>
      <c r="C32" s="28" t="s">
        <v>381</v>
      </c>
      <c r="D32" s="62"/>
      <c r="E32" s="62"/>
      <c r="F32" s="62"/>
      <c r="G32" s="62"/>
      <c r="H32" s="62">
        <v>0</v>
      </c>
      <c r="I32" s="62">
        <v>17900</v>
      </c>
      <c r="J32" s="62"/>
      <c r="K32" s="62"/>
      <c r="L32" s="62"/>
      <c r="M32" s="62"/>
      <c r="N32" s="62"/>
      <c r="O32" s="62">
        <f>SUBTOTAL(9,Table4[[#This Row],[ESI BASIC]:[ESI FOOD]])</f>
        <v>0</v>
      </c>
      <c r="P32" s="11"/>
      <c r="Q32" s="11"/>
      <c r="R32" s="13"/>
      <c r="S32" s="167"/>
      <c r="T32" s="10">
        <f t="shared" si="0"/>
        <v>31</v>
      </c>
      <c r="U32" s="167">
        <v>4</v>
      </c>
      <c r="V32" s="10">
        <f t="shared" si="1"/>
        <v>35</v>
      </c>
      <c r="W32" s="10">
        <f t="shared" si="2"/>
        <v>0</v>
      </c>
      <c r="X32" s="168" t="s">
        <v>153</v>
      </c>
      <c r="Y32" s="168" t="s">
        <v>192</v>
      </c>
      <c r="Z32" s="170" t="s">
        <v>153</v>
      </c>
      <c r="AA32" s="168" t="s">
        <v>192</v>
      </c>
      <c r="AB32" s="168" t="s">
        <v>153</v>
      </c>
      <c r="AC32" s="168" t="s">
        <v>192</v>
      </c>
      <c r="AD32" s="168" t="s">
        <v>153</v>
      </c>
      <c r="AE32" s="168" t="s">
        <v>192</v>
      </c>
      <c r="AF32" s="168" t="s">
        <v>192</v>
      </c>
      <c r="AG32" s="168" t="s">
        <v>192</v>
      </c>
      <c r="AH32" s="168" t="s">
        <v>153</v>
      </c>
      <c r="AI32" s="168" t="s">
        <v>192</v>
      </c>
      <c r="AJ32" s="168" t="s">
        <v>153</v>
      </c>
      <c r="AK32" s="168" t="s">
        <v>192</v>
      </c>
      <c r="AL32" s="168" t="s">
        <v>153</v>
      </c>
      <c r="AM32" s="168" t="s">
        <v>192</v>
      </c>
      <c r="AN32" s="168" t="s">
        <v>153</v>
      </c>
      <c r="AO32" s="168" t="s">
        <v>192</v>
      </c>
      <c r="AP32" s="168" t="s">
        <v>153</v>
      </c>
      <c r="AQ32" s="168" t="s">
        <v>192</v>
      </c>
      <c r="AR32" s="168" t="s">
        <v>153</v>
      </c>
      <c r="AS32" s="168" t="s">
        <v>192</v>
      </c>
      <c r="AT32" s="168" t="s">
        <v>153</v>
      </c>
      <c r="AU32" s="168" t="s">
        <v>153</v>
      </c>
      <c r="AV32" s="168" t="s">
        <v>153</v>
      </c>
      <c r="AW32" s="168" t="s">
        <v>192</v>
      </c>
      <c r="AX32" s="168" t="s">
        <v>153</v>
      </c>
      <c r="AY32" s="168" t="s">
        <v>192</v>
      </c>
      <c r="AZ32" s="168" t="s">
        <v>153</v>
      </c>
      <c r="BA32" s="168" t="s">
        <v>192</v>
      </c>
      <c r="BB32" s="168" t="s">
        <v>153</v>
      </c>
      <c r="BC32" s="168" t="s">
        <v>192</v>
      </c>
      <c r="BD32" s="168" t="s">
        <v>153</v>
      </c>
      <c r="BE32" s="168" t="s">
        <v>192</v>
      </c>
      <c r="BF32" s="168" t="s">
        <v>153</v>
      </c>
      <c r="BG32" s="168" t="s">
        <v>192</v>
      </c>
      <c r="BH32" s="168" t="s">
        <v>192</v>
      </c>
      <c r="BI32" s="168" t="s">
        <v>192</v>
      </c>
      <c r="BJ32" s="168" t="s">
        <v>153</v>
      </c>
      <c r="BK32" s="168" t="s">
        <v>192</v>
      </c>
      <c r="BL32" s="168" t="s">
        <v>153</v>
      </c>
      <c r="BM32" s="168" t="s">
        <v>192</v>
      </c>
      <c r="BN32" s="168" t="s">
        <v>153</v>
      </c>
      <c r="BO32" s="168" t="s">
        <v>192</v>
      </c>
      <c r="BP32" s="168" t="s">
        <v>153</v>
      </c>
      <c r="BQ32" s="168" t="s">
        <v>192</v>
      </c>
      <c r="BR32" s="168" t="s">
        <v>153</v>
      </c>
      <c r="BS32" s="168" t="s">
        <v>192</v>
      </c>
      <c r="BT32" s="168" t="s">
        <v>153</v>
      </c>
      <c r="BU32" s="168" t="s">
        <v>192</v>
      </c>
      <c r="BV32" s="168" t="s">
        <v>153</v>
      </c>
      <c r="BW32" s="168" t="s">
        <v>153</v>
      </c>
      <c r="BX32" s="168" t="s">
        <v>153</v>
      </c>
      <c r="BY32" s="168" t="s">
        <v>192</v>
      </c>
      <c r="BZ32" s="168" t="s">
        <v>153</v>
      </c>
      <c r="CA32" s="168" t="s">
        <v>192</v>
      </c>
      <c r="CB32" s="168" t="s">
        <v>153</v>
      </c>
      <c r="CC32" s="168" t="s">
        <v>192</v>
      </c>
      <c r="CD32" s="168" t="s">
        <v>153</v>
      </c>
      <c r="CE32" s="168" t="s">
        <v>192</v>
      </c>
      <c r="CF32" s="168" t="s">
        <v>153</v>
      </c>
      <c r="CG32" s="244" t="s">
        <v>192</v>
      </c>
      <c r="CH32" s="183"/>
      <c r="CI32" s="186"/>
      <c r="CJ32" s="179"/>
      <c r="CK32" s="179"/>
      <c r="CL32" s="19"/>
      <c r="CM32" s="179"/>
      <c r="CN32" s="160"/>
      <c r="CO32" s="160"/>
      <c r="CP32" s="160"/>
      <c r="CQ32" s="160"/>
      <c r="CR32" s="179"/>
      <c r="CS32" s="179"/>
      <c r="CT32" s="179"/>
      <c r="CU32" s="160"/>
      <c r="CV32" s="179"/>
      <c r="CW32" s="160"/>
      <c r="CX32" s="179"/>
      <c r="CY32" s="160"/>
      <c r="CZ32" s="160"/>
      <c r="DA32" s="160"/>
      <c r="DB32" s="160"/>
      <c r="DC32" s="160"/>
      <c r="DD32" s="255"/>
      <c r="DE32" s="160"/>
      <c r="DF32" s="160"/>
      <c r="DG32" s="160"/>
      <c r="DH32" s="160"/>
      <c r="DI32" s="160"/>
      <c r="DJ32" s="179"/>
      <c r="DK32" s="160"/>
      <c r="DL32" s="160"/>
      <c r="DM32" s="160"/>
      <c r="DN32" s="160"/>
    </row>
    <row r="33" spans="1:118" hidden="1">
      <c r="A33" s="146" t="s">
        <v>80</v>
      </c>
      <c r="B33" s="146" t="s">
        <v>35</v>
      </c>
      <c r="C33" s="148" t="s">
        <v>262</v>
      </c>
      <c r="D33" s="62" t="s">
        <v>324</v>
      </c>
      <c r="E33" s="62"/>
      <c r="F33" s="62"/>
      <c r="G33" s="62"/>
      <c r="H33" s="62">
        <v>0</v>
      </c>
      <c r="I33" s="62"/>
      <c r="J33" s="62">
        <v>325</v>
      </c>
      <c r="K33" s="62">
        <v>185</v>
      </c>
      <c r="L33" s="62">
        <v>20600</v>
      </c>
      <c r="M33" s="62"/>
      <c r="N33" s="62"/>
      <c r="O33" s="62">
        <f>SUBTOTAL(9,Table4[[#This Row],[ESI BASIC]:[ESI FOOD]])</f>
        <v>0</v>
      </c>
      <c r="P33" s="11" t="s">
        <v>330</v>
      </c>
      <c r="Q33" s="11" t="s">
        <v>331</v>
      </c>
      <c r="R33" s="13">
        <v>690302010003128</v>
      </c>
      <c r="S33" s="167"/>
      <c r="T33" s="10">
        <f t="shared" si="0"/>
        <v>37</v>
      </c>
      <c r="U33" s="167"/>
      <c r="V33" s="10">
        <f t="shared" si="1"/>
        <v>37</v>
      </c>
      <c r="W33" s="10">
        <f t="shared" si="2"/>
        <v>7</v>
      </c>
      <c r="X33" s="170" t="s">
        <v>153</v>
      </c>
      <c r="Y33" s="168" t="s">
        <v>153</v>
      </c>
      <c r="Z33" s="168" t="s">
        <v>192</v>
      </c>
      <c r="AA33" s="168" t="s">
        <v>153</v>
      </c>
      <c r="AB33" s="168" t="s">
        <v>192</v>
      </c>
      <c r="AC33" s="168" t="s">
        <v>192</v>
      </c>
      <c r="AD33" s="168" t="s">
        <v>153</v>
      </c>
      <c r="AE33" s="168" t="s">
        <v>153</v>
      </c>
      <c r="AF33" s="168" t="s">
        <v>192</v>
      </c>
      <c r="AG33" s="168" t="s">
        <v>153</v>
      </c>
      <c r="AH33" s="168" t="s">
        <v>153</v>
      </c>
      <c r="AI33" s="168" t="s">
        <v>192</v>
      </c>
      <c r="AJ33" s="168" t="s">
        <v>153</v>
      </c>
      <c r="AK33" s="168" t="s">
        <v>153</v>
      </c>
      <c r="AL33" s="168" t="s">
        <v>192</v>
      </c>
      <c r="AM33" s="168" t="s">
        <v>153</v>
      </c>
      <c r="AN33" s="168" t="s">
        <v>153</v>
      </c>
      <c r="AO33" s="168" t="s">
        <v>192</v>
      </c>
      <c r="AP33" s="168" t="s">
        <v>192</v>
      </c>
      <c r="AQ33" s="168" t="s">
        <v>153</v>
      </c>
      <c r="AR33" s="168" t="s">
        <v>192</v>
      </c>
      <c r="AS33" s="168" t="s">
        <v>153</v>
      </c>
      <c r="AT33" s="168" t="s">
        <v>153</v>
      </c>
      <c r="AU33" s="168" t="s">
        <v>192</v>
      </c>
      <c r="AV33" s="168" t="s">
        <v>153</v>
      </c>
      <c r="AW33" s="168" t="s">
        <v>153</v>
      </c>
      <c r="AX33" s="168" t="s">
        <v>192</v>
      </c>
      <c r="AY33" s="168" t="s">
        <v>153</v>
      </c>
      <c r="AZ33" s="168" t="s">
        <v>153</v>
      </c>
      <c r="BA33" s="168" t="s">
        <v>192</v>
      </c>
      <c r="BB33" s="168" t="s">
        <v>153</v>
      </c>
      <c r="BC33" s="168" t="s">
        <v>153</v>
      </c>
      <c r="BD33" s="168" t="s">
        <v>192</v>
      </c>
      <c r="BE33" s="168" t="s">
        <v>153</v>
      </c>
      <c r="BF33" s="168" t="s">
        <v>153</v>
      </c>
      <c r="BG33" s="168" t="s">
        <v>192</v>
      </c>
      <c r="BH33" s="168" t="s">
        <v>153</v>
      </c>
      <c r="BI33" s="168" t="s">
        <v>153</v>
      </c>
      <c r="BJ33" s="168" t="s">
        <v>192</v>
      </c>
      <c r="BK33" s="168" t="s">
        <v>153</v>
      </c>
      <c r="BL33" s="168" t="s">
        <v>153</v>
      </c>
      <c r="BM33" s="168" t="s">
        <v>192</v>
      </c>
      <c r="BN33" s="168" t="s">
        <v>153</v>
      </c>
      <c r="BO33" s="168" t="s">
        <v>153</v>
      </c>
      <c r="BP33" s="168" t="s">
        <v>192</v>
      </c>
      <c r="BQ33" s="168" t="s">
        <v>153</v>
      </c>
      <c r="BR33" s="168" t="s">
        <v>192</v>
      </c>
      <c r="BS33" s="168" t="s">
        <v>192</v>
      </c>
      <c r="BT33" s="168" t="s">
        <v>153</v>
      </c>
      <c r="BU33" s="168" t="s">
        <v>153</v>
      </c>
      <c r="BV33" s="168" t="s">
        <v>192</v>
      </c>
      <c r="BW33" s="168" t="s">
        <v>153</v>
      </c>
      <c r="BX33" s="168" t="s">
        <v>192</v>
      </c>
      <c r="BY33" s="168" t="s">
        <v>192</v>
      </c>
      <c r="BZ33" s="168" t="s">
        <v>192</v>
      </c>
      <c r="CA33" s="168" t="s">
        <v>153</v>
      </c>
      <c r="CB33" s="168" t="s">
        <v>192</v>
      </c>
      <c r="CC33" s="168" t="s">
        <v>153</v>
      </c>
      <c r="CD33" s="168" t="s">
        <v>153</v>
      </c>
      <c r="CE33" s="168" t="s">
        <v>192</v>
      </c>
      <c r="CF33" s="168" t="s">
        <v>153</v>
      </c>
      <c r="CG33" s="244" t="s">
        <v>153</v>
      </c>
      <c r="CH33" s="183" t="s">
        <v>192</v>
      </c>
      <c r="CI33" s="19">
        <v>1</v>
      </c>
      <c r="CJ33" s="19">
        <v>0</v>
      </c>
      <c r="CK33" s="19">
        <v>0</v>
      </c>
      <c r="CL33" s="19">
        <v>0</v>
      </c>
      <c r="CM33" s="160">
        <v>0</v>
      </c>
      <c r="CN33" s="160">
        <v>0</v>
      </c>
      <c r="CO33" s="160">
        <v>0</v>
      </c>
      <c r="CP33" s="160">
        <v>0</v>
      </c>
      <c r="CQ33" s="160">
        <v>0</v>
      </c>
      <c r="CR33" s="179">
        <v>0</v>
      </c>
      <c r="CS33" s="179">
        <v>0</v>
      </c>
      <c r="CT33" s="179">
        <v>1</v>
      </c>
      <c r="CU33" s="179">
        <v>0</v>
      </c>
      <c r="CV33" s="179">
        <v>2</v>
      </c>
      <c r="CW33" s="179">
        <v>0</v>
      </c>
      <c r="CX33" s="179">
        <v>0</v>
      </c>
      <c r="CY33" s="160">
        <v>0</v>
      </c>
      <c r="CZ33" s="160">
        <v>1</v>
      </c>
      <c r="DA33" s="160">
        <v>0</v>
      </c>
      <c r="DB33" s="160">
        <v>0</v>
      </c>
      <c r="DC33" s="160">
        <v>0</v>
      </c>
      <c r="DD33" s="160">
        <v>1</v>
      </c>
      <c r="DE33" s="160">
        <v>0</v>
      </c>
      <c r="DF33" s="160">
        <v>0</v>
      </c>
      <c r="DG33" s="160">
        <v>1</v>
      </c>
      <c r="DH33" s="160">
        <v>0</v>
      </c>
      <c r="DI33" s="179">
        <v>0</v>
      </c>
      <c r="DJ33" s="160">
        <v>0</v>
      </c>
      <c r="DK33" s="160">
        <v>0</v>
      </c>
      <c r="DL33" s="160">
        <v>0</v>
      </c>
      <c r="DM33" s="160">
        <v>0</v>
      </c>
      <c r="DN33" s="160"/>
    </row>
    <row r="34" spans="1:118" hidden="1">
      <c r="A34" s="146" t="s">
        <v>81</v>
      </c>
      <c r="B34" s="146" t="s">
        <v>85</v>
      </c>
      <c r="C34" s="28" t="s">
        <v>404</v>
      </c>
      <c r="D34" s="248"/>
      <c r="E34" s="62"/>
      <c r="F34" s="62"/>
      <c r="G34" s="62"/>
      <c r="H34" s="62">
        <v>0</v>
      </c>
      <c r="I34" s="62">
        <v>17900</v>
      </c>
      <c r="J34" s="62"/>
      <c r="K34" s="62"/>
      <c r="L34" s="62"/>
      <c r="M34" s="62"/>
      <c r="N34" s="62"/>
      <c r="O34" s="62">
        <f>SUBTOTAL(9,Table4[[#This Row],[ESI BASIC]:[ESI FOOD]])</f>
        <v>0</v>
      </c>
      <c r="P34" s="11"/>
      <c r="Q34" s="11"/>
      <c r="R34" s="253"/>
      <c r="S34" s="167"/>
      <c r="T34" s="10">
        <f t="shared" si="0"/>
        <v>31</v>
      </c>
      <c r="U34" s="167">
        <v>4</v>
      </c>
      <c r="V34" s="10">
        <f t="shared" si="1"/>
        <v>35</v>
      </c>
      <c r="W34" s="10">
        <f t="shared" si="2"/>
        <v>0</v>
      </c>
      <c r="X34" s="168" t="s">
        <v>153</v>
      </c>
      <c r="Y34" s="168" t="s">
        <v>192</v>
      </c>
      <c r="Z34" s="170" t="s">
        <v>153</v>
      </c>
      <c r="AA34" s="168" t="s">
        <v>192</v>
      </c>
      <c r="AB34" s="168" t="s">
        <v>153</v>
      </c>
      <c r="AC34" s="168" t="s">
        <v>192</v>
      </c>
      <c r="AD34" s="168" t="s">
        <v>153</v>
      </c>
      <c r="AE34" s="168" t="s">
        <v>192</v>
      </c>
      <c r="AF34" s="168" t="s">
        <v>153</v>
      </c>
      <c r="AG34" s="168" t="s">
        <v>153</v>
      </c>
      <c r="AH34" s="168" t="s">
        <v>153</v>
      </c>
      <c r="AI34" s="168" t="s">
        <v>192</v>
      </c>
      <c r="AJ34" s="168" t="s">
        <v>153</v>
      </c>
      <c r="AK34" s="168" t="s">
        <v>192</v>
      </c>
      <c r="AL34" s="168" t="s">
        <v>153</v>
      </c>
      <c r="AM34" s="168" t="s">
        <v>192</v>
      </c>
      <c r="AN34" s="170" t="s">
        <v>153</v>
      </c>
      <c r="AO34" s="168" t="s">
        <v>192</v>
      </c>
      <c r="AP34" s="168" t="s">
        <v>153</v>
      </c>
      <c r="AQ34" s="168" t="s">
        <v>192</v>
      </c>
      <c r="AR34" s="168" t="s">
        <v>153</v>
      </c>
      <c r="AS34" s="168" t="s">
        <v>192</v>
      </c>
      <c r="AT34" s="168" t="s">
        <v>192</v>
      </c>
      <c r="AU34" s="168" t="s">
        <v>192</v>
      </c>
      <c r="AV34" s="168" t="s">
        <v>153</v>
      </c>
      <c r="AW34" s="168" t="s">
        <v>192</v>
      </c>
      <c r="AX34" s="168" t="s">
        <v>153</v>
      </c>
      <c r="AY34" s="168" t="s">
        <v>192</v>
      </c>
      <c r="AZ34" s="168" t="s">
        <v>153</v>
      </c>
      <c r="BA34" s="168" t="s">
        <v>192</v>
      </c>
      <c r="BB34" s="168" t="s">
        <v>153</v>
      </c>
      <c r="BC34" s="168" t="s">
        <v>192</v>
      </c>
      <c r="BD34" s="168" t="s">
        <v>153</v>
      </c>
      <c r="BE34" s="168" t="s">
        <v>192</v>
      </c>
      <c r="BF34" s="168" t="s">
        <v>153</v>
      </c>
      <c r="BG34" s="168" t="s">
        <v>192</v>
      </c>
      <c r="BH34" s="168" t="s">
        <v>153</v>
      </c>
      <c r="BI34" s="168" t="s">
        <v>153</v>
      </c>
      <c r="BJ34" s="168" t="s">
        <v>153</v>
      </c>
      <c r="BK34" s="168" t="s">
        <v>192</v>
      </c>
      <c r="BL34" s="168" t="s">
        <v>153</v>
      </c>
      <c r="BM34" s="168" t="s">
        <v>192</v>
      </c>
      <c r="BN34" s="168" t="s">
        <v>153</v>
      </c>
      <c r="BO34" s="168" t="s">
        <v>192</v>
      </c>
      <c r="BP34" s="168" t="s">
        <v>153</v>
      </c>
      <c r="BQ34" s="168" t="s">
        <v>192</v>
      </c>
      <c r="BR34" s="168" t="s">
        <v>153</v>
      </c>
      <c r="BS34" s="168" t="s">
        <v>192</v>
      </c>
      <c r="BT34" s="168" t="s">
        <v>153</v>
      </c>
      <c r="BU34" s="168" t="s">
        <v>192</v>
      </c>
      <c r="BV34" s="168" t="s">
        <v>192</v>
      </c>
      <c r="BW34" s="168" t="s">
        <v>192</v>
      </c>
      <c r="BX34" s="168" t="s">
        <v>153</v>
      </c>
      <c r="BY34" s="168" t="s">
        <v>192</v>
      </c>
      <c r="BZ34" s="168" t="s">
        <v>153</v>
      </c>
      <c r="CA34" s="168" t="s">
        <v>192</v>
      </c>
      <c r="CB34" s="168" t="s">
        <v>153</v>
      </c>
      <c r="CC34" s="168" t="s">
        <v>192</v>
      </c>
      <c r="CD34" s="168" t="s">
        <v>153</v>
      </c>
      <c r="CE34" s="168" t="s">
        <v>192</v>
      </c>
      <c r="CF34" s="168" t="s">
        <v>153</v>
      </c>
      <c r="CG34" s="168" t="s">
        <v>192</v>
      </c>
      <c r="CH34" s="168"/>
      <c r="CI34" s="168"/>
      <c r="CJ34" s="160"/>
      <c r="CK34" s="160"/>
      <c r="CL34" s="160"/>
      <c r="CM34" s="160"/>
      <c r="CN34" s="160"/>
      <c r="CO34" s="160"/>
      <c r="CP34" s="160"/>
      <c r="CQ34" s="160"/>
      <c r="CR34" s="160"/>
      <c r="CS34" s="179"/>
      <c r="CT34" s="160"/>
      <c r="CU34" s="160"/>
      <c r="CV34" s="160"/>
      <c r="CW34" s="160"/>
      <c r="CX34" s="160"/>
      <c r="CY34" s="160"/>
      <c r="CZ34" s="160"/>
      <c r="DA34" s="160"/>
      <c r="DB34" s="160"/>
      <c r="DC34" s="160"/>
      <c r="DD34" s="160"/>
      <c r="DE34" s="160"/>
      <c r="DF34" s="160"/>
      <c r="DG34" s="160"/>
      <c r="DH34" s="160"/>
      <c r="DI34" s="160"/>
      <c r="DJ34" s="160"/>
      <c r="DK34" s="160"/>
      <c r="DL34" s="160"/>
      <c r="DM34" s="160"/>
      <c r="DN34" s="160"/>
    </row>
    <row r="35" spans="1:118" hidden="1">
      <c r="A35" s="146" t="s">
        <v>81</v>
      </c>
      <c r="B35" s="146" t="s">
        <v>35</v>
      </c>
      <c r="C35" s="28" t="s">
        <v>263</v>
      </c>
      <c r="D35" s="248"/>
      <c r="E35" s="62"/>
      <c r="F35" s="62"/>
      <c r="G35" s="62"/>
      <c r="H35" s="62">
        <v>0</v>
      </c>
      <c r="I35" s="62"/>
      <c r="J35" s="62">
        <v>300</v>
      </c>
      <c r="K35" s="62">
        <v>185</v>
      </c>
      <c r="L35" s="62"/>
      <c r="M35" s="62"/>
      <c r="N35" s="62"/>
      <c r="O35" s="62"/>
      <c r="P35" s="19"/>
      <c r="Q35" s="19"/>
      <c r="R35" s="169"/>
      <c r="S35" s="167"/>
      <c r="T35" s="10">
        <f t="shared" si="0"/>
        <v>41</v>
      </c>
      <c r="U35" s="167"/>
      <c r="V35" s="10">
        <f t="shared" si="1"/>
        <v>41</v>
      </c>
      <c r="W35" s="10">
        <f t="shared" si="2"/>
        <v>9</v>
      </c>
      <c r="X35" s="170" t="s">
        <v>153</v>
      </c>
      <c r="Y35" s="170" t="s">
        <v>192</v>
      </c>
      <c r="Z35" s="168" t="s">
        <v>153</v>
      </c>
      <c r="AA35" s="168" t="s">
        <v>153</v>
      </c>
      <c r="AB35" s="168" t="s">
        <v>192</v>
      </c>
      <c r="AC35" s="168" t="s">
        <v>153</v>
      </c>
      <c r="AD35" s="168" t="s">
        <v>153</v>
      </c>
      <c r="AE35" s="168" t="s">
        <v>192</v>
      </c>
      <c r="AF35" s="168" t="s">
        <v>153</v>
      </c>
      <c r="AG35" s="168" t="s">
        <v>153</v>
      </c>
      <c r="AH35" s="168" t="s">
        <v>192</v>
      </c>
      <c r="AI35" s="168" t="s">
        <v>153</v>
      </c>
      <c r="AJ35" s="168" t="s">
        <v>153</v>
      </c>
      <c r="AK35" s="168" t="s">
        <v>192</v>
      </c>
      <c r="AL35" s="168" t="s">
        <v>153</v>
      </c>
      <c r="AM35" s="168" t="s">
        <v>153</v>
      </c>
      <c r="AN35" s="168" t="s">
        <v>192</v>
      </c>
      <c r="AO35" s="168" t="s">
        <v>153</v>
      </c>
      <c r="AP35" s="168" t="s">
        <v>153</v>
      </c>
      <c r="AQ35" s="168" t="s">
        <v>192</v>
      </c>
      <c r="AR35" s="168" t="s">
        <v>153</v>
      </c>
      <c r="AS35" s="168" t="s">
        <v>153</v>
      </c>
      <c r="AT35" s="168" t="s">
        <v>192</v>
      </c>
      <c r="AU35" s="168" t="s">
        <v>153</v>
      </c>
      <c r="AV35" s="168" t="s">
        <v>153</v>
      </c>
      <c r="AW35" s="168" t="s">
        <v>192</v>
      </c>
      <c r="AX35" s="168" t="s">
        <v>153</v>
      </c>
      <c r="AY35" s="168" t="s">
        <v>153</v>
      </c>
      <c r="AZ35" s="168" t="s">
        <v>192</v>
      </c>
      <c r="BA35" s="168" t="s">
        <v>153</v>
      </c>
      <c r="BB35" s="168" t="s">
        <v>153</v>
      </c>
      <c r="BC35" s="168" t="s">
        <v>192</v>
      </c>
      <c r="BD35" s="168" t="s">
        <v>153</v>
      </c>
      <c r="BE35" s="168" t="s">
        <v>153</v>
      </c>
      <c r="BF35" s="168" t="s">
        <v>192</v>
      </c>
      <c r="BG35" s="168" t="s">
        <v>153</v>
      </c>
      <c r="BH35" s="168" t="s">
        <v>153</v>
      </c>
      <c r="BI35" s="168" t="s">
        <v>192</v>
      </c>
      <c r="BJ35" s="168" t="s">
        <v>153</v>
      </c>
      <c r="BK35" s="168" t="s">
        <v>153</v>
      </c>
      <c r="BL35" s="168" t="s">
        <v>192</v>
      </c>
      <c r="BM35" s="168" t="s">
        <v>153</v>
      </c>
      <c r="BN35" s="168" t="s">
        <v>153</v>
      </c>
      <c r="BO35" s="168" t="s">
        <v>192</v>
      </c>
      <c r="BP35" s="168" t="s">
        <v>153</v>
      </c>
      <c r="BQ35" s="168" t="s">
        <v>153</v>
      </c>
      <c r="BR35" s="168" t="s">
        <v>192</v>
      </c>
      <c r="BS35" s="168" t="s">
        <v>153</v>
      </c>
      <c r="BT35" s="168" t="s">
        <v>153</v>
      </c>
      <c r="BU35" s="168" t="s">
        <v>192</v>
      </c>
      <c r="BV35" s="168" t="s">
        <v>153</v>
      </c>
      <c r="BW35" s="168" t="s">
        <v>153</v>
      </c>
      <c r="BX35" s="168" t="s">
        <v>192</v>
      </c>
      <c r="BY35" s="168" t="s">
        <v>153</v>
      </c>
      <c r="BZ35" s="168" t="s">
        <v>153</v>
      </c>
      <c r="CA35" s="168" t="s">
        <v>192</v>
      </c>
      <c r="CB35" s="168" t="s">
        <v>153</v>
      </c>
      <c r="CC35" s="168" t="s">
        <v>153</v>
      </c>
      <c r="CD35" s="168" t="s">
        <v>192</v>
      </c>
      <c r="CE35" s="168" t="s">
        <v>153</v>
      </c>
      <c r="CF35" s="168" t="s">
        <v>153</v>
      </c>
      <c r="CG35" s="244" t="s">
        <v>192</v>
      </c>
      <c r="CH35" s="183"/>
      <c r="CI35" s="186">
        <v>1</v>
      </c>
      <c r="CJ35" s="160">
        <v>0</v>
      </c>
      <c r="CK35" s="179">
        <v>0</v>
      </c>
      <c r="CL35" s="179">
        <v>0</v>
      </c>
      <c r="CM35" s="179">
        <v>0</v>
      </c>
      <c r="CN35" s="160">
        <v>0</v>
      </c>
      <c r="CO35" s="160">
        <v>1</v>
      </c>
      <c r="CP35" s="160">
        <v>0</v>
      </c>
      <c r="CQ35" s="179">
        <v>1</v>
      </c>
      <c r="CR35" s="179">
        <v>0</v>
      </c>
      <c r="CS35" s="179">
        <v>0</v>
      </c>
      <c r="CT35" s="179">
        <v>1</v>
      </c>
      <c r="CU35" s="179">
        <v>0</v>
      </c>
      <c r="CV35" s="160">
        <v>2</v>
      </c>
      <c r="CW35" s="179">
        <v>0</v>
      </c>
      <c r="CX35" s="188">
        <v>0</v>
      </c>
      <c r="CY35" s="160">
        <v>0</v>
      </c>
      <c r="CZ35" s="160">
        <v>0</v>
      </c>
      <c r="DA35" s="160">
        <v>1</v>
      </c>
      <c r="DB35" s="160">
        <v>0</v>
      </c>
      <c r="DC35" s="160">
        <v>0</v>
      </c>
      <c r="DD35" s="160">
        <v>1</v>
      </c>
      <c r="DE35" s="160">
        <v>1</v>
      </c>
      <c r="DF35" s="160">
        <v>0</v>
      </c>
      <c r="DG35" s="160">
        <v>0</v>
      </c>
      <c r="DH35" s="160">
        <v>0</v>
      </c>
      <c r="DI35" s="160">
        <v>0</v>
      </c>
      <c r="DJ35" s="160">
        <v>0</v>
      </c>
      <c r="DK35" s="160">
        <v>0</v>
      </c>
      <c r="DL35" s="160">
        <v>0</v>
      </c>
      <c r="DM35" s="160">
        <v>0</v>
      </c>
      <c r="DN35" s="160"/>
    </row>
    <row r="36" spans="1:118" hidden="1">
      <c r="A36" s="146" t="s">
        <v>80</v>
      </c>
      <c r="B36" s="146" t="s">
        <v>35</v>
      </c>
      <c r="C36" s="28" t="s">
        <v>379</v>
      </c>
      <c r="D36" s="248" t="s">
        <v>387</v>
      </c>
      <c r="E36" s="62"/>
      <c r="F36" s="62"/>
      <c r="G36" s="62"/>
      <c r="H36" s="62">
        <v>0</v>
      </c>
      <c r="I36" s="62"/>
      <c r="J36" s="62">
        <v>310</v>
      </c>
      <c r="K36" s="62">
        <v>185</v>
      </c>
      <c r="L36" s="62">
        <v>20000</v>
      </c>
      <c r="M36" s="62"/>
      <c r="N36" s="62"/>
      <c r="O36" s="62">
        <f>SUBTOTAL(9,Table4[[#This Row],[ESI BASIC]:[ESI FOOD]])</f>
        <v>0</v>
      </c>
      <c r="P36" s="86" t="s">
        <v>314</v>
      </c>
      <c r="Q36" s="11" t="s">
        <v>335</v>
      </c>
      <c r="R36" s="174">
        <v>25503211002376</v>
      </c>
      <c r="S36" s="167"/>
      <c r="T36" s="10">
        <f t="shared" si="0"/>
        <v>41</v>
      </c>
      <c r="U36" s="167"/>
      <c r="V36" s="10">
        <f t="shared" si="1"/>
        <v>41</v>
      </c>
      <c r="W36" s="10">
        <f t="shared" si="2"/>
        <v>7</v>
      </c>
      <c r="X36" s="170" t="s">
        <v>192</v>
      </c>
      <c r="Y36" s="168" t="s">
        <v>153</v>
      </c>
      <c r="Z36" s="168" t="s">
        <v>153</v>
      </c>
      <c r="AA36" s="168" t="s">
        <v>192</v>
      </c>
      <c r="AB36" s="168" t="s">
        <v>153</v>
      </c>
      <c r="AC36" s="168" t="s">
        <v>153</v>
      </c>
      <c r="AD36" s="168" t="s">
        <v>192</v>
      </c>
      <c r="AE36" s="168" t="s">
        <v>153</v>
      </c>
      <c r="AF36" s="168" t="s">
        <v>153</v>
      </c>
      <c r="AG36" s="168" t="s">
        <v>192</v>
      </c>
      <c r="AH36" s="168" t="s">
        <v>153</v>
      </c>
      <c r="AI36" s="168" t="s">
        <v>153</v>
      </c>
      <c r="AJ36" s="168" t="s">
        <v>192</v>
      </c>
      <c r="AK36" s="168" t="s">
        <v>153</v>
      </c>
      <c r="AL36" s="168" t="s">
        <v>153</v>
      </c>
      <c r="AM36" s="168" t="s">
        <v>192</v>
      </c>
      <c r="AN36" s="168" t="s">
        <v>153</v>
      </c>
      <c r="AO36" s="168" t="s">
        <v>153</v>
      </c>
      <c r="AP36" s="168" t="s">
        <v>192</v>
      </c>
      <c r="AQ36" s="168" t="s">
        <v>153</v>
      </c>
      <c r="AR36" s="168" t="s">
        <v>153</v>
      </c>
      <c r="AS36" s="168" t="s">
        <v>192</v>
      </c>
      <c r="AT36" s="168" t="s">
        <v>153</v>
      </c>
      <c r="AU36" s="168" t="s">
        <v>153</v>
      </c>
      <c r="AV36" s="168" t="s">
        <v>192</v>
      </c>
      <c r="AW36" s="168" t="s">
        <v>153</v>
      </c>
      <c r="AX36" s="168" t="s">
        <v>153</v>
      </c>
      <c r="AY36" s="168" t="s">
        <v>192</v>
      </c>
      <c r="AZ36" s="168" t="s">
        <v>153</v>
      </c>
      <c r="BA36" s="177" t="s">
        <v>153</v>
      </c>
      <c r="BB36" s="168" t="s">
        <v>192</v>
      </c>
      <c r="BC36" s="168" t="s">
        <v>153</v>
      </c>
      <c r="BD36" s="168" t="s">
        <v>153</v>
      </c>
      <c r="BE36" s="168" t="s">
        <v>192</v>
      </c>
      <c r="BF36" s="168" t="s">
        <v>153</v>
      </c>
      <c r="BG36" s="168" t="s">
        <v>153</v>
      </c>
      <c r="BH36" s="168" t="s">
        <v>192</v>
      </c>
      <c r="BI36" s="168" t="s">
        <v>153</v>
      </c>
      <c r="BJ36" s="168" t="s">
        <v>153</v>
      </c>
      <c r="BK36" s="168" t="s">
        <v>192</v>
      </c>
      <c r="BL36" s="168" t="s">
        <v>153</v>
      </c>
      <c r="BM36" s="168" t="s">
        <v>153</v>
      </c>
      <c r="BN36" s="168" t="s">
        <v>192</v>
      </c>
      <c r="BO36" s="168" t="s">
        <v>153</v>
      </c>
      <c r="BP36" s="168" t="s">
        <v>153</v>
      </c>
      <c r="BQ36" s="168" t="s">
        <v>192</v>
      </c>
      <c r="BR36" s="168" t="s">
        <v>153</v>
      </c>
      <c r="BS36" s="168" t="s">
        <v>153</v>
      </c>
      <c r="BT36" s="168" t="s">
        <v>192</v>
      </c>
      <c r="BU36" s="168" t="s">
        <v>153</v>
      </c>
      <c r="BV36" s="168" t="s">
        <v>153</v>
      </c>
      <c r="BW36" s="168" t="s">
        <v>192</v>
      </c>
      <c r="BX36" s="168" t="s">
        <v>153</v>
      </c>
      <c r="BY36" s="168" t="s">
        <v>153</v>
      </c>
      <c r="BZ36" s="168" t="s">
        <v>192</v>
      </c>
      <c r="CA36" s="168" t="s">
        <v>153</v>
      </c>
      <c r="CB36" s="168" t="s">
        <v>153</v>
      </c>
      <c r="CC36" s="168" t="s">
        <v>192</v>
      </c>
      <c r="CD36" s="168" t="s">
        <v>153</v>
      </c>
      <c r="CE36" s="168" t="s">
        <v>153</v>
      </c>
      <c r="CF36" s="168" t="s">
        <v>192</v>
      </c>
      <c r="CG36" s="168" t="s">
        <v>153</v>
      </c>
      <c r="CH36" s="183"/>
      <c r="CI36" s="186">
        <v>0</v>
      </c>
      <c r="CJ36" s="179">
        <v>0</v>
      </c>
      <c r="CK36" s="179">
        <v>0</v>
      </c>
      <c r="CL36" s="179">
        <v>0</v>
      </c>
      <c r="CM36" s="179">
        <v>0</v>
      </c>
      <c r="CN36" s="160">
        <v>0</v>
      </c>
      <c r="CO36" s="160">
        <v>0</v>
      </c>
      <c r="CP36" s="160">
        <v>0</v>
      </c>
      <c r="CQ36" s="160">
        <v>0</v>
      </c>
      <c r="CR36" s="179">
        <v>0</v>
      </c>
      <c r="CS36" s="179">
        <v>0</v>
      </c>
      <c r="CT36" s="179">
        <v>0</v>
      </c>
      <c r="CU36" s="179">
        <v>0</v>
      </c>
      <c r="CV36" s="179">
        <v>1</v>
      </c>
      <c r="CW36" s="160">
        <v>0</v>
      </c>
      <c r="CX36" s="188">
        <v>0</v>
      </c>
      <c r="CY36" s="160">
        <v>0</v>
      </c>
      <c r="CZ36" s="160">
        <v>1</v>
      </c>
      <c r="DA36" s="160">
        <v>0</v>
      </c>
      <c r="DB36" s="160">
        <v>0</v>
      </c>
      <c r="DC36" s="160">
        <v>0</v>
      </c>
      <c r="DD36" s="160">
        <v>1</v>
      </c>
      <c r="DE36" s="160">
        <v>1</v>
      </c>
      <c r="DF36" s="160">
        <v>0</v>
      </c>
      <c r="DG36" s="160">
        <v>0</v>
      </c>
      <c r="DH36" s="160">
        <v>0</v>
      </c>
      <c r="DI36" s="160">
        <v>1</v>
      </c>
      <c r="DJ36" s="160">
        <v>2</v>
      </c>
      <c r="DK36" s="160">
        <v>0</v>
      </c>
      <c r="DL36" s="160">
        <v>0</v>
      </c>
      <c r="DM36" s="160">
        <v>0</v>
      </c>
      <c r="DN36" s="160"/>
    </row>
    <row r="37" spans="1:118" ht="15" hidden="1" customHeight="1">
      <c r="A37" s="146" t="s">
        <v>80</v>
      </c>
      <c r="B37" s="146" t="s">
        <v>35</v>
      </c>
      <c r="C37" s="148" t="s">
        <v>264</v>
      </c>
      <c r="D37" s="248" t="s">
        <v>325</v>
      </c>
      <c r="E37" s="62"/>
      <c r="F37" s="62"/>
      <c r="G37" s="62"/>
      <c r="H37" s="62">
        <v>0</v>
      </c>
      <c r="I37" s="62"/>
      <c r="J37" s="62">
        <v>320</v>
      </c>
      <c r="K37" s="62">
        <v>185</v>
      </c>
      <c r="L37" s="62">
        <v>11620</v>
      </c>
      <c r="M37" s="62">
        <v>2160</v>
      </c>
      <c r="N37" s="62">
        <v>1920</v>
      </c>
      <c r="O37" s="62">
        <f>SUBTOTAL(9,Table4[[#This Row],[ESI BASIC]:[ESI FOOD]])</f>
        <v>0</v>
      </c>
      <c r="P37" s="86" t="s">
        <v>302</v>
      </c>
      <c r="Q37" s="86" t="s">
        <v>303</v>
      </c>
      <c r="R37" s="254">
        <v>34256315188</v>
      </c>
      <c r="S37" s="167"/>
      <c r="T37" s="10">
        <f t="shared" ref="T37:T65" si="3">COUNTIF(X37:CG37,"P")</f>
        <v>41</v>
      </c>
      <c r="U37" s="167"/>
      <c r="V37" s="10">
        <f t="shared" ref="V37:V65" si="4">T37+U37</f>
        <v>41</v>
      </c>
      <c r="W37" s="10">
        <f t="shared" ref="W37:W65" si="5">SUM(CI37:DM37)</f>
        <v>13</v>
      </c>
      <c r="X37" s="170" t="s">
        <v>153</v>
      </c>
      <c r="Y37" s="168" t="s">
        <v>192</v>
      </c>
      <c r="Z37" s="168" t="s">
        <v>153</v>
      </c>
      <c r="AA37" s="168" t="s">
        <v>153</v>
      </c>
      <c r="AB37" s="168" t="s">
        <v>192</v>
      </c>
      <c r="AC37" s="168" t="s">
        <v>153</v>
      </c>
      <c r="AD37" s="168" t="s">
        <v>153</v>
      </c>
      <c r="AE37" s="168" t="s">
        <v>192</v>
      </c>
      <c r="AF37" s="168" t="s">
        <v>153</v>
      </c>
      <c r="AG37" s="168" t="s">
        <v>153</v>
      </c>
      <c r="AH37" s="168" t="s">
        <v>192</v>
      </c>
      <c r="AI37" s="168" t="s">
        <v>153</v>
      </c>
      <c r="AJ37" s="168" t="s">
        <v>153</v>
      </c>
      <c r="AK37" s="168" t="s">
        <v>192</v>
      </c>
      <c r="AL37" s="168" t="s">
        <v>153</v>
      </c>
      <c r="AM37" s="168" t="s">
        <v>153</v>
      </c>
      <c r="AN37" s="168" t="s">
        <v>192</v>
      </c>
      <c r="AO37" s="168" t="s">
        <v>153</v>
      </c>
      <c r="AP37" s="170" t="s">
        <v>153</v>
      </c>
      <c r="AQ37" s="168" t="s">
        <v>192</v>
      </c>
      <c r="AR37" s="168" t="s">
        <v>153</v>
      </c>
      <c r="AS37" s="168" t="s">
        <v>153</v>
      </c>
      <c r="AT37" s="168" t="s">
        <v>192</v>
      </c>
      <c r="AU37" s="168" t="s">
        <v>153</v>
      </c>
      <c r="AV37" s="168" t="s">
        <v>153</v>
      </c>
      <c r="AW37" s="168" t="s">
        <v>192</v>
      </c>
      <c r="AX37" s="168" t="s">
        <v>153</v>
      </c>
      <c r="AY37" s="168" t="s">
        <v>153</v>
      </c>
      <c r="AZ37" s="168" t="s">
        <v>192</v>
      </c>
      <c r="BA37" s="168" t="s">
        <v>153</v>
      </c>
      <c r="BB37" s="168" t="s">
        <v>153</v>
      </c>
      <c r="BC37" s="168" t="s">
        <v>192</v>
      </c>
      <c r="BD37" s="168" t="s">
        <v>153</v>
      </c>
      <c r="BE37" s="168" t="s">
        <v>153</v>
      </c>
      <c r="BF37" s="168" t="s">
        <v>192</v>
      </c>
      <c r="BG37" s="168" t="s">
        <v>153</v>
      </c>
      <c r="BH37" s="168" t="s">
        <v>153</v>
      </c>
      <c r="BI37" s="168" t="s">
        <v>192</v>
      </c>
      <c r="BJ37" s="168" t="s">
        <v>153</v>
      </c>
      <c r="BK37" s="168" t="s">
        <v>153</v>
      </c>
      <c r="BL37" s="168" t="s">
        <v>192</v>
      </c>
      <c r="BM37" s="168" t="s">
        <v>153</v>
      </c>
      <c r="BN37" s="168" t="s">
        <v>153</v>
      </c>
      <c r="BO37" s="168" t="s">
        <v>192</v>
      </c>
      <c r="BP37" s="168" t="s">
        <v>153</v>
      </c>
      <c r="BQ37" s="168" t="s">
        <v>153</v>
      </c>
      <c r="BR37" s="168" t="s">
        <v>192</v>
      </c>
      <c r="BS37" s="168" t="s">
        <v>153</v>
      </c>
      <c r="BT37" s="168" t="s">
        <v>153</v>
      </c>
      <c r="BU37" s="168" t="s">
        <v>192</v>
      </c>
      <c r="BV37" s="168" t="s">
        <v>153</v>
      </c>
      <c r="BW37" s="168" t="s">
        <v>153</v>
      </c>
      <c r="BX37" s="168" t="s">
        <v>192</v>
      </c>
      <c r="BY37" s="168" t="s">
        <v>153</v>
      </c>
      <c r="BZ37" s="168" t="s">
        <v>153</v>
      </c>
      <c r="CA37" s="168" t="s">
        <v>192</v>
      </c>
      <c r="CB37" s="168" t="s">
        <v>153</v>
      </c>
      <c r="CC37" s="168" t="s">
        <v>153</v>
      </c>
      <c r="CD37" s="168" t="s">
        <v>192</v>
      </c>
      <c r="CE37" s="168" t="s">
        <v>153</v>
      </c>
      <c r="CF37" s="168" t="s">
        <v>153</v>
      </c>
      <c r="CG37" s="168" t="s">
        <v>192</v>
      </c>
      <c r="CH37" s="168"/>
      <c r="CI37" s="168">
        <v>0</v>
      </c>
      <c r="CJ37" s="160">
        <v>0</v>
      </c>
      <c r="CK37" s="160">
        <v>0</v>
      </c>
      <c r="CL37" s="160">
        <v>0</v>
      </c>
      <c r="CM37" s="179">
        <v>0</v>
      </c>
      <c r="CN37" s="160">
        <v>0</v>
      </c>
      <c r="CO37" s="160">
        <v>0</v>
      </c>
      <c r="CP37" s="160">
        <v>0</v>
      </c>
      <c r="CQ37" s="160">
        <v>2</v>
      </c>
      <c r="CR37" s="160">
        <v>0</v>
      </c>
      <c r="CS37" s="179">
        <v>0</v>
      </c>
      <c r="CT37" s="160">
        <v>1</v>
      </c>
      <c r="CU37" s="160">
        <v>0</v>
      </c>
      <c r="CV37" s="160">
        <v>3</v>
      </c>
      <c r="CW37" s="160">
        <v>0</v>
      </c>
      <c r="CX37" s="160">
        <v>1</v>
      </c>
      <c r="CY37" s="160">
        <v>0</v>
      </c>
      <c r="CZ37" s="160">
        <v>1</v>
      </c>
      <c r="DA37" s="160">
        <v>0</v>
      </c>
      <c r="DB37" s="160">
        <v>1</v>
      </c>
      <c r="DC37" s="160">
        <v>0</v>
      </c>
      <c r="DD37" s="160">
        <v>1</v>
      </c>
      <c r="DE37" s="160">
        <v>1</v>
      </c>
      <c r="DF37" s="160">
        <v>0</v>
      </c>
      <c r="DG37" s="160">
        <v>1</v>
      </c>
      <c r="DH37" s="160">
        <v>0</v>
      </c>
      <c r="DI37" s="160">
        <v>0</v>
      </c>
      <c r="DJ37" s="160">
        <v>1</v>
      </c>
      <c r="DK37" s="160">
        <v>0</v>
      </c>
      <c r="DL37" s="160">
        <v>0</v>
      </c>
      <c r="DM37" s="160">
        <v>0</v>
      </c>
      <c r="DN37" s="160"/>
    </row>
    <row r="38" spans="1:118" hidden="1">
      <c r="A38" s="146" t="s">
        <v>80</v>
      </c>
      <c r="B38" s="146" t="s">
        <v>38</v>
      </c>
      <c r="C38" s="28" t="s">
        <v>265</v>
      </c>
      <c r="D38" s="62" t="s">
        <v>326</v>
      </c>
      <c r="E38" s="62"/>
      <c r="F38" s="62"/>
      <c r="G38" s="62"/>
      <c r="H38" s="62">
        <v>0</v>
      </c>
      <c r="I38" s="62"/>
      <c r="J38" s="62">
        <v>420</v>
      </c>
      <c r="K38" s="62">
        <v>0</v>
      </c>
      <c r="L38" s="62">
        <v>10560</v>
      </c>
      <c r="M38" s="62">
        <v>1140</v>
      </c>
      <c r="N38" s="62">
        <v>900</v>
      </c>
      <c r="O38" s="62">
        <f>SUBTOTAL(9,Table4[[#This Row],[ESI BASIC]:[ESI FOOD]])</f>
        <v>0</v>
      </c>
      <c r="P38" s="86" t="s">
        <v>300</v>
      </c>
      <c r="Q38" s="86" t="s">
        <v>301</v>
      </c>
      <c r="R38" s="174">
        <v>1301000024478</v>
      </c>
      <c r="S38" s="167"/>
      <c r="T38" s="10">
        <f t="shared" si="3"/>
        <v>31</v>
      </c>
      <c r="U38" s="167"/>
      <c r="V38" s="10">
        <f t="shared" si="4"/>
        <v>31</v>
      </c>
      <c r="W38" s="10">
        <f t="shared" si="5"/>
        <v>0</v>
      </c>
      <c r="X38" s="170" t="s">
        <v>153</v>
      </c>
      <c r="Y38" s="168" t="s">
        <v>192</v>
      </c>
      <c r="Z38" s="168" t="s">
        <v>153</v>
      </c>
      <c r="AA38" s="168" t="s">
        <v>192</v>
      </c>
      <c r="AB38" s="168" t="s">
        <v>153</v>
      </c>
      <c r="AC38" s="168" t="s">
        <v>192</v>
      </c>
      <c r="AD38" s="168" t="s">
        <v>153</v>
      </c>
      <c r="AE38" s="168" t="s">
        <v>192</v>
      </c>
      <c r="AF38" s="168" t="s">
        <v>153</v>
      </c>
      <c r="AG38" s="168" t="s">
        <v>192</v>
      </c>
      <c r="AH38" s="168" t="s">
        <v>153</v>
      </c>
      <c r="AI38" s="168" t="s">
        <v>192</v>
      </c>
      <c r="AJ38" s="168" t="s">
        <v>153</v>
      </c>
      <c r="AK38" s="168" t="s">
        <v>192</v>
      </c>
      <c r="AL38" s="168" t="s">
        <v>153</v>
      </c>
      <c r="AM38" s="168" t="s">
        <v>192</v>
      </c>
      <c r="AN38" s="168" t="s">
        <v>153</v>
      </c>
      <c r="AO38" s="168" t="s">
        <v>192</v>
      </c>
      <c r="AP38" s="168" t="s">
        <v>153</v>
      </c>
      <c r="AQ38" s="168" t="s">
        <v>192</v>
      </c>
      <c r="AR38" s="168" t="s">
        <v>153</v>
      </c>
      <c r="AS38" s="168" t="s">
        <v>192</v>
      </c>
      <c r="AT38" s="168" t="s">
        <v>153</v>
      </c>
      <c r="AU38" s="168" t="s">
        <v>192</v>
      </c>
      <c r="AV38" s="168" t="s">
        <v>153</v>
      </c>
      <c r="AW38" s="168" t="s">
        <v>192</v>
      </c>
      <c r="AX38" s="177" t="s">
        <v>153</v>
      </c>
      <c r="AY38" s="168" t="s">
        <v>192</v>
      </c>
      <c r="AZ38" s="177" t="s">
        <v>153</v>
      </c>
      <c r="BA38" s="168" t="s">
        <v>192</v>
      </c>
      <c r="BB38" s="177" t="s">
        <v>153</v>
      </c>
      <c r="BC38" s="168" t="s">
        <v>192</v>
      </c>
      <c r="BD38" s="177" t="s">
        <v>153</v>
      </c>
      <c r="BE38" s="168" t="s">
        <v>192</v>
      </c>
      <c r="BF38" s="177" t="s">
        <v>153</v>
      </c>
      <c r="BG38" s="168" t="s">
        <v>192</v>
      </c>
      <c r="BH38" s="177" t="s">
        <v>153</v>
      </c>
      <c r="BI38" s="168" t="s">
        <v>192</v>
      </c>
      <c r="BJ38" s="177" t="s">
        <v>153</v>
      </c>
      <c r="BK38" s="168" t="s">
        <v>192</v>
      </c>
      <c r="BL38" s="168" t="s">
        <v>153</v>
      </c>
      <c r="BM38" s="168" t="s">
        <v>192</v>
      </c>
      <c r="BN38" s="168" t="s">
        <v>153</v>
      </c>
      <c r="BO38" s="168" t="s">
        <v>192</v>
      </c>
      <c r="BP38" s="168" t="s">
        <v>153</v>
      </c>
      <c r="BQ38" s="168" t="s">
        <v>192</v>
      </c>
      <c r="BR38" s="168" t="s">
        <v>153</v>
      </c>
      <c r="BS38" s="168" t="s">
        <v>192</v>
      </c>
      <c r="BT38" s="168" t="s">
        <v>153</v>
      </c>
      <c r="BU38" s="168" t="s">
        <v>192</v>
      </c>
      <c r="BV38" s="168" t="s">
        <v>153</v>
      </c>
      <c r="BW38" s="168" t="s">
        <v>192</v>
      </c>
      <c r="BX38" s="168" t="s">
        <v>153</v>
      </c>
      <c r="BY38" s="168" t="s">
        <v>192</v>
      </c>
      <c r="BZ38" s="168" t="s">
        <v>153</v>
      </c>
      <c r="CA38" s="168" t="s">
        <v>192</v>
      </c>
      <c r="CB38" s="168" t="s">
        <v>153</v>
      </c>
      <c r="CC38" s="168" t="s">
        <v>192</v>
      </c>
      <c r="CD38" s="168" t="s">
        <v>153</v>
      </c>
      <c r="CE38" s="168" t="s">
        <v>192</v>
      </c>
      <c r="CF38" s="168" t="s">
        <v>153</v>
      </c>
      <c r="CG38" s="168" t="s">
        <v>192</v>
      </c>
      <c r="CH38" s="183"/>
      <c r="CI38" s="186"/>
      <c r="CJ38" s="179"/>
      <c r="CK38" s="179"/>
      <c r="CL38" s="179"/>
      <c r="CM38" s="160"/>
      <c r="CN38" s="160"/>
      <c r="CO38" s="19"/>
      <c r="CP38" s="160"/>
      <c r="CQ38" s="19"/>
      <c r="CR38" s="19"/>
      <c r="CS38" s="19"/>
      <c r="CT38" s="19"/>
      <c r="CU38" s="19"/>
      <c r="CV38" s="179"/>
      <c r="CW38" s="160"/>
      <c r="CX38" s="188"/>
      <c r="CY38" s="160"/>
      <c r="CZ38" s="160"/>
      <c r="DA38" s="160"/>
      <c r="DB38" s="160"/>
      <c r="DC38" s="160"/>
      <c r="DD38" s="160"/>
      <c r="DE38" s="160"/>
      <c r="DF38" s="160"/>
      <c r="DG38" s="160"/>
      <c r="DH38" s="160"/>
      <c r="DI38" s="160"/>
      <c r="DJ38" s="160"/>
      <c r="DK38" s="160"/>
      <c r="DL38" s="160"/>
      <c r="DM38" s="160"/>
      <c r="DN38" s="160"/>
    </row>
    <row r="39" spans="1:118" hidden="1">
      <c r="A39" s="146" t="s">
        <v>80</v>
      </c>
      <c r="B39" s="146" t="s">
        <v>86</v>
      </c>
      <c r="C39" s="28" t="s">
        <v>266</v>
      </c>
      <c r="D39" s="62" t="s">
        <v>327</v>
      </c>
      <c r="E39" s="62"/>
      <c r="F39" s="62"/>
      <c r="G39" s="62"/>
      <c r="H39" s="62">
        <v>0</v>
      </c>
      <c r="I39" s="62">
        <v>14000</v>
      </c>
      <c r="J39" s="62"/>
      <c r="K39" s="62"/>
      <c r="L39" s="62">
        <v>11615</v>
      </c>
      <c r="M39" s="62">
        <v>1378</v>
      </c>
      <c r="N39" s="62">
        <v>1007</v>
      </c>
      <c r="O39" s="62">
        <f>SUBTOTAL(9,Table4[[#This Row],[ESI BASIC]:[ESI FOOD]])</f>
        <v>0</v>
      </c>
      <c r="P39" s="86" t="s">
        <v>307</v>
      </c>
      <c r="Q39" s="86" t="s">
        <v>308</v>
      </c>
      <c r="R39" s="174">
        <v>97762210013678</v>
      </c>
      <c r="S39" s="167"/>
      <c r="T39" s="10">
        <f t="shared" si="3"/>
        <v>33</v>
      </c>
      <c r="U39" s="167">
        <v>4</v>
      </c>
      <c r="V39" s="10">
        <f t="shared" si="4"/>
        <v>37</v>
      </c>
      <c r="W39" s="10">
        <f t="shared" si="5"/>
        <v>0</v>
      </c>
      <c r="X39" s="170" t="s">
        <v>153</v>
      </c>
      <c r="Y39" s="168" t="s">
        <v>153</v>
      </c>
      <c r="Z39" s="170" t="s">
        <v>153</v>
      </c>
      <c r="AA39" s="170" t="s">
        <v>192</v>
      </c>
      <c r="AB39" s="170" t="s">
        <v>153</v>
      </c>
      <c r="AC39" s="170" t="s">
        <v>192</v>
      </c>
      <c r="AD39" s="170" t="s">
        <v>153</v>
      </c>
      <c r="AE39" s="170" t="s">
        <v>192</v>
      </c>
      <c r="AF39" s="170" t="s">
        <v>153</v>
      </c>
      <c r="AG39" s="168" t="s">
        <v>192</v>
      </c>
      <c r="AH39" s="170" t="s">
        <v>153</v>
      </c>
      <c r="AI39" s="170" t="s">
        <v>192</v>
      </c>
      <c r="AJ39" s="170" t="s">
        <v>153</v>
      </c>
      <c r="AK39" s="170" t="s">
        <v>192</v>
      </c>
      <c r="AL39" s="170" t="s">
        <v>153</v>
      </c>
      <c r="AM39" s="170" t="s">
        <v>192</v>
      </c>
      <c r="AN39" s="170" t="s">
        <v>153</v>
      </c>
      <c r="AO39" s="168" t="s">
        <v>192</v>
      </c>
      <c r="AP39" s="170" t="s">
        <v>153</v>
      </c>
      <c r="AQ39" s="170" t="s">
        <v>192</v>
      </c>
      <c r="AR39" s="170" t="s">
        <v>153</v>
      </c>
      <c r="AS39" s="170" t="s">
        <v>192</v>
      </c>
      <c r="AT39" s="170" t="s">
        <v>153</v>
      </c>
      <c r="AU39" s="170" t="s">
        <v>192</v>
      </c>
      <c r="AV39" s="170" t="s">
        <v>153</v>
      </c>
      <c r="AW39" s="177" t="s">
        <v>192</v>
      </c>
      <c r="AX39" s="168" t="s">
        <v>153</v>
      </c>
      <c r="AY39" s="168" t="s">
        <v>192</v>
      </c>
      <c r="AZ39" s="168" t="s">
        <v>153</v>
      </c>
      <c r="BA39" s="168" t="s">
        <v>192</v>
      </c>
      <c r="BB39" s="168" t="s">
        <v>153</v>
      </c>
      <c r="BC39" s="168" t="s">
        <v>192</v>
      </c>
      <c r="BD39" s="168" t="s">
        <v>153</v>
      </c>
      <c r="BE39" s="168" t="s">
        <v>192</v>
      </c>
      <c r="BF39" s="168" t="s">
        <v>153</v>
      </c>
      <c r="BG39" s="168" t="s">
        <v>192</v>
      </c>
      <c r="BH39" s="168" t="s">
        <v>153</v>
      </c>
      <c r="BI39" s="168" t="s">
        <v>192</v>
      </c>
      <c r="BJ39" s="168" t="s">
        <v>153</v>
      </c>
      <c r="BK39" s="168" t="s">
        <v>192</v>
      </c>
      <c r="BL39" s="168" t="s">
        <v>153</v>
      </c>
      <c r="BM39" s="168" t="s">
        <v>192</v>
      </c>
      <c r="BN39" s="168" t="s">
        <v>153</v>
      </c>
      <c r="BO39" s="168" t="s">
        <v>192</v>
      </c>
      <c r="BP39" s="168" t="s">
        <v>153</v>
      </c>
      <c r="BQ39" s="168" t="s">
        <v>192</v>
      </c>
      <c r="BR39" s="168" t="s">
        <v>153</v>
      </c>
      <c r="BS39" s="168" t="s">
        <v>192</v>
      </c>
      <c r="BT39" s="168" t="s">
        <v>153</v>
      </c>
      <c r="BU39" s="168" t="s">
        <v>192</v>
      </c>
      <c r="BV39" s="168" t="s">
        <v>153</v>
      </c>
      <c r="BW39" s="168" t="s">
        <v>153</v>
      </c>
      <c r="BX39" s="168" t="s">
        <v>153</v>
      </c>
      <c r="BY39" s="168" t="s">
        <v>192</v>
      </c>
      <c r="BZ39" s="168" t="s">
        <v>153</v>
      </c>
      <c r="CA39" s="168" t="s">
        <v>192</v>
      </c>
      <c r="CB39" s="168" t="s">
        <v>153</v>
      </c>
      <c r="CC39" s="168" t="s">
        <v>192</v>
      </c>
      <c r="CD39" s="168" t="s">
        <v>153</v>
      </c>
      <c r="CE39" s="168" t="s">
        <v>192</v>
      </c>
      <c r="CF39" s="168" t="s">
        <v>153</v>
      </c>
      <c r="CG39" s="244" t="s">
        <v>192</v>
      </c>
      <c r="CH39" s="183"/>
      <c r="CI39" s="186"/>
      <c r="CJ39" s="179"/>
      <c r="CK39" s="179"/>
      <c r="CL39" s="160"/>
      <c r="CM39" s="160"/>
      <c r="CN39" s="160"/>
      <c r="CO39" s="160"/>
      <c r="CP39" s="160"/>
      <c r="CQ39" s="19"/>
      <c r="CR39" s="19"/>
      <c r="CS39" s="179"/>
      <c r="CT39" s="179"/>
      <c r="CU39" s="179"/>
      <c r="CV39" s="179"/>
      <c r="CW39" s="160"/>
      <c r="CX39" s="188"/>
      <c r="CY39" s="160"/>
      <c r="CZ39" s="160"/>
      <c r="DA39" s="160"/>
      <c r="DB39" s="160"/>
      <c r="DC39" s="160"/>
      <c r="DD39" s="160"/>
      <c r="DE39" s="160"/>
      <c r="DF39" s="160"/>
      <c r="DG39" s="160"/>
      <c r="DH39" s="160"/>
      <c r="DI39" s="179"/>
      <c r="DJ39" s="179"/>
      <c r="DK39" s="160"/>
      <c r="DL39" s="160"/>
      <c r="DM39" s="160"/>
      <c r="DN39" s="160"/>
    </row>
    <row r="40" spans="1:118" hidden="1">
      <c r="A40" s="146" t="s">
        <v>80</v>
      </c>
      <c r="B40" s="146" t="s">
        <v>86</v>
      </c>
      <c r="C40" s="28" t="s">
        <v>267</v>
      </c>
      <c r="D40" s="62" t="s">
        <v>328</v>
      </c>
      <c r="E40" s="62"/>
      <c r="F40" s="62"/>
      <c r="G40" s="62"/>
      <c r="H40" s="62">
        <v>0</v>
      </c>
      <c r="I40" s="62">
        <v>15200</v>
      </c>
      <c r="J40" s="62"/>
      <c r="K40" s="62"/>
      <c r="L40" s="62">
        <v>11615</v>
      </c>
      <c r="M40" s="62">
        <v>1894</v>
      </c>
      <c r="N40" s="62">
        <v>1691</v>
      </c>
      <c r="O40" s="62">
        <f>SUBTOTAL(9,Table4[[#This Row],[ESI BASIC]:[ESI FOOD]])</f>
        <v>0</v>
      </c>
      <c r="P40" s="86" t="s">
        <v>302</v>
      </c>
      <c r="Q40" s="86" t="s">
        <v>303</v>
      </c>
      <c r="R40" s="174">
        <v>36454318522</v>
      </c>
      <c r="S40" s="167"/>
      <c r="T40" s="10">
        <f t="shared" si="3"/>
        <v>29</v>
      </c>
      <c r="U40" s="167">
        <v>4</v>
      </c>
      <c r="V40" s="10">
        <f t="shared" si="4"/>
        <v>33</v>
      </c>
      <c r="W40" s="10">
        <f t="shared" si="5"/>
        <v>0</v>
      </c>
      <c r="X40" s="168" t="s">
        <v>192</v>
      </c>
      <c r="Y40" s="177" t="s">
        <v>192</v>
      </c>
      <c r="Z40" s="170" t="s">
        <v>153</v>
      </c>
      <c r="AA40" s="168" t="s">
        <v>192</v>
      </c>
      <c r="AB40" s="168" t="s">
        <v>153</v>
      </c>
      <c r="AC40" s="168" t="s">
        <v>192</v>
      </c>
      <c r="AD40" s="168" t="s">
        <v>153</v>
      </c>
      <c r="AE40" s="168" t="s">
        <v>192</v>
      </c>
      <c r="AF40" s="168" t="s">
        <v>153</v>
      </c>
      <c r="AG40" s="168" t="s">
        <v>192</v>
      </c>
      <c r="AH40" s="168" t="s">
        <v>153</v>
      </c>
      <c r="AI40" s="168" t="s">
        <v>192</v>
      </c>
      <c r="AJ40" s="168" t="s">
        <v>153</v>
      </c>
      <c r="AK40" s="168" t="s">
        <v>192</v>
      </c>
      <c r="AL40" s="168" t="s">
        <v>153</v>
      </c>
      <c r="AM40" s="168" t="s">
        <v>192</v>
      </c>
      <c r="AN40" s="168" t="s">
        <v>153</v>
      </c>
      <c r="AO40" s="168" t="s">
        <v>192</v>
      </c>
      <c r="AP40" s="168" t="s">
        <v>153</v>
      </c>
      <c r="AQ40" s="168" t="s">
        <v>192</v>
      </c>
      <c r="AR40" s="168" t="s">
        <v>153</v>
      </c>
      <c r="AS40" s="168" t="s">
        <v>192</v>
      </c>
      <c r="AT40" s="168" t="s">
        <v>153</v>
      </c>
      <c r="AU40" s="168" t="s">
        <v>192</v>
      </c>
      <c r="AV40" s="168" t="s">
        <v>153</v>
      </c>
      <c r="AW40" s="168" t="s">
        <v>192</v>
      </c>
      <c r="AX40" s="168" t="s">
        <v>153</v>
      </c>
      <c r="AY40" s="168" t="s">
        <v>192</v>
      </c>
      <c r="AZ40" s="168" t="s">
        <v>153</v>
      </c>
      <c r="BA40" s="168" t="s">
        <v>192</v>
      </c>
      <c r="BB40" s="168" t="s">
        <v>192</v>
      </c>
      <c r="BC40" s="168" t="s">
        <v>192</v>
      </c>
      <c r="BD40" s="168" t="s">
        <v>153</v>
      </c>
      <c r="BE40" s="168" t="s">
        <v>192</v>
      </c>
      <c r="BF40" s="168" t="s">
        <v>153</v>
      </c>
      <c r="BG40" s="168" t="s">
        <v>192</v>
      </c>
      <c r="BH40" s="168" t="s">
        <v>153</v>
      </c>
      <c r="BI40" s="168" t="s">
        <v>192</v>
      </c>
      <c r="BJ40" s="168" t="s">
        <v>153</v>
      </c>
      <c r="BK40" s="168" t="s">
        <v>192</v>
      </c>
      <c r="BL40" s="168" t="s">
        <v>153</v>
      </c>
      <c r="BM40" s="168" t="s">
        <v>192</v>
      </c>
      <c r="BN40" s="168" t="s">
        <v>153</v>
      </c>
      <c r="BO40" s="168" t="s">
        <v>192</v>
      </c>
      <c r="BP40" s="168" t="s">
        <v>153</v>
      </c>
      <c r="BQ40" s="168" t="s">
        <v>192</v>
      </c>
      <c r="BR40" s="168" t="s">
        <v>153</v>
      </c>
      <c r="BS40" s="168" t="s">
        <v>192</v>
      </c>
      <c r="BT40" s="168" t="s">
        <v>153</v>
      </c>
      <c r="BU40" s="168" t="s">
        <v>192</v>
      </c>
      <c r="BV40" s="168" t="s">
        <v>153</v>
      </c>
      <c r="BW40" s="168" t="s">
        <v>192</v>
      </c>
      <c r="BX40" s="168" t="s">
        <v>153</v>
      </c>
      <c r="BY40" s="168" t="s">
        <v>192</v>
      </c>
      <c r="BZ40" s="168" t="s">
        <v>153</v>
      </c>
      <c r="CA40" s="168" t="s">
        <v>192</v>
      </c>
      <c r="CB40" s="168" t="s">
        <v>153</v>
      </c>
      <c r="CC40" s="168" t="s">
        <v>192</v>
      </c>
      <c r="CD40" s="168" t="s">
        <v>153</v>
      </c>
      <c r="CE40" s="168" t="s">
        <v>192</v>
      </c>
      <c r="CF40" s="168" t="s">
        <v>153</v>
      </c>
      <c r="CG40" s="244" t="s">
        <v>192</v>
      </c>
      <c r="CH40" s="183"/>
      <c r="CI40" s="259"/>
      <c r="CJ40" s="260"/>
      <c r="CK40" s="261"/>
      <c r="CL40" s="260"/>
      <c r="CM40" s="160"/>
      <c r="CN40" s="160"/>
      <c r="CO40" s="160"/>
      <c r="CP40" s="160"/>
      <c r="CQ40" s="160"/>
      <c r="CR40" s="179"/>
      <c r="CS40" s="179"/>
      <c r="CT40" s="179"/>
      <c r="CU40" s="179"/>
      <c r="CV40" s="179"/>
      <c r="CW40" s="160"/>
      <c r="CX40" s="188"/>
      <c r="CY40" s="160"/>
      <c r="CZ40" s="160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79"/>
      <c r="DL40" s="160"/>
      <c r="DM40" s="160"/>
      <c r="DN40" s="160"/>
    </row>
    <row r="41" spans="1:118" ht="17.25" hidden="1" customHeight="1">
      <c r="A41" s="146" t="s">
        <v>80</v>
      </c>
      <c r="B41" s="146" t="s">
        <v>84</v>
      </c>
      <c r="C41" s="28" t="s">
        <v>268</v>
      </c>
      <c r="D41" s="62" t="s">
        <v>329</v>
      </c>
      <c r="E41" s="62"/>
      <c r="F41" s="62"/>
      <c r="G41" s="62"/>
      <c r="H41" s="62">
        <v>0</v>
      </c>
      <c r="I41" s="62">
        <v>16800</v>
      </c>
      <c r="J41" s="62"/>
      <c r="K41" s="62"/>
      <c r="L41" s="62">
        <v>11620</v>
      </c>
      <c r="M41" s="62">
        <v>2600</v>
      </c>
      <c r="N41" s="62">
        <v>2580</v>
      </c>
      <c r="O41" s="62">
        <f>SUBTOTAL(9,Table4[[#This Row],[ESI BASIC]:[ESI FOOD]])</f>
        <v>0</v>
      </c>
      <c r="P41" s="86" t="s">
        <v>336</v>
      </c>
      <c r="Q41" s="86" t="s">
        <v>337</v>
      </c>
      <c r="R41" s="174">
        <v>1937031426</v>
      </c>
      <c r="S41" s="167"/>
      <c r="T41" s="10">
        <f t="shared" si="3"/>
        <v>30</v>
      </c>
      <c r="U41" s="167">
        <v>4</v>
      </c>
      <c r="V41" s="10">
        <f t="shared" si="4"/>
        <v>34</v>
      </c>
      <c r="W41" s="10">
        <f t="shared" si="5"/>
        <v>0</v>
      </c>
      <c r="X41" s="170" t="s">
        <v>153</v>
      </c>
      <c r="Y41" s="168" t="s">
        <v>192</v>
      </c>
      <c r="Z41" s="168" t="s">
        <v>153</v>
      </c>
      <c r="AA41" s="168" t="s">
        <v>192</v>
      </c>
      <c r="AB41" s="168" t="s">
        <v>153</v>
      </c>
      <c r="AC41" s="168" t="s">
        <v>192</v>
      </c>
      <c r="AD41" s="168" t="s">
        <v>153</v>
      </c>
      <c r="AE41" s="168" t="s">
        <v>192</v>
      </c>
      <c r="AF41" s="168" t="s">
        <v>153</v>
      </c>
      <c r="AG41" s="168" t="s">
        <v>192</v>
      </c>
      <c r="AH41" s="168" t="s">
        <v>153</v>
      </c>
      <c r="AI41" s="168" t="s">
        <v>192</v>
      </c>
      <c r="AJ41" s="168" t="s">
        <v>153</v>
      </c>
      <c r="AK41" s="168" t="s">
        <v>192</v>
      </c>
      <c r="AL41" s="168" t="s">
        <v>153</v>
      </c>
      <c r="AM41" s="168" t="s">
        <v>192</v>
      </c>
      <c r="AN41" s="168" t="s">
        <v>153</v>
      </c>
      <c r="AO41" s="168" t="s">
        <v>192</v>
      </c>
      <c r="AP41" s="168" t="s">
        <v>192</v>
      </c>
      <c r="AQ41" s="168" t="s">
        <v>192</v>
      </c>
      <c r="AR41" s="168" t="s">
        <v>153</v>
      </c>
      <c r="AS41" s="168" t="s">
        <v>192</v>
      </c>
      <c r="AT41" s="168" t="s">
        <v>153</v>
      </c>
      <c r="AU41" s="168" t="s">
        <v>192</v>
      </c>
      <c r="AV41" s="168" t="s">
        <v>192</v>
      </c>
      <c r="AW41" s="168" t="s">
        <v>192</v>
      </c>
      <c r="AX41" s="168" t="s">
        <v>153</v>
      </c>
      <c r="AY41" s="168" t="s">
        <v>153</v>
      </c>
      <c r="AZ41" s="168" t="s">
        <v>153</v>
      </c>
      <c r="BA41" s="168" t="s">
        <v>192</v>
      </c>
      <c r="BB41" s="168" t="s">
        <v>153</v>
      </c>
      <c r="BC41" s="168" t="s">
        <v>192</v>
      </c>
      <c r="BD41" s="168" t="s">
        <v>153</v>
      </c>
      <c r="BE41" s="168" t="s">
        <v>192</v>
      </c>
      <c r="BF41" s="168" t="s">
        <v>153</v>
      </c>
      <c r="BG41" s="168" t="s">
        <v>192</v>
      </c>
      <c r="BH41" s="168" t="s">
        <v>153</v>
      </c>
      <c r="BI41" s="168" t="s">
        <v>192</v>
      </c>
      <c r="BJ41" s="168" t="s">
        <v>192</v>
      </c>
      <c r="BK41" s="168" t="s">
        <v>192</v>
      </c>
      <c r="BL41" s="168" t="s">
        <v>153</v>
      </c>
      <c r="BM41" s="168" t="s">
        <v>192</v>
      </c>
      <c r="BN41" s="168" t="s">
        <v>153</v>
      </c>
      <c r="BO41" s="168" t="s">
        <v>192</v>
      </c>
      <c r="BP41" s="168" t="s">
        <v>153</v>
      </c>
      <c r="BQ41" s="168" t="s">
        <v>192</v>
      </c>
      <c r="BR41" s="168" t="s">
        <v>153</v>
      </c>
      <c r="BS41" s="168" t="s">
        <v>192</v>
      </c>
      <c r="BT41" s="168" t="s">
        <v>153</v>
      </c>
      <c r="BU41" s="168" t="s">
        <v>192</v>
      </c>
      <c r="BV41" s="168" t="s">
        <v>153</v>
      </c>
      <c r="BW41" s="168" t="s">
        <v>153</v>
      </c>
      <c r="BX41" s="168" t="s">
        <v>153</v>
      </c>
      <c r="BY41" s="168" t="s">
        <v>192</v>
      </c>
      <c r="BZ41" s="168" t="s">
        <v>153</v>
      </c>
      <c r="CA41" s="168" t="s">
        <v>192</v>
      </c>
      <c r="CB41" s="168" t="s">
        <v>153</v>
      </c>
      <c r="CC41" s="168" t="s">
        <v>192</v>
      </c>
      <c r="CD41" s="168" t="s">
        <v>153</v>
      </c>
      <c r="CE41" s="168" t="s">
        <v>192</v>
      </c>
      <c r="CF41" s="168" t="s">
        <v>153</v>
      </c>
      <c r="CG41" s="168" t="s">
        <v>192</v>
      </c>
      <c r="CH41" s="183"/>
      <c r="CI41" s="186"/>
      <c r="CJ41" s="179"/>
      <c r="CK41" s="179"/>
      <c r="CL41" s="179"/>
      <c r="CM41" s="160"/>
      <c r="CN41" s="160"/>
      <c r="CO41" s="160"/>
      <c r="CP41" s="160"/>
      <c r="CQ41" s="160"/>
      <c r="CR41" s="179"/>
      <c r="CS41" s="179"/>
      <c r="CT41" s="179"/>
      <c r="CU41" s="179"/>
      <c r="CV41" s="179"/>
      <c r="CW41" s="179"/>
      <c r="CX41" s="179"/>
      <c r="CY41" s="160"/>
      <c r="CZ41" s="160"/>
      <c r="DA41" s="160"/>
      <c r="DB41" s="160"/>
      <c r="DC41" s="160"/>
      <c r="DD41" s="160"/>
      <c r="DE41" s="160"/>
      <c r="DF41" s="160"/>
      <c r="DG41" s="160"/>
      <c r="DH41" s="160"/>
      <c r="DI41" s="160"/>
      <c r="DJ41" s="160"/>
      <c r="DK41" s="160"/>
      <c r="DL41" s="160"/>
      <c r="DM41" s="160"/>
      <c r="DN41" s="160"/>
    </row>
    <row r="42" spans="1:118" ht="15" customHeight="1">
      <c r="A42" s="146" t="s">
        <v>79</v>
      </c>
      <c r="B42" s="146" t="s">
        <v>83</v>
      </c>
      <c r="C42" s="28" t="s">
        <v>269</v>
      </c>
      <c r="D42" s="62" t="s">
        <v>298</v>
      </c>
      <c r="E42" s="62">
        <v>10560</v>
      </c>
      <c r="F42" s="62">
        <v>5000</v>
      </c>
      <c r="G42" s="62">
        <v>4440</v>
      </c>
      <c r="H42" s="62">
        <f>SUBTOTAL(9,Table4[[#This Row],[BASIC]:[FOOD]])</f>
        <v>20000</v>
      </c>
      <c r="I42" s="62"/>
      <c r="J42" s="62"/>
      <c r="K42" s="62"/>
      <c r="L42" s="62"/>
      <c r="M42" s="62"/>
      <c r="N42" s="62"/>
      <c r="O42" s="62"/>
      <c r="P42" s="86" t="s">
        <v>307</v>
      </c>
      <c r="Q42" s="86" t="s">
        <v>308</v>
      </c>
      <c r="R42" s="174">
        <v>110062333588</v>
      </c>
      <c r="S42" s="167"/>
      <c r="T42" s="10">
        <f t="shared" si="3"/>
        <v>31</v>
      </c>
      <c r="U42" s="167"/>
      <c r="V42" s="10">
        <f t="shared" si="4"/>
        <v>31</v>
      </c>
      <c r="W42" s="10">
        <f t="shared" si="5"/>
        <v>0</v>
      </c>
      <c r="X42" s="168" t="s">
        <v>153</v>
      </c>
      <c r="Y42" s="168" t="s">
        <v>192</v>
      </c>
      <c r="Z42" s="170" t="s">
        <v>153</v>
      </c>
      <c r="AA42" s="168" t="s">
        <v>192</v>
      </c>
      <c r="AB42" s="168" t="s">
        <v>153</v>
      </c>
      <c r="AC42" s="168" t="s">
        <v>192</v>
      </c>
      <c r="AD42" s="168" t="s">
        <v>153</v>
      </c>
      <c r="AE42" s="168" t="s">
        <v>192</v>
      </c>
      <c r="AF42" s="168" t="s">
        <v>153</v>
      </c>
      <c r="AG42" s="168" t="s">
        <v>192</v>
      </c>
      <c r="AH42" s="168" t="s">
        <v>153</v>
      </c>
      <c r="AI42" s="168" t="s">
        <v>192</v>
      </c>
      <c r="AJ42" s="168" t="s">
        <v>153</v>
      </c>
      <c r="AK42" s="168" t="s">
        <v>192</v>
      </c>
      <c r="AL42" s="168" t="s">
        <v>153</v>
      </c>
      <c r="AM42" s="168" t="s">
        <v>192</v>
      </c>
      <c r="AN42" s="168" t="s">
        <v>153</v>
      </c>
      <c r="AO42" s="168" t="s">
        <v>192</v>
      </c>
      <c r="AP42" s="168" t="s">
        <v>153</v>
      </c>
      <c r="AQ42" s="168" t="s">
        <v>192</v>
      </c>
      <c r="AR42" s="168" t="s">
        <v>153</v>
      </c>
      <c r="AS42" s="168" t="s">
        <v>192</v>
      </c>
      <c r="AT42" s="168" t="s">
        <v>153</v>
      </c>
      <c r="AU42" s="168" t="s">
        <v>192</v>
      </c>
      <c r="AV42" s="168" t="s">
        <v>153</v>
      </c>
      <c r="AW42" s="168" t="s">
        <v>192</v>
      </c>
      <c r="AX42" s="168" t="s">
        <v>153</v>
      </c>
      <c r="AY42" s="168" t="s">
        <v>192</v>
      </c>
      <c r="AZ42" s="168" t="s">
        <v>153</v>
      </c>
      <c r="BA42" s="168" t="s">
        <v>192</v>
      </c>
      <c r="BB42" s="168" t="s">
        <v>153</v>
      </c>
      <c r="BC42" s="168" t="s">
        <v>192</v>
      </c>
      <c r="BD42" s="168" t="s">
        <v>153</v>
      </c>
      <c r="BE42" s="168" t="s">
        <v>192</v>
      </c>
      <c r="BF42" s="168" t="s">
        <v>153</v>
      </c>
      <c r="BG42" s="168" t="s">
        <v>192</v>
      </c>
      <c r="BH42" s="168" t="s">
        <v>153</v>
      </c>
      <c r="BI42" s="168" t="s">
        <v>192</v>
      </c>
      <c r="BJ42" s="168" t="s">
        <v>153</v>
      </c>
      <c r="BK42" s="168" t="s">
        <v>192</v>
      </c>
      <c r="BL42" s="168" t="s">
        <v>153</v>
      </c>
      <c r="BM42" s="168" t="s">
        <v>192</v>
      </c>
      <c r="BN42" s="168" t="s">
        <v>153</v>
      </c>
      <c r="BO42" s="168" t="s">
        <v>192</v>
      </c>
      <c r="BP42" s="168" t="s">
        <v>153</v>
      </c>
      <c r="BQ42" s="168" t="s">
        <v>192</v>
      </c>
      <c r="BR42" s="168" t="s">
        <v>153</v>
      </c>
      <c r="BS42" s="168" t="s">
        <v>192</v>
      </c>
      <c r="BT42" s="168" t="s">
        <v>153</v>
      </c>
      <c r="BU42" s="168" t="s">
        <v>192</v>
      </c>
      <c r="BV42" s="168" t="s">
        <v>153</v>
      </c>
      <c r="BW42" s="168" t="s">
        <v>192</v>
      </c>
      <c r="BX42" s="168" t="s">
        <v>153</v>
      </c>
      <c r="BY42" s="168" t="s">
        <v>192</v>
      </c>
      <c r="BZ42" s="168" t="s">
        <v>153</v>
      </c>
      <c r="CA42" s="168" t="s">
        <v>192</v>
      </c>
      <c r="CB42" s="168" t="s">
        <v>153</v>
      </c>
      <c r="CC42" s="168" t="s">
        <v>192</v>
      </c>
      <c r="CD42" s="168" t="s">
        <v>153</v>
      </c>
      <c r="CE42" s="168" t="s">
        <v>192</v>
      </c>
      <c r="CF42" s="168" t="s">
        <v>153</v>
      </c>
      <c r="CG42" s="244" t="s">
        <v>192</v>
      </c>
      <c r="CH42" s="183"/>
      <c r="CI42" s="185"/>
      <c r="CJ42" s="160"/>
      <c r="CK42" s="160"/>
      <c r="CL42" s="160"/>
      <c r="CM42" s="160"/>
      <c r="CN42" s="160"/>
      <c r="CO42" s="160"/>
      <c r="CP42" s="160"/>
      <c r="CQ42" s="160"/>
      <c r="CR42" s="160"/>
      <c r="CS42" s="179"/>
      <c r="CT42" s="160"/>
      <c r="CU42" s="160"/>
      <c r="CV42" s="160"/>
      <c r="CW42" s="160"/>
      <c r="CX42" s="160"/>
      <c r="CY42" s="160"/>
      <c r="CZ42" s="160"/>
      <c r="DA42" s="160"/>
      <c r="DB42" s="160"/>
      <c r="DC42" s="160"/>
      <c r="DD42" s="160"/>
      <c r="DE42" s="160"/>
      <c r="DF42" s="160"/>
      <c r="DG42" s="160"/>
      <c r="DH42" s="160"/>
      <c r="DI42" s="160"/>
      <c r="DJ42" s="160"/>
      <c r="DK42" s="160"/>
      <c r="DL42" s="160"/>
      <c r="DM42" s="160"/>
      <c r="DN42" s="160"/>
    </row>
    <row r="43" spans="1:118" hidden="1">
      <c r="A43" s="146" t="s">
        <v>80</v>
      </c>
      <c r="B43" s="146" t="s">
        <v>35</v>
      </c>
      <c r="C43" s="28" t="s">
        <v>402</v>
      </c>
      <c r="D43" s="62"/>
      <c r="E43" s="62"/>
      <c r="F43" s="62"/>
      <c r="G43" s="62"/>
      <c r="H43" s="62">
        <v>0</v>
      </c>
      <c r="I43" s="62"/>
      <c r="J43" s="62">
        <v>300</v>
      </c>
      <c r="K43" s="62">
        <v>185</v>
      </c>
      <c r="L43" s="62">
        <v>19000</v>
      </c>
      <c r="M43" s="62"/>
      <c r="N43" s="62"/>
      <c r="O43" s="62">
        <f>SUBTOTAL(9,Table4[[#This Row],[ESI BASIC]:[ESI FOOD]])</f>
        <v>0</v>
      </c>
      <c r="P43" s="86" t="s">
        <v>348</v>
      </c>
      <c r="Q43" s="86" t="s">
        <v>305</v>
      </c>
      <c r="R43" s="174">
        <v>80850100011310</v>
      </c>
      <c r="S43" s="167"/>
      <c r="T43" s="10">
        <f t="shared" si="3"/>
        <v>34</v>
      </c>
      <c r="U43" s="167"/>
      <c r="V43" s="10">
        <f t="shared" si="4"/>
        <v>34</v>
      </c>
      <c r="W43" s="10">
        <f t="shared" si="5"/>
        <v>8</v>
      </c>
      <c r="X43" s="170" t="s">
        <v>153</v>
      </c>
      <c r="Y43" s="168" t="s">
        <v>153</v>
      </c>
      <c r="Z43" s="168" t="s">
        <v>192</v>
      </c>
      <c r="AA43" s="168" t="s">
        <v>153</v>
      </c>
      <c r="AB43" s="168" t="s">
        <v>153</v>
      </c>
      <c r="AC43" s="168" t="s">
        <v>192</v>
      </c>
      <c r="AD43" s="168" t="s">
        <v>153</v>
      </c>
      <c r="AE43" s="168" t="s">
        <v>153</v>
      </c>
      <c r="AF43" s="168" t="s">
        <v>192</v>
      </c>
      <c r="AG43" s="168" t="s">
        <v>153</v>
      </c>
      <c r="AH43" s="168" t="s">
        <v>153</v>
      </c>
      <c r="AI43" s="168" t="s">
        <v>192</v>
      </c>
      <c r="AJ43" s="168" t="s">
        <v>153</v>
      </c>
      <c r="AK43" s="168" t="s">
        <v>153</v>
      </c>
      <c r="AL43" s="168" t="s">
        <v>192</v>
      </c>
      <c r="AM43" s="168" t="s">
        <v>153</v>
      </c>
      <c r="AN43" s="168" t="s">
        <v>153</v>
      </c>
      <c r="AO43" s="168" t="s">
        <v>192</v>
      </c>
      <c r="AP43" s="168" t="s">
        <v>153</v>
      </c>
      <c r="AQ43" s="168" t="s">
        <v>153</v>
      </c>
      <c r="AR43" s="168" t="s">
        <v>192</v>
      </c>
      <c r="AS43" s="168" t="s">
        <v>153</v>
      </c>
      <c r="AT43" s="168" t="s">
        <v>153</v>
      </c>
      <c r="AU43" s="168" t="s">
        <v>192</v>
      </c>
      <c r="AV43" s="168" t="s">
        <v>153</v>
      </c>
      <c r="AW43" s="168" t="s">
        <v>153</v>
      </c>
      <c r="AX43" s="168" t="s">
        <v>192</v>
      </c>
      <c r="AY43" s="168" t="s">
        <v>153</v>
      </c>
      <c r="AZ43" s="168" t="s">
        <v>153</v>
      </c>
      <c r="BA43" s="168" t="s">
        <v>192</v>
      </c>
      <c r="BB43" s="168" t="s">
        <v>153</v>
      </c>
      <c r="BC43" s="168" t="s">
        <v>192</v>
      </c>
      <c r="BD43" s="168" t="s">
        <v>192</v>
      </c>
      <c r="BE43" s="168" t="s">
        <v>192</v>
      </c>
      <c r="BF43" s="168" t="s">
        <v>192</v>
      </c>
      <c r="BG43" s="168" t="s">
        <v>192</v>
      </c>
      <c r="BH43" s="168" t="s">
        <v>192</v>
      </c>
      <c r="BI43" s="168" t="s">
        <v>192</v>
      </c>
      <c r="BJ43" s="168" t="s">
        <v>192</v>
      </c>
      <c r="BK43" s="168" t="s">
        <v>192</v>
      </c>
      <c r="BL43" s="168" t="s">
        <v>192</v>
      </c>
      <c r="BM43" s="168" t="s">
        <v>192</v>
      </c>
      <c r="BN43" s="168" t="s">
        <v>192</v>
      </c>
      <c r="BO43" s="168" t="s">
        <v>153</v>
      </c>
      <c r="BP43" s="168" t="s">
        <v>192</v>
      </c>
      <c r="BQ43" s="168" t="s">
        <v>153</v>
      </c>
      <c r="BR43" s="168" t="s">
        <v>153</v>
      </c>
      <c r="BS43" s="168" t="s">
        <v>192</v>
      </c>
      <c r="BT43" s="168" t="s">
        <v>153</v>
      </c>
      <c r="BU43" s="168" t="s">
        <v>153</v>
      </c>
      <c r="BV43" s="168" t="s">
        <v>192</v>
      </c>
      <c r="BW43" s="168" t="s">
        <v>153</v>
      </c>
      <c r="BX43" s="168" t="s">
        <v>153</v>
      </c>
      <c r="BY43" s="168" t="s">
        <v>192</v>
      </c>
      <c r="BZ43" s="168" t="s">
        <v>153</v>
      </c>
      <c r="CA43" s="168" t="s">
        <v>153</v>
      </c>
      <c r="CB43" s="168" t="s">
        <v>192</v>
      </c>
      <c r="CC43" s="168" t="s">
        <v>153</v>
      </c>
      <c r="CD43" s="168" t="s">
        <v>153</v>
      </c>
      <c r="CE43" s="168" t="s">
        <v>192</v>
      </c>
      <c r="CF43" s="168" t="s">
        <v>153</v>
      </c>
      <c r="CG43" s="168" t="s">
        <v>153</v>
      </c>
      <c r="CH43" s="183"/>
      <c r="CI43" s="168">
        <v>0</v>
      </c>
      <c r="CJ43" s="160">
        <v>0</v>
      </c>
      <c r="CK43" s="160">
        <v>0</v>
      </c>
      <c r="CL43" s="160">
        <v>0</v>
      </c>
      <c r="CM43" s="160">
        <v>1</v>
      </c>
      <c r="CN43" s="160">
        <v>0</v>
      </c>
      <c r="CO43" s="160">
        <v>0</v>
      </c>
      <c r="CP43" s="160">
        <v>0</v>
      </c>
      <c r="CQ43" s="160">
        <v>1</v>
      </c>
      <c r="CR43" s="160">
        <v>0</v>
      </c>
      <c r="CS43" s="179">
        <v>0</v>
      </c>
      <c r="CT43" s="160">
        <v>0</v>
      </c>
      <c r="CU43" s="160">
        <v>0</v>
      </c>
      <c r="CV43" s="160">
        <v>0</v>
      </c>
      <c r="CW43" s="160">
        <v>1</v>
      </c>
      <c r="CX43" s="160">
        <v>0</v>
      </c>
      <c r="CY43" s="160">
        <v>0</v>
      </c>
      <c r="CZ43" s="160">
        <v>0</v>
      </c>
      <c r="DA43" s="160">
        <v>0</v>
      </c>
      <c r="DB43" s="160">
        <v>0</v>
      </c>
      <c r="DC43" s="160">
        <v>0</v>
      </c>
      <c r="DD43" s="160">
        <v>0</v>
      </c>
      <c r="DE43" s="160">
        <v>1</v>
      </c>
      <c r="DF43" s="160">
        <v>0</v>
      </c>
      <c r="DG43" s="160">
        <v>1</v>
      </c>
      <c r="DH43" s="160">
        <v>0</v>
      </c>
      <c r="DI43" s="160">
        <v>2</v>
      </c>
      <c r="DJ43" s="160">
        <v>0</v>
      </c>
      <c r="DK43" s="160">
        <v>0</v>
      </c>
      <c r="DL43" s="160">
        <v>1</v>
      </c>
      <c r="DM43" s="160">
        <v>0</v>
      </c>
      <c r="DN43" s="160"/>
    </row>
    <row r="44" spans="1:118" hidden="1">
      <c r="A44" s="146" t="s">
        <v>80</v>
      </c>
      <c r="B44" s="146" t="s">
        <v>35</v>
      </c>
      <c r="C44" s="28" t="s">
        <v>270</v>
      </c>
      <c r="D44" s="62" t="s">
        <v>388</v>
      </c>
      <c r="E44" s="62"/>
      <c r="F44" s="62"/>
      <c r="G44" s="62"/>
      <c r="H44" s="62">
        <v>0</v>
      </c>
      <c r="I44" s="62"/>
      <c r="J44" s="62">
        <v>300</v>
      </c>
      <c r="K44" s="62">
        <v>185</v>
      </c>
      <c r="L44" s="62">
        <v>21000</v>
      </c>
      <c r="M44" s="62"/>
      <c r="N44" s="62"/>
      <c r="O44" s="62">
        <f>Table4[[#This Row],[ESI FOOD]]+Table4[[#This Row],[ESI HRA]]+Table4[[#This Row],[ESI BASIC]]</f>
        <v>21000</v>
      </c>
      <c r="P44" s="19" t="s">
        <v>376</v>
      </c>
      <c r="Q44" s="19" t="s">
        <v>377</v>
      </c>
      <c r="R44" s="268" t="s">
        <v>384</v>
      </c>
      <c r="S44" s="167"/>
      <c r="T44" s="10">
        <f t="shared" si="3"/>
        <v>41</v>
      </c>
      <c r="U44" s="167"/>
      <c r="V44" s="10">
        <f t="shared" si="4"/>
        <v>41</v>
      </c>
      <c r="W44" s="10">
        <f t="shared" si="5"/>
        <v>10</v>
      </c>
      <c r="X44" s="170" t="s">
        <v>192</v>
      </c>
      <c r="Y44" s="168" t="s">
        <v>153</v>
      </c>
      <c r="Z44" s="170" t="s">
        <v>153</v>
      </c>
      <c r="AA44" s="168" t="s">
        <v>192</v>
      </c>
      <c r="AB44" s="170" t="s">
        <v>153</v>
      </c>
      <c r="AC44" s="168" t="s">
        <v>153</v>
      </c>
      <c r="AD44" s="170" t="s">
        <v>192</v>
      </c>
      <c r="AE44" s="168" t="s">
        <v>153</v>
      </c>
      <c r="AF44" s="170" t="s">
        <v>153</v>
      </c>
      <c r="AG44" s="168" t="s">
        <v>192</v>
      </c>
      <c r="AH44" s="168" t="s">
        <v>153</v>
      </c>
      <c r="AI44" s="168" t="s">
        <v>153</v>
      </c>
      <c r="AJ44" s="168" t="s">
        <v>192</v>
      </c>
      <c r="AK44" s="168" t="s">
        <v>153</v>
      </c>
      <c r="AL44" s="168" t="s">
        <v>153</v>
      </c>
      <c r="AM44" s="168" t="s">
        <v>192</v>
      </c>
      <c r="AN44" s="168" t="s">
        <v>153</v>
      </c>
      <c r="AO44" s="168" t="s">
        <v>153</v>
      </c>
      <c r="AP44" s="168" t="s">
        <v>192</v>
      </c>
      <c r="AQ44" s="168" t="s">
        <v>153</v>
      </c>
      <c r="AR44" s="168" t="s">
        <v>153</v>
      </c>
      <c r="AS44" s="168" t="s">
        <v>192</v>
      </c>
      <c r="AT44" s="168" t="s">
        <v>153</v>
      </c>
      <c r="AU44" s="168" t="s">
        <v>153</v>
      </c>
      <c r="AV44" s="168" t="s">
        <v>192</v>
      </c>
      <c r="AW44" s="168" t="s">
        <v>153</v>
      </c>
      <c r="AX44" s="168" t="s">
        <v>153</v>
      </c>
      <c r="AY44" s="168" t="s">
        <v>192</v>
      </c>
      <c r="AZ44" s="168" t="s">
        <v>153</v>
      </c>
      <c r="BA44" s="168" t="s">
        <v>153</v>
      </c>
      <c r="BB44" s="168" t="s">
        <v>192</v>
      </c>
      <c r="BC44" s="168" t="s">
        <v>153</v>
      </c>
      <c r="BD44" s="168" t="s">
        <v>153</v>
      </c>
      <c r="BE44" s="168" t="s">
        <v>192</v>
      </c>
      <c r="BF44" s="168" t="s">
        <v>153</v>
      </c>
      <c r="BG44" s="168" t="s">
        <v>153</v>
      </c>
      <c r="BH44" s="168" t="s">
        <v>192</v>
      </c>
      <c r="BI44" s="168" t="s">
        <v>153</v>
      </c>
      <c r="BJ44" s="168" t="s">
        <v>153</v>
      </c>
      <c r="BK44" s="168" t="s">
        <v>192</v>
      </c>
      <c r="BL44" s="168" t="s">
        <v>153</v>
      </c>
      <c r="BM44" s="168" t="s">
        <v>153</v>
      </c>
      <c r="BN44" s="168" t="s">
        <v>192</v>
      </c>
      <c r="BO44" s="168" t="s">
        <v>153</v>
      </c>
      <c r="BP44" s="168" t="s">
        <v>153</v>
      </c>
      <c r="BQ44" s="168" t="s">
        <v>192</v>
      </c>
      <c r="BR44" s="168" t="s">
        <v>153</v>
      </c>
      <c r="BS44" s="168" t="s">
        <v>153</v>
      </c>
      <c r="BT44" s="168" t="s">
        <v>192</v>
      </c>
      <c r="BU44" s="168" t="s">
        <v>153</v>
      </c>
      <c r="BV44" s="168" t="s">
        <v>153</v>
      </c>
      <c r="BW44" s="168" t="s">
        <v>192</v>
      </c>
      <c r="BX44" s="168" t="s">
        <v>153</v>
      </c>
      <c r="BY44" s="168" t="s">
        <v>153</v>
      </c>
      <c r="BZ44" s="168" t="s">
        <v>192</v>
      </c>
      <c r="CA44" s="168" t="s">
        <v>153</v>
      </c>
      <c r="CB44" s="168" t="s">
        <v>153</v>
      </c>
      <c r="CC44" s="168" t="s">
        <v>192</v>
      </c>
      <c r="CD44" s="168" t="s">
        <v>153</v>
      </c>
      <c r="CE44" s="168" t="s">
        <v>153</v>
      </c>
      <c r="CF44" s="168" t="s">
        <v>192</v>
      </c>
      <c r="CG44" s="244" t="s">
        <v>153</v>
      </c>
      <c r="CH44" s="183"/>
      <c r="CI44" s="186">
        <v>0</v>
      </c>
      <c r="CJ44" s="179">
        <v>0</v>
      </c>
      <c r="CK44" s="160">
        <v>0</v>
      </c>
      <c r="CL44" s="179">
        <v>0</v>
      </c>
      <c r="CM44" s="179">
        <v>0</v>
      </c>
      <c r="CN44" s="160">
        <v>0</v>
      </c>
      <c r="CO44" s="160">
        <v>1</v>
      </c>
      <c r="CP44" s="160">
        <v>0</v>
      </c>
      <c r="CQ44" s="179">
        <v>0</v>
      </c>
      <c r="CR44" s="160">
        <v>0</v>
      </c>
      <c r="CS44" s="179">
        <v>0</v>
      </c>
      <c r="CT44" s="179">
        <v>0</v>
      </c>
      <c r="CU44" s="179">
        <v>0</v>
      </c>
      <c r="CV44" s="179">
        <v>2</v>
      </c>
      <c r="CW44" s="179">
        <v>0</v>
      </c>
      <c r="CX44" s="179">
        <v>0</v>
      </c>
      <c r="CY44" s="160">
        <v>1</v>
      </c>
      <c r="CZ44" s="160">
        <v>0</v>
      </c>
      <c r="DA44" s="160">
        <v>1</v>
      </c>
      <c r="DB44" s="160">
        <v>0</v>
      </c>
      <c r="DC44" s="160">
        <v>0</v>
      </c>
      <c r="DD44" s="160">
        <v>1</v>
      </c>
      <c r="DE44" s="160">
        <v>1</v>
      </c>
      <c r="DF44" s="160">
        <v>0</v>
      </c>
      <c r="DG44" s="160">
        <v>0</v>
      </c>
      <c r="DH44" s="160">
        <v>0</v>
      </c>
      <c r="DI44" s="160">
        <v>2</v>
      </c>
      <c r="DJ44" s="179">
        <v>0</v>
      </c>
      <c r="DK44" s="160">
        <v>1</v>
      </c>
      <c r="DL44" s="160">
        <v>0</v>
      </c>
      <c r="DM44" s="160">
        <v>0</v>
      </c>
      <c r="DN44" s="160"/>
    </row>
    <row r="45" spans="1:118" hidden="1">
      <c r="A45" s="146" t="s">
        <v>80</v>
      </c>
      <c r="B45" s="146" t="s">
        <v>35</v>
      </c>
      <c r="C45" s="28" t="s">
        <v>271</v>
      </c>
      <c r="D45" s="62" t="s">
        <v>389</v>
      </c>
      <c r="E45" s="62"/>
      <c r="F45" s="62"/>
      <c r="G45" s="62"/>
      <c r="H45" s="62">
        <v>0</v>
      </c>
      <c r="I45" s="62"/>
      <c r="J45" s="62">
        <v>300</v>
      </c>
      <c r="K45" s="62">
        <v>185</v>
      </c>
      <c r="L45" s="62">
        <v>21000</v>
      </c>
      <c r="M45" s="62"/>
      <c r="N45" s="62"/>
      <c r="O45" s="62">
        <f>Table4[[#This Row],[ESI FOOD]]+Table4[[#This Row],[ESI HRA]]+Table4[[#This Row],[ESI BASIC]]</f>
        <v>21000</v>
      </c>
      <c r="P45" s="263" t="s">
        <v>314</v>
      </c>
      <c r="Q45" s="263" t="s">
        <v>335</v>
      </c>
      <c r="R45" s="174">
        <v>25500110040355</v>
      </c>
      <c r="S45" s="167"/>
      <c r="T45" s="10">
        <f t="shared" si="3"/>
        <v>43</v>
      </c>
      <c r="U45" s="167"/>
      <c r="V45" s="10">
        <f t="shared" si="4"/>
        <v>43</v>
      </c>
      <c r="W45" s="10">
        <f t="shared" si="5"/>
        <v>14</v>
      </c>
      <c r="X45" s="170" t="s">
        <v>153</v>
      </c>
      <c r="Y45" s="177" t="s">
        <v>153</v>
      </c>
      <c r="Z45" s="168" t="s">
        <v>192</v>
      </c>
      <c r="AA45" s="177" t="s">
        <v>153</v>
      </c>
      <c r="AB45" s="168" t="s">
        <v>153</v>
      </c>
      <c r="AC45" s="177" t="s">
        <v>192</v>
      </c>
      <c r="AD45" s="168" t="s">
        <v>153</v>
      </c>
      <c r="AE45" s="177" t="s">
        <v>153</v>
      </c>
      <c r="AF45" s="168" t="s">
        <v>192</v>
      </c>
      <c r="AG45" s="177" t="s">
        <v>153</v>
      </c>
      <c r="AH45" s="168" t="s">
        <v>153</v>
      </c>
      <c r="AI45" s="177" t="s">
        <v>192</v>
      </c>
      <c r="AJ45" s="168" t="s">
        <v>153</v>
      </c>
      <c r="AK45" s="177" t="s">
        <v>153</v>
      </c>
      <c r="AL45" s="168" t="s">
        <v>153</v>
      </c>
      <c r="AM45" s="177" t="s">
        <v>153</v>
      </c>
      <c r="AN45" s="168" t="s">
        <v>153</v>
      </c>
      <c r="AO45" s="177" t="s">
        <v>192</v>
      </c>
      <c r="AP45" s="168" t="s">
        <v>153</v>
      </c>
      <c r="AQ45" s="177" t="s">
        <v>153</v>
      </c>
      <c r="AR45" s="168" t="s">
        <v>192</v>
      </c>
      <c r="AS45" s="177" t="s">
        <v>153</v>
      </c>
      <c r="AT45" s="168" t="s">
        <v>153</v>
      </c>
      <c r="AU45" s="177" t="s">
        <v>192</v>
      </c>
      <c r="AV45" s="168" t="s">
        <v>153</v>
      </c>
      <c r="AW45" s="177" t="s">
        <v>153</v>
      </c>
      <c r="AX45" s="168" t="s">
        <v>192</v>
      </c>
      <c r="AY45" s="177" t="s">
        <v>153</v>
      </c>
      <c r="AZ45" s="168" t="s">
        <v>153</v>
      </c>
      <c r="BA45" s="168" t="s">
        <v>192</v>
      </c>
      <c r="BB45" s="168" t="s">
        <v>153</v>
      </c>
      <c r="BC45" s="168" t="s">
        <v>153</v>
      </c>
      <c r="BD45" s="168" t="s">
        <v>192</v>
      </c>
      <c r="BE45" s="168" t="s">
        <v>153</v>
      </c>
      <c r="BF45" s="168" t="s">
        <v>153</v>
      </c>
      <c r="BG45" s="168" t="s">
        <v>192</v>
      </c>
      <c r="BH45" s="168" t="s">
        <v>153</v>
      </c>
      <c r="BI45" s="168" t="s">
        <v>153</v>
      </c>
      <c r="BJ45" s="168" t="s">
        <v>192</v>
      </c>
      <c r="BK45" s="168" t="s">
        <v>153</v>
      </c>
      <c r="BL45" s="168" t="s">
        <v>153</v>
      </c>
      <c r="BM45" s="168" t="s">
        <v>192</v>
      </c>
      <c r="BN45" s="168" t="s">
        <v>153</v>
      </c>
      <c r="BO45" s="168" t="s">
        <v>153</v>
      </c>
      <c r="BP45" s="168" t="s">
        <v>192</v>
      </c>
      <c r="BQ45" s="168" t="s">
        <v>153</v>
      </c>
      <c r="BR45" s="168" t="s">
        <v>153</v>
      </c>
      <c r="BS45" s="168" t="s">
        <v>192</v>
      </c>
      <c r="BT45" s="168" t="s">
        <v>153</v>
      </c>
      <c r="BU45" s="168" t="s">
        <v>153</v>
      </c>
      <c r="BV45" s="168" t="s">
        <v>192</v>
      </c>
      <c r="BW45" s="168" t="s">
        <v>153</v>
      </c>
      <c r="BX45" s="168" t="s">
        <v>153</v>
      </c>
      <c r="BY45" s="168" t="s">
        <v>192</v>
      </c>
      <c r="BZ45" s="168" t="s">
        <v>153</v>
      </c>
      <c r="CA45" s="168" t="s">
        <v>153</v>
      </c>
      <c r="CB45" s="168" t="s">
        <v>192</v>
      </c>
      <c r="CC45" s="168" t="s">
        <v>153</v>
      </c>
      <c r="CD45" s="168" t="s">
        <v>153</v>
      </c>
      <c r="CE45" s="168" t="s">
        <v>192</v>
      </c>
      <c r="CF45" s="168" t="s">
        <v>153</v>
      </c>
      <c r="CG45" s="244" t="s">
        <v>153</v>
      </c>
      <c r="CH45" s="183"/>
      <c r="CI45" s="186">
        <v>0</v>
      </c>
      <c r="CJ45" s="160">
        <v>0</v>
      </c>
      <c r="CK45" s="160">
        <v>0</v>
      </c>
      <c r="CL45" s="160">
        <v>0</v>
      </c>
      <c r="CM45" s="160">
        <v>1</v>
      </c>
      <c r="CN45" s="160">
        <v>0</v>
      </c>
      <c r="CO45" s="160">
        <v>0</v>
      </c>
      <c r="CP45" s="160">
        <v>1</v>
      </c>
      <c r="CQ45" s="160">
        <v>1</v>
      </c>
      <c r="CR45" s="160">
        <v>0</v>
      </c>
      <c r="CS45" s="179">
        <v>0</v>
      </c>
      <c r="CT45" s="160">
        <v>1</v>
      </c>
      <c r="CU45" s="160">
        <v>0</v>
      </c>
      <c r="CV45" s="160">
        <v>1</v>
      </c>
      <c r="CW45" s="160">
        <v>1</v>
      </c>
      <c r="CX45" s="160">
        <v>0</v>
      </c>
      <c r="CY45" s="160">
        <v>1</v>
      </c>
      <c r="CZ45" s="160">
        <v>1</v>
      </c>
      <c r="DA45" s="160">
        <v>0</v>
      </c>
      <c r="DB45" s="160">
        <v>0</v>
      </c>
      <c r="DC45" s="160">
        <v>0</v>
      </c>
      <c r="DD45" s="160">
        <v>1</v>
      </c>
      <c r="DE45" s="160">
        <v>1</v>
      </c>
      <c r="DF45" s="160">
        <v>0</v>
      </c>
      <c r="DG45" s="160">
        <v>1</v>
      </c>
      <c r="DH45" s="160">
        <v>0</v>
      </c>
      <c r="DI45" s="160">
        <v>2</v>
      </c>
      <c r="DJ45" s="160">
        <v>0</v>
      </c>
      <c r="DK45" s="179">
        <v>1</v>
      </c>
      <c r="DL45" s="160">
        <v>0</v>
      </c>
      <c r="DM45" s="160">
        <v>0</v>
      </c>
      <c r="DN45" s="160"/>
    </row>
    <row r="46" spans="1:118" hidden="1">
      <c r="A46" s="146" t="s">
        <v>81</v>
      </c>
      <c r="B46" s="146" t="s">
        <v>38</v>
      </c>
      <c r="C46" s="28" t="s">
        <v>272</v>
      </c>
      <c r="D46" s="62"/>
      <c r="E46" s="62"/>
      <c r="F46" s="62"/>
      <c r="G46" s="62"/>
      <c r="H46" s="62">
        <v>0</v>
      </c>
      <c r="I46" s="62"/>
      <c r="J46" s="62">
        <v>260</v>
      </c>
      <c r="K46" s="62">
        <v>80</v>
      </c>
      <c r="L46" s="62"/>
      <c r="M46" s="62"/>
      <c r="N46" s="62"/>
      <c r="O46" s="62">
        <f>SUBTOTAL(9,Table4[[#This Row],[ESI BASIC]:[ESI FOOD]])</f>
        <v>0</v>
      </c>
      <c r="P46" s="86"/>
      <c r="Q46" s="86"/>
      <c r="R46" s="174"/>
      <c r="S46" s="167"/>
      <c r="T46" s="10">
        <f t="shared" si="3"/>
        <v>39</v>
      </c>
      <c r="U46" s="167"/>
      <c r="V46" s="10">
        <f t="shared" si="4"/>
        <v>39</v>
      </c>
      <c r="W46" s="10">
        <f t="shared" si="5"/>
        <v>14</v>
      </c>
      <c r="X46" s="170" t="s">
        <v>153</v>
      </c>
      <c r="Y46" s="168" t="s">
        <v>192</v>
      </c>
      <c r="Z46" s="168" t="s">
        <v>153</v>
      </c>
      <c r="AA46" s="168" t="s">
        <v>153</v>
      </c>
      <c r="AB46" s="168" t="s">
        <v>192</v>
      </c>
      <c r="AC46" s="168" t="s">
        <v>153</v>
      </c>
      <c r="AD46" s="168" t="s">
        <v>153</v>
      </c>
      <c r="AE46" s="168" t="s">
        <v>192</v>
      </c>
      <c r="AF46" s="168" t="s">
        <v>153</v>
      </c>
      <c r="AG46" s="168" t="s">
        <v>153</v>
      </c>
      <c r="AH46" s="168" t="s">
        <v>192</v>
      </c>
      <c r="AI46" s="168" t="s">
        <v>153</v>
      </c>
      <c r="AJ46" s="168" t="s">
        <v>153</v>
      </c>
      <c r="AK46" s="168" t="s">
        <v>192</v>
      </c>
      <c r="AL46" s="168" t="s">
        <v>153</v>
      </c>
      <c r="AM46" s="168" t="s">
        <v>153</v>
      </c>
      <c r="AN46" s="168" t="s">
        <v>192</v>
      </c>
      <c r="AO46" s="168" t="s">
        <v>153</v>
      </c>
      <c r="AP46" s="168" t="s">
        <v>153</v>
      </c>
      <c r="AQ46" s="168" t="s">
        <v>192</v>
      </c>
      <c r="AR46" s="168" t="s">
        <v>153</v>
      </c>
      <c r="AS46" s="168" t="s">
        <v>153</v>
      </c>
      <c r="AT46" s="168" t="s">
        <v>192</v>
      </c>
      <c r="AU46" s="168" t="s">
        <v>153</v>
      </c>
      <c r="AV46" s="168" t="s">
        <v>153</v>
      </c>
      <c r="AW46" s="168" t="s">
        <v>192</v>
      </c>
      <c r="AX46" s="168" t="s">
        <v>153</v>
      </c>
      <c r="AY46" s="168" t="s">
        <v>153</v>
      </c>
      <c r="AZ46" s="168" t="s">
        <v>192</v>
      </c>
      <c r="BA46" s="168" t="s">
        <v>153</v>
      </c>
      <c r="BB46" s="168" t="s">
        <v>153</v>
      </c>
      <c r="BC46" s="168" t="s">
        <v>192</v>
      </c>
      <c r="BD46" s="168" t="s">
        <v>153</v>
      </c>
      <c r="BE46" s="168" t="s">
        <v>153</v>
      </c>
      <c r="BF46" s="168" t="s">
        <v>192</v>
      </c>
      <c r="BG46" s="168" t="s">
        <v>153</v>
      </c>
      <c r="BH46" s="168" t="s">
        <v>153</v>
      </c>
      <c r="BI46" s="168" t="s">
        <v>192</v>
      </c>
      <c r="BJ46" s="168" t="s">
        <v>192</v>
      </c>
      <c r="BK46" s="168" t="s">
        <v>192</v>
      </c>
      <c r="BL46" s="168" t="s">
        <v>192</v>
      </c>
      <c r="BM46" s="168" t="s">
        <v>153</v>
      </c>
      <c r="BN46" s="168" t="s">
        <v>153</v>
      </c>
      <c r="BO46" s="168" t="s">
        <v>192</v>
      </c>
      <c r="BP46" s="168" t="s">
        <v>153</v>
      </c>
      <c r="BQ46" s="168" t="s">
        <v>153</v>
      </c>
      <c r="BR46" s="168" t="s">
        <v>192</v>
      </c>
      <c r="BS46" s="168" t="s">
        <v>153</v>
      </c>
      <c r="BT46" s="168" t="s">
        <v>153</v>
      </c>
      <c r="BU46" s="168" t="s">
        <v>192</v>
      </c>
      <c r="BV46" s="168" t="s">
        <v>153</v>
      </c>
      <c r="BW46" s="168" t="s">
        <v>153</v>
      </c>
      <c r="BX46" s="168" t="s">
        <v>192</v>
      </c>
      <c r="BY46" s="168" t="s">
        <v>153</v>
      </c>
      <c r="BZ46" s="168" t="s">
        <v>153</v>
      </c>
      <c r="CA46" s="168" t="s">
        <v>192</v>
      </c>
      <c r="CB46" s="168" t="s">
        <v>153</v>
      </c>
      <c r="CC46" s="168" t="s">
        <v>153</v>
      </c>
      <c r="CD46" s="168" t="s">
        <v>192</v>
      </c>
      <c r="CE46" s="168" t="s">
        <v>153</v>
      </c>
      <c r="CF46" s="168" t="s">
        <v>153</v>
      </c>
      <c r="CG46" s="244" t="s">
        <v>192</v>
      </c>
      <c r="CH46" s="183"/>
      <c r="CI46" s="185">
        <v>0</v>
      </c>
      <c r="CJ46" s="160">
        <v>0</v>
      </c>
      <c r="CK46" s="160">
        <v>0</v>
      </c>
      <c r="CL46" s="160">
        <v>0</v>
      </c>
      <c r="CM46" s="160">
        <v>0</v>
      </c>
      <c r="CN46" s="160">
        <v>0</v>
      </c>
      <c r="CO46" s="160">
        <v>1</v>
      </c>
      <c r="CP46" s="160">
        <v>0</v>
      </c>
      <c r="CQ46" s="160">
        <v>1</v>
      </c>
      <c r="CR46" s="160">
        <v>0</v>
      </c>
      <c r="CS46" s="179">
        <v>1</v>
      </c>
      <c r="CT46" s="160">
        <v>0</v>
      </c>
      <c r="CU46" s="160">
        <v>0</v>
      </c>
      <c r="CV46" s="160">
        <v>3</v>
      </c>
      <c r="CW46" s="160">
        <v>2</v>
      </c>
      <c r="CX46" s="160">
        <v>0</v>
      </c>
      <c r="CY46" s="160">
        <v>0</v>
      </c>
      <c r="CZ46" s="160">
        <v>1</v>
      </c>
      <c r="DA46" s="160">
        <v>1</v>
      </c>
      <c r="DB46" s="160">
        <v>0</v>
      </c>
      <c r="DC46" s="160">
        <v>0</v>
      </c>
      <c r="DD46" s="160">
        <v>1</v>
      </c>
      <c r="DE46" s="160">
        <v>0</v>
      </c>
      <c r="DF46" s="160">
        <v>1</v>
      </c>
      <c r="DG46" s="160">
        <v>0</v>
      </c>
      <c r="DH46" s="160">
        <v>0</v>
      </c>
      <c r="DI46" s="160">
        <v>1</v>
      </c>
      <c r="DJ46" s="160">
        <v>0</v>
      </c>
      <c r="DK46" s="160">
        <v>1</v>
      </c>
      <c r="DL46" s="160">
        <v>0</v>
      </c>
      <c r="DM46" s="160">
        <v>0</v>
      </c>
      <c r="DN46" s="160"/>
    </row>
    <row r="47" spans="1:118" hidden="1">
      <c r="A47" s="146" t="s">
        <v>81</v>
      </c>
      <c r="B47" s="146" t="s">
        <v>38</v>
      </c>
      <c r="C47" s="28" t="s">
        <v>406</v>
      </c>
      <c r="D47" s="62"/>
      <c r="E47" s="62"/>
      <c r="F47" s="62"/>
      <c r="G47" s="62"/>
      <c r="H47" s="62">
        <v>0</v>
      </c>
      <c r="I47" s="62"/>
      <c r="J47" s="62">
        <v>250</v>
      </c>
      <c r="K47" s="62">
        <v>70</v>
      </c>
      <c r="L47" s="62"/>
      <c r="M47" s="62"/>
      <c r="N47" s="62"/>
      <c r="O47" s="62">
        <f>SUBTOTAL(9,Table4[[#This Row],[ESI BASIC]:[ESI FOOD]])</f>
        <v>0</v>
      </c>
      <c r="P47" s="19"/>
      <c r="Q47" s="19"/>
      <c r="R47" s="174"/>
      <c r="S47" s="167"/>
      <c r="T47" s="10">
        <f t="shared" si="3"/>
        <v>40</v>
      </c>
      <c r="U47" s="167"/>
      <c r="V47" s="10">
        <f t="shared" si="4"/>
        <v>40</v>
      </c>
      <c r="W47" s="10">
        <f t="shared" si="5"/>
        <v>9</v>
      </c>
      <c r="X47" s="168" t="s">
        <v>153</v>
      </c>
      <c r="Y47" s="170" t="s">
        <v>192</v>
      </c>
      <c r="Z47" s="170" t="s">
        <v>153</v>
      </c>
      <c r="AA47" s="170" t="s">
        <v>153</v>
      </c>
      <c r="AB47" s="170" t="s">
        <v>192</v>
      </c>
      <c r="AC47" s="170" t="s">
        <v>153</v>
      </c>
      <c r="AD47" s="170" t="s">
        <v>153</v>
      </c>
      <c r="AE47" s="170" t="s">
        <v>192</v>
      </c>
      <c r="AF47" s="170" t="s">
        <v>153</v>
      </c>
      <c r="AG47" s="170" t="s">
        <v>153</v>
      </c>
      <c r="AH47" s="168" t="s">
        <v>192</v>
      </c>
      <c r="AI47" s="168" t="s">
        <v>153</v>
      </c>
      <c r="AJ47" s="168" t="s">
        <v>153</v>
      </c>
      <c r="AK47" s="168" t="s">
        <v>192</v>
      </c>
      <c r="AL47" s="168" t="s">
        <v>153</v>
      </c>
      <c r="AM47" s="168" t="s">
        <v>153</v>
      </c>
      <c r="AN47" s="168" t="s">
        <v>192</v>
      </c>
      <c r="AO47" s="168" t="s">
        <v>153</v>
      </c>
      <c r="AP47" s="168" t="s">
        <v>153</v>
      </c>
      <c r="AQ47" s="168" t="s">
        <v>192</v>
      </c>
      <c r="AR47" s="168" t="s">
        <v>153</v>
      </c>
      <c r="AS47" s="168" t="s">
        <v>153</v>
      </c>
      <c r="AT47" s="168" t="s">
        <v>192</v>
      </c>
      <c r="AU47" s="168" t="s">
        <v>153</v>
      </c>
      <c r="AV47" s="168" t="s">
        <v>153</v>
      </c>
      <c r="AW47" s="168" t="s">
        <v>192</v>
      </c>
      <c r="AX47" s="168" t="s">
        <v>153</v>
      </c>
      <c r="AY47" s="168" t="s">
        <v>153</v>
      </c>
      <c r="AZ47" s="168" t="s">
        <v>192</v>
      </c>
      <c r="BA47" s="168" t="s">
        <v>153</v>
      </c>
      <c r="BB47" s="168" t="s">
        <v>153</v>
      </c>
      <c r="BC47" s="168" t="s">
        <v>192</v>
      </c>
      <c r="BD47" s="168" t="s">
        <v>153</v>
      </c>
      <c r="BE47" s="168" t="s">
        <v>153</v>
      </c>
      <c r="BF47" s="168" t="s">
        <v>192</v>
      </c>
      <c r="BG47" s="168" t="s">
        <v>153</v>
      </c>
      <c r="BH47" s="168" t="s">
        <v>153</v>
      </c>
      <c r="BI47" s="168" t="s">
        <v>192</v>
      </c>
      <c r="BJ47" s="168" t="s">
        <v>153</v>
      </c>
      <c r="BK47" s="168" t="s">
        <v>153</v>
      </c>
      <c r="BL47" s="168" t="s">
        <v>192</v>
      </c>
      <c r="BM47" s="168" t="s">
        <v>153</v>
      </c>
      <c r="BN47" s="168" t="s">
        <v>153</v>
      </c>
      <c r="BO47" s="168" t="s">
        <v>192</v>
      </c>
      <c r="BP47" s="168" t="s">
        <v>153</v>
      </c>
      <c r="BQ47" s="168" t="s">
        <v>153</v>
      </c>
      <c r="BR47" s="168" t="s">
        <v>192</v>
      </c>
      <c r="BS47" s="168" t="s">
        <v>192</v>
      </c>
      <c r="BT47" s="168" t="s">
        <v>153</v>
      </c>
      <c r="BU47" s="168" t="s">
        <v>192</v>
      </c>
      <c r="BV47" s="168" t="s">
        <v>153</v>
      </c>
      <c r="BW47" s="168" t="s">
        <v>153</v>
      </c>
      <c r="BX47" s="168" t="s">
        <v>192</v>
      </c>
      <c r="BY47" s="168" t="s">
        <v>153</v>
      </c>
      <c r="BZ47" s="168" t="s">
        <v>153</v>
      </c>
      <c r="CA47" s="168" t="s">
        <v>192</v>
      </c>
      <c r="CB47" s="168" t="s">
        <v>153</v>
      </c>
      <c r="CC47" s="168" t="s">
        <v>153</v>
      </c>
      <c r="CD47" s="168" t="s">
        <v>192</v>
      </c>
      <c r="CE47" s="168" t="s">
        <v>153</v>
      </c>
      <c r="CF47" s="168" t="s">
        <v>153</v>
      </c>
      <c r="CG47" s="168" t="s">
        <v>192</v>
      </c>
      <c r="CH47" s="183"/>
      <c r="CI47" s="185">
        <v>0</v>
      </c>
      <c r="CJ47" s="160">
        <v>0</v>
      </c>
      <c r="CK47" s="160">
        <v>0</v>
      </c>
      <c r="CL47" s="160">
        <v>0</v>
      </c>
      <c r="CM47" s="160">
        <v>0</v>
      </c>
      <c r="CN47" s="160">
        <v>0</v>
      </c>
      <c r="CO47" s="160">
        <v>0</v>
      </c>
      <c r="CP47" s="160">
        <v>0</v>
      </c>
      <c r="CQ47" s="160">
        <v>1</v>
      </c>
      <c r="CR47" s="160">
        <v>0</v>
      </c>
      <c r="CS47" s="179">
        <v>1</v>
      </c>
      <c r="CT47" s="160">
        <v>0</v>
      </c>
      <c r="CU47" s="160">
        <v>0</v>
      </c>
      <c r="CV47" s="160">
        <v>3</v>
      </c>
      <c r="CW47" s="160">
        <v>1</v>
      </c>
      <c r="CX47" s="160">
        <v>0</v>
      </c>
      <c r="CY47" s="160">
        <v>0</v>
      </c>
      <c r="CZ47" s="160">
        <v>0</v>
      </c>
      <c r="DA47" s="160">
        <v>1</v>
      </c>
      <c r="DB47" s="160">
        <v>0</v>
      </c>
      <c r="DC47" s="160">
        <v>0</v>
      </c>
      <c r="DD47" s="160">
        <v>1</v>
      </c>
      <c r="DE47" s="160">
        <v>1</v>
      </c>
      <c r="DF47" s="160">
        <v>0</v>
      </c>
      <c r="DG47" s="160">
        <v>0</v>
      </c>
      <c r="DH47" s="160">
        <v>0</v>
      </c>
      <c r="DI47" s="160">
        <v>0</v>
      </c>
      <c r="DJ47" s="160">
        <v>0</v>
      </c>
      <c r="DK47" s="160">
        <v>0</v>
      </c>
      <c r="DL47" s="160">
        <v>0</v>
      </c>
      <c r="DM47" s="160">
        <v>0</v>
      </c>
      <c r="DN47" s="160"/>
    </row>
    <row r="48" spans="1:118" hidden="1">
      <c r="A48" s="146" t="s">
        <v>81</v>
      </c>
      <c r="B48" s="146" t="s">
        <v>38</v>
      </c>
      <c r="C48" s="28" t="s">
        <v>273</v>
      </c>
      <c r="D48" s="62"/>
      <c r="E48" s="62"/>
      <c r="F48" s="62"/>
      <c r="G48" s="62"/>
      <c r="H48" s="62">
        <v>0</v>
      </c>
      <c r="I48" s="62"/>
      <c r="J48" s="62">
        <v>260</v>
      </c>
      <c r="K48" s="62">
        <v>80</v>
      </c>
      <c r="L48" s="62"/>
      <c r="M48" s="62"/>
      <c r="N48" s="62"/>
      <c r="O48" s="62">
        <f>SUBTOTAL(9,Table4[[#This Row],[ESI BASIC]:[ESI FOOD]])</f>
        <v>0</v>
      </c>
      <c r="P48" s="245"/>
      <c r="Q48" s="86"/>
      <c r="R48" s="174"/>
      <c r="S48" s="167"/>
      <c r="T48" s="10">
        <f t="shared" si="3"/>
        <v>40</v>
      </c>
      <c r="U48" s="167"/>
      <c r="V48" s="10">
        <f t="shared" si="4"/>
        <v>40</v>
      </c>
      <c r="W48" s="10">
        <f t="shared" si="5"/>
        <v>13</v>
      </c>
      <c r="X48" s="170" t="s">
        <v>153</v>
      </c>
      <c r="Y48" s="168" t="s">
        <v>153</v>
      </c>
      <c r="Z48" s="168" t="s">
        <v>192</v>
      </c>
      <c r="AA48" s="168" t="s">
        <v>153</v>
      </c>
      <c r="AB48" s="168" t="s">
        <v>153</v>
      </c>
      <c r="AC48" s="168" t="s">
        <v>192</v>
      </c>
      <c r="AD48" s="168" t="s">
        <v>153</v>
      </c>
      <c r="AE48" s="168" t="s">
        <v>153</v>
      </c>
      <c r="AF48" s="168" t="s">
        <v>192</v>
      </c>
      <c r="AG48" s="168" t="s">
        <v>153</v>
      </c>
      <c r="AH48" s="168" t="s">
        <v>153</v>
      </c>
      <c r="AI48" s="168" t="s">
        <v>192</v>
      </c>
      <c r="AJ48" s="168" t="s">
        <v>153</v>
      </c>
      <c r="AK48" s="168" t="s">
        <v>153</v>
      </c>
      <c r="AL48" s="168" t="s">
        <v>153</v>
      </c>
      <c r="AM48" s="168" t="s">
        <v>153</v>
      </c>
      <c r="AN48" s="168" t="s">
        <v>153</v>
      </c>
      <c r="AO48" s="168" t="s">
        <v>192</v>
      </c>
      <c r="AP48" s="168" t="s">
        <v>153</v>
      </c>
      <c r="AQ48" s="168" t="s">
        <v>153</v>
      </c>
      <c r="AR48" s="168" t="s">
        <v>192</v>
      </c>
      <c r="AS48" s="168" t="s">
        <v>153</v>
      </c>
      <c r="AT48" s="168" t="s">
        <v>153</v>
      </c>
      <c r="AU48" s="168" t="s">
        <v>192</v>
      </c>
      <c r="AV48" s="168" t="s">
        <v>153</v>
      </c>
      <c r="AW48" s="168" t="s">
        <v>153</v>
      </c>
      <c r="AX48" s="168" t="s">
        <v>192</v>
      </c>
      <c r="AY48" s="168" t="s">
        <v>153</v>
      </c>
      <c r="AZ48" s="168" t="s">
        <v>153</v>
      </c>
      <c r="BA48" s="168" t="s">
        <v>192</v>
      </c>
      <c r="BB48" s="168" t="s">
        <v>192</v>
      </c>
      <c r="BC48" s="168" t="s">
        <v>192</v>
      </c>
      <c r="BD48" s="168" t="s">
        <v>192</v>
      </c>
      <c r="BE48" s="168" t="s">
        <v>192</v>
      </c>
      <c r="BF48" s="168" t="s">
        <v>153</v>
      </c>
      <c r="BG48" s="168" t="s">
        <v>192</v>
      </c>
      <c r="BH48" s="168" t="s">
        <v>153</v>
      </c>
      <c r="BI48" s="168" t="s">
        <v>153</v>
      </c>
      <c r="BJ48" s="168" t="s">
        <v>192</v>
      </c>
      <c r="BK48" s="168" t="s">
        <v>153</v>
      </c>
      <c r="BL48" s="168" t="s">
        <v>153</v>
      </c>
      <c r="BM48" s="168" t="s">
        <v>192</v>
      </c>
      <c r="BN48" s="168" t="s">
        <v>153</v>
      </c>
      <c r="BO48" s="168" t="s">
        <v>153</v>
      </c>
      <c r="BP48" s="168" t="s">
        <v>192</v>
      </c>
      <c r="BQ48" s="168" t="s">
        <v>153</v>
      </c>
      <c r="BR48" s="168" t="s">
        <v>153</v>
      </c>
      <c r="BS48" s="168" t="s">
        <v>192</v>
      </c>
      <c r="BT48" s="168" t="s">
        <v>153</v>
      </c>
      <c r="BU48" s="168" t="s">
        <v>153</v>
      </c>
      <c r="BV48" s="168" t="s">
        <v>192</v>
      </c>
      <c r="BW48" s="168" t="s">
        <v>153</v>
      </c>
      <c r="BX48" s="168" t="s">
        <v>153</v>
      </c>
      <c r="BY48" s="168" t="s">
        <v>192</v>
      </c>
      <c r="BZ48" s="168" t="s">
        <v>153</v>
      </c>
      <c r="CA48" s="168" t="s">
        <v>153</v>
      </c>
      <c r="CB48" s="168" t="s">
        <v>192</v>
      </c>
      <c r="CC48" s="168" t="s">
        <v>153</v>
      </c>
      <c r="CD48" s="168" t="s">
        <v>153</v>
      </c>
      <c r="CE48" s="168" t="s">
        <v>192</v>
      </c>
      <c r="CF48" s="168" t="s">
        <v>153</v>
      </c>
      <c r="CG48" s="244" t="s">
        <v>153</v>
      </c>
      <c r="CH48" s="183"/>
      <c r="CI48" s="185">
        <v>0</v>
      </c>
      <c r="CJ48" s="160">
        <v>0</v>
      </c>
      <c r="CK48" s="160">
        <v>0</v>
      </c>
      <c r="CL48" s="160">
        <v>0</v>
      </c>
      <c r="CM48" s="160">
        <v>1</v>
      </c>
      <c r="CN48" s="160">
        <v>0</v>
      </c>
      <c r="CO48" s="160">
        <v>0</v>
      </c>
      <c r="CP48" s="160">
        <v>1</v>
      </c>
      <c r="CQ48" s="160">
        <v>1</v>
      </c>
      <c r="CR48" s="160">
        <v>0</v>
      </c>
      <c r="CS48" s="179">
        <v>0</v>
      </c>
      <c r="CT48" s="160">
        <v>1</v>
      </c>
      <c r="CU48" s="160">
        <v>0</v>
      </c>
      <c r="CV48" s="160">
        <v>1</v>
      </c>
      <c r="CW48" s="160">
        <v>1</v>
      </c>
      <c r="CX48" s="160">
        <v>0</v>
      </c>
      <c r="CY48" s="160">
        <v>0</v>
      </c>
      <c r="CZ48" s="160">
        <v>1</v>
      </c>
      <c r="DA48" s="160">
        <v>0</v>
      </c>
      <c r="DB48" s="160">
        <v>0</v>
      </c>
      <c r="DC48" s="160">
        <v>0</v>
      </c>
      <c r="DD48" s="160">
        <v>1</v>
      </c>
      <c r="DE48" s="160">
        <v>1</v>
      </c>
      <c r="DF48" s="160">
        <v>0</v>
      </c>
      <c r="DG48" s="160">
        <v>1</v>
      </c>
      <c r="DH48" s="160">
        <v>0</v>
      </c>
      <c r="DI48" s="160">
        <v>2</v>
      </c>
      <c r="DJ48" s="160">
        <v>0</v>
      </c>
      <c r="DK48" s="160">
        <v>1</v>
      </c>
      <c r="DL48" s="160">
        <v>0</v>
      </c>
      <c r="DM48" s="160">
        <v>0</v>
      </c>
      <c r="DN48" s="160"/>
    </row>
    <row r="49" spans="1:118" hidden="1">
      <c r="A49" s="146" t="s">
        <v>81</v>
      </c>
      <c r="B49" s="146" t="s">
        <v>38</v>
      </c>
      <c r="C49" s="28" t="s">
        <v>397</v>
      </c>
      <c r="D49" s="62"/>
      <c r="E49" s="62"/>
      <c r="F49" s="62"/>
      <c r="G49" s="62"/>
      <c r="H49" s="62">
        <v>0</v>
      </c>
      <c r="I49" s="62"/>
      <c r="J49" s="62">
        <v>260</v>
      </c>
      <c r="K49" s="62">
        <v>80</v>
      </c>
      <c r="L49" s="62"/>
      <c r="M49" s="62"/>
      <c r="N49" s="62"/>
      <c r="O49" s="62">
        <f>SUBTOTAL(9,Table4[[#This Row],[ESI BASIC]:[ESI FOOD]])</f>
        <v>0</v>
      </c>
      <c r="P49" s="19"/>
      <c r="Q49" s="19"/>
      <c r="R49" s="20"/>
      <c r="S49" s="167"/>
      <c r="T49" s="10">
        <f t="shared" si="3"/>
        <v>31</v>
      </c>
      <c r="U49" s="167"/>
      <c r="V49" s="10">
        <f t="shared" si="4"/>
        <v>31</v>
      </c>
      <c r="W49" s="10">
        <f t="shared" si="5"/>
        <v>7</v>
      </c>
      <c r="X49" s="170" t="s">
        <v>153</v>
      </c>
      <c r="Y49" s="170" t="s">
        <v>192</v>
      </c>
      <c r="Z49" s="170" t="s">
        <v>153</v>
      </c>
      <c r="AA49" s="168" t="s">
        <v>153</v>
      </c>
      <c r="AB49" s="168" t="s">
        <v>192</v>
      </c>
      <c r="AC49" s="168" t="s">
        <v>192</v>
      </c>
      <c r="AD49" s="168" t="s">
        <v>192</v>
      </c>
      <c r="AE49" s="168" t="s">
        <v>192</v>
      </c>
      <c r="AF49" s="168" t="s">
        <v>192</v>
      </c>
      <c r="AG49" s="168" t="s">
        <v>192</v>
      </c>
      <c r="AH49" s="168" t="s">
        <v>192</v>
      </c>
      <c r="AI49" s="168" t="s">
        <v>192</v>
      </c>
      <c r="AJ49" s="168" t="s">
        <v>192</v>
      </c>
      <c r="AK49" s="168" t="s">
        <v>192</v>
      </c>
      <c r="AL49" s="168" t="s">
        <v>192</v>
      </c>
      <c r="AM49" s="168" t="s">
        <v>153</v>
      </c>
      <c r="AN49" s="168" t="s">
        <v>192</v>
      </c>
      <c r="AO49" s="168" t="s">
        <v>153</v>
      </c>
      <c r="AP49" s="168" t="s">
        <v>192</v>
      </c>
      <c r="AQ49" s="168" t="s">
        <v>192</v>
      </c>
      <c r="AR49" s="168" t="s">
        <v>153</v>
      </c>
      <c r="AS49" s="168" t="s">
        <v>153</v>
      </c>
      <c r="AT49" s="168" t="s">
        <v>192</v>
      </c>
      <c r="AU49" s="168" t="s">
        <v>153</v>
      </c>
      <c r="AV49" s="168" t="s">
        <v>153</v>
      </c>
      <c r="AW49" s="168" t="s">
        <v>192</v>
      </c>
      <c r="AX49" s="168" t="s">
        <v>153</v>
      </c>
      <c r="AY49" s="168" t="s">
        <v>153</v>
      </c>
      <c r="AZ49" s="168" t="s">
        <v>192</v>
      </c>
      <c r="BA49" s="168" t="s">
        <v>153</v>
      </c>
      <c r="BB49" s="168" t="s">
        <v>153</v>
      </c>
      <c r="BC49" s="168" t="s">
        <v>192</v>
      </c>
      <c r="BD49" s="168" t="s">
        <v>153</v>
      </c>
      <c r="BE49" s="168" t="s">
        <v>153</v>
      </c>
      <c r="BF49" s="168" t="s">
        <v>192</v>
      </c>
      <c r="BG49" s="168" t="s">
        <v>153</v>
      </c>
      <c r="BH49" s="168" t="s">
        <v>153</v>
      </c>
      <c r="BI49" s="168" t="s">
        <v>192</v>
      </c>
      <c r="BJ49" s="168" t="s">
        <v>153</v>
      </c>
      <c r="BK49" s="168" t="s">
        <v>153</v>
      </c>
      <c r="BL49" s="168" t="s">
        <v>192</v>
      </c>
      <c r="BM49" s="168" t="s">
        <v>153</v>
      </c>
      <c r="BN49" s="168" t="s">
        <v>153</v>
      </c>
      <c r="BO49" s="168" t="s">
        <v>192</v>
      </c>
      <c r="BP49" s="168" t="s">
        <v>153</v>
      </c>
      <c r="BQ49" s="168" t="s">
        <v>153</v>
      </c>
      <c r="BR49" s="168" t="s">
        <v>192</v>
      </c>
      <c r="BS49" s="168" t="s">
        <v>153</v>
      </c>
      <c r="BT49" s="168" t="s">
        <v>153</v>
      </c>
      <c r="BU49" s="168" t="s">
        <v>192</v>
      </c>
      <c r="BV49" s="168" t="s">
        <v>153</v>
      </c>
      <c r="BW49" s="168" t="s">
        <v>153</v>
      </c>
      <c r="BX49" s="168" t="s">
        <v>192</v>
      </c>
      <c r="BY49" s="168" t="s">
        <v>153</v>
      </c>
      <c r="BZ49" s="168" t="s">
        <v>153</v>
      </c>
      <c r="CA49" s="168" t="s">
        <v>192</v>
      </c>
      <c r="CB49" s="168" t="s">
        <v>192</v>
      </c>
      <c r="CC49" s="168" t="s">
        <v>192</v>
      </c>
      <c r="CD49" s="168" t="s">
        <v>192</v>
      </c>
      <c r="CE49" s="168" t="s">
        <v>153</v>
      </c>
      <c r="CF49" s="168" t="s">
        <v>153</v>
      </c>
      <c r="CG49" s="244" t="s">
        <v>192</v>
      </c>
      <c r="CH49" s="183"/>
      <c r="CI49" s="185">
        <v>1</v>
      </c>
      <c r="CJ49" s="160">
        <v>0</v>
      </c>
      <c r="CK49" s="160">
        <v>0</v>
      </c>
      <c r="CL49" s="160">
        <v>0</v>
      </c>
      <c r="CM49" s="179">
        <v>0</v>
      </c>
      <c r="CN49" s="160">
        <v>0</v>
      </c>
      <c r="CO49" s="160">
        <v>0</v>
      </c>
      <c r="CP49" s="160">
        <v>0</v>
      </c>
      <c r="CQ49" s="160">
        <v>0</v>
      </c>
      <c r="CR49" s="19">
        <v>0</v>
      </c>
      <c r="CS49" s="179">
        <v>0</v>
      </c>
      <c r="CT49" s="179">
        <v>1</v>
      </c>
      <c r="CU49" s="160">
        <v>0</v>
      </c>
      <c r="CV49" s="179">
        <v>2</v>
      </c>
      <c r="CW49" s="160">
        <v>0</v>
      </c>
      <c r="CX49" s="188">
        <v>0</v>
      </c>
      <c r="CY49" s="160">
        <v>0</v>
      </c>
      <c r="CZ49" s="160">
        <v>0</v>
      </c>
      <c r="DA49" s="160">
        <v>1</v>
      </c>
      <c r="DB49" s="160">
        <v>0</v>
      </c>
      <c r="DC49" s="160">
        <v>0</v>
      </c>
      <c r="DD49" s="160">
        <v>1</v>
      </c>
      <c r="DE49" s="160">
        <v>1</v>
      </c>
      <c r="DF49" s="160">
        <v>0</v>
      </c>
      <c r="DG49" s="160">
        <v>0</v>
      </c>
      <c r="DH49" s="160">
        <v>0</v>
      </c>
      <c r="DI49" s="160">
        <v>0</v>
      </c>
      <c r="DJ49" s="160">
        <v>0</v>
      </c>
      <c r="DK49" s="160">
        <v>0</v>
      </c>
      <c r="DL49" s="160">
        <v>0</v>
      </c>
      <c r="DM49" s="160">
        <v>0</v>
      </c>
      <c r="DN49" s="160"/>
    </row>
    <row r="50" spans="1:118" hidden="1">
      <c r="A50" s="149" t="s">
        <v>80</v>
      </c>
      <c r="B50" s="150" t="s">
        <v>84</v>
      </c>
      <c r="C50" s="151" t="s">
        <v>274</v>
      </c>
      <c r="D50" s="152" t="s">
        <v>357</v>
      </c>
      <c r="E50" s="152"/>
      <c r="F50" s="152"/>
      <c r="G50" s="152"/>
      <c r="H50" s="62">
        <v>0</v>
      </c>
      <c r="I50" s="62">
        <v>19500</v>
      </c>
      <c r="J50" s="62"/>
      <c r="K50" s="62"/>
      <c r="L50" s="62">
        <v>11620</v>
      </c>
      <c r="M50" s="62">
        <v>4000</v>
      </c>
      <c r="N50" s="62">
        <v>3880</v>
      </c>
      <c r="O50" s="62">
        <f>SUBTOTAL(9,Table4[[#This Row],[ESI BASIC]:[ESI FOOD]])</f>
        <v>0</v>
      </c>
      <c r="P50" s="188" t="s">
        <v>348</v>
      </c>
      <c r="Q50" s="188" t="s">
        <v>347</v>
      </c>
      <c r="R50" s="246">
        <v>77830100006691</v>
      </c>
      <c r="S50" s="167"/>
      <c r="T50" s="10">
        <f t="shared" si="3"/>
        <v>22</v>
      </c>
      <c r="U50" s="167">
        <v>3</v>
      </c>
      <c r="V50" s="10">
        <f t="shared" si="4"/>
        <v>25</v>
      </c>
      <c r="W50" s="10">
        <f t="shared" si="5"/>
        <v>0</v>
      </c>
      <c r="X50" s="170" t="s">
        <v>153</v>
      </c>
      <c r="Y50" s="170" t="s">
        <v>192</v>
      </c>
      <c r="Z50" s="170" t="s">
        <v>192</v>
      </c>
      <c r="AA50" s="170" t="s">
        <v>192</v>
      </c>
      <c r="AB50" s="170" t="s">
        <v>153</v>
      </c>
      <c r="AC50" s="170" t="s">
        <v>192</v>
      </c>
      <c r="AD50" s="170" t="s">
        <v>192</v>
      </c>
      <c r="AE50" s="170" t="s">
        <v>192</v>
      </c>
      <c r="AF50" s="170" t="s">
        <v>192</v>
      </c>
      <c r="AG50" s="170" t="s">
        <v>192</v>
      </c>
      <c r="AH50" s="170" t="s">
        <v>153</v>
      </c>
      <c r="AI50" s="168" t="s">
        <v>192</v>
      </c>
      <c r="AJ50" s="168" t="s">
        <v>153</v>
      </c>
      <c r="AK50" s="168" t="s">
        <v>192</v>
      </c>
      <c r="AL50" s="168" t="s">
        <v>153</v>
      </c>
      <c r="AM50" s="168" t="s">
        <v>192</v>
      </c>
      <c r="AN50" s="168" t="s">
        <v>153</v>
      </c>
      <c r="AO50" s="168" t="s">
        <v>192</v>
      </c>
      <c r="AP50" s="168" t="s">
        <v>153</v>
      </c>
      <c r="AQ50" s="168" t="s">
        <v>192</v>
      </c>
      <c r="AR50" s="168" t="s">
        <v>153</v>
      </c>
      <c r="AS50" s="168" t="s">
        <v>192</v>
      </c>
      <c r="AT50" s="168" t="s">
        <v>153</v>
      </c>
      <c r="AU50" s="168" t="s">
        <v>192</v>
      </c>
      <c r="AV50" s="170" t="s">
        <v>153</v>
      </c>
      <c r="AW50" s="170" t="s">
        <v>192</v>
      </c>
      <c r="AX50" s="170" t="s">
        <v>153</v>
      </c>
      <c r="AY50" s="168" t="s">
        <v>192</v>
      </c>
      <c r="AZ50" s="170" t="s">
        <v>153</v>
      </c>
      <c r="BA50" s="170" t="s">
        <v>192</v>
      </c>
      <c r="BB50" s="170" t="s">
        <v>153</v>
      </c>
      <c r="BC50" s="170" t="s">
        <v>192</v>
      </c>
      <c r="BD50" s="170" t="s">
        <v>153</v>
      </c>
      <c r="BE50" s="170" t="s">
        <v>192</v>
      </c>
      <c r="BF50" s="170" t="s">
        <v>153</v>
      </c>
      <c r="BG50" s="170" t="s">
        <v>192</v>
      </c>
      <c r="BH50" s="170" t="s">
        <v>192</v>
      </c>
      <c r="BI50" s="170" t="s">
        <v>192</v>
      </c>
      <c r="BJ50" s="170" t="s">
        <v>192</v>
      </c>
      <c r="BK50" s="170" t="s">
        <v>192</v>
      </c>
      <c r="BL50" s="170" t="s">
        <v>192</v>
      </c>
      <c r="BM50" s="170" t="s">
        <v>153</v>
      </c>
      <c r="BN50" s="170" t="s">
        <v>192</v>
      </c>
      <c r="BO50" s="170" t="s">
        <v>153</v>
      </c>
      <c r="BP50" s="170" t="s">
        <v>153</v>
      </c>
      <c r="BQ50" s="170" t="s">
        <v>192</v>
      </c>
      <c r="BR50" s="168" t="s">
        <v>192</v>
      </c>
      <c r="BS50" s="168" t="s">
        <v>192</v>
      </c>
      <c r="BT50" s="168" t="s">
        <v>192</v>
      </c>
      <c r="BU50" s="168" t="s">
        <v>192</v>
      </c>
      <c r="BV50" s="168" t="s">
        <v>192</v>
      </c>
      <c r="BW50" s="168" t="s">
        <v>192</v>
      </c>
      <c r="BX50" s="168" t="s">
        <v>192</v>
      </c>
      <c r="BY50" s="168" t="s">
        <v>192</v>
      </c>
      <c r="BZ50" s="168" t="s">
        <v>192</v>
      </c>
      <c r="CA50" s="168" t="s">
        <v>153</v>
      </c>
      <c r="CB50" s="168" t="s">
        <v>192</v>
      </c>
      <c r="CC50" s="168" t="s">
        <v>153</v>
      </c>
      <c r="CD50" s="168" t="s">
        <v>192</v>
      </c>
      <c r="CE50" s="168" t="s">
        <v>153</v>
      </c>
      <c r="CF50" s="168" t="s">
        <v>192</v>
      </c>
      <c r="CG50" s="244" t="s">
        <v>153</v>
      </c>
      <c r="CH50" s="183"/>
      <c r="CI50" s="186"/>
      <c r="CJ50" s="160"/>
      <c r="CK50" s="179"/>
      <c r="CL50" s="179"/>
      <c r="CM50" s="160"/>
      <c r="CN50" s="160"/>
      <c r="CO50" s="160"/>
      <c r="CP50" s="160"/>
      <c r="CQ50" s="19"/>
      <c r="CR50" s="19"/>
      <c r="CS50" s="179"/>
      <c r="CT50" s="179"/>
      <c r="CU50" s="179"/>
      <c r="CV50" s="179"/>
      <c r="CW50" s="160"/>
      <c r="CX50" s="188"/>
      <c r="CY50" s="160"/>
      <c r="CZ50" s="160"/>
      <c r="DA50" s="160"/>
      <c r="DB50" s="160"/>
      <c r="DC50" s="160"/>
      <c r="DD50" s="160"/>
      <c r="DE50" s="160"/>
      <c r="DF50" s="160"/>
      <c r="DG50" s="160"/>
      <c r="DH50" s="160"/>
      <c r="DI50" s="160"/>
      <c r="DJ50" s="179"/>
      <c r="DK50" s="160"/>
      <c r="DL50" s="160"/>
      <c r="DM50" s="160"/>
      <c r="DN50" s="160"/>
    </row>
    <row r="51" spans="1:118" hidden="1">
      <c r="A51" s="149" t="s">
        <v>80</v>
      </c>
      <c r="B51" s="150" t="s">
        <v>85</v>
      </c>
      <c r="C51" s="151" t="s">
        <v>275</v>
      </c>
      <c r="D51" s="152" t="s">
        <v>358</v>
      </c>
      <c r="E51" s="152"/>
      <c r="F51" s="152"/>
      <c r="G51" s="152"/>
      <c r="H51" s="62">
        <v>0</v>
      </c>
      <c r="I51" s="62">
        <v>15000</v>
      </c>
      <c r="J51" s="62"/>
      <c r="K51" s="62"/>
      <c r="L51" s="62">
        <v>12777</v>
      </c>
      <c r="M51" s="62">
        <v>1127</v>
      </c>
      <c r="N51" s="62">
        <v>1096</v>
      </c>
      <c r="O51" s="62">
        <f>SUBTOTAL(9,Table4[[#This Row],[ESI BASIC]:[ESI FOOD]])</f>
        <v>0</v>
      </c>
      <c r="P51" s="188" t="s">
        <v>314</v>
      </c>
      <c r="Q51" s="188" t="s">
        <v>338</v>
      </c>
      <c r="R51" s="246">
        <v>17250110061947</v>
      </c>
      <c r="S51" s="167"/>
      <c r="T51" s="10">
        <f t="shared" si="3"/>
        <v>27</v>
      </c>
      <c r="U51" s="167">
        <v>4</v>
      </c>
      <c r="V51" s="10">
        <f t="shared" si="4"/>
        <v>31</v>
      </c>
      <c r="W51" s="10">
        <f t="shared" si="5"/>
        <v>0</v>
      </c>
      <c r="X51" s="168" t="s">
        <v>153</v>
      </c>
      <c r="Y51" s="168" t="s">
        <v>192</v>
      </c>
      <c r="Z51" s="170" t="s">
        <v>153</v>
      </c>
      <c r="AA51" s="168" t="s">
        <v>192</v>
      </c>
      <c r="AB51" s="168" t="s">
        <v>153</v>
      </c>
      <c r="AC51" s="168" t="s">
        <v>192</v>
      </c>
      <c r="AD51" s="168" t="s">
        <v>153</v>
      </c>
      <c r="AE51" s="168" t="s">
        <v>192</v>
      </c>
      <c r="AF51" s="168" t="s">
        <v>153</v>
      </c>
      <c r="AG51" s="168" t="s">
        <v>192</v>
      </c>
      <c r="AH51" s="168" t="s">
        <v>153</v>
      </c>
      <c r="AI51" s="168" t="s">
        <v>192</v>
      </c>
      <c r="AJ51" s="168" t="s">
        <v>153</v>
      </c>
      <c r="AK51" s="168" t="s">
        <v>192</v>
      </c>
      <c r="AL51" s="168" t="s">
        <v>153</v>
      </c>
      <c r="AM51" s="168" t="s">
        <v>192</v>
      </c>
      <c r="AN51" s="168" t="s">
        <v>153</v>
      </c>
      <c r="AO51" s="168" t="s">
        <v>192</v>
      </c>
      <c r="AP51" s="168" t="s">
        <v>153</v>
      </c>
      <c r="AQ51" s="168" t="s">
        <v>192</v>
      </c>
      <c r="AR51" s="168" t="s">
        <v>153</v>
      </c>
      <c r="AS51" s="168" t="s">
        <v>192</v>
      </c>
      <c r="AT51" s="168" t="s">
        <v>192</v>
      </c>
      <c r="AU51" s="168" t="s">
        <v>192</v>
      </c>
      <c r="AV51" s="168" t="s">
        <v>192</v>
      </c>
      <c r="AW51" s="168" t="s">
        <v>192</v>
      </c>
      <c r="AX51" s="168" t="s">
        <v>192</v>
      </c>
      <c r="AY51" s="168" t="s">
        <v>192</v>
      </c>
      <c r="AZ51" s="168" t="s">
        <v>192</v>
      </c>
      <c r="BA51" s="168" t="s">
        <v>192</v>
      </c>
      <c r="BB51" s="168" t="s">
        <v>153</v>
      </c>
      <c r="BC51" s="168" t="s">
        <v>192</v>
      </c>
      <c r="BD51" s="168" t="s">
        <v>153</v>
      </c>
      <c r="BE51" s="168" t="s">
        <v>192</v>
      </c>
      <c r="BF51" s="168" t="s">
        <v>153</v>
      </c>
      <c r="BG51" s="168" t="s">
        <v>192</v>
      </c>
      <c r="BH51" s="168" t="s">
        <v>153</v>
      </c>
      <c r="BI51" s="168" t="s">
        <v>192</v>
      </c>
      <c r="BJ51" s="168" t="s">
        <v>153</v>
      </c>
      <c r="BK51" s="168" t="s">
        <v>192</v>
      </c>
      <c r="BL51" s="168" t="s">
        <v>153</v>
      </c>
      <c r="BM51" s="168" t="s">
        <v>192</v>
      </c>
      <c r="BN51" s="168" t="s">
        <v>153</v>
      </c>
      <c r="BO51" s="168" t="s">
        <v>192</v>
      </c>
      <c r="BP51" s="168" t="s">
        <v>153</v>
      </c>
      <c r="BQ51" s="168" t="s">
        <v>192</v>
      </c>
      <c r="BR51" s="168" t="s">
        <v>153</v>
      </c>
      <c r="BS51" s="168" t="s">
        <v>192</v>
      </c>
      <c r="BT51" s="168" t="s">
        <v>153</v>
      </c>
      <c r="BU51" s="168" t="s">
        <v>192</v>
      </c>
      <c r="BV51" s="168" t="s">
        <v>153</v>
      </c>
      <c r="BW51" s="168" t="s">
        <v>192</v>
      </c>
      <c r="BX51" s="168" t="s">
        <v>153</v>
      </c>
      <c r="BY51" s="168" t="s">
        <v>192</v>
      </c>
      <c r="BZ51" s="168" t="s">
        <v>153</v>
      </c>
      <c r="CA51" s="168" t="s">
        <v>192</v>
      </c>
      <c r="CB51" s="168" t="s">
        <v>153</v>
      </c>
      <c r="CC51" s="168" t="s">
        <v>192</v>
      </c>
      <c r="CD51" s="168" t="s">
        <v>153</v>
      </c>
      <c r="CE51" s="168" t="s">
        <v>192</v>
      </c>
      <c r="CF51" s="168" t="s">
        <v>153</v>
      </c>
      <c r="CG51" s="244" t="s">
        <v>192</v>
      </c>
      <c r="CH51" s="183"/>
      <c r="CI51" s="186"/>
      <c r="CJ51" s="160"/>
      <c r="CK51" s="160"/>
      <c r="CL51" s="160"/>
      <c r="CM51" s="160"/>
      <c r="CN51" s="160"/>
      <c r="CO51" s="160"/>
      <c r="CP51" s="160"/>
      <c r="CQ51" s="160"/>
      <c r="CR51" s="160"/>
      <c r="CS51" s="179"/>
      <c r="CT51" s="160"/>
      <c r="CU51" s="160"/>
      <c r="CV51" s="160"/>
      <c r="CW51" s="160"/>
      <c r="CX51" s="188"/>
      <c r="CY51" s="160"/>
      <c r="CZ51" s="160"/>
      <c r="DA51" s="160"/>
      <c r="DB51" s="160"/>
      <c r="DC51" s="160"/>
      <c r="DD51" s="160"/>
      <c r="DE51" s="160"/>
      <c r="DF51" s="160"/>
      <c r="DG51" s="160"/>
      <c r="DH51" s="160"/>
      <c r="DI51" s="179"/>
      <c r="DJ51" s="160"/>
      <c r="DK51" s="160"/>
      <c r="DL51" s="179"/>
      <c r="DM51" s="160"/>
      <c r="DN51" s="160"/>
    </row>
    <row r="52" spans="1:118" hidden="1">
      <c r="A52" s="149" t="s">
        <v>80</v>
      </c>
      <c r="B52" s="150" t="s">
        <v>35</v>
      </c>
      <c r="C52" s="151" t="s">
        <v>276</v>
      </c>
      <c r="D52" s="152" t="s">
        <v>390</v>
      </c>
      <c r="E52" s="152"/>
      <c r="F52" s="152"/>
      <c r="G52" s="152"/>
      <c r="H52" s="62">
        <v>0</v>
      </c>
      <c r="I52" s="62"/>
      <c r="J52" s="62">
        <v>300</v>
      </c>
      <c r="K52" s="62">
        <v>185</v>
      </c>
      <c r="L52" s="62">
        <v>21000</v>
      </c>
      <c r="M52" s="62"/>
      <c r="N52" s="62"/>
      <c r="O52" s="62">
        <f>SUBTOTAL(9,Table4[[#This Row],[ESI BASIC]:[ESI FOOD]])</f>
        <v>0</v>
      </c>
      <c r="P52" s="188" t="s">
        <v>378</v>
      </c>
      <c r="Q52" s="188" t="s">
        <v>380</v>
      </c>
      <c r="R52" s="246">
        <v>5108010004050</v>
      </c>
      <c r="S52" s="167"/>
      <c r="T52" s="10">
        <f t="shared" si="3"/>
        <v>40</v>
      </c>
      <c r="U52" s="167"/>
      <c r="V52" s="10">
        <f t="shared" si="4"/>
        <v>40</v>
      </c>
      <c r="W52" s="10">
        <f t="shared" si="5"/>
        <v>5</v>
      </c>
      <c r="X52" s="170" t="s">
        <v>153</v>
      </c>
      <c r="Y52" s="168" t="s">
        <v>192</v>
      </c>
      <c r="Z52" s="168" t="s">
        <v>153</v>
      </c>
      <c r="AA52" s="168" t="s">
        <v>153</v>
      </c>
      <c r="AB52" s="168" t="s">
        <v>192</v>
      </c>
      <c r="AC52" s="168" t="s">
        <v>153</v>
      </c>
      <c r="AD52" s="168" t="s">
        <v>153</v>
      </c>
      <c r="AE52" s="168" t="s">
        <v>192</v>
      </c>
      <c r="AF52" s="168" t="s">
        <v>153</v>
      </c>
      <c r="AG52" s="168" t="s">
        <v>153</v>
      </c>
      <c r="AH52" s="168" t="s">
        <v>192</v>
      </c>
      <c r="AI52" s="168" t="s">
        <v>153</v>
      </c>
      <c r="AJ52" s="168" t="s">
        <v>153</v>
      </c>
      <c r="AK52" s="168" t="s">
        <v>192</v>
      </c>
      <c r="AL52" s="168" t="s">
        <v>153</v>
      </c>
      <c r="AM52" s="168" t="s">
        <v>153</v>
      </c>
      <c r="AN52" s="168" t="s">
        <v>192</v>
      </c>
      <c r="AO52" s="168" t="s">
        <v>153</v>
      </c>
      <c r="AP52" s="168" t="s">
        <v>153</v>
      </c>
      <c r="AQ52" s="170" t="s">
        <v>192</v>
      </c>
      <c r="AR52" s="170" t="s">
        <v>153</v>
      </c>
      <c r="AS52" s="170" t="s">
        <v>153</v>
      </c>
      <c r="AT52" s="170" t="s">
        <v>192</v>
      </c>
      <c r="AU52" s="170" t="s">
        <v>153</v>
      </c>
      <c r="AV52" s="170" t="s">
        <v>153</v>
      </c>
      <c r="AW52" s="170" t="s">
        <v>192</v>
      </c>
      <c r="AX52" s="170" t="s">
        <v>153</v>
      </c>
      <c r="AY52" s="170" t="s">
        <v>153</v>
      </c>
      <c r="AZ52" s="170" t="s">
        <v>192</v>
      </c>
      <c r="BA52" s="168" t="s">
        <v>153</v>
      </c>
      <c r="BB52" s="170" t="s">
        <v>153</v>
      </c>
      <c r="BC52" s="170" t="s">
        <v>192</v>
      </c>
      <c r="BD52" s="170" t="s">
        <v>153</v>
      </c>
      <c r="BE52" s="170" t="s">
        <v>153</v>
      </c>
      <c r="BF52" s="170" t="s">
        <v>192</v>
      </c>
      <c r="BG52" s="170" t="s">
        <v>153</v>
      </c>
      <c r="BH52" s="168" t="s">
        <v>153</v>
      </c>
      <c r="BI52" s="177" t="s">
        <v>192</v>
      </c>
      <c r="BJ52" s="168" t="s">
        <v>153</v>
      </c>
      <c r="BK52" s="177" t="s">
        <v>153</v>
      </c>
      <c r="BL52" s="168" t="s">
        <v>192</v>
      </c>
      <c r="BM52" s="177" t="s">
        <v>153</v>
      </c>
      <c r="BN52" s="168" t="s">
        <v>192</v>
      </c>
      <c r="BO52" s="177" t="s">
        <v>192</v>
      </c>
      <c r="BP52" s="168" t="s">
        <v>153</v>
      </c>
      <c r="BQ52" s="177" t="s">
        <v>153</v>
      </c>
      <c r="BR52" s="168" t="s">
        <v>192</v>
      </c>
      <c r="BS52" s="177" t="s">
        <v>153</v>
      </c>
      <c r="BT52" s="168" t="s">
        <v>153</v>
      </c>
      <c r="BU52" s="177" t="s">
        <v>192</v>
      </c>
      <c r="BV52" s="168" t="s">
        <v>153</v>
      </c>
      <c r="BW52" s="177" t="s">
        <v>153</v>
      </c>
      <c r="BX52" s="168" t="s">
        <v>192</v>
      </c>
      <c r="BY52" s="177" t="s">
        <v>153</v>
      </c>
      <c r="BZ52" s="168" t="s">
        <v>153</v>
      </c>
      <c r="CA52" s="177" t="s">
        <v>192</v>
      </c>
      <c r="CB52" s="168" t="s">
        <v>153</v>
      </c>
      <c r="CC52" s="177" t="s">
        <v>153</v>
      </c>
      <c r="CD52" s="168" t="s">
        <v>192</v>
      </c>
      <c r="CE52" s="177" t="s">
        <v>153</v>
      </c>
      <c r="CF52" s="168" t="s">
        <v>153</v>
      </c>
      <c r="CG52" s="187" t="s">
        <v>192</v>
      </c>
      <c r="CH52" s="183"/>
      <c r="CI52" s="185">
        <v>0</v>
      </c>
      <c r="CJ52" s="160">
        <v>0</v>
      </c>
      <c r="CK52" s="160">
        <v>0</v>
      </c>
      <c r="CL52" s="160">
        <v>0</v>
      </c>
      <c r="CM52" s="160">
        <v>0</v>
      </c>
      <c r="CN52" s="160">
        <v>0</v>
      </c>
      <c r="CO52" s="160">
        <v>0</v>
      </c>
      <c r="CP52" s="160">
        <v>0</v>
      </c>
      <c r="CQ52" s="160">
        <v>0</v>
      </c>
      <c r="CR52" s="160">
        <v>0</v>
      </c>
      <c r="CS52" s="179">
        <v>0</v>
      </c>
      <c r="CT52" s="160">
        <v>0</v>
      </c>
      <c r="CU52" s="160">
        <v>0</v>
      </c>
      <c r="CV52" s="160">
        <v>1</v>
      </c>
      <c r="CW52" s="179">
        <v>0</v>
      </c>
      <c r="CX52" s="188">
        <v>1</v>
      </c>
      <c r="CY52" s="160">
        <v>0</v>
      </c>
      <c r="CZ52" s="160">
        <v>0</v>
      </c>
      <c r="DA52" s="160">
        <v>0</v>
      </c>
      <c r="DB52" s="160">
        <v>1</v>
      </c>
      <c r="DC52" s="160">
        <v>0</v>
      </c>
      <c r="DD52" s="160">
        <v>0</v>
      </c>
      <c r="DE52" s="160">
        <v>0</v>
      </c>
      <c r="DF52" s="160">
        <v>0</v>
      </c>
      <c r="DG52" s="160">
        <v>1</v>
      </c>
      <c r="DH52" s="160">
        <v>0</v>
      </c>
      <c r="DI52" s="160">
        <v>0</v>
      </c>
      <c r="DJ52" s="160">
        <v>1</v>
      </c>
      <c r="DK52" s="160">
        <v>0</v>
      </c>
      <c r="DL52" s="160">
        <v>0</v>
      </c>
      <c r="DM52" s="160">
        <v>0</v>
      </c>
      <c r="DN52" s="160"/>
    </row>
    <row r="53" spans="1:118" hidden="1">
      <c r="A53" s="149" t="s">
        <v>80</v>
      </c>
      <c r="B53" s="150" t="s">
        <v>35</v>
      </c>
      <c r="C53" s="151" t="s">
        <v>351</v>
      </c>
      <c r="D53" s="152" t="s">
        <v>391</v>
      </c>
      <c r="E53" s="152"/>
      <c r="F53" s="152"/>
      <c r="G53" s="152"/>
      <c r="H53" s="62">
        <v>0</v>
      </c>
      <c r="I53" s="62"/>
      <c r="J53" s="62">
        <v>300</v>
      </c>
      <c r="K53" s="62">
        <v>185</v>
      </c>
      <c r="L53" s="62">
        <v>21000</v>
      </c>
      <c r="M53" s="62"/>
      <c r="N53" s="62"/>
      <c r="O53" s="62">
        <f>SUBTOTAL(9,Table4[[#This Row],[ESI BASIC]:[ESI FOOD]])</f>
        <v>0</v>
      </c>
      <c r="P53" s="262" t="s">
        <v>302</v>
      </c>
      <c r="Q53" s="262" t="s">
        <v>361</v>
      </c>
      <c r="R53" s="188">
        <v>34311568785</v>
      </c>
      <c r="S53" s="167"/>
      <c r="T53" s="10">
        <f t="shared" si="3"/>
        <v>38</v>
      </c>
      <c r="U53" s="167"/>
      <c r="V53" s="10">
        <f t="shared" si="4"/>
        <v>38</v>
      </c>
      <c r="W53" s="10">
        <f t="shared" si="5"/>
        <v>10</v>
      </c>
      <c r="X53" s="172" t="s">
        <v>153</v>
      </c>
      <c r="Y53" s="176" t="s">
        <v>153</v>
      </c>
      <c r="Z53" s="171" t="s">
        <v>192</v>
      </c>
      <c r="AA53" s="171" t="s">
        <v>153</v>
      </c>
      <c r="AB53" s="171" t="s">
        <v>153</v>
      </c>
      <c r="AC53" s="176" t="s">
        <v>192</v>
      </c>
      <c r="AD53" s="171" t="s">
        <v>153</v>
      </c>
      <c r="AE53" s="176" t="s">
        <v>153</v>
      </c>
      <c r="AF53" s="171" t="s">
        <v>192</v>
      </c>
      <c r="AG53" s="176" t="s">
        <v>153</v>
      </c>
      <c r="AH53" s="171" t="s">
        <v>192</v>
      </c>
      <c r="AI53" s="176" t="s">
        <v>192</v>
      </c>
      <c r="AJ53" s="171" t="s">
        <v>153</v>
      </c>
      <c r="AK53" s="176" t="s">
        <v>153</v>
      </c>
      <c r="AL53" s="171" t="s">
        <v>192</v>
      </c>
      <c r="AM53" s="176" t="s">
        <v>153</v>
      </c>
      <c r="AN53" s="171" t="s">
        <v>153</v>
      </c>
      <c r="AO53" s="176" t="s">
        <v>192</v>
      </c>
      <c r="AP53" s="171" t="s">
        <v>153</v>
      </c>
      <c r="AQ53" s="176" t="s">
        <v>153</v>
      </c>
      <c r="AR53" s="171" t="s">
        <v>192</v>
      </c>
      <c r="AS53" s="176" t="s">
        <v>153</v>
      </c>
      <c r="AT53" s="171" t="s">
        <v>153</v>
      </c>
      <c r="AU53" s="176" t="s">
        <v>192</v>
      </c>
      <c r="AV53" s="171" t="s">
        <v>153</v>
      </c>
      <c r="AW53" s="176" t="s">
        <v>153</v>
      </c>
      <c r="AX53" s="171" t="s">
        <v>192</v>
      </c>
      <c r="AY53" s="176" t="s">
        <v>153</v>
      </c>
      <c r="AZ53" s="171" t="s">
        <v>153</v>
      </c>
      <c r="BA53" s="177" t="s">
        <v>192</v>
      </c>
      <c r="BB53" s="168" t="s">
        <v>153</v>
      </c>
      <c r="BC53" s="177" t="s">
        <v>153</v>
      </c>
      <c r="BD53" s="168" t="s">
        <v>192</v>
      </c>
      <c r="BE53" s="177" t="s">
        <v>153</v>
      </c>
      <c r="BF53" s="168" t="s">
        <v>153</v>
      </c>
      <c r="BG53" s="177" t="s">
        <v>192</v>
      </c>
      <c r="BH53" s="168" t="s">
        <v>192</v>
      </c>
      <c r="BI53" s="177" t="s">
        <v>192</v>
      </c>
      <c r="BJ53" s="168" t="s">
        <v>192</v>
      </c>
      <c r="BK53" s="177" t="s">
        <v>153</v>
      </c>
      <c r="BL53" s="168" t="s">
        <v>153</v>
      </c>
      <c r="BM53" s="177" t="s">
        <v>192</v>
      </c>
      <c r="BN53" s="168" t="s">
        <v>153</v>
      </c>
      <c r="BO53" s="177" t="s">
        <v>153</v>
      </c>
      <c r="BP53" s="168" t="s">
        <v>192</v>
      </c>
      <c r="BQ53" s="177" t="s">
        <v>153</v>
      </c>
      <c r="BR53" s="168" t="s">
        <v>153</v>
      </c>
      <c r="BS53" s="177" t="s">
        <v>192</v>
      </c>
      <c r="BT53" s="168" t="s">
        <v>153</v>
      </c>
      <c r="BU53" s="177" t="s">
        <v>153</v>
      </c>
      <c r="BV53" s="168" t="s">
        <v>192</v>
      </c>
      <c r="BW53" s="177" t="s">
        <v>153</v>
      </c>
      <c r="BX53" s="168" t="s">
        <v>153</v>
      </c>
      <c r="BY53" s="177" t="s">
        <v>192</v>
      </c>
      <c r="BZ53" s="168" t="s">
        <v>153</v>
      </c>
      <c r="CA53" s="177" t="s">
        <v>153</v>
      </c>
      <c r="CB53" s="168" t="s">
        <v>192</v>
      </c>
      <c r="CC53" s="177" t="s">
        <v>153</v>
      </c>
      <c r="CD53" s="168" t="s">
        <v>153</v>
      </c>
      <c r="CE53" s="187" t="s">
        <v>192</v>
      </c>
      <c r="CF53" s="168" t="s">
        <v>192</v>
      </c>
      <c r="CG53" s="187" t="s">
        <v>153</v>
      </c>
      <c r="CH53" s="183"/>
      <c r="CI53" s="186">
        <v>0</v>
      </c>
      <c r="CJ53" s="160">
        <v>0</v>
      </c>
      <c r="CK53" s="179">
        <v>0</v>
      </c>
      <c r="CL53" s="160">
        <v>0</v>
      </c>
      <c r="CM53" s="160">
        <v>0</v>
      </c>
      <c r="CN53" s="160">
        <v>0</v>
      </c>
      <c r="CO53" s="160">
        <v>1</v>
      </c>
      <c r="CP53" s="160">
        <v>0</v>
      </c>
      <c r="CQ53" s="160">
        <v>1</v>
      </c>
      <c r="CR53" s="160">
        <v>0</v>
      </c>
      <c r="CS53" s="179">
        <v>0</v>
      </c>
      <c r="CT53" s="160">
        <v>0</v>
      </c>
      <c r="CU53" s="160">
        <v>0</v>
      </c>
      <c r="CV53" s="160">
        <v>2</v>
      </c>
      <c r="CW53" s="160">
        <v>0</v>
      </c>
      <c r="CX53" s="160">
        <v>1</v>
      </c>
      <c r="CY53" s="160">
        <v>0</v>
      </c>
      <c r="CZ53" s="160">
        <v>1</v>
      </c>
      <c r="DA53" s="160">
        <v>0</v>
      </c>
      <c r="DB53" s="160">
        <v>0</v>
      </c>
      <c r="DC53" s="160">
        <v>0</v>
      </c>
      <c r="DD53" s="160">
        <v>1</v>
      </c>
      <c r="DE53" s="160">
        <v>0</v>
      </c>
      <c r="DF53" s="160">
        <v>0</v>
      </c>
      <c r="DG53" s="160">
        <v>0</v>
      </c>
      <c r="DH53" s="160">
        <v>0</v>
      </c>
      <c r="DI53" s="160">
        <v>1</v>
      </c>
      <c r="DJ53" s="160">
        <v>0</v>
      </c>
      <c r="DK53" s="160">
        <v>1</v>
      </c>
      <c r="DL53" s="160">
        <v>1</v>
      </c>
      <c r="DM53" s="160">
        <v>0</v>
      </c>
      <c r="DN53" s="160"/>
    </row>
    <row r="54" spans="1:118" hidden="1">
      <c r="A54" s="149" t="s">
        <v>81</v>
      </c>
      <c r="B54" s="150" t="s">
        <v>38</v>
      </c>
      <c r="C54" s="151" t="s">
        <v>362</v>
      </c>
      <c r="D54" s="152"/>
      <c r="E54" s="152"/>
      <c r="F54" s="152"/>
      <c r="G54" s="152"/>
      <c r="H54" s="62">
        <v>0</v>
      </c>
      <c r="I54" s="62"/>
      <c r="J54" s="62">
        <v>260</v>
      </c>
      <c r="K54" s="62">
        <v>80</v>
      </c>
      <c r="L54" s="62"/>
      <c r="M54" s="62"/>
      <c r="N54" s="62"/>
      <c r="O54" s="62">
        <f>SUBTOTAL(9,Table4[[#This Row],[ESI BASIC]:[ESI FOOD]])</f>
        <v>0</v>
      </c>
      <c r="P54" s="160"/>
      <c r="Q54" s="160"/>
      <c r="R54" s="175"/>
      <c r="S54" s="167"/>
      <c r="T54" s="10">
        <f t="shared" si="3"/>
        <v>41</v>
      </c>
      <c r="U54" s="167"/>
      <c r="V54" s="10">
        <f t="shared" si="4"/>
        <v>41</v>
      </c>
      <c r="W54" s="10">
        <f t="shared" si="5"/>
        <v>9</v>
      </c>
      <c r="X54" s="168" t="s">
        <v>153</v>
      </c>
      <c r="Y54" s="168" t="s">
        <v>153</v>
      </c>
      <c r="Z54" s="170" t="s">
        <v>192</v>
      </c>
      <c r="AA54" s="168" t="s">
        <v>153</v>
      </c>
      <c r="AB54" s="168" t="s">
        <v>153</v>
      </c>
      <c r="AC54" s="168" t="s">
        <v>192</v>
      </c>
      <c r="AD54" s="168" t="s">
        <v>153</v>
      </c>
      <c r="AE54" s="168" t="s">
        <v>153</v>
      </c>
      <c r="AF54" s="168" t="s">
        <v>192</v>
      </c>
      <c r="AG54" s="168" t="s">
        <v>153</v>
      </c>
      <c r="AH54" s="168" t="s">
        <v>153</v>
      </c>
      <c r="AI54" s="168" t="s">
        <v>192</v>
      </c>
      <c r="AJ54" s="168" t="s">
        <v>153</v>
      </c>
      <c r="AK54" s="168" t="s">
        <v>153</v>
      </c>
      <c r="AL54" s="168" t="s">
        <v>192</v>
      </c>
      <c r="AM54" s="168" t="s">
        <v>153</v>
      </c>
      <c r="AN54" s="170" t="s">
        <v>153</v>
      </c>
      <c r="AO54" s="168" t="s">
        <v>192</v>
      </c>
      <c r="AP54" s="168" t="s">
        <v>153</v>
      </c>
      <c r="AQ54" s="168" t="s">
        <v>153</v>
      </c>
      <c r="AR54" s="168" t="s">
        <v>192</v>
      </c>
      <c r="AS54" s="168" t="s">
        <v>153</v>
      </c>
      <c r="AT54" s="168" t="s">
        <v>192</v>
      </c>
      <c r="AU54" s="168" t="s">
        <v>192</v>
      </c>
      <c r="AV54" s="168" t="s">
        <v>153</v>
      </c>
      <c r="AW54" s="168" t="s">
        <v>153</v>
      </c>
      <c r="AX54" s="168" t="s">
        <v>153</v>
      </c>
      <c r="AY54" s="168" t="s">
        <v>153</v>
      </c>
      <c r="AZ54" s="168" t="s">
        <v>153</v>
      </c>
      <c r="BA54" s="168" t="s">
        <v>192</v>
      </c>
      <c r="BB54" s="168" t="s">
        <v>153</v>
      </c>
      <c r="BC54" s="168" t="s">
        <v>153</v>
      </c>
      <c r="BD54" s="168" t="s">
        <v>192</v>
      </c>
      <c r="BE54" s="168" t="s">
        <v>153</v>
      </c>
      <c r="BF54" s="168" t="s">
        <v>192</v>
      </c>
      <c r="BG54" s="168" t="s">
        <v>192</v>
      </c>
      <c r="BH54" s="168" t="s">
        <v>153</v>
      </c>
      <c r="BI54" s="168" t="s">
        <v>153</v>
      </c>
      <c r="BJ54" s="168" t="s">
        <v>192</v>
      </c>
      <c r="BK54" s="168" t="s">
        <v>153</v>
      </c>
      <c r="BL54" s="168" t="s">
        <v>153</v>
      </c>
      <c r="BM54" s="168" t="s">
        <v>192</v>
      </c>
      <c r="BN54" s="168" t="s">
        <v>153</v>
      </c>
      <c r="BO54" s="168" t="s">
        <v>153</v>
      </c>
      <c r="BP54" s="168" t="s">
        <v>192</v>
      </c>
      <c r="BQ54" s="168" t="s">
        <v>153</v>
      </c>
      <c r="BR54" s="168" t="s">
        <v>153</v>
      </c>
      <c r="BS54" s="168" t="s">
        <v>192</v>
      </c>
      <c r="BT54" s="168" t="s">
        <v>153</v>
      </c>
      <c r="BU54" s="168" t="s">
        <v>153</v>
      </c>
      <c r="BV54" s="168" t="s">
        <v>192</v>
      </c>
      <c r="BW54" s="168" t="s">
        <v>153</v>
      </c>
      <c r="BX54" s="168" t="s">
        <v>153</v>
      </c>
      <c r="BY54" s="168" t="s">
        <v>192</v>
      </c>
      <c r="BZ54" s="168" t="s">
        <v>153</v>
      </c>
      <c r="CA54" s="168" t="s">
        <v>153</v>
      </c>
      <c r="CB54" s="168" t="s">
        <v>192</v>
      </c>
      <c r="CC54" s="168" t="s">
        <v>153</v>
      </c>
      <c r="CD54" s="168" t="s">
        <v>153</v>
      </c>
      <c r="CE54" s="168" t="s">
        <v>192</v>
      </c>
      <c r="CF54" s="168" t="s">
        <v>153</v>
      </c>
      <c r="CG54" s="168" t="s">
        <v>153</v>
      </c>
      <c r="CH54" s="183"/>
      <c r="CI54" s="185">
        <v>1</v>
      </c>
      <c r="CJ54" s="160">
        <v>0</v>
      </c>
      <c r="CK54" s="160">
        <v>0</v>
      </c>
      <c r="CL54" s="160">
        <v>0</v>
      </c>
      <c r="CM54" s="160">
        <v>0</v>
      </c>
      <c r="CN54" s="160">
        <v>0</v>
      </c>
      <c r="CO54" s="160">
        <v>0</v>
      </c>
      <c r="CP54" s="160">
        <v>0</v>
      </c>
      <c r="CQ54" s="160">
        <v>0</v>
      </c>
      <c r="CR54" s="160">
        <v>0</v>
      </c>
      <c r="CS54" s="179">
        <v>0</v>
      </c>
      <c r="CT54" s="160">
        <v>0</v>
      </c>
      <c r="CU54" s="160">
        <v>0</v>
      </c>
      <c r="CV54" s="160">
        <v>4</v>
      </c>
      <c r="CW54" s="160">
        <v>0</v>
      </c>
      <c r="CX54" s="160">
        <v>0</v>
      </c>
      <c r="CY54" s="160">
        <v>0</v>
      </c>
      <c r="CZ54" s="160">
        <v>0</v>
      </c>
      <c r="DA54" s="160">
        <v>0</v>
      </c>
      <c r="DB54" s="160">
        <v>0</v>
      </c>
      <c r="DC54" s="160">
        <v>0</v>
      </c>
      <c r="DD54" s="160">
        <v>1</v>
      </c>
      <c r="DE54" s="160">
        <v>0</v>
      </c>
      <c r="DF54" s="160">
        <v>0</v>
      </c>
      <c r="DG54" s="160">
        <v>1</v>
      </c>
      <c r="DH54" s="160">
        <v>0</v>
      </c>
      <c r="DI54" s="160">
        <v>1</v>
      </c>
      <c r="DJ54" s="160">
        <v>0</v>
      </c>
      <c r="DK54" s="160">
        <v>1</v>
      </c>
      <c r="DL54" s="160">
        <v>0</v>
      </c>
      <c r="DM54" s="160">
        <v>0</v>
      </c>
      <c r="DN54" s="160"/>
    </row>
    <row r="55" spans="1:118" hidden="1">
      <c r="A55" s="149" t="s">
        <v>81</v>
      </c>
      <c r="B55" s="150" t="s">
        <v>38</v>
      </c>
      <c r="C55" s="151" t="s">
        <v>277</v>
      </c>
      <c r="D55" s="152"/>
      <c r="E55" s="152"/>
      <c r="F55" s="152"/>
      <c r="G55" s="152"/>
      <c r="H55" s="62">
        <v>0</v>
      </c>
      <c r="I55" s="62"/>
      <c r="J55" s="62">
        <v>260</v>
      </c>
      <c r="K55" s="62">
        <v>80</v>
      </c>
      <c r="L55" s="62"/>
      <c r="M55" s="62"/>
      <c r="N55" s="62"/>
      <c r="O55" s="62">
        <f>SUBTOTAL(9,Table4[[#This Row],[ESI BASIC]:[ESI FOOD]])</f>
        <v>0</v>
      </c>
      <c r="P55" s="160"/>
      <c r="Q55" s="160"/>
      <c r="R55" s="175"/>
      <c r="S55" s="167"/>
      <c r="T55" s="10">
        <f t="shared" si="3"/>
        <v>41</v>
      </c>
      <c r="U55" s="167"/>
      <c r="V55" s="10">
        <f t="shared" si="4"/>
        <v>41</v>
      </c>
      <c r="W55" s="10">
        <f t="shared" si="5"/>
        <v>12</v>
      </c>
      <c r="X55" s="170" t="s">
        <v>192</v>
      </c>
      <c r="Y55" s="168" t="s">
        <v>153</v>
      </c>
      <c r="Z55" s="168" t="s">
        <v>153</v>
      </c>
      <c r="AA55" s="168" t="s">
        <v>192</v>
      </c>
      <c r="AB55" s="168" t="s">
        <v>153</v>
      </c>
      <c r="AC55" s="168" t="s">
        <v>153</v>
      </c>
      <c r="AD55" s="168" t="s">
        <v>192</v>
      </c>
      <c r="AE55" s="168" t="s">
        <v>153</v>
      </c>
      <c r="AF55" s="168" t="s">
        <v>153</v>
      </c>
      <c r="AG55" s="168" t="s">
        <v>192</v>
      </c>
      <c r="AH55" s="168" t="s">
        <v>153</v>
      </c>
      <c r="AI55" s="168" t="s">
        <v>153</v>
      </c>
      <c r="AJ55" s="168" t="s">
        <v>192</v>
      </c>
      <c r="AK55" s="168" t="s">
        <v>153</v>
      </c>
      <c r="AL55" s="168" t="s">
        <v>153</v>
      </c>
      <c r="AM55" s="168" t="s">
        <v>192</v>
      </c>
      <c r="AN55" s="168" t="s">
        <v>153</v>
      </c>
      <c r="AO55" s="168" t="s">
        <v>153</v>
      </c>
      <c r="AP55" s="178" t="s">
        <v>192</v>
      </c>
      <c r="AQ55" s="168" t="s">
        <v>153</v>
      </c>
      <c r="AR55" s="168" t="s">
        <v>153</v>
      </c>
      <c r="AS55" s="168" t="s">
        <v>192</v>
      </c>
      <c r="AT55" s="168" t="s">
        <v>153</v>
      </c>
      <c r="AU55" s="274" t="s">
        <v>153</v>
      </c>
      <c r="AV55" s="168" t="s">
        <v>192</v>
      </c>
      <c r="AW55" s="168" t="s">
        <v>153</v>
      </c>
      <c r="AX55" s="168" t="s">
        <v>153</v>
      </c>
      <c r="AY55" s="168" t="s">
        <v>192</v>
      </c>
      <c r="AZ55" s="168" t="s">
        <v>153</v>
      </c>
      <c r="BA55" s="168" t="s">
        <v>153</v>
      </c>
      <c r="BB55" s="168" t="s">
        <v>192</v>
      </c>
      <c r="BC55" s="177" t="s">
        <v>153</v>
      </c>
      <c r="BD55" s="168" t="s">
        <v>153</v>
      </c>
      <c r="BE55" s="177" t="s">
        <v>192</v>
      </c>
      <c r="BF55" s="168" t="s">
        <v>153</v>
      </c>
      <c r="BG55" s="177" t="s">
        <v>153</v>
      </c>
      <c r="BH55" s="168" t="s">
        <v>192</v>
      </c>
      <c r="BI55" s="177" t="s">
        <v>153</v>
      </c>
      <c r="BJ55" s="168" t="s">
        <v>153</v>
      </c>
      <c r="BK55" s="177" t="s">
        <v>192</v>
      </c>
      <c r="BL55" s="168" t="s">
        <v>153</v>
      </c>
      <c r="BM55" s="177" t="s">
        <v>153</v>
      </c>
      <c r="BN55" s="168" t="s">
        <v>192</v>
      </c>
      <c r="BO55" s="177" t="s">
        <v>153</v>
      </c>
      <c r="BP55" s="168" t="s">
        <v>153</v>
      </c>
      <c r="BQ55" s="177" t="s">
        <v>192</v>
      </c>
      <c r="BR55" s="168" t="s">
        <v>153</v>
      </c>
      <c r="BS55" s="177" t="s">
        <v>153</v>
      </c>
      <c r="BT55" s="168" t="s">
        <v>192</v>
      </c>
      <c r="BU55" s="177" t="s">
        <v>153</v>
      </c>
      <c r="BV55" s="168" t="s">
        <v>153</v>
      </c>
      <c r="BW55" s="177" t="s">
        <v>192</v>
      </c>
      <c r="BX55" s="168" t="s">
        <v>153</v>
      </c>
      <c r="BY55" s="177" t="s">
        <v>153</v>
      </c>
      <c r="BZ55" s="168" t="s">
        <v>192</v>
      </c>
      <c r="CA55" s="177" t="s">
        <v>153</v>
      </c>
      <c r="CB55" s="168" t="s">
        <v>153</v>
      </c>
      <c r="CC55" s="177" t="s">
        <v>192</v>
      </c>
      <c r="CD55" s="168" t="s">
        <v>153</v>
      </c>
      <c r="CE55" s="177" t="s">
        <v>153</v>
      </c>
      <c r="CF55" s="168" t="s">
        <v>192</v>
      </c>
      <c r="CG55" s="187" t="s">
        <v>153</v>
      </c>
      <c r="CH55" s="183"/>
      <c r="CI55" s="185">
        <v>0</v>
      </c>
      <c r="CJ55" s="160">
        <v>0</v>
      </c>
      <c r="CK55" s="160">
        <v>0</v>
      </c>
      <c r="CL55" s="160">
        <v>1</v>
      </c>
      <c r="CM55" s="179">
        <v>0</v>
      </c>
      <c r="CN55" s="160">
        <v>0</v>
      </c>
      <c r="CO55" s="160">
        <v>2</v>
      </c>
      <c r="CP55" s="160">
        <v>0</v>
      </c>
      <c r="CQ55" s="160">
        <v>1</v>
      </c>
      <c r="CR55" s="160">
        <v>0</v>
      </c>
      <c r="CS55" s="179">
        <v>0</v>
      </c>
      <c r="CT55" s="160">
        <v>0</v>
      </c>
      <c r="CU55" s="160">
        <v>0</v>
      </c>
      <c r="CV55" s="160">
        <v>1</v>
      </c>
      <c r="CW55" s="160">
        <v>1</v>
      </c>
      <c r="CX55" s="188">
        <v>0</v>
      </c>
      <c r="CY55" s="160">
        <v>0</v>
      </c>
      <c r="CZ55" s="160">
        <v>0</v>
      </c>
      <c r="DA55" s="160">
        <v>0</v>
      </c>
      <c r="DB55" s="160">
        <v>1</v>
      </c>
      <c r="DC55" s="160">
        <v>0</v>
      </c>
      <c r="DD55" s="160">
        <v>0</v>
      </c>
      <c r="DE55" s="160">
        <v>1</v>
      </c>
      <c r="DF55" s="160">
        <v>0</v>
      </c>
      <c r="DG55" s="160">
        <v>0</v>
      </c>
      <c r="DH55" s="160">
        <v>0</v>
      </c>
      <c r="DI55" s="160">
        <v>1</v>
      </c>
      <c r="DJ55" s="160">
        <v>1</v>
      </c>
      <c r="DK55" s="160">
        <v>1</v>
      </c>
      <c r="DL55" s="160">
        <v>1</v>
      </c>
      <c r="DM55" s="160">
        <v>0</v>
      </c>
      <c r="DN55" s="160"/>
    </row>
    <row r="56" spans="1:118" hidden="1">
      <c r="A56" s="149" t="s">
        <v>81</v>
      </c>
      <c r="B56" s="150" t="s">
        <v>35</v>
      </c>
      <c r="C56" s="151" t="s">
        <v>408</v>
      </c>
      <c r="D56" s="152"/>
      <c r="E56" s="152"/>
      <c r="F56" s="152"/>
      <c r="G56" s="152"/>
      <c r="H56" s="62">
        <v>0</v>
      </c>
      <c r="I56" s="62"/>
      <c r="J56" s="62">
        <v>633.33000000000004</v>
      </c>
      <c r="K56" s="62"/>
      <c r="L56" s="62"/>
      <c r="M56" s="62"/>
      <c r="N56" s="62"/>
      <c r="O56" s="62"/>
      <c r="P56" s="160"/>
      <c r="Q56" s="160"/>
      <c r="R56" s="175"/>
      <c r="S56" s="167"/>
      <c r="T56" s="10">
        <f t="shared" si="3"/>
        <v>31</v>
      </c>
      <c r="U56" s="167"/>
      <c r="V56" s="10">
        <f t="shared" si="4"/>
        <v>31</v>
      </c>
      <c r="W56" s="10">
        <f t="shared" si="5"/>
        <v>0</v>
      </c>
      <c r="X56" s="170" t="s">
        <v>153</v>
      </c>
      <c r="Y56" s="177" t="s">
        <v>192</v>
      </c>
      <c r="Z56" s="168" t="s">
        <v>153</v>
      </c>
      <c r="AA56" s="177" t="s">
        <v>192</v>
      </c>
      <c r="AB56" s="168" t="s">
        <v>153</v>
      </c>
      <c r="AC56" s="177" t="s">
        <v>192</v>
      </c>
      <c r="AD56" s="168" t="s">
        <v>153</v>
      </c>
      <c r="AE56" s="177" t="s">
        <v>192</v>
      </c>
      <c r="AF56" s="168" t="s">
        <v>153</v>
      </c>
      <c r="AG56" s="177" t="s">
        <v>192</v>
      </c>
      <c r="AH56" s="168" t="s">
        <v>153</v>
      </c>
      <c r="AI56" s="177" t="s">
        <v>192</v>
      </c>
      <c r="AJ56" s="168" t="s">
        <v>153</v>
      </c>
      <c r="AK56" s="177" t="s">
        <v>192</v>
      </c>
      <c r="AL56" s="168" t="s">
        <v>153</v>
      </c>
      <c r="AM56" s="177" t="s">
        <v>192</v>
      </c>
      <c r="AN56" s="168" t="s">
        <v>153</v>
      </c>
      <c r="AO56" s="177" t="s">
        <v>192</v>
      </c>
      <c r="AP56" s="168" t="s">
        <v>153</v>
      </c>
      <c r="AQ56" s="177" t="s">
        <v>192</v>
      </c>
      <c r="AR56" s="168" t="s">
        <v>153</v>
      </c>
      <c r="AS56" s="177" t="s">
        <v>192</v>
      </c>
      <c r="AT56" s="168" t="s">
        <v>153</v>
      </c>
      <c r="AU56" s="177" t="s">
        <v>192</v>
      </c>
      <c r="AV56" s="168" t="s">
        <v>153</v>
      </c>
      <c r="AW56" s="177" t="s">
        <v>192</v>
      </c>
      <c r="AX56" s="168" t="s">
        <v>153</v>
      </c>
      <c r="AY56" s="177" t="s">
        <v>192</v>
      </c>
      <c r="AZ56" s="168" t="s">
        <v>153</v>
      </c>
      <c r="BA56" s="177" t="s">
        <v>192</v>
      </c>
      <c r="BB56" s="168" t="s">
        <v>153</v>
      </c>
      <c r="BC56" s="177" t="s">
        <v>192</v>
      </c>
      <c r="BD56" s="168" t="s">
        <v>153</v>
      </c>
      <c r="BE56" s="177" t="s">
        <v>192</v>
      </c>
      <c r="BF56" s="168" t="s">
        <v>153</v>
      </c>
      <c r="BG56" s="177" t="s">
        <v>192</v>
      </c>
      <c r="BH56" s="168" t="s">
        <v>153</v>
      </c>
      <c r="BI56" s="177" t="s">
        <v>192</v>
      </c>
      <c r="BJ56" s="168" t="s">
        <v>153</v>
      </c>
      <c r="BK56" s="177" t="s">
        <v>192</v>
      </c>
      <c r="BL56" s="168" t="s">
        <v>153</v>
      </c>
      <c r="BM56" s="177" t="s">
        <v>192</v>
      </c>
      <c r="BN56" s="168" t="s">
        <v>153</v>
      </c>
      <c r="BO56" s="177" t="s">
        <v>192</v>
      </c>
      <c r="BP56" s="168" t="s">
        <v>153</v>
      </c>
      <c r="BQ56" s="177" t="s">
        <v>192</v>
      </c>
      <c r="BR56" s="168" t="s">
        <v>153</v>
      </c>
      <c r="BS56" s="177" t="s">
        <v>192</v>
      </c>
      <c r="BT56" s="168" t="s">
        <v>153</v>
      </c>
      <c r="BU56" s="177" t="s">
        <v>192</v>
      </c>
      <c r="BV56" s="168" t="s">
        <v>153</v>
      </c>
      <c r="BW56" s="177" t="s">
        <v>192</v>
      </c>
      <c r="BX56" s="168" t="s">
        <v>153</v>
      </c>
      <c r="BY56" s="177" t="s">
        <v>192</v>
      </c>
      <c r="BZ56" s="168" t="s">
        <v>153</v>
      </c>
      <c r="CA56" s="177" t="s">
        <v>192</v>
      </c>
      <c r="CB56" s="168" t="s">
        <v>153</v>
      </c>
      <c r="CC56" s="177" t="s">
        <v>192</v>
      </c>
      <c r="CD56" s="168" t="s">
        <v>153</v>
      </c>
      <c r="CE56" s="177" t="s">
        <v>192</v>
      </c>
      <c r="CF56" s="168" t="s">
        <v>153</v>
      </c>
      <c r="CG56" s="187" t="s">
        <v>192</v>
      </c>
      <c r="CH56" s="183"/>
      <c r="CI56" s="185"/>
      <c r="CJ56" s="160"/>
      <c r="CK56" s="160"/>
      <c r="CL56" s="160"/>
      <c r="CM56" s="160"/>
      <c r="CN56" s="160"/>
      <c r="CO56" s="160"/>
      <c r="CP56" s="160"/>
      <c r="CQ56" s="160"/>
      <c r="CR56" s="160"/>
      <c r="CS56" s="179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  <c r="DG56" s="160"/>
      <c r="DH56" s="160"/>
      <c r="DI56" s="160"/>
      <c r="DJ56" s="160"/>
      <c r="DK56" s="160"/>
      <c r="DL56" s="160"/>
      <c r="DM56" s="160"/>
      <c r="DN56" s="160"/>
    </row>
    <row r="57" spans="1:118" hidden="1">
      <c r="A57" s="149" t="s">
        <v>81</v>
      </c>
      <c r="B57" s="150" t="s">
        <v>84</v>
      </c>
      <c r="C57" s="151" t="s">
        <v>419</v>
      </c>
      <c r="D57" s="152"/>
      <c r="E57" s="152"/>
      <c r="F57" s="152"/>
      <c r="G57" s="152"/>
      <c r="H57" s="62">
        <f>SUBTOTAL(9,Table4[[#This Row],[BASIC]:[FOOD]])</f>
        <v>0</v>
      </c>
      <c r="I57" s="62">
        <v>12000</v>
      </c>
      <c r="J57" s="62"/>
      <c r="K57" s="62"/>
      <c r="L57" s="62"/>
      <c r="M57" s="62"/>
      <c r="N57" s="62"/>
      <c r="O57" s="62">
        <f>SUBTOTAL(9,Table4[[#This Row],[ESI BASIC]:[ESI FOOD]])</f>
        <v>0</v>
      </c>
      <c r="P57" s="188"/>
      <c r="Q57" s="188"/>
      <c r="R57" s="246"/>
      <c r="S57" s="167"/>
      <c r="T57" s="10">
        <f t="shared" si="3"/>
        <v>21</v>
      </c>
      <c r="U57" s="167">
        <v>3</v>
      </c>
      <c r="V57" s="10">
        <f t="shared" si="4"/>
        <v>24</v>
      </c>
      <c r="W57" s="10">
        <f t="shared" si="5"/>
        <v>0</v>
      </c>
      <c r="X57" s="168"/>
      <c r="Y57" s="177"/>
      <c r="Z57" s="168"/>
      <c r="AA57" s="168"/>
      <c r="AB57" s="168"/>
      <c r="AC57" s="168"/>
      <c r="AD57" s="168"/>
      <c r="AE57" s="168"/>
      <c r="AF57" s="168"/>
      <c r="AG57" s="177"/>
      <c r="AH57" s="168"/>
      <c r="AI57" s="177"/>
      <c r="AJ57" s="168" t="s">
        <v>153</v>
      </c>
      <c r="AK57" s="177" t="s">
        <v>192</v>
      </c>
      <c r="AL57" s="168" t="s">
        <v>153</v>
      </c>
      <c r="AM57" s="177" t="s">
        <v>192</v>
      </c>
      <c r="AN57" s="168" t="s">
        <v>192</v>
      </c>
      <c r="AO57" s="177" t="s">
        <v>192</v>
      </c>
      <c r="AP57" s="168" t="s">
        <v>192</v>
      </c>
      <c r="AQ57" s="177" t="s">
        <v>192</v>
      </c>
      <c r="AR57" s="168" t="s">
        <v>153</v>
      </c>
      <c r="AS57" s="177" t="s">
        <v>192</v>
      </c>
      <c r="AT57" s="168" t="s">
        <v>153</v>
      </c>
      <c r="AU57" s="177" t="s">
        <v>192</v>
      </c>
      <c r="AV57" s="168" t="s">
        <v>153</v>
      </c>
      <c r="AW57" s="177" t="s">
        <v>192</v>
      </c>
      <c r="AX57" s="168" t="s">
        <v>153</v>
      </c>
      <c r="AY57" s="177" t="s">
        <v>153</v>
      </c>
      <c r="AZ57" s="168" t="s">
        <v>192</v>
      </c>
      <c r="BA57" s="177" t="s">
        <v>192</v>
      </c>
      <c r="BB57" s="168" t="s">
        <v>153</v>
      </c>
      <c r="BC57" s="177" t="s">
        <v>192</v>
      </c>
      <c r="BD57" s="168" t="s">
        <v>192</v>
      </c>
      <c r="BE57" s="177" t="s">
        <v>192</v>
      </c>
      <c r="BF57" s="168" t="s">
        <v>192</v>
      </c>
      <c r="BG57" s="177" t="s">
        <v>192</v>
      </c>
      <c r="BH57" s="168" t="s">
        <v>153</v>
      </c>
      <c r="BI57" s="177" t="s">
        <v>192</v>
      </c>
      <c r="BJ57" s="168" t="s">
        <v>153</v>
      </c>
      <c r="BK57" s="177" t="s">
        <v>192</v>
      </c>
      <c r="BL57" s="168" t="s">
        <v>192</v>
      </c>
      <c r="BM57" s="177" t="s">
        <v>153</v>
      </c>
      <c r="BN57" s="168" t="s">
        <v>192</v>
      </c>
      <c r="BO57" s="177" t="s">
        <v>153</v>
      </c>
      <c r="BP57" s="168" t="s">
        <v>192</v>
      </c>
      <c r="BQ57" s="177" t="s">
        <v>153</v>
      </c>
      <c r="BR57" s="168" t="s">
        <v>192</v>
      </c>
      <c r="BS57" s="177" t="s">
        <v>153</v>
      </c>
      <c r="BT57" s="168" t="s">
        <v>192</v>
      </c>
      <c r="BU57" s="177" t="s">
        <v>153</v>
      </c>
      <c r="BV57" s="168" t="s">
        <v>192</v>
      </c>
      <c r="BW57" s="177" t="s">
        <v>153</v>
      </c>
      <c r="BX57" s="168" t="s">
        <v>192</v>
      </c>
      <c r="BY57" s="177" t="s">
        <v>153</v>
      </c>
      <c r="BZ57" s="168" t="s">
        <v>153</v>
      </c>
      <c r="CA57" s="177" t="s">
        <v>192</v>
      </c>
      <c r="CB57" s="168" t="s">
        <v>153</v>
      </c>
      <c r="CC57" s="177" t="s">
        <v>192</v>
      </c>
      <c r="CD57" s="168" t="s">
        <v>153</v>
      </c>
      <c r="CE57" s="177" t="s">
        <v>192</v>
      </c>
      <c r="CF57" s="168" t="s">
        <v>153</v>
      </c>
      <c r="CG57" s="187" t="s">
        <v>192</v>
      </c>
      <c r="CH57" s="183"/>
      <c r="CI57" s="185"/>
      <c r="CJ57" s="160"/>
      <c r="CK57" s="160"/>
      <c r="CL57" s="160"/>
      <c r="CM57" s="160"/>
      <c r="CN57" s="160"/>
      <c r="CO57" s="160"/>
      <c r="CP57" s="160"/>
      <c r="CQ57" s="160"/>
      <c r="CR57" s="160"/>
      <c r="CS57" s="179"/>
      <c r="CT57" s="160"/>
      <c r="CU57" s="160"/>
      <c r="CV57" s="160"/>
      <c r="CW57" s="160"/>
      <c r="CX57" s="160"/>
      <c r="CY57" s="160"/>
      <c r="CZ57" s="160"/>
      <c r="DA57" s="160"/>
      <c r="DB57" s="160"/>
      <c r="DC57" s="160"/>
      <c r="DD57" s="160"/>
      <c r="DE57" s="160"/>
      <c r="DF57" s="160"/>
      <c r="DG57" s="160"/>
      <c r="DH57" s="160"/>
      <c r="DI57" s="160"/>
      <c r="DJ57" s="160"/>
      <c r="DK57" s="160"/>
      <c r="DL57" s="160"/>
      <c r="DM57" s="160"/>
      <c r="DN57" s="160"/>
    </row>
    <row r="58" spans="1:118" hidden="1">
      <c r="A58" s="149" t="s">
        <v>81</v>
      </c>
      <c r="B58" s="150" t="s">
        <v>84</v>
      </c>
      <c r="C58" s="151" t="s">
        <v>420</v>
      </c>
      <c r="D58" s="152"/>
      <c r="E58" s="152"/>
      <c r="F58" s="152"/>
      <c r="G58" s="152"/>
      <c r="H58" s="62">
        <v>0</v>
      </c>
      <c r="I58" s="62">
        <v>12000</v>
      </c>
      <c r="J58" s="62"/>
      <c r="K58" s="62"/>
      <c r="L58" s="62"/>
      <c r="M58" s="62"/>
      <c r="N58" s="62"/>
      <c r="O58" s="62"/>
      <c r="P58" s="160"/>
      <c r="Q58" s="160"/>
      <c r="R58" s="175"/>
      <c r="S58" s="167"/>
      <c r="T58" s="10">
        <f t="shared" si="3"/>
        <v>24</v>
      </c>
      <c r="U58" s="167">
        <v>4</v>
      </c>
      <c r="V58" s="10">
        <f t="shared" si="4"/>
        <v>28</v>
      </c>
      <c r="W58" s="10">
        <f t="shared" si="5"/>
        <v>0</v>
      </c>
      <c r="X58" s="170"/>
      <c r="Y58" s="177"/>
      <c r="Z58" s="168"/>
      <c r="AA58" s="177"/>
      <c r="AB58" s="168"/>
      <c r="AC58" s="177"/>
      <c r="AD58" s="168"/>
      <c r="AE58" s="177"/>
      <c r="AF58" s="168"/>
      <c r="AG58" s="177"/>
      <c r="AH58" s="168"/>
      <c r="AI58" s="177"/>
      <c r="AJ58" s="168" t="s">
        <v>153</v>
      </c>
      <c r="AK58" s="177" t="s">
        <v>192</v>
      </c>
      <c r="AL58" s="168" t="s">
        <v>153</v>
      </c>
      <c r="AM58" s="177" t="s">
        <v>192</v>
      </c>
      <c r="AN58" s="168" t="s">
        <v>153</v>
      </c>
      <c r="AO58" s="177" t="s">
        <v>192</v>
      </c>
      <c r="AP58" s="168" t="s">
        <v>153</v>
      </c>
      <c r="AQ58" s="177" t="s">
        <v>192</v>
      </c>
      <c r="AR58" s="168" t="s">
        <v>153</v>
      </c>
      <c r="AS58" s="177" t="s">
        <v>192</v>
      </c>
      <c r="AT58" s="168" t="s">
        <v>153</v>
      </c>
      <c r="AU58" s="177" t="s">
        <v>192</v>
      </c>
      <c r="AV58" s="168" t="s">
        <v>153</v>
      </c>
      <c r="AW58" s="177" t="s">
        <v>192</v>
      </c>
      <c r="AX58" s="168" t="s">
        <v>153</v>
      </c>
      <c r="AY58" s="177" t="s">
        <v>192</v>
      </c>
      <c r="AZ58" s="168" t="s">
        <v>153</v>
      </c>
      <c r="BA58" s="177" t="s">
        <v>192</v>
      </c>
      <c r="BB58" s="168" t="s">
        <v>153</v>
      </c>
      <c r="BC58" s="177" t="s">
        <v>192</v>
      </c>
      <c r="BD58" s="168" t="s">
        <v>153</v>
      </c>
      <c r="BE58" s="177" t="s">
        <v>192</v>
      </c>
      <c r="BF58" s="168" t="s">
        <v>153</v>
      </c>
      <c r="BG58" s="177" t="s">
        <v>192</v>
      </c>
      <c r="BH58" s="168" t="s">
        <v>153</v>
      </c>
      <c r="BI58" s="177" t="s">
        <v>192</v>
      </c>
      <c r="BJ58" s="168" t="s">
        <v>153</v>
      </c>
      <c r="BK58" s="177" t="s">
        <v>192</v>
      </c>
      <c r="BL58" s="168" t="s">
        <v>153</v>
      </c>
      <c r="BM58" s="177" t="s">
        <v>192</v>
      </c>
      <c r="BN58" s="168" t="s">
        <v>192</v>
      </c>
      <c r="BO58" s="177" t="s">
        <v>192</v>
      </c>
      <c r="BP58" s="168" t="s">
        <v>153</v>
      </c>
      <c r="BQ58" s="177" t="s">
        <v>192</v>
      </c>
      <c r="BR58" s="168" t="s">
        <v>153</v>
      </c>
      <c r="BS58" s="177" t="s">
        <v>153</v>
      </c>
      <c r="BT58" s="168" t="s">
        <v>192</v>
      </c>
      <c r="BU58" s="177" t="s">
        <v>192</v>
      </c>
      <c r="BV58" s="168" t="s">
        <v>153</v>
      </c>
      <c r="BW58" s="177" t="s">
        <v>192</v>
      </c>
      <c r="BX58" s="168" t="s">
        <v>153</v>
      </c>
      <c r="BY58" s="177" t="s">
        <v>192</v>
      </c>
      <c r="BZ58" s="168" t="s">
        <v>153</v>
      </c>
      <c r="CA58" s="177" t="s">
        <v>192</v>
      </c>
      <c r="CB58" s="168" t="s">
        <v>153</v>
      </c>
      <c r="CC58" s="177" t="s">
        <v>192</v>
      </c>
      <c r="CD58" s="168" t="s">
        <v>153</v>
      </c>
      <c r="CE58" s="177" t="s">
        <v>192</v>
      </c>
      <c r="CF58" s="168" t="s">
        <v>153</v>
      </c>
      <c r="CG58" s="187" t="s">
        <v>192</v>
      </c>
      <c r="CH58" s="183"/>
      <c r="CI58" s="185"/>
      <c r="CJ58" s="160"/>
      <c r="CK58" s="160"/>
      <c r="CL58" s="160"/>
      <c r="CM58" s="160"/>
      <c r="CN58" s="160"/>
      <c r="CO58" s="160"/>
      <c r="CP58" s="160"/>
      <c r="CQ58" s="160"/>
      <c r="CR58" s="160"/>
      <c r="CS58" s="179"/>
      <c r="CT58" s="160"/>
      <c r="CU58" s="160"/>
      <c r="CV58" s="160"/>
      <c r="CW58" s="160"/>
      <c r="CX58" s="160"/>
      <c r="CY58" s="160"/>
      <c r="CZ58" s="160"/>
      <c r="DA58" s="160"/>
      <c r="DB58" s="160"/>
      <c r="DC58" s="160"/>
      <c r="DD58" s="160"/>
      <c r="DE58" s="160"/>
      <c r="DF58" s="160"/>
      <c r="DG58" s="160"/>
      <c r="DH58" s="160"/>
      <c r="DI58" s="160"/>
      <c r="DJ58" s="160"/>
      <c r="DK58" s="160"/>
      <c r="DL58" s="160"/>
      <c r="DM58" s="160"/>
      <c r="DN58" s="160"/>
    </row>
    <row r="59" spans="1:118" hidden="1">
      <c r="A59" s="149" t="s">
        <v>81</v>
      </c>
      <c r="B59" s="150" t="s">
        <v>84</v>
      </c>
      <c r="C59" s="151" t="s">
        <v>421</v>
      </c>
      <c r="D59" s="152"/>
      <c r="E59" s="152"/>
      <c r="F59" s="152"/>
      <c r="G59" s="152"/>
      <c r="H59" s="62">
        <v>0</v>
      </c>
      <c r="I59" s="62">
        <v>12000</v>
      </c>
      <c r="J59" s="62"/>
      <c r="K59" s="62"/>
      <c r="L59" s="62"/>
      <c r="M59" s="62"/>
      <c r="N59" s="62"/>
      <c r="O59" s="62"/>
      <c r="P59" s="160"/>
      <c r="Q59" s="160"/>
      <c r="R59" s="175"/>
      <c r="S59" s="167"/>
      <c r="T59" s="10">
        <f t="shared" si="3"/>
        <v>22</v>
      </c>
      <c r="U59" s="167">
        <v>3</v>
      </c>
      <c r="V59" s="10">
        <f t="shared" si="4"/>
        <v>25</v>
      </c>
      <c r="W59" s="10">
        <f t="shared" si="5"/>
        <v>0</v>
      </c>
      <c r="X59" s="170"/>
      <c r="Y59" s="177"/>
      <c r="Z59" s="168" t="s">
        <v>153</v>
      </c>
      <c r="AA59" s="168" t="s">
        <v>192</v>
      </c>
      <c r="AB59" s="168" t="s">
        <v>192</v>
      </c>
      <c r="AC59" s="177" t="s">
        <v>192</v>
      </c>
      <c r="AD59" s="168" t="s">
        <v>192</v>
      </c>
      <c r="AE59" s="177" t="s">
        <v>192</v>
      </c>
      <c r="AF59" s="168" t="s">
        <v>192</v>
      </c>
      <c r="AG59" s="177" t="s">
        <v>192</v>
      </c>
      <c r="AH59" s="168" t="s">
        <v>192</v>
      </c>
      <c r="AI59" s="177" t="s">
        <v>192</v>
      </c>
      <c r="AJ59" s="168" t="s">
        <v>153</v>
      </c>
      <c r="AK59" s="177" t="s">
        <v>192</v>
      </c>
      <c r="AL59" s="168" t="s">
        <v>153</v>
      </c>
      <c r="AM59" s="177" t="s">
        <v>192</v>
      </c>
      <c r="AN59" s="168" t="s">
        <v>192</v>
      </c>
      <c r="AO59" s="177" t="s">
        <v>192</v>
      </c>
      <c r="AP59" s="168" t="s">
        <v>192</v>
      </c>
      <c r="AQ59" s="177" t="s">
        <v>192</v>
      </c>
      <c r="AR59" s="168" t="s">
        <v>153</v>
      </c>
      <c r="AS59" s="177" t="s">
        <v>192</v>
      </c>
      <c r="AT59" s="168" t="s">
        <v>153</v>
      </c>
      <c r="AU59" s="177" t="s">
        <v>192</v>
      </c>
      <c r="AV59" s="168" t="s">
        <v>153</v>
      </c>
      <c r="AW59" s="177" t="s">
        <v>192</v>
      </c>
      <c r="AX59" s="168" t="s">
        <v>153</v>
      </c>
      <c r="AY59" s="177" t="s">
        <v>192</v>
      </c>
      <c r="AZ59" s="168" t="s">
        <v>153</v>
      </c>
      <c r="BA59" s="177" t="s">
        <v>192</v>
      </c>
      <c r="BB59" s="168" t="s">
        <v>153</v>
      </c>
      <c r="BC59" s="177" t="s">
        <v>192</v>
      </c>
      <c r="BD59" s="168" t="s">
        <v>153</v>
      </c>
      <c r="BE59" s="177" t="s">
        <v>192</v>
      </c>
      <c r="BF59" s="168" t="s">
        <v>153</v>
      </c>
      <c r="BG59" s="177" t="s">
        <v>192</v>
      </c>
      <c r="BH59" s="168" t="s">
        <v>192</v>
      </c>
      <c r="BI59" s="177" t="s">
        <v>192</v>
      </c>
      <c r="BJ59" s="168" t="s">
        <v>153</v>
      </c>
      <c r="BK59" s="177" t="s">
        <v>192</v>
      </c>
      <c r="BL59" s="168" t="s">
        <v>153</v>
      </c>
      <c r="BM59" s="177" t="s">
        <v>192</v>
      </c>
      <c r="BN59" s="168" t="s">
        <v>153</v>
      </c>
      <c r="BO59" s="177" t="s">
        <v>192</v>
      </c>
      <c r="BP59" s="168" t="s">
        <v>153</v>
      </c>
      <c r="BQ59" s="177" t="s">
        <v>192</v>
      </c>
      <c r="BR59" s="168" t="s">
        <v>153</v>
      </c>
      <c r="BS59" s="177" t="s">
        <v>192</v>
      </c>
      <c r="BT59" s="168" t="s">
        <v>153</v>
      </c>
      <c r="BU59" s="177" t="s">
        <v>153</v>
      </c>
      <c r="BV59" s="168" t="s">
        <v>192</v>
      </c>
      <c r="BW59" s="177" t="s">
        <v>192</v>
      </c>
      <c r="BX59" s="168" t="s">
        <v>153</v>
      </c>
      <c r="BY59" s="177" t="s">
        <v>192</v>
      </c>
      <c r="BZ59" s="168" t="s">
        <v>153</v>
      </c>
      <c r="CA59" s="177" t="s">
        <v>153</v>
      </c>
      <c r="CB59" s="168" t="s">
        <v>192</v>
      </c>
      <c r="CC59" s="177" t="s">
        <v>192</v>
      </c>
      <c r="CD59" s="168" t="s">
        <v>192</v>
      </c>
      <c r="CE59" s="177" t="s">
        <v>192</v>
      </c>
      <c r="CF59" s="168" t="s">
        <v>153</v>
      </c>
      <c r="CG59" s="187" t="s">
        <v>192</v>
      </c>
      <c r="CH59" s="183"/>
      <c r="CI59" s="185"/>
      <c r="CJ59" s="160"/>
      <c r="CK59" s="160"/>
      <c r="CL59" s="160"/>
      <c r="CM59" s="160"/>
      <c r="CN59" s="160"/>
      <c r="CO59" s="160"/>
      <c r="CP59" s="160"/>
      <c r="CQ59" s="160"/>
      <c r="CR59" s="160"/>
      <c r="CS59" s="179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  <c r="DG59" s="160"/>
      <c r="DH59" s="160"/>
      <c r="DI59" s="160"/>
      <c r="DJ59" s="160"/>
      <c r="DK59" s="160"/>
      <c r="DL59" s="160"/>
      <c r="DM59" s="160"/>
      <c r="DN59" s="160"/>
    </row>
    <row r="60" spans="1:118">
      <c r="A60" s="149" t="s">
        <v>79</v>
      </c>
      <c r="B60" s="150" t="s">
        <v>83</v>
      </c>
      <c r="C60" s="151" t="s">
        <v>415</v>
      </c>
      <c r="D60" s="152" t="s">
        <v>299</v>
      </c>
      <c r="E60" s="152">
        <v>10560</v>
      </c>
      <c r="F60" s="152">
        <v>3940</v>
      </c>
      <c r="G60" s="152">
        <v>2000</v>
      </c>
      <c r="H60" s="62">
        <f>SUBTOTAL(9,Table4[[#This Row],[BASIC]:[FOOD]])</f>
        <v>16500</v>
      </c>
      <c r="I60" s="62"/>
      <c r="J60" s="62"/>
      <c r="K60" s="62"/>
      <c r="L60" s="62"/>
      <c r="M60" s="62"/>
      <c r="N60" s="62"/>
      <c r="O60" s="62"/>
      <c r="P60" s="188" t="s">
        <v>316</v>
      </c>
      <c r="Q60" s="188" t="s">
        <v>317</v>
      </c>
      <c r="R60" s="246">
        <v>59049049476</v>
      </c>
      <c r="S60" s="167"/>
      <c r="T60" s="10">
        <f t="shared" si="3"/>
        <v>27</v>
      </c>
      <c r="U60" s="167">
        <v>4</v>
      </c>
      <c r="V60" s="10">
        <f t="shared" si="4"/>
        <v>31</v>
      </c>
      <c r="W60" s="10">
        <f t="shared" si="5"/>
        <v>0</v>
      </c>
      <c r="X60" s="168" t="s">
        <v>153</v>
      </c>
      <c r="Y60" s="168" t="s">
        <v>192</v>
      </c>
      <c r="Z60" s="170" t="s">
        <v>153</v>
      </c>
      <c r="AA60" s="168" t="s">
        <v>153</v>
      </c>
      <c r="AB60" s="168" t="s">
        <v>192</v>
      </c>
      <c r="AC60" s="168" t="s">
        <v>192</v>
      </c>
      <c r="AD60" s="168" t="s">
        <v>153</v>
      </c>
      <c r="AE60" s="168" t="s">
        <v>192</v>
      </c>
      <c r="AF60" s="168" t="s">
        <v>192</v>
      </c>
      <c r="AG60" s="168" t="s">
        <v>192</v>
      </c>
      <c r="AH60" s="168" t="s">
        <v>153</v>
      </c>
      <c r="AI60" s="168" t="s">
        <v>192</v>
      </c>
      <c r="AJ60" s="168" t="s">
        <v>153</v>
      </c>
      <c r="AK60" s="168" t="s">
        <v>192</v>
      </c>
      <c r="AL60" s="168" t="s">
        <v>153</v>
      </c>
      <c r="AM60" s="168" t="s">
        <v>192</v>
      </c>
      <c r="AN60" s="168" t="s">
        <v>153</v>
      </c>
      <c r="AO60" s="168" t="s">
        <v>192</v>
      </c>
      <c r="AP60" s="168" t="s">
        <v>153</v>
      </c>
      <c r="AQ60" s="168" t="s">
        <v>192</v>
      </c>
      <c r="AR60" s="168" t="s">
        <v>153</v>
      </c>
      <c r="AS60" s="168" t="s">
        <v>192</v>
      </c>
      <c r="AT60" s="168" t="s">
        <v>153</v>
      </c>
      <c r="AU60" s="168" t="s">
        <v>192</v>
      </c>
      <c r="AV60" s="168" t="s">
        <v>192</v>
      </c>
      <c r="AW60" s="168" t="s">
        <v>192</v>
      </c>
      <c r="AX60" s="168" t="s">
        <v>153</v>
      </c>
      <c r="AY60" s="168" t="s">
        <v>192</v>
      </c>
      <c r="AZ60" s="168" t="s">
        <v>153</v>
      </c>
      <c r="BA60" s="168" t="s">
        <v>192</v>
      </c>
      <c r="BB60" s="168" t="s">
        <v>153</v>
      </c>
      <c r="BC60" s="168" t="s">
        <v>192</v>
      </c>
      <c r="BD60" s="168" t="s">
        <v>153</v>
      </c>
      <c r="BE60" s="168" t="s">
        <v>192</v>
      </c>
      <c r="BF60" s="168" t="s">
        <v>153</v>
      </c>
      <c r="BG60" s="168" t="s">
        <v>192</v>
      </c>
      <c r="BH60" s="168" t="s">
        <v>153</v>
      </c>
      <c r="BI60" s="168" t="s">
        <v>192</v>
      </c>
      <c r="BJ60" s="168" t="s">
        <v>192</v>
      </c>
      <c r="BK60" s="168" t="s">
        <v>192</v>
      </c>
      <c r="BL60" s="168" t="s">
        <v>153</v>
      </c>
      <c r="BM60" s="168" t="s">
        <v>192</v>
      </c>
      <c r="BN60" s="168" t="s">
        <v>153</v>
      </c>
      <c r="BO60" s="168" t="s">
        <v>192</v>
      </c>
      <c r="BP60" s="168" t="s">
        <v>153</v>
      </c>
      <c r="BQ60" s="168" t="s">
        <v>192</v>
      </c>
      <c r="BR60" s="168" t="s">
        <v>153</v>
      </c>
      <c r="BS60" s="168" t="s">
        <v>192</v>
      </c>
      <c r="BT60" s="168" t="s">
        <v>153</v>
      </c>
      <c r="BU60" s="168" t="s">
        <v>192</v>
      </c>
      <c r="BV60" s="168" t="s">
        <v>153</v>
      </c>
      <c r="BW60" s="168" t="s">
        <v>192</v>
      </c>
      <c r="BX60" s="168" t="s">
        <v>192</v>
      </c>
      <c r="BY60" s="168" t="s">
        <v>192</v>
      </c>
      <c r="BZ60" s="168" t="s">
        <v>153</v>
      </c>
      <c r="CA60" s="168" t="s">
        <v>192</v>
      </c>
      <c r="CB60" s="168" t="s">
        <v>153</v>
      </c>
      <c r="CC60" s="168" t="s">
        <v>192</v>
      </c>
      <c r="CD60" s="168" t="s">
        <v>153</v>
      </c>
      <c r="CE60" s="168" t="s">
        <v>192</v>
      </c>
      <c r="CF60" s="168" t="s">
        <v>153</v>
      </c>
      <c r="CG60" s="244" t="s">
        <v>192</v>
      </c>
      <c r="CH60" s="183"/>
      <c r="CI60" s="185"/>
      <c r="CJ60" s="160"/>
      <c r="CK60" s="160"/>
      <c r="CL60" s="160"/>
      <c r="CM60" s="160"/>
      <c r="CN60" s="160"/>
      <c r="CO60" s="160"/>
      <c r="CP60" s="160"/>
      <c r="CQ60" s="160"/>
      <c r="CR60" s="160"/>
      <c r="CS60" s="179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  <c r="DG60" s="160"/>
      <c r="DH60" s="160"/>
      <c r="DI60" s="160"/>
      <c r="DJ60" s="160"/>
      <c r="DK60" s="160"/>
      <c r="DL60" s="160"/>
      <c r="DM60" s="160"/>
      <c r="DN60" s="160"/>
    </row>
    <row r="61" spans="1:118" hidden="1">
      <c r="A61" s="149" t="s">
        <v>80</v>
      </c>
      <c r="B61" s="150" t="s">
        <v>84</v>
      </c>
      <c r="C61" s="151" t="s">
        <v>374</v>
      </c>
      <c r="D61" s="152" t="s">
        <v>392</v>
      </c>
      <c r="E61" s="152"/>
      <c r="F61" s="152"/>
      <c r="G61" s="152"/>
      <c r="H61" s="62">
        <v>0</v>
      </c>
      <c r="I61" s="62">
        <v>14700</v>
      </c>
      <c r="J61" s="62"/>
      <c r="K61" s="62"/>
      <c r="L61" s="62">
        <v>10560</v>
      </c>
      <c r="M61" s="62">
        <v>3000</v>
      </c>
      <c r="N61" s="62">
        <v>1140</v>
      </c>
      <c r="O61" s="62">
        <f>SUBTOTAL(9,Table4[[#This Row],[ESI BASIC]:[ESI FOOD]])</f>
        <v>0</v>
      </c>
      <c r="P61" s="265" t="s">
        <v>370</v>
      </c>
      <c r="Q61" s="265" t="s">
        <v>373</v>
      </c>
      <c r="R61" s="267" t="s">
        <v>383</v>
      </c>
      <c r="S61" s="167"/>
      <c r="T61" s="10">
        <f t="shared" si="3"/>
        <v>30</v>
      </c>
      <c r="U61" s="167">
        <v>4</v>
      </c>
      <c r="V61" s="10">
        <f t="shared" si="4"/>
        <v>34</v>
      </c>
      <c r="W61" s="10">
        <f t="shared" si="5"/>
        <v>0</v>
      </c>
      <c r="X61" s="170" t="s">
        <v>192</v>
      </c>
      <c r="Y61" s="177" t="s">
        <v>192</v>
      </c>
      <c r="Z61" s="168" t="s">
        <v>153</v>
      </c>
      <c r="AA61" s="177" t="s">
        <v>192</v>
      </c>
      <c r="AB61" s="168" t="s">
        <v>153</v>
      </c>
      <c r="AC61" s="177" t="s">
        <v>192</v>
      </c>
      <c r="AD61" s="168" t="s">
        <v>153</v>
      </c>
      <c r="AE61" s="177" t="s">
        <v>192</v>
      </c>
      <c r="AF61" s="168" t="s">
        <v>153</v>
      </c>
      <c r="AG61" s="177" t="s">
        <v>192</v>
      </c>
      <c r="AH61" s="168" t="s">
        <v>153</v>
      </c>
      <c r="AI61" s="177" t="s">
        <v>192</v>
      </c>
      <c r="AJ61" s="168" t="s">
        <v>153</v>
      </c>
      <c r="AK61" s="177" t="s">
        <v>192</v>
      </c>
      <c r="AL61" s="168" t="s">
        <v>153</v>
      </c>
      <c r="AM61" s="177" t="s">
        <v>192</v>
      </c>
      <c r="AN61" s="168" t="s">
        <v>153</v>
      </c>
      <c r="AO61" s="177" t="s">
        <v>192</v>
      </c>
      <c r="AP61" s="168" t="s">
        <v>192</v>
      </c>
      <c r="AQ61" s="177" t="s">
        <v>192</v>
      </c>
      <c r="AR61" s="168" t="s">
        <v>153</v>
      </c>
      <c r="AS61" s="177" t="s">
        <v>192</v>
      </c>
      <c r="AT61" s="168" t="s">
        <v>153</v>
      </c>
      <c r="AU61" s="177" t="s">
        <v>192</v>
      </c>
      <c r="AV61" s="168" t="s">
        <v>192</v>
      </c>
      <c r="AW61" s="177" t="s">
        <v>153</v>
      </c>
      <c r="AX61" s="168" t="s">
        <v>192</v>
      </c>
      <c r="AY61" s="177" t="s">
        <v>153</v>
      </c>
      <c r="AZ61" s="168" t="s">
        <v>192</v>
      </c>
      <c r="BA61" s="177" t="s">
        <v>153</v>
      </c>
      <c r="BB61" s="168" t="s">
        <v>192</v>
      </c>
      <c r="BC61" s="177" t="s">
        <v>153</v>
      </c>
      <c r="BD61" s="168" t="s">
        <v>192</v>
      </c>
      <c r="BE61" s="177" t="s">
        <v>153</v>
      </c>
      <c r="BF61" s="168" t="s">
        <v>192</v>
      </c>
      <c r="BG61" s="177" t="s">
        <v>153</v>
      </c>
      <c r="BH61" s="168" t="s">
        <v>192</v>
      </c>
      <c r="BI61" s="177" t="s">
        <v>153</v>
      </c>
      <c r="BJ61" s="168" t="s">
        <v>153</v>
      </c>
      <c r="BK61" s="177" t="s">
        <v>192</v>
      </c>
      <c r="BL61" s="168" t="s">
        <v>153</v>
      </c>
      <c r="BM61" s="177" t="s">
        <v>192</v>
      </c>
      <c r="BN61" s="168" t="s">
        <v>153</v>
      </c>
      <c r="BO61" s="177" t="s">
        <v>192</v>
      </c>
      <c r="BP61" s="168" t="s">
        <v>153</v>
      </c>
      <c r="BQ61" s="177" t="s">
        <v>192</v>
      </c>
      <c r="BR61" s="168" t="s">
        <v>153</v>
      </c>
      <c r="BS61" s="177" t="s">
        <v>192</v>
      </c>
      <c r="BT61" s="168" t="s">
        <v>153</v>
      </c>
      <c r="BU61" s="177" t="s">
        <v>192</v>
      </c>
      <c r="BV61" s="168" t="s">
        <v>153</v>
      </c>
      <c r="BW61" s="177" t="s">
        <v>192</v>
      </c>
      <c r="BX61" s="168" t="s">
        <v>153</v>
      </c>
      <c r="BY61" s="177" t="s">
        <v>192</v>
      </c>
      <c r="BZ61" s="168" t="s">
        <v>153</v>
      </c>
      <c r="CA61" s="177" t="s">
        <v>192</v>
      </c>
      <c r="CB61" s="168" t="s">
        <v>153</v>
      </c>
      <c r="CC61" s="177" t="s">
        <v>192</v>
      </c>
      <c r="CD61" s="168" t="s">
        <v>153</v>
      </c>
      <c r="CE61" s="177" t="s">
        <v>192</v>
      </c>
      <c r="CF61" s="168" t="s">
        <v>153</v>
      </c>
      <c r="CG61" s="187" t="s">
        <v>153</v>
      </c>
      <c r="CH61" s="183"/>
      <c r="CI61" s="185"/>
      <c r="CJ61" s="160"/>
      <c r="CK61" s="160"/>
      <c r="CL61" s="160"/>
      <c r="CM61" s="160"/>
      <c r="CN61" s="160"/>
      <c r="CO61" s="160"/>
      <c r="CP61" s="160"/>
      <c r="CQ61" s="160"/>
      <c r="CR61" s="160"/>
      <c r="CS61" s="179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  <c r="DG61" s="160"/>
      <c r="DH61" s="160"/>
      <c r="DI61" s="160"/>
      <c r="DJ61" s="160"/>
      <c r="DK61" s="160"/>
      <c r="DL61" s="160"/>
      <c r="DM61" s="160"/>
      <c r="DN61" s="160"/>
    </row>
    <row r="62" spans="1:118" hidden="1">
      <c r="A62" s="149" t="s">
        <v>81</v>
      </c>
      <c r="B62" s="150" t="s">
        <v>86</v>
      </c>
      <c r="C62" s="151" t="s">
        <v>403</v>
      </c>
      <c r="D62" s="152"/>
      <c r="E62" s="152"/>
      <c r="F62" s="152"/>
      <c r="G62" s="152"/>
      <c r="H62" s="62">
        <v>0</v>
      </c>
      <c r="I62" s="62">
        <v>15000</v>
      </c>
      <c r="J62" s="62"/>
      <c r="K62" s="62"/>
      <c r="L62" s="62"/>
      <c r="M62" s="62"/>
      <c r="N62" s="62"/>
      <c r="O62" s="62">
        <f>SUBTOTAL(9,Table4[[#This Row],[ESI BASIC]:[ESI FOOD]])</f>
        <v>0</v>
      </c>
      <c r="P62" s="188"/>
      <c r="Q62" s="188"/>
      <c r="R62" s="246"/>
      <c r="S62" s="167"/>
      <c r="T62" s="10">
        <f t="shared" si="3"/>
        <v>32</v>
      </c>
      <c r="U62" s="167">
        <v>4</v>
      </c>
      <c r="V62" s="10">
        <f t="shared" si="4"/>
        <v>36</v>
      </c>
      <c r="W62" s="10">
        <f t="shared" si="5"/>
        <v>0</v>
      </c>
      <c r="X62" s="170" t="s">
        <v>153</v>
      </c>
      <c r="Y62" s="168" t="s">
        <v>192</v>
      </c>
      <c r="Z62" s="168" t="s">
        <v>153</v>
      </c>
      <c r="AA62" s="168" t="s">
        <v>192</v>
      </c>
      <c r="AB62" s="168" t="s">
        <v>153</v>
      </c>
      <c r="AC62" s="168" t="s">
        <v>192</v>
      </c>
      <c r="AD62" s="168" t="s">
        <v>153</v>
      </c>
      <c r="AE62" s="168" t="s">
        <v>192</v>
      </c>
      <c r="AF62" s="168" t="s">
        <v>153</v>
      </c>
      <c r="AG62" s="168" t="s">
        <v>192</v>
      </c>
      <c r="AH62" s="168" t="s">
        <v>153</v>
      </c>
      <c r="AI62" s="168" t="s">
        <v>192</v>
      </c>
      <c r="AJ62" s="168" t="s">
        <v>153</v>
      </c>
      <c r="AK62" s="168" t="s">
        <v>192</v>
      </c>
      <c r="AL62" s="168" t="s">
        <v>153</v>
      </c>
      <c r="AM62" s="168" t="s">
        <v>192</v>
      </c>
      <c r="AN62" s="168" t="s">
        <v>153</v>
      </c>
      <c r="AO62" s="168" t="s">
        <v>192</v>
      </c>
      <c r="AP62" s="168" t="s">
        <v>153</v>
      </c>
      <c r="AQ62" s="168" t="s">
        <v>192</v>
      </c>
      <c r="AR62" s="168" t="s">
        <v>153</v>
      </c>
      <c r="AS62" s="168" t="s">
        <v>192</v>
      </c>
      <c r="AT62" s="168" t="s">
        <v>153</v>
      </c>
      <c r="AU62" s="168" t="s">
        <v>192</v>
      </c>
      <c r="AV62" s="168" t="s">
        <v>153</v>
      </c>
      <c r="AW62" s="177" t="s">
        <v>192</v>
      </c>
      <c r="AX62" s="168" t="s">
        <v>153</v>
      </c>
      <c r="AY62" s="177" t="s">
        <v>192</v>
      </c>
      <c r="AZ62" s="168" t="s">
        <v>153</v>
      </c>
      <c r="BA62" s="177" t="s">
        <v>192</v>
      </c>
      <c r="BB62" s="168" t="s">
        <v>153</v>
      </c>
      <c r="BC62" s="177" t="s">
        <v>153</v>
      </c>
      <c r="BD62" s="168" t="s">
        <v>153</v>
      </c>
      <c r="BE62" s="177" t="s">
        <v>192</v>
      </c>
      <c r="BF62" s="168" t="s">
        <v>153</v>
      </c>
      <c r="BG62" s="177" t="s">
        <v>192</v>
      </c>
      <c r="BH62" s="168" t="s">
        <v>153</v>
      </c>
      <c r="BI62" s="177" t="s">
        <v>192</v>
      </c>
      <c r="BJ62" s="168" t="s">
        <v>153</v>
      </c>
      <c r="BK62" s="177" t="s">
        <v>192</v>
      </c>
      <c r="BL62" s="168" t="s">
        <v>153</v>
      </c>
      <c r="BM62" s="177" t="s">
        <v>192</v>
      </c>
      <c r="BN62" s="168" t="s">
        <v>153</v>
      </c>
      <c r="BO62" s="177" t="s">
        <v>192</v>
      </c>
      <c r="BP62" s="168" t="s">
        <v>153</v>
      </c>
      <c r="BQ62" s="177" t="s">
        <v>192</v>
      </c>
      <c r="BR62" s="168" t="s">
        <v>153</v>
      </c>
      <c r="BS62" s="177" t="s">
        <v>192</v>
      </c>
      <c r="BT62" s="168" t="s">
        <v>153</v>
      </c>
      <c r="BU62" s="177" t="s">
        <v>192</v>
      </c>
      <c r="BV62" s="168" t="s">
        <v>153</v>
      </c>
      <c r="BW62" s="177" t="s">
        <v>192</v>
      </c>
      <c r="BX62" s="168" t="s">
        <v>153</v>
      </c>
      <c r="BY62" s="177" t="s">
        <v>192</v>
      </c>
      <c r="BZ62" s="168" t="s">
        <v>153</v>
      </c>
      <c r="CA62" s="177" t="s">
        <v>192</v>
      </c>
      <c r="CB62" s="168" t="s">
        <v>153</v>
      </c>
      <c r="CC62" s="177" t="s">
        <v>192</v>
      </c>
      <c r="CD62" s="168" t="s">
        <v>153</v>
      </c>
      <c r="CE62" s="177" t="s">
        <v>192</v>
      </c>
      <c r="CF62" s="168" t="s">
        <v>153</v>
      </c>
      <c r="CG62" s="187" t="s">
        <v>192</v>
      </c>
      <c r="CH62" s="183"/>
      <c r="CI62" s="185"/>
      <c r="CJ62" s="160"/>
      <c r="CK62" s="160"/>
      <c r="CL62" s="160"/>
      <c r="CM62" s="160"/>
      <c r="CN62" s="160"/>
      <c r="CO62" s="160"/>
      <c r="CP62" s="160"/>
      <c r="CQ62" s="160"/>
      <c r="CR62" s="160"/>
      <c r="CS62" s="179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  <c r="DG62" s="160"/>
      <c r="DH62" s="160"/>
      <c r="DI62" s="160"/>
      <c r="DJ62" s="160"/>
      <c r="DK62" s="160"/>
      <c r="DL62" s="160"/>
      <c r="DM62" s="160"/>
      <c r="DN62" s="160"/>
    </row>
    <row r="63" spans="1:118" hidden="1">
      <c r="A63" s="149" t="s">
        <v>80</v>
      </c>
      <c r="B63" s="150" t="s">
        <v>38</v>
      </c>
      <c r="C63" s="151" t="s">
        <v>278</v>
      </c>
      <c r="D63" s="152" t="s">
        <v>393</v>
      </c>
      <c r="E63" s="152"/>
      <c r="F63" s="152"/>
      <c r="G63" s="152"/>
      <c r="H63" s="62">
        <v>0</v>
      </c>
      <c r="I63" s="62"/>
      <c r="J63" s="62">
        <v>260</v>
      </c>
      <c r="K63" s="62">
        <v>80</v>
      </c>
      <c r="L63" s="62">
        <v>10560</v>
      </c>
      <c r="M63" s="62">
        <v>700</v>
      </c>
      <c r="N63" s="62">
        <v>540</v>
      </c>
      <c r="O63" s="62">
        <f>SUBTOTAL(9,Table4[[#This Row],[ESI BASIC]:[ESI FOOD]])</f>
        <v>0</v>
      </c>
      <c r="P63" s="188" t="s">
        <v>336</v>
      </c>
      <c r="Q63" s="188" t="s">
        <v>337</v>
      </c>
      <c r="R63" s="246">
        <v>5327086346</v>
      </c>
      <c r="S63" s="167"/>
      <c r="T63" s="10">
        <f t="shared" si="3"/>
        <v>40</v>
      </c>
      <c r="U63" s="167"/>
      <c r="V63" s="10">
        <f t="shared" si="4"/>
        <v>40</v>
      </c>
      <c r="W63" s="10">
        <f t="shared" si="5"/>
        <v>11</v>
      </c>
      <c r="X63" s="172" t="s">
        <v>192</v>
      </c>
      <c r="Y63" s="176" t="s">
        <v>153</v>
      </c>
      <c r="Z63" s="171" t="s">
        <v>153</v>
      </c>
      <c r="AA63" s="176" t="s">
        <v>192</v>
      </c>
      <c r="AB63" s="171" t="s">
        <v>153</v>
      </c>
      <c r="AC63" s="176" t="s">
        <v>153</v>
      </c>
      <c r="AD63" s="171" t="s">
        <v>192</v>
      </c>
      <c r="AE63" s="176" t="s">
        <v>153</v>
      </c>
      <c r="AF63" s="171" t="s">
        <v>153</v>
      </c>
      <c r="AG63" s="176" t="s">
        <v>192</v>
      </c>
      <c r="AH63" s="171" t="s">
        <v>153</v>
      </c>
      <c r="AI63" s="176" t="s">
        <v>153</v>
      </c>
      <c r="AJ63" s="171" t="s">
        <v>192</v>
      </c>
      <c r="AK63" s="176" t="s">
        <v>153</v>
      </c>
      <c r="AL63" s="171" t="s">
        <v>153</v>
      </c>
      <c r="AM63" s="176" t="s">
        <v>192</v>
      </c>
      <c r="AN63" s="171" t="s">
        <v>153</v>
      </c>
      <c r="AO63" s="176" t="s">
        <v>153</v>
      </c>
      <c r="AP63" s="171" t="s">
        <v>192</v>
      </c>
      <c r="AQ63" s="177" t="s">
        <v>153</v>
      </c>
      <c r="AR63" s="168" t="s">
        <v>153</v>
      </c>
      <c r="AS63" s="177" t="s">
        <v>192</v>
      </c>
      <c r="AT63" s="168" t="s">
        <v>153</v>
      </c>
      <c r="AU63" s="177" t="s">
        <v>153</v>
      </c>
      <c r="AV63" s="168" t="s">
        <v>192</v>
      </c>
      <c r="AW63" s="177" t="s">
        <v>153</v>
      </c>
      <c r="AX63" s="168" t="s">
        <v>192</v>
      </c>
      <c r="AY63" s="177" t="s">
        <v>192</v>
      </c>
      <c r="AZ63" s="168" t="s">
        <v>153</v>
      </c>
      <c r="BA63" s="177" t="s">
        <v>153</v>
      </c>
      <c r="BB63" s="168" t="s">
        <v>192</v>
      </c>
      <c r="BC63" s="177" t="s">
        <v>153</v>
      </c>
      <c r="BD63" s="168" t="s">
        <v>153</v>
      </c>
      <c r="BE63" s="177" t="s">
        <v>192</v>
      </c>
      <c r="BF63" s="168" t="s">
        <v>153</v>
      </c>
      <c r="BG63" s="177" t="s">
        <v>153</v>
      </c>
      <c r="BH63" s="168" t="s">
        <v>192</v>
      </c>
      <c r="BI63" s="177" t="s">
        <v>153</v>
      </c>
      <c r="BJ63" s="168" t="s">
        <v>153</v>
      </c>
      <c r="BK63" s="177" t="s">
        <v>192</v>
      </c>
      <c r="BL63" s="168" t="s">
        <v>153</v>
      </c>
      <c r="BM63" s="177" t="s">
        <v>153</v>
      </c>
      <c r="BN63" s="168" t="s">
        <v>192</v>
      </c>
      <c r="BO63" s="177" t="s">
        <v>153</v>
      </c>
      <c r="BP63" s="168" t="s">
        <v>153</v>
      </c>
      <c r="BQ63" s="177" t="s">
        <v>192</v>
      </c>
      <c r="BR63" s="168" t="s">
        <v>153</v>
      </c>
      <c r="BS63" s="177" t="s">
        <v>153</v>
      </c>
      <c r="BT63" s="168" t="s">
        <v>192</v>
      </c>
      <c r="BU63" s="177" t="s">
        <v>153</v>
      </c>
      <c r="BV63" s="168" t="s">
        <v>153</v>
      </c>
      <c r="BW63" s="177" t="s">
        <v>192</v>
      </c>
      <c r="BX63" s="168" t="s">
        <v>153</v>
      </c>
      <c r="BY63" s="177" t="s">
        <v>153</v>
      </c>
      <c r="BZ63" s="168" t="s">
        <v>192</v>
      </c>
      <c r="CA63" s="177" t="s">
        <v>153</v>
      </c>
      <c r="CB63" s="168" t="s">
        <v>153</v>
      </c>
      <c r="CC63" s="177" t="s">
        <v>192</v>
      </c>
      <c r="CD63" s="168" t="s">
        <v>153</v>
      </c>
      <c r="CE63" s="177" t="s">
        <v>153</v>
      </c>
      <c r="CF63" s="168" t="s">
        <v>192</v>
      </c>
      <c r="CG63" s="187" t="s">
        <v>153</v>
      </c>
      <c r="CH63" s="183"/>
      <c r="CI63" s="185">
        <v>0</v>
      </c>
      <c r="CJ63" s="160">
        <v>0</v>
      </c>
      <c r="CK63" s="160">
        <v>0</v>
      </c>
      <c r="CL63" s="160">
        <v>0</v>
      </c>
      <c r="CM63" s="160">
        <v>1</v>
      </c>
      <c r="CN63" s="160">
        <v>0</v>
      </c>
      <c r="CO63" s="160">
        <v>1</v>
      </c>
      <c r="CP63" s="160">
        <v>1</v>
      </c>
      <c r="CQ63" s="160">
        <v>0</v>
      </c>
      <c r="CR63" s="160">
        <v>0</v>
      </c>
      <c r="CS63" s="179">
        <v>1</v>
      </c>
      <c r="CT63" s="160">
        <v>0</v>
      </c>
      <c r="CU63" s="160">
        <v>0</v>
      </c>
      <c r="CV63" s="160">
        <v>0</v>
      </c>
      <c r="CW63" s="160">
        <v>0</v>
      </c>
      <c r="CX63" s="160">
        <v>0</v>
      </c>
      <c r="CY63" s="160">
        <v>0</v>
      </c>
      <c r="CZ63" s="160">
        <v>1</v>
      </c>
      <c r="DA63" s="160">
        <v>1</v>
      </c>
      <c r="DB63" s="160">
        <v>1</v>
      </c>
      <c r="DC63" s="160">
        <v>0</v>
      </c>
      <c r="DD63" s="160">
        <v>1</v>
      </c>
      <c r="DE63" s="160">
        <v>1</v>
      </c>
      <c r="DF63" s="160">
        <v>0</v>
      </c>
      <c r="DG63" s="160">
        <v>0</v>
      </c>
      <c r="DH63" s="160">
        <v>0</v>
      </c>
      <c r="DI63" s="160">
        <v>2</v>
      </c>
      <c r="DJ63" s="160">
        <v>0</v>
      </c>
      <c r="DK63" s="160">
        <v>0</v>
      </c>
      <c r="DL63" s="160">
        <v>0</v>
      </c>
      <c r="DM63" s="160">
        <v>0</v>
      </c>
      <c r="DN63" s="160"/>
    </row>
    <row r="64" spans="1:118" hidden="1">
      <c r="A64" s="149" t="s">
        <v>81</v>
      </c>
      <c r="B64" s="150" t="s">
        <v>38</v>
      </c>
      <c r="C64" s="151" t="s">
        <v>279</v>
      </c>
      <c r="D64" s="152"/>
      <c r="E64" s="152"/>
      <c r="F64" s="152"/>
      <c r="G64" s="152"/>
      <c r="H64" s="62">
        <v>0</v>
      </c>
      <c r="I64" s="62"/>
      <c r="J64" s="62">
        <v>260</v>
      </c>
      <c r="K64" s="62">
        <v>80</v>
      </c>
      <c r="L64" s="62"/>
      <c r="M64" s="62"/>
      <c r="N64" s="62"/>
      <c r="O64" s="62">
        <f>SUBTOTAL(9,Table4[[#This Row],[ESI BASIC]:[ESI FOOD]])</f>
        <v>0</v>
      </c>
      <c r="P64" s="160"/>
      <c r="Q64" s="160"/>
      <c r="R64" s="175"/>
      <c r="S64" s="167"/>
      <c r="T64" s="10">
        <f t="shared" si="3"/>
        <v>41</v>
      </c>
      <c r="U64" s="167"/>
      <c r="V64" s="10">
        <f t="shared" si="4"/>
        <v>41</v>
      </c>
      <c r="W64" s="10">
        <f t="shared" si="5"/>
        <v>12</v>
      </c>
      <c r="X64" s="170" t="s">
        <v>153</v>
      </c>
      <c r="Y64" s="177" t="s">
        <v>153</v>
      </c>
      <c r="Z64" s="168" t="s">
        <v>192</v>
      </c>
      <c r="AA64" s="177" t="s">
        <v>153</v>
      </c>
      <c r="AB64" s="168" t="s">
        <v>153</v>
      </c>
      <c r="AC64" s="177" t="s">
        <v>192</v>
      </c>
      <c r="AD64" s="168" t="s">
        <v>153</v>
      </c>
      <c r="AE64" s="177" t="s">
        <v>153</v>
      </c>
      <c r="AF64" s="168" t="s">
        <v>192</v>
      </c>
      <c r="AG64" s="177" t="s">
        <v>153</v>
      </c>
      <c r="AH64" s="168" t="s">
        <v>153</v>
      </c>
      <c r="AI64" s="177" t="s">
        <v>192</v>
      </c>
      <c r="AJ64" s="168" t="s">
        <v>153</v>
      </c>
      <c r="AK64" s="177" t="s">
        <v>153</v>
      </c>
      <c r="AL64" s="168" t="s">
        <v>192</v>
      </c>
      <c r="AM64" s="177" t="s">
        <v>153</v>
      </c>
      <c r="AN64" s="168" t="s">
        <v>153</v>
      </c>
      <c r="AO64" s="177" t="s">
        <v>192</v>
      </c>
      <c r="AP64" s="168" t="s">
        <v>153</v>
      </c>
      <c r="AQ64" s="177" t="s">
        <v>153</v>
      </c>
      <c r="AR64" s="168" t="s">
        <v>192</v>
      </c>
      <c r="AS64" s="177" t="s">
        <v>153</v>
      </c>
      <c r="AT64" s="168" t="s">
        <v>153</v>
      </c>
      <c r="AU64" s="177" t="s">
        <v>192</v>
      </c>
      <c r="AV64" s="168" t="s">
        <v>153</v>
      </c>
      <c r="AW64" s="177" t="s">
        <v>153</v>
      </c>
      <c r="AX64" s="168" t="s">
        <v>192</v>
      </c>
      <c r="AY64" s="177" t="s">
        <v>153</v>
      </c>
      <c r="AZ64" s="168" t="s">
        <v>153</v>
      </c>
      <c r="BA64" s="177" t="s">
        <v>192</v>
      </c>
      <c r="BB64" s="168" t="s">
        <v>153</v>
      </c>
      <c r="BC64" s="177" t="s">
        <v>153</v>
      </c>
      <c r="BD64" s="168" t="s">
        <v>192</v>
      </c>
      <c r="BE64" s="177" t="s">
        <v>153</v>
      </c>
      <c r="BF64" s="168" t="s">
        <v>153</v>
      </c>
      <c r="BG64" s="177" t="s">
        <v>192</v>
      </c>
      <c r="BH64" s="168" t="s">
        <v>153</v>
      </c>
      <c r="BI64" s="177" t="s">
        <v>153</v>
      </c>
      <c r="BJ64" s="168" t="s">
        <v>192</v>
      </c>
      <c r="BK64" s="177" t="s">
        <v>153</v>
      </c>
      <c r="BL64" s="168" t="s">
        <v>153</v>
      </c>
      <c r="BM64" s="177" t="s">
        <v>192</v>
      </c>
      <c r="BN64" s="168" t="s">
        <v>153</v>
      </c>
      <c r="BO64" s="177" t="s">
        <v>153</v>
      </c>
      <c r="BP64" s="168" t="s">
        <v>192</v>
      </c>
      <c r="BQ64" s="177" t="s">
        <v>153</v>
      </c>
      <c r="BR64" s="168" t="s">
        <v>153</v>
      </c>
      <c r="BS64" s="177" t="s">
        <v>192</v>
      </c>
      <c r="BT64" s="168" t="s">
        <v>153</v>
      </c>
      <c r="BU64" s="177" t="s">
        <v>153</v>
      </c>
      <c r="BV64" s="168" t="s">
        <v>192</v>
      </c>
      <c r="BW64" s="177" t="s">
        <v>153</v>
      </c>
      <c r="BX64" s="168" t="s">
        <v>153</v>
      </c>
      <c r="BY64" s="177" t="s">
        <v>192</v>
      </c>
      <c r="BZ64" s="168" t="s">
        <v>153</v>
      </c>
      <c r="CA64" s="177" t="s">
        <v>153</v>
      </c>
      <c r="CB64" s="168" t="s">
        <v>192</v>
      </c>
      <c r="CC64" s="177" t="s">
        <v>153</v>
      </c>
      <c r="CD64" s="168" t="s">
        <v>192</v>
      </c>
      <c r="CE64" s="177" t="s">
        <v>192</v>
      </c>
      <c r="CF64" s="168" t="s">
        <v>153</v>
      </c>
      <c r="CG64" s="187" t="s">
        <v>153</v>
      </c>
      <c r="CH64" s="183"/>
      <c r="CI64" s="185">
        <v>0</v>
      </c>
      <c r="CJ64" s="160">
        <v>1</v>
      </c>
      <c r="CK64" s="160">
        <v>0</v>
      </c>
      <c r="CL64" s="160">
        <v>0</v>
      </c>
      <c r="CM64" s="179">
        <v>0</v>
      </c>
      <c r="CN64" s="160">
        <v>0</v>
      </c>
      <c r="CO64" s="160">
        <v>0</v>
      </c>
      <c r="CP64" s="160">
        <v>0</v>
      </c>
      <c r="CQ64" s="160">
        <v>1</v>
      </c>
      <c r="CR64" s="160">
        <v>0</v>
      </c>
      <c r="CS64" s="179">
        <v>0</v>
      </c>
      <c r="CT64" s="160">
        <v>1</v>
      </c>
      <c r="CU64" s="160">
        <v>0</v>
      </c>
      <c r="CV64" s="160">
        <v>2</v>
      </c>
      <c r="CW64" s="160">
        <v>1</v>
      </c>
      <c r="CX64" s="160">
        <v>1</v>
      </c>
      <c r="CY64" s="160">
        <v>1</v>
      </c>
      <c r="CZ64" s="160">
        <v>0</v>
      </c>
      <c r="DA64" s="160">
        <v>1</v>
      </c>
      <c r="DB64" s="160">
        <v>0</v>
      </c>
      <c r="DC64" s="160">
        <v>0</v>
      </c>
      <c r="DD64" s="160">
        <v>1</v>
      </c>
      <c r="DE64" s="160">
        <v>1</v>
      </c>
      <c r="DF64" s="160">
        <v>0</v>
      </c>
      <c r="DG64" s="160">
        <v>0</v>
      </c>
      <c r="DH64" s="160">
        <v>0</v>
      </c>
      <c r="DI64" s="160">
        <v>1</v>
      </c>
      <c r="DJ64" s="160">
        <v>0</v>
      </c>
      <c r="DK64" s="160">
        <v>0</v>
      </c>
      <c r="DL64" s="160">
        <v>0</v>
      </c>
      <c r="DM64" s="160">
        <v>0</v>
      </c>
      <c r="DN64" s="160"/>
    </row>
    <row r="65" spans="1:118" hidden="1">
      <c r="A65" s="149" t="s">
        <v>80</v>
      </c>
      <c r="B65" s="150" t="s">
        <v>35</v>
      </c>
      <c r="C65" s="151" t="s">
        <v>401</v>
      </c>
      <c r="D65" s="152"/>
      <c r="E65" s="152"/>
      <c r="F65" s="152"/>
      <c r="G65" s="152"/>
      <c r="H65" s="62">
        <v>0</v>
      </c>
      <c r="I65" s="62"/>
      <c r="J65" s="62">
        <v>300</v>
      </c>
      <c r="K65" s="62">
        <v>185</v>
      </c>
      <c r="L65" s="62">
        <v>19000</v>
      </c>
      <c r="M65" s="62"/>
      <c r="N65" s="62"/>
      <c r="O65" s="62">
        <f>SUBTOTAL(9,Table4[[#This Row],[ESI BASIC]:[ESI FOOD]])</f>
        <v>0</v>
      </c>
      <c r="P65" s="188" t="s">
        <v>341</v>
      </c>
      <c r="Q65" s="188" t="s">
        <v>334</v>
      </c>
      <c r="R65" s="246">
        <v>438218210001792</v>
      </c>
      <c r="S65" s="167"/>
      <c r="T65" s="10">
        <f t="shared" si="3"/>
        <v>41</v>
      </c>
      <c r="U65" s="167"/>
      <c r="V65" s="10">
        <f t="shared" si="4"/>
        <v>41</v>
      </c>
      <c r="W65" s="10">
        <f t="shared" si="5"/>
        <v>8</v>
      </c>
      <c r="X65" s="170" t="s">
        <v>192</v>
      </c>
      <c r="Y65" s="177" t="s">
        <v>153</v>
      </c>
      <c r="Z65" s="168" t="s">
        <v>153</v>
      </c>
      <c r="AA65" s="177" t="s">
        <v>192</v>
      </c>
      <c r="AB65" s="168" t="s">
        <v>153</v>
      </c>
      <c r="AC65" s="177" t="s">
        <v>153</v>
      </c>
      <c r="AD65" s="168" t="s">
        <v>192</v>
      </c>
      <c r="AE65" s="177" t="s">
        <v>153</v>
      </c>
      <c r="AF65" s="168" t="s">
        <v>153</v>
      </c>
      <c r="AG65" s="177" t="s">
        <v>192</v>
      </c>
      <c r="AH65" s="168" t="s">
        <v>153</v>
      </c>
      <c r="AI65" s="177" t="s">
        <v>153</v>
      </c>
      <c r="AJ65" s="168" t="s">
        <v>192</v>
      </c>
      <c r="AK65" s="177" t="s">
        <v>153</v>
      </c>
      <c r="AL65" s="168" t="s">
        <v>153</v>
      </c>
      <c r="AM65" s="177" t="s">
        <v>192</v>
      </c>
      <c r="AN65" s="168" t="s">
        <v>153</v>
      </c>
      <c r="AO65" s="177" t="s">
        <v>153</v>
      </c>
      <c r="AP65" s="168" t="s">
        <v>192</v>
      </c>
      <c r="AQ65" s="177" t="s">
        <v>153</v>
      </c>
      <c r="AR65" s="168" t="s">
        <v>153</v>
      </c>
      <c r="AS65" s="177" t="s">
        <v>192</v>
      </c>
      <c r="AT65" s="168" t="s">
        <v>153</v>
      </c>
      <c r="AU65" s="177" t="s">
        <v>153</v>
      </c>
      <c r="AV65" s="168" t="s">
        <v>192</v>
      </c>
      <c r="AW65" s="177" t="s">
        <v>153</v>
      </c>
      <c r="AX65" s="168" t="s">
        <v>153</v>
      </c>
      <c r="AY65" s="177" t="s">
        <v>192</v>
      </c>
      <c r="AZ65" s="168" t="s">
        <v>153</v>
      </c>
      <c r="BA65" s="177" t="s">
        <v>153</v>
      </c>
      <c r="BB65" s="168" t="s">
        <v>192</v>
      </c>
      <c r="BC65" s="177" t="s">
        <v>153</v>
      </c>
      <c r="BD65" s="168" t="s">
        <v>153</v>
      </c>
      <c r="BE65" s="177" t="s">
        <v>192</v>
      </c>
      <c r="BF65" s="168" t="s">
        <v>153</v>
      </c>
      <c r="BG65" s="177" t="s">
        <v>153</v>
      </c>
      <c r="BH65" s="168" t="s">
        <v>192</v>
      </c>
      <c r="BI65" s="177" t="s">
        <v>153</v>
      </c>
      <c r="BJ65" s="168" t="s">
        <v>153</v>
      </c>
      <c r="BK65" s="177" t="s">
        <v>192</v>
      </c>
      <c r="BL65" s="168" t="s">
        <v>153</v>
      </c>
      <c r="BM65" s="177" t="s">
        <v>153</v>
      </c>
      <c r="BN65" s="168" t="s">
        <v>192</v>
      </c>
      <c r="BO65" s="177" t="s">
        <v>153</v>
      </c>
      <c r="BP65" s="168" t="s">
        <v>153</v>
      </c>
      <c r="BQ65" s="177" t="s">
        <v>192</v>
      </c>
      <c r="BR65" s="168" t="s">
        <v>153</v>
      </c>
      <c r="BS65" s="177" t="s">
        <v>153</v>
      </c>
      <c r="BT65" s="168" t="s">
        <v>192</v>
      </c>
      <c r="BU65" s="177" t="s">
        <v>153</v>
      </c>
      <c r="BV65" s="168" t="s">
        <v>153</v>
      </c>
      <c r="BW65" s="177" t="s">
        <v>192</v>
      </c>
      <c r="BX65" s="168" t="s">
        <v>153</v>
      </c>
      <c r="BY65" s="177" t="s">
        <v>153</v>
      </c>
      <c r="BZ65" s="168" t="s">
        <v>192</v>
      </c>
      <c r="CA65" s="177" t="s">
        <v>153</v>
      </c>
      <c r="CB65" s="168" t="s">
        <v>153</v>
      </c>
      <c r="CC65" s="177" t="s">
        <v>192</v>
      </c>
      <c r="CD65" s="168" t="s">
        <v>153</v>
      </c>
      <c r="CE65" s="177" t="s">
        <v>153</v>
      </c>
      <c r="CF65" s="168" t="s">
        <v>192</v>
      </c>
      <c r="CG65" s="187" t="s">
        <v>153</v>
      </c>
      <c r="CH65" s="183"/>
      <c r="CI65" s="185">
        <v>0</v>
      </c>
      <c r="CJ65" s="160">
        <v>0</v>
      </c>
      <c r="CK65" s="160">
        <v>0</v>
      </c>
      <c r="CL65" s="160">
        <v>0</v>
      </c>
      <c r="CM65" s="160">
        <v>0</v>
      </c>
      <c r="CN65" s="160">
        <v>0</v>
      </c>
      <c r="CO65" s="160">
        <v>1</v>
      </c>
      <c r="CP65" s="160">
        <v>0</v>
      </c>
      <c r="CQ65" s="160">
        <v>0</v>
      </c>
      <c r="CR65" s="160">
        <v>0</v>
      </c>
      <c r="CS65" s="179">
        <v>0</v>
      </c>
      <c r="CT65" s="160">
        <v>0</v>
      </c>
      <c r="CU65" s="160">
        <v>0</v>
      </c>
      <c r="CV65" s="160">
        <v>1</v>
      </c>
      <c r="CW65" s="160">
        <v>0</v>
      </c>
      <c r="CX65" s="160">
        <v>0</v>
      </c>
      <c r="CY65" s="160">
        <v>0</v>
      </c>
      <c r="CZ65" s="160">
        <v>1</v>
      </c>
      <c r="DA65" s="160">
        <v>0</v>
      </c>
      <c r="DB65" s="160">
        <v>0</v>
      </c>
      <c r="DC65" s="160">
        <v>1</v>
      </c>
      <c r="DD65" s="160">
        <v>1</v>
      </c>
      <c r="DE65" s="160">
        <v>0</v>
      </c>
      <c r="DF65" s="160">
        <v>0</v>
      </c>
      <c r="DG65" s="160">
        <v>0</v>
      </c>
      <c r="DH65" s="160">
        <v>0</v>
      </c>
      <c r="DI65" s="160">
        <v>1</v>
      </c>
      <c r="DJ65" s="160">
        <v>1</v>
      </c>
      <c r="DK65" s="160">
        <v>0</v>
      </c>
      <c r="DL65" s="160">
        <v>1</v>
      </c>
      <c r="DM65" s="160">
        <v>0</v>
      </c>
      <c r="DN65" s="160"/>
    </row>
    <row r="66" spans="1:118" hidden="1">
      <c r="A66" s="149" t="s">
        <v>81</v>
      </c>
      <c r="B66" s="150" t="s">
        <v>35</v>
      </c>
      <c r="C66" s="151" t="s">
        <v>366</v>
      </c>
      <c r="D66" s="152"/>
      <c r="E66" s="152"/>
      <c r="F66" s="152"/>
      <c r="G66" s="152"/>
      <c r="H66" s="62">
        <v>0</v>
      </c>
      <c r="I66" s="62"/>
      <c r="J66" s="62">
        <v>300</v>
      </c>
      <c r="K66" s="62">
        <v>185</v>
      </c>
      <c r="L66" s="62"/>
      <c r="M66" s="62"/>
      <c r="N66" s="62"/>
      <c r="O66" s="62">
        <f>SUBTOTAL(9,Table4[[#This Row],[ESI BASIC]:[ESI FOOD]])</f>
        <v>0</v>
      </c>
      <c r="P66" s="160"/>
      <c r="Q66" s="160"/>
      <c r="R66" s="246"/>
      <c r="S66" s="167"/>
      <c r="T66" s="10">
        <f t="shared" ref="T66:T83" si="6">COUNTIF(X66:CG66,"P")</f>
        <v>32</v>
      </c>
      <c r="U66" s="167"/>
      <c r="V66" s="10">
        <f t="shared" ref="V66:V83" si="7">T66+U66</f>
        <v>32</v>
      </c>
      <c r="W66" s="10">
        <f t="shared" ref="W66:W83" si="8">SUM(CI66:DM66)</f>
        <v>8</v>
      </c>
      <c r="X66" s="170" t="s">
        <v>153</v>
      </c>
      <c r="Y66" s="177" t="s">
        <v>192</v>
      </c>
      <c r="Z66" s="168" t="s">
        <v>153</v>
      </c>
      <c r="AA66" s="177" t="s">
        <v>153</v>
      </c>
      <c r="AB66" s="168" t="s">
        <v>192</v>
      </c>
      <c r="AC66" s="177" t="s">
        <v>153</v>
      </c>
      <c r="AD66" s="168" t="s">
        <v>153</v>
      </c>
      <c r="AE66" s="177" t="s">
        <v>192</v>
      </c>
      <c r="AF66" s="168" t="s">
        <v>153</v>
      </c>
      <c r="AG66" s="177" t="s">
        <v>153</v>
      </c>
      <c r="AH66" s="168" t="s">
        <v>192</v>
      </c>
      <c r="AI66" s="177" t="s">
        <v>192</v>
      </c>
      <c r="AJ66" s="168" t="s">
        <v>192</v>
      </c>
      <c r="AK66" s="177" t="s">
        <v>192</v>
      </c>
      <c r="AL66" s="168" t="s">
        <v>192</v>
      </c>
      <c r="AM66" s="168" t="s">
        <v>192</v>
      </c>
      <c r="AN66" s="168" t="s">
        <v>192</v>
      </c>
      <c r="AO66" s="177" t="s">
        <v>153</v>
      </c>
      <c r="AP66" s="168" t="s">
        <v>153</v>
      </c>
      <c r="AQ66" s="177" t="s">
        <v>192</v>
      </c>
      <c r="AR66" s="168" t="s">
        <v>153</v>
      </c>
      <c r="AS66" s="168" t="s">
        <v>153</v>
      </c>
      <c r="AT66" s="168" t="s">
        <v>192</v>
      </c>
      <c r="AU66" s="177" t="s">
        <v>153</v>
      </c>
      <c r="AV66" s="168" t="s">
        <v>153</v>
      </c>
      <c r="AW66" s="177" t="s">
        <v>192</v>
      </c>
      <c r="AX66" s="168" t="s">
        <v>153</v>
      </c>
      <c r="AY66" s="177" t="s">
        <v>153</v>
      </c>
      <c r="AZ66" s="168" t="s">
        <v>192</v>
      </c>
      <c r="BA66" s="177" t="s">
        <v>192</v>
      </c>
      <c r="BB66" s="168" t="s">
        <v>192</v>
      </c>
      <c r="BC66" s="177" t="s">
        <v>192</v>
      </c>
      <c r="BD66" s="168" t="s">
        <v>192</v>
      </c>
      <c r="BE66" s="177" t="s">
        <v>192</v>
      </c>
      <c r="BF66" s="168" t="s">
        <v>192</v>
      </c>
      <c r="BG66" s="177" t="s">
        <v>153</v>
      </c>
      <c r="BH66" s="168" t="s">
        <v>153</v>
      </c>
      <c r="BI66" s="177" t="s">
        <v>192</v>
      </c>
      <c r="BJ66" s="168" t="s">
        <v>153</v>
      </c>
      <c r="BK66" s="177" t="s">
        <v>153</v>
      </c>
      <c r="BL66" s="168" t="s">
        <v>192</v>
      </c>
      <c r="BM66" s="177" t="s">
        <v>153</v>
      </c>
      <c r="BN66" s="168" t="s">
        <v>153</v>
      </c>
      <c r="BO66" s="177" t="s">
        <v>192</v>
      </c>
      <c r="BP66" s="168" t="s">
        <v>153</v>
      </c>
      <c r="BQ66" s="177" t="s">
        <v>153</v>
      </c>
      <c r="BR66" s="168" t="s">
        <v>192</v>
      </c>
      <c r="BS66" s="177" t="s">
        <v>192</v>
      </c>
      <c r="BT66" s="168" t="s">
        <v>153</v>
      </c>
      <c r="BU66" s="177" t="s">
        <v>192</v>
      </c>
      <c r="BV66" s="168" t="s">
        <v>153</v>
      </c>
      <c r="BW66" s="177" t="s">
        <v>153</v>
      </c>
      <c r="BX66" s="168" t="s">
        <v>192</v>
      </c>
      <c r="BY66" s="177" t="s">
        <v>153</v>
      </c>
      <c r="BZ66" s="168" t="s">
        <v>153</v>
      </c>
      <c r="CA66" s="177" t="s">
        <v>192</v>
      </c>
      <c r="CB66" s="168" t="s">
        <v>153</v>
      </c>
      <c r="CC66" s="177" t="s">
        <v>153</v>
      </c>
      <c r="CD66" s="168" t="s">
        <v>192</v>
      </c>
      <c r="CE66" s="177" t="s">
        <v>153</v>
      </c>
      <c r="CF66" s="168" t="s">
        <v>153</v>
      </c>
      <c r="CG66" s="187" t="s">
        <v>192</v>
      </c>
      <c r="CH66" s="183"/>
      <c r="CI66" s="185">
        <v>0</v>
      </c>
      <c r="CJ66" s="160">
        <v>0</v>
      </c>
      <c r="CK66" s="160">
        <v>0</v>
      </c>
      <c r="CL66" s="160">
        <v>0</v>
      </c>
      <c r="CM66" s="160">
        <v>0</v>
      </c>
      <c r="CN66" s="160">
        <v>0</v>
      </c>
      <c r="CO66" s="160">
        <v>0</v>
      </c>
      <c r="CP66" s="160">
        <v>0</v>
      </c>
      <c r="CQ66" s="160">
        <v>0</v>
      </c>
      <c r="CR66" s="160">
        <v>0</v>
      </c>
      <c r="CS66" s="179">
        <v>1</v>
      </c>
      <c r="CT66" s="160">
        <v>0</v>
      </c>
      <c r="CU66" s="160">
        <v>0</v>
      </c>
      <c r="CV66" s="160">
        <v>3</v>
      </c>
      <c r="CW66" s="160">
        <v>1</v>
      </c>
      <c r="CX66" s="160">
        <v>0</v>
      </c>
      <c r="CY66" s="160">
        <v>0</v>
      </c>
      <c r="CZ66" s="160">
        <v>0</v>
      </c>
      <c r="DA66" s="160">
        <v>1</v>
      </c>
      <c r="DB66" s="160">
        <v>0</v>
      </c>
      <c r="DC66" s="160">
        <v>0</v>
      </c>
      <c r="DD66" s="160">
        <v>1</v>
      </c>
      <c r="DE66" s="160">
        <v>1</v>
      </c>
      <c r="DF66" s="160">
        <v>0</v>
      </c>
      <c r="DG66" s="160">
        <v>0</v>
      </c>
      <c r="DH66" s="160">
        <v>0</v>
      </c>
      <c r="DI66" s="160">
        <v>0</v>
      </c>
      <c r="DJ66" s="160">
        <v>0</v>
      </c>
      <c r="DK66" s="160">
        <v>0</v>
      </c>
      <c r="DL66" s="160">
        <v>0</v>
      </c>
      <c r="DM66" s="160">
        <v>0</v>
      </c>
      <c r="DN66" s="160"/>
    </row>
    <row r="67" spans="1:118" hidden="1">
      <c r="A67" s="149" t="s">
        <v>80</v>
      </c>
      <c r="B67" s="150" t="s">
        <v>84</v>
      </c>
      <c r="C67" s="151" t="s">
        <v>342</v>
      </c>
      <c r="D67" s="152" t="s">
        <v>394</v>
      </c>
      <c r="E67" s="152"/>
      <c r="F67" s="152"/>
      <c r="G67" s="152"/>
      <c r="H67" s="62">
        <v>0</v>
      </c>
      <c r="I67" s="62">
        <v>13650</v>
      </c>
      <c r="J67" s="62"/>
      <c r="K67" s="62"/>
      <c r="L67" s="62">
        <v>10560</v>
      </c>
      <c r="M67" s="62">
        <v>2000</v>
      </c>
      <c r="N67" s="62">
        <v>1090</v>
      </c>
      <c r="O67" s="62">
        <f>SUBTOTAL(9,Table4[[#This Row],[ESI BASIC]:[ESI FOOD]])</f>
        <v>0</v>
      </c>
      <c r="P67" s="160" t="s">
        <v>370</v>
      </c>
      <c r="Q67" s="160" t="s">
        <v>371</v>
      </c>
      <c r="R67" s="246">
        <v>1046010656917</v>
      </c>
      <c r="S67" s="167"/>
      <c r="T67" s="10">
        <f t="shared" si="6"/>
        <v>24</v>
      </c>
      <c r="U67" s="167">
        <v>4</v>
      </c>
      <c r="V67" s="10">
        <f t="shared" si="7"/>
        <v>28</v>
      </c>
      <c r="W67" s="10">
        <f t="shared" si="8"/>
        <v>0</v>
      </c>
      <c r="X67" s="170" t="s">
        <v>153</v>
      </c>
      <c r="Y67" s="177" t="s">
        <v>192</v>
      </c>
      <c r="Z67" s="168" t="s">
        <v>153</v>
      </c>
      <c r="AA67" s="177" t="s">
        <v>192</v>
      </c>
      <c r="AB67" s="168" t="s">
        <v>153</v>
      </c>
      <c r="AC67" s="177" t="s">
        <v>192</v>
      </c>
      <c r="AD67" s="168" t="s">
        <v>153</v>
      </c>
      <c r="AE67" s="177" t="s">
        <v>192</v>
      </c>
      <c r="AF67" s="168" t="s">
        <v>153</v>
      </c>
      <c r="AG67" s="177" t="s">
        <v>192</v>
      </c>
      <c r="AH67" s="168" t="s">
        <v>153</v>
      </c>
      <c r="AI67" s="177" t="s">
        <v>192</v>
      </c>
      <c r="AJ67" s="168" t="s">
        <v>153</v>
      </c>
      <c r="AK67" s="177" t="s">
        <v>192</v>
      </c>
      <c r="AL67" s="168" t="s">
        <v>153</v>
      </c>
      <c r="AM67" s="177" t="s">
        <v>192</v>
      </c>
      <c r="AN67" s="168" t="s">
        <v>153</v>
      </c>
      <c r="AO67" s="177" t="s">
        <v>192</v>
      </c>
      <c r="AP67" s="168" t="s">
        <v>153</v>
      </c>
      <c r="AQ67" s="177" t="s">
        <v>192</v>
      </c>
      <c r="AR67" s="168" t="s">
        <v>153</v>
      </c>
      <c r="AS67" s="177" t="s">
        <v>192</v>
      </c>
      <c r="AT67" s="168" t="s">
        <v>153</v>
      </c>
      <c r="AU67" s="177" t="s">
        <v>192</v>
      </c>
      <c r="AV67" s="168" t="s">
        <v>153</v>
      </c>
      <c r="AW67" s="177" t="s">
        <v>192</v>
      </c>
      <c r="AX67" s="168" t="s">
        <v>153</v>
      </c>
      <c r="AY67" s="177" t="s">
        <v>192</v>
      </c>
      <c r="AZ67" s="168" t="s">
        <v>192</v>
      </c>
      <c r="BA67" s="177" t="s">
        <v>192</v>
      </c>
      <c r="BB67" s="168" t="s">
        <v>192</v>
      </c>
      <c r="BC67" s="177" t="s">
        <v>192</v>
      </c>
      <c r="BD67" s="168" t="s">
        <v>192</v>
      </c>
      <c r="BE67" s="177" t="s">
        <v>192</v>
      </c>
      <c r="BF67" s="168" t="s">
        <v>192</v>
      </c>
      <c r="BG67" s="177" t="s">
        <v>192</v>
      </c>
      <c r="BH67" s="168" t="s">
        <v>192</v>
      </c>
      <c r="BI67" s="177" t="s">
        <v>192</v>
      </c>
      <c r="BJ67" s="168" t="s">
        <v>192</v>
      </c>
      <c r="BK67" s="177" t="s">
        <v>192</v>
      </c>
      <c r="BL67" s="168" t="s">
        <v>192</v>
      </c>
      <c r="BM67" s="177" t="s">
        <v>192</v>
      </c>
      <c r="BN67" s="168" t="s">
        <v>153</v>
      </c>
      <c r="BO67" s="177" t="s">
        <v>192</v>
      </c>
      <c r="BP67" s="168" t="s">
        <v>153</v>
      </c>
      <c r="BQ67" s="177" t="s">
        <v>153</v>
      </c>
      <c r="BR67" s="168" t="s">
        <v>192</v>
      </c>
      <c r="BS67" s="177" t="s">
        <v>192</v>
      </c>
      <c r="BT67" s="168" t="s">
        <v>153</v>
      </c>
      <c r="BU67" s="177" t="s">
        <v>192</v>
      </c>
      <c r="BV67" s="168" t="s">
        <v>153</v>
      </c>
      <c r="BW67" s="177" t="s">
        <v>192</v>
      </c>
      <c r="BX67" s="168" t="s">
        <v>153</v>
      </c>
      <c r="BY67" s="177" t="s">
        <v>192</v>
      </c>
      <c r="BZ67" s="168" t="s">
        <v>153</v>
      </c>
      <c r="CA67" s="177" t="s">
        <v>153</v>
      </c>
      <c r="CB67" s="168" t="s">
        <v>192</v>
      </c>
      <c r="CC67" s="177" t="s">
        <v>192</v>
      </c>
      <c r="CD67" s="168" t="s">
        <v>153</v>
      </c>
      <c r="CE67" s="177" t="s">
        <v>192</v>
      </c>
      <c r="CF67" s="168" t="s">
        <v>153</v>
      </c>
      <c r="CG67" s="187" t="s">
        <v>192</v>
      </c>
      <c r="CH67" s="183"/>
      <c r="CI67" s="185"/>
      <c r="CJ67" s="160"/>
      <c r="CK67" s="160"/>
      <c r="CL67" s="160"/>
      <c r="CM67" s="160"/>
      <c r="CN67" s="160"/>
      <c r="CO67" s="160"/>
      <c r="CP67" s="160"/>
      <c r="CQ67" s="160"/>
      <c r="CR67" s="160"/>
      <c r="CS67" s="179"/>
      <c r="CT67" s="160"/>
      <c r="CU67" s="160"/>
      <c r="CV67" s="160"/>
      <c r="CW67" s="160"/>
      <c r="CX67" s="160"/>
      <c r="CY67" s="160"/>
      <c r="CZ67" s="160"/>
      <c r="DA67" s="160"/>
      <c r="DB67" s="160"/>
      <c r="DC67" s="160"/>
      <c r="DD67" s="160"/>
      <c r="DE67" s="160"/>
      <c r="DF67" s="160"/>
      <c r="DG67" s="160"/>
      <c r="DH67" s="160"/>
      <c r="DI67" s="160"/>
      <c r="DJ67" s="160"/>
      <c r="DK67" s="160"/>
      <c r="DL67" s="160"/>
      <c r="DM67" s="160"/>
      <c r="DN67" s="160"/>
    </row>
    <row r="68" spans="1:118" hidden="1">
      <c r="A68" s="149" t="s">
        <v>80</v>
      </c>
      <c r="B68" s="150" t="s">
        <v>35</v>
      </c>
      <c r="C68" s="151" t="s">
        <v>280</v>
      </c>
      <c r="D68" s="152"/>
      <c r="E68" s="152"/>
      <c r="F68" s="152"/>
      <c r="G68" s="152"/>
      <c r="H68" s="62">
        <v>0</v>
      </c>
      <c r="I68" s="62"/>
      <c r="J68" s="62">
        <v>300</v>
      </c>
      <c r="K68" s="62">
        <v>185</v>
      </c>
      <c r="L68" s="62">
        <v>19000</v>
      </c>
      <c r="M68" s="62"/>
      <c r="N68" s="62"/>
      <c r="O68" s="62">
        <f>SUBTOTAL(9,Table4[[#This Row],[ESI BASIC]:[ESI FOOD]])</f>
        <v>0</v>
      </c>
      <c r="P68" s="188" t="s">
        <v>341</v>
      </c>
      <c r="Q68" s="188" t="s">
        <v>334</v>
      </c>
      <c r="R68" s="246">
        <v>438210110012523</v>
      </c>
      <c r="S68" s="167"/>
      <c r="T68" s="10">
        <f t="shared" si="6"/>
        <v>39</v>
      </c>
      <c r="U68" s="167"/>
      <c r="V68" s="10">
        <f t="shared" si="7"/>
        <v>39</v>
      </c>
      <c r="W68" s="10">
        <f t="shared" si="8"/>
        <v>10</v>
      </c>
      <c r="X68" s="170" t="s">
        <v>153</v>
      </c>
      <c r="Y68" s="177" t="s">
        <v>153</v>
      </c>
      <c r="Z68" s="168" t="s">
        <v>192</v>
      </c>
      <c r="AA68" s="177" t="s">
        <v>153</v>
      </c>
      <c r="AB68" s="168" t="s">
        <v>153</v>
      </c>
      <c r="AC68" s="177" t="s">
        <v>192</v>
      </c>
      <c r="AD68" s="168" t="s">
        <v>153</v>
      </c>
      <c r="AE68" s="177" t="s">
        <v>153</v>
      </c>
      <c r="AF68" s="168" t="s">
        <v>192</v>
      </c>
      <c r="AG68" s="177" t="s">
        <v>153</v>
      </c>
      <c r="AH68" s="168" t="s">
        <v>153</v>
      </c>
      <c r="AI68" s="177" t="s">
        <v>192</v>
      </c>
      <c r="AJ68" s="168" t="s">
        <v>153</v>
      </c>
      <c r="AK68" s="177" t="s">
        <v>153</v>
      </c>
      <c r="AL68" s="168" t="s">
        <v>192</v>
      </c>
      <c r="AM68" s="177" t="s">
        <v>192</v>
      </c>
      <c r="AN68" s="168" t="s">
        <v>153</v>
      </c>
      <c r="AO68" s="177" t="s">
        <v>192</v>
      </c>
      <c r="AP68" s="168" t="s">
        <v>192</v>
      </c>
      <c r="AQ68" s="177" t="s">
        <v>192</v>
      </c>
      <c r="AR68" s="168" t="s">
        <v>153</v>
      </c>
      <c r="AS68" s="177" t="s">
        <v>192</v>
      </c>
      <c r="AT68" s="168" t="s">
        <v>153</v>
      </c>
      <c r="AU68" s="177" t="s">
        <v>192</v>
      </c>
      <c r="AV68" s="168" t="s">
        <v>153</v>
      </c>
      <c r="AW68" s="177" t="s">
        <v>153</v>
      </c>
      <c r="AX68" s="168" t="s">
        <v>192</v>
      </c>
      <c r="AY68" s="177" t="s">
        <v>153</v>
      </c>
      <c r="AZ68" s="168" t="s">
        <v>153</v>
      </c>
      <c r="BA68" s="177" t="s">
        <v>192</v>
      </c>
      <c r="BB68" s="168" t="s">
        <v>153</v>
      </c>
      <c r="BC68" s="177" t="s">
        <v>153</v>
      </c>
      <c r="BD68" s="168" t="s">
        <v>192</v>
      </c>
      <c r="BE68" s="177" t="s">
        <v>153</v>
      </c>
      <c r="BF68" s="168" t="s">
        <v>153</v>
      </c>
      <c r="BG68" s="177" t="s">
        <v>192</v>
      </c>
      <c r="BH68" s="168" t="s">
        <v>153</v>
      </c>
      <c r="BI68" s="177" t="s">
        <v>153</v>
      </c>
      <c r="BJ68" s="168" t="s">
        <v>192</v>
      </c>
      <c r="BK68" s="177" t="s">
        <v>153</v>
      </c>
      <c r="BL68" s="168" t="s">
        <v>153</v>
      </c>
      <c r="BM68" s="177" t="s">
        <v>192</v>
      </c>
      <c r="BN68" s="168" t="s">
        <v>153</v>
      </c>
      <c r="BO68" s="177" t="s">
        <v>153</v>
      </c>
      <c r="BP68" s="168" t="s">
        <v>192</v>
      </c>
      <c r="BQ68" s="177" t="s">
        <v>153</v>
      </c>
      <c r="BR68" s="168" t="s">
        <v>153</v>
      </c>
      <c r="BS68" s="177" t="s">
        <v>192</v>
      </c>
      <c r="BT68" s="168" t="s">
        <v>153</v>
      </c>
      <c r="BU68" s="177" t="s">
        <v>153</v>
      </c>
      <c r="BV68" s="168" t="s">
        <v>192</v>
      </c>
      <c r="BW68" s="177" t="s">
        <v>153</v>
      </c>
      <c r="BX68" s="168" t="s">
        <v>153</v>
      </c>
      <c r="BY68" s="177" t="s">
        <v>192</v>
      </c>
      <c r="BZ68" s="168" t="s">
        <v>153</v>
      </c>
      <c r="CA68" s="177" t="s">
        <v>153</v>
      </c>
      <c r="CB68" s="168" t="s">
        <v>192</v>
      </c>
      <c r="CC68" s="177" t="s">
        <v>153</v>
      </c>
      <c r="CD68" s="168" t="s">
        <v>153</v>
      </c>
      <c r="CE68" s="177" t="s">
        <v>192</v>
      </c>
      <c r="CF68" s="168" t="s">
        <v>153</v>
      </c>
      <c r="CG68" s="187" t="s">
        <v>153</v>
      </c>
      <c r="CH68" s="183"/>
      <c r="CI68" s="185">
        <v>0</v>
      </c>
      <c r="CJ68" s="160">
        <v>0</v>
      </c>
      <c r="CK68" s="160">
        <v>0</v>
      </c>
      <c r="CL68" s="160">
        <v>0</v>
      </c>
      <c r="CM68" s="160">
        <v>0</v>
      </c>
      <c r="CN68" s="160">
        <v>0</v>
      </c>
      <c r="CO68" s="160">
        <v>0</v>
      </c>
      <c r="CP68" s="160">
        <v>0</v>
      </c>
      <c r="CQ68" s="160">
        <v>1</v>
      </c>
      <c r="CR68" s="160">
        <v>0</v>
      </c>
      <c r="CS68" s="179">
        <v>0</v>
      </c>
      <c r="CT68" s="160">
        <v>1</v>
      </c>
      <c r="CU68" s="160">
        <v>0</v>
      </c>
      <c r="CV68" s="160">
        <v>1</v>
      </c>
      <c r="CW68" s="160">
        <v>1</v>
      </c>
      <c r="CX68" s="160">
        <v>1</v>
      </c>
      <c r="CY68" s="160">
        <v>0</v>
      </c>
      <c r="CZ68" s="160">
        <v>0</v>
      </c>
      <c r="DA68" s="160">
        <v>0</v>
      </c>
      <c r="DB68" s="160">
        <v>0</v>
      </c>
      <c r="DC68" s="160">
        <v>0</v>
      </c>
      <c r="DD68" s="160">
        <v>2</v>
      </c>
      <c r="DE68" s="160">
        <v>0</v>
      </c>
      <c r="DF68" s="160">
        <v>0</v>
      </c>
      <c r="DG68" s="160">
        <v>0</v>
      </c>
      <c r="DH68" s="160">
        <v>0</v>
      </c>
      <c r="DI68" s="160">
        <v>2</v>
      </c>
      <c r="DJ68" s="160">
        <v>0</v>
      </c>
      <c r="DK68" s="160">
        <v>1</v>
      </c>
      <c r="DL68" s="160">
        <v>0</v>
      </c>
      <c r="DM68" s="160">
        <v>0</v>
      </c>
      <c r="DN68" s="160"/>
    </row>
    <row r="69" spans="1:118" hidden="1">
      <c r="A69" s="149" t="s">
        <v>81</v>
      </c>
      <c r="B69" s="150" t="s">
        <v>38</v>
      </c>
      <c r="C69" s="151" t="s">
        <v>281</v>
      </c>
      <c r="D69" s="152"/>
      <c r="E69" s="152"/>
      <c r="F69" s="152"/>
      <c r="G69" s="152"/>
      <c r="H69" s="62">
        <v>0</v>
      </c>
      <c r="I69" s="62"/>
      <c r="J69" s="62">
        <v>260</v>
      </c>
      <c r="K69" s="62">
        <v>80</v>
      </c>
      <c r="L69" s="62"/>
      <c r="M69" s="62"/>
      <c r="N69" s="62"/>
      <c r="O69" s="62">
        <f>SUBTOTAL(9,Table4[[#This Row],[ESI BASIC]:[ESI FOOD]])</f>
        <v>0</v>
      </c>
      <c r="P69" s="160"/>
      <c r="Q69" s="160"/>
      <c r="R69" s="175"/>
      <c r="S69" s="167"/>
      <c r="T69" s="10">
        <f t="shared" si="6"/>
        <v>36</v>
      </c>
      <c r="U69" s="167"/>
      <c r="V69" s="10">
        <f t="shared" si="7"/>
        <v>36</v>
      </c>
      <c r="W69" s="10">
        <f t="shared" si="8"/>
        <v>7</v>
      </c>
      <c r="X69" s="172" t="s">
        <v>192</v>
      </c>
      <c r="Y69" s="176" t="s">
        <v>153</v>
      </c>
      <c r="Z69" s="171" t="s">
        <v>153</v>
      </c>
      <c r="AA69" s="171" t="s">
        <v>192</v>
      </c>
      <c r="AB69" s="171" t="s">
        <v>153</v>
      </c>
      <c r="AC69" s="176" t="s">
        <v>153</v>
      </c>
      <c r="AD69" s="171" t="s">
        <v>192</v>
      </c>
      <c r="AE69" s="176" t="s">
        <v>153</v>
      </c>
      <c r="AF69" s="171" t="s">
        <v>153</v>
      </c>
      <c r="AG69" s="176" t="s">
        <v>192</v>
      </c>
      <c r="AH69" s="171" t="s">
        <v>192</v>
      </c>
      <c r="AI69" s="176" t="s">
        <v>192</v>
      </c>
      <c r="AJ69" s="171" t="s">
        <v>192</v>
      </c>
      <c r="AK69" s="176" t="s">
        <v>153</v>
      </c>
      <c r="AL69" s="171" t="s">
        <v>153</v>
      </c>
      <c r="AM69" s="176" t="s">
        <v>192</v>
      </c>
      <c r="AN69" s="171" t="s">
        <v>153</v>
      </c>
      <c r="AO69" s="176" t="s">
        <v>153</v>
      </c>
      <c r="AP69" s="171" t="s">
        <v>192</v>
      </c>
      <c r="AQ69" s="176" t="s">
        <v>192</v>
      </c>
      <c r="AR69" s="171" t="s">
        <v>192</v>
      </c>
      <c r="AS69" s="176" t="s">
        <v>192</v>
      </c>
      <c r="AT69" s="171" t="s">
        <v>153</v>
      </c>
      <c r="AU69" s="176" t="s">
        <v>153</v>
      </c>
      <c r="AV69" s="171" t="s">
        <v>192</v>
      </c>
      <c r="AW69" s="176" t="s">
        <v>153</v>
      </c>
      <c r="AX69" s="171" t="s">
        <v>153</v>
      </c>
      <c r="AY69" s="176" t="s">
        <v>192</v>
      </c>
      <c r="AZ69" s="171" t="s">
        <v>153</v>
      </c>
      <c r="BA69" s="177" t="s">
        <v>153</v>
      </c>
      <c r="BB69" s="168" t="s">
        <v>192</v>
      </c>
      <c r="BC69" s="177" t="s">
        <v>153</v>
      </c>
      <c r="BD69" s="168" t="s">
        <v>153</v>
      </c>
      <c r="BE69" s="177" t="s">
        <v>192</v>
      </c>
      <c r="BF69" s="168" t="s">
        <v>153</v>
      </c>
      <c r="BG69" s="177" t="s">
        <v>153</v>
      </c>
      <c r="BH69" s="168" t="s">
        <v>192</v>
      </c>
      <c r="BI69" s="177" t="s">
        <v>153</v>
      </c>
      <c r="BJ69" s="168" t="s">
        <v>153</v>
      </c>
      <c r="BK69" s="177" t="s">
        <v>192</v>
      </c>
      <c r="BL69" s="168" t="s">
        <v>153</v>
      </c>
      <c r="BM69" s="168" t="s">
        <v>153</v>
      </c>
      <c r="BN69" s="168" t="s">
        <v>192</v>
      </c>
      <c r="BO69" s="177" t="s">
        <v>153</v>
      </c>
      <c r="BP69" s="168" t="s">
        <v>153</v>
      </c>
      <c r="BQ69" s="177" t="s">
        <v>192</v>
      </c>
      <c r="BR69" s="168" t="s">
        <v>192</v>
      </c>
      <c r="BS69" s="177" t="s">
        <v>153</v>
      </c>
      <c r="BT69" s="168" t="s">
        <v>192</v>
      </c>
      <c r="BU69" s="177" t="s">
        <v>153</v>
      </c>
      <c r="BV69" s="168" t="s">
        <v>153</v>
      </c>
      <c r="BW69" s="177" t="s">
        <v>192</v>
      </c>
      <c r="BX69" s="168" t="s">
        <v>153</v>
      </c>
      <c r="BY69" s="177" t="s">
        <v>153</v>
      </c>
      <c r="BZ69" s="168" t="s">
        <v>192</v>
      </c>
      <c r="CA69" s="177" t="s">
        <v>153</v>
      </c>
      <c r="CB69" s="168" t="s">
        <v>153</v>
      </c>
      <c r="CC69" s="177" t="s">
        <v>192</v>
      </c>
      <c r="CD69" s="168" t="s">
        <v>153</v>
      </c>
      <c r="CE69" s="177" t="s">
        <v>153</v>
      </c>
      <c r="CF69" s="168" t="s">
        <v>192</v>
      </c>
      <c r="CG69" s="187" t="s">
        <v>153</v>
      </c>
      <c r="CH69" s="183"/>
      <c r="CI69" s="185">
        <v>0</v>
      </c>
      <c r="CJ69" s="160">
        <v>0</v>
      </c>
      <c r="CK69" s="160">
        <v>0</v>
      </c>
      <c r="CL69" s="160">
        <v>0</v>
      </c>
      <c r="CM69" s="160">
        <v>0</v>
      </c>
      <c r="CN69" s="160">
        <v>0</v>
      </c>
      <c r="CO69" s="160">
        <v>0</v>
      </c>
      <c r="CP69" s="160">
        <v>0</v>
      </c>
      <c r="CQ69" s="160">
        <v>0</v>
      </c>
      <c r="CR69" s="179">
        <v>0</v>
      </c>
      <c r="CS69" s="179">
        <v>0</v>
      </c>
      <c r="CT69" s="160">
        <v>0</v>
      </c>
      <c r="CU69" s="160">
        <v>0</v>
      </c>
      <c r="CV69" s="160">
        <v>1</v>
      </c>
      <c r="CW69" s="160">
        <v>0</v>
      </c>
      <c r="CX69" s="160">
        <v>0</v>
      </c>
      <c r="CY69" s="160">
        <v>0</v>
      </c>
      <c r="CZ69" s="160">
        <v>1</v>
      </c>
      <c r="DA69" s="160">
        <v>0</v>
      </c>
      <c r="DB69" s="160">
        <v>0</v>
      </c>
      <c r="DC69" s="160">
        <v>1</v>
      </c>
      <c r="DD69" s="160">
        <v>1</v>
      </c>
      <c r="DE69" s="160">
        <v>0</v>
      </c>
      <c r="DF69" s="160">
        <v>0</v>
      </c>
      <c r="DG69" s="160">
        <v>0</v>
      </c>
      <c r="DH69" s="160">
        <v>0</v>
      </c>
      <c r="DI69" s="160">
        <v>1</v>
      </c>
      <c r="DJ69" s="160">
        <v>1</v>
      </c>
      <c r="DK69" s="160">
        <v>0</v>
      </c>
      <c r="DL69" s="160">
        <v>1</v>
      </c>
      <c r="DM69" s="160">
        <v>0</v>
      </c>
      <c r="DN69" s="160"/>
    </row>
    <row r="70" spans="1:118">
      <c r="A70" s="149" t="s">
        <v>79</v>
      </c>
      <c r="B70" s="150" t="s">
        <v>83</v>
      </c>
      <c r="C70" s="151" t="s">
        <v>282</v>
      </c>
      <c r="D70" s="152" t="s">
        <v>354</v>
      </c>
      <c r="E70" s="152">
        <v>25000</v>
      </c>
      <c r="F70" s="152">
        <v>0</v>
      </c>
      <c r="G70" s="152">
        <v>0</v>
      </c>
      <c r="H70" s="62">
        <f>SUBTOTAL(9,Table4[[#This Row],[BASIC]:[FOOD]])</f>
        <v>25000</v>
      </c>
      <c r="I70" s="62"/>
      <c r="J70" s="62"/>
      <c r="K70" s="62"/>
      <c r="L70" s="62"/>
      <c r="M70" s="62"/>
      <c r="N70" s="62"/>
      <c r="O70" s="62"/>
      <c r="P70" s="188" t="s">
        <v>314</v>
      </c>
      <c r="Q70" s="188" t="s">
        <v>318</v>
      </c>
      <c r="R70" s="246">
        <v>18700110074961</v>
      </c>
      <c r="S70" s="167"/>
      <c r="T70" s="10">
        <f t="shared" si="6"/>
        <v>24</v>
      </c>
      <c r="U70" s="167">
        <v>4</v>
      </c>
      <c r="V70" s="10">
        <f t="shared" si="7"/>
        <v>28</v>
      </c>
      <c r="W70" s="10">
        <f t="shared" si="8"/>
        <v>0</v>
      </c>
      <c r="X70" s="168" t="s">
        <v>153</v>
      </c>
      <c r="Y70" s="168" t="s">
        <v>192</v>
      </c>
      <c r="Z70" s="170" t="s">
        <v>153</v>
      </c>
      <c r="AA70" s="168" t="s">
        <v>192</v>
      </c>
      <c r="AB70" s="168" t="s">
        <v>153</v>
      </c>
      <c r="AC70" s="168" t="s">
        <v>192</v>
      </c>
      <c r="AD70" s="168" t="s">
        <v>153</v>
      </c>
      <c r="AE70" s="168" t="s">
        <v>192</v>
      </c>
      <c r="AF70" s="168" t="s">
        <v>192</v>
      </c>
      <c r="AG70" s="168" t="s">
        <v>192</v>
      </c>
      <c r="AH70" s="168" t="s">
        <v>153</v>
      </c>
      <c r="AI70" s="168" t="s">
        <v>192</v>
      </c>
      <c r="AJ70" s="168" t="s">
        <v>153</v>
      </c>
      <c r="AK70" s="168" t="s">
        <v>192</v>
      </c>
      <c r="AL70" s="168" t="s">
        <v>192</v>
      </c>
      <c r="AM70" s="168" t="s">
        <v>192</v>
      </c>
      <c r="AN70" s="168" t="s">
        <v>153</v>
      </c>
      <c r="AO70" s="168" t="s">
        <v>192</v>
      </c>
      <c r="AP70" s="168" t="s">
        <v>153</v>
      </c>
      <c r="AQ70" s="168" t="s">
        <v>192</v>
      </c>
      <c r="AR70" s="168" t="s">
        <v>153</v>
      </c>
      <c r="AS70" s="168" t="s">
        <v>192</v>
      </c>
      <c r="AT70" s="168" t="s">
        <v>192</v>
      </c>
      <c r="AU70" s="168" t="s">
        <v>192</v>
      </c>
      <c r="AV70" s="168" t="s">
        <v>153</v>
      </c>
      <c r="AW70" s="168" t="s">
        <v>192</v>
      </c>
      <c r="AX70" s="168" t="s">
        <v>153</v>
      </c>
      <c r="AY70" s="168" t="s">
        <v>192</v>
      </c>
      <c r="AZ70" s="168" t="s">
        <v>192</v>
      </c>
      <c r="BA70" s="168" t="s">
        <v>192</v>
      </c>
      <c r="BB70" s="168" t="s">
        <v>192</v>
      </c>
      <c r="BC70" s="168" t="s">
        <v>192</v>
      </c>
      <c r="BD70" s="168" t="s">
        <v>192</v>
      </c>
      <c r="BE70" s="168" t="s">
        <v>153</v>
      </c>
      <c r="BF70" s="168" t="s">
        <v>153</v>
      </c>
      <c r="BG70" s="168" t="s">
        <v>192</v>
      </c>
      <c r="BH70" s="168" t="s">
        <v>192</v>
      </c>
      <c r="BI70" s="168" t="s">
        <v>192</v>
      </c>
      <c r="BJ70" s="168" t="s">
        <v>153</v>
      </c>
      <c r="BK70" s="168" t="s">
        <v>192</v>
      </c>
      <c r="BL70" s="168" t="s">
        <v>153</v>
      </c>
      <c r="BM70" s="168" t="s">
        <v>192</v>
      </c>
      <c r="BN70" s="168" t="s">
        <v>153</v>
      </c>
      <c r="BO70" s="168" t="s">
        <v>192</v>
      </c>
      <c r="BP70" s="168" t="s">
        <v>153</v>
      </c>
      <c r="BQ70" s="168" t="s">
        <v>192</v>
      </c>
      <c r="BR70" s="168" t="s">
        <v>153</v>
      </c>
      <c r="BS70" s="168" t="s">
        <v>192</v>
      </c>
      <c r="BT70" s="168" t="s">
        <v>153</v>
      </c>
      <c r="BU70" s="168" t="s">
        <v>192</v>
      </c>
      <c r="BV70" s="168" t="s">
        <v>192</v>
      </c>
      <c r="BW70" s="168" t="s">
        <v>192</v>
      </c>
      <c r="BX70" s="168" t="s">
        <v>153</v>
      </c>
      <c r="BY70" s="168" t="s">
        <v>192</v>
      </c>
      <c r="BZ70" s="168" t="s">
        <v>153</v>
      </c>
      <c r="CA70" s="168" t="s">
        <v>192</v>
      </c>
      <c r="CB70" s="168" t="s">
        <v>153</v>
      </c>
      <c r="CC70" s="168" t="s">
        <v>192</v>
      </c>
      <c r="CD70" s="168" t="s">
        <v>153</v>
      </c>
      <c r="CE70" s="168" t="s">
        <v>192</v>
      </c>
      <c r="CF70" s="168" t="s">
        <v>153</v>
      </c>
      <c r="CG70" s="244" t="s">
        <v>192</v>
      </c>
      <c r="CH70" s="183"/>
      <c r="CI70" s="185"/>
      <c r="CJ70" s="160"/>
      <c r="CK70" s="160"/>
      <c r="CL70" s="160"/>
      <c r="CM70" s="160"/>
      <c r="CN70" s="160"/>
      <c r="CO70" s="160"/>
      <c r="CP70" s="160"/>
      <c r="CQ70" s="160"/>
      <c r="CR70" s="160"/>
      <c r="CS70" s="179"/>
      <c r="CT70" s="160"/>
      <c r="CU70" s="160"/>
      <c r="CV70" s="160"/>
      <c r="CW70" s="160"/>
      <c r="CX70" s="160"/>
      <c r="CY70" s="160"/>
      <c r="CZ70" s="160"/>
      <c r="DA70" s="160"/>
      <c r="DB70" s="160"/>
      <c r="DC70" s="160"/>
      <c r="DD70" s="160"/>
      <c r="DE70" s="160"/>
      <c r="DF70" s="160"/>
      <c r="DG70" s="160"/>
      <c r="DH70" s="160"/>
      <c r="DI70" s="160"/>
      <c r="DJ70" s="160"/>
      <c r="DK70" s="160"/>
      <c r="DL70" s="160"/>
      <c r="DM70" s="160"/>
      <c r="DN70" s="160"/>
    </row>
    <row r="71" spans="1:118" hidden="1">
      <c r="A71" s="149" t="s">
        <v>80</v>
      </c>
      <c r="B71" s="150" t="s">
        <v>38</v>
      </c>
      <c r="C71" s="151" t="s">
        <v>283</v>
      </c>
      <c r="D71" s="152" t="s">
        <v>395</v>
      </c>
      <c r="E71" s="152"/>
      <c r="F71" s="152"/>
      <c r="G71" s="152"/>
      <c r="H71" s="62">
        <f>SUBTOTAL(9,Table4[[#This Row],[BASIC]:[FOOD]])</f>
        <v>0</v>
      </c>
      <c r="I71" s="62"/>
      <c r="J71" s="62">
        <v>260</v>
      </c>
      <c r="K71" s="62">
        <v>80</v>
      </c>
      <c r="L71" s="62">
        <v>10560</v>
      </c>
      <c r="M71" s="62">
        <v>700</v>
      </c>
      <c r="N71" s="62">
        <v>540</v>
      </c>
      <c r="O71" s="62">
        <f>SUBTOTAL(9,Table4[[#This Row],[ESI BASIC]:[ESI FOOD]])</f>
        <v>0</v>
      </c>
      <c r="P71" s="160" t="s">
        <v>348</v>
      </c>
      <c r="Q71" s="160" t="s">
        <v>305</v>
      </c>
      <c r="R71" s="246">
        <v>80858100003185</v>
      </c>
      <c r="S71" s="167"/>
      <c r="T71" s="10">
        <f t="shared" si="6"/>
        <v>37</v>
      </c>
      <c r="U71" s="167"/>
      <c r="V71" s="10">
        <f t="shared" si="7"/>
        <v>37</v>
      </c>
      <c r="W71" s="10">
        <f t="shared" si="8"/>
        <v>9</v>
      </c>
      <c r="X71" s="170" t="s">
        <v>153</v>
      </c>
      <c r="Y71" s="177" t="s">
        <v>153</v>
      </c>
      <c r="Z71" s="168" t="s">
        <v>192</v>
      </c>
      <c r="AA71" s="177" t="s">
        <v>153</v>
      </c>
      <c r="AB71" s="168" t="s">
        <v>153</v>
      </c>
      <c r="AC71" s="177" t="s">
        <v>192</v>
      </c>
      <c r="AD71" s="168" t="s">
        <v>153</v>
      </c>
      <c r="AE71" s="177" t="s">
        <v>153</v>
      </c>
      <c r="AF71" s="168" t="s">
        <v>192</v>
      </c>
      <c r="AG71" s="177" t="s">
        <v>153</v>
      </c>
      <c r="AH71" s="168" t="s">
        <v>153</v>
      </c>
      <c r="AI71" s="177" t="s">
        <v>192</v>
      </c>
      <c r="AJ71" s="168" t="s">
        <v>153</v>
      </c>
      <c r="AK71" s="177" t="s">
        <v>153</v>
      </c>
      <c r="AL71" s="168" t="s">
        <v>192</v>
      </c>
      <c r="AM71" s="177" t="s">
        <v>153</v>
      </c>
      <c r="AN71" s="168" t="s">
        <v>153</v>
      </c>
      <c r="AO71" s="177" t="s">
        <v>192</v>
      </c>
      <c r="AP71" s="168" t="s">
        <v>153</v>
      </c>
      <c r="AQ71" s="177" t="s">
        <v>153</v>
      </c>
      <c r="AR71" s="168" t="s">
        <v>192</v>
      </c>
      <c r="AS71" s="177" t="s">
        <v>153</v>
      </c>
      <c r="AT71" s="168" t="s">
        <v>153</v>
      </c>
      <c r="AU71" s="177" t="s">
        <v>192</v>
      </c>
      <c r="AV71" s="168" t="s">
        <v>153</v>
      </c>
      <c r="AW71" s="177" t="s">
        <v>192</v>
      </c>
      <c r="AX71" s="168" t="s">
        <v>192</v>
      </c>
      <c r="AY71" s="177" t="s">
        <v>153</v>
      </c>
      <c r="AZ71" s="168" t="s">
        <v>153</v>
      </c>
      <c r="BA71" s="177" t="s">
        <v>192</v>
      </c>
      <c r="BB71" s="168" t="s">
        <v>192</v>
      </c>
      <c r="BC71" s="177" t="s">
        <v>192</v>
      </c>
      <c r="BD71" s="168" t="s">
        <v>192</v>
      </c>
      <c r="BE71" s="177" t="s">
        <v>192</v>
      </c>
      <c r="BF71" s="168" t="s">
        <v>192</v>
      </c>
      <c r="BG71" s="177" t="s">
        <v>192</v>
      </c>
      <c r="BH71" s="168" t="s">
        <v>153</v>
      </c>
      <c r="BI71" s="177" t="s">
        <v>153</v>
      </c>
      <c r="BJ71" s="168" t="s">
        <v>192</v>
      </c>
      <c r="BK71" s="177" t="s">
        <v>153</v>
      </c>
      <c r="BL71" s="168" t="s">
        <v>153</v>
      </c>
      <c r="BM71" s="177" t="s">
        <v>192</v>
      </c>
      <c r="BN71" s="168" t="s">
        <v>153</v>
      </c>
      <c r="BO71" s="177" t="s">
        <v>153</v>
      </c>
      <c r="BP71" s="168" t="s">
        <v>192</v>
      </c>
      <c r="BQ71" s="177" t="s">
        <v>153</v>
      </c>
      <c r="BR71" s="168" t="s">
        <v>153</v>
      </c>
      <c r="BS71" s="177" t="s">
        <v>192</v>
      </c>
      <c r="BT71" s="168" t="s">
        <v>153</v>
      </c>
      <c r="BU71" s="177" t="s">
        <v>153</v>
      </c>
      <c r="BV71" s="168" t="s">
        <v>192</v>
      </c>
      <c r="BW71" s="177" t="s">
        <v>153</v>
      </c>
      <c r="BX71" s="168" t="s">
        <v>153</v>
      </c>
      <c r="BY71" s="177" t="s">
        <v>192</v>
      </c>
      <c r="BZ71" s="168" t="s">
        <v>153</v>
      </c>
      <c r="CA71" s="177" t="s">
        <v>153</v>
      </c>
      <c r="CB71" s="168" t="s">
        <v>192</v>
      </c>
      <c r="CC71" s="177" t="s">
        <v>153</v>
      </c>
      <c r="CD71" s="168" t="s">
        <v>153</v>
      </c>
      <c r="CE71" s="177" t="s">
        <v>192</v>
      </c>
      <c r="CF71" s="168" t="s">
        <v>153</v>
      </c>
      <c r="CG71" s="187" t="s">
        <v>153</v>
      </c>
      <c r="CH71" s="183"/>
      <c r="CI71" s="185">
        <v>0</v>
      </c>
      <c r="CJ71" s="160">
        <v>0</v>
      </c>
      <c r="CK71" s="160">
        <v>0</v>
      </c>
      <c r="CL71" s="160">
        <v>0</v>
      </c>
      <c r="CM71" s="160">
        <v>1</v>
      </c>
      <c r="CN71" s="160">
        <v>0</v>
      </c>
      <c r="CO71" s="160">
        <v>0</v>
      </c>
      <c r="CP71" s="160">
        <v>0</v>
      </c>
      <c r="CQ71" s="160">
        <v>1</v>
      </c>
      <c r="CR71" s="160">
        <v>0</v>
      </c>
      <c r="CS71" s="179">
        <v>0</v>
      </c>
      <c r="CT71" s="160">
        <v>0</v>
      </c>
      <c r="CU71" s="160">
        <v>0</v>
      </c>
      <c r="CV71" s="160">
        <v>0</v>
      </c>
      <c r="CW71" s="160">
        <v>1</v>
      </c>
      <c r="CX71" s="160">
        <v>0</v>
      </c>
      <c r="CY71" s="160">
        <v>0</v>
      </c>
      <c r="CZ71" s="160">
        <v>0</v>
      </c>
      <c r="DA71" s="160">
        <v>0</v>
      </c>
      <c r="DB71" s="160">
        <v>0</v>
      </c>
      <c r="DC71" s="160">
        <v>0</v>
      </c>
      <c r="DD71" s="160">
        <v>1</v>
      </c>
      <c r="DE71" s="160">
        <v>1</v>
      </c>
      <c r="DF71" s="160">
        <v>0</v>
      </c>
      <c r="DG71" s="160">
        <v>1</v>
      </c>
      <c r="DH71" s="160">
        <v>0</v>
      </c>
      <c r="DI71" s="160">
        <v>2</v>
      </c>
      <c r="DJ71" s="160">
        <v>0</v>
      </c>
      <c r="DK71" s="160">
        <v>0</v>
      </c>
      <c r="DL71" s="160">
        <v>1</v>
      </c>
      <c r="DM71" s="160">
        <v>0</v>
      </c>
      <c r="DN71" s="160"/>
    </row>
    <row r="72" spans="1:118" hidden="1">
      <c r="A72" s="149" t="s">
        <v>81</v>
      </c>
      <c r="B72" s="150" t="s">
        <v>38</v>
      </c>
      <c r="C72" s="151" t="s">
        <v>382</v>
      </c>
      <c r="D72" s="152"/>
      <c r="E72" s="152"/>
      <c r="F72" s="152"/>
      <c r="G72" s="152"/>
      <c r="H72" s="62">
        <f>SUBTOTAL(9,Table4[[#This Row],[BASIC]:[FOOD]])</f>
        <v>0</v>
      </c>
      <c r="I72" s="62"/>
      <c r="J72" s="62">
        <v>250</v>
      </c>
      <c r="K72" s="62">
        <v>70</v>
      </c>
      <c r="L72" s="62"/>
      <c r="M72" s="62"/>
      <c r="N72" s="62"/>
      <c r="O72" s="62">
        <f>SUBTOTAL(9,Table4[[#This Row],[ESI BASIC]:[ESI FOOD]])</f>
        <v>0</v>
      </c>
      <c r="P72" s="160"/>
      <c r="Q72" s="160"/>
      <c r="R72" s="175"/>
      <c r="S72" s="167"/>
      <c r="T72" s="10">
        <f t="shared" si="6"/>
        <v>42</v>
      </c>
      <c r="U72" s="167"/>
      <c r="V72" s="10">
        <f t="shared" si="7"/>
        <v>42</v>
      </c>
      <c r="W72" s="10">
        <f t="shared" si="8"/>
        <v>10</v>
      </c>
      <c r="X72" s="170" t="s">
        <v>153</v>
      </c>
      <c r="Y72" s="177" t="s">
        <v>153</v>
      </c>
      <c r="Z72" s="168" t="s">
        <v>192</v>
      </c>
      <c r="AA72" s="177" t="s">
        <v>153</v>
      </c>
      <c r="AB72" s="168" t="s">
        <v>153</v>
      </c>
      <c r="AC72" s="177" t="s">
        <v>192</v>
      </c>
      <c r="AD72" s="168" t="s">
        <v>153</v>
      </c>
      <c r="AE72" s="177" t="s">
        <v>153</v>
      </c>
      <c r="AF72" s="168" t="s">
        <v>192</v>
      </c>
      <c r="AG72" s="177" t="s">
        <v>153</v>
      </c>
      <c r="AH72" s="168" t="s">
        <v>153</v>
      </c>
      <c r="AI72" s="177" t="s">
        <v>192</v>
      </c>
      <c r="AJ72" s="168" t="s">
        <v>153</v>
      </c>
      <c r="AK72" s="177" t="s">
        <v>153</v>
      </c>
      <c r="AL72" s="168" t="s">
        <v>192</v>
      </c>
      <c r="AM72" s="177" t="s">
        <v>153</v>
      </c>
      <c r="AN72" s="168" t="s">
        <v>153</v>
      </c>
      <c r="AO72" s="177" t="s">
        <v>192</v>
      </c>
      <c r="AP72" s="168" t="s">
        <v>153</v>
      </c>
      <c r="AQ72" s="177" t="s">
        <v>153</v>
      </c>
      <c r="AR72" s="168" t="s">
        <v>192</v>
      </c>
      <c r="AS72" s="177" t="s">
        <v>153</v>
      </c>
      <c r="AT72" s="168" t="s">
        <v>153</v>
      </c>
      <c r="AU72" s="177" t="s">
        <v>192</v>
      </c>
      <c r="AV72" s="168" t="s">
        <v>153</v>
      </c>
      <c r="AW72" s="177" t="s">
        <v>153</v>
      </c>
      <c r="AX72" s="168" t="s">
        <v>192</v>
      </c>
      <c r="AY72" s="177" t="s">
        <v>153</v>
      </c>
      <c r="AZ72" s="168" t="s">
        <v>153</v>
      </c>
      <c r="BA72" s="177" t="s">
        <v>192</v>
      </c>
      <c r="BB72" s="168" t="s">
        <v>153</v>
      </c>
      <c r="BC72" s="177" t="s">
        <v>153</v>
      </c>
      <c r="BD72" s="168" t="s">
        <v>192</v>
      </c>
      <c r="BE72" s="177" t="s">
        <v>153</v>
      </c>
      <c r="BF72" s="168" t="s">
        <v>153</v>
      </c>
      <c r="BG72" s="177" t="s">
        <v>192</v>
      </c>
      <c r="BH72" s="168" t="s">
        <v>153</v>
      </c>
      <c r="BI72" s="177" t="s">
        <v>153</v>
      </c>
      <c r="BJ72" s="168" t="s">
        <v>192</v>
      </c>
      <c r="BK72" s="177" t="s">
        <v>153</v>
      </c>
      <c r="BL72" s="168" t="s">
        <v>153</v>
      </c>
      <c r="BM72" s="177" t="s">
        <v>192</v>
      </c>
      <c r="BN72" s="168" t="s">
        <v>153</v>
      </c>
      <c r="BO72" s="177" t="s">
        <v>153</v>
      </c>
      <c r="BP72" s="168" t="s">
        <v>192</v>
      </c>
      <c r="BQ72" s="177" t="s">
        <v>153</v>
      </c>
      <c r="BR72" s="168" t="s">
        <v>153</v>
      </c>
      <c r="BS72" s="177" t="s">
        <v>192</v>
      </c>
      <c r="BT72" s="168" t="s">
        <v>153</v>
      </c>
      <c r="BU72" s="177" t="s">
        <v>153</v>
      </c>
      <c r="BV72" s="168" t="s">
        <v>192</v>
      </c>
      <c r="BW72" s="177" t="s">
        <v>153</v>
      </c>
      <c r="BX72" s="168" t="s">
        <v>153</v>
      </c>
      <c r="BY72" s="177" t="s">
        <v>192</v>
      </c>
      <c r="BZ72" s="168" t="s">
        <v>153</v>
      </c>
      <c r="CA72" s="177" t="s">
        <v>153</v>
      </c>
      <c r="CB72" s="168" t="s">
        <v>192</v>
      </c>
      <c r="CC72" s="177" t="s">
        <v>153</v>
      </c>
      <c r="CD72" s="168" t="s">
        <v>153</v>
      </c>
      <c r="CE72" s="177" t="s">
        <v>192</v>
      </c>
      <c r="CF72" s="168" t="s">
        <v>153</v>
      </c>
      <c r="CG72" s="187" t="s">
        <v>153</v>
      </c>
      <c r="CH72" s="183" t="s">
        <v>153</v>
      </c>
      <c r="CI72" s="160">
        <v>0</v>
      </c>
      <c r="CJ72" s="160">
        <v>0</v>
      </c>
      <c r="CK72" s="160">
        <v>0</v>
      </c>
      <c r="CL72" s="160">
        <v>0</v>
      </c>
      <c r="CM72" s="160">
        <v>0</v>
      </c>
      <c r="CN72" s="160">
        <v>0</v>
      </c>
      <c r="CO72" s="160">
        <v>1</v>
      </c>
      <c r="CP72" s="160">
        <v>0</v>
      </c>
      <c r="CQ72" s="160">
        <v>0</v>
      </c>
      <c r="CR72" s="160">
        <v>0</v>
      </c>
      <c r="CS72" s="179">
        <v>0</v>
      </c>
      <c r="CT72" s="160">
        <v>0</v>
      </c>
      <c r="CU72" s="160">
        <v>0</v>
      </c>
      <c r="CV72" s="160">
        <v>2</v>
      </c>
      <c r="CW72" s="160">
        <v>0</v>
      </c>
      <c r="CX72" s="160">
        <v>0</v>
      </c>
      <c r="CY72" s="160">
        <v>1</v>
      </c>
      <c r="CZ72" s="160">
        <v>1</v>
      </c>
      <c r="DA72" s="160">
        <v>0</v>
      </c>
      <c r="DB72" s="160">
        <v>0</v>
      </c>
      <c r="DC72" s="160">
        <v>0</v>
      </c>
      <c r="DD72" s="160">
        <v>1</v>
      </c>
      <c r="DE72" s="160">
        <v>0</v>
      </c>
      <c r="DF72" s="160">
        <v>0</v>
      </c>
      <c r="DG72" s="160">
        <v>1</v>
      </c>
      <c r="DH72" s="160">
        <v>0</v>
      </c>
      <c r="DI72" s="160">
        <v>1</v>
      </c>
      <c r="DJ72" s="160">
        <v>0</v>
      </c>
      <c r="DK72" s="160">
        <v>1</v>
      </c>
      <c r="DL72" s="160">
        <v>1</v>
      </c>
      <c r="DM72" s="160">
        <v>0</v>
      </c>
      <c r="DN72" s="160"/>
    </row>
    <row r="73" spans="1:118" hidden="1">
      <c r="A73" s="149" t="s">
        <v>81</v>
      </c>
      <c r="B73" s="150" t="s">
        <v>38</v>
      </c>
      <c r="C73" s="151" t="s">
        <v>284</v>
      </c>
      <c r="D73" s="152"/>
      <c r="E73" s="152"/>
      <c r="F73" s="152"/>
      <c r="G73" s="152"/>
      <c r="H73" s="62">
        <f>SUBTOTAL(9,Table4[[#This Row],[BASIC]:[FOOD]])</f>
        <v>0</v>
      </c>
      <c r="I73" s="62"/>
      <c r="J73" s="62">
        <v>260</v>
      </c>
      <c r="K73" s="62">
        <v>80</v>
      </c>
      <c r="L73" s="62"/>
      <c r="M73" s="62"/>
      <c r="N73" s="62"/>
      <c r="O73" s="62">
        <f>SUBTOTAL(9,Table4[[#This Row],[ESI BASIC]:[ESI FOOD]])</f>
        <v>0</v>
      </c>
      <c r="P73" s="160"/>
      <c r="Q73" s="160"/>
      <c r="R73" s="175"/>
      <c r="S73" s="167"/>
      <c r="T73" s="10">
        <f t="shared" si="6"/>
        <v>41</v>
      </c>
      <c r="U73" s="167"/>
      <c r="V73" s="10">
        <f t="shared" si="7"/>
        <v>41</v>
      </c>
      <c r="W73" s="10">
        <f t="shared" si="8"/>
        <v>7</v>
      </c>
      <c r="X73" s="170" t="s">
        <v>153</v>
      </c>
      <c r="Y73" s="177" t="s">
        <v>192</v>
      </c>
      <c r="Z73" s="168" t="s">
        <v>153</v>
      </c>
      <c r="AA73" s="177" t="s">
        <v>153</v>
      </c>
      <c r="AB73" s="168" t="s">
        <v>192</v>
      </c>
      <c r="AC73" s="177" t="s">
        <v>153</v>
      </c>
      <c r="AD73" s="168" t="s">
        <v>153</v>
      </c>
      <c r="AE73" s="177" t="s">
        <v>192</v>
      </c>
      <c r="AF73" s="168" t="s">
        <v>153</v>
      </c>
      <c r="AG73" s="177" t="s">
        <v>153</v>
      </c>
      <c r="AH73" s="168" t="s">
        <v>192</v>
      </c>
      <c r="AI73" s="177" t="s">
        <v>153</v>
      </c>
      <c r="AJ73" s="168" t="s">
        <v>153</v>
      </c>
      <c r="AK73" s="177" t="s">
        <v>192</v>
      </c>
      <c r="AL73" s="168" t="s">
        <v>153</v>
      </c>
      <c r="AM73" s="177" t="s">
        <v>153</v>
      </c>
      <c r="AN73" s="168" t="s">
        <v>192</v>
      </c>
      <c r="AO73" s="177" t="s">
        <v>153</v>
      </c>
      <c r="AP73" s="168" t="s">
        <v>153</v>
      </c>
      <c r="AQ73" s="177" t="s">
        <v>192</v>
      </c>
      <c r="AR73" s="168" t="s">
        <v>153</v>
      </c>
      <c r="AS73" s="177" t="s">
        <v>153</v>
      </c>
      <c r="AT73" s="168" t="s">
        <v>192</v>
      </c>
      <c r="AU73" s="177" t="s">
        <v>153</v>
      </c>
      <c r="AV73" s="168" t="s">
        <v>153</v>
      </c>
      <c r="AW73" s="177" t="s">
        <v>192</v>
      </c>
      <c r="AX73" s="168" t="s">
        <v>153</v>
      </c>
      <c r="AY73" s="177" t="s">
        <v>153</v>
      </c>
      <c r="AZ73" s="168" t="s">
        <v>192</v>
      </c>
      <c r="BA73" s="177" t="s">
        <v>153</v>
      </c>
      <c r="BB73" s="168" t="s">
        <v>153</v>
      </c>
      <c r="BC73" s="177" t="s">
        <v>192</v>
      </c>
      <c r="BD73" s="168" t="s">
        <v>153</v>
      </c>
      <c r="BE73" s="177" t="s">
        <v>153</v>
      </c>
      <c r="BF73" s="168" t="s">
        <v>192</v>
      </c>
      <c r="BG73" s="177" t="s">
        <v>153</v>
      </c>
      <c r="BH73" s="168" t="s">
        <v>153</v>
      </c>
      <c r="BI73" s="177" t="s">
        <v>192</v>
      </c>
      <c r="BJ73" s="168" t="s">
        <v>153</v>
      </c>
      <c r="BK73" s="177" t="s">
        <v>153</v>
      </c>
      <c r="BL73" s="168" t="s">
        <v>192</v>
      </c>
      <c r="BM73" s="177" t="s">
        <v>153</v>
      </c>
      <c r="BN73" s="168" t="s">
        <v>153</v>
      </c>
      <c r="BO73" s="177" t="s">
        <v>192</v>
      </c>
      <c r="BP73" s="168" t="s">
        <v>153</v>
      </c>
      <c r="BQ73" s="177" t="s">
        <v>153</v>
      </c>
      <c r="BR73" s="168" t="s">
        <v>192</v>
      </c>
      <c r="BS73" s="177" t="s">
        <v>153</v>
      </c>
      <c r="BT73" s="168" t="s">
        <v>153</v>
      </c>
      <c r="BU73" s="177" t="s">
        <v>192</v>
      </c>
      <c r="BV73" s="168" t="s">
        <v>153</v>
      </c>
      <c r="BW73" s="177" t="s">
        <v>153</v>
      </c>
      <c r="BX73" s="168" t="s">
        <v>192</v>
      </c>
      <c r="BY73" s="177" t="s">
        <v>153</v>
      </c>
      <c r="BZ73" s="168" t="s">
        <v>153</v>
      </c>
      <c r="CA73" s="177" t="s">
        <v>192</v>
      </c>
      <c r="CB73" s="168" t="s">
        <v>153</v>
      </c>
      <c r="CC73" s="177" t="s">
        <v>153</v>
      </c>
      <c r="CD73" s="168" t="s">
        <v>192</v>
      </c>
      <c r="CE73" s="177" t="s">
        <v>153</v>
      </c>
      <c r="CF73" s="168" t="s">
        <v>153</v>
      </c>
      <c r="CG73" s="187" t="s">
        <v>192</v>
      </c>
      <c r="CH73" s="183"/>
      <c r="CI73" s="185">
        <v>0</v>
      </c>
      <c r="CJ73" s="160">
        <v>0</v>
      </c>
      <c r="CK73" s="160">
        <v>0</v>
      </c>
      <c r="CL73" s="160">
        <v>0</v>
      </c>
      <c r="CM73" s="160">
        <v>0</v>
      </c>
      <c r="CN73" s="160">
        <v>0</v>
      </c>
      <c r="CO73" s="160">
        <v>0</v>
      </c>
      <c r="CP73" s="160">
        <v>0</v>
      </c>
      <c r="CQ73" s="160">
        <v>0</v>
      </c>
      <c r="CR73" s="160">
        <v>0</v>
      </c>
      <c r="CS73" s="179">
        <v>1</v>
      </c>
      <c r="CT73" s="160">
        <v>0</v>
      </c>
      <c r="CU73" s="160">
        <v>0</v>
      </c>
      <c r="CV73" s="160">
        <v>4</v>
      </c>
      <c r="CW73" s="160">
        <v>0</v>
      </c>
      <c r="CX73" s="160">
        <v>0</v>
      </c>
      <c r="CY73" s="160">
        <v>0</v>
      </c>
      <c r="CZ73" s="160">
        <v>0</v>
      </c>
      <c r="DA73" s="160">
        <v>0</v>
      </c>
      <c r="DB73" s="160">
        <v>0</v>
      </c>
      <c r="DC73" s="160">
        <v>0</v>
      </c>
      <c r="DD73" s="160">
        <v>1</v>
      </c>
      <c r="DE73" s="160">
        <v>1</v>
      </c>
      <c r="DF73" s="160">
        <v>0</v>
      </c>
      <c r="DG73" s="160">
        <v>0</v>
      </c>
      <c r="DH73" s="160">
        <v>0</v>
      </c>
      <c r="DI73" s="160">
        <v>0</v>
      </c>
      <c r="DJ73" s="160">
        <v>0</v>
      </c>
      <c r="DK73" s="160">
        <v>0</v>
      </c>
      <c r="DL73" s="160">
        <v>0</v>
      </c>
      <c r="DM73" s="160">
        <v>0</v>
      </c>
      <c r="DN73" s="160"/>
    </row>
    <row r="74" spans="1:118" hidden="1">
      <c r="A74" s="149" t="s">
        <v>80</v>
      </c>
      <c r="B74" s="150" t="s">
        <v>84</v>
      </c>
      <c r="C74" s="151" t="s">
        <v>285</v>
      </c>
      <c r="D74" s="152" t="s">
        <v>396</v>
      </c>
      <c r="E74" s="152"/>
      <c r="F74" s="152"/>
      <c r="G74" s="152"/>
      <c r="H74" s="62">
        <f>SUBTOTAL(9,Table4[[#This Row],[BASIC]:[FOOD]])</f>
        <v>0</v>
      </c>
      <c r="I74" s="62">
        <v>15750</v>
      </c>
      <c r="J74" s="62"/>
      <c r="K74" s="62"/>
      <c r="L74" s="62">
        <v>11620</v>
      </c>
      <c r="M74" s="62">
        <v>2130</v>
      </c>
      <c r="N74" s="62">
        <v>2000</v>
      </c>
      <c r="O74" s="62">
        <f>SUBTOTAL(9,Table4[[#This Row],[ESI BASIC]:[ESI FOOD]])</f>
        <v>0</v>
      </c>
      <c r="P74" s="160" t="s">
        <v>370</v>
      </c>
      <c r="Q74" s="160" t="s">
        <v>372</v>
      </c>
      <c r="R74" s="246">
        <v>18232282000362</v>
      </c>
      <c r="S74" s="167"/>
      <c r="T74" s="10">
        <f t="shared" si="6"/>
        <v>24</v>
      </c>
      <c r="U74" s="167">
        <v>4</v>
      </c>
      <c r="V74" s="10">
        <f t="shared" si="7"/>
        <v>28</v>
      </c>
      <c r="W74" s="10">
        <f t="shared" si="8"/>
        <v>0</v>
      </c>
      <c r="X74" s="170" t="s">
        <v>153</v>
      </c>
      <c r="Y74" s="177" t="s">
        <v>192</v>
      </c>
      <c r="Z74" s="168" t="s">
        <v>153</v>
      </c>
      <c r="AA74" s="177" t="s">
        <v>192</v>
      </c>
      <c r="AB74" s="168" t="s">
        <v>153</v>
      </c>
      <c r="AC74" s="177" t="s">
        <v>192</v>
      </c>
      <c r="AD74" s="168" t="s">
        <v>153</v>
      </c>
      <c r="AE74" s="177" t="s">
        <v>192</v>
      </c>
      <c r="AF74" s="168" t="s">
        <v>153</v>
      </c>
      <c r="AG74" s="177" t="s">
        <v>192</v>
      </c>
      <c r="AH74" s="168" t="s">
        <v>153</v>
      </c>
      <c r="AI74" s="177" t="s">
        <v>192</v>
      </c>
      <c r="AJ74" s="168" t="s">
        <v>153</v>
      </c>
      <c r="AK74" s="177" t="s">
        <v>192</v>
      </c>
      <c r="AL74" s="168" t="s">
        <v>153</v>
      </c>
      <c r="AM74" s="177" t="s">
        <v>192</v>
      </c>
      <c r="AN74" s="168" t="s">
        <v>153</v>
      </c>
      <c r="AO74" s="177" t="s">
        <v>192</v>
      </c>
      <c r="AP74" s="168" t="s">
        <v>153</v>
      </c>
      <c r="AQ74" s="177" t="s">
        <v>192</v>
      </c>
      <c r="AR74" s="168" t="s">
        <v>153</v>
      </c>
      <c r="AS74" s="177" t="s">
        <v>192</v>
      </c>
      <c r="AT74" s="168" t="s">
        <v>153</v>
      </c>
      <c r="AU74" s="177" t="s">
        <v>192</v>
      </c>
      <c r="AV74" s="168" t="s">
        <v>153</v>
      </c>
      <c r="AW74" s="177" t="s">
        <v>192</v>
      </c>
      <c r="AX74" s="168" t="s">
        <v>153</v>
      </c>
      <c r="AY74" s="177" t="s">
        <v>192</v>
      </c>
      <c r="AZ74" s="168" t="s">
        <v>192</v>
      </c>
      <c r="BA74" s="177" t="s">
        <v>192</v>
      </c>
      <c r="BB74" s="168" t="s">
        <v>153</v>
      </c>
      <c r="BC74" s="177" t="s">
        <v>192</v>
      </c>
      <c r="BD74" s="168" t="s">
        <v>153</v>
      </c>
      <c r="BE74" s="177" t="s">
        <v>192</v>
      </c>
      <c r="BF74" s="168" t="s">
        <v>153</v>
      </c>
      <c r="BG74" s="177" t="s">
        <v>192</v>
      </c>
      <c r="BH74" s="168" t="s">
        <v>153</v>
      </c>
      <c r="BI74" s="177" t="s">
        <v>192</v>
      </c>
      <c r="BJ74" s="168" t="s">
        <v>153</v>
      </c>
      <c r="BK74" s="177" t="s">
        <v>192</v>
      </c>
      <c r="BL74" s="168" t="s">
        <v>153</v>
      </c>
      <c r="BM74" s="177" t="s">
        <v>192</v>
      </c>
      <c r="BN74" s="168" t="s">
        <v>153</v>
      </c>
      <c r="BO74" s="177" t="s">
        <v>192</v>
      </c>
      <c r="BP74" s="168" t="s">
        <v>153</v>
      </c>
      <c r="BQ74" s="177" t="s">
        <v>192</v>
      </c>
      <c r="BR74" s="168" t="s">
        <v>192</v>
      </c>
      <c r="BS74" s="177" t="s">
        <v>192</v>
      </c>
      <c r="BT74" s="168" t="s">
        <v>192</v>
      </c>
      <c r="BU74" s="177" t="s">
        <v>192</v>
      </c>
      <c r="BV74" s="168" t="s">
        <v>192</v>
      </c>
      <c r="BW74" s="177" t="s">
        <v>192</v>
      </c>
      <c r="BX74" s="168" t="s">
        <v>192</v>
      </c>
      <c r="BY74" s="177" t="s">
        <v>192</v>
      </c>
      <c r="BZ74" s="168" t="s">
        <v>192</v>
      </c>
      <c r="CA74" s="177" t="s">
        <v>192</v>
      </c>
      <c r="CB74" s="168" t="s">
        <v>192</v>
      </c>
      <c r="CC74" s="177" t="s">
        <v>192</v>
      </c>
      <c r="CD74" s="168" t="s">
        <v>153</v>
      </c>
      <c r="CE74" s="177" t="s">
        <v>192</v>
      </c>
      <c r="CF74" s="168" t="s">
        <v>153</v>
      </c>
      <c r="CG74" s="187" t="s">
        <v>192</v>
      </c>
      <c r="CH74" s="183"/>
      <c r="CI74" s="185"/>
      <c r="CJ74" s="160"/>
      <c r="CK74" s="160"/>
      <c r="CL74" s="160"/>
      <c r="CM74" s="160"/>
      <c r="CN74" s="160"/>
      <c r="CO74" s="160"/>
      <c r="CP74" s="160"/>
      <c r="CQ74" s="160"/>
      <c r="CR74" s="160"/>
      <c r="CS74" s="179"/>
      <c r="CT74" s="160"/>
      <c r="CU74" s="160"/>
      <c r="CV74" s="160"/>
      <c r="CW74" s="160"/>
      <c r="CX74" s="160"/>
      <c r="CY74" s="160"/>
      <c r="CZ74" s="160"/>
      <c r="DA74" s="160"/>
      <c r="DB74" s="160"/>
      <c r="DC74" s="160"/>
      <c r="DD74" s="160"/>
      <c r="DE74" s="160"/>
      <c r="DF74" s="160"/>
      <c r="DG74" s="160"/>
      <c r="DH74" s="160"/>
      <c r="DI74" s="160"/>
      <c r="DJ74" s="160"/>
      <c r="DK74" s="160"/>
      <c r="DL74" s="160"/>
      <c r="DM74" s="160"/>
      <c r="DN74" s="160"/>
    </row>
    <row r="75" spans="1:118" hidden="1">
      <c r="A75" s="149" t="s">
        <v>81</v>
      </c>
      <c r="B75" s="150" t="s">
        <v>38</v>
      </c>
      <c r="C75" s="151" t="s">
        <v>339</v>
      </c>
      <c r="D75" s="152"/>
      <c r="E75" s="152"/>
      <c r="F75" s="152"/>
      <c r="G75" s="152"/>
      <c r="H75" s="62">
        <f>SUBTOTAL(9,Table4[[#This Row],[BASIC]:[FOOD]])</f>
        <v>0</v>
      </c>
      <c r="I75" s="62"/>
      <c r="J75" s="62">
        <v>260</v>
      </c>
      <c r="K75" s="62">
        <v>80</v>
      </c>
      <c r="L75" s="62"/>
      <c r="M75" s="62"/>
      <c r="N75" s="62"/>
      <c r="O75" s="62">
        <f>SUBTOTAL(9,Table4[[#This Row],[ESI BASIC]:[ESI FOOD]])</f>
        <v>0</v>
      </c>
      <c r="P75" s="160"/>
      <c r="Q75" s="160"/>
      <c r="R75" s="175"/>
      <c r="S75" s="167"/>
      <c r="T75" s="10">
        <f t="shared" si="6"/>
        <v>41</v>
      </c>
      <c r="U75" s="167"/>
      <c r="V75" s="10">
        <f t="shared" si="7"/>
        <v>41</v>
      </c>
      <c r="W75" s="10">
        <f t="shared" si="8"/>
        <v>14</v>
      </c>
      <c r="X75" s="170" t="s">
        <v>153</v>
      </c>
      <c r="Y75" s="177" t="s">
        <v>192</v>
      </c>
      <c r="Z75" s="168" t="s">
        <v>153</v>
      </c>
      <c r="AA75" s="177" t="s">
        <v>153</v>
      </c>
      <c r="AB75" s="168" t="s">
        <v>192</v>
      </c>
      <c r="AC75" s="177" t="s">
        <v>153</v>
      </c>
      <c r="AD75" s="168" t="s">
        <v>153</v>
      </c>
      <c r="AE75" s="177" t="s">
        <v>192</v>
      </c>
      <c r="AF75" s="168" t="s">
        <v>153</v>
      </c>
      <c r="AG75" s="177" t="s">
        <v>153</v>
      </c>
      <c r="AH75" s="168" t="s">
        <v>192</v>
      </c>
      <c r="AI75" s="177" t="s">
        <v>153</v>
      </c>
      <c r="AJ75" s="168" t="s">
        <v>153</v>
      </c>
      <c r="AK75" s="177" t="s">
        <v>192</v>
      </c>
      <c r="AL75" s="168" t="s">
        <v>153</v>
      </c>
      <c r="AM75" s="177" t="s">
        <v>153</v>
      </c>
      <c r="AN75" s="168" t="s">
        <v>192</v>
      </c>
      <c r="AO75" s="177" t="s">
        <v>153</v>
      </c>
      <c r="AP75" s="168" t="s">
        <v>153</v>
      </c>
      <c r="AQ75" s="177" t="s">
        <v>192</v>
      </c>
      <c r="AR75" s="168" t="s">
        <v>153</v>
      </c>
      <c r="AS75" s="177" t="s">
        <v>153</v>
      </c>
      <c r="AT75" s="168" t="s">
        <v>192</v>
      </c>
      <c r="AU75" s="177" t="s">
        <v>153</v>
      </c>
      <c r="AV75" s="168" t="s">
        <v>153</v>
      </c>
      <c r="AW75" s="177" t="s">
        <v>192</v>
      </c>
      <c r="AX75" s="168" t="s">
        <v>153</v>
      </c>
      <c r="AY75" s="177" t="s">
        <v>153</v>
      </c>
      <c r="AZ75" s="168" t="s">
        <v>192</v>
      </c>
      <c r="BA75" s="177" t="s">
        <v>153</v>
      </c>
      <c r="BB75" s="168" t="s">
        <v>153</v>
      </c>
      <c r="BC75" s="177" t="s">
        <v>192</v>
      </c>
      <c r="BD75" s="168" t="s">
        <v>153</v>
      </c>
      <c r="BE75" s="177" t="s">
        <v>153</v>
      </c>
      <c r="BF75" s="168" t="s">
        <v>192</v>
      </c>
      <c r="BG75" s="177" t="s">
        <v>153</v>
      </c>
      <c r="BH75" s="168" t="s">
        <v>153</v>
      </c>
      <c r="BI75" s="177" t="s">
        <v>192</v>
      </c>
      <c r="BJ75" s="168" t="s">
        <v>153</v>
      </c>
      <c r="BK75" s="177" t="s">
        <v>153</v>
      </c>
      <c r="BL75" s="168" t="s">
        <v>192</v>
      </c>
      <c r="BM75" s="168" t="s">
        <v>153</v>
      </c>
      <c r="BN75" s="168" t="s">
        <v>153</v>
      </c>
      <c r="BO75" s="177" t="s">
        <v>192</v>
      </c>
      <c r="BP75" s="168" t="s">
        <v>153</v>
      </c>
      <c r="BQ75" s="177" t="s">
        <v>153</v>
      </c>
      <c r="BR75" s="168" t="s">
        <v>192</v>
      </c>
      <c r="BS75" s="177" t="s">
        <v>153</v>
      </c>
      <c r="BT75" s="168" t="s">
        <v>153</v>
      </c>
      <c r="BU75" s="177" t="s">
        <v>192</v>
      </c>
      <c r="BV75" s="168" t="s">
        <v>153</v>
      </c>
      <c r="BW75" s="177" t="s">
        <v>153</v>
      </c>
      <c r="BX75" s="168" t="s">
        <v>192</v>
      </c>
      <c r="BY75" s="177" t="s">
        <v>153</v>
      </c>
      <c r="BZ75" s="168" t="s">
        <v>153</v>
      </c>
      <c r="CA75" s="177" t="s">
        <v>192</v>
      </c>
      <c r="CB75" s="168" t="s">
        <v>153</v>
      </c>
      <c r="CC75" s="177" t="s">
        <v>153</v>
      </c>
      <c r="CD75" s="168" t="s">
        <v>192</v>
      </c>
      <c r="CE75" s="177" t="s">
        <v>153</v>
      </c>
      <c r="CF75" s="168" t="s">
        <v>153</v>
      </c>
      <c r="CG75" s="187" t="s">
        <v>192</v>
      </c>
      <c r="CH75" s="183"/>
      <c r="CI75" s="185">
        <v>0</v>
      </c>
      <c r="CJ75" s="160">
        <v>0</v>
      </c>
      <c r="CK75" s="160">
        <v>0</v>
      </c>
      <c r="CL75" s="160">
        <v>0</v>
      </c>
      <c r="CM75" s="179">
        <v>0</v>
      </c>
      <c r="CN75" s="160">
        <v>0</v>
      </c>
      <c r="CO75" s="160">
        <v>0</v>
      </c>
      <c r="CP75" s="160">
        <v>0</v>
      </c>
      <c r="CQ75" s="160">
        <v>3</v>
      </c>
      <c r="CR75" s="160">
        <v>0</v>
      </c>
      <c r="CS75" s="179">
        <v>0</v>
      </c>
      <c r="CT75" s="160">
        <v>1</v>
      </c>
      <c r="CU75" s="160">
        <v>0</v>
      </c>
      <c r="CV75" s="160">
        <v>3</v>
      </c>
      <c r="CW75" s="160">
        <v>0</v>
      </c>
      <c r="CX75" s="160">
        <v>1</v>
      </c>
      <c r="CY75" s="160">
        <v>0</v>
      </c>
      <c r="CZ75" s="160">
        <v>1</v>
      </c>
      <c r="DA75" s="160">
        <v>0</v>
      </c>
      <c r="DB75" s="160">
        <v>1</v>
      </c>
      <c r="DC75" s="160">
        <v>0</v>
      </c>
      <c r="DD75" s="160">
        <v>1</v>
      </c>
      <c r="DE75" s="160">
        <v>1</v>
      </c>
      <c r="DF75" s="160">
        <v>0</v>
      </c>
      <c r="DG75" s="160">
        <v>1</v>
      </c>
      <c r="DH75" s="160">
        <v>0</v>
      </c>
      <c r="DI75" s="160">
        <v>0</v>
      </c>
      <c r="DJ75" s="160">
        <v>1</v>
      </c>
      <c r="DK75" s="160">
        <v>0</v>
      </c>
      <c r="DL75" s="160">
        <v>0</v>
      </c>
      <c r="DM75" s="160">
        <v>0</v>
      </c>
      <c r="DN75" s="160"/>
    </row>
    <row r="76" spans="1:118" hidden="1">
      <c r="A76" s="149" t="s">
        <v>80</v>
      </c>
      <c r="B76" s="150" t="s">
        <v>84</v>
      </c>
      <c r="C76" s="151" t="s">
        <v>349</v>
      </c>
      <c r="D76" s="152"/>
      <c r="E76" s="152"/>
      <c r="F76" s="152"/>
      <c r="G76" s="152"/>
      <c r="H76" s="62">
        <f>SUBTOTAL(9,Table4[[#This Row],[BASIC]:[FOOD]])</f>
        <v>0</v>
      </c>
      <c r="I76" s="62">
        <v>13650</v>
      </c>
      <c r="J76" s="62"/>
      <c r="K76" s="62"/>
      <c r="L76" s="62">
        <v>10560</v>
      </c>
      <c r="M76" s="62">
        <v>2000</v>
      </c>
      <c r="N76" s="62">
        <v>1090</v>
      </c>
      <c r="O76" s="62">
        <f>SUBTOTAL(9,Table4[[#This Row],[ESI BASIC]:[ESI FOOD]])</f>
        <v>0</v>
      </c>
      <c r="P76" s="160" t="s">
        <v>398</v>
      </c>
      <c r="Q76" s="160" t="s">
        <v>399</v>
      </c>
      <c r="R76" s="246">
        <v>40569447216</v>
      </c>
      <c r="S76" s="167"/>
      <c r="T76" s="10">
        <f t="shared" si="6"/>
        <v>31</v>
      </c>
      <c r="U76" s="167">
        <v>4</v>
      </c>
      <c r="V76" s="10">
        <f t="shared" si="7"/>
        <v>35</v>
      </c>
      <c r="W76" s="10">
        <f t="shared" si="8"/>
        <v>0</v>
      </c>
      <c r="X76" s="170" t="s">
        <v>153</v>
      </c>
      <c r="Y76" s="177" t="s">
        <v>192</v>
      </c>
      <c r="Z76" s="168" t="s">
        <v>153</v>
      </c>
      <c r="AA76" s="177" t="s">
        <v>192</v>
      </c>
      <c r="AB76" s="168" t="s">
        <v>192</v>
      </c>
      <c r="AC76" s="177" t="s">
        <v>192</v>
      </c>
      <c r="AD76" s="168" t="s">
        <v>153</v>
      </c>
      <c r="AE76" s="177" t="s">
        <v>153</v>
      </c>
      <c r="AF76" s="168" t="s">
        <v>153</v>
      </c>
      <c r="AG76" s="177" t="s">
        <v>192</v>
      </c>
      <c r="AH76" s="168" t="s">
        <v>153</v>
      </c>
      <c r="AI76" s="177" t="s">
        <v>192</v>
      </c>
      <c r="AJ76" s="168" t="s">
        <v>153</v>
      </c>
      <c r="AK76" s="177" t="s">
        <v>192</v>
      </c>
      <c r="AL76" s="168" t="s">
        <v>153</v>
      </c>
      <c r="AM76" s="177" t="s">
        <v>192</v>
      </c>
      <c r="AN76" s="168" t="s">
        <v>153</v>
      </c>
      <c r="AO76" s="177" t="s">
        <v>192</v>
      </c>
      <c r="AP76" s="168" t="s">
        <v>153</v>
      </c>
      <c r="AQ76" s="177" t="s">
        <v>192</v>
      </c>
      <c r="AR76" s="168" t="s">
        <v>153</v>
      </c>
      <c r="AS76" s="177" t="s">
        <v>192</v>
      </c>
      <c r="AT76" s="168" t="s">
        <v>153</v>
      </c>
      <c r="AU76" s="177" t="s">
        <v>192</v>
      </c>
      <c r="AV76" s="168" t="s">
        <v>153</v>
      </c>
      <c r="AW76" s="177" t="s">
        <v>192</v>
      </c>
      <c r="AX76" s="168" t="s">
        <v>153</v>
      </c>
      <c r="AY76" s="177" t="s">
        <v>192</v>
      </c>
      <c r="AZ76" s="168" t="s">
        <v>153</v>
      </c>
      <c r="BA76" s="177" t="s">
        <v>192</v>
      </c>
      <c r="BB76" s="168" t="s">
        <v>153</v>
      </c>
      <c r="BC76" s="177" t="s">
        <v>192</v>
      </c>
      <c r="BD76" s="168" t="s">
        <v>153</v>
      </c>
      <c r="BE76" s="177" t="s">
        <v>192</v>
      </c>
      <c r="BF76" s="168" t="s">
        <v>153</v>
      </c>
      <c r="BG76" s="177" t="s">
        <v>192</v>
      </c>
      <c r="BH76" s="168" t="s">
        <v>153</v>
      </c>
      <c r="BI76" s="177" t="s">
        <v>192</v>
      </c>
      <c r="BJ76" s="168" t="s">
        <v>153</v>
      </c>
      <c r="BK76" s="177" t="s">
        <v>192</v>
      </c>
      <c r="BL76" s="168" t="s">
        <v>153</v>
      </c>
      <c r="BM76" s="177" t="s">
        <v>192</v>
      </c>
      <c r="BN76" s="168" t="s">
        <v>153</v>
      </c>
      <c r="BO76" s="177" t="s">
        <v>192</v>
      </c>
      <c r="BP76" s="168" t="s">
        <v>153</v>
      </c>
      <c r="BQ76" s="177" t="s">
        <v>192</v>
      </c>
      <c r="BR76" s="168" t="s">
        <v>153</v>
      </c>
      <c r="BS76" s="177" t="s">
        <v>192</v>
      </c>
      <c r="BT76" s="168" t="s">
        <v>153</v>
      </c>
      <c r="BU76" s="177" t="s">
        <v>192</v>
      </c>
      <c r="BV76" s="168" t="s">
        <v>153</v>
      </c>
      <c r="BW76" s="177" t="s">
        <v>192</v>
      </c>
      <c r="BX76" s="168" t="s">
        <v>153</v>
      </c>
      <c r="BY76" s="177" t="s">
        <v>192</v>
      </c>
      <c r="BZ76" s="168" t="s">
        <v>153</v>
      </c>
      <c r="CA76" s="177" t="s">
        <v>192</v>
      </c>
      <c r="CB76" s="168" t="s">
        <v>153</v>
      </c>
      <c r="CC76" s="177" t="s">
        <v>192</v>
      </c>
      <c r="CD76" s="168" t="s">
        <v>153</v>
      </c>
      <c r="CE76" s="177" t="s">
        <v>153</v>
      </c>
      <c r="CF76" s="168" t="s">
        <v>192</v>
      </c>
      <c r="CG76" s="187" t="s">
        <v>192</v>
      </c>
      <c r="CH76" s="183"/>
      <c r="CI76" s="185"/>
      <c r="CJ76" s="160"/>
      <c r="CK76" s="160"/>
      <c r="CL76" s="160"/>
      <c r="CM76" s="160"/>
      <c r="CN76" s="160"/>
      <c r="CO76" s="160"/>
      <c r="CP76" s="160"/>
      <c r="CQ76" s="160"/>
      <c r="CR76" s="160"/>
      <c r="CS76" s="179"/>
      <c r="CT76" s="160"/>
      <c r="CU76" s="160"/>
      <c r="CV76" s="160"/>
      <c r="CW76" s="160"/>
      <c r="CX76" s="160"/>
      <c r="CY76" s="160"/>
      <c r="CZ76" s="160"/>
      <c r="DA76" s="160"/>
      <c r="DB76" s="160"/>
      <c r="DC76" s="160"/>
      <c r="DD76" s="160"/>
      <c r="DE76" s="160"/>
      <c r="DF76" s="160"/>
      <c r="DG76" s="160"/>
      <c r="DH76" s="160"/>
      <c r="DI76" s="160"/>
      <c r="DJ76" s="160"/>
      <c r="DK76" s="160"/>
      <c r="DL76" s="160"/>
      <c r="DM76" s="160"/>
      <c r="DN76" s="160"/>
    </row>
    <row r="77" spans="1:118" hidden="1">
      <c r="A77" s="149" t="s">
        <v>81</v>
      </c>
      <c r="B77" s="150" t="s">
        <v>85</v>
      </c>
      <c r="C77" s="151" t="s">
        <v>422</v>
      </c>
      <c r="D77" s="152"/>
      <c r="E77" s="152"/>
      <c r="F77" s="152"/>
      <c r="G77" s="152"/>
      <c r="H77" s="62">
        <f>SUBTOTAL(9,Table4[[#This Row],[BASIC]:[FOOD]])</f>
        <v>0</v>
      </c>
      <c r="I77" s="62">
        <v>17900</v>
      </c>
      <c r="J77" s="62"/>
      <c r="K77" s="62"/>
      <c r="L77" s="62"/>
      <c r="M77" s="62"/>
      <c r="N77" s="62"/>
      <c r="O77" s="62"/>
      <c r="P77" s="160"/>
      <c r="Q77" s="160"/>
      <c r="R77" s="175"/>
      <c r="S77" s="167"/>
      <c r="T77" s="10">
        <f t="shared" si="6"/>
        <v>2</v>
      </c>
      <c r="U77" s="167"/>
      <c r="V77" s="10">
        <f t="shared" si="7"/>
        <v>2</v>
      </c>
      <c r="W77" s="10">
        <f t="shared" si="8"/>
        <v>0</v>
      </c>
      <c r="X77" s="168"/>
      <c r="Y77" s="168"/>
      <c r="Z77" s="170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70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 t="s">
        <v>153</v>
      </c>
      <c r="CE77" s="168" t="s">
        <v>192</v>
      </c>
      <c r="CF77" s="168" t="s">
        <v>153</v>
      </c>
      <c r="CG77" s="168" t="s">
        <v>192</v>
      </c>
      <c r="CH77" s="183"/>
      <c r="CI77" s="185"/>
      <c r="CJ77" s="160"/>
      <c r="CK77" s="160"/>
      <c r="CL77" s="160"/>
      <c r="CM77" s="160"/>
      <c r="CN77" s="160"/>
      <c r="CO77" s="160"/>
      <c r="CP77" s="160"/>
      <c r="CQ77" s="160"/>
      <c r="CR77" s="160"/>
      <c r="CS77" s="179"/>
      <c r="CT77" s="160"/>
      <c r="CU77" s="160"/>
      <c r="CV77" s="160"/>
      <c r="CW77" s="160"/>
      <c r="CX77" s="160"/>
      <c r="CY77" s="160"/>
      <c r="CZ77" s="160"/>
      <c r="DA77" s="160"/>
      <c r="DB77" s="160"/>
      <c r="DC77" s="160"/>
      <c r="DD77" s="160"/>
      <c r="DE77" s="160"/>
      <c r="DF77" s="160"/>
      <c r="DG77" s="160"/>
      <c r="DH77" s="160"/>
      <c r="DI77" s="160"/>
      <c r="DJ77" s="160"/>
      <c r="DK77" s="160"/>
      <c r="DL77" s="160"/>
      <c r="DM77" s="160"/>
      <c r="DN77" s="160"/>
    </row>
    <row r="78" spans="1:118" hidden="1">
      <c r="A78" s="149" t="s">
        <v>80</v>
      </c>
      <c r="B78" s="150" t="s">
        <v>35</v>
      </c>
      <c r="C78" s="151" t="s">
        <v>286</v>
      </c>
      <c r="D78" s="152"/>
      <c r="E78" s="152"/>
      <c r="F78" s="152"/>
      <c r="G78" s="152"/>
      <c r="H78" s="62">
        <f>SUBTOTAL(9,Table4[[#This Row],[BASIC]:[FOOD]])</f>
        <v>0</v>
      </c>
      <c r="I78" s="62"/>
      <c r="J78" s="62">
        <v>300</v>
      </c>
      <c r="K78" s="62">
        <v>185</v>
      </c>
      <c r="L78" s="62">
        <v>19000</v>
      </c>
      <c r="M78" s="62"/>
      <c r="N78" s="62"/>
      <c r="O78" s="62">
        <f>SUBTOTAL(9,Table4[[#This Row],[ESI BASIC]:[ESI FOOD]])</f>
        <v>0</v>
      </c>
      <c r="P78" s="188" t="s">
        <v>341</v>
      </c>
      <c r="Q78" s="188" t="s">
        <v>334</v>
      </c>
      <c r="R78" s="246">
        <v>438210110001543</v>
      </c>
      <c r="S78" s="167"/>
      <c r="T78" s="10">
        <f t="shared" si="6"/>
        <v>40</v>
      </c>
      <c r="U78" s="167"/>
      <c r="V78" s="10">
        <f t="shared" si="7"/>
        <v>40</v>
      </c>
      <c r="W78" s="10">
        <f t="shared" si="8"/>
        <v>8</v>
      </c>
      <c r="X78" s="170" t="s">
        <v>153</v>
      </c>
      <c r="Y78" s="177" t="s">
        <v>153</v>
      </c>
      <c r="Z78" s="168" t="s">
        <v>192</v>
      </c>
      <c r="AA78" s="177" t="s">
        <v>153</v>
      </c>
      <c r="AB78" s="168" t="s">
        <v>153</v>
      </c>
      <c r="AC78" s="177" t="s">
        <v>192</v>
      </c>
      <c r="AD78" s="168" t="s">
        <v>153</v>
      </c>
      <c r="AE78" s="177" t="s">
        <v>153</v>
      </c>
      <c r="AF78" s="168" t="s">
        <v>192</v>
      </c>
      <c r="AG78" s="177" t="s">
        <v>153</v>
      </c>
      <c r="AH78" s="168" t="s">
        <v>153</v>
      </c>
      <c r="AI78" s="177" t="s">
        <v>192</v>
      </c>
      <c r="AJ78" s="168" t="s">
        <v>153</v>
      </c>
      <c r="AK78" s="177" t="s">
        <v>153</v>
      </c>
      <c r="AL78" s="168" t="s">
        <v>192</v>
      </c>
      <c r="AM78" s="177" t="s">
        <v>153</v>
      </c>
      <c r="AN78" s="168" t="s">
        <v>192</v>
      </c>
      <c r="AO78" s="177" t="s">
        <v>192</v>
      </c>
      <c r="AP78" s="168" t="s">
        <v>153</v>
      </c>
      <c r="AQ78" s="177" t="s">
        <v>153</v>
      </c>
      <c r="AR78" s="168" t="s">
        <v>192</v>
      </c>
      <c r="AS78" s="177" t="s">
        <v>192</v>
      </c>
      <c r="AT78" s="168" t="s">
        <v>153</v>
      </c>
      <c r="AU78" s="177" t="s">
        <v>192</v>
      </c>
      <c r="AV78" s="168" t="s">
        <v>153</v>
      </c>
      <c r="AW78" s="177" t="s">
        <v>153</v>
      </c>
      <c r="AX78" s="168" t="s">
        <v>192</v>
      </c>
      <c r="AY78" s="177" t="s">
        <v>153</v>
      </c>
      <c r="AZ78" s="168" t="s">
        <v>153</v>
      </c>
      <c r="BA78" s="177" t="s">
        <v>192</v>
      </c>
      <c r="BB78" s="168" t="s">
        <v>153</v>
      </c>
      <c r="BC78" s="177" t="s">
        <v>153</v>
      </c>
      <c r="BD78" s="168" t="s">
        <v>192</v>
      </c>
      <c r="BE78" s="177" t="s">
        <v>153</v>
      </c>
      <c r="BF78" s="168" t="s">
        <v>153</v>
      </c>
      <c r="BG78" s="177" t="s">
        <v>192</v>
      </c>
      <c r="BH78" s="168" t="s">
        <v>153</v>
      </c>
      <c r="BI78" s="177" t="s">
        <v>153</v>
      </c>
      <c r="BJ78" s="168" t="s">
        <v>192</v>
      </c>
      <c r="BK78" s="177" t="s">
        <v>153</v>
      </c>
      <c r="BL78" s="168" t="s">
        <v>153</v>
      </c>
      <c r="BM78" s="177" t="s">
        <v>192</v>
      </c>
      <c r="BN78" s="168" t="s">
        <v>153</v>
      </c>
      <c r="BO78" s="177" t="s">
        <v>153</v>
      </c>
      <c r="BP78" s="168" t="s">
        <v>192</v>
      </c>
      <c r="BQ78" s="177" t="s">
        <v>153</v>
      </c>
      <c r="BR78" s="168" t="s">
        <v>153</v>
      </c>
      <c r="BS78" s="177" t="s">
        <v>192</v>
      </c>
      <c r="BT78" s="168" t="s">
        <v>153</v>
      </c>
      <c r="BU78" s="177" t="s">
        <v>153</v>
      </c>
      <c r="BV78" s="168" t="s">
        <v>192</v>
      </c>
      <c r="BW78" s="177" t="s">
        <v>153</v>
      </c>
      <c r="BX78" s="168" t="s">
        <v>153</v>
      </c>
      <c r="BY78" s="177" t="s">
        <v>192</v>
      </c>
      <c r="BZ78" s="168" t="s">
        <v>153</v>
      </c>
      <c r="CA78" s="177" t="s">
        <v>153</v>
      </c>
      <c r="CB78" s="168" t="s">
        <v>192</v>
      </c>
      <c r="CC78" s="177" t="s">
        <v>153</v>
      </c>
      <c r="CD78" s="168" t="s">
        <v>153</v>
      </c>
      <c r="CE78" s="177" t="s">
        <v>192</v>
      </c>
      <c r="CF78" s="168" t="s">
        <v>153</v>
      </c>
      <c r="CG78" s="187" t="s">
        <v>153</v>
      </c>
      <c r="CH78" s="183"/>
      <c r="CI78" s="185">
        <v>0</v>
      </c>
      <c r="CJ78" s="160">
        <v>1</v>
      </c>
      <c r="CK78" s="160">
        <v>0</v>
      </c>
      <c r="CL78" s="160">
        <v>0</v>
      </c>
      <c r="CM78" s="160">
        <v>0</v>
      </c>
      <c r="CN78" s="160">
        <v>0</v>
      </c>
      <c r="CO78" s="160">
        <v>0</v>
      </c>
      <c r="CP78" s="160">
        <v>0</v>
      </c>
      <c r="CQ78" s="160">
        <v>0</v>
      </c>
      <c r="CR78" s="160">
        <v>0</v>
      </c>
      <c r="CS78" s="179">
        <v>0</v>
      </c>
      <c r="CT78" s="160">
        <v>0</v>
      </c>
      <c r="CU78" s="160">
        <v>0</v>
      </c>
      <c r="CV78" s="160">
        <v>0</v>
      </c>
      <c r="CW78" s="160">
        <v>0</v>
      </c>
      <c r="CX78" s="160">
        <v>1</v>
      </c>
      <c r="CY78" s="160">
        <v>0</v>
      </c>
      <c r="CZ78" s="160">
        <v>1</v>
      </c>
      <c r="DA78" s="160">
        <v>0</v>
      </c>
      <c r="DB78" s="160">
        <v>0</v>
      </c>
      <c r="DC78" s="160">
        <v>0</v>
      </c>
      <c r="DD78" s="160">
        <v>1</v>
      </c>
      <c r="DE78" s="160">
        <v>0</v>
      </c>
      <c r="DF78" s="160">
        <v>0</v>
      </c>
      <c r="DG78" s="160">
        <v>1</v>
      </c>
      <c r="DH78" s="160">
        <v>0</v>
      </c>
      <c r="DI78" s="160">
        <v>2</v>
      </c>
      <c r="DJ78" s="160">
        <v>1</v>
      </c>
      <c r="DK78" s="160">
        <v>0</v>
      </c>
      <c r="DL78" s="160">
        <v>0</v>
      </c>
      <c r="DM78" s="160">
        <v>0</v>
      </c>
      <c r="DN78" s="160"/>
    </row>
    <row r="79" spans="1:118" hidden="1">
      <c r="A79" s="149"/>
      <c r="B79" s="150"/>
      <c r="C79" s="151"/>
      <c r="D79" s="152"/>
      <c r="E79" s="152"/>
      <c r="F79" s="152"/>
      <c r="G79" s="152"/>
      <c r="H79" s="62">
        <f>SUBTOTAL(9,Table4[[#This Row],[BASIC]:[FOOD]])</f>
        <v>0</v>
      </c>
      <c r="I79" s="62"/>
      <c r="J79" s="62"/>
      <c r="K79" s="62"/>
      <c r="L79" s="62"/>
      <c r="M79" s="62"/>
      <c r="N79" s="62"/>
      <c r="O79" s="62"/>
      <c r="P79" s="160"/>
      <c r="Q79" s="160"/>
      <c r="R79" s="175"/>
      <c r="S79" s="167"/>
      <c r="T79" s="10">
        <f t="shared" si="6"/>
        <v>0</v>
      </c>
      <c r="U79" s="167"/>
      <c r="V79" s="10">
        <f t="shared" si="7"/>
        <v>0</v>
      </c>
      <c r="W79" s="10">
        <f t="shared" si="8"/>
        <v>0</v>
      </c>
      <c r="X79" s="170"/>
      <c r="Y79" s="177"/>
      <c r="Z79" s="168"/>
      <c r="AA79" s="177"/>
      <c r="AB79" s="168"/>
      <c r="AC79" s="177"/>
      <c r="AD79" s="168"/>
      <c r="AE79" s="177"/>
      <c r="AF79" s="168"/>
      <c r="AG79" s="177"/>
      <c r="AH79" s="168"/>
      <c r="AI79" s="177"/>
      <c r="AJ79" s="168"/>
      <c r="AK79" s="177"/>
      <c r="AL79" s="168"/>
      <c r="AM79" s="177"/>
      <c r="AN79" s="168"/>
      <c r="AO79" s="177"/>
      <c r="AP79" s="168"/>
      <c r="AQ79" s="177"/>
      <c r="AR79" s="168"/>
      <c r="AS79" s="177"/>
      <c r="AT79" s="168"/>
      <c r="AU79" s="177"/>
      <c r="AV79" s="168"/>
      <c r="AW79" s="177"/>
      <c r="AX79" s="168"/>
      <c r="AY79" s="177"/>
      <c r="AZ79" s="168"/>
      <c r="BA79" s="177"/>
      <c r="BB79" s="168"/>
      <c r="BC79" s="177"/>
      <c r="BD79" s="168"/>
      <c r="BE79" s="177"/>
      <c r="BF79" s="168"/>
      <c r="BG79" s="177"/>
      <c r="BH79" s="168"/>
      <c r="BI79" s="177"/>
      <c r="BJ79" s="168"/>
      <c r="BK79" s="177"/>
      <c r="BL79" s="168"/>
      <c r="BM79" s="177"/>
      <c r="BN79" s="168"/>
      <c r="BO79" s="177"/>
      <c r="BP79" s="168"/>
      <c r="BQ79" s="177"/>
      <c r="BR79" s="168"/>
      <c r="BS79" s="177"/>
      <c r="BT79" s="168"/>
      <c r="BU79" s="177"/>
      <c r="BV79" s="168"/>
      <c r="BW79" s="177"/>
      <c r="BX79" s="168"/>
      <c r="BY79" s="177"/>
      <c r="BZ79" s="168"/>
      <c r="CA79" s="177"/>
      <c r="CB79" s="168"/>
      <c r="CC79" s="177"/>
      <c r="CD79" s="168"/>
      <c r="CE79" s="177"/>
      <c r="CF79" s="168"/>
      <c r="CG79" s="187"/>
      <c r="CH79" s="183"/>
      <c r="CI79" s="185"/>
      <c r="CJ79" s="160"/>
      <c r="CK79" s="160"/>
      <c r="CL79" s="160"/>
      <c r="CM79" s="160"/>
      <c r="CN79" s="160"/>
      <c r="CO79" s="160"/>
      <c r="CP79" s="160"/>
      <c r="CQ79" s="160"/>
      <c r="CR79" s="160"/>
      <c r="CS79" s="179"/>
      <c r="CT79" s="160"/>
      <c r="CU79" s="160"/>
      <c r="CV79" s="160"/>
      <c r="CW79" s="160"/>
      <c r="CX79" s="160"/>
      <c r="CY79" s="160"/>
      <c r="CZ79" s="160"/>
      <c r="DA79" s="160"/>
      <c r="DB79" s="160"/>
      <c r="DC79" s="160"/>
      <c r="DD79" s="160"/>
      <c r="DE79" s="160"/>
      <c r="DF79" s="160"/>
      <c r="DG79" s="160"/>
      <c r="DH79" s="160"/>
      <c r="DI79" s="160"/>
      <c r="DJ79" s="160"/>
      <c r="DK79" s="160"/>
      <c r="DL79" s="160"/>
      <c r="DM79" s="160"/>
      <c r="DN79" s="160"/>
    </row>
    <row r="80" spans="1:118">
      <c r="A80" s="149" t="s">
        <v>79</v>
      </c>
      <c r="B80" s="150" t="s">
        <v>83</v>
      </c>
      <c r="C80" s="151" t="s">
        <v>343</v>
      </c>
      <c r="D80" s="152" t="s">
        <v>344</v>
      </c>
      <c r="E80" s="152">
        <v>33000</v>
      </c>
      <c r="F80" s="152">
        <v>7000</v>
      </c>
      <c r="G80" s="152"/>
      <c r="H80" s="62">
        <f>SUBTOTAL(9,Table4[[#This Row],[BASIC]:[FOOD]])</f>
        <v>40000</v>
      </c>
      <c r="I80" s="62"/>
      <c r="J80" s="62"/>
      <c r="K80" s="62"/>
      <c r="L80" s="62"/>
      <c r="M80" s="62"/>
      <c r="N80" s="62"/>
      <c r="O80" s="62"/>
      <c r="P80" s="258" t="s">
        <v>310</v>
      </c>
      <c r="Q80" s="257" t="s">
        <v>345</v>
      </c>
      <c r="R80" s="246">
        <v>2130000100176180</v>
      </c>
      <c r="S80" s="167"/>
      <c r="T80" s="10">
        <f t="shared" si="6"/>
        <v>28</v>
      </c>
      <c r="U80" s="167">
        <v>3</v>
      </c>
      <c r="V80" s="10">
        <f t="shared" si="7"/>
        <v>31</v>
      </c>
      <c r="W80" s="10">
        <f t="shared" si="8"/>
        <v>0</v>
      </c>
      <c r="X80" s="168" t="s">
        <v>153</v>
      </c>
      <c r="Y80" s="168" t="s">
        <v>192</v>
      </c>
      <c r="Z80" s="170" t="s">
        <v>153</v>
      </c>
      <c r="AA80" s="168" t="s">
        <v>192</v>
      </c>
      <c r="AB80" s="168" t="s">
        <v>153</v>
      </c>
      <c r="AC80" s="168" t="s">
        <v>192</v>
      </c>
      <c r="AD80" s="168" t="s">
        <v>153</v>
      </c>
      <c r="AE80" s="168" t="s">
        <v>192</v>
      </c>
      <c r="AF80" s="168" t="s">
        <v>153</v>
      </c>
      <c r="AG80" s="168" t="s">
        <v>192</v>
      </c>
      <c r="AH80" s="168" t="s">
        <v>153</v>
      </c>
      <c r="AI80" s="168" t="s">
        <v>192</v>
      </c>
      <c r="AJ80" s="168" t="s">
        <v>153</v>
      </c>
      <c r="AK80" s="168" t="s">
        <v>192</v>
      </c>
      <c r="AL80" s="168" t="s">
        <v>153</v>
      </c>
      <c r="AM80" s="168" t="s">
        <v>192</v>
      </c>
      <c r="AN80" s="168" t="s">
        <v>153</v>
      </c>
      <c r="AO80" s="168" t="s">
        <v>192</v>
      </c>
      <c r="AP80" s="168" t="s">
        <v>153</v>
      </c>
      <c r="AQ80" s="168" t="s">
        <v>192</v>
      </c>
      <c r="AR80" s="168" t="s">
        <v>153</v>
      </c>
      <c r="AS80" s="168" t="s">
        <v>192</v>
      </c>
      <c r="AT80" s="168" t="s">
        <v>192</v>
      </c>
      <c r="AU80" s="168" t="s">
        <v>192</v>
      </c>
      <c r="AV80" s="168" t="s">
        <v>153</v>
      </c>
      <c r="AW80" s="168" t="s">
        <v>192</v>
      </c>
      <c r="AX80" s="168" t="s">
        <v>153</v>
      </c>
      <c r="AY80" s="168" t="s">
        <v>153</v>
      </c>
      <c r="AZ80" s="168" t="s">
        <v>192</v>
      </c>
      <c r="BA80" s="168" t="s">
        <v>192</v>
      </c>
      <c r="BB80" s="168" t="s">
        <v>153</v>
      </c>
      <c r="BC80" s="168" t="s">
        <v>192</v>
      </c>
      <c r="BD80" s="168" t="s">
        <v>153</v>
      </c>
      <c r="BE80" s="168" t="s">
        <v>192</v>
      </c>
      <c r="BF80" s="168" t="s">
        <v>153</v>
      </c>
      <c r="BG80" s="168" t="s">
        <v>192</v>
      </c>
      <c r="BH80" s="168" t="s">
        <v>192</v>
      </c>
      <c r="BI80" s="168" t="s">
        <v>192</v>
      </c>
      <c r="BJ80" s="168" t="s">
        <v>153</v>
      </c>
      <c r="BK80" s="168" t="s">
        <v>192</v>
      </c>
      <c r="BL80" s="168" t="s">
        <v>153</v>
      </c>
      <c r="BM80" s="168" t="s">
        <v>192</v>
      </c>
      <c r="BN80" s="168" t="s">
        <v>153</v>
      </c>
      <c r="BO80" s="168" t="s">
        <v>192</v>
      </c>
      <c r="BP80" s="168" t="s">
        <v>153</v>
      </c>
      <c r="BQ80" s="168" t="s">
        <v>192</v>
      </c>
      <c r="BR80" s="168" t="s">
        <v>153</v>
      </c>
      <c r="BS80" s="168" t="s">
        <v>192</v>
      </c>
      <c r="BT80" s="168" t="s">
        <v>153</v>
      </c>
      <c r="BU80" s="168" t="s">
        <v>192</v>
      </c>
      <c r="BV80" s="168" t="s">
        <v>192</v>
      </c>
      <c r="BW80" s="168" t="s">
        <v>192</v>
      </c>
      <c r="BX80" s="168" t="s">
        <v>153</v>
      </c>
      <c r="BY80" s="168" t="s">
        <v>192</v>
      </c>
      <c r="BZ80" s="168" t="s">
        <v>153</v>
      </c>
      <c r="CA80" s="168" t="s">
        <v>192</v>
      </c>
      <c r="CB80" s="168" t="s">
        <v>153</v>
      </c>
      <c r="CC80" s="168" t="s">
        <v>192</v>
      </c>
      <c r="CD80" s="168" t="s">
        <v>153</v>
      </c>
      <c r="CE80" s="168" t="s">
        <v>192</v>
      </c>
      <c r="CF80" s="168" t="s">
        <v>153</v>
      </c>
      <c r="CG80" s="244" t="s">
        <v>192</v>
      </c>
      <c r="CH80" s="183"/>
      <c r="CI80" s="185"/>
      <c r="CJ80" s="160"/>
      <c r="CK80" s="160"/>
      <c r="CL80" s="160"/>
      <c r="CM80" s="160"/>
      <c r="CN80" s="160"/>
      <c r="CO80" s="160"/>
      <c r="CP80" s="160"/>
      <c r="CQ80" s="160"/>
      <c r="CR80" s="160"/>
      <c r="CS80" s="179"/>
      <c r="CT80" s="160"/>
      <c r="CU80" s="160"/>
      <c r="CV80" s="160"/>
      <c r="CW80" s="160"/>
      <c r="CX80" s="160"/>
      <c r="CY80" s="160"/>
      <c r="CZ80" s="160"/>
      <c r="DA80" s="160"/>
      <c r="DB80" s="160"/>
      <c r="DC80" s="160"/>
      <c r="DD80" s="160"/>
      <c r="DE80" s="160"/>
      <c r="DF80" s="160"/>
      <c r="DG80" s="160"/>
      <c r="DH80" s="160"/>
      <c r="DI80" s="160"/>
      <c r="DJ80" s="160"/>
      <c r="DK80" s="160"/>
      <c r="DL80" s="160"/>
      <c r="DM80" s="160"/>
      <c r="DN80" s="160"/>
    </row>
    <row r="81" spans="1:118" hidden="1">
      <c r="A81" s="149" t="s">
        <v>81</v>
      </c>
      <c r="B81" s="150" t="s">
        <v>38</v>
      </c>
      <c r="C81" s="151" t="s">
        <v>287</v>
      </c>
      <c r="D81" s="152"/>
      <c r="E81" s="152"/>
      <c r="F81" s="152"/>
      <c r="G81" s="152"/>
      <c r="H81" s="62">
        <f>SUBTOTAL(9,Table4[[#This Row],[BASIC]:[FOOD]])</f>
        <v>0</v>
      </c>
      <c r="I81" s="62"/>
      <c r="J81" s="62">
        <v>260</v>
      </c>
      <c r="K81" s="62">
        <v>80</v>
      </c>
      <c r="L81" s="62"/>
      <c r="M81" s="62"/>
      <c r="N81" s="62"/>
      <c r="O81" s="62">
        <f>SUBTOTAL(9,Table4[[#This Row],[ESI BASIC]:[ESI FOOD]])</f>
        <v>0</v>
      </c>
      <c r="P81" s="160"/>
      <c r="Q81" s="160"/>
      <c r="R81" s="175"/>
      <c r="S81" s="167"/>
      <c r="T81" s="10">
        <f t="shared" si="6"/>
        <v>41</v>
      </c>
      <c r="U81" s="167"/>
      <c r="V81" s="10">
        <f t="shared" si="7"/>
        <v>41</v>
      </c>
      <c r="W81" s="10">
        <f t="shared" si="8"/>
        <v>10</v>
      </c>
      <c r="X81" s="170" t="s">
        <v>192</v>
      </c>
      <c r="Y81" s="177" t="s">
        <v>153</v>
      </c>
      <c r="Z81" s="168" t="s">
        <v>153</v>
      </c>
      <c r="AA81" s="177" t="s">
        <v>192</v>
      </c>
      <c r="AB81" s="168" t="s">
        <v>153</v>
      </c>
      <c r="AC81" s="177" t="s">
        <v>153</v>
      </c>
      <c r="AD81" s="168" t="s">
        <v>192</v>
      </c>
      <c r="AE81" s="177" t="s">
        <v>153</v>
      </c>
      <c r="AF81" s="168" t="s">
        <v>153</v>
      </c>
      <c r="AG81" s="177" t="s">
        <v>192</v>
      </c>
      <c r="AH81" s="168" t="s">
        <v>153</v>
      </c>
      <c r="AI81" s="177" t="s">
        <v>153</v>
      </c>
      <c r="AJ81" s="168" t="s">
        <v>192</v>
      </c>
      <c r="AK81" s="177" t="s">
        <v>153</v>
      </c>
      <c r="AL81" s="168" t="s">
        <v>153</v>
      </c>
      <c r="AM81" s="177" t="s">
        <v>192</v>
      </c>
      <c r="AN81" s="168" t="s">
        <v>153</v>
      </c>
      <c r="AO81" s="177" t="s">
        <v>153</v>
      </c>
      <c r="AP81" s="168" t="s">
        <v>192</v>
      </c>
      <c r="AQ81" s="177" t="s">
        <v>153</v>
      </c>
      <c r="AR81" s="168" t="s">
        <v>153</v>
      </c>
      <c r="AS81" s="177" t="s">
        <v>192</v>
      </c>
      <c r="AT81" s="168" t="s">
        <v>153</v>
      </c>
      <c r="AU81" s="177" t="s">
        <v>153</v>
      </c>
      <c r="AV81" s="168" t="s">
        <v>192</v>
      </c>
      <c r="AW81" s="177" t="s">
        <v>153</v>
      </c>
      <c r="AX81" s="168" t="s">
        <v>153</v>
      </c>
      <c r="AY81" s="177" t="s">
        <v>192</v>
      </c>
      <c r="AZ81" s="168" t="s">
        <v>153</v>
      </c>
      <c r="BA81" s="177" t="s">
        <v>153</v>
      </c>
      <c r="BB81" s="168" t="s">
        <v>192</v>
      </c>
      <c r="BC81" s="177" t="s">
        <v>153</v>
      </c>
      <c r="BD81" s="168" t="s">
        <v>153</v>
      </c>
      <c r="BE81" s="177" t="s">
        <v>192</v>
      </c>
      <c r="BF81" s="168" t="s">
        <v>153</v>
      </c>
      <c r="BG81" s="177" t="s">
        <v>153</v>
      </c>
      <c r="BH81" s="168" t="s">
        <v>192</v>
      </c>
      <c r="BI81" s="177" t="s">
        <v>153</v>
      </c>
      <c r="BJ81" s="168" t="s">
        <v>153</v>
      </c>
      <c r="BK81" s="177" t="s">
        <v>192</v>
      </c>
      <c r="BL81" s="168" t="s">
        <v>153</v>
      </c>
      <c r="BM81" s="177" t="s">
        <v>153</v>
      </c>
      <c r="BN81" s="168" t="s">
        <v>192</v>
      </c>
      <c r="BO81" s="177" t="s">
        <v>153</v>
      </c>
      <c r="BP81" s="168" t="s">
        <v>153</v>
      </c>
      <c r="BQ81" s="177" t="s">
        <v>192</v>
      </c>
      <c r="BR81" s="168" t="s">
        <v>153</v>
      </c>
      <c r="BS81" s="177" t="s">
        <v>153</v>
      </c>
      <c r="BT81" s="168" t="s">
        <v>192</v>
      </c>
      <c r="BU81" s="177" t="s">
        <v>153</v>
      </c>
      <c r="BV81" s="168" t="s">
        <v>153</v>
      </c>
      <c r="BW81" s="177" t="s">
        <v>192</v>
      </c>
      <c r="BX81" s="168" t="s">
        <v>153</v>
      </c>
      <c r="BY81" s="177" t="s">
        <v>153</v>
      </c>
      <c r="BZ81" s="168" t="s">
        <v>192</v>
      </c>
      <c r="CA81" s="177" t="s">
        <v>153</v>
      </c>
      <c r="CB81" s="168" t="s">
        <v>153</v>
      </c>
      <c r="CC81" s="177" t="s">
        <v>192</v>
      </c>
      <c r="CD81" s="168" t="s">
        <v>153</v>
      </c>
      <c r="CE81" s="177" t="s">
        <v>153</v>
      </c>
      <c r="CF81" s="168" t="s">
        <v>192</v>
      </c>
      <c r="CG81" s="187" t="s">
        <v>153</v>
      </c>
      <c r="CH81" s="183"/>
      <c r="CI81" s="185">
        <v>0</v>
      </c>
      <c r="CJ81" s="160">
        <v>0</v>
      </c>
      <c r="CK81" s="160">
        <v>0</v>
      </c>
      <c r="CL81" s="160">
        <v>0</v>
      </c>
      <c r="CM81" s="160">
        <v>0</v>
      </c>
      <c r="CN81" s="160">
        <v>0</v>
      </c>
      <c r="CO81" s="160">
        <v>1</v>
      </c>
      <c r="CP81" s="160">
        <v>0</v>
      </c>
      <c r="CQ81" s="160">
        <v>0</v>
      </c>
      <c r="CR81" s="160">
        <v>0</v>
      </c>
      <c r="CS81" s="179">
        <v>0</v>
      </c>
      <c r="CT81" s="160">
        <v>0</v>
      </c>
      <c r="CU81" s="160">
        <v>0</v>
      </c>
      <c r="CV81" s="160">
        <v>2</v>
      </c>
      <c r="CW81" s="160">
        <v>1</v>
      </c>
      <c r="CX81" s="160">
        <v>0</v>
      </c>
      <c r="CY81" s="160">
        <v>1</v>
      </c>
      <c r="CZ81" s="160">
        <v>0</v>
      </c>
      <c r="DA81" s="160">
        <v>1</v>
      </c>
      <c r="DB81" s="160">
        <v>0</v>
      </c>
      <c r="DC81" s="160">
        <v>0</v>
      </c>
      <c r="DD81" s="160">
        <v>1</v>
      </c>
      <c r="DE81" s="160">
        <v>1</v>
      </c>
      <c r="DF81" s="160">
        <v>0</v>
      </c>
      <c r="DG81" s="160">
        <v>0</v>
      </c>
      <c r="DH81" s="160">
        <v>0</v>
      </c>
      <c r="DI81" s="160">
        <v>1</v>
      </c>
      <c r="DJ81" s="160">
        <v>0</v>
      </c>
      <c r="DK81" s="160">
        <v>1</v>
      </c>
      <c r="DL81" s="160">
        <v>0</v>
      </c>
      <c r="DM81" s="160">
        <v>0</v>
      </c>
      <c r="DN81" s="160"/>
    </row>
    <row r="82" spans="1:118" hidden="1">
      <c r="A82" s="149" t="s">
        <v>81</v>
      </c>
      <c r="B82" s="150" t="s">
        <v>84</v>
      </c>
      <c r="C82" s="151" t="s">
        <v>350</v>
      </c>
      <c r="D82" s="152"/>
      <c r="E82" s="152"/>
      <c r="F82" s="152"/>
      <c r="G82" s="152"/>
      <c r="H82" s="62">
        <f>SUBTOTAL(9,Table4[[#This Row],[BASIC]:[FOOD]])</f>
        <v>0</v>
      </c>
      <c r="I82" s="62">
        <v>14700</v>
      </c>
      <c r="J82" s="62"/>
      <c r="K82" s="62"/>
      <c r="L82" s="62"/>
      <c r="M82" s="62"/>
      <c r="N82" s="62"/>
      <c r="O82" s="62">
        <f>SUBTOTAL(9,Table4[[#This Row],[ESI BASIC]:[ESI FOOD]])</f>
        <v>0</v>
      </c>
      <c r="P82" s="160"/>
      <c r="Q82" s="160"/>
      <c r="R82" s="246"/>
      <c r="S82" s="167"/>
      <c r="T82" s="10">
        <f t="shared" si="6"/>
        <v>26</v>
      </c>
      <c r="U82" s="167">
        <v>4</v>
      </c>
      <c r="V82" s="10">
        <f t="shared" si="7"/>
        <v>30</v>
      </c>
      <c r="W82" s="10">
        <f t="shared" si="8"/>
        <v>0</v>
      </c>
      <c r="X82" s="171" t="s">
        <v>153</v>
      </c>
      <c r="Y82" s="176" t="s">
        <v>192</v>
      </c>
      <c r="Z82" s="170" t="s">
        <v>153</v>
      </c>
      <c r="AA82" s="168" t="s">
        <v>192</v>
      </c>
      <c r="AB82" s="168" t="s">
        <v>153</v>
      </c>
      <c r="AC82" s="168" t="s">
        <v>192</v>
      </c>
      <c r="AD82" s="168" t="s">
        <v>153</v>
      </c>
      <c r="AE82" s="168" t="s">
        <v>192</v>
      </c>
      <c r="AF82" s="168" t="s">
        <v>192</v>
      </c>
      <c r="AG82" s="168" t="s">
        <v>192</v>
      </c>
      <c r="AH82" s="168" t="s">
        <v>153</v>
      </c>
      <c r="AI82" s="168" t="s">
        <v>192</v>
      </c>
      <c r="AJ82" s="168" t="s">
        <v>153</v>
      </c>
      <c r="AK82" s="168" t="s">
        <v>153</v>
      </c>
      <c r="AL82" s="168" t="s">
        <v>192</v>
      </c>
      <c r="AM82" s="168" t="s">
        <v>192</v>
      </c>
      <c r="AN82" s="168" t="s">
        <v>153</v>
      </c>
      <c r="AO82" s="168" t="s">
        <v>192</v>
      </c>
      <c r="AP82" s="168" t="s">
        <v>153</v>
      </c>
      <c r="AQ82" s="168" t="s">
        <v>192</v>
      </c>
      <c r="AR82" s="168" t="s">
        <v>153</v>
      </c>
      <c r="AS82" s="168" t="s">
        <v>153</v>
      </c>
      <c r="AT82" s="168" t="s">
        <v>192</v>
      </c>
      <c r="AU82" s="168" t="s">
        <v>192</v>
      </c>
      <c r="AV82" s="168" t="s">
        <v>153</v>
      </c>
      <c r="AW82" s="168" t="s">
        <v>192</v>
      </c>
      <c r="AX82" s="168" t="s">
        <v>153</v>
      </c>
      <c r="AY82" s="168" t="s">
        <v>192</v>
      </c>
      <c r="AZ82" s="168" t="s">
        <v>153</v>
      </c>
      <c r="BA82" s="168" t="s">
        <v>192</v>
      </c>
      <c r="BB82" s="168" t="s">
        <v>192</v>
      </c>
      <c r="BC82" s="177" t="s">
        <v>192</v>
      </c>
      <c r="BD82" s="168" t="s">
        <v>192</v>
      </c>
      <c r="BE82" s="177" t="s">
        <v>192</v>
      </c>
      <c r="BF82" s="168" t="s">
        <v>192</v>
      </c>
      <c r="BG82" s="177" t="s">
        <v>192</v>
      </c>
      <c r="BH82" s="168" t="s">
        <v>192</v>
      </c>
      <c r="BI82" s="177" t="s">
        <v>192</v>
      </c>
      <c r="BJ82" s="168" t="s">
        <v>192</v>
      </c>
      <c r="BK82" s="177" t="s">
        <v>153</v>
      </c>
      <c r="BL82" s="168" t="s">
        <v>153</v>
      </c>
      <c r="BM82" s="177" t="s">
        <v>192</v>
      </c>
      <c r="BN82" s="168" t="s">
        <v>153</v>
      </c>
      <c r="BO82" s="177" t="s">
        <v>192</v>
      </c>
      <c r="BP82" s="168" t="s">
        <v>153</v>
      </c>
      <c r="BQ82" s="177" t="s">
        <v>192</v>
      </c>
      <c r="BR82" s="168" t="s">
        <v>153</v>
      </c>
      <c r="BS82" s="177" t="s">
        <v>153</v>
      </c>
      <c r="BT82" s="168" t="s">
        <v>192</v>
      </c>
      <c r="BU82" s="177" t="s">
        <v>192</v>
      </c>
      <c r="BV82" s="168" t="s">
        <v>153</v>
      </c>
      <c r="BW82" s="177" t="s">
        <v>192</v>
      </c>
      <c r="BX82" s="168" t="s">
        <v>153</v>
      </c>
      <c r="BY82" s="177" t="s">
        <v>153</v>
      </c>
      <c r="BZ82" s="168" t="s">
        <v>192</v>
      </c>
      <c r="CA82" s="177" t="s">
        <v>192</v>
      </c>
      <c r="CB82" s="168" t="s">
        <v>192</v>
      </c>
      <c r="CC82" s="177" t="s">
        <v>153</v>
      </c>
      <c r="CD82" s="168" t="s">
        <v>192</v>
      </c>
      <c r="CE82" s="177" t="s">
        <v>153</v>
      </c>
      <c r="CF82" s="168" t="s">
        <v>192</v>
      </c>
      <c r="CG82" s="187" t="s">
        <v>153</v>
      </c>
      <c r="CH82" s="183"/>
      <c r="CI82" s="185"/>
      <c r="CJ82" s="160"/>
      <c r="CK82" s="160"/>
      <c r="CL82" s="160"/>
      <c r="CM82" s="160"/>
      <c r="CN82" s="160"/>
      <c r="CO82" s="160"/>
      <c r="CP82" s="160"/>
      <c r="CQ82" s="160"/>
      <c r="CR82" s="160"/>
      <c r="CS82" s="179"/>
      <c r="CT82" s="160"/>
      <c r="CU82" s="160"/>
      <c r="CV82" s="160"/>
      <c r="CW82" s="160"/>
      <c r="CX82" s="160"/>
      <c r="CY82" s="160"/>
      <c r="CZ82" s="160"/>
      <c r="DA82" s="160"/>
      <c r="DB82" s="160"/>
      <c r="DC82" s="160"/>
      <c r="DD82" s="160"/>
      <c r="DE82" s="160"/>
      <c r="DF82" s="160"/>
      <c r="DG82" s="160"/>
      <c r="DH82" s="160"/>
      <c r="DI82" s="160"/>
      <c r="DJ82" s="160"/>
      <c r="DK82" s="160"/>
      <c r="DL82" s="160"/>
      <c r="DM82" s="160"/>
      <c r="DN82" s="160"/>
    </row>
    <row r="83" spans="1:118" hidden="1">
      <c r="A83" s="149"/>
      <c r="B83" s="150"/>
      <c r="C83" s="151"/>
      <c r="D83" s="152"/>
      <c r="E83" s="152"/>
      <c r="F83" s="152"/>
      <c r="G83" s="152"/>
      <c r="H83" s="62">
        <f>SUBTOTAL(9,Table4[[#This Row],[BASIC]:[FOOD]])</f>
        <v>0</v>
      </c>
      <c r="I83" s="62"/>
      <c r="J83" s="62"/>
      <c r="K83" s="62"/>
      <c r="L83" s="62"/>
      <c r="M83" s="62"/>
      <c r="N83" s="62"/>
      <c r="O83" s="62"/>
      <c r="P83" s="160"/>
      <c r="Q83" s="160"/>
      <c r="R83" s="175"/>
      <c r="S83" s="167"/>
      <c r="T83" s="10">
        <f t="shared" si="6"/>
        <v>0</v>
      </c>
      <c r="U83" s="167"/>
      <c r="V83" s="10">
        <f t="shared" si="7"/>
        <v>0</v>
      </c>
      <c r="W83" s="10">
        <f t="shared" si="8"/>
        <v>0</v>
      </c>
      <c r="X83" s="168"/>
      <c r="Y83" s="168"/>
      <c r="Z83" s="170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70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83"/>
      <c r="CI83" s="185"/>
      <c r="CJ83" s="160"/>
      <c r="CK83" s="160"/>
      <c r="CL83" s="160"/>
      <c r="CM83" s="160"/>
      <c r="CN83" s="160"/>
      <c r="CO83" s="160"/>
      <c r="CP83" s="160"/>
      <c r="CQ83" s="160"/>
      <c r="CR83" s="160"/>
      <c r="CS83" s="179"/>
      <c r="CT83" s="160"/>
      <c r="CU83" s="160"/>
      <c r="CV83" s="160"/>
      <c r="CW83" s="160"/>
      <c r="CX83" s="160"/>
      <c r="CY83" s="160"/>
      <c r="CZ83" s="160"/>
      <c r="DA83" s="160"/>
      <c r="DB83" s="160"/>
      <c r="DC83" s="160"/>
      <c r="DD83" s="160"/>
      <c r="DE83" s="160"/>
      <c r="DF83" s="160"/>
      <c r="DG83" s="160"/>
      <c r="DH83" s="160"/>
      <c r="DI83" s="160"/>
      <c r="DJ83" s="160"/>
      <c r="DK83" s="160"/>
      <c r="DL83" s="160"/>
      <c r="DM83" s="160"/>
      <c r="DN83" s="160"/>
    </row>
    <row r="84" spans="1:118" hidden="1">
      <c r="A84" s="149"/>
      <c r="B84" s="150"/>
      <c r="C84" s="151"/>
      <c r="D84" s="152"/>
      <c r="E84" s="152"/>
      <c r="F84" s="152"/>
      <c r="G84" s="152"/>
      <c r="H84" s="62">
        <f>SUBTOTAL(9,Table4[[#This Row],[BASIC]:[FOOD]])</f>
        <v>0</v>
      </c>
      <c r="I84" s="62"/>
      <c r="J84" s="62"/>
      <c r="K84" s="62"/>
      <c r="L84" s="62"/>
      <c r="M84" s="62"/>
      <c r="N84" s="62"/>
      <c r="O84" s="62">
        <f>SUBTOTAL(9,Table4[[#This Row],[ESI BASIC]:[ESI FOOD]])</f>
        <v>0</v>
      </c>
      <c r="P84" s="160"/>
      <c r="Q84" s="160"/>
      <c r="R84" s="175"/>
      <c r="S84" s="167"/>
      <c r="T84" s="10">
        <f t="shared" ref="T84:T93" si="9">COUNTIF(X84:CG84,"P")</f>
        <v>0</v>
      </c>
      <c r="U84" s="167"/>
      <c r="V84" s="10">
        <f t="shared" ref="V84:V93" si="10">T84+U84</f>
        <v>0</v>
      </c>
      <c r="W84" s="10">
        <f t="shared" ref="W84:W93" si="11">SUM(CI84:DM84)</f>
        <v>0</v>
      </c>
      <c r="X84" s="170"/>
      <c r="Y84" s="177"/>
      <c r="Z84" s="168"/>
      <c r="AA84" s="177"/>
      <c r="AB84" s="168"/>
      <c r="AC84" s="177"/>
      <c r="AD84" s="168"/>
      <c r="AE84" s="177"/>
      <c r="AF84" s="168"/>
      <c r="AG84" s="177"/>
      <c r="AH84" s="168"/>
      <c r="AI84" s="177"/>
      <c r="AJ84" s="168"/>
      <c r="AK84" s="177"/>
      <c r="AL84" s="168"/>
      <c r="AM84" s="177"/>
      <c r="AN84" s="168"/>
      <c r="AO84" s="177"/>
      <c r="AP84" s="168"/>
      <c r="AQ84" s="177"/>
      <c r="AR84" s="168"/>
      <c r="AS84" s="177"/>
      <c r="AT84" s="168"/>
      <c r="AU84" s="177"/>
      <c r="AV84" s="168"/>
      <c r="AW84" s="177"/>
      <c r="AX84" s="168"/>
      <c r="AY84" s="177"/>
      <c r="AZ84" s="168"/>
      <c r="BA84" s="177"/>
      <c r="BB84" s="168"/>
      <c r="BC84" s="177"/>
      <c r="BD84" s="168"/>
      <c r="BE84" s="177"/>
      <c r="BF84" s="168"/>
      <c r="BG84" s="177"/>
      <c r="BH84" s="168"/>
      <c r="BI84" s="177"/>
      <c r="BJ84" s="168"/>
      <c r="BK84" s="177"/>
      <c r="BL84" s="168"/>
      <c r="BM84" s="177"/>
      <c r="BN84" s="168"/>
      <c r="BO84" s="177"/>
      <c r="BP84" s="168"/>
      <c r="BQ84" s="177"/>
      <c r="BR84" s="168"/>
      <c r="BS84" s="177"/>
      <c r="BT84" s="168"/>
      <c r="BU84" s="177"/>
      <c r="BV84" s="168"/>
      <c r="BW84" s="177"/>
      <c r="BX84" s="168"/>
      <c r="BY84" s="177"/>
      <c r="BZ84" s="168"/>
      <c r="CA84" s="177"/>
      <c r="CB84" s="168"/>
      <c r="CC84" s="177"/>
      <c r="CD84" s="168"/>
      <c r="CE84" s="177"/>
      <c r="CF84" s="168"/>
      <c r="CG84" s="187"/>
      <c r="CH84" s="183"/>
      <c r="CI84" s="185"/>
      <c r="CJ84" s="160"/>
      <c r="CK84" s="160"/>
      <c r="CL84" s="160"/>
      <c r="CM84" s="160"/>
      <c r="CN84" s="160"/>
      <c r="CO84" s="160"/>
      <c r="CP84" s="160"/>
      <c r="CQ84" s="160"/>
      <c r="CR84" s="160"/>
      <c r="CS84" s="179"/>
      <c r="CT84" s="160"/>
      <c r="CU84" s="160"/>
      <c r="CV84" s="160"/>
      <c r="CW84" s="160"/>
      <c r="CX84" s="160"/>
      <c r="CY84" s="160"/>
      <c r="CZ84" s="160"/>
      <c r="DA84" s="160"/>
      <c r="DB84" s="160"/>
      <c r="DC84" s="160"/>
      <c r="DD84" s="160"/>
      <c r="DE84" s="160"/>
      <c r="DF84" s="160"/>
      <c r="DG84" s="160"/>
      <c r="DH84" s="160"/>
      <c r="DI84" s="160"/>
      <c r="DJ84" s="160"/>
      <c r="DK84" s="160"/>
      <c r="DL84" s="160"/>
      <c r="DM84" s="160"/>
      <c r="DN84" s="160"/>
    </row>
    <row r="85" spans="1:118" hidden="1">
      <c r="A85" s="149"/>
      <c r="B85" s="150"/>
      <c r="C85" s="151"/>
      <c r="D85" s="152"/>
      <c r="E85" s="152"/>
      <c r="F85" s="152"/>
      <c r="G85" s="152"/>
      <c r="H85" s="62">
        <f>SUBTOTAL(9,Table4[[#This Row],[BASIC]:[FOOD]])</f>
        <v>0</v>
      </c>
      <c r="I85" s="62"/>
      <c r="J85" s="62"/>
      <c r="K85" s="62"/>
      <c r="L85" s="62"/>
      <c r="M85" s="62"/>
      <c r="N85" s="62"/>
      <c r="O85" s="62"/>
      <c r="P85" s="160"/>
      <c r="Q85" s="160"/>
      <c r="R85" s="175"/>
      <c r="S85" s="167"/>
      <c r="T85" s="10">
        <f t="shared" si="9"/>
        <v>0</v>
      </c>
      <c r="U85" s="167"/>
      <c r="V85" s="10">
        <f t="shared" si="10"/>
        <v>0</v>
      </c>
      <c r="W85" s="10">
        <f t="shared" si="11"/>
        <v>0</v>
      </c>
      <c r="X85" s="170"/>
      <c r="Y85" s="177"/>
      <c r="Z85" s="168"/>
      <c r="AA85" s="177"/>
      <c r="AB85" s="168"/>
      <c r="AC85" s="177"/>
      <c r="AD85" s="168"/>
      <c r="AE85" s="177"/>
      <c r="AF85" s="168"/>
      <c r="AG85" s="177"/>
      <c r="AH85" s="168"/>
      <c r="AI85" s="177"/>
      <c r="AJ85" s="168"/>
      <c r="AK85" s="177"/>
      <c r="AL85" s="168"/>
      <c r="AM85" s="177"/>
      <c r="AN85" s="168"/>
      <c r="AO85" s="177"/>
      <c r="AP85" s="168"/>
      <c r="AQ85" s="177"/>
      <c r="AR85" s="168"/>
      <c r="AS85" s="177"/>
      <c r="AT85" s="168"/>
      <c r="AU85" s="177"/>
      <c r="AV85" s="168"/>
      <c r="AW85" s="177"/>
      <c r="AX85" s="168"/>
      <c r="AY85" s="177"/>
      <c r="AZ85" s="168"/>
      <c r="BA85" s="177"/>
      <c r="BB85" s="168"/>
      <c r="BC85" s="177"/>
      <c r="BD85" s="168"/>
      <c r="BE85" s="177"/>
      <c r="BF85" s="168"/>
      <c r="BG85" s="177"/>
      <c r="BH85" s="168"/>
      <c r="BI85" s="177"/>
      <c r="BJ85" s="168"/>
      <c r="BK85" s="177"/>
      <c r="BL85" s="168"/>
      <c r="BM85" s="177"/>
      <c r="BN85" s="168"/>
      <c r="BO85" s="177"/>
      <c r="BP85" s="168"/>
      <c r="BQ85" s="177"/>
      <c r="BR85" s="168"/>
      <c r="BS85" s="177"/>
      <c r="BT85" s="168"/>
      <c r="BU85" s="177"/>
      <c r="BV85" s="168"/>
      <c r="BW85" s="177"/>
      <c r="BX85" s="168"/>
      <c r="BY85" s="177"/>
      <c r="BZ85" s="168"/>
      <c r="CA85" s="177"/>
      <c r="CB85" s="168"/>
      <c r="CC85" s="177"/>
      <c r="CD85" s="168"/>
      <c r="CE85" s="177"/>
      <c r="CF85" s="168"/>
      <c r="CG85" s="187"/>
      <c r="CH85" s="183"/>
      <c r="CI85" s="185"/>
      <c r="CJ85" s="160"/>
      <c r="CK85" s="160"/>
      <c r="CL85" s="160"/>
      <c r="CM85" s="160"/>
      <c r="CN85" s="160"/>
      <c r="CO85" s="160"/>
      <c r="CP85" s="160"/>
      <c r="CQ85" s="160"/>
      <c r="CR85" s="160"/>
      <c r="CS85" s="179"/>
      <c r="CT85" s="160"/>
      <c r="CU85" s="160"/>
      <c r="CV85" s="160"/>
      <c r="CW85" s="160"/>
      <c r="CX85" s="160"/>
      <c r="CY85" s="160"/>
      <c r="CZ85" s="160"/>
      <c r="DA85" s="160"/>
      <c r="DB85" s="160"/>
      <c r="DC85" s="160"/>
      <c r="DD85" s="160"/>
      <c r="DE85" s="160"/>
      <c r="DF85" s="160"/>
      <c r="DG85" s="160"/>
      <c r="DH85" s="160"/>
      <c r="DI85" s="160"/>
      <c r="DJ85" s="160"/>
      <c r="DK85" s="160"/>
      <c r="DL85" s="160"/>
      <c r="DM85" s="160"/>
      <c r="DN85" s="160"/>
    </row>
    <row r="86" spans="1:118">
      <c r="A86" s="149" t="s">
        <v>79</v>
      </c>
      <c r="B86" s="150" t="s">
        <v>83</v>
      </c>
      <c r="C86" s="151" t="s">
        <v>363</v>
      </c>
      <c r="D86" s="152" t="s">
        <v>385</v>
      </c>
      <c r="E86" s="152">
        <v>10560</v>
      </c>
      <c r="F86" s="152">
        <v>3940</v>
      </c>
      <c r="G86" s="152">
        <v>2000</v>
      </c>
      <c r="H86" s="62">
        <f>SUBTOTAL(9,Table4[[#This Row],[BASIC]:[FOOD]])</f>
        <v>16500</v>
      </c>
      <c r="I86" s="62"/>
      <c r="J86" s="62"/>
      <c r="K86" s="62"/>
      <c r="L86" s="62"/>
      <c r="M86" s="62"/>
      <c r="N86" s="62"/>
      <c r="O86" s="62"/>
      <c r="P86" s="262" t="s">
        <v>360</v>
      </c>
      <c r="Q86" s="262" t="s">
        <v>359</v>
      </c>
      <c r="R86" s="246">
        <v>4449590771</v>
      </c>
      <c r="S86" s="167"/>
      <c r="T86" s="10">
        <f t="shared" si="9"/>
        <v>26</v>
      </c>
      <c r="U86" s="167">
        <v>4</v>
      </c>
      <c r="V86" s="10">
        <f t="shared" si="10"/>
        <v>30</v>
      </c>
      <c r="W86" s="10">
        <f t="shared" si="11"/>
        <v>0</v>
      </c>
      <c r="X86" s="168" t="s">
        <v>153</v>
      </c>
      <c r="Y86" s="168" t="s">
        <v>192</v>
      </c>
      <c r="Z86" s="170" t="s">
        <v>153</v>
      </c>
      <c r="AA86" s="168" t="s">
        <v>192</v>
      </c>
      <c r="AB86" s="168" t="s">
        <v>192</v>
      </c>
      <c r="AC86" s="168" t="s">
        <v>192</v>
      </c>
      <c r="AD86" s="168" t="s">
        <v>153</v>
      </c>
      <c r="AE86" s="168" t="s">
        <v>192</v>
      </c>
      <c r="AF86" s="168" t="s">
        <v>153</v>
      </c>
      <c r="AG86" s="168" t="s">
        <v>192</v>
      </c>
      <c r="AH86" s="168" t="s">
        <v>153</v>
      </c>
      <c r="AI86" s="168" t="s">
        <v>192</v>
      </c>
      <c r="AJ86" s="168" t="s">
        <v>153</v>
      </c>
      <c r="AK86" s="168" t="s">
        <v>192</v>
      </c>
      <c r="AL86" s="168" t="s">
        <v>153</v>
      </c>
      <c r="AM86" s="168" t="s">
        <v>192</v>
      </c>
      <c r="AN86" s="168" t="s">
        <v>192</v>
      </c>
      <c r="AO86" s="168" t="s">
        <v>192</v>
      </c>
      <c r="AP86" s="168" t="s">
        <v>153</v>
      </c>
      <c r="AQ86" s="168" t="s">
        <v>192</v>
      </c>
      <c r="AR86" s="168" t="s">
        <v>153</v>
      </c>
      <c r="AS86" s="168" t="s">
        <v>192</v>
      </c>
      <c r="AT86" s="168" t="s">
        <v>153</v>
      </c>
      <c r="AU86" s="168" t="s">
        <v>192</v>
      </c>
      <c r="AV86" s="168" t="s">
        <v>153</v>
      </c>
      <c r="AW86" s="168" t="s">
        <v>192</v>
      </c>
      <c r="AX86" s="168" t="s">
        <v>153</v>
      </c>
      <c r="AY86" s="168" t="s">
        <v>192</v>
      </c>
      <c r="AZ86" s="168" t="s">
        <v>153</v>
      </c>
      <c r="BA86" s="168" t="s">
        <v>192</v>
      </c>
      <c r="BB86" s="168" t="s">
        <v>153</v>
      </c>
      <c r="BC86" s="168" t="s">
        <v>192</v>
      </c>
      <c r="BD86" s="168" t="s">
        <v>192</v>
      </c>
      <c r="BE86" s="168" t="s">
        <v>192</v>
      </c>
      <c r="BF86" s="168" t="s">
        <v>192</v>
      </c>
      <c r="BG86" s="168" t="s">
        <v>192</v>
      </c>
      <c r="BH86" s="168" t="s">
        <v>153</v>
      </c>
      <c r="BI86" s="168" t="s">
        <v>192</v>
      </c>
      <c r="BJ86" s="168" t="s">
        <v>153</v>
      </c>
      <c r="BK86" s="168" t="s">
        <v>192</v>
      </c>
      <c r="BL86" s="168" t="s">
        <v>153</v>
      </c>
      <c r="BM86" s="168" t="s">
        <v>192</v>
      </c>
      <c r="BN86" s="168" t="s">
        <v>153</v>
      </c>
      <c r="BO86" s="168" t="s">
        <v>192</v>
      </c>
      <c r="BP86" s="168" t="s">
        <v>192</v>
      </c>
      <c r="BQ86" s="168" t="s">
        <v>192</v>
      </c>
      <c r="BR86" s="168" t="s">
        <v>153</v>
      </c>
      <c r="BS86" s="168" t="s">
        <v>192</v>
      </c>
      <c r="BT86" s="168" t="s">
        <v>153</v>
      </c>
      <c r="BU86" s="168" t="s">
        <v>192</v>
      </c>
      <c r="BV86" s="168" t="s">
        <v>153</v>
      </c>
      <c r="BW86" s="168" t="s">
        <v>192</v>
      </c>
      <c r="BX86" s="168" t="s">
        <v>153</v>
      </c>
      <c r="BY86" s="168" t="s">
        <v>192</v>
      </c>
      <c r="BZ86" s="168" t="s">
        <v>153</v>
      </c>
      <c r="CA86" s="168" t="s">
        <v>192</v>
      </c>
      <c r="CB86" s="168" t="s">
        <v>153</v>
      </c>
      <c r="CC86" s="168" t="s">
        <v>192</v>
      </c>
      <c r="CD86" s="168" t="s">
        <v>153</v>
      </c>
      <c r="CE86" s="168" t="s">
        <v>192</v>
      </c>
      <c r="CF86" s="168" t="s">
        <v>153</v>
      </c>
      <c r="CG86" s="244" t="s">
        <v>192</v>
      </c>
      <c r="CH86" s="183"/>
      <c r="CI86" s="185"/>
      <c r="CJ86" s="160"/>
      <c r="CK86" s="160"/>
      <c r="CL86" s="160"/>
      <c r="CM86" s="160"/>
      <c r="CN86" s="160"/>
      <c r="CO86" s="160"/>
      <c r="CP86" s="160"/>
      <c r="CQ86" s="160"/>
      <c r="CR86" s="160"/>
      <c r="CS86" s="179"/>
      <c r="CT86" s="160"/>
      <c r="CU86" s="160"/>
      <c r="CV86" s="160"/>
      <c r="CW86" s="160"/>
      <c r="CX86" s="160"/>
      <c r="CY86" s="160"/>
      <c r="CZ86" s="160"/>
      <c r="DA86" s="160"/>
      <c r="DB86" s="160"/>
      <c r="DC86" s="160"/>
      <c r="DD86" s="160"/>
      <c r="DE86" s="160"/>
      <c r="DF86" s="160"/>
      <c r="DG86" s="160"/>
      <c r="DH86" s="160"/>
      <c r="DI86" s="160"/>
      <c r="DJ86" s="160"/>
      <c r="DK86" s="160"/>
      <c r="DL86" s="160"/>
      <c r="DM86" s="160"/>
      <c r="DN86" s="160"/>
    </row>
    <row r="87" spans="1:118" hidden="1">
      <c r="A87" s="149"/>
      <c r="B87" s="150"/>
      <c r="C87" s="151"/>
      <c r="D87" s="152"/>
      <c r="E87" s="152"/>
      <c r="F87" s="152"/>
      <c r="G87" s="152"/>
      <c r="H87" s="62">
        <f>SUBTOTAL(9,Table4[[#This Row],[BASIC]:[FOOD]])</f>
        <v>0</v>
      </c>
      <c r="I87" s="62"/>
      <c r="J87" s="62"/>
      <c r="K87" s="62"/>
      <c r="L87" s="62"/>
      <c r="M87" s="62"/>
      <c r="N87" s="62"/>
      <c r="O87" s="62">
        <f>SUBTOTAL(9,Table4[[#This Row],[ESI BASIC]:[ESI FOOD]])</f>
        <v>0</v>
      </c>
      <c r="P87" s="160"/>
      <c r="Q87" s="160"/>
      <c r="R87" s="175"/>
      <c r="S87" s="167"/>
      <c r="T87" s="10">
        <f t="shared" si="9"/>
        <v>0</v>
      </c>
      <c r="U87" s="167">
        <v>3</v>
      </c>
      <c r="V87" s="10">
        <f t="shared" si="10"/>
        <v>3</v>
      </c>
      <c r="W87" s="10">
        <f t="shared" si="11"/>
        <v>0</v>
      </c>
      <c r="X87" s="170"/>
      <c r="Y87" s="177"/>
      <c r="Z87" s="168"/>
      <c r="AA87" s="177"/>
      <c r="AB87" s="168"/>
      <c r="AC87" s="177"/>
      <c r="AD87" s="168"/>
      <c r="AE87" s="177"/>
      <c r="AF87" s="168"/>
      <c r="AG87" s="177"/>
      <c r="AH87" s="168"/>
      <c r="AI87" s="177"/>
      <c r="AJ87" s="168"/>
      <c r="AK87" s="177"/>
      <c r="AL87" s="168"/>
      <c r="AM87" s="177"/>
      <c r="AN87" s="168"/>
      <c r="AO87" s="177"/>
      <c r="AP87" s="168"/>
      <c r="AQ87" s="177"/>
      <c r="AR87" s="168"/>
      <c r="AS87" s="177"/>
      <c r="AT87" s="168"/>
      <c r="AU87" s="177"/>
      <c r="AV87" s="168"/>
      <c r="AW87" s="177"/>
      <c r="AX87" s="168"/>
      <c r="AY87" s="177"/>
      <c r="AZ87" s="168"/>
      <c r="BA87" s="177"/>
      <c r="BB87" s="168"/>
      <c r="BC87" s="177"/>
      <c r="BD87" s="168"/>
      <c r="BE87" s="177"/>
      <c r="BF87" s="168"/>
      <c r="BG87" s="177"/>
      <c r="BH87" s="168"/>
      <c r="BI87" s="177"/>
      <c r="BJ87" s="168"/>
      <c r="BK87" s="177"/>
      <c r="BL87" s="168"/>
      <c r="BM87" s="177"/>
      <c r="BN87" s="168"/>
      <c r="BO87" s="177"/>
      <c r="BP87" s="168"/>
      <c r="BQ87" s="177"/>
      <c r="BR87" s="168"/>
      <c r="BS87" s="177"/>
      <c r="BT87" s="168"/>
      <c r="BU87" s="177"/>
      <c r="BV87" s="168"/>
      <c r="BW87" s="177"/>
      <c r="BX87" s="168"/>
      <c r="BY87" s="177"/>
      <c r="BZ87" s="168"/>
      <c r="CA87" s="177"/>
      <c r="CB87" s="168"/>
      <c r="CC87" s="177"/>
      <c r="CD87" s="168"/>
      <c r="CE87" s="177"/>
      <c r="CF87" s="168"/>
      <c r="CG87" s="187"/>
      <c r="CH87" s="183"/>
      <c r="CI87" s="185"/>
      <c r="CJ87" s="160"/>
      <c r="CK87" s="160"/>
      <c r="CL87" s="160"/>
      <c r="CM87" s="160"/>
      <c r="CN87" s="160"/>
      <c r="CO87" s="160"/>
      <c r="CP87" s="160"/>
      <c r="CQ87" s="160"/>
      <c r="CR87" s="160"/>
      <c r="CS87" s="179"/>
      <c r="CT87" s="160"/>
      <c r="CU87" s="160"/>
      <c r="CV87" s="160"/>
      <c r="CW87" s="160"/>
      <c r="CX87" s="160"/>
      <c r="CY87" s="160"/>
      <c r="CZ87" s="160"/>
      <c r="DA87" s="160"/>
      <c r="DB87" s="160"/>
      <c r="DC87" s="160"/>
      <c r="DD87" s="160"/>
      <c r="DE87" s="160"/>
      <c r="DF87" s="160"/>
      <c r="DG87" s="160"/>
      <c r="DH87" s="160"/>
      <c r="DI87" s="160"/>
      <c r="DJ87" s="160"/>
      <c r="DK87" s="160"/>
      <c r="DL87" s="160"/>
      <c r="DM87" s="160"/>
      <c r="DN87" s="160"/>
    </row>
    <row r="88" spans="1:118" hidden="1">
      <c r="A88" s="149" t="s">
        <v>80</v>
      </c>
      <c r="B88" s="150" t="s">
        <v>84</v>
      </c>
      <c r="C88" s="151" t="s">
        <v>352</v>
      </c>
      <c r="D88" s="152"/>
      <c r="E88" s="152"/>
      <c r="F88" s="152"/>
      <c r="G88" s="152"/>
      <c r="H88" s="62">
        <f>SUBTOTAL(9,Table4[[#This Row],[BASIC]:[FOOD]])</f>
        <v>0</v>
      </c>
      <c r="I88" s="62">
        <v>12600</v>
      </c>
      <c r="J88" s="62"/>
      <c r="K88" s="62"/>
      <c r="L88" s="62">
        <v>10560</v>
      </c>
      <c r="M88" s="62">
        <v>1040</v>
      </c>
      <c r="N88" s="62">
        <v>1000</v>
      </c>
      <c r="O88" s="62">
        <f>SUBTOTAL(9,Table4[[#This Row],[ESI BASIC]:[ESI FOOD]])</f>
        <v>0</v>
      </c>
      <c r="P88" s="188" t="s">
        <v>348</v>
      </c>
      <c r="Q88" s="188" t="s">
        <v>400</v>
      </c>
      <c r="R88" s="246">
        <v>59290100005279</v>
      </c>
      <c r="S88" s="167"/>
      <c r="T88" s="10">
        <f t="shared" si="9"/>
        <v>26</v>
      </c>
      <c r="U88" s="167">
        <v>4</v>
      </c>
      <c r="V88" s="10">
        <f t="shared" si="10"/>
        <v>30</v>
      </c>
      <c r="W88" s="10">
        <f t="shared" si="11"/>
        <v>0</v>
      </c>
      <c r="X88" s="170" t="s">
        <v>153</v>
      </c>
      <c r="Y88" s="177" t="s">
        <v>192</v>
      </c>
      <c r="Z88" s="168" t="s">
        <v>153</v>
      </c>
      <c r="AA88" s="177" t="s">
        <v>192</v>
      </c>
      <c r="AB88" s="168" t="s">
        <v>153</v>
      </c>
      <c r="AC88" s="177" t="s">
        <v>192</v>
      </c>
      <c r="AD88" s="168" t="s">
        <v>153</v>
      </c>
      <c r="AE88" s="177" t="s">
        <v>192</v>
      </c>
      <c r="AF88" s="168" t="s">
        <v>153</v>
      </c>
      <c r="AG88" s="177" t="s">
        <v>192</v>
      </c>
      <c r="AH88" s="168" t="s">
        <v>153</v>
      </c>
      <c r="AI88" s="177" t="s">
        <v>192</v>
      </c>
      <c r="AJ88" s="168" t="s">
        <v>153</v>
      </c>
      <c r="AK88" s="177" t="s">
        <v>192</v>
      </c>
      <c r="AL88" s="168" t="s">
        <v>153</v>
      </c>
      <c r="AM88" s="177" t="s">
        <v>192</v>
      </c>
      <c r="AN88" s="168" t="s">
        <v>153</v>
      </c>
      <c r="AO88" s="177" t="s">
        <v>192</v>
      </c>
      <c r="AP88" s="168" t="s">
        <v>153</v>
      </c>
      <c r="AQ88" s="177" t="s">
        <v>192</v>
      </c>
      <c r="AR88" s="168" t="s">
        <v>153</v>
      </c>
      <c r="AS88" s="177" t="s">
        <v>192</v>
      </c>
      <c r="AT88" s="168" t="s">
        <v>153</v>
      </c>
      <c r="AU88" s="177" t="s">
        <v>192</v>
      </c>
      <c r="AV88" s="168" t="s">
        <v>192</v>
      </c>
      <c r="AW88" s="177" t="s">
        <v>153</v>
      </c>
      <c r="AX88" s="168" t="s">
        <v>192</v>
      </c>
      <c r="AY88" s="177" t="s">
        <v>153</v>
      </c>
      <c r="AZ88" s="168" t="s">
        <v>192</v>
      </c>
      <c r="BA88" s="177" t="s">
        <v>153</v>
      </c>
      <c r="BB88" s="168" t="s">
        <v>192</v>
      </c>
      <c r="BC88" s="177" t="s">
        <v>153</v>
      </c>
      <c r="BD88" s="168" t="s">
        <v>192</v>
      </c>
      <c r="BE88" s="177" t="s">
        <v>153</v>
      </c>
      <c r="BF88" s="168" t="s">
        <v>192</v>
      </c>
      <c r="BG88" s="177" t="s">
        <v>153</v>
      </c>
      <c r="BH88" s="168" t="s">
        <v>153</v>
      </c>
      <c r="BI88" s="177" t="s">
        <v>192</v>
      </c>
      <c r="BJ88" s="168" t="s">
        <v>192</v>
      </c>
      <c r="BK88" s="177" t="s">
        <v>192</v>
      </c>
      <c r="BL88" s="168" t="s">
        <v>192</v>
      </c>
      <c r="BM88" s="177" t="s">
        <v>192</v>
      </c>
      <c r="BN88" s="168" t="s">
        <v>192</v>
      </c>
      <c r="BO88" s="177" t="s">
        <v>192</v>
      </c>
      <c r="BP88" s="168" t="s">
        <v>192</v>
      </c>
      <c r="BQ88" s="177" t="s">
        <v>192</v>
      </c>
      <c r="BR88" s="168" t="s">
        <v>192</v>
      </c>
      <c r="BS88" s="177" t="s">
        <v>192</v>
      </c>
      <c r="BT88" s="168" t="s">
        <v>192</v>
      </c>
      <c r="BU88" s="177" t="s">
        <v>192</v>
      </c>
      <c r="BV88" s="168" t="s">
        <v>153</v>
      </c>
      <c r="BW88" s="177" t="s">
        <v>192</v>
      </c>
      <c r="BX88" s="168" t="s">
        <v>153</v>
      </c>
      <c r="BY88" s="177" t="s">
        <v>192</v>
      </c>
      <c r="BZ88" s="168" t="s">
        <v>153</v>
      </c>
      <c r="CA88" s="177" t="s">
        <v>192</v>
      </c>
      <c r="CB88" s="168" t="s">
        <v>153</v>
      </c>
      <c r="CC88" s="177" t="s">
        <v>153</v>
      </c>
      <c r="CD88" s="168" t="s">
        <v>192</v>
      </c>
      <c r="CE88" s="177" t="s">
        <v>153</v>
      </c>
      <c r="CF88" s="168" t="s">
        <v>153</v>
      </c>
      <c r="CG88" s="187" t="s">
        <v>192</v>
      </c>
      <c r="CH88" s="183"/>
      <c r="CI88" s="185"/>
      <c r="CJ88" s="160"/>
      <c r="CK88" s="160"/>
      <c r="CL88" s="160"/>
      <c r="CM88" s="160"/>
      <c r="CN88" s="160"/>
      <c r="CO88" s="160"/>
      <c r="CP88" s="160"/>
      <c r="CQ88" s="160"/>
      <c r="CR88" s="160"/>
      <c r="CS88" s="179"/>
      <c r="CT88" s="160"/>
      <c r="CU88" s="160"/>
      <c r="CV88" s="160"/>
      <c r="CW88" s="160"/>
      <c r="CX88" s="160"/>
      <c r="CY88" s="160"/>
      <c r="CZ88" s="160"/>
      <c r="DA88" s="160"/>
      <c r="DB88" s="160"/>
      <c r="DC88" s="160"/>
      <c r="DD88" s="160"/>
      <c r="DE88" s="160"/>
      <c r="DF88" s="160"/>
      <c r="DG88" s="160"/>
      <c r="DH88" s="160"/>
      <c r="DI88" s="160"/>
      <c r="DJ88" s="160"/>
      <c r="DK88" s="160"/>
      <c r="DL88" s="160"/>
      <c r="DM88" s="160"/>
      <c r="DN88" s="160"/>
    </row>
    <row r="89" spans="1:118" hidden="1">
      <c r="A89" s="149" t="s">
        <v>80</v>
      </c>
      <c r="B89" s="150" t="s">
        <v>84</v>
      </c>
      <c r="C89" s="151" t="s">
        <v>416</v>
      </c>
      <c r="D89" s="152" t="s">
        <v>340</v>
      </c>
      <c r="E89" s="152"/>
      <c r="F89" s="152"/>
      <c r="G89" s="152"/>
      <c r="H89" s="62">
        <f>SUBTOTAL(9,Table4[[#This Row],[BASIC]:[FOOD]])</f>
        <v>0</v>
      </c>
      <c r="I89" s="62">
        <v>18500</v>
      </c>
      <c r="J89" s="62"/>
      <c r="K89" s="62"/>
      <c r="L89" s="62">
        <v>11620</v>
      </c>
      <c r="M89" s="62">
        <v>4000</v>
      </c>
      <c r="N89" s="62">
        <v>2880</v>
      </c>
      <c r="O89" s="62">
        <f>SUBTOTAL(9,Table4[[#This Row],[ESI BASIC]:[ESI FOOD]])</f>
        <v>0</v>
      </c>
      <c r="P89" s="188" t="s">
        <v>341</v>
      </c>
      <c r="Q89" s="188" t="s">
        <v>334</v>
      </c>
      <c r="R89" s="246">
        <v>438210110009816</v>
      </c>
      <c r="S89" s="167"/>
      <c r="T89" s="10">
        <f t="shared" si="9"/>
        <v>22</v>
      </c>
      <c r="U89" s="167">
        <v>3</v>
      </c>
      <c r="V89" s="10">
        <f t="shared" si="10"/>
        <v>25</v>
      </c>
      <c r="W89" s="10">
        <f t="shared" si="11"/>
        <v>0</v>
      </c>
      <c r="X89" s="170" t="s">
        <v>153</v>
      </c>
      <c r="Y89" s="177" t="s">
        <v>192</v>
      </c>
      <c r="Z89" s="168" t="s">
        <v>153</v>
      </c>
      <c r="AA89" s="177" t="s">
        <v>192</v>
      </c>
      <c r="AB89" s="168" t="s">
        <v>153</v>
      </c>
      <c r="AC89" s="177" t="s">
        <v>192</v>
      </c>
      <c r="AD89" s="168" t="s">
        <v>192</v>
      </c>
      <c r="AE89" s="177" t="s">
        <v>192</v>
      </c>
      <c r="AF89" s="168" t="s">
        <v>153</v>
      </c>
      <c r="AG89" s="177" t="s">
        <v>192</v>
      </c>
      <c r="AH89" s="168" t="s">
        <v>153</v>
      </c>
      <c r="AI89" s="177" t="s">
        <v>192</v>
      </c>
      <c r="AJ89" s="168" t="s">
        <v>153</v>
      </c>
      <c r="AK89" s="177" t="s">
        <v>192</v>
      </c>
      <c r="AL89" s="168" t="s">
        <v>153</v>
      </c>
      <c r="AM89" s="177" t="s">
        <v>192</v>
      </c>
      <c r="AN89" s="168" t="s">
        <v>153</v>
      </c>
      <c r="AO89" s="177" t="s">
        <v>192</v>
      </c>
      <c r="AP89" s="168" t="s">
        <v>192</v>
      </c>
      <c r="AQ89" s="177" t="s">
        <v>192</v>
      </c>
      <c r="AR89" s="168" t="s">
        <v>153</v>
      </c>
      <c r="AS89" s="177" t="s">
        <v>192</v>
      </c>
      <c r="AT89" s="168" t="s">
        <v>153</v>
      </c>
      <c r="AU89" s="177" t="s">
        <v>192</v>
      </c>
      <c r="AV89" s="168" t="s">
        <v>192</v>
      </c>
      <c r="AW89" s="177" t="s">
        <v>153</v>
      </c>
      <c r="AX89" s="168" t="s">
        <v>192</v>
      </c>
      <c r="AY89" s="177" t="s">
        <v>153</v>
      </c>
      <c r="AZ89" s="168" t="s">
        <v>192</v>
      </c>
      <c r="BA89" s="177" t="s">
        <v>153</v>
      </c>
      <c r="BB89" s="168" t="s">
        <v>192</v>
      </c>
      <c r="BC89" s="177" t="s">
        <v>153</v>
      </c>
      <c r="BD89" s="168" t="s">
        <v>192</v>
      </c>
      <c r="BE89" s="177" t="s">
        <v>153</v>
      </c>
      <c r="BF89" s="168" t="s">
        <v>192</v>
      </c>
      <c r="BG89" s="177" t="s">
        <v>153</v>
      </c>
      <c r="BH89" s="168" t="s">
        <v>192</v>
      </c>
      <c r="BI89" s="177" t="s">
        <v>153</v>
      </c>
      <c r="BJ89" s="168" t="s">
        <v>192</v>
      </c>
      <c r="BK89" s="177" t="s">
        <v>153</v>
      </c>
      <c r="BL89" s="168" t="s">
        <v>192</v>
      </c>
      <c r="BM89" s="177" t="s">
        <v>192</v>
      </c>
      <c r="BN89" s="168" t="s">
        <v>192</v>
      </c>
      <c r="BO89" s="177" t="s">
        <v>192</v>
      </c>
      <c r="BP89" s="168" t="s">
        <v>192</v>
      </c>
      <c r="BQ89" s="177" t="s">
        <v>192</v>
      </c>
      <c r="BR89" s="168" t="s">
        <v>192</v>
      </c>
      <c r="BS89" s="177" t="s">
        <v>192</v>
      </c>
      <c r="BT89" s="168" t="s">
        <v>192</v>
      </c>
      <c r="BU89" s="177" t="s">
        <v>192</v>
      </c>
      <c r="BV89" s="168" t="s">
        <v>192</v>
      </c>
      <c r="BW89" s="177" t="s">
        <v>192</v>
      </c>
      <c r="BX89" s="168" t="s">
        <v>192</v>
      </c>
      <c r="BY89" s="177" t="s">
        <v>192</v>
      </c>
      <c r="BZ89" s="168" t="s">
        <v>153</v>
      </c>
      <c r="CA89" s="177" t="s">
        <v>192</v>
      </c>
      <c r="CB89" s="168" t="s">
        <v>153</v>
      </c>
      <c r="CC89" s="177" t="s">
        <v>192</v>
      </c>
      <c r="CD89" s="168" t="s">
        <v>153</v>
      </c>
      <c r="CE89" s="177" t="s">
        <v>192</v>
      </c>
      <c r="CF89" s="168" t="s">
        <v>153</v>
      </c>
      <c r="CG89" s="187" t="s">
        <v>192</v>
      </c>
      <c r="CH89" s="183"/>
      <c r="CI89" s="185"/>
      <c r="CJ89" s="160"/>
      <c r="CK89" s="160"/>
      <c r="CL89" s="160"/>
      <c r="CM89" s="160"/>
      <c r="CN89" s="160"/>
      <c r="CO89" s="160"/>
      <c r="CP89" s="160"/>
      <c r="CQ89" s="160"/>
      <c r="CR89" s="160"/>
      <c r="CS89" s="179"/>
      <c r="CT89" s="160"/>
      <c r="CU89" s="160"/>
      <c r="CV89" s="160"/>
      <c r="CW89" s="160"/>
      <c r="CX89" s="160"/>
      <c r="CY89" s="160"/>
      <c r="CZ89" s="160"/>
      <c r="DA89" s="160"/>
      <c r="DB89" s="160"/>
      <c r="DC89" s="160"/>
      <c r="DD89" s="160"/>
      <c r="DE89" s="160"/>
      <c r="DF89" s="160"/>
      <c r="DG89" s="160"/>
      <c r="DH89" s="160"/>
      <c r="DI89" s="160"/>
      <c r="DJ89" s="160"/>
      <c r="DK89" s="160"/>
      <c r="DL89" s="160"/>
      <c r="DM89" s="160"/>
      <c r="DN89" s="160"/>
    </row>
    <row r="90" spans="1:118" hidden="1">
      <c r="A90" s="149"/>
      <c r="B90" s="150"/>
      <c r="C90" s="151"/>
      <c r="D90" s="152"/>
      <c r="E90" s="152"/>
      <c r="F90" s="152"/>
      <c r="G90" s="152"/>
      <c r="H90" s="62">
        <f>SUBTOTAL(9,Table4[[#This Row],[BASIC]:[FOOD]])</f>
        <v>0</v>
      </c>
      <c r="I90" s="62"/>
      <c r="J90" s="62"/>
      <c r="K90" s="62"/>
      <c r="L90" s="62"/>
      <c r="M90" s="62"/>
      <c r="N90" s="62"/>
      <c r="O90" s="62"/>
      <c r="P90" s="160"/>
      <c r="Q90" s="160"/>
      <c r="R90" s="175"/>
      <c r="S90" s="167"/>
      <c r="T90" s="10">
        <f t="shared" si="9"/>
        <v>0</v>
      </c>
      <c r="U90" s="167"/>
      <c r="V90" s="10">
        <f t="shared" si="10"/>
        <v>0</v>
      </c>
      <c r="W90" s="10">
        <f t="shared" si="11"/>
        <v>0</v>
      </c>
      <c r="X90" s="168"/>
      <c r="Y90" s="168"/>
      <c r="Z90" s="170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70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83"/>
      <c r="CI90" s="185"/>
      <c r="CJ90" s="160"/>
      <c r="CK90" s="160"/>
      <c r="CL90" s="160"/>
      <c r="CM90" s="160"/>
      <c r="CN90" s="160"/>
      <c r="CO90" s="160"/>
      <c r="CP90" s="160"/>
      <c r="CQ90" s="160"/>
      <c r="CR90" s="160"/>
      <c r="CS90" s="179"/>
      <c r="CT90" s="160"/>
      <c r="CU90" s="160"/>
      <c r="CV90" s="160"/>
      <c r="CW90" s="160"/>
      <c r="CX90" s="160"/>
      <c r="CY90" s="160"/>
      <c r="CZ90" s="160"/>
      <c r="DA90" s="160"/>
      <c r="DB90" s="160"/>
      <c r="DC90" s="160"/>
      <c r="DD90" s="160"/>
      <c r="DE90" s="160"/>
      <c r="DF90" s="160"/>
      <c r="DG90" s="160"/>
      <c r="DH90" s="160"/>
      <c r="DI90" s="160"/>
      <c r="DJ90" s="160"/>
      <c r="DK90" s="160"/>
      <c r="DL90" s="160"/>
      <c r="DM90" s="160"/>
      <c r="DN90" s="160"/>
    </row>
    <row r="91" spans="1:118" hidden="1">
      <c r="A91" s="149"/>
      <c r="B91" s="150"/>
      <c r="C91" s="151"/>
      <c r="D91" s="152"/>
      <c r="E91" s="152"/>
      <c r="F91" s="152"/>
      <c r="G91" s="152"/>
      <c r="H91" s="62">
        <f>SUBTOTAL(9,Table4[[#This Row],[BASIC]:[FOOD]])</f>
        <v>0</v>
      </c>
      <c r="I91" s="62"/>
      <c r="J91" s="62"/>
      <c r="K91" s="62"/>
      <c r="L91" s="62"/>
      <c r="M91" s="62"/>
      <c r="N91" s="62"/>
      <c r="O91" s="62">
        <f>SUBTOTAL(9,Table4[[#This Row],[ESI BASIC]:[ESI FOOD]])</f>
        <v>0</v>
      </c>
      <c r="P91" s="160"/>
      <c r="Q91" s="160"/>
      <c r="R91" s="175"/>
      <c r="S91" s="167"/>
      <c r="T91" s="10">
        <f t="shared" si="9"/>
        <v>0</v>
      </c>
      <c r="U91" s="167"/>
      <c r="V91" s="10">
        <f t="shared" si="10"/>
        <v>0</v>
      </c>
      <c r="W91" s="10">
        <f t="shared" si="11"/>
        <v>0</v>
      </c>
      <c r="X91" s="170"/>
      <c r="Y91" s="177"/>
      <c r="Z91" s="168"/>
      <c r="AA91" s="177"/>
      <c r="AB91" s="168"/>
      <c r="AC91" s="177"/>
      <c r="AD91" s="168"/>
      <c r="AE91" s="177"/>
      <c r="AF91" s="168"/>
      <c r="AG91" s="177"/>
      <c r="AH91" s="168"/>
      <c r="AI91" s="177"/>
      <c r="AJ91" s="168"/>
      <c r="AK91" s="177"/>
      <c r="AL91" s="168"/>
      <c r="AM91" s="168"/>
      <c r="AN91" s="168"/>
      <c r="AO91" s="177"/>
      <c r="AP91" s="168"/>
      <c r="AQ91" s="177"/>
      <c r="AR91" s="168"/>
      <c r="AS91" s="177"/>
      <c r="AT91" s="168"/>
      <c r="AU91" s="177"/>
      <c r="AV91" s="168"/>
      <c r="AW91" s="177"/>
      <c r="AX91" s="168"/>
      <c r="AY91" s="177"/>
      <c r="AZ91" s="168"/>
      <c r="BA91" s="177"/>
      <c r="BB91" s="168"/>
      <c r="BC91" s="177"/>
      <c r="BD91" s="168"/>
      <c r="BE91" s="177"/>
      <c r="BF91" s="168"/>
      <c r="BG91" s="177"/>
      <c r="BH91" s="168"/>
      <c r="BI91" s="177"/>
      <c r="BJ91" s="168"/>
      <c r="BK91" s="177"/>
      <c r="BL91" s="168"/>
      <c r="BM91" s="177"/>
      <c r="BN91" s="168"/>
      <c r="BO91" s="177"/>
      <c r="BP91" s="168"/>
      <c r="BQ91" s="177"/>
      <c r="BR91" s="168"/>
      <c r="BS91" s="177"/>
      <c r="BT91" s="168"/>
      <c r="BU91" s="177"/>
      <c r="BV91" s="168"/>
      <c r="BW91" s="177"/>
      <c r="BX91" s="168"/>
      <c r="BY91" s="177"/>
      <c r="BZ91" s="168"/>
      <c r="CA91" s="177"/>
      <c r="CB91" s="168"/>
      <c r="CC91" s="177"/>
      <c r="CD91" s="168"/>
      <c r="CE91" s="177"/>
      <c r="CF91" s="168"/>
      <c r="CG91" s="187"/>
      <c r="CH91" s="183"/>
      <c r="CI91" s="185"/>
      <c r="CJ91" s="160"/>
      <c r="CK91" s="160"/>
      <c r="CL91" s="160"/>
      <c r="CM91" s="160"/>
      <c r="CN91" s="160"/>
      <c r="CO91" s="160"/>
      <c r="CP91" s="160"/>
      <c r="CQ91" s="160"/>
      <c r="CR91" s="160"/>
      <c r="CS91" s="179"/>
      <c r="CT91" s="160"/>
      <c r="CU91" s="160"/>
      <c r="CV91" s="160"/>
      <c r="CW91" s="160"/>
      <c r="CX91" s="160"/>
      <c r="CY91" s="160"/>
      <c r="CZ91" s="160"/>
      <c r="DA91" s="160"/>
      <c r="DB91" s="160"/>
      <c r="DC91" s="160"/>
      <c r="DD91" s="160"/>
      <c r="DE91" s="160"/>
      <c r="DF91" s="160"/>
      <c r="DG91" s="160"/>
      <c r="DH91" s="160"/>
      <c r="DI91" s="160"/>
      <c r="DJ91" s="160"/>
      <c r="DK91" s="160"/>
      <c r="DL91" s="160"/>
      <c r="DM91" s="160"/>
      <c r="DN91" s="160"/>
    </row>
    <row r="92" spans="1:118" hidden="1">
      <c r="A92" s="149"/>
      <c r="B92" s="150"/>
      <c r="C92" s="151"/>
      <c r="D92" s="152"/>
      <c r="E92" s="152"/>
      <c r="F92" s="152"/>
      <c r="G92" s="152"/>
      <c r="H92" s="62">
        <v>0</v>
      </c>
      <c r="I92" s="62"/>
      <c r="J92" s="62">
        <v>250</v>
      </c>
      <c r="K92" s="62">
        <v>70</v>
      </c>
      <c r="L92" s="62"/>
      <c r="M92" s="62"/>
      <c r="N92" s="62"/>
      <c r="O92" s="62">
        <f>SUBTOTAL(9,Table4[[#This Row],[ESI BASIC]:[ESI FOOD]])</f>
        <v>0</v>
      </c>
      <c r="P92" s="160"/>
      <c r="Q92" s="160"/>
      <c r="R92" s="175"/>
      <c r="S92" s="167"/>
      <c r="T92" s="10">
        <f t="shared" si="9"/>
        <v>0</v>
      </c>
      <c r="U92" s="167"/>
      <c r="V92" s="10">
        <f t="shared" si="10"/>
        <v>0</v>
      </c>
      <c r="W92" s="10">
        <f t="shared" si="11"/>
        <v>0</v>
      </c>
      <c r="X92" s="170"/>
      <c r="Y92" s="177"/>
      <c r="Z92" s="168"/>
      <c r="AA92" s="177"/>
      <c r="AB92" s="168"/>
      <c r="AC92" s="177"/>
      <c r="AD92" s="168"/>
      <c r="AE92" s="177"/>
      <c r="AF92" s="168"/>
      <c r="AG92" s="177"/>
      <c r="AH92" s="168"/>
      <c r="AI92" s="177"/>
      <c r="AJ92" s="168"/>
      <c r="AK92" s="177"/>
      <c r="AL92" s="168"/>
      <c r="AM92" s="177"/>
      <c r="AN92" s="168"/>
      <c r="AO92" s="177"/>
      <c r="AP92" s="168"/>
      <c r="AQ92" s="177"/>
      <c r="AR92" s="168"/>
      <c r="AS92" s="177"/>
      <c r="AT92" s="168"/>
      <c r="AU92" s="177"/>
      <c r="AV92" s="168"/>
      <c r="AW92" s="177"/>
      <c r="AX92" s="168"/>
      <c r="AY92" s="177"/>
      <c r="AZ92" s="168"/>
      <c r="BA92" s="177"/>
      <c r="BB92" s="168"/>
      <c r="BC92" s="177"/>
      <c r="BD92" s="168"/>
      <c r="BE92" s="177"/>
      <c r="BF92" s="168"/>
      <c r="BG92" s="177"/>
      <c r="BH92" s="168"/>
      <c r="BI92" s="177"/>
      <c r="BJ92" s="168"/>
      <c r="BK92" s="177"/>
      <c r="BL92" s="168"/>
      <c r="BM92" s="177"/>
      <c r="BN92" s="168"/>
      <c r="BO92" s="177"/>
      <c r="BP92" s="168"/>
      <c r="BQ92" s="177"/>
      <c r="BR92" s="168"/>
      <c r="BS92" s="177"/>
      <c r="BT92" s="168"/>
      <c r="BU92" s="177"/>
      <c r="BV92" s="168"/>
      <c r="BW92" s="177"/>
      <c r="BX92" s="168"/>
      <c r="BY92" s="177"/>
      <c r="BZ92" s="168"/>
      <c r="CA92" s="177"/>
      <c r="CB92" s="168"/>
      <c r="CC92" s="177"/>
      <c r="CD92" s="168"/>
      <c r="CE92" s="177"/>
      <c r="CF92" s="168"/>
      <c r="CG92" s="187"/>
      <c r="CH92" s="183"/>
      <c r="CI92" s="185"/>
      <c r="CJ92" s="160"/>
      <c r="CK92" s="160"/>
      <c r="CL92" s="160"/>
      <c r="CM92" s="160"/>
      <c r="CN92" s="160"/>
      <c r="CO92" s="160"/>
      <c r="CP92" s="160"/>
      <c r="CQ92" s="160"/>
      <c r="CR92" s="160"/>
      <c r="CS92" s="179"/>
      <c r="CT92" s="160"/>
      <c r="CU92" s="160"/>
      <c r="CV92" s="160"/>
      <c r="CW92" s="160"/>
      <c r="CX92" s="160"/>
      <c r="CY92" s="160"/>
      <c r="CZ92" s="160"/>
      <c r="DA92" s="160"/>
      <c r="DB92" s="160"/>
      <c r="DC92" s="160"/>
      <c r="DD92" s="160"/>
      <c r="DE92" s="160"/>
      <c r="DF92" s="160"/>
      <c r="DG92" s="160"/>
      <c r="DH92" s="160"/>
      <c r="DI92" s="160"/>
      <c r="DJ92" s="160"/>
      <c r="DK92" s="160"/>
      <c r="DL92" s="160"/>
      <c r="DM92" s="160"/>
      <c r="DN92" s="160"/>
    </row>
    <row r="93" spans="1:118">
      <c r="A93" s="149" t="s">
        <v>79</v>
      </c>
      <c r="B93" s="150" t="s">
        <v>83</v>
      </c>
      <c r="C93" s="151" t="s">
        <v>367</v>
      </c>
      <c r="D93" s="152" t="s">
        <v>386</v>
      </c>
      <c r="E93" s="152">
        <v>23000</v>
      </c>
      <c r="F93" s="152"/>
      <c r="G93" s="152"/>
      <c r="H93" s="62">
        <f>SUBTOTAL(9,Table4[[#This Row],[BASIC]:[FOOD]])</f>
        <v>23000</v>
      </c>
      <c r="I93" s="62"/>
      <c r="J93" s="62"/>
      <c r="K93" s="62"/>
      <c r="L93" s="62"/>
      <c r="M93" s="62"/>
      <c r="N93" s="62"/>
      <c r="O93" s="62"/>
      <c r="P93" s="256" t="s">
        <v>341</v>
      </c>
      <c r="Q93" s="256" t="s">
        <v>368</v>
      </c>
      <c r="R93" s="246">
        <v>419010110010170</v>
      </c>
      <c r="S93" s="167"/>
      <c r="T93" s="10">
        <f t="shared" si="9"/>
        <v>26</v>
      </c>
      <c r="U93" s="167">
        <v>4</v>
      </c>
      <c r="V93" s="10">
        <f t="shared" si="10"/>
        <v>30</v>
      </c>
      <c r="W93" s="10">
        <f t="shared" si="11"/>
        <v>0</v>
      </c>
      <c r="X93" s="168" t="s">
        <v>192</v>
      </c>
      <c r="Y93" s="168" t="s">
        <v>192</v>
      </c>
      <c r="Z93" s="170" t="s">
        <v>153</v>
      </c>
      <c r="AA93" s="168" t="s">
        <v>192</v>
      </c>
      <c r="AB93" s="168" t="s">
        <v>153</v>
      </c>
      <c r="AC93" s="168" t="s">
        <v>192</v>
      </c>
      <c r="AD93" s="168" t="s">
        <v>153</v>
      </c>
      <c r="AE93" s="168" t="s">
        <v>192</v>
      </c>
      <c r="AF93" s="168" t="s">
        <v>153</v>
      </c>
      <c r="AG93" s="168" t="s">
        <v>192</v>
      </c>
      <c r="AH93" s="168" t="s">
        <v>192</v>
      </c>
      <c r="AI93" s="168" t="s">
        <v>192</v>
      </c>
      <c r="AJ93" s="168" t="s">
        <v>192</v>
      </c>
      <c r="AK93" s="168" t="s">
        <v>192</v>
      </c>
      <c r="AL93" s="168" t="s">
        <v>153</v>
      </c>
      <c r="AM93" s="168" t="s">
        <v>192</v>
      </c>
      <c r="AN93" s="168" t="s">
        <v>153</v>
      </c>
      <c r="AO93" s="168" t="s">
        <v>192</v>
      </c>
      <c r="AP93" s="168" t="s">
        <v>153</v>
      </c>
      <c r="AQ93" s="168" t="s">
        <v>192</v>
      </c>
      <c r="AR93" s="168" t="s">
        <v>153</v>
      </c>
      <c r="AS93" s="168" t="s">
        <v>192</v>
      </c>
      <c r="AT93" s="168" t="s">
        <v>192</v>
      </c>
      <c r="AU93" s="168" t="s">
        <v>192</v>
      </c>
      <c r="AV93" s="168" t="s">
        <v>153</v>
      </c>
      <c r="AW93" s="168" t="s">
        <v>192</v>
      </c>
      <c r="AX93" s="168" t="s">
        <v>153</v>
      </c>
      <c r="AY93" s="168" t="s">
        <v>192</v>
      </c>
      <c r="AZ93" s="168" t="s">
        <v>153</v>
      </c>
      <c r="BA93" s="168" t="s">
        <v>192</v>
      </c>
      <c r="BB93" s="168" t="s">
        <v>153</v>
      </c>
      <c r="BC93" s="168" t="s">
        <v>192</v>
      </c>
      <c r="BD93" s="168" t="s">
        <v>192</v>
      </c>
      <c r="BE93" s="168" t="s">
        <v>192</v>
      </c>
      <c r="BF93" s="168" t="s">
        <v>153</v>
      </c>
      <c r="BG93" s="168" t="s">
        <v>192</v>
      </c>
      <c r="BH93" s="168" t="s">
        <v>153</v>
      </c>
      <c r="BI93" s="168" t="s">
        <v>192</v>
      </c>
      <c r="BJ93" s="168" t="s">
        <v>153</v>
      </c>
      <c r="BK93" s="168" t="s">
        <v>192</v>
      </c>
      <c r="BL93" s="168" t="s">
        <v>153</v>
      </c>
      <c r="BM93" s="168" t="s">
        <v>192</v>
      </c>
      <c r="BN93" s="168" t="s">
        <v>153</v>
      </c>
      <c r="BO93" s="168" t="s">
        <v>192</v>
      </c>
      <c r="BP93" s="168" t="s">
        <v>153</v>
      </c>
      <c r="BQ93" s="168" t="s">
        <v>192</v>
      </c>
      <c r="BR93" s="168" t="s">
        <v>153</v>
      </c>
      <c r="BS93" s="168" t="s">
        <v>192</v>
      </c>
      <c r="BT93" s="168" t="s">
        <v>153</v>
      </c>
      <c r="BU93" s="168" t="s">
        <v>192</v>
      </c>
      <c r="BV93" s="168" t="s">
        <v>153</v>
      </c>
      <c r="BW93" s="168" t="s">
        <v>192</v>
      </c>
      <c r="BX93" s="168" t="s">
        <v>153</v>
      </c>
      <c r="BY93" s="168" t="s">
        <v>192</v>
      </c>
      <c r="BZ93" s="168" t="s">
        <v>153</v>
      </c>
      <c r="CA93" s="168" t="s">
        <v>192</v>
      </c>
      <c r="CB93" s="168" t="s">
        <v>153</v>
      </c>
      <c r="CC93" s="168" t="s">
        <v>192</v>
      </c>
      <c r="CD93" s="168" t="s">
        <v>153</v>
      </c>
      <c r="CE93" s="168" t="s">
        <v>192</v>
      </c>
      <c r="CF93" s="168" t="s">
        <v>153</v>
      </c>
      <c r="CG93" s="244" t="s">
        <v>192</v>
      </c>
      <c r="CH93" s="183"/>
      <c r="CI93" s="185"/>
      <c r="CJ93" s="160"/>
      <c r="CK93" s="160"/>
      <c r="CL93" s="160"/>
      <c r="CM93" s="160"/>
      <c r="CN93" s="160"/>
      <c r="CO93" s="160"/>
      <c r="CP93" s="160"/>
      <c r="CQ93" s="160"/>
      <c r="CR93" s="160"/>
      <c r="CS93" s="179"/>
      <c r="CT93" s="160"/>
      <c r="CU93" s="160"/>
      <c r="CV93" s="160"/>
      <c r="CW93" s="160"/>
      <c r="CX93" s="160"/>
      <c r="CY93" s="160"/>
      <c r="CZ93" s="160"/>
      <c r="DA93" s="160"/>
      <c r="DB93" s="160"/>
      <c r="DC93" s="160"/>
      <c r="DD93" s="160"/>
      <c r="DE93" s="160"/>
      <c r="DF93" s="160"/>
      <c r="DG93" s="160"/>
      <c r="DH93" s="160"/>
      <c r="DI93" s="160"/>
      <c r="DJ93" s="160"/>
      <c r="DK93" s="160"/>
      <c r="DL93" s="160"/>
      <c r="DM93" s="160"/>
      <c r="DN93" s="160"/>
    </row>
    <row r="94" spans="1:118" hidden="1">
      <c r="A94" s="149"/>
      <c r="B94" s="150"/>
      <c r="C94" s="151"/>
      <c r="D94" s="152"/>
      <c r="E94" s="152"/>
      <c r="F94" s="152"/>
      <c r="G94" s="152"/>
      <c r="H94" s="62">
        <f>SUBTOTAL(9,Table4[[#This Row],[BASIC]:[FOOD]])</f>
        <v>0</v>
      </c>
      <c r="I94" s="62"/>
      <c r="J94" s="62"/>
      <c r="K94" s="62"/>
      <c r="L94" s="62"/>
      <c r="M94" s="62"/>
      <c r="N94" s="62"/>
      <c r="O94" s="62">
        <f>Table4[[#This Row],[ESI FOOD]]+Table4[[#This Row],[ESI HRA]]+Table4[[#This Row],[ESI BASIC]]</f>
        <v>0</v>
      </c>
      <c r="P94" s="188"/>
      <c r="Q94" s="188"/>
      <c r="R94" s="246"/>
      <c r="S94" s="167"/>
      <c r="T94" s="10">
        <f t="shared" ref="T94:T157" si="12">COUNTIF(X94:CG94,"P")</f>
        <v>0</v>
      </c>
      <c r="U94" s="167"/>
      <c r="V94" s="10">
        <f t="shared" ref="V94:V157" si="13">T94+U94</f>
        <v>0</v>
      </c>
      <c r="W94" s="10">
        <f t="shared" ref="W94:W157" si="14">SUM(CI94:DM94)</f>
        <v>0</v>
      </c>
      <c r="X94" s="170"/>
      <c r="Y94" s="177"/>
      <c r="Z94" s="168"/>
      <c r="AA94" s="177"/>
      <c r="AB94" s="168"/>
      <c r="AC94" s="177"/>
      <c r="AD94" s="168"/>
      <c r="AE94" s="177"/>
      <c r="AF94" s="168"/>
      <c r="AG94" s="177"/>
      <c r="AH94" s="168"/>
      <c r="AI94" s="177"/>
      <c r="AJ94" s="168"/>
      <c r="AK94" s="177"/>
      <c r="AL94" s="168"/>
      <c r="AM94" s="177"/>
      <c r="AN94" s="168"/>
      <c r="AO94" s="177"/>
      <c r="AP94" s="168"/>
      <c r="AQ94" s="177"/>
      <c r="AR94" s="168"/>
      <c r="AS94" s="177"/>
      <c r="AT94" s="168"/>
      <c r="AU94" s="177"/>
      <c r="AV94" s="168"/>
      <c r="AW94" s="177"/>
      <c r="AX94" s="168"/>
      <c r="AY94" s="177"/>
      <c r="AZ94" s="168"/>
      <c r="BA94" s="177"/>
      <c r="BB94" s="168"/>
      <c r="BC94" s="177"/>
      <c r="BD94" s="168"/>
      <c r="BE94" s="177"/>
      <c r="BF94" s="168"/>
      <c r="BG94" s="177"/>
      <c r="BH94" s="168"/>
      <c r="BI94" s="177"/>
      <c r="BJ94" s="168"/>
      <c r="BK94" s="177"/>
      <c r="BL94" s="168"/>
      <c r="BM94" s="177"/>
      <c r="BN94" s="168"/>
      <c r="BO94" s="177"/>
      <c r="BP94" s="168"/>
      <c r="BQ94" s="177"/>
      <c r="BR94" s="168"/>
      <c r="BS94" s="177"/>
      <c r="BT94" s="168"/>
      <c r="BU94" s="177"/>
      <c r="BV94" s="168"/>
      <c r="BW94" s="177"/>
      <c r="BX94" s="168"/>
      <c r="BY94" s="177"/>
      <c r="BZ94" s="168"/>
      <c r="CA94" s="177"/>
      <c r="CB94" s="168"/>
      <c r="CC94" s="177"/>
      <c r="CD94" s="168"/>
      <c r="CE94" s="177"/>
      <c r="CF94" s="168"/>
      <c r="CG94" s="187"/>
      <c r="CH94" s="183"/>
      <c r="CI94" s="185"/>
      <c r="CJ94" s="160"/>
      <c r="CK94" s="160"/>
      <c r="CL94" s="160"/>
      <c r="CM94" s="160"/>
      <c r="CN94" s="160"/>
      <c r="CO94" s="160"/>
      <c r="CP94" s="160"/>
      <c r="CQ94" s="160"/>
      <c r="CR94" s="160"/>
      <c r="CS94" s="179"/>
      <c r="CT94" s="160"/>
      <c r="CU94" s="160"/>
      <c r="CV94" s="160"/>
      <c r="CW94" s="160"/>
      <c r="CX94" s="160"/>
      <c r="CY94" s="160"/>
      <c r="CZ94" s="160"/>
      <c r="DA94" s="160"/>
      <c r="DB94" s="160"/>
      <c r="DC94" s="160"/>
      <c r="DD94" s="160"/>
      <c r="DE94" s="160"/>
      <c r="DF94" s="160"/>
      <c r="DG94" s="160"/>
      <c r="DH94" s="160"/>
      <c r="DI94" s="160"/>
      <c r="DJ94" s="160"/>
      <c r="DK94" s="160"/>
      <c r="DL94" s="160"/>
      <c r="DM94" s="160"/>
      <c r="DN94" s="160"/>
    </row>
    <row r="95" spans="1:118" hidden="1">
      <c r="A95" s="149"/>
      <c r="B95" s="150"/>
      <c r="C95" s="151"/>
      <c r="D95" s="152"/>
      <c r="E95" s="152"/>
      <c r="F95" s="152"/>
      <c r="G95" s="152"/>
      <c r="H95" s="62">
        <f>SUBTOTAL(9,Table4[[#This Row],[BASIC]:[FOOD]])</f>
        <v>0</v>
      </c>
      <c r="I95" s="62"/>
      <c r="J95" s="62"/>
      <c r="K95" s="62"/>
      <c r="L95" s="62"/>
      <c r="M95" s="62"/>
      <c r="N95" s="62"/>
      <c r="O95" s="62"/>
      <c r="P95" s="160"/>
      <c r="Q95" s="160"/>
      <c r="R95" s="175"/>
      <c r="S95" s="167"/>
      <c r="T95" s="10">
        <f t="shared" si="12"/>
        <v>0</v>
      </c>
      <c r="U95" s="167"/>
      <c r="V95" s="10">
        <f t="shared" si="13"/>
        <v>0</v>
      </c>
      <c r="W95" s="10">
        <f t="shared" si="14"/>
        <v>0</v>
      </c>
      <c r="X95" s="170"/>
      <c r="Y95" s="177"/>
      <c r="Z95" s="168"/>
      <c r="AA95" s="177"/>
      <c r="AB95" s="168"/>
      <c r="AC95" s="177"/>
      <c r="AD95" s="168"/>
      <c r="AE95" s="177"/>
      <c r="AF95" s="168"/>
      <c r="AG95" s="177"/>
      <c r="AH95" s="168"/>
      <c r="AI95" s="177"/>
      <c r="AJ95" s="168"/>
      <c r="AK95" s="177"/>
      <c r="AL95" s="168"/>
      <c r="AM95" s="177"/>
      <c r="AN95" s="168"/>
      <c r="AO95" s="177"/>
      <c r="AP95" s="168"/>
      <c r="AQ95" s="177"/>
      <c r="AR95" s="168"/>
      <c r="AS95" s="177"/>
      <c r="AT95" s="168"/>
      <c r="AU95" s="177"/>
      <c r="AV95" s="168"/>
      <c r="AW95" s="177"/>
      <c r="AX95" s="168"/>
      <c r="AY95" s="177"/>
      <c r="AZ95" s="168"/>
      <c r="BA95" s="177"/>
      <c r="BB95" s="168"/>
      <c r="BC95" s="177"/>
      <c r="BD95" s="168"/>
      <c r="BE95" s="177"/>
      <c r="BF95" s="168"/>
      <c r="BG95" s="177"/>
      <c r="BH95" s="168"/>
      <c r="BI95" s="177"/>
      <c r="BJ95" s="168"/>
      <c r="BK95" s="177"/>
      <c r="BL95" s="168"/>
      <c r="BM95" s="177"/>
      <c r="BN95" s="168"/>
      <c r="BO95" s="177"/>
      <c r="BP95" s="168"/>
      <c r="BQ95" s="177"/>
      <c r="BR95" s="168"/>
      <c r="BS95" s="177"/>
      <c r="BT95" s="168"/>
      <c r="BU95" s="177"/>
      <c r="BV95" s="168"/>
      <c r="BW95" s="177"/>
      <c r="BX95" s="168"/>
      <c r="BY95" s="177"/>
      <c r="BZ95" s="168"/>
      <c r="CA95" s="177"/>
      <c r="CB95" s="168"/>
      <c r="CC95" s="177"/>
      <c r="CD95" s="168"/>
      <c r="CE95" s="177"/>
      <c r="CF95" s="168"/>
      <c r="CG95" s="187"/>
      <c r="CH95" s="183"/>
      <c r="CI95" s="185"/>
      <c r="CJ95" s="160"/>
      <c r="CK95" s="160"/>
      <c r="CL95" s="160"/>
      <c r="CM95" s="160"/>
      <c r="CN95" s="160"/>
      <c r="CO95" s="160"/>
      <c r="CP95" s="160"/>
      <c r="CQ95" s="160"/>
      <c r="CR95" s="160"/>
      <c r="CS95" s="179"/>
      <c r="CT95" s="160"/>
      <c r="CU95" s="160"/>
      <c r="CV95" s="160"/>
      <c r="CW95" s="160"/>
      <c r="CX95" s="160"/>
      <c r="CY95" s="160"/>
      <c r="CZ95" s="160"/>
      <c r="DA95" s="160"/>
      <c r="DB95" s="160"/>
      <c r="DC95" s="160"/>
      <c r="DD95" s="160"/>
      <c r="DE95" s="160"/>
      <c r="DF95" s="160"/>
      <c r="DG95" s="160"/>
      <c r="DH95" s="160"/>
      <c r="DI95" s="160"/>
      <c r="DJ95" s="160"/>
      <c r="DK95" s="160"/>
      <c r="DL95" s="160"/>
      <c r="DM95" s="160"/>
      <c r="DN95" s="160"/>
    </row>
    <row r="96" spans="1:118" hidden="1">
      <c r="A96" s="149"/>
      <c r="B96" s="150"/>
      <c r="C96" s="151"/>
      <c r="D96" s="152"/>
      <c r="E96" s="152"/>
      <c r="F96" s="152"/>
      <c r="G96" s="152"/>
      <c r="H96" s="62">
        <f>SUBTOTAL(9,Table4[[#This Row],[BASIC]:[FOOD]])</f>
        <v>0</v>
      </c>
      <c r="I96" s="62"/>
      <c r="J96" s="62"/>
      <c r="K96" s="62"/>
      <c r="L96" s="62"/>
      <c r="M96" s="62"/>
      <c r="N96" s="62"/>
      <c r="O96" s="62"/>
      <c r="P96" s="160"/>
      <c r="Q96" s="160"/>
      <c r="R96" s="175"/>
      <c r="S96" s="167"/>
      <c r="T96" s="10">
        <f t="shared" si="12"/>
        <v>0</v>
      </c>
      <c r="U96" s="167"/>
      <c r="V96" s="10">
        <f t="shared" si="13"/>
        <v>0</v>
      </c>
      <c r="W96" s="10">
        <f t="shared" si="14"/>
        <v>0</v>
      </c>
      <c r="X96" s="170"/>
      <c r="Y96" s="177"/>
      <c r="Z96" s="168"/>
      <c r="AA96" s="177"/>
      <c r="AB96" s="168"/>
      <c r="AC96" s="177"/>
      <c r="AD96" s="168"/>
      <c r="AE96" s="177"/>
      <c r="AF96" s="168"/>
      <c r="AG96" s="177"/>
      <c r="AH96" s="168"/>
      <c r="AI96" s="177"/>
      <c r="AJ96" s="168"/>
      <c r="AK96" s="177"/>
      <c r="AL96" s="168"/>
      <c r="AM96" s="177"/>
      <c r="AN96" s="168"/>
      <c r="AO96" s="177"/>
      <c r="AP96" s="168"/>
      <c r="AQ96" s="177"/>
      <c r="AR96" s="168"/>
      <c r="AS96" s="177"/>
      <c r="AT96" s="168"/>
      <c r="AU96" s="177"/>
      <c r="AV96" s="168"/>
      <c r="AW96" s="177"/>
      <c r="AX96" s="168"/>
      <c r="AY96" s="177"/>
      <c r="AZ96" s="168"/>
      <c r="BA96" s="177"/>
      <c r="BB96" s="168"/>
      <c r="BC96" s="177"/>
      <c r="BD96" s="168"/>
      <c r="BE96" s="177"/>
      <c r="BF96" s="168"/>
      <c r="BG96" s="177"/>
      <c r="BH96" s="168"/>
      <c r="BI96" s="177"/>
      <c r="BJ96" s="168"/>
      <c r="BK96" s="177"/>
      <c r="BL96" s="168"/>
      <c r="BM96" s="177"/>
      <c r="BN96" s="168"/>
      <c r="BO96" s="177"/>
      <c r="BP96" s="168"/>
      <c r="BQ96" s="177"/>
      <c r="BR96" s="168"/>
      <c r="BS96" s="177"/>
      <c r="BT96" s="168"/>
      <c r="BU96" s="177"/>
      <c r="BV96" s="168"/>
      <c r="BW96" s="177"/>
      <c r="BX96" s="168"/>
      <c r="BY96" s="177"/>
      <c r="BZ96" s="168"/>
      <c r="CA96" s="177"/>
      <c r="CB96" s="168"/>
      <c r="CC96" s="177"/>
      <c r="CD96" s="168"/>
      <c r="CE96" s="177"/>
      <c r="CF96" s="168"/>
      <c r="CG96" s="187"/>
      <c r="CH96" s="183"/>
      <c r="CI96" s="185"/>
      <c r="CJ96" s="160"/>
      <c r="CK96" s="160"/>
      <c r="CL96" s="160"/>
      <c r="CM96" s="160"/>
      <c r="CN96" s="160"/>
      <c r="CO96" s="160"/>
      <c r="CP96" s="160"/>
      <c r="CQ96" s="160"/>
      <c r="CR96" s="160"/>
      <c r="CS96" s="179"/>
      <c r="CT96" s="160"/>
      <c r="CU96" s="160"/>
      <c r="CV96" s="160"/>
      <c r="CW96" s="160"/>
      <c r="CX96" s="160"/>
      <c r="CY96" s="160"/>
      <c r="CZ96" s="160"/>
      <c r="DA96" s="160"/>
      <c r="DB96" s="160"/>
      <c r="DC96" s="160"/>
      <c r="DD96" s="160"/>
      <c r="DE96" s="160"/>
      <c r="DF96" s="160"/>
      <c r="DG96" s="160"/>
      <c r="DH96" s="160"/>
      <c r="DI96" s="160"/>
      <c r="DJ96" s="160"/>
      <c r="DK96" s="160"/>
      <c r="DL96" s="160"/>
      <c r="DM96" s="160"/>
      <c r="DN96" s="160"/>
    </row>
    <row r="97" spans="1:118" hidden="1">
      <c r="A97" s="149"/>
      <c r="B97" s="150"/>
      <c r="C97" s="151"/>
      <c r="D97" s="152"/>
      <c r="E97" s="152"/>
      <c r="F97" s="152"/>
      <c r="G97" s="152"/>
      <c r="H97" s="62">
        <f>SUBTOTAL(9,Table4[[#This Row],[BASIC]:[FOOD]])</f>
        <v>0</v>
      </c>
      <c r="I97" s="62"/>
      <c r="J97" s="62"/>
      <c r="K97" s="62"/>
      <c r="L97" s="62"/>
      <c r="M97" s="62"/>
      <c r="N97" s="62"/>
      <c r="O97" s="62"/>
      <c r="P97" s="160"/>
      <c r="Q97" s="160"/>
      <c r="R97" s="175"/>
      <c r="S97" s="167"/>
      <c r="T97" s="10">
        <f t="shared" si="12"/>
        <v>0</v>
      </c>
      <c r="U97" s="167"/>
      <c r="V97" s="10">
        <f t="shared" si="13"/>
        <v>0</v>
      </c>
      <c r="W97" s="10">
        <f t="shared" si="14"/>
        <v>0</v>
      </c>
      <c r="X97" s="170"/>
      <c r="Y97" s="177"/>
      <c r="Z97" s="168"/>
      <c r="AA97" s="177"/>
      <c r="AB97" s="168"/>
      <c r="AC97" s="177"/>
      <c r="AD97" s="168"/>
      <c r="AE97" s="177"/>
      <c r="AF97" s="168"/>
      <c r="AG97" s="177"/>
      <c r="AH97" s="168"/>
      <c r="AI97" s="177"/>
      <c r="AJ97" s="168"/>
      <c r="AK97" s="177"/>
      <c r="AL97" s="168"/>
      <c r="AM97" s="177"/>
      <c r="AN97" s="168"/>
      <c r="AO97" s="177"/>
      <c r="AP97" s="168"/>
      <c r="AQ97" s="177"/>
      <c r="AR97" s="168"/>
      <c r="AS97" s="177"/>
      <c r="AT97" s="168"/>
      <c r="AU97" s="177"/>
      <c r="AV97" s="168"/>
      <c r="AW97" s="177"/>
      <c r="AX97" s="168"/>
      <c r="AY97" s="177"/>
      <c r="AZ97" s="168"/>
      <c r="BA97" s="177"/>
      <c r="BB97" s="168"/>
      <c r="BC97" s="177"/>
      <c r="BD97" s="168"/>
      <c r="BE97" s="177"/>
      <c r="BF97" s="168"/>
      <c r="BG97" s="177"/>
      <c r="BH97" s="168"/>
      <c r="BI97" s="177"/>
      <c r="BJ97" s="168"/>
      <c r="BK97" s="177"/>
      <c r="BL97" s="168"/>
      <c r="BM97" s="177"/>
      <c r="BN97" s="168"/>
      <c r="BO97" s="177"/>
      <c r="BP97" s="168"/>
      <c r="BQ97" s="177"/>
      <c r="BR97" s="168"/>
      <c r="BS97" s="177"/>
      <c r="BT97" s="168"/>
      <c r="BU97" s="177"/>
      <c r="BV97" s="168"/>
      <c r="BW97" s="177"/>
      <c r="BX97" s="168"/>
      <c r="BY97" s="177"/>
      <c r="BZ97" s="168"/>
      <c r="CA97" s="177"/>
      <c r="CB97" s="168"/>
      <c r="CC97" s="177"/>
      <c r="CD97" s="168"/>
      <c r="CE97" s="177"/>
      <c r="CF97" s="168"/>
      <c r="CG97" s="187"/>
      <c r="CH97" s="183"/>
      <c r="CI97" s="185"/>
      <c r="CJ97" s="160"/>
      <c r="CK97" s="160"/>
      <c r="CL97" s="160"/>
      <c r="CM97" s="160"/>
      <c r="CN97" s="160"/>
      <c r="CO97" s="160"/>
      <c r="CP97" s="160"/>
      <c r="CQ97" s="160"/>
      <c r="CR97" s="160"/>
      <c r="CS97" s="179"/>
      <c r="CT97" s="160"/>
      <c r="CU97" s="160"/>
      <c r="CV97" s="160"/>
      <c r="CW97" s="160"/>
      <c r="CX97" s="160"/>
      <c r="CY97" s="160"/>
      <c r="CZ97" s="160"/>
      <c r="DA97" s="160"/>
      <c r="DB97" s="160"/>
      <c r="DC97" s="160"/>
      <c r="DD97" s="160"/>
      <c r="DE97" s="160"/>
      <c r="DF97" s="160"/>
      <c r="DG97" s="160"/>
      <c r="DH97" s="160"/>
      <c r="DI97" s="160"/>
      <c r="DJ97" s="160"/>
      <c r="DK97" s="160"/>
      <c r="DL97" s="160"/>
      <c r="DM97" s="160"/>
      <c r="DN97" s="160"/>
    </row>
    <row r="98" spans="1:118" hidden="1">
      <c r="A98" s="149"/>
      <c r="B98" s="150"/>
      <c r="C98" s="151"/>
      <c r="D98" s="152"/>
      <c r="E98" s="152"/>
      <c r="F98" s="152"/>
      <c r="G98" s="152"/>
      <c r="H98" s="62">
        <f>SUBTOTAL(9,Table4[[#This Row],[BASIC]:[FOOD]])</f>
        <v>0</v>
      </c>
      <c r="I98" s="62"/>
      <c r="J98" s="62"/>
      <c r="K98" s="62"/>
      <c r="L98" s="62"/>
      <c r="M98" s="62"/>
      <c r="N98" s="62"/>
      <c r="O98" s="62"/>
      <c r="P98" s="160"/>
      <c r="Q98" s="160"/>
      <c r="R98" s="175"/>
      <c r="S98" s="167"/>
      <c r="T98" s="10">
        <f t="shared" si="12"/>
        <v>0</v>
      </c>
      <c r="U98" s="167"/>
      <c r="V98" s="10">
        <f t="shared" si="13"/>
        <v>0</v>
      </c>
      <c r="W98" s="10">
        <f t="shared" si="14"/>
        <v>0</v>
      </c>
      <c r="X98" s="170"/>
      <c r="Y98" s="177"/>
      <c r="Z98" s="168"/>
      <c r="AA98" s="177"/>
      <c r="AB98" s="168"/>
      <c r="AC98" s="177"/>
      <c r="AD98" s="168"/>
      <c r="AE98" s="177"/>
      <c r="AF98" s="168"/>
      <c r="AG98" s="177"/>
      <c r="AH98" s="168"/>
      <c r="AI98" s="177"/>
      <c r="AJ98" s="168"/>
      <c r="AK98" s="177"/>
      <c r="AL98" s="168"/>
      <c r="AM98" s="177"/>
      <c r="AN98" s="168"/>
      <c r="AO98" s="177"/>
      <c r="AP98" s="168"/>
      <c r="AQ98" s="177"/>
      <c r="AR98" s="168"/>
      <c r="AS98" s="177"/>
      <c r="AT98" s="168"/>
      <c r="AU98" s="177"/>
      <c r="AV98" s="168"/>
      <c r="AW98" s="177"/>
      <c r="AX98" s="168"/>
      <c r="AY98" s="177"/>
      <c r="AZ98" s="168"/>
      <c r="BA98" s="177"/>
      <c r="BB98" s="168"/>
      <c r="BC98" s="177"/>
      <c r="BD98" s="168"/>
      <c r="BE98" s="177"/>
      <c r="BF98" s="168"/>
      <c r="BG98" s="177"/>
      <c r="BH98" s="168"/>
      <c r="BI98" s="177"/>
      <c r="BJ98" s="168"/>
      <c r="BK98" s="177"/>
      <c r="BL98" s="168"/>
      <c r="BM98" s="177"/>
      <c r="BN98" s="168"/>
      <c r="BO98" s="177"/>
      <c r="BP98" s="168"/>
      <c r="BQ98" s="177"/>
      <c r="BR98" s="168"/>
      <c r="BS98" s="177"/>
      <c r="BT98" s="168"/>
      <c r="BU98" s="177"/>
      <c r="BV98" s="168"/>
      <c r="BW98" s="177"/>
      <c r="BX98" s="168"/>
      <c r="BY98" s="177"/>
      <c r="BZ98" s="168"/>
      <c r="CA98" s="177"/>
      <c r="CB98" s="168"/>
      <c r="CC98" s="177"/>
      <c r="CD98" s="168"/>
      <c r="CE98" s="177"/>
      <c r="CF98" s="168"/>
      <c r="CG98" s="187"/>
      <c r="CH98" s="183"/>
      <c r="CI98" s="185"/>
      <c r="CJ98" s="160"/>
      <c r="CK98" s="160"/>
      <c r="CL98" s="160"/>
      <c r="CM98" s="160"/>
      <c r="CN98" s="160"/>
      <c r="CO98" s="160"/>
      <c r="CP98" s="160"/>
      <c r="CQ98" s="160"/>
      <c r="CR98" s="160"/>
      <c r="CS98" s="179"/>
      <c r="CT98" s="160"/>
      <c r="CU98" s="160"/>
      <c r="CV98" s="160"/>
      <c r="CW98" s="160"/>
      <c r="CX98" s="160"/>
      <c r="CY98" s="160"/>
      <c r="CZ98" s="160"/>
      <c r="DA98" s="160"/>
      <c r="DB98" s="160"/>
      <c r="DC98" s="160"/>
      <c r="DD98" s="160"/>
      <c r="DE98" s="160"/>
      <c r="DF98" s="160"/>
      <c r="DG98" s="160"/>
      <c r="DH98" s="160"/>
      <c r="DI98" s="160"/>
      <c r="DJ98" s="160"/>
      <c r="DK98" s="160"/>
      <c r="DL98" s="160"/>
      <c r="DM98" s="160"/>
      <c r="DN98" s="160"/>
    </row>
    <row r="99" spans="1:118" hidden="1">
      <c r="A99" s="149"/>
      <c r="B99" s="150"/>
      <c r="C99" s="151"/>
      <c r="D99" s="152"/>
      <c r="E99" s="152"/>
      <c r="F99" s="152"/>
      <c r="G99" s="152"/>
      <c r="H99" s="62">
        <f>SUBTOTAL(9,Table4[[#This Row],[BASIC]:[FOOD]])</f>
        <v>0</v>
      </c>
      <c r="I99" s="62"/>
      <c r="J99" s="62"/>
      <c r="K99" s="62"/>
      <c r="L99" s="62"/>
      <c r="M99" s="62"/>
      <c r="N99" s="62"/>
      <c r="O99" s="62"/>
      <c r="P99" s="160"/>
      <c r="Q99" s="160"/>
      <c r="R99" s="175"/>
      <c r="S99" s="167"/>
      <c r="T99" s="10">
        <f t="shared" si="12"/>
        <v>0</v>
      </c>
      <c r="U99" s="167"/>
      <c r="V99" s="10">
        <f t="shared" si="13"/>
        <v>0</v>
      </c>
      <c r="W99" s="10">
        <f t="shared" si="14"/>
        <v>0</v>
      </c>
      <c r="X99" s="170"/>
      <c r="Y99" s="177"/>
      <c r="Z99" s="168"/>
      <c r="AA99" s="177"/>
      <c r="AB99" s="168"/>
      <c r="AC99" s="177"/>
      <c r="AD99" s="168"/>
      <c r="AE99" s="177"/>
      <c r="AF99" s="168"/>
      <c r="AG99" s="177"/>
      <c r="AH99" s="168"/>
      <c r="AI99" s="177"/>
      <c r="AJ99" s="168"/>
      <c r="AK99" s="177"/>
      <c r="AL99" s="168"/>
      <c r="AM99" s="177"/>
      <c r="AN99" s="168"/>
      <c r="AO99" s="177"/>
      <c r="AP99" s="168"/>
      <c r="AQ99" s="177"/>
      <c r="AR99" s="168"/>
      <c r="AS99" s="177"/>
      <c r="AT99" s="168"/>
      <c r="AU99" s="177"/>
      <c r="AV99" s="168"/>
      <c r="AW99" s="177"/>
      <c r="AX99" s="168"/>
      <c r="AY99" s="177"/>
      <c r="AZ99" s="168"/>
      <c r="BA99" s="177"/>
      <c r="BB99" s="168"/>
      <c r="BC99" s="177"/>
      <c r="BD99" s="168"/>
      <c r="BE99" s="177"/>
      <c r="BF99" s="168"/>
      <c r="BG99" s="177"/>
      <c r="BH99" s="168"/>
      <c r="BI99" s="177"/>
      <c r="BJ99" s="168"/>
      <c r="BK99" s="177"/>
      <c r="BL99" s="168"/>
      <c r="BM99" s="177"/>
      <c r="BN99" s="168"/>
      <c r="BO99" s="177"/>
      <c r="BP99" s="168"/>
      <c r="BQ99" s="177"/>
      <c r="BR99" s="168"/>
      <c r="BS99" s="177"/>
      <c r="BT99" s="168"/>
      <c r="BU99" s="177"/>
      <c r="BV99" s="168"/>
      <c r="BW99" s="177"/>
      <c r="BX99" s="168"/>
      <c r="BY99" s="177"/>
      <c r="BZ99" s="168"/>
      <c r="CA99" s="177"/>
      <c r="CB99" s="168"/>
      <c r="CC99" s="177"/>
      <c r="CD99" s="168"/>
      <c r="CE99" s="177"/>
      <c r="CF99" s="168"/>
      <c r="CG99" s="187"/>
      <c r="CH99" s="183"/>
      <c r="CI99" s="185"/>
      <c r="CJ99" s="160"/>
      <c r="CK99" s="160"/>
      <c r="CL99" s="160"/>
      <c r="CM99" s="160"/>
      <c r="CN99" s="160"/>
      <c r="CO99" s="160"/>
      <c r="CP99" s="160"/>
      <c r="CQ99" s="160"/>
      <c r="CR99" s="160"/>
      <c r="CS99" s="179"/>
      <c r="CT99" s="160"/>
      <c r="CU99" s="160"/>
      <c r="CV99" s="160"/>
      <c r="CW99" s="160"/>
      <c r="CX99" s="160"/>
      <c r="CY99" s="160"/>
      <c r="CZ99" s="160"/>
      <c r="DA99" s="160"/>
      <c r="DB99" s="160"/>
      <c r="DC99" s="160"/>
      <c r="DD99" s="160"/>
      <c r="DE99" s="160"/>
      <c r="DF99" s="160"/>
      <c r="DG99" s="160"/>
      <c r="DH99" s="160"/>
      <c r="DI99" s="160"/>
      <c r="DJ99" s="160"/>
      <c r="DK99" s="160"/>
      <c r="DL99" s="160"/>
      <c r="DM99" s="160"/>
      <c r="DN99" s="160"/>
    </row>
    <row r="100" spans="1:118" hidden="1">
      <c r="A100" s="149"/>
      <c r="B100" s="150"/>
      <c r="C100" s="151"/>
      <c r="D100" s="152"/>
      <c r="E100" s="152"/>
      <c r="F100" s="152"/>
      <c r="G100" s="152"/>
      <c r="H100" s="62">
        <f>SUBTOTAL(9,Table4[[#This Row],[BASIC]:[FOOD]])</f>
        <v>0</v>
      </c>
      <c r="I100" s="62"/>
      <c r="J100" s="62"/>
      <c r="K100" s="62"/>
      <c r="L100" s="62"/>
      <c r="M100" s="62"/>
      <c r="N100" s="62"/>
      <c r="O100" s="62"/>
      <c r="P100" s="160"/>
      <c r="Q100" s="160"/>
      <c r="R100" s="175"/>
      <c r="S100" s="167"/>
      <c r="T100" s="10">
        <f t="shared" si="12"/>
        <v>0</v>
      </c>
      <c r="U100" s="167"/>
      <c r="V100" s="10">
        <f t="shared" si="13"/>
        <v>0</v>
      </c>
      <c r="W100" s="10">
        <f t="shared" si="14"/>
        <v>0</v>
      </c>
      <c r="X100" s="170"/>
      <c r="Y100" s="177"/>
      <c r="Z100" s="168"/>
      <c r="AA100" s="177"/>
      <c r="AB100" s="168"/>
      <c r="AC100" s="177"/>
      <c r="AD100" s="168"/>
      <c r="AE100" s="177"/>
      <c r="AF100" s="168"/>
      <c r="AG100" s="177"/>
      <c r="AH100" s="168"/>
      <c r="AI100" s="177"/>
      <c r="AJ100" s="168"/>
      <c r="AK100" s="177"/>
      <c r="AL100" s="168"/>
      <c r="AM100" s="177"/>
      <c r="AN100" s="168"/>
      <c r="AO100" s="177"/>
      <c r="AP100" s="168"/>
      <c r="AQ100" s="177"/>
      <c r="AR100" s="168"/>
      <c r="AS100" s="177"/>
      <c r="AT100" s="168"/>
      <c r="AU100" s="177"/>
      <c r="AV100" s="168"/>
      <c r="AW100" s="177"/>
      <c r="AX100" s="168"/>
      <c r="AY100" s="177"/>
      <c r="AZ100" s="168"/>
      <c r="BA100" s="177"/>
      <c r="BB100" s="168"/>
      <c r="BC100" s="177"/>
      <c r="BD100" s="168"/>
      <c r="BE100" s="177"/>
      <c r="BF100" s="168"/>
      <c r="BG100" s="177"/>
      <c r="BH100" s="168"/>
      <c r="BI100" s="177"/>
      <c r="BJ100" s="168"/>
      <c r="BK100" s="177"/>
      <c r="BL100" s="168"/>
      <c r="BM100" s="177"/>
      <c r="BN100" s="168"/>
      <c r="BO100" s="177"/>
      <c r="BP100" s="168"/>
      <c r="BQ100" s="177"/>
      <c r="BR100" s="168"/>
      <c r="BS100" s="177"/>
      <c r="BT100" s="168"/>
      <c r="BU100" s="177"/>
      <c r="BV100" s="168"/>
      <c r="BW100" s="177"/>
      <c r="BX100" s="168"/>
      <c r="BY100" s="177"/>
      <c r="BZ100" s="168"/>
      <c r="CA100" s="177"/>
      <c r="CB100" s="168"/>
      <c r="CC100" s="177"/>
      <c r="CD100" s="168"/>
      <c r="CE100" s="177"/>
      <c r="CF100" s="168"/>
      <c r="CG100" s="187"/>
      <c r="CH100" s="183"/>
      <c r="CI100" s="185"/>
      <c r="CJ100" s="160"/>
      <c r="CK100" s="160"/>
      <c r="CL100" s="160"/>
      <c r="CM100" s="160"/>
      <c r="CN100" s="160"/>
      <c r="CO100" s="160"/>
      <c r="CP100" s="160"/>
      <c r="CQ100" s="160"/>
      <c r="CR100" s="160"/>
      <c r="CS100" s="179"/>
      <c r="CT100" s="160"/>
      <c r="CU100" s="160"/>
      <c r="CV100" s="160"/>
      <c r="CW100" s="160"/>
      <c r="CX100" s="160"/>
      <c r="CY100" s="160"/>
      <c r="CZ100" s="160"/>
      <c r="DA100" s="160"/>
      <c r="DB100" s="160"/>
      <c r="DC100" s="160"/>
      <c r="DD100" s="160"/>
      <c r="DE100" s="160"/>
      <c r="DF100" s="160"/>
      <c r="DG100" s="160"/>
      <c r="DH100" s="160"/>
      <c r="DI100" s="160"/>
      <c r="DJ100" s="160"/>
      <c r="DK100" s="160"/>
      <c r="DL100" s="160"/>
      <c r="DM100" s="160"/>
      <c r="DN100" s="160"/>
    </row>
    <row r="101" spans="1:118" hidden="1">
      <c r="A101" s="149"/>
      <c r="B101" s="150"/>
      <c r="C101" s="151"/>
      <c r="D101" s="152"/>
      <c r="E101" s="152"/>
      <c r="F101" s="152"/>
      <c r="G101" s="152"/>
      <c r="H101" s="62">
        <f>SUBTOTAL(9,Table4[[#This Row],[BASIC]:[FOOD]])</f>
        <v>0</v>
      </c>
      <c r="I101" s="62"/>
      <c r="J101" s="62"/>
      <c r="K101" s="62"/>
      <c r="L101" s="62"/>
      <c r="M101" s="62"/>
      <c r="N101" s="62"/>
      <c r="O101" s="62"/>
      <c r="P101" s="160"/>
      <c r="Q101" s="160"/>
      <c r="R101" s="175"/>
      <c r="S101" s="167"/>
      <c r="T101" s="10">
        <f t="shared" si="12"/>
        <v>0</v>
      </c>
      <c r="U101" s="167"/>
      <c r="V101" s="10">
        <f t="shared" si="13"/>
        <v>0</v>
      </c>
      <c r="W101" s="10">
        <f t="shared" si="14"/>
        <v>0</v>
      </c>
      <c r="X101" s="170"/>
      <c r="Y101" s="177"/>
      <c r="Z101" s="168"/>
      <c r="AA101" s="177"/>
      <c r="AB101" s="168"/>
      <c r="AC101" s="177"/>
      <c r="AD101" s="168"/>
      <c r="AE101" s="177"/>
      <c r="AF101" s="168"/>
      <c r="AG101" s="177"/>
      <c r="AH101" s="168"/>
      <c r="AI101" s="177"/>
      <c r="AJ101" s="168"/>
      <c r="AK101" s="177"/>
      <c r="AL101" s="168"/>
      <c r="AM101" s="177"/>
      <c r="AN101" s="168"/>
      <c r="AO101" s="177"/>
      <c r="AP101" s="168"/>
      <c r="AQ101" s="177"/>
      <c r="AR101" s="168"/>
      <c r="AS101" s="177"/>
      <c r="AT101" s="168"/>
      <c r="AU101" s="177"/>
      <c r="AV101" s="168"/>
      <c r="AW101" s="177"/>
      <c r="AX101" s="168"/>
      <c r="AY101" s="177"/>
      <c r="AZ101" s="168"/>
      <c r="BA101" s="177"/>
      <c r="BB101" s="168"/>
      <c r="BC101" s="177"/>
      <c r="BD101" s="168"/>
      <c r="BE101" s="177"/>
      <c r="BF101" s="168"/>
      <c r="BG101" s="177"/>
      <c r="BH101" s="168"/>
      <c r="BI101" s="177"/>
      <c r="BJ101" s="168"/>
      <c r="BK101" s="177"/>
      <c r="BL101" s="168"/>
      <c r="BM101" s="177"/>
      <c r="BN101" s="168"/>
      <c r="BO101" s="177"/>
      <c r="BP101" s="168"/>
      <c r="BQ101" s="177"/>
      <c r="BR101" s="168"/>
      <c r="BS101" s="177"/>
      <c r="BT101" s="168"/>
      <c r="BU101" s="177"/>
      <c r="BV101" s="168"/>
      <c r="BW101" s="177"/>
      <c r="BX101" s="168"/>
      <c r="BY101" s="177"/>
      <c r="BZ101" s="168"/>
      <c r="CA101" s="177"/>
      <c r="CB101" s="168"/>
      <c r="CC101" s="177"/>
      <c r="CD101" s="168"/>
      <c r="CE101" s="177"/>
      <c r="CF101" s="168"/>
      <c r="CG101" s="187"/>
      <c r="CH101" s="183"/>
      <c r="CI101" s="185"/>
      <c r="CJ101" s="160"/>
      <c r="CK101" s="160"/>
      <c r="CL101" s="160"/>
      <c r="CM101" s="160"/>
      <c r="CN101" s="160"/>
      <c r="CO101" s="160"/>
      <c r="CP101" s="160"/>
      <c r="CQ101" s="160"/>
      <c r="CR101" s="160"/>
      <c r="CS101" s="179"/>
      <c r="CT101" s="160"/>
      <c r="CU101" s="160"/>
      <c r="CV101" s="160"/>
      <c r="CW101" s="160"/>
      <c r="CX101" s="160"/>
      <c r="CY101" s="160"/>
      <c r="CZ101" s="160"/>
      <c r="DA101" s="160"/>
      <c r="DB101" s="160"/>
      <c r="DC101" s="160"/>
      <c r="DD101" s="160"/>
      <c r="DE101" s="160"/>
      <c r="DF101" s="160"/>
      <c r="DG101" s="160"/>
      <c r="DH101" s="160"/>
      <c r="DI101" s="160"/>
      <c r="DJ101" s="160"/>
      <c r="DK101" s="160"/>
      <c r="DL101" s="160"/>
      <c r="DM101" s="160"/>
      <c r="DN101" s="160"/>
    </row>
    <row r="102" spans="1:118" hidden="1">
      <c r="A102" s="149"/>
      <c r="B102" s="150"/>
      <c r="C102" s="151"/>
      <c r="D102" s="152"/>
      <c r="E102" s="152"/>
      <c r="F102" s="152"/>
      <c r="G102" s="152"/>
      <c r="H102" s="62">
        <f>SUM(Table4[[#This Row],[BASIC]:[FOOD]])</f>
        <v>0</v>
      </c>
      <c r="I102" s="62"/>
      <c r="J102" s="62"/>
      <c r="K102" s="62"/>
      <c r="L102" s="62"/>
      <c r="M102" s="62"/>
      <c r="N102" s="62"/>
      <c r="O102" s="62">
        <f>SUM(Table4[[#This Row],[ESI BASIC]:[ESI FOOD]])</f>
        <v>0</v>
      </c>
      <c r="P102" s="160"/>
      <c r="Q102" s="160"/>
      <c r="R102" s="175"/>
      <c r="S102" s="167"/>
      <c r="T102" s="10">
        <f t="shared" si="12"/>
        <v>0</v>
      </c>
      <c r="U102" s="167"/>
      <c r="V102" s="10">
        <f t="shared" si="13"/>
        <v>0</v>
      </c>
      <c r="W102" s="10">
        <f t="shared" si="14"/>
        <v>0</v>
      </c>
      <c r="X102" s="170"/>
      <c r="Y102" s="177"/>
      <c r="Z102" s="168"/>
      <c r="AA102" s="177"/>
      <c r="AB102" s="168"/>
      <c r="AC102" s="177"/>
      <c r="AD102" s="168"/>
      <c r="AE102" s="177"/>
      <c r="AF102" s="168"/>
      <c r="AG102" s="177"/>
      <c r="AH102" s="168"/>
      <c r="AI102" s="177"/>
      <c r="AJ102" s="168"/>
      <c r="AK102" s="177"/>
      <c r="AL102" s="168"/>
      <c r="AM102" s="177"/>
      <c r="AN102" s="168"/>
      <c r="AO102" s="177"/>
      <c r="AP102" s="168"/>
      <c r="AQ102" s="177"/>
      <c r="AR102" s="168"/>
      <c r="AS102" s="177"/>
      <c r="AT102" s="168"/>
      <c r="AU102" s="177"/>
      <c r="AV102" s="168"/>
      <c r="AW102" s="177"/>
      <c r="AX102" s="168"/>
      <c r="AY102" s="177"/>
      <c r="AZ102" s="168"/>
      <c r="BA102" s="177"/>
      <c r="BB102" s="168"/>
      <c r="BC102" s="177"/>
      <c r="BD102" s="168"/>
      <c r="BE102" s="177"/>
      <c r="BF102" s="168"/>
      <c r="BG102" s="177"/>
      <c r="BH102" s="168"/>
      <c r="BI102" s="177"/>
      <c r="BJ102" s="168"/>
      <c r="BK102" s="177"/>
      <c r="BL102" s="168"/>
      <c r="BM102" s="177"/>
      <c r="BN102" s="168"/>
      <c r="BO102" s="177"/>
      <c r="BP102" s="168"/>
      <c r="BQ102" s="177"/>
      <c r="BR102" s="168"/>
      <c r="BS102" s="177"/>
      <c r="BT102" s="168"/>
      <c r="BU102" s="177"/>
      <c r="BV102" s="168"/>
      <c r="BW102" s="177"/>
      <c r="BX102" s="168"/>
      <c r="BY102" s="177"/>
      <c r="BZ102" s="168"/>
      <c r="CA102" s="177"/>
      <c r="CB102" s="168"/>
      <c r="CC102" s="177"/>
      <c r="CD102" s="168"/>
      <c r="CE102" s="177"/>
      <c r="CF102" s="168"/>
      <c r="CG102" s="187"/>
      <c r="CH102" s="183"/>
      <c r="CI102" s="185"/>
      <c r="CJ102" s="160"/>
      <c r="CK102" s="160"/>
      <c r="CL102" s="160"/>
      <c r="CM102" s="160"/>
      <c r="CN102" s="160"/>
      <c r="CO102" s="160"/>
      <c r="CP102" s="160"/>
      <c r="CQ102" s="160"/>
      <c r="CR102" s="160"/>
      <c r="CS102" s="179"/>
      <c r="CT102" s="160"/>
      <c r="CU102" s="160"/>
      <c r="CV102" s="160"/>
      <c r="CW102" s="160"/>
      <c r="CX102" s="160"/>
      <c r="CY102" s="160"/>
      <c r="CZ102" s="160"/>
      <c r="DA102" s="160"/>
      <c r="DB102" s="160"/>
      <c r="DC102" s="160"/>
      <c r="DD102" s="160"/>
      <c r="DE102" s="160"/>
      <c r="DF102" s="160"/>
      <c r="DG102" s="160"/>
      <c r="DH102" s="160"/>
      <c r="DI102" s="160"/>
      <c r="DJ102" s="160"/>
      <c r="DK102" s="160"/>
      <c r="DL102" s="160"/>
      <c r="DM102" s="160"/>
      <c r="DN102" s="160"/>
    </row>
    <row r="103" spans="1:118" hidden="1">
      <c r="A103" s="149"/>
      <c r="B103" s="150"/>
      <c r="C103" s="151"/>
      <c r="D103" s="152"/>
      <c r="E103" s="152"/>
      <c r="F103" s="152"/>
      <c r="G103" s="152"/>
      <c r="H103" s="62">
        <f>SUM(Table4[[#This Row],[BASIC]:[FOOD]])</f>
        <v>0</v>
      </c>
      <c r="I103" s="62"/>
      <c r="J103" s="62"/>
      <c r="K103" s="62"/>
      <c r="L103" s="62"/>
      <c r="M103" s="62"/>
      <c r="N103" s="62"/>
      <c r="O103" s="62">
        <f>SUM(Table4[[#This Row],[ESI BASIC]:[ESI FOOD]])</f>
        <v>0</v>
      </c>
      <c r="P103" s="160"/>
      <c r="Q103" s="160"/>
      <c r="R103" s="175"/>
      <c r="S103" s="167"/>
      <c r="T103" s="10">
        <f t="shared" si="12"/>
        <v>0</v>
      </c>
      <c r="U103" s="167"/>
      <c r="V103" s="10">
        <f t="shared" si="13"/>
        <v>0</v>
      </c>
      <c r="W103" s="10">
        <f t="shared" si="14"/>
        <v>0</v>
      </c>
      <c r="X103" s="170"/>
      <c r="Y103" s="177"/>
      <c r="Z103" s="168"/>
      <c r="AA103" s="177"/>
      <c r="AB103" s="168"/>
      <c r="AC103" s="177"/>
      <c r="AD103" s="168"/>
      <c r="AE103" s="177"/>
      <c r="AF103" s="168"/>
      <c r="AG103" s="177"/>
      <c r="AH103" s="168"/>
      <c r="AI103" s="177"/>
      <c r="AJ103" s="168"/>
      <c r="AK103" s="177"/>
      <c r="AL103" s="168"/>
      <c r="AM103" s="177"/>
      <c r="AN103" s="168"/>
      <c r="AO103" s="177"/>
      <c r="AP103" s="168"/>
      <c r="AQ103" s="177"/>
      <c r="AR103" s="168"/>
      <c r="AS103" s="177"/>
      <c r="AT103" s="168"/>
      <c r="AU103" s="177"/>
      <c r="AV103" s="168"/>
      <c r="AW103" s="177"/>
      <c r="AX103" s="168"/>
      <c r="AY103" s="177"/>
      <c r="AZ103" s="168"/>
      <c r="BA103" s="177"/>
      <c r="BB103" s="168"/>
      <c r="BC103" s="177"/>
      <c r="BD103" s="168"/>
      <c r="BE103" s="177"/>
      <c r="BF103" s="168"/>
      <c r="BG103" s="177"/>
      <c r="BH103" s="168"/>
      <c r="BI103" s="177"/>
      <c r="BJ103" s="168"/>
      <c r="BK103" s="177"/>
      <c r="BL103" s="168"/>
      <c r="BM103" s="177"/>
      <c r="BN103" s="168"/>
      <c r="BO103" s="177"/>
      <c r="BP103" s="168"/>
      <c r="BQ103" s="177"/>
      <c r="BR103" s="168"/>
      <c r="BS103" s="177"/>
      <c r="BT103" s="168"/>
      <c r="BU103" s="177"/>
      <c r="BV103" s="168"/>
      <c r="BW103" s="177"/>
      <c r="BX103" s="168"/>
      <c r="BY103" s="177"/>
      <c r="BZ103" s="168"/>
      <c r="CA103" s="177"/>
      <c r="CB103" s="168"/>
      <c r="CC103" s="177"/>
      <c r="CD103" s="168"/>
      <c r="CE103" s="177"/>
      <c r="CF103" s="168"/>
      <c r="CG103" s="187"/>
      <c r="CH103" s="183"/>
      <c r="CI103" s="185"/>
      <c r="CJ103" s="160"/>
      <c r="CK103" s="160"/>
      <c r="CL103" s="160"/>
      <c r="CM103" s="160"/>
      <c r="CN103" s="160"/>
      <c r="CO103" s="160"/>
      <c r="CP103" s="160"/>
      <c r="CQ103" s="160"/>
      <c r="CR103" s="160"/>
      <c r="CS103" s="179"/>
      <c r="CT103" s="160"/>
      <c r="CU103" s="160"/>
      <c r="CV103" s="160"/>
      <c r="CW103" s="160"/>
      <c r="CX103" s="160"/>
      <c r="CY103" s="160"/>
      <c r="CZ103" s="160"/>
      <c r="DA103" s="160"/>
      <c r="DB103" s="160"/>
      <c r="DC103" s="160"/>
      <c r="DD103" s="160"/>
      <c r="DE103" s="160"/>
      <c r="DF103" s="160"/>
      <c r="DG103" s="160"/>
      <c r="DH103" s="160"/>
      <c r="DI103" s="160"/>
      <c r="DJ103" s="160"/>
      <c r="DK103" s="160"/>
      <c r="DL103" s="160"/>
      <c r="DM103" s="160"/>
      <c r="DN103" s="160"/>
    </row>
    <row r="104" spans="1:118" hidden="1">
      <c r="A104" s="149"/>
      <c r="B104" s="150"/>
      <c r="C104" s="151"/>
      <c r="D104" s="152"/>
      <c r="E104" s="152"/>
      <c r="F104" s="152"/>
      <c r="G104" s="152"/>
      <c r="H104" s="62">
        <f>SUM(Table4[[#This Row],[BASIC]:[FOOD]])</f>
        <v>0</v>
      </c>
      <c r="I104" s="62"/>
      <c r="J104" s="62"/>
      <c r="K104" s="62"/>
      <c r="L104" s="62"/>
      <c r="M104" s="62"/>
      <c r="N104" s="62"/>
      <c r="O104" s="62">
        <f>SUM(Table4[[#This Row],[ESI BASIC]:[ESI FOOD]])</f>
        <v>0</v>
      </c>
      <c r="P104" s="160"/>
      <c r="Q104" s="160"/>
      <c r="R104" s="175"/>
      <c r="S104" s="167"/>
      <c r="T104" s="10">
        <f t="shared" si="12"/>
        <v>0</v>
      </c>
      <c r="U104" s="167"/>
      <c r="V104" s="10">
        <f t="shared" si="13"/>
        <v>0</v>
      </c>
      <c r="W104" s="10">
        <f t="shared" si="14"/>
        <v>0</v>
      </c>
      <c r="X104" s="170"/>
      <c r="Y104" s="177"/>
      <c r="Z104" s="168"/>
      <c r="AA104" s="177"/>
      <c r="AB104" s="168"/>
      <c r="AC104" s="177"/>
      <c r="AD104" s="168"/>
      <c r="AE104" s="177"/>
      <c r="AF104" s="168"/>
      <c r="AG104" s="177"/>
      <c r="AH104" s="168"/>
      <c r="AI104" s="177"/>
      <c r="AJ104" s="168"/>
      <c r="AK104" s="177"/>
      <c r="AL104" s="168"/>
      <c r="AM104" s="177"/>
      <c r="AN104" s="168"/>
      <c r="AO104" s="177"/>
      <c r="AP104" s="168"/>
      <c r="AQ104" s="177"/>
      <c r="AR104" s="168"/>
      <c r="AS104" s="177"/>
      <c r="AT104" s="168"/>
      <c r="AU104" s="177"/>
      <c r="AV104" s="168"/>
      <c r="AW104" s="177"/>
      <c r="AX104" s="168"/>
      <c r="AY104" s="177"/>
      <c r="AZ104" s="168"/>
      <c r="BA104" s="177"/>
      <c r="BB104" s="168"/>
      <c r="BC104" s="177"/>
      <c r="BD104" s="168"/>
      <c r="BE104" s="177"/>
      <c r="BF104" s="168"/>
      <c r="BG104" s="177"/>
      <c r="BH104" s="168"/>
      <c r="BI104" s="177"/>
      <c r="BJ104" s="168"/>
      <c r="BK104" s="177"/>
      <c r="BL104" s="168"/>
      <c r="BM104" s="177"/>
      <c r="BN104" s="168"/>
      <c r="BO104" s="177"/>
      <c r="BP104" s="168"/>
      <c r="BQ104" s="177"/>
      <c r="BR104" s="168"/>
      <c r="BS104" s="177"/>
      <c r="BT104" s="168"/>
      <c r="BU104" s="177"/>
      <c r="BV104" s="168"/>
      <c r="BW104" s="177"/>
      <c r="BX104" s="168"/>
      <c r="BY104" s="177"/>
      <c r="BZ104" s="168"/>
      <c r="CA104" s="177"/>
      <c r="CB104" s="168"/>
      <c r="CC104" s="177"/>
      <c r="CD104" s="168"/>
      <c r="CE104" s="177"/>
      <c r="CF104" s="168"/>
      <c r="CG104" s="187"/>
      <c r="CH104" s="183"/>
      <c r="CI104" s="185"/>
      <c r="CJ104" s="160"/>
      <c r="CK104" s="160"/>
      <c r="CL104" s="160"/>
      <c r="CM104" s="160"/>
      <c r="CN104" s="160"/>
      <c r="CO104" s="160"/>
      <c r="CP104" s="160"/>
      <c r="CQ104" s="160"/>
      <c r="CR104" s="160"/>
      <c r="CS104" s="179"/>
      <c r="CT104" s="160"/>
      <c r="CU104" s="160"/>
      <c r="CV104" s="160"/>
      <c r="CW104" s="160"/>
      <c r="CX104" s="160"/>
      <c r="CY104" s="160"/>
      <c r="CZ104" s="160"/>
      <c r="DA104" s="160"/>
      <c r="DB104" s="160"/>
      <c r="DC104" s="160"/>
      <c r="DD104" s="160"/>
      <c r="DE104" s="160"/>
      <c r="DF104" s="160"/>
      <c r="DG104" s="160"/>
      <c r="DH104" s="160"/>
      <c r="DI104" s="160"/>
      <c r="DJ104" s="160"/>
      <c r="DK104" s="160"/>
      <c r="DL104" s="160"/>
      <c r="DM104" s="160"/>
      <c r="DN104" s="160"/>
    </row>
    <row r="105" spans="1:118" hidden="1">
      <c r="A105" s="149"/>
      <c r="B105" s="150"/>
      <c r="C105" s="151"/>
      <c r="D105" s="152"/>
      <c r="E105" s="152"/>
      <c r="F105" s="152"/>
      <c r="G105" s="152"/>
      <c r="H105" s="62">
        <f>SUM(Table4[[#This Row],[BASIC]:[FOOD]])</f>
        <v>0</v>
      </c>
      <c r="I105" s="62"/>
      <c r="J105" s="62"/>
      <c r="K105" s="62"/>
      <c r="L105" s="62"/>
      <c r="M105" s="62"/>
      <c r="N105" s="62"/>
      <c r="O105" s="62">
        <f>SUM(Table4[[#This Row],[ESI BASIC]:[ESI FOOD]])</f>
        <v>0</v>
      </c>
      <c r="P105" s="160"/>
      <c r="Q105" s="160"/>
      <c r="R105" s="175"/>
      <c r="S105" s="167"/>
      <c r="T105" s="10">
        <f t="shared" si="12"/>
        <v>0</v>
      </c>
      <c r="U105" s="167"/>
      <c r="V105" s="10">
        <f t="shared" si="13"/>
        <v>0</v>
      </c>
      <c r="W105" s="10">
        <f t="shared" si="14"/>
        <v>0</v>
      </c>
      <c r="X105" s="170"/>
      <c r="Y105" s="177"/>
      <c r="Z105" s="168"/>
      <c r="AA105" s="177"/>
      <c r="AB105" s="168"/>
      <c r="AC105" s="177"/>
      <c r="AD105" s="168"/>
      <c r="AE105" s="177"/>
      <c r="AF105" s="168"/>
      <c r="AG105" s="177"/>
      <c r="AH105" s="168"/>
      <c r="AI105" s="177"/>
      <c r="AJ105" s="168"/>
      <c r="AK105" s="177"/>
      <c r="AL105" s="168"/>
      <c r="AM105" s="177"/>
      <c r="AN105" s="168"/>
      <c r="AO105" s="177"/>
      <c r="AP105" s="168"/>
      <c r="AQ105" s="177"/>
      <c r="AR105" s="168"/>
      <c r="AS105" s="177"/>
      <c r="AT105" s="168"/>
      <c r="AU105" s="177"/>
      <c r="AV105" s="168"/>
      <c r="AW105" s="177"/>
      <c r="AX105" s="168"/>
      <c r="AY105" s="177"/>
      <c r="AZ105" s="168"/>
      <c r="BA105" s="177"/>
      <c r="BB105" s="168"/>
      <c r="BC105" s="177"/>
      <c r="BD105" s="168"/>
      <c r="BE105" s="177"/>
      <c r="BF105" s="168"/>
      <c r="BG105" s="177"/>
      <c r="BH105" s="168"/>
      <c r="BI105" s="177"/>
      <c r="BJ105" s="168"/>
      <c r="BK105" s="177"/>
      <c r="BL105" s="168"/>
      <c r="BM105" s="177"/>
      <c r="BN105" s="168"/>
      <c r="BO105" s="177"/>
      <c r="BP105" s="168"/>
      <c r="BQ105" s="177"/>
      <c r="BR105" s="168"/>
      <c r="BS105" s="177"/>
      <c r="BT105" s="168"/>
      <c r="BU105" s="177"/>
      <c r="BV105" s="168"/>
      <c r="BW105" s="177"/>
      <c r="BX105" s="168"/>
      <c r="BY105" s="177"/>
      <c r="BZ105" s="168"/>
      <c r="CA105" s="177"/>
      <c r="CB105" s="168"/>
      <c r="CC105" s="177"/>
      <c r="CD105" s="168"/>
      <c r="CE105" s="177"/>
      <c r="CF105" s="168"/>
      <c r="CG105" s="187"/>
      <c r="CH105" s="183"/>
      <c r="CI105" s="185"/>
      <c r="CJ105" s="160"/>
      <c r="CK105" s="160"/>
      <c r="CL105" s="160"/>
      <c r="CM105" s="160"/>
      <c r="CN105" s="160"/>
      <c r="CO105" s="160"/>
      <c r="CP105" s="160"/>
      <c r="CQ105" s="160"/>
      <c r="CR105" s="160"/>
      <c r="CS105" s="179"/>
      <c r="CT105" s="160"/>
      <c r="CU105" s="160"/>
      <c r="CV105" s="160"/>
      <c r="CW105" s="160"/>
      <c r="CX105" s="160"/>
      <c r="CY105" s="160"/>
      <c r="CZ105" s="160"/>
      <c r="DA105" s="160"/>
      <c r="DB105" s="160"/>
      <c r="DC105" s="160"/>
      <c r="DD105" s="160"/>
      <c r="DE105" s="160"/>
      <c r="DF105" s="160"/>
      <c r="DG105" s="160"/>
      <c r="DH105" s="160"/>
      <c r="DI105" s="160"/>
      <c r="DJ105" s="160"/>
      <c r="DK105" s="160"/>
      <c r="DL105" s="160"/>
      <c r="DM105" s="160"/>
      <c r="DN105" s="160"/>
    </row>
    <row r="106" spans="1:118" hidden="1">
      <c r="A106" s="149"/>
      <c r="B106" s="150"/>
      <c r="C106" s="151"/>
      <c r="D106" s="152"/>
      <c r="E106" s="152"/>
      <c r="F106" s="152"/>
      <c r="G106" s="152"/>
      <c r="H106" s="62">
        <f>SUM(Table4[[#This Row],[BASIC]:[FOOD]])</f>
        <v>0</v>
      </c>
      <c r="I106" s="62"/>
      <c r="J106" s="62"/>
      <c r="K106" s="62"/>
      <c r="L106" s="62"/>
      <c r="M106" s="62"/>
      <c r="N106" s="62"/>
      <c r="O106" s="62">
        <f>SUM(Table4[[#This Row],[ESI BASIC]:[ESI FOOD]])</f>
        <v>0</v>
      </c>
      <c r="P106" s="160"/>
      <c r="Q106" s="160"/>
      <c r="R106" s="175"/>
      <c r="S106" s="167"/>
      <c r="T106" s="10">
        <f t="shared" si="12"/>
        <v>0</v>
      </c>
      <c r="U106" s="167"/>
      <c r="V106" s="10">
        <f t="shared" si="13"/>
        <v>0</v>
      </c>
      <c r="W106" s="10">
        <f t="shared" si="14"/>
        <v>0</v>
      </c>
      <c r="X106" s="170"/>
      <c r="Y106" s="177"/>
      <c r="Z106" s="168"/>
      <c r="AA106" s="177"/>
      <c r="AB106" s="168"/>
      <c r="AC106" s="177"/>
      <c r="AD106" s="168"/>
      <c r="AE106" s="177"/>
      <c r="AF106" s="168"/>
      <c r="AG106" s="177"/>
      <c r="AH106" s="168"/>
      <c r="AI106" s="177"/>
      <c r="AJ106" s="168"/>
      <c r="AK106" s="177"/>
      <c r="AL106" s="168"/>
      <c r="AM106" s="177"/>
      <c r="AN106" s="168"/>
      <c r="AO106" s="177"/>
      <c r="AP106" s="168"/>
      <c r="AQ106" s="177"/>
      <c r="AR106" s="168"/>
      <c r="AS106" s="177"/>
      <c r="AT106" s="168"/>
      <c r="AU106" s="177"/>
      <c r="AV106" s="168"/>
      <c r="AW106" s="177"/>
      <c r="AX106" s="168"/>
      <c r="AY106" s="177"/>
      <c r="AZ106" s="168"/>
      <c r="BA106" s="177"/>
      <c r="BB106" s="168"/>
      <c r="BC106" s="177"/>
      <c r="BD106" s="168"/>
      <c r="BE106" s="177"/>
      <c r="BF106" s="168"/>
      <c r="BG106" s="177"/>
      <c r="BH106" s="168"/>
      <c r="BI106" s="177"/>
      <c r="BJ106" s="168"/>
      <c r="BK106" s="177"/>
      <c r="BL106" s="168"/>
      <c r="BM106" s="177"/>
      <c r="BN106" s="168"/>
      <c r="BO106" s="177"/>
      <c r="BP106" s="168"/>
      <c r="BQ106" s="177"/>
      <c r="BR106" s="168"/>
      <c r="BS106" s="177"/>
      <c r="BT106" s="168"/>
      <c r="BU106" s="177"/>
      <c r="BV106" s="168"/>
      <c r="BW106" s="177"/>
      <c r="BX106" s="168"/>
      <c r="BY106" s="177"/>
      <c r="BZ106" s="168"/>
      <c r="CA106" s="177"/>
      <c r="CB106" s="168"/>
      <c r="CC106" s="177"/>
      <c r="CD106" s="168"/>
      <c r="CE106" s="177"/>
      <c r="CF106" s="168"/>
      <c r="CG106" s="187"/>
      <c r="CH106" s="183"/>
      <c r="CI106" s="185"/>
      <c r="CJ106" s="160"/>
      <c r="CK106" s="160"/>
      <c r="CL106" s="160"/>
      <c r="CM106" s="160"/>
      <c r="CN106" s="160"/>
      <c r="CO106" s="160"/>
      <c r="CP106" s="160"/>
      <c r="CQ106" s="160"/>
      <c r="CR106" s="160"/>
      <c r="CS106" s="179"/>
      <c r="CT106" s="160"/>
      <c r="CU106" s="160"/>
      <c r="CV106" s="160"/>
      <c r="CW106" s="160"/>
      <c r="CX106" s="160"/>
      <c r="CY106" s="160"/>
      <c r="CZ106" s="160"/>
      <c r="DA106" s="160"/>
      <c r="DB106" s="160"/>
      <c r="DC106" s="160"/>
      <c r="DD106" s="160"/>
      <c r="DE106" s="160"/>
      <c r="DF106" s="160"/>
      <c r="DG106" s="160"/>
      <c r="DH106" s="160"/>
      <c r="DI106" s="160"/>
      <c r="DJ106" s="160"/>
      <c r="DK106" s="160"/>
      <c r="DL106" s="160"/>
      <c r="DM106" s="160"/>
      <c r="DN106" s="160"/>
    </row>
    <row r="107" spans="1:118" hidden="1">
      <c r="A107" s="149"/>
      <c r="B107" s="150"/>
      <c r="C107" s="151"/>
      <c r="D107" s="152"/>
      <c r="E107" s="152"/>
      <c r="F107" s="152"/>
      <c r="G107" s="152"/>
      <c r="H107" s="62">
        <f>SUM(Table4[[#This Row],[BASIC]:[FOOD]])</f>
        <v>0</v>
      </c>
      <c r="I107" s="62"/>
      <c r="J107" s="62"/>
      <c r="K107" s="62"/>
      <c r="L107" s="62"/>
      <c r="M107" s="62"/>
      <c r="N107" s="62"/>
      <c r="O107" s="62">
        <f>SUM(Table4[[#This Row],[ESI BASIC]:[ESI FOOD]])</f>
        <v>0</v>
      </c>
      <c r="P107" s="160"/>
      <c r="Q107" s="160"/>
      <c r="R107" s="175"/>
      <c r="S107" s="167"/>
      <c r="T107" s="10">
        <f t="shared" si="12"/>
        <v>0</v>
      </c>
      <c r="U107" s="167"/>
      <c r="V107" s="10">
        <f t="shared" si="13"/>
        <v>0</v>
      </c>
      <c r="W107" s="10">
        <f t="shared" si="14"/>
        <v>0</v>
      </c>
      <c r="X107" s="170"/>
      <c r="Y107" s="177"/>
      <c r="Z107" s="168"/>
      <c r="AA107" s="177"/>
      <c r="AB107" s="168"/>
      <c r="AC107" s="177"/>
      <c r="AD107" s="168"/>
      <c r="AE107" s="177"/>
      <c r="AF107" s="168"/>
      <c r="AG107" s="177"/>
      <c r="AH107" s="168"/>
      <c r="AI107" s="177"/>
      <c r="AJ107" s="168"/>
      <c r="AK107" s="177"/>
      <c r="AL107" s="168"/>
      <c r="AM107" s="177"/>
      <c r="AN107" s="168"/>
      <c r="AO107" s="177"/>
      <c r="AP107" s="168"/>
      <c r="AQ107" s="177"/>
      <c r="AR107" s="168"/>
      <c r="AS107" s="177"/>
      <c r="AT107" s="168"/>
      <c r="AU107" s="177"/>
      <c r="AV107" s="168"/>
      <c r="AW107" s="177"/>
      <c r="AX107" s="168"/>
      <c r="AY107" s="177"/>
      <c r="AZ107" s="168"/>
      <c r="BA107" s="177"/>
      <c r="BB107" s="168"/>
      <c r="BC107" s="177"/>
      <c r="BD107" s="168"/>
      <c r="BE107" s="177"/>
      <c r="BF107" s="168"/>
      <c r="BG107" s="177"/>
      <c r="BH107" s="168"/>
      <c r="BI107" s="177"/>
      <c r="BJ107" s="168"/>
      <c r="BK107" s="177"/>
      <c r="BL107" s="168"/>
      <c r="BM107" s="177"/>
      <c r="BN107" s="168"/>
      <c r="BO107" s="177"/>
      <c r="BP107" s="168"/>
      <c r="BQ107" s="177"/>
      <c r="BR107" s="168"/>
      <c r="BS107" s="177"/>
      <c r="BT107" s="168"/>
      <c r="BU107" s="177"/>
      <c r="BV107" s="168"/>
      <c r="BW107" s="177"/>
      <c r="BX107" s="168"/>
      <c r="BY107" s="177"/>
      <c r="BZ107" s="168"/>
      <c r="CA107" s="177"/>
      <c r="CB107" s="168"/>
      <c r="CC107" s="177"/>
      <c r="CD107" s="168"/>
      <c r="CE107" s="177"/>
      <c r="CF107" s="168"/>
      <c r="CG107" s="187"/>
      <c r="CH107" s="183"/>
      <c r="CI107" s="185"/>
      <c r="CJ107" s="160"/>
      <c r="CK107" s="160"/>
      <c r="CL107" s="160"/>
      <c r="CM107" s="160"/>
      <c r="CN107" s="160"/>
      <c r="CO107" s="160"/>
      <c r="CP107" s="160"/>
      <c r="CQ107" s="160"/>
      <c r="CR107" s="160"/>
      <c r="CS107" s="179"/>
      <c r="CT107" s="160"/>
      <c r="CU107" s="160"/>
      <c r="CV107" s="160"/>
      <c r="CW107" s="160"/>
      <c r="CX107" s="160"/>
      <c r="CY107" s="160"/>
      <c r="CZ107" s="160"/>
      <c r="DA107" s="160"/>
      <c r="DB107" s="160"/>
      <c r="DC107" s="160"/>
      <c r="DD107" s="160"/>
      <c r="DE107" s="160"/>
      <c r="DF107" s="160"/>
      <c r="DG107" s="160"/>
      <c r="DH107" s="160"/>
      <c r="DI107" s="160"/>
      <c r="DJ107" s="160"/>
      <c r="DK107" s="160"/>
      <c r="DL107" s="160"/>
      <c r="DM107" s="160"/>
      <c r="DN107" s="160"/>
    </row>
    <row r="108" spans="1:118" hidden="1">
      <c r="A108" s="149"/>
      <c r="B108" s="150"/>
      <c r="C108" s="151"/>
      <c r="D108" s="152"/>
      <c r="E108" s="152"/>
      <c r="F108" s="152"/>
      <c r="G108" s="152"/>
      <c r="H108" s="62">
        <f>SUM(Table4[[#This Row],[BASIC]:[FOOD]])</f>
        <v>0</v>
      </c>
      <c r="I108" s="62"/>
      <c r="J108" s="62"/>
      <c r="K108" s="62"/>
      <c r="L108" s="62"/>
      <c r="M108" s="62"/>
      <c r="N108" s="62"/>
      <c r="O108" s="62">
        <f>SUM(Table4[[#This Row],[ESI BASIC]:[ESI FOOD]])</f>
        <v>0</v>
      </c>
      <c r="P108" s="160"/>
      <c r="Q108" s="160"/>
      <c r="R108" s="175"/>
      <c r="S108" s="167"/>
      <c r="T108" s="10">
        <f t="shared" si="12"/>
        <v>0</v>
      </c>
      <c r="U108" s="167"/>
      <c r="V108" s="10">
        <f t="shared" si="13"/>
        <v>0</v>
      </c>
      <c r="W108" s="10">
        <f t="shared" si="14"/>
        <v>0</v>
      </c>
      <c r="X108" s="170"/>
      <c r="Y108" s="177"/>
      <c r="Z108" s="168"/>
      <c r="AA108" s="177"/>
      <c r="AB108" s="168"/>
      <c r="AC108" s="177"/>
      <c r="AD108" s="168"/>
      <c r="AE108" s="177"/>
      <c r="AF108" s="168"/>
      <c r="AG108" s="177"/>
      <c r="AH108" s="168"/>
      <c r="AI108" s="177"/>
      <c r="AJ108" s="168"/>
      <c r="AK108" s="177"/>
      <c r="AL108" s="168"/>
      <c r="AM108" s="177"/>
      <c r="AN108" s="168"/>
      <c r="AO108" s="177"/>
      <c r="AP108" s="168"/>
      <c r="AQ108" s="177"/>
      <c r="AR108" s="168"/>
      <c r="AS108" s="177"/>
      <c r="AT108" s="168"/>
      <c r="AU108" s="177"/>
      <c r="AV108" s="168"/>
      <c r="AW108" s="177"/>
      <c r="AX108" s="168"/>
      <c r="AY108" s="177"/>
      <c r="AZ108" s="168"/>
      <c r="BA108" s="177"/>
      <c r="BB108" s="168"/>
      <c r="BC108" s="177"/>
      <c r="BD108" s="168"/>
      <c r="BE108" s="177"/>
      <c r="BF108" s="168"/>
      <c r="BG108" s="177"/>
      <c r="BH108" s="168"/>
      <c r="BI108" s="177"/>
      <c r="BJ108" s="168"/>
      <c r="BK108" s="177"/>
      <c r="BL108" s="168"/>
      <c r="BM108" s="177"/>
      <c r="BN108" s="168"/>
      <c r="BO108" s="177"/>
      <c r="BP108" s="168"/>
      <c r="BQ108" s="177"/>
      <c r="BR108" s="168"/>
      <c r="BS108" s="177"/>
      <c r="BT108" s="168"/>
      <c r="BU108" s="177"/>
      <c r="BV108" s="168"/>
      <c r="BW108" s="177"/>
      <c r="BX108" s="168"/>
      <c r="BY108" s="177"/>
      <c r="BZ108" s="168"/>
      <c r="CA108" s="177"/>
      <c r="CB108" s="168"/>
      <c r="CC108" s="177"/>
      <c r="CD108" s="168"/>
      <c r="CE108" s="177"/>
      <c r="CF108" s="168"/>
      <c r="CG108" s="187"/>
      <c r="CH108" s="183"/>
      <c r="CI108" s="185"/>
      <c r="CJ108" s="160"/>
      <c r="CK108" s="160"/>
      <c r="CL108" s="160"/>
      <c r="CM108" s="160"/>
      <c r="CN108" s="160"/>
      <c r="CO108" s="160"/>
      <c r="CP108" s="160"/>
      <c r="CQ108" s="160"/>
      <c r="CR108" s="160"/>
      <c r="CS108" s="179"/>
      <c r="CT108" s="160"/>
      <c r="CU108" s="160"/>
      <c r="CV108" s="160"/>
      <c r="CW108" s="160"/>
      <c r="CX108" s="160"/>
      <c r="CY108" s="160"/>
      <c r="CZ108" s="160"/>
      <c r="DA108" s="160"/>
      <c r="DB108" s="160"/>
      <c r="DC108" s="160"/>
      <c r="DD108" s="160"/>
      <c r="DE108" s="160"/>
      <c r="DF108" s="160"/>
      <c r="DG108" s="160"/>
      <c r="DH108" s="160"/>
      <c r="DI108" s="160"/>
      <c r="DJ108" s="160"/>
      <c r="DK108" s="160"/>
      <c r="DL108" s="160"/>
      <c r="DM108" s="160"/>
      <c r="DN108" s="160"/>
    </row>
    <row r="109" spans="1:118" hidden="1">
      <c r="A109" s="149"/>
      <c r="B109" s="150"/>
      <c r="C109" s="151"/>
      <c r="D109" s="152"/>
      <c r="E109" s="152"/>
      <c r="F109" s="152"/>
      <c r="G109" s="152"/>
      <c r="H109" s="62">
        <f>SUM(Table4[[#This Row],[BASIC]:[FOOD]])</f>
        <v>0</v>
      </c>
      <c r="I109" s="62"/>
      <c r="J109" s="62"/>
      <c r="K109" s="62"/>
      <c r="L109" s="62"/>
      <c r="M109" s="62"/>
      <c r="N109" s="62"/>
      <c r="O109" s="62">
        <f>SUM(Table4[[#This Row],[ESI BASIC]:[ESI FOOD]])</f>
        <v>0</v>
      </c>
      <c r="P109" s="160"/>
      <c r="Q109" s="160"/>
      <c r="R109" s="175"/>
      <c r="S109" s="167"/>
      <c r="T109" s="10">
        <f t="shared" si="12"/>
        <v>0</v>
      </c>
      <c r="U109" s="167"/>
      <c r="V109" s="10">
        <f t="shared" si="13"/>
        <v>0</v>
      </c>
      <c r="W109" s="10">
        <f t="shared" si="14"/>
        <v>0</v>
      </c>
      <c r="X109" s="170"/>
      <c r="Y109" s="177"/>
      <c r="Z109" s="168"/>
      <c r="AA109" s="177"/>
      <c r="AB109" s="168"/>
      <c r="AC109" s="177"/>
      <c r="AD109" s="168"/>
      <c r="AE109" s="177"/>
      <c r="AF109" s="168"/>
      <c r="AG109" s="177"/>
      <c r="AH109" s="168"/>
      <c r="AI109" s="177"/>
      <c r="AJ109" s="168"/>
      <c r="AK109" s="177"/>
      <c r="AL109" s="168"/>
      <c r="AM109" s="177"/>
      <c r="AN109" s="168"/>
      <c r="AO109" s="177"/>
      <c r="AP109" s="168"/>
      <c r="AQ109" s="177"/>
      <c r="AR109" s="168"/>
      <c r="AS109" s="177"/>
      <c r="AT109" s="168"/>
      <c r="AU109" s="177"/>
      <c r="AV109" s="168"/>
      <c r="AW109" s="177"/>
      <c r="AX109" s="168"/>
      <c r="AY109" s="177"/>
      <c r="AZ109" s="168"/>
      <c r="BA109" s="177"/>
      <c r="BB109" s="168"/>
      <c r="BC109" s="177"/>
      <c r="BD109" s="168"/>
      <c r="BE109" s="177"/>
      <c r="BF109" s="168"/>
      <c r="BG109" s="177"/>
      <c r="BH109" s="168"/>
      <c r="BI109" s="177"/>
      <c r="BJ109" s="168"/>
      <c r="BK109" s="177"/>
      <c r="BL109" s="168"/>
      <c r="BM109" s="177"/>
      <c r="BN109" s="168"/>
      <c r="BO109" s="177"/>
      <c r="BP109" s="168"/>
      <c r="BQ109" s="177"/>
      <c r="BR109" s="168"/>
      <c r="BS109" s="177"/>
      <c r="BT109" s="168"/>
      <c r="BU109" s="177"/>
      <c r="BV109" s="168"/>
      <c r="BW109" s="177"/>
      <c r="BX109" s="168"/>
      <c r="BY109" s="177"/>
      <c r="BZ109" s="168"/>
      <c r="CA109" s="177"/>
      <c r="CB109" s="168"/>
      <c r="CC109" s="177"/>
      <c r="CD109" s="168"/>
      <c r="CE109" s="177"/>
      <c r="CF109" s="168"/>
      <c r="CG109" s="187"/>
      <c r="CH109" s="183"/>
      <c r="CI109" s="185"/>
      <c r="CJ109" s="160"/>
      <c r="CK109" s="160"/>
      <c r="CL109" s="160"/>
      <c r="CM109" s="160"/>
      <c r="CN109" s="160"/>
      <c r="CO109" s="160"/>
      <c r="CP109" s="160"/>
      <c r="CQ109" s="160"/>
      <c r="CR109" s="160"/>
      <c r="CS109" s="179"/>
      <c r="CT109" s="160"/>
      <c r="CU109" s="160"/>
      <c r="CV109" s="160"/>
      <c r="CW109" s="160"/>
      <c r="CX109" s="160"/>
      <c r="CY109" s="160"/>
      <c r="CZ109" s="160"/>
      <c r="DA109" s="160"/>
      <c r="DB109" s="160"/>
      <c r="DC109" s="160"/>
      <c r="DD109" s="160"/>
      <c r="DE109" s="160"/>
      <c r="DF109" s="160"/>
      <c r="DG109" s="160"/>
      <c r="DH109" s="160"/>
      <c r="DI109" s="160"/>
      <c r="DJ109" s="160"/>
      <c r="DK109" s="160"/>
      <c r="DL109" s="160"/>
      <c r="DM109" s="160"/>
      <c r="DN109" s="160"/>
    </row>
    <row r="110" spans="1:118" hidden="1">
      <c r="A110" s="149"/>
      <c r="B110" s="150"/>
      <c r="C110" s="151"/>
      <c r="D110" s="152"/>
      <c r="E110" s="152"/>
      <c r="F110" s="152"/>
      <c r="G110" s="152"/>
      <c r="H110" s="62">
        <f>SUM(Table4[[#This Row],[BASIC]:[FOOD]])</f>
        <v>0</v>
      </c>
      <c r="I110" s="62"/>
      <c r="J110" s="62"/>
      <c r="K110" s="62"/>
      <c r="L110" s="62"/>
      <c r="M110" s="62"/>
      <c r="N110" s="62"/>
      <c r="O110" s="62">
        <f>SUM(Table4[[#This Row],[ESI BASIC]:[ESI FOOD]])</f>
        <v>0</v>
      </c>
      <c r="P110" s="160"/>
      <c r="Q110" s="160"/>
      <c r="R110" s="175"/>
      <c r="S110" s="167"/>
      <c r="T110" s="10">
        <f t="shared" si="12"/>
        <v>0</v>
      </c>
      <c r="U110" s="167"/>
      <c r="V110" s="10">
        <f t="shared" si="13"/>
        <v>0</v>
      </c>
      <c r="W110" s="10">
        <f t="shared" si="14"/>
        <v>0</v>
      </c>
      <c r="X110" s="170"/>
      <c r="Y110" s="177"/>
      <c r="Z110" s="168"/>
      <c r="AA110" s="177"/>
      <c r="AB110" s="168"/>
      <c r="AC110" s="177"/>
      <c r="AD110" s="168"/>
      <c r="AE110" s="177"/>
      <c r="AF110" s="168"/>
      <c r="AG110" s="177"/>
      <c r="AH110" s="168"/>
      <c r="AI110" s="177"/>
      <c r="AJ110" s="168"/>
      <c r="AK110" s="177"/>
      <c r="AL110" s="168"/>
      <c r="AM110" s="177"/>
      <c r="AN110" s="168"/>
      <c r="AO110" s="177"/>
      <c r="AP110" s="168"/>
      <c r="AQ110" s="177"/>
      <c r="AR110" s="168"/>
      <c r="AS110" s="177"/>
      <c r="AT110" s="168"/>
      <c r="AU110" s="177"/>
      <c r="AV110" s="168"/>
      <c r="AW110" s="177"/>
      <c r="AX110" s="168"/>
      <c r="AY110" s="177"/>
      <c r="AZ110" s="168"/>
      <c r="BA110" s="177"/>
      <c r="BB110" s="168"/>
      <c r="BC110" s="177"/>
      <c r="BD110" s="168"/>
      <c r="BE110" s="177"/>
      <c r="BF110" s="168"/>
      <c r="BG110" s="177"/>
      <c r="BH110" s="168"/>
      <c r="BI110" s="177"/>
      <c r="BJ110" s="168"/>
      <c r="BK110" s="177"/>
      <c r="BL110" s="168"/>
      <c r="BM110" s="177"/>
      <c r="BN110" s="168"/>
      <c r="BO110" s="177"/>
      <c r="BP110" s="168"/>
      <c r="BQ110" s="177"/>
      <c r="BR110" s="168"/>
      <c r="BS110" s="177"/>
      <c r="BT110" s="168"/>
      <c r="BU110" s="177"/>
      <c r="BV110" s="168"/>
      <c r="BW110" s="177"/>
      <c r="BX110" s="168"/>
      <c r="BY110" s="177"/>
      <c r="BZ110" s="168"/>
      <c r="CA110" s="177"/>
      <c r="CB110" s="168"/>
      <c r="CC110" s="177"/>
      <c r="CD110" s="168"/>
      <c r="CE110" s="177"/>
      <c r="CF110" s="168"/>
      <c r="CG110" s="187"/>
      <c r="CH110" s="183"/>
      <c r="CI110" s="185"/>
      <c r="CJ110" s="160"/>
      <c r="CK110" s="160"/>
      <c r="CL110" s="160"/>
      <c r="CM110" s="160"/>
      <c r="CN110" s="160"/>
      <c r="CO110" s="160"/>
      <c r="CP110" s="160"/>
      <c r="CQ110" s="160"/>
      <c r="CR110" s="160"/>
      <c r="CS110" s="179"/>
      <c r="CT110" s="160"/>
      <c r="CU110" s="160"/>
      <c r="CV110" s="160"/>
      <c r="CW110" s="160"/>
      <c r="CX110" s="160"/>
      <c r="CY110" s="160"/>
      <c r="CZ110" s="160"/>
      <c r="DA110" s="160"/>
      <c r="DB110" s="160"/>
      <c r="DC110" s="160"/>
      <c r="DD110" s="160"/>
      <c r="DE110" s="160"/>
      <c r="DF110" s="160"/>
      <c r="DG110" s="160"/>
      <c r="DH110" s="160"/>
      <c r="DI110" s="160"/>
      <c r="DJ110" s="160"/>
      <c r="DK110" s="160"/>
      <c r="DL110" s="160"/>
      <c r="DM110" s="160"/>
      <c r="DN110" s="160"/>
    </row>
    <row r="111" spans="1:118" hidden="1">
      <c r="A111" s="149"/>
      <c r="B111" s="150"/>
      <c r="C111" s="151"/>
      <c r="D111" s="152"/>
      <c r="E111" s="152"/>
      <c r="F111" s="152"/>
      <c r="G111" s="152"/>
      <c r="H111" s="62">
        <f>SUM(Table4[[#This Row],[BASIC]:[FOOD]])</f>
        <v>0</v>
      </c>
      <c r="I111" s="62"/>
      <c r="J111" s="62"/>
      <c r="K111" s="62"/>
      <c r="L111" s="62"/>
      <c r="M111" s="62"/>
      <c r="N111" s="62"/>
      <c r="O111" s="62">
        <f>SUM(Table4[[#This Row],[ESI BASIC]:[ESI FOOD]])</f>
        <v>0</v>
      </c>
      <c r="P111" s="160"/>
      <c r="Q111" s="160"/>
      <c r="R111" s="175"/>
      <c r="S111" s="167"/>
      <c r="T111" s="10">
        <f t="shared" si="12"/>
        <v>0</v>
      </c>
      <c r="U111" s="167"/>
      <c r="V111" s="10">
        <f t="shared" si="13"/>
        <v>0</v>
      </c>
      <c r="W111" s="10">
        <f t="shared" si="14"/>
        <v>0</v>
      </c>
      <c r="X111" s="170"/>
      <c r="Y111" s="177"/>
      <c r="Z111" s="168"/>
      <c r="AA111" s="177"/>
      <c r="AB111" s="168"/>
      <c r="AC111" s="177"/>
      <c r="AD111" s="168"/>
      <c r="AE111" s="177"/>
      <c r="AF111" s="168"/>
      <c r="AG111" s="177"/>
      <c r="AH111" s="168"/>
      <c r="AI111" s="177"/>
      <c r="AJ111" s="168"/>
      <c r="AK111" s="177"/>
      <c r="AL111" s="168"/>
      <c r="AM111" s="177"/>
      <c r="AN111" s="168"/>
      <c r="AO111" s="177"/>
      <c r="AP111" s="168"/>
      <c r="AQ111" s="177"/>
      <c r="AR111" s="168"/>
      <c r="AS111" s="177"/>
      <c r="AT111" s="168"/>
      <c r="AU111" s="177"/>
      <c r="AV111" s="168"/>
      <c r="AW111" s="177"/>
      <c r="AX111" s="168"/>
      <c r="AY111" s="177"/>
      <c r="AZ111" s="168"/>
      <c r="BA111" s="177"/>
      <c r="BB111" s="168"/>
      <c r="BC111" s="177"/>
      <c r="BD111" s="168"/>
      <c r="BE111" s="177"/>
      <c r="BF111" s="168"/>
      <c r="BG111" s="177"/>
      <c r="BH111" s="168"/>
      <c r="BI111" s="177"/>
      <c r="BJ111" s="168"/>
      <c r="BK111" s="177"/>
      <c r="BL111" s="168"/>
      <c r="BM111" s="177"/>
      <c r="BN111" s="168"/>
      <c r="BO111" s="177"/>
      <c r="BP111" s="168"/>
      <c r="BQ111" s="177"/>
      <c r="BR111" s="168"/>
      <c r="BS111" s="177"/>
      <c r="BT111" s="168"/>
      <c r="BU111" s="177"/>
      <c r="BV111" s="168"/>
      <c r="BW111" s="177"/>
      <c r="BX111" s="168"/>
      <c r="BY111" s="177"/>
      <c r="BZ111" s="168"/>
      <c r="CA111" s="177"/>
      <c r="CB111" s="168"/>
      <c r="CC111" s="177"/>
      <c r="CD111" s="168"/>
      <c r="CE111" s="177"/>
      <c r="CF111" s="168"/>
      <c r="CG111" s="187"/>
      <c r="CH111" s="183"/>
      <c r="CI111" s="185"/>
      <c r="CJ111" s="160"/>
      <c r="CK111" s="160"/>
      <c r="CL111" s="160"/>
      <c r="CM111" s="160"/>
      <c r="CN111" s="160"/>
      <c r="CO111" s="160"/>
      <c r="CP111" s="160"/>
      <c r="CQ111" s="160"/>
      <c r="CR111" s="160"/>
      <c r="CS111" s="179"/>
      <c r="CT111" s="160"/>
      <c r="CU111" s="160"/>
      <c r="CV111" s="160"/>
      <c r="CW111" s="160"/>
      <c r="CX111" s="160"/>
      <c r="CY111" s="160"/>
      <c r="CZ111" s="160"/>
      <c r="DA111" s="160"/>
      <c r="DB111" s="160"/>
      <c r="DC111" s="160"/>
      <c r="DD111" s="160"/>
      <c r="DE111" s="160"/>
      <c r="DF111" s="160"/>
      <c r="DG111" s="160"/>
      <c r="DH111" s="160"/>
      <c r="DI111" s="160"/>
      <c r="DJ111" s="160"/>
      <c r="DK111" s="160"/>
      <c r="DL111" s="160"/>
      <c r="DM111" s="160"/>
      <c r="DN111" s="160"/>
    </row>
    <row r="112" spans="1:118" hidden="1">
      <c r="A112" s="149"/>
      <c r="B112" s="150"/>
      <c r="C112" s="151"/>
      <c r="D112" s="152"/>
      <c r="E112" s="152"/>
      <c r="F112" s="152"/>
      <c r="G112" s="152"/>
      <c r="H112" s="62">
        <f>SUM(Table4[[#This Row],[BASIC]:[FOOD]])</f>
        <v>0</v>
      </c>
      <c r="I112" s="62"/>
      <c r="J112" s="62"/>
      <c r="K112" s="62"/>
      <c r="L112" s="62"/>
      <c r="M112" s="62"/>
      <c r="N112" s="62"/>
      <c r="O112" s="62">
        <f>SUM(Table4[[#This Row],[ESI BASIC]:[ESI FOOD]])</f>
        <v>0</v>
      </c>
      <c r="P112" s="160"/>
      <c r="Q112" s="160"/>
      <c r="R112" s="175"/>
      <c r="S112" s="167"/>
      <c r="T112" s="10">
        <f t="shared" si="12"/>
        <v>0</v>
      </c>
      <c r="U112" s="167"/>
      <c r="V112" s="10">
        <f t="shared" si="13"/>
        <v>0</v>
      </c>
      <c r="W112" s="10">
        <f t="shared" si="14"/>
        <v>0</v>
      </c>
      <c r="X112" s="170"/>
      <c r="Y112" s="177"/>
      <c r="Z112" s="168"/>
      <c r="AA112" s="177"/>
      <c r="AB112" s="168"/>
      <c r="AC112" s="177"/>
      <c r="AD112" s="168"/>
      <c r="AE112" s="177"/>
      <c r="AF112" s="168"/>
      <c r="AG112" s="177"/>
      <c r="AH112" s="168"/>
      <c r="AI112" s="177"/>
      <c r="AJ112" s="168"/>
      <c r="AK112" s="177"/>
      <c r="AL112" s="168"/>
      <c r="AM112" s="177"/>
      <c r="AN112" s="168"/>
      <c r="AO112" s="177"/>
      <c r="AP112" s="168"/>
      <c r="AQ112" s="177"/>
      <c r="AR112" s="168"/>
      <c r="AS112" s="177"/>
      <c r="AT112" s="168"/>
      <c r="AU112" s="177"/>
      <c r="AV112" s="168"/>
      <c r="AW112" s="177"/>
      <c r="AX112" s="168"/>
      <c r="AY112" s="177"/>
      <c r="AZ112" s="168"/>
      <c r="BA112" s="177"/>
      <c r="BB112" s="168"/>
      <c r="BC112" s="177"/>
      <c r="BD112" s="168"/>
      <c r="BE112" s="177"/>
      <c r="BF112" s="168"/>
      <c r="BG112" s="177"/>
      <c r="BH112" s="168"/>
      <c r="BI112" s="177"/>
      <c r="BJ112" s="168"/>
      <c r="BK112" s="177"/>
      <c r="BL112" s="168"/>
      <c r="BM112" s="177"/>
      <c r="BN112" s="168"/>
      <c r="BO112" s="177"/>
      <c r="BP112" s="168"/>
      <c r="BQ112" s="177"/>
      <c r="BR112" s="168"/>
      <c r="BS112" s="177"/>
      <c r="BT112" s="168"/>
      <c r="BU112" s="177"/>
      <c r="BV112" s="168"/>
      <c r="BW112" s="177"/>
      <c r="BX112" s="168"/>
      <c r="BY112" s="177"/>
      <c r="BZ112" s="168"/>
      <c r="CA112" s="177"/>
      <c r="CB112" s="168"/>
      <c r="CC112" s="177"/>
      <c r="CD112" s="168"/>
      <c r="CE112" s="177"/>
      <c r="CF112" s="168"/>
      <c r="CG112" s="187"/>
      <c r="CH112" s="183"/>
      <c r="CI112" s="185"/>
      <c r="CJ112" s="160"/>
      <c r="CK112" s="160"/>
      <c r="CL112" s="160"/>
      <c r="CM112" s="160"/>
      <c r="CN112" s="160"/>
      <c r="CO112" s="160"/>
      <c r="CP112" s="160"/>
      <c r="CQ112" s="160"/>
      <c r="CR112" s="160"/>
      <c r="CS112" s="179"/>
      <c r="CT112" s="160"/>
      <c r="CU112" s="160"/>
      <c r="CV112" s="160"/>
      <c r="CW112" s="160"/>
      <c r="CX112" s="160"/>
      <c r="CY112" s="160"/>
      <c r="CZ112" s="160"/>
      <c r="DA112" s="160"/>
      <c r="DB112" s="160"/>
      <c r="DC112" s="160"/>
      <c r="DD112" s="160"/>
      <c r="DE112" s="160"/>
      <c r="DF112" s="160"/>
      <c r="DG112" s="160"/>
      <c r="DH112" s="160"/>
      <c r="DI112" s="160"/>
      <c r="DJ112" s="160"/>
      <c r="DK112" s="160"/>
      <c r="DL112" s="160"/>
      <c r="DM112" s="160"/>
      <c r="DN112" s="160"/>
    </row>
    <row r="113" spans="1:118" hidden="1">
      <c r="A113" s="149"/>
      <c r="B113" s="150"/>
      <c r="C113" s="151"/>
      <c r="D113" s="152"/>
      <c r="E113" s="152"/>
      <c r="F113" s="152"/>
      <c r="G113" s="152"/>
      <c r="H113" s="62">
        <f>SUM(Table4[[#This Row],[BASIC]:[FOOD]])</f>
        <v>0</v>
      </c>
      <c r="I113" s="62"/>
      <c r="J113" s="62"/>
      <c r="K113" s="62"/>
      <c r="L113" s="62"/>
      <c r="M113" s="62"/>
      <c r="N113" s="62"/>
      <c r="O113" s="62">
        <f>SUM(Table4[[#This Row],[ESI BASIC]:[ESI FOOD]])</f>
        <v>0</v>
      </c>
      <c r="P113" s="160"/>
      <c r="Q113" s="160"/>
      <c r="R113" s="175"/>
      <c r="S113" s="167"/>
      <c r="T113" s="10">
        <f t="shared" si="12"/>
        <v>0</v>
      </c>
      <c r="U113" s="167"/>
      <c r="V113" s="10">
        <f t="shared" si="13"/>
        <v>0</v>
      </c>
      <c r="W113" s="10">
        <f t="shared" si="14"/>
        <v>0</v>
      </c>
      <c r="X113" s="170"/>
      <c r="Y113" s="177"/>
      <c r="Z113" s="168"/>
      <c r="AA113" s="177"/>
      <c r="AB113" s="168"/>
      <c r="AC113" s="177"/>
      <c r="AD113" s="168"/>
      <c r="AE113" s="177"/>
      <c r="AF113" s="168"/>
      <c r="AG113" s="177"/>
      <c r="AH113" s="168"/>
      <c r="AI113" s="177"/>
      <c r="AJ113" s="168"/>
      <c r="AK113" s="177"/>
      <c r="AL113" s="168"/>
      <c r="AM113" s="177"/>
      <c r="AN113" s="168"/>
      <c r="AO113" s="177"/>
      <c r="AP113" s="168"/>
      <c r="AQ113" s="177"/>
      <c r="AR113" s="168"/>
      <c r="AS113" s="177"/>
      <c r="AT113" s="168"/>
      <c r="AU113" s="177"/>
      <c r="AV113" s="168"/>
      <c r="AW113" s="177"/>
      <c r="AX113" s="168"/>
      <c r="AY113" s="177"/>
      <c r="AZ113" s="168"/>
      <c r="BA113" s="177"/>
      <c r="BB113" s="168"/>
      <c r="BC113" s="177"/>
      <c r="BD113" s="168"/>
      <c r="BE113" s="177"/>
      <c r="BF113" s="168"/>
      <c r="BG113" s="177"/>
      <c r="BH113" s="168"/>
      <c r="BI113" s="177"/>
      <c r="BJ113" s="168"/>
      <c r="BK113" s="177"/>
      <c r="BL113" s="168"/>
      <c r="BM113" s="177"/>
      <c r="BN113" s="168"/>
      <c r="BO113" s="177"/>
      <c r="BP113" s="168"/>
      <c r="BQ113" s="177"/>
      <c r="BR113" s="168"/>
      <c r="BS113" s="177"/>
      <c r="BT113" s="168"/>
      <c r="BU113" s="177"/>
      <c r="BV113" s="168"/>
      <c r="BW113" s="177"/>
      <c r="BX113" s="168"/>
      <c r="BY113" s="177"/>
      <c r="BZ113" s="168"/>
      <c r="CA113" s="177"/>
      <c r="CB113" s="168"/>
      <c r="CC113" s="177"/>
      <c r="CD113" s="168"/>
      <c r="CE113" s="177"/>
      <c r="CF113" s="168"/>
      <c r="CG113" s="187"/>
      <c r="CH113" s="183"/>
      <c r="CI113" s="185"/>
      <c r="CJ113" s="160"/>
      <c r="CK113" s="160"/>
      <c r="CL113" s="160"/>
      <c r="CM113" s="160"/>
      <c r="CN113" s="160"/>
      <c r="CO113" s="160"/>
      <c r="CP113" s="160"/>
      <c r="CQ113" s="160"/>
      <c r="CR113" s="160"/>
      <c r="CS113" s="179"/>
      <c r="CT113" s="160"/>
      <c r="CU113" s="160"/>
      <c r="CV113" s="160"/>
      <c r="CW113" s="160"/>
      <c r="CX113" s="160"/>
      <c r="CY113" s="160"/>
      <c r="CZ113" s="160"/>
      <c r="DA113" s="160"/>
      <c r="DB113" s="160"/>
      <c r="DC113" s="160"/>
      <c r="DD113" s="160"/>
      <c r="DE113" s="160"/>
      <c r="DF113" s="160"/>
      <c r="DG113" s="160"/>
      <c r="DH113" s="160"/>
      <c r="DI113" s="160"/>
      <c r="DJ113" s="160"/>
      <c r="DK113" s="160"/>
      <c r="DL113" s="160"/>
      <c r="DM113" s="160"/>
      <c r="DN113" s="160"/>
    </row>
    <row r="114" spans="1:118" hidden="1">
      <c r="A114" s="149"/>
      <c r="B114" s="150"/>
      <c r="C114" s="151"/>
      <c r="D114" s="152"/>
      <c r="E114" s="152"/>
      <c r="F114" s="152"/>
      <c r="G114" s="152"/>
      <c r="H114" s="62">
        <f>SUM(Table4[[#This Row],[BASIC]:[FOOD]])</f>
        <v>0</v>
      </c>
      <c r="I114" s="62"/>
      <c r="J114" s="62"/>
      <c r="K114" s="62"/>
      <c r="L114" s="62"/>
      <c r="M114" s="62"/>
      <c r="N114" s="62"/>
      <c r="O114" s="62">
        <f>SUM(Table4[[#This Row],[ESI BASIC]:[ESI FOOD]])</f>
        <v>0</v>
      </c>
      <c r="P114" s="160"/>
      <c r="Q114" s="160"/>
      <c r="R114" s="175"/>
      <c r="S114" s="167"/>
      <c r="T114" s="10">
        <f t="shared" si="12"/>
        <v>0</v>
      </c>
      <c r="U114" s="167"/>
      <c r="V114" s="10">
        <f t="shared" si="13"/>
        <v>0</v>
      </c>
      <c r="W114" s="10">
        <f t="shared" si="14"/>
        <v>0</v>
      </c>
      <c r="X114" s="170"/>
      <c r="Y114" s="177"/>
      <c r="Z114" s="168"/>
      <c r="AA114" s="177"/>
      <c r="AB114" s="168"/>
      <c r="AC114" s="177"/>
      <c r="AD114" s="168"/>
      <c r="AE114" s="177"/>
      <c r="AF114" s="168"/>
      <c r="AG114" s="177"/>
      <c r="AH114" s="168"/>
      <c r="AI114" s="177"/>
      <c r="AJ114" s="168"/>
      <c r="AK114" s="177"/>
      <c r="AL114" s="168"/>
      <c r="AM114" s="177"/>
      <c r="AN114" s="168"/>
      <c r="AO114" s="177"/>
      <c r="AP114" s="168"/>
      <c r="AQ114" s="177"/>
      <c r="AR114" s="168"/>
      <c r="AS114" s="177"/>
      <c r="AT114" s="168"/>
      <c r="AU114" s="177"/>
      <c r="AV114" s="168"/>
      <c r="AW114" s="177"/>
      <c r="AX114" s="168"/>
      <c r="AY114" s="177"/>
      <c r="AZ114" s="168"/>
      <c r="BA114" s="177"/>
      <c r="BB114" s="168"/>
      <c r="BC114" s="177"/>
      <c r="BD114" s="168"/>
      <c r="BE114" s="177"/>
      <c r="BF114" s="168"/>
      <c r="BG114" s="177"/>
      <c r="BH114" s="168"/>
      <c r="BI114" s="177"/>
      <c r="BJ114" s="168"/>
      <c r="BK114" s="177"/>
      <c r="BL114" s="168"/>
      <c r="BM114" s="177"/>
      <c r="BN114" s="168"/>
      <c r="BO114" s="177"/>
      <c r="BP114" s="168"/>
      <c r="BQ114" s="177"/>
      <c r="BR114" s="168"/>
      <c r="BS114" s="177"/>
      <c r="BT114" s="168"/>
      <c r="BU114" s="177"/>
      <c r="BV114" s="168"/>
      <c r="BW114" s="177"/>
      <c r="BX114" s="168"/>
      <c r="BY114" s="177"/>
      <c r="BZ114" s="168"/>
      <c r="CA114" s="177"/>
      <c r="CB114" s="168"/>
      <c r="CC114" s="177"/>
      <c r="CD114" s="168"/>
      <c r="CE114" s="177"/>
      <c r="CF114" s="168"/>
      <c r="CG114" s="187"/>
      <c r="CH114" s="183"/>
      <c r="CI114" s="185"/>
      <c r="CJ114" s="160"/>
      <c r="CK114" s="160"/>
      <c r="CL114" s="160"/>
      <c r="CM114" s="160"/>
      <c r="CN114" s="160"/>
      <c r="CO114" s="160"/>
      <c r="CP114" s="160"/>
      <c r="CQ114" s="160"/>
      <c r="CR114" s="160"/>
      <c r="CS114" s="179"/>
      <c r="CT114" s="160"/>
      <c r="CU114" s="160"/>
      <c r="CV114" s="160"/>
      <c r="CW114" s="160"/>
      <c r="CX114" s="160"/>
      <c r="CY114" s="160"/>
      <c r="CZ114" s="160"/>
      <c r="DA114" s="160"/>
      <c r="DB114" s="160"/>
      <c r="DC114" s="160"/>
      <c r="DD114" s="160"/>
      <c r="DE114" s="160"/>
      <c r="DF114" s="160"/>
      <c r="DG114" s="160"/>
      <c r="DH114" s="160"/>
      <c r="DI114" s="160"/>
      <c r="DJ114" s="160"/>
      <c r="DK114" s="160"/>
      <c r="DL114" s="160"/>
      <c r="DM114" s="160"/>
      <c r="DN114" s="160"/>
    </row>
    <row r="115" spans="1:118" hidden="1">
      <c r="A115" s="149"/>
      <c r="B115" s="150"/>
      <c r="C115" s="151"/>
      <c r="D115" s="152"/>
      <c r="E115" s="152"/>
      <c r="F115" s="152"/>
      <c r="G115" s="152"/>
      <c r="H115" s="62">
        <f>SUM(Table4[[#This Row],[BASIC]:[FOOD]])</f>
        <v>0</v>
      </c>
      <c r="I115" s="62"/>
      <c r="J115" s="62"/>
      <c r="K115" s="62"/>
      <c r="L115" s="62"/>
      <c r="M115" s="62"/>
      <c r="N115" s="62"/>
      <c r="O115" s="62">
        <f>SUM(Table4[[#This Row],[ESI BASIC]:[ESI FOOD]])</f>
        <v>0</v>
      </c>
      <c r="P115" s="160"/>
      <c r="Q115" s="160"/>
      <c r="R115" s="175"/>
      <c r="S115" s="167"/>
      <c r="T115" s="10">
        <f t="shared" si="12"/>
        <v>0</v>
      </c>
      <c r="U115" s="167"/>
      <c r="V115" s="10">
        <f t="shared" si="13"/>
        <v>0</v>
      </c>
      <c r="W115" s="10">
        <f t="shared" si="14"/>
        <v>0</v>
      </c>
      <c r="X115" s="170"/>
      <c r="Y115" s="177"/>
      <c r="Z115" s="168"/>
      <c r="AA115" s="177"/>
      <c r="AB115" s="168"/>
      <c r="AC115" s="177"/>
      <c r="AD115" s="168"/>
      <c r="AE115" s="177"/>
      <c r="AF115" s="168"/>
      <c r="AG115" s="177"/>
      <c r="AH115" s="168"/>
      <c r="AI115" s="177"/>
      <c r="AJ115" s="168"/>
      <c r="AK115" s="177"/>
      <c r="AL115" s="168"/>
      <c r="AM115" s="177"/>
      <c r="AN115" s="168"/>
      <c r="AO115" s="177"/>
      <c r="AP115" s="168"/>
      <c r="AQ115" s="177"/>
      <c r="AR115" s="168"/>
      <c r="AS115" s="177"/>
      <c r="AT115" s="168"/>
      <c r="AU115" s="177"/>
      <c r="AV115" s="168"/>
      <c r="AW115" s="177"/>
      <c r="AX115" s="168"/>
      <c r="AY115" s="177"/>
      <c r="AZ115" s="168"/>
      <c r="BA115" s="177"/>
      <c r="BB115" s="168"/>
      <c r="BC115" s="177"/>
      <c r="BD115" s="168"/>
      <c r="BE115" s="177"/>
      <c r="BF115" s="168"/>
      <c r="BG115" s="177"/>
      <c r="BH115" s="168"/>
      <c r="BI115" s="177"/>
      <c r="BJ115" s="168"/>
      <c r="BK115" s="177"/>
      <c r="BL115" s="168"/>
      <c r="BM115" s="177"/>
      <c r="BN115" s="168"/>
      <c r="BO115" s="177"/>
      <c r="BP115" s="168"/>
      <c r="BQ115" s="177"/>
      <c r="BR115" s="168"/>
      <c r="BS115" s="177"/>
      <c r="BT115" s="168"/>
      <c r="BU115" s="177"/>
      <c r="BV115" s="168"/>
      <c r="BW115" s="177"/>
      <c r="BX115" s="168"/>
      <c r="BY115" s="177"/>
      <c r="BZ115" s="168"/>
      <c r="CA115" s="177"/>
      <c r="CB115" s="168"/>
      <c r="CC115" s="177"/>
      <c r="CD115" s="168"/>
      <c r="CE115" s="177"/>
      <c r="CF115" s="168"/>
      <c r="CG115" s="187"/>
      <c r="CH115" s="183"/>
      <c r="CI115" s="185"/>
      <c r="CJ115" s="160"/>
      <c r="CK115" s="160"/>
      <c r="CL115" s="160"/>
      <c r="CM115" s="160"/>
      <c r="CN115" s="160"/>
      <c r="CO115" s="160"/>
      <c r="CP115" s="160"/>
      <c r="CQ115" s="160"/>
      <c r="CR115" s="160"/>
      <c r="CS115" s="179"/>
      <c r="CT115" s="160"/>
      <c r="CU115" s="160"/>
      <c r="CV115" s="160"/>
      <c r="CW115" s="160"/>
      <c r="CX115" s="160"/>
      <c r="CY115" s="160"/>
      <c r="CZ115" s="160"/>
      <c r="DA115" s="160"/>
      <c r="DB115" s="160"/>
      <c r="DC115" s="160"/>
      <c r="DD115" s="160"/>
      <c r="DE115" s="160"/>
      <c r="DF115" s="160"/>
      <c r="DG115" s="160"/>
      <c r="DH115" s="160"/>
      <c r="DI115" s="160"/>
      <c r="DJ115" s="160"/>
      <c r="DK115" s="160"/>
      <c r="DL115" s="160"/>
      <c r="DM115" s="160"/>
      <c r="DN115" s="160"/>
    </row>
    <row r="116" spans="1:118" hidden="1">
      <c r="A116" s="149"/>
      <c r="B116" s="150"/>
      <c r="C116" s="151"/>
      <c r="D116" s="152"/>
      <c r="E116" s="152"/>
      <c r="F116" s="152"/>
      <c r="G116" s="152"/>
      <c r="H116" s="62">
        <f>SUM(Table4[[#This Row],[BASIC]:[FOOD]])</f>
        <v>0</v>
      </c>
      <c r="I116" s="62"/>
      <c r="J116" s="62"/>
      <c r="K116" s="62"/>
      <c r="L116" s="62"/>
      <c r="M116" s="62"/>
      <c r="N116" s="62"/>
      <c r="O116" s="62">
        <f>SUM(Table4[[#This Row],[ESI BASIC]:[ESI FOOD]])</f>
        <v>0</v>
      </c>
      <c r="P116" s="160"/>
      <c r="Q116" s="160"/>
      <c r="R116" s="175"/>
      <c r="S116" s="167"/>
      <c r="T116" s="10">
        <f t="shared" si="12"/>
        <v>0</v>
      </c>
      <c r="U116" s="167"/>
      <c r="V116" s="10">
        <f t="shared" si="13"/>
        <v>0</v>
      </c>
      <c r="W116" s="10">
        <f t="shared" si="14"/>
        <v>0</v>
      </c>
      <c r="X116" s="170"/>
      <c r="Y116" s="177"/>
      <c r="Z116" s="168"/>
      <c r="AA116" s="177"/>
      <c r="AB116" s="168"/>
      <c r="AC116" s="177"/>
      <c r="AD116" s="168"/>
      <c r="AE116" s="177"/>
      <c r="AF116" s="168"/>
      <c r="AG116" s="177"/>
      <c r="AH116" s="168"/>
      <c r="AI116" s="177"/>
      <c r="AJ116" s="168"/>
      <c r="AK116" s="177"/>
      <c r="AL116" s="168"/>
      <c r="AM116" s="177"/>
      <c r="AN116" s="168"/>
      <c r="AO116" s="177"/>
      <c r="AP116" s="168"/>
      <c r="AQ116" s="177"/>
      <c r="AR116" s="168"/>
      <c r="AS116" s="177"/>
      <c r="AT116" s="168"/>
      <c r="AU116" s="177"/>
      <c r="AV116" s="168"/>
      <c r="AW116" s="177"/>
      <c r="AX116" s="168"/>
      <c r="AY116" s="177"/>
      <c r="AZ116" s="168"/>
      <c r="BA116" s="177"/>
      <c r="BB116" s="168"/>
      <c r="BC116" s="177"/>
      <c r="BD116" s="168"/>
      <c r="BE116" s="177"/>
      <c r="BF116" s="168"/>
      <c r="BG116" s="177"/>
      <c r="BH116" s="168"/>
      <c r="BI116" s="177"/>
      <c r="BJ116" s="168"/>
      <c r="BK116" s="177"/>
      <c r="BL116" s="168"/>
      <c r="BM116" s="177"/>
      <c r="BN116" s="168"/>
      <c r="BO116" s="177"/>
      <c r="BP116" s="168"/>
      <c r="BQ116" s="177"/>
      <c r="BR116" s="168"/>
      <c r="BS116" s="177"/>
      <c r="BT116" s="168"/>
      <c r="BU116" s="177"/>
      <c r="BV116" s="168"/>
      <c r="BW116" s="177"/>
      <c r="BX116" s="168"/>
      <c r="BY116" s="177"/>
      <c r="BZ116" s="168"/>
      <c r="CA116" s="177"/>
      <c r="CB116" s="168"/>
      <c r="CC116" s="177"/>
      <c r="CD116" s="168"/>
      <c r="CE116" s="177"/>
      <c r="CF116" s="168"/>
      <c r="CG116" s="187"/>
      <c r="CH116" s="183"/>
      <c r="CI116" s="185"/>
      <c r="CJ116" s="160"/>
      <c r="CK116" s="160"/>
      <c r="CL116" s="160"/>
      <c r="CM116" s="160"/>
      <c r="CN116" s="160"/>
      <c r="CO116" s="160"/>
      <c r="CP116" s="160"/>
      <c r="CQ116" s="160"/>
      <c r="CR116" s="160"/>
      <c r="CS116" s="179"/>
      <c r="CT116" s="160"/>
      <c r="CU116" s="160"/>
      <c r="CV116" s="160"/>
      <c r="CW116" s="160"/>
      <c r="CX116" s="160"/>
      <c r="CY116" s="160"/>
      <c r="CZ116" s="160"/>
      <c r="DA116" s="160"/>
      <c r="DB116" s="160"/>
      <c r="DC116" s="160"/>
      <c r="DD116" s="160"/>
      <c r="DE116" s="160"/>
      <c r="DF116" s="160"/>
      <c r="DG116" s="160"/>
      <c r="DH116" s="160"/>
      <c r="DI116" s="160"/>
      <c r="DJ116" s="160"/>
      <c r="DK116" s="160"/>
      <c r="DL116" s="160"/>
      <c r="DM116" s="160"/>
      <c r="DN116" s="160"/>
    </row>
    <row r="117" spans="1:118" hidden="1">
      <c r="A117" s="149"/>
      <c r="B117" s="150"/>
      <c r="C117" s="151"/>
      <c r="D117" s="152"/>
      <c r="E117" s="152"/>
      <c r="F117" s="152"/>
      <c r="G117" s="152"/>
      <c r="H117" s="62">
        <f>SUM(Table4[[#This Row],[BASIC]:[FOOD]])</f>
        <v>0</v>
      </c>
      <c r="I117" s="62"/>
      <c r="J117" s="62"/>
      <c r="K117" s="62"/>
      <c r="L117" s="62"/>
      <c r="M117" s="62"/>
      <c r="N117" s="62"/>
      <c r="O117" s="62">
        <f>SUM(Table4[[#This Row],[ESI BASIC]:[ESI FOOD]])</f>
        <v>0</v>
      </c>
      <c r="P117" s="160"/>
      <c r="Q117" s="160"/>
      <c r="R117" s="175"/>
      <c r="S117" s="167"/>
      <c r="T117" s="10">
        <f t="shared" si="12"/>
        <v>0</v>
      </c>
      <c r="U117" s="167"/>
      <c r="V117" s="10">
        <f t="shared" si="13"/>
        <v>0</v>
      </c>
      <c r="W117" s="10">
        <f t="shared" si="14"/>
        <v>0</v>
      </c>
      <c r="X117" s="170"/>
      <c r="Y117" s="177"/>
      <c r="Z117" s="168"/>
      <c r="AA117" s="177"/>
      <c r="AB117" s="168"/>
      <c r="AC117" s="177"/>
      <c r="AD117" s="168"/>
      <c r="AE117" s="177"/>
      <c r="AF117" s="168"/>
      <c r="AG117" s="177"/>
      <c r="AH117" s="168"/>
      <c r="AI117" s="177"/>
      <c r="AJ117" s="168"/>
      <c r="AK117" s="177"/>
      <c r="AL117" s="168"/>
      <c r="AM117" s="177"/>
      <c r="AN117" s="168"/>
      <c r="AO117" s="177"/>
      <c r="AP117" s="168"/>
      <c r="AQ117" s="177"/>
      <c r="AR117" s="168"/>
      <c r="AS117" s="177"/>
      <c r="AT117" s="168"/>
      <c r="AU117" s="177"/>
      <c r="AV117" s="168"/>
      <c r="AW117" s="177"/>
      <c r="AX117" s="168"/>
      <c r="AY117" s="177"/>
      <c r="AZ117" s="168"/>
      <c r="BA117" s="177"/>
      <c r="BB117" s="168"/>
      <c r="BC117" s="177"/>
      <c r="BD117" s="168"/>
      <c r="BE117" s="177"/>
      <c r="BF117" s="168"/>
      <c r="BG117" s="177"/>
      <c r="BH117" s="168"/>
      <c r="BI117" s="177"/>
      <c r="BJ117" s="168"/>
      <c r="BK117" s="177"/>
      <c r="BL117" s="168"/>
      <c r="BM117" s="177"/>
      <c r="BN117" s="168"/>
      <c r="BO117" s="177"/>
      <c r="BP117" s="168"/>
      <c r="BQ117" s="177"/>
      <c r="BR117" s="168"/>
      <c r="BS117" s="177"/>
      <c r="BT117" s="168"/>
      <c r="BU117" s="177"/>
      <c r="BV117" s="168"/>
      <c r="BW117" s="177"/>
      <c r="BX117" s="168"/>
      <c r="BY117" s="177"/>
      <c r="BZ117" s="168"/>
      <c r="CA117" s="177"/>
      <c r="CB117" s="168"/>
      <c r="CC117" s="177"/>
      <c r="CD117" s="168"/>
      <c r="CE117" s="177"/>
      <c r="CF117" s="168"/>
      <c r="CG117" s="187"/>
      <c r="CH117" s="183"/>
      <c r="CI117" s="185"/>
      <c r="CJ117" s="160"/>
      <c r="CK117" s="160"/>
      <c r="CL117" s="160"/>
      <c r="CM117" s="160"/>
      <c r="CN117" s="160"/>
      <c r="CO117" s="160"/>
      <c r="CP117" s="160"/>
      <c r="CQ117" s="160"/>
      <c r="CR117" s="160"/>
      <c r="CS117" s="179"/>
      <c r="CT117" s="160"/>
      <c r="CU117" s="160"/>
      <c r="CV117" s="160"/>
      <c r="CW117" s="160"/>
      <c r="CX117" s="160"/>
      <c r="CY117" s="160"/>
      <c r="CZ117" s="160"/>
      <c r="DA117" s="160"/>
      <c r="DB117" s="160"/>
      <c r="DC117" s="160"/>
      <c r="DD117" s="160"/>
      <c r="DE117" s="160"/>
      <c r="DF117" s="160"/>
      <c r="DG117" s="160"/>
      <c r="DH117" s="160"/>
      <c r="DI117" s="160"/>
      <c r="DJ117" s="160"/>
      <c r="DK117" s="160"/>
      <c r="DL117" s="160"/>
      <c r="DM117" s="160"/>
      <c r="DN117" s="160"/>
    </row>
    <row r="118" spans="1:118" hidden="1">
      <c r="A118" s="149"/>
      <c r="B118" s="150"/>
      <c r="C118" s="151"/>
      <c r="D118" s="152"/>
      <c r="E118" s="152"/>
      <c r="F118" s="152"/>
      <c r="G118" s="152"/>
      <c r="H118" s="62">
        <f>SUM(Table4[[#This Row],[BASIC]:[FOOD]])</f>
        <v>0</v>
      </c>
      <c r="I118" s="62"/>
      <c r="J118" s="62"/>
      <c r="K118" s="62"/>
      <c r="L118" s="62"/>
      <c r="M118" s="62"/>
      <c r="N118" s="62"/>
      <c r="O118" s="62">
        <f>SUM(Table4[[#This Row],[ESI BASIC]:[ESI FOOD]])</f>
        <v>0</v>
      </c>
      <c r="P118" s="160"/>
      <c r="Q118" s="160"/>
      <c r="R118" s="175"/>
      <c r="S118" s="167"/>
      <c r="T118" s="10">
        <f t="shared" si="12"/>
        <v>0</v>
      </c>
      <c r="U118" s="167"/>
      <c r="V118" s="10">
        <f t="shared" si="13"/>
        <v>0</v>
      </c>
      <c r="W118" s="10">
        <f t="shared" si="14"/>
        <v>0</v>
      </c>
      <c r="X118" s="170"/>
      <c r="Y118" s="177"/>
      <c r="Z118" s="168"/>
      <c r="AA118" s="177"/>
      <c r="AB118" s="168"/>
      <c r="AC118" s="177"/>
      <c r="AD118" s="168"/>
      <c r="AE118" s="177"/>
      <c r="AF118" s="168"/>
      <c r="AG118" s="177"/>
      <c r="AH118" s="168"/>
      <c r="AI118" s="177"/>
      <c r="AJ118" s="168"/>
      <c r="AK118" s="177"/>
      <c r="AL118" s="168"/>
      <c r="AM118" s="177"/>
      <c r="AN118" s="168"/>
      <c r="AO118" s="177"/>
      <c r="AP118" s="168"/>
      <c r="AQ118" s="177"/>
      <c r="AR118" s="168"/>
      <c r="AS118" s="177"/>
      <c r="AT118" s="168"/>
      <c r="AU118" s="177"/>
      <c r="AV118" s="168"/>
      <c r="AW118" s="177"/>
      <c r="AX118" s="168"/>
      <c r="AY118" s="177"/>
      <c r="AZ118" s="168"/>
      <c r="BA118" s="177"/>
      <c r="BB118" s="168"/>
      <c r="BC118" s="177"/>
      <c r="BD118" s="168"/>
      <c r="BE118" s="177"/>
      <c r="BF118" s="168"/>
      <c r="BG118" s="177"/>
      <c r="BH118" s="168"/>
      <c r="BI118" s="177"/>
      <c r="BJ118" s="168"/>
      <c r="BK118" s="177"/>
      <c r="BL118" s="168"/>
      <c r="BM118" s="177"/>
      <c r="BN118" s="168"/>
      <c r="BO118" s="177"/>
      <c r="BP118" s="168"/>
      <c r="BQ118" s="177"/>
      <c r="BR118" s="168"/>
      <c r="BS118" s="177"/>
      <c r="BT118" s="168"/>
      <c r="BU118" s="177"/>
      <c r="BV118" s="168"/>
      <c r="BW118" s="177"/>
      <c r="BX118" s="168"/>
      <c r="BY118" s="177"/>
      <c r="BZ118" s="168"/>
      <c r="CA118" s="177"/>
      <c r="CB118" s="168"/>
      <c r="CC118" s="177"/>
      <c r="CD118" s="168"/>
      <c r="CE118" s="177"/>
      <c r="CF118" s="168"/>
      <c r="CG118" s="187"/>
      <c r="CH118" s="183"/>
      <c r="CI118" s="185"/>
      <c r="CJ118" s="160"/>
      <c r="CK118" s="160"/>
      <c r="CL118" s="160"/>
      <c r="CM118" s="160"/>
      <c r="CN118" s="160"/>
      <c r="CO118" s="160"/>
      <c r="CP118" s="160"/>
      <c r="CQ118" s="160"/>
      <c r="CR118" s="160"/>
      <c r="CS118" s="179"/>
      <c r="CT118" s="160"/>
      <c r="CU118" s="160"/>
      <c r="CV118" s="160"/>
      <c r="CW118" s="160"/>
      <c r="CX118" s="160"/>
      <c r="CY118" s="160"/>
      <c r="CZ118" s="160"/>
      <c r="DA118" s="160"/>
      <c r="DB118" s="160"/>
      <c r="DC118" s="160"/>
      <c r="DD118" s="160"/>
      <c r="DE118" s="160"/>
      <c r="DF118" s="160"/>
      <c r="DG118" s="160"/>
      <c r="DH118" s="160"/>
      <c r="DI118" s="160"/>
      <c r="DJ118" s="160"/>
      <c r="DK118" s="160"/>
      <c r="DL118" s="160"/>
      <c r="DM118" s="160"/>
      <c r="DN118" s="160"/>
    </row>
    <row r="119" spans="1:118" hidden="1">
      <c r="A119" s="149"/>
      <c r="B119" s="150"/>
      <c r="C119" s="151"/>
      <c r="D119" s="152"/>
      <c r="E119" s="152"/>
      <c r="F119" s="152"/>
      <c r="G119" s="152"/>
      <c r="H119" s="62">
        <f>SUM(Table4[[#This Row],[BASIC]:[FOOD]])</f>
        <v>0</v>
      </c>
      <c r="I119" s="62"/>
      <c r="J119" s="62"/>
      <c r="K119" s="62"/>
      <c r="L119" s="62"/>
      <c r="M119" s="62"/>
      <c r="N119" s="62"/>
      <c r="O119" s="62">
        <f>SUM(Table4[[#This Row],[ESI BASIC]:[ESI FOOD]])</f>
        <v>0</v>
      </c>
      <c r="P119" s="160"/>
      <c r="Q119" s="160"/>
      <c r="R119" s="175"/>
      <c r="S119" s="167"/>
      <c r="T119" s="10">
        <f t="shared" si="12"/>
        <v>0</v>
      </c>
      <c r="U119" s="167"/>
      <c r="V119" s="10">
        <f t="shared" si="13"/>
        <v>0</v>
      </c>
      <c r="W119" s="10">
        <f t="shared" si="14"/>
        <v>0</v>
      </c>
      <c r="X119" s="170"/>
      <c r="Y119" s="177"/>
      <c r="Z119" s="168"/>
      <c r="AA119" s="177"/>
      <c r="AB119" s="168"/>
      <c r="AC119" s="177"/>
      <c r="AD119" s="168"/>
      <c r="AE119" s="177"/>
      <c r="AF119" s="168"/>
      <c r="AG119" s="177"/>
      <c r="AH119" s="168"/>
      <c r="AI119" s="177"/>
      <c r="AJ119" s="168"/>
      <c r="AK119" s="177"/>
      <c r="AL119" s="168"/>
      <c r="AM119" s="177"/>
      <c r="AN119" s="168"/>
      <c r="AO119" s="177"/>
      <c r="AP119" s="168"/>
      <c r="AQ119" s="177"/>
      <c r="AR119" s="168"/>
      <c r="AS119" s="177"/>
      <c r="AT119" s="168"/>
      <c r="AU119" s="177"/>
      <c r="AV119" s="168"/>
      <c r="AW119" s="177"/>
      <c r="AX119" s="168"/>
      <c r="AY119" s="177"/>
      <c r="AZ119" s="168"/>
      <c r="BA119" s="177"/>
      <c r="BB119" s="168"/>
      <c r="BC119" s="177"/>
      <c r="BD119" s="168"/>
      <c r="BE119" s="177"/>
      <c r="BF119" s="168"/>
      <c r="BG119" s="177"/>
      <c r="BH119" s="168"/>
      <c r="BI119" s="177"/>
      <c r="BJ119" s="168"/>
      <c r="BK119" s="177"/>
      <c r="BL119" s="168"/>
      <c r="BM119" s="177"/>
      <c r="BN119" s="168"/>
      <c r="BO119" s="177"/>
      <c r="BP119" s="168"/>
      <c r="BQ119" s="177"/>
      <c r="BR119" s="168"/>
      <c r="BS119" s="177"/>
      <c r="BT119" s="168"/>
      <c r="BU119" s="177"/>
      <c r="BV119" s="168"/>
      <c r="BW119" s="177"/>
      <c r="BX119" s="168"/>
      <c r="BY119" s="177"/>
      <c r="BZ119" s="168"/>
      <c r="CA119" s="177"/>
      <c r="CB119" s="168"/>
      <c r="CC119" s="177"/>
      <c r="CD119" s="168"/>
      <c r="CE119" s="177"/>
      <c r="CF119" s="168"/>
      <c r="CG119" s="187"/>
      <c r="CH119" s="183"/>
      <c r="CI119" s="185"/>
      <c r="CJ119" s="160"/>
      <c r="CK119" s="160"/>
      <c r="CL119" s="160"/>
      <c r="CM119" s="160"/>
      <c r="CN119" s="160"/>
      <c r="CO119" s="160"/>
      <c r="CP119" s="160"/>
      <c r="CQ119" s="160"/>
      <c r="CR119" s="160"/>
      <c r="CS119" s="179"/>
      <c r="CT119" s="160"/>
      <c r="CU119" s="160"/>
      <c r="CV119" s="160"/>
      <c r="CW119" s="160"/>
      <c r="CX119" s="160"/>
      <c r="CY119" s="160"/>
      <c r="CZ119" s="160"/>
      <c r="DA119" s="160"/>
      <c r="DB119" s="160"/>
      <c r="DC119" s="160"/>
      <c r="DD119" s="160"/>
      <c r="DE119" s="160"/>
      <c r="DF119" s="160"/>
      <c r="DG119" s="160"/>
      <c r="DH119" s="160"/>
      <c r="DI119" s="160"/>
      <c r="DJ119" s="160"/>
      <c r="DK119" s="160"/>
      <c r="DL119" s="160"/>
      <c r="DM119" s="160"/>
      <c r="DN119" s="160"/>
    </row>
    <row r="120" spans="1:118" hidden="1">
      <c r="A120" s="149"/>
      <c r="B120" s="150"/>
      <c r="C120" s="151"/>
      <c r="D120" s="152"/>
      <c r="E120" s="152"/>
      <c r="F120" s="152"/>
      <c r="G120" s="152"/>
      <c r="H120" s="62">
        <f>SUM(Table4[[#This Row],[BASIC]:[FOOD]])</f>
        <v>0</v>
      </c>
      <c r="I120" s="62"/>
      <c r="J120" s="62"/>
      <c r="K120" s="62"/>
      <c r="L120" s="62"/>
      <c r="M120" s="62"/>
      <c r="N120" s="62"/>
      <c r="O120" s="62">
        <f>SUM(Table4[[#This Row],[ESI BASIC]:[ESI FOOD]])</f>
        <v>0</v>
      </c>
      <c r="P120" s="160"/>
      <c r="Q120" s="160"/>
      <c r="R120" s="175"/>
      <c r="S120" s="167"/>
      <c r="T120" s="10">
        <f t="shared" si="12"/>
        <v>0</v>
      </c>
      <c r="U120" s="167"/>
      <c r="V120" s="10">
        <f t="shared" si="13"/>
        <v>0</v>
      </c>
      <c r="W120" s="10">
        <f t="shared" si="14"/>
        <v>0</v>
      </c>
      <c r="X120" s="170"/>
      <c r="Y120" s="177"/>
      <c r="Z120" s="168"/>
      <c r="AA120" s="177"/>
      <c r="AB120" s="168"/>
      <c r="AC120" s="177"/>
      <c r="AD120" s="168"/>
      <c r="AE120" s="177"/>
      <c r="AF120" s="168"/>
      <c r="AG120" s="177"/>
      <c r="AH120" s="168"/>
      <c r="AI120" s="177"/>
      <c r="AJ120" s="168"/>
      <c r="AK120" s="177"/>
      <c r="AL120" s="168"/>
      <c r="AM120" s="177"/>
      <c r="AN120" s="168"/>
      <c r="AO120" s="177"/>
      <c r="AP120" s="168"/>
      <c r="AQ120" s="177"/>
      <c r="AR120" s="168"/>
      <c r="AS120" s="177"/>
      <c r="AT120" s="168"/>
      <c r="AU120" s="177"/>
      <c r="AV120" s="168"/>
      <c r="AW120" s="177"/>
      <c r="AX120" s="168"/>
      <c r="AY120" s="177"/>
      <c r="AZ120" s="168"/>
      <c r="BA120" s="177"/>
      <c r="BB120" s="168"/>
      <c r="BC120" s="177"/>
      <c r="BD120" s="168"/>
      <c r="BE120" s="177"/>
      <c r="BF120" s="168"/>
      <c r="BG120" s="177"/>
      <c r="BH120" s="168"/>
      <c r="BI120" s="177"/>
      <c r="BJ120" s="168"/>
      <c r="BK120" s="177"/>
      <c r="BL120" s="168"/>
      <c r="BM120" s="177"/>
      <c r="BN120" s="168"/>
      <c r="BO120" s="177"/>
      <c r="BP120" s="168"/>
      <c r="BQ120" s="177"/>
      <c r="BR120" s="168"/>
      <c r="BS120" s="177"/>
      <c r="BT120" s="168"/>
      <c r="BU120" s="177"/>
      <c r="BV120" s="168"/>
      <c r="BW120" s="177"/>
      <c r="BX120" s="168"/>
      <c r="BY120" s="177"/>
      <c r="BZ120" s="168"/>
      <c r="CA120" s="177"/>
      <c r="CB120" s="168"/>
      <c r="CC120" s="177"/>
      <c r="CD120" s="168"/>
      <c r="CE120" s="177"/>
      <c r="CF120" s="168"/>
      <c r="CG120" s="187"/>
      <c r="CH120" s="183"/>
      <c r="CI120" s="185"/>
      <c r="CJ120" s="160"/>
      <c r="CK120" s="160"/>
      <c r="CL120" s="160"/>
      <c r="CM120" s="160"/>
      <c r="CN120" s="160"/>
      <c r="CO120" s="160"/>
      <c r="CP120" s="160"/>
      <c r="CQ120" s="160"/>
      <c r="CR120" s="160"/>
      <c r="CS120" s="179"/>
      <c r="CT120" s="160"/>
      <c r="CU120" s="160"/>
      <c r="CV120" s="160"/>
      <c r="CW120" s="160"/>
      <c r="CX120" s="160"/>
      <c r="CY120" s="160"/>
      <c r="CZ120" s="160"/>
      <c r="DA120" s="160"/>
      <c r="DB120" s="160"/>
      <c r="DC120" s="160"/>
      <c r="DD120" s="160"/>
      <c r="DE120" s="160"/>
      <c r="DF120" s="160"/>
      <c r="DG120" s="160"/>
      <c r="DH120" s="160"/>
      <c r="DI120" s="160"/>
      <c r="DJ120" s="160"/>
      <c r="DK120" s="160"/>
      <c r="DL120" s="160"/>
      <c r="DM120" s="160"/>
      <c r="DN120" s="160"/>
    </row>
    <row r="121" spans="1:118" hidden="1">
      <c r="A121" s="149"/>
      <c r="B121" s="150"/>
      <c r="C121" s="151"/>
      <c r="D121" s="152"/>
      <c r="E121" s="152"/>
      <c r="F121" s="152"/>
      <c r="G121" s="152"/>
      <c r="H121" s="62">
        <f>SUM(Table4[[#This Row],[BASIC]:[FOOD]])</f>
        <v>0</v>
      </c>
      <c r="I121" s="62"/>
      <c r="J121" s="62"/>
      <c r="K121" s="62"/>
      <c r="L121" s="62"/>
      <c r="M121" s="62"/>
      <c r="N121" s="62"/>
      <c r="O121" s="62">
        <f>SUM(Table4[[#This Row],[ESI BASIC]:[ESI FOOD]])</f>
        <v>0</v>
      </c>
      <c r="P121" s="160"/>
      <c r="Q121" s="160"/>
      <c r="R121" s="175"/>
      <c r="S121" s="167"/>
      <c r="T121" s="10">
        <f t="shared" si="12"/>
        <v>0</v>
      </c>
      <c r="U121" s="167"/>
      <c r="V121" s="10">
        <f t="shared" si="13"/>
        <v>0</v>
      </c>
      <c r="W121" s="10">
        <f t="shared" si="14"/>
        <v>0</v>
      </c>
      <c r="X121" s="170"/>
      <c r="Y121" s="177"/>
      <c r="Z121" s="168"/>
      <c r="AA121" s="177"/>
      <c r="AB121" s="168"/>
      <c r="AC121" s="177"/>
      <c r="AD121" s="168"/>
      <c r="AE121" s="177"/>
      <c r="AF121" s="168"/>
      <c r="AG121" s="177"/>
      <c r="AH121" s="168"/>
      <c r="AI121" s="177"/>
      <c r="AJ121" s="168"/>
      <c r="AK121" s="177"/>
      <c r="AL121" s="168"/>
      <c r="AM121" s="177"/>
      <c r="AN121" s="168"/>
      <c r="AO121" s="177"/>
      <c r="AP121" s="168"/>
      <c r="AQ121" s="177"/>
      <c r="AR121" s="168"/>
      <c r="AS121" s="177"/>
      <c r="AT121" s="168"/>
      <c r="AU121" s="177"/>
      <c r="AV121" s="168"/>
      <c r="AW121" s="177"/>
      <c r="AX121" s="168"/>
      <c r="AY121" s="177"/>
      <c r="AZ121" s="168"/>
      <c r="BA121" s="177"/>
      <c r="BB121" s="168"/>
      <c r="BC121" s="177"/>
      <c r="BD121" s="168"/>
      <c r="BE121" s="177"/>
      <c r="BF121" s="168"/>
      <c r="BG121" s="177"/>
      <c r="BH121" s="168"/>
      <c r="BI121" s="177"/>
      <c r="BJ121" s="168"/>
      <c r="BK121" s="177"/>
      <c r="BL121" s="168"/>
      <c r="BM121" s="177"/>
      <c r="BN121" s="168"/>
      <c r="BO121" s="177"/>
      <c r="BP121" s="168"/>
      <c r="BQ121" s="177"/>
      <c r="BR121" s="168"/>
      <c r="BS121" s="177"/>
      <c r="BT121" s="168"/>
      <c r="BU121" s="177"/>
      <c r="BV121" s="168"/>
      <c r="BW121" s="177"/>
      <c r="BX121" s="168"/>
      <c r="BY121" s="177"/>
      <c r="BZ121" s="168"/>
      <c r="CA121" s="177"/>
      <c r="CB121" s="168"/>
      <c r="CC121" s="177"/>
      <c r="CD121" s="168"/>
      <c r="CE121" s="177"/>
      <c r="CF121" s="168"/>
      <c r="CG121" s="187"/>
      <c r="CH121" s="183"/>
      <c r="CI121" s="185"/>
      <c r="CJ121" s="160"/>
      <c r="CK121" s="160"/>
      <c r="CL121" s="160"/>
      <c r="CM121" s="160"/>
      <c r="CN121" s="160"/>
      <c r="CO121" s="160"/>
      <c r="CP121" s="160"/>
      <c r="CQ121" s="160"/>
      <c r="CR121" s="160"/>
      <c r="CS121" s="179"/>
      <c r="CT121" s="160"/>
      <c r="CU121" s="160"/>
      <c r="CV121" s="160"/>
      <c r="CW121" s="160"/>
      <c r="CX121" s="160"/>
      <c r="CY121" s="160"/>
      <c r="CZ121" s="160"/>
      <c r="DA121" s="160"/>
      <c r="DB121" s="160"/>
      <c r="DC121" s="160"/>
      <c r="DD121" s="160"/>
      <c r="DE121" s="160"/>
      <c r="DF121" s="160"/>
      <c r="DG121" s="160"/>
      <c r="DH121" s="160"/>
      <c r="DI121" s="160"/>
      <c r="DJ121" s="160"/>
      <c r="DK121" s="160"/>
      <c r="DL121" s="160"/>
      <c r="DM121" s="160"/>
      <c r="DN121" s="160"/>
    </row>
    <row r="122" spans="1:118" hidden="1">
      <c r="A122" s="149"/>
      <c r="B122" s="150"/>
      <c r="C122" s="151"/>
      <c r="D122" s="152"/>
      <c r="E122" s="152"/>
      <c r="F122" s="152"/>
      <c r="G122" s="152"/>
      <c r="H122" s="62">
        <f>SUM(Table4[[#This Row],[BASIC]:[FOOD]])</f>
        <v>0</v>
      </c>
      <c r="I122" s="62"/>
      <c r="J122" s="62"/>
      <c r="K122" s="62"/>
      <c r="L122" s="62"/>
      <c r="M122" s="62"/>
      <c r="N122" s="62"/>
      <c r="O122" s="62">
        <f>SUM(Table4[[#This Row],[ESI BASIC]:[ESI FOOD]])</f>
        <v>0</v>
      </c>
      <c r="P122" s="160"/>
      <c r="Q122" s="160"/>
      <c r="R122" s="175"/>
      <c r="S122" s="167"/>
      <c r="T122" s="10">
        <f t="shared" si="12"/>
        <v>0</v>
      </c>
      <c r="U122" s="167"/>
      <c r="V122" s="10">
        <f t="shared" si="13"/>
        <v>0</v>
      </c>
      <c r="W122" s="10">
        <f t="shared" si="14"/>
        <v>0</v>
      </c>
      <c r="X122" s="170"/>
      <c r="Y122" s="177"/>
      <c r="Z122" s="168"/>
      <c r="AA122" s="177"/>
      <c r="AB122" s="168"/>
      <c r="AC122" s="177"/>
      <c r="AD122" s="168"/>
      <c r="AE122" s="177"/>
      <c r="AF122" s="168"/>
      <c r="AG122" s="177"/>
      <c r="AH122" s="168"/>
      <c r="AI122" s="177"/>
      <c r="AJ122" s="168"/>
      <c r="AK122" s="177"/>
      <c r="AL122" s="168"/>
      <c r="AM122" s="177"/>
      <c r="AN122" s="168"/>
      <c r="AO122" s="177"/>
      <c r="AP122" s="168"/>
      <c r="AQ122" s="177"/>
      <c r="AR122" s="168"/>
      <c r="AS122" s="177"/>
      <c r="AT122" s="168"/>
      <c r="AU122" s="177"/>
      <c r="AV122" s="168"/>
      <c r="AW122" s="177"/>
      <c r="AX122" s="168"/>
      <c r="AY122" s="177"/>
      <c r="AZ122" s="168"/>
      <c r="BA122" s="177"/>
      <c r="BB122" s="168"/>
      <c r="BC122" s="177"/>
      <c r="BD122" s="168"/>
      <c r="BE122" s="177"/>
      <c r="BF122" s="168"/>
      <c r="BG122" s="177"/>
      <c r="BH122" s="168"/>
      <c r="BI122" s="177"/>
      <c r="BJ122" s="168"/>
      <c r="BK122" s="177"/>
      <c r="BL122" s="168"/>
      <c r="BM122" s="177"/>
      <c r="BN122" s="168"/>
      <c r="BO122" s="177"/>
      <c r="BP122" s="168"/>
      <c r="BQ122" s="177"/>
      <c r="BR122" s="168"/>
      <c r="BS122" s="177"/>
      <c r="BT122" s="168"/>
      <c r="BU122" s="177"/>
      <c r="BV122" s="168"/>
      <c r="BW122" s="177"/>
      <c r="BX122" s="168"/>
      <c r="BY122" s="177"/>
      <c r="BZ122" s="168"/>
      <c r="CA122" s="177"/>
      <c r="CB122" s="168"/>
      <c r="CC122" s="177"/>
      <c r="CD122" s="168"/>
      <c r="CE122" s="177"/>
      <c r="CF122" s="168"/>
      <c r="CG122" s="187"/>
      <c r="CH122" s="183"/>
      <c r="CI122" s="185"/>
      <c r="CJ122" s="160"/>
      <c r="CK122" s="160"/>
      <c r="CL122" s="160"/>
      <c r="CM122" s="160"/>
      <c r="CN122" s="160"/>
      <c r="CO122" s="160"/>
      <c r="CP122" s="160"/>
      <c r="CQ122" s="160"/>
      <c r="CR122" s="160"/>
      <c r="CS122" s="179"/>
      <c r="CT122" s="160"/>
      <c r="CU122" s="160"/>
      <c r="CV122" s="160"/>
      <c r="CW122" s="160"/>
      <c r="CX122" s="160"/>
      <c r="CY122" s="160"/>
      <c r="CZ122" s="160"/>
      <c r="DA122" s="160"/>
      <c r="DB122" s="160"/>
      <c r="DC122" s="160"/>
      <c r="DD122" s="160"/>
      <c r="DE122" s="160"/>
      <c r="DF122" s="160"/>
      <c r="DG122" s="160"/>
      <c r="DH122" s="160"/>
      <c r="DI122" s="160"/>
      <c r="DJ122" s="160"/>
      <c r="DK122" s="160"/>
      <c r="DL122" s="160"/>
      <c r="DM122" s="160"/>
      <c r="DN122" s="160"/>
    </row>
    <row r="123" spans="1:118" hidden="1">
      <c r="A123" s="149"/>
      <c r="B123" s="150"/>
      <c r="C123" s="151"/>
      <c r="D123" s="152"/>
      <c r="E123" s="152"/>
      <c r="F123" s="152"/>
      <c r="G123" s="152"/>
      <c r="H123" s="62">
        <f>SUM(Table4[[#This Row],[BASIC]:[FOOD]])</f>
        <v>0</v>
      </c>
      <c r="I123" s="62"/>
      <c r="J123" s="62"/>
      <c r="K123" s="62"/>
      <c r="L123" s="62"/>
      <c r="M123" s="62"/>
      <c r="N123" s="62"/>
      <c r="O123" s="62">
        <f>SUM(Table4[[#This Row],[ESI BASIC]:[ESI FOOD]])</f>
        <v>0</v>
      </c>
      <c r="P123" s="160"/>
      <c r="Q123" s="160"/>
      <c r="R123" s="175"/>
      <c r="S123" s="167"/>
      <c r="T123" s="10">
        <f t="shared" si="12"/>
        <v>0</v>
      </c>
      <c r="U123" s="167"/>
      <c r="V123" s="10">
        <f t="shared" si="13"/>
        <v>0</v>
      </c>
      <c r="W123" s="10">
        <f t="shared" si="14"/>
        <v>0</v>
      </c>
      <c r="X123" s="170"/>
      <c r="Y123" s="177"/>
      <c r="Z123" s="168"/>
      <c r="AA123" s="177"/>
      <c r="AB123" s="168"/>
      <c r="AC123" s="177"/>
      <c r="AD123" s="168"/>
      <c r="AE123" s="177"/>
      <c r="AF123" s="168"/>
      <c r="AG123" s="177"/>
      <c r="AH123" s="168"/>
      <c r="AI123" s="177"/>
      <c r="AJ123" s="168"/>
      <c r="AK123" s="177"/>
      <c r="AL123" s="168"/>
      <c r="AM123" s="177"/>
      <c r="AN123" s="168"/>
      <c r="AO123" s="177"/>
      <c r="AP123" s="168"/>
      <c r="AQ123" s="177"/>
      <c r="AR123" s="168"/>
      <c r="AS123" s="177"/>
      <c r="AT123" s="168"/>
      <c r="AU123" s="177"/>
      <c r="AV123" s="168"/>
      <c r="AW123" s="177"/>
      <c r="AX123" s="168"/>
      <c r="AY123" s="177"/>
      <c r="AZ123" s="168"/>
      <c r="BA123" s="177"/>
      <c r="BB123" s="168"/>
      <c r="BC123" s="177"/>
      <c r="BD123" s="168"/>
      <c r="BE123" s="177"/>
      <c r="BF123" s="168"/>
      <c r="BG123" s="177"/>
      <c r="BH123" s="168"/>
      <c r="BI123" s="177"/>
      <c r="BJ123" s="168"/>
      <c r="BK123" s="177"/>
      <c r="BL123" s="168"/>
      <c r="BM123" s="177"/>
      <c r="BN123" s="168"/>
      <c r="BO123" s="177"/>
      <c r="BP123" s="168"/>
      <c r="BQ123" s="177"/>
      <c r="BR123" s="168"/>
      <c r="BS123" s="177"/>
      <c r="BT123" s="168"/>
      <c r="BU123" s="177"/>
      <c r="BV123" s="168"/>
      <c r="BW123" s="177"/>
      <c r="BX123" s="168"/>
      <c r="BY123" s="177"/>
      <c r="BZ123" s="168"/>
      <c r="CA123" s="177"/>
      <c r="CB123" s="168"/>
      <c r="CC123" s="177"/>
      <c r="CD123" s="168"/>
      <c r="CE123" s="177"/>
      <c r="CF123" s="168"/>
      <c r="CG123" s="187"/>
      <c r="CH123" s="183"/>
      <c r="CI123" s="185"/>
      <c r="CJ123" s="160"/>
      <c r="CK123" s="160"/>
      <c r="CL123" s="160"/>
      <c r="CM123" s="160"/>
      <c r="CN123" s="160"/>
      <c r="CO123" s="160"/>
      <c r="CP123" s="160"/>
      <c r="CQ123" s="160"/>
      <c r="CR123" s="160"/>
      <c r="CS123" s="179"/>
      <c r="CT123" s="160"/>
      <c r="CU123" s="160"/>
      <c r="CV123" s="160"/>
      <c r="CW123" s="160"/>
      <c r="CX123" s="160"/>
      <c r="CY123" s="160"/>
      <c r="CZ123" s="160"/>
      <c r="DA123" s="160"/>
      <c r="DB123" s="160"/>
      <c r="DC123" s="160"/>
      <c r="DD123" s="160"/>
      <c r="DE123" s="160"/>
      <c r="DF123" s="160"/>
      <c r="DG123" s="160"/>
      <c r="DH123" s="160"/>
      <c r="DI123" s="160"/>
      <c r="DJ123" s="160"/>
      <c r="DK123" s="160"/>
      <c r="DL123" s="160"/>
      <c r="DM123" s="160"/>
      <c r="DN123" s="160"/>
    </row>
    <row r="124" spans="1:118" hidden="1">
      <c r="A124" s="149"/>
      <c r="B124" s="150"/>
      <c r="C124" s="151"/>
      <c r="D124" s="152"/>
      <c r="E124" s="152"/>
      <c r="F124" s="152"/>
      <c r="G124" s="152"/>
      <c r="H124" s="62">
        <f>SUM(Table4[[#This Row],[BASIC]:[FOOD]])</f>
        <v>0</v>
      </c>
      <c r="I124" s="62"/>
      <c r="J124" s="62"/>
      <c r="K124" s="62"/>
      <c r="L124" s="62"/>
      <c r="M124" s="62"/>
      <c r="N124" s="62"/>
      <c r="O124" s="62">
        <f>SUM(Table4[[#This Row],[ESI BASIC]:[ESI FOOD]])</f>
        <v>0</v>
      </c>
      <c r="P124" s="160"/>
      <c r="Q124" s="160"/>
      <c r="R124" s="175"/>
      <c r="S124" s="167"/>
      <c r="T124" s="10">
        <f t="shared" si="12"/>
        <v>0</v>
      </c>
      <c r="U124" s="167"/>
      <c r="V124" s="10">
        <f t="shared" si="13"/>
        <v>0</v>
      </c>
      <c r="W124" s="10">
        <f t="shared" si="14"/>
        <v>0</v>
      </c>
      <c r="X124" s="170"/>
      <c r="Y124" s="177"/>
      <c r="Z124" s="168"/>
      <c r="AA124" s="177"/>
      <c r="AB124" s="168"/>
      <c r="AC124" s="177"/>
      <c r="AD124" s="168"/>
      <c r="AE124" s="177"/>
      <c r="AF124" s="168"/>
      <c r="AG124" s="177"/>
      <c r="AH124" s="168"/>
      <c r="AI124" s="177"/>
      <c r="AJ124" s="168"/>
      <c r="AK124" s="177"/>
      <c r="AL124" s="168"/>
      <c r="AM124" s="177"/>
      <c r="AN124" s="168"/>
      <c r="AO124" s="177"/>
      <c r="AP124" s="168"/>
      <c r="AQ124" s="177"/>
      <c r="AR124" s="168"/>
      <c r="AS124" s="177"/>
      <c r="AT124" s="168"/>
      <c r="AU124" s="177"/>
      <c r="AV124" s="168"/>
      <c r="AW124" s="177"/>
      <c r="AX124" s="168"/>
      <c r="AY124" s="177"/>
      <c r="AZ124" s="168"/>
      <c r="BA124" s="177"/>
      <c r="BB124" s="168"/>
      <c r="BC124" s="177"/>
      <c r="BD124" s="168"/>
      <c r="BE124" s="177"/>
      <c r="BF124" s="168"/>
      <c r="BG124" s="177"/>
      <c r="BH124" s="168"/>
      <c r="BI124" s="177"/>
      <c r="BJ124" s="168"/>
      <c r="BK124" s="177"/>
      <c r="BL124" s="168"/>
      <c r="BM124" s="177"/>
      <c r="BN124" s="168"/>
      <c r="BO124" s="177"/>
      <c r="BP124" s="168"/>
      <c r="BQ124" s="177"/>
      <c r="BR124" s="168"/>
      <c r="BS124" s="177"/>
      <c r="BT124" s="168"/>
      <c r="BU124" s="177"/>
      <c r="BV124" s="168"/>
      <c r="BW124" s="177"/>
      <c r="BX124" s="168"/>
      <c r="BY124" s="177"/>
      <c r="BZ124" s="168"/>
      <c r="CA124" s="177"/>
      <c r="CB124" s="168"/>
      <c r="CC124" s="177"/>
      <c r="CD124" s="168"/>
      <c r="CE124" s="177"/>
      <c r="CF124" s="168"/>
      <c r="CG124" s="187"/>
      <c r="CH124" s="183"/>
      <c r="CI124" s="185"/>
      <c r="CJ124" s="160"/>
      <c r="CK124" s="160"/>
      <c r="CL124" s="160"/>
      <c r="CM124" s="160"/>
      <c r="CN124" s="160"/>
      <c r="CO124" s="160"/>
      <c r="CP124" s="160"/>
      <c r="CQ124" s="160"/>
      <c r="CR124" s="160"/>
      <c r="CS124" s="179"/>
      <c r="CT124" s="160"/>
      <c r="CU124" s="160"/>
      <c r="CV124" s="160"/>
      <c r="CW124" s="160"/>
      <c r="CX124" s="160"/>
      <c r="CY124" s="160"/>
      <c r="CZ124" s="160"/>
      <c r="DA124" s="160"/>
      <c r="DB124" s="160"/>
      <c r="DC124" s="160"/>
      <c r="DD124" s="160"/>
      <c r="DE124" s="160"/>
      <c r="DF124" s="160"/>
      <c r="DG124" s="160"/>
      <c r="DH124" s="160"/>
      <c r="DI124" s="160"/>
      <c r="DJ124" s="160"/>
      <c r="DK124" s="160"/>
      <c r="DL124" s="160"/>
      <c r="DM124" s="160"/>
      <c r="DN124" s="160"/>
    </row>
    <row r="125" spans="1:118" hidden="1">
      <c r="A125" s="149"/>
      <c r="B125" s="150"/>
      <c r="C125" s="151"/>
      <c r="D125" s="152"/>
      <c r="E125" s="152"/>
      <c r="F125" s="152"/>
      <c r="G125" s="152"/>
      <c r="H125" s="62">
        <f>SUM(Table4[[#This Row],[BASIC]:[FOOD]])</f>
        <v>0</v>
      </c>
      <c r="I125" s="62"/>
      <c r="J125" s="62"/>
      <c r="K125" s="62"/>
      <c r="L125" s="62"/>
      <c r="M125" s="62"/>
      <c r="N125" s="62"/>
      <c r="O125" s="62">
        <f>SUM(Table4[[#This Row],[ESI BASIC]:[ESI FOOD]])</f>
        <v>0</v>
      </c>
      <c r="P125" s="160"/>
      <c r="Q125" s="160"/>
      <c r="R125" s="175"/>
      <c r="S125" s="167"/>
      <c r="T125" s="10">
        <f t="shared" si="12"/>
        <v>0</v>
      </c>
      <c r="U125" s="167"/>
      <c r="V125" s="10">
        <f t="shared" si="13"/>
        <v>0</v>
      </c>
      <c r="W125" s="10">
        <f t="shared" si="14"/>
        <v>0</v>
      </c>
      <c r="X125" s="170"/>
      <c r="Y125" s="177"/>
      <c r="Z125" s="168"/>
      <c r="AA125" s="177"/>
      <c r="AB125" s="168"/>
      <c r="AC125" s="177"/>
      <c r="AD125" s="168"/>
      <c r="AE125" s="177"/>
      <c r="AF125" s="168"/>
      <c r="AG125" s="177"/>
      <c r="AH125" s="168"/>
      <c r="AI125" s="177"/>
      <c r="AJ125" s="168"/>
      <c r="AK125" s="177"/>
      <c r="AL125" s="168"/>
      <c r="AM125" s="177"/>
      <c r="AN125" s="168"/>
      <c r="AO125" s="177"/>
      <c r="AP125" s="168"/>
      <c r="AQ125" s="177"/>
      <c r="AR125" s="168"/>
      <c r="AS125" s="177"/>
      <c r="AT125" s="168"/>
      <c r="AU125" s="177"/>
      <c r="AV125" s="168"/>
      <c r="AW125" s="177"/>
      <c r="AX125" s="168"/>
      <c r="AY125" s="177"/>
      <c r="AZ125" s="168"/>
      <c r="BA125" s="177"/>
      <c r="BB125" s="168"/>
      <c r="BC125" s="177"/>
      <c r="BD125" s="168"/>
      <c r="BE125" s="177"/>
      <c r="BF125" s="168"/>
      <c r="BG125" s="177"/>
      <c r="BH125" s="168"/>
      <c r="BI125" s="177"/>
      <c r="BJ125" s="168"/>
      <c r="BK125" s="177"/>
      <c r="BL125" s="168"/>
      <c r="BM125" s="177"/>
      <c r="BN125" s="168"/>
      <c r="BO125" s="177"/>
      <c r="BP125" s="168"/>
      <c r="BQ125" s="177"/>
      <c r="BR125" s="168"/>
      <c r="BS125" s="177"/>
      <c r="BT125" s="168"/>
      <c r="BU125" s="177"/>
      <c r="BV125" s="168"/>
      <c r="BW125" s="177"/>
      <c r="BX125" s="168"/>
      <c r="BY125" s="177"/>
      <c r="BZ125" s="168"/>
      <c r="CA125" s="177"/>
      <c r="CB125" s="168"/>
      <c r="CC125" s="177"/>
      <c r="CD125" s="168"/>
      <c r="CE125" s="177"/>
      <c r="CF125" s="168"/>
      <c r="CG125" s="187"/>
      <c r="CH125" s="183"/>
      <c r="CI125" s="185"/>
      <c r="CJ125" s="160"/>
      <c r="CK125" s="160"/>
      <c r="CL125" s="160"/>
      <c r="CM125" s="160"/>
      <c r="CN125" s="160"/>
      <c r="CO125" s="160"/>
      <c r="CP125" s="160"/>
      <c r="CQ125" s="160"/>
      <c r="CR125" s="160"/>
      <c r="CS125" s="179"/>
      <c r="CT125" s="160"/>
      <c r="CU125" s="160"/>
      <c r="CV125" s="160"/>
      <c r="CW125" s="160"/>
      <c r="CX125" s="160"/>
      <c r="CY125" s="160"/>
      <c r="CZ125" s="160"/>
      <c r="DA125" s="160"/>
      <c r="DB125" s="160"/>
      <c r="DC125" s="160"/>
      <c r="DD125" s="160"/>
      <c r="DE125" s="160"/>
      <c r="DF125" s="160"/>
      <c r="DG125" s="160"/>
      <c r="DH125" s="160"/>
      <c r="DI125" s="160"/>
      <c r="DJ125" s="160"/>
      <c r="DK125" s="160"/>
      <c r="DL125" s="160"/>
      <c r="DM125" s="160"/>
      <c r="DN125" s="160"/>
    </row>
    <row r="126" spans="1:118" hidden="1">
      <c r="A126" s="149"/>
      <c r="B126" s="150"/>
      <c r="C126" s="151"/>
      <c r="D126" s="152"/>
      <c r="E126" s="152"/>
      <c r="F126" s="152"/>
      <c r="G126" s="152"/>
      <c r="H126" s="62">
        <f>SUM(Table4[[#This Row],[BASIC]:[FOOD]])</f>
        <v>0</v>
      </c>
      <c r="I126" s="62"/>
      <c r="J126" s="62"/>
      <c r="K126" s="62"/>
      <c r="L126" s="62"/>
      <c r="M126" s="62"/>
      <c r="N126" s="62"/>
      <c r="O126" s="62">
        <f>SUM(Table4[[#This Row],[ESI BASIC]:[ESI FOOD]])</f>
        <v>0</v>
      </c>
      <c r="P126" s="160"/>
      <c r="Q126" s="160"/>
      <c r="R126" s="175"/>
      <c r="S126" s="167"/>
      <c r="T126" s="10">
        <f t="shared" si="12"/>
        <v>0</v>
      </c>
      <c r="U126" s="167"/>
      <c r="V126" s="10">
        <f t="shared" si="13"/>
        <v>0</v>
      </c>
      <c r="W126" s="10">
        <f t="shared" si="14"/>
        <v>0</v>
      </c>
      <c r="X126" s="170"/>
      <c r="Y126" s="177"/>
      <c r="Z126" s="168"/>
      <c r="AA126" s="177"/>
      <c r="AB126" s="168"/>
      <c r="AC126" s="177"/>
      <c r="AD126" s="168"/>
      <c r="AE126" s="177"/>
      <c r="AF126" s="168"/>
      <c r="AG126" s="177"/>
      <c r="AH126" s="168"/>
      <c r="AI126" s="177"/>
      <c r="AJ126" s="168"/>
      <c r="AK126" s="177"/>
      <c r="AL126" s="168"/>
      <c r="AM126" s="177"/>
      <c r="AN126" s="168"/>
      <c r="AO126" s="177"/>
      <c r="AP126" s="168"/>
      <c r="AQ126" s="177"/>
      <c r="AR126" s="168"/>
      <c r="AS126" s="177"/>
      <c r="AT126" s="168"/>
      <c r="AU126" s="177"/>
      <c r="AV126" s="168"/>
      <c r="AW126" s="177"/>
      <c r="AX126" s="168"/>
      <c r="AY126" s="177"/>
      <c r="AZ126" s="168"/>
      <c r="BA126" s="177"/>
      <c r="BB126" s="168"/>
      <c r="BC126" s="177"/>
      <c r="BD126" s="168"/>
      <c r="BE126" s="177"/>
      <c r="BF126" s="168"/>
      <c r="BG126" s="177"/>
      <c r="BH126" s="168"/>
      <c r="BI126" s="177"/>
      <c r="BJ126" s="168"/>
      <c r="BK126" s="177"/>
      <c r="BL126" s="168"/>
      <c r="BM126" s="177"/>
      <c r="BN126" s="168"/>
      <c r="BO126" s="177"/>
      <c r="BP126" s="168"/>
      <c r="BQ126" s="177"/>
      <c r="BR126" s="168"/>
      <c r="BS126" s="177"/>
      <c r="BT126" s="168"/>
      <c r="BU126" s="177"/>
      <c r="BV126" s="168"/>
      <c r="BW126" s="177"/>
      <c r="BX126" s="168"/>
      <c r="BY126" s="177"/>
      <c r="BZ126" s="168"/>
      <c r="CA126" s="177"/>
      <c r="CB126" s="168"/>
      <c r="CC126" s="177"/>
      <c r="CD126" s="168"/>
      <c r="CE126" s="177"/>
      <c r="CF126" s="168"/>
      <c r="CG126" s="187"/>
      <c r="CH126" s="183"/>
      <c r="CI126" s="185"/>
      <c r="CJ126" s="160"/>
      <c r="CK126" s="160"/>
      <c r="CL126" s="160"/>
      <c r="CM126" s="160"/>
      <c r="CN126" s="160"/>
      <c r="CO126" s="160"/>
      <c r="CP126" s="160"/>
      <c r="CQ126" s="160"/>
      <c r="CR126" s="160"/>
      <c r="CS126" s="179"/>
      <c r="CT126" s="160"/>
      <c r="CU126" s="160"/>
      <c r="CV126" s="160"/>
      <c r="CW126" s="160"/>
      <c r="CX126" s="160"/>
      <c r="CY126" s="160"/>
      <c r="CZ126" s="160"/>
      <c r="DA126" s="160"/>
      <c r="DB126" s="160"/>
      <c r="DC126" s="160"/>
      <c r="DD126" s="160"/>
      <c r="DE126" s="160"/>
      <c r="DF126" s="160"/>
      <c r="DG126" s="160"/>
      <c r="DH126" s="160"/>
      <c r="DI126" s="160"/>
      <c r="DJ126" s="160"/>
      <c r="DK126" s="160"/>
      <c r="DL126" s="160"/>
      <c r="DM126" s="160"/>
      <c r="DN126" s="160"/>
    </row>
    <row r="127" spans="1:118" hidden="1">
      <c r="A127" s="149"/>
      <c r="B127" s="150"/>
      <c r="C127" s="151"/>
      <c r="D127" s="152"/>
      <c r="E127" s="152"/>
      <c r="F127" s="152"/>
      <c r="G127" s="152"/>
      <c r="H127" s="62">
        <f>SUM(Table4[[#This Row],[BASIC]:[FOOD]])</f>
        <v>0</v>
      </c>
      <c r="I127" s="62"/>
      <c r="J127" s="62"/>
      <c r="K127" s="62"/>
      <c r="L127" s="62"/>
      <c r="M127" s="62"/>
      <c r="N127" s="62"/>
      <c r="O127" s="62">
        <f>SUM(Table4[[#This Row],[ESI BASIC]:[ESI FOOD]])</f>
        <v>0</v>
      </c>
      <c r="P127" s="160"/>
      <c r="Q127" s="160"/>
      <c r="R127" s="175"/>
      <c r="S127" s="167"/>
      <c r="T127" s="10">
        <f t="shared" si="12"/>
        <v>0</v>
      </c>
      <c r="U127" s="167"/>
      <c r="V127" s="10">
        <f t="shared" si="13"/>
        <v>0</v>
      </c>
      <c r="W127" s="10">
        <f t="shared" si="14"/>
        <v>0</v>
      </c>
      <c r="X127" s="170"/>
      <c r="Y127" s="177"/>
      <c r="Z127" s="168"/>
      <c r="AA127" s="177"/>
      <c r="AB127" s="168"/>
      <c r="AC127" s="177"/>
      <c r="AD127" s="168"/>
      <c r="AE127" s="177"/>
      <c r="AF127" s="168"/>
      <c r="AG127" s="177"/>
      <c r="AH127" s="168"/>
      <c r="AI127" s="177"/>
      <c r="AJ127" s="168"/>
      <c r="AK127" s="177"/>
      <c r="AL127" s="168"/>
      <c r="AM127" s="177"/>
      <c r="AN127" s="168"/>
      <c r="AO127" s="177"/>
      <c r="AP127" s="168"/>
      <c r="AQ127" s="177"/>
      <c r="AR127" s="168"/>
      <c r="AS127" s="177"/>
      <c r="AT127" s="168"/>
      <c r="AU127" s="177"/>
      <c r="AV127" s="168"/>
      <c r="AW127" s="177"/>
      <c r="AX127" s="168"/>
      <c r="AY127" s="177"/>
      <c r="AZ127" s="168"/>
      <c r="BA127" s="177"/>
      <c r="BB127" s="168"/>
      <c r="BC127" s="177"/>
      <c r="BD127" s="168"/>
      <c r="BE127" s="177"/>
      <c r="BF127" s="168"/>
      <c r="BG127" s="177"/>
      <c r="BH127" s="168"/>
      <c r="BI127" s="177"/>
      <c r="BJ127" s="168"/>
      <c r="BK127" s="177"/>
      <c r="BL127" s="168"/>
      <c r="BM127" s="177"/>
      <c r="BN127" s="168"/>
      <c r="BO127" s="177"/>
      <c r="BP127" s="168"/>
      <c r="BQ127" s="177"/>
      <c r="BR127" s="168"/>
      <c r="BS127" s="177"/>
      <c r="BT127" s="168"/>
      <c r="BU127" s="177"/>
      <c r="BV127" s="168"/>
      <c r="BW127" s="177"/>
      <c r="BX127" s="168"/>
      <c r="BY127" s="177"/>
      <c r="BZ127" s="168"/>
      <c r="CA127" s="177"/>
      <c r="CB127" s="168"/>
      <c r="CC127" s="177"/>
      <c r="CD127" s="168"/>
      <c r="CE127" s="177"/>
      <c r="CF127" s="168"/>
      <c r="CG127" s="187"/>
      <c r="CH127" s="183"/>
      <c r="CI127" s="185"/>
      <c r="CJ127" s="160"/>
      <c r="CK127" s="160"/>
      <c r="CL127" s="160"/>
      <c r="CM127" s="160"/>
      <c r="CN127" s="160"/>
      <c r="CO127" s="160"/>
      <c r="CP127" s="160"/>
      <c r="CQ127" s="160"/>
      <c r="CR127" s="160"/>
      <c r="CS127" s="179"/>
      <c r="CT127" s="160"/>
      <c r="CU127" s="160"/>
      <c r="CV127" s="160"/>
      <c r="CW127" s="160"/>
      <c r="CX127" s="160"/>
      <c r="CY127" s="160"/>
      <c r="CZ127" s="160"/>
      <c r="DA127" s="160"/>
      <c r="DB127" s="160"/>
      <c r="DC127" s="160"/>
      <c r="DD127" s="160"/>
      <c r="DE127" s="160"/>
      <c r="DF127" s="160"/>
      <c r="DG127" s="160"/>
      <c r="DH127" s="160"/>
      <c r="DI127" s="160"/>
      <c r="DJ127" s="160"/>
      <c r="DK127" s="160"/>
      <c r="DL127" s="160"/>
      <c r="DM127" s="160"/>
      <c r="DN127" s="160"/>
    </row>
    <row r="128" spans="1:118" hidden="1">
      <c r="A128" s="149"/>
      <c r="B128" s="150"/>
      <c r="C128" s="151"/>
      <c r="D128" s="152"/>
      <c r="E128" s="152"/>
      <c r="F128" s="152"/>
      <c r="G128" s="152"/>
      <c r="H128" s="62">
        <f>SUM(Table4[[#This Row],[BASIC]:[FOOD]])</f>
        <v>0</v>
      </c>
      <c r="I128" s="62"/>
      <c r="J128" s="62"/>
      <c r="K128" s="62"/>
      <c r="L128" s="62"/>
      <c r="M128" s="62"/>
      <c r="N128" s="62"/>
      <c r="O128" s="62">
        <f>SUM(Table4[[#This Row],[ESI BASIC]:[ESI FOOD]])</f>
        <v>0</v>
      </c>
      <c r="P128" s="160"/>
      <c r="Q128" s="160"/>
      <c r="R128" s="175"/>
      <c r="S128" s="167"/>
      <c r="T128" s="10">
        <f t="shared" si="12"/>
        <v>0</v>
      </c>
      <c r="U128" s="167"/>
      <c r="V128" s="10">
        <f t="shared" si="13"/>
        <v>0</v>
      </c>
      <c r="W128" s="10">
        <f t="shared" si="14"/>
        <v>0</v>
      </c>
      <c r="X128" s="170"/>
      <c r="Y128" s="177"/>
      <c r="Z128" s="168"/>
      <c r="AA128" s="177"/>
      <c r="AB128" s="168"/>
      <c r="AC128" s="177"/>
      <c r="AD128" s="168"/>
      <c r="AE128" s="177"/>
      <c r="AF128" s="168"/>
      <c r="AG128" s="177"/>
      <c r="AH128" s="168"/>
      <c r="AI128" s="177"/>
      <c r="AJ128" s="168"/>
      <c r="AK128" s="177"/>
      <c r="AL128" s="168"/>
      <c r="AM128" s="177"/>
      <c r="AN128" s="168"/>
      <c r="AO128" s="177"/>
      <c r="AP128" s="168"/>
      <c r="AQ128" s="177"/>
      <c r="AR128" s="168"/>
      <c r="AS128" s="177"/>
      <c r="AT128" s="168"/>
      <c r="AU128" s="177"/>
      <c r="AV128" s="168"/>
      <c r="AW128" s="177"/>
      <c r="AX128" s="168"/>
      <c r="AY128" s="177"/>
      <c r="AZ128" s="168"/>
      <c r="BA128" s="177"/>
      <c r="BB128" s="168"/>
      <c r="BC128" s="177"/>
      <c r="BD128" s="168"/>
      <c r="BE128" s="177"/>
      <c r="BF128" s="168"/>
      <c r="BG128" s="177"/>
      <c r="BH128" s="168"/>
      <c r="BI128" s="177"/>
      <c r="BJ128" s="168"/>
      <c r="BK128" s="177"/>
      <c r="BL128" s="168"/>
      <c r="BM128" s="177"/>
      <c r="BN128" s="168"/>
      <c r="BO128" s="177"/>
      <c r="BP128" s="168"/>
      <c r="BQ128" s="177"/>
      <c r="BR128" s="168"/>
      <c r="BS128" s="177"/>
      <c r="BT128" s="168"/>
      <c r="BU128" s="177"/>
      <c r="BV128" s="168"/>
      <c r="BW128" s="177"/>
      <c r="BX128" s="168"/>
      <c r="BY128" s="177"/>
      <c r="BZ128" s="168"/>
      <c r="CA128" s="177"/>
      <c r="CB128" s="168"/>
      <c r="CC128" s="177"/>
      <c r="CD128" s="168"/>
      <c r="CE128" s="177"/>
      <c r="CF128" s="168"/>
      <c r="CG128" s="187"/>
      <c r="CH128" s="183"/>
      <c r="CI128" s="185"/>
      <c r="CJ128" s="160"/>
      <c r="CK128" s="160"/>
      <c r="CL128" s="160"/>
      <c r="CM128" s="160"/>
      <c r="CN128" s="160"/>
      <c r="CO128" s="160"/>
      <c r="CP128" s="160"/>
      <c r="CQ128" s="160"/>
      <c r="CR128" s="160"/>
      <c r="CS128" s="179"/>
      <c r="CT128" s="160"/>
      <c r="CU128" s="160"/>
      <c r="CV128" s="160"/>
      <c r="CW128" s="160"/>
      <c r="CX128" s="160"/>
      <c r="CY128" s="160"/>
      <c r="CZ128" s="160"/>
      <c r="DA128" s="160"/>
      <c r="DB128" s="160"/>
      <c r="DC128" s="160"/>
      <c r="DD128" s="160"/>
      <c r="DE128" s="160"/>
      <c r="DF128" s="160"/>
      <c r="DG128" s="160"/>
      <c r="DH128" s="160"/>
      <c r="DI128" s="160"/>
      <c r="DJ128" s="160"/>
      <c r="DK128" s="160"/>
      <c r="DL128" s="160"/>
      <c r="DM128" s="160"/>
      <c r="DN128" s="160"/>
    </row>
    <row r="129" spans="1:118" hidden="1">
      <c r="A129" s="149"/>
      <c r="B129" s="150"/>
      <c r="C129" s="151"/>
      <c r="D129" s="152"/>
      <c r="E129" s="152"/>
      <c r="F129" s="152"/>
      <c r="G129" s="152"/>
      <c r="H129" s="62">
        <f>SUM(Table4[[#This Row],[BASIC]:[FOOD]])</f>
        <v>0</v>
      </c>
      <c r="I129" s="62"/>
      <c r="J129" s="62"/>
      <c r="K129" s="62"/>
      <c r="L129" s="62"/>
      <c r="M129" s="62"/>
      <c r="N129" s="62"/>
      <c r="O129" s="62">
        <f>SUM(Table4[[#This Row],[ESI BASIC]:[ESI FOOD]])</f>
        <v>0</v>
      </c>
      <c r="P129" s="160"/>
      <c r="Q129" s="160"/>
      <c r="R129" s="175"/>
      <c r="S129" s="167"/>
      <c r="T129" s="10">
        <f t="shared" si="12"/>
        <v>0</v>
      </c>
      <c r="U129" s="167"/>
      <c r="V129" s="10">
        <f t="shared" si="13"/>
        <v>0</v>
      </c>
      <c r="W129" s="10">
        <f t="shared" si="14"/>
        <v>0</v>
      </c>
      <c r="X129" s="170"/>
      <c r="Y129" s="177"/>
      <c r="Z129" s="168"/>
      <c r="AA129" s="177"/>
      <c r="AB129" s="168"/>
      <c r="AC129" s="177"/>
      <c r="AD129" s="168"/>
      <c r="AE129" s="177"/>
      <c r="AF129" s="168"/>
      <c r="AG129" s="177"/>
      <c r="AH129" s="168"/>
      <c r="AI129" s="177"/>
      <c r="AJ129" s="168"/>
      <c r="AK129" s="177"/>
      <c r="AL129" s="168"/>
      <c r="AM129" s="177"/>
      <c r="AN129" s="168"/>
      <c r="AO129" s="177"/>
      <c r="AP129" s="168"/>
      <c r="AQ129" s="177"/>
      <c r="AR129" s="168"/>
      <c r="AS129" s="177"/>
      <c r="AT129" s="168"/>
      <c r="AU129" s="177"/>
      <c r="AV129" s="168"/>
      <c r="AW129" s="177"/>
      <c r="AX129" s="168"/>
      <c r="AY129" s="177"/>
      <c r="AZ129" s="168"/>
      <c r="BA129" s="177"/>
      <c r="BB129" s="168"/>
      <c r="BC129" s="177"/>
      <c r="BD129" s="168"/>
      <c r="BE129" s="177"/>
      <c r="BF129" s="168"/>
      <c r="BG129" s="177"/>
      <c r="BH129" s="168"/>
      <c r="BI129" s="177"/>
      <c r="BJ129" s="168"/>
      <c r="BK129" s="177"/>
      <c r="BL129" s="168"/>
      <c r="BM129" s="177"/>
      <c r="BN129" s="168"/>
      <c r="BO129" s="177"/>
      <c r="BP129" s="168"/>
      <c r="BQ129" s="177"/>
      <c r="BR129" s="168"/>
      <c r="BS129" s="177"/>
      <c r="BT129" s="168"/>
      <c r="BU129" s="177"/>
      <c r="BV129" s="168"/>
      <c r="BW129" s="177"/>
      <c r="BX129" s="168"/>
      <c r="BY129" s="177"/>
      <c r="BZ129" s="168"/>
      <c r="CA129" s="177"/>
      <c r="CB129" s="168"/>
      <c r="CC129" s="177"/>
      <c r="CD129" s="168"/>
      <c r="CE129" s="177"/>
      <c r="CF129" s="168"/>
      <c r="CG129" s="187"/>
      <c r="CH129" s="183"/>
      <c r="CI129" s="185"/>
      <c r="CJ129" s="160"/>
      <c r="CK129" s="160"/>
      <c r="CL129" s="160"/>
      <c r="CM129" s="160"/>
      <c r="CN129" s="160"/>
      <c r="CO129" s="160"/>
      <c r="CP129" s="160"/>
      <c r="CQ129" s="160"/>
      <c r="CR129" s="160"/>
      <c r="CS129" s="179"/>
      <c r="CT129" s="160"/>
      <c r="CU129" s="160"/>
      <c r="CV129" s="160"/>
      <c r="CW129" s="160"/>
      <c r="CX129" s="160"/>
      <c r="CY129" s="160"/>
      <c r="CZ129" s="160"/>
      <c r="DA129" s="160"/>
      <c r="DB129" s="160"/>
      <c r="DC129" s="160"/>
      <c r="DD129" s="160"/>
      <c r="DE129" s="160"/>
      <c r="DF129" s="160"/>
      <c r="DG129" s="160"/>
      <c r="DH129" s="160"/>
      <c r="DI129" s="160"/>
      <c r="DJ129" s="160"/>
      <c r="DK129" s="160"/>
      <c r="DL129" s="160"/>
      <c r="DM129" s="160"/>
      <c r="DN129" s="160"/>
    </row>
    <row r="130" spans="1:118" hidden="1">
      <c r="A130" s="149"/>
      <c r="B130" s="150"/>
      <c r="C130" s="151"/>
      <c r="D130" s="152"/>
      <c r="E130" s="152"/>
      <c r="F130" s="152"/>
      <c r="G130" s="152"/>
      <c r="H130" s="62">
        <f>SUM(Table4[[#This Row],[BASIC]:[FOOD]])</f>
        <v>0</v>
      </c>
      <c r="I130" s="62"/>
      <c r="J130" s="62"/>
      <c r="K130" s="62"/>
      <c r="L130" s="62"/>
      <c r="M130" s="62"/>
      <c r="N130" s="62"/>
      <c r="O130" s="62">
        <f>SUM(Table4[[#This Row],[ESI BASIC]:[ESI FOOD]])</f>
        <v>0</v>
      </c>
      <c r="P130" s="160"/>
      <c r="Q130" s="160"/>
      <c r="R130" s="175"/>
      <c r="S130" s="167"/>
      <c r="T130" s="10">
        <f t="shared" si="12"/>
        <v>0</v>
      </c>
      <c r="U130" s="167"/>
      <c r="V130" s="10">
        <f t="shared" si="13"/>
        <v>0</v>
      </c>
      <c r="W130" s="10">
        <f t="shared" si="14"/>
        <v>0</v>
      </c>
      <c r="X130" s="170"/>
      <c r="Y130" s="177"/>
      <c r="Z130" s="168"/>
      <c r="AA130" s="177"/>
      <c r="AB130" s="168"/>
      <c r="AC130" s="177"/>
      <c r="AD130" s="168"/>
      <c r="AE130" s="177"/>
      <c r="AF130" s="168"/>
      <c r="AG130" s="177"/>
      <c r="AH130" s="168"/>
      <c r="AI130" s="177"/>
      <c r="AJ130" s="168"/>
      <c r="AK130" s="177"/>
      <c r="AL130" s="168"/>
      <c r="AM130" s="177"/>
      <c r="AN130" s="168"/>
      <c r="AO130" s="177"/>
      <c r="AP130" s="168"/>
      <c r="AQ130" s="177"/>
      <c r="AR130" s="168"/>
      <c r="AS130" s="177"/>
      <c r="AT130" s="168"/>
      <c r="AU130" s="177"/>
      <c r="AV130" s="168"/>
      <c r="AW130" s="177"/>
      <c r="AX130" s="168"/>
      <c r="AY130" s="177"/>
      <c r="AZ130" s="168"/>
      <c r="BA130" s="177"/>
      <c r="BB130" s="168"/>
      <c r="BC130" s="177"/>
      <c r="BD130" s="168"/>
      <c r="BE130" s="177"/>
      <c r="BF130" s="168"/>
      <c r="BG130" s="177"/>
      <c r="BH130" s="168"/>
      <c r="BI130" s="177"/>
      <c r="BJ130" s="168"/>
      <c r="BK130" s="177"/>
      <c r="BL130" s="168"/>
      <c r="BM130" s="177"/>
      <c r="BN130" s="168"/>
      <c r="BO130" s="177"/>
      <c r="BP130" s="168"/>
      <c r="BQ130" s="177"/>
      <c r="BR130" s="168"/>
      <c r="BS130" s="177"/>
      <c r="BT130" s="168"/>
      <c r="BU130" s="177"/>
      <c r="BV130" s="168"/>
      <c r="BW130" s="177"/>
      <c r="BX130" s="168"/>
      <c r="BY130" s="177"/>
      <c r="BZ130" s="168"/>
      <c r="CA130" s="177"/>
      <c r="CB130" s="168"/>
      <c r="CC130" s="177"/>
      <c r="CD130" s="168"/>
      <c r="CE130" s="177"/>
      <c r="CF130" s="168"/>
      <c r="CG130" s="187"/>
      <c r="CH130" s="183"/>
      <c r="CI130" s="185"/>
      <c r="CJ130" s="160"/>
      <c r="CK130" s="160"/>
      <c r="CL130" s="160"/>
      <c r="CM130" s="160"/>
      <c r="CN130" s="160"/>
      <c r="CO130" s="160"/>
      <c r="CP130" s="160"/>
      <c r="CQ130" s="160"/>
      <c r="CR130" s="160"/>
      <c r="CS130" s="179"/>
      <c r="CT130" s="160"/>
      <c r="CU130" s="160"/>
      <c r="CV130" s="160"/>
      <c r="CW130" s="160"/>
      <c r="CX130" s="160"/>
      <c r="CY130" s="160"/>
      <c r="CZ130" s="160"/>
      <c r="DA130" s="160"/>
      <c r="DB130" s="160"/>
      <c r="DC130" s="160"/>
      <c r="DD130" s="160"/>
      <c r="DE130" s="160"/>
      <c r="DF130" s="160"/>
      <c r="DG130" s="160"/>
      <c r="DH130" s="160"/>
      <c r="DI130" s="160"/>
      <c r="DJ130" s="160"/>
      <c r="DK130" s="160"/>
      <c r="DL130" s="160"/>
      <c r="DM130" s="160"/>
      <c r="DN130" s="160"/>
    </row>
    <row r="131" spans="1:118" hidden="1">
      <c r="A131" s="149"/>
      <c r="B131" s="150"/>
      <c r="C131" s="151"/>
      <c r="D131" s="152"/>
      <c r="E131" s="152"/>
      <c r="F131" s="152"/>
      <c r="G131" s="152"/>
      <c r="H131" s="62">
        <f>SUM(Table4[[#This Row],[BASIC]:[FOOD]])</f>
        <v>0</v>
      </c>
      <c r="I131" s="62"/>
      <c r="J131" s="62"/>
      <c r="K131" s="62"/>
      <c r="L131" s="62"/>
      <c r="M131" s="62"/>
      <c r="N131" s="62"/>
      <c r="O131" s="62">
        <f>SUM(Table4[[#This Row],[ESI BASIC]:[ESI FOOD]])</f>
        <v>0</v>
      </c>
      <c r="P131" s="160"/>
      <c r="Q131" s="160"/>
      <c r="R131" s="175"/>
      <c r="S131" s="167"/>
      <c r="T131" s="10">
        <f t="shared" si="12"/>
        <v>0</v>
      </c>
      <c r="U131" s="167"/>
      <c r="V131" s="10">
        <f t="shared" si="13"/>
        <v>0</v>
      </c>
      <c r="W131" s="10">
        <f t="shared" si="14"/>
        <v>0</v>
      </c>
      <c r="X131" s="170"/>
      <c r="Y131" s="177"/>
      <c r="Z131" s="168"/>
      <c r="AA131" s="177"/>
      <c r="AB131" s="168"/>
      <c r="AC131" s="177"/>
      <c r="AD131" s="168"/>
      <c r="AE131" s="177"/>
      <c r="AF131" s="168"/>
      <c r="AG131" s="177"/>
      <c r="AH131" s="168"/>
      <c r="AI131" s="177"/>
      <c r="AJ131" s="168"/>
      <c r="AK131" s="177"/>
      <c r="AL131" s="168"/>
      <c r="AM131" s="177"/>
      <c r="AN131" s="168"/>
      <c r="AO131" s="177"/>
      <c r="AP131" s="168"/>
      <c r="AQ131" s="177"/>
      <c r="AR131" s="168"/>
      <c r="AS131" s="177"/>
      <c r="AT131" s="168"/>
      <c r="AU131" s="177"/>
      <c r="AV131" s="168"/>
      <c r="AW131" s="177"/>
      <c r="AX131" s="168"/>
      <c r="AY131" s="177"/>
      <c r="AZ131" s="168"/>
      <c r="BA131" s="177"/>
      <c r="BB131" s="168"/>
      <c r="BC131" s="177"/>
      <c r="BD131" s="168"/>
      <c r="BE131" s="177"/>
      <c r="BF131" s="168"/>
      <c r="BG131" s="177"/>
      <c r="BH131" s="168"/>
      <c r="BI131" s="177"/>
      <c r="BJ131" s="168"/>
      <c r="BK131" s="177"/>
      <c r="BL131" s="168"/>
      <c r="BM131" s="177"/>
      <c r="BN131" s="168"/>
      <c r="BO131" s="177"/>
      <c r="BP131" s="168"/>
      <c r="BQ131" s="177"/>
      <c r="BR131" s="168"/>
      <c r="BS131" s="177"/>
      <c r="BT131" s="168"/>
      <c r="BU131" s="177"/>
      <c r="BV131" s="168"/>
      <c r="BW131" s="177"/>
      <c r="BX131" s="168"/>
      <c r="BY131" s="177"/>
      <c r="BZ131" s="168"/>
      <c r="CA131" s="177"/>
      <c r="CB131" s="168"/>
      <c r="CC131" s="177"/>
      <c r="CD131" s="168"/>
      <c r="CE131" s="177"/>
      <c r="CF131" s="168"/>
      <c r="CG131" s="187"/>
      <c r="CH131" s="183"/>
      <c r="CI131" s="185"/>
      <c r="CJ131" s="160"/>
      <c r="CK131" s="160"/>
      <c r="CL131" s="160"/>
      <c r="CM131" s="160"/>
      <c r="CN131" s="160"/>
      <c r="CO131" s="160"/>
      <c r="CP131" s="160"/>
      <c r="CQ131" s="160"/>
      <c r="CR131" s="160"/>
      <c r="CS131" s="179"/>
      <c r="CT131" s="160"/>
      <c r="CU131" s="160"/>
      <c r="CV131" s="160"/>
      <c r="CW131" s="160"/>
      <c r="CX131" s="160"/>
      <c r="CY131" s="160"/>
      <c r="CZ131" s="160"/>
      <c r="DA131" s="160"/>
      <c r="DB131" s="160"/>
      <c r="DC131" s="160"/>
      <c r="DD131" s="160"/>
      <c r="DE131" s="160"/>
      <c r="DF131" s="160"/>
      <c r="DG131" s="160"/>
      <c r="DH131" s="160"/>
      <c r="DI131" s="160"/>
      <c r="DJ131" s="160"/>
      <c r="DK131" s="160"/>
      <c r="DL131" s="160"/>
      <c r="DM131" s="160"/>
      <c r="DN131" s="160"/>
    </row>
    <row r="132" spans="1:118" hidden="1">
      <c r="A132" s="149"/>
      <c r="B132" s="150"/>
      <c r="C132" s="151"/>
      <c r="D132" s="152"/>
      <c r="E132" s="152"/>
      <c r="F132" s="152"/>
      <c r="G132" s="152"/>
      <c r="H132" s="62">
        <f>SUM(Table4[[#This Row],[BASIC]:[FOOD]])</f>
        <v>0</v>
      </c>
      <c r="I132" s="62"/>
      <c r="J132" s="62"/>
      <c r="K132" s="62"/>
      <c r="L132" s="62"/>
      <c r="M132" s="62"/>
      <c r="N132" s="62"/>
      <c r="O132" s="62">
        <f>SUM(Table4[[#This Row],[ESI BASIC]:[ESI FOOD]])</f>
        <v>0</v>
      </c>
      <c r="P132" s="160"/>
      <c r="Q132" s="160"/>
      <c r="R132" s="175"/>
      <c r="S132" s="167"/>
      <c r="T132" s="10">
        <f t="shared" si="12"/>
        <v>0</v>
      </c>
      <c r="U132" s="167"/>
      <c r="V132" s="10">
        <f t="shared" si="13"/>
        <v>0</v>
      </c>
      <c r="W132" s="10">
        <f t="shared" si="14"/>
        <v>0</v>
      </c>
      <c r="X132" s="170"/>
      <c r="Y132" s="177"/>
      <c r="Z132" s="168"/>
      <c r="AA132" s="177"/>
      <c r="AB132" s="168"/>
      <c r="AC132" s="177"/>
      <c r="AD132" s="168"/>
      <c r="AE132" s="177"/>
      <c r="AF132" s="168"/>
      <c r="AG132" s="177"/>
      <c r="AH132" s="168"/>
      <c r="AI132" s="177"/>
      <c r="AJ132" s="168"/>
      <c r="AK132" s="177"/>
      <c r="AL132" s="168"/>
      <c r="AM132" s="177"/>
      <c r="AN132" s="168"/>
      <c r="AO132" s="177"/>
      <c r="AP132" s="168"/>
      <c r="AQ132" s="177"/>
      <c r="AR132" s="168"/>
      <c r="AS132" s="177"/>
      <c r="AT132" s="168"/>
      <c r="AU132" s="177"/>
      <c r="AV132" s="168"/>
      <c r="AW132" s="177"/>
      <c r="AX132" s="168"/>
      <c r="AY132" s="177"/>
      <c r="AZ132" s="168"/>
      <c r="BA132" s="177"/>
      <c r="BB132" s="168"/>
      <c r="BC132" s="177"/>
      <c r="BD132" s="168"/>
      <c r="BE132" s="177"/>
      <c r="BF132" s="168"/>
      <c r="BG132" s="177"/>
      <c r="BH132" s="168"/>
      <c r="BI132" s="177"/>
      <c r="BJ132" s="168"/>
      <c r="BK132" s="177"/>
      <c r="BL132" s="168"/>
      <c r="BM132" s="177"/>
      <c r="BN132" s="168"/>
      <c r="BO132" s="177"/>
      <c r="BP132" s="168"/>
      <c r="BQ132" s="177"/>
      <c r="BR132" s="168"/>
      <c r="BS132" s="177"/>
      <c r="BT132" s="168"/>
      <c r="BU132" s="177"/>
      <c r="BV132" s="168"/>
      <c r="BW132" s="177"/>
      <c r="BX132" s="168"/>
      <c r="BY132" s="177"/>
      <c r="BZ132" s="168"/>
      <c r="CA132" s="177"/>
      <c r="CB132" s="168"/>
      <c r="CC132" s="177"/>
      <c r="CD132" s="168"/>
      <c r="CE132" s="177"/>
      <c r="CF132" s="168"/>
      <c r="CG132" s="187"/>
      <c r="CH132" s="183"/>
      <c r="CI132" s="185"/>
      <c r="CJ132" s="160"/>
      <c r="CK132" s="160"/>
      <c r="CL132" s="160"/>
      <c r="CM132" s="160"/>
      <c r="CN132" s="160"/>
      <c r="CO132" s="160"/>
      <c r="CP132" s="160"/>
      <c r="CQ132" s="160"/>
      <c r="CR132" s="160"/>
      <c r="CS132" s="179"/>
      <c r="CT132" s="160"/>
      <c r="CU132" s="160"/>
      <c r="CV132" s="160"/>
      <c r="CW132" s="160"/>
      <c r="CX132" s="160"/>
      <c r="CY132" s="160"/>
      <c r="CZ132" s="160"/>
      <c r="DA132" s="160"/>
      <c r="DB132" s="160"/>
      <c r="DC132" s="160"/>
      <c r="DD132" s="160"/>
      <c r="DE132" s="160"/>
      <c r="DF132" s="160"/>
      <c r="DG132" s="160"/>
      <c r="DH132" s="160"/>
      <c r="DI132" s="160"/>
      <c r="DJ132" s="160"/>
      <c r="DK132" s="160"/>
      <c r="DL132" s="160"/>
      <c r="DM132" s="160"/>
      <c r="DN132" s="160"/>
    </row>
    <row r="133" spans="1:118" hidden="1">
      <c r="A133" s="149"/>
      <c r="B133" s="150"/>
      <c r="C133" s="151"/>
      <c r="D133" s="152"/>
      <c r="E133" s="152"/>
      <c r="F133" s="152"/>
      <c r="G133" s="152"/>
      <c r="H133" s="62">
        <f>SUM(Table4[[#This Row],[BASIC]:[FOOD]])</f>
        <v>0</v>
      </c>
      <c r="I133" s="62"/>
      <c r="J133" s="62"/>
      <c r="K133" s="62"/>
      <c r="L133" s="62"/>
      <c r="M133" s="62"/>
      <c r="N133" s="62"/>
      <c r="O133" s="62">
        <f>SUM(Table4[[#This Row],[ESI BASIC]:[ESI FOOD]])</f>
        <v>0</v>
      </c>
      <c r="P133" s="160"/>
      <c r="Q133" s="160"/>
      <c r="R133" s="175"/>
      <c r="S133" s="167"/>
      <c r="T133" s="10">
        <f t="shared" si="12"/>
        <v>0</v>
      </c>
      <c r="U133" s="167"/>
      <c r="V133" s="10">
        <f t="shared" si="13"/>
        <v>0</v>
      </c>
      <c r="W133" s="10">
        <f t="shared" si="14"/>
        <v>0</v>
      </c>
      <c r="X133" s="170"/>
      <c r="Y133" s="177"/>
      <c r="Z133" s="168"/>
      <c r="AA133" s="177"/>
      <c r="AB133" s="168"/>
      <c r="AC133" s="177"/>
      <c r="AD133" s="168"/>
      <c r="AE133" s="177"/>
      <c r="AF133" s="168"/>
      <c r="AG133" s="177"/>
      <c r="AH133" s="168"/>
      <c r="AI133" s="177"/>
      <c r="AJ133" s="168"/>
      <c r="AK133" s="177"/>
      <c r="AL133" s="168"/>
      <c r="AM133" s="177"/>
      <c r="AN133" s="168"/>
      <c r="AO133" s="177"/>
      <c r="AP133" s="168"/>
      <c r="AQ133" s="177"/>
      <c r="AR133" s="168"/>
      <c r="AS133" s="177"/>
      <c r="AT133" s="168"/>
      <c r="AU133" s="177"/>
      <c r="AV133" s="168"/>
      <c r="AW133" s="177"/>
      <c r="AX133" s="168"/>
      <c r="AY133" s="177"/>
      <c r="AZ133" s="168"/>
      <c r="BA133" s="177"/>
      <c r="BB133" s="168"/>
      <c r="BC133" s="177"/>
      <c r="BD133" s="168"/>
      <c r="BE133" s="177"/>
      <c r="BF133" s="168"/>
      <c r="BG133" s="177"/>
      <c r="BH133" s="168"/>
      <c r="BI133" s="177"/>
      <c r="BJ133" s="168"/>
      <c r="BK133" s="177"/>
      <c r="BL133" s="168"/>
      <c r="BM133" s="177"/>
      <c r="BN133" s="168"/>
      <c r="BO133" s="177"/>
      <c r="BP133" s="168"/>
      <c r="BQ133" s="177"/>
      <c r="BR133" s="168"/>
      <c r="BS133" s="177"/>
      <c r="BT133" s="168"/>
      <c r="BU133" s="177"/>
      <c r="BV133" s="168"/>
      <c r="BW133" s="177"/>
      <c r="BX133" s="168"/>
      <c r="BY133" s="177"/>
      <c r="BZ133" s="168"/>
      <c r="CA133" s="177"/>
      <c r="CB133" s="168"/>
      <c r="CC133" s="177"/>
      <c r="CD133" s="168"/>
      <c r="CE133" s="177"/>
      <c r="CF133" s="168"/>
      <c r="CG133" s="187"/>
      <c r="CH133" s="183"/>
      <c r="CI133" s="185"/>
      <c r="CJ133" s="160"/>
      <c r="CK133" s="160"/>
      <c r="CL133" s="160"/>
      <c r="CM133" s="160"/>
      <c r="CN133" s="160"/>
      <c r="CO133" s="160"/>
      <c r="CP133" s="160"/>
      <c r="CQ133" s="160"/>
      <c r="CR133" s="160"/>
      <c r="CS133" s="179"/>
      <c r="CT133" s="160"/>
      <c r="CU133" s="160"/>
      <c r="CV133" s="160"/>
      <c r="CW133" s="160"/>
      <c r="CX133" s="160"/>
      <c r="CY133" s="160"/>
      <c r="CZ133" s="160"/>
      <c r="DA133" s="160"/>
      <c r="DB133" s="160"/>
      <c r="DC133" s="160"/>
      <c r="DD133" s="160"/>
      <c r="DE133" s="160"/>
      <c r="DF133" s="160"/>
      <c r="DG133" s="160"/>
      <c r="DH133" s="160"/>
      <c r="DI133" s="160"/>
      <c r="DJ133" s="160"/>
      <c r="DK133" s="160"/>
      <c r="DL133" s="160"/>
      <c r="DM133" s="160"/>
      <c r="DN133" s="160"/>
    </row>
    <row r="134" spans="1:118" hidden="1">
      <c r="A134" s="149"/>
      <c r="B134" s="150"/>
      <c r="C134" s="151"/>
      <c r="D134" s="152"/>
      <c r="E134" s="152"/>
      <c r="F134" s="152"/>
      <c r="G134" s="152"/>
      <c r="H134" s="62">
        <f>SUM(Table4[[#This Row],[BASIC]:[FOOD]])</f>
        <v>0</v>
      </c>
      <c r="I134" s="62"/>
      <c r="J134" s="62"/>
      <c r="K134" s="62"/>
      <c r="L134" s="62"/>
      <c r="M134" s="62"/>
      <c r="N134" s="62"/>
      <c r="O134" s="62">
        <f>SUM(Table4[[#This Row],[ESI BASIC]:[ESI FOOD]])</f>
        <v>0</v>
      </c>
      <c r="P134" s="160"/>
      <c r="Q134" s="160"/>
      <c r="R134" s="175"/>
      <c r="S134" s="167"/>
      <c r="T134" s="10">
        <f t="shared" si="12"/>
        <v>0</v>
      </c>
      <c r="U134" s="167"/>
      <c r="V134" s="10">
        <f t="shared" si="13"/>
        <v>0</v>
      </c>
      <c r="W134" s="10">
        <f t="shared" si="14"/>
        <v>0</v>
      </c>
      <c r="X134" s="170"/>
      <c r="Y134" s="177"/>
      <c r="Z134" s="168"/>
      <c r="AA134" s="177"/>
      <c r="AB134" s="168"/>
      <c r="AC134" s="177"/>
      <c r="AD134" s="168"/>
      <c r="AE134" s="177"/>
      <c r="AF134" s="168"/>
      <c r="AG134" s="177"/>
      <c r="AH134" s="168"/>
      <c r="AI134" s="177"/>
      <c r="AJ134" s="168"/>
      <c r="AK134" s="177"/>
      <c r="AL134" s="168"/>
      <c r="AM134" s="177"/>
      <c r="AN134" s="168"/>
      <c r="AO134" s="177"/>
      <c r="AP134" s="168"/>
      <c r="AQ134" s="177"/>
      <c r="AR134" s="168"/>
      <c r="AS134" s="177"/>
      <c r="AT134" s="168"/>
      <c r="AU134" s="177"/>
      <c r="AV134" s="168"/>
      <c r="AW134" s="177"/>
      <c r="AX134" s="168"/>
      <c r="AY134" s="177"/>
      <c r="AZ134" s="168"/>
      <c r="BA134" s="177"/>
      <c r="BB134" s="168"/>
      <c r="BC134" s="177"/>
      <c r="BD134" s="168"/>
      <c r="BE134" s="177"/>
      <c r="BF134" s="168"/>
      <c r="BG134" s="177"/>
      <c r="BH134" s="168"/>
      <c r="BI134" s="177"/>
      <c r="BJ134" s="168"/>
      <c r="BK134" s="177"/>
      <c r="BL134" s="168"/>
      <c r="BM134" s="177"/>
      <c r="BN134" s="168"/>
      <c r="BO134" s="177"/>
      <c r="BP134" s="168"/>
      <c r="BQ134" s="177"/>
      <c r="BR134" s="168"/>
      <c r="BS134" s="177"/>
      <c r="BT134" s="168"/>
      <c r="BU134" s="177"/>
      <c r="BV134" s="168"/>
      <c r="BW134" s="177"/>
      <c r="BX134" s="168"/>
      <c r="BY134" s="177"/>
      <c r="BZ134" s="168"/>
      <c r="CA134" s="177"/>
      <c r="CB134" s="168"/>
      <c r="CC134" s="177"/>
      <c r="CD134" s="168"/>
      <c r="CE134" s="177"/>
      <c r="CF134" s="168"/>
      <c r="CG134" s="187"/>
      <c r="CH134" s="183"/>
      <c r="CI134" s="185"/>
      <c r="CJ134" s="160"/>
      <c r="CK134" s="160"/>
      <c r="CL134" s="160"/>
      <c r="CM134" s="160"/>
      <c r="CN134" s="160"/>
      <c r="CO134" s="160"/>
      <c r="CP134" s="160"/>
      <c r="CQ134" s="160"/>
      <c r="CR134" s="160"/>
      <c r="CS134" s="179"/>
      <c r="CT134" s="160"/>
      <c r="CU134" s="160"/>
      <c r="CV134" s="160"/>
      <c r="CW134" s="160"/>
      <c r="CX134" s="160"/>
      <c r="CY134" s="160"/>
      <c r="CZ134" s="160"/>
      <c r="DA134" s="160"/>
      <c r="DB134" s="160"/>
      <c r="DC134" s="160"/>
      <c r="DD134" s="160"/>
      <c r="DE134" s="160"/>
      <c r="DF134" s="160"/>
      <c r="DG134" s="160"/>
      <c r="DH134" s="160"/>
      <c r="DI134" s="160"/>
      <c r="DJ134" s="160"/>
      <c r="DK134" s="160"/>
      <c r="DL134" s="160"/>
      <c r="DM134" s="160"/>
      <c r="DN134" s="160"/>
    </row>
    <row r="135" spans="1:118" hidden="1">
      <c r="A135" s="149"/>
      <c r="B135" s="150"/>
      <c r="C135" s="151"/>
      <c r="D135" s="152"/>
      <c r="E135" s="152"/>
      <c r="F135" s="152"/>
      <c r="G135" s="152"/>
      <c r="H135" s="62">
        <f>SUM(Table4[[#This Row],[BASIC]:[FOOD]])</f>
        <v>0</v>
      </c>
      <c r="I135" s="62"/>
      <c r="J135" s="62"/>
      <c r="K135" s="62"/>
      <c r="L135" s="62"/>
      <c r="M135" s="62"/>
      <c r="N135" s="62"/>
      <c r="O135" s="62">
        <f>SUM(Table4[[#This Row],[ESI BASIC]:[ESI FOOD]])</f>
        <v>0</v>
      </c>
      <c r="P135" s="160"/>
      <c r="Q135" s="160"/>
      <c r="R135" s="175"/>
      <c r="S135" s="167"/>
      <c r="T135" s="10">
        <f t="shared" si="12"/>
        <v>0</v>
      </c>
      <c r="U135" s="167"/>
      <c r="V135" s="10">
        <f t="shared" si="13"/>
        <v>0</v>
      </c>
      <c r="W135" s="10">
        <f t="shared" si="14"/>
        <v>0</v>
      </c>
      <c r="X135" s="170"/>
      <c r="Y135" s="177"/>
      <c r="Z135" s="168"/>
      <c r="AA135" s="177"/>
      <c r="AB135" s="168"/>
      <c r="AC135" s="177"/>
      <c r="AD135" s="168"/>
      <c r="AE135" s="177"/>
      <c r="AF135" s="168"/>
      <c r="AG135" s="177"/>
      <c r="AH135" s="168"/>
      <c r="AI135" s="177"/>
      <c r="AJ135" s="168"/>
      <c r="AK135" s="177"/>
      <c r="AL135" s="168"/>
      <c r="AM135" s="177"/>
      <c r="AN135" s="168"/>
      <c r="AO135" s="177"/>
      <c r="AP135" s="168"/>
      <c r="AQ135" s="177"/>
      <c r="AR135" s="168"/>
      <c r="AS135" s="177"/>
      <c r="AT135" s="168"/>
      <c r="AU135" s="177"/>
      <c r="AV135" s="168"/>
      <c r="AW135" s="177"/>
      <c r="AX135" s="168"/>
      <c r="AY135" s="177"/>
      <c r="AZ135" s="168"/>
      <c r="BA135" s="177"/>
      <c r="BB135" s="168"/>
      <c r="BC135" s="177"/>
      <c r="BD135" s="168"/>
      <c r="BE135" s="177"/>
      <c r="BF135" s="168"/>
      <c r="BG135" s="177"/>
      <c r="BH135" s="168"/>
      <c r="BI135" s="177"/>
      <c r="BJ135" s="168"/>
      <c r="BK135" s="177"/>
      <c r="BL135" s="168"/>
      <c r="BM135" s="177"/>
      <c r="BN135" s="168"/>
      <c r="BO135" s="177"/>
      <c r="BP135" s="168"/>
      <c r="BQ135" s="177"/>
      <c r="BR135" s="168"/>
      <c r="BS135" s="177"/>
      <c r="BT135" s="168"/>
      <c r="BU135" s="177"/>
      <c r="BV135" s="168"/>
      <c r="BW135" s="177"/>
      <c r="BX135" s="168"/>
      <c r="BY135" s="177"/>
      <c r="BZ135" s="168"/>
      <c r="CA135" s="177"/>
      <c r="CB135" s="168"/>
      <c r="CC135" s="177"/>
      <c r="CD135" s="168"/>
      <c r="CE135" s="177"/>
      <c r="CF135" s="168"/>
      <c r="CG135" s="187"/>
      <c r="CH135" s="183"/>
      <c r="CI135" s="185"/>
      <c r="CJ135" s="160"/>
      <c r="CK135" s="160"/>
      <c r="CL135" s="160"/>
      <c r="CM135" s="160"/>
      <c r="CN135" s="160"/>
      <c r="CO135" s="160"/>
      <c r="CP135" s="160"/>
      <c r="CQ135" s="160"/>
      <c r="CR135" s="160"/>
      <c r="CS135" s="179"/>
      <c r="CT135" s="160"/>
      <c r="CU135" s="160"/>
      <c r="CV135" s="160"/>
      <c r="CW135" s="160"/>
      <c r="CX135" s="160"/>
      <c r="CY135" s="160"/>
      <c r="CZ135" s="160"/>
      <c r="DA135" s="160"/>
      <c r="DB135" s="160"/>
      <c r="DC135" s="160"/>
      <c r="DD135" s="160"/>
      <c r="DE135" s="160"/>
      <c r="DF135" s="160"/>
      <c r="DG135" s="160"/>
      <c r="DH135" s="160"/>
      <c r="DI135" s="160"/>
      <c r="DJ135" s="160"/>
      <c r="DK135" s="160"/>
      <c r="DL135" s="160"/>
      <c r="DM135" s="160"/>
      <c r="DN135" s="160"/>
    </row>
    <row r="136" spans="1:118" hidden="1">
      <c r="A136" s="149"/>
      <c r="B136" s="150"/>
      <c r="C136" s="151"/>
      <c r="D136" s="152"/>
      <c r="E136" s="152"/>
      <c r="F136" s="152"/>
      <c r="G136" s="152"/>
      <c r="H136" s="62">
        <f>SUM(Table4[[#This Row],[BASIC]:[FOOD]])</f>
        <v>0</v>
      </c>
      <c r="I136" s="62"/>
      <c r="J136" s="62"/>
      <c r="K136" s="62"/>
      <c r="L136" s="62"/>
      <c r="M136" s="62"/>
      <c r="N136" s="62"/>
      <c r="O136" s="62">
        <f>SUM(Table4[[#This Row],[ESI BASIC]:[ESI FOOD]])</f>
        <v>0</v>
      </c>
      <c r="P136" s="160"/>
      <c r="Q136" s="160"/>
      <c r="R136" s="175"/>
      <c r="S136" s="167"/>
      <c r="T136" s="10">
        <f t="shared" si="12"/>
        <v>0</v>
      </c>
      <c r="U136" s="167"/>
      <c r="V136" s="10">
        <f t="shared" si="13"/>
        <v>0</v>
      </c>
      <c r="W136" s="10">
        <f t="shared" si="14"/>
        <v>0</v>
      </c>
      <c r="X136" s="170"/>
      <c r="Y136" s="177"/>
      <c r="Z136" s="168"/>
      <c r="AA136" s="177"/>
      <c r="AB136" s="168"/>
      <c r="AC136" s="177"/>
      <c r="AD136" s="168"/>
      <c r="AE136" s="177"/>
      <c r="AF136" s="168"/>
      <c r="AG136" s="177"/>
      <c r="AH136" s="168"/>
      <c r="AI136" s="177"/>
      <c r="AJ136" s="168"/>
      <c r="AK136" s="177"/>
      <c r="AL136" s="168"/>
      <c r="AM136" s="177"/>
      <c r="AN136" s="168"/>
      <c r="AO136" s="177"/>
      <c r="AP136" s="168"/>
      <c r="AQ136" s="177"/>
      <c r="AR136" s="168"/>
      <c r="AS136" s="177"/>
      <c r="AT136" s="168"/>
      <c r="AU136" s="177"/>
      <c r="AV136" s="168"/>
      <c r="AW136" s="177"/>
      <c r="AX136" s="168"/>
      <c r="AY136" s="177"/>
      <c r="AZ136" s="168"/>
      <c r="BA136" s="177"/>
      <c r="BB136" s="168"/>
      <c r="BC136" s="177"/>
      <c r="BD136" s="168"/>
      <c r="BE136" s="177"/>
      <c r="BF136" s="168"/>
      <c r="BG136" s="177"/>
      <c r="BH136" s="168"/>
      <c r="BI136" s="177"/>
      <c r="BJ136" s="168"/>
      <c r="BK136" s="177"/>
      <c r="BL136" s="168"/>
      <c r="BM136" s="177"/>
      <c r="BN136" s="168"/>
      <c r="BO136" s="177"/>
      <c r="BP136" s="168"/>
      <c r="BQ136" s="177"/>
      <c r="BR136" s="168"/>
      <c r="BS136" s="177"/>
      <c r="BT136" s="168"/>
      <c r="BU136" s="177"/>
      <c r="BV136" s="168"/>
      <c r="BW136" s="177"/>
      <c r="BX136" s="168"/>
      <c r="BY136" s="177"/>
      <c r="BZ136" s="168"/>
      <c r="CA136" s="177"/>
      <c r="CB136" s="168"/>
      <c r="CC136" s="177"/>
      <c r="CD136" s="168"/>
      <c r="CE136" s="177"/>
      <c r="CF136" s="168"/>
      <c r="CG136" s="187"/>
      <c r="CH136" s="183"/>
      <c r="CI136" s="185"/>
      <c r="CJ136" s="160"/>
      <c r="CK136" s="160"/>
      <c r="CL136" s="160"/>
      <c r="CM136" s="160"/>
      <c r="CN136" s="160"/>
      <c r="CO136" s="160"/>
      <c r="CP136" s="160"/>
      <c r="CQ136" s="160"/>
      <c r="CR136" s="160"/>
      <c r="CS136" s="179"/>
      <c r="CT136" s="160"/>
      <c r="CU136" s="160"/>
      <c r="CV136" s="160"/>
      <c r="CW136" s="160"/>
      <c r="CX136" s="160"/>
      <c r="CY136" s="160"/>
      <c r="CZ136" s="160"/>
      <c r="DA136" s="160"/>
      <c r="DB136" s="160"/>
      <c r="DC136" s="160"/>
      <c r="DD136" s="160"/>
      <c r="DE136" s="160"/>
      <c r="DF136" s="160"/>
      <c r="DG136" s="160"/>
      <c r="DH136" s="160"/>
      <c r="DI136" s="160"/>
      <c r="DJ136" s="160"/>
      <c r="DK136" s="160"/>
      <c r="DL136" s="160"/>
      <c r="DM136" s="160"/>
      <c r="DN136" s="160"/>
    </row>
    <row r="137" spans="1:118" hidden="1">
      <c r="A137" s="149"/>
      <c r="B137" s="150"/>
      <c r="C137" s="151"/>
      <c r="D137" s="152"/>
      <c r="E137" s="152"/>
      <c r="F137" s="152"/>
      <c r="G137" s="152"/>
      <c r="H137" s="62">
        <f>SUM(Table4[[#This Row],[BASIC]:[FOOD]])</f>
        <v>0</v>
      </c>
      <c r="I137" s="62"/>
      <c r="J137" s="62"/>
      <c r="K137" s="62"/>
      <c r="L137" s="62"/>
      <c r="M137" s="62"/>
      <c r="N137" s="62"/>
      <c r="O137" s="62">
        <f>SUM(Table4[[#This Row],[ESI BASIC]:[ESI FOOD]])</f>
        <v>0</v>
      </c>
      <c r="P137" s="160"/>
      <c r="Q137" s="160"/>
      <c r="R137" s="175"/>
      <c r="S137" s="167"/>
      <c r="T137" s="10">
        <f t="shared" si="12"/>
        <v>0</v>
      </c>
      <c r="U137" s="167"/>
      <c r="V137" s="10">
        <f t="shared" si="13"/>
        <v>0</v>
      </c>
      <c r="W137" s="10">
        <f t="shared" si="14"/>
        <v>0</v>
      </c>
      <c r="X137" s="170"/>
      <c r="Y137" s="177"/>
      <c r="Z137" s="168"/>
      <c r="AA137" s="177"/>
      <c r="AB137" s="168"/>
      <c r="AC137" s="177"/>
      <c r="AD137" s="168"/>
      <c r="AE137" s="177"/>
      <c r="AF137" s="168"/>
      <c r="AG137" s="177"/>
      <c r="AH137" s="168"/>
      <c r="AI137" s="177"/>
      <c r="AJ137" s="168"/>
      <c r="AK137" s="177"/>
      <c r="AL137" s="168"/>
      <c r="AM137" s="177"/>
      <c r="AN137" s="168"/>
      <c r="AO137" s="177"/>
      <c r="AP137" s="168"/>
      <c r="AQ137" s="177"/>
      <c r="AR137" s="168"/>
      <c r="AS137" s="177"/>
      <c r="AT137" s="168"/>
      <c r="AU137" s="177"/>
      <c r="AV137" s="168"/>
      <c r="AW137" s="177"/>
      <c r="AX137" s="168"/>
      <c r="AY137" s="177"/>
      <c r="AZ137" s="168"/>
      <c r="BA137" s="177"/>
      <c r="BB137" s="168"/>
      <c r="BC137" s="177"/>
      <c r="BD137" s="168"/>
      <c r="BE137" s="177"/>
      <c r="BF137" s="168"/>
      <c r="BG137" s="177"/>
      <c r="BH137" s="168"/>
      <c r="BI137" s="177"/>
      <c r="BJ137" s="168"/>
      <c r="BK137" s="177"/>
      <c r="BL137" s="168"/>
      <c r="BM137" s="177"/>
      <c r="BN137" s="168"/>
      <c r="BO137" s="177"/>
      <c r="BP137" s="168"/>
      <c r="BQ137" s="177"/>
      <c r="BR137" s="168"/>
      <c r="BS137" s="177"/>
      <c r="BT137" s="168"/>
      <c r="BU137" s="177"/>
      <c r="BV137" s="168"/>
      <c r="BW137" s="177"/>
      <c r="BX137" s="168"/>
      <c r="BY137" s="177"/>
      <c r="BZ137" s="168"/>
      <c r="CA137" s="177"/>
      <c r="CB137" s="168"/>
      <c r="CC137" s="177"/>
      <c r="CD137" s="168"/>
      <c r="CE137" s="177"/>
      <c r="CF137" s="168"/>
      <c r="CG137" s="187"/>
      <c r="CH137" s="183"/>
      <c r="CI137" s="185"/>
      <c r="CJ137" s="160"/>
      <c r="CK137" s="160"/>
      <c r="CL137" s="160"/>
      <c r="CM137" s="160"/>
      <c r="CN137" s="160"/>
      <c r="CO137" s="160"/>
      <c r="CP137" s="160"/>
      <c r="CQ137" s="160"/>
      <c r="CR137" s="160"/>
      <c r="CS137" s="179"/>
      <c r="CT137" s="160"/>
      <c r="CU137" s="160"/>
      <c r="CV137" s="160"/>
      <c r="CW137" s="160"/>
      <c r="CX137" s="160"/>
      <c r="CY137" s="160"/>
      <c r="CZ137" s="160"/>
      <c r="DA137" s="160"/>
      <c r="DB137" s="160"/>
      <c r="DC137" s="160"/>
      <c r="DD137" s="160"/>
      <c r="DE137" s="160"/>
      <c r="DF137" s="160"/>
      <c r="DG137" s="160"/>
      <c r="DH137" s="160"/>
      <c r="DI137" s="160"/>
      <c r="DJ137" s="160"/>
      <c r="DK137" s="160"/>
      <c r="DL137" s="160"/>
      <c r="DM137" s="160"/>
      <c r="DN137" s="160"/>
    </row>
    <row r="138" spans="1:118" hidden="1">
      <c r="A138" s="149"/>
      <c r="B138" s="150"/>
      <c r="C138" s="151"/>
      <c r="D138" s="152"/>
      <c r="E138" s="152"/>
      <c r="F138" s="152"/>
      <c r="G138" s="152"/>
      <c r="H138" s="62">
        <f>SUM(Table4[[#This Row],[BASIC]:[FOOD]])</f>
        <v>0</v>
      </c>
      <c r="I138" s="62"/>
      <c r="J138" s="62"/>
      <c r="K138" s="62"/>
      <c r="L138" s="62"/>
      <c r="M138" s="62"/>
      <c r="N138" s="62"/>
      <c r="O138" s="62">
        <f>SUM(Table4[[#This Row],[ESI BASIC]:[ESI FOOD]])</f>
        <v>0</v>
      </c>
      <c r="P138" s="160"/>
      <c r="Q138" s="160"/>
      <c r="R138" s="175"/>
      <c r="S138" s="167"/>
      <c r="T138" s="10">
        <f t="shared" si="12"/>
        <v>0</v>
      </c>
      <c r="U138" s="167"/>
      <c r="V138" s="10">
        <f t="shared" si="13"/>
        <v>0</v>
      </c>
      <c r="W138" s="10">
        <f t="shared" si="14"/>
        <v>0</v>
      </c>
      <c r="X138" s="170"/>
      <c r="Y138" s="177"/>
      <c r="Z138" s="168"/>
      <c r="AA138" s="177"/>
      <c r="AB138" s="168"/>
      <c r="AC138" s="177"/>
      <c r="AD138" s="168"/>
      <c r="AE138" s="177"/>
      <c r="AF138" s="168"/>
      <c r="AG138" s="177"/>
      <c r="AH138" s="168"/>
      <c r="AI138" s="177"/>
      <c r="AJ138" s="168"/>
      <c r="AK138" s="177"/>
      <c r="AL138" s="168"/>
      <c r="AM138" s="177"/>
      <c r="AN138" s="168"/>
      <c r="AO138" s="177"/>
      <c r="AP138" s="168"/>
      <c r="AQ138" s="177"/>
      <c r="AR138" s="168"/>
      <c r="AS138" s="177"/>
      <c r="AT138" s="168"/>
      <c r="AU138" s="177"/>
      <c r="AV138" s="168"/>
      <c r="AW138" s="177"/>
      <c r="AX138" s="168"/>
      <c r="AY138" s="177"/>
      <c r="AZ138" s="168"/>
      <c r="BA138" s="177"/>
      <c r="BB138" s="168"/>
      <c r="BC138" s="177"/>
      <c r="BD138" s="168"/>
      <c r="BE138" s="177"/>
      <c r="BF138" s="168"/>
      <c r="BG138" s="177"/>
      <c r="BH138" s="168"/>
      <c r="BI138" s="177"/>
      <c r="BJ138" s="168"/>
      <c r="BK138" s="177"/>
      <c r="BL138" s="168"/>
      <c r="BM138" s="177"/>
      <c r="BN138" s="168"/>
      <c r="BO138" s="177"/>
      <c r="BP138" s="168"/>
      <c r="BQ138" s="177"/>
      <c r="BR138" s="168"/>
      <c r="BS138" s="177"/>
      <c r="BT138" s="168"/>
      <c r="BU138" s="177"/>
      <c r="BV138" s="168"/>
      <c r="BW138" s="177"/>
      <c r="BX138" s="168"/>
      <c r="BY138" s="177"/>
      <c r="BZ138" s="168"/>
      <c r="CA138" s="177"/>
      <c r="CB138" s="168"/>
      <c r="CC138" s="177"/>
      <c r="CD138" s="168"/>
      <c r="CE138" s="177"/>
      <c r="CF138" s="168"/>
      <c r="CG138" s="187"/>
      <c r="CH138" s="183"/>
      <c r="CI138" s="185"/>
      <c r="CJ138" s="160"/>
      <c r="CK138" s="160"/>
      <c r="CL138" s="160"/>
      <c r="CM138" s="160"/>
      <c r="CN138" s="160"/>
      <c r="CO138" s="160"/>
      <c r="CP138" s="160"/>
      <c r="CQ138" s="160"/>
      <c r="CR138" s="160"/>
      <c r="CS138" s="179"/>
      <c r="CT138" s="160"/>
      <c r="CU138" s="160"/>
      <c r="CV138" s="160"/>
      <c r="CW138" s="160"/>
      <c r="CX138" s="160"/>
      <c r="CY138" s="160"/>
      <c r="CZ138" s="160"/>
      <c r="DA138" s="160"/>
      <c r="DB138" s="160"/>
      <c r="DC138" s="160"/>
      <c r="DD138" s="160"/>
      <c r="DE138" s="160"/>
      <c r="DF138" s="160"/>
      <c r="DG138" s="160"/>
      <c r="DH138" s="160"/>
      <c r="DI138" s="160"/>
      <c r="DJ138" s="160"/>
      <c r="DK138" s="160"/>
      <c r="DL138" s="160"/>
      <c r="DM138" s="160"/>
      <c r="DN138" s="160"/>
    </row>
    <row r="139" spans="1:118" hidden="1">
      <c r="A139" s="149"/>
      <c r="B139" s="150"/>
      <c r="C139" s="151"/>
      <c r="D139" s="152"/>
      <c r="E139" s="152"/>
      <c r="F139" s="152"/>
      <c r="G139" s="152"/>
      <c r="H139" s="62">
        <f>SUM(Table4[[#This Row],[BASIC]:[FOOD]])</f>
        <v>0</v>
      </c>
      <c r="I139" s="62"/>
      <c r="J139" s="62"/>
      <c r="K139" s="62"/>
      <c r="L139" s="62"/>
      <c r="M139" s="62"/>
      <c r="N139" s="62"/>
      <c r="O139" s="62">
        <f>SUM(Table4[[#This Row],[ESI BASIC]:[ESI FOOD]])</f>
        <v>0</v>
      </c>
      <c r="P139" s="160"/>
      <c r="Q139" s="160"/>
      <c r="R139" s="175"/>
      <c r="S139" s="167"/>
      <c r="T139" s="10">
        <f t="shared" si="12"/>
        <v>0</v>
      </c>
      <c r="U139" s="167"/>
      <c r="V139" s="10">
        <f t="shared" si="13"/>
        <v>0</v>
      </c>
      <c r="W139" s="10">
        <f t="shared" si="14"/>
        <v>0</v>
      </c>
      <c r="X139" s="170"/>
      <c r="Y139" s="177"/>
      <c r="Z139" s="168"/>
      <c r="AA139" s="177"/>
      <c r="AB139" s="168"/>
      <c r="AC139" s="177"/>
      <c r="AD139" s="168"/>
      <c r="AE139" s="177"/>
      <c r="AF139" s="168"/>
      <c r="AG139" s="177"/>
      <c r="AH139" s="168"/>
      <c r="AI139" s="177"/>
      <c r="AJ139" s="168"/>
      <c r="AK139" s="177"/>
      <c r="AL139" s="168"/>
      <c r="AM139" s="177"/>
      <c r="AN139" s="168"/>
      <c r="AO139" s="177"/>
      <c r="AP139" s="168"/>
      <c r="AQ139" s="177"/>
      <c r="AR139" s="168"/>
      <c r="AS139" s="177"/>
      <c r="AT139" s="168"/>
      <c r="AU139" s="177"/>
      <c r="AV139" s="168"/>
      <c r="AW139" s="177"/>
      <c r="AX139" s="168"/>
      <c r="AY139" s="177"/>
      <c r="AZ139" s="168"/>
      <c r="BA139" s="177"/>
      <c r="BB139" s="168"/>
      <c r="BC139" s="177"/>
      <c r="BD139" s="168"/>
      <c r="BE139" s="177"/>
      <c r="BF139" s="168"/>
      <c r="BG139" s="177"/>
      <c r="BH139" s="168"/>
      <c r="BI139" s="177"/>
      <c r="BJ139" s="168"/>
      <c r="BK139" s="177"/>
      <c r="BL139" s="168"/>
      <c r="BM139" s="177"/>
      <c r="BN139" s="168"/>
      <c r="BO139" s="177"/>
      <c r="BP139" s="168"/>
      <c r="BQ139" s="177"/>
      <c r="BR139" s="168"/>
      <c r="BS139" s="177"/>
      <c r="BT139" s="168"/>
      <c r="BU139" s="177"/>
      <c r="BV139" s="168"/>
      <c r="BW139" s="177"/>
      <c r="BX139" s="168"/>
      <c r="BY139" s="177"/>
      <c r="BZ139" s="168"/>
      <c r="CA139" s="177"/>
      <c r="CB139" s="168"/>
      <c r="CC139" s="177"/>
      <c r="CD139" s="168"/>
      <c r="CE139" s="177"/>
      <c r="CF139" s="168"/>
      <c r="CG139" s="187"/>
      <c r="CH139" s="183"/>
      <c r="CI139" s="185"/>
      <c r="CJ139" s="160"/>
      <c r="CK139" s="160"/>
      <c r="CL139" s="160"/>
      <c r="CM139" s="160"/>
      <c r="CN139" s="160"/>
      <c r="CO139" s="160"/>
      <c r="CP139" s="160"/>
      <c r="CQ139" s="160"/>
      <c r="CR139" s="160"/>
      <c r="CS139" s="179"/>
      <c r="CT139" s="160"/>
      <c r="CU139" s="160"/>
      <c r="CV139" s="160"/>
      <c r="CW139" s="160"/>
      <c r="CX139" s="160"/>
      <c r="CY139" s="160"/>
      <c r="CZ139" s="160"/>
      <c r="DA139" s="160"/>
      <c r="DB139" s="160"/>
      <c r="DC139" s="160"/>
      <c r="DD139" s="160"/>
      <c r="DE139" s="160"/>
      <c r="DF139" s="160"/>
      <c r="DG139" s="160"/>
      <c r="DH139" s="160"/>
      <c r="DI139" s="160"/>
      <c r="DJ139" s="160"/>
      <c r="DK139" s="160"/>
      <c r="DL139" s="160"/>
      <c r="DM139" s="160"/>
      <c r="DN139" s="160"/>
    </row>
    <row r="140" spans="1:118" hidden="1">
      <c r="A140" s="149"/>
      <c r="B140" s="150"/>
      <c r="C140" s="151"/>
      <c r="D140" s="152"/>
      <c r="E140" s="152"/>
      <c r="F140" s="152"/>
      <c r="G140" s="152"/>
      <c r="H140" s="62">
        <f>SUM(Table4[[#This Row],[BASIC]:[FOOD]])</f>
        <v>0</v>
      </c>
      <c r="I140" s="62"/>
      <c r="J140" s="62"/>
      <c r="K140" s="62"/>
      <c r="L140" s="62"/>
      <c r="M140" s="62"/>
      <c r="N140" s="62"/>
      <c r="O140" s="62">
        <f>SUM(Table4[[#This Row],[ESI BASIC]:[ESI FOOD]])</f>
        <v>0</v>
      </c>
      <c r="P140" s="160"/>
      <c r="Q140" s="160"/>
      <c r="R140" s="175"/>
      <c r="S140" s="167"/>
      <c r="T140" s="10">
        <f t="shared" si="12"/>
        <v>0</v>
      </c>
      <c r="U140" s="167"/>
      <c r="V140" s="10">
        <f t="shared" si="13"/>
        <v>0</v>
      </c>
      <c r="W140" s="10">
        <f t="shared" si="14"/>
        <v>0</v>
      </c>
      <c r="X140" s="170"/>
      <c r="Y140" s="177"/>
      <c r="Z140" s="168"/>
      <c r="AA140" s="177"/>
      <c r="AB140" s="168"/>
      <c r="AC140" s="177"/>
      <c r="AD140" s="168"/>
      <c r="AE140" s="177"/>
      <c r="AF140" s="168"/>
      <c r="AG140" s="177"/>
      <c r="AH140" s="168"/>
      <c r="AI140" s="177"/>
      <c r="AJ140" s="168"/>
      <c r="AK140" s="177"/>
      <c r="AL140" s="168"/>
      <c r="AM140" s="177"/>
      <c r="AN140" s="168"/>
      <c r="AO140" s="177"/>
      <c r="AP140" s="168"/>
      <c r="AQ140" s="177"/>
      <c r="AR140" s="168"/>
      <c r="AS140" s="177"/>
      <c r="AT140" s="168"/>
      <c r="AU140" s="177"/>
      <c r="AV140" s="168"/>
      <c r="AW140" s="177"/>
      <c r="AX140" s="168"/>
      <c r="AY140" s="177"/>
      <c r="AZ140" s="168"/>
      <c r="BA140" s="177"/>
      <c r="BB140" s="168"/>
      <c r="BC140" s="177"/>
      <c r="BD140" s="168"/>
      <c r="BE140" s="177"/>
      <c r="BF140" s="168"/>
      <c r="BG140" s="177"/>
      <c r="BH140" s="168"/>
      <c r="BI140" s="177"/>
      <c r="BJ140" s="168"/>
      <c r="BK140" s="177"/>
      <c r="BL140" s="168"/>
      <c r="BM140" s="177"/>
      <c r="BN140" s="168"/>
      <c r="BO140" s="177"/>
      <c r="BP140" s="168"/>
      <c r="BQ140" s="177"/>
      <c r="BR140" s="168"/>
      <c r="BS140" s="177"/>
      <c r="BT140" s="168"/>
      <c r="BU140" s="177"/>
      <c r="BV140" s="168"/>
      <c r="BW140" s="177"/>
      <c r="BX140" s="168"/>
      <c r="BY140" s="177"/>
      <c r="BZ140" s="168"/>
      <c r="CA140" s="177"/>
      <c r="CB140" s="168"/>
      <c r="CC140" s="177"/>
      <c r="CD140" s="168"/>
      <c r="CE140" s="177"/>
      <c r="CF140" s="168"/>
      <c r="CG140" s="187"/>
      <c r="CH140" s="183"/>
      <c r="CI140" s="185"/>
      <c r="CJ140" s="160"/>
      <c r="CK140" s="160"/>
      <c r="CL140" s="160"/>
      <c r="CM140" s="160"/>
      <c r="CN140" s="160"/>
      <c r="CO140" s="160"/>
      <c r="CP140" s="160"/>
      <c r="CQ140" s="160"/>
      <c r="CR140" s="160"/>
      <c r="CS140" s="179"/>
      <c r="CT140" s="160"/>
      <c r="CU140" s="160"/>
      <c r="CV140" s="160"/>
      <c r="CW140" s="160"/>
      <c r="CX140" s="160"/>
      <c r="CY140" s="160"/>
      <c r="CZ140" s="160"/>
      <c r="DA140" s="160"/>
      <c r="DB140" s="160"/>
      <c r="DC140" s="160"/>
      <c r="DD140" s="160"/>
      <c r="DE140" s="160"/>
      <c r="DF140" s="160"/>
      <c r="DG140" s="160"/>
      <c r="DH140" s="160"/>
      <c r="DI140" s="160"/>
      <c r="DJ140" s="160"/>
      <c r="DK140" s="160"/>
      <c r="DL140" s="160"/>
      <c r="DM140" s="160"/>
      <c r="DN140" s="160"/>
    </row>
    <row r="141" spans="1:118" hidden="1">
      <c r="A141" s="149"/>
      <c r="B141" s="150"/>
      <c r="C141" s="151"/>
      <c r="D141" s="152"/>
      <c r="E141" s="152"/>
      <c r="F141" s="152"/>
      <c r="G141" s="152"/>
      <c r="H141" s="62">
        <f>SUM(Table4[[#This Row],[BASIC]:[FOOD]])</f>
        <v>0</v>
      </c>
      <c r="I141" s="62"/>
      <c r="J141" s="62"/>
      <c r="K141" s="62"/>
      <c r="L141" s="62"/>
      <c r="M141" s="62"/>
      <c r="N141" s="62"/>
      <c r="O141" s="62">
        <f>SUM(Table4[[#This Row],[ESI BASIC]:[ESI FOOD]])</f>
        <v>0</v>
      </c>
      <c r="P141" s="160"/>
      <c r="Q141" s="160"/>
      <c r="R141" s="175"/>
      <c r="S141" s="167"/>
      <c r="T141" s="10">
        <f t="shared" si="12"/>
        <v>0</v>
      </c>
      <c r="U141" s="167"/>
      <c r="V141" s="10">
        <f t="shared" si="13"/>
        <v>0</v>
      </c>
      <c r="W141" s="10">
        <f t="shared" si="14"/>
        <v>0</v>
      </c>
      <c r="X141" s="170"/>
      <c r="Y141" s="177"/>
      <c r="Z141" s="168"/>
      <c r="AA141" s="177"/>
      <c r="AB141" s="168"/>
      <c r="AC141" s="177"/>
      <c r="AD141" s="168"/>
      <c r="AE141" s="177"/>
      <c r="AF141" s="168"/>
      <c r="AG141" s="177"/>
      <c r="AH141" s="168"/>
      <c r="AI141" s="177"/>
      <c r="AJ141" s="168"/>
      <c r="AK141" s="177"/>
      <c r="AL141" s="168"/>
      <c r="AM141" s="177"/>
      <c r="AN141" s="168"/>
      <c r="AO141" s="177"/>
      <c r="AP141" s="168"/>
      <c r="AQ141" s="177"/>
      <c r="AR141" s="168"/>
      <c r="AS141" s="177"/>
      <c r="AT141" s="168"/>
      <c r="AU141" s="177"/>
      <c r="AV141" s="168"/>
      <c r="AW141" s="177"/>
      <c r="AX141" s="168"/>
      <c r="AY141" s="177"/>
      <c r="AZ141" s="168"/>
      <c r="BA141" s="177"/>
      <c r="BB141" s="168"/>
      <c r="BC141" s="177"/>
      <c r="BD141" s="168"/>
      <c r="BE141" s="177"/>
      <c r="BF141" s="168"/>
      <c r="BG141" s="177"/>
      <c r="BH141" s="168"/>
      <c r="BI141" s="177"/>
      <c r="BJ141" s="168"/>
      <c r="BK141" s="177"/>
      <c r="BL141" s="168"/>
      <c r="BM141" s="177"/>
      <c r="BN141" s="168"/>
      <c r="BO141" s="177"/>
      <c r="BP141" s="168"/>
      <c r="BQ141" s="177"/>
      <c r="BR141" s="168"/>
      <c r="BS141" s="177"/>
      <c r="BT141" s="168"/>
      <c r="BU141" s="177"/>
      <c r="BV141" s="168"/>
      <c r="BW141" s="177"/>
      <c r="BX141" s="168"/>
      <c r="BY141" s="177"/>
      <c r="BZ141" s="168"/>
      <c r="CA141" s="177"/>
      <c r="CB141" s="168"/>
      <c r="CC141" s="177"/>
      <c r="CD141" s="168"/>
      <c r="CE141" s="177"/>
      <c r="CF141" s="168"/>
      <c r="CG141" s="187"/>
      <c r="CH141" s="183"/>
      <c r="CI141" s="185"/>
      <c r="CJ141" s="160"/>
      <c r="CK141" s="160"/>
      <c r="CL141" s="160"/>
      <c r="CM141" s="160"/>
      <c r="CN141" s="160"/>
      <c r="CO141" s="160"/>
      <c r="CP141" s="160"/>
      <c r="CQ141" s="160"/>
      <c r="CR141" s="160"/>
      <c r="CS141" s="179"/>
      <c r="CT141" s="160"/>
      <c r="CU141" s="160"/>
      <c r="CV141" s="160"/>
      <c r="CW141" s="160"/>
      <c r="CX141" s="160"/>
      <c r="CY141" s="160"/>
      <c r="CZ141" s="160"/>
      <c r="DA141" s="160"/>
      <c r="DB141" s="160"/>
      <c r="DC141" s="160"/>
      <c r="DD141" s="160"/>
      <c r="DE141" s="160"/>
      <c r="DF141" s="160"/>
      <c r="DG141" s="160"/>
      <c r="DH141" s="160"/>
      <c r="DI141" s="160"/>
      <c r="DJ141" s="160"/>
      <c r="DK141" s="160"/>
      <c r="DL141" s="160"/>
      <c r="DM141" s="160"/>
      <c r="DN141" s="160"/>
    </row>
    <row r="142" spans="1:118" hidden="1">
      <c r="A142" s="149"/>
      <c r="B142" s="150"/>
      <c r="C142" s="151"/>
      <c r="D142" s="152"/>
      <c r="E142" s="152"/>
      <c r="F142" s="152"/>
      <c r="G142" s="152"/>
      <c r="H142" s="62">
        <f>SUM(Table4[[#This Row],[BASIC]:[FOOD]])</f>
        <v>0</v>
      </c>
      <c r="I142" s="62"/>
      <c r="J142" s="62"/>
      <c r="K142" s="62"/>
      <c r="L142" s="62"/>
      <c r="M142" s="62"/>
      <c r="N142" s="62"/>
      <c r="O142" s="62">
        <f>SUM(Table4[[#This Row],[ESI BASIC]:[ESI FOOD]])</f>
        <v>0</v>
      </c>
      <c r="P142" s="160"/>
      <c r="Q142" s="160"/>
      <c r="R142" s="175"/>
      <c r="S142" s="167"/>
      <c r="T142" s="10">
        <f t="shared" si="12"/>
        <v>0</v>
      </c>
      <c r="U142" s="167"/>
      <c r="V142" s="10">
        <f t="shared" si="13"/>
        <v>0</v>
      </c>
      <c r="W142" s="10">
        <f t="shared" si="14"/>
        <v>0</v>
      </c>
      <c r="X142" s="170"/>
      <c r="Y142" s="177"/>
      <c r="Z142" s="168"/>
      <c r="AA142" s="177"/>
      <c r="AB142" s="168"/>
      <c r="AC142" s="177"/>
      <c r="AD142" s="168"/>
      <c r="AE142" s="177"/>
      <c r="AF142" s="168"/>
      <c r="AG142" s="177"/>
      <c r="AH142" s="168"/>
      <c r="AI142" s="177"/>
      <c r="AJ142" s="168"/>
      <c r="AK142" s="177"/>
      <c r="AL142" s="168"/>
      <c r="AM142" s="177"/>
      <c r="AN142" s="168"/>
      <c r="AO142" s="177"/>
      <c r="AP142" s="168"/>
      <c r="AQ142" s="177"/>
      <c r="AR142" s="168"/>
      <c r="AS142" s="177"/>
      <c r="AT142" s="168"/>
      <c r="AU142" s="177"/>
      <c r="AV142" s="168"/>
      <c r="AW142" s="177"/>
      <c r="AX142" s="168"/>
      <c r="AY142" s="177"/>
      <c r="AZ142" s="168"/>
      <c r="BA142" s="177"/>
      <c r="BB142" s="168"/>
      <c r="BC142" s="177"/>
      <c r="BD142" s="168"/>
      <c r="BE142" s="177"/>
      <c r="BF142" s="168"/>
      <c r="BG142" s="177"/>
      <c r="BH142" s="168"/>
      <c r="BI142" s="177"/>
      <c r="BJ142" s="168"/>
      <c r="BK142" s="177"/>
      <c r="BL142" s="168"/>
      <c r="BM142" s="177"/>
      <c r="BN142" s="168"/>
      <c r="BO142" s="177"/>
      <c r="BP142" s="168"/>
      <c r="BQ142" s="177"/>
      <c r="BR142" s="168"/>
      <c r="BS142" s="177"/>
      <c r="BT142" s="168"/>
      <c r="BU142" s="177"/>
      <c r="BV142" s="168"/>
      <c r="BW142" s="177"/>
      <c r="BX142" s="168"/>
      <c r="BY142" s="177"/>
      <c r="BZ142" s="168"/>
      <c r="CA142" s="177"/>
      <c r="CB142" s="168"/>
      <c r="CC142" s="177"/>
      <c r="CD142" s="168"/>
      <c r="CE142" s="177"/>
      <c r="CF142" s="168"/>
      <c r="CG142" s="187"/>
      <c r="CH142" s="183"/>
      <c r="CI142" s="185"/>
      <c r="CJ142" s="160"/>
      <c r="CK142" s="160"/>
      <c r="CL142" s="160"/>
      <c r="CM142" s="160"/>
      <c r="CN142" s="160"/>
      <c r="CO142" s="160"/>
      <c r="CP142" s="160"/>
      <c r="CQ142" s="160"/>
      <c r="CR142" s="160"/>
      <c r="CS142" s="179"/>
      <c r="CT142" s="160"/>
      <c r="CU142" s="160"/>
      <c r="CV142" s="160"/>
      <c r="CW142" s="160"/>
      <c r="CX142" s="160"/>
      <c r="CY142" s="160"/>
      <c r="CZ142" s="160"/>
      <c r="DA142" s="160"/>
      <c r="DB142" s="160"/>
      <c r="DC142" s="160"/>
      <c r="DD142" s="160"/>
      <c r="DE142" s="160"/>
      <c r="DF142" s="160"/>
      <c r="DG142" s="160"/>
      <c r="DH142" s="160"/>
      <c r="DI142" s="160"/>
      <c r="DJ142" s="160"/>
      <c r="DK142" s="160"/>
      <c r="DL142" s="160"/>
      <c r="DM142" s="160"/>
      <c r="DN142" s="160"/>
    </row>
    <row r="143" spans="1:118" hidden="1">
      <c r="A143" s="149"/>
      <c r="B143" s="150"/>
      <c r="C143" s="151"/>
      <c r="D143" s="152"/>
      <c r="E143" s="152"/>
      <c r="F143" s="152"/>
      <c r="G143" s="152"/>
      <c r="H143" s="62">
        <f>SUM(Table4[[#This Row],[BASIC]:[FOOD]])</f>
        <v>0</v>
      </c>
      <c r="I143" s="62"/>
      <c r="J143" s="62"/>
      <c r="K143" s="62"/>
      <c r="L143" s="62"/>
      <c r="M143" s="62"/>
      <c r="N143" s="62"/>
      <c r="O143" s="62">
        <f>SUM(Table4[[#This Row],[ESI BASIC]:[ESI FOOD]])</f>
        <v>0</v>
      </c>
      <c r="P143" s="160"/>
      <c r="Q143" s="160"/>
      <c r="R143" s="175"/>
      <c r="S143" s="167"/>
      <c r="T143" s="10">
        <f t="shared" si="12"/>
        <v>0</v>
      </c>
      <c r="U143" s="167"/>
      <c r="V143" s="10">
        <f t="shared" si="13"/>
        <v>0</v>
      </c>
      <c r="W143" s="10">
        <f t="shared" si="14"/>
        <v>0</v>
      </c>
      <c r="X143" s="170"/>
      <c r="Y143" s="177"/>
      <c r="Z143" s="168"/>
      <c r="AA143" s="177"/>
      <c r="AB143" s="168"/>
      <c r="AC143" s="177"/>
      <c r="AD143" s="168"/>
      <c r="AE143" s="177"/>
      <c r="AF143" s="168"/>
      <c r="AG143" s="177"/>
      <c r="AH143" s="168"/>
      <c r="AI143" s="177"/>
      <c r="AJ143" s="168"/>
      <c r="AK143" s="177"/>
      <c r="AL143" s="168"/>
      <c r="AM143" s="177"/>
      <c r="AN143" s="168"/>
      <c r="AO143" s="177"/>
      <c r="AP143" s="168"/>
      <c r="AQ143" s="177"/>
      <c r="AR143" s="168"/>
      <c r="AS143" s="177"/>
      <c r="AT143" s="168"/>
      <c r="AU143" s="177"/>
      <c r="AV143" s="168"/>
      <c r="AW143" s="177"/>
      <c r="AX143" s="168"/>
      <c r="AY143" s="177"/>
      <c r="AZ143" s="168"/>
      <c r="BA143" s="177"/>
      <c r="BB143" s="168"/>
      <c r="BC143" s="177"/>
      <c r="BD143" s="168"/>
      <c r="BE143" s="177"/>
      <c r="BF143" s="168"/>
      <c r="BG143" s="177"/>
      <c r="BH143" s="168"/>
      <c r="BI143" s="177"/>
      <c r="BJ143" s="168"/>
      <c r="BK143" s="177"/>
      <c r="BL143" s="168"/>
      <c r="BM143" s="177"/>
      <c r="BN143" s="168"/>
      <c r="BO143" s="177"/>
      <c r="BP143" s="168"/>
      <c r="BQ143" s="177"/>
      <c r="BR143" s="168"/>
      <c r="BS143" s="177"/>
      <c r="BT143" s="168"/>
      <c r="BU143" s="177"/>
      <c r="BV143" s="168"/>
      <c r="BW143" s="177"/>
      <c r="BX143" s="168"/>
      <c r="BY143" s="177"/>
      <c r="BZ143" s="168"/>
      <c r="CA143" s="177"/>
      <c r="CB143" s="168"/>
      <c r="CC143" s="177"/>
      <c r="CD143" s="168"/>
      <c r="CE143" s="177"/>
      <c r="CF143" s="168"/>
      <c r="CG143" s="187"/>
      <c r="CH143" s="183"/>
      <c r="CI143" s="185"/>
      <c r="CJ143" s="160"/>
      <c r="CK143" s="160"/>
      <c r="CL143" s="160"/>
      <c r="CM143" s="160"/>
      <c r="CN143" s="160"/>
      <c r="CO143" s="160"/>
      <c r="CP143" s="160"/>
      <c r="CQ143" s="160"/>
      <c r="CR143" s="160"/>
      <c r="CS143" s="179"/>
      <c r="CT143" s="160"/>
      <c r="CU143" s="160"/>
      <c r="CV143" s="160"/>
      <c r="CW143" s="160"/>
      <c r="CX143" s="160"/>
      <c r="CY143" s="160"/>
      <c r="CZ143" s="160"/>
      <c r="DA143" s="160"/>
      <c r="DB143" s="160"/>
      <c r="DC143" s="160"/>
      <c r="DD143" s="160"/>
      <c r="DE143" s="160"/>
      <c r="DF143" s="160"/>
      <c r="DG143" s="160"/>
      <c r="DH143" s="160"/>
      <c r="DI143" s="160"/>
      <c r="DJ143" s="160"/>
      <c r="DK143" s="160"/>
      <c r="DL143" s="160"/>
      <c r="DM143" s="160"/>
      <c r="DN143" s="160"/>
    </row>
    <row r="144" spans="1:118" hidden="1">
      <c r="A144" s="149"/>
      <c r="B144" s="150"/>
      <c r="C144" s="151"/>
      <c r="D144" s="152"/>
      <c r="E144" s="152"/>
      <c r="F144" s="152"/>
      <c r="G144" s="152"/>
      <c r="H144" s="62">
        <f>SUM(Table4[[#This Row],[BASIC]:[FOOD]])</f>
        <v>0</v>
      </c>
      <c r="I144" s="62"/>
      <c r="J144" s="62"/>
      <c r="K144" s="62"/>
      <c r="L144" s="62"/>
      <c r="M144" s="62"/>
      <c r="N144" s="62"/>
      <c r="O144" s="62">
        <f>SUM(Table4[[#This Row],[ESI BASIC]:[ESI FOOD]])</f>
        <v>0</v>
      </c>
      <c r="P144" s="160"/>
      <c r="Q144" s="160"/>
      <c r="R144" s="175"/>
      <c r="S144" s="167"/>
      <c r="T144" s="10">
        <f t="shared" si="12"/>
        <v>0</v>
      </c>
      <c r="U144" s="167"/>
      <c r="V144" s="10">
        <f t="shared" si="13"/>
        <v>0</v>
      </c>
      <c r="W144" s="10">
        <f t="shared" si="14"/>
        <v>0</v>
      </c>
      <c r="X144" s="170"/>
      <c r="Y144" s="177"/>
      <c r="Z144" s="168"/>
      <c r="AA144" s="177"/>
      <c r="AB144" s="168"/>
      <c r="AC144" s="177"/>
      <c r="AD144" s="168"/>
      <c r="AE144" s="177"/>
      <c r="AF144" s="168"/>
      <c r="AG144" s="177"/>
      <c r="AH144" s="168"/>
      <c r="AI144" s="177"/>
      <c r="AJ144" s="168"/>
      <c r="AK144" s="177"/>
      <c r="AL144" s="168"/>
      <c r="AM144" s="177"/>
      <c r="AN144" s="168"/>
      <c r="AO144" s="177"/>
      <c r="AP144" s="168"/>
      <c r="AQ144" s="177"/>
      <c r="AR144" s="168"/>
      <c r="AS144" s="177"/>
      <c r="AT144" s="168"/>
      <c r="AU144" s="177"/>
      <c r="AV144" s="168"/>
      <c r="AW144" s="177"/>
      <c r="AX144" s="168"/>
      <c r="AY144" s="177"/>
      <c r="AZ144" s="168"/>
      <c r="BA144" s="177"/>
      <c r="BB144" s="168"/>
      <c r="BC144" s="177"/>
      <c r="BD144" s="168"/>
      <c r="BE144" s="177"/>
      <c r="BF144" s="168"/>
      <c r="BG144" s="177"/>
      <c r="BH144" s="168"/>
      <c r="BI144" s="177"/>
      <c r="BJ144" s="168"/>
      <c r="BK144" s="177"/>
      <c r="BL144" s="168"/>
      <c r="BM144" s="177"/>
      <c r="BN144" s="168"/>
      <c r="BO144" s="177"/>
      <c r="BP144" s="168"/>
      <c r="BQ144" s="177"/>
      <c r="BR144" s="168"/>
      <c r="BS144" s="177"/>
      <c r="BT144" s="168"/>
      <c r="BU144" s="177"/>
      <c r="BV144" s="168"/>
      <c r="BW144" s="177"/>
      <c r="BX144" s="168"/>
      <c r="BY144" s="177"/>
      <c r="BZ144" s="168"/>
      <c r="CA144" s="177"/>
      <c r="CB144" s="168"/>
      <c r="CC144" s="177"/>
      <c r="CD144" s="168"/>
      <c r="CE144" s="177"/>
      <c r="CF144" s="168"/>
      <c r="CG144" s="187"/>
      <c r="CH144" s="183"/>
      <c r="CI144" s="185"/>
      <c r="CJ144" s="160"/>
      <c r="CK144" s="160"/>
      <c r="CL144" s="160"/>
      <c r="CM144" s="160"/>
      <c r="CN144" s="160"/>
      <c r="CO144" s="160"/>
      <c r="CP144" s="160"/>
      <c r="CQ144" s="160"/>
      <c r="CR144" s="160"/>
      <c r="CS144" s="179"/>
      <c r="CT144" s="160"/>
      <c r="CU144" s="160"/>
      <c r="CV144" s="160"/>
      <c r="CW144" s="160"/>
      <c r="CX144" s="160"/>
      <c r="CY144" s="160"/>
      <c r="CZ144" s="160"/>
      <c r="DA144" s="160"/>
      <c r="DB144" s="160"/>
      <c r="DC144" s="160"/>
      <c r="DD144" s="160"/>
      <c r="DE144" s="160"/>
      <c r="DF144" s="160"/>
      <c r="DG144" s="160"/>
      <c r="DH144" s="160"/>
      <c r="DI144" s="160"/>
      <c r="DJ144" s="160"/>
      <c r="DK144" s="160"/>
      <c r="DL144" s="160"/>
      <c r="DM144" s="160"/>
      <c r="DN144" s="160"/>
    </row>
    <row r="145" spans="1:118" hidden="1">
      <c r="A145" s="149"/>
      <c r="B145" s="150"/>
      <c r="C145" s="151"/>
      <c r="D145" s="152"/>
      <c r="E145" s="152"/>
      <c r="F145" s="152"/>
      <c r="G145" s="152"/>
      <c r="H145" s="62">
        <f>SUM(Table4[[#This Row],[BASIC]:[FOOD]])</f>
        <v>0</v>
      </c>
      <c r="I145" s="62"/>
      <c r="J145" s="62"/>
      <c r="K145" s="62"/>
      <c r="L145" s="62"/>
      <c r="M145" s="62"/>
      <c r="N145" s="62"/>
      <c r="O145" s="62">
        <f>SUM(Table4[[#This Row],[ESI BASIC]:[ESI FOOD]])</f>
        <v>0</v>
      </c>
      <c r="P145" s="160"/>
      <c r="Q145" s="160"/>
      <c r="R145" s="175"/>
      <c r="S145" s="167"/>
      <c r="T145" s="10">
        <f t="shared" si="12"/>
        <v>0</v>
      </c>
      <c r="U145" s="167"/>
      <c r="V145" s="10">
        <f t="shared" si="13"/>
        <v>0</v>
      </c>
      <c r="W145" s="10">
        <f t="shared" si="14"/>
        <v>0</v>
      </c>
      <c r="X145" s="170"/>
      <c r="Y145" s="177"/>
      <c r="Z145" s="168"/>
      <c r="AA145" s="177"/>
      <c r="AB145" s="168"/>
      <c r="AC145" s="177"/>
      <c r="AD145" s="168"/>
      <c r="AE145" s="177"/>
      <c r="AF145" s="168"/>
      <c r="AG145" s="177"/>
      <c r="AH145" s="168"/>
      <c r="AI145" s="177"/>
      <c r="AJ145" s="168"/>
      <c r="AK145" s="177"/>
      <c r="AL145" s="168"/>
      <c r="AM145" s="177"/>
      <c r="AN145" s="168"/>
      <c r="AO145" s="177"/>
      <c r="AP145" s="168"/>
      <c r="AQ145" s="177"/>
      <c r="AR145" s="168"/>
      <c r="AS145" s="177"/>
      <c r="AT145" s="168"/>
      <c r="AU145" s="177"/>
      <c r="AV145" s="168"/>
      <c r="AW145" s="177"/>
      <c r="AX145" s="168"/>
      <c r="AY145" s="177"/>
      <c r="AZ145" s="168"/>
      <c r="BA145" s="177"/>
      <c r="BB145" s="168"/>
      <c r="BC145" s="177"/>
      <c r="BD145" s="168"/>
      <c r="BE145" s="177"/>
      <c r="BF145" s="168"/>
      <c r="BG145" s="177"/>
      <c r="BH145" s="168"/>
      <c r="BI145" s="177"/>
      <c r="BJ145" s="168"/>
      <c r="BK145" s="177"/>
      <c r="BL145" s="168"/>
      <c r="BM145" s="177"/>
      <c r="BN145" s="168"/>
      <c r="BO145" s="177"/>
      <c r="BP145" s="168"/>
      <c r="BQ145" s="177"/>
      <c r="BR145" s="168"/>
      <c r="BS145" s="177"/>
      <c r="BT145" s="168"/>
      <c r="BU145" s="177"/>
      <c r="BV145" s="168"/>
      <c r="BW145" s="177"/>
      <c r="BX145" s="168"/>
      <c r="BY145" s="177"/>
      <c r="BZ145" s="168"/>
      <c r="CA145" s="177"/>
      <c r="CB145" s="168"/>
      <c r="CC145" s="177"/>
      <c r="CD145" s="168"/>
      <c r="CE145" s="177"/>
      <c r="CF145" s="168"/>
      <c r="CG145" s="187"/>
      <c r="CH145" s="183"/>
      <c r="CI145" s="185"/>
      <c r="CJ145" s="160"/>
      <c r="CK145" s="160"/>
      <c r="CL145" s="160"/>
      <c r="CM145" s="160"/>
      <c r="CN145" s="160"/>
      <c r="CO145" s="160"/>
      <c r="CP145" s="160"/>
      <c r="CQ145" s="160"/>
      <c r="CR145" s="160"/>
      <c r="CS145" s="179"/>
      <c r="CT145" s="160"/>
      <c r="CU145" s="160"/>
      <c r="CV145" s="160"/>
      <c r="CW145" s="160"/>
      <c r="CX145" s="160"/>
      <c r="CY145" s="160"/>
      <c r="CZ145" s="160"/>
      <c r="DA145" s="160"/>
      <c r="DB145" s="160"/>
      <c r="DC145" s="160"/>
      <c r="DD145" s="160"/>
      <c r="DE145" s="160"/>
      <c r="DF145" s="160"/>
      <c r="DG145" s="160"/>
      <c r="DH145" s="160"/>
      <c r="DI145" s="160"/>
      <c r="DJ145" s="160"/>
      <c r="DK145" s="160"/>
      <c r="DL145" s="160"/>
      <c r="DM145" s="160"/>
      <c r="DN145" s="160"/>
    </row>
    <row r="146" spans="1:118" hidden="1">
      <c r="A146" s="149"/>
      <c r="B146" s="150"/>
      <c r="C146" s="151"/>
      <c r="D146" s="152"/>
      <c r="E146" s="152"/>
      <c r="F146" s="152"/>
      <c r="G146" s="152"/>
      <c r="H146" s="62">
        <f>SUM(Table4[[#This Row],[BASIC]:[FOOD]])</f>
        <v>0</v>
      </c>
      <c r="I146" s="62"/>
      <c r="J146" s="62"/>
      <c r="K146" s="62"/>
      <c r="L146" s="62"/>
      <c r="M146" s="62"/>
      <c r="N146" s="62"/>
      <c r="O146" s="62">
        <f>SUM(Table4[[#This Row],[ESI BASIC]:[ESI FOOD]])</f>
        <v>0</v>
      </c>
      <c r="P146" s="160"/>
      <c r="Q146" s="160"/>
      <c r="R146" s="175"/>
      <c r="S146" s="167"/>
      <c r="T146" s="10">
        <f t="shared" si="12"/>
        <v>0</v>
      </c>
      <c r="U146" s="167"/>
      <c r="V146" s="10">
        <f t="shared" si="13"/>
        <v>0</v>
      </c>
      <c r="W146" s="10">
        <f t="shared" si="14"/>
        <v>0</v>
      </c>
      <c r="X146" s="170"/>
      <c r="Y146" s="177"/>
      <c r="Z146" s="168"/>
      <c r="AA146" s="177"/>
      <c r="AB146" s="168"/>
      <c r="AC146" s="177"/>
      <c r="AD146" s="168"/>
      <c r="AE146" s="177"/>
      <c r="AF146" s="168"/>
      <c r="AG146" s="177"/>
      <c r="AH146" s="168"/>
      <c r="AI146" s="177"/>
      <c r="AJ146" s="168"/>
      <c r="AK146" s="177"/>
      <c r="AL146" s="168"/>
      <c r="AM146" s="177"/>
      <c r="AN146" s="168"/>
      <c r="AO146" s="177"/>
      <c r="AP146" s="168"/>
      <c r="AQ146" s="177"/>
      <c r="AR146" s="168"/>
      <c r="AS146" s="177"/>
      <c r="AT146" s="168"/>
      <c r="AU146" s="177"/>
      <c r="AV146" s="168"/>
      <c r="AW146" s="177"/>
      <c r="AX146" s="168"/>
      <c r="AY146" s="177"/>
      <c r="AZ146" s="168"/>
      <c r="BA146" s="177"/>
      <c r="BB146" s="168"/>
      <c r="BC146" s="177"/>
      <c r="BD146" s="168"/>
      <c r="BE146" s="177"/>
      <c r="BF146" s="168"/>
      <c r="BG146" s="177"/>
      <c r="BH146" s="168"/>
      <c r="BI146" s="177"/>
      <c r="BJ146" s="168"/>
      <c r="BK146" s="177"/>
      <c r="BL146" s="168"/>
      <c r="BM146" s="177"/>
      <c r="BN146" s="168"/>
      <c r="BO146" s="177"/>
      <c r="BP146" s="168"/>
      <c r="BQ146" s="177"/>
      <c r="BR146" s="168"/>
      <c r="BS146" s="177"/>
      <c r="BT146" s="168"/>
      <c r="BU146" s="177"/>
      <c r="BV146" s="168"/>
      <c r="BW146" s="177"/>
      <c r="BX146" s="168"/>
      <c r="BY146" s="177"/>
      <c r="BZ146" s="168"/>
      <c r="CA146" s="177"/>
      <c r="CB146" s="168"/>
      <c r="CC146" s="177"/>
      <c r="CD146" s="168"/>
      <c r="CE146" s="177"/>
      <c r="CF146" s="168"/>
      <c r="CG146" s="187"/>
      <c r="CH146" s="183"/>
      <c r="CI146" s="185"/>
      <c r="CJ146" s="160"/>
      <c r="CK146" s="160"/>
      <c r="CL146" s="160"/>
      <c r="CM146" s="160"/>
      <c r="CN146" s="160"/>
      <c r="CO146" s="160"/>
      <c r="CP146" s="160"/>
      <c r="CQ146" s="160"/>
      <c r="CR146" s="160"/>
      <c r="CS146" s="179"/>
      <c r="CT146" s="160"/>
      <c r="CU146" s="160"/>
      <c r="CV146" s="160"/>
      <c r="CW146" s="160"/>
      <c r="CX146" s="160"/>
      <c r="CY146" s="160"/>
      <c r="CZ146" s="160"/>
      <c r="DA146" s="160"/>
      <c r="DB146" s="160"/>
      <c r="DC146" s="160"/>
      <c r="DD146" s="160"/>
      <c r="DE146" s="160"/>
      <c r="DF146" s="160"/>
      <c r="DG146" s="160"/>
      <c r="DH146" s="160"/>
      <c r="DI146" s="160"/>
      <c r="DJ146" s="160"/>
      <c r="DK146" s="160"/>
      <c r="DL146" s="160"/>
      <c r="DM146" s="160"/>
      <c r="DN146" s="160"/>
    </row>
    <row r="147" spans="1:118" hidden="1">
      <c r="A147" s="149"/>
      <c r="B147" s="150"/>
      <c r="C147" s="151"/>
      <c r="D147" s="152"/>
      <c r="E147" s="152"/>
      <c r="F147" s="152"/>
      <c r="G147" s="152"/>
      <c r="H147" s="62">
        <f>SUM(Table4[[#This Row],[BASIC]:[FOOD]])</f>
        <v>0</v>
      </c>
      <c r="I147" s="62"/>
      <c r="J147" s="62"/>
      <c r="K147" s="62"/>
      <c r="L147" s="62"/>
      <c r="M147" s="62"/>
      <c r="N147" s="62"/>
      <c r="O147" s="62">
        <f>SUM(Table4[[#This Row],[ESI BASIC]:[ESI FOOD]])</f>
        <v>0</v>
      </c>
      <c r="P147" s="160"/>
      <c r="Q147" s="160"/>
      <c r="R147" s="175"/>
      <c r="S147" s="167"/>
      <c r="T147" s="10">
        <f t="shared" si="12"/>
        <v>0</v>
      </c>
      <c r="U147" s="167"/>
      <c r="V147" s="10">
        <f t="shared" si="13"/>
        <v>0</v>
      </c>
      <c r="W147" s="10">
        <f t="shared" si="14"/>
        <v>0</v>
      </c>
      <c r="X147" s="170"/>
      <c r="Y147" s="177"/>
      <c r="Z147" s="168"/>
      <c r="AA147" s="177"/>
      <c r="AB147" s="168"/>
      <c r="AC147" s="177"/>
      <c r="AD147" s="168"/>
      <c r="AE147" s="177"/>
      <c r="AF147" s="168"/>
      <c r="AG147" s="177"/>
      <c r="AH147" s="168"/>
      <c r="AI147" s="177"/>
      <c r="AJ147" s="168"/>
      <c r="AK147" s="177"/>
      <c r="AL147" s="168"/>
      <c r="AM147" s="177"/>
      <c r="AN147" s="168"/>
      <c r="AO147" s="177"/>
      <c r="AP147" s="168"/>
      <c r="AQ147" s="177"/>
      <c r="AR147" s="168"/>
      <c r="AS147" s="177"/>
      <c r="AT147" s="168"/>
      <c r="AU147" s="177"/>
      <c r="AV147" s="168"/>
      <c r="AW147" s="177"/>
      <c r="AX147" s="168"/>
      <c r="AY147" s="177"/>
      <c r="AZ147" s="168"/>
      <c r="BA147" s="177"/>
      <c r="BB147" s="168"/>
      <c r="BC147" s="177"/>
      <c r="BD147" s="168"/>
      <c r="BE147" s="177"/>
      <c r="BF147" s="168"/>
      <c r="BG147" s="177"/>
      <c r="BH147" s="168"/>
      <c r="BI147" s="177"/>
      <c r="BJ147" s="168"/>
      <c r="BK147" s="177"/>
      <c r="BL147" s="168"/>
      <c r="BM147" s="177"/>
      <c r="BN147" s="168"/>
      <c r="BO147" s="177"/>
      <c r="BP147" s="168"/>
      <c r="BQ147" s="177"/>
      <c r="BR147" s="168"/>
      <c r="BS147" s="177"/>
      <c r="BT147" s="168"/>
      <c r="BU147" s="177"/>
      <c r="BV147" s="168"/>
      <c r="BW147" s="177"/>
      <c r="BX147" s="168"/>
      <c r="BY147" s="177"/>
      <c r="BZ147" s="168"/>
      <c r="CA147" s="177"/>
      <c r="CB147" s="168"/>
      <c r="CC147" s="177"/>
      <c r="CD147" s="168"/>
      <c r="CE147" s="177"/>
      <c r="CF147" s="168"/>
      <c r="CG147" s="187"/>
      <c r="CH147" s="183"/>
      <c r="CI147" s="185"/>
      <c r="CJ147" s="160"/>
      <c r="CK147" s="160"/>
      <c r="CL147" s="160"/>
      <c r="CM147" s="160"/>
      <c r="CN147" s="160"/>
      <c r="CO147" s="160"/>
      <c r="CP147" s="160"/>
      <c r="CQ147" s="160"/>
      <c r="CR147" s="160"/>
      <c r="CS147" s="179"/>
      <c r="CT147" s="160"/>
      <c r="CU147" s="160"/>
      <c r="CV147" s="160"/>
      <c r="CW147" s="160"/>
      <c r="CX147" s="160"/>
      <c r="CY147" s="160"/>
      <c r="CZ147" s="160"/>
      <c r="DA147" s="160"/>
      <c r="DB147" s="160"/>
      <c r="DC147" s="160"/>
      <c r="DD147" s="160"/>
      <c r="DE147" s="160"/>
      <c r="DF147" s="160"/>
      <c r="DG147" s="160"/>
      <c r="DH147" s="160"/>
      <c r="DI147" s="160"/>
      <c r="DJ147" s="160"/>
      <c r="DK147" s="160"/>
      <c r="DL147" s="160"/>
      <c r="DM147" s="160"/>
      <c r="DN147" s="160"/>
    </row>
    <row r="148" spans="1:118" hidden="1">
      <c r="A148" s="149"/>
      <c r="B148" s="150"/>
      <c r="C148" s="151"/>
      <c r="D148" s="152"/>
      <c r="E148" s="152"/>
      <c r="F148" s="152"/>
      <c r="G148" s="152"/>
      <c r="H148" s="62">
        <f>SUM(Table4[[#This Row],[BASIC]:[FOOD]])</f>
        <v>0</v>
      </c>
      <c r="I148" s="62"/>
      <c r="J148" s="62"/>
      <c r="K148" s="62"/>
      <c r="L148" s="62"/>
      <c r="M148" s="62"/>
      <c r="N148" s="62"/>
      <c r="O148" s="62">
        <f>SUM(Table4[[#This Row],[ESI BASIC]:[ESI FOOD]])</f>
        <v>0</v>
      </c>
      <c r="P148" s="160"/>
      <c r="Q148" s="160"/>
      <c r="R148" s="175"/>
      <c r="S148" s="167"/>
      <c r="T148" s="10">
        <f t="shared" si="12"/>
        <v>0</v>
      </c>
      <c r="U148" s="167"/>
      <c r="V148" s="10">
        <f t="shared" si="13"/>
        <v>0</v>
      </c>
      <c r="W148" s="10">
        <f t="shared" si="14"/>
        <v>0</v>
      </c>
      <c r="X148" s="170"/>
      <c r="Y148" s="177"/>
      <c r="Z148" s="168"/>
      <c r="AA148" s="177"/>
      <c r="AB148" s="168"/>
      <c r="AC148" s="177"/>
      <c r="AD148" s="168"/>
      <c r="AE148" s="177"/>
      <c r="AF148" s="168"/>
      <c r="AG148" s="177"/>
      <c r="AH148" s="168"/>
      <c r="AI148" s="177"/>
      <c r="AJ148" s="168"/>
      <c r="AK148" s="177"/>
      <c r="AL148" s="168"/>
      <c r="AM148" s="177"/>
      <c r="AN148" s="168"/>
      <c r="AO148" s="177"/>
      <c r="AP148" s="168"/>
      <c r="AQ148" s="177"/>
      <c r="AR148" s="168"/>
      <c r="AS148" s="177"/>
      <c r="AT148" s="168"/>
      <c r="AU148" s="177"/>
      <c r="AV148" s="168"/>
      <c r="AW148" s="177"/>
      <c r="AX148" s="168"/>
      <c r="AY148" s="177"/>
      <c r="AZ148" s="168"/>
      <c r="BA148" s="177"/>
      <c r="BB148" s="168"/>
      <c r="BC148" s="177"/>
      <c r="BD148" s="168"/>
      <c r="BE148" s="177"/>
      <c r="BF148" s="168"/>
      <c r="BG148" s="177"/>
      <c r="BH148" s="168"/>
      <c r="BI148" s="177"/>
      <c r="BJ148" s="168"/>
      <c r="BK148" s="177"/>
      <c r="BL148" s="168"/>
      <c r="BM148" s="177"/>
      <c r="BN148" s="168"/>
      <c r="BO148" s="177"/>
      <c r="BP148" s="168"/>
      <c r="BQ148" s="177"/>
      <c r="BR148" s="168"/>
      <c r="BS148" s="177"/>
      <c r="BT148" s="168"/>
      <c r="BU148" s="177"/>
      <c r="BV148" s="168"/>
      <c r="BW148" s="177"/>
      <c r="BX148" s="168"/>
      <c r="BY148" s="177"/>
      <c r="BZ148" s="168"/>
      <c r="CA148" s="177"/>
      <c r="CB148" s="168"/>
      <c r="CC148" s="177"/>
      <c r="CD148" s="168"/>
      <c r="CE148" s="177"/>
      <c r="CF148" s="168"/>
      <c r="CG148" s="187"/>
      <c r="CH148" s="183"/>
      <c r="CI148" s="185"/>
      <c r="CJ148" s="160"/>
      <c r="CK148" s="160"/>
      <c r="CL148" s="160"/>
      <c r="CM148" s="160"/>
      <c r="CN148" s="160"/>
      <c r="CO148" s="160"/>
      <c r="CP148" s="160"/>
      <c r="CQ148" s="160"/>
      <c r="CR148" s="160"/>
      <c r="CS148" s="179"/>
      <c r="CT148" s="160"/>
      <c r="CU148" s="160"/>
      <c r="CV148" s="160"/>
      <c r="CW148" s="160"/>
      <c r="CX148" s="160"/>
      <c r="CY148" s="160"/>
      <c r="CZ148" s="160"/>
      <c r="DA148" s="160"/>
      <c r="DB148" s="160"/>
      <c r="DC148" s="160"/>
      <c r="DD148" s="160"/>
      <c r="DE148" s="160"/>
      <c r="DF148" s="160"/>
      <c r="DG148" s="160"/>
      <c r="DH148" s="160"/>
      <c r="DI148" s="160"/>
      <c r="DJ148" s="160"/>
      <c r="DK148" s="160"/>
      <c r="DL148" s="160"/>
      <c r="DM148" s="160"/>
      <c r="DN148" s="160"/>
    </row>
    <row r="149" spans="1:118" hidden="1">
      <c r="A149" s="149"/>
      <c r="B149" s="150"/>
      <c r="C149" s="151"/>
      <c r="D149" s="152"/>
      <c r="E149" s="152"/>
      <c r="F149" s="152"/>
      <c r="G149" s="152"/>
      <c r="H149" s="62">
        <f>SUM(Table4[[#This Row],[BASIC]:[FOOD]])</f>
        <v>0</v>
      </c>
      <c r="I149" s="62"/>
      <c r="J149" s="62"/>
      <c r="K149" s="62"/>
      <c r="L149" s="62"/>
      <c r="M149" s="62"/>
      <c r="N149" s="62"/>
      <c r="O149" s="62">
        <f>SUM(Table4[[#This Row],[ESI BASIC]:[ESI FOOD]])</f>
        <v>0</v>
      </c>
      <c r="P149" s="160"/>
      <c r="Q149" s="160"/>
      <c r="R149" s="175"/>
      <c r="S149" s="167"/>
      <c r="T149" s="10">
        <f t="shared" si="12"/>
        <v>0</v>
      </c>
      <c r="U149" s="167"/>
      <c r="V149" s="10">
        <f t="shared" si="13"/>
        <v>0</v>
      </c>
      <c r="W149" s="10">
        <f t="shared" si="14"/>
        <v>0</v>
      </c>
      <c r="X149" s="170"/>
      <c r="Y149" s="177"/>
      <c r="Z149" s="168"/>
      <c r="AA149" s="177"/>
      <c r="AB149" s="168"/>
      <c r="AC149" s="177"/>
      <c r="AD149" s="168"/>
      <c r="AE149" s="177"/>
      <c r="AF149" s="168"/>
      <c r="AG149" s="177"/>
      <c r="AH149" s="168"/>
      <c r="AI149" s="177"/>
      <c r="AJ149" s="168"/>
      <c r="AK149" s="177"/>
      <c r="AL149" s="168"/>
      <c r="AM149" s="177"/>
      <c r="AN149" s="168"/>
      <c r="AO149" s="177"/>
      <c r="AP149" s="168"/>
      <c r="AQ149" s="177"/>
      <c r="AR149" s="168"/>
      <c r="AS149" s="177"/>
      <c r="AT149" s="168"/>
      <c r="AU149" s="177"/>
      <c r="AV149" s="168"/>
      <c r="AW149" s="177"/>
      <c r="AX149" s="168"/>
      <c r="AY149" s="177"/>
      <c r="AZ149" s="168"/>
      <c r="BA149" s="177"/>
      <c r="BB149" s="168"/>
      <c r="BC149" s="177"/>
      <c r="BD149" s="168"/>
      <c r="BE149" s="177"/>
      <c r="BF149" s="168"/>
      <c r="BG149" s="177"/>
      <c r="BH149" s="168"/>
      <c r="BI149" s="177"/>
      <c r="BJ149" s="168"/>
      <c r="BK149" s="177"/>
      <c r="BL149" s="168"/>
      <c r="BM149" s="177"/>
      <c r="BN149" s="168"/>
      <c r="BO149" s="177"/>
      <c r="BP149" s="168"/>
      <c r="BQ149" s="177"/>
      <c r="BR149" s="168"/>
      <c r="BS149" s="177"/>
      <c r="BT149" s="168"/>
      <c r="BU149" s="177"/>
      <c r="BV149" s="168"/>
      <c r="BW149" s="177"/>
      <c r="BX149" s="168"/>
      <c r="BY149" s="177"/>
      <c r="BZ149" s="168"/>
      <c r="CA149" s="177"/>
      <c r="CB149" s="168"/>
      <c r="CC149" s="177"/>
      <c r="CD149" s="168"/>
      <c r="CE149" s="177"/>
      <c r="CF149" s="168"/>
      <c r="CG149" s="187"/>
      <c r="CH149" s="183"/>
      <c r="CI149" s="185"/>
      <c r="CJ149" s="160"/>
      <c r="CK149" s="160"/>
      <c r="CL149" s="160"/>
      <c r="CM149" s="160"/>
      <c r="CN149" s="160"/>
      <c r="CO149" s="160"/>
      <c r="CP149" s="160"/>
      <c r="CQ149" s="160"/>
      <c r="CR149" s="160"/>
      <c r="CS149" s="179"/>
      <c r="CT149" s="160"/>
      <c r="CU149" s="160"/>
      <c r="CV149" s="160"/>
      <c r="CW149" s="160"/>
      <c r="CX149" s="160"/>
      <c r="CY149" s="160"/>
      <c r="CZ149" s="160"/>
      <c r="DA149" s="160"/>
      <c r="DB149" s="160"/>
      <c r="DC149" s="160"/>
      <c r="DD149" s="160"/>
      <c r="DE149" s="160"/>
      <c r="DF149" s="160"/>
      <c r="DG149" s="160"/>
      <c r="DH149" s="160"/>
      <c r="DI149" s="160"/>
      <c r="DJ149" s="160"/>
      <c r="DK149" s="160"/>
      <c r="DL149" s="160"/>
      <c r="DM149" s="160"/>
      <c r="DN149" s="160"/>
    </row>
    <row r="150" spans="1:118" hidden="1">
      <c r="A150" s="149"/>
      <c r="B150" s="150"/>
      <c r="C150" s="151"/>
      <c r="D150" s="152"/>
      <c r="E150" s="152"/>
      <c r="F150" s="152"/>
      <c r="G150" s="152"/>
      <c r="H150" s="62">
        <f>SUM(Table4[[#This Row],[BASIC]:[FOOD]])</f>
        <v>0</v>
      </c>
      <c r="I150" s="62"/>
      <c r="J150" s="62"/>
      <c r="K150" s="62"/>
      <c r="L150" s="62"/>
      <c r="M150" s="62"/>
      <c r="N150" s="62"/>
      <c r="O150" s="62">
        <f>SUM(Table4[[#This Row],[ESI BASIC]:[ESI FOOD]])</f>
        <v>0</v>
      </c>
      <c r="P150" s="160"/>
      <c r="Q150" s="160"/>
      <c r="R150" s="175"/>
      <c r="S150" s="167"/>
      <c r="T150" s="10">
        <f t="shared" si="12"/>
        <v>0</v>
      </c>
      <c r="U150" s="167"/>
      <c r="V150" s="10">
        <f t="shared" si="13"/>
        <v>0</v>
      </c>
      <c r="W150" s="10">
        <f t="shared" si="14"/>
        <v>0</v>
      </c>
      <c r="X150" s="170"/>
      <c r="Y150" s="177"/>
      <c r="Z150" s="168"/>
      <c r="AA150" s="177"/>
      <c r="AB150" s="168"/>
      <c r="AC150" s="177"/>
      <c r="AD150" s="168"/>
      <c r="AE150" s="177"/>
      <c r="AF150" s="168"/>
      <c r="AG150" s="177"/>
      <c r="AH150" s="168"/>
      <c r="AI150" s="177"/>
      <c r="AJ150" s="168"/>
      <c r="AK150" s="177"/>
      <c r="AL150" s="168"/>
      <c r="AM150" s="177"/>
      <c r="AN150" s="168"/>
      <c r="AO150" s="177"/>
      <c r="AP150" s="168"/>
      <c r="AQ150" s="177"/>
      <c r="AR150" s="168"/>
      <c r="AS150" s="177"/>
      <c r="AT150" s="168"/>
      <c r="AU150" s="177"/>
      <c r="AV150" s="168"/>
      <c r="AW150" s="177"/>
      <c r="AX150" s="168"/>
      <c r="AY150" s="177"/>
      <c r="AZ150" s="168"/>
      <c r="BA150" s="177"/>
      <c r="BB150" s="168"/>
      <c r="BC150" s="177"/>
      <c r="BD150" s="168"/>
      <c r="BE150" s="177"/>
      <c r="BF150" s="168"/>
      <c r="BG150" s="177"/>
      <c r="BH150" s="168"/>
      <c r="BI150" s="177"/>
      <c r="BJ150" s="168"/>
      <c r="BK150" s="177"/>
      <c r="BL150" s="168"/>
      <c r="BM150" s="177"/>
      <c r="BN150" s="168"/>
      <c r="BO150" s="177"/>
      <c r="BP150" s="168"/>
      <c r="BQ150" s="177"/>
      <c r="BR150" s="168"/>
      <c r="BS150" s="177"/>
      <c r="BT150" s="168"/>
      <c r="BU150" s="177"/>
      <c r="BV150" s="168"/>
      <c r="BW150" s="177"/>
      <c r="BX150" s="168"/>
      <c r="BY150" s="177"/>
      <c r="BZ150" s="168"/>
      <c r="CA150" s="177"/>
      <c r="CB150" s="168"/>
      <c r="CC150" s="177"/>
      <c r="CD150" s="168"/>
      <c r="CE150" s="177"/>
      <c r="CF150" s="168"/>
      <c r="CG150" s="187"/>
      <c r="CH150" s="183"/>
      <c r="CI150" s="185"/>
      <c r="CJ150" s="160"/>
      <c r="CK150" s="160"/>
      <c r="CL150" s="160"/>
      <c r="CM150" s="160"/>
      <c r="CN150" s="160"/>
      <c r="CO150" s="160"/>
      <c r="CP150" s="160"/>
      <c r="CQ150" s="160"/>
      <c r="CR150" s="160"/>
      <c r="CS150" s="179"/>
      <c r="CT150" s="160"/>
      <c r="CU150" s="160"/>
      <c r="CV150" s="160"/>
      <c r="CW150" s="160"/>
      <c r="CX150" s="160"/>
      <c r="CY150" s="160"/>
      <c r="CZ150" s="160"/>
      <c r="DA150" s="160"/>
      <c r="DB150" s="160"/>
      <c r="DC150" s="160"/>
      <c r="DD150" s="160"/>
      <c r="DE150" s="160"/>
      <c r="DF150" s="160"/>
      <c r="DG150" s="160"/>
      <c r="DH150" s="160"/>
      <c r="DI150" s="160"/>
      <c r="DJ150" s="160"/>
      <c r="DK150" s="160"/>
      <c r="DL150" s="160"/>
      <c r="DM150" s="160"/>
      <c r="DN150" s="160"/>
    </row>
    <row r="151" spans="1:118" hidden="1">
      <c r="A151" s="149"/>
      <c r="B151" s="150"/>
      <c r="C151" s="151"/>
      <c r="D151" s="152"/>
      <c r="E151" s="152"/>
      <c r="F151" s="152"/>
      <c r="G151" s="152"/>
      <c r="H151" s="62">
        <f>SUM(Table4[[#This Row],[BASIC]:[FOOD]])</f>
        <v>0</v>
      </c>
      <c r="I151" s="62"/>
      <c r="J151" s="62"/>
      <c r="K151" s="62"/>
      <c r="L151" s="62"/>
      <c r="M151" s="62"/>
      <c r="N151" s="62"/>
      <c r="O151" s="62">
        <f>SUM(Table4[[#This Row],[ESI BASIC]:[ESI FOOD]])</f>
        <v>0</v>
      </c>
      <c r="P151" s="160"/>
      <c r="Q151" s="160"/>
      <c r="R151" s="175"/>
      <c r="S151" s="167"/>
      <c r="T151" s="10">
        <f t="shared" si="12"/>
        <v>0</v>
      </c>
      <c r="U151" s="167"/>
      <c r="V151" s="10">
        <f t="shared" si="13"/>
        <v>0</v>
      </c>
      <c r="W151" s="10">
        <f t="shared" si="14"/>
        <v>0</v>
      </c>
      <c r="X151" s="170"/>
      <c r="Y151" s="177"/>
      <c r="Z151" s="168"/>
      <c r="AA151" s="177"/>
      <c r="AB151" s="168"/>
      <c r="AC151" s="177"/>
      <c r="AD151" s="168"/>
      <c r="AE151" s="177"/>
      <c r="AF151" s="168"/>
      <c r="AG151" s="177"/>
      <c r="AH151" s="168"/>
      <c r="AI151" s="177"/>
      <c r="AJ151" s="168"/>
      <c r="AK151" s="177"/>
      <c r="AL151" s="168"/>
      <c r="AM151" s="177"/>
      <c r="AN151" s="168"/>
      <c r="AO151" s="177"/>
      <c r="AP151" s="168"/>
      <c r="AQ151" s="177"/>
      <c r="AR151" s="168"/>
      <c r="AS151" s="177"/>
      <c r="AT151" s="168"/>
      <c r="AU151" s="177"/>
      <c r="AV151" s="168"/>
      <c r="AW151" s="177"/>
      <c r="AX151" s="168"/>
      <c r="AY151" s="177"/>
      <c r="AZ151" s="168"/>
      <c r="BA151" s="177"/>
      <c r="BB151" s="168"/>
      <c r="BC151" s="177"/>
      <c r="BD151" s="168"/>
      <c r="BE151" s="177"/>
      <c r="BF151" s="168"/>
      <c r="BG151" s="177"/>
      <c r="BH151" s="168"/>
      <c r="BI151" s="177"/>
      <c r="BJ151" s="168"/>
      <c r="BK151" s="177"/>
      <c r="BL151" s="168"/>
      <c r="BM151" s="177"/>
      <c r="BN151" s="168"/>
      <c r="BO151" s="177"/>
      <c r="BP151" s="168"/>
      <c r="BQ151" s="177"/>
      <c r="BR151" s="168"/>
      <c r="BS151" s="177"/>
      <c r="BT151" s="168"/>
      <c r="BU151" s="177"/>
      <c r="BV151" s="168"/>
      <c r="BW151" s="177"/>
      <c r="BX151" s="168"/>
      <c r="BY151" s="177"/>
      <c r="BZ151" s="168"/>
      <c r="CA151" s="177"/>
      <c r="CB151" s="168"/>
      <c r="CC151" s="177"/>
      <c r="CD151" s="168"/>
      <c r="CE151" s="177"/>
      <c r="CF151" s="168"/>
      <c r="CG151" s="187"/>
      <c r="CH151" s="183"/>
      <c r="CI151" s="185"/>
      <c r="CJ151" s="160"/>
      <c r="CK151" s="160"/>
      <c r="CL151" s="160"/>
      <c r="CM151" s="160"/>
      <c r="CN151" s="160"/>
      <c r="CO151" s="160"/>
      <c r="CP151" s="160"/>
      <c r="CQ151" s="160"/>
      <c r="CR151" s="160"/>
      <c r="CS151" s="179"/>
      <c r="CT151" s="160"/>
      <c r="CU151" s="160"/>
      <c r="CV151" s="160"/>
      <c r="CW151" s="160"/>
      <c r="CX151" s="160"/>
      <c r="CY151" s="160"/>
      <c r="CZ151" s="160"/>
      <c r="DA151" s="160"/>
      <c r="DB151" s="160"/>
      <c r="DC151" s="160"/>
      <c r="DD151" s="160"/>
      <c r="DE151" s="160"/>
      <c r="DF151" s="160"/>
      <c r="DG151" s="160"/>
      <c r="DH151" s="160"/>
      <c r="DI151" s="160"/>
      <c r="DJ151" s="160"/>
      <c r="DK151" s="160"/>
      <c r="DL151" s="160"/>
      <c r="DM151" s="160"/>
      <c r="DN151" s="160"/>
    </row>
    <row r="152" spans="1:118" hidden="1">
      <c r="A152" s="149"/>
      <c r="B152" s="150"/>
      <c r="C152" s="151"/>
      <c r="D152" s="152"/>
      <c r="E152" s="152"/>
      <c r="F152" s="152"/>
      <c r="G152" s="152"/>
      <c r="H152" s="62">
        <f>SUM(Table4[[#This Row],[BASIC]:[FOOD]])</f>
        <v>0</v>
      </c>
      <c r="I152" s="62"/>
      <c r="J152" s="62"/>
      <c r="K152" s="62"/>
      <c r="L152" s="62"/>
      <c r="M152" s="62"/>
      <c r="N152" s="62"/>
      <c r="O152" s="62">
        <f>SUM(Table4[[#This Row],[ESI BASIC]:[ESI FOOD]])</f>
        <v>0</v>
      </c>
      <c r="P152" s="160"/>
      <c r="Q152" s="160"/>
      <c r="R152" s="175"/>
      <c r="S152" s="167"/>
      <c r="T152" s="10">
        <f t="shared" si="12"/>
        <v>0</v>
      </c>
      <c r="U152" s="167"/>
      <c r="V152" s="10">
        <f t="shared" si="13"/>
        <v>0</v>
      </c>
      <c r="W152" s="10">
        <f t="shared" si="14"/>
        <v>0</v>
      </c>
      <c r="X152" s="170"/>
      <c r="Y152" s="177"/>
      <c r="Z152" s="168"/>
      <c r="AA152" s="177"/>
      <c r="AB152" s="168"/>
      <c r="AC152" s="177"/>
      <c r="AD152" s="168"/>
      <c r="AE152" s="177"/>
      <c r="AF152" s="168"/>
      <c r="AG152" s="177"/>
      <c r="AH152" s="168"/>
      <c r="AI152" s="177"/>
      <c r="AJ152" s="168"/>
      <c r="AK152" s="177"/>
      <c r="AL152" s="168"/>
      <c r="AM152" s="177"/>
      <c r="AN152" s="168"/>
      <c r="AO152" s="177"/>
      <c r="AP152" s="168"/>
      <c r="AQ152" s="177"/>
      <c r="AR152" s="168"/>
      <c r="AS152" s="177"/>
      <c r="AT152" s="168"/>
      <c r="AU152" s="177"/>
      <c r="AV152" s="168"/>
      <c r="AW152" s="177"/>
      <c r="AX152" s="168"/>
      <c r="AY152" s="177"/>
      <c r="AZ152" s="168"/>
      <c r="BA152" s="177"/>
      <c r="BB152" s="168"/>
      <c r="BC152" s="177"/>
      <c r="BD152" s="168"/>
      <c r="BE152" s="177"/>
      <c r="BF152" s="168"/>
      <c r="BG152" s="177"/>
      <c r="BH152" s="168"/>
      <c r="BI152" s="177"/>
      <c r="BJ152" s="168"/>
      <c r="BK152" s="177"/>
      <c r="BL152" s="168"/>
      <c r="BM152" s="177"/>
      <c r="BN152" s="168"/>
      <c r="BO152" s="177"/>
      <c r="BP152" s="168"/>
      <c r="BQ152" s="177"/>
      <c r="BR152" s="168"/>
      <c r="BS152" s="177"/>
      <c r="BT152" s="168"/>
      <c r="BU152" s="177"/>
      <c r="BV152" s="168"/>
      <c r="BW152" s="177"/>
      <c r="BX152" s="168"/>
      <c r="BY152" s="177"/>
      <c r="BZ152" s="168"/>
      <c r="CA152" s="177"/>
      <c r="CB152" s="168"/>
      <c r="CC152" s="177"/>
      <c r="CD152" s="168"/>
      <c r="CE152" s="177"/>
      <c r="CF152" s="168"/>
      <c r="CG152" s="187"/>
      <c r="CH152" s="183"/>
      <c r="CI152" s="185"/>
      <c r="CJ152" s="160"/>
      <c r="CK152" s="160"/>
      <c r="CL152" s="160"/>
      <c r="CM152" s="160"/>
      <c r="CN152" s="160"/>
      <c r="CO152" s="160"/>
      <c r="CP152" s="160"/>
      <c r="CQ152" s="160"/>
      <c r="CR152" s="160"/>
      <c r="CS152" s="179"/>
      <c r="CT152" s="160"/>
      <c r="CU152" s="160"/>
      <c r="CV152" s="160"/>
      <c r="CW152" s="160"/>
      <c r="CX152" s="160"/>
      <c r="CY152" s="160"/>
      <c r="CZ152" s="160"/>
      <c r="DA152" s="160"/>
      <c r="DB152" s="160"/>
      <c r="DC152" s="160"/>
      <c r="DD152" s="160"/>
      <c r="DE152" s="160"/>
      <c r="DF152" s="160"/>
      <c r="DG152" s="160"/>
      <c r="DH152" s="160"/>
      <c r="DI152" s="160"/>
      <c r="DJ152" s="160"/>
      <c r="DK152" s="160"/>
      <c r="DL152" s="160"/>
      <c r="DM152" s="160"/>
      <c r="DN152" s="160"/>
    </row>
    <row r="153" spans="1:118" hidden="1">
      <c r="A153" s="149"/>
      <c r="B153" s="150"/>
      <c r="C153" s="151"/>
      <c r="D153" s="152"/>
      <c r="E153" s="152"/>
      <c r="F153" s="152"/>
      <c r="G153" s="152"/>
      <c r="H153" s="62">
        <f>SUM(Table4[[#This Row],[BASIC]:[FOOD]])</f>
        <v>0</v>
      </c>
      <c r="I153" s="62"/>
      <c r="J153" s="62"/>
      <c r="K153" s="62"/>
      <c r="L153" s="62"/>
      <c r="M153" s="62"/>
      <c r="N153" s="62"/>
      <c r="O153" s="62">
        <f>SUM(Table4[[#This Row],[ESI BASIC]:[ESI FOOD]])</f>
        <v>0</v>
      </c>
      <c r="P153" s="160"/>
      <c r="Q153" s="160"/>
      <c r="R153" s="175"/>
      <c r="S153" s="167"/>
      <c r="T153" s="10">
        <f t="shared" si="12"/>
        <v>0</v>
      </c>
      <c r="U153" s="167"/>
      <c r="V153" s="10">
        <f t="shared" si="13"/>
        <v>0</v>
      </c>
      <c r="W153" s="10">
        <f t="shared" si="14"/>
        <v>0</v>
      </c>
      <c r="X153" s="170"/>
      <c r="Y153" s="177"/>
      <c r="Z153" s="168"/>
      <c r="AA153" s="177"/>
      <c r="AB153" s="168"/>
      <c r="AC153" s="177"/>
      <c r="AD153" s="168"/>
      <c r="AE153" s="177"/>
      <c r="AF153" s="168"/>
      <c r="AG153" s="177"/>
      <c r="AH153" s="168"/>
      <c r="AI153" s="177"/>
      <c r="AJ153" s="168"/>
      <c r="AK153" s="177"/>
      <c r="AL153" s="168"/>
      <c r="AM153" s="177"/>
      <c r="AN153" s="168"/>
      <c r="AO153" s="177"/>
      <c r="AP153" s="168"/>
      <c r="AQ153" s="177"/>
      <c r="AR153" s="168"/>
      <c r="AS153" s="177"/>
      <c r="AT153" s="168"/>
      <c r="AU153" s="177"/>
      <c r="AV153" s="168"/>
      <c r="AW153" s="177"/>
      <c r="AX153" s="168"/>
      <c r="AY153" s="177"/>
      <c r="AZ153" s="168"/>
      <c r="BA153" s="177"/>
      <c r="BB153" s="168"/>
      <c r="BC153" s="177"/>
      <c r="BD153" s="168"/>
      <c r="BE153" s="177"/>
      <c r="BF153" s="168"/>
      <c r="BG153" s="177"/>
      <c r="BH153" s="168"/>
      <c r="BI153" s="177"/>
      <c r="BJ153" s="168"/>
      <c r="BK153" s="177"/>
      <c r="BL153" s="168"/>
      <c r="BM153" s="177"/>
      <c r="BN153" s="168"/>
      <c r="BO153" s="177"/>
      <c r="BP153" s="168"/>
      <c r="BQ153" s="177"/>
      <c r="BR153" s="168"/>
      <c r="BS153" s="177"/>
      <c r="BT153" s="168"/>
      <c r="BU153" s="177"/>
      <c r="BV153" s="168"/>
      <c r="BW153" s="177"/>
      <c r="BX153" s="168"/>
      <c r="BY153" s="177"/>
      <c r="BZ153" s="168"/>
      <c r="CA153" s="177"/>
      <c r="CB153" s="168"/>
      <c r="CC153" s="177"/>
      <c r="CD153" s="168"/>
      <c r="CE153" s="177"/>
      <c r="CF153" s="168"/>
      <c r="CG153" s="187"/>
      <c r="CH153" s="183"/>
      <c r="CI153" s="185"/>
      <c r="CJ153" s="160"/>
      <c r="CK153" s="160"/>
      <c r="CL153" s="160"/>
      <c r="CM153" s="160"/>
      <c r="CN153" s="160"/>
      <c r="CO153" s="160"/>
      <c r="CP153" s="160"/>
      <c r="CQ153" s="160"/>
      <c r="CR153" s="160"/>
      <c r="CS153" s="179"/>
      <c r="CT153" s="160"/>
      <c r="CU153" s="160"/>
      <c r="CV153" s="160"/>
      <c r="CW153" s="160"/>
      <c r="CX153" s="160"/>
      <c r="CY153" s="160"/>
      <c r="CZ153" s="160"/>
      <c r="DA153" s="160"/>
      <c r="DB153" s="160"/>
      <c r="DC153" s="160"/>
      <c r="DD153" s="160"/>
      <c r="DE153" s="160"/>
      <c r="DF153" s="160"/>
      <c r="DG153" s="160"/>
      <c r="DH153" s="160"/>
      <c r="DI153" s="160"/>
      <c r="DJ153" s="160"/>
      <c r="DK153" s="160"/>
      <c r="DL153" s="160"/>
      <c r="DM153" s="160"/>
      <c r="DN153" s="160"/>
    </row>
    <row r="154" spans="1:118" hidden="1">
      <c r="A154" s="149"/>
      <c r="B154" s="150"/>
      <c r="C154" s="151"/>
      <c r="D154" s="152"/>
      <c r="E154" s="152"/>
      <c r="F154" s="152"/>
      <c r="G154" s="152"/>
      <c r="H154" s="62">
        <f>SUM(Table4[[#This Row],[BASIC]:[FOOD]])</f>
        <v>0</v>
      </c>
      <c r="I154" s="62"/>
      <c r="J154" s="62"/>
      <c r="K154" s="62"/>
      <c r="L154" s="62"/>
      <c r="M154" s="62"/>
      <c r="N154" s="62"/>
      <c r="O154" s="62">
        <f>SUM(Table4[[#This Row],[ESI BASIC]:[ESI FOOD]])</f>
        <v>0</v>
      </c>
      <c r="P154" s="160"/>
      <c r="Q154" s="160"/>
      <c r="R154" s="175"/>
      <c r="S154" s="167"/>
      <c r="T154" s="10">
        <f t="shared" si="12"/>
        <v>0</v>
      </c>
      <c r="U154" s="167"/>
      <c r="V154" s="10">
        <f t="shared" si="13"/>
        <v>0</v>
      </c>
      <c r="W154" s="10">
        <f t="shared" si="14"/>
        <v>0</v>
      </c>
      <c r="X154" s="170"/>
      <c r="Y154" s="177"/>
      <c r="Z154" s="168"/>
      <c r="AA154" s="177"/>
      <c r="AB154" s="168"/>
      <c r="AC154" s="177"/>
      <c r="AD154" s="168"/>
      <c r="AE154" s="177"/>
      <c r="AF154" s="168"/>
      <c r="AG154" s="177"/>
      <c r="AH154" s="168"/>
      <c r="AI154" s="177"/>
      <c r="AJ154" s="168"/>
      <c r="AK154" s="177"/>
      <c r="AL154" s="168"/>
      <c r="AM154" s="177"/>
      <c r="AN154" s="168"/>
      <c r="AO154" s="177"/>
      <c r="AP154" s="168"/>
      <c r="AQ154" s="177"/>
      <c r="AR154" s="168"/>
      <c r="AS154" s="177"/>
      <c r="AT154" s="168"/>
      <c r="AU154" s="177"/>
      <c r="AV154" s="168"/>
      <c r="AW154" s="177"/>
      <c r="AX154" s="168"/>
      <c r="AY154" s="177"/>
      <c r="AZ154" s="168"/>
      <c r="BA154" s="177"/>
      <c r="BB154" s="168"/>
      <c r="BC154" s="177"/>
      <c r="BD154" s="168"/>
      <c r="BE154" s="177"/>
      <c r="BF154" s="168"/>
      <c r="BG154" s="177"/>
      <c r="BH154" s="168"/>
      <c r="BI154" s="177"/>
      <c r="BJ154" s="168"/>
      <c r="BK154" s="177"/>
      <c r="BL154" s="168"/>
      <c r="BM154" s="177"/>
      <c r="BN154" s="168"/>
      <c r="BO154" s="177"/>
      <c r="BP154" s="168"/>
      <c r="BQ154" s="177"/>
      <c r="BR154" s="168"/>
      <c r="BS154" s="177"/>
      <c r="BT154" s="168"/>
      <c r="BU154" s="177"/>
      <c r="BV154" s="168"/>
      <c r="BW154" s="177"/>
      <c r="BX154" s="168"/>
      <c r="BY154" s="177"/>
      <c r="BZ154" s="168"/>
      <c r="CA154" s="177"/>
      <c r="CB154" s="168"/>
      <c r="CC154" s="177"/>
      <c r="CD154" s="168"/>
      <c r="CE154" s="177"/>
      <c r="CF154" s="168"/>
      <c r="CG154" s="187"/>
      <c r="CH154" s="183"/>
      <c r="CI154" s="185"/>
      <c r="CJ154" s="160"/>
      <c r="CK154" s="160"/>
      <c r="CL154" s="160"/>
      <c r="CM154" s="160"/>
      <c r="CN154" s="160"/>
      <c r="CO154" s="160"/>
      <c r="CP154" s="160"/>
      <c r="CQ154" s="160"/>
      <c r="CR154" s="160"/>
      <c r="CS154" s="179"/>
      <c r="CT154" s="160"/>
      <c r="CU154" s="160"/>
      <c r="CV154" s="160"/>
      <c r="CW154" s="160"/>
      <c r="CX154" s="160"/>
      <c r="CY154" s="160"/>
      <c r="CZ154" s="160"/>
      <c r="DA154" s="160"/>
      <c r="DB154" s="160"/>
      <c r="DC154" s="160"/>
      <c r="DD154" s="160"/>
      <c r="DE154" s="160"/>
      <c r="DF154" s="160"/>
      <c r="DG154" s="160"/>
      <c r="DH154" s="160"/>
      <c r="DI154" s="160"/>
      <c r="DJ154" s="160"/>
      <c r="DK154" s="160"/>
      <c r="DL154" s="160"/>
      <c r="DM154" s="160"/>
      <c r="DN154" s="160"/>
    </row>
    <row r="155" spans="1:118" hidden="1">
      <c r="A155" s="149"/>
      <c r="B155" s="150"/>
      <c r="C155" s="151"/>
      <c r="D155" s="152"/>
      <c r="E155" s="152"/>
      <c r="F155" s="152"/>
      <c r="G155" s="152"/>
      <c r="H155" s="62">
        <f>SUM(Table4[[#This Row],[BASIC]:[FOOD]])</f>
        <v>0</v>
      </c>
      <c r="I155" s="62"/>
      <c r="J155" s="62"/>
      <c r="K155" s="62"/>
      <c r="L155" s="62"/>
      <c r="M155" s="62"/>
      <c r="N155" s="62"/>
      <c r="O155" s="62">
        <f>SUM(Table4[[#This Row],[ESI BASIC]:[ESI FOOD]])</f>
        <v>0</v>
      </c>
      <c r="P155" s="160"/>
      <c r="Q155" s="160"/>
      <c r="R155" s="175"/>
      <c r="S155" s="167"/>
      <c r="T155" s="10">
        <f t="shared" si="12"/>
        <v>0</v>
      </c>
      <c r="U155" s="167"/>
      <c r="V155" s="10">
        <f t="shared" si="13"/>
        <v>0</v>
      </c>
      <c r="W155" s="10">
        <f t="shared" si="14"/>
        <v>0</v>
      </c>
      <c r="X155" s="170"/>
      <c r="Y155" s="177"/>
      <c r="Z155" s="168"/>
      <c r="AA155" s="177"/>
      <c r="AB155" s="168"/>
      <c r="AC155" s="177"/>
      <c r="AD155" s="168"/>
      <c r="AE155" s="177"/>
      <c r="AF155" s="168"/>
      <c r="AG155" s="177"/>
      <c r="AH155" s="168"/>
      <c r="AI155" s="177"/>
      <c r="AJ155" s="168"/>
      <c r="AK155" s="177"/>
      <c r="AL155" s="168"/>
      <c r="AM155" s="177"/>
      <c r="AN155" s="168"/>
      <c r="AO155" s="177"/>
      <c r="AP155" s="168"/>
      <c r="AQ155" s="177"/>
      <c r="AR155" s="168"/>
      <c r="AS155" s="177"/>
      <c r="AT155" s="168"/>
      <c r="AU155" s="177"/>
      <c r="AV155" s="168"/>
      <c r="AW155" s="177"/>
      <c r="AX155" s="168"/>
      <c r="AY155" s="177"/>
      <c r="AZ155" s="168"/>
      <c r="BA155" s="177"/>
      <c r="BB155" s="168"/>
      <c r="BC155" s="177"/>
      <c r="BD155" s="168"/>
      <c r="BE155" s="177"/>
      <c r="BF155" s="168"/>
      <c r="BG155" s="177"/>
      <c r="BH155" s="168"/>
      <c r="BI155" s="177"/>
      <c r="BJ155" s="168"/>
      <c r="BK155" s="177"/>
      <c r="BL155" s="168"/>
      <c r="BM155" s="177"/>
      <c r="BN155" s="168"/>
      <c r="BO155" s="177"/>
      <c r="BP155" s="168"/>
      <c r="BQ155" s="177"/>
      <c r="BR155" s="168"/>
      <c r="BS155" s="177"/>
      <c r="BT155" s="168"/>
      <c r="BU155" s="177"/>
      <c r="BV155" s="168"/>
      <c r="BW155" s="177"/>
      <c r="BX155" s="168"/>
      <c r="BY155" s="177"/>
      <c r="BZ155" s="168"/>
      <c r="CA155" s="177"/>
      <c r="CB155" s="168"/>
      <c r="CC155" s="177"/>
      <c r="CD155" s="168"/>
      <c r="CE155" s="177"/>
      <c r="CF155" s="168"/>
      <c r="CG155" s="187"/>
      <c r="CH155" s="183"/>
      <c r="CI155" s="185"/>
      <c r="CJ155" s="160"/>
      <c r="CK155" s="160"/>
      <c r="CL155" s="160"/>
      <c r="CM155" s="160"/>
      <c r="CN155" s="160"/>
      <c r="CO155" s="160"/>
      <c r="CP155" s="160"/>
      <c r="CQ155" s="160"/>
      <c r="CR155" s="160"/>
      <c r="CS155" s="179"/>
      <c r="CT155" s="160"/>
      <c r="CU155" s="160"/>
      <c r="CV155" s="160"/>
      <c r="CW155" s="160"/>
      <c r="CX155" s="160"/>
      <c r="CY155" s="160"/>
      <c r="CZ155" s="160"/>
      <c r="DA155" s="160"/>
      <c r="DB155" s="160"/>
      <c r="DC155" s="160"/>
      <c r="DD155" s="160"/>
      <c r="DE155" s="160"/>
      <c r="DF155" s="160"/>
      <c r="DG155" s="160"/>
      <c r="DH155" s="160"/>
      <c r="DI155" s="160"/>
      <c r="DJ155" s="160"/>
      <c r="DK155" s="160"/>
      <c r="DL155" s="160"/>
      <c r="DM155" s="160"/>
      <c r="DN155" s="160"/>
    </row>
    <row r="156" spans="1:118" hidden="1">
      <c r="A156" s="149"/>
      <c r="B156" s="150"/>
      <c r="C156" s="151"/>
      <c r="D156" s="152"/>
      <c r="E156" s="152"/>
      <c r="F156" s="152"/>
      <c r="G156" s="152"/>
      <c r="H156" s="62">
        <f>SUM(Table4[[#This Row],[BASIC]:[FOOD]])</f>
        <v>0</v>
      </c>
      <c r="I156" s="62"/>
      <c r="J156" s="62"/>
      <c r="K156" s="62"/>
      <c r="L156" s="62"/>
      <c r="M156" s="62"/>
      <c r="N156" s="62"/>
      <c r="O156" s="62">
        <f>SUM(Table4[[#This Row],[ESI BASIC]:[ESI FOOD]])</f>
        <v>0</v>
      </c>
      <c r="P156" s="160"/>
      <c r="Q156" s="160"/>
      <c r="R156" s="175"/>
      <c r="S156" s="167"/>
      <c r="T156" s="10">
        <f t="shared" si="12"/>
        <v>0</v>
      </c>
      <c r="U156" s="167"/>
      <c r="V156" s="10">
        <f t="shared" si="13"/>
        <v>0</v>
      </c>
      <c r="W156" s="10">
        <f t="shared" si="14"/>
        <v>0</v>
      </c>
      <c r="X156" s="170"/>
      <c r="Y156" s="177"/>
      <c r="Z156" s="168"/>
      <c r="AA156" s="177"/>
      <c r="AB156" s="168"/>
      <c r="AC156" s="177"/>
      <c r="AD156" s="168"/>
      <c r="AE156" s="177"/>
      <c r="AF156" s="168"/>
      <c r="AG156" s="177"/>
      <c r="AH156" s="168"/>
      <c r="AI156" s="177"/>
      <c r="AJ156" s="168"/>
      <c r="AK156" s="177"/>
      <c r="AL156" s="168"/>
      <c r="AM156" s="177"/>
      <c r="AN156" s="168"/>
      <c r="AO156" s="177"/>
      <c r="AP156" s="168"/>
      <c r="AQ156" s="177"/>
      <c r="AR156" s="168"/>
      <c r="AS156" s="177"/>
      <c r="AT156" s="168"/>
      <c r="AU156" s="177"/>
      <c r="AV156" s="168"/>
      <c r="AW156" s="177"/>
      <c r="AX156" s="168"/>
      <c r="AY156" s="177"/>
      <c r="AZ156" s="168"/>
      <c r="BA156" s="177"/>
      <c r="BB156" s="168"/>
      <c r="BC156" s="177"/>
      <c r="BD156" s="168"/>
      <c r="BE156" s="177"/>
      <c r="BF156" s="168"/>
      <c r="BG156" s="177"/>
      <c r="BH156" s="168"/>
      <c r="BI156" s="177"/>
      <c r="BJ156" s="168"/>
      <c r="BK156" s="177"/>
      <c r="BL156" s="168"/>
      <c r="BM156" s="177"/>
      <c r="BN156" s="168"/>
      <c r="BO156" s="177"/>
      <c r="BP156" s="168"/>
      <c r="BQ156" s="177"/>
      <c r="BR156" s="168"/>
      <c r="BS156" s="177"/>
      <c r="BT156" s="168"/>
      <c r="BU156" s="177"/>
      <c r="BV156" s="168"/>
      <c r="BW156" s="177"/>
      <c r="BX156" s="168"/>
      <c r="BY156" s="177"/>
      <c r="BZ156" s="168"/>
      <c r="CA156" s="177"/>
      <c r="CB156" s="168"/>
      <c r="CC156" s="177"/>
      <c r="CD156" s="168"/>
      <c r="CE156" s="177"/>
      <c r="CF156" s="168"/>
      <c r="CG156" s="187"/>
      <c r="CH156" s="183"/>
      <c r="CI156" s="185"/>
      <c r="CJ156" s="160"/>
      <c r="CK156" s="160"/>
      <c r="CL156" s="160"/>
      <c r="CM156" s="160"/>
      <c r="CN156" s="160"/>
      <c r="CO156" s="160"/>
      <c r="CP156" s="160"/>
      <c r="CQ156" s="160"/>
      <c r="CR156" s="160"/>
      <c r="CS156" s="179"/>
      <c r="CT156" s="160"/>
      <c r="CU156" s="160"/>
      <c r="CV156" s="160"/>
      <c r="CW156" s="160"/>
      <c r="CX156" s="160"/>
      <c r="CY156" s="160"/>
      <c r="CZ156" s="160"/>
      <c r="DA156" s="160"/>
      <c r="DB156" s="160"/>
      <c r="DC156" s="160"/>
      <c r="DD156" s="160"/>
      <c r="DE156" s="160"/>
      <c r="DF156" s="160"/>
      <c r="DG156" s="160"/>
      <c r="DH156" s="160"/>
      <c r="DI156" s="160"/>
      <c r="DJ156" s="160"/>
      <c r="DK156" s="160"/>
      <c r="DL156" s="160"/>
      <c r="DM156" s="160"/>
      <c r="DN156" s="160"/>
    </row>
    <row r="157" spans="1:118" hidden="1">
      <c r="A157" s="149"/>
      <c r="B157" s="150"/>
      <c r="C157" s="151"/>
      <c r="D157" s="152"/>
      <c r="E157" s="152"/>
      <c r="F157" s="152"/>
      <c r="G157" s="152"/>
      <c r="H157" s="62">
        <f>SUM(Table4[[#This Row],[BASIC]:[FOOD]])</f>
        <v>0</v>
      </c>
      <c r="I157" s="62"/>
      <c r="J157" s="62"/>
      <c r="K157" s="62"/>
      <c r="L157" s="62"/>
      <c r="M157" s="62"/>
      <c r="N157" s="62"/>
      <c r="O157" s="62">
        <f>SUM(Table4[[#This Row],[ESI BASIC]:[ESI FOOD]])</f>
        <v>0</v>
      </c>
      <c r="P157" s="160"/>
      <c r="Q157" s="160"/>
      <c r="R157" s="175"/>
      <c r="S157" s="167"/>
      <c r="T157" s="10">
        <f t="shared" si="12"/>
        <v>0</v>
      </c>
      <c r="U157" s="167"/>
      <c r="V157" s="10">
        <f t="shared" si="13"/>
        <v>0</v>
      </c>
      <c r="W157" s="10">
        <f t="shared" si="14"/>
        <v>0</v>
      </c>
      <c r="X157" s="170"/>
      <c r="Y157" s="177"/>
      <c r="Z157" s="168"/>
      <c r="AA157" s="177"/>
      <c r="AB157" s="168"/>
      <c r="AC157" s="177"/>
      <c r="AD157" s="168"/>
      <c r="AE157" s="177"/>
      <c r="AF157" s="168"/>
      <c r="AG157" s="177"/>
      <c r="AH157" s="168"/>
      <c r="AI157" s="177"/>
      <c r="AJ157" s="168"/>
      <c r="AK157" s="177"/>
      <c r="AL157" s="168"/>
      <c r="AM157" s="177"/>
      <c r="AN157" s="168"/>
      <c r="AO157" s="177"/>
      <c r="AP157" s="168"/>
      <c r="AQ157" s="177"/>
      <c r="AR157" s="168"/>
      <c r="AS157" s="177"/>
      <c r="AT157" s="168"/>
      <c r="AU157" s="177"/>
      <c r="AV157" s="168"/>
      <c r="AW157" s="177"/>
      <c r="AX157" s="168"/>
      <c r="AY157" s="177"/>
      <c r="AZ157" s="168"/>
      <c r="BA157" s="177"/>
      <c r="BB157" s="168"/>
      <c r="BC157" s="177"/>
      <c r="BD157" s="168"/>
      <c r="BE157" s="177"/>
      <c r="BF157" s="168"/>
      <c r="BG157" s="177"/>
      <c r="BH157" s="168"/>
      <c r="BI157" s="177"/>
      <c r="BJ157" s="168"/>
      <c r="BK157" s="177"/>
      <c r="BL157" s="168"/>
      <c r="BM157" s="177"/>
      <c r="BN157" s="168"/>
      <c r="BO157" s="177"/>
      <c r="BP157" s="168"/>
      <c r="BQ157" s="177"/>
      <c r="BR157" s="168"/>
      <c r="BS157" s="177"/>
      <c r="BT157" s="168"/>
      <c r="BU157" s="177"/>
      <c r="BV157" s="168"/>
      <c r="BW157" s="177"/>
      <c r="BX157" s="168"/>
      <c r="BY157" s="177"/>
      <c r="BZ157" s="168"/>
      <c r="CA157" s="177"/>
      <c r="CB157" s="168"/>
      <c r="CC157" s="177"/>
      <c r="CD157" s="168"/>
      <c r="CE157" s="177"/>
      <c r="CF157" s="168"/>
      <c r="CG157" s="187"/>
      <c r="CH157" s="183"/>
      <c r="CI157" s="185"/>
      <c r="CJ157" s="160"/>
      <c r="CK157" s="160"/>
      <c r="CL157" s="160"/>
      <c r="CM157" s="160"/>
      <c r="CN157" s="160"/>
      <c r="CO157" s="160"/>
      <c r="CP157" s="160"/>
      <c r="CQ157" s="160"/>
      <c r="CR157" s="160"/>
      <c r="CS157" s="179"/>
      <c r="CT157" s="160"/>
      <c r="CU157" s="160"/>
      <c r="CV157" s="160"/>
      <c r="CW157" s="160"/>
      <c r="CX157" s="160"/>
      <c r="CY157" s="160"/>
      <c r="CZ157" s="160"/>
      <c r="DA157" s="160"/>
      <c r="DB157" s="160"/>
      <c r="DC157" s="160"/>
      <c r="DD157" s="160"/>
      <c r="DE157" s="160"/>
      <c r="DF157" s="160"/>
      <c r="DG157" s="160"/>
      <c r="DH157" s="160"/>
      <c r="DI157" s="160"/>
      <c r="DJ157" s="160"/>
      <c r="DK157" s="160"/>
      <c r="DL157" s="160"/>
      <c r="DM157" s="160"/>
      <c r="DN157" s="160"/>
    </row>
    <row r="158" spans="1:118" hidden="1">
      <c r="A158" s="149"/>
      <c r="B158" s="150"/>
      <c r="C158" s="151"/>
      <c r="D158" s="152"/>
      <c r="E158" s="152"/>
      <c r="F158" s="152"/>
      <c r="G158" s="152"/>
      <c r="H158" s="62">
        <f>SUM(Table4[[#This Row],[BASIC]:[FOOD]])</f>
        <v>0</v>
      </c>
      <c r="I158" s="62"/>
      <c r="J158" s="62"/>
      <c r="K158" s="62"/>
      <c r="L158" s="62"/>
      <c r="M158" s="62"/>
      <c r="N158" s="62"/>
      <c r="O158" s="62">
        <f>SUM(Table4[[#This Row],[ESI BASIC]:[ESI FOOD]])</f>
        <v>0</v>
      </c>
      <c r="P158" s="160"/>
      <c r="Q158" s="160"/>
      <c r="R158" s="175"/>
      <c r="S158" s="167"/>
      <c r="T158" s="10">
        <f t="shared" ref="T158:T221" si="15">COUNTIF(X158:CG158,"P")</f>
        <v>0</v>
      </c>
      <c r="U158" s="167"/>
      <c r="V158" s="10">
        <f t="shared" ref="V158:V221" si="16">T158+U158</f>
        <v>0</v>
      </c>
      <c r="W158" s="10">
        <f t="shared" ref="W158:W221" si="17">SUM(CI158:DM158)</f>
        <v>0</v>
      </c>
      <c r="X158" s="170"/>
      <c r="Y158" s="177"/>
      <c r="Z158" s="168"/>
      <c r="AA158" s="177"/>
      <c r="AB158" s="168"/>
      <c r="AC158" s="177"/>
      <c r="AD158" s="168"/>
      <c r="AE158" s="177"/>
      <c r="AF158" s="168"/>
      <c r="AG158" s="177"/>
      <c r="AH158" s="168"/>
      <c r="AI158" s="177"/>
      <c r="AJ158" s="168"/>
      <c r="AK158" s="177"/>
      <c r="AL158" s="168"/>
      <c r="AM158" s="177"/>
      <c r="AN158" s="168"/>
      <c r="AO158" s="177"/>
      <c r="AP158" s="168"/>
      <c r="AQ158" s="177"/>
      <c r="AR158" s="168"/>
      <c r="AS158" s="177"/>
      <c r="AT158" s="168"/>
      <c r="AU158" s="177"/>
      <c r="AV158" s="168"/>
      <c r="AW158" s="177"/>
      <c r="AX158" s="168"/>
      <c r="AY158" s="177"/>
      <c r="AZ158" s="168"/>
      <c r="BA158" s="177"/>
      <c r="BB158" s="168"/>
      <c r="BC158" s="177"/>
      <c r="BD158" s="168"/>
      <c r="BE158" s="177"/>
      <c r="BF158" s="168"/>
      <c r="BG158" s="177"/>
      <c r="BH158" s="168"/>
      <c r="BI158" s="177"/>
      <c r="BJ158" s="168"/>
      <c r="BK158" s="177"/>
      <c r="BL158" s="168"/>
      <c r="BM158" s="177"/>
      <c r="BN158" s="168"/>
      <c r="BO158" s="177"/>
      <c r="BP158" s="168"/>
      <c r="BQ158" s="177"/>
      <c r="BR158" s="168"/>
      <c r="BS158" s="177"/>
      <c r="BT158" s="168"/>
      <c r="BU158" s="177"/>
      <c r="BV158" s="168"/>
      <c r="BW158" s="177"/>
      <c r="BX158" s="168"/>
      <c r="BY158" s="177"/>
      <c r="BZ158" s="168"/>
      <c r="CA158" s="177"/>
      <c r="CB158" s="168"/>
      <c r="CC158" s="177"/>
      <c r="CD158" s="168"/>
      <c r="CE158" s="177"/>
      <c r="CF158" s="168"/>
      <c r="CG158" s="187"/>
      <c r="CH158" s="183"/>
      <c r="CI158" s="185"/>
      <c r="CJ158" s="160"/>
      <c r="CK158" s="160"/>
      <c r="CL158" s="160"/>
      <c r="CM158" s="160"/>
      <c r="CN158" s="160"/>
      <c r="CO158" s="160"/>
      <c r="CP158" s="160"/>
      <c r="CQ158" s="160"/>
      <c r="CR158" s="160"/>
      <c r="CS158" s="179"/>
      <c r="CT158" s="160"/>
      <c r="CU158" s="160"/>
      <c r="CV158" s="160"/>
      <c r="CW158" s="160"/>
      <c r="CX158" s="160"/>
      <c r="CY158" s="160"/>
      <c r="CZ158" s="160"/>
      <c r="DA158" s="160"/>
      <c r="DB158" s="160"/>
      <c r="DC158" s="160"/>
      <c r="DD158" s="160"/>
      <c r="DE158" s="160"/>
      <c r="DF158" s="160"/>
      <c r="DG158" s="160"/>
      <c r="DH158" s="160"/>
      <c r="DI158" s="160"/>
      <c r="DJ158" s="160"/>
      <c r="DK158" s="160"/>
      <c r="DL158" s="160"/>
      <c r="DM158" s="160"/>
      <c r="DN158" s="160"/>
    </row>
    <row r="159" spans="1:118" hidden="1">
      <c r="A159" s="149"/>
      <c r="B159" s="150"/>
      <c r="C159" s="151"/>
      <c r="D159" s="152"/>
      <c r="E159" s="152"/>
      <c r="F159" s="152"/>
      <c r="G159" s="152"/>
      <c r="H159" s="62">
        <f>SUM(Table4[[#This Row],[BASIC]:[FOOD]])</f>
        <v>0</v>
      </c>
      <c r="I159" s="62"/>
      <c r="J159" s="62"/>
      <c r="K159" s="62"/>
      <c r="L159" s="62"/>
      <c r="M159" s="62"/>
      <c r="N159" s="62"/>
      <c r="O159" s="62">
        <f>SUM(Table4[[#This Row],[ESI BASIC]:[ESI FOOD]])</f>
        <v>0</v>
      </c>
      <c r="P159" s="160"/>
      <c r="Q159" s="160"/>
      <c r="R159" s="175"/>
      <c r="S159" s="167"/>
      <c r="T159" s="10">
        <f t="shared" si="15"/>
        <v>0</v>
      </c>
      <c r="U159" s="167"/>
      <c r="V159" s="10">
        <f t="shared" si="16"/>
        <v>0</v>
      </c>
      <c r="W159" s="10">
        <f t="shared" si="17"/>
        <v>0</v>
      </c>
      <c r="X159" s="170"/>
      <c r="Y159" s="177"/>
      <c r="Z159" s="168"/>
      <c r="AA159" s="177"/>
      <c r="AB159" s="168"/>
      <c r="AC159" s="177"/>
      <c r="AD159" s="168"/>
      <c r="AE159" s="177"/>
      <c r="AF159" s="168"/>
      <c r="AG159" s="177"/>
      <c r="AH159" s="168"/>
      <c r="AI159" s="177"/>
      <c r="AJ159" s="168"/>
      <c r="AK159" s="177"/>
      <c r="AL159" s="168"/>
      <c r="AM159" s="177"/>
      <c r="AN159" s="168"/>
      <c r="AO159" s="177"/>
      <c r="AP159" s="168"/>
      <c r="AQ159" s="177"/>
      <c r="AR159" s="168"/>
      <c r="AS159" s="177"/>
      <c r="AT159" s="168"/>
      <c r="AU159" s="177"/>
      <c r="AV159" s="168"/>
      <c r="AW159" s="177"/>
      <c r="AX159" s="168"/>
      <c r="AY159" s="177"/>
      <c r="AZ159" s="168"/>
      <c r="BA159" s="177"/>
      <c r="BB159" s="168"/>
      <c r="BC159" s="177"/>
      <c r="BD159" s="168"/>
      <c r="BE159" s="177"/>
      <c r="BF159" s="168"/>
      <c r="BG159" s="177"/>
      <c r="BH159" s="168"/>
      <c r="BI159" s="177"/>
      <c r="BJ159" s="168"/>
      <c r="BK159" s="177"/>
      <c r="BL159" s="168"/>
      <c r="BM159" s="177"/>
      <c r="BN159" s="168"/>
      <c r="BO159" s="177"/>
      <c r="BP159" s="168"/>
      <c r="BQ159" s="177"/>
      <c r="BR159" s="168"/>
      <c r="BS159" s="177"/>
      <c r="BT159" s="168"/>
      <c r="BU159" s="177"/>
      <c r="BV159" s="168"/>
      <c r="BW159" s="177"/>
      <c r="BX159" s="168"/>
      <c r="BY159" s="177"/>
      <c r="BZ159" s="168"/>
      <c r="CA159" s="177"/>
      <c r="CB159" s="168"/>
      <c r="CC159" s="177"/>
      <c r="CD159" s="168"/>
      <c r="CE159" s="177"/>
      <c r="CF159" s="168"/>
      <c r="CG159" s="187"/>
      <c r="CH159" s="183"/>
      <c r="CI159" s="185"/>
      <c r="CJ159" s="160"/>
      <c r="CK159" s="160"/>
      <c r="CL159" s="160"/>
      <c r="CM159" s="160"/>
      <c r="CN159" s="160"/>
      <c r="CO159" s="160"/>
      <c r="CP159" s="160"/>
      <c r="CQ159" s="160"/>
      <c r="CR159" s="160"/>
      <c r="CS159" s="179"/>
      <c r="CT159" s="160"/>
      <c r="CU159" s="160"/>
      <c r="CV159" s="160"/>
      <c r="CW159" s="160"/>
      <c r="CX159" s="160"/>
      <c r="CY159" s="160"/>
      <c r="CZ159" s="160"/>
      <c r="DA159" s="160"/>
      <c r="DB159" s="160"/>
      <c r="DC159" s="160"/>
      <c r="DD159" s="160"/>
      <c r="DE159" s="160"/>
      <c r="DF159" s="160"/>
      <c r="DG159" s="160"/>
      <c r="DH159" s="160"/>
      <c r="DI159" s="160"/>
      <c r="DJ159" s="160"/>
      <c r="DK159" s="160"/>
      <c r="DL159" s="160"/>
      <c r="DM159" s="160"/>
      <c r="DN159" s="160"/>
    </row>
    <row r="160" spans="1:118" hidden="1">
      <c r="A160" s="149"/>
      <c r="B160" s="150"/>
      <c r="C160" s="151"/>
      <c r="D160" s="152"/>
      <c r="E160" s="152"/>
      <c r="F160" s="152"/>
      <c r="G160" s="152"/>
      <c r="H160" s="62">
        <f>SUM(Table4[[#This Row],[BASIC]:[FOOD]])</f>
        <v>0</v>
      </c>
      <c r="I160" s="62"/>
      <c r="J160" s="62"/>
      <c r="K160" s="62"/>
      <c r="L160" s="62"/>
      <c r="M160" s="62"/>
      <c r="N160" s="62"/>
      <c r="O160" s="62">
        <f>SUM(Table4[[#This Row],[ESI BASIC]:[ESI FOOD]])</f>
        <v>0</v>
      </c>
      <c r="P160" s="160"/>
      <c r="Q160" s="160"/>
      <c r="R160" s="175"/>
      <c r="S160" s="167"/>
      <c r="T160" s="10">
        <f t="shared" si="15"/>
        <v>0</v>
      </c>
      <c r="U160" s="167"/>
      <c r="V160" s="10">
        <f t="shared" si="16"/>
        <v>0</v>
      </c>
      <c r="W160" s="10">
        <f t="shared" si="17"/>
        <v>0</v>
      </c>
      <c r="X160" s="170"/>
      <c r="Y160" s="177"/>
      <c r="Z160" s="168"/>
      <c r="AA160" s="177"/>
      <c r="AB160" s="168"/>
      <c r="AC160" s="177"/>
      <c r="AD160" s="168"/>
      <c r="AE160" s="177"/>
      <c r="AF160" s="168"/>
      <c r="AG160" s="177"/>
      <c r="AH160" s="168"/>
      <c r="AI160" s="177"/>
      <c r="AJ160" s="168"/>
      <c r="AK160" s="177"/>
      <c r="AL160" s="168"/>
      <c r="AM160" s="177"/>
      <c r="AN160" s="168"/>
      <c r="AO160" s="177"/>
      <c r="AP160" s="168"/>
      <c r="AQ160" s="177"/>
      <c r="AR160" s="168"/>
      <c r="AS160" s="177"/>
      <c r="AT160" s="168"/>
      <c r="AU160" s="177"/>
      <c r="AV160" s="168"/>
      <c r="AW160" s="177"/>
      <c r="AX160" s="168"/>
      <c r="AY160" s="177"/>
      <c r="AZ160" s="168"/>
      <c r="BA160" s="177"/>
      <c r="BB160" s="168"/>
      <c r="BC160" s="177"/>
      <c r="BD160" s="168"/>
      <c r="BE160" s="177"/>
      <c r="BF160" s="168"/>
      <c r="BG160" s="177"/>
      <c r="BH160" s="168"/>
      <c r="BI160" s="177"/>
      <c r="BJ160" s="168"/>
      <c r="BK160" s="177"/>
      <c r="BL160" s="168"/>
      <c r="BM160" s="177"/>
      <c r="BN160" s="168"/>
      <c r="BO160" s="177"/>
      <c r="BP160" s="168"/>
      <c r="BQ160" s="177"/>
      <c r="BR160" s="168"/>
      <c r="BS160" s="177"/>
      <c r="BT160" s="168"/>
      <c r="BU160" s="177"/>
      <c r="BV160" s="168"/>
      <c r="BW160" s="177"/>
      <c r="BX160" s="168"/>
      <c r="BY160" s="177"/>
      <c r="BZ160" s="168"/>
      <c r="CA160" s="177"/>
      <c r="CB160" s="168"/>
      <c r="CC160" s="177"/>
      <c r="CD160" s="168"/>
      <c r="CE160" s="177"/>
      <c r="CF160" s="168"/>
      <c r="CG160" s="187"/>
      <c r="CH160" s="183"/>
      <c r="CI160" s="185"/>
      <c r="CJ160" s="160"/>
      <c r="CK160" s="160"/>
      <c r="CL160" s="160"/>
      <c r="CM160" s="160"/>
      <c r="CN160" s="160"/>
      <c r="CO160" s="160"/>
      <c r="CP160" s="160"/>
      <c r="CQ160" s="160"/>
      <c r="CR160" s="160"/>
      <c r="CS160" s="179"/>
      <c r="CT160" s="160"/>
      <c r="CU160" s="160"/>
      <c r="CV160" s="160"/>
      <c r="CW160" s="160"/>
      <c r="CX160" s="160"/>
      <c r="CY160" s="160"/>
      <c r="CZ160" s="160"/>
      <c r="DA160" s="160"/>
      <c r="DB160" s="160"/>
      <c r="DC160" s="160"/>
      <c r="DD160" s="160"/>
      <c r="DE160" s="160"/>
      <c r="DF160" s="160"/>
      <c r="DG160" s="160"/>
      <c r="DH160" s="160"/>
      <c r="DI160" s="160"/>
      <c r="DJ160" s="160"/>
      <c r="DK160" s="160"/>
      <c r="DL160" s="160"/>
      <c r="DM160" s="160"/>
      <c r="DN160" s="160"/>
    </row>
    <row r="161" spans="1:118" hidden="1">
      <c r="A161" s="149"/>
      <c r="B161" s="150"/>
      <c r="C161" s="151"/>
      <c r="D161" s="152"/>
      <c r="E161" s="152"/>
      <c r="F161" s="152"/>
      <c r="G161" s="152"/>
      <c r="H161" s="62">
        <f>SUM(Table4[[#This Row],[BASIC]:[FOOD]])</f>
        <v>0</v>
      </c>
      <c r="I161" s="62"/>
      <c r="J161" s="62"/>
      <c r="K161" s="62"/>
      <c r="L161" s="62"/>
      <c r="M161" s="62"/>
      <c r="N161" s="62"/>
      <c r="O161" s="62">
        <f>SUM(Table4[[#This Row],[ESI BASIC]:[ESI FOOD]])</f>
        <v>0</v>
      </c>
      <c r="P161" s="160"/>
      <c r="Q161" s="160"/>
      <c r="R161" s="175"/>
      <c r="S161" s="167"/>
      <c r="T161" s="10">
        <f t="shared" si="15"/>
        <v>0</v>
      </c>
      <c r="U161" s="167"/>
      <c r="V161" s="10">
        <f t="shared" si="16"/>
        <v>0</v>
      </c>
      <c r="W161" s="10">
        <f t="shared" si="17"/>
        <v>0</v>
      </c>
      <c r="X161" s="170"/>
      <c r="Y161" s="177"/>
      <c r="Z161" s="168"/>
      <c r="AA161" s="177"/>
      <c r="AB161" s="168"/>
      <c r="AC161" s="177"/>
      <c r="AD161" s="168"/>
      <c r="AE161" s="177"/>
      <c r="AF161" s="168"/>
      <c r="AG161" s="177"/>
      <c r="AH161" s="168"/>
      <c r="AI161" s="177"/>
      <c r="AJ161" s="168"/>
      <c r="AK161" s="177"/>
      <c r="AL161" s="168"/>
      <c r="AM161" s="177"/>
      <c r="AN161" s="168"/>
      <c r="AO161" s="177"/>
      <c r="AP161" s="168"/>
      <c r="AQ161" s="177"/>
      <c r="AR161" s="168"/>
      <c r="AS161" s="177"/>
      <c r="AT161" s="168"/>
      <c r="AU161" s="177"/>
      <c r="AV161" s="168"/>
      <c r="AW161" s="177"/>
      <c r="AX161" s="168"/>
      <c r="AY161" s="177"/>
      <c r="AZ161" s="168"/>
      <c r="BA161" s="177"/>
      <c r="BB161" s="168"/>
      <c r="BC161" s="177"/>
      <c r="BD161" s="168"/>
      <c r="BE161" s="177"/>
      <c r="BF161" s="168"/>
      <c r="BG161" s="177"/>
      <c r="BH161" s="168"/>
      <c r="BI161" s="177"/>
      <c r="BJ161" s="168"/>
      <c r="BK161" s="177"/>
      <c r="BL161" s="168"/>
      <c r="BM161" s="177"/>
      <c r="BN161" s="168"/>
      <c r="BO161" s="177"/>
      <c r="BP161" s="168"/>
      <c r="BQ161" s="177"/>
      <c r="BR161" s="168"/>
      <c r="BS161" s="177"/>
      <c r="BT161" s="168"/>
      <c r="BU161" s="177"/>
      <c r="BV161" s="168"/>
      <c r="BW161" s="177"/>
      <c r="BX161" s="168"/>
      <c r="BY161" s="177"/>
      <c r="BZ161" s="168"/>
      <c r="CA161" s="177"/>
      <c r="CB161" s="168"/>
      <c r="CC161" s="177"/>
      <c r="CD161" s="168"/>
      <c r="CE161" s="177"/>
      <c r="CF161" s="168"/>
      <c r="CG161" s="187"/>
      <c r="CH161" s="183"/>
      <c r="CI161" s="185"/>
      <c r="CJ161" s="160"/>
      <c r="CK161" s="160"/>
      <c r="CL161" s="160"/>
      <c r="CM161" s="160"/>
      <c r="CN161" s="160"/>
      <c r="CO161" s="160"/>
      <c r="CP161" s="160"/>
      <c r="CQ161" s="160"/>
      <c r="CR161" s="160"/>
      <c r="CS161" s="179"/>
      <c r="CT161" s="160"/>
      <c r="CU161" s="160"/>
      <c r="CV161" s="160"/>
      <c r="CW161" s="160"/>
      <c r="CX161" s="160"/>
      <c r="CY161" s="160"/>
      <c r="CZ161" s="160"/>
      <c r="DA161" s="160"/>
      <c r="DB161" s="160"/>
      <c r="DC161" s="160"/>
      <c r="DD161" s="160"/>
      <c r="DE161" s="160"/>
      <c r="DF161" s="160"/>
      <c r="DG161" s="160"/>
      <c r="DH161" s="160"/>
      <c r="DI161" s="160"/>
      <c r="DJ161" s="160"/>
      <c r="DK161" s="160"/>
      <c r="DL161" s="160"/>
      <c r="DM161" s="160"/>
      <c r="DN161" s="160"/>
    </row>
    <row r="162" spans="1:118" hidden="1">
      <c r="A162" s="149"/>
      <c r="B162" s="150"/>
      <c r="C162" s="151"/>
      <c r="D162" s="152"/>
      <c r="E162" s="152"/>
      <c r="F162" s="152"/>
      <c r="G162" s="152"/>
      <c r="H162" s="62">
        <f>SUM(Table4[[#This Row],[BASIC]:[FOOD]])</f>
        <v>0</v>
      </c>
      <c r="I162" s="62"/>
      <c r="J162" s="62"/>
      <c r="K162" s="62"/>
      <c r="L162" s="62"/>
      <c r="M162" s="62"/>
      <c r="N162" s="62"/>
      <c r="O162" s="62">
        <f>SUM(Table4[[#This Row],[ESI BASIC]:[ESI FOOD]])</f>
        <v>0</v>
      </c>
      <c r="P162" s="160"/>
      <c r="Q162" s="160"/>
      <c r="R162" s="175"/>
      <c r="S162" s="167"/>
      <c r="T162" s="10">
        <f t="shared" si="15"/>
        <v>0</v>
      </c>
      <c r="U162" s="167"/>
      <c r="V162" s="10">
        <f t="shared" si="16"/>
        <v>0</v>
      </c>
      <c r="W162" s="10">
        <f t="shared" si="17"/>
        <v>0</v>
      </c>
      <c r="X162" s="170"/>
      <c r="Y162" s="177"/>
      <c r="Z162" s="168"/>
      <c r="AA162" s="177"/>
      <c r="AB162" s="168"/>
      <c r="AC162" s="177"/>
      <c r="AD162" s="168"/>
      <c r="AE162" s="177"/>
      <c r="AF162" s="168"/>
      <c r="AG162" s="177"/>
      <c r="AH162" s="168"/>
      <c r="AI162" s="177"/>
      <c r="AJ162" s="168"/>
      <c r="AK162" s="177"/>
      <c r="AL162" s="168"/>
      <c r="AM162" s="177"/>
      <c r="AN162" s="168"/>
      <c r="AO162" s="177"/>
      <c r="AP162" s="168"/>
      <c r="AQ162" s="177"/>
      <c r="AR162" s="168"/>
      <c r="AS162" s="177"/>
      <c r="AT162" s="168"/>
      <c r="AU162" s="177"/>
      <c r="AV162" s="168"/>
      <c r="AW162" s="177"/>
      <c r="AX162" s="168"/>
      <c r="AY162" s="177"/>
      <c r="AZ162" s="168"/>
      <c r="BA162" s="177"/>
      <c r="BB162" s="168"/>
      <c r="BC162" s="177"/>
      <c r="BD162" s="168"/>
      <c r="BE162" s="177"/>
      <c r="BF162" s="168"/>
      <c r="BG162" s="177"/>
      <c r="BH162" s="168"/>
      <c r="BI162" s="177"/>
      <c r="BJ162" s="168"/>
      <c r="BK162" s="177"/>
      <c r="BL162" s="168"/>
      <c r="BM162" s="177"/>
      <c r="BN162" s="168"/>
      <c r="BO162" s="177"/>
      <c r="BP162" s="168"/>
      <c r="BQ162" s="177"/>
      <c r="BR162" s="168"/>
      <c r="BS162" s="177"/>
      <c r="BT162" s="168"/>
      <c r="BU162" s="177"/>
      <c r="BV162" s="168"/>
      <c r="BW162" s="177"/>
      <c r="BX162" s="168"/>
      <c r="BY162" s="177"/>
      <c r="BZ162" s="168"/>
      <c r="CA162" s="177"/>
      <c r="CB162" s="168"/>
      <c r="CC162" s="177"/>
      <c r="CD162" s="168"/>
      <c r="CE162" s="177"/>
      <c r="CF162" s="168"/>
      <c r="CG162" s="187"/>
      <c r="CH162" s="183"/>
      <c r="CI162" s="185"/>
      <c r="CJ162" s="160"/>
      <c r="CK162" s="160"/>
      <c r="CL162" s="160"/>
      <c r="CM162" s="160"/>
      <c r="CN162" s="160"/>
      <c r="CO162" s="160"/>
      <c r="CP162" s="160"/>
      <c r="CQ162" s="160"/>
      <c r="CR162" s="160"/>
      <c r="CS162" s="179"/>
      <c r="CT162" s="160"/>
      <c r="CU162" s="160"/>
      <c r="CV162" s="160"/>
      <c r="CW162" s="160"/>
      <c r="CX162" s="160"/>
      <c r="CY162" s="160"/>
      <c r="CZ162" s="160"/>
      <c r="DA162" s="160"/>
      <c r="DB162" s="160"/>
      <c r="DC162" s="160"/>
      <c r="DD162" s="160"/>
      <c r="DE162" s="160"/>
      <c r="DF162" s="160"/>
      <c r="DG162" s="160"/>
      <c r="DH162" s="160"/>
      <c r="DI162" s="160"/>
      <c r="DJ162" s="160"/>
      <c r="DK162" s="160"/>
      <c r="DL162" s="160"/>
      <c r="DM162" s="160"/>
      <c r="DN162" s="160"/>
    </row>
    <row r="163" spans="1:118" hidden="1">
      <c r="A163" s="149"/>
      <c r="B163" s="150"/>
      <c r="C163" s="151"/>
      <c r="D163" s="152"/>
      <c r="E163" s="152"/>
      <c r="F163" s="152"/>
      <c r="G163" s="152"/>
      <c r="H163" s="62">
        <f>SUM(Table4[[#This Row],[BASIC]:[FOOD]])</f>
        <v>0</v>
      </c>
      <c r="I163" s="62"/>
      <c r="J163" s="62"/>
      <c r="K163" s="62"/>
      <c r="L163" s="62"/>
      <c r="M163" s="62"/>
      <c r="N163" s="62"/>
      <c r="O163" s="62">
        <f>SUM(Table4[[#This Row],[ESI BASIC]:[ESI FOOD]])</f>
        <v>0</v>
      </c>
      <c r="P163" s="160"/>
      <c r="Q163" s="160"/>
      <c r="R163" s="175"/>
      <c r="S163" s="167"/>
      <c r="T163" s="10">
        <f t="shared" si="15"/>
        <v>0</v>
      </c>
      <c r="U163" s="167"/>
      <c r="V163" s="10">
        <f t="shared" si="16"/>
        <v>0</v>
      </c>
      <c r="W163" s="10">
        <f t="shared" si="17"/>
        <v>0</v>
      </c>
      <c r="X163" s="170"/>
      <c r="Y163" s="177"/>
      <c r="Z163" s="168"/>
      <c r="AA163" s="177"/>
      <c r="AB163" s="168"/>
      <c r="AC163" s="177"/>
      <c r="AD163" s="168"/>
      <c r="AE163" s="177"/>
      <c r="AF163" s="168"/>
      <c r="AG163" s="177"/>
      <c r="AH163" s="168"/>
      <c r="AI163" s="177"/>
      <c r="AJ163" s="168"/>
      <c r="AK163" s="177"/>
      <c r="AL163" s="168"/>
      <c r="AM163" s="177"/>
      <c r="AN163" s="168"/>
      <c r="AO163" s="177"/>
      <c r="AP163" s="168"/>
      <c r="AQ163" s="177"/>
      <c r="AR163" s="168"/>
      <c r="AS163" s="177"/>
      <c r="AT163" s="168"/>
      <c r="AU163" s="177"/>
      <c r="AV163" s="168"/>
      <c r="AW163" s="177"/>
      <c r="AX163" s="168"/>
      <c r="AY163" s="177"/>
      <c r="AZ163" s="168"/>
      <c r="BA163" s="177"/>
      <c r="BB163" s="168"/>
      <c r="BC163" s="177"/>
      <c r="BD163" s="168"/>
      <c r="BE163" s="177"/>
      <c r="BF163" s="168"/>
      <c r="BG163" s="177"/>
      <c r="BH163" s="168"/>
      <c r="BI163" s="177"/>
      <c r="BJ163" s="168"/>
      <c r="BK163" s="177"/>
      <c r="BL163" s="168"/>
      <c r="BM163" s="177"/>
      <c r="BN163" s="168"/>
      <c r="BO163" s="177"/>
      <c r="BP163" s="168"/>
      <c r="BQ163" s="177"/>
      <c r="BR163" s="168"/>
      <c r="BS163" s="177"/>
      <c r="BT163" s="168"/>
      <c r="BU163" s="177"/>
      <c r="BV163" s="168"/>
      <c r="BW163" s="177"/>
      <c r="BX163" s="168"/>
      <c r="BY163" s="177"/>
      <c r="BZ163" s="168"/>
      <c r="CA163" s="177"/>
      <c r="CB163" s="168"/>
      <c r="CC163" s="177"/>
      <c r="CD163" s="168"/>
      <c r="CE163" s="177"/>
      <c r="CF163" s="168"/>
      <c r="CG163" s="187"/>
      <c r="CH163" s="183"/>
      <c r="CI163" s="185"/>
      <c r="CJ163" s="160"/>
      <c r="CK163" s="160"/>
      <c r="CL163" s="160"/>
      <c r="CM163" s="160"/>
      <c r="CN163" s="160"/>
      <c r="CO163" s="160"/>
      <c r="CP163" s="160"/>
      <c r="CQ163" s="160"/>
      <c r="CR163" s="160"/>
      <c r="CS163" s="179"/>
      <c r="CT163" s="160"/>
      <c r="CU163" s="160"/>
      <c r="CV163" s="160"/>
      <c r="CW163" s="160"/>
      <c r="CX163" s="160"/>
      <c r="CY163" s="160"/>
      <c r="CZ163" s="160"/>
      <c r="DA163" s="160"/>
      <c r="DB163" s="160"/>
      <c r="DC163" s="160"/>
      <c r="DD163" s="160"/>
      <c r="DE163" s="160"/>
      <c r="DF163" s="160"/>
      <c r="DG163" s="160"/>
      <c r="DH163" s="160"/>
      <c r="DI163" s="160"/>
      <c r="DJ163" s="160"/>
      <c r="DK163" s="160"/>
      <c r="DL163" s="160"/>
      <c r="DM163" s="160"/>
      <c r="DN163" s="160"/>
    </row>
    <row r="164" spans="1:118" hidden="1">
      <c r="A164" s="149"/>
      <c r="B164" s="150"/>
      <c r="C164" s="151"/>
      <c r="D164" s="152"/>
      <c r="E164" s="152"/>
      <c r="F164" s="152"/>
      <c r="G164" s="152"/>
      <c r="H164" s="62">
        <f>SUM(Table4[[#This Row],[BASIC]:[FOOD]])</f>
        <v>0</v>
      </c>
      <c r="I164" s="62"/>
      <c r="J164" s="62"/>
      <c r="K164" s="62"/>
      <c r="L164" s="62"/>
      <c r="M164" s="62"/>
      <c r="N164" s="62"/>
      <c r="O164" s="62">
        <f>SUM(Table4[[#This Row],[ESI BASIC]:[ESI FOOD]])</f>
        <v>0</v>
      </c>
      <c r="P164" s="160"/>
      <c r="Q164" s="160"/>
      <c r="R164" s="175"/>
      <c r="S164" s="167"/>
      <c r="T164" s="10">
        <f t="shared" si="15"/>
        <v>0</v>
      </c>
      <c r="U164" s="167"/>
      <c r="V164" s="10">
        <f t="shared" si="16"/>
        <v>0</v>
      </c>
      <c r="W164" s="10">
        <f t="shared" si="17"/>
        <v>0</v>
      </c>
      <c r="X164" s="170"/>
      <c r="Y164" s="177"/>
      <c r="Z164" s="168"/>
      <c r="AA164" s="177"/>
      <c r="AB164" s="168"/>
      <c r="AC164" s="177"/>
      <c r="AD164" s="168"/>
      <c r="AE164" s="177"/>
      <c r="AF164" s="168"/>
      <c r="AG164" s="177"/>
      <c r="AH164" s="168"/>
      <c r="AI164" s="177"/>
      <c r="AJ164" s="168"/>
      <c r="AK164" s="177"/>
      <c r="AL164" s="168"/>
      <c r="AM164" s="177"/>
      <c r="AN164" s="168"/>
      <c r="AO164" s="177"/>
      <c r="AP164" s="168"/>
      <c r="AQ164" s="177"/>
      <c r="AR164" s="168"/>
      <c r="AS164" s="177"/>
      <c r="AT164" s="168"/>
      <c r="AU164" s="177"/>
      <c r="AV164" s="168"/>
      <c r="AW164" s="177"/>
      <c r="AX164" s="168"/>
      <c r="AY164" s="177"/>
      <c r="AZ164" s="168"/>
      <c r="BA164" s="177"/>
      <c r="BB164" s="168"/>
      <c r="BC164" s="177"/>
      <c r="BD164" s="168"/>
      <c r="BE164" s="177"/>
      <c r="BF164" s="168"/>
      <c r="BG164" s="177"/>
      <c r="BH164" s="168"/>
      <c r="BI164" s="177"/>
      <c r="BJ164" s="168"/>
      <c r="BK164" s="177"/>
      <c r="BL164" s="168"/>
      <c r="BM164" s="177"/>
      <c r="BN164" s="168"/>
      <c r="BO164" s="177"/>
      <c r="BP164" s="168"/>
      <c r="BQ164" s="177"/>
      <c r="BR164" s="168"/>
      <c r="BS164" s="177"/>
      <c r="BT164" s="168"/>
      <c r="BU164" s="177"/>
      <c r="BV164" s="168"/>
      <c r="BW164" s="177"/>
      <c r="BX164" s="168"/>
      <c r="BY164" s="177"/>
      <c r="BZ164" s="168"/>
      <c r="CA164" s="177"/>
      <c r="CB164" s="168"/>
      <c r="CC164" s="177"/>
      <c r="CD164" s="168"/>
      <c r="CE164" s="177"/>
      <c r="CF164" s="168"/>
      <c r="CG164" s="187"/>
      <c r="CH164" s="183"/>
      <c r="CI164" s="185"/>
      <c r="CJ164" s="160"/>
      <c r="CK164" s="160"/>
      <c r="CL164" s="160"/>
      <c r="CM164" s="160"/>
      <c r="CN164" s="160"/>
      <c r="CO164" s="160"/>
      <c r="CP164" s="160"/>
      <c r="CQ164" s="160"/>
      <c r="CR164" s="160"/>
      <c r="CS164" s="179"/>
      <c r="CT164" s="160"/>
      <c r="CU164" s="160"/>
      <c r="CV164" s="160"/>
      <c r="CW164" s="160"/>
      <c r="CX164" s="160"/>
      <c r="CY164" s="160"/>
      <c r="CZ164" s="160"/>
      <c r="DA164" s="160"/>
      <c r="DB164" s="160"/>
      <c r="DC164" s="160"/>
      <c r="DD164" s="160"/>
      <c r="DE164" s="160"/>
      <c r="DF164" s="160"/>
      <c r="DG164" s="160"/>
      <c r="DH164" s="160"/>
      <c r="DI164" s="160"/>
      <c r="DJ164" s="160"/>
      <c r="DK164" s="160"/>
      <c r="DL164" s="160"/>
      <c r="DM164" s="160"/>
      <c r="DN164" s="160"/>
    </row>
    <row r="165" spans="1:118" hidden="1">
      <c r="A165" s="149"/>
      <c r="B165" s="150"/>
      <c r="C165" s="151"/>
      <c r="D165" s="152"/>
      <c r="E165" s="152"/>
      <c r="F165" s="152"/>
      <c r="G165" s="152"/>
      <c r="H165" s="62">
        <f>SUM(Table4[[#This Row],[BASIC]:[FOOD]])</f>
        <v>0</v>
      </c>
      <c r="I165" s="62"/>
      <c r="J165" s="62"/>
      <c r="K165" s="62"/>
      <c r="L165" s="62"/>
      <c r="M165" s="62"/>
      <c r="N165" s="62"/>
      <c r="O165" s="62">
        <f>SUM(Table4[[#This Row],[ESI BASIC]:[ESI FOOD]])</f>
        <v>0</v>
      </c>
      <c r="P165" s="160"/>
      <c r="Q165" s="160"/>
      <c r="R165" s="175"/>
      <c r="S165" s="167"/>
      <c r="T165" s="10">
        <f t="shared" si="15"/>
        <v>0</v>
      </c>
      <c r="U165" s="167"/>
      <c r="V165" s="10">
        <f t="shared" si="16"/>
        <v>0</v>
      </c>
      <c r="W165" s="10">
        <f t="shared" si="17"/>
        <v>0</v>
      </c>
      <c r="X165" s="170"/>
      <c r="Y165" s="177"/>
      <c r="Z165" s="168"/>
      <c r="AA165" s="177"/>
      <c r="AB165" s="168"/>
      <c r="AC165" s="177"/>
      <c r="AD165" s="168"/>
      <c r="AE165" s="177"/>
      <c r="AF165" s="168"/>
      <c r="AG165" s="177"/>
      <c r="AH165" s="168"/>
      <c r="AI165" s="177"/>
      <c r="AJ165" s="168"/>
      <c r="AK165" s="177"/>
      <c r="AL165" s="168"/>
      <c r="AM165" s="177"/>
      <c r="AN165" s="168"/>
      <c r="AO165" s="177"/>
      <c r="AP165" s="168"/>
      <c r="AQ165" s="177"/>
      <c r="AR165" s="168"/>
      <c r="AS165" s="177"/>
      <c r="AT165" s="168"/>
      <c r="AU165" s="177"/>
      <c r="AV165" s="168"/>
      <c r="AW165" s="177"/>
      <c r="AX165" s="168"/>
      <c r="AY165" s="177"/>
      <c r="AZ165" s="168"/>
      <c r="BA165" s="177"/>
      <c r="BB165" s="168"/>
      <c r="BC165" s="177"/>
      <c r="BD165" s="168"/>
      <c r="BE165" s="177"/>
      <c r="BF165" s="168"/>
      <c r="BG165" s="177"/>
      <c r="BH165" s="168"/>
      <c r="BI165" s="177"/>
      <c r="BJ165" s="168"/>
      <c r="BK165" s="177"/>
      <c r="BL165" s="168"/>
      <c r="BM165" s="177"/>
      <c r="BN165" s="168"/>
      <c r="BO165" s="177"/>
      <c r="BP165" s="168"/>
      <c r="BQ165" s="177"/>
      <c r="BR165" s="168"/>
      <c r="BS165" s="177"/>
      <c r="BT165" s="168"/>
      <c r="BU165" s="177"/>
      <c r="BV165" s="168"/>
      <c r="BW165" s="177"/>
      <c r="BX165" s="168"/>
      <c r="BY165" s="177"/>
      <c r="BZ165" s="168"/>
      <c r="CA165" s="177"/>
      <c r="CB165" s="168"/>
      <c r="CC165" s="177"/>
      <c r="CD165" s="168"/>
      <c r="CE165" s="177"/>
      <c r="CF165" s="168"/>
      <c r="CG165" s="187"/>
      <c r="CH165" s="183"/>
      <c r="CI165" s="185"/>
      <c r="CJ165" s="160"/>
      <c r="CK165" s="160"/>
      <c r="CL165" s="160"/>
      <c r="CM165" s="160"/>
      <c r="CN165" s="160"/>
      <c r="CO165" s="160"/>
      <c r="CP165" s="160"/>
      <c r="CQ165" s="160"/>
      <c r="CR165" s="160"/>
      <c r="CS165" s="179"/>
      <c r="CT165" s="160"/>
      <c r="CU165" s="160"/>
      <c r="CV165" s="160"/>
      <c r="CW165" s="160"/>
      <c r="CX165" s="160"/>
      <c r="CY165" s="160"/>
      <c r="CZ165" s="160"/>
      <c r="DA165" s="160"/>
      <c r="DB165" s="160"/>
      <c r="DC165" s="160"/>
      <c r="DD165" s="160"/>
      <c r="DE165" s="160"/>
      <c r="DF165" s="160"/>
      <c r="DG165" s="160"/>
      <c r="DH165" s="160"/>
      <c r="DI165" s="160"/>
      <c r="DJ165" s="160"/>
      <c r="DK165" s="160"/>
      <c r="DL165" s="160"/>
      <c r="DM165" s="160"/>
      <c r="DN165" s="160"/>
    </row>
    <row r="166" spans="1:118" hidden="1">
      <c r="A166" s="149"/>
      <c r="B166" s="150"/>
      <c r="C166" s="151"/>
      <c r="D166" s="152"/>
      <c r="E166" s="152"/>
      <c r="F166" s="152"/>
      <c r="G166" s="152"/>
      <c r="H166" s="62">
        <f>SUM(Table4[[#This Row],[BASIC]:[FOOD]])</f>
        <v>0</v>
      </c>
      <c r="I166" s="62"/>
      <c r="J166" s="62"/>
      <c r="K166" s="62"/>
      <c r="L166" s="62"/>
      <c r="M166" s="62"/>
      <c r="N166" s="62"/>
      <c r="O166" s="62">
        <f>SUM(Table4[[#This Row],[ESI BASIC]:[ESI FOOD]])</f>
        <v>0</v>
      </c>
      <c r="P166" s="160"/>
      <c r="Q166" s="160"/>
      <c r="R166" s="175"/>
      <c r="S166" s="167"/>
      <c r="T166" s="10">
        <f t="shared" si="15"/>
        <v>0</v>
      </c>
      <c r="U166" s="167"/>
      <c r="V166" s="10">
        <f t="shared" si="16"/>
        <v>0</v>
      </c>
      <c r="W166" s="10">
        <f t="shared" si="17"/>
        <v>0</v>
      </c>
      <c r="X166" s="170"/>
      <c r="Y166" s="177"/>
      <c r="Z166" s="168"/>
      <c r="AA166" s="177"/>
      <c r="AB166" s="168"/>
      <c r="AC166" s="177"/>
      <c r="AD166" s="168"/>
      <c r="AE166" s="177"/>
      <c r="AF166" s="168"/>
      <c r="AG166" s="177"/>
      <c r="AH166" s="168"/>
      <c r="AI166" s="177"/>
      <c r="AJ166" s="168"/>
      <c r="AK166" s="177"/>
      <c r="AL166" s="168"/>
      <c r="AM166" s="177"/>
      <c r="AN166" s="168"/>
      <c r="AO166" s="177"/>
      <c r="AP166" s="168"/>
      <c r="AQ166" s="177"/>
      <c r="AR166" s="168"/>
      <c r="AS166" s="177"/>
      <c r="AT166" s="168"/>
      <c r="AU166" s="177"/>
      <c r="AV166" s="168"/>
      <c r="AW166" s="177"/>
      <c r="AX166" s="168"/>
      <c r="AY166" s="177"/>
      <c r="AZ166" s="168"/>
      <c r="BA166" s="177"/>
      <c r="BB166" s="168"/>
      <c r="BC166" s="177"/>
      <c r="BD166" s="168"/>
      <c r="BE166" s="177"/>
      <c r="BF166" s="168"/>
      <c r="BG166" s="177"/>
      <c r="BH166" s="168"/>
      <c r="BI166" s="177"/>
      <c r="BJ166" s="168"/>
      <c r="BK166" s="177"/>
      <c r="BL166" s="168"/>
      <c r="BM166" s="177"/>
      <c r="BN166" s="168"/>
      <c r="BO166" s="177"/>
      <c r="BP166" s="168"/>
      <c r="BQ166" s="177"/>
      <c r="BR166" s="168"/>
      <c r="BS166" s="177"/>
      <c r="BT166" s="168"/>
      <c r="BU166" s="177"/>
      <c r="BV166" s="168"/>
      <c r="BW166" s="177"/>
      <c r="BX166" s="168"/>
      <c r="BY166" s="177"/>
      <c r="BZ166" s="168"/>
      <c r="CA166" s="177"/>
      <c r="CB166" s="168"/>
      <c r="CC166" s="177"/>
      <c r="CD166" s="168"/>
      <c r="CE166" s="177"/>
      <c r="CF166" s="168"/>
      <c r="CG166" s="187"/>
      <c r="CH166" s="183"/>
      <c r="CI166" s="185"/>
      <c r="CJ166" s="160"/>
      <c r="CK166" s="160"/>
      <c r="CL166" s="160"/>
      <c r="CM166" s="160"/>
      <c r="CN166" s="160"/>
      <c r="CO166" s="160"/>
      <c r="CP166" s="160"/>
      <c r="CQ166" s="160"/>
      <c r="CR166" s="160"/>
      <c r="CS166" s="179"/>
      <c r="CT166" s="160"/>
      <c r="CU166" s="160"/>
      <c r="CV166" s="160"/>
      <c r="CW166" s="160"/>
      <c r="CX166" s="160"/>
      <c r="CY166" s="160"/>
      <c r="CZ166" s="160"/>
      <c r="DA166" s="160"/>
      <c r="DB166" s="160"/>
      <c r="DC166" s="160"/>
      <c r="DD166" s="160"/>
      <c r="DE166" s="160"/>
      <c r="DF166" s="160"/>
      <c r="DG166" s="160"/>
      <c r="DH166" s="160"/>
      <c r="DI166" s="160"/>
      <c r="DJ166" s="160"/>
      <c r="DK166" s="160"/>
      <c r="DL166" s="160"/>
      <c r="DM166" s="160"/>
      <c r="DN166" s="160"/>
    </row>
    <row r="167" spans="1:118" hidden="1">
      <c r="A167" s="149"/>
      <c r="B167" s="150"/>
      <c r="C167" s="151"/>
      <c r="D167" s="152"/>
      <c r="E167" s="152"/>
      <c r="F167" s="152"/>
      <c r="G167" s="152"/>
      <c r="H167" s="62">
        <f>SUM(Table4[[#This Row],[BASIC]:[FOOD]])</f>
        <v>0</v>
      </c>
      <c r="I167" s="62"/>
      <c r="J167" s="62"/>
      <c r="K167" s="62"/>
      <c r="L167" s="62"/>
      <c r="M167" s="62"/>
      <c r="N167" s="62"/>
      <c r="O167" s="62">
        <f>SUM(Table4[[#This Row],[ESI BASIC]:[ESI FOOD]])</f>
        <v>0</v>
      </c>
      <c r="P167" s="160"/>
      <c r="Q167" s="160"/>
      <c r="R167" s="175"/>
      <c r="S167" s="167"/>
      <c r="T167" s="10">
        <f t="shared" si="15"/>
        <v>0</v>
      </c>
      <c r="U167" s="167"/>
      <c r="V167" s="10">
        <f t="shared" si="16"/>
        <v>0</v>
      </c>
      <c r="W167" s="10">
        <f t="shared" si="17"/>
        <v>0</v>
      </c>
      <c r="X167" s="170"/>
      <c r="Y167" s="177"/>
      <c r="Z167" s="168"/>
      <c r="AA167" s="177"/>
      <c r="AB167" s="168"/>
      <c r="AC167" s="177"/>
      <c r="AD167" s="168"/>
      <c r="AE167" s="177"/>
      <c r="AF167" s="168"/>
      <c r="AG167" s="177"/>
      <c r="AH167" s="168"/>
      <c r="AI167" s="177"/>
      <c r="AJ167" s="168"/>
      <c r="AK167" s="177"/>
      <c r="AL167" s="168"/>
      <c r="AM167" s="177"/>
      <c r="AN167" s="168"/>
      <c r="AO167" s="177"/>
      <c r="AP167" s="168"/>
      <c r="AQ167" s="177"/>
      <c r="AR167" s="168"/>
      <c r="AS167" s="177"/>
      <c r="AT167" s="168"/>
      <c r="AU167" s="177"/>
      <c r="AV167" s="168"/>
      <c r="AW167" s="177"/>
      <c r="AX167" s="168"/>
      <c r="AY167" s="177"/>
      <c r="AZ167" s="168"/>
      <c r="BA167" s="177"/>
      <c r="BB167" s="168"/>
      <c r="BC167" s="177"/>
      <c r="BD167" s="168"/>
      <c r="BE167" s="177"/>
      <c r="BF167" s="168"/>
      <c r="BG167" s="177"/>
      <c r="BH167" s="168"/>
      <c r="BI167" s="177"/>
      <c r="BJ167" s="168"/>
      <c r="BK167" s="177"/>
      <c r="BL167" s="168"/>
      <c r="BM167" s="177"/>
      <c r="BN167" s="168"/>
      <c r="BO167" s="177"/>
      <c r="BP167" s="168"/>
      <c r="BQ167" s="177"/>
      <c r="BR167" s="168"/>
      <c r="BS167" s="177"/>
      <c r="BT167" s="168"/>
      <c r="BU167" s="177"/>
      <c r="BV167" s="168"/>
      <c r="BW167" s="177"/>
      <c r="BX167" s="168"/>
      <c r="BY167" s="177"/>
      <c r="BZ167" s="168"/>
      <c r="CA167" s="177"/>
      <c r="CB167" s="168"/>
      <c r="CC167" s="177"/>
      <c r="CD167" s="168"/>
      <c r="CE167" s="177"/>
      <c r="CF167" s="168"/>
      <c r="CG167" s="187"/>
      <c r="CH167" s="183"/>
      <c r="CI167" s="185"/>
      <c r="CJ167" s="160"/>
      <c r="CK167" s="160"/>
      <c r="CL167" s="160"/>
      <c r="CM167" s="160"/>
      <c r="CN167" s="160"/>
      <c r="CO167" s="160"/>
      <c r="CP167" s="160"/>
      <c r="CQ167" s="160"/>
      <c r="CR167" s="160"/>
      <c r="CS167" s="179"/>
      <c r="CT167" s="160"/>
      <c r="CU167" s="160"/>
      <c r="CV167" s="160"/>
      <c r="CW167" s="160"/>
      <c r="CX167" s="160"/>
      <c r="CY167" s="160"/>
      <c r="CZ167" s="160"/>
      <c r="DA167" s="160"/>
      <c r="DB167" s="160"/>
      <c r="DC167" s="160"/>
      <c r="DD167" s="160"/>
      <c r="DE167" s="160"/>
      <c r="DF167" s="160"/>
      <c r="DG167" s="160"/>
      <c r="DH167" s="160"/>
      <c r="DI167" s="160"/>
      <c r="DJ167" s="160"/>
      <c r="DK167" s="160"/>
      <c r="DL167" s="160"/>
      <c r="DM167" s="160"/>
      <c r="DN167" s="160"/>
    </row>
    <row r="168" spans="1:118" hidden="1">
      <c r="A168" s="149"/>
      <c r="B168" s="150"/>
      <c r="C168" s="151"/>
      <c r="D168" s="152"/>
      <c r="E168" s="152"/>
      <c r="F168" s="152"/>
      <c r="G168" s="152"/>
      <c r="H168" s="62">
        <f>SUM(Table4[[#This Row],[BASIC]:[FOOD]])</f>
        <v>0</v>
      </c>
      <c r="I168" s="62"/>
      <c r="J168" s="62"/>
      <c r="K168" s="62"/>
      <c r="L168" s="62"/>
      <c r="M168" s="62"/>
      <c r="N168" s="62"/>
      <c r="O168" s="62">
        <f>SUM(Table4[[#This Row],[ESI BASIC]:[ESI FOOD]])</f>
        <v>0</v>
      </c>
      <c r="P168" s="160"/>
      <c r="Q168" s="160"/>
      <c r="R168" s="175"/>
      <c r="S168" s="167"/>
      <c r="T168" s="10">
        <f t="shared" si="15"/>
        <v>0</v>
      </c>
      <c r="U168" s="167"/>
      <c r="V168" s="10">
        <f t="shared" si="16"/>
        <v>0</v>
      </c>
      <c r="W168" s="10">
        <f t="shared" si="17"/>
        <v>0</v>
      </c>
      <c r="X168" s="170"/>
      <c r="Y168" s="177"/>
      <c r="Z168" s="168"/>
      <c r="AA168" s="177"/>
      <c r="AB168" s="168"/>
      <c r="AC168" s="177"/>
      <c r="AD168" s="168"/>
      <c r="AE168" s="177"/>
      <c r="AF168" s="168"/>
      <c r="AG168" s="177"/>
      <c r="AH168" s="168"/>
      <c r="AI168" s="177"/>
      <c r="AJ168" s="168"/>
      <c r="AK168" s="177"/>
      <c r="AL168" s="168"/>
      <c r="AM168" s="177"/>
      <c r="AN168" s="168"/>
      <c r="AO168" s="177"/>
      <c r="AP168" s="168"/>
      <c r="AQ168" s="177"/>
      <c r="AR168" s="168"/>
      <c r="AS168" s="177"/>
      <c r="AT168" s="168"/>
      <c r="AU168" s="177"/>
      <c r="AV168" s="168"/>
      <c r="AW168" s="177"/>
      <c r="AX168" s="168"/>
      <c r="AY168" s="177"/>
      <c r="AZ168" s="168"/>
      <c r="BA168" s="177"/>
      <c r="BB168" s="168"/>
      <c r="BC168" s="177"/>
      <c r="BD168" s="168"/>
      <c r="BE168" s="177"/>
      <c r="BF168" s="168"/>
      <c r="BG168" s="177"/>
      <c r="BH168" s="168"/>
      <c r="BI168" s="177"/>
      <c r="BJ168" s="168"/>
      <c r="BK168" s="177"/>
      <c r="BL168" s="168"/>
      <c r="BM168" s="177"/>
      <c r="BN168" s="168"/>
      <c r="BO168" s="177"/>
      <c r="BP168" s="168"/>
      <c r="BQ168" s="177"/>
      <c r="BR168" s="168"/>
      <c r="BS168" s="177"/>
      <c r="BT168" s="168"/>
      <c r="BU168" s="177"/>
      <c r="BV168" s="168"/>
      <c r="BW168" s="177"/>
      <c r="BX168" s="168"/>
      <c r="BY168" s="177"/>
      <c r="BZ168" s="168"/>
      <c r="CA168" s="177"/>
      <c r="CB168" s="168"/>
      <c r="CC168" s="177"/>
      <c r="CD168" s="168"/>
      <c r="CE168" s="177"/>
      <c r="CF168" s="168"/>
      <c r="CG168" s="187"/>
      <c r="CH168" s="183"/>
      <c r="CI168" s="185"/>
      <c r="CJ168" s="160"/>
      <c r="CK168" s="160"/>
      <c r="CL168" s="160"/>
      <c r="CM168" s="160"/>
      <c r="CN168" s="160"/>
      <c r="CO168" s="160"/>
      <c r="CP168" s="160"/>
      <c r="CQ168" s="160"/>
      <c r="CR168" s="160"/>
      <c r="CS168" s="179"/>
      <c r="CT168" s="160"/>
      <c r="CU168" s="160"/>
      <c r="CV168" s="160"/>
      <c r="CW168" s="160"/>
      <c r="CX168" s="160"/>
      <c r="CY168" s="160"/>
      <c r="CZ168" s="160"/>
      <c r="DA168" s="160"/>
      <c r="DB168" s="160"/>
      <c r="DC168" s="160"/>
      <c r="DD168" s="160"/>
      <c r="DE168" s="160"/>
      <c r="DF168" s="160"/>
      <c r="DG168" s="160"/>
      <c r="DH168" s="160"/>
      <c r="DI168" s="160"/>
      <c r="DJ168" s="160"/>
      <c r="DK168" s="160"/>
      <c r="DL168" s="160"/>
      <c r="DM168" s="160"/>
      <c r="DN168" s="160"/>
    </row>
    <row r="169" spans="1:118" hidden="1">
      <c r="A169" s="149"/>
      <c r="B169" s="150"/>
      <c r="C169" s="151"/>
      <c r="D169" s="152"/>
      <c r="E169" s="152"/>
      <c r="F169" s="152"/>
      <c r="G169" s="152"/>
      <c r="H169" s="62">
        <f>SUM(Table4[[#This Row],[BASIC]:[FOOD]])</f>
        <v>0</v>
      </c>
      <c r="I169" s="62"/>
      <c r="J169" s="62"/>
      <c r="K169" s="62"/>
      <c r="L169" s="62"/>
      <c r="M169" s="62"/>
      <c r="N169" s="62"/>
      <c r="O169" s="62">
        <f>SUM(Table4[[#This Row],[ESI BASIC]:[ESI FOOD]])</f>
        <v>0</v>
      </c>
      <c r="P169" s="160"/>
      <c r="Q169" s="160"/>
      <c r="R169" s="175"/>
      <c r="S169" s="167"/>
      <c r="T169" s="10">
        <f t="shared" si="15"/>
        <v>0</v>
      </c>
      <c r="U169" s="167"/>
      <c r="V169" s="10">
        <f t="shared" si="16"/>
        <v>0</v>
      </c>
      <c r="W169" s="10">
        <f t="shared" si="17"/>
        <v>0</v>
      </c>
      <c r="X169" s="170"/>
      <c r="Y169" s="177"/>
      <c r="Z169" s="168"/>
      <c r="AA169" s="177"/>
      <c r="AB169" s="168"/>
      <c r="AC169" s="177"/>
      <c r="AD169" s="168"/>
      <c r="AE169" s="177"/>
      <c r="AF169" s="168"/>
      <c r="AG169" s="177"/>
      <c r="AH169" s="168"/>
      <c r="AI169" s="177"/>
      <c r="AJ169" s="168"/>
      <c r="AK169" s="177"/>
      <c r="AL169" s="168"/>
      <c r="AM169" s="177"/>
      <c r="AN169" s="168"/>
      <c r="AO169" s="177"/>
      <c r="AP169" s="168"/>
      <c r="AQ169" s="177"/>
      <c r="AR169" s="168"/>
      <c r="AS169" s="177"/>
      <c r="AT169" s="168"/>
      <c r="AU169" s="177"/>
      <c r="AV169" s="168"/>
      <c r="AW169" s="177"/>
      <c r="AX169" s="168"/>
      <c r="AY169" s="177"/>
      <c r="AZ169" s="168"/>
      <c r="BA169" s="177"/>
      <c r="BB169" s="168"/>
      <c r="BC169" s="177"/>
      <c r="BD169" s="168"/>
      <c r="BE169" s="177"/>
      <c r="BF169" s="168"/>
      <c r="BG169" s="177"/>
      <c r="BH169" s="168"/>
      <c r="BI169" s="177"/>
      <c r="BJ169" s="168"/>
      <c r="BK169" s="177"/>
      <c r="BL169" s="168"/>
      <c r="BM169" s="177"/>
      <c r="BN169" s="168"/>
      <c r="BO169" s="177"/>
      <c r="BP169" s="168"/>
      <c r="BQ169" s="177"/>
      <c r="BR169" s="168"/>
      <c r="BS169" s="177"/>
      <c r="BT169" s="168"/>
      <c r="BU169" s="177"/>
      <c r="BV169" s="168"/>
      <c r="BW169" s="177"/>
      <c r="BX169" s="168"/>
      <c r="BY169" s="177"/>
      <c r="BZ169" s="168"/>
      <c r="CA169" s="177"/>
      <c r="CB169" s="168"/>
      <c r="CC169" s="177"/>
      <c r="CD169" s="168"/>
      <c r="CE169" s="177"/>
      <c r="CF169" s="168"/>
      <c r="CG169" s="187"/>
      <c r="CH169" s="183"/>
      <c r="CI169" s="185"/>
      <c r="CJ169" s="160"/>
      <c r="CK169" s="160"/>
      <c r="CL169" s="160"/>
      <c r="CM169" s="160"/>
      <c r="CN169" s="160"/>
      <c r="CO169" s="160"/>
      <c r="CP169" s="160"/>
      <c r="CQ169" s="160"/>
      <c r="CR169" s="160"/>
      <c r="CS169" s="179"/>
      <c r="CT169" s="160"/>
      <c r="CU169" s="160"/>
      <c r="CV169" s="160"/>
      <c r="CW169" s="160"/>
      <c r="CX169" s="160"/>
      <c r="CY169" s="160"/>
      <c r="CZ169" s="160"/>
      <c r="DA169" s="160"/>
      <c r="DB169" s="160"/>
      <c r="DC169" s="160"/>
      <c r="DD169" s="160"/>
      <c r="DE169" s="160"/>
      <c r="DF169" s="160"/>
      <c r="DG169" s="160"/>
      <c r="DH169" s="160"/>
      <c r="DI169" s="160"/>
      <c r="DJ169" s="160"/>
      <c r="DK169" s="160"/>
      <c r="DL169" s="160"/>
      <c r="DM169" s="160"/>
      <c r="DN169" s="160"/>
    </row>
    <row r="170" spans="1:118" hidden="1">
      <c r="A170" s="149"/>
      <c r="B170" s="150"/>
      <c r="C170" s="151"/>
      <c r="D170" s="152"/>
      <c r="E170" s="152"/>
      <c r="F170" s="152"/>
      <c r="G170" s="152"/>
      <c r="H170" s="62">
        <f>SUM(Table4[[#This Row],[BASIC]:[FOOD]])</f>
        <v>0</v>
      </c>
      <c r="I170" s="62"/>
      <c r="J170" s="62"/>
      <c r="K170" s="62"/>
      <c r="L170" s="62"/>
      <c r="M170" s="62"/>
      <c r="N170" s="62"/>
      <c r="O170" s="62">
        <f>SUM(Table4[[#This Row],[ESI BASIC]:[ESI FOOD]])</f>
        <v>0</v>
      </c>
      <c r="P170" s="160"/>
      <c r="Q170" s="160"/>
      <c r="R170" s="175"/>
      <c r="S170" s="167"/>
      <c r="T170" s="10">
        <f t="shared" si="15"/>
        <v>0</v>
      </c>
      <c r="U170" s="167"/>
      <c r="V170" s="10">
        <f t="shared" si="16"/>
        <v>0</v>
      </c>
      <c r="W170" s="10">
        <f t="shared" si="17"/>
        <v>0</v>
      </c>
      <c r="X170" s="170"/>
      <c r="Y170" s="177"/>
      <c r="Z170" s="168"/>
      <c r="AA170" s="177"/>
      <c r="AB170" s="168"/>
      <c r="AC170" s="177"/>
      <c r="AD170" s="168"/>
      <c r="AE170" s="177"/>
      <c r="AF170" s="168"/>
      <c r="AG170" s="177"/>
      <c r="AH170" s="168"/>
      <c r="AI170" s="177"/>
      <c r="AJ170" s="168"/>
      <c r="AK170" s="177"/>
      <c r="AL170" s="168"/>
      <c r="AM170" s="177"/>
      <c r="AN170" s="168"/>
      <c r="AO170" s="177"/>
      <c r="AP170" s="168"/>
      <c r="AQ170" s="177"/>
      <c r="AR170" s="168"/>
      <c r="AS170" s="177"/>
      <c r="AT170" s="168"/>
      <c r="AU170" s="177"/>
      <c r="AV170" s="168"/>
      <c r="AW170" s="177"/>
      <c r="AX170" s="168"/>
      <c r="AY170" s="177"/>
      <c r="AZ170" s="168"/>
      <c r="BA170" s="177"/>
      <c r="BB170" s="168"/>
      <c r="BC170" s="177"/>
      <c r="BD170" s="168"/>
      <c r="BE170" s="177"/>
      <c r="BF170" s="168"/>
      <c r="BG170" s="177"/>
      <c r="BH170" s="168"/>
      <c r="BI170" s="177"/>
      <c r="BJ170" s="168"/>
      <c r="BK170" s="177"/>
      <c r="BL170" s="168"/>
      <c r="BM170" s="177"/>
      <c r="BN170" s="168"/>
      <c r="BO170" s="177"/>
      <c r="BP170" s="168"/>
      <c r="BQ170" s="177"/>
      <c r="BR170" s="168"/>
      <c r="BS170" s="177"/>
      <c r="BT170" s="168"/>
      <c r="BU170" s="177"/>
      <c r="BV170" s="168"/>
      <c r="BW170" s="177"/>
      <c r="BX170" s="168"/>
      <c r="BY170" s="177"/>
      <c r="BZ170" s="168"/>
      <c r="CA170" s="177"/>
      <c r="CB170" s="168"/>
      <c r="CC170" s="177"/>
      <c r="CD170" s="168"/>
      <c r="CE170" s="177"/>
      <c r="CF170" s="168"/>
      <c r="CG170" s="187"/>
      <c r="CH170" s="183"/>
      <c r="CI170" s="185"/>
      <c r="CJ170" s="160"/>
      <c r="CK170" s="160"/>
      <c r="CL170" s="160"/>
      <c r="CM170" s="160"/>
      <c r="CN170" s="160"/>
      <c r="CO170" s="160"/>
      <c r="CP170" s="160"/>
      <c r="CQ170" s="160"/>
      <c r="CR170" s="160"/>
      <c r="CS170" s="179"/>
      <c r="CT170" s="160"/>
      <c r="CU170" s="160"/>
      <c r="CV170" s="160"/>
      <c r="CW170" s="160"/>
      <c r="CX170" s="160"/>
      <c r="CY170" s="160"/>
      <c r="CZ170" s="160"/>
      <c r="DA170" s="160"/>
      <c r="DB170" s="160"/>
      <c r="DC170" s="160"/>
      <c r="DD170" s="160"/>
      <c r="DE170" s="160"/>
      <c r="DF170" s="160"/>
      <c r="DG170" s="160"/>
      <c r="DH170" s="160"/>
      <c r="DI170" s="160"/>
      <c r="DJ170" s="160"/>
      <c r="DK170" s="160"/>
      <c r="DL170" s="160"/>
      <c r="DM170" s="160"/>
      <c r="DN170" s="160"/>
    </row>
    <row r="171" spans="1:118" hidden="1">
      <c r="A171" s="149"/>
      <c r="B171" s="150"/>
      <c r="C171" s="151"/>
      <c r="D171" s="152"/>
      <c r="E171" s="152"/>
      <c r="F171" s="152"/>
      <c r="G171" s="152"/>
      <c r="H171" s="62">
        <f>SUM(Table4[[#This Row],[BASIC]:[FOOD]])</f>
        <v>0</v>
      </c>
      <c r="I171" s="62"/>
      <c r="J171" s="62"/>
      <c r="K171" s="62"/>
      <c r="L171" s="62"/>
      <c r="M171" s="62"/>
      <c r="N171" s="62"/>
      <c r="O171" s="62">
        <f>SUM(Table4[[#This Row],[ESI BASIC]:[ESI FOOD]])</f>
        <v>0</v>
      </c>
      <c r="P171" s="160"/>
      <c r="Q171" s="160"/>
      <c r="R171" s="175"/>
      <c r="S171" s="167"/>
      <c r="T171" s="10">
        <f t="shared" si="15"/>
        <v>0</v>
      </c>
      <c r="U171" s="167"/>
      <c r="V171" s="10">
        <f t="shared" si="16"/>
        <v>0</v>
      </c>
      <c r="W171" s="10">
        <f t="shared" si="17"/>
        <v>0</v>
      </c>
      <c r="X171" s="170"/>
      <c r="Y171" s="177"/>
      <c r="Z171" s="168"/>
      <c r="AA171" s="177"/>
      <c r="AB171" s="168"/>
      <c r="AC171" s="177"/>
      <c r="AD171" s="168"/>
      <c r="AE171" s="177"/>
      <c r="AF171" s="168"/>
      <c r="AG171" s="177"/>
      <c r="AH171" s="168"/>
      <c r="AI171" s="177"/>
      <c r="AJ171" s="168"/>
      <c r="AK171" s="177"/>
      <c r="AL171" s="168"/>
      <c r="AM171" s="177"/>
      <c r="AN171" s="168"/>
      <c r="AO171" s="177"/>
      <c r="AP171" s="168"/>
      <c r="AQ171" s="177"/>
      <c r="AR171" s="168"/>
      <c r="AS171" s="177"/>
      <c r="AT171" s="168"/>
      <c r="AU171" s="177"/>
      <c r="AV171" s="168"/>
      <c r="AW171" s="177"/>
      <c r="AX171" s="168"/>
      <c r="AY171" s="177"/>
      <c r="AZ171" s="168"/>
      <c r="BA171" s="177"/>
      <c r="BB171" s="168"/>
      <c r="BC171" s="177"/>
      <c r="BD171" s="168"/>
      <c r="BE171" s="177"/>
      <c r="BF171" s="168"/>
      <c r="BG171" s="177"/>
      <c r="BH171" s="168"/>
      <c r="BI171" s="177"/>
      <c r="BJ171" s="168"/>
      <c r="BK171" s="177"/>
      <c r="BL171" s="168"/>
      <c r="BM171" s="177"/>
      <c r="BN171" s="168"/>
      <c r="BO171" s="177"/>
      <c r="BP171" s="168"/>
      <c r="BQ171" s="177"/>
      <c r="BR171" s="168"/>
      <c r="BS171" s="177"/>
      <c r="BT171" s="168"/>
      <c r="BU171" s="177"/>
      <c r="BV171" s="168"/>
      <c r="BW171" s="177"/>
      <c r="BX171" s="168"/>
      <c r="BY171" s="177"/>
      <c r="BZ171" s="168"/>
      <c r="CA171" s="177"/>
      <c r="CB171" s="168"/>
      <c r="CC171" s="177"/>
      <c r="CD171" s="168"/>
      <c r="CE171" s="177"/>
      <c r="CF171" s="168"/>
      <c r="CG171" s="187"/>
      <c r="CH171" s="183"/>
      <c r="CI171" s="185"/>
      <c r="CJ171" s="160"/>
      <c r="CK171" s="160"/>
      <c r="CL171" s="160"/>
      <c r="CM171" s="160"/>
      <c r="CN171" s="160"/>
      <c r="CO171" s="160"/>
      <c r="CP171" s="160"/>
      <c r="CQ171" s="160"/>
      <c r="CR171" s="160"/>
      <c r="CS171" s="179"/>
      <c r="CT171" s="160"/>
      <c r="CU171" s="160"/>
      <c r="CV171" s="160"/>
      <c r="CW171" s="160"/>
      <c r="CX171" s="160"/>
      <c r="CY171" s="160"/>
      <c r="CZ171" s="160"/>
      <c r="DA171" s="160"/>
      <c r="DB171" s="160"/>
      <c r="DC171" s="160"/>
      <c r="DD171" s="160"/>
      <c r="DE171" s="160"/>
      <c r="DF171" s="160"/>
      <c r="DG171" s="160"/>
      <c r="DH171" s="160"/>
      <c r="DI171" s="160"/>
      <c r="DJ171" s="160"/>
      <c r="DK171" s="160"/>
      <c r="DL171" s="160"/>
      <c r="DM171" s="160"/>
      <c r="DN171" s="160"/>
    </row>
    <row r="172" spans="1:118" hidden="1">
      <c r="A172" s="149"/>
      <c r="B172" s="150"/>
      <c r="C172" s="151"/>
      <c r="D172" s="152"/>
      <c r="E172" s="152"/>
      <c r="F172" s="152"/>
      <c r="G172" s="152"/>
      <c r="H172" s="62">
        <f>SUM(Table4[[#This Row],[BASIC]:[FOOD]])</f>
        <v>0</v>
      </c>
      <c r="I172" s="62"/>
      <c r="J172" s="62"/>
      <c r="K172" s="62"/>
      <c r="L172" s="62"/>
      <c r="M172" s="62"/>
      <c r="N172" s="62"/>
      <c r="O172" s="62">
        <f>SUM(Table4[[#This Row],[ESI BASIC]:[ESI FOOD]])</f>
        <v>0</v>
      </c>
      <c r="P172" s="160"/>
      <c r="Q172" s="160"/>
      <c r="R172" s="175"/>
      <c r="S172" s="167"/>
      <c r="T172" s="10">
        <f t="shared" si="15"/>
        <v>0</v>
      </c>
      <c r="U172" s="167"/>
      <c r="V172" s="10">
        <f t="shared" si="16"/>
        <v>0</v>
      </c>
      <c r="W172" s="10">
        <f t="shared" si="17"/>
        <v>0</v>
      </c>
      <c r="X172" s="170"/>
      <c r="Y172" s="177"/>
      <c r="Z172" s="168"/>
      <c r="AA172" s="177"/>
      <c r="AB172" s="168"/>
      <c r="AC172" s="177"/>
      <c r="AD172" s="168"/>
      <c r="AE172" s="177"/>
      <c r="AF172" s="168"/>
      <c r="AG172" s="177"/>
      <c r="AH172" s="168"/>
      <c r="AI172" s="177"/>
      <c r="AJ172" s="168"/>
      <c r="AK172" s="177"/>
      <c r="AL172" s="168"/>
      <c r="AM172" s="177"/>
      <c r="AN172" s="168"/>
      <c r="AO172" s="177"/>
      <c r="AP172" s="168"/>
      <c r="AQ172" s="177"/>
      <c r="AR172" s="168"/>
      <c r="AS172" s="177"/>
      <c r="AT172" s="168"/>
      <c r="AU172" s="177"/>
      <c r="AV172" s="168"/>
      <c r="AW172" s="177"/>
      <c r="AX172" s="168"/>
      <c r="AY172" s="177"/>
      <c r="AZ172" s="168"/>
      <c r="BA172" s="177"/>
      <c r="BB172" s="168"/>
      <c r="BC172" s="177"/>
      <c r="BD172" s="168"/>
      <c r="BE172" s="177"/>
      <c r="BF172" s="168"/>
      <c r="BG172" s="177"/>
      <c r="BH172" s="168"/>
      <c r="BI172" s="177"/>
      <c r="BJ172" s="168"/>
      <c r="BK172" s="177"/>
      <c r="BL172" s="168"/>
      <c r="BM172" s="177"/>
      <c r="BN172" s="168"/>
      <c r="BO172" s="177"/>
      <c r="BP172" s="168"/>
      <c r="BQ172" s="177"/>
      <c r="BR172" s="168"/>
      <c r="BS172" s="177"/>
      <c r="BT172" s="168"/>
      <c r="BU172" s="177"/>
      <c r="BV172" s="168"/>
      <c r="BW172" s="177"/>
      <c r="BX172" s="168"/>
      <c r="BY172" s="177"/>
      <c r="BZ172" s="168"/>
      <c r="CA172" s="177"/>
      <c r="CB172" s="168"/>
      <c r="CC172" s="177"/>
      <c r="CD172" s="168"/>
      <c r="CE172" s="177"/>
      <c r="CF172" s="168"/>
      <c r="CG172" s="187"/>
      <c r="CH172" s="183"/>
      <c r="CI172" s="185"/>
      <c r="CJ172" s="160"/>
      <c r="CK172" s="160"/>
      <c r="CL172" s="160"/>
      <c r="CM172" s="160"/>
      <c r="CN172" s="160"/>
      <c r="CO172" s="160"/>
      <c r="CP172" s="160"/>
      <c r="CQ172" s="160"/>
      <c r="CR172" s="160"/>
      <c r="CS172" s="179"/>
      <c r="CT172" s="160"/>
      <c r="CU172" s="160"/>
      <c r="CV172" s="160"/>
      <c r="CW172" s="160"/>
      <c r="CX172" s="160"/>
      <c r="CY172" s="160"/>
      <c r="CZ172" s="160"/>
      <c r="DA172" s="160"/>
      <c r="DB172" s="160"/>
      <c r="DC172" s="160"/>
      <c r="DD172" s="160"/>
      <c r="DE172" s="160"/>
      <c r="DF172" s="160"/>
      <c r="DG172" s="160"/>
      <c r="DH172" s="160"/>
      <c r="DI172" s="160"/>
      <c r="DJ172" s="160"/>
      <c r="DK172" s="160"/>
      <c r="DL172" s="160"/>
      <c r="DM172" s="160"/>
      <c r="DN172" s="160"/>
    </row>
    <row r="173" spans="1:118" hidden="1">
      <c r="A173" s="149"/>
      <c r="B173" s="150"/>
      <c r="C173" s="151"/>
      <c r="D173" s="152"/>
      <c r="E173" s="152"/>
      <c r="F173" s="152"/>
      <c r="G173" s="152"/>
      <c r="H173" s="62">
        <f>SUM(Table4[[#This Row],[BASIC]:[FOOD]])</f>
        <v>0</v>
      </c>
      <c r="I173" s="62"/>
      <c r="J173" s="62"/>
      <c r="K173" s="62"/>
      <c r="L173" s="62"/>
      <c r="M173" s="62"/>
      <c r="N173" s="62"/>
      <c r="O173" s="62">
        <f>SUM(Table4[[#This Row],[ESI BASIC]:[ESI FOOD]])</f>
        <v>0</v>
      </c>
      <c r="P173" s="160"/>
      <c r="Q173" s="160"/>
      <c r="R173" s="175"/>
      <c r="S173" s="167"/>
      <c r="T173" s="10">
        <f t="shared" si="15"/>
        <v>0</v>
      </c>
      <c r="U173" s="167"/>
      <c r="V173" s="10">
        <f t="shared" si="16"/>
        <v>0</v>
      </c>
      <c r="W173" s="10">
        <f t="shared" si="17"/>
        <v>0</v>
      </c>
      <c r="X173" s="170"/>
      <c r="Y173" s="177"/>
      <c r="Z173" s="168"/>
      <c r="AA173" s="177"/>
      <c r="AB173" s="168"/>
      <c r="AC173" s="177"/>
      <c r="AD173" s="168"/>
      <c r="AE173" s="177"/>
      <c r="AF173" s="168"/>
      <c r="AG173" s="177"/>
      <c r="AH173" s="168"/>
      <c r="AI173" s="177"/>
      <c r="AJ173" s="168"/>
      <c r="AK173" s="177"/>
      <c r="AL173" s="168"/>
      <c r="AM173" s="177"/>
      <c r="AN173" s="168"/>
      <c r="AO173" s="177"/>
      <c r="AP173" s="168"/>
      <c r="AQ173" s="177"/>
      <c r="AR173" s="168"/>
      <c r="AS173" s="177"/>
      <c r="AT173" s="168"/>
      <c r="AU173" s="177"/>
      <c r="AV173" s="168"/>
      <c r="AW173" s="177"/>
      <c r="AX173" s="168"/>
      <c r="AY173" s="177"/>
      <c r="AZ173" s="168"/>
      <c r="BA173" s="177"/>
      <c r="BB173" s="168"/>
      <c r="BC173" s="177"/>
      <c r="BD173" s="168"/>
      <c r="BE173" s="177"/>
      <c r="BF173" s="168"/>
      <c r="BG173" s="177"/>
      <c r="BH173" s="168"/>
      <c r="BI173" s="177"/>
      <c r="BJ173" s="168"/>
      <c r="BK173" s="177"/>
      <c r="BL173" s="168"/>
      <c r="BM173" s="177"/>
      <c r="BN173" s="168"/>
      <c r="BO173" s="177"/>
      <c r="BP173" s="168"/>
      <c r="BQ173" s="177"/>
      <c r="BR173" s="168"/>
      <c r="BS173" s="177"/>
      <c r="BT173" s="168"/>
      <c r="BU173" s="177"/>
      <c r="BV173" s="168"/>
      <c r="BW173" s="177"/>
      <c r="BX173" s="168"/>
      <c r="BY173" s="177"/>
      <c r="BZ173" s="168"/>
      <c r="CA173" s="177"/>
      <c r="CB173" s="168"/>
      <c r="CC173" s="177"/>
      <c r="CD173" s="168"/>
      <c r="CE173" s="177"/>
      <c r="CF173" s="168"/>
      <c r="CG173" s="187"/>
      <c r="CH173" s="183"/>
      <c r="CI173" s="185"/>
      <c r="CJ173" s="160"/>
      <c r="CK173" s="160"/>
      <c r="CL173" s="160"/>
      <c r="CM173" s="160"/>
      <c r="CN173" s="160"/>
      <c r="CO173" s="160"/>
      <c r="CP173" s="160"/>
      <c r="CQ173" s="160"/>
      <c r="CR173" s="160"/>
      <c r="CS173" s="179"/>
      <c r="CT173" s="160"/>
      <c r="CU173" s="160"/>
      <c r="CV173" s="160"/>
      <c r="CW173" s="160"/>
      <c r="CX173" s="160"/>
      <c r="CY173" s="160"/>
      <c r="CZ173" s="160"/>
      <c r="DA173" s="160"/>
      <c r="DB173" s="160"/>
      <c r="DC173" s="160"/>
      <c r="DD173" s="160"/>
      <c r="DE173" s="160"/>
      <c r="DF173" s="160"/>
      <c r="DG173" s="160"/>
      <c r="DH173" s="160"/>
      <c r="DI173" s="160"/>
      <c r="DJ173" s="160"/>
      <c r="DK173" s="160"/>
      <c r="DL173" s="160"/>
      <c r="DM173" s="160"/>
      <c r="DN173" s="160"/>
    </row>
    <row r="174" spans="1:118" hidden="1">
      <c r="A174" s="149"/>
      <c r="B174" s="150"/>
      <c r="C174" s="151"/>
      <c r="D174" s="152"/>
      <c r="E174" s="152"/>
      <c r="F174" s="152"/>
      <c r="G174" s="152"/>
      <c r="H174" s="62">
        <f>SUM(Table4[[#This Row],[BASIC]:[FOOD]])</f>
        <v>0</v>
      </c>
      <c r="I174" s="62"/>
      <c r="J174" s="62"/>
      <c r="K174" s="62"/>
      <c r="L174" s="62"/>
      <c r="M174" s="62"/>
      <c r="N174" s="62"/>
      <c r="O174" s="62">
        <f>SUM(Table4[[#This Row],[ESI BASIC]:[ESI FOOD]])</f>
        <v>0</v>
      </c>
      <c r="P174" s="160"/>
      <c r="Q174" s="160"/>
      <c r="R174" s="175"/>
      <c r="S174" s="167"/>
      <c r="T174" s="10">
        <f t="shared" si="15"/>
        <v>0</v>
      </c>
      <c r="U174" s="167"/>
      <c r="V174" s="10">
        <f t="shared" si="16"/>
        <v>0</v>
      </c>
      <c r="W174" s="10">
        <f t="shared" si="17"/>
        <v>0</v>
      </c>
      <c r="X174" s="170"/>
      <c r="Y174" s="177"/>
      <c r="Z174" s="168"/>
      <c r="AA174" s="177"/>
      <c r="AB174" s="168"/>
      <c r="AC174" s="177"/>
      <c r="AD174" s="168"/>
      <c r="AE174" s="177"/>
      <c r="AF174" s="168"/>
      <c r="AG174" s="177"/>
      <c r="AH174" s="168"/>
      <c r="AI174" s="177"/>
      <c r="AJ174" s="168"/>
      <c r="AK174" s="177"/>
      <c r="AL174" s="168"/>
      <c r="AM174" s="177"/>
      <c r="AN174" s="168"/>
      <c r="AO174" s="177"/>
      <c r="AP174" s="168"/>
      <c r="AQ174" s="177"/>
      <c r="AR174" s="168"/>
      <c r="AS174" s="177"/>
      <c r="AT174" s="168"/>
      <c r="AU174" s="177"/>
      <c r="AV174" s="168"/>
      <c r="AW174" s="177"/>
      <c r="AX174" s="168"/>
      <c r="AY174" s="177"/>
      <c r="AZ174" s="168"/>
      <c r="BA174" s="177"/>
      <c r="BB174" s="168"/>
      <c r="BC174" s="177"/>
      <c r="BD174" s="168"/>
      <c r="BE174" s="177"/>
      <c r="BF174" s="168"/>
      <c r="BG174" s="177"/>
      <c r="BH174" s="168"/>
      <c r="BI174" s="177"/>
      <c r="BJ174" s="168"/>
      <c r="BK174" s="177"/>
      <c r="BL174" s="168"/>
      <c r="BM174" s="177"/>
      <c r="BN174" s="168"/>
      <c r="BO174" s="177"/>
      <c r="BP174" s="168"/>
      <c r="BQ174" s="177"/>
      <c r="BR174" s="168"/>
      <c r="BS174" s="177"/>
      <c r="BT174" s="168"/>
      <c r="BU174" s="177"/>
      <c r="BV174" s="168"/>
      <c r="BW174" s="177"/>
      <c r="BX174" s="168"/>
      <c r="BY174" s="177"/>
      <c r="BZ174" s="168"/>
      <c r="CA174" s="177"/>
      <c r="CB174" s="168"/>
      <c r="CC174" s="177"/>
      <c r="CD174" s="168"/>
      <c r="CE174" s="177"/>
      <c r="CF174" s="168"/>
      <c r="CG174" s="187"/>
      <c r="CH174" s="183"/>
      <c r="CI174" s="185"/>
      <c r="CJ174" s="160"/>
      <c r="CK174" s="160"/>
      <c r="CL174" s="160"/>
      <c r="CM174" s="160"/>
      <c r="CN174" s="160"/>
      <c r="CO174" s="160"/>
      <c r="CP174" s="160"/>
      <c r="CQ174" s="160"/>
      <c r="CR174" s="160"/>
      <c r="CS174" s="179"/>
      <c r="CT174" s="160"/>
      <c r="CU174" s="160"/>
      <c r="CV174" s="160"/>
      <c r="CW174" s="160"/>
      <c r="CX174" s="160"/>
      <c r="CY174" s="160"/>
      <c r="CZ174" s="160"/>
      <c r="DA174" s="160"/>
      <c r="DB174" s="160"/>
      <c r="DC174" s="160"/>
      <c r="DD174" s="160"/>
      <c r="DE174" s="160"/>
      <c r="DF174" s="160"/>
      <c r="DG174" s="160"/>
      <c r="DH174" s="160"/>
      <c r="DI174" s="160"/>
      <c r="DJ174" s="160"/>
      <c r="DK174" s="160"/>
      <c r="DL174" s="160"/>
      <c r="DM174" s="160"/>
      <c r="DN174" s="160"/>
    </row>
    <row r="175" spans="1:118" hidden="1">
      <c r="A175" s="149"/>
      <c r="B175" s="150"/>
      <c r="C175" s="151"/>
      <c r="D175" s="152"/>
      <c r="E175" s="152"/>
      <c r="F175" s="152"/>
      <c r="G175" s="152"/>
      <c r="H175" s="62">
        <f>SUM(Table4[[#This Row],[BASIC]:[FOOD]])</f>
        <v>0</v>
      </c>
      <c r="I175" s="62"/>
      <c r="J175" s="62"/>
      <c r="K175" s="62"/>
      <c r="L175" s="62"/>
      <c r="M175" s="62"/>
      <c r="N175" s="62"/>
      <c r="O175" s="62">
        <f>SUM(Table4[[#This Row],[ESI BASIC]:[ESI FOOD]])</f>
        <v>0</v>
      </c>
      <c r="P175" s="160"/>
      <c r="Q175" s="160"/>
      <c r="R175" s="175"/>
      <c r="S175" s="167"/>
      <c r="T175" s="10">
        <f t="shared" si="15"/>
        <v>0</v>
      </c>
      <c r="U175" s="167"/>
      <c r="V175" s="10">
        <f t="shared" si="16"/>
        <v>0</v>
      </c>
      <c r="W175" s="10">
        <f t="shared" si="17"/>
        <v>0</v>
      </c>
      <c r="X175" s="170"/>
      <c r="Y175" s="177"/>
      <c r="Z175" s="168"/>
      <c r="AA175" s="177"/>
      <c r="AB175" s="168"/>
      <c r="AC175" s="177"/>
      <c r="AD175" s="168"/>
      <c r="AE175" s="177"/>
      <c r="AF175" s="168"/>
      <c r="AG175" s="177"/>
      <c r="AH175" s="168"/>
      <c r="AI175" s="177"/>
      <c r="AJ175" s="168"/>
      <c r="AK175" s="177"/>
      <c r="AL175" s="168"/>
      <c r="AM175" s="177"/>
      <c r="AN175" s="168"/>
      <c r="AO175" s="177"/>
      <c r="AP175" s="168"/>
      <c r="AQ175" s="177"/>
      <c r="AR175" s="168"/>
      <c r="AS175" s="177"/>
      <c r="AT175" s="168"/>
      <c r="AU175" s="177"/>
      <c r="AV175" s="168"/>
      <c r="AW175" s="177"/>
      <c r="AX175" s="168"/>
      <c r="AY175" s="177"/>
      <c r="AZ175" s="168"/>
      <c r="BA175" s="177"/>
      <c r="BB175" s="168"/>
      <c r="BC175" s="177"/>
      <c r="BD175" s="168"/>
      <c r="BE175" s="177"/>
      <c r="BF175" s="168"/>
      <c r="BG175" s="177"/>
      <c r="BH175" s="168"/>
      <c r="BI175" s="177"/>
      <c r="BJ175" s="168"/>
      <c r="BK175" s="177"/>
      <c r="BL175" s="168"/>
      <c r="BM175" s="177"/>
      <c r="BN175" s="168"/>
      <c r="BO175" s="177"/>
      <c r="BP175" s="168"/>
      <c r="BQ175" s="177"/>
      <c r="BR175" s="168"/>
      <c r="BS175" s="177"/>
      <c r="BT175" s="168"/>
      <c r="BU175" s="177"/>
      <c r="BV175" s="168"/>
      <c r="BW175" s="177"/>
      <c r="BX175" s="168"/>
      <c r="BY175" s="177"/>
      <c r="BZ175" s="168"/>
      <c r="CA175" s="177"/>
      <c r="CB175" s="168"/>
      <c r="CC175" s="177"/>
      <c r="CD175" s="168"/>
      <c r="CE175" s="177"/>
      <c r="CF175" s="168"/>
      <c r="CG175" s="187"/>
      <c r="CH175" s="183"/>
      <c r="CI175" s="185"/>
      <c r="CJ175" s="160"/>
      <c r="CK175" s="160"/>
      <c r="CL175" s="160"/>
      <c r="CM175" s="160"/>
      <c r="CN175" s="160"/>
      <c r="CO175" s="160"/>
      <c r="CP175" s="160"/>
      <c r="CQ175" s="160"/>
      <c r="CR175" s="160"/>
      <c r="CS175" s="179"/>
      <c r="CT175" s="160"/>
      <c r="CU175" s="160"/>
      <c r="CV175" s="160"/>
      <c r="CW175" s="160"/>
      <c r="CX175" s="160"/>
      <c r="CY175" s="160"/>
      <c r="CZ175" s="160"/>
      <c r="DA175" s="160"/>
      <c r="DB175" s="160"/>
      <c r="DC175" s="160"/>
      <c r="DD175" s="160"/>
      <c r="DE175" s="160"/>
      <c r="DF175" s="160"/>
      <c r="DG175" s="160"/>
      <c r="DH175" s="160"/>
      <c r="DI175" s="160"/>
      <c r="DJ175" s="160"/>
      <c r="DK175" s="160"/>
      <c r="DL175" s="160"/>
      <c r="DM175" s="160"/>
      <c r="DN175" s="160"/>
    </row>
    <row r="176" spans="1:118" hidden="1">
      <c r="A176" s="149"/>
      <c r="B176" s="150"/>
      <c r="C176" s="151"/>
      <c r="D176" s="152"/>
      <c r="E176" s="152"/>
      <c r="F176" s="152"/>
      <c r="G176" s="152"/>
      <c r="H176" s="62">
        <f>SUM(Table4[[#This Row],[BASIC]:[FOOD]])</f>
        <v>0</v>
      </c>
      <c r="I176" s="62"/>
      <c r="J176" s="62"/>
      <c r="K176" s="62"/>
      <c r="L176" s="62"/>
      <c r="M176" s="62"/>
      <c r="N176" s="62"/>
      <c r="O176" s="62">
        <f>SUM(Table4[[#This Row],[ESI BASIC]:[ESI FOOD]])</f>
        <v>0</v>
      </c>
      <c r="P176" s="160"/>
      <c r="Q176" s="160"/>
      <c r="R176" s="175"/>
      <c r="S176" s="167"/>
      <c r="T176" s="10">
        <f t="shared" si="15"/>
        <v>0</v>
      </c>
      <c r="U176" s="167"/>
      <c r="V176" s="10">
        <f t="shared" si="16"/>
        <v>0</v>
      </c>
      <c r="W176" s="10">
        <f t="shared" si="17"/>
        <v>0</v>
      </c>
      <c r="X176" s="170"/>
      <c r="Y176" s="177"/>
      <c r="Z176" s="168"/>
      <c r="AA176" s="177"/>
      <c r="AB176" s="168"/>
      <c r="AC176" s="177"/>
      <c r="AD176" s="168"/>
      <c r="AE176" s="177"/>
      <c r="AF176" s="168"/>
      <c r="AG176" s="177"/>
      <c r="AH176" s="168"/>
      <c r="AI176" s="177"/>
      <c r="AJ176" s="168"/>
      <c r="AK176" s="177"/>
      <c r="AL176" s="168"/>
      <c r="AM176" s="177"/>
      <c r="AN176" s="168"/>
      <c r="AO176" s="177"/>
      <c r="AP176" s="168"/>
      <c r="AQ176" s="177"/>
      <c r="AR176" s="168"/>
      <c r="AS176" s="177"/>
      <c r="AT176" s="168"/>
      <c r="AU176" s="177"/>
      <c r="AV176" s="168"/>
      <c r="AW176" s="177"/>
      <c r="AX176" s="168"/>
      <c r="AY176" s="177"/>
      <c r="AZ176" s="168"/>
      <c r="BA176" s="177"/>
      <c r="BB176" s="168"/>
      <c r="BC176" s="177"/>
      <c r="BD176" s="168"/>
      <c r="BE176" s="177"/>
      <c r="BF176" s="168"/>
      <c r="BG176" s="177"/>
      <c r="BH176" s="168"/>
      <c r="BI176" s="177"/>
      <c r="BJ176" s="168"/>
      <c r="BK176" s="177"/>
      <c r="BL176" s="168"/>
      <c r="BM176" s="177"/>
      <c r="BN176" s="168"/>
      <c r="BO176" s="177"/>
      <c r="BP176" s="168"/>
      <c r="BQ176" s="177"/>
      <c r="BR176" s="168"/>
      <c r="BS176" s="177"/>
      <c r="BT176" s="168"/>
      <c r="BU176" s="177"/>
      <c r="BV176" s="168"/>
      <c r="BW176" s="177"/>
      <c r="BX176" s="168"/>
      <c r="BY176" s="177"/>
      <c r="BZ176" s="168"/>
      <c r="CA176" s="177"/>
      <c r="CB176" s="168"/>
      <c r="CC176" s="177"/>
      <c r="CD176" s="168"/>
      <c r="CE176" s="177"/>
      <c r="CF176" s="168"/>
      <c r="CG176" s="187"/>
      <c r="CH176" s="183"/>
      <c r="CI176" s="185"/>
      <c r="CJ176" s="160"/>
      <c r="CK176" s="160"/>
      <c r="CL176" s="160"/>
      <c r="CM176" s="160"/>
      <c r="CN176" s="160"/>
      <c r="CO176" s="160"/>
      <c r="CP176" s="160"/>
      <c r="CQ176" s="160"/>
      <c r="CR176" s="160"/>
      <c r="CS176" s="179"/>
      <c r="CT176" s="160"/>
      <c r="CU176" s="160"/>
      <c r="CV176" s="160"/>
      <c r="CW176" s="160"/>
      <c r="CX176" s="160"/>
      <c r="CY176" s="160"/>
      <c r="CZ176" s="160"/>
      <c r="DA176" s="160"/>
      <c r="DB176" s="160"/>
      <c r="DC176" s="160"/>
      <c r="DD176" s="160"/>
      <c r="DE176" s="160"/>
      <c r="DF176" s="160"/>
      <c r="DG176" s="160"/>
      <c r="DH176" s="160"/>
      <c r="DI176" s="160"/>
      <c r="DJ176" s="160"/>
      <c r="DK176" s="160"/>
      <c r="DL176" s="160"/>
      <c r="DM176" s="160"/>
      <c r="DN176" s="160"/>
    </row>
    <row r="177" spans="1:118" hidden="1">
      <c r="A177" s="149"/>
      <c r="B177" s="150"/>
      <c r="C177" s="151"/>
      <c r="D177" s="152"/>
      <c r="E177" s="152"/>
      <c r="F177" s="152"/>
      <c r="G177" s="152"/>
      <c r="H177" s="62">
        <f>SUM(Table4[[#This Row],[BASIC]:[FOOD]])</f>
        <v>0</v>
      </c>
      <c r="I177" s="62"/>
      <c r="J177" s="62"/>
      <c r="K177" s="62"/>
      <c r="L177" s="62"/>
      <c r="M177" s="62"/>
      <c r="N177" s="62"/>
      <c r="O177" s="62">
        <f>SUM(Table4[[#This Row],[ESI BASIC]:[ESI FOOD]])</f>
        <v>0</v>
      </c>
      <c r="P177" s="160"/>
      <c r="Q177" s="160"/>
      <c r="R177" s="175"/>
      <c r="S177" s="167"/>
      <c r="T177" s="10">
        <f t="shared" si="15"/>
        <v>0</v>
      </c>
      <c r="U177" s="167"/>
      <c r="V177" s="10">
        <f t="shared" si="16"/>
        <v>0</v>
      </c>
      <c r="W177" s="10">
        <f t="shared" si="17"/>
        <v>0</v>
      </c>
      <c r="X177" s="170"/>
      <c r="Y177" s="177"/>
      <c r="Z177" s="168"/>
      <c r="AA177" s="177"/>
      <c r="AB177" s="168"/>
      <c r="AC177" s="177"/>
      <c r="AD177" s="168"/>
      <c r="AE177" s="177"/>
      <c r="AF177" s="168"/>
      <c r="AG177" s="177"/>
      <c r="AH177" s="168"/>
      <c r="AI177" s="177"/>
      <c r="AJ177" s="168"/>
      <c r="AK177" s="177"/>
      <c r="AL177" s="168"/>
      <c r="AM177" s="177"/>
      <c r="AN177" s="168"/>
      <c r="AO177" s="177"/>
      <c r="AP177" s="168"/>
      <c r="AQ177" s="177"/>
      <c r="AR177" s="168"/>
      <c r="AS177" s="177"/>
      <c r="AT177" s="168"/>
      <c r="AU177" s="177"/>
      <c r="AV177" s="168"/>
      <c r="AW177" s="177"/>
      <c r="AX177" s="168"/>
      <c r="AY177" s="177"/>
      <c r="AZ177" s="168"/>
      <c r="BA177" s="177"/>
      <c r="BB177" s="168"/>
      <c r="BC177" s="177"/>
      <c r="BD177" s="168"/>
      <c r="BE177" s="177"/>
      <c r="BF177" s="168"/>
      <c r="BG177" s="177"/>
      <c r="BH177" s="168"/>
      <c r="BI177" s="177"/>
      <c r="BJ177" s="168"/>
      <c r="BK177" s="177"/>
      <c r="BL177" s="168"/>
      <c r="BM177" s="177"/>
      <c r="BN177" s="168"/>
      <c r="BO177" s="177"/>
      <c r="BP177" s="168"/>
      <c r="BQ177" s="177"/>
      <c r="BR177" s="168"/>
      <c r="BS177" s="177"/>
      <c r="BT177" s="168"/>
      <c r="BU177" s="177"/>
      <c r="BV177" s="168"/>
      <c r="BW177" s="177"/>
      <c r="BX177" s="168"/>
      <c r="BY177" s="177"/>
      <c r="BZ177" s="168"/>
      <c r="CA177" s="177"/>
      <c r="CB177" s="168"/>
      <c r="CC177" s="177"/>
      <c r="CD177" s="168"/>
      <c r="CE177" s="177"/>
      <c r="CF177" s="168"/>
      <c r="CG177" s="187"/>
      <c r="CH177" s="183"/>
      <c r="CI177" s="185"/>
      <c r="CJ177" s="160"/>
      <c r="CK177" s="160"/>
      <c r="CL177" s="160"/>
      <c r="CM177" s="160"/>
      <c r="CN177" s="160"/>
      <c r="CO177" s="160"/>
      <c r="CP177" s="160"/>
      <c r="CQ177" s="160"/>
      <c r="CR177" s="160"/>
      <c r="CS177" s="179"/>
      <c r="CT177" s="160"/>
      <c r="CU177" s="160"/>
      <c r="CV177" s="160"/>
      <c r="CW177" s="160"/>
      <c r="CX177" s="160"/>
      <c r="CY177" s="160"/>
      <c r="CZ177" s="160"/>
      <c r="DA177" s="160"/>
      <c r="DB177" s="160"/>
      <c r="DC177" s="160"/>
      <c r="DD177" s="160"/>
      <c r="DE177" s="160"/>
      <c r="DF177" s="160"/>
      <c r="DG177" s="160"/>
      <c r="DH177" s="160"/>
      <c r="DI177" s="160"/>
      <c r="DJ177" s="160"/>
      <c r="DK177" s="160"/>
      <c r="DL177" s="160"/>
      <c r="DM177" s="160"/>
      <c r="DN177" s="160"/>
    </row>
    <row r="178" spans="1:118" hidden="1">
      <c r="A178" s="149"/>
      <c r="B178" s="150"/>
      <c r="C178" s="151"/>
      <c r="D178" s="152"/>
      <c r="E178" s="152"/>
      <c r="F178" s="152"/>
      <c r="G178" s="152"/>
      <c r="H178" s="62">
        <f>SUM(Table4[[#This Row],[BASIC]:[FOOD]])</f>
        <v>0</v>
      </c>
      <c r="I178" s="62"/>
      <c r="J178" s="62"/>
      <c r="K178" s="62"/>
      <c r="L178" s="62"/>
      <c r="M178" s="62"/>
      <c r="N178" s="62"/>
      <c r="O178" s="62">
        <f>SUM(Table4[[#This Row],[ESI BASIC]:[ESI FOOD]])</f>
        <v>0</v>
      </c>
      <c r="P178" s="160"/>
      <c r="Q178" s="160"/>
      <c r="R178" s="175"/>
      <c r="S178" s="167"/>
      <c r="T178" s="10">
        <f t="shared" si="15"/>
        <v>0</v>
      </c>
      <c r="U178" s="167"/>
      <c r="V178" s="10">
        <f t="shared" si="16"/>
        <v>0</v>
      </c>
      <c r="W178" s="10">
        <f t="shared" si="17"/>
        <v>0</v>
      </c>
      <c r="X178" s="170"/>
      <c r="Y178" s="177"/>
      <c r="Z178" s="168"/>
      <c r="AA178" s="177"/>
      <c r="AB178" s="168"/>
      <c r="AC178" s="177"/>
      <c r="AD178" s="168"/>
      <c r="AE178" s="177"/>
      <c r="AF178" s="168"/>
      <c r="AG178" s="177"/>
      <c r="AH178" s="168"/>
      <c r="AI178" s="177"/>
      <c r="AJ178" s="168"/>
      <c r="AK178" s="177"/>
      <c r="AL178" s="168"/>
      <c r="AM178" s="177"/>
      <c r="AN178" s="168"/>
      <c r="AO178" s="177"/>
      <c r="AP178" s="168"/>
      <c r="AQ178" s="177"/>
      <c r="AR178" s="168"/>
      <c r="AS178" s="177"/>
      <c r="AT178" s="168"/>
      <c r="AU178" s="177"/>
      <c r="AV178" s="168"/>
      <c r="AW178" s="177"/>
      <c r="AX178" s="168"/>
      <c r="AY178" s="177"/>
      <c r="AZ178" s="168"/>
      <c r="BA178" s="177"/>
      <c r="BB178" s="168"/>
      <c r="BC178" s="177"/>
      <c r="BD178" s="168"/>
      <c r="BE178" s="177"/>
      <c r="BF178" s="168"/>
      <c r="BG178" s="177"/>
      <c r="BH178" s="168"/>
      <c r="BI178" s="177"/>
      <c r="BJ178" s="168"/>
      <c r="BK178" s="177"/>
      <c r="BL178" s="168"/>
      <c r="BM178" s="177"/>
      <c r="BN178" s="168"/>
      <c r="BO178" s="177"/>
      <c r="BP178" s="168"/>
      <c r="BQ178" s="177"/>
      <c r="BR178" s="168"/>
      <c r="BS178" s="177"/>
      <c r="BT178" s="168"/>
      <c r="BU178" s="177"/>
      <c r="BV178" s="168"/>
      <c r="BW178" s="177"/>
      <c r="BX178" s="168"/>
      <c r="BY178" s="177"/>
      <c r="BZ178" s="168"/>
      <c r="CA178" s="177"/>
      <c r="CB178" s="168"/>
      <c r="CC178" s="177"/>
      <c r="CD178" s="168"/>
      <c r="CE178" s="177"/>
      <c r="CF178" s="168"/>
      <c r="CG178" s="187"/>
      <c r="CH178" s="183"/>
      <c r="CI178" s="185"/>
      <c r="CJ178" s="160"/>
      <c r="CK178" s="160"/>
      <c r="CL178" s="160"/>
      <c r="CM178" s="160"/>
      <c r="CN178" s="160"/>
      <c r="CO178" s="160"/>
      <c r="CP178" s="160"/>
      <c r="CQ178" s="160"/>
      <c r="CR178" s="160"/>
      <c r="CS178" s="179"/>
      <c r="CT178" s="160"/>
      <c r="CU178" s="160"/>
      <c r="CV178" s="160"/>
      <c r="CW178" s="160"/>
      <c r="CX178" s="160"/>
      <c r="CY178" s="160"/>
      <c r="CZ178" s="160"/>
      <c r="DA178" s="160"/>
      <c r="DB178" s="160"/>
      <c r="DC178" s="160"/>
      <c r="DD178" s="160"/>
      <c r="DE178" s="160"/>
      <c r="DF178" s="160"/>
      <c r="DG178" s="160"/>
      <c r="DH178" s="160"/>
      <c r="DI178" s="160"/>
      <c r="DJ178" s="160"/>
      <c r="DK178" s="160"/>
      <c r="DL178" s="160"/>
      <c r="DM178" s="160"/>
      <c r="DN178" s="160"/>
    </row>
    <row r="179" spans="1:118" hidden="1">
      <c r="A179" s="149"/>
      <c r="B179" s="150"/>
      <c r="C179" s="151"/>
      <c r="D179" s="152"/>
      <c r="E179" s="152"/>
      <c r="F179" s="152"/>
      <c r="G179" s="152"/>
      <c r="H179" s="62">
        <f>SUM(Table4[[#This Row],[BASIC]:[FOOD]])</f>
        <v>0</v>
      </c>
      <c r="I179" s="62"/>
      <c r="J179" s="62"/>
      <c r="K179" s="62"/>
      <c r="L179" s="62"/>
      <c r="M179" s="62"/>
      <c r="N179" s="62"/>
      <c r="O179" s="62">
        <f>SUM(Table4[[#This Row],[ESI BASIC]:[ESI FOOD]])</f>
        <v>0</v>
      </c>
      <c r="P179" s="160"/>
      <c r="Q179" s="160"/>
      <c r="R179" s="175"/>
      <c r="S179" s="167"/>
      <c r="T179" s="10">
        <f t="shared" si="15"/>
        <v>0</v>
      </c>
      <c r="U179" s="167"/>
      <c r="V179" s="10">
        <f t="shared" si="16"/>
        <v>0</v>
      </c>
      <c r="W179" s="10">
        <f t="shared" si="17"/>
        <v>0</v>
      </c>
      <c r="X179" s="170"/>
      <c r="Y179" s="177"/>
      <c r="Z179" s="168"/>
      <c r="AA179" s="177"/>
      <c r="AB179" s="168"/>
      <c r="AC179" s="177"/>
      <c r="AD179" s="168"/>
      <c r="AE179" s="177"/>
      <c r="AF179" s="168"/>
      <c r="AG179" s="177"/>
      <c r="AH179" s="168"/>
      <c r="AI179" s="177"/>
      <c r="AJ179" s="168"/>
      <c r="AK179" s="177"/>
      <c r="AL179" s="168"/>
      <c r="AM179" s="177"/>
      <c r="AN179" s="168"/>
      <c r="AO179" s="177"/>
      <c r="AP179" s="168"/>
      <c r="AQ179" s="177"/>
      <c r="AR179" s="168"/>
      <c r="AS179" s="177"/>
      <c r="AT179" s="168"/>
      <c r="AU179" s="177"/>
      <c r="AV179" s="168"/>
      <c r="AW179" s="177"/>
      <c r="AX179" s="168"/>
      <c r="AY179" s="177"/>
      <c r="AZ179" s="168"/>
      <c r="BA179" s="177"/>
      <c r="BB179" s="168"/>
      <c r="BC179" s="177"/>
      <c r="BD179" s="168"/>
      <c r="BE179" s="177"/>
      <c r="BF179" s="168"/>
      <c r="BG179" s="177"/>
      <c r="BH179" s="168"/>
      <c r="BI179" s="177"/>
      <c r="BJ179" s="168"/>
      <c r="BK179" s="177"/>
      <c r="BL179" s="168"/>
      <c r="BM179" s="177"/>
      <c r="BN179" s="168"/>
      <c r="BO179" s="177"/>
      <c r="BP179" s="168"/>
      <c r="BQ179" s="177"/>
      <c r="BR179" s="168"/>
      <c r="BS179" s="177"/>
      <c r="BT179" s="168"/>
      <c r="BU179" s="177"/>
      <c r="BV179" s="168"/>
      <c r="BW179" s="177"/>
      <c r="BX179" s="168"/>
      <c r="BY179" s="177"/>
      <c r="BZ179" s="168"/>
      <c r="CA179" s="177"/>
      <c r="CB179" s="168"/>
      <c r="CC179" s="177"/>
      <c r="CD179" s="168"/>
      <c r="CE179" s="177"/>
      <c r="CF179" s="168"/>
      <c r="CG179" s="187"/>
      <c r="CH179" s="183"/>
      <c r="CI179" s="185"/>
      <c r="CJ179" s="160"/>
      <c r="CK179" s="160"/>
      <c r="CL179" s="160"/>
      <c r="CM179" s="160"/>
      <c r="CN179" s="160"/>
      <c r="CO179" s="160"/>
      <c r="CP179" s="160"/>
      <c r="CQ179" s="160"/>
      <c r="CR179" s="160"/>
      <c r="CS179" s="179"/>
      <c r="CT179" s="160"/>
      <c r="CU179" s="160"/>
      <c r="CV179" s="160"/>
      <c r="CW179" s="160"/>
      <c r="CX179" s="160"/>
      <c r="CY179" s="160"/>
      <c r="CZ179" s="160"/>
      <c r="DA179" s="160"/>
      <c r="DB179" s="160"/>
      <c r="DC179" s="160"/>
      <c r="DD179" s="160"/>
      <c r="DE179" s="160"/>
      <c r="DF179" s="160"/>
      <c r="DG179" s="160"/>
      <c r="DH179" s="160"/>
      <c r="DI179" s="160"/>
      <c r="DJ179" s="160"/>
      <c r="DK179" s="160"/>
      <c r="DL179" s="160"/>
      <c r="DM179" s="160"/>
      <c r="DN179" s="160"/>
    </row>
    <row r="180" spans="1:118" hidden="1">
      <c r="A180" s="149"/>
      <c r="B180" s="150"/>
      <c r="C180" s="151"/>
      <c r="D180" s="152"/>
      <c r="E180" s="152"/>
      <c r="F180" s="152"/>
      <c r="G180" s="152"/>
      <c r="H180" s="62">
        <f>SUM(Table4[[#This Row],[BASIC]:[FOOD]])</f>
        <v>0</v>
      </c>
      <c r="I180" s="62"/>
      <c r="J180" s="62"/>
      <c r="K180" s="62"/>
      <c r="L180" s="62"/>
      <c r="M180" s="62"/>
      <c r="N180" s="62"/>
      <c r="O180" s="62">
        <f>SUM(Table4[[#This Row],[ESI BASIC]:[ESI FOOD]])</f>
        <v>0</v>
      </c>
      <c r="P180" s="160"/>
      <c r="Q180" s="160"/>
      <c r="R180" s="175"/>
      <c r="S180" s="167"/>
      <c r="T180" s="10">
        <f t="shared" si="15"/>
        <v>0</v>
      </c>
      <c r="U180" s="167"/>
      <c r="V180" s="10">
        <f t="shared" si="16"/>
        <v>0</v>
      </c>
      <c r="W180" s="10">
        <f t="shared" si="17"/>
        <v>0</v>
      </c>
      <c r="X180" s="170"/>
      <c r="Y180" s="177"/>
      <c r="Z180" s="168"/>
      <c r="AA180" s="177"/>
      <c r="AB180" s="168"/>
      <c r="AC180" s="177"/>
      <c r="AD180" s="168"/>
      <c r="AE180" s="177"/>
      <c r="AF180" s="168"/>
      <c r="AG180" s="177"/>
      <c r="AH180" s="168"/>
      <c r="AI180" s="177"/>
      <c r="AJ180" s="168"/>
      <c r="AK180" s="177"/>
      <c r="AL180" s="168"/>
      <c r="AM180" s="177"/>
      <c r="AN180" s="168"/>
      <c r="AO180" s="177"/>
      <c r="AP180" s="168"/>
      <c r="AQ180" s="177"/>
      <c r="AR180" s="168"/>
      <c r="AS180" s="177"/>
      <c r="AT180" s="168"/>
      <c r="AU180" s="177"/>
      <c r="AV180" s="168"/>
      <c r="AW180" s="177"/>
      <c r="AX180" s="168"/>
      <c r="AY180" s="177"/>
      <c r="AZ180" s="168"/>
      <c r="BA180" s="177"/>
      <c r="BB180" s="168"/>
      <c r="BC180" s="177"/>
      <c r="BD180" s="168"/>
      <c r="BE180" s="177"/>
      <c r="BF180" s="168"/>
      <c r="BG180" s="177"/>
      <c r="BH180" s="168"/>
      <c r="BI180" s="177"/>
      <c r="BJ180" s="168"/>
      <c r="BK180" s="177"/>
      <c r="BL180" s="168"/>
      <c r="BM180" s="177"/>
      <c r="BN180" s="168"/>
      <c r="BO180" s="177"/>
      <c r="BP180" s="168"/>
      <c r="BQ180" s="177"/>
      <c r="BR180" s="168"/>
      <c r="BS180" s="177"/>
      <c r="BT180" s="168"/>
      <c r="BU180" s="177"/>
      <c r="BV180" s="168"/>
      <c r="BW180" s="177"/>
      <c r="BX180" s="168"/>
      <c r="BY180" s="177"/>
      <c r="BZ180" s="168"/>
      <c r="CA180" s="177"/>
      <c r="CB180" s="168"/>
      <c r="CC180" s="177"/>
      <c r="CD180" s="168"/>
      <c r="CE180" s="177"/>
      <c r="CF180" s="168"/>
      <c r="CG180" s="187"/>
      <c r="CH180" s="183"/>
      <c r="CI180" s="185"/>
      <c r="CJ180" s="160"/>
      <c r="CK180" s="160"/>
      <c r="CL180" s="160"/>
      <c r="CM180" s="160"/>
      <c r="CN180" s="160"/>
      <c r="CO180" s="160"/>
      <c r="CP180" s="160"/>
      <c r="CQ180" s="160"/>
      <c r="CR180" s="160"/>
      <c r="CS180" s="179"/>
      <c r="CT180" s="160"/>
      <c r="CU180" s="160"/>
      <c r="CV180" s="160"/>
      <c r="CW180" s="160"/>
      <c r="CX180" s="160"/>
      <c r="CY180" s="160"/>
      <c r="CZ180" s="160"/>
      <c r="DA180" s="160"/>
      <c r="DB180" s="160"/>
      <c r="DC180" s="160"/>
      <c r="DD180" s="160"/>
      <c r="DE180" s="160"/>
      <c r="DF180" s="160"/>
      <c r="DG180" s="160"/>
      <c r="DH180" s="160"/>
      <c r="DI180" s="160"/>
      <c r="DJ180" s="160"/>
      <c r="DK180" s="160"/>
      <c r="DL180" s="160"/>
      <c r="DM180" s="160"/>
      <c r="DN180" s="160"/>
    </row>
    <row r="181" spans="1:118" hidden="1">
      <c r="A181" s="149"/>
      <c r="B181" s="150"/>
      <c r="C181" s="151"/>
      <c r="D181" s="152"/>
      <c r="E181" s="152"/>
      <c r="F181" s="152"/>
      <c r="G181" s="152"/>
      <c r="H181" s="62">
        <f>SUM(Table4[[#This Row],[BASIC]:[FOOD]])</f>
        <v>0</v>
      </c>
      <c r="I181" s="62"/>
      <c r="J181" s="62"/>
      <c r="K181" s="62"/>
      <c r="L181" s="62"/>
      <c r="M181" s="62"/>
      <c r="N181" s="62"/>
      <c r="O181" s="62">
        <f>SUM(Table4[[#This Row],[ESI BASIC]:[ESI FOOD]])</f>
        <v>0</v>
      </c>
      <c r="P181" s="160"/>
      <c r="Q181" s="160"/>
      <c r="R181" s="175"/>
      <c r="S181" s="167"/>
      <c r="T181" s="10">
        <f t="shared" si="15"/>
        <v>0</v>
      </c>
      <c r="U181" s="167"/>
      <c r="V181" s="10">
        <f t="shared" si="16"/>
        <v>0</v>
      </c>
      <c r="W181" s="10">
        <f t="shared" si="17"/>
        <v>0</v>
      </c>
      <c r="X181" s="170"/>
      <c r="Y181" s="177"/>
      <c r="Z181" s="168"/>
      <c r="AA181" s="177"/>
      <c r="AB181" s="168"/>
      <c r="AC181" s="177"/>
      <c r="AD181" s="168"/>
      <c r="AE181" s="177"/>
      <c r="AF181" s="168"/>
      <c r="AG181" s="177"/>
      <c r="AH181" s="168"/>
      <c r="AI181" s="177"/>
      <c r="AJ181" s="168"/>
      <c r="AK181" s="177"/>
      <c r="AL181" s="168"/>
      <c r="AM181" s="177"/>
      <c r="AN181" s="168"/>
      <c r="AO181" s="177"/>
      <c r="AP181" s="168"/>
      <c r="AQ181" s="177"/>
      <c r="AR181" s="168"/>
      <c r="AS181" s="177"/>
      <c r="AT181" s="168"/>
      <c r="AU181" s="177"/>
      <c r="AV181" s="168"/>
      <c r="AW181" s="177"/>
      <c r="AX181" s="168"/>
      <c r="AY181" s="177"/>
      <c r="AZ181" s="168"/>
      <c r="BA181" s="177"/>
      <c r="BB181" s="168"/>
      <c r="BC181" s="177"/>
      <c r="BD181" s="168"/>
      <c r="BE181" s="177"/>
      <c r="BF181" s="168"/>
      <c r="BG181" s="177"/>
      <c r="BH181" s="168"/>
      <c r="BI181" s="177"/>
      <c r="BJ181" s="168"/>
      <c r="BK181" s="177"/>
      <c r="BL181" s="168"/>
      <c r="BM181" s="177"/>
      <c r="BN181" s="168"/>
      <c r="BO181" s="177"/>
      <c r="BP181" s="168"/>
      <c r="BQ181" s="177"/>
      <c r="BR181" s="168"/>
      <c r="BS181" s="177"/>
      <c r="BT181" s="168"/>
      <c r="BU181" s="177"/>
      <c r="BV181" s="168"/>
      <c r="BW181" s="177"/>
      <c r="BX181" s="168"/>
      <c r="BY181" s="177"/>
      <c r="BZ181" s="168"/>
      <c r="CA181" s="177"/>
      <c r="CB181" s="168"/>
      <c r="CC181" s="177"/>
      <c r="CD181" s="168"/>
      <c r="CE181" s="177"/>
      <c r="CF181" s="168"/>
      <c r="CG181" s="187"/>
      <c r="CH181" s="183"/>
      <c r="CI181" s="185"/>
      <c r="CJ181" s="160"/>
      <c r="CK181" s="160"/>
      <c r="CL181" s="160"/>
      <c r="CM181" s="160"/>
      <c r="CN181" s="160"/>
      <c r="CO181" s="160"/>
      <c r="CP181" s="160"/>
      <c r="CQ181" s="160"/>
      <c r="CR181" s="160"/>
      <c r="CS181" s="179"/>
      <c r="CT181" s="160"/>
      <c r="CU181" s="160"/>
      <c r="CV181" s="160"/>
      <c r="CW181" s="160"/>
      <c r="CX181" s="160"/>
      <c r="CY181" s="160"/>
      <c r="CZ181" s="160"/>
      <c r="DA181" s="160"/>
      <c r="DB181" s="160"/>
      <c r="DC181" s="160"/>
      <c r="DD181" s="160"/>
      <c r="DE181" s="160"/>
      <c r="DF181" s="160"/>
      <c r="DG181" s="160"/>
      <c r="DH181" s="160"/>
      <c r="DI181" s="160"/>
      <c r="DJ181" s="160"/>
      <c r="DK181" s="160"/>
      <c r="DL181" s="160"/>
      <c r="DM181" s="160"/>
      <c r="DN181" s="160"/>
    </row>
    <row r="182" spans="1:118" hidden="1">
      <c r="A182" s="149"/>
      <c r="B182" s="150"/>
      <c r="C182" s="151"/>
      <c r="D182" s="152"/>
      <c r="E182" s="152"/>
      <c r="F182" s="152"/>
      <c r="G182" s="152"/>
      <c r="H182" s="62">
        <f>SUM(Table4[[#This Row],[BASIC]:[FOOD]])</f>
        <v>0</v>
      </c>
      <c r="I182" s="62"/>
      <c r="J182" s="62"/>
      <c r="K182" s="62"/>
      <c r="L182" s="62"/>
      <c r="M182" s="62"/>
      <c r="N182" s="62"/>
      <c r="O182" s="62">
        <f>SUM(Table4[[#This Row],[ESI BASIC]:[ESI FOOD]])</f>
        <v>0</v>
      </c>
      <c r="P182" s="160"/>
      <c r="Q182" s="160"/>
      <c r="R182" s="175"/>
      <c r="S182" s="167"/>
      <c r="T182" s="10">
        <f t="shared" si="15"/>
        <v>0</v>
      </c>
      <c r="U182" s="167"/>
      <c r="V182" s="10">
        <f t="shared" si="16"/>
        <v>0</v>
      </c>
      <c r="W182" s="10">
        <f t="shared" si="17"/>
        <v>0</v>
      </c>
      <c r="X182" s="170"/>
      <c r="Y182" s="177"/>
      <c r="Z182" s="168"/>
      <c r="AA182" s="177"/>
      <c r="AB182" s="168"/>
      <c r="AC182" s="177"/>
      <c r="AD182" s="168"/>
      <c r="AE182" s="177"/>
      <c r="AF182" s="168"/>
      <c r="AG182" s="177"/>
      <c r="AH182" s="168"/>
      <c r="AI182" s="177"/>
      <c r="AJ182" s="168"/>
      <c r="AK182" s="177"/>
      <c r="AL182" s="168"/>
      <c r="AM182" s="177"/>
      <c r="AN182" s="168"/>
      <c r="AO182" s="177"/>
      <c r="AP182" s="168"/>
      <c r="AQ182" s="177"/>
      <c r="AR182" s="168"/>
      <c r="AS182" s="177"/>
      <c r="AT182" s="168"/>
      <c r="AU182" s="177"/>
      <c r="AV182" s="168"/>
      <c r="AW182" s="177"/>
      <c r="AX182" s="168"/>
      <c r="AY182" s="177"/>
      <c r="AZ182" s="168"/>
      <c r="BA182" s="177"/>
      <c r="BB182" s="168"/>
      <c r="BC182" s="177"/>
      <c r="BD182" s="168"/>
      <c r="BE182" s="177"/>
      <c r="BF182" s="168"/>
      <c r="BG182" s="177"/>
      <c r="BH182" s="168"/>
      <c r="BI182" s="177"/>
      <c r="BJ182" s="168"/>
      <c r="BK182" s="177"/>
      <c r="BL182" s="168"/>
      <c r="BM182" s="177"/>
      <c r="BN182" s="168"/>
      <c r="BO182" s="177"/>
      <c r="BP182" s="168"/>
      <c r="BQ182" s="177"/>
      <c r="BR182" s="168"/>
      <c r="BS182" s="177"/>
      <c r="BT182" s="168"/>
      <c r="BU182" s="177"/>
      <c r="BV182" s="168"/>
      <c r="BW182" s="177"/>
      <c r="BX182" s="168"/>
      <c r="BY182" s="177"/>
      <c r="BZ182" s="168"/>
      <c r="CA182" s="177"/>
      <c r="CB182" s="168"/>
      <c r="CC182" s="177"/>
      <c r="CD182" s="168"/>
      <c r="CE182" s="177"/>
      <c r="CF182" s="168"/>
      <c r="CG182" s="187"/>
      <c r="CH182" s="183"/>
      <c r="CI182" s="185"/>
      <c r="CJ182" s="160"/>
      <c r="CK182" s="160"/>
      <c r="CL182" s="160"/>
      <c r="CM182" s="160"/>
      <c r="CN182" s="160"/>
      <c r="CO182" s="160"/>
      <c r="CP182" s="160"/>
      <c r="CQ182" s="160"/>
      <c r="CR182" s="160"/>
      <c r="CS182" s="179"/>
      <c r="CT182" s="160"/>
      <c r="CU182" s="160"/>
      <c r="CV182" s="160"/>
      <c r="CW182" s="160"/>
      <c r="CX182" s="160"/>
      <c r="CY182" s="160"/>
      <c r="CZ182" s="160"/>
      <c r="DA182" s="160"/>
      <c r="DB182" s="160"/>
      <c r="DC182" s="160"/>
      <c r="DD182" s="160"/>
      <c r="DE182" s="160"/>
      <c r="DF182" s="160"/>
      <c r="DG182" s="160"/>
      <c r="DH182" s="160"/>
      <c r="DI182" s="160"/>
      <c r="DJ182" s="160"/>
      <c r="DK182" s="160"/>
      <c r="DL182" s="160"/>
      <c r="DM182" s="160"/>
      <c r="DN182" s="160"/>
    </row>
    <row r="183" spans="1:118" hidden="1">
      <c r="A183" s="149"/>
      <c r="B183" s="150"/>
      <c r="C183" s="151"/>
      <c r="D183" s="152"/>
      <c r="E183" s="152"/>
      <c r="F183" s="152"/>
      <c r="G183" s="152"/>
      <c r="H183" s="62">
        <f>SUM(Table4[[#This Row],[BASIC]:[FOOD]])</f>
        <v>0</v>
      </c>
      <c r="I183" s="62"/>
      <c r="J183" s="62"/>
      <c r="K183" s="62"/>
      <c r="L183" s="62"/>
      <c r="M183" s="62"/>
      <c r="N183" s="62"/>
      <c r="O183" s="62">
        <f>SUM(Table4[[#This Row],[ESI BASIC]:[ESI FOOD]])</f>
        <v>0</v>
      </c>
      <c r="P183" s="160"/>
      <c r="Q183" s="160"/>
      <c r="R183" s="175"/>
      <c r="S183" s="167"/>
      <c r="T183" s="10">
        <f t="shared" si="15"/>
        <v>0</v>
      </c>
      <c r="U183" s="167"/>
      <c r="V183" s="10">
        <f t="shared" si="16"/>
        <v>0</v>
      </c>
      <c r="W183" s="10">
        <f t="shared" si="17"/>
        <v>0</v>
      </c>
      <c r="X183" s="170"/>
      <c r="Y183" s="177"/>
      <c r="Z183" s="168"/>
      <c r="AA183" s="177"/>
      <c r="AB183" s="168"/>
      <c r="AC183" s="177"/>
      <c r="AD183" s="168"/>
      <c r="AE183" s="177"/>
      <c r="AF183" s="168"/>
      <c r="AG183" s="177"/>
      <c r="AH183" s="168"/>
      <c r="AI183" s="177"/>
      <c r="AJ183" s="168"/>
      <c r="AK183" s="177"/>
      <c r="AL183" s="168"/>
      <c r="AM183" s="177"/>
      <c r="AN183" s="168"/>
      <c r="AO183" s="177"/>
      <c r="AP183" s="168"/>
      <c r="AQ183" s="177"/>
      <c r="AR183" s="168"/>
      <c r="AS183" s="177"/>
      <c r="AT183" s="168"/>
      <c r="AU183" s="177"/>
      <c r="AV183" s="168"/>
      <c r="AW183" s="177"/>
      <c r="AX183" s="168"/>
      <c r="AY183" s="177"/>
      <c r="AZ183" s="168"/>
      <c r="BA183" s="177"/>
      <c r="BB183" s="168"/>
      <c r="BC183" s="177"/>
      <c r="BD183" s="168"/>
      <c r="BE183" s="177"/>
      <c r="BF183" s="168"/>
      <c r="BG183" s="177"/>
      <c r="BH183" s="168"/>
      <c r="BI183" s="177"/>
      <c r="BJ183" s="168"/>
      <c r="BK183" s="177"/>
      <c r="BL183" s="168"/>
      <c r="BM183" s="177"/>
      <c r="BN183" s="168"/>
      <c r="BO183" s="177"/>
      <c r="BP183" s="168"/>
      <c r="BQ183" s="177"/>
      <c r="BR183" s="168"/>
      <c r="BS183" s="177"/>
      <c r="BT183" s="168"/>
      <c r="BU183" s="177"/>
      <c r="BV183" s="168"/>
      <c r="BW183" s="177"/>
      <c r="BX183" s="168"/>
      <c r="BY183" s="177"/>
      <c r="BZ183" s="168"/>
      <c r="CA183" s="177"/>
      <c r="CB183" s="168"/>
      <c r="CC183" s="177"/>
      <c r="CD183" s="168"/>
      <c r="CE183" s="177"/>
      <c r="CF183" s="168"/>
      <c r="CG183" s="187"/>
      <c r="CH183" s="183"/>
      <c r="CI183" s="185"/>
      <c r="CJ183" s="160"/>
      <c r="CK183" s="160"/>
      <c r="CL183" s="160"/>
      <c r="CM183" s="160"/>
      <c r="CN183" s="160"/>
      <c r="CO183" s="160"/>
      <c r="CP183" s="160"/>
      <c r="CQ183" s="160"/>
      <c r="CR183" s="160"/>
      <c r="CS183" s="179"/>
      <c r="CT183" s="160"/>
      <c r="CU183" s="160"/>
      <c r="CV183" s="160"/>
      <c r="CW183" s="160"/>
      <c r="CX183" s="160"/>
      <c r="CY183" s="160"/>
      <c r="CZ183" s="160"/>
      <c r="DA183" s="160"/>
      <c r="DB183" s="160"/>
      <c r="DC183" s="160"/>
      <c r="DD183" s="160"/>
      <c r="DE183" s="160"/>
      <c r="DF183" s="160"/>
      <c r="DG183" s="160"/>
      <c r="DH183" s="160"/>
      <c r="DI183" s="160"/>
      <c r="DJ183" s="160"/>
      <c r="DK183" s="160"/>
      <c r="DL183" s="160"/>
      <c r="DM183" s="160"/>
      <c r="DN183" s="160"/>
    </row>
    <row r="184" spans="1:118" hidden="1">
      <c r="A184" s="149"/>
      <c r="B184" s="150"/>
      <c r="C184" s="151"/>
      <c r="D184" s="152"/>
      <c r="E184" s="152"/>
      <c r="F184" s="152"/>
      <c r="G184" s="152"/>
      <c r="H184" s="62">
        <f>SUM(Table4[[#This Row],[BASIC]:[FOOD]])</f>
        <v>0</v>
      </c>
      <c r="I184" s="62"/>
      <c r="J184" s="62"/>
      <c r="K184" s="62"/>
      <c r="L184" s="62"/>
      <c r="M184" s="62"/>
      <c r="N184" s="62"/>
      <c r="O184" s="62">
        <f>SUM(Table4[[#This Row],[ESI BASIC]:[ESI FOOD]])</f>
        <v>0</v>
      </c>
      <c r="P184" s="160"/>
      <c r="Q184" s="160"/>
      <c r="R184" s="175"/>
      <c r="S184" s="167"/>
      <c r="T184" s="10">
        <f t="shared" si="15"/>
        <v>0</v>
      </c>
      <c r="U184" s="167"/>
      <c r="V184" s="10">
        <f t="shared" si="16"/>
        <v>0</v>
      </c>
      <c r="W184" s="10">
        <f t="shared" si="17"/>
        <v>0</v>
      </c>
      <c r="X184" s="170"/>
      <c r="Y184" s="177"/>
      <c r="Z184" s="168"/>
      <c r="AA184" s="177"/>
      <c r="AB184" s="168"/>
      <c r="AC184" s="177"/>
      <c r="AD184" s="168"/>
      <c r="AE184" s="177"/>
      <c r="AF184" s="168"/>
      <c r="AG184" s="177"/>
      <c r="AH184" s="168"/>
      <c r="AI184" s="177"/>
      <c r="AJ184" s="168"/>
      <c r="AK184" s="177"/>
      <c r="AL184" s="168"/>
      <c r="AM184" s="177"/>
      <c r="AN184" s="168"/>
      <c r="AO184" s="177"/>
      <c r="AP184" s="168"/>
      <c r="AQ184" s="177"/>
      <c r="AR184" s="168"/>
      <c r="AS184" s="177"/>
      <c r="AT184" s="168"/>
      <c r="AU184" s="177"/>
      <c r="AV184" s="168"/>
      <c r="AW184" s="177"/>
      <c r="AX184" s="168"/>
      <c r="AY184" s="177"/>
      <c r="AZ184" s="168"/>
      <c r="BA184" s="177"/>
      <c r="BB184" s="168"/>
      <c r="BC184" s="177"/>
      <c r="BD184" s="168"/>
      <c r="BE184" s="177"/>
      <c r="BF184" s="168"/>
      <c r="BG184" s="177"/>
      <c r="BH184" s="168"/>
      <c r="BI184" s="177"/>
      <c r="BJ184" s="168"/>
      <c r="BK184" s="177"/>
      <c r="BL184" s="168"/>
      <c r="BM184" s="177"/>
      <c r="BN184" s="168"/>
      <c r="BO184" s="177"/>
      <c r="BP184" s="168"/>
      <c r="BQ184" s="177"/>
      <c r="BR184" s="168"/>
      <c r="BS184" s="177"/>
      <c r="BT184" s="168"/>
      <c r="BU184" s="177"/>
      <c r="BV184" s="168"/>
      <c r="BW184" s="177"/>
      <c r="BX184" s="168"/>
      <c r="BY184" s="177"/>
      <c r="BZ184" s="168"/>
      <c r="CA184" s="177"/>
      <c r="CB184" s="168"/>
      <c r="CC184" s="177"/>
      <c r="CD184" s="168"/>
      <c r="CE184" s="177"/>
      <c r="CF184" s="168"/>
      <c r="CG184" s="187"/>
      <c r="CH184" s="183"/>
      <c r="CI184" s="185"/>
      <c r="CJ184" s="160"/>
      <c r="CK184" s="160"/>
      <c r="CL184" s="160"/>
      <c r="CM184" s="160"/>
      <c r="CN184" s="160"/>
      <c r="CO184" s="160"/>
      <c r="CP184" s="160"/>
      <c r="CQ184" s="160"/>
      <c r="CR184" s="160"/>
      <c r="CS184" s="179"/>
      <c r="CT184" s="160"/>
      <c r="CU184" s="160"/>
      <c r="CV184" s="160"/>
      <c r="CW184" s="160"/>
      <c r="CX184" s="160"/>
      <c r="CY184" s="160"/>
      <c r="CZ184" s="160"/>
      <c r="DA184" s="160"/>
      <c r="DB184" s="160"/>
      <c r="DC184" s="160"/>
      <c r="DD184" s="160"/>
      <c r="DE184" s="160"/>
      <c r="DF184" s="160"/>
      <c r="DG184" s="160"/>
      <c r="DH184" s="160"/>
      <c r="DI184" s="160"/>
      <c r="DJ184" s="160"/>
      <c r="DK184" s="160"/>
      <c r="DL184" s="160"/>
      <c r="DM184" s="160"/>
      <c r="DN184" s="160"/>
    </row>
    <row r="185" spans="1:118" hidden="1">
      <c r="A185" s="149"/>
      <c r="B185" s="150"/>
      <c r="C185" s="151"/>
      <c r="D185" s="152"/>
      <c r="E185" s="152"/>
      <c r="F185" s="152"/>
      <c r="G185" s="152"/>
      <c r="H185" s="62">
        <f>SUM(Table4[[#This Row],[BASIC]:[FOOD]])</f>
        <v>0</v>
      </c>
      <c r="I185" s="62"/>
      <c r="J185" s="62"/>
      <c r="K185" s="62"/>
      <c r="L185" s="62"/>
      <c r="M185" s="62"/>
      <c r="N185" s="62"/>
      <c r="O185" s="62">
        <f>SUM(Table4[[#This Row],[ESI BASIC]:[ESI FOOD]])</f>
        <v>0</v>
      </c>
      <c r="P185" s="160"/>
      <c r="Q185" s="160"/>
      <c r="R185" s="175"/>
      <c r="S185" s="167"/>
      <c r="T185" s="10">
        <f t="shared" si="15"/>
        <v>0</v>
      </c>
      <c r="U185" s="167"/>
      <c r="V185" s="10">
        <f t="shared" si="16"/>
        <v>0</v>
      </c>
      <c r="W185" s="10">
        <f t="shared" si="17"/>
        <v>0</v>
      </c>
      <c r="X185" s="170"/>
      <c r="Y185" s="177"/>
      <c r="Z185" s="168"/>
      <c r="AA185" s="177"/>
      <c r="AB185" s="168"/>
      <c r="AC185" s="177"/>
      <c r="AD185" s="168"/>
      <c r="AE185" s="177"/>
      <c r="AF185" s="168"/>
      <c r="AG185" s="177"/>
      <c r="AH185" s="168"/>
      <c r="AI185" s="177"/>
      <c r="AJ185" s="168"/>
      <c r="AK185" s="177"/>
      <c r="AL185" s="168"/>
      <c r="AM185" s="177"/>
      <c r="AN185" s="168"/>
      <c r="AO185" s="177"/>
      <c r="AP185" s="168"/>
      <c r="AQ185" s="177"/>
      <c r="AR185" s="168"/>
      <c r="AS185" s="177"/>
      <c r="AT185" s="168"/>
      <c r="AU185" s="177"/>
      <c r="AV185" s="168"/>
      <c r="AW185" s="177"/>
      <c r="AX185" s="168"/>
      <c r="AY185" s="177"/>
      <c r="AZ185" s="168"/>
      <c r="BA185" s="177"/>
      <c r="BB185" s="168"/>
      <c r="BC185" s="177"/>
      <c r="BD185" s="168"/>
      <c r="BE185" s="177"/>
      <c r="BF185" s="168"/>
      <c r="BG185" s="177"/>
      <c r="BH185" s="168"/>
      <c r="BI185" s="177"/>
      <c r="BJ185" s="168"/>
      <c r="BK185" s="177"/>
      <c r="BL185" s="168"/>
      <c r="BM185" s="177"/>
      <c r="BN185" s="168"/>
      <c r="BO185" s="177"/>
      <c r="BP185" s="168"/>
      <c r="BQ185" s="177"/>
      <c r="BR185" s="168"/>
      <c r="BS185" s="177"/>
      <c r="BT185" s="168"/>
      <c r="BU185" s="177"/>
      <c r="BV185" s="168"/>
      <c r="BW185" s="177"/>
      <c r="BX185" s="168"/>
      <c r="BY185" s="177"/>
      <c r="BZ185" s="168"/>
      <c r="CA185" s="177"/>
      <c r="CB185" s="168"/>
      <c r="CC185" s="177"/>
      <c r="CD185" s="168"/>
      <c r="CE185" s="177"/>
      <c r="CF185" s="168"/>
      <c r="CG185" s="187"/>
      <c r="CH185" s="183"/>
      <c r="CI185" s="185"/>
      <c r="CJ185" s="160"/>
      <c r="CK185" s="160"/>
      <c r="CL185" s="160"/>
      <c r="CM185" s="160"/>
      <c r="CN185" s="160"/>
      <c r="CO185" s="160"/>
      <c r="CP185" s="160"/>
      <c r="CQ185" s="160"/>
      <c r="CR185" s="160"/>
      <c r="CS185" s="179"/>
      <c r="CT185" s="160"/>
      <c r="CU185" s="160"/>
      <c r="CV185" s="160"/>
      <c r="CW185" s="160"/>
      <c r="CX185" s="160"/>
      <c r="CY185" s="160"/>
      <c r="CZ185" s="160"/>
      <c r="DA185" s="160"/>
      <c r="DB185" s="160"/>
      <c r="DC185" s="160"/>
      <c r="DD185" s="160"/>
      <c r="DE185" s="160"/>
      <c r="DF185" s="160"/>
      <c r="DG185" s="160"/>
      <c r="DH185" s="160"/>
      <c r="DI185" s="160"/>
      <c r="DJ185" s="160"/>
      <c r="DK185" s="160"/>
      <c r="DL185" s="160"/>
      <c r="DM185" s="160"/>
      <c r="DN185" s="160"/>
    </row>
    <row r="186" spans="1:118" hidden="1">
      <c r="A186" s="149"/>
      <c r="B186" s="150"/>
      <c r="C186" s="151"/>
      <c r="D186" s="152"/>
      <c r="E186" s="152"/>
      <c r="F186" s="152"/>
      <c r="G186" s="152"/>
      <c r="H186" s="62">
        <f>SUM(Table4[[#This Row],[BASIC]:[FOOD]])</f>
        <v>0</v>
      </c>
      <c r="I186" s="62"/>
      <c r="J186" s="62"/>
      <c r="K186" s="62"/>
      <c r="L186" s="62"/>
      <c r="M186" s="62"/>
      <c r="N186" s="62"/>
      <c r="O186" s="62">
        <f>SUM(Table4[[#This Row],[ESI BASIC]:[ESI FOOD]])</f>
        <v>0</v>
      </c>
      <c r="P186" s="160"/>
      <c r="Q186" s="160"/>
      <c r="R186" s="175"/>
      <c r="S186" s="167"/>
      <c r="T186" s="10">
        <f t="shared" si="15"/>
        <v>0</v>
      </c>
      <c r="U186" s="167"/>
      <c r="V186" s="10">
        <f t="shared" si="16"/>
        <v>0</v>
      </c>
      <c r="W186" s="10">
        <f t="shared" si="17"/>
        <v>0</v>
      </c>
      <c r="X186" s="170"/>
      <c r="Y186" s="177"/>
      <c r="Z186" s="168"/>
      <c r="AA186" s="177"/>
      <c r="AB186" s="168"/>
      <c r="AC186" s="177"/>
      <c r="AD186" s="168"/>
      <c r="AE186" s="177"/>
      <c r="AF186" s="168"/>
      <c r="AG186" s="177"/>
      <c r="AH186" s="168"/>
      <c r="AI186" s="177"/>
      <c r="AJ186" s="168"/>
      <c r="AK186" s="177"/>
      <c r="AL186" s="168"/>
      <c r="AM186" s="177"/>
      <c r="AN186" s="168"/>
      <c r="AO186" s="177"/>
      <c r="AP186" s="168"/>
      <c r="AQ186" s="177"/>
      <c r="AR186" s="168"/>
      <c r="AS186" s="177"/>
      <c r="AT186" s="168"/>
      <c r="AU186" s="177"/>
      <c r="AV186" s="168"/>
      <c r="AW186" s="177"/>
      <c r="AX186" s="168"/>
      <c r="AY186" s="177"/>
      <c r="AZ186" s="168"/>
      <c r="BA186" s="177"/>
      <c r="BB186" s="168"/>
      <c r="BC186" s="177"/>
      <c r="BD186" s="168"/>
      <c r="BE186" s="177"/>
      <c r="BF186" s="168"/>
      <c r="BG186" s="177"/>
      <c r="BH186" s="168"/>
      <c r="BI186" s="177"/>
      <c r="BJ186" s="168"/>
      <c r="BK186" s="177"/>
      <c r="BL186" s="168"/>
      <c r="BM186" s="177"/>
      <c r="BN186" s="168"/>
      <c r="BO186" s="177"/>
      <c r="BP186" s="168"/>
      <c r="BQ186" s="177"/>
      <c r="BR186" s="168"/>
      <c r="BS186" s="177"/>
      <c r="BT186" s="168"/>
      <c r="BU186" s="177"/>
      <c r="BV186" s="168"/>
      <c r="BW186" s="177"/>
      <c r="BX186" s="168"/>
      <c r="BY186" s="177"/>
      <c r="BZ186" s="168"/>
      <c r="CA186" s="177"/>
      <c r="CB186" s="168"/>
      <c r="CC186" s="177"/>
      <c r="CD186" s="168"/>
      <c r="CE186" s="177"/>
      <c r="CF186" s="168"/>
      <c r="CG186" s="187"/>
      <c r="CH186" s="183"/>
      <c r="CI186" s="185"/>
      <c r="CJ186" s="160"/>
      <c r="CK186" s="160"/>
      <c r="CL186" s="160"/>
      <c r="CM186" s="160"/>
      <c r="CN186" s="160"/>
      <c r="CO186" s="160"/>
      <c r="CP186" s="160"/>
      <c r="CQ186" s="160"/>
      <c r="CR186" s="160"/>
      <c r="CS186" s="179"/>
      <c r="CT186" s="160"/>
      <c r="CU186" s="160"/>
      <c r="CV186" s="160"/>
      <c r="CW186" s="160"/>
      <c r="CX186" s="160"/>
      <c r="CY186" s="160"/>
      <c r="CZ186" s="160"/>
      <c r="DA186" s="160"/>
      <c r="DB186" s="160"/>
      <c r="DC186" s="160"/>
      <c r="DD186" s="160"/>
      <c r="DE186" s="160"/>
      <c r="DF186" s="160"/>
      <c r="DG186" s="160"/>
      <c r="DH186" s="160"/>
      <c r="DI186" s="160"/>
      <c r="DJ186" s="160"/>
      <c r="DK186" s="160"/>
      <c r="DL186" s="160"/>
      <c r="DM186" s="160"/>
      <c r="DN186" s="160"/>
    </row>
    <row r="187" spans="1:118" hidden="1">
      <c r="A187" s="149"/>
      <c r="B187" s="150"/>
      <c r="C187" s="151"/>
      <c r="D187" s="152"/>
      <c r="E187" s="152"/>
      <c r="F187" s="152"/>
      <c r="G187" s="152"/>
      <c r="H187" s="62">
        <f>SUM(Table4[[#This Row],[BASIC]:[FOOD]])</f>
        <v>0</v>
      </c>
      <c r="I187" s="62"/>
      <c r="J187" s="62"/>
      <c r="K187" s="62"/>
      <c r="L187" s="62"/>
      <c r="M187" s="62"/>
      <c r="N187" s="62"/>
      <c r="O187" s="62">
        <f>SUM(Table4[[#This Row],[ESI BASIC]:[ESI FOOD]])</f>
        <v>0</v>
      </c>
      <c r="P187" s="160"/>
      <c r="Q187" s="160"/>
      <c r="R187" s="175"/>
      <c r="S187" s="167"/>
      <c r="T187" s="10">
        <f t="shared" si="15"/>
        <v>0</v>
      </c>
      <c r="U187" s="167"/>
      <c r="V187" s="10">
        <f t="shared" si="16"/>
        <v>0</v>
      </c>
      <c r="W187" s="10">
        <f t="shared" si="17"/>
        <v>0</v>
      </c>
      <c r="X187" s="170"/>
      <c r="Y187" s="177"/>
      <c r="Z187" s="168"/>
      <c r="AA187" s="177"/>
      <c r="AB187" s="168"/>
      <c r="AC187" s="177"/>
      <c r="AD187" s="168"/>
      <c r="AE187" s="177"/>
      <c r="AF187" s="168"/>
      <c r="AG187" s="177"/>
      <c r="AH187" s="168"/>
      <c r="AI187" s="177"/>
      <c r="AJ187" s="168"/>
      <c r="AK187" s="177"/>
      <c r="AL187" s="168"/>
      <c r="AM187" s="177"/>
      <c r="AN187" s="168"/>
      <c r="AO187" s="177"/>
      <c r="AP187" s="168"/>
      <c r="AQ187" s="177"/>
      <c r="AR187" s="168"/>
      <c r="AS187" s="177"/>
      <c r="AT187" s="168"/>
      <c r="AU187" s="177"/>
      <c r="AV187" s="168"/>
      <c r="AW187" s="177"/>
      <c r="AX187" s="168"/>
      <c r="AY187" s="177"/>
      <c r="AZ187" s="168"/>
      <c r="BA187" s="177"/>
      <c r="BB187" s="168"/>
      <c r="BC187" s="177"/>
      <c r="BD187" s="168"/>
      <c r="BE187" s="177"/>
      <c r="BF187" s="168"/>
      <c r="BG187" s="177"/>
      <c r="BH187" s="168"/>
      <c r="BI187" s="177"/>
      <c r="BJ187" s="168"/>
      <c r="BK187" s="177"/>
      <c r="BL187" s="168"/>
      <c r="BM187" s="177"/>
      <c r="BN187" s="168"/>
      <c r="BO187" s="177"/>
      <c r="BP187" s="168"/>
      <c r="BQ187" s="177"/>
      <c r="BR187" s="168"/>
      <c r="BS187" s="177"/>
      <c r="BT187" s="168"/>
      <c r="BU187" s="177"/>
      <c r="BV187" s="168"/>
      <c r="BW187" s="177"/>
      <c r="BX187" s="168"/>
      <c r="BY187" s="177"/>
      <c r="BZ187" s="168"/>
      <c r="CA187" s="177"/>
      <c r="CB187" s="168"/>
      <c r="CC187" s="177"/>
      <c r="CD187" s="168"/>
      <c r="CE187" s="177"/>
      <c r="CF187" s="168"/>
      <c r="CG187" s="187"/>
      <c r="CH187" s="183"/>
      <c r="CI187" s="185"/>
      <c r="CJ187" s="160"/>
      <c r="CK187" s="160"/>
      <c r="CL187" s="160"/>
      <c r="CM187" s="160"/>
      <c r="CN187" s="160"/>
      <c r="CO187" s="160"/>
      <c r="CP187" s="160"/>
      <c r="CQ187" s="160"/>
      <c r="CR187" s="160"/>
      <c r="CS187" s="179"/>
      <c r="CT187" s="160"/>
      <c r="CU187" s="160"/>
      <c r="CV187" s="160"/>
      <c r="CW187" s="160"/>
      <c r="CX187" s="160"/>
      <c r="CY187" s="160"/>
      <c r="CZ187" s="160"/>
      <c r="DA187" s="160"/>
      <c r="DB187" s="160"/>
      <c r="DC187" s="160"/>
      <c r="DD187" s="160"/>
      <c r="DE187" s="160"/>
      <c r="DF187" s="160"/>
      <c r="DG187" s="160"/>
      <c r="DH187" s="160"/>
      <c r="DI187" s="160"/>
      <c r="DJ187" s="160"/>
      <c r="DK187" s="160"/>
      <c r="DL187" s="160"/>
      <c r="DM187" s="160"/>
      <c r="DN187" s="160"/>
    </row>
    <row r="188" spans="1:118" hidden="1">
      <c r="A188" s="149"/>
      <c r="B188" s="150"/>
      <c r="C188" s="151"/>
      <c r="D188" s="152"/>
      <c r="E188" s="152"/>
      <c r="F188" s="152"/>
      <c r="G188" s="152"/>
      <c r="H188" s="62">
        <f>SUM(Table4[[#This Row],[BASIC]:[FOOD]])</f>
        <v>0</v>
      </c>
      <c r="I188" s="62"/>
      <c r="J188" s="62"/>
      <c r="K188" s="62"/>
      <c r="L188" s="62"/>
      <c r="M188" s="62"/>
      <c r="N188" s="62"/>
      <c r="O188" s="62">
        <f>SUM(Table4[[#This Row],[ESI BASIC]:[ESI FOOD]])</f>
        <v>0</v>
      </c>
      <c r="P188" s="160"/>
      <c r="Q188" s="160"/>
      <c r="R188" s="175"/>
      <c r="S188" s="167"/>
      <c r="T188" s="10">
        <f t="shared" si="15"/>
        <v>0</v>
      </c>
      <c r="U188" s="167"/>
      <c r="V188" s="10">
        <f t="shared" si="16"/>
        <v>0</v>
      </c>
      <c r="W188" s="10">
        <f t="shared" si="17"/>
        <v>0</v>
      </c>
      <c r="X188" s="170"/>
      <c r="Y188" s="177"/>
      <c r="Z188" s="168"/>
      <c r="AA188" s="177"/>
      <c r="AB188" s="168"/>
      <c r="AC188" s="177"/>
      <c r="AD188" s="168"/>
      <c r="AE188" s="177"/>
      <c r="AF188" s="168"/>
      <c r="AG188" s="177"/>
      <c r="AH188" s="168"/>
      <c r="AI188" s="177"/>
      <c r="AJ188" s="168"/>
      <c r="AK188" s="177"/>
      <c r="AL188" s="168"/>
      <c r="AM188" s="177"/>
      <c r="AN188" s="168"/>
      <c r="AO188" s="177"/>
      <c r="AP188" s="168"/>
      <c r="AQ188" s="177"/>
      <c r="AR188" s="168"/>
      <c r="AS188" s="177"/>
      <c r="AT188" s="168"/>
      <c r="AU188" s="177"/>
      <c r="AV188" s="168"/>
      <c r="AW188" s="177"/>
      <c r="AX188" s="168"/>
      <c r="AY188" s="177"/>
      <c r="AZ188" s="168"/>
      <c r="BA188" s="177"/>
      <c r="BB188" s="168"/>
      <c r="BC188" s="177"/>
      <c r="BD188" s="168"/>
      <c r="BE188" s="177"/>
      <c r="BF188" s="168"/>
      <c r="BG188" s="177"/>
      <c r="BH188" s="168"/>
      <c r="BI188" s="177"/>
      <c r="BJ188" s="168"/>
      <c r="BK188" s="177"/>
      <c r="BL188" s="168"/>
      <c r="BM188" s="177"/>
      <c r="BN188" s="168"/>
      <c r="BO188" s="177"/>
      <c r="BP188" s="168"/>
      <c r="BQ188" s="177"/>
      <c r="BR188" s="168"/>
      <c r="BS188" s="177"/>
      <c r="BT188" s="168"/>
      <c r="BU188" s="177"/>
      <c r="BV188" s="168"/>
      <c r="BW188" s="177"/>
      <c r="BX188" s="168"/>
      <c r="BY188" s="177"/>
      <c r="BZ188" s="168"/>
      <c r="CA188" s="177"/>
      <c r="CB188" s="168"/>
      <c r="CC188" s="177"/>
      <c r="CD188" s="168"/>
      <c r="CE188" s="177"/>
      <c r="CF188" s="168"/>
      <c r="CG188" s="187"/>
      <c r="CH188" s="183"/>
      <c r="CI188" s="185"/>
      <c r="CJ188" s="160"/>
      <c r="CK188" s="160"/>
      <c r="CL188" s="160"/>
      <c r="CM188" s="160"/>
      <c r="CN188" s="160"/>
      <c r="CO188" s="160"/>
      <c r="CP188" s="160"/>
      <c r="CQ188" s="160"/>
      <c r="CR188" s="160"/>
      <c r="CS188" s="179"/>
      <c r="CT188" s="160"/>
      <c r="CU188" s="160"/>
      <c r="CV188" s="160"/>
      <c r="CW188" s="160"/>
      <c r="CX188" s="160"/>
      <c r="CY188" s="160"/>
      <c r="CZ188" s="160"/>
      <c r="DA188" s="160"/>
      <c r="DB188" s="160"/>
      <c r="DC188" s="160"/>
      <c r="DD188" s="160"/>
      <c r="DE188" s="160"/>
      <c r="DF188" s="160"/>
      <c r="DG188" s="160"/>
      <c r="DH188" s="160"/>
      <c r="DI188" s="160"/>
      <c r="DJ188" s="160"/>
      <c r="DK188" s="160"/>
      <c r="DL188" s="160"/>
      <c r="DM188" s="160"/>
      <c r="DN188" s="160"/>
    </row>
    <row r="189" spans="1:118" hidden="1">
      <c r="A189" s="149"/>
      <c r="B189" s="150"/>
      <c r="C189" s="151"/>
      <c r="D189" s="152"/>
      <c r="E189" s="152"/>
      <c r="F189" s="152"/>
      <c r="G189" s="152"/>
      <c r="H189" s="62">
        <f>SUM(Table4[[#This Row],[BASIC]:[FOOD]])</f>
        <v>0</v>
      </c>
      <c r="I189" s="62"/>
      <c r="J189" s="62"/>
      <c r="K189" s="62"/>
      <c r="L189" s="62"/>
      <c r="M189" s="62"/>
      <c r="N189" s="62"/>
      <c r="O189" s="62">
        <f>SUM(Table4[[#This Row],[ESI BASIC]:[ESI FOOD]])</f>
        <v>0</v>
      </c>
      <c r="P189" s="160"/>
      <c r="Q189" s="160"/>
      <c r="R189" s="175"/>
      <c r="S189" s="167"/>
      <c r="T189" s="10">
        <f t="shared" si="15"/>
        <v>0</v>
      </c>
      <c r="U189" s="167"/>
      <c r="V189" s="10">
        <f t="shared" si="16"/>
        <v>0</v>
      </c>
      <c r="W189" s="10">
        <f t="shared" si="17"/>
        <v>0</v>
      </c>
      <c r="X189" s="170"/>
      <c r="Y189" s="177"/>
      <c r="Z189" s="168"/>
      <c r="AA189" s="177"/>
      <c r="AB189" s="168"/>
      <c r="AC189" s="177"/>
      <c r="AD189" s="168"/>
      <c r="AE189" s="177"/>
      <c r="AF189" s="168"/>
      <c r="AG189" s="177"/>
      <c r="AH189" s="168"/>
      <c r="AI189" s="177"/>
      <c r="AJ189" s="168"/>
      <c r="AK189" s="177"/>
      <c r="AL189" s="168"/>
      <c r="AM189" s="177"/>
      <c r="AN189" s="168"/>
      <c r="AO189" s="177"/>
      <c r="AP189" s="168"/>
      <c r="AQ189" s="177"/>
      <c r="AR189" s="168"/>
      <c r="AS189" s="177"/>
      <c r="AT189" s="168"/>
      <c r="AU189" s="177"/>
      <c r="AV189" s="168"/>
      <c r="AW189" s="177"/>
      <c r="AX189" s="168"/>
      <c r="AY189" s="177"/>
      <c r="AZ189" s="168"/>
      <c r="BA189" s="177"/>
      <c r="BB189" s="168"/>
      <c r="BC189" s="177"/>
      <c r="BD189" s="168"/>
      <c r="BE189" s="177"/>
      <c r="BF189" s="168"/>
      <c r="BG189" s="177"/>
      <c r="BH189" s="168"/>
      <c r="BI189" s="177"/>
      <c r="BJ189" s="168"/>
      <c r="BK189" s="177"/>
      <c r="BL189" s="168"/>
      <c r="BM189" s="177"/>
      <c r="BN189" s="168"/>
      <c r="BO189" s="177"/>
      <c r="BP189" s="168"/>
      <c r="BQ189" s="177"/>
      <c r="BR189" s="168"/>
      <c r="BS189" s="177"/>
      <c r="BT189" s="168"/>
      <c r="BU189" s="177"/>
      <c r="BV189" s="168"/>
      <c r="BW189" s="177"/>
      <c r="BX189" s="168"/>
      <c r="BY189" s="177"/>
      <c r="BZ189" s="168"/>
      <c r="CA189" s="177"/>
      <c r="CB189" s="168"/>
      <c r="CC189" s="177"/>
      <c r="CD189" s="168"/>
      <c r="CE189" s="177"/>
      <c r="CF189" s="168"/>
      <c r="CG189" s="187"/>
      <c r="CH189" s="183"/>
      <c r="CI189" s="185"/>
      <c r="CJ189" s="160"/>
      <c r="CK189" s="160"/>
      <c r="CL189" s="160"/>
      <c r="CM189" s="160"/>
      <c r="CN189" s="160"/>
      <c r="CO189" s="160"/>
      <c r="CP189" s="160"/>
      <c r="CQ189" s="160"/>
      <c r="CR189" s="160"/>
      <c r="CS189" s="179"/>
      <c r="CT189" s="160"/>
      <c r="CU189" s="160"/>
      <c r="CV189" s="160"/>
      <c r="CW189" s="160"/>
      <c r="CX189" s="160"/>
      <c r="CY189" s="160"/>
      <c r="CZ189" s="160"/>
      <c r="DA189" s="160"/>
      <c r="DB189" s="160"/>
      <c r="DC189" s="160"/>
      <c r="DD189" s="160"/>
      <c r="DE189" s="160"/>
      <c r="DF189" s="160"/>
      <c r="DG189" s="160"/>
      <c r="DH189" s="160"/>
      <c r="DI189" s="160"/>
      <c r="DJ189" s="160"/>
      <c r="DK189" s="160"/>
      <c r="DL189" s="160"/>
      <c r="DM189" s="160"/>
      <c r="DN189" s="160"/>
    </row>
    <row r="190" spans="1:118" hidden="1">
      <c r="A190" s="149"/>
      <c r="B190" s="150"/>
      <c r="C190" s="151"/>
      <c r="D190" s="152"/>
      <c r="E190" s="152"/>
      <c r="F190" s="152"/>
      <c r="G190" s="152"/>
      <c r="H190" s="62">
        <f>SUM(Table4[[#This Row],[BASIC]:[FOOD]])</f>
        <v>0</v>
      </c>
      <c r="I190" s="62"/>
      <c r="J190" s="62"/>
      <c r="K190" s="62"/>
      <c r="L190" s="62"/>
      <c r="M190" s="62"/>
      <c r="N190" s="62"/>
      <c r="O190" s="62">
        <f>SUM(Table4[[#This Row],[ESI BASIC]:[ESI FOOD]])</f>
        <v>0</v>
      </c>
      <c r="P190" s="160"/>
      <c r="Q190" s="160"/>
      <c r="R190" s="175"/>
      <c r="S190" s="167"/>
      <c r="T190" s="10">
        <f t="shared" si="15"/>
        <v>0</v>
      </c>
      <c r="U190" s="167"/>
      <c r="V190" s="10">
        <f t="shared" si="16"/>
        <v>0</v>
      </c>
      <c r="W190" s="10">
        <f t="shared" si="17"/>
        <v>0</v>
      </c>
      <c r="X190" s="170"/>
      <c r="Y190" s="177"/>
      <c r="Z190" s="168"/>
      <c r="AA190" s="177"/>
      <c r="AB190" s="168"/>
      <c r="AC190" s="177"/>
      <c r="AD190" s="168"/>
      <c r="AE190" s="177"/>
      <c r="AF190" s="168"/>
      <c r="AG190" s="177"/>
      <c r="AH190" s="168"/>
      <c r="AI190" s="177"/>
      <c r="AJ190" s="168"/>
      <c r="AK190" s="177"/>
      <c r="AL190" s="168"/>
      <c r="AM190" s="177"/>
      <c r="AN190" s="168"/>
      <c r="AO190" s="177"/>
      <c r="AP190" s="168"/>
      <c r="AQ190" s="177"/>
      <c r="AR190" s="168"/>
      <c r="AS190" s="177"/>
      <c r="AT190" s="168"/>
      <c r="AU190" s="177"/>
      <c r="AV190" s="168"/>
      <c r="AW190" s="177"/>
      <c r="AX190" s="168"/>
      <c r="AY190" s="177"/>
      <c r="AZ190" s="168"/>
      <c r="BA190" s="177"/>
      <c r="BB190" s="168"/>
      <c r="BC190" s="177"/>
      <c r="BD190" s="168"/>
      <c r="BE190" s="177"/>
      <c r="BF190" s="168"/>
      <c r="BG190" s="177"/>
      <c r="BH190" s="168"/>
      <c r="BI190" s="177"/>
      <c r="BJ190" s="168"/>
      <c r="BK190" s="177"/>
      <c r="BL190" s="168"/>
      <c r="BM190" s="177"/>
      <c r="BN190" s="168"/>
      <c r="BO190" s="177"/>
      <c r="BP190" s="168"/>
      <c r="BQ190" s="177"/>
      <c r="BR190" s="168"/>
      <c r="BS190" s="177"/>
      <c r="BT190" s="168"/>
      <c r="BU190" s="177"/>
      <c r="BV190" s="168"/>
      <c r="BW190" s="177"/>
      <c r="BX190" s="168"/>
      <c r="BY190" s="177"/>
      <c r="BZ190" s="168"/>
      <c r="CA190" s="177"/>
      <c r="CB190" s="168"/>
      <c r="CC190" s="177"/>
      <c r="CD190" s="168"/>
      <c r="CE190" s="177"/>
      <c r="CF190" s="168"/>
      <c r="CG190" s="187"/>
      <c r="CH190" s="183"/>
      <c r="CI190" s="185"/>
      <c r="CJ190" s="160"/>
      <c r="CK190" s="160"/>
      <c r="CL190" s="160"/>
      <c r="CM190" s="160"/>
      <c r="CN190" s="160"/>
      <c r="CO190" s="160"/>
      <c r="CP190" s="160"/>
      <c r="CQ190" s="160"/>
      <c r="CR190" s="160"/>
      <c r="CS190" s="179"/>
      <c r="CT190" s="160"/>
      <c r="CU190" s="160"/>
      <c r="CV190" s="160"/>
      <c r="CW190" s="160"/>
      <c r="CX190" s="160"/>
      <c r="CY190" s="160"/>
      <c r="CZ190" s="160"/>
      <c r="DA190" s="160"/>
      <c r="DB190" s="160"/>
      <c r="DC190" s="160"/>
      <c r="DD190" s="160"/>
      <c r="DE190" s="160"/>
      <c r="DF190" s="160"/>
      <c r="DG190" s="160"/>
      <c r="DH190" s="160"/>
      <c r="DI190" s="160"/>
      <c r="DJ190" s="160"/>
      <c r="DK190" s="160"/>
      <c r="DL190" s="160"/>
      <c r="DM190" s="160"/>
      <c r="DN190" s="160"/>
    </row>
    <row r="191" spans="1:118" hidden="1">
      <c r="A191" s="149"/>
      <c r="B191" s="150"/>
      <c r="C191" s="151"/>
      <c r="D191" s="152"/>
      <c r="E191" s="152"/>
      <c r="F191" s="152"/>
      <c r="G191" s="152"/>
      <c r="H191" s="62">
        <f>SUM(Table4[[#This Row],[BASIC]:[FOOD]])</f>
        <v>0</v>
      </c>
      <c r="I191" s="62"/>
      <c r="J191" s="62"/>
      <c r="K191" s="62"/>
      <c r="L191" s="62"/>
      <c r="M191" s="62"/>
      <c r="N191" s="62"/>
      <c r="O191" s="62">
        <f>SUM(Table4[[#This Row],[ESI BASIC]:[ESI FOOD]])</f>
        <v>0</v>
      </c>
      <c r="P191" s="160"/>
      <c r="Q191" s="160"/>
      <c r="R191" s="175"/>
      <c r="S191" s="167"/>
      <c r="T191" s="10">
        <f t="shared" si="15"/>
        <v>0</v>
      </c>
      <c r="U191" s="167"/>
      <c r="V191" s="10">
        <f t="shared" si="16"/>
        <v>0</v>
      </c>
      <c r="W191" s="10">
        <f t="shared" si="17"/>
        <v>0</v>
      </c>
      <c r="X191" s="170"/>
      <c r="Y191" s="177"/>
      <c r="Z191" s="168"/>
      <c r="AA191" s="177"/>
      <c r="AB191" s="168"/>
      <c r="AC191" s="177"/>
      <c r="AD191" s="168"/>
      <c r="AE191" s="177"/>
      <c r="AF191" s="168"/>
      <c r="AG191" s="177"/>
      <c r="AH191" s="168"/>
      <c r="AI191" s="177"/>
      <c r="AJ191" s="168"/>
      <c r="AK191" s="177"/>
      <c r="AL191" s="168"/>
      <c r="AM191" s="177"/>
      <c r="AN191" s="168"/>
      <c r="AO191" s="177"/>
      <c r="AP191" s="168"/>
      <c r="AQ191" s="177"/>
      <c r="AR191" s="168"/>
      <c r="AS191" s="177"/>
      <c r="AT191" s="168"/>
      <c r="AU191" s="177"/>
      <c r="AV191" s="168"/>
      <c r="AW191" s="177"/>
      <c r="AX191" s="168"/>
      <c r="AY191" s="177"/>
      <c r="AZ191" s="168"/>
      <c r="BA191" s="177"/>
      <c r="BB191" s="168"/>
      <c r="BC191" s="177"/>
      <c r="BD191" s="168"/>
      <c r="BE191" s="177"/>
      <c r="BF191" s="168"/>
      <c r="BG191" s="177"/>
      <c r="BH191" s="168"/>
      <c r="BI191" s="177"/>
      <c r="BJ191" s="168"/>
      <c r="BK191" s="177"/>
      <c r="BL191" s="168"/>
      <c r="BM191" s="177"/>
      <c r="BN191" s="168"/>
      <c r="BO191" s="177"/>
      <c r="BP191" s="168"/>
      <c r="BQ191" s="177"/>
      <c r="BR191" s="168"/>
      <c r="BS191" s="177"/>
      <c r="BT191" s="168"/>
      <c r="BU191" s="177"/>
      <c r="BV191" s="168"/>
      <c r="BW191" s="177"/>
      <c r="BX191" s="168"/>
      <c r="BY191" s="177"/>
      <c r="BZ191" s="168"/>
      <c r="CA191" s="177"/>
      <c r="CB191" s="168"/>
      <c r="CC191" s="177"/>
      <c r="CD191" s="168"/>
      <c r="CE191" s="177"/>
      <c r="CF191" s="168"/>
      <c r="CG191" s="187"/>
      <c r="CH191" s="183"/>
      <c r="CI191" s="185"/>
      <c r="CJ191" s="160"/>
      <c r="CK191" s="160"/>
      <c r="CL191" s="160"/>
      <c r="CM191" s="160"/>
      <c r="CN191" s="160"/>
      <c r="CO191" s="160"/>
      <c r="CP191" s="160"/>
      <c r="CQ191" s="160"/>
      <c r="CR191" s="160"/>
      <c r="CS191" s="179"/>
      <c r="CT191" s="160"/>
      <c r="CU191" s="160"/>
      <c r="CV191" s="160"/>
      <c r="CW191" s="160"/>
      <c r="CX191" s="160"/>
      <c r="CY191" s="160"/>
      <c r="CZ191" s="160"/>
      <c r="DA191" s="160"/>
      <c r="DB191" s="160"/>
      <c r="DC191" s="160"/>
      <c r="DD191" s="160"/>
      <c r="DE191" s="160"/>
      <c r="DF191" s="160"/>
      <c r="DG191" s="160"/>
      <c r="DH191" s="160"/>
      <c r="DI191" s="160"/>
      <c r="DJ191" s="160"/>
      <c r="DK191" s="160"/>
      <c r="DL191" s="160"/>
      <c r="DM191" s="160"/>
      <c r="DN191" s="160"/>
    </row>
    <row r="192" spans="1:118" hidden="1">
      <c r="A192" s="149"/>
      <c r="B192" s="150"/>
      <c r="C192" s="151"/>
      <c r="D192" s="152"/>
      <c r="E192" s="152"/>
      <c r="F192" s="152"/>
      <c r="G192" s="152"/>
      <c r="H192" s="62">
        <f>SUM(Table4[[#This Row],[BASIC]:[FOOD]])</f>
        <v>0</v>
      </c>
      <c r="I192" s="62"/>
      <c r="J192" s="62"/>
      <c r="K192" s="62"/>
      <c r="L192" s="62"/>
      <c r="M192" s="62"/>
      <c r="N192" s="62"/>
      <c r="O192" s="62">
        <f>SUM(Table4[[#This Row],[ESI BASIC]:[ESI FOOD]])</f>
        <v>0</v>
      </c>
      <c r="P192" s="160"/>
      <c r="Q192" s="160"/>
      <c r="R192" s="175"/>
      <c r="S192" s="167"/>
      <c r="T192" s="10">
        <f t="shared" si="15"/>
        <v>0</v>
      </c>
      <c r="U192" s="167"/>
      <c r="V192" s="10">
        <f t="shared" si="16"/>
        <v>0</v>
      </c>
      <c r="W192" s="10">
        <f t="shared" si="17"/>
        <v>0</v>
      </c>
      <c r="X192" s="170"/>
      <c r="Y192" s="177"/>
      <c r="Z192" s="168"/>
      <c r="AA192" s="177"/>
      <c r="AB192" s="168"/>
      <c r="AC192" s="177"/>
      <c r="AD192" s="168"/>
      <c r="AE192" s="177"/>
      <c r="AF192" s="168"/>
      <c r="AG192" s="177"/>
      <c r="AH192" s="168"/>
      <c r="AI192" s="177"/>
      <c r="AJ192" s="168"/>
      <c r="AK192" s="177"/>
      <c r="AL192" s="168"/>
      <c r="AM192" s="177"/>
      <c r="AN192" s="168"/>
      <c r="AO192" s="177"/>
      <c r="AP192" s="168"/>
      <c r="AQ192" s="177"/>
      <c r="AR192" s="168"/>
      <c r="AS192" s="177"/>
      <c r="AT192" s="168"/>
      <c r="AU192" s="177"/>
      <c r="AV192" s="168"/>
      <c r="AW192" s="177"/>
      <c r="AX192" s="168"/>
      <c r="AY192" s="177"/>
      <c r="AZ192" s="168"/>
      <c r="BA192" s="177"/>
      <c r="BB192" s="168"/>
      <c r="BC192" s="177"/>
      <c r="BD192" s="168"/>
      <c r="BE192" s="177"/>
      <c r="BF192" s="168"/>
      <c r="BG192" s="177"/>
      <c r="BH192" s="168"/>
      <c r="BI192" s="177"/>
      <c r="BJ192" s="168"/>
      <c r="BK192" s="177"/>
      <c r="BL192" s="168"/>
      <c r="BM192" s="177"/>
      <c r="BN192" s="168"/>
      <c r="BO192" s="177"/>
      <c r="BP192" s="168"/>
      <c r="BQ192" s="177"/>
      <c r="BR192" s="168"/>
      <c r="BS192" s="177"/>
      <c r="BT192" s="168"/>
      <c r="BU192" s="177"/>
      <c r="BV192" s="168"/>
      <c r="BW192" s="177"/>
      <c r="BX192" s="168"/>
      <c r="BY192" s="177"/>
      <c r="BZ192" s="168"/>
      <c r="CA192" s="177"/>
      <c r="CB192" s="168"/>
      <c r="CC192" s="177"/>
      <c r="CD192" s="168"/>
      <c r="CE192" s="177"/>
      <c r="CF192" s="168"/>
      <c r="CG192" s="187"/>
      <c r="CH192" s="183"/>
      <c r="CI192" s="185"/>
      <c r="CJ192" s="160"/>
      <c r="CK192" s="160"/>
      <c r="CL192" s="160"/>
      <c r="CM192" s="160"/>
      <c r="CN192" s="160"/>
      <c r="CO192" s="160"/>
      <c r="CP192" s="160"/>
      <c r="CQ192" s="160"/>
      <c r="CR192" s="160"/>
      <c r="CS192" s="179"/>
      <c r="CT192" s="160"/>
      <c r="CU192" s="160"/>
      <c r="CV192" s="160"/>
      <c r="CW192" s="160"/>
      <c r="CX192" s="160"/>
      <c r="CY192" s="160"/>
      <c r="CZ192" s="160"/>
      <c r="DA192" s="160"/>
      <c r="DB192" s="160"/>
      <c r="DC192" s="160"/>
      <c r="DD192" s="160"/>
      <c r="DE192" s="160"/>
      <c r="DF192" s="160"/>
      <c r="DG192" s="160"/>
      <c r="DH192" s="160"/>
      <c r="DI192" s="160"/>
      <c r="DJ192" s="160"/>
      <c r="DK192" s="160"/>
      <c r="DL192" s="160"/>
      <c r="DM192" s="160"/>
      <c r="DN192" s="160"/>
    </row>
    <row r="193" spans="1:118" hidden="1">
      <c r="A193" s="149"/>
      <c r="B193" s="150"/>
      <c r="C193" s="151"/>
      <c r="D193" s="152"/>
      <c r="E193" s="152"/>
      <c r="F193" s="152"/>
      <c r="G193" s="152"/>
      <c r="H193" s="62">
        <f>SUM(Table4[[#This Row],[BASIC]:[FOOD]])</f>
        <v>0</v>
      </c>
      <c r="I193" s="62"/>
      <c r="J193" s="62"/>
      <c r="K193" s="62"/>
      <c r="L193" s="62"/>
      <c r="M193" s="62"/>
      <c r="N193" s="62"/>
      <c r="O193" s="62">
        <f>SUM(Table4[[#This Row],[ESI BASIC]:[ESI FOOD]])</f>
        <v>0</v>
      </c>
      <c r="P193" s="160"/>
      <c r="Q193" s="160"/>
      <c r="R193" s="175"/>
      <c r="S193" s="167"/>
      <c r="T193" s="10">
        <f t="shared" si="15"/>
        <v>0</v>
      </c>
      <c r="U193" s="167"/>
      <c r="V193" s="10">
        <f t="shared" si="16"/>
        <v>0</v>
      </c>
      <c r="W193" s="10">
        <f t="shared" si="17"/>
        <v>0</v>
      </c>
      <c r="X193" s="170"/>
      <c r="Y193" s="177"/>
      <c r="Z193" s="168"/>
      <c r="AA193" s="177"/>
      <c r="AB193" s="168"/>
      <c r="AC193" s="177"/>
      <c r="AD193" s="168"/>
      <c r="AE193" s="177"/>
      <c r="AF193" s="168"/>
      <c r="AG193" s="177"/>
      <c r="AH193" s="168"/>
      <c r="AI193" s="177"/>
      <c r="AJ193" s="168"/>
      <c r="AK193" s="177"/>
      <c r="AL193" s="168"/>
      <c r="AM193" s="177"/>
      <c r="AN193" s="168"/>
      <c r="AO193" s="177"/>
      <c r="AP193" s="168"/>
      <c r="AQ193" s="177"/>
      <c r="AR193" s="168"/>
      <c r="AS193" s="177"/>
      <c r="AT193" s="168"/>
      <c r="AU193" s="177"/>
      <c r="AV193" s="168"/>
      <c r="AW193" s="177"/>
      <c r="AX193" s="168"/>
      <c r="AY193" s="177"/>
      <c r="AZ193" s="168"/>
      <c r="BA193" s="177"/>
      <c r="BB193" s="168"/>
      <c r="BC193" s="177"/>
      <c r="BD193" s="168"/>
      <c r="BE193" s="177"/>
      <c r="BF193" s="168"/>
      <c r="BG193" s="177"/>
      <c r="BH193" s="168"/>
      <c r="BI193" s="177"/>
      <c r="BJ193" s="168"/>
      <c r="BK193" s="177"/>
      <c r="BL193" s="168"/>
      <c r="BM193" s="177"/>
      <c r="BN193" s="168"/>
      <c r="BO193" s="177"/>
      <c r="BP193" s="168"/>
      <c r="BQ193" s="177"/>
      <c r="BR193" s="168"/>
      <c r="BS193" s="177"/>
      <c r="BT193" s="168"/>
      <c r="BU193" s="177"/>
      <c r="BV193" s="168"/>
      <c r="BW193" s="177"/>
      <c r="BX193" s="168"/>
      <c r="BY193" s="177"/>
      <c r="BZ193" s="168"/>
      <c r="CA193" s="177"/>
      <c r="CB193" s="168"/>
      <c r="CC193" s="177"/>
      <c r="CD193" s="168"/>
      <c r="CE193" s="177"/>
      <c r="CF193" s="168"/>
      <c r="CG193" s="187"/>
      <c r="CH193" s="183"/>
      <c r="CI193" s="185"/>
      <c r="CJ193" s="160"/>
      <c r="CK193" s="160"/>
      <c r="CL193" s="160"/>
      <c r="CM193" s="160"/>
      <c r="CN193" s="160"/>
      <c r="CO193" s="160"/>
      <c r="CP193" s="160"/>
      <c r="CQ193" s="160"/>
      <c r="CR193" s="160"/>
      <c r="CS193" s="179"/>
      <c r="CT193" s="160"/>
      <c r="CU193" s="160"/>
      <c r="CV193" s="160"/>
      <c r="CW193" s="160"/>
      <c r="CX193" s="160"/>
      <c r="CY193" s="160"/>
      <c r="CZ193" s="160"/>
      <c r="DA193" s="160"/>
      <c r="DB193" s="160"/>
      <c r="DC193" s="160"/>
      <c r="DD193" s="160"/>
      <c r="DE193" s="160"/>
      <c r="DF193" s="160"/>
      <c r="DG193" s="160"/>
      <c r="DH193" s="160"/>
      <c r="DI193" s="160"/>
      <c r="DJ193" s="160"/>
      <c r="DK193" s="160"/>
      <c r="DL193" s="160"/>
      <c r="DM193" s="160"/>
      <c r="DN193" s="160"/>
    </row>
    <row r="194" spans="1:118" hidden="1">
      <c r="A194" s="149"/>
      <c r="B194" s="150"/>
      <c r="C194" s="151"/>
      <c r="D194" s="152"/>
      <c r="E194" s="152"/>
      <c r="F194" s="152"/>
      <c r="G194" s="152"/>
      <c r="H194" s="62">
        <f>SUM(Table4[[#This Row],[BASIC]:[FOOD]])</f>
        <v>0</v>
      </c>
      <c r="I194" s="62"/>
      <c r="J194" s="62"/>
      <c r="K194" s="62"/>
      <c r="L194" s="62"/>
      <c r="M194" s="62"/>
      <c r="N194" s="62"/>
      <c r="O194" s="62">
        <f>SUM(Table4[[#This Row],[ESI BASIC]:[ESI FOOD]])</f>
        <v>0</v>
      </c>
      <c r="P194" s="160"/>
      <c r="Q194" s="160"/>
      <c r="R194" s="175"/>
      <c r="S194" s="167"/>
      <c r="T194" s="10">
        <f t="shared" si="15"/>
        <v>0</v>
      </c>
      <c r="U194" s="167"/>
      <c r="V194" s="10">
        <f t="shared" si="16"/>
        <v>0</v>
      </c>
      <c r="W194" s="10">
        <f t="shared" si="17"/>
        <v>0</v>
      </c>
      <c r="X194" s="170"/>
      <c r="Y194" s="177"/>
      <c r="Z194" s="168"/>
      <c r="AA194" s="177"/>
      <c r="AB194" s="168"/>
      <c r="AC194" s="177"/>
      <c r="AD194" s="168"/>
      <c r="AE194" s="177"/>
      <c r="AF194" s="168"/>
      <c r="AG194" s="177"/>
      <c r="AH194" s="168"/>
      <c r="AI194" s="177"/>
      <c r="AJ194" s="168"/>
      <c r="AK194" s="177"/>
      <c r="AL194" s="168"/>
      <c r="AM194" s="177"/>
      <c r="AN194" s="168"/>
      <c r="AO194" s="177"/>
      <c r="AP194" s="168"/>
      <c r="AQ194" s="177"/>
      <c r="AR194" s="168"/>
      <c r="AS194" s="177"/>
      <c r="AT194" s="168"/>
      <c r="AU194" s="177"/>
      <c r="AV194" s="168"/>
      <c r="AW194" s="177"/>
      <c r="AX194" s="168"/>
      <c r="AY194" s="177"/>
      <c r="AZ194" s="168"/>
      <c r="BA194" s="177"/>
      <c r="BB194" s="168"/>
      <c r="BC194" s="177"/>
      <c r="BD194" s="168"/>
      <c r="BE194" s="177"/>
      <c r="BF194" s="168"/>
      <c r="BG194" s="177"/>
      <c r="BH194" s="168"/>
      <c r="BI194" s="177"/>
      <c r="BJ194" s="168"/>
      <c r="BK194" s="177"/>
      <c r="BL194" s="168"/>
      <c r="BM194" s="177"/>
      <c r="BN194" s="168"/>
      <c r="BO194" s="177"/>
      <c r="BP194" s="168"/>
      <c r="BQ194" s="177"/>
      <c r="BR194" s="168"/>
      <c r="BS194" s="177"/>
      <c r="BT194" s="168"/>
      <c r="BU194" s="177"/>
      <c r="BV194" s="168"/>
      <c r="BW194" s="177"/>
      <c r="BX194" s="168"/>
      <c r="BY194" s="177"/>
      <c r="BZ194" s="168"/>
      <c r="CA194" s="177"/>
      <c r="CB194" s="168"/>
      <c r="CC194" s="177"/>
      <c r="CD194" s="168"/>
      <c r="CE194" s="177"/>
      <c r="CF194" s="168"/>
      <c r="CG194" s="187"/>
      <c r="CH194" s="183"/>
      <c r="CI194" s="185"/>
      <c r="CJ194" s="160"/>
      <c r="CK194" s="160"/>
      <c r="CL194" s="160"/>
      <c r="CM194" s="160"/>
      <c r="CN194" s="160"/>
      <c r="CO194" s="160"/>
      <c r="CP194" s="160"/>
      <c r="CQ194" s="160"/>
      <c r="CR194" s="160"/>
      <c r="CS194" s="179"/>
      <c r="CT194" s="160"/>
      <c r="CU194" s="160"/>
      <c r="CV194" s="160"/>
      <c r="CW194" s="160"/>
      <c r="CX194" s="160"/>
      <c r="CY194" s="160"/>
      <c r="CZ194" s="160"/>
      <c r="DA194" s="160"/>
      <c r="DB194" s="160"/>
      <c r="DC194" s="160"/>
      <c r="DD194" s="160"/>
      <c r="DE194" s="160"/>
      <c r="DF194" s="160"/>
      <c r="DG194" s="160"/>
      <c r="DH194" s="160"/>
      <c r="DI194" s="160"/>
      <c r="DJ194" s="160"/>
      <c r="DK194" s="160"/>
      <c r="DL194" s="160"/>
      <c r="DM194" s="160"/>
      <c r="DN194" s="160"/>
    </row>
    <row r="195" spans="1:118" hidden="1">
      <c r="A195" s="149"/>
      <c r="B195" s="150"/>
      <c r="C195" s="151"/>
      <c r="D195" s="152"/>
      <c r="E195" s="152"/>
      <c r="F195" s="152"/>
      <c r="G195" s="152"/>
      <c r="H195" s="62">
        <f>SUM(Table4[[#This Row],[BASIC]:[FOOD]])</f>
        <v>0</v>
      </c>
      <c r="I195" s="62"/>
      <c r="J195" s="62"/>
      <c r="K195" s="62"/>
      <c r="L195" s="62"/>
      <c r="M195" s="62"/>
      <c r="N195" s="62"/>
      <c r="O195" s="62">
        <f>SUM(Table4[[#This Row],[ESI BASIC]:[ESI FOOD]])</f>
        <v>0</v>
      </c>
      <c r="P195" s="160"/>
      <c r="Q195" s="160"/>
      <c r="R195" s="175"/>
      <c r="S195" s="167"/>
      <c r="T195" s="10">
        <f t="shared" si="15"/>
        <v>0</v>
      </c>
      <c r="U195" s="167"/>
      <c r="V195" s="10">
        <f t="shared" si="16"/>
        <v>0</v>
      </c>
      <c r="W195" s="10">
        <f t="shared" si="17"/>
        <v>0</v>
      </c>
      <c r="X195" s="170"/>
      <c r="Y195" s="177"/>
      <c r="Z195" s="168"/>
      <c r="AA195" s="177"/>
      <c r="AB195" s="168"/>
      <c r="AC195" s="177"/>
      <c r="AD195" s="168"/>
      <c r="AE195" s="177"/>
      <c r="AF195" s="168"/>
      <c r="AG195" s="177"/>
      <c r="AH195" s="168"/>
      <c r="AI195" s="177"/>
      <c r="AJ195" s="168"/>
      <c r="AK195" s="177"/>
      <c r="AL195" s="168"/>
      <c r="AM195" s="177"/>
      <c r="AN195" s="168"/>
      <c r="AO195" s="177"/>
      <c r="AP195" s="168"/>
      <c r="AQ195" s="177"/>
      <c r="AR195" s="168"/>
      <c r="AS195" s="177"/>
      <c r="AT195" s="168"/>
      <c r="AU195" s="177"/>
      <c r="AV195" s="168"/>
      <c r="AW195" s="177"/>
      <c r="AX195" s="168"/>
      <c r="AY195" s="177"/>
      <c r="AZ195" s="168"/>
      <c r="BA195" s="177"/>
      <c r="BB195" s="168"/>
      <c r="BC195" s="177"/>
      <c r="BD195" s="168"/>
      <c r="BE195" s="177"/>
      <c r="BF195" s="168"/>
      <c r="BG195" s="177"/>
      <c r="BH195" s="168"/>
      <c r="BI195" s="177"/>
      <c r="BJ195" s="168"/>
      <c r="BK195" s="177"/>
      <c r="BL195" s="168"/>
      <c r="BM195" s="177"/>
      <c r="BN195" s="168"/>
      <c r="BO195" s="177"/>
      <c r="BP195" s="168"/>
      <c r="BQ195" s="177"/>
      <c r="BR195" s="168"/>
      <c r="BS195" s="177"/>
      <c r="BT195" s="168"/>
      <c r="BU195" s="177"/>
      <c r="BV195" s="168"/>
      <c r="BW195" s="177"/>
      <c r="BX195" s="168"/>
      <c r="BY195" s="177"/>
      <c r="BZ195" s="168"/>
      <c r="CA195" s="177"/>
      <c r="CB195" s="168"/>
      <c r="CC195" s="177"/>
      <c r="CD195" s="168"/>
      <c r="CE195" s="177"/>
      <c r="CF195" s="168"/>
      <c r="CG195" s="187"/>
      <c r="CH195" s="183"/>
      <c r="CI195" s="185"/>
      <c r="CJ195" s="160"/>
      <c r="CK195" s="160"/>
      <c r="CL195" s="160"/>
      <c r="CM195" s="160"/>
      <c r="CN195" s="160"/>
      <c r="CO195" s="160"/>
      <c r="CP195" s="160"/>
      <c r="CQ195" s="160"/>
      <c r="CR195" s="160"/>
      <c r="CS195" s="179"/>
      <c r="CT195" s="160"/>
      <c r="CU195" s="160"/>
      <c r="CV195" s="160"/>
      <c r="CW195" s="160"/>
      <c r="CX195" s="160"/>
      <c r="CY195" s="160"/>
      <c r="CZ195" s="160"/>
      <c r="DA195" s="160"/>
      <c r="DB195" s="160"/>
      <c r="DC195" s="160"/>
      <c r="DD195" s="160"/>
      <c r="DE195" s="160"/>
      <c r="DF195" s="160"/>
      <c r="DG195" s="160"/>
      <c r="DH195" s="160"/>
      <c r="DI195" s="160"/>
      <c r="DJ195" s="160"/>
      <c r="DK195" s="160"/>
      <c r="DL195" s="160"/>
      <c r="DM195" s="160"/>
      <c r="DN195" s="160"/>
    </row>
    <row r="196" spans="1:118" hidden="1">
      <c r="A196" s="149"/>
      <c r="B196" s="150"/>
      <c r="C196" s="151"/>
      <c r="D196" s="152"/>
      <c r="E196" s="152"/>
      <c r="F196" s="152"/>
      <c r="G196" s="152"/>
      <c r="H196" s="62">
        <f>SUM(Table4[[#This Row],[BASIC]:[FOOD]])</f>
        <v>0</v>
      </c>
      <c r="I196" s="62"/>
      <c r="J196" s="62"/>
      <c r="K196" s="62"/>
      <c r="L196" s="62"/>
      <c r="M196" s="62"/>
      <c r="N196" s="62"/>
      <c r="O196" s="62">
        <f>SUM(Table4[[#This Row],[ESI BASIC]:[ESI FOOD]])</f>
        <v>0</v>
      </c>
      <c r="P196" s="160"/>
      <c r="Q196" s="160"/>
      <c r="R196" s="175"/>
      <c r="S196" s="167"/>
      <c r="T196" s="10">
        <f t="shared" si="15"/>
        <v>0</v>
      </c>
      <c r="U196" s="167"/>
      <c r="V196" s="10">
        <f t="shared" si="16"/>
        <v>0</v>
      </c>
      <c r="W196" s="10">
        <f t="shared" si="17"/>
        <v>0</v>
      </c>
      <c r="X196" s="170"/>
      <c r="Y196" s="177"/>
      <c r="Z196" s="168"/>
      <c r="AA196" s="177"/>
      <c r="AB196" s="168"/>
      <c r="AC196" s="177"/>
      <c r="AD196" s="168"/>
      <c r="AE196" s="177"/>
      <c r="AF196" s="168"/>
      <c r="AG196" s="177"/>
      <c r="AH196" s="168"/>
      <c r="AI196" s="177"/>
      <c r="AJ196" s="168"/>
      <c r="AK196" s="177"/>
      <c r="AL196" s="168"/>
      <c r="AM196" s="177"/>
      <c r="AN196" s="168"/>
      <c r="AO196" s="177"/>
      <c r="AP196" s="168"/>
      <c r="AQ196" s="177"/>
      <c r="AR196" s="168"/>
      <c r="AS196" s="177"/>
      <c r="AT196" s="168"/>
      <c r="AU196" s="177"/>
      <c r="AV196" s="168"/>
      <c r="AW196" s="177"/>
      <c r="AX196" s="168"/>
      <c r="AY196" s="177"/>
      <c r="AZ196" s="168"/>
      <c r="BA196" s="177"/>
      <c r="BB196" s="168"/>
      <c r="BC196" s="177"/>
      <c r="BD196" s="168"/>
      <c r="BE196" s="177"/>
      <c r="BF196" s="168"/>
      <c r="BG196" s="177"/>
      <c r="BH196" s="168"/>
      <c r="BI196" s="177"/>
      <c r="BJ196" s="168"/>
      <c r="BK196" s="177"/>
      <c r="BL196" s="168"/>
      <c r="BM196" s="177"/>
      <c r="BN196" s="168"/>
      <c r="BO196" s="177"/>
      <c r="BP196" s="168"/>
      <c r="BQ196" s="177"/>
      <c r="BR196" s="168"/>
      <c r="BS196" s="177"/>
      <c r="BT196" s="168"/>
      <c r="BU196" s="177"/>
      <c r="BV196" s="168"/>
      <c r="BW196" s="177"/>
      <c r="BX196" s="168"/>
      <c r="BY196" s="177"/>
      <c r="BZ196" s="168"/>
      <c r="CA196" s="177"/>
      <c r="CB196" s="168"/>
      <c r="CC196" s="177"/>
      <c r="CD196" s="168"/>
      <c r="CE196" s="177"/>
      <c r="CF196" s="168"/>
      <c r="CG196" s="187"/>
      <c r="CH196" s="183"/>
      <c r="CI196" s="185"/>
      <c r="CJ196" s="160"/>
      <c r="CK196" s="160"/>
      <c r="CL196" s="160"/>
      <c r="CM196" s="160"/>
      <c r="CN196" s="160"/>
      <c r="CO196" s="160"/>
      <c r="CP196" s="160"/>
      <c r="CQ196" s="160"/>
      <c r="CR196" s="160"/>
      <c r="CS196" s="179"/>
      <c r="CT196" s="160"/>
      <c r="CU196" s="160"/>
      <c r="CV196" s="160"/>
      <c r="CW196" s="160"/>
      <c r="CX196" s="160"/>
      <c r="CY196" s="160"/>
      <c r="CZ196" s="160"/>
      <c r="DA196" s="160"/>
      <c r="DB196" s="160"/>
      <c r="DC196" s="160"/>
      <c r="DD196" s="160"/>
      <c r="DE196" s="160"/>
      <c r="DF196" s="160"/>
      <c r="DG196" s="160"/>
      <c r="DH196" s="160"/>
      <c r="DI196" s="160"/>
      <c r="DJ196" s="160"/>
      <c r="DK196" s="160"/>
      <c r="DL196" s="160"/>
      <c r="DM196" s="160"/>
      <c r="DN196" s="160"/>
    </row>
    <row r="197" spans="1:118" hidden="1">
      <c r="A197" s="149"/>
      <c r="B197" s="150"/>
      <c r="C197" s="151"/>
      <c r="D197" s="152"/>
      <c r="E197" s="152"/>
      <c r="F197" s="152"/>
      <c r="G197" s="152"/>
      <c r="H197" s="62">
        <f>SUM(Table4[[#This Row],[BASIC]:[FOOD]])</f>
        <v>0</v>
      </c>
      <c r="I197" s="62"/>
      <c r="J197" s="62"/>
      <c r="K197" s="62"/>
      <c r="L197" s="62"/>
      <c r="M197" s="62"/>
      <c r="N197" s="62"/>
      <c r="O197" s="62">
        <f>SUM(Table4[[#This Row],[ESI BASIC]:[ESI FOOD]])</f>
        <v>0</v>
      </c>
      <c r="P197" s="160"/>
      <c r="Q197" s="160"/>
      <c r="R197" s="175"/>
      <c r="S197" s="167"/>
      <c r="T197" s="10">
        <f t="shared" si="15"/>
        <v>0</v>
      </c>
      <c r="U197" s="167"/>
      <c r="V197" s="10">
        <f t="shared" si="16"/>
        <v>0</v>
      </c>
      <c r="W197" s="10">
        <f t="shared" si="17"/>
        <v>0</v>
      </c>
      <c r="X197" s="170"/>
      <c r="Y197" s="177"/>
      <c r="Z197" s="168"/>
      <c r="AA197" s="177"/>
      <c r="AB197" s="168"/>
      <c r="AC197" s="177"/>
      <c r="AD197" s="168"/>
      <c r="AE197" s="177"/>
      <c r="AF197" s="168"/>
      <c r="AG197" s="177"/>
      <c r="AH197" s="168"/>
      <c r="AI197" s="177"/>
      <c r="AJ197" s="168"/>
      <c r="AK197" s="177"/>
      <c r="AL197" s="168"/>
      <c r="AM197" s="177"/>
      <c r="AN197" s="168"/>
      <c r="AO197" s="177"/>
      <c r="AP197" s="168"/>
      <c r="AQ197" s="177"/>
      <c r="AR197" s="168"/>
      <c r="AS197" s="177"/>
      <c r="AT197" s="168"/>
      <c r="AU197" s="177"/>
      <c r="AV197" s="168"/>
      <c r="AW197" s="177"/>
      <c r="AX197" s="168"/>
      <c r="AY197" s="177"/>
      <c r="AZ197" s="168"/>
      <c r="BA197" s="177"/>
      <c r="BB197" s="168"/>
      <c r="BC197" s="177"/>
      <c r="BD197" s="168"/>
      <c r="BE197" s="177"/>
      <c r="BF197" s="168"/>
      <c r="BG197" s="177"/>
      <c r="BH197" s="168"/>
      <c r="BI197" s="177"/>
      <c r="BJ197" s="168"/>
      <c r="BK197" s="177"/>
      <c r="BL197" s="168"/>
      <c r="BM197" s="177"/>
      <c r="BN197" s="168"/>
      <c r="BO197" s="177"/>
      <c r="BP197" s="168"/>
      <c r="BQ197" s="177"/>
      <c r="BR197" s="168"/>
      <c r="BS197" s="177"/>
      <c r="BT197" s="168"/>
      <c r="BU197" s="177"/>
      <c r="BV197" s="168"/>
      <c r="BW197" s="177"/>
      <c r="BX197" s="168"/>
      <c r="BY197" s="177"/>
      <c r="BZ197" s="168"/>
      <c r="CA197" s="177"/>
      <c r="CB197" s="168"/>
      <c r="CC197" s="177"/>
      <c r="CD197" s="168"/>
      <c r="CE197" s="177"/>
      <c r="CF197" s="168"/>
      <c r="CG197" s="187"/>
      <c r="CH197" s="183"/>
      <c r="CI197" s="185"/>
      <c r="CJ197" s="160"/>
      <c r="CK197" s="160"/>
      <c r="CL197" s="160"/>
      <c r="CM197" s="160"/>
      <c r="CN197" s="160"/>
      <c r="CO197" s="160"/>
      <c r="CP197" s="160"/>
      <c r="CQ197" s="160"/>
      <c r="CR197" s="160"/>
      <c r="CS197" s="179"/>
      <c r="CT197" s="160"/>
      <c r="CU197" s="160"/>
      <c r="CV197" s="160"/>
      <c r="CW197" s="160"/>
      <c r="CX197" s="160"/>
      <c r="CY197" s="160"/>
      <c r="CZ197" s="160"/>
      <c r="DA197" s="160"/>
      <c r="DB197" s="160"/>
      <c r="DC197" s="160"/>
      <c r="DD197" s="160"/>
      <c r="DE197" s="160"/>
      <c r="DF197" s="160"/>
      <c r="DG197" s="160"/>
      <c r="DH197" s="160"/>
      <c r="DI197" s="160"/>
      <c r="DJ197" s="160"/>
      <c r="DK197" s="160"/>
      <c r="DL197" s="160"/>
      <c r="DM197" s="160"/>
      <c r="DN197" s="160"/>
    </row>
    <row r="198" spans="1:118" hidden="1">
      <c r="A198" s="149"/>
      <c r="B198" s="150"/>
      <c r="C198" s="151"/>
      <c r="D198" s="152"/>
      <c r="E198" s="152"/>
      <c r="F198" s="152"/>
      <c r="G198" s="152"/>
      <c r="H198" s="62">
        <f>SUM(Table4[[#This Row],[BASIC]:[FOOD]])</f>
        <v>0</v>
      </c>
      <c r="I198" s="62"/>
      <c r="J198" s="62"/>
      <c r="K198" s="62"/>
      <c r="L198" s="62"/>
      <c r="M198" s="62"/>
      <c r="N198" s="62"/>
      <c r="O198" s="62">
        <f>SUM(Table4[[#This Row],[ESI BASIC]:[ESI FOOD]])</f>
        <v>0</v>
      </c>
      <c r="P198" s="160"/>
      <c r="Q198" s="160"/>
      <c r="R198" s="175"/>
      <c r="S198" s="167"/>
      <c r="T198" s="10">
        <f t="shared" si="15"/>
        <v>0</v>
      </c>
      <c r="U198" s="167"/>
      <c r="V198" s="10">
        <f t="shared" si="16"/>
        <v>0</v>
      </c>
      <c r="W198" s="10">
        <f t="shared" si="17"/>
        <v>0</v>
      </c>
      <c r="X198" s="170"/>
      <c r="Y198" s="177"/>
      <c r="Z198" s="168"/>
      <c r="AA198" s="177"/>
      <c r="AB198" s="168"/>
      <c r="AC198" s="177"/>
      <c r="AD198" s="168"/>
      <c r="AE198" s="177"/>
      <c r="AF198" s="168"/>
      <c r="AG198" s="177"/>
      <c r="AH198" s="168"/>
      <c r="AI198" s="177"/>
      <c r="AJ198" s="168"/>
      <c r="AK198" s="177"/>
      <c r="AL198" s="168"/>
      <c r="AM198" s="177"/>
      <c r="AN198" s="168"/>
      <c r="AO198" s="177"/>
      <c r="AP198" s="168"/>
      <c r="AQ198" s="177"/>
      <c r="AR198" s="168"/>
      <c r="AS198" s="177"/>
      <c r="AT198" s="168"/>
      <c r="AU198" s="177"/>
      <c r="AV198" s="168"/>
      <c r="AW198" s="177"/>
      <c r="AX198" s="168"/>
      <c r="AY198" s="177"/>
      <c r="AZ198" s="168"/>
      <c r="BA198" s="177"/>
      <c r="BB198" s="168"/>
      <c r="BC198" s="177"/>
      <c r="BD198" s="168"/>
      <c r="BE198" s="177"/>
      <c r="BF198" s="168"/>
      <c r="BG198" s="177"/>
      <c r="BH198" s="168"/>
      <c r="BI198" s="177"/>
      <c r="BJ198" s="168"/>
      <c r="BK198" s="177"/>
      <c r="BL198" s="168"/>
      <c r="BM198" s="177"/>
      <c r="BN198" s="168"/>
      <c r="BO198" s="177"/>
      <c r="BP198" s="168"/>
      <c r="BQ198" s="177"/>
      <c r="BR198" s="168"/>
      <c r="BS198" s="177"/>
      <c r="BT198" s="168"/>
      <c r="BU198" s="177"/>
      <c r="BV198" s="168"/>
      <c r="BW198" s="177"/>
      <c r="BX198" s="168"/>
      <c r="BY198" s="177"/>
      <c r="BZ198" s="168"/>
      <c r="CA198" s="177"/>
      <c r="CB198" s="168"/>
      <c r="CC198" s="177"/>
      <c r="CD198" s="168"/>
      <c r="CE198" s="177"/>
      <c r="CF198" s="168"/>
      <c r="CG198" s="187"/>
      <c r="CH198" s="183"/>
      <c r="CI198" s="185"/>
      <c r="CJ198" s="160"/>
      <c r="CK198" s="160"/>
      <c r="CL198" s="160"/>
      <c r="CM198" s="160"/>
      <c r="CN198" s="160"/>
      <c r="CO198" s="160"/>
      <c r="CP198" s="160"/>
      <c r="CQ198" s="160"/>
      <c r="CR198" s="160"/>
      <c r="CS198" s="179"/>
      <c r="CT198" s="160"/>
      <c r="CU198" s="160"/>
      <c r="CV198" s="160"/>
      <c r="CW198" s="160"/>
      <c r="CX198" s="160"/>
      <c r="CY198" s="160"/>
      <c r="CZ198" s="160"/>
      <c r="DA198" s="160"/>
      <c r="DB198" s="160"/>
      <c r="DC198" s="160"/>
      <c r="DD198" s="160"/>
      <c r="DE198" s="160"/>
      <c r="DF198" s="160"/>
      <c r="DG198" s="160"/>
      <c r="DH198" s="160"/>
      <c r="DI198" s="160"/>
      <c r="DJ198" s="160"/>
      <c r="DK198" s="160"/>
      <c r="DL198" s="160"/>
      <c r="DM198" s="160"/>
      <c r="DN198" s="160"/>
    </row>
    <row r="199" spans="1:118" hidden="1">
      <c r="A199" s="149"/>
      <c r="B199" s="150"/>
      <c r="C199" s="151"/>
      <c r="D199" s="152"/>
      <c r="E199" s="152"/>
      <c r="F199" s="152"/>
      <c r="G199" s="152"/>
      <c r="H199" s="62">
        <f>SUM(Table4[[#This Row],[BASIC]:[FOOD]])</f>
        <v>0</v>
      </c>
      <c r="I199" s="62"/>
      <c r="J199" s="62"/>
      <c r="K199" s="62"/>
      <c r="L199" s="62"/>
      <c r="M199" s="62"/>
      <c r="N199" s="62"/>
      <c r="O199" s="62">
        <f>SUM(Table4[[#This Row],[ESI BASIC]:[ESI FOOD]])</f>
        <v>0</v>
      </c>
      <c r="P199" s="160"/>
      <c r="Q199" s="160"/>
      <c r="R199" s="175"/>
      <c r="S199" s="167"/>
      <c r="T199" s="10">
        <f t="shared" si="15"/>
        <v>0</v>
      </c>
      <c r="U199" s="167"/>
      <c r="V199" s="10">
        <f t="shared" si="16"/>
        <v>0</v>
      </c>
      <c r="W199" s="10">
        <f t="shared" si="17"/>
        <v>0</v>
      </c>
      <c r="X199" s="170"/>
      <c r="Y199" s="177"/>
      <c r="Z199" s="168"/>
      <c r="AA199" s="177"/>
      <c r="AB199" s="168"/>
      <c r="AC199" s="177"/>
      <c r="AD199" s="168"/>
      <c r="AE199" s="177"/>
      <c r="AF199" s="168"/>
      <c r="AG199" s="177"/>
      <c r="AH199" s="168"/>
      <c r="AI199" s="177"/>
      <c r="AJ199" s="168"/>
      <c r="AK199" s="177"/>
      <c r="AL199" s="168"/>
      <c r="AM199" s="177"/>
      <c r="AN199" s="168"/>
      <c r="AO199" s="177"/>
      <c r="AP199" s="168"/>
      <c r="AQ199" s="177"/>
      <c r="AR199" s="168"/>
      <c r="AS199" s="177"/>
      <c r="AT199" s="168"/>
      <c r="AU199" s="177"/>
      <c r="AV199" s="168"/>
      <c r="AW199" s="177"/>
      <c r="AX199" s="168"/>
      <c r="AY199" s="177"/>
      <c r="AZ199" s="168"/>
      <c r="BA199" s="177"/>
      <c r="BB199" s="168"/>
      <c r="BC199" s="177"/>
      <c r="BD199" s="168"/>
      <c r="BE199" s="177"/>
      <c r="BF199" s="168"/>
      <c r="BG199" s="177"/>
      <c r="BH199" s="168"/>
      <c r="BI199" s="177"/>
      <c r="BJ199" s="168"/>
      <c r="BK199" s="177"/>
      <c r="BL199" s="168"/>
      <c r="BM199" s="177"/>
      <c r="BN199" s="168"/>
      <c r="BO199" s="177"/>
      <c r="BP199" s="168"/>
      <c r="BQ199" s="177"/>
      <c r="BR199" s="168"/>
      <c r="BS199" s="177"/>
      <c r="BT199" s="168"/>
      <c r="BU199" s="177"/>
      <c r="BV199" s="168"/>
      <c r="BW199" s="177"/>
      <c r="BX199" s="168"/>
      <c r="BY199" s="177"/>
      <c r="BZ199" s="168"/>
      <c r="CA199" s="177"/>
      <c r="CB199" s="168"/>
      <c r="CC199" s="177"/>
      <c r="CD199" s="168"/>
      <c r="CE199" s="177"/>
      <c r="CF199" s="168"/>
      <c r="CG199" s="187"/>
      <c r="CH199" s="183"/>
      <c r="CI199" s="185"/>
      <c r="CJ199" s="160"/>
      <c r="CK199" s="160"/>
      <c r="CL199" s="160"/>
      <c r="CM199" s="160"/>
      <c r="CN199" s="160"/>
      <c r="CO199" s="160"/>
      <c r="CP199" s="160"/>
      <c r="CQ199" s="160"/>
      <c r="CR199" s="160"/>
      <c r="CS199" s="179"/>
      <c r="CT199" s="160"/>
      <c r="CU199" s="160"/>
      <c r="CV199" s="160"/>
      <c r="CW199" s="160"/>
      <c r="CX199" s="160"/>
      <c r="CY199" s="160"/>
      <c r="CZ199" s="160"/>
      <c r="DA199" s="160"/>
      <c r="DB199" s="160"/>
      <c r="DC199" s="160"/>
      <c r="DD199" s="160"/>
      <c r="DE199" s="160"/>
      <c r="DF199" s="160"/>
      <c r="DG199" s="160"/>
      <c r="DH199" s="160"/>
      <c r="DI199" s="160"/>
      <c r="DJ199" s="160"/>
      <c r="DK199" s="160"/>
      <c r="DL199" s="160"/>
      <c r="DM199" s="160"/>
      <c r="DN199" s="160"/>
    </row>
    <row r="200" spans="1:118" hidden="1">
      <c r="A200" s="149"/>
      <c r="B200" s="150"/>
      <c r="C200" s="151"/>
      <c r="D200" s="152"/>
      <c r="E200" s="152"/>
      <c r="F200" s="152"/>
      <c r="G200" s="152"/>
      <c r="H200" s="62">
        <f>SUM(Table4[[#This Row],[BASIC]:[FOOD]])</f>
        <v>0</v>
      </c>
      <c r="I200" s="62"/>
      <c r="J200" s="62"/>
      <c r="K200" s="62"/>
      <c r="L200" s="62"/>
      <c r="M200" s="62"/>
      <c r="N200" s="62"/>
      <c r="O200" s="62">
        <f>SUM(Table4[[#This Row],[ESI BASIC]:[ESI FOOD]])</f>
        <v>0</v>
      </c>
      <c r="P200" s="160"/>
      <c r="Q200" s="160"/>
      <c r="R200" s="175"/>
      <c r="S200" s="167"/>
      <c r="T200" s="10">
        <f t="shared" si="15"/>
        <v>0</v>
      </c>
      <c r="U200" s="167"/>
      <c r="V200" s="10">
        <f t="shared" si="16"/>
        <v>0</v>
      </c>
      <c r="W200" s="10">
        <f t="shared" si="17"/>
        <v>0</v>
      </c>
      <c r="X200" s="170"/>
      <c r="Y200" s="177"/>
      <c r="Z200" s="168"/>
      <c r="AA200" s="177"/>
      <c r="AB200" s="168"/>
      <c r="AC200" s="177"/>
      <c r="AD200" s="168"/>
      <c r="AE200" s="177"/>
      <c r="AF200" s="168"/>
      <c r="AG200" s="177"/>
      <c r="AH200" s="168"/>
      <c r="AI200" s="177"/>
      <c r="AJ200" s="168"/>
      <c r="AK200" s="177"/>
      <c r="AL200" s="168"/>
      <c r="AM200" s="177"/>
      <c r="AN200" s="168"/>
      <c r="AO200" s="177"/>
      <c r="AP200" s="168"/>
      <c r="AQ200" s="177"/>
      <c r="AR200" s="168"/>
      <c r="AS200" s="177"/>
      <c r="AT200" s="168"/>
      <c r="AU200" s="177"/>
      <c r="AV200" s="168"/>
      <c r="AW200" s="177"/>
      <c r="AX200" s="168"/>
      <c r="AY200" s="177"/>
      <c r="AZ200" s="168"/>
      <c r="BA200" s="177"/>
      <c r="BB200" s="168"/>
      <c r="BC200" s="177"/>
      <c r="BD200" s="168"/>
      <c r="BE200" s="177"/>
      <c r="BF200" s="168"/>
      <c r="BG200" s="177"/>
      <c r="BH200" s="168"/>
      <c r="BI200" s="177"/>
      <c r="BJ200" s="168"/>
      <c r="BK200" s="177"/>
      <c r="BL200" s="168"/>
      <c r="BM200" s="177"/>
      <c r="BN200" s="168"/>
      <c r="BO200" s="177"/>
      <c r="BP200" s="168"/>
      <c r="BQ200" s="177"/>
      <c r="BR200" s="168"/>
      <c r="BS200" s="177"/>
      <c r="BT200" s="168"/>
      <c r="BU200" s="177"/>
      <c r="BV200" s="168"/>
      <c r="BW200" s="177"/>
      <c r="BX200" s="168"/>
      <c r="BY200" s="177"/>
      <c r="BZ200" s="168"/>
      <c r="CA200" s="177"/>
      <c r="CB200" s="168"/>
      <c r="CC200" s="177"/>
      <c r="CD200" s="168"/>
      <c r="CE200" s="177"/>
      <c r="CF200" s="168"/>
      <c r="CG200" s="187"/>
      <c r="CH200" s="183"/>
      <c r="CI200" s="185"/>
      <c r="CJ200" s="160"/>
      <c r="CK200" s="160"/>
      <c r="CL200" s="160"/>
      <c r="CM200" s="160"/>
      <c r="CN200" s="160"/>
      <c r="CO200" s="160"/>
      <c r="CP200" s="160"/>
      <c r="CQ200" s="160"/>
      <c r="CR200" s="160"/>
      <c r="CS200" s="179"/>
      <c r="CT200" s="160"/>
      <c r="CU200" s="160"/>
      <c r="CV200" s="160"/>
      <c r="CW200" s="160"/>
      <c r="CX200" s="160"/>
      <c r="CY200" s="160"/>
      <c r="CZ200" s="160"/>
      <c r="DA200" s="160"/>
      <c r="DB200" s="160"/>
      <c r="DC200" s="160"/>
      <c r="DD200" s="160"/>
      <c r="DE200" s="160"/>
      <c r="DF200" s="160"/>
      <c r="DG200" s="160"/>
      <c r="DH200" s="160"/>
      <c r="DI200" s="160"/>
      <c r="DJ200" s="160"/>
      <c r="DK200" s="160"/>
      <c r="DL200" s="160"/>
      <c r="DM200" s="160"/>
      <c r="DN200" s="160"/>
    </row>
    <row r="201" spans="1:118" hidden="1">
      <c r="A201" s="149"/>
      <c r="B201" s="150"/>
      <c r="C201" s="151"/>
      <c r="D201" s="152"/>
      <c r="E201" s="152"/>
      <c r="F201" s="152"/>
      <c r="G201" s="152"/>
      <c r="H201" s="62">
        <f>SUM(Table4[[#This Row],[BASIC]:[FOOD]])</f>
        <v>0</v>
      </c>
      <c r="I201" s="62"/>
      <c r="J201" s="62"/>
      <c r="K201" s="62"/>
      <c r="L201" s="62"/>
      <c r="M201" s="62"/>
      <c r="N201" s="62"/>
      <c r="O201" s="62">
        <f>SUM(Table4[[#This Row],[ESI BASIC]:[ESI FOOD]])</f>
        <v>0</v>
      </c>
      <c r="P201" s="160"/>
      <c r="Q201" s="160"/>
      <c r="R201" s="175"/>
      <c r="S201" s="167"/>
      <c r="T201" s="10">
        <f t="shared" si="15"/>
        <v>0</v>
      </c>
      <c r="U201" s="167"/>
      <c r="V201" s="10">
        <f t="shared" si="16"/>
        <v>0</v>
      </c>
      <c r="W201" s="10">
        <f t="shared" si="17"/>
        <v>0</v>
      </c>
      <c r="X201" s="170"/>
      <c r="Y201" s="177"/>
      <c r="Z201" s="168"/>
      <c r="AA201" s="177"/>
      <c r="AB201" s="168"/>
      <c r="AC201" s="177"/>
      <c r="AD201" s="168"/>
      <c r="AE201" s="177"/>
      <c r="AF201" s="168"/>
      <c r="AG201" s="177"/>
      <c r="AH201" s="168"/>
      <c r="AI201" s="177"/>
      <c r="AJ201" s="168"/>
      <c r="AK201" s="177"/>
      <c r="AL201" s="168"/>
      <c r="AM201" s="177"/>
      <c r="AN201" s="168"/>
      <c r="AO201" s="177"/>
      <c r="AP201" s="168"/>
      <c r="AQ201" s="177"/>
      <c r="AR201" s="168"/>
      <c r="AS201" s="177"/>
      <c r="AT201" s="168"/>
      <c r="AU201" s="177"/>
      <c r="AV201" s="168"/>
      <c r="AW201" s="177"/>
      <c r="AX201" s="168"/>
      <c r="AY201" s="177"/>
      <c r="AZ201" s="168"/>
      <c r="BA201" s="177"/>
      <c r="BB201" s="168"/>
      <c r="BC201" s="177"/>
      <c r="BD201" s="168"/>
      <c r="BE201" s="177"/>
      <c r="BF201" s="168"/>
      <c r="BG201" s="177"/>
      <c r="BH201" s="168"/>
      <c r="BI201" s="177"/>
      <c r="BJ201" s="168"/>
      <c r="BK201" s="177"/>
      <c r="BL201" s="168"/>
      <c r="BM201" s="177"/>
      <c r="BN201" s="168"/>
      <c r="BO201" s="177"/>
      <c r="BP201" s="168"/>
      <c r="BQ201" s="177"/>
      <c r="BR201" s="168"/>
      <c r="BS201" s="177"/>
      <c r="BT201" s="168"/>
      <c r="BU201" s="177"/>
      <c r="BV201" s="168"/>
      <c r="BW201" s="177"/>
      <c r="BX201" s="168"/>
      <c r="BY201" s="177"/>
      <c r="BZ201" s="168"/>
      <c r="CA201" s="177"/>
      <c r="CB201" s="168"/>
      <c r="CC201" s="177"/>
      <c r="CD201" s="168"/>
      <c r="CE201" s="177"/>
      <c r="CF201" s="168"/>
      <c r="CG201" s="187"/>
      <c r="CH201" s="183"/>
      <c r="CI201" s="185"/>
      <c r="CJ201" s="160"/>
      <c r="CK201" s="160"/>
      <c r="CL201" s="160"/>
      <c r="CM201" s="160"/>
      <c r="CN201" s="160"/>
      <c r="CO201" s="160"/>
      <c r="CP201" s="160"/>
      <c r="CQ201" s="160"/>
      <c r="CR201" s="160"/>
      <c r="CS201" s="179"/>
      <c r="CT201" s="160"/>
      <c r="CU201" s="160"/>
      <c r="CV201" s="160"/>
      <c r="CW201" s="160"/>
      <c r="CX201" s="160"/>
      <c r="CY201" s="160"/>
      <c r="CZ201" s="160"/>
      <c r="DA201" s="160"/>
      <c r="DB201" s="160"/>
      <c r="DC201" s="160"/>
      <c r="DD201" s="160"/>
      <c r="DE201" s="160"/>
      <c r="DF201" s="160"/>
      <c r="DG201" s="160"/>
      <c r="DH201" s="160"/>
      <c r="DI201" s="160"/>
      <c r="DJ201" s="160"/>
      <c r="DK201" s="160"/>
      <c r="DL201" s="160"/>
      <c r="DM201" s="160"/>
      <c r="DN201" s="160"/>
    </row>
    <row r="202" spans="1:118" hidden="1">
      <c r="A202" s="149"/>
      <c r="B202" s="150"/>
      <c r="C202" s="151"/>
      <c r="D202" s="152"/>
      <c r="E202" s="152"/>
      <c r="F202" s="152"/>
      <c r="G202" s="152"/>
      <c r="H202" s="62">
        <f>SUM(Table4[[#This Row],[BASIC]:[FOOD]])</f>
        <v>0</v>
      </c>
      <c r="I202" s="62"/>
      <c r="J202" s="62"/>
      <c r="K202" s="62"/>
      <c r="L202" s="62"/>
      <c r="M202" s="62"/>
      <c r="N202" s="62"/>
      <c r="O202" s="62">
        <f>SUM(Table4[[#This Row],[ESI BASIC]:[ESI FOOD]])</f>
        <v>0</v>
      </c>
      <c r="P202" s="160"/>
      <c r="Q202" s="160"/>
      <c r="R202" s="175"/>
      <c r="S202" s="167"/>
      <c r="T202" s="10">
        <f t="shared" si="15"/>
        <v>0</v>
      </c>
      <c r="U202" s="167"/>
      <c r="V202" s="10">
        <f t="shared" si="16"/>
        <v>0</v>
      </c>
      <c r="W202" s="10">
        <f t="shared" si="17"/>
        <v>0</v>
      </c>
      <c r="X202" s="170"/>
      <c r="Y202" s="177"/>
      <c r="Z202" s="168"/>
      <c r="AA202" s="177"/>
      <c r="AB202" s="168"/>
      <c r="AC202" s="177"/>
      <c r="AD202" s="168"/>
      <c r="AE202" s="177"/>
      <c r="AF202" s="168"/>
      <c r="AG202" s="177"/>
      <c r="AH202" s="168"/>
      <c r="AI202" s="177"/>
      <c r="AJ202" s="168"/>
      <c r="AK202" s="177"/>
      <c r="AL202" s="168"/>
      <c r="AM202" s="177"/>
      <c r="AN202" s="168"/>
      <c r="AO202" s="177"/>
      <c r="AP202" s="168"/>
      <c r="AQ202" s="177"/>
      <c r="AR202" s="168"/>
      <c r="AS202" s="177"/>
      <c r="AT202" s="168"/>
      <c r="AU202" s="177"/>
      <c r="AV202" s="168"/>
      <c r="AW202" s="177"/>
      <c r="AX202" s="168"/>
      <c r="AY202" s="177"/>
      <c r="AZ202" s="168"/>
      <c r="BA202" s="177"/>
      <c r="BB202" s="168"/>
      <c r="BC202" s="177"/>
      <c r="BD202" s="168"/>
      <c r="BE202" s="177"/>
      <c r="BF202" s="168"/>
      <c r="BG202" s="177"/>
      <c r="BH202" s="168"/>
      <c r="BI202" s="177"/>
      <c r="BJ202" s="168"/>
      <c r="BK202" s="177"/>
      <c r="BL202" s="168"/>
      <c r="BM202" s="177"/>
      <c r="BN202" s="168"/>
      <c r="BO202" s="177"/>
      <c r="BP202" s="168"/>
      <c r="BQ202" s="177"/>
      <c r="BR202" s="168"/>
      <c r="BS202" s="177"/>
      <c r="BT202" s="168"/>
      <c r="BU202" s="177"/>
      <c r="BV202" s="168"/>
      <c r="BW202" s="177"/>
      <c r="BX202" s="168"/>
      <c r="BY202" s="177"/>
      <c r="BZ202" s="168"/>
      <c r="CA202" s="177"/>
      <c r="CB202" s="168"/>
      <c r="CC202" s="177"/>
      <c r="CD202" s="168"/>
      <c r="CE202" s="177"/>
      <c r="CF202" s="168"/>
      <c r="CG202" s="187"/>
      <c r="CH202" s="183"/>
      <c r="CI202" s="185"/>
      <c r="CJ202" s="160"/>
      <c r="CK202" s="160"/>
      <c r="CL202" s="160"/>
      <c r="CM202" s="160"/>
      <c r="CN202" s="160"/>
      <c r="CO202" s="160"/>
      <c r="CP202" s="160"/>
      <c r="CQ202" s="160"/>
      <c r="CR202" s="160"/>
      <c r="CS202" s="179"/>
      <c r="CT202" s="160"/>
      <c r="CU202" s="160"/>
      <c r="CV202" s="160"/>
      <c r="CW202" s="160"/>
      <c r="CX202" s="160"/>
      <c r="CY202" s="160"/>
      <c r="CZ202" s="160"/>
      <c r="DA202" s="160"/>
      <c r="DB202" s="160"/>
      <c r="DC202" s="160"/>
      <c r="DD202" s="160"/>
      <c r="DE202" s="160"/>
      <c r="DF202" s="160"/>
      <c r="DG202" s="160"/>
      <c r="DH202" s="160"/>
      <c r="DI202" s="160"/>
      <c r="DJ202" s="160"/>
      <c r="DK202" s="160"/>
      <c r="DL202" s="160"/>
      <c r="DM202" s="160"/>
      <c r="DN202" s="160"/>
    </row>
    <row r="203" spans="1:118" hidden="1">
      <c r="A203" s="149"/>
      <c r="B203" s="150"/>
      <c r="C203" s="151"/>
      <c r="D203" s="152"/>
      <c r="E203" s="152"/>
      <c r="F203" s="152"/>
      <c r="G203" s="152"/>
      <c r="H203" s="62">
        <f>SUM(Table4[[#This Row],[BASIC]:[FOOD]])</f>
        <v>0</v>
      </c>
      <c r="I203" s="62"/>
      <c r="J203" s="62"/>
      <c r="K203" s="62"/>
      <c r="L203" s="62"/>
      <c r="M203" s="62"/>
      <c r="N203" s="62"/>
      <c r="O203" s="62">
        <f>SUM(Table4[[#This Row],[ESI BASIC]:[ESI FOOD]])</f>
        <v>0</v>
      </c>
      <c r="P203" s="160"/>
      <c r="Q203" s="160"/>
      <c r="R203" s="175"/>
      <c r="S203" s="167"/>
      <c r="T203" s="10">
        <f t="shared" si="15"/>
        <v>0</v>
      </c>
      <c r="U203" s="167"/>
      <c r="V203" s="10">
        <f t="shared" si="16"/>
        <v>0</v>
      </c>
      <c r="W203" s="10">
        <f t="shared" si="17"/>
        <v>0</v>
      </c>
      <c r="X203" s="170"/>
      <c r="Y203" s="177"/>
      <c r="Z203" s="168"/>
      <c r="AA203" s="177"/>
      <c r="AB203" s="168"/>
      <c r="AC203" s="177"/>
      <c r="AD203" s="168"/>
      <c r="AE203" s="177"/>
      <c r="AF203" s="168"/>
      <c r="AG203" s="177"/>
      <c r="AH203" s="168"/>
      <c r="AI203" s="177"/>
      <c r="AJ203" s="168"/>
      <c r="AK203" s="177"/>
      <c r="AL203" s="168"/>
      <c r="AM203" s="177"/>
      <c r="AN203" s="168"/>
      <c r="AO203" s="177"/>
      <c r="AP203" s="168"/>
      <c r="AQ203" s="177"/>
      <c r="AR203" s="168"/>
      <c r="AS203" s="177"/>
      <c r="AT203" s="168"/>
      <c r="AU203" s="177"/>
      <c r="AV203" s="168"/>
      <c r="AW203" s="177"/>
      <c r="AX203" s="168"/>
      <c r="AY203" s="177"/>
      <c r="AZ203" s="168"/>
      <c r="BA203" s="177"/>
      <c r="BB203" s="168"/>
      <c r="BC203" s="177"/>
      <c r="BD203" s="168"/>
      <c r="BE203" s="177"/>
      <c r="BF203" s="168"/>
      <c r="BG203" s="177"/>
      <c r="BH203" s="168"/>
      <c r="BI203" s="177"/>
      <c r="BJ203" s="168"/>
      <c r="BK203" s="177"/>
      <c r="BL203" s="168"/>
      <c r="BM203" s="177"/>
      <c r="BN203" s="168"/>
      <c r="BO203" s="177"/>
      <c r="BP203" s="168"/>
      <c r="BQ203" s="177"/>
      <c r="BR203" s="168"/>
      <c r="BS203" s="177"/>
      <c r="BT203" s="168"/>
      <c r="BU203" s="177"/>
      <c r="BV203" s="168"/>
      <c r="BW203" s="177"/>
      <c r="BX203" s="168"/>
      <c r="BY203" s="177"/>
      <c r="BZ203" s="168"/>
      <c r="CA203" s="177"/>
      <c r="CB203" s="168"/>
      <c r="CC203" s="177"/>
      <c r="CD203" s="168"/>
      <c r="CE203" s="177"/>
      <c r="CF203" s="168"/>
      <c r="CG203" s="187"/>
      <c r="CH203" s="183"/>
      <c r="CI203" s="185"/>
      <c r="CJ203" s="160"/>
      <c r="CK203" s="160"/>
      <c r="CL203" s="160"/>
      <c r="CM203" s="160"/>
      <c r="CN203" s="160"/>
      <c r="CO203" s="160"/>
      <c r="CP203" s="160"/>
      <c r="CQ203" s="160"/>
      <c r="CR203" s="160"/>
      <c r="CS203" s="179"/>
      <c r="CT203" s="160"/>
      <c r="CU203" s="160"/>
      <c r="CV203" s="160"/>
      <c r="CW203" s="160"/>
      <c r="CX203" s="160"/>
      <c r="CY203" s="160"/>
      <c r="CZ203" s="160"/>
      <c r="DA203" s="160"/>
      <c r="DB203" s="160"/>
      <c r="DC203" s="160"/>
      <c r="DD203" s="160"/>
      <c r="DE203" s="160"/>
      <c r="DF203" s="160"/>
      <c r="DG203" s="160"/>
      <c r="DH203" s="160"/>
      <c r="DI203" s="160"/>
      <c r="DJ203" s="160"/>
      <c r="DK203" s="160"/>
      <c r="DL203" s="160"/>
      <c r="DM203" s="160"/>
      <c r="DN203" s="160"/>
    </row>
    <row r="204" spans="1:118" hidden="1">
      <c r="A204" s="149"/>
      <c r="B204" s="150"/>
      <c r="C204" s="151"/>
      <c r="D204" s="152"/>
      <c r="E204" s="152"/>
      <c r="F204" s="152"/>
      <c r="G204" s="152"/>
      <c r="H204" s="62">
        <f>SUM(Table4[[#This Row],[BASIC]:[FOOD]])</f>
        <v>0</v>
      </c>
      <c r="I204" s="62"/>
      <c r="J204" s="62"/>
      <c r="K204" s="62"/>
      <c r="L204" s="62"/>
      <c r="M204" s="62"/>
      <c r="N204" s="62"/>
      <c r="O204" s="62">
        <f>SUM(Table4[[#This Row],[ESI BASIC]:[ESI FOOD]])</f>
        <v>0</v>
      </c>
      <c r="P204" s="160"/>
      <c r="Q204" s="160"/>
      <c r="R204" s="175"/>
      <c r="S204" s="167"/>
      <c r="T204" s="10">
        <f t="shared" si="15"/>
        <v>0</v>
      </c>
      <c r="U204" s="167"/>
      <c r="V204" s="10">
        <f t="shared" si="16"/>
        <v>0</v>
      </c>
      <c r="W204" s="10">
        <f t="shared" si="17"/>
        <v>0</v>
      </c>
      <c r="X204" s="170"/>
      <c r="Y204" s="177"/>
      <c r="Z204" s="168"/>
      <c r="AA204" s="177"/>
      <c r="AB204" s="168"/>
      <c r="AC204" s="177"/>
      <c r="AD204" s="168"/>
      <c r="AE204" s="177"/>
      <c r="AF204" s="168"/>
      <c r="AG204" s="177"/>
      <c r="AH204" s="168"/>
      <c r="AI204" s="177"/>
      <c r="AJ204" s="168"/>
      <c r="AK204" s="177"/>
      <c r="AL204" s="168"/>
      <c r="AM204" s="177"/>
      <c r="AN204" s="168"/>
      <c r="AO204" s="177"/>
      <c r="AP204" s="168"/>
      <c r="AQ204" s="177"/>
      <c r="AR204" s="168"/>
      <c r="AS204" s="177"/>
      <c r="AT204" s="168"/>
      <c r="AU204" s="177"/>
      <c r="AV204" s="168"/>
      <c r="AW204" s="177"/>
      <c r="AX204" s="168"/>
      <c r="AY204" s="177"/>
      <c r="AZ204" s="168"/>
      <c r="BA204" s="177"/>
      <c r="BB204" s="168"/>
      <c r="BC204" s="177"/>
      <c r="BD204" s="168"/>
      <c r="BE204" s="177"/>
      <c r="BF204" s="168"/>
      <c r="BG204" s="177"/>
      <c r="BH204" s="168"/>
      <c r="BI204" s="177"/>
      <c r="BJ204" s="168"/>
      <c r="BK204" s="177"/>
      <c r="BL204" s="168"/>
      <c r="BM204" s="177"/>
      <c r="BN204" s="168"/>
      <c r="BO204" s="177"/>
      <c r="BP204" s="168"/>
      <c r="BQ204" s="177"/>
      <c r="BR204" s="168"/>
      <c r="BS204" s="177"/>
      <c r="BT204" s="168"/>
      <c r="BU204" s="177"/>
      <c r="BV204" s="168"/>
      <c r="BW204" s="177"/>
      <c r="BX204" s="168"/>
      <c r="BY204" s="177"/>
      <c r="BZ204" s="168"/>
      <c r="CA204" s="177"/>
      <c r="CB204" s="168"/>
      <c r="CC204" s="177"/>
      <c r="CD204" s="168"/>
      <c r="CE204" s="177"/>
      <c r="CF204" s="168"/>
      <c r="CG204" s="187"/>
      <c r="CH204" s="183"/>
      <c r="CI204" s="185"/>
      <c r="CJ204" s="160"/>
      <c r="CK204" s="160"/>
      <c r="CL204" s="160"/>
      <c r="CM204" s="160"/>
      <c r="CN204" s="160"/>
      <c r="CO204" s="160"/>
      <c r="CP204" s="160"/>
      <c r="CQ204" s="160"/>
      <c r="CR204" s="160"/>
      <c r="CS204" s="179"/>
      <c r="CT204" s="160"/>
      <c r="CU204" s="160"/>
      <c r="CV204" s="160"/>
      <c r="CW204" s="160"/>
      <c r="CX204" s="160"/>
      <c r="CY204" s="160"/>
      <c r="CZ204" s="160"/>
      <c r="DA204" s="160"/>
      <c r="DB204" s="160"/>
      <c r="DC204" s="160"/>
      <c r="DD204" s="160"/>
      <c r="DE204" s="160"/>
      <c r="DF204" s="160"/>
      <c r="DG204" s="160"/>
      <c r="DH204" s="160"/>
      <c r="DI204" s="160"/>
      <c r="DJ204" s="160"/>
      <c r="DK204" s="160"/>
      <c r="DL204" s="160"/>
      <c r="DM204" s="160"/>
      <c r="DN204" s="160"/>
    </row>
    <row r="205" spans="1:118" hidden="1">
      <c r="A205" s="149"/>
      <c r="B205" s="150"/>
      <c r="C205" s="151"/>
      <c r="D205" s="152"/>
      <c r="E205" s="152"/>
      <c r="F205" s="152"/>
      <c r="G205" s="152"/>
      <c r="H205" s="62">
        <f>SUM(Table4[[#This Row],[BASIC]:[FOOD]])</f>
        <v>0</v>
      </c>
      <c r="I205" s="62"/>
      <c r="J205" s="62"/>
      <c r="K205" s="62"/>
      <c r="L205" s="62"/>
      <c r="M205" s="62"/>
      <c r="N205" s="62"/>
      <c r="O205" s="62">
        <f>SUM(Table4[[#This Row],[ESI BASIC]:[ESI FOOD]])</f>
        <v>0</v>
      </c>
      <c r="P205" s="160"/>
      <c r="Q205" s="160"/>
      <c r="R205" s="175"/>
      <c r="S205" s="167"/>
      <c r="T205" s="10">
        <f t="shared" si="15"/>
        <v>0</v>
      </c>
      <c r="U205" s="167"/>
      <c r="V205" s="10">
        <f t="shared" si="16"/>
        <v>0</v>
      </c>
      <c r="W205" s="10">
        <f t="shared" si="17"/>
        <v>0</v>
      </c>
      <c r="X205" s="170"/>
      <c r="Y205" s="177"/>
      <c r="Z205" s="168"/>
      <c r="AA205" s="177"/>
      <c r="AB205" s="168"/>
      <c r="AC205" s="177"/>
      <c r="AD205" s="168"/>
      <c r="AE205" s="177"/>
      <c r="AF205" s="168"/>
      <c r="AG205" s="177"/>
      <c r="AH205" s="168"/>
      <c r="AI205" s="177"/>
      <c r="AJ205" s="168"/>
      <c r="AK205" s="177"/>
      <c r="AL205" s="168"/>
      <c r="AM205" s="177"/>
      <c r="AN205" s="168"/>
      <c r="AO205" s="177"/>
      <c r="AP205" s="168"/>
      <c r="AQ205" s="177"/>
      <c r="AR205" s="168"/>
      <c r="AS205" s="177"/>
      <c r="AT205" s="168"/>
      <c r="AU205" s="177"/>
      <c r="AV205" s="168"/>
      <c r="AW205" s="177"/>
      <c r="AX205" s="168"/>
      <c r="AY205" s="177"/>
      <c r="AZ205" s="168"/>
      <c r="BA205" s="177"/>
      <c r="BB205" s="168"/>
      <c r="BC205" s="177"/>
      <c r="BD205" s="168"/>
      <c r="BE205" s="177"/>
      <c r="BF205" s="168"/>
      <c r="BG205" s="177"/>
      <c r="BH205" s="168"/>
      <c r="BI205" s="177"/>
      <c r="BJ205" s="168"/>
      <c r="BK205" s="177"/>
      <c r="BL205" s="168"/>
      <c r="BM205" s="177"/>
      <c r="BN205" s="168"/>
      <c r="BO205" s="177"/>
      <c r="BP205" s="168"/>
      <c r="BQ205" s="177"/>
      <c r="BR205" s="168"/>
      <c r="BS205" s="177"/>
      <c r="BT205" s="168"/>
      <c r="BU205" s="177"/>
      <c r="BV205" s="168"/>
      <c r="BW205" s="177"/>
      <c r="BX205" s="168"/>
      <c r="BY205" s="177"/>
      <c r="BZ205" s="168"/>
      <c r="CA205" s="177"/>
      <c r="CB205" s="168"/>
      <c r="CC205" s="177"/>
      <c r="CD205" s="168"/>
      <c r="CE205" s="177"/>
      <c r="CF205" s="168"/>
      <c r="CG205" s="187"/>
      <c r="CH205" s="183"/>
      <c r="CI205" s="185"/>
      <c r="CJ205" s="160"/>
      <c r="CK205" s="160"/>
      <c r="CL205" s="160"/>
      <c r="CM205" s="160"/>
      <c r="CN205" s="160"/>
      <c r="CO205" s="160"/>
      <c r="CP205" s="160"/>
      <c r="CQ205" s="160"/>
      <c r="CR205" s="160"/>
      <c r="CS205" s="179"/>
      <c r="CT205" s="160"/>
      <c r="CU205" s="160"/>
      <c r="CV205" s="160"/>
      <c r="CW205" s="160"/>
      <c r="CX205" s="160"/>
      <c r="CY205" s="160"/>
      <c r="CZ205" s="160"/>
      <c r="DA205" s="160"/>
      <c r="DB205" s="160"/>
      <c r="DC205" s="160"/>
      <c r="DD205" s="160"/>
      <c r="DE205" s="160"/>
      <c r="DF205" s="160"/>
      <c r="DG205" s="160"/>
      <c r="DH205" s="160"/>
      <c r="DI205" s="160"/>
      <c r="DJ205" s="160"/>
      <c r="DK205" s="160"/>
      <c r="DL205" s="160"/>
      <c r="DM205" s="160"/>
      <c r="DN205" s="160"/>
    </row>
    <row r="206" spans="1:118" hidden="1">
      <c r="A206" s="149"/>
      <c r="B206" s="150"/>
      <c r="C206" s="151"/>
      <c r="D206" s="152"/>
      <c r="E206" s="152"/>
      <c r="F206" s="152"/>
      <c r="G206" s="152"/>
      <c r="H206" s="62">
        <f>SUM(Table4[[#This Row],[BASIC]:[FOOD]])</f>
        <v>0</v>
      </c>
      <c r="I206" s="62"/>
      <c r="J206" s="62"/>
      <c r="K206" s="62"/>
      <c r="L206" s="62"/>
      <c r="M206" s="62"/>
      <c r="N206" s="62"/>
      <c r="O206" s="62">
        <f>SUM(Table4[[#This Row],[ESI BASIC]:[ESI FOOD]])</f>
        <v>0</v>
      </c>
      <c r="P206" s="160"/>
      <c r="Q206" s="160"/>
      <c r="R206" s="175"/>
      <c r="S206" s="167"/>
      <c r="T206" s="10">
        <f t="shared" si="15"/>
        <v>0</v>
      </c>
      <c r="U206" s="167"/>
      <c r="V206" s="10">
        <f t="shared" si="16"/>
        <v>0</v>
      </c>
      <c r="W206" s="10">
        <f t="shared" si="17"/>
        <v>0</v>
      </c>
      <c r="X206" s="170"/>
      <c r="Y206" s="177"/>
      <c r="Z206" s="168"/>
      <c r="AA206" s="177"/>
      <c r="AB206" s="168"/>
      <c r="AC206" s="177"/>
      <c r="AD206" s="168"/>
      <c r="AE206" s="177"/>
      <c r="AF206" s="168"/>
      <c r="AG206" s="177"/>
      <c r="AH206" s="168"/>
      <c r="AI206" s="177"/>
      <c r="AJ206" s="168"/>
      <c r="AK206" s="177"/>
      <c r="AL206" s="168"/>
      <c r="AM206" s="177"/>
      <c r="AN206" s="168"/>
      <c r="AO206" s="177"/>
      <c r="AP206" s="168"/>
      <c r="AQ206" s="177"/>
      <c r="AR206" s="168"/>
      <c r="AS206" s="177"/>
      <c r="AT206" s="168"/>
      <c r="AU206" s="177"/>
      <c r="AV206" s="168"/>
      <c r="AW206" s="177"/>
      <c r="AX206" s="168"/>
      <c r="AY206" s="177"/>
      <c r="AZ206" s="168"/>
      <c r="BA206" s="177"/>
      <c r="BB206" s="168"/>
      <c r="BC206" s="177"/>
      <c r="BD206" s="168"/>
      <c r="BE206" s="177"/>
      <c r="BF206" s="168"/>
      <c r="BG206" s="177"/>
      <c r="BH206" s="168"/>
      <c r="BI206" s="177"/>
      <c r="BJ206" s="168"/>
      <c r="BK206" s="177"/>
      <c r="BL206" s="168"/>
      <c r="BM206" s="177"/>
      <c r="BN206" s="168"/>
      <c r="BO206" s="177"/>
      <c r="BP206" s="168"/>
      <c r="BQ206" s="177"/>
      <c r="BR206" s="168"/>
      <c r="BS206" s="177"/>
      <c r="BT206" s="168"/>
      <c r="BU206" s="177"/>
      <c r="BV206" s="168"/>
      <c r="BW206" s="177"/>
      <c r="BX206" s="168"/>
      <c r="BY206" s="177"/>
      <c r="BZ206" s="168"/>
      <c r="CA206" s="177"/>
      <c r="CB206" s="168"/>
      <c r="CC206" s="177"/>
      <c r="CD206" s="168"/>
      <c r="CE206" s="177"/>
      <c r="CF206" s="168"/>
      <c r="CG206" s="187"/>
      <c r="CH206" s="183"/>
      <c r="CI206" s="185"/>
      <c r="CJ206" s="160"/>
      <c r="CK206" s="160"/>
      <c r="CL206" s="160"/>
      <c r="CM206" s="160"/>
      <c r="CN206" s="160"/>
      <c r="CO206" s="160"/>
      <c r="CP206" s="160"/>
      <c r="CQ206" s="160"/>
      <c r="CR206" s="160"/>
      <c r="CS206" s="179"/>
      <c r="CT206" s="160"/>
      <c r="CU206" s="160"/>
      <c r="CV206" s="160"/>
      <c r="CW206" s="160"/>
      <c r="CX206" s="160"/>
      <c r="CY206" s="160"/>
      <c r="CZ206" s="160"/>
      <c r="DA206" s="160"/>
      <c r="DB206" s="160"/>
      <c r="DC206" s="160"/>
      <c r="DD206" s="160"/>
      <c r="DE206" s="160"/>
      <c r="DF206" s="160"/>
      <c r="DG206" s="160"/>
      <c r="DH206" s="160"/>
      <c r="DI206" s="160"/>
      <c r="DJ206" s="160"/>
      <c r="DK206" s="160"/>
      <c r="DL206" s="160"/>
      <c r="DM206" s="160"/>
      <c r="DN206" s="160"/>
    </row>
    <row r="207" spans="1:118" hidden="1">
      <c r="A207" s="149"/>
      <c r="B207" s="150"/>
      <c r="C207" s="151"/>
      <c r="D207" s="152"/>
      <c r="E207" s="152"/>
      <c r="F207" s="152"/>
      <c r="G207" s="152"/>
      <c r="H207" s="62">
        <f>SUM(Table4[[#This Row],[BASIC]:[FOOD]])</f>
        <v>0</v>
      </c>
      <c r="I207" s="62"/>
      <c r="J207" s="62"/>
      <c r="K207" s="62"/>
      <c r="L207" s="62"/>
      <c r="M207" s="62"/>
      <c r="N207" s="62"/>
      <c r="O207" s="62">
        <f>SUM(Table4[[#This Row],[ESI BASIC]:[ESI FOOD]])</f>
        <v>0</v>
      </c>
      <c r="P207" s="160"/>
      <c r="Q207" s="160"/>
      <c r="R207" s="175"/>
      <c r="S207" s="167"/>
      <c r="T207" s="10">
        <f t="shared" si="15"/>
        <v>0</v>
      </c>
      <c r="U207" s="167"/>
      <c r="V207" s="10">
        <f t="shared" si="16"/>
        <v>0</v>
      </c>
      <c r="W207" s="10">
        <f t="shared" si="17"/>
        <v>0</v>
      </c>
      <c r="X207" s="170"/>
      <c r="Y207" s="177"/>
      <c r="Z207" s="168"/>
      <c r="AA207" s="177"/>
      <c r="AB207" s="168"/>
      <c r="AC207" s="177"/>
      <c r="AD207" s="168"/>
      <c r="AE207" s="177"/>
      <c r="AF207" s="168"/>
      <c r="AG207" s="177"/>
      <c r="AH207" s="168"/>
      <c r="AI207" s="177"/>
      <c r="AJ207" s="168"/>
      <c r="AK207" s="177"/>
      <c r="AL207" s="168"/>
      <c r="AM207" s="177"/>
      <c r="AN207" s="168"/>
      <c r="AO207" s="177"/>
      <c r="AP207" s="168"/>
      <c r="AQ207" s="177"/>
      <c r="AR207" s="168"/>
      <c r="AS207" s="177"/>
      <c r="AT207" s="168"/>
      <c r="AU207" s="177"/>
      <c r="AV207" s="168"/>
      <c r="AW207" s="177"/>
      <c r="AX207" s="168"/>
      <c r="AY207" s="177"/>
      <c r="AZ207" s="168"/>
      <c r="BA207" s="177"/>
      <c r="BB207" s="168"/>
      <c r="BC207" s="177"/>
      <c r="BD207" s="168"/>
      <c r="BE207" s="177"/>
      <c r="BF207" s="168"/>
      <c r="BG207" s="177"/>
      <c r="BH207" s="168"/>
      <c r="BI207" s="177"/>
      <c r="BJ207" s="168"/>
      <c r="BK207" s="177"/>
      <c r="BL207" s="168"/>
      <c r="BM207" s="177"/>
      <c r="BN207" s="168"/>
      <c r="BO207" s="177"/>
      <c r="BP207" s="168"/>
      <c r="BQ207" s="177"/>
      <c r="BR207" s="168"/>
      <c r="BS207" s="177"/>
      <c r="BT207" s="168"/>
      <c r="BU207" s="177"/>
      <c r="BV207" s="168"/>
      <c r="BW207" s="177"/>
      <c r="BX207" s="168"/>
      <c r="BY207" s="177"/>
      <c r="BZ207" s="168"/>
      <c r="CA207" s="177"/>
      <c r="CB207" s="168"/>
      <c r="CC207" s="177"/>
      <c r="CD207" s="168"/>
      <c r="CE207" s="177"/>
      <c r="CF207" s="168"/>
      <c r="CG207" s="187"/>
      <c r="CH207" s="183"/>
      <c r="CI207" s="185"/>
      <c r="CJ207" s="160"/>
      <c r="CK207" s="160"/>
      <c r="CL207" s="160"/>
      <c r="CM207" s="160"/>
      <c r="CN207" s="160"/>
      <c r="CO207" s="160"/>
      <c r="CP207" s="160"/>
      <c r="CQ207" s="160"/>
      <c r="CR207" s="160"/>
      <c r="CS207" s="179"/>
      <c r="CT207" s="160"/>
      <c r="CU207" s="160"/>
      <c r="CV207" s="160"/>
      <c r="CW207" s="160"/>
      <c r="CX207" s="160"/>
      <c r="CY207" s="160"/>
      <c r="CZ207" s="160"/>
      <c r="DA207" s="160"/>
      <c r="DB207" s="160"/>
      <c r="DC207" s="160"/>
      <c r="DD207" s="160"/>
      <c r="DE207" s="160"/>
      <c r="DF207" s="160"/>
      <c r="DG207" s="160"/>
      <c r="DH207" s="160"/>
      <c r="DI207" s="160"/>
      <c r="DJ207" s="160"/>
      <c r="DK207" s="160"/>
      <c r="DL207" s="160"/>
      <c r="DM207" s="160"/>
      <c r="DN207" s="160"/>
    </row>
    <row r="208" spans="1:118" hidden="1">
      <c r="A208" s="149"/>
      <c r="B208" s="150"/>
      <c r="C208" s="151"/>
      <c r="D208" s="152"/>
      <c r="E208" s="152"/>
      <c r="F208" s="152"/>
      <c r="G208" s="152"/>
      <c r="H208" s="62">
        <f>SUM(Table4[[#This Row],[BASIC]:[FOOD]])</f>
        <v>0</v>
      </c>
      <c r="I208" s="62"/>
      <c r="J208" s="62"/>
      <c r="K208" s="62"/>
      <c r="L208" s="62"/>
      <c r="M208" s="62"/>
      <c r="N208" s="62"/>
      <c r="O208" s="62">
        <f>SUM(Table4[[#This Row],[ESI BASIC]:[ESI FOOD]])</f>
        <v>0</v>
      </c>
      <c r="P208" s="160"/>
      <c r="Q208" s="160"/>
      <c r="R208" s="175"/>
      <c r="S208" s="167"/>
      <c r="T208" s="10">
        <f t="shared" si="15"/>
        <v>0</v>
      </c>
      <c r="U208" s="167"/>
      <c r="V208" s="10">
        <f t="shared" si="16"/>
        <v>0</v>
      </c>
      <c r="W208" s="10">
        <f t="shared" si="17"/>
        <v>0</v>
      </c>
      <c r="X208" s="170"/>
      <c r="Y208" s="177"/>
      <c r="Z208" s="168"/>
      <c r="AA208" s="177"/>
      <c r="AB208" s="168"/>
      <c r="AC208" s="177"/>
      <c r="AD208" s="168"/>
      <c r="AE208" s="177"/>
      <c r="AF208" s="168"/>
      <c r="AG208" s="177"/>
      <c r="AH208" s="168"/>
      <c r="AI208" s="177"/>
      <c r="AJ208" s="168"/>
      <c r="AK208" s="177"/>
      <c r="AL208" s="168"/>
      <c r="AM208" s="177"/>
      <c r="AN208" s="168"/>
      <c r="AO208" s="177"/>
      <c r="AP208" s="168"/>
      <c r="AQ208" s="177"/>
      <c r="AR208" s="168"/>
      <c r="AS208" s="177"/>
      <c r="AT208" s="168"/>
      <c r="AU208" s="177"/>
      <c r="AV208" s="168"/>
      <c r="AW208" s="177"/>
      <c r="AX208" s="168"/>
      <c r="AY208" s="177"/>
      <c r="AZ208" s="168"/>
      <c r="BA208" s="177"/>
      <c r="BB208" s="168"/>
      <c r="BC208" s="177"/>
      <c r="BD208" s="168"/>
      <c r="BE208" s="177"/>
      <c r="BF208" s="168"/>
      <c r="BG208" s="177"/>
      <c r="BH208" s="168"/>
      <c r="BI208" s="177"/>
      <c r="BJ208" s="168"/>
      <c r="BK208" s="177"/>
      <c r="BL208" s="168"/>
      <c r="BM208" s="177"/>
      <c r="BN208" s="168"/>
      <c r="BO208" s="177"/>
      <c r="BP208" s="168"/>
      <c r="BQ208" s="177"/>
      <c r="BR208" s="168"/>
      <c r="BS208" s="177"/>
      <c r="BT208" s="168"/>
      <c r="BU208" s="177"/>
      <c r="BV208" s="168"/>
      <c r="BW208" s="177"/>
      <c r="BX208" s="168"/>
      <c r="BY208" s="177"/>
      <c r="BZ208" s="168"/>
      <c r="CA208" s="177"/>
      <c r="CB208" s="168"/>
      <c r="CC208" s="177"/>
      <c r="CD208" s="168"/>
      <c r="CE208" s="177"/>
      <c r="CF208" s="168"/>
      <c r="CG208" s="187"/>
      <c r="CH208" s="183"/>
      <c r="CI208" s="185"/>
      <c r="CJ208" s="160"/>
      <c r="CK208" s="160"/>
      <c r="CL208" s="160"/>
      <c r="CM208" s="160"/>
      <c r="CN208" s="160"/>
      <c r="CO208" s="160"/>
      <c r="CP208" s="160"/>
      <c r="CQ208" s="160"/>
      <c r="CR208" s="160"/>
      <c r="CS208" s="179"/>
      <c r="CT208" s="160"/>
      <c r="CU208" s="160"/>
      <c r="CV208" s="160"/>
      <c r="CW208" s="160"/>
      <c r="CX208" s="160"/>
      <c r="CY208" s="160"/>
      <c r="CZ208" s="160"/>
      <c r="DA208" s="160"/>
      <c r="DB208" s="160"/>
      <c r="DC208" s="160"/>
      <c r="DD208" s="160"/>
      <c r="DE208" s="160"/>
      <c r="DF208" s="160"/>
      <c r="DG208" s="160"/>
      <c r="DH208" s="160"/>
      <c r="DI208" s="160"/>
      <c r="DJ208" s="160"/>
      <c r="DK208" s="160"/>
      <c r="DL208" s="160"/>
      <c r="DM208" s="160"/>
      <c r="DN208" s="160"/>
    </row>
    <row r="209" spans="1:118" hidden="1">
      <c r="A209" s="149"/>
      <c r="B209" s="150"/>
      <c r="C209" s="151"/>
      <c r="D209" s="152"/>
      <c r="E209" s="152"/>
      <c r="F209" s="152"/>
      <c r="G209" s="152"/>
      <c r="H209" s="62">
        <f>SUM(Table4[[#This Row],[BASIC]:[FOOD]])</f>
        <v>0</v>
      </c>
      <c r="I209" s="62"/>
      <c r="J209" s="62"/>
      <c r="K209" s="62"/>
      <c r="L209" s="62"/>
      <c r="M209" s="62"/>
      <c r="N209" s="62"/>
      <c r="O209" s="62">
        <f>SUM(Table4[[#This Row],[ESI BASIC]:[ESI FOOD]])</f>
        <v>0</v>
      </c>
      <c r="P209" s="160"/>
      <c r="Q209" s="160"/>
      <c r="R209" s="175"/>
      <c r="S209" s="167"/>
      <c r="T209" s="10">
        <f t="shared" si="15"/>
        <v>0</v>
      </c>
      <c r="U209" s="167"/>
      <c r="V209" s="10">
        <f t="shared" si="16"/>
        <v>0</v>
      </c>
      <c r="W209" s="10">
        <f t="shared" si="17"/>
        <v>0</v>
      </c>
      <c r="X209" s="170"/>
      <c r="Y209" s="177"/>
      <c r="Z209" s="168"/>
      <c r="AA209" s="177"/>
      <c r="AB209" s="168"/>
      <c r="AC209" s="177"/>
      <c r="AD209" s="168"/>
      <c r="AE209" s="177"/>
      <c r="AF209" s="168"/>
      <c r="AG209" s="177"/>
      <c r="AH209" s="168"/>
      <c r="AI209" s="177"/>
      <c r="AJ209" s="168"/>
      <c r="AK209" s="177"/>
      <c r="AL209" s="168"/>
      <c r="AM209" s="177"/>
      <c r="AN209" s="168"/>
      <c r="AO209" s="177"/>
      <c r="AP209" s="168"/>
      <c r="AQ209" s="177"/>
      <c r="AR209" s="168"/>
      <c r="AS209" s="177"/>
      <c r="AT209" s="168"/>
      <c r="AU209" s="177"/>
      <c r="AV209" s="168"/>
      <c r="AW209" s="177"/>
      <c r="AX209" s="168"/>
      <c r="AY209" s="177"/>
      <c r="AZ209" s="168"/>
      <c r="BA209" s="177"/>
      <c r="BB209" s="168"/>
      <c r="BC209" s="177"/>
      <c r="BD209" s="168"/>
      <c r="BE209" s="177"/>
      <c r="BF209" s="168"/>
      <c r="BG209" s="177"/>
      <c r="BH209" s="168"/>
      <c r="BI209" s="177"/>
      <c r="BJ209" s="168"/>
      <c r="BK209" s="177"/>
      <c r="BL209" s="168"/>
      <c r="BM209" s="177"/>
      <c r="BN209" s="168"/>
      <c r="BO209" s="177"/>
      <c r="BP209" s="168"/>
      <c r="BQ209" s="177"/>
      <c r="BR209" s="168"/>
      <c r="BS209" s="177"/>
      <c r="BT209" s="168"/>
      <c r="BU209" s="177"/>
      <c r="BV209" s="168"/>
      <c r="BW209" s="177"/>
      <c r="BX209" s="168"/>
      <c r="BY209" s="177"/>
      <c r="BZ209" s="168"/>
      <c r="CA209" s="177"/>
      <c r="CB209" s="168"/>
      <c r="CC209" s="177"/>
      <c r="CD209" s="168"/>
      <c r="CE209" s="177"/>
      <c r="CF209" s="168"/>
      <c r="CG209" s="187"/>
      <c r="CH209" s="183"/>
      <c r="CI209" s="185"/>
      <c r="CJ209" s="160"/>
      <c r="CK209" s="160"/>
      <c r="CL209" s="160"/>
      <c r="CM209" s="160"/>
      <c r="CN209" s="160"/>
      <c r="CO209" s="160"/>
      <c r="CP209" s="160"/>
      <c r="CQ209" s="160"/>
      <c r="CR209" s="160"/>
      <c r="CS209" s="179"/>
      <c r="CT209" s="160"/>
      <c r="CU209" s="160"/>
      <c r="CV209" s="160"/>
      <c r="CW209" s="160"/>
      <c r="CX209" s="160"/>
      <c r="CY209" s="160"/>
      <c r="CZ209" s="160"/>
      <c r="DA209" s="160"/>
      <c r="DB209" s="160"/>
      <c r="DC209" s="160"/>
      <c r="DD209" s="160"/>
      <c r="DE209" s="160"/>
      <c r="DF209" s="160"/>
      <c r="DG209" s="160"/>
      <c r="DH209" s="160"/>
      <c r="DI209" s="160"/>
      <c r="DJ209" s="160"/>
      <c r="DK209" s="160"/>
      <c r="DL209" s="160"/>
      <c r="DM209" s="160"/>
      <c r="DN209" s="160"/>
    </row>
    <row r="210" spans="1:118" hidden="1">
      <c r="A210" s="149"/>
      <c r="B210" s="150"/>
      <c r="C210" s="151"/>
      <c r="D210" s="152"/>
      <c r="E210" s="152"/>
      <c r="F210" s="152"/>
      <c r="G210" s="152"/>
      <c r="H210" s="62">
        <f>SUM(Table4[[#This Row],[BASIC]:[FOOD]])</f>
        <v>0</v>
      </c>
      <c r="I210" s="62"/>
      <c r="J210" s="62"/>
      <c r="K210" s="62"/>
      <c r="L210" s="62"/>
      <c r="M210" s="62"/>
      <c r="N210" s="62"/>
      <c r="O210" s="62">
        <f>SUM(Table4[[#This Row],[ESI BASIC]:[ESI FOOD]])</f>
        <v>0</v>
      </c>
      <c r="P210" s="160"/>
      <c r="Q210" s="160"/>
      <c r="R210" s="175"/>
      <c r="S210" s="167"/>
      <c r="T210" s="10">
        <f t="shared" si="15"/>
        <v>0</v>
      </c>
      <c r="U210" s="167"/>
      <c r="V210" s="10">
        <f t="shared" si="16"/>
        <v>0</v>
      </c>
      <c r="W210" s="10">
        <f t="shared" si="17"/>
        <v>0</v>
      </c>
      <c r="X210" s="170"/>
      <c r="Y210" s="177"/>
      <c r="Z210" s="168"/>
      <c r="AA210" s="177"/>
      <c r="AB210" s="168"/>
      <c r="AC210" s="177"/>
      <c r="AD210" s="168"/>
      <c r="AE210" s="177"/>
      <c r="AF210" s="168"/>
      <c r="AG210" s="177"/>
      <c r="AH210" s="168"/>
      <c r="AI210" s="177"/>
      <c r="AJ210" s="168"/>
      <c r="AK210" s="177"/>
      <c r="AL210" s="168"/>
      <c r="AM210" s="177"/>
      <c r="AN210" s="168"/>
      <c r="AO210" s="177"/>
      <c r="AP210" s="168"/>
      <c r="AQ210" s="177"/>
      <c r="AR210" s="168"/>
      <c r="AS210" s="177"/>
      <c r="AT210" s="168"/>
      <c r="AU210" s="177"/>
      <c r="AV210" s="168"/>
      <c r="AW210" s="177"/>
      <c r="AX210" s="168"/>
      <c r="AY210" s="177"/>
      <c r="AZ210" s="168"/>
      <c r="BA210" s="177"/>
      <c r="BB210" s="168"/>
      <c r="BC210" s="177"/>
      <c r="BD210" s="168"/>
      <c r="BE210" s="177"/>
      <c r="BF210" s="168"/>
      <c r="BG210" s="177"/>
      <c r="BH210" s="168"/>
      <c r="BI210" s="177"/>
      <c r="BJ210" s="168"/>
      <c r="BK210" s="177"/>
      <c r="BL210" s="168"/>
      <c r="BM210" s="177"/>
      <c r="BN210" s="168"/>
      <c r="BO210" s="177"/>
      <c r="BP210" s="168"/>
      <c r="BQ210" s="177"/>
      <c r="BR210" s="168"/>
      <c r="BS210" s="177"/>
      <c r="BT210" s="168"/>
      <c r="BU210" s="177"/>
      <c r="BV210" s="168"/>
      <c r="BW210" s="177"/>
      <c r="BX210" s="168"/>
      <c r="BY210" s="177"/>
      <c r="BZ210" s="168"/>
      <c r="CA210" s="177"/>
      <c r="CB210" s="168"/>
      <c r="CC210" s="177"/>
      <c r="CD210" s="168"/>
      <c r="CE210" s="177"/>
      <c r="CF210" s="168"/>
      <c r="CG210" s="187"/>
      <c r="CH210" s="183"/>
      <c r="CI210" s="185"/>
      <c r="CJ210" s="160"/>
      <c r="CK210" s="160"/>
      <c r="CL210" s="160"/>
      <c r="CM210" s="160"/>
      <c r="CN210" s="160"/>
      <c r="CO210" s="160"/>
      <c r="CP210" s="160"/>
      <c r="CQ210" s="160"/>
      <c r="CR210" s="160"/>
      <c r="CS210" s="179"/>
      <c r="CT210" s="160"/>
      <c r="CU210" s="160"/>
      <c r="CV210" s="160"/>
      <c r="CW210" s="160"/>
      <c r="CX210" s="160"/>
      <c r="CY210" s="160"/>
      <c r="CZ210" s="160"/>
      <c r="DA210" s="160"/>
      <c r="DB210" s="160"/>
      <c r="DC210" s="160"/>
      <c r="DD210" s="160"/>
      <c r="DE210" s="160"/>
      <c r="DF210" s="160"/>
      <c r="DG210" s="160"/>
      <c r="DH210" s="160"/>
      <c r="DI210" s="160"/>
      <c r="DJ210" s="160"/>
      <c r="DK210" s="160"/>
      <c r="DL210" s="160"/>
      <c r="DM210" s="160"/>
      <c r="DN210" s="160"/>
    </row>
    <row r="211" spans="1:118" hidden="1">
      <c r="A211" s="149"/>
      <c r="B211" s="150"/>
      <c r="C211" s="151"/>
      <c r="D211" s="152"/>
      <c r="E211" s="152"/>
      <c r="F211" s="152"/>
      <c r="G211" s="152"/>
      <c r="H211" s="62">
        <f>SUM(Table4[[#This Row],[BASIC]:[FOOD]])</f>
        <v>0</v>
      </c>
      <c r="I211" s="62"/>
      <c r="J211" s="62"/>
      <c r="K211" s="62"/>
      <c r="L211" s="62"/>
      <c r="M211" s="62"/>
      <c r="N211" s="62"/>
      <c r="O211" s="62">
        <f>SUM(Table4[[#This Row],[ESI BASIC]:[ESI FOOD]])</f>
        <v>0</v>
      </c>
      <c r="P211" s="160"/>
      <c r="Q211" s="160"/>
      <c r="R211" s="175"/>
      <c r="S211" s="167"/>
      <c r="T211" s="10">
        <f t="shared" si="15"/>
        <v>0</v>
      </c>
      <c r="U211" s="167"/>
      <c r="V211" s="10">
        <f t="shared" si="16"/>
        <v>0</v>
      </c>
      <c r="W211" s="10">
        <f t="shared" si="17"/>
        <v>0</v>
      </c>
      <c r="X211" s="170"/>
      <c r="Y211" s="177"/>
      <c r="Z211" s="168"/>
      <c r="AA211" s="177"/>
      <c r="AB211" s="168"/>
      <c r="AC211" s="177"/>
      <c r="AD211" s="168"/>
      <c r="AE211" s="177"/>
      <c r="AF211" s="168"/>
      <c r="AG211" s="177"/>
      <c r="AH211" s="168"/>
      <c r="AI211" s="177"/>
      <c r="AJ211" s="168"/>
      <c r="AK211" s="177"/>
      <c r="AL211" s="168"/>
      <c r="AM211" s="177"/>
      <c r="AN211" s="168"/>
      <c r="AO211" s="177"/>
      <c r="AP211" s="168"/>
      <c r="AQ211" s="177"/>
      <c r="AR211" s="168"/>
      <c r="AS211" s="177"/>
      <c r="AT211" s="168"/>
      <c r="AU211" s="177"/>
      <c r="AV211" s="168"/>
      <c r="AW211" s="177"/>
      <c r="AX211" s="168"/>
      <c r="AY211" s="177"/>
      <c r="AZ211" s="168"/>
      <c r="BA211" s="177"/>
      <c r="BB211" s="168"/>
      <c r="BC211" s="177"/>
      <c r="BD211" s="168"/>
      <c r="BE211" s="177"/>
      <c r="BF211" s="168"/>
      <c r="BG211" s="177"/>
      <c r="BH211" s="168"/>
      <c r="BI211" s="177"/>
      <c r="BJ211" s="168"/>
      <c r="BK211" s="177"/>
      <c r="BL211" s="168"/>
      <c r="BM211" s="177"/>
      <c r="BN211" s="168"/>
      <c r="BO211" s="177"/>
      <c r="BP211" s="168"/>
      <c r="BQ211" s="177"/>
      <c r="BR211" s="168"/>
      <c r="BS211" s="177"/>
      <c r="BT211" s="168"/>
      <c r="BU211" s="177"/>
      <c r="BV211" s="168"/>
      <c r="BW211" s="177"/>
      <c r="BX211" s="168"/>
      <c r="BY211" s="177"/>
      <c r="BZ211" s="168"/>
      <c r="CA211" s="177"/>
      <c r="CB211" s="168"/>
      <c r="CC211" s="177"/>
      <c r="CD211" s="168"/>
      <c r="CE211" s="177"/>
      <c r="CF211" s="168"/>
      <c r="CG211" s="187"/>
      <c r="CH211" s="183"/>
      <c r="CI211" s="185"/>
      <c r="CJ211" s="160"/>
      <c r="CK211" s="160"/>
      <c r="CL211" s="160"/>
      <c r="CM211" s="160"/>
      <c r="CN211" s="160"/>
      <c r="CO211" s="160"/>
      <c r="CP211" s="160"/>
      <c r="CQ211" s="160"/>
      <c r="CR211" s="160"/>
      <c r="CS211" s="179"/>
      <c r="CT211" s="160"/>
      <c r="CU211" s="160"/>
      <c r="CV211" s="160"/>
      <c r="CW211" s="160"/>
      <c r="CX211" s="160"/>
      <c r="CY211" s="160"/>
      <c r="CZ211" s="160"/>
      <c r="DA211" s="160"/>
      <c r="DB211" s="160"/>
      <c r="DC211" s="160"/>
      <c r="DD211" s="160"/>
      <c r="DE211" s="160"/>
      <c r="DF211" s="160"/>
      <c r="DG211" s="160"/>
      <c r="DH211" s="160"/>
      <c r="DI211" s="160"/>
      <c r="DJ211" s="160"/>
      <c r="DK211" s="160"/>
      <c r="DL211" s="160"/>
      <c r="DM211" s="160"/>
      <c r="DN211" s="160"/>
    </row>
    <row r="212" spans="1:118" hidden="1">
      <c r="A212" s="149"/>
      <c r="B212" s="150"/>
      <c r="C212" s="151"/>
      <c r="D212" s="152"/>
      <c r="E212" s="152"/>
      <c r="F212" s="152"/>
      <c r="G212" s="152"/>
      <c r="H212" s="62">
        <f>SUM(Table4[[#This Row],[BASIC]:[FOOD]])</f>
        <v>0</v>
      </c>
      <c r="I212" s="62"/>
      <c r="J212" s="62"/>
      <c r="K212" s="62"/>
      <c r="L212" s="62"/>
      <c r="M212" s="62"/>
      <c r="N212" s="62"/>
      <c r="O212" s="62">
        <f>SUM(Table4[[#This Row],[ESI BASIC]:[ESI FOOD]])</f>
        <v>0</v>
      </c>
      <c r="P212" s="160"/>
      <c r="Q212" s="160"/>
      <c r="R212" s="175"/>
      <c r="S212" s="167"/>
      <c r="T212" s="10">
        <f t="shared" si="15"/>
        <v>0</v>
      </c>
      <c r="U212" s="167"/>
      <c r="V212" s="10">
        <f t="shared" si="16"/>
        <v>0</v>
      </c>
      <c r="W212" s="10">
        <f t="shared" si="17"/>
        <v>0</v>
      </c>
      <c r="X212" s="170"/>
      <c r="Y212" s="177"/>
      <c r="Z212" s="168"/>
      <c r="AA212" s="177"/>
      <c r="AB212" s="168"/>
      <c r="AC212" s="177"/>
      <c r="AD212" s="168"/>
      <c r="AE212" s="177"/>
      <c r="AF212" s="168"/>
      <c r="AG212" s="177"/>
      <c r="AH212" s="168"/>
      <c r="AI212" s="177"/>
      <c r="AJ212" s="168"/>
      <c r="AK212" s="177"/>
      <c r="AL212" s="168"/>
      <c r="AM212" s="177"/>
      <c r="AN212" s="168"/>
      <c r="AO212" s="177"/>
      <c r="AP212" s="168"/>
      <c r="AQ212" s="177"/>
      <c r="AR212" s="168"/>
      <c r="AS212" s="177"/>
      <c r="AT212" s="168"/>
      <c r="AU212" s="177"/>
      <c r="AV212" s="168"/>
      <c r="AW212" s="177"/>
      <c r="AX212" s="168"/>
      <c r="AY212" s="177"/>
      <c r="AZ212" s="168"/>
      <c r="BA212" s="177"/>
      <c r="BB212" s="168"/>
      <c r="BC212" s="177"/>
      <c r="BD212" s="168"/>
      <c r="BE212" s="177"/>
      <c r="BF212" s="168"/>
      <c r="BG212" s="177"/>
      <c r="BH212" s="168"/>
      <c r="BI212" s="177"/>
      <c r="BJ212" s="168"/>
      <c r="BK212" s="177"/>
      <c r="BL212" s="168"/>
      <c r="BM212" s="177"/>
      <c r="BN212" s="168"/>
      <c r="BO212" s="177"/>
      <c r="BP212" s="168"/>
      <c r="BQ212" s="177"/>
      <c r="BR212" s="168"/>
      <c r="BS212" s="177"/>
      <c r="BT212" s="168"/>
      <c r="BU212" s="177"/>
      <c r="BV212" s="168"/>
      <c r="BW212" s="177"/>
      <c r="BX212" s="168"/>
      <c r="BY212" s="177"/>
      <c r="BZ212" s="168"/>
      <c r="CA212" s="177"/>
      <c r="CB212" s="168"/>
      <c r="CC212" s="177"/>
      <c r="CD212" s="168"/>
      <c r="CE212" s="177"/>
      <c r="CF212" s="168"/>
      <c r="CG212" s="187"/>
      <c r="CH212" s="183"/>
      <c r="CI212" s="185"/>
      <c r="CJ212" s="160"/>
      <c r="CK212" s="160"/>
      <c r="CL212" s="160"/>
      <c r="CM212" s="160"/>
      <c r="CN212" s="160"/>
      <c r="CO212" s="160"/>
      <c r="CP212" s="160"/>
      <c r="CQ212" s="160"/>
      <c r="CR212" s="160"/>
      <c r="CS212" s="179"/>
      <c r="CT212" s="160"/>
      <c r="CU212" s="160"/>
      <c r="CV212" s="160"/>
      <c r="CW212" s="160"/>
      <c r="CX212" s="160"/>
      <c r="CY212" s="160"/>
      <c r="CZ212" s="160"/>
      <c r="DA212" s="160"/>
      <c r="DB212" s="160"/>
      <c r="DC212" s="160"/>
      <c r="DD212" s="160"/>
      <c r="DE212" s="160"/>
      <c r="DF212" s="160"/>
      <c r="DG212" s="160"/>
      <c r="DH212" s="160"/>
      <c r="DI212" s="160"/>
      <c r="DJ212" s="160"/>
      <c r="DK212" s="160"/>
      <c r="DL212" s="160"/>
      <c r="DM212" s="160"/>
      <c r="DN212" s="160"/>
    </row>
    <row r="213" spans="1:118" hidden="1">
      <c r="A213" s="149"/>
      <c r="B213" s="150"/>
      <c r="C213" s="151"/>
      <c r="D213" s="152"/>
      <c r="E213" s="152"/>
      <c r="F213" s="152"/>
      <c r="G213" s="152"/>
      <c r="H213" s="62">
        <f>SUM(Table4[[#This Row],[BASIC]:[FOOD]])</f>
        <v>0</v>
      </c>
      <c r="I213" s="62"/>
      <c r="J213" s="62"/>
      <c r="K213" s="62"/>
      <c r="L213" s="62"/>
      <c r="M213" s="62"/>
      <c r="N213" s="62"/>
      <c r="O213" s="62">
        <f>SUM(Table4[[#This Row],[ESI BASIC]:[ESI FOOD]])</f>
        <v>0</v>
      </c>
      <c r="P213" s="160"/>
      <c r="Q213" s="160"/>
      <c r="R213" s="175"/>
      <c r="S213" s="167"/>
      <c r="T213" s="10">
        <f t="shared" si="15"/>
        <v>0</v>
      </c>
      <c r="U213" s="167"/>
      <c r="V213" s="10">
        <f t="shared" si="16"/>
        <v>0</v>
      </c>
      <c r="W213" s="10">
        <f t="shared" si="17"/>
        <v>0</v>
      </c>
      <c r="X213" s="170"/>
      <c r="Y213" s="177"/>
      <c r="Z213" s="168"/>
      <c r="AA213" s="177"/>
      <c r="AB213" s="168"/>
      <c r="AC213" s="177"/>
      <c r="AD213" s="168"/>
      <c r="AE213" s="177"/>
      <c r="AF213" s="168"/>
      <c r="AG213" s="177"/>
      <c r="AH213" s="168"/>
      <c r="AI213" s="177"/>
      <c r="AJ213" s="168"/>
      <c r="AK213" s="177"/>
      <c r="AL213" s="168"/>
      <c r="AM213" s="177"/>
      <c r="AN213" s="168"/>
      <c r="AO213" s="177"/>
      <c r="AP213" s="168"/>
      <c r="AQ213" s="177"/>
      <c r="AR213" s="168"/>
      <c r="AS213" s="177"/>
      <c r="AT213" s="168"/>
      <c r="AU213" s="177"/>
      <c r="AV213" s="168"/>
      <c r="AW213" s="177"/>
      <c r="AX213" s="168"/>
      <c r="AY213" s="177"/>
      <c r="AZ213" s="168"/>
      <c r="BA213" s="177"/>
      <c r="BB213" s="168"/>
      <c r="BC213" s="177"/>
      <c r="BD213" s="168"/>
      <c r="BE213" s="177"/>
      <c r="BF213" s="168"/>
      <c r="BG213" s="177"/>
      <c r="BH213" s="168"/>
      <c r="BI213" s="177"/>
      <c r="BJ213" s="168"/>
      <c r="BK213" s="177"/>
      <c r="BL213" s="168"/>
      <c r="BM213" s="177"/>
      <c r="BN213" s="168"/>
      <c r="BO213" s="177"/>
      <c r="BP213" s="168"/>
      <c r="BQ213" s="177"/>
      <c r="BR213" s="168"/>
      <c r="BS213" s="177"/>
      <c r="BT213" s="168"/>
      <c r="BU213" s="177"/>
      <c r="BV213" s="168"/>
      <c r="BW213" s="177"/>
      <c r="BX213" s="168"/>
      <c r="BY213" s="177"/>
      <c r="BZ213" s="168"/>
      <c r="CA213" s="177"/>
      <c r="CB213" s="168"/>
      <c r="CC213" s="177"/>
      <c r="CD213" s="168"/>
      <c r="CE213" s="177"/>
      <c r="CF213" s="168"/>
      <c r="CG213" s="187"/>
      <c r="CH213" s="183"/>
      <c r="CI213" s="185"/>
      <c r="CJ213" s="160"/>
      <c r="CK213" s="160"/>
      <c r="CL213" s="160"/>
      <c r="CM213" s="160"/>
      <c r="CN213" s="160"/>
      <c r="CO213" s="160"/>
      <c r="CP213" s="160"/>
      <c r="CQ213" s="160"/>
      <c r="CR213" s="160"/>
      <c r="CS213" s="179"/>
      <c r="CT213" s="160"/>
      <c r="CU213" s="160"/>
      <c r="CV213" s="160"/>
      <c r="CW213" s="160"/>
      <c r="CX213" s="160"/>
      <c r="CY213" s="160"/>
      <c r="CZ213" s="160"/>
      <c r="DA213" s="160"/>
      <c r="DB213" s="160"/>
      <c r="DC213" s="160"/>
      <c r="DD213" s="160"/>
      <c r="DE213" s="160"/>
      <c r="DF213" s="160"/>
      <c r="DG213" s="160"/>
      <c r="DH213" s="160"/>
      <c r="DI213" s="160"/>
      <c r="DJ213" s="160"/>
      <c r="DK213" s="160"/>
      <c r="DL213" s="160"/>
      <c r="DM213" s="160"/>
      <c r="DN213" s="160"/>
    </row>
    <row r="214" spans="1:118" hidden="1">
      <c r="A214" s="149"/>
      <c r="B214" s="150"/>
      <c r="C214" s="151"/>
      <c r="D214" s="152"/>
      <c r="E214" s="152"/>
      <c r="F214" s="152"/>
      <c r="G214" s="152"/>
      <c r="H214" s="62">
        <f>SUM(Table4[[#This Row],[BASIC]:[FOOD]])</f>
        <v>0</v>
      </c>
      <c r="I214" s="62"/>
      <c r="J214" s="62"/>
      <c r="K214" s="62"/>
      <c r="L214" s="62"/>
      <c r="M214" s="62"/>
      <c r="N214" s="62"/>
      <c r="O214" s="62">
        <f>SUM(Table4[[#This Row],[ESI BASIC]:[ESI FOOD]])</f>
        <v>0</v>
      </c>
      <c r="P214" s="160"/>
      <c r="Q214" s="160"/>
      <c r="R214" s="175"/>
      <c r="S214" s="167"/>
      <c r="T214" s="10">
        <f t="shared" si="15"/>
        <v>0</v>
      </c>
      <c r="U214" s="167"/>
      <c r="V214" s="10">
        <f t="shared" si="16"/>
        <v>0</v>
      </c>
      <c r="W214" s="10">
        <f t="shared" si="17"/>
        <v>0</v>
      </c>
      <c r="X214" s="170"/>
      <c r="Y214" s="177"/>
      <c r="Z214" s="168"/>
      <c r="AA214" s="177"/>
      <c r="AB214" s="168"/>
      <c r="AC214" s="177"/>
      <c r="AD214" s="168"/>
      <c r="AE214" s="177"/>
      <c r="AF214" s="168"/>
      <c r="AG214" s="177"/>
      <c r="AH214" s="168"/>
      <c r="AI214" s="177"/>
      <c r="AJ214" s="168"/>
      <c r="AK214" s="177"/>
      <c r="AL214" s="168"/>
      <c r="AM214" s="177"/>
      <c r="AN214" s="168"/>
      <c r="AO214" s="177"/>
      <c r="AP214" s="168"/>
      <c r="AQ214" s="177"/>
      <c r="AR214" s="168"/>
      <c r="AS214" s="177"/>
      <c r="AT214" s="168"/>
      <c r="AU214" s="177"/>
      <c r="AV214" s="168"/>
      <c r="AW214" s="177"/>
      <c r="AX214" s="168"/>
      <c r="AY214" s="177"/>
      <c r="AZ214" s="168"/>
      <c r="BA214" s="177"/>
      <c r="BB214" s="168"/>
      <c r="BC214" s="177"/>
      <c r="BD214" s="168"/>
      <c r="BE214" s="177"/>
      <c r="BF214" s="168"/>
      <c r="BG214" s="177"/>
      <c r="BH214" s="168"/>
      <c r="BI214" s="177"/>
      <c r="BJ214" s="168"/>
      <c r="BK214" s="177"/>
      <c r="BL214" s="168"/>
      <c r="BM214" s="177"/>
      <c r="BN214" s="168"/>
      <c r="BO214" s="177"/>
      <c r="BP214" s="168"/>
      <c r="BQ214" s="177"/>
      <c r="BR214" s="168"/>
      <c r="BS214" s="177"/>
      <c r="BT214" s="168"/>
      <c r="BU214" s="177"/>
      <c r="BV214" s="168"/>
      <c r="BW214" s="177"/>
      <c r="BX214" s="168"/>
      <c r="BY214" s="177"/>
      <c r="BZ214" s="168"/>
      <c r="CA214" s="177"/>
      <c r="CB214" s="168"/>
      <c r="CC214" s="177"/>
      <c r="CD214" s="168"/>
      <c r="CE214" s="177"/>
      <c r="CF214" s="168"/>
      <c r="CG214" s="187"/>
      <c r="CH214" s="183"/>
      <c r="CI214" s="185"/>
      <c r="CJ214" s="160"/>
      <c r="CK214" s="160"/>
      <c r="CL214" s="160"/>
      <c r="CM214" s="160"/>
      <c r="CN214" s="160"/>
      <c r="CO214" s="160"/>
      <c r="CP214" s="160"/>
      <c r="CQ214" s="160"/>
      <c r="CR214" s="160"/>
      <c r="CS214" s="179"/>
      <c r="CT214" s="160"/>
      <c r="CU214" s="160"/>
      <c r="CV214" s="160"/>
      <c r="CW214" s="160"/>
      <c r="CX214" s="160"/>
      <c r="CY214" s="160"/>
      <c r="CZ214" s="160"/>
      <c r="DA214" s="160"/>
      <c r="DB214" s="160"/>
      <c r="DC214" s="160"/>
      <c r="DD214" s="160"/>
      <c r="DE214" s="160"/>
      <c r="DF214" s="160"/>
      <c r="DG214" s="160"/>
      <c r="DH214" s="160"/>
      <c r="DI214" s="160"/>
      <c r="DJ214" s="160"/>
      <c r="DK214" s="160"/>
      <c r="DL214" s="160"/>
      <c r="DM214" s="160"/>
      <c r="DN214" s="160"/>
    </row>
    <row r="215" spans="1:118" hidden="1">
      <c r="A215" s="149"/>
      <c r="B215" s="150"/>
      <c r="C215" s="151"/>
      <c r="D215" s="152"/>
      <c r="E215" s="152"/>
      <c r="F215" s="152"/>
      <c r="G215" s="152"/>
      <c r="H215" s="62">
        <f>SUM(Table4[[#This Row],[BASIC]:[FOOD]])</f>
        <v>0</v>
      </c>
      <c r="I215" s="62"/>
      <c r="J215" s="62"/>
      <c r="K215" s="62"/>
      <c r="L215" s="62"/>
      <c r="M215" s="62"/>
      <c r="N215" s="62"/>
      <c r="O215" s="62">
        <f>SUM(Table4[[#This Row],[ESI BASIC]:[ESI FOOD]])</f>
        <v>0</v>
      </c>
      <c r="P215" s="160"/>
      <c r="Q215" s="160"/>
      <c r="R215" s="175"/>
      <c r="S215" s="167"/>
      <c r="T215" s="10">
        <f t="shared" si="15"/>
        <v>0</v>
      </c>
      <c r="U215" s="167"/>
      <c r="V215" s="10">
        <f t="shared" si="16"/>
        <v>0</v>
      </c>
      <c r="W215" s="10">
        <f t="shared" si="17"/>
        <v>0</v>
      </c>
      <c r="X215" s="170"/>
      <c r="Y215" s="177"/>
      <c r="Z215" s="168"/>
      <c r="AA215" s="177"/>
      <c r="AB215" s="168"/>
      <c r="AC215" s="177"/>
      <c r="AD215" s="168"/>
      <c r="AE215" s="177"/>
      <c r="AF215" s="168"/>
      <c r="AG215" s="177"/>
      <c r="AH215" s="168"/>
      <c r="AI215" s="177"/>
      <c r="AJ215" s="168"/>
      <c r="AK215" s="177"/>
      <c r="AL215" s="168"/>
      <c r="AM215" s="177"/>
      <c r="AN215" s="168"/>
      <c r="AO215" s="177"/>
      <c r="AP215" s="168"/>
      <c r="AQ215" s="177"/>
      <c r="AR215" s="168"/>
      <c r="AS215" s="177"/>
      <c r="AT215" s="168"/>
      <c r="AU215" s="177"/>
      <c r="AV215" s="168"/>
      <c r="AW215" s="177"/>
      <c r="AX215" s="168"/>
      <c r="AY215" s="177"/>
      <c r="AZ215" s="168"/>
      <c r="BA215" s="177"/>
      <c r="BB215" s="168"/>
      <c r="BC215" s="177"/>
      <c r="BD215" s="168"/>
      <c r="BE215" s="177"/>
      <c r="BF215" s="168"/>
      <c r="BG215" s="177"/>
      <c r="BH215" s="168"/>
      <c r="BI215" s="177"/>
      <c r="BJ215" s="168"/>
      <c r="BK215" s="177"/>
      <c r="BL215" s="168"/>
      <c r="BM215" s="177"/>
      <c r="BN215" s="168"/>
      <c r="BO215" s="177"/>
      <c r="BP215" s="168"/>
      <c r="BQ215" s="177"/>
      <c r="BR215" s="168"/>
      <c r="BS215" s="177"/>
      <c r="BT215" s="168"/>
      <c r="BU215" s="177"/>
      <c r="BV215" s="168"/>
      <c r="BW215" s="177"/>
      <c r="BX215" s="168"/>
      <c r="BY215" s="177"/>
      <c r="BZ215" s="168"/>
      <c r="CA215" s="177"/>
      <c r="CB215" s="168"/>
      <c r="CC215" s="177"/>
      <c r="CD215" s="168"/>
      <c r="CE215" s="177"/>
      <c r="CF215" s="168"/>
      <c r="CG215" s="187"/>
      <c r="CH215" s="183"/>
      <c r="CI215" s="185"/>
      <c r="CJ215" s="160"/>
      <c r="CK215" s="160"/>
      <c r="CL215" s="160"/>
      <c r="CM215" s="160"/>
      <c r="CN215" s="160"/>
      <c r="CO215" s="160"/>
      <c r="CP215" s="160"/>
      <c r="CQ215" s="160"/>
      <c r="CR215" s="160"/>
      <c r="CS215" s="179"/>
      <c r="CT215" s="160"/>
      <c r="CU215" s="160"/>
      <c r="CV215" s="160"/>
      <c r="CW215" s="160"/>
      <c r="CX215" s="160"/>
      <c r="CY215" s="160"/>
      <c r="CZ215" s="160"/>
      <c r="DA215" s="160"/>
      <c r="DB215" s="160"/>
      <c r="DC215" s="160"/>
      <c r="DD215" s="160"/>
      <c r="DE215" s="160"/>
      <c r="DF215" s="160"/>
      <c r="DG215" s="160"/>
      <c r="DH215" s="160"/>
      <c r="DI215" s="160"/>
      <c r="DJ215" s="160"/>
      <c r="DK215" s="160"/>
      <c r="DL215" s="160"/>
      <c r="DM215" s="160"/>
      <c r="DN215" s="160"/>
    </row>
    <row r="216" spans="1:118" hidden="1">
      <c r="A216" s="149"/>
      <c r="B216" s="150"/>
      <c r="C216" s="151"/>
      <c r="D216" s="152"/>
      <c r="E216" s="152"/>
      <c r="F216" s="152"/>
      <c r="G216" s="152"/>
      <c r="H216" s="62">
        <f>SUM(Table4[[#This Row],[BASIC]:[FOOD]])</f>
        <v>0</v>
      </c>
      <c r="I216" s="62"/>
      <c r="J216" s="62"/>
      <c r="K216" s="62"/>
      <c r="L216" s="62"/>
      <c r="M216" s="62"/>
      <c r="N216" s="62"/>
      <c r="O216" s="62">
        <f>SUM(Table4[[#This Row],[ESI BASIC]:[ESI FOOD]])</f>
        <v>0</v>
      </c>
      <c r="P216" s="160"/>
      <c r="Q216" s="160"/>
      <c r="R216" s="175"/>
      <c r="S216" s="167"/>
      <c r="T216" s="10">
        <f t="shared" si="15"/>
        <v>0</v>
      </c>
      <c r="U216" s="167"/>
      <c r="V216" s="10">
        <f t="shared" si="16"/>
        <v>0</v>
      </c>
      <c r="W216" s="10">
        <f t="shared" si="17"/>
        <v>0</v>
      </c>
      <c r="X216" s="170"/>
      <c r="Y216" s="177"/>
      <c r="Z216" s="168"/>
      <c r="AA216" s="177"/>
      <c r="AB216" s="168"/>
      <c r="AC216" s="177"/>
      <c r="AD216" s="168"/>
      <c r="AE216" s="177"/>
      <c r="AF216" s="168"/>
      <c r="AG216" s="177"/>
      <c r="AH216" s="168"/>
      <c r="AI216" s="177"/>
      <c r="AJ216" s="168"/>
      <c r="AK216" s="177"/>
      <c r="AL216" s="168"/>
      <c r="AM216" s="177"/>
      <c r="AN216" s="168"/>
      <c r="AO216" s="177"/>
      <c r="AP216" s="168"/>
      <c r="AQ216" s="177"/>
      <c r="AR216" s="168"/>
      <c r="AS216" s="177"/>
      <c r="AT216" s="168"/>
      <c r="AU216" s="177"/>
      <c r="AV216" s="168"/>
      <c r="AW216" s="177"/>
      <c r="AX216" s="168"/>
      <c r="AY216" s="177"/>
      <c r="AZ216" s="168"/>
      <c r="BA216" s="177"/>
      <c r="BB216" s="168"/>
      <c r="BC216" s="177"/>
      <c r="BD216" s="168"/>
      <c r="BE216" s="177"/>
      <c r="BF216" s="168"/>
      <c r="BG216" s="177"/>
      <c r="BH216" s="168"/>
      <c r="BI216" s="177"/>
      <c r="BJ216" s="168"/>
      <c r="BK216" s="177"/>
      <c r="BL216" s="168"/>
      <c r="BM216" s="177"/>
      <c r="BN216" s="168"/>
      <c r="BO216" s="177"/>
      <c r="BP216" s="168"/>
      <c r="BQ216" s="177"/>
      <c r="BR216" s="168"/>
      <c r="BS216" s="177"/>
      <c r="BT216" s="168"/>
      <c r="BU216" s="177"/>
      <c r="BV216" s="168"/>
      <c r="BW216" s="177"/>
      <c r="BX216" s="168"/>
      <c r="BY216" s="177"/>
      <c r="BZ216" s="168"/>
      <c r="CA216" s="177"/>
      <c r="CB216" s="168"/>
      <c r="CC216" s="177"/>
      <c r="CD216" s="168"/>
      <c r="CE216" s="177"/>
      <c r="CF216" s="168"/>
      <c r="CG216" s="187"/>
      <c r="CH216" s="183"/>
      <c r="CI216" s="185"/>
      <c r="CJ216" s="160"/>
      <c r="CK216" s="160"/>
      <c r="CL216" s="160"/>
      <c r="CM216" s="160"/>
      <c r="CN216" s="160"/>
      <c r="CO216" s="160"/>
      <c r="CP216" s="160"/>
      <c r="CQ216" s="160"/>
      <c r="CR216" s="160"/>
      <c r="CS216" s="179"/>
      <c r="CT216" s="160"/>
      <c r="CU216" s="160"/>
      <c r="CV216" s="160"/>
      <c r="CW216" s="160"/>
      <c r="CX216" s="160"/>
      <c r="CY216" s="160"/>
      <c r="CZ216" s="160"/>
      <c r="DA216" s="160"/>
      <c r="DB216" s="160"/>
      <c r="DC216" s="160"/>
      <c r="DD216" s="160"/>
      <c r="DE216" s="160"/>
      <c r="DF216" s="160"/>
      <c r="DG216" s="160"/>
      <c r="DH216" s="160"/>
      <c r="DI216" s="160"/>
      <c r="DJ216" s="160"/>
      <c r="DK216" s="160"/>
      <c r="DL216" s="160"/>
      <c r="DM216" s="160"/>
      <c r="DN216" s="160"/>
    </row>
    <row r="217" spans="1:118" hidden="1">
      <c r="A217" s="149"/>
      <c r="B217" s="150"/>
      <c r="C217" s="151"/>
      <c r="D217" s="152"/>
      <c r="E217" s="152"/>
      <c r="F217" s="152"/>
      <c r="G217" s="152"/>
      <c r="H217" s="62">
        <f>SUM(Table4[[#This Row],[BASIC]:[FOOD]])</f>
        <v>0</v>
      </c>
      <c r="I217" s="62"/>
      <c r="J217" s="62"/>
      <c r="K217" s="62"/>
      <c r="L217" s="62"/>
      <c r="M217" s="62"/>
      <c r="N217" s="62"/>
      <c r="O217" s="62">
        <f>SUM(Table4[[#This Row],[ESI BASIC]:[ESI FOOD]])</f>
        <v>0</v>
      </c>
      <c r="P217" s="160"/>
      <c r="Q217" s="160"/>
      <c r="R217" s="175"/>
      <c r="S217" s="167"/>
      <c r="T217" s="10">
        <f t="shared" si="15"/>
        <v>0</v>
      </c>
      <c r="U217" s="167"/>
      <c r="V217" s="10">
        <f t="shared" si="16"/>
        <v>0</v>
      </c>
      <c r="W217" s="10">
        <f t="shared" si="17"/>
        <v>0</v>
      </c>
      <c r="X217" s="170"/>
      <c r="Y217" s="177"/>
      <c r="Z217" s="168"/>
      <c r="AA217" s="177"/>
      <c r="AB217" s="168"/>
      <c r="AC217" s="177"/>
      <c r="AD217" s="168"/>
      <c r="AE217" s="177"/>
      <c r="AF217" s="168"/>
      <c r="AG217" s="177"/>
      <c r="AH217" s="168"/>
      <c r="AI217" s="177"/>
      <c r="AJ217" s="168"/>
      <c r="AK217" s="177"/>
      <c r="AL217" s="168"/>
      <c r="AM217" s="177"/>
      <c r="AN217" s="168"/>
      <c r="AO217" s="177"/>
      <c r="AP217" s="168"/>
      <c r="AQ217" s="177"/>
      <c r="AR217" s="168"/>
      <c r="AS217" s="177"/>
      <c r="AT217" s="168"/>
      <c r="AU217" s="177"/>
      <c r="AV217" s="168"/>
      <c r="AW217" s="177"/>
      <c r="AX217" s="168"/>
      <c r="AY217" s="177"/>
      <c r="AZ217" s="168"/>
      <c r="BA217" s="177"/>
      <c r="BB217" s="168"/>
      <c r="BC217" s="177"/>
      <c r="BD217" s="168"/>
      <c r="BE217" s="177"/>
      <c r="BF217" s="168"/>
      <c r="BG217" s="177"/>
      <c r="BH217" s="168"/>
      <c r="BI217" s="177"/>
      <c r="BJ217" s="168"/>
      <c r="BK217" s="177"/>
      <c r="BL217" s="168"/>
      <c r="BM217" s="177"/>
      <c r="BN217" s="168"/>
      <c r="BO217" s="177"/>
      <c r="BP217" s="168"/>
      <c r="BQ217" s="177"/>
      <c r="BR217" s="168"/>
      <c r="BS217" s="177"/>
      <c r="BT217" s="168"/>
      <c r="BU217" s="177"/>
      <c r="BV217" s="168"/>
      <c r="BW217" s="177"/>
      <c r="BX217" s="168"/>
      <c r="BY217" s="177"/>
      <c r="BZ217" s="168"/>
      <c r="CA217" s="177"/>
      <c r="CB217" s="168"/>
      <c r="CC217" s="177"/>
      <c r="CD217" s="168"/>
      <c r="CE217" s="177"/>
      <c r="CF217" s="168"/>
      <c r="CG217" s="187"/>
      <c r="CH217" s="183"/>
      <c r="CI217" s="185"/>
      <c r="CJ217" s="160"/>
      <c r="CK217" s="160"/>
      <c r="CL217" s="160"/>
      <c r="CM217" s="160"/>
      <c r="CN217" s="160"/>
      <c r="CO217" s="160"/>
      <c r="CP217" s="160"/>
      <c r="CQ217" s="160"/>
      <c r="CR217" s="160"/>
      <c r="CS217" s="179"/>
      <c r="CT217" s="160"/>
      <c r="CU217" s="160"/>
      <c r="CV217" s="160"/>
      <c r="CW217" s="160"/>
      <c r="CX217" s="160"/>
      <c r="CY217" s="160"/>
      <c r="CZ217" s="160"/>
      <c r="DA217" s="160"/>
      <c r="DB217" s="160"/>
      <c r="DC217" s="160"/>
      <c r="DD217" s="160"/>
      <c r="DE217" s="160"/>
      <c r="DF217" s="160"/>
      <c r="DG217" s="160"/>
      <c r="DH217" s="160"/>
      <c r="DI217" s="160"/>
      <c r="DJ217" s="160"/>
      <c r="DK217" s="160"/>
      <c r="DL217" s="160"/>
      <c r="DM217" s="160"/>
      <c r="DN217" s="160"/>
    </row>
    <row r="218" spans="1:118" hidden="1">
      <c r="A218" s="149"/>
      <c r="B218" s="150"/>
      <c r="C218" s="151"/>
      <c r="D218" s="152"/>
      <c r="E218" s="152"/>
      <c r="F218" s="152"/>
      <c r="G218" s="152"/>
      <c r="H218" s="62">
        <f>SUM(Table4[[#This Row],[BASIC]:[FOOD]])</f>
        <v>0</v>
      </c>
      <c r="I218" s="62"/>
      <c r="J218" s="62"/>
      <c r="K218" s="62"/>
      <c r="L218" s="62"/>
      <c r="M218" s="62"/>
      <c r="N218" s="62"/>
      <c r="O218" s="62">
        <f>SUM(Table4[[#This Row],[ESI BASIC]:[ESI FOOD]])</f>
        <v>0</v>
      </c>
      <c r="P218" s="160"/>
      <c r="Q218" s="160"/>
      <c r="R218" s="175"/>
      <c r="S218" s="167"/>
      <c r="T218" s="10">
        <f t="shared" si="15"/>
        <v>0</v>
      </c>
      <c r="U218" s="167"/>
      <c r="V218" s="10">
        <f t="shared" si="16"/>
        <v>0</v>
      </c>
      <c r="W218" s="10">
        <f t="shared" si="17"/>
        <v>0</v>
      </c>
      <c r="X218" s="170"/>
      <c r="Y218" s="177"/>
      <c r="Z218" s="168"/>
      <c r="AA218" s="177"/>
      <c r="AB218" s="168"/>
      <c r="AC218" s="177"/>
      <c r="AD218" s="168"/>
      <c r="AE218" s="177"/>
      <c r="AF218" s="168"/>
      <c r="AG218" s="177"/>
      <c r="AH218" s="168"/>
      <c r="AI218" s="177"/>
      <c r="AJ218" s="168"/>
      <c r="AK218" s="177"/>
      <c r="AL218" s="168"/>
      <c r="AM218" s="177"/>
      <c r="AN218" s="168"/>
      <c r="AO218" s="177"/>
      <c r="AP218" s="168"/>
      <c r="AQ218" s="177"/>
      <c r="AR218" s="168"/>
      <c r="AS218" s="177"/>
      <c r="AT218" s="168"/>
      <c r="AU218" s="177"/>
      <c r="AV218" s="168"/>
      <c r="AW218" s="177"/>
      <c r="AX218" s="168"/>
      <c r="AY218" s="177"/>
      <c r="AZ218" s="168"/>
      <c r="BA218" s="177"/>
      <c r="BB218" s="168"/>
      <c r="BC218" s="177"/>
      <c r="BD218" s="168"/>
      <c r="BE218" s="177"/>
      <c r="BF218" s="168"/>
      <c r="BG218" s="177"/>
      <c r="BH218" s="168"/>
      <c r="BI218" s="177"/>
      <c r="BJ218" s="168"/>
      <c r="BK218" s="177"/>
      <c r="BL218" s="168"/>
      <c r="BM218" s="177"/>
      <c r="BN218" s="168"/>
      <c r="BO218" s="177"/>
      <c r="BP218" s="168"/>
      <c r="BQ218" s="177"/>
      <c r="BR218" s="168"/>
      <c r="BS218" s="177"/>
      <c r="BT218" s="168"/>
      <c r="BU218" s="177"/>
      <c r="BV218" s="168"/>
      <c r="BW218" s="177"/>
      <c r="BX218" s="168"/>
      <c r="BY218" s="177"/>
      <c r="BZ218" s="168"/>
      <c r="CA218" s="177"/>
      <c r="CB218" s="168"/>
      <c r="CC218" s="177"/>
      <c r="CD218" s="168"/>
      <c r="CE218" s="177"/>
      <c r="CF218" s="168"/>
      <c r="CG218" s="187"/>
      <c r="CH218" s="183"/>
      <c r="CI218" s="185"/>
      <c r="CJ218" s="160"/>
      <c r="CK218" s="160"/>
      <c r="CL218" s="160"/>
      <c r="CM218" s="160"/>
      <c r="CN218" s="160"/>
      <c r="CO218" s="160"/>
      <c r="CP218" s="160"/>
      <c r="CQ218" s="160"/>
      <c r="CR218" s="160"/>
      <c r="CS218" s="179"/>
      <c r="CT218" s="160"/>
      <c r="CU218" s="160"/>
      <c r="CV218" s="160"/>
      <c r="CW218" s="160"/>
      <c r="CX218" s="160"/>
      <c r="CY218" s="160"/>
      <c r="CZ218" s="160"/>
      <c r="DA218" s="160"/>
      <c r="DB218" s="160"/>
      <c r="DC218" s="160"/>
      <c r="DD218" s="160"/>
      <c r="DE218" s="160"/>
      <c r="DF218" s="160"/>
      <c r="DG218" s="160"/>
      <c r="DH218" s="160"/>
      <c r="DI218" s="160"/>
      <c r="DJ218" s="160"/>
      <c r="DK218" s="160"/>
      <c r="DL218" s="160"/>
      <c r="DM218" s="160"/>
      <c r="DN218" s="160"/>
    </row>
    <row r="219" spans="1:118" hidden="1">
      <c r="A219" s="149"/>
      <c r="B219" s="150"/>
      <c r="C219" s="151"/>
      <c r="D219" s="152"/>
      <c r="E219" s="152"/>
      <c r="F219" s="152"/>
      <c r="G219" s="152"/>
      <c r="H219" s="62">
        <f>SUM(Table4[[#This Row],[BASIC]:[FOOD]])</f>
        <v>0</v>
      </c>
      <c r="I219" s="62"/>
      <c r="J219" s="62"/>
      <c r="K219" s="62"/>
      <c r="L219" s="62"/>
      <c r="M219" s="62"/>
      <c r="N219" s="62"/>
      <c r="O219" s="62">
        <f>SUM(Table4[[#This Row],[ESI BASIC]:[ESI FOOD]])</f>
        <v>0</v>
      </c>
      <c r="P219" s="160"/>
      <c r="Q219" s="160"/>
      <c r="R219" s="175"/>
      <c r="S219" s="167"/>
      <c r="T219" s="10">
        <f t="shared" si="15"/>
        <v>0</v>
      </c>
      <c r="U219" s="167"/>
      <c r="V219" s="10">
        <f t="shared" si="16"/>
        <v>0</v>
      </c>
      <c r="W219" s="10">
        <f t="shared" si="17"/>
        <v>0</v>
      </c>
      <c r="X219" s="170"/>
      <c r="Y219" s="177"/>
      <c r="Z219" s="168"/>
      <c r="AA219" s="177"/>
      <c r="AB219" s="168"/>
      <c r="AC219" s="177"/>
      <c r="AD219" s="168"/>
      <c r="AE219" s="177"/>
      <c r="AF219" s="168"/>
      <c r="AG219" s="177"/>
      <c r="AH219" s="168"/>
      <c r="AI219" s="177"/>
      <c r="AJ219" s="168"/>
      <c r="AK219" s="177"/>
      <c r="AL219" s="168"/>
      <c r="AM219" s="177"/>
      <c r="AN219" s="168"/>
      <c r="AO219" s="177"/>
      <c r="AP219" s="168"/>
      <c r="AQ219" s="177"/>
      <c r="AR219" s="168"/>
      <c r="AS219" s="177"/>
      <c r="AT219" s="168"/>
      <c r="AU219" s="177"/>
      <c r="AV219" s="168"/>
      <c r="AW219" s="177"/>
      <c r="AX219" s="168"/>
      <c r="AY219" s="177"/>
      <c r="AZ219" s="168"/>
      <c r="BA219" s="177"/>
      <c r="BB219" s="168"/>
      <c r="BC219" s="177"/>
      <c r="BD219" s="168"/>
      <c r="BE219" s="177"/>
      <c r="BF219" s="168"/>
      <c r="BG219" s="177"/>
      <c r="BH219" s="168"/>
      <c r="BI219" s="177"/>
      <c r="BJ219" s="168"/>
      <c r="BK219" s="177"/>
      <c r="BL219" s="168"/>
      <c r="BM219" s="177"/>
      <c r="BN219" s="168"/>
      <c r="BO219" s="177"/>
      <c r="BP219" s="168"/>
      <c r="BQ219" s="177"/>
      <c r="BR219" s="168"/>
      <c r="BS219" s="177"/>
      <c r="BT219" s="168"/>
      <c r="BU219" s="177"/>
      <c r="BV219" s="168"/>
      <c r="BW219" s="177"/>
      <c r="BX219" s="168"/>
      <c r="BY219" s="177"/>
      <c r="BZ219" s="168"/>
      <c r="CA219" s="177"/>
      <c r="CB219" s="168"/>
      <c r="CC219" s="177"/>
      <c r="CD219" s="168"/>
      <c r="CE219" s="177"/>
      <c r="CF219" s="168"/>
      <c r="CG219" s="187"/>
      <c r="CH219" s="183"/>
      <c r="CI219" s="185"/>
      <c r="CJ219" s="160"/>
      <c r="CK219" s="160"/>
      <c r="CL219" s="160"/>
      <c r="CM219" s="160"/>
      <c r="CN219" s="160"/>
      <c r="CO219" s="160"/>
      <c r="CP219" s="160"/>
      <c r="CQ219" s="160"/>
      <c r="CR219" s="160"/>
      <c r="CS219" s="179"/>
      <c r="CT219" s="160"/>
      <c r="CU219" s="160"/>
      <c r="CV219" s="160"/>
      <c r="CW219" s="160"/>
      <c r="CX219" s="160"/>
      <c r="CY219" s="160"/>
      <c r="CZ219" s="160"/>
      <c r="DA219" s="160"/>
      <c r="DB219" s="160"/>
      <c r="DC219" s="160"/>
      <c r="DD219" s="160"/>
      <c r="DE219" s="160"/>
      <c r="DF219" s="160"/>
      <c r="DG219" s="160"/>
      <c r="DH219" s="160"/>
      <c r="DI219" s="160"/>
      <c r="DJ219" s="160"/>
      <c r="DK219" s="160"/>
      <c r="DL219" s="160"/>
      <c r="DM219" s="160"/>
      <c r="DN219" s="160"/>
    </row>
    <row r="220" spans="1:118" hidden="1">
      <c r="A220" s="149"/>
      <c r="B220" s="150"/>
      <c r="C220" s="151"/>
      <c r="D220" s="152"/>
      <c r="E220" s="152"/>
      <c r="F220" s="152"/>
      <c r="G220" s="152"/>
      <c r="H220" s="62">
        <f>SUM(Table4[[#This Row],[BASIC]:[FOOD]])</f>
        <v>0</v>
      </c>
      <c r="I220" s="62"/>
      <c r="J220" s="62"/>
      <c r="K220" s="62"/>
      <c r="L220" s="62"/>
      <c r="M220" s="62"/>
      <c r="N220" s="62"/>
      <c r="O220" s="62">
        <f>SUM(Table4[[#This Row],[ESI BASIC]:[ESI FOOD]])</f>
        <v>0</v>
      </c>
      <c r="P220" s="160"/>
      <c r="Q220" s="160"/>
      <c r="R220" s="175"/>
      <c r="S220" s="167"/>
      <c r="T220" s="10">
        <f t="shared" si="15"/>
        <v>0</v>
      </c>
      <c r="U220" s="167"/>
      <c r="V220" s="10">
        <f t="shared" si="16"/>
        <v>0</v>
      </c>
      <c r="W220" s="10">
        <f t="shared" si="17"/>
        <v>0</v>
      </c>
      <c r="X220" s="170"/>
      <c r="Y220" s="177"/>
      <c r="Z220" s="168"/>
      <c r="AA220" s="177"/>
      <c r="AB220" s="168"/>
      <c r="AC220" s="177"/>
      <c r="AD220" s="168"/>
      <c r="AE220" s="177"/>
      <c r="AF220" s="168"/>
      <c r="AG220" s="177"/>
      <c r="AH220" s="168"/>
      <c r="AI220" s="177"/>
      <c r="AJ220" s="168"/>
      <c r="AK220" s="177"/>
      <c r="AL220" s="168"/>
      <c r="AM220" s="177"/>
      <c r="AN220" s="168"/>
      <c r="AO220" s="177"/>
      <c r="AP220" s="168"/>
      <c r="AQ220" s="177"/>
      <c r="AR220" s="168"/>
      <c r="AS220" s="177"/>
      <c r="AT220" s="168"/>
      <c r="AU220" s="177"/>
      <c r="AV220" s="168"/>
      <c r="AW220" s="177"/>
      <c r="AX220" s="168"/>
      <c r="AY220" s="177"/>
      <c r="AZ220" s="168"/>
      <c r="BA220" s="177"/>
      <c r="BB220" s="168"/>
      <c r="BC220" s="177"/>
      <c r="BD220" s="168"/>
      <c r="BE220" s="177"/>
      <c r="BF220" s="168"/>
      <c r="BG220" s="177"/>
      <c r="BH220" s="168"/>
      <c r="BI220" s="177"/>
      <c r="BJ220" s="168"/>
      <c r="BK220" s="177"/>
      <c r="BL220" s="168"/>
      <c r="BM220" s="177"/>
      <c r="BN220" s="168"/>
      <c r="BO220" s="177"/>
      <c r="BP220" s="168"/>
      <c r="BQ220" s="177"/>
      <c r="BR220" s="168"/>
      <c r="BS220" s="177"/>
      <c r="BT220" s="168"/>
      <c r="BU220" s="177"/>
      <c r="BV220" s="168"/>
      <c r="BW220" s="177"/>
      <c r="BX220" s="168"/>
      <c r="BY220" s="177"/>
      <c r="BZ220" s="168"/>
      <c r="CA220" s="177"/>
      <c r="CB220" s="168"/>
      <c r="CC220" s="177"/>
      <c r="CD220" s="168"/>
      <c r="CE220" s="177"/>
      <c r="CF220" s="168"/>
      <c r="CG220" s="187"/>
      <c r="CH220" s="183"/>
      <c r="CI220" s="185"/>
      <c r="CJ220" s="160"/>
      <c r="CK220" s="160"/>
      <c r="CL220" s="160"/>
      <c r="CM220" s="160"/>
      <c r="CN220" s="160"/>
      <c r="CO220" s="160"/>
      <c r="CP220" s="160"/>
      <c r="CQ220" s="160"/>
      <c r="CR220" s="160"/>
      <c r="CS220" s="179"/>
      <c r="CT220" s="160"/>
      <c r="CU220" s="160"/>
      <c r="CV220" s="160"/>
      <c r="CW220" s="160"/>
      <c r="CX220" s="160"/>
      <c r="CY220" s="160"/>
      <c r="CZ220" s="160"/>
      <c r="DA220" s="160"/>
      <c r="DB220" s="160"/>
      <c r="DC220" s="160"/>
      <c r="DD220" s="160"/>
      <c r="DE220" s="160"/>
      <c r="DF220" s="160"/>
      <c r="DG220" s="160"/>
      <c r="DH220" s="160"/>
      <c r="DI220" s="160"/>
      <c r="DJ220" s="160"/>
      <c r="DK220" s="160"/>
      <c r="DL220" s="160"/>
      <c r="DM220" s="160"/>
      <c r="DN220" s="160"/>
    </row>
    <row r="221" spans="1:118" hidden="1">
      <c r="A221" s="149"/>
      <c r="B221" s="150"/>
      <c r="C221" s="151"/>
      <c r="D221" s="152"/>
      <c r="E221" s="152"/>
      <c r="F221" s="152"/>
      <c r="G221" s="152"/>
      <c r="H221" s="62">
        <f>SUM(Table4[[#This Row],[BASIC]:[FOOD]])</f>
        <v>0</v>
      </c>
      <c r="I221" s="62"/>
      <c r="J221" s="62"/>
      <c r="K221" s="62"/>
      <c r="L221" s="62"/>
      <c r="M221" s="62"/>
      <c r="N221" s="62"/>
      <c r="O221" s="62">
        <f>SUM(Table4[[#This Row],[ESI BASIC]:[ESI FOOD]])</f>
        <v>0</v>
      </c>
      <c r="P221" s="160"/>
      <c r="Q221" s="160"/>
      <c r="R221" s="175"/>
      <c r="S221" s="167"/>
      <c r="T221" s="10">
        <f t="shared" si="15"/>
        <v>0</v>
      </c>
      <c r="U221" s="167"/>
      <c r="V221" s="10">
        <f t="shared" si="16"/>
        <v>0</v>
      </c>
      <c r="W221" s="10">
        <f t="shared" si="17"/>
        <v>0</v>
      </c>
      <c r="X221" s="170"/>
      <c r="Y221" s="177"/>
      <c r="Z221" s="168"/>
      <c r="AA221" s="177"/>
      <c r="AB221" s="168"/>
      <c r="AC221" s="177"/>
      <c r="AD221" s="168"/>
      <c r="AE221" s="177"/>
      <c r="AF221" s="168"/>
      <c r="AG221" s="177"/>
      <c r="AH221" s="168"/>
      <c r="AI221" s="177"/>
      <c r="AJ221" s="168"/>
      <c r="AK221" s="177"/>
      <c r="AL221" s="168"/>
      <c r="AM221" s="177"/>
      <c r="AN221" s="168"/>
      <c r="AO221" s="177"/>
      <c r="AP221" s="168"/>
      <c r="AQ221" s="177"/>
      <c r="AR221" s="168"/>
      <c r="AS221" s="177"/>
      <c r="AT221" s="168"/>
      <c r="AU221" s="177"/>
      <c r="AV221" s="168"/>
      <c r="AW221" s="177"/>
      <c r="AX221" s="168"/>
      <c r="AY221" s="177"/>
      <c r="AZ221" s="168"/>
      <c r="BA221" s="177"/>
      <c r="BB221" s="168"/>
      <c r="BC221" s="177"/>
      <c r="BD221" s="168"/>
      <c r="BE221" s="177"/>
      <c r="BF221" s="168"/>
      <c r="BG221" s="177"/>
      <c r="BH221" s="168"/>
      <c r="BI221" s="177"/>
      <c r="BJ221" s="168"/>
      <c r="BK221" s="177"/>
      <c r="BL221" s="168"/>
      <c r="BM221" s="177"/>
      <c r="BN221" s="168"/>
      <c r="BO221" s="177"/>
      <c r="BP221" s="168"/>
      <c r="BQ221" s="177"/>
      <c r="BR221" s="168"/>
      <c r="BS221" s="177"/>
      <c r="BT221" s="168"/>
      <c r="BU221" s="177"/>
      <c r="BV221" s="168"/>
      <c r="BW221" s="177"/>
      <c r="BX221" s="168"/>
      <c r="BY221" s="177"/>
      <c r="BZ221" s="168"/>
      <c r="CA221" s="177"/>
      <c r="CB221" s="168"/>
      <c r="CC221" s="177"/>
      <c r="CD221" s="168"/>
      <c r="CE221" s="177"/>
      <c r="CF221" s="168"/>
      <c r="CG221" s="187"/>
      <c r="CH221" s="183"/>
      <c r="CI221" s="185"/>
      <c r="CJ221" s="160"/>
      <c r="CK221" s="160"/>
      <c r="CL221" s="160"/>
      <c r="CM221" s="160"/>
      <c r="CN221" s="160"/>
      <c r="CO221" s="160"/>
      <c r="CP221" s="160"/>
      <c r="CQ221" s="160"/>
      <c r="CR221" s="160"/>
      <c r="CS221" s="179"/>
      <c r="CT221" s="160"/>
      <c r="CU221" s="160"/>
      <c r="CV221" s="160"/>
      <c r="CW221" s="160"/>
      <c r="CX221" s="160"/>
      <c r="CY221" s="160"/>
      <c r="CZ221" s="160"/>
      <c r="DA221" s="160"/>
      <c r="DB221" s="160"/>
      <c r="DC221" s="160"/>
      <c r="DD221" s="160"/>
      <c r="DE221" s="160"/>
      <c r="DF221" s="160"/>
      <c r="DG221" s="160"/>
      <c r="DH221" s="160"/>
      <c r="DI221" s="160"/>
      <c r="DJ221" s="160"/>
      <c r="DK221" s="160"/>
      <c r="DL221" s="160"/>
      <c r="DM221" s="160"/>
      <c r="DN221" s="160"/>
    </row>
    <row r="222" spans="1:118" hidden="1">
      <c r="A222" s="149"/>
      <c r="B222" s="150"/>
      <c r="C222" s="151"/>
      <c r="D222" s="152"/>
      <c r="E222" s="152"/>
      <c r="F222" s="152"/>
      <c r="G222" s="152"/>
      <c r="H222" s="62">
        <f>SUM(Table4[[#This Row],[BASIC]:[FOOD]])</f>
        <v>0</v>
      </c>
      <c r="I222" s="62"/>
      <c r="J222" s="62"/>
      <c r="K222" s="62"/>
      <c r="L222" s="62"/>
      <c r="M222" s="62"/>
      <c r="N222" s="62"/>
      <c r="O222" s="62">
        <f>SUM(Table4[[#This Row],[ESI BASIC]:[ESI FOOD]])</f>
        <v>0</v>
      </c>
      <c r="P222" s="160"/>
      <c r="Q222" s="160"/>
      <c r="R222" s="175"/>
      <c r="S222" s="167"/>
      <c r="T222" s="10">
        <f t="shared" ref="T222:T284" si="18">COUNTIF(X222:CG222,"P")</f>
        <v>0</v>
      </c>
      <c r="U222" s="167"/>
      <c r="V222" s="10">
        <f t="shared" ref="V222:V284" si="19">T222+U222</f>
        <v>0</v>
      </c>
      <c r="W222" s="10">
        <f t="shared" ref="W222:W284" si="20">SUM(CI222:DM222)</f>
        <v>0</v>
      </c>
      <c r="X222" s="170"/>
      <c r="Y222" s="177"/>
      <c r="Z222" s="168"/>
      <c r="AA222" s="177"/>
      <c r="AB222" s="168"/>
      <c r="AC222" s="177"/>
      <c r="AD222" s="168"/>
      <c r="AE222" s="177"/>
      <c r="AF222" s="168"/>
      <c r="AG222" s="177"/>
      <c r="AH222" s="168"/>
      <c r="AI222" s="177"/>
      <c r="AJ222" s="168"/>
      <c r="AK222" s="177"/>
      <c r="AL222" s="168"/>
      <c r="AM222" s="177"/>
      <c r="AN222" s="168"/>
      <c r="AO222" s="177"/>
      <c r="AP222" s="168"/>
      <c r="AQ222" s="177"/>
      <c r="AR222" s="168"/>
      <c r="AS222" s="177"/>
      <c r="AT222" s="168"/>
      <c r="AU222" s="177"/>
      <c r="AV222" s="168"/>
      <c r="AW222" s="177"/>
      <c r="AX222" s="168"/>
      <c r="AY222" s="177"/>
      <c r="AZ222" s="168"/>
      <c r="BA222" s="177"/>
      <c r="BB222" s="168"/>
      <c r="BC222" s="177"/>
      <c r="BD222" s="168"/>
      <c r="BE222" s="177"/>
      <c r="BF222" s="168"/>
      <c r="BG222" s="177"/>
      <c r="BH222" s="168"/>
      <c r="BI222" s="177"/>
      <c r="BJ222" s="168"/>
      <c r="BK222" s="177"/>
      <c r="BL222" s="168"/>
      <c r="BM222" s="177"/>
      <c r="BN222" s="168"/>
      <c r="BO222" s="177"/>
      <c r="BP222" s="168"/>
      <c r="BQ222" s="177"/>
      <c r="BR222" s="168"/>
      <c r="BS222" s="177"/>
      <c r="BT222" s="168"/>
      <c r="BU222" s="177"/>
      <c r="BV222" s="168"/>
      <c r="BW222" s="177"/>
      <c r="BX222" s="168"/>
      <c r="BY222" s="177"/>
      <c r="BZ222" s="168"/>
      <c r="CA222" s="177"/>
      <c r="CB222" s="168"/>
      <c r="CC222" s="177"/>
      <c r="CD222" s="168"/>
      <c r="CE222" s="177"/>
      <c r="CF222" s="168"/>
      <c r="CG222" s="187"/>
      <c r="CH222" s="183"/>
      <c r="CI222" s="185"/>
      <c r="CJ222" s="160"/>
      <c r="CK222" s="160"/>
      <c r="CL222" s="160"/>
      <c r="CM222" s="160"/>
      <c r="CN222" s="160"/>
      <c r="CO222" s="160"/>
      <c r="CP222" s="160"/>
      <c r="CQ222" s="160"/>
      <c r="CR222" s="160"/>
      <c r="CS222" s="179"/>
      <c r="CT222" s="160"/>
      <c r="CU222" s="160"/>
      <c r="CV222" s="160"/>
      <c r="CW222" s="160"/>
      <c r="CX222" s="160"/>
      <c r="CY222" s="160"/>
      <c r="CZ222" s="160"/>
      <c r="DA222" s="160"/>
      <c r="DB222" s="160"/>
      <c r="DC222" s="160"/>
      <c r="DD222" s="160"/>
      <c r="DE222" s="160"/>
      <c r="DF222" s="160"/>
      <c r="DG222" s="160"/>
      <c r="DH222" s="160"/>
      <c r="DI222" s="160"/>
      <c r="DJ222" s="160"/>
      <c r="DK222" s="160"/>
      <c r="DL222" s="160"/>
      <c r="DM222" s="160"/>
      <c r="DN222" s="160"/>
    </row>
    <row r="223" spans="1:118" hidden="1">
      <c r="A223" s="149"/>
      <c r="B223" s="150"/>
      <c r="C223" s="151"/>
      <c r="D223" s="152"/>
      <c r="E223" s="152"/>
      <c r="F223" s="152"/>
      <c r="G223" s="152"/>
      <c r="H223" s="62">
        <f>SUM(Table4[[#This Row],[BASIC]:[FOOD]])</f>
        <v>0</v>
      </c>
      <c r="I223" s="62"/>
      <c r="J223" s="62"/>
      <c r="K223" s="62"/>
      <c r="L223" s="62"/>
      <c r="M223" s="62"/>
      <c r="N223" s="62"/>
      <c r="O223" s="62">
        <f>SUM(Table4[[#This Row],[ESI BASIC]:[ESI FOOD]])</f>
        <v>0</v>
      </c>
      <c r="P223" s="160"/>
      <c r="Q223" s="160"/>
      <c r="R223" s="175"/>
      <c r="S223" s="167"/>
      <c r="T223" s="10">
        <f t="shared" si="18"/>
        <v>0</v>
      </c>
      <c r="U223" s="167"/>
      <c r="V223" s="10">
        <f t="shared" si="19"/>
        <v>0</v>
      </c>
      <c r="W223" s="10">
        <f t="shared" si="20"/>
        <v>0</v>
      </c>
      <c r="X223" s="170"/>
      <c r="Y223" s="177"/>
      <c r="Z223" s="168"/>
      <c r="AA223" s="177"/>
      <c r="AB223" s="168"/>
      <c r="AC223" s="177"/>
      <c r="AD223" s="168"/>
      <c r="AE223" s="177"/>
      <c r="AF223" s="168"/>
      <c r="AG223" s="177"/>
      <c r="AH223" s="168"/>
      <c r="AI223" s="177"/>
      <c r="AJ223" s="168"/>
      <c r="AK223" s="177"/>
      <c r="AL223" s="168"/>
      <c r="AM223" s="177"/>
      <c r="AN223" s="168"/>
      <c r="AO223" s="177"/>
      <c r="AP223" s="168"/>
      <c r="AQ223" s="177"/>
      <c r="AR223" s="168"/>
      <c r="AS223" s="177"/>
      <c r="AT223" s="168"/>
      <c r="AU223" s="177"/>
      <c r="AV223" s="168"/>
      <c r="AW223" s="177"/>
      <c r="AX223" s="168"/>
      <c r="AY223" s="177"/>
      <c r="AZ223" s="168"/>
      <c r="BA223" s="177"/>
      <c r="BB223" s="168"/>
      <c r="BC223" s="177"/>
      <c r="BD223" s="168"/>
      <c r="BE223" s="177"/>
      <c r="BF223" s="168"/>
      <c r="BG223" s="177"/>
      <c r="BH223" s="168"/>
      <c r="BI223" s="177"/>
      <c r="BJ223" s="168"/>
      <c r="BK223" s="177"/>
      <c r="BL223" s="168"/>
      <c r="BM223" s="177"/>
      <c r="BN223" s="168"/>
      <c r="BO223" s="177"/>
      <c r="BP223" s="168"/>
      <c r="BQ223" s="177"/>
      <c r="BR223" s="168"/>
      <c r="BS223" s="177"/>
      <c r="BT223" s="168"/>
      <c r="BU223" s="177"/>
      <c r="BV223" s="168"/>
      <c r="BW223" s="177"/>
      <c r="BX223" s="168"/>
      <c r="BY223" s="177"/>
      <c r="BZ223" s="168"/>
      <c r="CA223" s="177"/>
      <c r="CB223" s="168"/>
      <c r="CC223" s="177"/>
      <c r="CD223" s="168"/>
      <c r="CE223" s="177"/>
      <c r="CF223" s="168"/>
      <c r="CG223" s="187"/>
      <c r="CH223" s="183"/>
      <c r="CI223" s="185"/>
      <c r="CJ223" s="160"/>
      <c r="CK223" s="160"/>
      <c r="CL223" s="160"/>
      <c r="CM223" s="160"/>
      <c r="CN223" s="160"/>
      <c r="CO223" s="160"/>
      <c r="CP223" s="160"/>
      <c r="CQ223" s="160"/>
      <c r="CR223" s="160"/>
      <c r="CS223" s="179"/>
      <c r="CT223" s="160"/>
      <c r="CU223" s="160"/>
      <c r="CV223" s="160"/>
      <c r="CW223" s="160"/>
      <c r="CX223" s="160"/>
      <c r="CY223" s="160"/>
      <c r="CZ223" s="160"/>
      <c r="DA223" s="160"/>
      <c r="DB223" s="160"/>
      <c r="DC223" s="160"/>
      <c r="DD223" s="160"/>
      <c r="DE223" s="160"/>
      <c r="DF223" s="160"/>
      <c r="DG223" s="160"/>
      <c r="DH223" s="160"/>
      <c r="DI223" s="160"/>
      <c r="DJ223" s="160"/>
      <c r="DK223" s="160"/>
      <c r="DL223" s="160"/>
      <c r="DM223" s="160"/>
      <c r="DN223" s="160"/>
    </row>
    <row r="224" spans="1:118" hidden="1">
      <c r="A224" s="149"/>
      <c r="B224" s="150"/>
      <c r="C224" s="151"/>
      <c r="D224" s="152"/>
      <c r="E224" s="152"/>
      <c r="F224" s="152"/>
      <c r="G224" s="152"/>
      <c r="H224" s="62">
        <f>SUM(Table4[[#This Row],[BASIC]:[FOOD]])</f>
        <v>0</v>
      </c>
      <c r="I224" s="62"/>
      <c r="J224" s="62"/>
      <c r="K224" s="62"/>
      <c r="L224" s="62"/>
      <c r="M224" s="62"/>
      <c r="N224" s="62"/>
      <c r="O224" s="62">
        <f>SUM(Table4[[#This Row],[ESI BASIC]:[ESI FOOD]])</f>
        <v>0</v>
      </c>
      <c r="P224" s="160"/>
      <c r="Q224" s="160"/>
      <c r="R224" s="175"/>
      <c r="S224" s="167"/>
      <c r="T224" s="10">
        <f t="shared" si="18"/>
        <v>0</v>
      </c>
      <c r="U224" s="167"/>
      <c r="V224" s="10">
        <f t="shared" si="19"/>
        <v>0</v>
      </c>
      <c r="W224" s="10">
        <f t="shared" si="20"/>
        <v>0</v>
      </c>
      <c r="X224" s="170"/>
      <c r="Y224" s="177"/>
      <c r="Z224" s="168"/>
      <c r="AA224" s="177"/>
      <c r="AB224" s="168"/>
      <c r="AC224" s="177"/>
      <c r="AD224" s="168"/>
      <c r="AE224" s="177"/>
      <c r="AF224" s="168"/>
      <c r="AG224" s="177"/>
      <c r="AH224" s="168"/>
      <c r="AI224" s="177"/>
      <c r="AJ224" s="168"/>
      <c r="AK224" s="177"/>
      <c r="AL224" s="168"/>
      <c r="AM224" s="177"/>
      <c r="AN224" s="168"/>
      <c r="AO224" s="177"/>
      <c r="AP224" s="168"/>
      <c r="AQ224" s="177"/>
      <c r="AR224" s="168"/>
      <c r="AS224" s="177"/>
      <c r="AT224" s="168"/>
      <c r="AU224" s="177"/>
      <c r="AV224" s="168"/>
      <c r="AW224" s="177"/>
      <c r="AX224" s="168"/>
      <c r="AY224" s="177"/>
      <c r="AZ224" s="168"/>
      <c r="BA224" s="177"/>
      <c r="BB224" s="168"/>
      <c r="BC224" s="177"/>
      <c r="BD224" s="168"/>
      <c r="BE224" s="177"/>
      <c r="BF224" s="168"/>
      <c r="BG224" s="177"/>
      <c r="BH224" s="168"/>
      <c r="BI224" s="177"/>
      <c r="BJ224" s="168"/>
      <c r="BK224" s="177"/>
      <c r="BL224" s="168"/>
      <c r="BM224" s="177"/>
      <c r="BN224" s="168"/>
      <c r="BO224" s="177"/>
      <c r="BP224" s="168"/>
      <c r="BQ224" s="177"/>
      <c r="BR224" s="168"/>
      <c r="BS224" s="177"/>
      <c r="BT224" s="168"/>
      <c r="BU224" s="177"/>
      <c r="BV224" s="168"/>
      <c r="BW224" s="177"/>
      <c r="BX224" s="168"/>
      <c r="BY224" s="177"/>
      <c r="BZ224" s="168"/>
      <c r="CA224" s="177"/>
      <c r="CB224" s="168"/>
      <c r="CC224" s="177"/>
      <c r="CD224" s="168"/>
      <c r="CE224" s="177"/>
      <c r="CF224" s="168"/>
      <c r="CG224" s="187"/>
      <c r="CH224" s="183"/>
      <c r="CI224" s="185"/>
      <c r="CJ224" s="160"/>
      <c r="CK224" s="160"/>
      <c r="CL224" s="160"/>
      <c r="CM224" s="160"/>
      <c r="CN224" s="160"/>
      <c r="CO224" s="160"/>
      <c r="CP224" s="160"/>
      <c r="CQ224" s="160"/>
      <c r="CR224" s="160"/>
      <c r="CS224" s="179"/>
      <c r="CT224" s="160"/>
      <c r="CU224" s="160"/>
      <c r="CV224" s="160"/>
      <c r="CW224" s="160"/>
      <c r="CX224" s="160"/>
      <c r="CY224" s="160"/>
      <c r="CZ224" s="160"/>
      <c r="DA224" s="160"/>
      <c r="DB224" s="160"/>
      <c r="DC224" s="160"/>
      <c r="DD224" s="160"/>
      <c r="DE224" s="160"/>
      <c r="DF224" s="160"/>
      <c r="DG224" s="160"/>
      <c r="DH224" s="160"/>
      <c r="DI224" s="160"/>
      <c r="DJ224" s="160"/>
      <c r="DK224" s="160"/>
      <c r="DL224" s="160"/>
      <c r="DM224" s="160"/>
      <c r="DN224" s="160"/>
    </row>
    <row r="225" spans="1:118" hidden="1">
      <c r="A225" s="149"/>
      <c r="B225" s="150"/>
      <c r="C225" s="151"/>
      <c r="D225" s="152"/>
      <c r="E225" s="152"/>
      <c r="F225" s="152"/>
      <c r="G225" s="152"/>
      <c r="H225" s="62">
        <f>SUM(Table4[[#This Row],[BASIC]:[FOOD]])</f>
        <v>0</v>
      </c>
      <c r="I225" s="62"/>
      <c r="J225" s="62"/>
      <c r="K225" s="62"/>
      <c r="L225" s="62"/>
      <c r="M225" s="62"/>
      <c r="N225" s="62"/>
      <c r="O225" s="62">
        <f>SUM(Table4[[#This Row],[ESI BASIC]:[ESI FOOD]])</f>
        <v>0</v>
      </c>
      <c r="P225" s="160"/>
      <c r="Q225" s="160"/>
      <c r="R225" s="175"/>
      <c r="S225" s="167"/>
      <c r="T225" s="10">
        <f t="shared" si="18"/>
        <v>0</v>
      </c>
      <c r="U225" s="167"/>
      <c r="V225" s="10">
        <f t="shared" si="19"/>
        <v>0</v>
      </c>
      <c r="W225" s="10">
        <f t="shared" si="20"/>
        <v>0</v>
      </c>
      <c r="X225" s="170"/>
      <c r="Y225" s="177"/>
      <c r="Z225" s="168"/>
      <c r="AA225" s="177"/>
      <c r="AB225" s="168"/>
      <c r="AC225" s="177"/>
      <c r="AD225" s="168"/>
      <c r="AE225" s="177"/>
      <c r="AF225" s="168"/>
      <c r="AG225" s="177"/>
      <c r="AH225" s="168"/>
      <c r="AI225" s="177"/>
      <c r="AJ225" s="168"/>
      <c r="AK225" s="177"/>
      <c r="AL225" s="168"/>
      <c r="AM225" s="177"/>
      <c r="AN225" s="168"/>
      <c r="AO225" s="177"/>
      <c r="AP225" s="168"/>
      <c r="AQ225" s="177"/>
      <c r="AR225" s="168"/>
      <c r="AS225" s="177"/>
      <c r="AT225" s="168"/>
      <c r="AU225" s="177"/>
      <c r="AV225" s="168"/>
      <c r="AW225" s="177"/>
      <c r="AX225" s="168"/>
      <c r="AY225" s="177"/>
      <c r="AZ225" s="168"/>
      <c r="BA225" s="177"/>
      <c r="BB225" s="168"/>
      <c r="BC225" s="177"/>
      <c r="BD225" s="168"/>
      <c r="BE225" s="177"/>
      <c r="BF225" s="168"/>
      <c r="BG225" s="177"/>
      <c r="BH225" s="168"/>
      <c r="BI225" s="177"/>
      <c r="BJ225" s="168"/>
      <c r="BK225" s="177"/>
      <c r="BL225" s="168"/>
      <c r="BM225" s="177"/>
      <c r="BN225" s="168"/>
      <c r="BO225" s="177"/>
      <c r="BP225" s="168"/>
      <c r="BQ225" s="177"/>
      <c r="BR225" s="168"/>
      <c r="BS225" s="177"/>
      <c r="BT225" s="168"/>
      <c r="BU225" s="177"/>
      <c r="BV225" s="168"/>
      <c r="BW225" s="177"/>
      <c r="BX225" s="168"/>
      <c r="BY225" s="177"/>
      <c r="BZ225" s="168"/>
      <c r="CA225" s="177"/>
      <c r="CB225" s="168"/>
      <c r="CC225" s="177"/>
      <c r="CD225" s="168"/>
      <c r="CE225" s="177"/>
      <c r="CF225" s="168"/>
      <c r="CG225" s="187"/>
      <c r="CH225" s="183"/>
      <c r="CI225" s="185"/>
      <c r="CJ225" s="160"/>
      <c r="CK225" s="160"/>
      <c r="CL225" s="160"/>
      <c r="CM225" s="160"/>
      <c r="CN225" s="160"/>
      <c r="CO225" s="160"/>
      <c r="CP225" s="160"/>
      <c r="CQ225" s="160"/>
      <c r="CR225" s="160"/>
      <c r="CS225" s="179"/>
      <c r="CT225" s="160"/>
      <c r="CU225" s="160"/>
      <c r="CV225" s="160"/>
      <c r="CW225" s="160"/>
      <c r="CX225" s="160"/>
      <c r="CY225" s="160"/>
      <c r="CZ225" s="160"/>
      <c r="DA225" s="160"/>
      <c r="DB225" s="160"/>
      <c r="DC225" s="160"/>
      <c r="DD225" s="160"/>
      <c r="DE225" s="160"/>
      <c r="DF225" s="160"/>
      <c r="DG225" s="160"/>
      <c r="DH225" s="160"/>
      <c r="DI225" s="160"/>
      <c r="DJ225" s="160"/>
      <c r="DK225" s="160"/>
      <c r="DL225" s="160"/>
      <c r="DM225" s="160"/>
      <c r="DN225" s="160"/>
    </row>
    <row r="226" spans="1:118" hidden="1">
      <c r="A226" s="149"/>
      <c r="B226" s="150"/>
      <c r="C226" s="151"/>
      <c r="D226" s="152"/>
      <c r="E226" s="152"/>
      <c r="F226" s="152"/>
      <c r="G226" s="152"/>
      <c r="H226" s="62">
        <f>SUM(Table4[[#This Row],[BASIC]:[FOOD]])</f>
        <v>0</v>
      </c>
      <c r="I226" s="62"/>
      <c r="J226" s="62"/>
      <c r="K226" s="62"/>
      <c r="L226" s="62"/>
      <c r="M226" s="62"/>
      <c r="N226" s="62"/>
      <c r="O226" s="62">
        <f>SUM(Table4[[#This Row],[ESI BASIC]:[ESI FOOD]])</f>
        <v>0</v>
      </c>
      <c r="P226" s="160"/>
      <c r="Q226" s="160"/>
      <c r="R226" s="175"/>
      <c r="S226" s="167"/>
      <c r="T226" s="10">
        <f t="shared" si="18"/>
        <v>0</v>
      </c>
      <c r="U226" s="167"/>
      <c r="V226" s="10">
        <f t="shared" si="19"/>
        <v>0</v>
      </c>
      <c r="W226" s="10">
        <f t="shared" si="20"/>
        <v>0</v>
      </c>
      <c r="X226" s="170"/>
      <c r="Y226" s="177"/>
      <c r="Z226" s="168"/>
      <c r="AA226" s="177"/>
      <c r="AB226" s="168"/>
      <c r="AC226" s="177"/>
      <c r="AD226" s="168"/>
      <c r="AE226" s="177"/>
      <c r="AF226" s="168"/>
      <c r="AG226" s="177"/>
      <c r="AH226" s="168"/>
      <c r="AI226" s="177"/>
      <c r="AJ226" s="168"/>
      <c r="AK226" s="177"/>
      <c r="AL226" s="168"/>
      <c r="AM226" s="177"/>
      <c r="AN226" s="168"/>
      <c r="AO226" s="177"/>
      <c r="AP226" s="168"/>
      <c r="AQ226" s="177"/>
      <c r="AR226" s="168"/>
      <c r="AS226" s="177"/>
      <c r="AT226" s="168"/>
      <c r="AU226" s="177"/>
      <c r="AV226" s="168"/>
      <c r="AW226" s="177"/>
      <c r="AX226" s="168"/>
      <c r="AY226" s="177"/>
      <c r="AZ226" s="168"/>
      <c r="BA226" s="177"/>
      <c r="BB226" s="168"/>
      <c r="BC226" s="177"/>
      <c r="BD226" s="168"/>
      <c r="BE226" s="177"/>
      <c r="BF226" s="168"/>
      <c r="BG226" s="177"/>
      <c r="BH226" s="168"/>
      <c r="BI226" s="177"/>
      <c r="BJ226" s="168"/>
      <c r="BK226" s="177"/>
      <c r="BL226" s="168"/>
      <c r="BM226" s="177"/>
      <c r="BN226" s="168"/>
      <c r="BO226" s="177"/>
      <c r="BP226" s="168"/>
      <c r="BQ226" s="177"/>
      <c r="BR226" s="168"/>
      <c r="BS226" s="177"/>
      <c r="BT226" s="168"/>
      <c r="BU226" s="177"/>
      <c r="BV226" s="168"/>
      <c r="BW226" s="177"/>
      <c r="BX226" s="168"/>
      <c r="BY226" s="177"/>
      <c r="BZ226" s="168"/>
      <c r="CA226" s="177"/>
      <c r="CB226" s="168"/>
      <c r="CC226" s="177"/>
      <c r="CD226" s="168"/>
      <c r="CE226" s="177"/>
      <c r="CF226" s="168"/>
      <c r="CG226" s="187"/>
      <c r="CH226" s="183"/>
      <c r="CI226" s="185"/>
      <c r="CJ226" s="160"/>
      <c r="CK226" s="160"/>
      <c r="CL226" s="160"/>
      <c r="CM226" s="160"/>
      <c r="CN226" s="160"/>
      <c r="CO226" s="160"/>
      <c r="CP226" s="160"/>
      <c r="CQ226" s="160"/>
      <c r="CR226" s="160"/>
      <c r="CS226" s="179"/>
      <c r="CT226" s="160"/>
      <c r="CU226" s="160"/>
      <c r="CV226" s="160"/>
      <c r="CW226" s="160"/>
      <c r="CX226" s="160"/>
      <c r="CY226" s="160"/>
      <c r="CZ226" s="160"/>
      <c r="DA226" s="160"/>
      <c r="DB226" s="160"/>
      <c r="DC226" s="160"/>
      <c r="DD226" s="160"/>
      <c r="DE226" s="160"/>
      <c r="DF226" s="160"/>
      <c r="DG226" s="160"/>
      <c r="DH226" s="160"/>
      <c r="DI226" s="160"/>
      <c r="DJ226" s="160"/>
      <c r="DK226" s="160"/>
      <c r="DL226" s="160"/>
      <c r="DM226" s="160"/>
      <c r="DN226" s="160"/>
    </row>
    <row r="227" spans="1:118" hidden="1">
      <c r="A227" s="149"/>
      <c r="B227" s="150"/>
      <c r="C227" s="151"/>
      <c r="D227" s="152"/>
      <c r="E227" s="152"/>
      <c r="F227" s="152"/>
      <c r="G227" s="152"/>
      <c r="H227" s="62">
        <f>SUM(Table4[[#This Row],[BASIC]:[FOOD]])</f>
        <v>0</v>
      </c>
      <c r="I227" s="62"/>
      <c r="J227" s="62"/>
      <c r="K227" s="62"/>
      <c r="L227" s="62"/>
      <c r="M227" s="62"/>
      <c r="N227" s="62"/>
      <c r="O227" s="62">
        <f>SUM(Table4[[#This Row],[ESI BASIC]:[ESI FOOD]])</f>
        <v>0</v>
      </c>
      <c r="P227" s="160"/>
      <c r="Q227" s="160"/>
      <c r="R227" s="175"/>
      <c r="S227" s="167"/>
      <c r="T227" s="10">
        <f t="shared" si="18"/>
        <v>0</v>
      </c>
      <c r="U227" s="167"/>
      <c r="V227" s="10">
        <f t="shared" si="19"/>
        <v>0</v>
      </c>
      <c r="W227" s="10">
        <f t="shared" si="20"/>
        <v>0</v>
      </c>
      <c r="X227" s="170"/>
      <c r="Y227" s="177"/>
      <c r="Z227" s="168"/>
      <c r="AA227" s="177"/>
      <c r="AB227" s="168"/>
      <c r="AC227" s="177"/>
      <c r="AD227" s="168"/>
      <c r="AE227" s="177"/>
      <c r="AF227" s="168"/>
      <c r="AG227" s="177"/>
      <c r="AH227" s="168"/>
      <c r="AI227" s="177"/>
      <c r="AJ227" s="168"/>
      <c r="AK227" s="177"/>
      <c r="AL227" s="168"/>
      <c r="AM227" s="177"/>
      <c r="AN227" s="168"/>
      <c r="AO227" s="177"/>
      <c r="AP227" s="168"/>
      <c r="AQ227" s="177"/>
      <c r="AR227" s="168"/>
      <c r="AS227" s="177"/>
      <c r="AT227" s="168"/>
      <c r="AU227" s="177"/>
      <c r="AV227" s="168"/>
      <c r="AW227" s="177"/>
      <c r="AX227" s="168"/>
      <c r="AY227" s="177"/>
      <c r="AZ227" s="168"/>
      <c r="BA227" s="177"/>
      <c r="BB227" s="168"/>
      <c r="BC227" s="177"/>
      <c r="BD227" s="168"/>
      <c r="BE227" s="177"/>
      <c r="BF227" s="168"/>
      <c r="BG227" s="177"/>
      <c r="BH227" s="168"/>
      <c r="BI227" s="177"/>
      <c r="BJ227" s="168"/>
      <c r="BK227" s="177"/>
      <c r="BL227" s="168"/>
      <c r="BM227" s="177"/>
      <c r="BN227" s="168"/>
      <c r="BO227" s="177"/>
      <c r="BP227" s="168"/>
      <c r="BQ227" s="177"/>
      <c r="BR227" s="168"/>
      <c r="BS227" s="177"/>
      <c r="BT227" s="168"/>
      <c r="BU227" s="177"/>
      <c r="BV227" s="168"/>
      <c r="BW227" s="177"/>
      <c r="BX227" s="168"/>
      <c r="BY227" s="177"/>
      <c r="BZ227" s="168"/>
      <c r="CA227" s="177"/>
      <c r="CB227" s="168"/>
      <c r="CC227" s="177"/>
      <c r="CD227" s="168"/>
      <c r="CE227" s="177"/>
      <c r="CF227" s="168"/>
      <c r="CG227" s="187"/>
      <c r="CH227" s="183"/>
      <c r="CI227" s="185"/>
      <c r="CJ227" s="160"/>
      <c r="CK227" s="160"/>
      <c r="CL227" s="160"/>
      <c r="CM227" s="160"/>
      <c r="CN227" s="160"/>
      <c r="CO227" s="160"/>
      <c r="CP227" s="160"/>
      <c r="CQ227" s="160"/>
      <c r="CR227" s="160"/>
      <c r="CS227" s="179"/>
      <c r="CT227" s="160"/>
      <c r="CU227" s="160"/>
      <c r="CV227" s="160"/>
      <c r="CW227" s="160"/>
      <c r="CX227" s="160"/>
      <c r="CY227" s="160"/>
      <c r="CZ227" s="160"/>
      <c r="DA227" s="160"/>
      <c r="DB227" s="160"/>
      <c r="DC227" s="160"/>
      <c r="DD227" s="160"/>
      <c r="DE227" s="160"/>
      <c r="DF227" s="160"/>
      <c r="DG227" s="160"/>
      <c r="DH227" s="160"/>
      <c r="DI227" s="160"/>
      <c r="DJ227" s="160"/>
      <c r="DK227" s="160"/>
      <c r="DL227" s="160"/>
      <c r="DM227" s="160"/>
      <c r="DN227" s="160"/>
    </row>
    <row r="228" spans="1:118" hidden="1">
      <c r="A228" s="149"/>
      <c r="B228" s="150"/>
      <c r="C228" s="151"/>
      <c r="D228" s="152"/>
      <c r="E228" s="152"/>
      <c r="F228" s="152"/>
      <c r="G228" s="152"/>
      <c r="H228" s="62">
        <f>SUM(Table4[[#This Row],[BASIC]:[FOOD]])</f>
        <v>0</v>
      </c>
      <c r="I228" s="62"/>
      <c r="J228" s="62"/>
      <c r="K228" s="62"/>
      <c r="L228" s="62"/>
      <c r="M228" s="62"/>
      <c r="N228" s="62"/>
      <c r="O228" s="62">
        <f>SUM(Table4[[#This Row],[ESI BASIC]:[ESI FOOD]])</f>
        <v>0</v>
      </c>
      <c r="P228" s="160"/>
      <c r="Q228" s="160"/>
      <c r="R228" s="175"/>
      <c r="S228" s="167"/>
      <c r="T228" s="10">
        <f t="shared" si="18"/>
        <v>0</v>
      </c>
      <c r="U228" s="167"/>
      <c r="V228" s="10">
        <f t="shared" si="19"/>
        <v>0</v>
      </c>
      <c r="W228" s="10">
        <f t="shared" si="20"/>
        <v>0</v>
      </c>
      <c r="X228" s="170"/>
      <c r="Y228" s="177"/>
      <c r="Z228" s="168"/>
      <c r="AA228" s="177"/>
      <c r="AB228" s="168"/>
      <c r="AC228" s="177"/>
      <c r="AD228" s="168"/>
      <c r="AE228" s="177"/>
      <c r="AF228" s="168"/>
      <c r="AG228" s="177"/>
      <c r="AH228" s="168"/>
      <c r="AI228" s="177"/>
      <c r="AJ228" s="168"/>
      <c r="AK228" s="177"/>
      <c r="AL228" s="168"/>
      <c r="AM228" s="177"/>
      <c r="AN228" s="168"/>
      <c r="AO228" s="177"/>
      <c r="AP228" s="168"/>
      <c r="AQ228" s="177"/>
      <c r="AR228" s="168"/>
      <c r="AS228" s="177"/>
      <c r="AT228" s="168"/>
      <c r="AU228" s="177"/>
      <c r="AV228" s="168"/>
      <c r="AW228" s="177"/>
      <c r="AX228" s="168"/>
      <c r="AY228" s="177"/>
      <c r="AZ228" s="168"/>
      <c r="BA228" s="177"/>
      <c r="BB228" s="168"/>
      <c r="BC228" s="177"/>
      <c r="BD228" s="168"/>
      <c r="BE228" s="177"/>
      <c r="BF228" s="168"/>
      <c r="BG228" s="177"/>
      <c r="BH228" s="168"/>
      <c r="BI228" s="177"/>
      <c r="BJ228" s="168"/>
      <c r="BK228" s="177"/>
      <c r="BL228" s="168"/>
      <c r="BM228" s="177"/>
      <c r="BN228" s="168"/>
      <c r="BO228" s="177"/>
      <c r="BP228" s="168"/>
      <c r="BQ228" s="177"/>
      <c r="BR228" s="168"/>
      <c r="BS228" s="177"/>
      <c r="BT228" s="168"/>
      <c r="BU228" s="177"/>
      <c r="BV228" s="168"/>
      <c r="BW228" s="177"/>
      <c r="BX228" s="168"/>
      <c r="BY228" s="177"/>
      <c r="BZ228" s="168"/>
      <c r="CA228" s="177"/>
      <c r="CB228" s="168"/>
      <c r="CC228" s="177"/>
      <c r="CD228" s="168"/>
      <c r="CE228" s="177"/>
      <c r="CF228" s="168"/>
      <c r="CG228" s="187"/>
      <c r="CH228" s="183"/>
      <c r="CI228" s="185"/>
      <c r="CJ228" s="160"/>
      <c r="CK228" s="160"/>
      <c r="CL228" s="160"/>
      <c r="CM228" s="160"/>
      <c r="CN228" s="160"/>
      <c r="CO228" s="160"/>
      <c r="CP228" s="160"/>
      <c r="CQ228" s="160"/>
      <c r="CR228" s="160"/>
      <c r="CS228" s="179"/>
      <c r="CT228" s="160"/>
      <c r="CU228" s="160"/>
      <c r="CV228" s="160"/>
      <c r="CW228" s="160"/>
      <c r="CX228" s="160"/>
      <c r="CY228" s="160"/>
      <c r="CZ228" s="160"/>
      <c r="DA228" s="160"/>
      <c r="DB228" s="160"/>
      <c r="DC228" s="160"/>
      <c r="DD228" s="160"/>
      <c r="DE228" s="160"/>
      <c r="DF228" s="160"/>
      <c r="DG228" s="160"/>
      <c r="DH228" s="160"/>
      <c r="DI228" s="160"/>
      <c r="DJ228" s="160"/>
      <c r="DK228" s="160"/>
      <c r="DL228" s="160"/>
      <c r="DM228" s="160"/>
      <c r="DN228" s="160"/>
    </row>
    <row r="229" spans="1:118" hidden="1">
      <c r="A229" s="149"/>
      <c r="B229" s="150"/>
      <c r="C229" s="151"/>
      <c r="D229" s="152"/>
      <c r="E229" s="152"/>
      <c r="F229" s="152"/>
      <c r="G229" s="152"/>
      <c r="H229" s="62">
        <f>SUM(Table4[[#This Row],[BASIC]:[FOOD]])</f>
        <v>0</v>
      </c>
      <c r="I229" s="62"/>
      <c r="J229" s="62"/>
      <c r="K229" s="62"/>
      <c r="L229" s="62"/>
      <c r="M229" s="62"/>
      <c r="N229" s="62"/>
      <c r="O229" s="62">
        <f>SUM(Table4[[#This Row],[ESI BASIC]:[ESI FOOD]])</f>
        <v>0</v>
      </c>
      <c r="P229" s="160"/>
      <c r="Q229" s="160"/>
      <c r="R229" s="175"/>
      <c r="S229" s="167"/>
      <c r="T229" s="10">
        <f t="shared" si="18"/>
        <v>0</v>
      </c>
      <c r="U229" s="167"/>
      <c r="V229" s="10">
        <f t="shared" si="19"/>
        <v>0</v>
      </c>
      <c r="W229" s="10">
        <f t="shared" si="20"/>
        <v>0</v>
      </c>
      <c r="X229" s="170"/>
      <c r="Y229" s="177"/>
      <c r="Z229" s="168"/>
      <c r="AA229" s="177"/>
      <c r="AB229" s="168"/>
      <c r="AC229" s="177"/>
      <c r="AD229" s="168"/>
      <c r="AE229" s="177"/>
      <c r="AF229" s="168"/>
      <c r="AG229" s="177"/>
      <c r="AH229" s="168"/>
      <c r="AI229" s="177"/>
      <c r="AJ229" s="168"/>
      <c r="AK229" s="177"/>
      <c r="AL229" s="168"/>
      <c r="AM229" s="177"/>
      <c r="AN229" s="168"/>
      <c r="AO229" s="177"/>
      <c r="AP229" s="168"/>
      <c r="AQ229" s="177"/>
      <c r="AR229" s="168"/>
      <c r="AS229" s="177"/>
      <c r="AT229" s="168"/>
      <c r="AU229" s="177"/>
      <c r="AV229" s="168"/>
      <c r="AW229" s="177"/>
      <c r="AX229" s="168"/>
      <c r="AY229" s="177"/>
      <c r="AZ229" s="168"/>
      <c r="BA229" s="177"/>
      <c r="BB229" s="168"/>
      <c r="BC229" s="177"/>
      <c r="BD229" s="168"/>
      <c r="BE229" s="177"/>
      <c r="BF229" s="168"/>
      <c r="BG229" s="177"/>
      <c r="BH229" s="168"/>
      <c r="BI229" s="177"/>
      <c r="BJ229" s="168"/>
      <c r="BK229" s="177"/>
      <c r="BL229" s="168"/>
      <c r="BM229" s="177"/>
      <c r="BN229" s="168"/>
      <c r="BO229" s="177"/>
      <c r="BP229" s="168"/>
      <c r="BQ229" s="177"/>
      <c r="BR229" s="168"/>
      <c r="BS229" s="177"/>
      <c r="BT229" s="168"/>
      <c r="BU229" s="177"/>
      <c r="BV229" s="168"/>
      <c r="BW229" s="177"/>
      <c r="BX229" s="168"/>
      <c r="BY229" s="177"/>
      <c r="BZ229" s="168"/>
      <c r="CA229" s="177"/>
      <c r="CB229" s="168"/>
      <c r="CC229" s="177"/>
      <c r="CD229" s="168"/>
      <c r="CE229" s="177"/>
      <c r="CF229" s="168"/>
      <c r="CG229" s="187"/>
      <c r="CH229" s="183"/>
      <c r="CI229" s="185"/>
      <c r="CJ229" s="160"/>
      <c r="CK229" s="160"/>
      <c r="CL229" s="160"/>
      <c r="CM229" s="160"/>
      <c r="CN229" s="160"/>
      <c r="CO229" s="160"/>
      <c r="CP229" s="160"/>
      <c r="CQ229" s="160"/>
      <c r="CR229" s="160"/>
      <c r="CS229" s="179"/>
      <c r="CT229" s="160"/>
      <c r="CU229" s="160"/>
      <c r="CV229" s="160"/>
      <c r="CW229" s="160"/>
      <c r="CX229" s="160"/>
      <c r="CY229" s="160"/>
      <c r="CZ229" s="160"/>
      <c r="DA229" s="160"/>
      <c r="DB229" s="160"/>
      <c r="DC229" s="160"/>
      <c r="DD229" s="160"/>
      <c r="DE229" s="160"/>
      <c r="DF229" s="160"/>
      <c r="DG229" s="160"/>
      <c r="DH229" s="160"/>
      <c r="DI229" s="160"/>
      <c r="DJ229" s="160"/>
      <c r="DK229" s="160"/>
      <c r="DL229" s="160"/>
      <c r="DM229" s="160"/>
      <c r="DN229" s="160"/>
    </row>
    <row r="230" spans="1:118" hidden="1">
      <c r="A230" s="149"/>
      <c r="B230" s="150"/>
      <c r="C230" s="151"/>
      <c r="D230" s="152"/>
      <c r="E230" s="152"/>
      <c r="F230" s="152"/>
      <c r="G230" s="152"/>
      <c r="H230" s="62">
        <f>SUM(Table4[[#This Row],[BASIC]:[FOOD]])</f>
        <v>0</v>
      </c>
      <c r="I230" s="62"/>
      <c r="J230" s="62"/>
      <c r="K230" s="62"/>
      <c r="L230" s="62"/>
      <c r="M230" s="62"/>
      <c r="N230" s="62"/>
      <c r="O230" s="62">
        <f>SUM(Table4[[#This Row],[ESI BASIC]:[ESI FOOD]])</f>
        <v>0</v>
      </c>
      <c r="P230" s="160"/>
      <c r="Q230" s="160"/>
      <c r="R230" s="175"/>
      <c r="S230" s="167"/>
      <c r="T230" s="10">
        <f t="shared" si="18"/>
        <v>0</v>
      </c>
      <c r="U230" s="167"/>
      <c r="V230" s="10">
        <f t="shared" si="19"/>
        <v>0</v>
      </c>
      <c r="W230" s="10">
        <f t="shared" si="20"/>
        <v>0</v>
      </c>
      <c r="X230" s="170"/>
      <c r="Y230" s="177"/>
      <c r="Z230" s="168"/>
      <c r="AA230" s="177"/>
      <c r="AB230" s="168"/>
      <c r="AC230" s="177"/>
      <c r="AD230" s="168"/>
      <c r="AE230" s="177"/>
      <c r="AF230" s="168"/>
      <c r="AG230" s="177"/>
      <c r="AH230" s="168"/>
      <c r="AI230" s="177"/>
      <c r="AJ230" s="168"/>
      <c r="AK230" s="177"/>
      <c r="AL230" s="168"/>
      <c r="AM230" s="177"/>
      <c r="AN230" s="168"/>
      <c r="AO230" s="177"/>
      <c r="AP230" s="168"/>
      <c r="AQ230" s="177"/>
      <c r="AR230" s="168"/>
      <c r="AS230" s="177"/>
      <c r="AT230" s="168"/>
      <c r="AU230" s="177"/>
      <c r="AV230" s="168"/>
      <c r="AW230" s="177"/>
      <c r="AX230" s="168"/>
      <c r="AY230" s="177"/>
      <c r="AZ230" s="168"/>
      <c r="BA230" s="177"/>
      <c r="BB230" s="168"/>
      <c r="BC230" s="177"/>
      <c r="BD230" s="168"/>
      <c r="BE230" s="177"/>
      <c r="BF230" s="168"/>
      <c r="BG230" s="177"/>
      <c r="BH230" s="168"/>
      <c r="BI230" s="177"/>
      <c r="BJ230" s="168"/>
      <c r="BK230" s="177"/>
      <c r="BL230" s="168"/>
      <c r="BM230" s="177"/>
      <c r="BN230" s="168"/>
      <c r="BO230" s="177"/>
      <c r="BP230" s="168"/>
      <c r="BQ230" s="177"/>
      <c r="BR230" s="168"/>
      <c r="BS230" s="177"/>
      <c r="BT230" s="168"/>
      <c r="BU230" s="177"/>
      <c r="BV230" s="168"/>
      <c r="BW230" s="177"/>
      <c r="BX230" s="168"/>
      <c r="BY230" s="177"/>
      <c r="BZ230" s="168"/>
      <c r="CA230" s="177"/>
      <c r="CB230" s="168"/>
      <c r="CC230" s="177"/>
      <c r="CD230" s="168"/>
      <c r="CE230" s="177"/>
      <c r="CF230" s="168"/>
      <c r="CG230" s="187"/>
      <c r="CH230" s="183"/>
      <c r="CI230" s="185"/>
      <c r="CJ230" s="160"/>
      <c r="CK230" s="160"/>
      <c r="CL230" s="160"/>
      <c r="CM230" s="160"/>
      <c r="CN230" s="160"/>
      <c r="CO230" s="160"/>
      <c r="CP230" s="160"/>
      <c r="CQ230" s="160"/>
      <c r="CR230" s="160"/>
      <c r="CS230" s="179"/>
      <c r="CT230" s="160"/>
      <c r="CU230" s="160"/>
      <c r="CV230" s="160"/>
      <c r="CW230" s="160"/>
      <c r="CX230" s="160"/>
      <c r="CY230" s="160"/>
      <c r="CZ230" s="160"/>
      <c r="DA230" s="160"/>
      <c r="DB230" s="160"/>
      <c r="DC230" s="160"/>
      <c r="DD230" s="160"/>
      <c r="DE230" s="160"/>
      <c r="DF230" s="160"/>
      <c r="DG230" s="160"/>
      <c r="DH230" s="160"/>
      <c r="DI230" s="160"/>
      <c r="DJ230" s="160"/>
      <c r="DK230" s="160"/>
      <c r="DL230" s="160"/>
      <c r="DM230" s="160"/>
      <c r="DN230" s="160"/>
    </row>
    <row r="231" spans="1:118" hidden="1">
      <c r="A231" s="149"/>
      <c r="B231" s="150"/>
      <c r="C231" s="151"/>
      <c r="D231" s="152"/>
      <c r="E231" s="152"/>
      <c r="F231" s="152"/>
      <c r="G231" s="152"/>
      <c r="H231" s="62">
        <f>SUM(Table4[[#This Row],[BASIC]:[FOOD]])</f>
        <v>0</v>
      </c>
      <c r="I231" s="62"/>
      <c r="J231" s="62"/>
      <c r="K231" s="62"/>
      <c r="L231" s="62"/>
      <c r="M231" s="62"/>
      <c r="N231" s="62"/>
      <c r="O231" s="62">
        <f>SUM(Table4[[#This Row],[ESI BASIC]:[ESI FOOD]])</f>
        <v>0</v>
      </c>
      <c r="P231" s="160"/>
      <c r="Q231" s="160"/>
      <c r="R231" s="175"/>
      <c r="S231" s="167"/>
      <c r="T231" s="10">
        <f t="shared" si="18"/>
        <v>0</v>
      </c>
      <c r="U231" s="167"/>
      <c r="V231" s="10">
        <f t="shared" si="19"/>
        <v>0</v>
      </c>
      <c r="W231" s="10">
        <f t="shared" si="20"/>
        <v>0</v>
      </c>
      <c r="X231" s="170"/>
      <c r="Y231" s="177"/>
      <c r="Z231" s="168"/>
      <c r="AA231" s="177"/>
      <c r="AB231" s="168"/>
      <c r="AC231" s="177"/>
      <c r="AD231" s="168"/>
      <c r="AE231" s="177"/>
      <c r="AF231" s="168"/>
      <c r="AG231" s="177"/>
      <c r="AH231" s="168"/>
      <c r="AI231" s="177"/>
      <c r="AJ231" s="168"/>
      <c r="AK231" s="177"/>
      <c r="AL231" s="168"/>
      <c r="AM231" s="177"/>
      <c r="AN231" s="168"/>
      <c r="AO231" s="177"/>
      <c r="AP231" s="168"/>
      <c r="AQ231" s="177"/>
      <c r="AR231" s="168"/>
      <c r="AS231" s="177"/>
      <c r="AT231" s="168"/>
      <c r="AU231" s="177"/>
      <c r="AV231" s="168"/>
      <c r="AW231" s="177"/>
      <c r="AX231" s="168"/>
      <c r="AY231" s="177"/>
      <c r="AZ231" s="168"/>
      <c r="BA231" s="177"/>
      <c r="BB231" s="168"/>
      <c r="BC231" s="177"/>
      <c r="BD231" s="168"/>
      <c r="BE231" s="177"/>
      <c r="BF231" s="168"/>
      <c r="BG231" s="177"/>
      <c r="BH231" s="168"/>
      <c r="BI231" s="177"/>
      <c r="BJ231" s="168"/>
      <c r="BK231" s="177"/>
      <c r="BL231" s="168"/>
      <c r="BM231" s="177"/>
      <c r="BN231" s="168"/>
      <c r="BO231" s="177"/>
      <c r="BP231" s="168"/>
      <c r="BQ231" s="177"/>
      <c r="BR231" s="168"/>
      <c r="BS231" s="177"/>
      <c r="BT231" s="168"/>
      <c r="BU231" s="177"/>
      <c r="BV231" s="168"/>
      <c r="BW231" s="177"/>
      <c r="BX231" s="168"/>
      <c r="BY231" s="177"/>
      <c r="BZ231" s="168"/>
      <c r="CA231" s="177"/>
      <c r="CB231" s="168"/>
      <c r="CC231" s="177"/>
      <c r="CD231" s="168"/>
      <c r="CE231" s="177"/>
      <c r="CF231" s="168"/>
      <c r="CG231" s="187"/>
      <c r="CH231" s="183"/>
      <c r="CI231" s="185"/>
      <c r="CJ231" s="160"/>
      <c r="CK231" s="160"/>
      <c r="CL231" s="160"/>
      <c r="CM231" s="160"/>
      <c r="CN231" s="160"/>
      <c r="CO231" s="160"/>
      <c r="CP231" s="160"/>
      <c r="CQ231" s="160"/>
      <c r="CR231" s="160"/>
      <c r="CS231" s="179"/>
      <c r="CT231" s="160"/>
      <c r="CU231" s="160"/>
      <c r="CV231" s="160"/>
      <c r="CW231" s="160"/>
      <c r="CX231" s="160"/>
      <c r="CY231" s="160"/>
      <c r="CZ231" s="160"/>
      <c r="DA231" s="160"/>
      <c r="DB231" s="160"/>
      <c r="DC231" s="160"/>
      <c r="DD231" s="160"/>
      <c r="DE231" s="160"/>
      <c r="DF231" s="160"/>
      <c r="DG231" s="160"/>
      <c r="DH231" s="160"/>
      <c r="DI231" s="160"/>
      <c r="DJ231" s="160"/>
      <c r="DK231" s="160"/>
      <c r="DL231" s="160"/>
      <c r="DM231" s="160"/>
      <c r="DN231" s="160"/>
    </row>
    <row r="232" spans="1:118" hidden="1">
      <c r="A232" s="149"/>
      <c r="B232" s="150"/>
      <c r="C232" s="151"/>
      <c r="D232" s="152"/>
      <c r="E232" s="152"/>
      <c r="F232" s="152"/>
      <c r="G232" s="152"/>
      <c r="H232" s="62">
        <f>SUM(Table4[[#This Row],[BASIC]:[FOOD]])</f>
        <v>0</v>
      </c>
      <c r="I232" s="62"/>
      <c r="J232" s="62"/>
      <c r="K232" s="62"/>
      <c r="L232" s="62"/>
      <c r="M232" s="62"/>
      <c r="N232" s="62"/>
      <c r="O232" s="62">
        <f>SUM(Table4[[#This Row],[ESI BASIC]:[ESI FOOD]])</f>
        <v>0</v>
      </c>
      <c r="P232" s="160"/>
      <c r="Q232" s="160"/>
      <c r="R232" s="175"/>
      <c r="S232" s="167"/>
      <c r="T232" s="10">
        <f t="shared" si="18"/>
        <v>0</v>
      </c>
      <c r="U232" s="167"/>
      <c r="V232" s="10">
        <f t="shared" si="19"/>
        <v>0</v>
      </c>
      <c r="W232" s="10">
        <f t="shared" si="20"/>
        <v>0</v>
      </c>
      <c r="X232" s="170"/>
      <c r="Y232" s="177"/>
      <c r="Z232" s="168"/>
      <c r="AA232" s="177"/>
      <c r="AB232" s="168"/>
      <c r="AC232" s="177"/>
      <c r="AD232" s="168"/>
      <c r="AE232" s="177"/>
      <c r="AF232" s="168"/>
      <c r="AG232" s="177"/>
      <c r="AH232" s="168"/>
      <c r="AI232" s="177"/>
      <c r="AJ232" s="168"/>
      <c r="AK232" s="177"/>
      <c r="AL232" s="168"/>
      <c r="AM232" s="177"/>
      <c r="AN232" s="168"/>
      <c r="AO232" s="177"/>
      <c r="AP232" s="168"/>
      <c r="AQ232" s="177"/>
      <c r="AR232" s="168"/>
      <c r="AS232" s="177"/>
      <c r="AT232" s="168"/>
      <c r="AU232" s="177"/>
      <c r="AV232" s="168"/>
      <c r="AW232" s="177"/>
      <c r="AX232" s="168"/>
      <c r="AY232" s="177"/>
      <c r="AZ232" s="168"/>
      <c r="BA232" s="177"/>
      <c r="BB232" s="168"/>
      <c r="BC232" s="177"/>
      <c r="BD232" s="168"/>
      <c r="BE232" s="177"/>
      <c r="BF232" s="168"/>
      <c r="BG232" s="177"/>
      <c r="BH232" s="168"/>
      <c r="BI232" s="177"/>
      <c r="BJ232" s="168"/>
      <c r="BK232" s="177"/>
      <c r="BL232" s="168"/>
      <c r="BM232" s="177"/>
      <c r="BN232" s="168"/>
      <c r="BO232" s="177"/>
      <c r="BP232" s="168"/>
      <c r="BQ232" s="177"/>
      <c r="BR232" s="168"/>
      <c r="BS232" s="177"/>
      <c r="BT232" s="168"/>
      <c r="BU232" s="177"/>
      <c r="BV232" s="168"/>
      <c r="BW232" s="177"/>
      <c r="BX232" s="168"/>
      <c r="BY232" s="177"/>
      <c r="BZ232" s="168"/>
      <c r="CA232" s="177"/>
      <c r="CB232" s="168"/>
      <c r="CC232" s="177"/>
      <c r="CD232" s="168"/>
      <c r="CE232" s="177"/>
      <c r="CF232" s="168"/>
      <c r="CG232" s="187"/>
      <c r="CH232" s="183"/>
      <c r="CI232" s="185"/>
      <c r="CJ232" s="160"/>
      <c r="CK232" s="160"/>
      <c r="CL232" s="160"/>
      <c r="CM232" s="160"/>
      <c r="CN232" s="160"/>
      <c r="CO232" s="160"/>
      <c r="CP232" s="160"/>
      <c r="CQ232" s="160"/>
      <c r="CR232" s="160"/>
      <c r="CS232" s="179"/>
      <c r="CT232" s="160"/>
      <c r="CU232" s="160"/>
      <c r="CV232" s="160"/>
      <c r="CW232" s="160"/>
      <c r="CX232" s="160"/>
      <c r="CY232" s="160"/>
      <c r="CZ232" s="160"/>
      <c r="DA232" s="160"/>
      <c r="DB232" s="160"/>
      <c r="DC232" s="160"/>
      <c r="DD232" s="160"/>
      <c r="DE232" s="160"/>
      <c r="DF232" s="160"/>
      <c r="DG232" s="160"/>
      <c r="DH232" s="160"/>
      <c r="DI232" s="160"/>
      <c r="DJ232" s="160"/>
      <c r="DK232" s="160"/>
      <c r="DL232" s="160"/>
      <c r="DM232" s="160"/>
      <c r="DN232" s="160"/>
    </row>
    <row r="233" spans="1:118" hidden="1">
      <c r="A233" s="149"/>
      <c r="B233" s="150"/>
      <c r="C233" s="151"/>
      <c r="D233" s="152"/>
      <c r="E233" s="152"/>
      <c r="F233" s="152"/>
      <c r="G233" s="152"/>
      <c r="H233" s="62">
        <f>SUM(Table4[[#This Row],[BASIC]:[FOOD]])</f>
        <v>0</v>
      </c>
      <c r="I233" s="62"/>
      <c r="J233" s="62"/>
      <c r="K233" s="62"/>
      <c r="L233" s="62"/>
      <c r="M233" s="62"/>
      <c r="N233" s="62"/>
      <c r="O233" s="62">
        <f>SUM(Table4[[#This Row],[ESI BASIC]:[ESI FOOD]])</f>
        <v>0</v>
      </c>
      <c r="P233" s="160"/>
      <c r="Q233" s="160"/>
      <c r="R233" s="175"/>
      <c r="S233" s="167"/>
      <c r="T233" s="10">
        <f t="shared" si="18"/>
        <v>0</v>
      </c>
      <c r="U233" s="167"/>
      <c r="V233" s="10">
        <f t="shared" si="19"/>
        <v>0</v>
      </c>
      <c r="W233" s="10">
        <f t="shared" si="20"/>
        <v>0</v>
      </c>
      <c r="X233" s="170"/>
      <c r="Y233" s="177"/>
      <c r="Z233" s="168"/>
      <c r="AA233" s="177"/>
      <c r="AB233" s="168"/>
      <c r="AC233" s="177"/>
      <c r="AD233" s="168"/>
      <c r="AE233" s="177"/>
      <c r="AF233" s="168"/>
      <c r="AG233" s="177"/>
      <c r="AH233" s="168"/>
      <c r="AI233" s="177"/>
      <c r="AJ233" s="168"/>
      <c r="AK233" s="177"/>
      <c r="AL233" s="168"/>
      <c r="AM233" s="177"/>
      <c r="AN233" s="168"/>
      <c r="AO233" s="177"/>
      <c r="AP233" s="168"/>
      <c r="AQ233" s="177"/>
      <c r="AR233" s="168"/>
      <c r="AS233" s="177"/>
      <c r="AT233" s="168"/>
      <c r="AU233" s="177"/>
      <c r="AV233" s="168"/>
      <c r="AW233" s="177"/>
      <c r="AX233" s="168"/>
      <c r="AY233" s="177"/>
      <c r="AZ233" s="168"/>
      <c r="BA233" s="177"/>
      <c r="BB233" s="168"/>
      <c r="BC233" s="177"/>
      <c r="BD233" s="168"/>
      <c r="BE233" s="177"/>
      <c r="BF233" s="168"/>
      <c r="BG233" s="177"/>
      <c r="BH233" s="168"/>
      <c r="BI233" s="177"/>
      <c r="BJ233" s="168"/>
      <c r="BK233" s="177"/>
      <c r="BL233" s="168"/>
      <c r="BM233" s="177"/>
      <c r="BN233" s="168"/>
      <c r="BO233" s="177"/>
      <c r="BP233" s="168"/>
      <c r="BQ233" s="177"/>
      <c r="BR233" s="168"/>
      <c r="BS233" s="177"/>
      <c r="BT233" s="168"/>
      <c r="BU233" s="177"/>
      <c r="BV233" s="168"/>
      <c r="BW233" s="177"/>
      <c r="BX233" s="168"/>
      <c r="BY233" s="177"/>
      <c r="BZ233" s="168"/>
      <c r="CA233" s="177"/>
      <c r="CB233" s="168"/>
      <c r="CC233" s="177"/>
      <c r="CD233" s="168"/>
      <c r="CE233" s="177"/>
      <c r="CF233" s="168"/>
      <c r="CG233" s="187"/>
      <c r="CH233" s="183"/>
      <c r="CI233" s="185"/>
      <c r="CJ233" s="160"/>
      <c r="CK233" s="160"/>
      <c r="CL233" s="160"/>
      <c r="CM233" s="160"/>
      <c r="CN233" s="160"/>
      <c r="CO233" s="160"/>
      <c r="CP233" s="160"/>
      <c r="CQ233" s="160"/>
      <c r="CR233" s="160"/>
      <c r="CS233" s="179"/>
      <c r="CT233" s="160"/>
      <c r="CU233" s="160"/>
      <c r="CV233" s="160"/>
      <c r="CW233" s="160"/>
      <c r="CX233" s="160"/>
      <c r="CY233" s="160"/>
      <c r="CZ233" s="160"/>
      <c r="DA233" s="160"/>
      <c r="DB233" s="160"/>
      <c r="DC233" s="160"/>
      <c r="DD233" s="160"/>
      <c r="DE233" s="160"/>
      <c r="DF233" s="160"/>
      <c r="DG233" s="160"/>
      <c r="DH233" s="160"/>
      <c r="DI233" s="160"/>
      <c r="DJ233" s="160"/>
      <c r="DK233" s="160"/>
      <c r="DL233" s="160"/>
      <c r="DM233" s="160"/>
      <c r="DN233" s="160"/>
    </row>
    <row r="234" spans="1:118" hidden="1">
      <c r="A234" s="149"/>
      <c r="B234" s="150"/>
      <c r="C234" s="151"/>
      <c r="D234" s="152"/>
      <c r="E234" s="152"/>
      <c r="F234" s="152"/>
      <c r="G234" s="152"/>
      <c r="H234" s="62">
        <f>SUM(Table4[[#This Row],[BASIC]:[FOOD]])</f>
        <v>0</v>
      </c>
      <c r="I234" s="62"/>
      <c r="J234" s="62"/>
      <c r="K234" s="62"/>
      <c r="L234" s="62"/>
      <c r="M234" s="62"/>
      <c r="N234" s="62"/>
      <c r="O234" s="62">
        <f>SUM(Table4[[#This Row],[ESI BASIC]:[ESI FOOD]])</f>
        <v>0</v>
      </c>
      <c r="P234" s="160"/>
      <c r="Q234" s="160"/>
      <c r="R234" s="175"/>
      <c r="S234" s="167"/>
      <c r="T234" s="10">
        <f t="shared" si="18"/>
        <v>0</v>
      </c>
      <c r="U234" s="167"/>
      <c r="V234" s="10">
        <f t="shared" si="19"/>
        <v>0</v>
      </c>
      <c r="W234" s="10">
        <f t="shared" si="20"/>
        <v>0</v>
      </c>
      <c r="X234" s="170"/>
      <c r="Y234" s="177"/>
      <c r="Z234" s="168"/>
      <c r="AA234" s="177"/>
      <c r="AB234" s="168"/>
      <c r="AC234" s="177"/>
      <c r="AD234" s="168"/>
      <c r="AE234" s="177"/>
      <c r="AF234" s="168"/>
      <c r="AG234" s="177"/>
      <c r="AH234" s="168"/>
      <c r="AI234" s="177"/>
      <c r="AJ234" s="168"/>
      <c r="AK234" s="177"/>
      <c r="AL234" s="168"/>
      <c r="AM234" s="177"/>
      <c r="AN234" s="168"/>
      <c r="AO234" s="177"/>
      <c r="AP234" s="168"/>
      <c r="AQ234" s="177"/>
      <c r="AR234" s="168"/>
      <c r="AS234" s="177"/>
      <c r="AT234" s="168"/>
      <c r="AU234" s="177"/>
      <c r="AV234" s="168"/>
      <c r="AW234" s="177"/>
      <c r="AX234" s="168"/>
      <c r="AY234" s="177"/>
      <c r="AZ234" s="168"/>
      <c r="BA234" s="177"/>
      <c r="BB234" s="168"/>
      <c r="BC234" s="177"/>
      <c r="BD234" s="168"/>
      <c r="BE234" s="177"/>
      <c r="BF234" s="168"/>
      <c r="BG234" s="177"/>
      <c r="BH234" s="168"/>
      <c r="BI234" s="177"/>
      <c r="BJ234" s="168"/>
      <c r="BK234" s="177"/>
      <c r="BL234" s="168"/>
      <c r="BM234" s="177"/>
      <c r="BN234" s="168"/>
      <c r="BO234" s="177"/>
      <c r="BP234" s="168"/>
      <c r="BQ234" s="177"/>
      <c r="BR234" s="168"/>
      <c r="BS234" s="177"/>
      <c r="BT234" s="168"/>
      <c r="BU234" s="177"/>
      <c r="BV234" s="168"/>
      <c r="BW234" s="177"/>
      <c r="BX234" s="168"/>
      <c r="BY234" s="177"/>
      <c r="BZ234" s="168"/>
      <c r="CA234" s="177"/>
      <c r="CB234" s="168"/>
      <c r="CC234" s="177"/>
      <c r="CD234" s="168"/>
      <c r="CE234" s="177"/>
      <c r="CF234" s="168"/>
      <c r="CG234" s="187"/>
      <c r="CH234" s="183"/>
      <c r="CI234" s="185"/>
      <c r="CJ234" s="160"/>
      <c r="CK234" s="160"/>
      <c r="CL234" s="160"/>
      <c r="CM234" s="160"/>
      <c r="CN234" s="160"/>
      <c r="CO234" s="160"/>
      <c r="CP234" s="160"/>
      <c r="CQ234" s="160"/>
      <c r="CR234" s="160"/>
      <c r="CS234" s="179"/>
      <c r="CT234" s="160"/>
      <c r="CU234" s="160"/>
      <c r="CV234" s="160"/>
      <c r="CW234" s="160"/>
      <c r="CX234" s="160"/>
      <c r="CY234" s="160"/>
      <c r="CZ234" s="160"/>
      <c r="DA234" s="160"/>
      <c r="DB234" s="160"/>
      <c r="DC234" s="160"/>
      <c r="DD234" s="160"/>
      <c r="DE234" s="160"/>
      <c r="DF234" s="160"/>
      <c r="DG234" s="160"/>
      <c r="DH234" s="160"/>
      <c r="DI234" s="160"/>
      <c r="DJ234" s="160"/>
      <c r="DK234" s="160"/>
      <c r="DL234" s="160"/>
      <c r="DM234" s="160"/>
      <c r="DN234" s="160"/>
    </row>
    <row r="235" spans="1:118" hidden="1">
      <c r="A235" s="149"/>
      <c r="B235" s="150"/>
      <c r="C235" s="151"/>
      <c r="D235" s="152"/>
      <c r="E235" s="152"/>
      <c r="F235" s="152"/>
      <c r="G235" s="152"/>
      <c r="H235" s="62">
        <f>SUM(Table4[[#This Row],[BASIC]:[FOOD]])</f>
        <v>0</v>
      </c>
      <c r="I235" s="62"/>
      <c r="J235" s="62"/>
      <c r="K235" s="62"/>
      <c r="L235" s="62"/>
      <c r="M235" s="62"/>
      <c r="N235" s="62"/>
      <c r="O235" s="62">
        <f>SUM(Table4[[#This Row],[ESI BASIC]:[ESI FOOD]])</f>
        <v>0</v>
      </c>
      <c r="P235" s="160"/>
      <c r="Q235" s="160"/>
      <c r="R235" s="175"/>
      <c r="S235" s="167"/>
      <c r="T235" s="10">
        <f t="shared" si="18"/>
        <v>0</v>
      </c>
      <c r="U235" s="167"/>
      <c r="V235" s="10">
        <f t="shared" si="19"/>
        <v>0</v>
      </c>
      <c r="W235" s="10">
        <f t="shared" si="20"/>
        <v>0</v>
      </c>
      <c r="X235" s="170"/>
      <c r="Y235" s="177"/>
      <c r="Z235" s="168"/>
      <c r="AA235" s="177"/>
      <c r="AB235" s="168"/>
      <c r="AC235" s="177"/>
      <c r="AD235" s="168"/>
      <c r="AE235" s="177"/>
      <c r="AF235" s="168"/>
      <c r="AG235" s="177"/>
      <c r="AH235" s="168"/>
      <c r="AI235" s="177"/>
      <c r="AJ235" s="168"/>
      <c r="AK235" s="177"/>
      <c r="AL235" s="168"/>
      <c r="AM235" s="177"/>
      <c r="AN235" s="168"/>
      <c r="AO235" s="177"/>
      <c r="AP235" s="168"/>
      <c r="AQ235" s="177"/>
      <c r="AR235" s="168"/>
      <c r="AS235" s="177"/>
      <c r="AT235" s="168"/>
      <c r="AU235" s="177"/>
      <c r="AV235" s="168"/>
      <c r="AW235" s="177"/>
      <c r="AX235" s="168"/>
      <c r="AY235" s="177"/>
      <c r="AZ235" s="168"/>
      <c r="BA235" s="177"/>
      <c r="BB235" s="168"/>
      <c r="BC235" s="177"/>
      <c r="BD235" s="168"/>
      <c r="BE235" s="177"/>
      <c r="BF235" s="168"/>
      <c r="BG235" s="177"/>
      <c r="BH235" s="168"/>
      <c r="BI235" s="177"/>
      <c r="BJ235" s="168"/>
      <c r="BK235" s="177"/>
      <c r="BL235" s="168"/>
      <c r="BM235" s="177"/>
      <c r="BN235" s="168"/>
      <c r="BO235" s="177"/>
      <c r="BP235" s="168"/>
      <c r="BQ235" s="177"/>
      <c r="BR235" s="168"/>
      <c r="BS235" s="177"/>
      <c r="BT235" s="168"/>
      <c r="BU235" s="177"/>
      <c r="BV235" s="168"/>
      <c r="BW235" s="177"/>
      <c r="BX235" s="168"/>
      <c r="BY235" s="177"/>
      <c r="BZ235" s="168"/>
      <c r="CA235" s="177"/>
      <c r="CB235" s="168"/>
      <c r="CC235" s="177"/>
      <c r="CD235" s="168"/>
      <c r="CE235" s="177"/>
      <c r="CF235" s="168"/>
      <c r="CG235" s="187"/>
      <c r="CH235" s="183"/>
      <c r="CI235" s="185"/>
      <c r="CJ235" s="160"/>
      <c r="CK235" s="160"/>
      <c r="CL235" s="160"/>
      <c r="CM235" s="160"/>
      <c r="CN235" s="160"/>
      <c r="CO235" s="160"/>
      <c r="CP235" s="160"/>
      <c r="CQ235" s="160"/>
      <c r="CR235" s="160"/>
      <c r="CS235" s="179"/>
      <c r="CT235" s="160"/>
      <c r="CU235" s="160"/>
      <c r="CV235" s="160"/>
      <c r="CW235" s="160"/>
      <c r="CX235" s="160"/>
      <c r="CY235" s="160"/>
      <c r="CZ235" s="160"/>
      <c r="DA235" s="160"/>
      <c r="DB235" s="160"/>
      <c r="DC235" s="160"/>
      <c r="DD235" s="160"/>
      <c r="DE235" s="160"/>
      <c r="DF235" s="160"/>
      <c r="DG235" s="160"/>
      <c r="DH235" s="160"/>
      <c r="DI235" s="160"/>
      <c r="DJ235" s="160"/>
      <c r="DK235" s="160"/>
      <c r="DL235" s="160"/>
      <c r="DM235" s="160"/>
      <c r="DN235" s="160"/>
    </row>
    <row r="236" spans="1:118" hidden="1">
      <c r="A236" s="149"/>
      <c r="B236" s="150"/>
      <c r="C236" s="151"/>
      <c r="D236" s="152"/>
      <c r="E236" s="152"/>
      <c r="F236" s="152"/>
      <c r="G236" s="152"/>
      <c r="H236" s="62">
        <f>SUM(Table4[[#This Row],[BASIC]:[FOOD]])</f>
        <v>0</v>
      </c>
      <c r="I236" s="62"/>
      <c r="J236" s="62"/>
      <c r="K236" s="62"/>
      <c r="L236" s="62"/>
      <c r="M236" s="62"/>
      <c r="N236" s="62"/>
      <c r="O236" s="62">
        <f>SUM(Table4[[#This Row],[ESI BASIC]:[ESI FOOD]])</f>
        <v>0</v>
      </c>
      <c r="P236" s="160"/>
      <c r="Q236" s="160"/>
      <c r="R236" s="175"/>
      <c r="S236" s="167"/>
      <c r="T236" s="10">
        <f t="shared" si="18"/>
        <v>0</v>
      </c>
      <c r="U236" s="167"/>
      <c r="V236" s="10">
        <f t="shared" si="19"/>
        <v>0</v>
      </c>
      <c r="W236" s="10">
        <f t="shared" si="20"/>
        <v>0</v>
      </c>
      <c r="X236" s="170"/>
      <c r="Y236" s="177"/>
      <c r="Z236" s="168"/>
      <c r="AA236" s="177"/>
      <c r="AB236" s="168"/>
      <c r="AC236" s="177"/>
      <c r="AD236" s="168"/>
      <c r="AE236" s="177"/>
      <c r="AF236" s="168"/>
      <c r="AG236" s="177"/>
      <c r="AH236" s="168"/>
      <c r="AI236" s="177"/>
      <c r="AJ236" s="168"/>
      <c r="AK236" s="177"/>
      <c r="AL236" s="168"/>
      <c r="AM236" s="177"/>
      <c r="AN236" s="168"/>
      <c r="AO236" s="177"/>
      <c r="AP236" s="168"/>
      <c r="AQ236" s="177"/>
      <c r="AR236" s="168"/>
      <c r="AS236" s="177"/>
      <c r="AT236" s="168"/>
      <c r="AU236" s="177"/>
      <c r="AV236" s="168"/>
      <c r="AW236" s="177"/>
      <c r="AX236" s="168"/>
      <c r="AY236" s="177"/>
      <c r="AZ236" s="168"/>
      <c r="BA236" s="177"/>
      <c r="BB236" s="168"/>
      <c r="BC236" s="177"/>
      <c r="BD236" s="168"/>
      <c r="BE236" s="177"/>
      <c r="BF236" s="168"/>
      <c r="BG236" s="177"/>
      <c r="BH236" s="168"/>
      <c r="BI236" s="177"/>
      <c r="BJ236" s="168"/>
      <c r="BK236" s="177"/>
      <c r="BL236" s="168"/>
      <c r="BM236" s="177"/>
      <c r="BN236" s="168"/>
      <c r="BO236" s="177"/>
      <c r="BP236" s="168"/>
      <c r="BQ236" s="177"/>
      <c r="BR236" s="168"/>
      <c r="BS236" s="177"/>
      <c r="BT236" s="168"/>
      <c r="BU236" s="177"/>
      <c r="BV236" s="168"/>
      <c r="BW236" s="177"/>
      <c r="BX236" s="168"/>
      <c r="BY236" s="177"/>
      <c r="BZ236" s="168"/>
      <c r="CA236" s="177"/>
      <c r="CB236" s="168"/>
      <c r="CC236" s="177"/>
      <c r="CD236" s="168"/>
      <c r="CE236" s="177"/>
      <c r="CF236" s="168"/>
      <c r="CG236" s="187"/>
      <c r="CH236" s="183"/>
      <c r="CI236" s="185"/>
      <c r="CJ236" s="160"/>
      <c r="CK236" s="160"/>
      <c r="CL236" s="160"/>
      <c r="CM236" s="160"/>
      <c r="CN236" s="160"/>
      <c r="CO236" s="160"/>
      <c r="CP236" s="160"/>
      <c r="CQ236" s="160"/>
      <c r="CR236" s="160"/>
      <c r="CS236" s="179"/>
      <c r="CT236" s="160"/>
      <c r="CU236" s="160"/>
      <c r="CV236" s="160"/>
      <c r="CW236" s="160"/>
      <c r="CX236" s="160"/>
      <c r="CY236" s="160"/>
      <c r="CZ236" s="160"/>
      <c r="DA236" s="160"/>
      <c r="DB236" s="160"/>
      <c r="DC236" s="160"/>
      <c r="DD236" s="160"/>
      <c r="DE236" s="160"/>
      <c r="DF236" s="160"/>
      <c r="DG236" s="160"/>
      <c r="DH236" s="160"/>
      <c r="DI236" s="160"/>
      <c r="DJ236" s="160"/>
      <c r="DK236" s="160"/>
      <c r="DL236" s="160"/>
      <c r="DM236" s="160"/>
      <c r="DN236" s="160"/>
    </row>
    <row r="237" spans="1:118" hidden="1">
      <c r="A237" s="149"/>
      <c r="B237" s="150"/>
      <c r="C237" s="151"/>
      <c r="D237" s="152"/>
      <c r="E237" s="152"/>
      <c r="F237" s="152"/>
      <c r="G237" s="152"/>
      <c r="H237" s="62">
        <f>SUM(Table4[[#This Row],[BASIC]:[FOOD]])</f>
        <v>0</v>
      </c>
      <c r="I237" s="62"/>
      <c r="J237" s="62"/>
      <c r="K237" s="62"/>
      <c r="L237" s="62"/>
      <c r="M237" s="62"/>
      <c r="N237" s="62"/>
      <c r="O237" s="62">
        <f>SUM(Table4[[#This Row],[ESI BASIC]:[ESI FOOD]])</f>
        <v>0</v>
      </c>
      <c r="P237" s="160"/>
      <c r="Q237" s="160"/>
      <c r="R237" s="175"/>
      <c r="S237" s="167"/>
      <c r="T237" s="10">
        <f t="shared" si="18"/>
        <v>0</v>
      </c>
      <c r="U237" s="167"/>
      <c r="V237" s="10">
        <f t="shared" si="19"/>
        <v>0</v>
      </c>
      <c r="W237" s="10">
        <f t="shared" si="20"/>
        <v>0</v>
      </c>
      <c r="X237" s="170"/>
      <c r="Y237" s="177"/>
      <c r="Z237" s="168"/>
      <c r="AA237" s="177"/>
      <c r="AB237" s="168"/>
      <c r="AC237" s="177"/>
      <c r="AD237" s="168"/>
      <c r="AE237" s="177"/>
      <c r="AF237" s="168"/>
      <c r="AG237" s="177"/>
      <c r="AH237" s="168"/>
      <c r="AI237" s="177"/>
      <c r="AJ237" s="168"/>
      <c r="AK237" s="177"/>
      <c r="AL237" s="168"/>
      <c r="AM237" s="177"/>
      <c r="AN237" s="168"/>
      <c r="AO237" s="177"/>
      <c r="AP237" s="168"/>
      <c r="AQ237" s="177"/>
      <c r="AR237" s="168"/>
      <c r="AS237" s="177"/>
      <c r="AT237" s="168"/>
      <c r="AU237" s="177"/>
      <c r="AV237" s="168"/>
      <c r="AW237" s="177"/>
      <c r="AX237" s="168"/>
      <c r="AY237" s="177"/>
      <c r="AZ237" s="168"/>
      <c r="BA237" s="177"/>
      <c r="BB237" s="168"/>
      <c r="BC237" s="177"/>
      <c r="BD237" s="168"/>
      <c r="BE237" s="177"/>
      <c r="BF237" s="168"/>
      <c r="BG237" s="177"/>
      <c r="BH237" s="168"/>
      <c r="BI237" s="177"/>
      <c r="BJ237" s="168"/>
      <c r="BK237" s="177"/>
      <c r="BL237" s="168"/>
      <c r="BM237" s="177"/>
      <c r="BN237" s="168"/>
      <c r="BO237" s="177"/>
      <c r="BP237" s="168"/>
      <c r="BQ237" s="177"/>
      <c r="BR237" s="168"/>
      <c r="BS237" s="177"/>
      <c r="BT237" s="168"/>
      <c r="BU237" s="177"/>
      <c r="BV237" s="168"/>
      <c r="BW237" s="177"/>
      <c r="BX237" s="168"/>
      <c r="BY237" s="177"/>
      <c r="BZ237" s="168"/>
      <c r="CA237" s="177"/>
      <c r="CB237" s="168"/>
      <c r="CC237" s="177"/>
      <c r="CD237" s="168"/>
      <c r="CE237" s="177"/>
      <c r="CF237" s="168"/>
      <c r="CG237" s="187"/>
      <c r="CH237" s="183"/>
      <c r="CI237" s="185"/>
      <c r="CJ237" s="160"/>
      <c r="CK237" s="160"/>
      <c r="CL237" s="160"/>
      <c r="CM237" s="160"/>
      <c r="CN237" s="160"/>
      <c r="CO237" s="160"/>
      <c r="CP237" s="160"/>
      <c r="CQ237" s="160"/>
      <c r="CR237" s="160"/>
      <c r="CS237" s="179"/>
      <c r="CT237" s="160"/>
      <c r="CU237" s="160"/>
      <c r="CV237" s="160"/>
      <c r="CW237" s="160"/>
      <c r="CX237" s="160"/>
      <c r="CY237" s="160"/>
      <c r="CZ237" s="160"/>
      <c r="DA237" s="160"/>
      <c r="DB237" s="160"/>
      <c r="DC237" s="160"/>
      <c r="DD237" s="160"/>
      <c r="DE237" s="160"/>
      <c r="DF237" s="160"/>
      <c r="DG237" s="160"/>
      <c r="DH237" s="160"/>
      <c r="DI237" s="160"/>
      <c r="DJ237" s="160"/>
      <c r="DK237" s="160"/>
      <c r="DL237" s="160"/>
      <c r="DM237" s="160"/>
      <c r="DN237" s="160"/>
    </row>
    <row r="238" spans="1:118" hidden="1">
      <c r="A238" s="149"/>
      <c r="B238" s="150"/>
      <c r="C238" s="151"/>
      <c r="D238" s="152"/>
      <c r="E238" s="152"/>
      <c r="F238" s="152"/>
      <c r="G238" s="152"/>
      <c r="H238" s="62">
        <f>SUM(Table4[[#This Row],[BASIC]:[FOOD]])</f>
        <v>0</v>
      </c>
      <c r="I238" s="62"/>
      <c r="J238" s="62"/>
      <c r="K238" s="62"/>
      <c r="L238" s="62"/>
      <c r="M238" s="62"/>
      <c r="N238" s="62"/>
      <c r="O238" s="62">
        <f>SUM(Table4[[#This Row],[ESI BASIC]:[ESI FOOD]])</f>
        <v>0</v>
      </c>
      <c r="P238" s="160"/>
      <c r="Q238" s="160"/>
      <c r="R238" s="175"/>
      <c r="S238" s="167"/>
      <c r="T238" s="10">
        <f t="shared" si="18"/>
        <v>0</v>
      </c>
      <c r="U238" s="167"/>
      <c r="V238" s="10">
        <f t="shared" si="19"/>
        <v>0</v>
      </c>
      <c r="W238" s="10">
        <f t="shared" si="20"/>
        <v>0</v>
      </c>
      <c r="X238" s="170"/>
      <c r="Y238" s="177"/>
      <c r="Z238" s="168"/>
      <c r="AA238" s="177"/>
      <c r="AB238" s="168"/>
      <c r="AC238" s="177"/>
      <c r="AD238" s="168"/>
      <c r="AE238" s="177"/>
      <c r="AF238" s="168"/>
      <c r="AG238" s="177"/>
      <c r="AH238" s="168"/>
      <c r="AI238" s="177"/>
      <c r="AJ238" s="168"/>
      <c r="AK238" s="177"/>
      <c r="AL238" s="168"/>
      <c r="AM238" s="177"/>
      <c r="AN238" s="168"/>
      <c r="AO238" s="177"/>
      <c r="AP238" s="168"/>
      <c r="AQ238" s="177"/>
      <c r="AR238" s="168"/>
      <c r="AS238" s="177"/>
      <c r="AT238" s="168"/>
      <c r="AU238" s="177"/>
      <c r="AV238" s="168"/>
      <c r="AW238" s="177"/>
      <c r="AX238" s="168"/>
      <c r="AY238" s="177"/>
      <c r="AZ238" s="168"/>
      <c r="BA238" s="177"/>
      <c r="BB238" s="168"/>
      <c r="BC238" s="177"/>
      <c r="BD238" s="168"/>
      <c r="BE238" s="177"/>
      <c r="BF238" s="168"/>
      <c r="BG238" s="177"/>
      <c r="BH238" s="168"/>
      <c r="BI238" s="177"/>
      <c r="BJ238" s="168"/>
      <c r="BK238" s="177"/>
      <c r="BL238" s="168"/>
      <c r="BM238" s="177"/>
      <c r="BN238" s="168"/>
      <c r="BO238" s="177"/>
      <c r="BP238" s="168"/>
      <c r="BQ238" s="177"/>
      <c r="BR238" s="168"/>
      <c r="BS238" s="177"/>
      <c r="BT238" s="168"/>
      <c r="BU238" s="177"/>
      <c r="BV238" s="168"/>
      <c r="BW238" s="177"/>
      <c r="BX238" s="168"/>
      <c r="BY238" s="177"/>
      <c r="BZ238" s="168"/>
      <c r="CA238" s="177"/>
      <c r="CB238" s="168"/>
      <c r="CC238" s="177"/>
      <c r="CD238" s="168"/>
      <c r="CE238" s="177"/>
      <c r="CF238" s="168"/>
      <c r="CG238" s="187"/>
      <c r="CH238" s="183"/>
      <c r="CI238" s="185"/>
      <c r="CJ238" s="160"/>
      <c r="CK238" s="160"/>
      <c r="CL238" s="160"/>
      <c r="CM238" s="160"/>
      <c r="CN238" s="160"/>
      <c r="CO238" s="160"/>
      <c r="CP238" s="160"/>
      <c r="CQ238" s="160"/>
      <c r="CR238" s="160"/>
      <c r="CS238" s="179"/>
      <c r="CT238" s="160"/>
      <c r="CU238" s="160"/>
      <c r="CV238" s="160"/>
      <c r="CW238" s="160"/>
      <c r="CX238" s="160"/>
      <c r="CY238" s="160"/>
      <c r="CZ238" s="160"/>
      <c r="DA238" s="160"/>
      <c r="DB238" s="160"/>
      <c r="DC238" s="160"/>
      <c r="DD238" s="160"/>
      <c r="DE238" s="160"/>
      <c r="DF238" s="160"/>
      <c r="DG238" s="160"/>
      <c r="DH238" s="160"/>
      <c r="DI238" s="160"/>
      <c r="DJ238" s="160"/>
      <c r="DK238" s="160"/>
      <c r="DL238" s="160"/>
      <c r="DM238" s="160"/>
      <c r="DN238" s="160"/>
    </row>
    <row r="239" spans="1:118" hidden="1">
      <c r="A239" s="149"/>
      <c r="B239" s="150"/>
      <c r="C239" s="151"/>
      <c r="D239" s="152"/>
      <c r="E239" s="152"/>
      <c r="F239" s="152"/>
      <c r="G239" s="152"/>
      <c r="H239" s="62">
        <f>SUM(Table4[[#This Row],[BASIC]:[FOOD]])</f>
        <v>0</v>
      </c>
      <c r="I239" s="62"/>
      <c r="J239" s="62"/>
      <c r="K239" s="62"/>
      <c r="L239" s="62"/>
      <c r="M239" s="62"/>
      <c r="N239" s="62"/>
      <c r="O239" s="62">
        <f>SUM(Table4[[#This Row],[ESI BASIC]:[ESI FOOD]])</f>
        <v>0</v>
      </c>
      <c r="P239" s="160"/>
      <c r="Q239" s="160"/>
      <c r="R239" s="175"/>
      <c r="S239" s="167"/>
      <c r="T239" s="10">
        <f t="shared" si="18"/>
        <v>0</v>
      </c>
      <c r="U239" s="167"/>
      <c r="V239" s="10">
        <f t="shared" si="19"/>
        <v>0</v>
      </c>
      <c r="W239" s="10">
        <f t="shared" si="20"/>
        <v>0</v>
      </c>
      <c r="X239" s="170"/>
      <c r="Y239" s="177"/>
      <c r="Z239" s="168"/>
      <c r="AA239" s="177"/>
      <c r="AB239" s="168"/>
      <c r="AC239" s="177"/>
      <c r="AD239" s="168"/>
      <c r="AE239" s="177"/>
      <c r="AF239" s="168"/>
      <c r="AG239" s="177"/>
      <c r="AH239" s="168"/>
      <c r="AI239" s="177"/>
      <c r="AJ239" s="168"/>
      <c r="AK239" s="177"/>
      <c r="AL239" s="168"/>
      <c r="AM239" s="177"/>
      <c r="AN239" s="168"/>
      <c r="AO239" s="177"/>
      <c r="AP239" s="168"/>
      <c r="AQ239" s="177"/>
      <c r="AR239" s="168"/>
      <c r="AS239" s="177"/>
      <c r="AT239" s="168"/>
      <c r="AU239" s="177"/>
      <c r="AV239" s="168"/>
      <c r="AW239" s="177"/>
      <c r="AX239" s="168"/>
      <c r="AY239" s="177"/>
      <c r="AZ239" s="168"/>
      <c r="BA239" s="177"/>
      <c r="BB239" s="168"/>
      <c r="BC239" s="177"/>
      <c r="BD239" s="168"/>
      <c r="BE239" s="177"/>
      <c r="BF239" s="168"/>
      <c r="BG239" s="177"/>
      <c r="BH239" s="168"/>
      <c r="BI239" s="177"/>
      <c r="BJ239" s="168"/>
      <c r="BK239" s="177"/>
      <c r="BL239" s="168"/>
      <c r="BM239" s="177"/>
      <c r="BN239" s="168"/>
      <c r="BO239" s="177"/>
      <c r="BP239" s="168"/>
      <c r="BQ239" s="177"/>
      <c r="BR239" s="168"/>
      <c r="BS239" s="177"/>
      <c r="BT239" s="168"/>
      <c r="BU239" s="177"/>
      <c r="BV239" s="168"/>
      <c r="BW239" s="177"/>
      <c r="BX239" s="168"/>
      <c r="BY239" s="177"/>
      <c r="BZ239" s="168"/>
      <c r="CA239" s="177"/>
      <c r="CB239" s="168"/>
      <c r="CC239" s="177"/>
      <c r="CD239" s="168"/>
      <c r="CE239" s="177"/>
      <c r="CF239" s="168"/>
      <c r="CG239" s="187"/>
      <c r="CH239" s="183"/>
      <c r="CI239" s="185"/>
      <c r="CJ239" s="160"/>
      <c r="CK239" s="160"/>
      <c r="CL239" s="160"/>
      <c r="CM239" s="160"/>
      <c r="CN239" s="160"/>
      <c r="CO239" s="160"/>
      <c r="CP239" s="160"/>
      <c r="CQ239" s="160"/>
      <c r="CR239" s="160"/>
      <c r="CS239" s="179"/>
      <c r="CT239" s="160"/>
      <c r="CU239" s="160"/>
      <c r="CV239" s="160"/>
      <c r="CW239" s="160"/>
      <c r="CX239" s="160"/>
      <c r="CY239" s="160"/>
      <c r="CZ239" s="160"/>
      <c r="DA239" s="160"/>
      <c r="DB239" s="160"/>
      <c r="DC239" s="160"/>
      <c r="DD239" s="160"/>
      <c r="DE239" s="160"/>
      <c r="DF239" s="160"/>
      <c r="DG239" s="160"/>
      <c r="DH239" s="160"/>
      <c r="DI239" s="160"/>
      <c r="DJ239" s="160"/>
      <c r="DK239" s="160"/>
      <c r="DL239" s="160"/>
      <c r="DM239" s="160"/>
      <c r="DN239" s="160"/>
    </row>
    <row r="240" spans="1:118" hidden="1">
      <c r="A240" s="149"/>
      <c r="B240" s="150"/>
      <c r="C240" s="151"/>
      <c r="D240" s="152"/>
      <c r="E240" s="152"/>
      <c r="F240" s="152"/>
      <c r="G240" s="152"/>
      <c r="H240" s="62">
        <f>SUM(Table4[[#This Row],[BASIC]:[FOOD]])</f>
        <v>0</v>
      </c>
      <c r="I240" s="62"/>
      <c r="J240" s="62"/>
      <c r="K240" s="62"/>
      <c r="L240" s="62"/>
      <c r="M240" s="62"/>
      <c r="N240" s="62"/>
      <c r="O240" s="62">
        <f>SUM(Table4[[#This Row],[ESI BASIC]:[ESI FOOD]])</f>
        <v>0</v>
      </c>
      <c r="P240" s="160"/>
      <c r="Q240" s="160"/>
      <c r="R240" s="175"/>
      <c r="S240" s="167"/>
      <c r="T240" s="10">
        <f t="shared" si="18"/>
        <v>0</v>
      </c>
      <c r="U240" s="167"/>
      <c r="V240" s="10">
        <f t="shared" si="19"/>
        <v>0</v>
      </c>
      <c r="W240" s="10">
        <f t="shared" si="20"/>
        <v>0</v>
      </c>
      <c r="X240" s="170"/>
      <c r="Y240" s="177"/>
      <c r="Z240" s="168"/>
      <c r="AA240" s="177"/>
      <c r="AB240" s="168"/>
      <c r="AC240" s="177"/>
      <c r="AD240" s="168"/>
      <c r="AE240" s="177"/>
      <c r="AF240" s="168"/>
      <c r="AG240" s="177"/>
      <c r="AH240" s="168"/>
      <c r="AI240" s="177"/>
      <c r="AJ240" s="168"/>
      <c r="AK240" s="177"/>
      <c r="AL240" s="168"/>
      <c r="AM240" s="177"/>
      <c r="AN240" s="168"/>
      <c r="AO240" s="177"/>
      <c r="AP240" s="168"/>
      <c r="AQ240" s="177"/>
      <c r="AR240" s="168"/>
      <c r="AS240" s="177"/>
      <c r="AT240" s="168"/>
      <c r="AU240" s="177"/>
      <c r="AV240" s="168"/>
      <c r="AW240" s="177"/>
      <c r="AX240" s="168"/>
      <c r="AY240" s="177"/>
      <c r="AZ240" s="168"/>
      <c r="BA240" s="177"/>
      <c r="BB240" s="168"/>
      <c r="BC240" s="177"/>
      <c r="BD240" s="168"/>
      <c r="BE240" s="177"/>
      <c r="BF240" s="168"/>
      <c r="BG240" s="177"/>
      <c r="BH240" s="168"/>
      <c r="BI240" s="177"/>
      <c r="BJ240" s="168"/>
      <c r="BK240" s="177"/>
      <c r="BL240" s="168"/>
      <c r="BM240" s="177"/>
      <c r="BN240" s="168"/>
      <c r="BO240" s="177"/>
      <c r="BP240" s="168"/>
      <c r="BQ240" s="177"/>
      <c r="BR240" s="168"/>
      <c r="BS240" s="177"/>
      <c r="BT240" s="168"/>
      <c r="BU240" s="177"/>
      <c r="BV240" s="168"/>
      <c r="BW240" s="177"/>
      <c r="BX240" s="168"/>
      <c r="BY240" s="177"/>
      <c r="BZ240" s="168"/>
      <c r="CA240" s="177"/>
      <c r="CB240" s="168"/>
      <c r="CC240" s="177"/>
      <c r="CD240" s="168"/>
      <c r="CE240" s="177"/>
      <c r="CF240" s="168"/>
      <c r="CG240" s="187"/>
      <c r="CH240" s="183"/>
      <c r="CI240" s="185"/>
      <c r="CJ240" s="160"/>
      <c r="CK240" s="160"/>
      <c r="CL240" s="160"/>
      <c r="CM240" s="160"/>
      <c r="CN240" s="160"/>
      <c r="CO240" s="160"/>
      <c r="CP240" s="160"/>
      <c r="CQ240" s="160"/>
      <c r="CR240" s="160"/>
      <c r="CS240" s="179"/>
      <c r="CT240" s="160"/>
      <c r="CU240" s="160"/>
      <c r="CV240" s="160"/>
      <c r="CW240" s="160"/>
      <c r="CX240" s="160"/>
      <c r="CY240" s="160"/>
      <c r="CZ240" s="160"/>
      <c r="DA240" s="160"/>
      <c r="DB240" s="160"/>
      <c r="DC240" s="160"/>
      <c r="DD240" s="160"/>
      <c r="DE240" s="160"/>
      <c r="DF240" s="160"/>
      <c r="DG240" s="160"/>
      <c r="DH240" s="160"/>
      <c r="DI240" s="160"/>
      <c r="DJ240" s="160"/>
      <c r="DK240" s="160"/>
      <c r="DL240" s="160"/>
      <c r="DM240" s="160"/>
      <c r="DN240" s="160"/>
    </row>
    <row r="241" spans="1:118" hidden="1">
      <c r="A241" s="149"/>
      <c r="B241" s="150"/>
      <c r="C241" s="151"/>
      <c r="D241" s="152"/>
      <c r="E241" s="152"/>
      <c r="F241" s="152"/>
      <c r="G241" s="152"/>
      <c r="H241" s="62">
        <f>SUM(Table4[[#This Row],[BASIC]:[FOOD]])</f>
        <v>0</v>
      </c>
      <c r="I241" s="62"/>
      <c r="J241" s="62"/>
      <c r="K241" s="62"/>
      <c r="L241" s="62"/>
      <c r="M241" s="62"/>
      <c r="N241" s="62"/>
      <c r="O241" s="62">
        <f>SUM(Table4[[#This Row],[ESI BASIC]:[ESI FOOD]])</f>
        <v>0</v>
      </c>
      <c r="P241" s="160"/>
      <c r="Q241" s="160"/>
      <c r="R241" s="175"/>
      <c r="S241" s="167"/>
      <c r="T241" s="10">
        <f t="shared" si="18"/>
        <v>0</v>
      </c>
      <c r="U241" s="167"/>
      <c r="V241" s="10">
        <f t="shared" si="19"/>
        <v>0</v>
      </c>
      <c r="W241" s="10">
        <f t="shared" si="20"/>
        <v>0</v>
      </c>
      <c r="X241" s="170"/>
      <c r="Y241" s="177"/>
      <c r="Z241" s="168"/>
      <c r="AA241" s="177"/>
      <c r="AB241" s="168"/>
      <c r="AC241" s="177"/>
      <c r="AD241" s="168"/>
      <c r="AE241" s="177"/>
      <c r="AF241" s="168"/>
      <c r="AG241" s="177"/>
      <c r="AH241" s="168"/>
      <c r="AI241" s="177"/>
      <c r="AJ241" s="168"/>
      <c r="AK241" s="177"/>
      <c r="AL241" s="168"/>
      <c r="AM241" s="177"/>
      <c r="AN241" s="168"/>
      <c r="AO241" s="177"/>
      <c r="AP241" s="168"/>
      <c r="AQ241" s="177"/>
      <c r="AR241" s="168"/>
      <c r="AS241" s="177"/>
      <c r="AT241" s="168"/>
      <c r="AU241" s="177"/>
      <c r="AV241" s="168"/>
      <c r="AW241" s="177"/>
      <c r="AX241" s="168"/>
      <c r="AY241" s="177"/>
      <c r="AZ241" s="168"/>
      <c r="BA241" s="177"/>
      <c r="BB241" s="168"/>
      <c r="BC241" s="177"/>
      <c r="BD241" s="168"/>
      <c r="BE241" s="177"/>
      <c r="BF241" s="168"/>
      <c r="BG241" s="177"/>
      <c r="BH241" s="168"/>
      <c r="BI241" s="177"/>
      <c r="BJ241" s="168"/>
      <c r="BK241" s="177"/>
      <c r="BL241" s="168"/>
      <c r="BM241" s="177"/>
      <c r="BN241" s="168"/>
      <c r="BO241" s="177"/>
      <c r="BP241" s="168"/>
      <c r="BQ241" s="177"/>
      <c r="BR241" s="168"/>
      <c r="BS241" s="177"/>
      <c r="BT241" s="168"/>
      <c r="BU241" s="177"/>
      <c r="BV241" s="168"/>
      <c r="BW241" s="177"/>
      <c r="BX241" s="168"/>
      <c r="BY241" s="177"/>
      <c r="BZ241" s="168"/>
      <c r="CA241" s="177"/>
      <c r="CB241" s="168"/>
      <c r="CC241" s="177"/>
      <c r="CD241" s="168"/>
      <c r="CE241" s="177"/>
      <c r="CF241" s="168"/>
      <c r="CG241" s="187"/>
      <c r="CH241" s="183"/>
      <c r="CI241" s="185"/>
      <c r="CJ241" s="160"/>
      <c r="CK241" s="160"/>
      <c r="CL241" s="160"/>
      <c r="CM241" s="160"/>
      <c r="CN241" s="160"/>
      <c r="CO241" s="160"/>
      <c r="CP241" s="160"/>
      <c r="CQ241" s="160"/>
      <c r="CR241" s="160"/>
      <c r="CS241" s="179"/>
      <c r="CT241" s="160"/>
      <c r="CU241" s="160"/>
      <c r="CV241" s="160"/>
      <c r="CW241" s="160"/>
      <c r="CX241" s="160"/>
      <c r="CY241" s="160"/>
      <c r="CZ241" s="160"/>
      <c r="DA241" s="160"/>
      <c r="DB241" s="160"/>
      <c r="DC241" s="160"/>
      <c r="DD241" s="160"/>
      <c r="DE241" s="160"/>
      <c r="DF241" s="160"/>
      <c r="DG241" s="160"/>
      <c r="DH241" s="160"/>
      <c r="DI241" s="160"/>
      <c r="DJ241" s="160"/>
      <c r="DK241" s="160"/>
      <c r="DL241" s="160"/>
      <c r="DM241" s="160"/>
      <c r="DN241" s="160"/>
    </row>
    <row r="242" spans="1:118" hidden="1">
      <c r="A242" s="149"/>
      <c r="B242" s="150"/>
      <c r="C242" s="151"/>
      <c r="D242" s="152"/>
      <c r="E242" s="152"/>
      <c r="F242" s="152"/>
      <c r="G242" s="152"/>
      <c r="H242" s="62">
        <f>SUM(Table4[[#This Row],[BASIC]:[FOOD]])</f>
        <v>0</v>
      </c>
      <c r="I242" s="62"/>
      <c r="J242" s="62"/>
      <c r="K242" s="62"/>
      <c r="L242" s="62"/>
      <c r="M242" s="62"/>
      <c r="N242" s="62"/>
      <c r="O242" s="62">
        <f>SUM(Table4[[#This Row],[ESI BASIC]:[ESI FOOD]])</f>
        <v>0</v>
      </c>
      <c r="P242" s="160"/>
      <c r="Q242" s="160"/>
      <c r="R242" s="175"/>
      <c r="S242" s="167"/>
      <c r="T242" s="10">
        <f t="shared" si="18"/>
        <v>0</v>
      </c>
      <c r="U242" s="167"/>
      <c r="V242" s="10">
        <f t="shared" si="19"/>
        <v>0</v>
      </c>
      <c r="W242" s="10">
        <f t="shared" si="20"/>
        <v>0</v>
      </c>
      <c r="X242" s="170"/>
      <c r="Y242" s="177"/>
      <c r="Z242" s="168"/>
      <c r="AA242" s="177"/>
      <c r="AB242" s="168"/>
      <c r="AC242" s="177"/>
      <c r="AD242" s="168"/>
      <c r="AE242" s="177"/>
      <c r="AF242" s="168"/>
      <c r="AG242" s="177"/>
      <c r="AH242" s="168"/>
      <c r="AI242" s="177"/>
      <c r="AJ242" s="168"/>
      <c r="AK242" s="177"/>
      <c r="AL242" s="168"/>
      <c r="AM242" s="177"/>
      <c r="AN242" s="168"/>
      <c r="AO242" s="177"/>
      <c r="AP242" s="168"/>
      <c r="AQ242" s="177"/>
      <c r="AR242" s="168"/>
      <c r="AS242" s="177"/>
      <c r="AT242" s="168"/>
      <c r="AU242" s="177"/>
      <c r="AV242" s="168"/>
      <c r="AW242" s="177"/>
      <c r="AX242" s="168"/>
      <c r="AY242" s="177"/>
      <c r="AZ242" s="168"/>
      <c r="BA242" s="177"/>
      <c r="BB242" s="168"/>
      <c r="BC242" s="177"/>
      <c r="BD242" s="168"/>
      <c r="BE242" s="177"/>
      <c r="BF242" s="168"/>
      <c r="BG242" s="177"/>
      <c r="BH242" s="168"/>
      <c r="BI242" s="177"/>
      <c r="BJ242" s="168"/>
      <c r="BK242" s="177"/>
      <c r="BL242" s="168"/>
      <c r="BM242" s="177"/>
      <c r="BN242" s="168"/>
      <c r="BO242" s="177"/>
      <c r="BP242" s="168"/>
      <c r="BQ242" s="177"/>
      <c r="BR242" s="168"/>
      <c r="BS242" s="177"/>
      <c r="BT242" s="168"/>
      <c r="BU242" s="177"/>
      <c r="BV242" s="168"/>
      <c r="BW242" s="177"/>
      <c r="BX242" s="168"/>
      <c r="BY242" s="177"/>
      <c r="BZ242" s="168"/>
      <c r="CA242" s="177"/>
      <c r="CB242" s="168"/>
      <c r="CC242" s="177"/>
      <c r="CD242" s="168"/>
      <c r="CE242" s="177"/>
      <c r="CF242" s="168"/>
      <c r="CG242" s="187"/>
      <c r="CH242" s="183"/>
      <c r="CI242" s="185"/>
      <c r="CJ242" s="160"/>
      <c r="CK242" s="160"/>
      <c r="CL242" s="160"/>
      <c r="CM242" s="160"/>
      <c r="CN242" s="160"/>
      <c r="CO242" s="160"/>
      <c r="CP242" s="160"/>
      <c r="CQ242" s="160"/>
      <c r="CR242" s="160"/>
      <c r="CS242" s="179"/>
      <c r="CT242" s="160"/>
      <c r="CU242" s="160"/>
      <c r="CV242" s="160"/>
      <c r="CW242" s="160"/>
      <c r="CX242" s="160"/>
      <c r="CY242" s="160"/>
      <c r="CZ242" s="160"/>
      <c r="DA242" s="160"/>
      <c r="DB242" s="160"/>
      <c r="DC242" s="160"/>
      <c r="DD242" s="160"/>
      <c r="DE242" s="160"/>
      <c r="DF242" s="160"/>
      <c r="DG242" s="160"/>
      <c r="DH242" s="160"/>
      <c r="DI242" s="160"/>
      <c r="DJ242" s="160"/>
      <c r="DK242" s="160"/>
      <c r="DL242" s="160"/>
      <c r="DM242" s="160"/>
      <c r="DN242" s="160"/>
    </row>
    <row r="243" spans="1:118" hidden="1">
      <c r="A243" s="149"/>
      <c r="B243" s="150"/>
      <c r="C243" s="151"/>
      <c r="D243" s="152"/>
      <c r="E243" s="152"/>
      <c r="F243" s="152"/>
      <c r="G243" s="152"/>
      <c r="H243" s="62">
        <f>SUM(Table4[[#This Row],[BASIC]:[FOOD]])</f>
        <v>0</v>
      </c>
      <c r="I243" s="62"/>
      <c r="J243" s="62"/>
      <c r="K243" s="62"/>
      <c r="L243" s="62"/>
      <c r="M243" s="62"/>
      <c r="N243" s="62"/>
      <c r="O243" s="62">
        <f>SUM(Table4[[#This Row],[ESI BASIC]:[ESI FOOD]])</f>
        <v>0</v>
      </c>
      <c r="P243" s="160"/>
      <c r="Q243" s="160"/>
      <c r="R243" s="175"/>
      <c r="S243" s="167"/>
      <c r="T243" s="10">
        <f t="shared" si="18"/>
        <v>0</v>
      </c>
      <c r="U243" s="167"/>
      <c r="V243" s="10">
        <f t="shared" si="19"/>
        <v>0</v>
      </c>
      <c r="W243" s="10">
        <f t="shared" si="20"/>
        <v>0</v>
      </c>
      <c r="X243" s="170"/>
      <c r="Y243" s="177"/>
      <c r="Z243" s="168"/>
      <c r="AA243" s="177"/>
      <c r="AB243" s="168"/>
      <c r="AC243" s="177"/>
      <c r="AD243" s="168"/>
      <c r="AE243" s="177"/>
      <c r="AF243" s="168"/>
      <c r="AG243" s="177"/>
      <c r="AH243" s="168"/>
      <c r="AI243" s="177"/>
      <c r="AJ243" s="168"/>
      <c r="AK243" s="177"/>
      <c r="AL243" s="168"/>
      <c r="AM243" s="177"/>
      <c r="AN243" s="168"/>
      <c r="AO243" s="177"/>
      <c r="AP243" s="168"/>
      <c r="AQ243" s="177"/>
      <c r="AR243" s="168"/>
      <c r="AS243" s="177"/>
      <c r="AT243" s="168"/>
      <c r="AU243" s="177"/>
      <c r="AV243" s="168"/>
      <c r="AW243" s="177"/>
      <c r="AX243" s="168"/>
      <c r="AY243" s="177"/>
      <c r="AZ243" s="168"/>
      <c r="BA243" s="177"/>
      <c r="BB243" s="168"/>
      <c r="BC243" s="177"/>
      <c r="BD243" s="168"/>
      <c r="BE243" s="177"/>
      <c r="BF243" s="168"/>
      <c r="BG243" s="177"/>
      <c r="BH243" s="168"/>
      <c r="BI243" s="177"/>
      <c r="BJ243" s="168"/>
      <c r="BK243" s="177"/>
      <c r="BL243" s="168"/>
      <c r="BM243" s="177"/>
      <c r="BN243" s="168"/>
      <c r="BO243" s="177"/>
      <c r="BP243" s="168"/>
      <c r="BQ243" s="177"/>
      <c r="BR243" s="168"/>
      <c r="BS243" s="177"/>
      <c r="BT243" s="168"/>
      <c r="BU243" s="177"/>
      <c r="BV243" s="168"/>
      <c r="BW243" s="177"/>
      <c r="BX243" s="168"/>
      <c r="BY243" s="177"/>
      <c r="BZ243" s="168"/>
      <c r="CA243" s="177"/>
      <c r="CB243" s="168"/>
      <c r="CC243" s="177"/>
      <c r="CD243" s="168"/>
      <c r="CE243" s="177"/>
      <c r="CF243" s="168"/>
      <c r="CG243" s="187"/>
      <c r="CH243" s="183"/>
      <c r="CI243" s="185"/>
      <c r="CJ243" s="160"/>
      <c r="CK243" s="160"/>
      <c r="CL243" s="160"/>
      <c r="CM243" s="160"/>
      <c r="CN243" s="160"/>
      <c r="CO243" s="160"/>
      <c r="CP243" s="160"/>
      <c r="CQ243" s="160"/>
      <c r="CR243" s="160"/>
      <c r="CS243" s="179"/>
      <c r="CT243" s="160"/>
      <c r="CU243" s="160"/>
      <c r="CV243" s="160"/>
      <c r="CW243" s="160"/>
      <c r="CX243" s="160"/>
      <c r="CY243" s="160"/>
      <c r="CZ243" s="160"/>
      <c r="DA243" s="160"/>
      <c r="DB243" s="160"/>
      <c r="DC243" s="160"/>
      <c r="DD243" s="160"/>
      <c r="DE243" s="160"/>
      <c r="DF243" s="160"/>
      <c r="DG243" s="160"/>
      <c r="DH243" s="160"/>
      <c r="DI243" s="160"/>
      <c r="DJ243" s="160"/>
      <c r="DK243" s="160"/>
      <c r="DL243" s="160"/>
      <c r="DM243" s="160"/>
      <c r="DN243" s="160"/>
    </row>
    <row r="244" spans="1:118" hidden="1">
      <c r="A244" s="149"/>
      <c r="B244" s="150"/>
      <c r="C244" s="151"/>
      <c r="D244" s="152"/>
      <c r="E244" s="152"/>
      <c r="F244" s="152"/>
      <c r="G244" s="152"/>
      <c r="H244" s="62">
        <f>SUM(Table4[[#This Row],[BASIC]:[FOOD]])</f>
        <v>0</v>
      </c>
      <c r="I244" s="62"/>
      <c r="J244" s="62"/>
      <c r="K244" s="62"/>
      <c r="L244" s="62"/>
      <c r="M244" s="62"/>
      <c r="N244" s="62"/>
      <c r="O244" s="62">
        <f>SUM(Table4[[#This Row],[ESI BASIC]:[ESI FOOD]])</f>
        <v>0</v>
      </c>
      <c r="P244" s="160"/>
      <c r="Q244" s="160"/>
      <c r="R244" s="175"/>
      <c r="S244" s="167"/>
      <c r="T244" s="10">
        <f t="shared" si="18"/>
        <v>0</v>
      </c>
      <c r="U244" s="167"/>
      <c r="V244" s="10">
        <f t="shared" si="19"/>
        <v>0</v>
      </c>
      <c r="W244" s="10">
        <f t="shared" si="20"/>
        <v>0</v>
      </c>
      <c r="X244" s="170"/>
      <c r="Y244" s="177"/>
      <c r="Z244" s="168"/>
      <c r="AA244" s="177"/>
      <c r="AB244" s="168"/>
      <c r="AC244" s="177"/>
      <c r="AD244" s="168"/>
      <c r="AE244" s="177"/>
      <c r="AF244" s="168"/>
      <c r="AG244" s="177"/>
      <c r="AH244" s="168"/>
      <c r="AI244" s="177"/>
      <c r="AJ244" s="168"/>
      <c r="AK244" s="177"/>
      <c r="AL244" s="168"/>
      <c r="AM244" s="177"/>
      <c r="AN244" s="168"/>
      <c r="AO244" s="177"/>
      <c r="AP244" s="168"/>
      <c r="AQ244" s="177"/>
      <c r="AR244" s="168"/>
      <c r="AS244" s="177"/>
      <c r="AT244" s="168"/>
      <c r="AU244" s="177"/>
      <c r="AV244" s="168"/>
      <c r="AW244" s="177"/>
      <c r="AX244" s="168"/>
      <c r="AY244" s="177"/>
      <c r="AZ244" s="168"/>
      <c r="BA244" s="177"/>
      <c r="BB244" s="168"/>
      <c r="BC244" s="177"/>
      <c r="BD244" s="168"/>
      <c r="BE244" s="177"/>
      <c r="BF244" s="168"/>
      <c r="BG244" s="177"/>
      <c r="BH244" s="168"/>
      <c r="BI244" s="177"/>
      <c r="BJ244" s="168"/>
      <c r="BK244" s="177"/>
      <c r="BL244" s="168"/>
      <c r="BM244" s="177"/>
      <c r="BN244" s="168"/>
      <c r="BO244" s="177"/>
      <c r="BP244" s="168"/>
      <c r="BQ244" s="177"/>
      <c r="BR244" s="168"/>
      <c r="BS244" s="177"/>
      <c r="BT244" s="168"/>
      <c r="BU244" s="177"/>
      <c r="BV244" s="168"/>
      <c r="BW244" s="177"/>
      <c r="BX244" s="168"/>
      <c r="BY244" s="177"/>
      <c r="BZ244" s="168"/>
      <c r="CA244" s="177"/>
      <c r="CB244" s="168"/>
      <c r="CC244" s="177"/>
      <c r="CD244" s="168"/>
      <c r="CE244" s="177"/>
      <c r="CF244" s="168"/>
      <c r="CG244" s="187"/>
      <c r="CH244" s="183"/>
      <c r="CI244" s="185"/>
      <c r="CJ244" s="160"/>
      <c r="CK244" s="160"/>
      <c r="CL244" s="160"/>
      <c r="CM244" s="160"/>
      <c r="CN244" s="160"/>
      <c r="CO244" s="160"/>
      <c r="CP244" s="160"/>
      <c r="CQ244" s="160"/>
      <c r="CR244" s="160"/>
      <c r="CS244" s="179"/>
      <c r="CT244" s="160"/>
      <c r="CU244" s="160"/>
      <c r="CV244" s="160"/>
      <c r="CW244" s="160"/>
      <c r="CX244" s="160"/>
      <c r="CY244" s="160"/>
      <c r="CZ244" s="160"/>
      <c r="DA244" s="160"/>
      <c r="DB244" s="160"/>
      <c r="DC244" s="160"/>
      <c r="DD244" s="160"/>
      <c r="DE244" s="160"/>
      <c r="DF244" s="160"/>
      <c r="DG244" s="160"/>
      <c r="DH244" s="160"/>
      <c r="DI244" s="160"/>
      <c r="DJ244" s="160"/>
      <c r="DK244" s="160"/>
      <c r="DL244" s="160"/>
      <c r="DM244" s="160"/>
      <c r="DN244" s="160"/>
    </row>
    <row r="245" spans="1:118" hidden="1">
      <c r="A245" s="149"/>
      <c r="B245" s="150"/>
      <c r="C245" s="151"/>
      <c r="D245" s="152"/>
      <c r="E245" s="152"/>
      <c r="F245" s="152"/>
      <c r="G245" s="152"/>
      <c r="H245" s="62">
        <f>SUM(Table4[[#This Row],[BASIC]:[FOOD]])</f>
        <v>0</v>
      </c>
      <c r="I245" s="62"/>
      <c r="J245" s="62"/>
      <c r="K245" s="62"/>
      <c r="L245" s="62"/>
      <c r="M245" s="62"/>
      <c r="N245" s="62"/>
      <c r="O245" s="62">
        <f>SUM(Table4[[#This Row],[ESI BASIC]:[ESI FOOD]])</f>
        <v>0</v>
      </c>
      <c r="P245" s="160"/>
      <c r="Q245" s="160"/>
      <c r="R245" s="175"/>
      <c r="S245" s="167"/>
      <c r="T245" s="10">
        <f t="shared" si="18"/>
        <v>0</v>
      </c>
      <c r="U245" s="167"/>
      <c r="V245" s="10">
        <f t="shared" si="19"/>
        <v>0</v>
      </c>
      <c r="W245" s="10">
        <f t="shared" si="20"/>
        <v>0</v>
      </c>
      <c r="X245" s="170"/>
      <c r="Y245" s="177"/>
      <c r="Z245" s="168"/>
      <c r="AA245" s="177"/>
      <c r="AB245" s="168"/>
      <c r="AC245" s="177"/>
      <c r="AD245" s="168"/>
      <c r="AE245" s="177"/>
      <c r="AF245" s="168"/>
      <c r="AG245" s="177"/>
      <c r="AH245" s="168"/>
      <c r="AI245" s="177"/>
      <c r="AJ245" s="168"/>
      <c r="AK245" s="177"/>
      <c r="AL245" s="168"/>
      <c r="AM245" s="177"/>
      <c r="AN245" s="168"/>
      <c r="AO245" s="177"/>
      <c r="AP245" s="168"/>
      <c r="AQ245" s="177"/>
      <c r="AR245" s="168"/>
      <c r="AS245" s="177"/>
      <c r="AT245" s="168"/>
      <c r="AU245" s="177"/>
      <c r="AV245" s="168"/>
      <c r="AW245" s="177"/>
      <c r="AX245" s="168"/>
      <c r="AY245" s="177"/>
      <c r="AZ245" s="168"/>
      <c r="BA245" s="177"/>
      <c r="BB245" s="168"/>
      <c r="BC245" s="177"/>
      <c r="BD245" s="168"/>
      <c r="BE245" s="177"/>
      <c r="BF245" s="168"/>
      <c r="BG245" s="177"/>
      <c r="BH245" s="168"/>
      <c r="BI245" s="177"/>
      <c r="BJ245" s="168"/>
      <c r="BK245" s="177"/>
      <c r="BL245" s="168"/>
      <c r="BM245" s="177"/>
      <c r="BN245" s="168"/>
      <c r="BO245" s="177"/>
      <c r="BP245" s="168"/>
      <c r="BQ245" s="177"/>
      <c r="BR245" s="168"/>
      <c r="BS245" s="177"/>
      <c r="BT245" s="168"/>
      <c r="BU245" s="177"/>
      <c r="BV245" s="168"/>
      <c r="BW245" s="177"/>
      <c r="BX245" s="168"/>
      <c r="BY245" s="177"/>
      <c r="BZ245" s="168"/>
      <c r="CA245" s="177"/>
      <c r="CB245" s="168"/>
      <c r="CC245" s="177"/>
      <c r="CD245" s="168"/>
      <c r="CE245" s="177"/>
      <c r="CF245" s="168"/>
      <c r="CG245" s="187"/>
      <c r="CH245" s="183"/>
      <c r="CI245" s="185"/>
      <c r="CJ245" s="160"/>
      <c r="CK245" s="160"/>
      <c r="CL245" s="160"/>
      <c r="CM245" s="160"/>
      <c r="CN245" s="160"/>
      <c r="CO245" s="160"/>
      <c r="CP245" s="160"/>
      <c r="CQ245" s="160"/>
      <c r="CR245" s="160"/>
      <c r="CS245" s="179"/>
      <c r="CT245" s="160"/>
      <c r="CU245" s="160"/>
      <c r="CV245" s="160"/>
      <c r="CW245" s="160"/>
      <c r="CX245" s="160"/>
      <c r="CY245" s="160"/>
      <c r="CZ245" s="160"/>
      <c r="DA245" s="160"/>
      <c r="DB245" s="160"/>
      <c r="DC245" s="160"/>
      <c r="DD245" s="160"/>
      <c r="DE245" s="160"/>
      <c r="DF245" s="160"/>
      <c r="DG245" s="160"/>
      <c r="DH245" s="160"/>
      <c r="DI245" s="160"/>
      <c r="DJ245" s="160"/>
      <c r="DK245" s="160"/>
      <c r="DL245" s="160"/>
      <c r="DM245" s="160"/>
      <c r="DN245" s="160"/>
    </row>
    <row r="246" spans="1:118" hidden="1">
      <c r="A246" s="149"/>
      <c r="B246" s="150"/>
      <c r="C246" s="151"/>
      <c r="D246" s="152"/>
      <c r="E246" s="152"/>
      <c r="F246" s="152"/>
      <c r="G246" s="152"/>
      <c r="H246" s="62">
        <f>SUM(Table4[[#This Row],[BASIC]:[FOOD]])</f>
        <v>0</v>
      </c>
      <c r="I246" s="62"/>
      <c r="J246" s="62"/>
      <c r="K246" s="62"/>
      <c r="L246" s="62"/>
      <c r="M246" s="62"/>
      <c r="N246" s="62"/>
      <c r="O246" s="62">
        <f>SUM(Table4[[#This Row],[ESI BASIC]:[ESI FOOD]])</f>
        <v>0</v>
      </c>
      <c r="P246" s="160"/>
      <c r="Q246" s="160"/>
      <c r="R246" s="175"/>
      <c r="S246" s="167"/>
      <c r="T246" s="10">
        <f t="shared" si="18"/>
        <v>0</v>
      </c>
      <c r="U246" s="167"/>
      <c r="V246" s="10">
        <f t="shared" si="19"/>
        <v>0</v>
      </c>
      <c r="W246" s="10">
        <f t="shared" si="20"/>
        <v>0</v>
      </c>
      <c r="X246" s="170"/>
      <c r="Y246" s="177"/>
      <c r="Z246" s="168"/>
      <c r="AA246" s="177"/>
      <c r="AB246" s="168"/>
      <c r="AC246" s="177"/>
      <c r="AD246" s="168"/>
      <c r="AE246" s="177"/>
      <c r="AF246" s="168"/>
      <c r="AG246" s="177"/>
      <c r="AH246" s="168"/>
      <c r="AI246" s="177"/>
      <c r="AJ246" s="168"/>
      <c r="AK246" s="177"/>
      <c r="AL246" s="168"/>
      <c r="AM246" s="177"/>
      <c r="AN246" s="168"/>
      <c r="AO246" s="177"/>
      <c r="AP246" s="168"/>
      <c r="AQ246" s="177"/>
      <c r="AR246" s="168"/>
      <c r="AS246" s="177"/>
      <c r="AT246" s="168"/>
      <c r="AU246" s="177"/>
      <c r="AV246" s="168"/>
      <c r="AW246" s="177"/>
      <c r="AX246" s="168"/>
      <c r="AY246" s="177"/>
      <c r="AZ246" s="168"/>
      <c r="BA246" s="177"/>
      <c r="BB246" s="168"/>
      <c r="BC246" s="177"/>
      <c r="BD246" s="168"/>
      <c r="BE246" s="177"/>
      <c r="BF246" s="168"/>
      <c r="BG246" s="177"/>
      <c r="BH246" s="168"/>
      <c r="BI246" s="177"/>
      <c r="BJ246" s="168"/>
      <c r="BK246" s="177"/>
      <c r="BL246" s="168"/>
      <c r="BM246" s="177"/>
      <c r="BN246" s="168"/>
      <c r="BO246" s="177"/>
      <c r="BP246" s="168"/>
      <c r="BQ246" s="177"/>
      <c r="BR246" s="168"/>
      <c r="BS246" s="177"/>
      <c r="BT246" s="168"/>
      <c r="BU246" s="177"/>
      <c r="BV246" s="168"/>
      <c r="BW246" s="177"/>
      <c r="BX246" s="168"/>
      <c r="BY246" s="177"/>
      <c r="BZ246" s="168"/>
      <c r="CA246" s="177"/>
      <c r="CB246" s="168"/>
      <c r="CC246" s="177"/>
      <c r="CD246" s="168"/>
      <c r="CE246" s="177"/>
      <c r="CF246" s="168"/>
      <c r="CG246" s="187"/>
      <c r="CH246" s="183"/>
      <c r="CI246" s="185"/>
      <c r="CJ246" s="160"/>
      <c r="CK246" s="160"/>
      <c r="CL246" s="160"/>
      <c r="CM246" s="160"/>
      <c r="CN246" s="160"/>
      <c r="CO246" s="160"/>
      <c r="CP246" s="160"/>
      <c r="CQ246" s="160"/>
      <c r="CR246" s="160"/>
      <c r="CS246" s="179"/>
      <c r="CT246" s="160"/>
      <c r="CU246" s="160"/>
      <c r="CV246" s="160"/>
      <c r="CW246" s="160"/>
      <c r="CX246" s="160"/>
      <c r="CY246" s="160"/>
      <c r="CZ246" s="160"/>
      <c r="DA246" s="160"/>
      <c r="DB246" s="160"/>
      <c r="DC246" s="160"/>
      <c r="DD246" s="160"/>
      <c r="DE246" s="160"/>
      <c r="DF246" s="160"/>
      <c r="DG246" s="160"/>
      <c r="DH246" s="160"/>
      <c r="DI246" s="160"/>
      <c r="DJ246" s="160"/>
      <c r="DK246" s="160"/>
      <c r="DL246" s="160"/>
      <c r="DM246" s="160"/>
      <c r="DN246" s="160"/>
    </row>
    <row r="247" spans="1:118" hidden="1">
      <c r="A247" s="149"/>
      <c r="B247" s="150"/>
      <c r="C247" s="151"/>
      <c r="D247" s="152"/>
      <c r="E247" s="152"/>
      <c r="F247" s="152"/>
      <c r="G247" s="152"/>
      <c r="H247" s="62">
        <f>SUM(Table4[[#This Row],[BASIC]:[FOOD]])</f>
        <v>0</v>
      </c>
      <c r="I247" s="62"/>
      <c r="J247" s="62"/>
      <c r="K247" s="62"/>
      <c r="L247" s="62"/>
      <c r="M247" s="62"/>
      <c r="N247" s="62"/>
      <c r="O247" s="62">
        <f>SUM(Table4[[#This Row],[ESI BASIC]:[ESI FOOD]])</f>
        <v>0</v>
      </c>
      <c r="P247" s="160"/>
      <c r="Q247" s="160"/>
      <c r="R247" s="175"/>
      <c r="S247" s="167"/>
      <c r="T247" s="10">
        <f t="shared" si="18"/>
        <v>0</v>
      </c>
      <c r="U247" s="167"/>
      <c r="V247" s="10">
        <f t="shared" si="19"/>
        <v>0</v>
      </c>
      <c r="W247" s="10">
        <f t="shared" si="20"/>
        <v>0</v>
      </c>
      <c r="X247" s="170"/>
      <c r="Y247" s="177"/>
      <c r="Z247" s="168"/>
      <c r="AA247" s="177"/>
      <c r="AB247" s="168"/>
      <c r="AC247" s="177"/>
      <c r="AD247" s="168"/>
      <c r="AE247" s="177"/>
      <c r="AF247" s="168"/>
      <c r="AG247" s="177"/>
      <c r="AH247" s="168"/>
      <c r="AI247" s="177"/>
      <c r="AJ247" s="168"/>
      <c r="AK247" s="177"/>
      <c r="AL247" s="168"/>
      <c r="AM247" s="177"/>
      <c r="AN247" s="168"/>
      <c r="AO247" s="177"/>
      <c r="AP247" s="168"/>
      <c r="AQ247" s="177"/>
      <c r="AR247" s="168"/>
      <c r="AS247" s="177"/>
      <c r="AT247" s="168"/>
      <c r="AU247" s="177"/>
      <c r="AV247" s="168"/>
      <c r="AW247" s="177"/>
      <c r="AX247" s="168"/>
      <c r="AY247" s="177"/>
      <c r="AZ247" s="168"/>
      <c r="BA247" s="177"/>
      <c r="BB247" s="168"/>
      <c r="BC247" s="177"/>
      <c r="BD247" s="168"/>
      <c r="BE247" s="177"/>
      <c r="BF247" s="168"/>
      <c r="BG247" s="177"/>
      <c r="BH247" s="168"/>
      <c r="BI247" s="177"/>
      <c r="BJ247" s="168"/>
      <c r="BK247" s="177"/>
      <c r="BL247" s="168"/>
      <c r="BM247" s="177"/>
      <c r="BN247" s="168"/>
      <c r="BO247" s="177"/>
      <c r="BP247" s="168"/>
      <c r="BQ247" s="177"/>
      <c r="BR247" s="168"/>
      <c r="BS247" s="177"/>
      <c r="BT247" s="168"/>
      <c r="BU247" s="177"/>
      <c r="BV247" s="168"/>
      <c r="BW247" s="177"/>
      <c r="BX247" s="168"/>
      <c r="BY247" s="177"/>
      <c r="BZ247" s="168"/>
      <c r="CA247" s="177"/>
      <c r="CB247" s="168"/>
      <c r="CC247" s="177"/>
      <c r="CD247" s="168"/>
      <c r="CE247" s="177"/>
      <c r="CF247" s="168"/>
      <c r="CG247" s="187"/>
      <c r="CH247" s="183"/>
      <c r="CI247" s="185"/>
      <c r="CJ247" s="160"/>
      <c r="CK247" s="160"/>
      <c r="CL247" s="160"/>
      <c r="CM247" s="160"/>
      <c r="CN247" s="160"/>
      <c r="CO247" s="160"/>
      <c r="CP247" s="160"/>
      <c r="CQ247" s="160"/>
      <c r="CR247" s="160"/>
      <c r="CS247" s="179"/>
      <c r="CT247" s="160"/>
      <c r="CU247" s="160"/>
      <c r="CV247" s="160"/>
      <c r="CW247" s="160"/>
      <c r="CX247" s="160"/>
      <c r="CY247" s="160"/>
      <c r="CZ247" s="160"/>
      <c r="DA247" s="160"/>
      <c r="DB247" s="160"/>
      <c r="DC247" s="160"/>
      <c r="DD247" s="160"/>
      <c r="DE247" s="160"/>
      <c r="DF247" s="160"/>
      <c r="DG247" s="160"/>
      <c r="DH247" s="160"/>
      <c r="DI247" s="160"/>
      <c r="DJ247" s="160"/>
      <c r="DK247" s="160"/>
      <c r="DL247" s="160"/>
      <c r="DM247" s="160"/>
      <c r="DN247" s="160"/>
    </row>
    <row r="248" spans="1:118" hidden="1">
      <c r="A248" s="149"/>
      <c r="B248" s="150"/>
      <c r="C248" s="151"/>
      <c r="D248" s="152"/>
      <c r="E248" s="152"/>
      <c r="F248" s="152"/>
      <c r="G248" s="152"/>
      <c r="H248" s="62">
        <f>SUM(Table4[[#This Row],[BASIC]:[FOOD]])</f>
        <v>0</v>
      </c>
      <c r="I248" s="62"/>
      <c r="J248" s="62"/>
      <c r="K248" s="62"/>
      <c r="L248" s="62"/>
      <c r="M248" s="62"/>
      <c r="N248" s="62"/>
      <c r="O248" s="62">
        <f>SUM(Table4[[#This Row],[ESI BASIC]:[ESI FOOD]])</f>
        <v>0</v>
      </c>
      <c r="P248" s="160"/>
      <c r="Q248" s="160"/>
      <c r="R248" s="175"/>
      <c r="S248" s="167"/>
      <c r="T248" s="10">
        <f t="shared" si="18"/>
        <v>0</v>
      </c>
      <c r="U248" s="167"/>
      <c r="V248" s="10">
        <f t="shared" si="19"/>
        <v>0</v>
      </c>
      <c r="W248" s="10">
        <f t="shared" si="20"/>
        <v>0</v>
      </c>
      <c r="X248" s="170"/>
      <c r="Y248" s="177"/>
      <c r="Z248" s="168"/>
      <c r="AA248" s="177"/>
      <c r="AB248" s="168"/>
      <c r="AC248" s="177"/>
      <c r="AD248" s="168"/>
      <c r="AE248" s="177"/>
      <c r="AF248" s="168"/>
      <c r="AG248" s="177"/>
      <c r="AH248" s="168"/>
      <c r="AI248" s="177"/>
      <c r="AJ248" s="168"/>
      <c r="AK248" s="177"/>
      <c r="AL248" s="168"/>
      <c r="AM248" s="177"/>
      <c r="AN248" s="168"/>
      <c r="AO248" s="177"/>
      <c r="AP248" s="168"/>
      <c r="AQ248" s="177"/>
      <c r="AR248" s="168"/>
      <c r="AS248" s="177"/>
      <c r="AT248" s="168"/>
      <c r="AU248" s="177"/>
      <c r="AV248" s="168"/>
      <c r="AW248" s="177"/>
      <c r="AX248" s="168"/>
      <c r="AY248" s="177"/>
      <c r="AZ248" s="168"/>
      <c r="BA248" s="177"/>
      <c r="BB248" s="168"/>
      <c r="BC248" s="177"/>
      <c r="BD248" s="168"/>
      <c r="BE248" s="177"/>
      <c r="BF248" s="168"/>
      <c r="BG248" s="177"/>
      <c r="BH248" s="168"/>
      <c r="BI248" s="177"/>
      <c r="BJ248" s="168"/>
      <c r="BK248" s="177"/>
      <c r="BL248" s="168"/>
      <c r="BM248" s="177"/>
      <c r="BN248" s="168"/>
      <c r="BO248" s="177"/>
      <c r="BP248" s="168"/>
      <c r="BQ248" s="177"/>
      <c r="BR248" s="168"/>
      <c r="BS248" s="177"/>
      <c r="BT248" s="168"/>
      <c r="BU248" s="177"/>
      <c r="BV248" s="168"/>
      <c r="BW248" s="177"/>
      <c r="BX248" s="168"/>
      <c r="BY248" s="177"/>
      <c r="BZ248" s="168"/>
      <c r="CA248" s="177"/>
      <c r="CB248" s="168"/>
      <c r="CC248" s="177"/>
      <c r="CD248" s="168"/>
      <c r="CE248" s="177"/>
      <c r="CF248" s="168"/>
      <c r="CG248" s="187"/>
      <c r="CH248" s="183"/>
      <c r="CI248" s="185"/>
      <c r="CJ248" s="160"/>
      <c r="CK248" s="160"/>
      <c r="CL248" s="160"/>
      <c r="CM248" s="160"/>
      <c r="CN248" s="160"/>
      <c r="CO248" s="160"/>
      <c r="CP248" s="160"/>
      <c r="CQ248" s="160"/>
      <c r="CR248" s="160"/>
      <c r="CS248" s="179"/>
      <c r="CT248" s="160"/>
      <c r="CU248" s="160"/>
      <c r="CV248" s="160"/>
      <c r="CW248" s="160"/>
      <c r="CX248" s="160"/>
      <c r="CY248" s="160"/>
      <c r="CZ248" s="160"/>
      <c r="DA248" s="160"/>
      <c r="DB248" s="160"/>
      <c r="DC248" s="160"/>
      <c r="DD248" s="160"/>
      <c r="DE248" s="160"/>
      <c r="DF248" s="160"/>
      <c r="DG248" s="160"/>
      <c r="DH248" s="160"/>
      <c r="DI248" s="160"/>
      <c r="DJ248" s="160"/>
      <c r="DK248" s="160"/>
      <c r="DL248" s="160"/>
      <c r="DM248" s="160"/>
      <c r="DN248" s="160"/>
    </row>
    <row r="249" spans="1:118" hidden="1">
      <c r="A249" s="149"/>
      <c r="B249" s="150"/>
      <c r="C249" s="151"/>
      <c r="D249" s="152"/>
      <c r="E249" s="152"/>
      <c r="F249" s="152"/>
      <c r="G249" s="152"/>
      <c r="H249" s="62">
        <f>SUM(Table4[[#This Row],[BASIC]:[FOOD]])</f>
        <v>0</v>
      </c>
      <c r="I249" s="62"/>
      <c r="J249" s="62"/>
      <c r="K249" s="62"/>
      <c r="L249" s="62"/>
      <c r="M249" s="62"/>
      <c r="N249" s="62"/>
      <c r="O249" s="62">
        <f>SUM(Table4[[#This Row],[ESI BASIC]:[ESI FOOD]])</f>
        <v>0</v>
      </c>
      <c r="P249" s="160"/>
      <c r="Q249" s="160"/>
      <c r="R249" s="175"/>
      <c r="S249" s="167"/>
      <c r="T249" s="10">
        <f t="shared" si="18"/>
        <v>0</v>
      </c>
      <c r="U249" s="167"/>
      <c r="V249" s="10">
        <f t="shared" si="19"/>
        <v>0</v>
      </c>
      <c r="W249" s="10">
        <f t="shared" si="20"/>
        <v>0</v>
      </c>
      <c r="X249" s="170"/>
      <c r="Y249" s="177"/>
      <c r="Z249" s="168"/>
      <c r="AA249" s="177"/>
      <c r="AB249" s="168"/>
      <c r="AC249" s="177"/>
      <c r="AD249" s="168"/>
      <c r="AE249" s="177"/>
      <c r="AF249" s="168"/>
      <c r="AG249" s="177"/>
      <c r="AH249" s="168"/>
      <c r="AI249" s="177"/>
      <c r="AJ249" s="168"/>
      <c r="AK249" s="177"/>
      <c r="AL249" s="168"/>
      <c r="AM249" s="177"/>
      <c r="AN249" s="168"/>
      <c r="AO249" s="177"/>
      <c r="AP249" s="168"/>
      <c r="AQ249" s="177"/>
      <c r="AR249" s="168"/>
      <c r="AS249" s="177"/>
      <c r="AT249" s="168"/>
      <c r="AU249" s="177"/>
      <c r="AV249" s="168"/>
      <c r="AW249" s="177"/>
      <c r="AX249" s="168"/>
      <c r="AY249" s="177"/>
      <c r="AZ249" s="168"/>
      <c r="BA249" s="177"/>
      <c r="BB249" s="168"/>
      <c r="BC249" s="177"/>
      <c r="BD249" s="168"/>
      <c r="BE249" s="177"/>
      <c r="BF249" s="168"/>
      <c r="BG249" s="177"/>
      <c r="BH249" s="168"/>
      <c r="BI249" s="177"/>
      <c r="BJ249" s="168"/>
      <c r="BK249" s="177"/>
      <c r="BL249" s="168"/>
      <c r="BM249" s="177"/>
      <c r="BN249" s="168"/>
      <c r="BO249" s="177"/>
      <c r="BP249" s="168"/>
      <c r="BQ249" s="177"/>
      <c r="BR249" s="168"/>
      <c r="BS249" s="177"/>
      <c r="BT249" s="168"/>
      <c r="BU249" s="177"/>
      <c r="BV249" s="168"/>
      <c r="BW249" s="177"/>
      <c r="BX249" s="168"/>
      <c r="BY249" s="177"/>
      <c r="BZ249" s="168"/>
      <c r="CA249" s="177"/>
      <c r="CB249" s="168"/>
      <c r="CC249" s="177"/>
      <c r="CD249" s="168"/>
      <c r="CE249" s="177"/>
      <c r="CF249" s="168"/>
      <c r="CG249" s="187"/>
      <c r="CH249" s="183"/>
      <c r="CI249" s="185"/>
      <c r="CJ249" s="160"/>
      <c r="CK249" s="160"/>
      <c r="CL249" s="160"/>
      <c r="CM249" s="160"/>
      <c r="CN249" s="160"/>
      <c r="CO249" s="160"/>
      <c r="CP249" s="160"/>
      <c r="CQ249" s="160"/>
      <c r="CR249" s="160"/>
      <c r="CS249" s="179"/>
      <c r="CT249" s="160"/>
      <c r="CU249" s="160"/>
      <c r="CV249" s="160"/>
      <c r="CW249" s="160"/>
      <c r="CX249" s="160"/>
      <c r="CY249" s="160"/>
      <c r="CZ249" s="160"/>
      <c r="DA249" s="160"/>
      <c r="DB249" s="160"/>
      <c r="DC249" s="160"/>
      <c r="DD249" s="160"/>
      <c r="DE249" s="160"/>
      <c r="DF249" s="160"/>
      <c r="DG249" s="160"/>
      <c r="DH249" s="160"/>
      <c r="DI249" s="160"/>
      <c r="DJ249" s="160"/>
      <c r="DK249" s="160"/>
      <c r="DL249" s="160"/>
      <c r="DM249" s="160"/>
      <c r="DN249" s="160"/>
    </row>
    <row r="250" spans="1:118" hidden="1">
      <c r="A250" s="149"/>
      <c r="B250" s="150"/>
      <c r="C250" s="151"/>
      <c r="D250" s="152"/>
      <c r="E250" s="152"/>
      <c r="F250" s="152"/>
      <c r="G250" s="152"/>
      <c r="H250" s="62">
        <f>SUM(Table4[[#This Row],[BASIC]:[FOOD]])</f>
        <v>0</v>
      </c>
      <c r="I250" s="62"/>
      <c r="J250" s="62"/>
      <c r="K250" s="62"/>
      <c r="L250" s="62"/>
      <c r="M250" s="62"/>
      <c r="N250" s="62"/>
      <c r="O250" s="62">
        <f>SUM(Table4[[#This Row],[ESI BASIC]:[ESI FOOD]])</f>
        <v>0</v>
      </c>
      <c r="P250" s="160"/>
      <c r="Q250" s="160"/>
      <c r="R250" s="175"/>
      <c r="S250" s="167"/>
      <c r="T250" s="10">
        <f t="shared" si="18"/>
        <v>0</v>
      </c>
      <c r="U250" s="167"/>
      <c r="V250" s="10">
        <f t="shared" si="19"/>
        <v>0</v>
      </c>
      <c r="W250" s="10">
        <f t="shared" si="20"/>
        <v>0</v>
      </c>
      <c r="X250" s="170"/>
      <c r="Y250" s="177"/>
      <c r="Z250" s="168"/>
      <c r="AA250" s="177"/>
      <c r="AB250" s="168"/>
      <c r="AC250" s="177"/>
      <c r="AD250" s="168"/>
      <c r="AE250" s="177"/>
      <c r="AF250" s="168"/>
      <c r="AG250" s="177"/>
      <c r="AH250" s="168"/>
      <c r="AI250" s="177"/>
      <c r="AJ250" s="168"/>
      <c r="AK250" s="177"/>
      <c r="AL250" s="168"/>
      <c r="AM250" s="177"/>
      <c r="AN250" s="168"/>
      <c r="AO250" s="177"/>
      <c r="AP250" s="168"/>
      <c r="AQ250" s="177"/>
      <c r="AR250" s="168"/>
      <c r="AS250" s="177"/>
      <c r="AT250" s="168"/>
      <c r="AU250" s="177"/>
      <c r="AV250" s="168"/>
      <c r="AW250" s="177"/>
      <c r="AX250" s="168"/>
      <c r="AY250" s="177"/>
      <c r="AZ250" s="168"/>
      <c r="BA250" s="177"/>
      <c r="BB250" s="168"/>
      <c r="BC250" s="177"/>
      <c r="BD250" s="168"/>
      <c r="BE250" s="177"/>
      <c r="BF250" s="168"/>
      <c r="BG250" s="177"/>
      <c r="BH250" s="168"/>
      <c r="BI250" s="177"/>
      <c r="BJ250" s="168"/>
      <c r="BK250" s="177"/>
      <c r="BL250" s="168"/>
      <c r="BM250" s="177"/>
      <c r="BN250" s="168"/>
      <c r="BO250" s="177"/>
      <c r="BP250" s="168"/>
      <c r="BQ250" s="177"/>
      <c r="BR250" s="168"/>
      <c r="BS250" s="177"/>
      <c r="BT250" s="168"/>
      <c r="BU250" s="177"/>
      <c r="BV250" s="168"/>
      <c r="BW250" s="177"/>
      <c r="BX250" s="168"/>
      <c r="BY250" s="177"/>
      <c r="BZ250" s="168"/>
      <c r="CA250" s="177"/>
      <c r="CB250" s="168"/>
      <c r="CC250" s="177"/>
      <c r="CD250" s="168"/>
      <c r="CE250" s="177"/>
      <c r="CF250" s="168"/>
      <c r="CG250" s="187"/>
      <c r="CH250" s="183"/>
      <c r="CI250" s="185"/>
      <c r="CJ250" s="160"/>
      <c r="CK250" s="160"/>
      <c r="CL250" s="160"/>
      <c r="CM250" s="160"/>
      <c r="CN250" s="160"/>
      <c r="CO250" s="160"/>
      <c r="CP250" s="160"/>
      <c r="CQ250" s="160"/>
      <c r="CR250" s="160"/>
      <c r="CS250" s="179"/>
      <c r="CT250" s="160"/>
      <c r="CU250" s="160"/>
      <c r="CV250" s="160"/>
      <c r="CW250" s="160"/>
      <c r="CX250" s="160"/>
      <c r="CY250" s="160"/>
      <c r="CZ250" s="160"/>
      <c r="DA250" s="160"/>
      <c r="DB250" s="160"/>
      <c r="DC250" s="160"/>
      <c r="DD250" s="160"/>
      <c r="DE250" s="160"/>
      <c r="DF250" s="160"/>
      <c r="DG250" s="160"/>
      <c r="DH250" s="160"/>
      <c r="DI250" s="160"/>
      <c r="DJ250" s="160"/>
      <c r="DK250" s="160"/>
      <c r="DL250" s="160"/>
      <c r="DM250" s="160"/>
      <c r="DN250" s="160"/>
    </row>
    <row r="251" spans="1:118" hidden="1">
      <c r="A251" s="149"/>
      <c r="B251" s="150"/>
      <c r="C251" s="151"/>
      <c r="D251" s="152"/>
      <c r="E251" s="152"/>
      <c r="F251" s="152"/>
      <c r="G251" s="152"/>
      <c r="H251" s="62">
        <f>SUM(Table4[[#This Row],[BASIC]:[FOOD]])</f>
        <v>0</v>
      </c>
      <c r="I251" s="62"/>
      <c r="J251" s="62"/>
      <c r="K251" s="62"/>
      <c r="L251" s="62"/>
      <c r="M251" s="62"/>
      <c r="N251" s="62"/>
      <c r="O251" s="62">
        <f>SUM(Table4[[#This Row],[ESI BASIC]:[ESI FOOD]])</f>
        <v>0</v>
      </c>
      <c r="P251" s="160"/>
      <c r="Q251" s="160"/>
      <c r="R251" s="175"/>
      <c r="S251" s="167"/>
      <c r="T251" s="10">
        <f t="shared" si="18"/>
        <v>0</v>
      </c>
      <c r="U251" s="167"/>
      <c r="V251" s="10">
        <f t="shared" si="19"/>
        <v>0</v>
      </c>
      <c r="W251" s="10">
        <f t="shared" si="20"/>
        <v>0</v>
      </c>
      <c r="X251" s="170"/>
      <c r="Y251" s="177"/>
      <c r="Z251" s="168"/>
      <c r="AA251" s="177"/>
      <c r="AB251" s="168"/>
      <c r="AC251" s="177"/>
      <c r="AD251" s="168"/>
      <c r="AE251" s="177"/>
      <c r="AF251" s="168"/>
      <c r="AG251" s="177"/>
      <c r="AH251" s="168"/>
      <c r="AI251" s="177"/>
      <c r="AJ251" s="168"/>
      <c r="AK251" s="177"/>
      <c r="AL251" s="168"/>
      <c r="AM251" s="177"/>
      <c r="AN251" s="168"/>
      <c r="AO251" s="177"/>
      <c r="AP251" s="168"/>
      <c r="AQ251" s="177"/>
      <c r="AR251" s="168"/>
      <c r="AS251" s="177"/>
      <c r="AT251" s="168"/>
      <c r="AU251" s="177"/>
      <c r="AV251" s="168"/>
      <c r="AW251" s="177"/>
      <c r="AX251" s="168"/>
      <c r="AY251" s="177"/>
      <c r="AZ251" s="168"/>
      <c r="BA251" s="177"/>
      <c r="BB251" s="168"/>
      <c r="BC251" s="177"/>
      <c r="BD251" s="168"/>
      <c r="BE251" s="177"/>
      <c r="BF251" s="168"/>
      <c r="BG251" s="177"/>
      <c r="BH251" s="168"/>
      <c r="BI251" s="177"/>
      <c r="BJ251" s="168"/>
      <c r="BK251" s="177"/>
      <c r="BL251" s="168"/>
      <c r="BM251" s="177"/>
      <c r="BN251" s="168"/>
      <c r="BO251" s="177"/>
      <c r="BP251" s="168"/>
      <c r="BQ251" s="177"/>
      <c r="BR251" s="168"/>
      <c r="BS251" s="177"/>
      <c r="BT251" s="168"/>
      <c r="BU251" s="177"/>
      <c r="BV251" s="168"/>
      <c r="BW251" s="177"/>
      <c r="BX251" s="168"/>
      <c r="BY251" s="177"/>
      <c r="BZ251" s="168"/>
      <c r="CA251" s="177"/>
      <c r="CB251" s="168"/>
      <c r="CC251" s="177"/>
      <c r="CD251" s="168"/>
      <c r="CE251" s="177"/>
      <c r="CF251" s="168"/>
      <c r="CG251" s="187"/>
      <c r="CH251" s="183"/>
      <c r="CI251" s="185"/>
      <c r="CJ251" s="160"/>
      <c r="CK251" s="160"/>
      <c r="CL251" s="160"/>
      <c r="CM251" s="160"/>
      <c r="CN251" s="160"/>
      <c r="CO251" s="160"/>
      <c r="CP251" s="160"/>
      <c r="CQ251" s="160"/>
      <c r="CR251" s="160"/>
      <c r="CS251" s="179"/>
      <c r="CT251" s="160"/>
      <c r="CU251" s="160"/>
      <c r="CV251" s="160"/>
      <c r="CW251" s="160"/>
      <c r="CX251" s="160"/>
      <c r="CY251" s="160"/>
      <c r="CZ251" s="160"/>
      <c r="DA251" s="160"/>
      <c r="DB251" s="160"/>
      <c r="DC251" s="160"/>
      <c r="DD251" s="160"/>
      <c r="DE251" s="160"/>
      <c r="DF251" s="160"/>
      <c r="DG251" s="160"/>
      <c r="DH251" s="160"/>
      <c r="DI251" s="160"/>
      <c r="DJ251" s="160"/>
      <c r="DK251" s="160"/>
      <c r="DL251" s="160"/>
      <c r="DM251" s="160"/>
      <c r="DN251" s="160"/>
    </row>
    <row r="252" spans="1:118" hidden="1">
      <c r="A252" s="149"/>
      <c r="B252" s="150"/>
      <c r="C252" s="151"/>
      <c r="D252" s="152"/>
      <c r="E252" s="152"/>
      <c r="F252" s="152"/>
      <c r="G252" s="152"/>
      <c r="H252" s="62">
        <f>SUM(Table4[[#This Row],[BASIC]:[FOOD]])</f>
        <v>0</v>
      </c>
      <c r="I252" s="62"/>
      <c r="J252" s="62"/>
      <c r="K252" s="62"/>
      <c r="L252" s="62"/>
      <c r="M252" s="62"/>
      <c r="N252" s="62"/>
      <c r="O252" s="62">
        <f>SUM(Table4[[#This Row],[ESI BASIC]:[ESI FOOD]])</f>
        <v>0</v>
      </c>
      <c r="P252" s="160"/>
      <c r="Q252" s="160"/>
      <c r="R252" s="175"/>
      <c r="S252" s="167"/>
      <c r="T252" s="10">
        <f t="shared" si="18"/>
        <v>0</v>
      </c>
      <c r="U252" s="167"/>
      <c r="V252" s="10">
        <f t="shared" si="19"/>
        <v>0</v>
      </c>
      <c r="W252" s="10">
        <f t="shared" si="20"/>
        <v>0</v>
      </c>
      <c r="X252" s="170"/>
      <c r="Y252" s="177"/>
      <c r="Z252" s="168"/>
      <c r="AA252" s="177"/>
      <c r="AB252" s="168"/>
      <c r="AC252" s="177"/>
      <c r="AD252" s="168"/>
      <c r="AE252" s="177"/>
      <c r="AF252" s="168"/>
      <c r="AG252" s="177"/>
      <c r="AH252" s="168"/>
      <c r="AI252" s="177"/>
      <c r="AJ252" s="168"/>
      <c r="AK252" s="177"/>
      <c r="AL252" s="168"/>
      <c r="AM252" s="177"/>
      <c r="AN252" s="168"/>
      <c r="AO252" s="177"/>
      <c r="AP252" s="168"/>
      <c r="AQ252" s="177"/>
      <c r="AR252" s="168"/>
      <c r="AS252" s="177"/>
      <c r="AT252" s="168"/>
      <c r="AU252" s="177"/>
      <c r="AV252" s="168"/>
      <c r="AW252" s="177"/>
      <c r="AX252" s="168"/>
      <c r="AY252" s="177"/>
      <c r="AZ252" s="168"/>
      <c r="BA252" s="177"/>
      <c r="BB252" s="168"/>
      <c r="BC252" s="177"/>
      <c r="BD252" s="168"/>
      <c r="BE252" s="177"/>
      <c r="BF252" s="168"/>
      <c r="BG252" s="177"/>
      <c r="BH252" s="168"/>
      <c r="BI252" s="177"/>
      <c r="BJ252" s="168"/>
      <c r="BK252" s="177"/>
      <c r="BL252" s="168"/>
      <c r="BM252" s="177"/>
      <c r="BN252" s="168"/>
      <c r="BO252" s="177"/>
      <c r="BP252" s="168"/>
      <c r="BQ252" s="177"/>
      <c r="BR252" s="168"/>
      <c r="BS252" s="177"/>
      <c r="BT252" s="168"/>
      <c r="BU252" s="177"/>
      <c r="BV252" s="168"/>
      <c r="BW252" s="177"/>
      <c r="BX252" s="168"/>
      <c r="BY252" s="177"/>
      <c r="BZ252" s="168"/>
      <c r="CA252" s="177"/>
      <c r="CB252" s="168"/>
      <c r="CC252" s="177"/>
      <c r="CD252" s="168"/>
      <c r="CE252" s="177"/>
      <c r="CF252" s="168"/>
      <c r="CG252" s="187"/>
      <c r="CH252" s="183"/>
      <c r="CI252" s="185"/>
      <c r="CJ252" s="160"/>
      <c r="CK252" s="160"/>
      <c r="CL252" s="160"/>
      <c r="CM252" s="160"/>
      <c r="CN252" s="160"/>
      <c r="CO252" s="160"/>
      <c r="CP252" s="160"/>
      <c r="CQ252" s="160"/>
      <c r="CR252" s="160"/>
      <c r="CS252" s="179"/>
      <c r="CT252" s="160"/>
      <c r="CU252" s="160"/>
      <c r="CV252" s="160"/>
      <c r="CW252" s="160"/>
      <c r="CX252" s="160"/>
      <c r="CY252" s="160"/>
      <c r="CZ252" s="160"/>
      <c r="DA252" s="160"/>
      <c r="DB252" s="160"/>
      <c r="DC252" s="160"/>
      <c r="DD252" s="160"/>
      <c r="DE252" s="160"/>
      <c r="DF252" s="160"/>
      <c r="DG252" s="160"/>
      <c r="DH252" s="160"/>
      <c r="DI252" s="160"/>
      <c r="DJ252" s="160"/>
      <c r="DK252" s="160"/>
      <c r="DL252" s="160"/>
      <c r="DM252" s="160"/>
      <c r="DN252" s="160"/>
    </row>
    <row r="253" spans="1:118" hidden="1">
      <c r="A253" s="149"/>
      <c r="B253" s="150"/>
      <c r="C253" s="151"/>
      <c r="D253" s="152"/>
      <c r="E253" s="152"/>
      <c r="F253" s="152"/>
      <c r="G253" s="152"/>
      <c r="H253" s="62">
        <f>SUM(Table4[[#This Row],[BASIC]:[FOOD]])</f>
        <v>0</v>
      </c>
      <c r="I253" s="62"/>
      <c r="J253" s="62"/>
      <c r="K253" s="62"/>
      <c r="L253" s="62"/>
      <c r="M253" s="62"/>
      <c r="N253" s="62"/>
      <c r="O253" s="62">
        <f>SUM(Table4[[#This Row],[ESI BASIC]:[ESI FOOD]])</f>
        <v>0</v>
      </c>
      <c r="P253" s="160"/>
      <c r="Q253" s="160"/>
      <c r="R253" s="175"/>
      <c r="S253" s="167"/>
      <c r="T253" s="10">
        <f t="shared" si="18"/>
        <v>0</v>
      </c>
      <c r="U253" s="167"/>
      <c r="V253" s="10">
        <f t="shared" si="19"/>
        <v>0</v>
      </c>
      <c r="W253" s="10">
        <f t="shared" si="20"/>
        <v>0</v>
      </c>
      <c r="X253" s="170"/>
      <c r="Y253" s="177"/>
      <c r="Z253" s="168"/>
      <c r="AA253" s="177"/>
      <c r="AB253" s="168"/>
      <c r="AC253" s="177"/>
      <c r="AD253" s="168"/>
      <c r="AE253" s="177"/>
      <c r="AF253" s="168"/>
      <c r="AG253" s="177"/>
      <c r="AH253" s="168"/>
      <c r="AI253" s="177"/>
      <c r="AJ253" s="168"/>
      <c r="AK253" s="177"/>
      <c r="AL253" s="168"/>
      <c r="AM253" s="177"/>
      <c r="AN253" s="168"/>
      <c r="AO253" s="177"/>
      <c r="AP253" s="168"/>
      <c r="AQ253" s="177"/>
      <c r="AR253" s="168"/>
      <c r="AS253" s="177"/>
      <c r="AT253" s="168"/>
      <c r="AU253" s="177"/>
      <c r="AV253" s="168"/>
      <c r="AW253" s="177"/>
      <c r="AX253" s="168"/>
      <c r="AY253" s="177"/>
      <c r="AZ253" s="168"/>
      <c r="BA253" s="177"/>
      <c r="BB253" s="168"/>
      <c r="BC253" s="177"/>
      <c r="BD253" s="168"/>
      <c r="BE253" s="177"/>
      <c r="BF253" s="168"/>
      <c r="BG253" s="177"/>
      <c r="BH253" s="168"/>
      <c r="BI253" s="177"/>
      <c r="BJ253" s="168"/>
      <c r="BK253" s="177"/>
      <c r="BL253" s="168"/>
      <c r="BM253" s="177"/>
      <c r="BN253" s="168"/>
      <c r="BO253" s="177"/>
      <c r="BP253" s="168"/>
      <c r="BQ253" s="177"/>
      <c r="BR253" s="168"/>
      <c r="BS253" s="177"/>
      <c r="BT253" s="168"/>
      <c r="BU253" s="177"/>
      <c r="BV253" s="168"/>
      <c r="BW253" s="177"/>
      <c r="BX253" s="168"/>
      <c r="BY253" s="177"/>
      <c r="BZ253" s="168"/>
      <c r="CA253" s="177"/>
      <c r="CB253" s="168"/>
      <c r="CC253" s="177"/>
      <c r="CD253" s="168"/>
      <c r="CE253" s="177"/>
      <c r="CF253" s="168"/>
      <c r="CG253" s="187"/>
      <c r="CH253" s="183"/>
      <c r="CI253" s="185"/>
      <c r="CJ253" s="160"/>
      <c r="CK253" s="160"/>
      <c r="CL253" s="160"/>
      <c r="CM253" s="160"/>
      <c r="CN253" s="160"/>
      <c r="CO253" s="160"/>
      <c r="CP253" s="160"/>
      <c r="CQ253" s="160"/>
      <c r="CR253" s="160"/>
      <c r="CS253" s="179"/>
      <c r="CT253" s="160"/>
      <c r="CU253" s="160"/>
      <c r="CV253" s="160"/>
      <c r="CW253" s="160"/>
      <c r="CX253" s="160"/>
      <c r="CY253" s="160"/>
      <c r="CZ253" s="160"/>
      <c r="DA253" s="160"/>
      <c r="DB253" s="160"/>
      <c r="DC253" s="160"/>
      <c r="DD253" s="160"/>
      <c r="DE253" s="160"/>
      <c r="DF253" s="160"/>
      <c r="DG253" s="160"/>
      <c r="DH253" s="160"/>
      <c r="DI253" s="160"/>
      <c r="DJ253" s="160"/>
      <c r="DK253" s="160"/>
      <c r="DL253" s="160"/>
      <c r="DM253" s="160"/>
      <c r="DN253" s="160"/>
    </row>
    <row r="254" spans="1:118" hidden="1">
      <c r="A254" s="149"/>
      <c r="B254" s="150"/>
      <c r="C254" s="151"/>
      <c r="D254" s="152"/>
      <c r="E254" s="152"/>
      <c r="F254" s="152"/>
      <c r="G254" s="152"/>
      <c r="H254" s="62">
        <f>SUM(Table4[[#This Row],[BASIC]:[FOOD]])</f>
        <v>0</v>
      </c>
      <c r="I254" s="62"/>
      <c r="J254" s="62"/>
      <c r="K254" s="62"/>
      <c r="L254" s="62"/>
      <c r="M254" s="62"/>
      <c r="N254" s="62"/>
      <c r="O254" s="62">
        <f>SUM(Table4[[#This Row],[ESI BASIC]:[ESI FOOD]])</f>
        <v>0</v>
      </c>
      <c r="P254" s="160"/>
      <c r="Q254" s="160"/>
      <c r="R254" s="175"/>
      <c r="S254" s="167"/>
      <c r="T254" s="10">
        <f t="shared" si="18"/>
        <v>0</v>
      </c>
      <c r="U254" s="167"/>
      <c r="V254" s="10">
        <f t="shared" si="19"/>
        <v>0</v>
      </c>
      <c r="W254" s="10">
        <f t="shared" si="20"/>
        <v>0</v>
      </c>
      <c r="X254" s="170"/>
      <c r="Y254" s="177"/>
      <c r="Z254" s="168"/>
      <c r="AA254" s="177"/>
      <c r="AB254" s="168"/>
      <c r="AC254" s="177"/>
      <c r="AD254" s="168"/>
      <c r="AE254" s="177"/>
      <c r="AF254" s="168"/>
      <c r="AG254" s="177"/>
      <c r="AH254" s="168"/>
      <c r="AI254" s="177"/>
      <c r="AJ254" s="168"/>
      <c r="AK254" s="177"/>
      <c r="AL254" s="168"/>
      <c r="AM254" s="177"/>
      <c r="AN254" s="168"/>
      <c r="AO254" s="177"/>
      <c r="AP254" s="168"/>
      <c r="AQ254" s="177"/>
      <c r="AR254" s="168"/>
      <c r="AS254" s="177"/>
      <c r="AT254" s="168"/>
      <c r="AU254" s="177"/>
      <c r="AV254" s="168"/>
      <c r="AW254" s="177"/>
      <c r="AX254" s="168"/>
      <c r="AY254" s="177"/>
      <c r="AZ254" s="168"/>
      <c r="BA254" s="177"/>
      <c r="BB254" s="168"/>
      <c r="BC254" s="177"/>
      <c r="BD254" s="168"/>
      <c r="BE254" s="177"/>
      <c r="BF254" s="168"/>
      <c r="BG254" s="177"/>
      <c r="BH254" s="168"/>
      <c r="BI254" s="177"/>
      <c r="BJ254" s="168"/>
      <c r="BK254" s="177"/>
      <c r="BL254" s="168"/>
      <c r="BM254" s="177"/>
      <c r="BN254" s="168"/>
      <c r="BO254" s="177"/>
      <c r="BP254" s="168"/>
      <c r="BQ254" s="177"/>
      <c r="BR254" s="168"/>
      <c r="BS254" s="177"/>
      <c r="BT254" s="168"/>
      <c r="BU254" s="177"/>
      <c r="BV254" s="168"/>
      <c r="BW254" s="177"/>
      <c r="BX254" s="168"/>
      <c r="BY254" s="177"/>
      <c r="BZ254" s="168"/>
      <c r="CA254" s="177"/>
      <c r="CB254" s="168"/>
      <c r="CC254" s="177"/>
      <c r="CD254" s="168"/>
      <c r="CE254" s="177"/>
      <c r="CF254" s="168"/>
      <c r="CG254" s="187"/>
      <c r="CH254" s="183"/>
      <c r="CI254" s="185"/>
      <c r="CJ254" s="160"/>
      <c r="CK254" s="160"/>
      <c r="CL254" s="160"/>
      <c r="CM254" s="160"/>
      <c r="CN254" s="160"/>
      <c r="CO254" s="160"/>
      <c r="CP254" s="160"/>
      <c r="CQ254" s="160"/>
      <c r="CR254" s="160"/>
      <c r="CS254" s="179"/>
      <c r="CT254" s="160"/>
      <c r="CU254" s="160"/>
      <c r="CV254" s="160"/>
      <c r="CW254" s="160"/>
      <c r="CX254" s="160"/>
      <c r="CY254" s="160"/>
      <c r="CZ254" s="160"/>
      <c r="DA254" s="160"/>
      <c r="DB254" s="160"/>
      <c r="DC254" s="160"/>
      <c r="DD254" s="160"/>
      <c r="DE254" s="160"/>
      <c r="DF254" s="160"/>
      <c r="DG254" s="160"/>
      <c r="DH254" s="160"/>
      <c r="DI254" s="160"/>
      <c r="DJ254" s="160"/>
      <c r="DK254" s="160"/>
      <c r="DL254" s="160"/>
      <c r="DM254" s="160"/>
      <c r="DN254" s="160"/>
    </row>
    <row r="255" spans="1:118" hidden="1">
      <c r="A255" s="149"/>
      <c r="B255" s="150"/>
      <c r="C255" s="151"/>
      <c r="D255" s="152"/>
      <c r="E255" s="152"/>
      <c r="F255" s="152"/>
      <c r="G255" s="152"/>
      <c r="H255" s="62">
        <f>SUM(Table4[[#This Row],[BASIC]:[FOOD]])</f>
        <v>0</v>
      </c>
      <c r="I255" s="62"/>
      <c r="J255" s="62"/>
      <c r="K255" s="62"/>
      <c r="L255" s="62"/>
      <c r="M255" s="62"/>
      <c r="N255" s="62"/>
      <c r="O255" s="62">
        <f>SUM(Table4[[#This Row],[ESI BASIC]:[ESI FOOD]])</f>
        <v>0</v>
      </c>
      <c r="P255" s="160"/>
      <c r="Q255" s="160"/>
      <c r="R255" s="175"/>
      <c r="S255" s="167"/>
      <c r="T255" s="10">
        <f t="shared" si="18"/>
        <v>0</v>
      </c>
      <c r="U255" s="167"/>
      <c r="V255" s="10">
        <f t="shared" si="19"/>
        <v>0</v>
      </c>
      <c r="W255" s="10">
        <f t="shared" si="20"/>
        <v>0</v>
      </c>
      <c r="X255" s="170"/>
      <c r="Y255" s="177"/>
      <c r="Z255" s="168"/>
      <c r="AA255" s="177"/>
      <c r="AB255" s="168"/>
      <c r="AC255" s="177"/>
      <c r="AD255" s="168"/>
      <c r="AE255" s="177"/>
      <c r="AF255" s="168"/>
      <c r="AG255" s="177"/>
      <c r="AH255" s="168"/>
      <c r="AI255" s="177"/>
      <c r="AJ255" s="168"/>
      <c r="AK255" s="177"/>
      <c r="AL255" s="168"/>
      <c r="AM255" s="177"/>
      <c r="AN255" s="168"/>
      <c r="AO255" s="177"/>
      <c r="AP255" s="168"/>
      <c r="AQ255" s="177"/>
      <c r="AR255" s="168"/>
      <c r="AS255" s="177"/>
      <c r="AT255" s="168"/>
      <c r="AU255" s="177"/>
      <c r="AV255" s="168"/>
      <c r="AW255" s="177"/>
      <c r="AX255" s="168"/>
      <c r="AY255" s="177"/>
      <c r="AZ255" s="168"/>
      <c r="BA255" s="177"/>
      <c r="BB255" s="168"/>
      <c r="BC255" s="177"/>
      <c r="BD255" s="168"/>
      <c r="BE255" s="177"/>
      <c r="BF255" s="168"/>
      <c r="BG255" s="177"/>
      <c r="BH255" s="168"/>
      <c r="BI255" s="177"/>
      <c r="BJ255" s="168"/>
      <c r="BK255" s="177"/>
      <c r="BL255" s="168"/>
      <c r="BM255" s="177"/>
      <c r="BN255" s="168"/>
      <c r="BO255" s="177"/>
      <c r="BP255" s="168"/>
      <c r="BQ255" s="177"/>
      <c r="BR255" s="168"/>
      <c r="BS255" s="177"/>
      <c r="BT255" s="168"/>
      <c r="BU255" s="177"/>
      <c r="BV255" s="168"/>
      <c r="BW255" s="177"/>
      <c r="BX255" s="168"/>
      <c r="BY255" s="177"/>
      <c r="BZ255" s="168"/>
      <c r="CA255" s="177"/>
      <c r="CB255" s="168"/>
      <c r="CC255" s="177"/>
      <c r="CD255" s="168"/>
      <c r="CE255" s="177"/>
      <c r="CF255" s="168"/>
      <c r="CG255" s="187"/>
      <c r="CH255" s="183"/>
      <c r="CI255" s="185"/>
      <c r="CJ255" s="160"/>
      <c r="CK255" s="160"/>
      <c r="CL255" s="160"/>
      <c r="CM255" s="160"/>
      <c r="CN255" s="160"/>
      <c r="CO255" s="160"/>
      <c r="CP255" s="160"/>
      <c r="CQ255" s="160"/>
      <c r="CR255" s="160"/>
      <c r="CS255" s="179"/>
      <c r="CT255" s="160"/>
      <c r="CU255" s="160"/>
      <c r="CV255" s="160"/>
      <c r="CW255" s="160"/>
      <c r="CX255" s="160"/>
      <c r="CY255" s="160"/>
      <c r="CZ255" s="160"/>
      <c r="DA255" s="160"/>
      <c r="DB255" s="160"/>
      <c r="DC255" s="160"/>
      <c r="DD255" s="160"/>
      <c r="DE255" s="160"/>
      <c r="DF255" s="160"/>
      <c r="DG255" s="160"/>
      <c r="DH255" s="160"/>
      <c r="DI255" s="160"/>
      <c r="DJ255" s="160"/>
      <c r="DK255" s="160"/>
      <c r="DL255" s="160"/>
      <c r="DM255" s="160"/>
      <c r="DN255" s="160"/>
    </row>
    <row r="256" spans="1:118" hidden="1">
      <c r="A256" s="149"/>
      <c r="B256" s="150"/>
      <c r="C256" s="151"/>
      <c r="D256" s="152"/>
      <c r="E256" s="152"/>
      <c r="F256" s="152"/>
      <c r="G256" s="152"/>
      <c r="H256" s="62">
        <f>SUM(Table4[[#This Row],[BASIC]:[FOOD]])</f>
        <v>0</v>
      </c>
      <c r="I256" s="62"/>
      <c r="J256" s="62"/>
      <c r="K256" s="62"/>
      <c r="L256" s="62"/>
      <c r="M256" s="62"/>
      <c r="N256" s="62"/>
      <c r="O256" s="62">
        <f>SUM(Table4[[#This Row],[ESI BASIC]:[ESI FOOD]])</f>
        <v>0</v>
      </c>
      <c r="P256" s="160"/>
      <c r="Q256" s="160"/>
      <c r="R256" s="175"/>
      <c r="S256" s="167"/>
      <c r="T256" s="10">
        <f t="shared" si="18"/>
        <v>0</v>
      </c>
      <c r="U256" s="167"/>
      <c r="V256" s="10">
        <f t="shared" si="19"/>
        <v>0</v>
      </c>
      <c r="W256" s="10">
        <f t="shared" si="20"/>
        <v>0</v>
      </c>
      <c r="X256" s="170"/>
      <c r="Y256" s="177"/>
      <c r="Z256" s="168"/>
      <c r="AA256" s="177"/>
      <c r="AB256" s="168"/>
      <c r="AC256" s="177"/>
      <c r="AD256" s="168"/>
      <c r="AE256" s="177"/>
      <c r="AF256" s="168"/>
      <c r="AG256" s="177"/>
      <c r="AH256" s="168"/>
      <c r="AI256" s="177"/>
      <c r="AJ256" s="168"/>
      <c r="AK256" s="177"/>
      <c r="AL256" s="168"/>
      <c r="AM256" s="177"/>
      <c r="AN256" s="168"/>
      <c r="AO256" s="177"/>
      <c r="AP256" s="168"/>
      <c r="AQ256" s="177"/>
      <c r="AR256" s="168"/>
      <c r="AS256" s="177"/>
      <c r="AT256" s="168"/>
      <c r="AU256" s="177"/>
      <c r="AV256" s="168"/>
      <c r="AW256" s="177"/>
      <c r="AX256" s="168"/>
      <c r="AY256" s="177"/>
      <c r="AZ256" s="168"/>
      <c r="BA256" s="177"/>
      <c r="BB256" s="168"/>
      <c r="BC256" s="177"/>
      <c r="BD256" s="168"/>
      <c r="BE256" s="177"/>
      <c r="BF256" s="168"/>
      <c r="BG256" s="177"/>
      <c r="BH256" s="168"/>
      <c r="BI256" s="177"/>
      <c r="BJ256" s="168"/>
      <c r="BK256" s="177"/>
      <c r="BL256" s="168"/>
      <c r="BM256" s="177"/>
      <c r="BN256" s="168"/>
      <c r="BO256" s="177"/>
      <c r="BP256" s="168"/>
      <c r="BQ256" s="177"/>
      <c r="BR256" s="168"/>
      <c r="BS256" s="177"/>
      <c r="BT256" s="168"/>
      <c r="BU256" s="177"/>
      <c r="BV256" s="168"/>
      <c r="BW256" s="177"/>
      <c r="BX256" s="168"/>
      <c r="BY256" s="177"/>
      <c r="BZ256" s="168"/>
      <c r="CA256" s="177"/>
      <c r="CB256" s="168"/>
      <c r="CC256" s="177"/>
      <c r="CD256" s="168"/>
      <c r="CE256" s="177"/>
      <c r="CF256" s="168"/>
      <c r="CG256" s="187"/>
      <c r="CH256" s="183"/>
      <c r="CI256" s="185"/>
      <c r="CJ256" s="160"/>
      <c r="CK256" s="160"/>
      <c r="CL256" s="160"/>
      <c r="CM256" s="160"/>
      <c r="CN256" s="160"/>
      <c r="CO256" s="160"/>
      <c r="CP256" s="160"/>
      <c r="CQ256" s="160"/>
      <c r="CR256" s="160"/>
      <c r="CS256" s="179"/>
      <c r="CT256" s="160"/>
      <c r="CU256" s="160"/>
      <c r="CV256" s="160"/>
      <c r="CW256" s="160"/>
      <c r="CX256" s="160"/>
      <c r="CY256" s="160"/>
      <c r="CZ256" s="160"/>
      <c r="DA256" s="160"/>
      <c r="DB256" s="160"/>
      <c r="DC256" s="160"/>
      <c r="DD256" s="160"/>
      <c r="DE256" s="160"/>
      <c r="DF256" s="160"/>
      <c r="DG256" s="160"/>
      <c r="DH256" s="160"/>
      <c r="DI256" s="160"/>
      <c r="DJ256" s="160"/>
      <c r="DK256" s="160"/>
      <c r="DL256" s="160"/>
      <c r="DM256" s="160"/>
      <c r="DN256" s="160"/>
    </row>
    <row r="257" spans="1:118" hidden="1">
      <c r="A257" s="149"/>
      <c r="B257" s="150"/>
      <c r="C257" s="151"/>
      <c r="D257" s="152"/>
      <c r="E257" s="152"/>
      <c r="F257" s="152"/>
      <c r="G257" s="152"/>
      <c r="H257" s="62">
        <f>SUM(Table4[[#This Row],[BASIC]:[FOOD]])</f>
        <v>0</v>
      </c>
      <c r="I257" s="62"/>
      <c r="J257" s="62"/>
      <c r="K257" s="62"/>
      <c r="L257" s="62"/>
      <c r="M257" s="62"/>
      <c r="N257" s="62"/>
      <c r="O257" s="62">
        <f>SUM(Table4[[#This Row],[ESI BASIC]:[ESI FOOD]])</f>
        <v>0</v>
      </c>
      <c r="P257" s="160"/>
      <c r="Q257" s="160"/>
      <c r="R257" s="175"/>
      <c r="S257" s="167"/>
      <c r="T257" s="10">
        <f t="shared" si="18"/>
        <v>0</v>
      </c>
      <c r="U257" s="167"/>
      <c r="V257" s="10">
        <f t="shared" si="19"/>
        <v>0</v>
      </c>
      <c r="W257" s="10">
        <f t="shared" si="20"/>
        <v>0</v>
      </c>
      <c r="X257" s="170"/>
      <c r="Y257" s="177"/>
      <c r="Z257" s="168"/>
      <c r="AA257" s="177"/>
      <c r="AB257" s="168"/>
      <c r="AC257" s="177"/>
      <c r="AD257" s="168"/>
      <c r="AE257" s="177"/>
      <c r="AF257" s="168"/>
      <c r="AG257" s="177"/>
      <c r="AH257" s="168"/>
      <c r="AI257" s="177"/>
      <c r="AJ257" s="168"/>
      <c r="AK257" s="177"/>
      <c r="AL257" s="168"/>
      <c r="AM257" s="177"/>
      <c r="AN257" s="168"/>
      <c r="AO257" s="177"/>
      <c r="AP257" s="168"/>
      <c r="AQ257" s="177"/>
      <c r="AR257" s="168"/>
      <c r="AS257" s="177"/>
      <c r="AT257" s="168"/>
      <c r="AU257" s="177"/>
      <c r="AV257" s="168"/>
      <c r="AW257" s="177"/>
      <c r="AX257" s="168"/>
      <c r="AY257" s="177"/>
      <c r="AZ257" s="168"/>
      <c r="BA257" s="177"/>
      <c r="BB257" s="168"/>
      <c r="BC257" s="177"/>
      <c r="BD257" s="168"/>
      <c r="BE257" s="177"/>
      <c r="BF257" s="168"/>
      <c r="BG257" s="177"/>
      <c r="BH257" s="168"/>
      <c r="BI257" s="177"/>
      <c r="BJ257" s="168"/>
      <c r="BK257" s="177"/>
      <c r="BL257" s="168"/>
      <c r="BM257" s="177"/>
      <c r="BN257" s="168"/>
      <c r="BO257" s="177"/>
      <c r="BP257" s="168"/>
      <c r="BQ257" s="177"/>
      <c r="BR257" s="168"/>
      <c r="BS257" s="177"/>
      <c r="BT257" s="168"/>
      <c r="BU257" s="177"/>
      <c r="BV257" s="168"/>
      <c r="BW257" s="177"/>
      <c r="BX257" s="168"/>
      <c r="BY257" s="177"/>
      <c r="BZ257" s="168"/>
      <c r="CA257" s="177"/>
      <c r="CB257" s="168"/>
      <c r="CC257" s="177"/>
      <c r="CD257" s="168"/>
      <c r="CE257" s="177"/>
      <c r="CF257" s="168"/>
      <c r="CG257" s="187"/>
      <c r="CH257" s="183"/>
      <c r="CI257" s="185"/>
      <c r="CJ257" s="160"/>
      <c r="CK257" s="160"/>
      <c r="CL257" s="160"/>
      <c r="CM257" s="160"/>
      <c r="CN257" s="160"/>
      <c r="CO257" s="160"/>
      <c r="CP257" s="160"/>
      <c r="CQ257" s="160"/>
      <c r="CR257" s="160"/>
      <c r="CS257" s="179"/>
      <c r="CT257" s="160"/>
      <c r="CU257" s="160"/>
      <c r="CV257" s="160"/>
      <c r="CW257" s="160"/>
      <c r="CX257" s="160"/>
      <c r="CY257" s="160"/>
      <c r="CZ257" s="160"/>
      <c r="DA257" s="160"/>
      <c r="DB257" s="160"/>
      <c r="DC257" s="160"/>
      <c r="DD257" s="160"/>
      <c r="DE257" s="160"/>
      <c r="DF257" s="160"/>
      <c r="DG257" s="160"/>
      <c r="DH257" s="160"/>
      <c r="DI257" s="160"/>
      <c r="DJ257" s="160"/>
      <c r="DK257" s="160"/>
      <c r="DL257" s="160"/>
      <c r="DM257" s="160"/>
      <c r="DN257" s="160"/>
    </row>
    <row r="258" spans="1:118" hidden="1">
      <c r="A258" s="149"/>
      <c r="B258" s="150"/>
      <c r="C258" s="151"/>
      <c r="D258" s="152"/>
      <c r="E258" s="152"/>
      <c r="F258" s="152"/>
      <c r="G258" s="152"/>
      <c r="H258" s="62">
        <f>SUM(Table4[[#This Row],[BASIC]:[FOOD]])</f>
        <v>0</v>
      </c>
      <c r="I258" s="62"/>
      <c r="J258" s="62"/>
      <c r="K258" s="62"/>
      <c r="L258" s="62"/>
      <c r="M258" s="62"/>
      <c r="N258" s="62"/>
      <c r="O258" s="62">
        <f>SUM(Table4[[#This Row],[ESI BASIC]:[ESI FOOD]])</f>
        <v>0</v>
      </c>
      <c r="P258" s="160"/>
      <c r="Q258" s="160"/>
      <c r="R258" s="175"/>
      <c r="S258" s="167"/>
      <c r="T258" s="10">
        <f t="shared" si="18"/>
        <v>0</v>
      </c>
      <c r="U258" s="167"/>
      <c r="V258" s="10">
        <f t="shared" si="19"/>
        <v>0</v>
      </c>
      <c r="W258" s="10">
        <f t="shared" si="20"/>
        <v>0</v>
      </c>
      <c r="X258" s="170"/>
      <c r="Y258" s="177"/>
      <c r="Z258" s="168"/>
      <c r="AA258" s="177"/>
      <c r="AB258" s="168"/>
      <c r="AC258" s="177"/>
      <c r="AD258" s="168"/>
      <c r="AE258" s="177"/>
      <c r="AF258" s="168"/>
      <c r="AG258" s="177"/>
      <c r="AH258" s="168"/>
      <c r="AI258" s="177"/>
      <c r="AJ258" s="168"/>
      <c r="AK258" s="177"/>
      <c r="AL258" s="168"/>
      <c r="AM258" s="177"/>
      <c r="AN258" s="168"/>
      <c r="AO258" s="177"/>
      <c r="AP258" s="168"/>
      <c r="AQ258" s="177"/>
      <c r="AR258" s="168"/>
      <c r="AS258" s="177"/>
      <c r="AT258" s="168"/>
      <c r="AU258" s="177"/>
      <c r="AV258" s="168"/>
      <c r="AW258" s="177"/>
      <c r="AX258" s="168"/>
      <c r="AY258" s="177"/>
      <c r="AZ258" s="168"/>
      <c r="BA258" s="177"/>
      <c r="BB258" s="168"/>
      <c r="BC258" s="177"/>
      <c r="BD258" s="168"/>
      <c r="BE258" s="177"/>
      <c r="BF258" s="168"/>
      <c r="BG258" s="177"/>
      <c r="BH258" s="168"/>
      <c r="BI258" s="177"/>
      <c r="BJ258" s="168"/>
      <c r="BK258" s="177"/>
      <c r="BL258" s="168"/>
      <c r="BM258" s="177"/>
      <c r="BN258" s="168"/>
      <c r="BO258" s="177"/>
      <c r="BP258" s="168"/>
      <c r="BQ258" s="177"/>
      <c r="BR258" s="168"/>
      <c r="BS258" s="177"/>
      <c r="BT258" s="168"/>
      <c r="BU258" s="177"/>
      <c r="BV258" s="168"/>
      <c r="BW258" s="177"/>
      <c r="BX258" s="168"/>
      <c r="BY258" s="177"/>
      <c r="BZ258" s="168"/>
      <c r="CA258" s="177"/>
      <c r="CB258" s="168"/>
      <c r="CC258" s="177"/>
      <c r="CD258" s="168"/>
      <c r="CE258" s="177"/>
      <c r="CF258" s="168"/>
      <c r="CG258" s="187"/>
      <c r="CH258" s="183"/>
      <c r="CI258" s="185"/>
      <c r="CJ258" s="160"/>
      <c r="CK258" s="160"/>
      <c r="CL258" s="160"/>
      <c r="CM258" s="160"/>
      <c r="CN258" s="160"/>
      <c r="CO258" s="160"/>
      <c r="CP258" s="160"/>
      <c r="CQ258" s="160"/>
      <c r="CR258" s="160"/>
      <c r="CS258" s="179"/>
      <c r="CT258" s="160"/>
      <c r="CU258" s="160"/>
      <c r="CV258" s="160"/>
      <c r="CW258" s="160"/>
      <c r="CX258" s="160"/>
      <c r="CY258" s="160"/>
      <c r="CZ258" s="160"/>
      <c r="DA258" s="160"/>
      <c r="DB258" s="160"/>
      <c r="DC258" s="160"/>
      <c r="DD258" s="160"/>
      <c r="DE258" s="160"/>
      <c r="DF258" s="160"/>
      <c r="DG258" s="160"/>
      <c r="DH258" s="160"/>
      <c r="DI258" s="160"/>
      <c r="DJ258" s="160"/>
      <c r="DK258" s="160"/>
      <c r="DL258" s="160"/>
      <c r="DM258" s="160"/>
      <c r="DN258" s="160"/>
    </row>
    <row r="259" spans="1:118" hidden="1">
      <c r="A259" s="149"/>
      <c r="B259" s="150"/>
      <c r="C259" s="151"/>
      <c r="D259" s="152"/>
      <c r="E259" s="152"/>
      <c r="F259" s="152"/>
      <c r="G259" s="152"/>
      <c r="H259" s="62">
        <f>SUM(Table4[[#This Row],[BASIC]:[FOOD]])</f>
        <v>0</v>
      </c>
      <c r="I259" s="62"/>
      <c r="J259" s="62"/>
      <c r="K259" s="62"/>
      <c r="L259" s="62"/>
      <c r="M259" s="62"/>
      <c r="N259" s="62"/>
      <c r="O259" s="62">
        <f>SUM(Table4[[#This Row],[ESI BASIC]:[ESI FOOD]])</f>
        <v>0</v>
      </c>
      <c r="P259" s="160"/>
      <c r="Q259" s="160"/>
      <c r="R259" s="175"/>
      <c r="S259" s="167"/>
      <c r="T259" s="10">
        <f t="shared" si="18"/>
        <v>0</v>
      </c>
      <c r="U259" s="167"/>
      <c r="V259" s="10">
        <f t="shared" si="19"/>
        <v>0</v>
      </c>
      <c r="W259" s="10">
        <f t="shared" si="20"/>
        <v>0</v>
      </c>
      <c r="X259" s="170"/>
      <c r="Y259" s="177"/>
      <c r="Z259" s="168"/>
      <c r="AA259" s="177"/>
      <c r="AB259" s="168"/>
      <c r="AC259" s="177"/>
      <c r="AD259" s="168"/>
      <c r="AE259" s="177"/>
      <c r="AF259" s="168"/>
      <c r="AG259" s="177"/>
      <c r="AH259" s="168"/>
      <c r="AI259" s="177"/>
      <c r="AJ259" s="168"/>
      <c r="AK259" s="177"/>
      <c r="AL259" s="168"/>
      <c r="AM259" s="177"/>
      <c r="AN259" s="168"/>
      <c r="AO259" s="177"/>
      <c r="AP259" s="168"/>
      <c r="AQ259" s="177"/>
      <c r="AR259" s="168"/>
      <c r="AS259" s="177"/>
      <c r="AT259" s="168"/>
      <c r="AU259" s="177"/>
      <c r="AV259" s="168"/>
      <c r="AW259" s="177"/>
      <c r="AX259" s="168"/>
      <c r="AY259" s="177"/>
      <c r="AZ259" s="168"/>
      <c r="BA259" s="177"/>
      <c r="BB259" s="168"/>
      <c r="BC259" s="177"/>
      <c r="BD259" s="168"/>
      <c r="BE259" s="177"/>
      <c r="BF259" s="168"/>
      <c r="BG259" s="177"/>
      <c r="BH259" s="168"/>
      <c r="BI259" s="177"/>
      <c r="BJ259" s="168"/>
      <c r="BK259" s="177"/>
      <c r="BL259" s="168"/>
      <c r="BM259" s="177"/>
      <c r="BN259" s="168"/>
      <c r="BO259" s="177"/>
      <c r="BP259" s="168"/>
      <c r="BQ259" s="177"/>
      <c r="BR259" s="168"/>
      <c r="BS259" s="177"/>
      <c r="BT259" s="168"/>
      <c r="BU259" s="177"/>
      <c r="BV259" s="168"/>
      <c r="BW259" s="177"/>
      <c r="BX259" s="168"/>
      <c r="BY259" s="177"/>
      <c r="BZ259" s="168"/>
      <c r="CA259" s="177"/>
      <c r="CB259" s="168"/>
      <c r="CC259" s="177"/>
      <c r="CD259" s="168"/>
      <c r="CE259" s="177"/>
      <c r="CF259" s="168"/>
      <c r="CG259" s="187"/>
      <c r="CH259" s="183"/>
      <c r="CI259" s="185"/>
      <c r="CJ259" s="160"/>
      <c r="CK259" s="160"/>
      <c r="CL259" s="160"/>
      <c r="CM259" s="160"/>
      <c r="CN259" s="160"/>
      <c r="CO259" s="160"/>
      <c r="CP259" s="160"/>
      <c r="CQ259" s="160"/>
      <c r="CR259" s="160"/>
      <c r="CS259" s="179"/>
      <c r="CT259" s="160"/>
      <c r="CU259" s="160"/>
      <c r="CV259" s="160"/>
      <c r="CW259" s="160"/>
      <c r="CX259" s="160"/>
      <c r="CY259" s="160"/>
      <c r="CZ259" s="160"/>
      <c r="DA259" s="160"/>
      <c r="DB259" s="160"/>
      <c r="DC259" s="160"/>
      <c r="DD259" s="160"/>
      <c r="DE259" s="160"/>
      <c r="DF259" s="160"/>
      <c r="DG259" s="160"/>
      <c r="DH259" s="160"/>
      <c r="DI259" s="160"/>
      <c r="DJ259" s="160"/>
      <c r="DK259" s="160"/>
      <c r="DL259" s="160"/>
      <c r="DM259" s="160"/>
      <c r="DN259" s="160"/>
    </row>
    <row r="260" spans="1:118" hidden="1">
      <c r="A260" s="149"/>
      <c r="B260" s="150"/>
      <c r="C260" s="151"/>
      <c r="D260" s="152"/>
      <c r="E260" s="152"/>
      <c r="F260" s="152"/>
      <c r="G260" s="152"/>
      <c r="H260" s="62">
        <f>SUM(Table4[[#This Row],[BASIC]:[FOOD]])</f>
        <v>0</v>
      </c>
      <c r="I260" s="62"/>
      <c r="J260" s="62"/>
      <c r="K260" s="62"/>
      <c r="L260" s="62"/>
      <c r="M260" s="62"/>
      <c r="N260" s="62"/>
      <c r="O260" s="62">
        <f>SUM(Table4[[#This Row],[ESI BASIC]:[ESI FOOD]])</f>
        <v>0</v>
      </c>
      <c r="P260" s="160"/>
      <c r="Q260" s="160"/>
      <c r="R260" s="175"/>
      <c r="S260" s="167"/>
      <c r="T260" s="10">
        <f t="shared" si="18"/>
        <v>0</v>
      </c>
      <c r="U260" s="167"/>
      <c r="V260" s="10">
        <f t="shared" si="19"/>
        <v>0</v>
      </c>
      <c r="W260" s="10">
        <f t="shared" si="20"/>
        <v>0</v>
      </c>
      <c r="X260" s="170"/>
      <c r="Y260" s="177"/>
      <c r="Z260" s="168"/>
      <c r="AA260" s="177"/>
      <c r="AB260" s="168"/>
      <c r="AC260" s="177"/>
      <c r="AD260" s="168"/>
      <c r="AE260" s="177"/>
      <c r="AF260" s="168"/>
      <c r="AG260" s="177"/>
      <c r="AH260" s="168"/>
      <c r="AI260" s="177"/>
      <c r="AJ260" s="168"/>
      <c r="AK260" s="177"/>
      <c r="AL260" s="168"/>
      <c r="AM260" s="177"/>
      <c r="AN260" s="168"/>
      <c r="AO260" s="177"/>
      <c r="AP260" s="168"/>
      <c r="AQ260" s="177"/>
      <c r="AR260" s="168"/>
      <c r="AS260" s="177"/>
      <c r="AT260" s="168"/>
      <c r="AU260" s="177"/>
      <c r="AV260" s="168"/>
      <c r="AW260" s="177"/>
      <c r="AX260" s="168"/>
      <c r="AY260" s="177"/>
      <c r="AZ260" s="168"/>
      <c r="BA260" s="177"/>
      <c r="BB260" s="168"/>
      <c r="BC260" s="177"/>
      <c r="BD260" s="168"/>
      <c r="BE260" s="177"/>
      <c r="BF260" s="168"/>
      <c r="BG260" s="177"/>
      <c r="BH260" s="168"/>
      <c r="BI260" s="177"/>
      <c r="BJ260" s="168"/>
      <c r="BK260" s="177"/>
      <c r="BL260" s="168"/>
      <c r="BM260" s="177"/>
      <c r="BN260" s="168"/>
      <c r="BO260" s="177"/>
      <c r="BP260" s="168"/>
      <c r="BQ260" s="177"/>
      <c r="BR260" s="168"/>
      <c r="BS260" s="177"/>
      <c r="BT260" s="168"/>
      <c r="BU260" s="177"/>
      <c r="BV260" s="168"/>
      <c r="BW260" s="177"/>
      <c r="BX260" s="168"/>
      <c r="BY260" s="177"/>
      <c r="BZ260" s="168"/>
      <c r="CA260" s="177"/>
      <c r="CB260" s="168"/>
      <c r="CC260" s="177"/>
      <c r="CD260" s="168"/>
      <c r="CE260" s="177"/>
      <c r="CF260" s="168"/>
      <c r="CG260" s="187"/>
      <c r="CH260" s="183"/>
      <c r="CI260" s="185"/>
      <c r="CJ260" s="160"/>
      <c r="CK260" s="160"/>
      <c r="CL260" s="160"/>
      <c r="CM260" s="160"/>
      <c r="CN260" s="160"/>
      <c r="CO260" s="160"/>
      <c r="CP260" s="160"/>
      <c r="CQ260" s="160"/>
      <c r="CR260" s="160"/>
      <c r="CS260" s="179"/>
      <c r="CT260" s="160"/>
      <c r="CU260" s="160"/>
      <c r="CV260" s="160"/>
      <c r="CW260" s="160"/>
      <c r="CX260" s="160"/>
      <c r="CY260" s="160"/>
      <c r="CZ260" s="160"/>
      <c r="DA260" s="160"/>
      <c r="DB260" s="160"/>
      <c r="DC260" s="160"/>
      <c r="DD260" s="160"/>
      <c r="DE260" s="160"/>
      <c r="DF260" s="160"/>
      <c r="DG260" s="160"/>
      <c r="DH260" s="160"/>
      <c r="DI260" s="160"/>
      <c r="DJ260" s="160"/>
      <c r="DK260" s="160"/>
      <c r="DL260" s="160"/>
      <c r="DM260" s="160"/>
      <c r="DN260" s="160"/>
    </row>
    <row r="261" spans="1:118" hidden="1">
      <c r="A261" s="149"/>
      <c r="B261" s="150"/>
      <c r="C261" s="151"/>
      <c r="D261" s="152"/>
      <c r="E261" s="152"/>
      <c r="F261" s="152"/>
      <c r="G261" s="152"/>
      <c r="H261" s="62">
        <f>SUM(Table4[[#This Row],[BASIC]:[FOOD]])</f>
        <v>0</v>
      </c>
      <c r="I261" s="62"/>
      <c r="J261" s="62"/>
      <c r="K261" s="62"/>
      <c r="L261" s="62"/>
      <c r="M261" s="62"/>
      <c r="N261" s="62"/>
      <c r="O261" s="62">
        <f>SUM(Table4[[#This Row],[ESI BASIC]:[ESI FOOD]])</f>
        <v>0</v>
      </c>
      <c r="P261" s="160"/>
      <c r="Q261" s="160"/>
      <c r="R261" s="175"/>
      <c r="S261" s="167"/>
      <c r="T261" s="10">
        <f t="shared" si="18"/>
        <v>0</v>
      </c>
      <c r="U261" s="167"/>
      <c r="V261" s="10">
        <f t="shared" si="19"/>
        <v>0</v>
      </c>
      <c r="W261" s="10">
        <f t="shared" si="20"/>
        <v>0</v>
      </c>
      <c r="X261" s="170"/>
      <c r="Y261" s="177"/>
      <c r="Z261" s="168"/>
      <c r="AA261" s="177"/>
      <c r="AB261" s="168"/>
      <c r="AC261" s="177"/>
      <c r="AD261" s="168"/>
      <c r="AE261" s="177"/>
      <c r="AF261" s="168"/>
      <c r="AG261" s="177"/>
      <c r="AH261" s="168"/>
      <c r="AI261" s="177"/>
      <c r="AJ261" s="168"/>
      <c r="AK261" s="177"/>
      <c r="AL261" s="168"/>
      <c r="AM261" s="177"/>
      <c r="AN261" s="168"/>
      <c r="AO261" s="177"/>
      <c r="AP261" s="168"/>
      <c r="AQ261" s="177"/>
      <c r="AR261" s="168"/>
      <c r="AS261" s="177"/>
      <c r="AT261" s="168"/>
      <c r="AU261" s="177"/>
      <c r="AV261" s="168"/>
      <c r="AW261" s="177"/>
      <c r="AX261" s="168"/>
      <c r="AY261" s="177"/>
      <c r="AZ261" s="168"/>
      <c r="BA261" s="177"/>
      <c r="BB261" s="168"/>
      <c r="BC261" s="177"/>
      <c r="BD261" s="168"/>
      <c r="BE261" s="177"/>
      <c r="BF261" s="168"/>
      <c r="BG261" s="177"/>
      <c r="BH261" s="168"/>
      <c r="BI261" s="177"/>
      <c r="BJ261" s="168"/>
      <c r="BK261" s="177"/>
      <c r="BL261" s="168"/>
      <c r="BM261" s="177"/>
      <c r="BN261" s="168"/>
      <c r="BO261" s="177"/>
      <c r="BP261" s="168"/>
      <c r="BQ261" s="177"/>
      <c r="BR261" s="168"/>
      <c r="BS261" s="177"/>
      <c r="BT261" s="168"/>
      <c r="BU261" s="177"/>
      <c r="BV261" s="168"/>
      <c r="BW261" s="177"/>
      <c r="BX261" s="168"/>
      <c r="BY261" s="177"/>
      <c r="BZ261" s="168"/>
      <c r="CA261" s="177"/>
      <c r="CB261" s="168"/>
      <c r="CC261" s="177"/>
      <c r="CD261" s="168"/>
      <c r="CE261" s="177"/>
      <c r="CF261" s="168"/>
      <c r="CG261" s="187"/>
      <c r="CH261" s="183"/>
      <c r="CI261" s="185"/>
      <c r="CJ261" s="160"/>
      <c r="CK261" s="160"/>
      <c r="CL261" s="160"/>
      <c r="CM261" s="160"/>
      <c r="CN261" s="160"/>
      <c r="CO261" s="160"/>
      <c r="CP261" s="160"/>
      <c r="CQ261" s="160"/>
      <c r="CR261" s="160"/>
      <c r="CS261" s="179"/>
      <c r="CT261" s="160"/>
      <c r="CU261" s="160"/>
      <c r="CV261" s="160"/>
      <c r="CW261" s="160"/>
      <c r="CX261" s="160"/>
      <c r="CY261" s="160"/>
      <c r="CZ261" s="160"/>
      <c r="DA261" s="160"/>
      <c r="DB261" s="160"/>
      <c r="DC261" s="160"/>
      <c r="DD261" s="160"/>
      <c r="DE261" s="160"/>
      <c r="DF261" s="160"/>
      <c r="DG261" s="160"/>
      <c r="DH261" s="160"/>
      <c r="DI261" s="160"/>
      <c r="DJ261" s="160"/>
      <c r="DK261" s="160"/>
      <c r="DL261" s="160"/>
      <c r="DM261" s="160"/>
      <c r="DN261" s="160"/>
    </row>
    <row r="262" spans="1:118" hidden="1">
      <c r="A262" s="149"/>
      <c r="B262" s="150"/>
      <c r="C262" s="151"/>
      <c r="D262" s="152"/>
      <c r="E262" s="152"/>
      <c r="F262" s="152"/>
      <c r="G262" s="152"/>
      <c r="H262" s="62">
        <f>SUM(Table4[[#This Row],[BASIC]:[FOOD]])</f>
        <v>0</v>
      </c>
      <c r="I262" s="62"/>
      <c r="J262" s="62"/>
      <c r="K262" s="62"/>
      <c r="L262" s="62"/>
      <c r="M262" s="62"/>
      <c r="N262" s="62"/>
      <c r="O262" s="62">
        <f>SUM(Table4[[#This Row],[ESI BASIC]:[ESI FOOD]])</f>
        <v>0</v>
      </c>
      <c r="P262" s="160"/>
      <c r="Q262" s="160"/>
      <c r="R262" s="175"/>
      <c r="S262" s="167"/>
      <c r="T262" s="10">
        <f t="shared" si="18"/>
        <v>0</v>
      </c>
      <c r="U262" s="167"/>
      <c r="V262" s="10">
        <f t="shared" si="19"/>
        <v>0</v>
      </c>
      <c r="W262" s="10">
        <f t="shared" si="20"/>
        <v>0</v>
      </c>
      <c r="X262" s="170"/>
      <c r="Y262" s="177"/>
      <c r="Z262" s="168"/>
      <c r="AA262" s="177"/>
      <c r="AB262" s="168"/>
      <c r="AC262" s="177"/>
      <c r="AD262" s="168"/>
      <c r="AE262" s="177"/>
      <c r="AF262" s="168"/>
      <c r="AG262" s="177"/>
      <c r="AH262" s="168"/>
      <c r="AI262" s="177"/>
      <c r="AJ262" s="168"/>
      <c r="AK262" s="177"/>
      <c r="AL262" s="168"/>
      <c r="AM262" s="177"/>
      <c r="AN262" s="168"/>
      <c r="AO262" s="177"/>
      <c r="AP262" s="168"/>
      <c r="AQ262" s="177"/>
      <c r="AR262" s="168"/>
      <c r="AS262" s="177"/>
      <c r="AT262" s="168"/>
      <c r="AU262" s="177"/>
      <c r="AV262" s="168"/>
      <c r="AW262" s="177"/>
      <c r="AX262" s="168"/>
      <c r="AY262" s="177"/>
      <c r="AZ262" s="168"/>
      <c r="BA262" s="177"/>
      <c r="BB262" s="168"/>
      <c r="BC262" s="177"/>
      <c r="BD262" s="168"/>
      <c r="BE262" s="177"/>
      <c r="BF262" s="168"/>
      <c r="BG262" s="177"/>
      <c r="BH262" s="168"/>
      <c r="BI262" s="177"/>
      <c r="BJ262" s="168"/>
      <c r="BK262" s="177"/>
      <c r="BL262" s="168"/>
      <c r="BM262" s="177"/>
      <c r="BN262" s="168"/>
      <c r="BO262" s="177"/>
      <c r="BP262" s="168"/>
      <c r="BQ262" s="177"/>
      <c r="BR262" s="168"/>
      <c r="BS262" s="177"/>
      <c r="BT262" s="168"/>
      <c r="BU262" s="177"/>
      <c r="BV262" s="168"/>
      <c r="BW262" s="177"/>
      <c r="BX262" s="168"/>
      <c r="BY262" s="177"/>
      <c r="BZ262" s="168"/>
      <c r="CA262" s="177"/>
      <c r="CB262" s="168"/>
      <c r="CC262" s="177"/>
      <c r="CD262" s="168"/>
      <c r="CE262" s="177"/>
      <c r="CF262" s="168"/>
      <c r="CG262" s="187"/>
      <c r="CH262" s="183"/>
      <c r="CI262" s="185"/>
      <c r="CJ262" s="160"/>
      <c r="CK262" s="160"/>
      <c r="CL262" s="160"/>
      <c r="CM262" s="160"/>
      <c r="CN262" s="160"/>
      <c r="CO262" s="160"/>
      <c r="CP262" s="160"/>
      <c r="CQ262" s="160"/>
      <c r="CR262" s="160"/>
      <c r="CS262" s="179"/>
      <c r="CT262" s="160"/>
      <c r="CU262" s="160"/>
      <c r="CV262" s="160"/>
      <c r="CW262" s="160"/>
      <c r="CX262" s="160"/>
      <c r="CY262" s="160"/>
      <c r="CZ262" s="160"/>
      <c r="DA262" s="160"/>
      <c r="DB262" s="160"/>
      <c r="DC262" s="160"/>
      <c r="DD262" s="160"/>
      <c r="DE262" s="160"/>
      <c r="DF262" s="160"/>
      <c r="DG262" s="160"/>
      <c r="DH262" s="160"/>
      <c r="DI262" s="160"/>
      <c r="DJ262" s="160"/>
      <c r="DK262" s="160"/>
      <c r="DL262" s="160"/>
      <c r="DM262" s="160"/>
      <c r="DN262" s="160"/>
    </row>
    <row r="263" spans="1:118" hidden="1">
      <c r="A263" s="149"/>
      <c r="B263" s="150"/>
      <c r="C263" s="151"/>
      <c r="D263" s="152"/>
      <c r="E263" s="152"/>
      <c r="F263" s="152"/>
      <c r="G263" s="152"/>
      <c r="H263" s="62">
        <f>SUM(Table4[[#This Row],[BASIC]:[FOOD]])</f>
        <v>0</v>
      </c>
      <c r="I263" s="62"/>
      <c r="J263" s="62"/>
      <c r="K263" s="62"/>
      <c r="L263" s="62"/>
      <c r="M263" s="62"/>
      <c r="N263" s="62"/>
      <c r="O263" s="62">
        <f>SUM(Table4[[#This Row],[ESI BASIC]:[ESI FOOD]])</f>
        <v>0</v>
      </c>
      <c r="P263" s="160"/>
      <c r="Q263" s="160"/>
      <c r="R263" s="175"/>
      <c r="S263" s="167"/>
      <c r="T263" s="10">
        <f t="shared" si="18"/>
        <v>0</v>
      </c>
      <c r="U263" s="167"/>
      <c r="V263" s="10">
        <f t="shared" si="19"/>
        <v>0</v>
      </c>
      <c r="W263" s="10">
        <f t="shared" si="20"/>
        <v>0</v>
      </c>
      <c r="X263" s="170"/>
      <c r="Y263" s="177"/>
      <c r="Z263" s="168"/>
      <c r="AA263" s="177"/>
      <c r="AB263" s="168"/>
      <c r="AC263" s="177"/>
      <c r="AD263" s="168"/>
      <c r="AE263" s="177"/>
      <c r="AF263" s="168"/>
      <c r="AG263" s="177"/>
      <c r="AH263" s="168"/>
      <c r="AI263" s="177"/>
      <c r="AJ263" s="168"/>
      <c r="AK263" s="177"/>
      <c r="AL263" s="168"/>
      <c r="AM263" s="177"/>
      <c r="AN263" s="168"/>
      <c r="AO263" s="177"/>
      <c r="AP263" s="168"/>
      <c r="AQ263" s="177"/>
      <c r="AR263" s="168"/>
      <c r="AS263" s="177"/>
      <c r="AT263" s="168"/>
      <c r="AU263" s="177"/>
      <c r="AV263" s="168"/>
      <c r="AW263" s="177"/>
      <c r="AX263" s="168"/>
      <c r="AY263" s="177"/>
      <c r="AZ263" s="168"/>
      <c r="BA263" s="177"/>
      <c r="BB263" s="168"/>
      <c r="BC263" s="177"/>
      <c r="BD263" s="168"/>
      <c r="BE263" s="177"/>
      <c r="BF263" s="168"/>
      <c r="BG263" s="177"/>
      <c r="BH263" s="168"/>
      <c r="BI263" s="177"/>
      <c r="BJ263" s="168"/>
      <c r="BK263" s="177"/>
      <c r="BL263" s="168"/>
      <c r="BM263" s="177"/>
      <c r="BN263" s="168"/>
      <c r="BO263" s="177"/>
      <c r="BP263" s="168"/>
      <c r="BQ263" s="177"/>
      <c r="BR263" s="168"/>
      <c r="BS263" s="177"/>
      <c r="BT263" s="168"/>
      <c r="BU263" s="177"/>
      <c r="BV263" s="168"/>
      <c r="BW263" s="177"/>
      <c r="BX263" s="168"/>
      <c r="BY263" s="177"/>
      <c r="BZ263" s="168"/>
      <c r="CA263" s="177"/>
      <c r="CB263" s="168"/>
      <c r="CC263" s="177"/>
      <c r="CD263" s="168"/>
      <c r="CE263" s="177"/>
      <c r="CF263" s="168"/>
      <c r="CG263" s="187"/>
      <c r="CH263" s="183"/>
      <c r="CI263" s="185"/>
      <c r="CJ263" s="160"/>
      <c r="CK263" s="160"/>
      <c r="CL263" s="160"/>
      <c r="CM263" s="160"/>
      <c r="CN263" s="160"/>
      <c r="CO263" s="160"/>
      <c r="CP263" s="160"/>
      <c r="CQ263" s="160"/>
      <c r="CR263" s="160"/>
      <c r="CS263" s="179"/>
      <c r="CT263" s="160"/>
      <c r="CU263" s="160"/>
      <c r="CV263" s="160"/>
      <c r="CW263" s="160"/>
      <c r="CX263" s="160"/>
      <c r="CY263" s="160"/>
      <c r="CZ263" s="160"/>
      <c r="DA263" s="160"/>
      <c r="DB263" s="160"/>
      <c r="DC263" s="160"/>
      <c r="DD263" s="160"/>
      <c r="DE263" s="160"/>
      <c r="DF263" s="160"/>
      <c r="DG263" s="160"/>
      <c r="DH263" s="160"/>
      <c r="DI263" s="160"/>
      <c r="DJ263" s="160"/>
      <c r="DK263" s="160"/>
      <c r="DL263" s="160"/>
      <c r="DM263" s="160"/>
      <c r="DN263" s="160"/>
    </row>
    <row r="264" spans="1:118" hidden="1">
      <c r="A264" s="149"/>
      <c r="B264" s="150"/>
      <c r="C264" s="151"/>
      <c r="D264" s="152"/>
      <c r="E264" s="152"/>
      <c r="F264" s="152"/>
      <c r="G264" s="152"/>
      <c r="H264" s="62">
        <f>SUM(Table4[[#This Row],[BASIC]:[FOOD]])</f>
        <v>0</v>
      </c>
      <c r="I264" s="62"/>
      <c r="J264" s="62"/>
      <c r="K264" s="62"/>
      <c r="L264" s="62"/>
      <c r="M264" s="62"/>
      <c r="N264" s="62"/>
      <c r="O264" s="62">
        <f>SUM(Table4[[#This Row],[ESI BASIC]:[ESI FOOD]])</f>
        <v>0</v>
      </c>
      <c r="P264" s="160"/>
      <c r="Q264" s="160"/>
      <c r="R264" s="175"/>
      <c r="S264" s="167"/>
      <c r="T264" s="10">
        <f t="shared" si="18"/>
        <v>0</v>
      </c>
      <c r="U264" s="167"/>
      <c r="V264" s="10">
        <f t="shared" si="19"/>
        <v>0</v>
      </c>
      <c r="W264" s="10">
        <f t="shared" si="20"/>
        <v>0</v>
      </c>
      <c r="X264" s="170"/>
      <c r="Y264" s="177"/>
      <c r="Z264" s="168"/>
      <c r="AA264" s="177"/>
      <c r="AB264" s="168"/>
      <c r="AC264" s="177"/>
      <c r="AD264" s="168"/>
      <c r="AE264" s="177"/>
      <c r="AF264" s="168"/>
      <c r="AG264" s="177"/>
      <c r="AH264" s="168"/>
      <c r="AI264" s="177"/>
      <c r="AJ264" s="168"/>
      <c r="AK264" s="177"/>
      <c r="AL264" s="168"/>
      <c r="AM264" s="177"/>
      <c r="AN264" s="168"/>
      <c r="AO264" s="177"/>
      <c r="AP264" s="168"/>
      <c r="AQ264" s="177"/>
      <c r="AR264" s="168"/>
      <c r="AS264" s="177"/>
      <c r="AT264" s="168"/>
      <c r="AU264" s="177"/>
      <c r="AV264" s="168"/>
      <c r="AW264" s="177"/>
      <c r="AX264" s="168"/>
      <c r="AY264" s="177"/>
      <c r="AZ264" s="168"/>
      <c r="BA264" s="177"/>
      <c r="BB264" s="168"/>
      <c r="BC264" s="177"/>
      <c r="BD264" s="168"/>
      <c r="BE264" s="177"/>
      <c r="BF264" s="168"/>
      <c r="BG264" s="177"/>
      <c r="BH264" s="168"/>
      <c r="BI264" s="177"/>
      <c r="BJ264" s="168"/>
      <c r="BK264" s="177"/>
      <c r="BL264" s="168"/>
      <c r="BM264" s="177"/>
      <c r="BN264" s="168"/>
      <c r="BO264" s="177"/>
      <c r="BP264" s="168"/>
      <c r="BQ264" s="177"/>
      <c r="BR264" s="168"/>
      <c r="BS264" s="177"/>
      <c r="BT264" s="168"/>
      <c r="BU264" s="177"/>
      <c r="BV264" s="168"/>
      <c r="BW264" s="177"/>
      <c r="BX264" s="168"/>
      <c r="BY264" s="177"/>
      <c r="BZ264" s="168"/>
      <c r="CA264" s="177"/>
      <c r="CB264" s="168"/>
      <c r="CC264" s="177"/>
      <c r="CD264" s="168"/>
      <c r="CE264" s="177"/>
      <c r="CF264" s="168"/>
      <c r="CG264" s="187"/>
      <c r="CH264" s="183"/>
      <c r="CI264" s="185"/>
      <c r="CJ264" s="160"/>
      <c r="CK264" s="160"/>
      <c r="CL264" s="160"/>
      <c r="CM264" s="160"/>
      <c r="CN264" s="160"/>
      <c r="CO264" s="160"/>
      <c r="CP264" s="160"/>
      <c r="CQ264" s="160"/>
      <c r="CR264" s="160"/>
      <c r="CS264" s="179"/>
      <c r="CT264" s="160"/>
      <c r="CU264" s="160"/>
      <c r="CV264" s="160"/>
      <c r="CW264" s="160"/>
      <c r="CX264" s="160"/>
      <c r="CY264" s="160"/>
      <c r="CZ264" s="160"/>
      <c r="DA264" s="160"/>
      <c r="DB264" s="160"/>
      <c r="DC264" s="160"/>
      <c r="DD264" s="160"/>
      <c r="DE264" s="160"/>
      <c r="DF264" s="160"/>
      <c r="DG264" s="160"/>
      <c r="DH264" s="160"/>
      <c r="DI264" s="160"/>
      <c r="DJ264" s="160"/>
      <c r="DK264" s="160"/>
      <c r="DL264" s="160"/>
      <c r="DM264" s="160"/>
      <c r="DN264" s="160"/>
    </row>
    <row r="265" spans="1:118" hidden="1">
      <c r="A265" s="149"/>
      <c r="B265" s="150"/>
      <c r="C265" s="151"/>
      <c r="D265" s="152"/>
      <c r="E265" s="152"/>
      <c r="F265" s="152"/>
      <c r="G265" s="152"/>
      <c r="H265" s="62">
        <f>SUM(Table4[[#This Row],[BASIC]:[FOOD]])</f>
        <v>0</v>
      </c>
      <c r="I265" s="62"/>
      <c r="J265" s="62"/>
      <c r="K265" s="62"/>
      <c r="L265" s="62"/>
      <c r="M265" s="62"/>
      <c r="N265" s="62"/>
      <c r="O265" s="62">
        <f>SUM(Table4[[#This Row],[ESI BASIC]:[ESI FOOD]])</f>
        <v>0</v>
      </c>
      <c r="P265" s="160"/>
      <c r="Q265" s="160"/>
      <c r="R265" s="175"/>
      <c r="S265" s="167"/>
      <c r="T265" s="10">
        <f t="shared" si="18"/>
        <v>0</v>
      </c>
      <c r="U265" s="167"/>
      <c r="V265" s="10">
        <f t="shared" si="19"/>
        <v>0</v>
      </c>
      <c r="W265" s="10">
        <f t="shared" si="20"/>
        <v>0</v>
      </c>
      <c r="X265" s="170"/>
      <c r="Y265" s="177"/>
      <c r="Z265" s="168"/>
      <c r="AA265" s="177"/>
      <c r="AB265" s="168"/>
      <c r="AC265" s="177"/>
      <c r="AD265" s="168"/>
      <c r="AE265" s="177"/>
      <c r="AF265" s="168"/>
      <c r="AG265" s="177"/>
      <c r="AH265" s="168"/>
      <c r="AI265" s="177"/>
      <c r="AJ265" s="168"/>
      <c r="AK265" s="177"/>
      <c r="AL265" s="168"/>
      <c r="AM265" s="177"/>
      <c r="AN265" s="168"/>
      <c r="AO265" s="177"/>
      <c r="AP265" s="168"/>
      <c r="AQ265" s="177"/>
      <c r="AR265" s="168"/>
      <c r="AS265" s="177"/>
      <c r="AT265" s="168"/>
      <c r="AU265" s="177"/>
      <c r="AV265" s="168"/>
      <c r="AW265" s="177"/>
      <c r="AX265" s="168"/>
      <c r="AY265" s="177"/>
      <c r="AZ265" s="168"/>
      <c r="BA265" s="177"/>
      <c r="BB265" s="168"/>
      <c r="BC265" s="177"/>
      <c r="BD265" s="168"/>
      <c r="BE265" s="177"/>
      <c r="BF265" s="168"/>
      <c r="BG265" s="177"/>
      <c r="BH265" s="168"/>
      <c r="BI265" s="177"/>
      <c r="BJ265" s="168"/>
      <c r="BK265" s="177"/>
      <c r="BL265" s="168"/>
      <c r="BM265" s="177"/>
      <c r="BN265" s="168"/>
      <c r="BO265" s="177"/>
      <c r="BP265" s="168"/>
      <c r="BQ265" s="177"/>
      <c r="BR265" s="168"/>
      <c r="BS265" s="177"/>
      <c r="BT265" s="168"/>
      <c r="BU265" s="177"/>
      <c r="BV265" s="168"/>
      <c r="BW265" s="177"/>
      <c r="BX265" s="168"/>
      <c r="BY265" s="177"/>
      <c r="BZ265" s="168"/>
      <c r="CA265" s="177"/>
      <c r="CB265" s="168"/>
      <c r="CC265" s="177"/>
      <c r="CD265" s="168"/>
      <c r="CE265" s="177"/>
      <c r="CF265" s="168"/>
      <c r="CG265" s="187"/>
      <c r="CH265" s="183"/>
      <c r="CI265" s="185"/>
      <c r="CJ265" s="160"/>
      <c r="CK265" s="160"/>
      <c r="CL265" s="160"/>
      <c r="CM265" s="160"/>
      <c r="CN265" s="160"/>
      <c r="CO265" s="160"/>
      <c r="CP265" s="160"/>
      <c r="CQ265" s="160"/>
      <c r="CR265" s="160"/>
      <c r="CS265" s="179"/>
      <c r="CT265" s="160"/>
      <c r="CU265" s="160"/>
      <c r="CV265" s="160"/>
      <c r="CW265" s="160"/>
      <c r="CX265" s="160"/>
      <c r="CY265" s="160"/>
      <c r="CZ265" s="160"/>
      <c r="DA265" s="160"/>
      <c r="DB265" s="160"/>
      <c r="DC265" s="160"/>
      <c r="DD265" s="160"/>
      <c r="DE265" s="160"/>
      <c r="DF265" s="160"/>
      <c r="DG265" s="160"/>
      <c r="DH265" s="160"/>
      <c r="DI265" s="160"/>
      <c r="DJ265" s="160"/>
      <c r="DK265" s="160"/>
      <c r="DL265" s="160"/>
      <c r="DM265" s="160"/>
      <c r="DN265" s="160"/>
    </row>
    <row r="266" spans="1:118" hidden="1">
      <c r="A266" s="149"/>
      <c r="B266" s="150"/>
      <c r="C266" s="151"/>
      <c r="D266" s="152"/>
      <c r="E266" s="152"/>
      <c r="F266" s="152"/>
      <c r="G266" s="152"/>
      <c r="H266" s="62">
        <f>SUM(Table4[[#This Row],[BASIC]:[FOOD]])</f>
        <v>0</v>
      </c>
      <c r="I266" s="62"/>
      <c r="J266" s="62"/>
      <c r="K266" s="62"/>
      <c r="L266" s="62"/>
      <c r="M266" s="62"/>
      <c r="N266" s="62"/>
      <c r="O266" s="62">
        <f>SUM(Table4[[#This Row],[ESI BASIC]:[ESI FOOD]])</f>
        <v>0</v>
      </c>
      <c r="P266" s="160"/>
      <c r="Q266" s="160"/>
      <c r="R266" s="175"/>
      <c r="S266" s="167"/>
      <c r="T266" s="10">
        <f t="shared" si="18"/>
        <v>0</v>
      </c>
      <c r="U266" s="167"/>
      <c r="V266" s="10">
        <f t="shared" si="19"/>
        <v>0</v>
      </c>
      <c r="W266" s="10">
        <f t="shared" si="20"/>
        <v>0</v>
      </c>
      <c r="X266" s="170"/>
      <c r="Y266" s="177"/>
      <c r="Z266" s="168"/>
      <c r="AA266" s="177"/>
      <c r="AB266" s="168"/>
      <c r="AC266" s="177"/>
      <c r="AD266" s="168"/>
      <c r="AE266" s="177"/>
      <c r="AF266" s="168"/>
      <c r="AG266" s="177"/>
      <c r="AH266" s="168"/>
      <c r="AI266" s="177"/>
      <c r="AJ266" s="168"/>
      <c r="AK266" s="177"/>
      <c r="AL266" s="168"/>
      <c r="AM266" s="177"/>
      <c r="AN266" s="168"/>
      <c r="AO266" s="177"/>
      <c r="AP266" s="168"/>
      <c r="AQ266" s="177"/>
      <c r="AR266" s="168"/>
      <c r="AS266" s="177"/>
      <c r="AT266" s="168"/>
      <c r="AU266" s="177"/>
      <c r="AV266" s="168"/>
      <c r="AW266" s="177"/>
      <c r="AX266" s="168"/>
      <c r="AY266" s="177"/>
      <c r="AZ266" s="168"/>
      <c r="BA266" s="177"/>
      <c r="BB266" s="168"/>
      <c r="BC266" s="177"/>
      <c r="BD266" s="168"/>
      <c r="BE266" s="177"/>
      <c r="BF266" s="168"/>
      <c r="BG266" s="177"/>
      <c r="BH266" s="168"/>
      <c r="BI266" s="177"/>
      <c r="BJ266" s="168"/>
      <c r="BK266" s="177"/>
      <c r="BL266" s="168"/>
      <c r="BM266" s="177"/>
      <c r="BN266" s="168"/>
      <c r="BO266" s="177"/>
      <c r="BP266" s="168"/>
      <c r="BQ266" s="177"/>
      <c r="BR266" s="168"/>
      <c r="BS266" s="177"/>
      <c r="BT266" s="168"/>
      <c r="BU266" s="177"/>
      <c r="BV266" s="168"/>
      <c r="BW266" s="177"/>
      <c r="BX266" s="168"/>
      <c r="BY266" s="177"/>
      <c r="BZ266" s="168"/>
      <c r="CA266" s="177"/>
      <c r="CB266" s="168"/>
      <c r="CC266" s="177"/>
      <c r="CD266" s="168"/>
      <c r="CE266" s="177"/>
      <c r="CF266" s="168"/>
      <c r="CG266" s="187"/>
      <c r="CH266" s="183"/>
      <c r="CI266" s="185"/>
      <c r="CJ266" s="160"/>
      <c r="CK266" s="160"/>
      <c r="CL266" s="160"/>
      <c r="CM266" s="160"/>
      <c r="CN266" s="160"/>
      <c r="CO266" s="160"/>
      <c r="CP266" s="160"/>
      <c r="CQ266" s="160"/>
      <c r="CR266" s="160"/>
      <c r="CS266" s="179"/>
      <c r="CT266" s="160"/>
      <c r="CU266" s="160"/>
      <c r="CV266" s="160"/>
      <c r="CW266" s="160"/>
      <c r="CX266" s="160"/>
      <c r="CY266" s="160"/>
      <c r="CZ266" s="160"/>
      <c r="DA266" s="160"/>
      <c r="DB266" s="160"/>
      <c r="DC266" s="160"/>
      <c r="DD266" s="160"/>
      <c r="DE266" s="160"/>
      <c r="DF266" s="160"/>
      <c r="DG266" s="160"/>
      <c r="DH266" s="160"/>
      <c r="DI266" s="160"/>
      <c r="DJ266" s="160"/>
      <c r="DK266" s="160"/>
      <c r="DL266" s="160"/>
      <c r="DM266" s="160"/>
      <c r="DN266" s="160"/>
    </row>
    <row r="267" spans="1:118" hidden="1">
      <c r="A267" s="149"/>
      <c r="B267" s="150"/>
      <c r="C267" s="151"/>
      <c r="D267" s="152"/>
      <c r="E267" s="152"/>
      <c r="F267" s="152"/>
      <c r="G267" s="152"/>
      <c r="H267" s="62">
        <f>SUM(Table4[[#This Row],[BASIC]:[FOOD]])</f>
        <v>0</v>
      </c>
      <c r="I267" s="62"/>
      <c r="J267" s="62"/>
      <c r="K267" s="62"/>
      <c r="L267" s="62"/>
      <c r="M267" s="62"/>
      <c r="N267" s="62"/>
      <c r="O267" s="62">
        <f>SUM(Table4[[#This Row],[ESI BASIC]:[ESI FOOD]])</f>
        <v>0</v>
      </c>
      <c r="P267" s="160"/>
      <c r="Q267" s="160"/>
      <c r="R267" s="175"/>
      <c r="S267" s="167"/>
      <c r="T267" s="10">
        <f t="shared" si="18"/>
        <v>0</v>
      </c>
      <c r="U267" s="167"/>
      <c r="V267" s="10">
        <f t="shared" si="19"/>
        <v>0</v>
      </c>
      <c r="W267" s="10">
        <f t="shared" si="20"/>
        <v>0</v>
      </c>
      <c r="X267" s="170"/>
      <c r="Y267" s="177"/>
      <c r="Z267" s="168"/>
      <c r="AA267" s="177"/>
      <c r="AB267" s="168"/>
      <c r="AC267" s="177"/>
      <c r="AD267" s="168"/>
      <c r="AE267" s="177"/>
      <c r="AF267" s="168"/>
      <c r="AG267" s="177"/>
      <c r="AH267" s="168"/>
      <c r="AI267" s="177"/>
      <c r="AJ267" s="168"/>
      <c r="AK267" s="177"/>
      <c r="AL267" s="168"/>
      <c r="AM267" s="177"/>
      <c r="AN267" s="168"/>
      <c r="AO267" s="177"/>
      <c r="AP267" s="168"/>
      <c r="AQ267" s="177"/>
      <c r="AR267" s="168"/>
      <c r="AS267" s="177"/>
      <c r="AT267" s="168"/>
      <c r="AU267" s="177"/>
      <c r="AV267" s="168"/>
      <c r="AW267" s="177"/>
      <c r="AX267" s="168"/>
      <c r="AY267" s="177"/>
      <c r="AZ267" s="168"/>
      <c r="BA267" s="177"/>
      <c r="BB267" s="168"/>
      <c r="BC267" s="177"/>
      <c r="BD267" s="168"/>
      <c r="BE267" s="177"/>
      <c r="BF267" s="168"/>
      <c r="BG267" s="177"/>
      <c r="BH267" s="168"/>
      <c r="BI267" s="177"/>
      <c r="BJ267" s="168"/>
      <c r="BK267" s="177"/>
      <c r="BL267" s="168"/>
      <c r="BM267" s="177"/>
      <c r="BN267" s="168"/>
      <c r="BO267" s="177"/>
      <c r="BP267" s="168"/>
      <c r="BQ267" s="177"/>
      <c r="BR267" s="168"/>
      <c r="BS267" s="177"/>
      <c r="BT267" s="168"/>
      <c r="BU267" s="177"/>
      <c r="BV267" s="168"/>
      <c r="BW267" s="177"/>
      <c r="BX267" s="168"/>
      <c r="BY267" s="177"/>
      <c r="BZ267" s="168"/>
      <c r="CA267" s="177"/>
      <c r="CB267" s="168"/>
      <c r="CC267" s="177"/>
      <c r="CD267" s="168"/>
      <c r="CE267" s="177"/>
      <c r="CF267" s="168"/>
      <c r="CG267" s="187"/>
      <c r="CH267" s="183"/>
      <c r="CI267" s="185"/>
      <c r="CJ267" s="160"/>
      <c r="CK267" s="160"/>
      <c r="CL267" s="160"/>
      <c r="CM267" s="160"/>
      <c r="CN267" s="160"/>
      <c r="CO267" s="160"/>
      <c r="CP267" s="160"/>
      <c r="CQ267" s="160"/>
      <c r="CR267" s="160"/>
      <c r="CS267" s="179"/>
      <c r="CT267" s="160"/>
      <c r="CU267" s="160"/>
      <c r="CV267" s="160"/>
      <c r="CW267" s="160"/>
      <c r="CX267" s="160"/>
      <c r="CY267" s="160"/>
      <c r="CZ267" s="160"/>
      <c r="DA267" s="160"/>
      <c r="DB267" s="160"/>
      <c r="DC267" s="160"/>
      <c r="DD267" s="160"/>
      <c r="DE267" s="160"/>
      <c r="DF267" s="160"/>
      <c r="DG267" s="160"/>
      <c r="DH267" s="160"/>
      <c r="DI267" s="160"/>
      <c r="DJ267" s="160"/>
      <c r="DK267" s="160"/>
      <c r="DL267" s="160"/>
      <c r="DM267" s="160"/>
      <c r="DN267" s="160"/>
    </row>
    <row r="268" spans="1:118" hidden="1">
      <c r="A268" s="149"/>
      <c r="B268" s="150"/>
      <c r="C268" s="151"/>
      <c r="D268" s="152"/>
      <c r="E268" s="152"/>
      <c r="F268" s="152"/>
      <c r="G268" s="152"/>
      <c r="H268" s="62">
        <f>SUM(Table4[[#This Row],[BASIC]:[FOOD]])</f>
        <v>0</v>
      </c>
      <c r="I268" s="62"/>
      <c r="J268" s="62"/>
      <c r="K268" s="62"/>
      <c r="L268" s="62"/>
      <c r="M268" s="62"/>
      <c r="N268" s="62"/>
      <c r="O268" s="62">
        <f>SUM(Table4[[#This Row],[ESI BASIC]:[ESI FOOD]])</f>
        <v>0</v>
      </c>
      <c r="P268" s="160"/>
      <c r="Q268" s="160"/>
      <c r="R268" s="175"/>
      <c r="S268" s="167"/>
      <c r="T268" s="10">
        <f t="shared" si="18"/>
        <v>0</v>
      </c>
      <c r="U268" s="167"/>
      <c r="V268" s="10">
        <f t="shared" si="19"/>
        <v>0</v>
      </c>
      <c r="W268" s="10">
        <f t="shared" si="20"/>
        <v>0</v>
      </c>
      <c r="X268" s="170"/>
      <c r="Y268" s="177"/>
      <c r="Z268" s="168"/>
      <c r="AA268" s="177"/>
      <c r="AB268" s="168"/>
      <c r="AC268" s="177"/>
      <c r="AD268" s="168"/>
      <c r="AE268" s="177"/>
      <c r="AF268" s="168"/>
      <c r="AG268" s="177"/>
      <c r="AH268" s="168"/>
      <c r="AI268" s="177"/>
      <c r="AJ268" s="168"/>
      <c r="AK268" s="177"/>
      <c r="AL268" s="168"/>
      <c r="AM268" s="177"/>
      <c r="AN268" s="168"/>
      <c r="AO268" s="177"/>
      <c r="AP268" s="168"/>
      <c r="AQ268" s="177"/>
      <c r="AR268" s="168"/>
      <c r="AS268" s="177"/>
      <c r="AT268" s="168"/>
      <c r="AU268" s="177"/>
      <c r="AV268" s="168"/>
      <c r="AW268" s="177"/>
      <c r="AX268" s="168"/>
      <c r="AY268" s="177"/>
      <c r="AZ268" s="168"/>
      <c r="BA268" s="177"/>
      <c r="BB268" s="168"/>
      <c r="BC268" s="177"/>
      <c r="BD268" s="168"/>
      <c r="BE268" s="177"/>
      <c r="BF268" s="168"/>
      <c r="BG268" s="177"/>
      <c r="BH268" s="168"/>
      <c r="BI268" s="177"/>
      <c r="BJ268" s="168"/>
      <c r="BK268" s="177"/>
      <c r="BL268" s="168"/>
      <c r="BM268" s="177"/>
      <c r="BN268" s="168"/>
      <c r="BO268" s="177"/>
      <c r="BP268" s="168"/>
      <c r="BQ268" s="177"/>
      <c r="BR268" s="168"/>
      <c r="BS268" s="177"/>
      <c r="BT268" s="168"/>
      <c r="BU268" s="177"/>
      <c r="BV268" s="168"/>
      <c r="BW268" s="177"/>
      <c r="BX268" s="168"/>
      <c r="BY268" s="177"/>
      <c r="BZ268" s="168"/>
      <c r="CA268" s="177"/>
      <c r="CB268" s="168"/>
      <c r="CC268" s="177"/>
      <c r="CD268" s="168"/>
      <c r="CE268" s="177"/>
      <c r="CF268" s="168"/>
      <c r="CG268" s="187"/>
      <c r="CH268" s="183"/>
      <c r="CI268" s="185"/>
      <c r="CJ268" s="160"/>
      <c r="CK268" s="160"/>
      <c r="CL268" s="160"/>
      <c r="CM268" s="160"/>
      <c r="CN268" s="160"/>
      <c r="CO268" s="160"/>
      <c r="CP268" s="160"/>
      <c r="CQ268" s="160"/>
      <c r="CR268" s="160"/>
      <c r="CS268" s="179"/>
      <c r="CT268" s="160"/>
      <c r="CU268" s="160"/>
      <c r="CV268" s="160"/>
      <c r="CW268" s="160"/>
      <c r="CX268" s="160"/>
      <c r="CY268" s="160"/>
      <c r="CZ268" s="160"/>
      <c r="DA268" s="160"/>
      <c r="DB268" s="160"/>
      <c r="DC268" s="160"/>
      <c r="DD268" s="160"/>
      <c r="DE268" s="160"/>
      <c r="DF268" s="160"/>
      <c r="DG268" s="160"/>
      <c r="DH268" s="160"/>
      <c r="DI268" s="160"/>
      <c r="DJ268" s="160"/>
      <c r="DK268" s="160"/>
      <c r="DL268" s="160"/>
      <c r="DM268" s="160"/>
      <c r="DN268" s="160"/>
    </row>
    <row r="269" spans="1:118" hidden="1">
      <c r="A269" s="149"/>
      <c r="B269" s="150"/>
      <c r="C269" s="151"/>
      <c r="D269" s="152"/>
      <c r="E269" s="152"/>
      <c r="F269" s="152"/>
      <c r="G269" s="152"/>
      <c r="H269" s="62">
        <f>SUM(Table4[[#This Row],[BASIC]:[FOOD]])</f>
        <v>0</v>
      </c>
      <c r="I269" s="62"/>
      <c r="J269" s="62"/>
      <c r="K269" s="62"/>
      <c r="L269" s="62"/>
      <c r="M269" s="62"/>
      <c r="N269" s="62"/>
      <c r="O269" s="62">
        <f>SUM(Table4[[#This Row],[ESI BASIC]:[ESI FOOD]])</f>
        <v>0</v>
      </c>
      <c r="P269" s="160"/>
      <c r="Q269" s="160"/>
      <c r="R269" s="175"/>
      <c r="S269" s="167"/>
      <c r="T269" s="10">
        <f t="shared" si="18"/>
        <v>0</v>
      </c>
      <c r="U269" s="167"/>
      <c r="V269" s="10">
        <f t="shared" si="19"/>
        <v>0</v>
      </c>
      <c r="W269" s="10">
        <f t="shared" si="20"/>
        <v>0</v>
      </c>
      <c r="X269" s="170"/>
      <c r="Y269" s="177"/>
      <c r="Z269" s="168"/>
      <c r="AA269" s="177"/>
      <c r="AB269" s="168"/>
      <c r="AC269" s="177"/>
      <c r="AD269" s="168"/>
      <c r="AE269" s="177"/>
      <c r="AF269" s="168"/>
      <c r="AG269" s="177"/>
      <c r="AH269" s="168"/>
      <c r="AI269" s="177"/>
      <c r="AJ269" s="168"/>
      <c r="AK269" s="177"/>
      <c r="AL269" s="168"/>
      <c r="AM269" s="177"/>
      <c r="AN269" s="168"/>
      <c r="AO269" s="177"/>
      <c r="AP269" s="168"/>
      <c r="AQ269" s="177"/>
      <c r="AR269" s="168"/>
      <c r="AS269" s="177"/>
      <c r="AT269" s="168"/>
      <c r="AU269" s="177"/>
      <c r="AV269" s="168"/>
      <c r="AW269" s="177"/>
      <c r="AX269" s="168"/>
      <c r="AY269" s="177"/>
      <c r="AZ269" s="168"/>
      <c r="BA269" s="177"/>
      <c r="BB269" s="168"/>
      <c r="BC269" s="177"/>
      <c r="BD269" s="168"/>
      <c r="BE269" s="177"/>
      <c r="BF269" s="168"/>
      <c r="BG269" s="177"/>
      <c r="BH269" s="168"/>
      <c r="BI269" s="177"/>
      <c r="BJ269" s="168"/>
      <c r="BK269" s="177"/>
      <c r="BL269" s="168"/>
      <c r="BM269" s="177"/>
      <c r="BN269" s="168"/>
      <c r="BO269" s="177"/>
      <c r="BP269" s="168"/>
      <c r="BQ269" s="177"/>
      <c r="BR269" s="168"/>
      <c r="BS269" s="177"/>
      <c r="BT269" s="168"/>
      <c r="BU269" s="177"/>
      <c r="BV269" s="168"/>
      <c r="BW269" s="177"/>
      <c r="BX269" s="168"/>
      <c r="BY269" s="177"/>
      <c r="BZ269" s="168"/>
      <c r="CA269" s="177"/>
      <c r="CB269" s="168"/>
      <c r="CC269" s="177"/>
      <c r="CD269" s="168"/>
      <c r="CE269" s="177"/>
      <c r="CF269" s="168"/>
      <c r="CG269" s="187"/>
      <c r="CH269" s="183"/>
      <c r="CI269" s="185"/>
      <c r="CJ269" s="160"/>
      <c r="CK269" s="160"/>
      <c r="CL269" s="160"/>
      <c r="CM269" s="160"/>
      <c r="CN269" s="160"/>
      <c r="CO269" s="160"/>
      <c r="CP269" s="160"/>
      <c r="CQ269" s="160"/>
      <c r="CR269" s="160"/>
      <c r="CS269" s="179"/>
      <c r="CT269" s="160"/>
      <c r="CU269" s="160"/>
      <c r="CV269" s="160"/>
      <c r="CW269" s="160"/>
      <c r="CX269" s="160"/>
      <c r="CY269" s="160"/>
      <c r="CZ269" s="160"/>
      <c r="DA269" s="160"/>
      <c r="DB269" s="160"/>
      <c r="DC269" s="160"/>
      <c r="DD269" s="160"/>
      <c r="DE269" s="160"/>
      <c r="DF269" s="160"/>
      <c r="DG269" s="160"/>
      <c r="DH269" s="160"/>
      <c r="DI269" s="160"/>
      <c r="DJ269" s="160"/>
      <c r="DK269" s="160"/>
      <c r="DL269" s="160"/>
      <c r="DM269" s="160"/>
      <c r="DN269" s="160"/>
    </row>
    <row r="270" spans="1:118" hidden="1">
      <c r="A270" s="149"/>
      <c r="B270" s="150"/>
      <c r="C270" s="151"/>
      <c r="D270" s="152"/>
      <c r="E270" s="152"/>
      <c r="F270" s="152"/>
      <c r="G270" s="152"/>
      <c r="H270" s="62">
        <f>SUM(Table4[[#This Row],[BASIC]:[FOOD]])</f>
        <v>0</v>
      </c>
      <c r="I270" s="62"/>
      <c r="J270" s="62"/>
      <c r="K270" s="62"/>
      <c r="L270" s="62"/>
      <c r="M270" s="62"/>
      <c r="N270" s="62"/>
      <c r="O270" s="62">
        <f>SUM(Table4[[#This Row],[ESI BASIC]:[ESI FOOD]])</f>
        <v>0</v>
      </c>
      <c r="P270" s="160"/>
      <c r="Q270" s="160"/>
      <c r="R270" s="175"/>
      <c r="S270" s="167"/>
      <c r="T270" s="10">
        <f t="shared" si="18"/>
        <v>0</v>
      </c>
      <c r="U270" s="167"/>
      <c r="V270" s="10">
        <f t="shared" si="19"/>
        <v>0</v>
      </c>
      <c r="W270" s="10">
        <f t="shared" si="20"/>
        <v>0</v>
      </c>
      <c r="X270" s="170"/>
      <c r="Y270" s="177"/>
      <c r="Z270" s="168"/>
      <c r="AA270" s="177"/>
      <c r="AB270" s="168"/>
      <c r="AC270" s="177"/>
      <c r="AD270" s="168"/>
      <c r="AE270" s="177"/>
      <c r="AF270" s="168"/>
      <c r="AG270" s="177"/>
      <c r="AH270" s="168"/>
      <c r="AI270" s="177"/>
      <c r="AJ270" s="168"/>
      <c r="AK270" s="177"/>
      <c r="AL270" s="168"/>
      <c r="AM270" s="177"/>
      <c r="AN270" s="168"/>
      <c r="AO270" s="177"/>
      <c r="AP270" s="168"/>
      <c r="AQ270" s="177"/>
      <c r="AR270" s="168"/>
      <c r="AS270" s="177"/>
      <c r="AT270" s="168"/>
      <c r="AU270" s="177"/>
      <c r="AV270" s="168"/>
      <c r="AW270" s="177"/>
      <c r="AX270" s="168"/>
      <c r="AY270" s="177"/>
      <c r="AZ270" s="168"/>
      <c r="BA270" s="177"/>
      <c r="BB270" s="168"/>
      <c r="BC270" s="177"/>
      <c r="BD270" s="168"/>
      <c r="BE270" s="177"/>
      <c r="BF270" s="168"/>
      <c r="BG270" s="177"/>
      <c r="BH270" s="168"/>
      <c r="BI270" s="177"/>
      <c r="BJ270" s="168"/>
      <c r="BK270" s="177"/>
      <c r="BL270" s="168"/>
      <c r="BM270" s="177"/>
      <c r="BN270" s="168"/>
      <c r="BO270" s="177"/>
      <c r="BP270" s="168"/>
      <c r="BQ270" s="177"/>
      <c r="BR270" s="168"/>
      <c r="BS270" s="177"/>
      <c r="BT270" s="168"/>
      <c r="BU270" s="177"/>
      <c r="BV270" s="168"/>
      <c r="BW270" s="177"/>
      <c r="BX270" s="168"/>
      <c r="BY270" s="177"/>
      <c r="BZ270" s="168"/>
      <c r="CA270" s="177"/>
      <c r="CB270" s="168"/>
      <c r="CC270" s="177"/>
      <c r="CD270" s="168"/>
      <c r="CE270" s="177"/>
      <c r="CF270" s="168"/>
      <c r="CG270" s="187"/>
      <c r="CH270" s="183"/>
      <c r="CI270" s="185"/>
      <c r="CJ270" s="160"/>
      <c r="CK270" s="160"/>
      <c r="CL270" s="160"/>
      <c r="CM270" s="160"/>
      <c r="CN270" s="160"/>
      <c r="CO270" s="160"/>
      <c r="CP270" s="160"/>
      <c r="CQ270" s="160"/>
      <c r="CR270" s="160"/>
      <c r="CS270" s="179"/>
      <c r="CT270" s="160"/>
      <c r="CU270" s="160"/>
      <c r="CV270" s="160"/>
      <c r="CW270" s="160"/>
      <c r="CX270" s="160"/>
      <c r="CY270" s="160"/>
      <c r="CZ270" s="160"/>
      <c r="DA270" s="160"/>
      <c r="DB270" s="160"/>
      <c r="DC270" s="160"/>
      <c r="DD270" s="160"/>
      <c r="DE270" s="160"/>
      <c r="DF270" s="160"/>
      <c r="DG270" s="160"/>
      <c r="DH270" s="160"/>
      <c r="DI270" s="160"/>
      <c r="DJ270" s="160"/>
      <c r="DK270" s="160"/>
      <c r="DL270" s="160"/>
      <c r="DM270" s="160"/>
      <c r="DN270" s="160"/>
    </row>
    <row r="271" spans="1:118" hidden="1">
      <c r="A271" s="149"/>
      <c r="B271" s="150"/>
      <c r="C271" s="151"/>
      <c r="D271" s="152"/>
      <c r="E271" s="152"/>
      <c r="F271" s="152"/>
      <c r="G271" s="152"/>
      <c r="H271" s="62">
        <f>SUM(Table4[[#This Row],[BASIC]:[FOOD]])</f>
        <v>0</v>
      </c>
      <c r="I271" s="62"/>
      <c r="J271" s="62"/>
      <c r="K271" s="62"/>
      <c r="L271" s="62"/>
      <c r="M271" s="62"/>
      <c r="N271" s="62"/>
      <c r="O271" s="62">
        <f>SUM(Table4[[#This Row],[ESI BASIC]:[ESI FOOD]])</f>
        <v>0</v>
      </c>
      <c r="P271" s="160"/>
      <c r="Q271" s="160"/>
      <c r="R271" s="175"/>
      <c r="S271" s="167"/>
      <c r="T271" s="10">
        <f t="shared" si="18"/>
        <v>0</v>
      </c>
      <c r="U271" s="167"/>
      <c r="V271" s="10">
        <f t="shared" si="19"/>
        <v>0</v>
      </c>
      <c r="W271" s="10">
        <f t="shared" si="20"/>
        <v>0</v>
      </c>
      <c r="X271" s="170"/>
      <c r="Y271" s="177"/>
      <c r="Z271" s="168"/>
      <c r="AA271" s="177"/>
      <c r="AB271" s="168"/>
      <c r="AC271" s="177"/>
      <c r="AD271" s="168"/>
      <c r="AE271" s="177"/>
      <c r="AF271" s="168"/>
      <c r="AG271" s="177"/>
      <c r="AH271" s="168"/>
      <c r="AI271" s="177"/>
      <c r="AJ271" s="168"/>
      <c r="AK271" s="177"/>
      <c r="AL271" s="168"/>
      <c r="AM271" s="177"/>
      <c r="AN271" s="168"/>
      <c r="AO271" s="177"/>
      <c r="AP271" s="168"/>
      <c r="AQ271" s="177"/>
      <c r="AR271" s="168"/>
      <c r="AS271" s="177"/>
      <c r="AT271" s="168"/>
      <c r="AU271" s="177"/>
      <c r="AV271" s="168"/>
      <c r="AW271" s="177"/>
      <c r="AX271" s="168"/>
      <c r="AY271" s="177"/>
      <c r="AZ271" s="168"/>
      <c r="BA271" s="177"/>
      <c r="BB271" s="168"/>
      <c r="BC271" s="177"/>
      <c r="BD271" s="168"/>
      <c r="BE271" s="177"/>
      <c r="BF271" s="168"/>
      <c r="BG271" s="177"/>
      <c r="BH271" s="168"/>
      <c r="BI271" s="177"/>
      <c r="BJ271" s="168"/>
      <c r="BK271" s="177"/>
      <c r="BL271" s="168"/>
      <c r="BM271" s="177"/>
      <c r="BN271" s="168"/>
      <c r="BO271" s="177"/>
      <c r="BP271" s="168"/>
      <c r="BQ271" s="177"/>
      <c r="BR271" s="168"/>
      <c r="BS271" s="177"/>
      <c r="BT271" s="168"/>
      <c r="BU271" s="177"/>
      <c r="BV271" s="168"/>
      <c r="BW271" s="177"/>
      <c r="BX271" s="168"/>
      <c r="BY271" s="177"/>
      <c r="BZ271" s="168"/>
      <c r="CA271" s="177"/>
      <c r="CB271" s="168"/>
      <c r="CC271" s="177"/>
      <c r="CD271" s="168"/>
      <c r="CE271" s="177"/>
      <c r="CF271" s="168"/>
      <c r="CG271" s="187"/>
      <c r="CH271" s="183"/>
      <c r="CI271" s="185"/>
      <c r="CJ271" s="160"/>
      <c r="CK271" s="160"/>
      <c r="CL271" s="160"/>
      <c r="CM271" s="160"/>
      <c r="CN271" s="160"/>
      <c r="CO271" s="160"/>
      <c r="CP271" s="160"/>
      <c r="CQ271" s="160"/>
      <c r="CR271" s="160"/>
      <c r="CS271" s="179"/>
      <c r="CT271" s="160"/>
      <c r="CU271" s="160"/>
      <c r="CV271" s="160"/>
      <c r="CW271" s="160"/>
      <c r="CX271" s="160"/>
      <c r="CY271" s="160"/>
      <c r="CZ271" s="160"/>
      <c r="DA271" s="160"/>
      <c r="DB271" s="160"/>
      <c r="DC271" s="160"/>
      <c r="DD271" s="160"/>
      <c r="DE271" s="160"/>
      <c r="DF271" s="160"/>
      <c r="DG271" s="160"/>
      <c r="DH271" s="160"/>
      <c r="DI271" s="160"/>
      <c r="DJ271" s="160"/>
      <c r="DK271" s="160"/>
      <c r="DL271" s="160"/>
      <c r="DM271" s="160"/>
      <c r="DN271" s="160"/>
    </row>
    <row r="272" spans="1:118" hidden="1">
      <c r="A272" s="149"/>
      <c r="B272" s="150"/>
      <c r="C272" s="151"/>
      <c r="D272" s="152"/>
      <c r="E272" s="152"/>
      <c r="F272" s="152"/>
      <c r="G272" s="152"/>
      <c r="H272" s="62">
        <f>SUM(Table4[[#This Row],[BASIC]:[FOOD]])</f>
        <v>0</v>
      </c>
      <c r="I272" s="62"/>
      <c r="J272" s="62"/>
      <c r="K272" s="62"/>
      <c r="L272" s="62"/>
      <c r="M272" s="62"/>
      <c r="N272" s="62"/>
      <c r="O272" s="62">
        <f>SUM(Table4[[#This Row],[ESI BASIC]:[ESI FOOD]])</f>
        <v>0</v>
      </c>
      <c r="P272" s="160"/>
      <c r="Q272" s="160"/>
      <c r="R272" s="175"/>
      <c r="S272" s="167"/>
      <c r="T272" s="10">
        <f t="shared" si="18"/>
        <v>0</v>
      </c>
      <c r="U272" s="167"/>
      <c r="V272" s="10">
        <f t="shared" si="19"/>
        <v>0</v>
      </c>
      <c r="W272" s="10">
        <f t="shared" si="20"/>
        <v>0</v>
      </c>
      <c r="X272" s="170"/>
      <c r="Y272" s="177"/>
      <c r="Z272" s="168"/>
      <c r="AA272" s="177"/>
      <c r="AB272" s="168"/>
      <c r="AC272" s="177"/>
      <c r="AD272" s="168"/>
      <c r="AE272" s="177"/>
      <c r="AF272" s="168"/>
      <c r="AG272" s="177"/>
      <c r="AH272" s="168"/>
      <c r="AI272" s="177"/>
      <c r="AJ272" s="168"/>
      <c r="AK272" s="177"/>
      <c r="AL272" s="168"/>
      <c r="AM272" s="177"/>
      <c r="AN272" s="168"/>
      <c r="AO272" s="177"/>
      <c r="AP272" s="168"/>
      <c r="AQ272" s="177"/>
      <c r="AR272" s="168"/>
      <c r="AS272" s="177"/>
      <c r="AT272" s="168"/>
      <c r="AU272" s="177"/>
      <c r="AV272" s="168"/>
      <c r="AW272" s="177"/>
      <c r="AX272" s="168"/>
      <c r="AY272" s="177"/>
      <c r="AZ272" s="168"/>
      <c r="BA272" s="177"/>
      <c r="BB272" s="168"/>
      <c r="BC272" s="177"/>
      <c r="BD272" s="168"/>
      <c r="BE272" s="177"/>
      <c r="BF272" s="168"/>
      <c r="BG272" s="177"/>
      <c r="BH272" s="168"/>
      <c r="BI272" s="177"/>
      <c r="BJ272" s="168"/>
      <c r="BK272" s="177"/>
      <c r="BL272" s="168"/>
      <c r="BM272" s="177"/>
      <c r="BN272" s="168"/>
      <c r="BO272" s="177"/>
      <c r="BP272" s="168"/>
      <c r="BQ272" s="177"/>
      <c r="BR272" s="168"/>
      <c r="BS272" s="177"/>
      <c r="BT272" s="168"/>
      <c r="BU272" s="177"/>
      <c r="BV272" s="168"/>
      <c r="BW272" s="177"/>
      <c r="BX272" s="168"/>
      <c r="BY272" s="177"/>
      <c r="BZ272" s="168"/>
      <c r="CA272" s="177"/>
      <c r="CB272" s="168"/>
      <c r="CC272" s="177"/>
      <c r="CD272" s="168"/>
      <c r="CE272" s="177"/>
      <c r="CF272" s="168"/>
      <c r="CG272" s="187"/>
      <c r="CH272" s="183"/>
      <c r="CI272" s="185"/>
      <c r="CJ272" s="160"/>
      <c r="CK272" s="160"/>
      <c r="CL272" s="160"/>
      <c r="CM272" s="160"/>
      <c r="CN272" s="160"/>
      <c r="CO272" s="160"/>
      <c r="CP272" s="160"/>
      <c r="CQ272" s="160"/>
      <c r="CR272" s="160"/>
      <c r="CS272" s="179"/>
      <c r="CT272" s="160"/>
      <c r="CU272" s="160"/>
      <c r="CV272" s="160"/>
      <c r="CW272" s="160"/>
      <c r="CX272" s="160"/>
      <c r="CY272" s="160"/>
      <c r="CZ272" s="160"/>
      <c r="DA272" s="160"/>
      <c r="DB272" s="160"/>
      <c r="DC272" s="160"/>
      <c r="DD272" s="160"/>
      <c r="DE272" s="160"/>
      <c r="DF272" s="160"/>
      <c r="DG272" s="160"/>
      <c r="DH272" s="160"/>
      <c r="DI272" s="160"/>
      <c r="DJ272" s="160"/>
      <c r="DK272" s="160"/>
      <c r="DL272" s="160"/>
      <c r="DM272" s="160"/>
      <c r="DN272" s="160"/>
    </row>
    <row r="273" spans="1:118" hidden="1">
      <c r="A273" s="149"/>
      <c r="B273" s="150"/>
      <c r="C273" s="151"/>
      <c r="D273" s="152"/>
      <c r="E273" s="152"/>
      <c r="F273" s="152"/>
      <c r="G273" s="152"/>
      <c r="H273" s="62">
        <f>SUM(Table4[[#This Row],[BASIC]:[FOOD]])</f>
        <v>0</v>
      </c>
      <c r="I273" s="62"/>
      <c r="J273" s="62"/>
      <c r="K273" s="62"/>
      <c r="L273" s="62"/>
      <c r="M273" s="62"/>
      <c r="N273" s="62"/>
      <c r="O273" s="62">
        <f>SUM(Table4[[#This Row],[ESI BASIC]:[ESI FOOD]])</f>
        <v>0</v>
      </c>
      <c r="P273" s="160"/>
      <c r="Q273" s="160"/>
      <c r="R273" s="175"/>
      <c r="S273" s="167"/>
      <c r="T273" s="10">
        <f t="shared" si="18"/>
        <v>0</v>
      </c>
      <c r="U273" s="167"/>
      <c r="V273" s="10">
        <f t="shared" si="19"/>
        <v>0</v>
      </c>
      <c r="W273" s="10">
        <f t="shared" si="20"/>
        <v>0</v>
      </c>
      <c r="X273" s="170"/>
      <c r="Y273" s="177"/>
      <c r="Z273" s="168"/>
      <c r="AA273" s="177"/>
      <c r="AB273" s="168"/>
      <c r="AC273" s="177"/>
      <c r="AD273" s="168"/>
      <c r="AE273" s="177"/>
      <c r="AF273" s="168"/>
      <c r="AG273" s="177"/>
      <c r="AH273" s="168"/>
      <c r="AI273" s="177"/>
      <c r="AJ273" s="168"/>
      <c r="AK273" s="177"/>
      <c r="AL273" s="168"/>
      <c r="AM273" s="177"/>
      <c r="AN273" s="168"/>
      <c r="AO273" s="177"/>
      <c r="AP273" s="168"/>
      <c r="AQ273" s="177"/>
      <c r="AR273" s="168"/>
      <c r="AS273" s="177"/>
      <c r="AT273" s="168"/>
      <c r="AU273" s="177"/>
      <c r="AV273" s="168"/>
      <c r="AW273" s="177"/>
      <c r="AX273" s="168"/>
      <c r="AY273" s="177"/>
      <c r="AZ273" s="168"/>
      <c r="BA273" s="177"/>
      <c r="BB273" s="168"/>
      <c r="BC273" s="177"/>
      <c r="BD273" s="168"/>
      <c r="BE273" s="177"/>
      <c r="BF273" s="168"/>
      <c r="BG273" s="177"/>
      <c r="BH273" s="168"/>
      <c r="BI273" s="177"/>
      <c r="BJ273" s="168"/>
      <c r="BK273" s="177"/>
      <c r="BL273" s="168"/>
      <c r="BM273" s="177"/>
      <c r="BN273" s="168"/>
      <c r="BO273" s="177"/>
      <c r="BP273" s="168"/>
      <c r="BQ273" s="177"/>
      <c r="BR273" s="168"/>
      <c r="BS273" s="177"/>
      <c r="BT273" s="168"/>
      <c r="BU273" s="177"/>
      <c r="BV273" s="168"/>
      <c r="BW273" s="177"/>
      <c r="BX273" s="168"/>
      <c r="BY273" s="177"/>
      <c r="BZ273" s="168"/>
      <c r="CA273" s="177"/>
      <c r="CB273" s="168"/>
      <c r="CC273" s="177"/>
      <c r="CD273" s="168"/>
      <c r="CE273" s="177"/>
      <c r="CF273" s="168"/>
      <c r="CG273" s="187"/>
      <c r="CH273" s="183"/>
      <c r="CI273" s="185"/>
      <c r="CJ273" s="160"/>
      <c r="CK273" s="160"/>
      <c r="CL273" s="160"/>
      <c r="CM273" s="160"/>
      <c r="CN273" s="160"/>
      <c r="CO273" s="160"/>
      <c r="CP273" s="160"/>
      <c r="CQ273" s="160"/>
      <c r="CR273" s="160"/>
      <c r="CS273" s="179"/>
      <c r="CT273" s="160"/>
      <c r="CU273" s="160"/>
      <c r="CV273" s="160"/>
      <c r="CW273" s="160"/>
      <c r="CX273" s="160"/>
      <c r="CY273" s="160"/>
      <c r="CZ273" s="160"/>
      <c r="DA273" s="160"/>
      <c r="DB273" s="160"/>
      <c r="DC273" s="160"/>
      <c r="DD273" s="160"/>
      <c r="DE273" s="160"/>
      <c r="DF273" s="160"/>
      <c r="DG273" s="160"/>
      <c r="DH273" s="160"/>
      <c r="DI273" s="160"/>
      <c r="DJ273" s="160"/>
      <c r="DK273" s="160"/>
      <c r="DL273" s="160"/>
      <c r="DM273" s="160"/>
      <c r="DN273" s="160"/>
    </row>
    <row r="274" spans="1:118" hidden="1">
      <c r="A274" s="149"/>
      <c r="B274" s="150"/>
      <c r="C274" s="151"/>
      <c r="D274" s="152"/>
      <c r="E274" s="152"/>
      <c r="F274" s="152"/>
      <c r="G274" s="152"/>
      <c r="H274" s="62">
        <f>SUM(Table4[[#This Row],[BASIC]:[FOOD]])</f>
        <v>0</v>
      </c>
      <c r="I274" s="62"/>
      <c r="J274" s="62"/>
      <c r="K274" s="62"/>
      <c r="L274" s="62"/>
      <c r="M274" s="62"/>
      <c r="N274" s="62"/>
      <c r="O274" s="62">
        <f>SUM(Table4[[#This Row],[ESI BASIC]:[ESI FOOD]])</f>
        <v>0</v>
      </c>
      <c r="P274" s="160"/>
      <c r="Q274" s="160"/>
      <c r="R274" s="175"/>
      <c r="S274" s="167"/>
      <c r="T274" s="10">
        <f t="shared" si="18"/>
        <v>0</v>
      </c>
      <c r="U274" s="167"/>
      <c r="V274" s="10">
        <f t="shared" si="19"/>
        <v>0</v>
      </c>
      <c r="W274" s="10">
        <f t="shared" si="20"/>
        <v>0</v>
      </c>
      <c r="X274" s="170"/>
      <c r="Y274" s="177"/>
      <c r="Z274" s="168"/>
      <c r="AA274" s="177"/>
      <c r="AB274" s="168"/>
      <c r="AC274" s="177"/>
      <c r="AD274" s="168"/>
      <c r="AE274" s="177"/>
      <c r="AF274" s="168"/>
      <c r="AG274" s="177"/>
      <c r="AH274" s="168"/>
      <c r="AI274" s="177"/>
      <c r="AJ274" s="168"/>
      <c r="AK274" s="177"/>
      <c r="AL274" s="168"/>
      <c r="AM274" s="177"/>
      <c r="AN274" s="168"/>
      <c r="AO274" s="177"/>
      <c r="AP274" s="168"/>
      <c r="AQ274" s="177"/>
      <c r="AR274" s="168"/>
      <c r="AS274" s="177"/>
      <c r="AT274" s="168"/>
      <c r="AU274" s="177"/>
      <c r="AV274" s="168"/>
      <c r="AW274" s="177"/>
      <c r="AX274" s="168"/>
      <c r="AY274" s="177"/>
      <c r="AZ274" s="168"/>
      <c r="BA274" s="177"/>
      <c r="BB274" s="168"/>
      <c r="BC274" s="177"/>
      <c r="BD274" s="168"/>
      <c r="BE274" s="177"/>
      <c r="BF274" s="168"/>
      <c r="BG274" s="177"/>
      <c r="BH274" s="168"/>
      <c r="BI274" s="177"/>
      <c r="BJ274" s="168"/>
      <c r="BK274" s="177"/>
      <c r="BL274" s="168"/>
      <c r="BM274" s="177"/>
      <c r="BN274" s="168"/>
      <c r="BO274" s="177"/>
      <c r="BP274" s="168"/>
      <c r="BQ274" s="177"/>
      <c r="BR274" s="168"/>
      <c r="BS274" s="177"/>
      <c r="BT274" s="168"/>
      <c r="BU274" s="177"/>
      <c r="BV274" s="168"/>
      <c r="BW274" s="177"/>
      <c r="BX274" s="168"/>
      <c r="BY274" s="177"/>
      <c r="BZ274" s="168"/>
      <c r="CA274" s="177"/>
      <c r="CB274" s="168"/>
      <c r="CC274" s="177"/>
      <c r="CD274" s="168"/>
      <c r="CE274" s="177"/>
      <c r="CF274" s="168"/>
      <c r="CG274" s="187"/>
      <c r="CH274" s="183"/>
      <c r="CI274" s="185"/>
      <c r="CJ274" s="160"/>
      <c r="CK274" s="160"/>
      <c r="CL274" s="160"/>
      <c r="CM274" s="160"/>
      <c r="CN274" s="160"/>
      <c r="CO274" s="160"/>
      <c r="CP274" s="160"/>
      <c r="CQ274" s="160"/>
      <c r="CR274" s="160"/>
      <c r="CS274" s="179"/>
      <c r="CT274" s="160"/>
      <c r="CU274" s="160"/>
      <c r="CV274" s="160"/>
      <c r="CW274" s="160"/>
      <c r="CX274" s="160"/>
      <c r="CY274" s="160"/>
      <c r="CZ274" s="160"/>
      <c r="DA274" s="160"/>
      <c r="DB274" s="160"/>
      <c r="DC274" s="160"/>
      <c r="DD274" s="160"/>
      <c r="DE274" s="160"/>
      <c r="DF274" s="160"/>
      <c r="DG274" s="160"/>
      <c r="DH274" s="160"/>
      <c r="DI274" s="160"/>
      <c r="DJ274" s="160"/>
      <c r="DK274" s="160"/>
      <c r="DL274" s="160"/>
      <c r="DM274" s="160"/>
      <c r="DN274" s="160"/>
    </row>
    <row r="275" spans="1:118" hidden="1">
      <c r="A275" s="149"/>
      <c r="B275" s="150"/>
      <c r="C275" s="151"/>
      <c r="D275" s="152"/>
      <c r="E275" s="152"/>
      <c r="F275" s="152"/>
      <c r="G275" s="152"/>
      <c r="H275" s="62">
        <f>SUM(Table4[[#This Row],[BASIC]:[FOOD]])</f>
        <v>0</v>
      </c>
      <c r="I275" s="62"/>
      <c r="J275" s="62"/>
      <c r="K275" s="62"/>
      <c r="L275" s="62"/>
      <c r="M275" s="62"/>
      <c r="N275" s="62"/>
      <c r="O275" s="62">
        <f>SUM(Table4[[#This Row],[ESI BASIC]:[ESI FOOD]])</f>
        <v>0</v>
      </c>
      <c r="P275" s="160"/>
      <c r="Q275" s="160"/>
      <c r="R275" s="175"/>
      <c r="S275" s="167"/>
      <c r="T275" s="10">
        <f t="shared" si="18"/>
        <v>0</v>
      </c>
      <c r="U275" s="167"/>
      <c r="V275" s="10">
        <f t="shared" si="19"/>
        <v>0</v>
      </c>
      <c r="W275" s="10">
        <f t="shared" si="20"/>
        <v>0</v>
      </c>
      <c r="X275" s="170"/>
      <c r="Y275" s="177"/>
      <c r="Z275" s="168"/>
      <c r="AA275" s="177"/>
      <c r="AB275" s="168"/>
      <c r="AC275" s="177"/>
      <c r="AD275" s="168"/>
      <c r="AE275" s="177"/>
      <c r="AF275" s="168"/>
      <c r="AG275" s="177"/>
      <c r="AH275" s="168"/>
      <c r="AI275" s="177"/>
      <c r="AJ275" s="168"/>
      <c r="AK275" s="177"/>
      <c r="AL275" s="168"/>
      <c r="AM275" s="177"/>
      <c r="AN275" s="168"/>
      <c r="AO275" s="177"/>
      <c r="AP275" s="168"/>
      <c r="AQ275" s="177"/>
      <c r="AR275" s="168"/>
      <c r="AS275" s="177"/>
      <c r="AT275" s="168"/>
      <c r="AU275" s="177"/>
      <c r="AV275" s="168"/>
      <c r="AW275" s="177"/>
      <c r="AX275" s="168"/>
      <c r="AY275" s="177"/>
      <c r="AZ275" s="168"/>
      <c r="BA275" s="177"/>
      <c r="BB275" s="168"/>
      <c r="BC275" s="177"/>
      <c r="BD275" s="168"/>
      <c r="BE275" s="177"/>
      <c r="BF275" s="168"/>
      <c r="BG275" s="177"/>
      <c r="BH275" s="168"/>
      <c r="BI275" s="177"/>
      <c r="BJ275" s="168"/>
      <c r="BK275" s="177"/>
      <c r="BL275" s="168"/>
      <c r="BM275" s="177"/>
      <c r="BN275" s="168"/>
      <c r="BO275" s="177"/>
      <c r="BP275" s="168"/>
      <c r="BQ275" s="177"/>
      <c r="BR275" s="168"/>
      <c r="BS275" s="177"/>
      <c r="BT275" s="168"/>
      <c r="BU275" s="177"/>
      <c r="BV275" s="168"/>
      <c r="BW275" s="177"/>
      <c r="BX275" s="168"/>
      <c r="BY275" s="177"/>
      <c r="BZ275" s="168"/>
      <c r="CA275" s="177"/>
      <c r="CB275" s="168"/>
      <c r="CC275" s="177"/>
      <c r="CD275" s="168"/>
      <c r="CE275" s="177"/>
      <c r="CF275" s="168"/>
      <c r="CG275" s="187"/>
      <c r="CH275" s="183"/>
      <c r="CI275" s="185"/>
      <c r="CJ275" s="160"/>
      <c r="CK275" s="160"/>
      <c r="CL275" s="160"/>
      <c r="CM275" s="160"/>
      <c r="CN275" s="160"/>
      <c r="CO275" s="160"/>
      <c r="CP275" s="160"/>
      <c r="CQ275" s="160"/>
      <c r="CR275" s="160"/>
      <c r="CS275" s="179"/>
      <c r="CT275" s="160"/>
      <c r="CU275" s="160"/>
      <c r="CV275" s="160"/>
      <c r="CW275" s="160"/>
      <c r="CX275" s="160"/>
      <c r="CY275" s="160"/>
      <c r="CZ275" s="160"/>
      <c r="DA275" s="160"/>
      <c r="DB275" s="160"/>
      <c r="DC275" s="160"/>
      <c r="DD275" s="160"/>
      <c r="DE275" s="160"/>
      <c r="DF275" s="160"/>
      <c r="DG275" s="160"/>
      <c r="DH275" s="160"/>
      <c r="DI275" s="160"/>
      <c r="DJ275" s="160"/>
      <c r="DK275" s="160"/>
      <c r="DL275" s="160"/>
      <c r="DM275" s="160"/>
      <c r="DN275" s="160"/>
    </row>
    <row r="276" spans="1:118" hidden="1">
      <c r="A276" s="149"/>
      <c r="B276" s="150"/>
      <c r="C276" s="151"/>
      <c r="D276" s="152"/>
      <c r="E276" s="152"/>
      <c r="F276" s="152"/>
      <c r="G276" s="152"/>
      <c r="H276" s="62">
        <f>SUM(Table4[[#This Row],[BASIC]:[FOOD]])</f>
        <v>0</v>
      </c>
      <c r="I276" s="62"/>
      <c r="J276" s="62"/>
      <c r="K276" s="62"/>
      <c r="L276" s="62"/>
      <c r="M276" s="62"/>
      <c r="N276" s="62"/>
      <c r="O276" s="62">
        <f>SUM(Table4[[#This Row],[ESI BASIC]:[ESI FOOD]])</f>
        <v>0</v>
      </c>
      <c r="P276" s="160"/>
      <c r="Q276" s="160"/>
      <c r="R276" s="175"/>
      <c r="S276" s="167"/>
      <c r="T276" s="10">
        <f t="shared" si="18"/>
        <v>0</v>
      </c>
      <c r="U276" s="167"/>
      <c r="V276" s="10">
        <f t="shared" si="19"/>
        <v>0</v>
      </c>
      <c r="W276" s="10">
        <f t="shared" si="20"/>
        <v>0</v>
      </c>
      <c r="X276" s="170"/>
      <c r="Y276" s="177"/>
      <c r="Z276" s="168"/>
      <c r="AA276" s="177"/>
      <c r="AB276" s="168"/>
      <c r="AC276" s="177"/>
      <c r="AD276" s="168"/>
      <c r="AE276" s="177"/>
      <c r="AF276" s="168"/>
      <c r="AG276" s="177"/>
      <c r="AH276" s="168"/>
      <c r="AI276" s="177"/>
      <c r="AJ276" s="168"/>
      <c r="AK276" s="177"/>
      <c r="AL276" s="168"/>
      <c r="AM276" s="177"/>
      <c r="AN276" s="168"/>
      <c r="AO276" s="177"/>
      <c r="AP276" s="168"/>
      <c r="AQ276" s="177"/>
      <c r="AR276" s="168"/>
      <c r="AS276" s="177"/>
      <c r="AT276" s="168"/>
      <c r="AU276" s="177"/>
      <c r="AV276" s="168"/>
      <c r="AW276" s="177"/>
      <c r="AX276" s="168"/>
      <c r="AY276" s="177"/>
      <c r="AZ276" s="168"/>
      <c r="BA276" s="177"/>
      <c r="BB276" s="168"/>
      <c r="BC276" s="177"/>
      <c r="BD276" s="168"/>
      <c r="BE276" s="177"/>
      <c r="BF276" s="168"/>
      <c r="BG276" s="177"/>
      <c r="BH276" s="168"/>
      <c r="BI276" s="177"/>
      <c r="BJ276" s="168"/>
      <c r="BK276" s="177"/>
      <c r="BL276" s="168"/>
      <c r="BM276" s="177"/>
      <c r="BN276" s="168"/>
      <c r="BO276" s="177"/>
      <c r="BP276" s="168"/>
      <c r="BQ276" s="177"/>
      <c r="BR276" s="168"/>
      <c r="BS276" s="177"/>
      <c r="BT276" s="168"/>
      <c r="BU276" s="177"/>
      <c r="BV276" s="168"/>
      <c r="BW276" s="177"/>
      <c r="BX276" s="168"/>
      <c r="BY276" s="177"/>
      <c r="BZ276" s="168"/>
      <c r="CA276" s="177"/>
      <c r="CB276" s="168"/>
      <c r="CC276" s="177"/>
      <c r="CD276" s="168"/>
      <c r="CE276" s="177"/>
      <c r="CF276" s="168"/>
      <c r="CG276" s="187"/>
      <c r="CH276" s="183"/>
      <c r="CI276" s="185"/>
      <c r="CJ276" s="160"/>
      <c r="CK276" s="160"/>
      <c r="CL276" s="160"/>
      <c r="CM276" s="160"/>
      <c r="CN276" s="160"/>
      <c r="CO276" s="160"/>
      <c r="CP276" s="160"/>
      <c r="CQ276" s="160"/>
      <c r="CR276" s="160"/>
      <c r="CS276" s="179"/>
      <c r="CT276" s="160"/>
      <c r="CU276" s="160"/>
      <c r="CV276" s="160"/>
      <c r="CW276" s="160"/>
      <c r="CX276" s="160"/>
      <c r="CY276" s="160"/>
      <c r="CZ276" s="160"/>
      <c r="DA276" s="160"/>
      <c r="DB276" s="160"/>
      <c r="DC276" s="160"/>
      <c r="DD276" s="160"/>
      <c r="DE276" s="160"/>
      <c r="DF276" s="160"/>
      <c r="DG276" s="160"/>
      <c r="DH276" s="160"/>
      <c r="DI276" s="160"/>
      <c r="DJ276" s="160"/>
      <c r="DK276" s="160"/>
      <c r="DL276" s="160"/>
      <c r="DM276" s="160"/>
      <c r="DN276" s="160"/>
    </row>
    <row r="277" spans="1:118" hidden="1">
      <c r="A277" s="149"/>
      <c r="B277" s="150"/>
      <c r="C277" s="151"/>
      <c r="D277" s="152"/>
      <c r="E277" s="152"/>
      <c r="F277" s="152"/>
      <c r="G277" s="152"/>
      <c r="H277" s="62">
        <f>SUM(Table4[[#This Row],[BASIC]:[FOOD]])</f>
        <v>0</v>
      </c>
      <c r="I277" s="62"/>
      <c r="J277" s="62"/>
      <c r="K277" s="62"/>
      <c r="L277" s="62"/>
      <c r="M277" s="62"/>
      <c r="N277" s="62"/>
      <c r="O277" s="62">
        <f>SUM(Table4[[#This Row],[ESI BASIC]:[ESI FOOD]])</f>
        <v>0</v>
      </c>
      <c r="P277" s="160"/>
      <c r="Q277" s="160"/>
      <c r="R277" s="175"/>
      <c r="S277" s="167"/>
      <c r="T277" s="10">
        <f t="shared" si="18"/>
        <v>0</v>
      </c>
      <c r="U277" s="167"/>
      <c r="V277" s="10">
        <f t="shared" si="19"/>
        <v>0</v>
      </c>
      <c r="W277" s="10">
        <f t="shared" si="20"/>
        <v>0</v>
      </c>
      <c r="X277" s="170"/>
      <c r="Y277" s="177"/>
      <c r="Z277" s="168"/>
      <c r="AA277" s="177"/>
      <c r="AB277" s="168"/>
      <c r="AC277" s="177"/>
      <c r="AD277" s="168"/>
      <c r="AE277" s="177"/>
      <c r="AF277" s="168"/>
      <c r="AG277" s="177"/>
      <c r="AH277" s="168"/>
      <c r="AI277" s="177"/>
      <c r="AJ277" s="168"/>
      <c r="AK277" s="177"/>
      <c r="AL277" s="168"/>
      <c r="AM277" s="177"/>
      <c r="AN277" s="168"/>
      <c r="AO277" s="177"/>
      <c r="AP277" s="168"/>
      <c r="AQ277" s="177"/>
      <c r="AR277" s="168"/>
      <c r="AS277" s="177"/>
      <c r="AT277" s="168"/>
      <c r="AU277" s="177"/>
      <c r="AV277" s="168"/>
      <c r="AW277" s="177"/>
      <c r="AX277" s="168"/>
      <c r="AY277" s="177"/>
      <c r="AZ277" s="168"/>
      <c r="BA277" s="177"/>
      <c r="BB277" s="168"/>
      <c r="BC277" s="177"/>
      <c r="BD277" s="168"/>
      <c r="BE277" s="177"/>
      <c r="BF277" s="168"/>
      <c r="BG277" s="177"/>
      <c r="BH277" s="168"/>
      <c r="BI277" s="177"/>
      <c r="BJ277" s="168"/>
      <c r="BK277" s="177"/>
      <c r="BL277" s="168"/>
      <c r="BM277" s="177"/>
      <c r="BN277" s="168"/>
      <c r="BO277" s="177"/>
      <c r="BP277" s="168"/>
      <c r="BQ277" s="177"/>
      <c r="BR277" s="168"/>
      <c r="BS277" s="177"/>
      <c r="BT277" s="168"/>
      <c r="BU277" s="177"/>
      <c r="BV277" s="168"/>
      <c r="BW277" s="177"/>
      <c r="BX277" s="168"/>
      <c r="BY277" s="177"/>
      <c r="BZ277" s="168"/>
      <c r="CA277" s="177"/>
      <c r="CB277" s="168"/>
      <c r="CC277" s="177"/>
      <c r="CD277" s="168"/>
      <c r="CE277" s="177"/>
      <c r="CF277" s="168"/>
      <c r="CG277" s="187"/>
      <c r="CH277" s="183"/>
      <c r="CI277" s="185"/>
      <c r="CJ277" s="160"/>
      <c r="CK277" s="160"/>
      <c r="CL277" s="160"/>
      <c r="CM277" s="160"/>
      <c r="CN277" s="160"/>
      <c r="CO277" s="160"/>
      <c r="CP277" s="160"/>
      <c r="CQ277" s="160"/>
      <c r="CR277" s="160"/>
      <c r="CS277" s="179"/>
      <c r="CT277" s="160"/>
      <c r="CU277" s="160"/>
      <c r="CV277" s="160"/>
      <c r="CW277" s="160"/>
      <c r="CX277" s="160"/>
      <c r="CY277" s="160"/>
      <c r="CZ277" s="160"/>
      <c r="DA277" s="160"/>
      <c r="DB277" s="160"/>
      <c r="DC277" s="160"/>
      <c r="DD277" s="160"/>
      <c r="DE277" s="160"/>
      <c r="DF277" s="160"/>
      <c r="DG277" s="160"/>
      <c r="DH277" s="160"/>
      <c r="DI277" s="160"/>
      <c r="DJ277" s="160"/>
      <c r="DK277" s="160"/>
      <c r="DL277" s="160"/>
      <c r="DM277" s="160"/>
      <c r="DN277" s="160"/>
    </row>
    <row r="278" spans="1:118" hidden="1">
      <c r="A278" s="149"/>
      <c r="B278" s="150"/>
      <c r="C278" s="151"/>
      <c r="D278" s="152"/>
      <c r="E278" s="152"/>
      <c r="F278" s="152"/>
      <c r="G278" s="152"/>
      <c r="H278" s="62">
        <f>SUM(Table4[[#This Row],[BASIC]:[FOOD]])</f>
        <v>0</v>
      </c>
      <c r="I278" s="62"/>
      <c r="J278" s="62"/>
      <c r="K278" s="62"/>
      <c r="L278" s="62"/>
      <c r="M278" s="62"/>
      <c r="N278" s="62"/>
      <c r="O278" s="62">
        <f>SUM(Table4[[#This Row],[ESI BASIC]:[ESI FOOD]])</f>
        <v>0</v>
      </c>
      <c r="P278" s="160"/>
      <c r="Q278" s="160"/>
      <c r="R278" s="175"/>
      <c r="S278" s="167"/>
      <c r="T278" s="10">
        <f t="shared" si="18"/>
        <v>0</v>
      </c>
      <c r="U278" s="167"/>
      <c r="V278" s="10">
        <f t="shared" si="19"/>
        <v>0</v>
      </c>
      <c r="W278" s="10">
        <f t="shared" si="20"/>
        <v>0</v>
      </c>
      <c r="X278" s="170"/>
      <c r="Y278" s="177"/>
      <c r="Z278" s="168"/>
      <c r="AA278" s="177"/>
      <c r="AB278" s="168"/>
      <c r="AC278" s="177"/>
      <c r="AD278" s="168"/>
      <c r="AE278" s="177"/>
      <c r="AF278" s="168"/>
      <c r="AG278" s="177"/>
      <c r="AH278" s="168"/>
      <c r="AI278" s="177"/>
      <c r="AJ278" s="168"/>
      <c r="AK278" s="177"/>
      <c r="AL278" s="168"/>
      <c r="AM278" s="177"/>
      <c r="AN278" s="168"/>
      <c r="AO278" s="177"/>
      <c r="AP278" s="168"/>
      <c r="AQ278" s="177"/>
      <c r="AR278" s="168"/>
      <c r="AS278" s="177"/>
      <c r="AT278" s="168"/>
      <c r="AU278" s="177"/>
      <c r="AV278" s="168"/>
      <c r="AW278" s="177"/>
      <c r="AX278" s="168"/>
      <c r="AY278" s="177"/>
      <c r="AZ278" s="168"/>
      <c r="BA278" s="177"/>
      <c r="BB278" s="168"/>
      <c r="BC278" s="177"/>
      <c r="BD278" s="168"/>
      <c r="BE278" s="177"/>
      <c r="BF278" s="168"/>
      <c r="BG278" s="177"/>
      <c r="BH278" s="168"/>
      <c r="BI278" s="177"/>
      <c r="BJ278" s="168"/>
      <c r="BK278" s="177"/>
      <c r="BL278" s="168"/>
      <c r="BM278" s="177"/>
      <c r="BN278" s="168"/>
      <c r="BO278" s="177"/>
      <c r="BP278" s="168"/>
      <c r="BQ278" s="177"/>
      <c r="BR278" s="168"/>
      <c r="BS278" s="177"/>
      <c r="BT278" s="168"/>
      <c r="BU278" s="177"/>
      <c r="BV278" s="168"/>
      <c r="BW278" s="177"/>
      <c r="BX278" s="168"/>
      <c r="BY278" s="177"/>
      <c r="BZ278" s="168"/>
      <c r="CA278" s="177"/>
      <c r="CB278" s="168"/>
      <c r="CC278" s="177"/>
      <c r="CD278" s="168"/>
      <c r="CE278" s="177"/>
      <c r="CF278" s="168"/>
      <c r="CG278" s="187"/>
      <c r="CH278" s="183"/>
      <c r="CI278" s="185"/>
      <c r="CJ278" s="160"/>
      <c r="CK278" s="160"/>
      <c r="CL278" s="160"/>
      <c r="CM278" s="160"/>
      <c r="CN278" s="160"/>
      <c r="CO278" s="160"/>
      <c r="CP278" s="160"/>
      <c r="CQ278" s="160"/>
      <c r="CR278" s="160"/>
      <c r="CS278" s="179"/>
      <c r="CT278" s="160"/>
      <c r="CU278" s="160"/>
      <c r="CV278" s="160"/>
      <c r="CW278" s="160"/>
      <c r="CX278" s="160"/>
      <c r="CY278" s="160"/>
      <c r="CZ278" s="160"/>
      <c r="DA278" s="160"/>
      <c r="DB278" s="160"/>
      <c r="DC278" s="160"/>
      <c r="DD278" s="160"/>
      <c r="DE278" s="160"/>
      <c r="DF278" s="160"/>
      <c r="DG278" s="160"/>
      <c r="DH278" s="160"/>
      <c r="DI278" s="160"/>
      <c r="DJ278" s="160"/>
      <c r="DK278" s="160"/>
      <c r="DL278" s="160"/>
      <c r="DM278" s="160"/>
      <c r="DN278" s="160"/>
    </row>
    <row r="279" spans="1:118" hidden="1">
      <c r="A279" s="190"/>
      <c r="B279" s="191"/>
      <c r="C279" s="192"/>
      <c r="D279" s="152"/>
      <c r="E279" s="152"/>
      <c r="F279" s="152"/>
      <c r="G279" s="152"/>
      <c r="H279" s="62">
        <f>SUM(Table4[[#This Row],[BASIC]:[FOOD]])</f>
        <v>0</v>
      </c>
      <c r="I279" s="62"/>
      <c r="J279" s="62"/>
      <c r="K279" s="62"/>
      <c r="L279" s="62"/>
      <c r="M279" s="62"/>
      <c r="N279" s="62"/>
      <c r="O279" s="62">
        <f>SUM(Table4[[#This Row],[ESI BASIC]:[ESI FOOD]])</f>
        <v>0</v>
      </c>
      <c r="P279" s="195"/>
      <c r="Q279" s="195"/>
      <c r="R279" s="198"/>
      <c r="S279" s="199"/>
      <c r="T279" s="10">
        <f t="shared" si="18"/>
        <v>0</v>
      </c>
      <c r="U279" s="167"/>
      <c r="V279" s="10">
        <f t="shared" si="19"/>
        <v>0</v>
      </c>
      <c r="W279" s="10">
        <f t="shared" si="20"/>
        <v>0</v>
      </c>
      <c r="X279" s="172"/>
      <c r="Y279" s="176"/>
      <c r="Z279" s="171"/>
      <c r="AA279" s="176"/>
      <c r="AB279" s="171"/>
      <c r="AC279" s="176"/>
      <c r="AD279" s="171"/>
      <c r="AE279" s="176"/>
      <c r="AF279" s="171"/>
      <c r="AG279" s="176"/>
      <c r="AH279" s="171"/>
      <c r="AI279" s="176"/>
      <c r="AJ279" s="171"/>
      <c r="AK279" s="176"/>
      <c r="AL279" s="171"/>
      <c r="AM279" s="176"/>
      <c r="AN279" s="171"/>
      <c r="AO279" s="176"/>
      <c r="AP279" s="171"/>
      <c r="AQ279" s="176"/>
      <c r="AR279" s="171"/>
      <c r="AS279" s="176"/>
      <c r="AT279" s="171"/>
      <c r="AU279" s="176"/>
      <c r="AV279" s="171"/>
      <c r="AW279" s="176"/>
      <c r="AX279" s="171"/>
      <c r="AY279" s="176"/>
      <c r="AZ279" s="171"/>
      <c r="BA279" s="176"/>
      <c r="BB279" s="171"/>
      <c r="BC279" s="176"/>
      <c r="BD279" s="171"/>
      <c r="BE279" s="176"/>
      <c r="BF279" s="171"/>
      <c r="BG279" s="176"/>
      <c r="BH279" s="171"/>
      <c r="BI279" s="176"/>
      <c r="BJ279" s="171"/>
      <c r="BK279" s="176"/>
      <c r="BL279" s="171"/>
      <c r="BM279" s="176"/>
      <c r="BN279" s="171"/>
      <c r="BO279" s="176"/>
      <c r="BP279" s="171"/>
      <c r="BQ279" s="176"/>
      <c r="BR279" s="171"/>
      <c r="BS279" s="176"/>
      <c r="BT279" s="171"/>
      <c r="BU279" s="176"/>
      <c r="BV279" s="171"/>
      <c r="BW279" s="176"/>
      <c r="BX279" s="171"/>
      <c r="BY279" s="176"/>
      <c r="BZ279" s="171"/>
      <c r="CA279" s="176"/>
      <c r="CB279" s="171"/>
      <c r="CC279" s="176"/>
      <c r="CD279" s="171"/>
      <c r="CE279" s="176"/>
      <c r="CF279" s="171"/>
      <c r="CG279" s="176"/>
      <c r="CH279" s="183"/>
      <c r="CI279" s="195"/>
      <c r="CJ279" s="195"/>
      <c r="CK279" s="195"/>
      <c r="CL279" s="195"/>
      <c r="CM279" s="195"/>
      <c r="CN279" s="195"/>
      <c r="CO279" s="195"/>
      <c r="CP279" s="195"/>
      <c r="CQ279" s="195"/>
      <c r="CR279" s="195"/>
      <c r="CS279" s="204"/>
      <c r="CT279" s="195"/>
      <c r="CU279" s="195"/>
      <c r="CV279" s="195"/>
      <c r="CW279" s="195"/>
      <c r="CX279" s="195"/>
      <c r="CY279" s="195"/>
      <c r="CZ279" s="195"/>
      <c r="DA279" s="195"/>
      <c r="DB279" s="195"/>
      <c r="DC279" s="195"/>
      <c r="DD279" s="195"/>
      <c r="DE279" s="195"/>
      <c r="DF279" s="195"/>
      <c r="DG279" s="195"/>
      <c r="DH279" s="195"/>
      <c r="DI279" s="195"/>
      <c r="DJ279" s="195"/>
      <c r="DK279" s="195"/>
      <c r="DL279" s="195"/>
      <c r="DM279" s="195"/>
      <c r="DN279" s="195"/>
    </row>
    <row r="280" spans="1:118" hidden="1">
      <c r="A280" s="190"/>
      <c r="B280" s="191"/>
      <c r="C280" s="192"/>
      <c r="D280" s="193"/>
      <c r="E280" s="193"/>
      <c r="F280" s="193"/>
      <c r="G280" s="193"/>
      <c r="H280" s="194">
        <f>SUM(Table4[[#This Row],[BASIC]:[FOOD]])</f>
        <v>0</v>
      </c>
      <c r="I280" s="196"/>
      <c r="J280" s="194"/>
      <c r="K280" s="194"/>
      <c r="L280" s="194"/>
      <c r="M280" s="194"/>
      <c r="N280" s="194"/>
      <c r="O280" s="194">
        <f>SUM(Table4[[#This Row],[ESI BASIC]:[ESI FOOD]])</f>
        <v>0</v>
      </c>
      <c r="P280" s="197"/>
      <c r="Q280" s="197"/>
      <c r="R280" s="200"/>
      <c r="S280" s="201"/>
      <c r="T280" s="202">
        <f t="shared" si="18"/>
        <v>0</v>
      </c>
      <c r="U280" s="199"/>
      <c r="V280" s="203">
        <f t="shared" si="19"/>
        <v>0</v>
      </c>
      <c r="W280" s="203">
        <f t="shared" si="20"/>
        <v>0</v>
      </c>
      <c r="X280" s="172"/>
      <c r="Y280" s="176"/>
      <c r="Z280" s="171"/>
      <c r="AA280" s="176"/>
      <c r="AB280" s="171"/>
      <c r="AC280" s="176"/>
      <c r="AD280" s="171"/>
      <c r="AE280" s="176"/>
      <c r="AF280" s="171"/>
      <c r="AG280" s="176"/>
      <c r="AH280" s="171"/>
      <c r="AI280" s="176"/>
      <c r="AJ280" s="171"/>
      <c r="AK280" s="176"/>
      <c r="AL280" s="171"/>
      <c r="AM280" s="176"/>
      <c r="AN280" s="171"/>
      <c r="AO280" s="176"/>
      <c r="AP280" s="171"/>
      <c r="AQ280" s="176"/>
      <c r="AR280" s="171"/>
      <c r="AS280" s="176"/>
      <c r="AT280" s="171"/>
      <c r="AU280" s="176"/>
      <c r="AV280" s="171"/>
      <c r="AW280" s="176"/>
      <c r="AX280" s="171"/>
      <c r="AY280" s="176"/>
      <c r="AZ280" s="171"/>
      <c r="BA280" s="176"/>
      <c r="BB280" s="171"/>
      <c r="BC280" s="176"/>
      <c r="BD280" s="171"/>
      <c r="BE280" s="176"/>
      <c r="BF280" s="171"/>
      <c r="BG280" s="176"/>
      <c r="BH280" s="171"/>
      <c r="BI280" s="176"/>
      <c r="BJ280" s="171"/>
      <c r="BK280" s="176"/>
      <c r="BL280" s="171"/>
      <c r="BM280" s="176"/>
      <c r="BN280" s="171"/>
      <c r="BO280" s="176"/>
      <c r="BP280" s="171"/>
      <c r="BQ280" s="176"/>
      <c r="BR280" s="171"/>
      <c r="BS280" s="176"/>
      <c r="BT280" s="171"/>
      <c r="BU280" s="176"/>
      <c r="BV280" s="171"/>
      <c r="BW280" s="176"/>
      <c r="BX280" s="171"/>
      <c r="BY280" s="176"/>
      <c r="BZ280" s="171"/>
      <c r="CA280" s="176"/>
      <c r="CB280" s="171"/>
      <c r="CC280" s="176"/>
      <c r="CD280" s="171"/>
      <c r="CE280" s="176"/>
      <c r="CF280" s="171"/>
      <c r="CG280" s="176"/>
      <c r="CH280" s="183"/>
      <c r="CI280" s="195"/>
      <c r="CJ280" s="195"/>
      <c r="CK280" s="195"/>
      <c r="CL280" s="195"/>
      <c r="CM280" s="195"/>
      <c r="CN280" s="195"/>
      <c r="CO280" s="195"/>
      <c r="CP280" s="195"/>
      <c r="CQ280" s="195"/>
      <c r="CR280" s="195"/>
      <c r="CS280" s="204"/>
      <c r="CT280" s="195"/>
      <c r="CU280" s="195"/>
      <c r="CV280" s="195"/>
      <c r="CW280" s="195"/>
      <c r="CX280" s="195"/>
      <c r="CY280" s="195"/>
      <c r="CZ280" s="195"/>
      <c r="DA280" s="195"/>
      <c r="DB280" s="195"/>
      <c r="DC280" s="195"/>
      <c r="DD280" s="195"/>
      <c r="DE280" s="195"/>
      <c r="DF280" s="195"/>
      <c r="DG280" s="195"/>
      <c r="DH280" s="195"/>
      <c r="DI280" s="195"/>
      <c r="DJ280" s="195"/>
      <c r="DK280" s="195"/>
      <c r="DL280" s="195"/>
      <c r="DM280" s="195"/>
      <c r="DN280" s="195"/>
    </row>
    <row r="281" spans="1:118" hidden="1">
      <c r="A281" s="190"/>
      <c r="B281" s="191"/>
      <c r="C281" s="192"/>
      <c r="D281" s="193"/>
      <c r="E281" s="193"/>
      <c r="F281" s="193"/>
      <c r="G281" s="193"/>
      <c r="H281" s="194">
        <f>SUM(Table4[[#This Row],[BASIC]:[FOOD]])</f>
        <v>0</v>
      </c>
      <c r="I281" s="196"/>
      <c r="J281" s="194"/>
      <c r="K281" s="194"/>
      <c r="L281" s="194"/>
      <c r="M281" s="194"/>
      <c r="N281" s="194"/>
      <c r="O281" s="194">
        <f>SUM(Table4[[#This Row],[ESI BASIC]:[ESI FOOD]])</f>
        <v>0</v>
      </c>
      <c r="P281" s="197"/>
      <c r="Q281" s="197"/>
      <c r="R281" s="200"/>
      <c r="S281" s="201"/>
      <c r="T281" s="202">
        <f t="shared" si="18"/>
        <v>0</v>
      </c>
      <c r="U281" s="199"/>
      <c r="V281" s="203">
        <f t="shared" si="19"/>
        <v>0</v>
      </c>
      <c r="W281" s="203">
        <f t="shared" si="20"/>
        <v>0</v>
      </c>
      <c r="X281" s="172"/>
      <c r="Y281" s="176"/>
      <c r="Z281" s="171"/>
      <c r="AA281" s="176"/>
      <c r="AB281" s="171"/>
      <c r="AC281" s="176"/>
      <c r="AD281" s="171"/>
      <c r="AE281" s="176"/>
      <c r="AF281" s="171"/>
      <c r="AG281" s="176"/>
      <c r="AH281" s="171"/>
      <c r="AI281" s="176"/>
      <c r="AJ281" s="171"/>
      <c r="AK281" s="176"/>
      <c r="AL281" s="171"/>
      <c r="AM281" s="176"/>
      <c r="AN281" s="171"/>
      <c r="AO281" s="176"/>
      <c r="AP281" s="171"/>
      <c r="AQ281" s="176"/>
      <c r="AR281" s="171"/>
      <c r="AS281" s="176"/>
      <c r="AT281" s="171"/>
      <c r="AU281" s="176"/>
      <c r="AV281" s="171"/>
      <c r="AW281" s="176"/>
      <c r="AX281" s="171"/>
      <c r="AY281" s="176"/>
      <c r="AZ281" s="171"/>
      <c r="BA281" s="176"/>
      <c r="BB281" s="171"/>
      <c r="BC281" s="176"/>
      <c r="BD281" s="171"/>
      <c r="BE281" s="176"/>
      <c r="BF281" s="171"/>
      <c r="BG281" s="176"/>
      <c r="BH281" s="171"/>
      <c r="BI281" s="176"/>
      <c r="BJ281" s="171"/>
      <c r="BK281" s="176"/>
      <c r="BL281" s="171"/>
      <c r="BM281" s="176"/>
      <c r="BN281" s="171"/>
      <c r="BO281" s="176"/>
      <c r="BP281" s="171"/>
      <c r="BQ281" s="176"/>
      <c r="BR281" s="171"/>
      <c r="BS281" s="176"/>
      <c r="BT281" s="171"/>
      <c r="BU281" s="176"/>
      <c r="BV281" s="171"/>
      <c r="BW281" s="176"/>
      <c r="BX281" s="171"/>
      <c r="BY281" s="176"/>
      <c r="BZ281" s="171"/>
      <c r="CA281" s="176"/>
      <c r="CB281" s="171"/>
      <c r="CC281" s="176"/>
      <c r="CD281" s="171"/>
      <c r="CE281" s="176"/>
      <c r="CF281" s="171"/>
      <c r="CG281" s="176"/>
      <c r="CH281" s="183"/>
      <c r="CI281" s="195"/>
      <c r="CJ281" s="195"/>
      <c r="CK281" s="195"/>
      <c r="CL281" s="195"/>
      <c r="CM281" s="195"/>
      <c r="CN281" s="195"/>
      <c r="CO281" s="195"/>
      <c r="CP281" s="195"/>
      <c r="CQ281" s="195"/>
      <c r="CR281" s="195"/>
      <c r="CS281" s="204"/>
      <c r="CT281" s="195"/>
      <c r="CU281" s="195"/>
      <c r="CV281" s="195"/>
      <c r="CW281" s="195"/>
      <c r="CX281" s="195"/>
      <c r="CY281" s="195"/>
      <c r="CZ281" s="195"/>
      <c r="DA281" s="195"/>
      <c r="DB281" s="195"/>
      <c r="DC281" s="195"/>
      <c r="DD281" s="195"/>
      <c r="DE281" s="195"/>
      <c r="DF281" s="195"/>
      <c r="DG281" s="195"/>
      <c r="DH281" s="195"/>
      <c r="DI281" s="195"/>
      <c r="DJ281" s="195"/>
      <c r="DK281" s="195"/>
      <c r="DL281" s="195"/>
      <c r="DM281" s="195"/>
      <c r="DN281" s="195"/>
    </row>
    <row r="282" spans="1:118" hidden="1">
      <c r="A282" s="190"/>
      <c r="B282" s="191"/>
      <c r="C282" s="192"/>
      <c r="D282" s="193"/>
      <c r="E282" s="193"/>
      <c r="F282" s="193"/>
      <c r="G282" s="193"/>
      <c r="H282" s="194">
        <f>SUM(Table4[[#This Row],[BASIC]:[FOOD]])</f>
        <v>0</v>
      </c>
      <c r="I282" s="196"/>
      <c r="J282" s="194"/>
      <c r="K282" s="194"/>
      <c r="L282" s="194"/>
      <c r="M282" s="194"/>
      <c r="N282" s="194"/>
      <c r="O282" s="194">
        <f>SUM(Table4[[#This Row],[ESI BASIC]:[ESI FOOD]])</f>
        <v>0</v>
      </c>
      <c r="P282" s="197"/>
      <c r="Q282" s="197"/>
      <c r="R282" s="200"/>
      <c r="S282" s="201"/>
      <c r="T282" s="202">
        <f t="shared" si="18"/>
        <v>0</v>
      </c>
      <c r="U282" s="199"/>
      <c r="V282" s="203">
        <f t="shared" si="19"/>
        <v>0</v>
      </c>
      <c r="W282" s="203">
        <f t="shared" si="20"/>
        <v>0</v>
      </c>
      <c r="X282" s="172"/>
      <c r="Y282" s="176"/>
      <c r="Z282" s="171"/>
      <c r="AA282" s="176"/>
      <c r="AB282" s="171"/>
      <c r="AC282" s="176"/>
      <c r="AD282" s="171"/>
      <c r="AE282" s="176"/>
      <c r="AF282" s="171"/>
      <c r="AG282" s="176"/>
      <c r="AH282" s="171"/>
      <c r="AI282" s="176"/>
      <c r="AJ282" s="171"/>
      <c r="AK282" s="176"/>
      <c r="AL282" s="171"/>
      <c r="AM282" s="176"/>
      <c r="AN282" s="171"/>
      <c r="AO282" s="176"/>
      <c r="AP282" s="171"/>
      <c r="AQ282" s="176"/>
      <c r="AR282" s="171"/>
      <c r="AS282" s="176"/>
      <c r="AT282" s="171"/>
      <c r="AU282" s="176"/>
      <c r="AV282" s="171"/>
      <c r="AW282" s="176"/>
      <c r="AX282" s="171"/>
      <c r="AY282" s="176"/>
      <c r="AZ282" s="171"/>
      <c r="BA282" s="176"/>
      <c r="BB282" s="171"/>
      <c r="BC282" s="176"/>
      <c r="BD282" s="171"/>
      <c r="BE282" s="176"/>
      <c r="BF282" s="171"/>
      <c r="BG282" s="176"/>
      <c r="BH282" s="171"/>
      <c r="BI282" s="176"/>
      <c r="BJ282" s="171"/>
      <c r="BK282" s="176"/>
      <c r="BL282" s="171"/>
      <c r="BM282" s="176"/>
      <c r="BN282" s="171"/>
      <c r="BO282" s="176"/>
      <c r="BP282" s="171"/>
      <c r="BQ282" s="176"/>
      <c r="BR282" s="171"/>
      <c r="BS282" s="176"/>
      <c r="BT282" s="171"/>
      <c r="BU282" s="176"/>
      <c r="BV282" s="171"/>
      <c r="BW282" s="176"/>
      <c r="BX282" s="171"/>
      <c r="BY282" s="176"/>
      <c r="BZ282" s="171"/>
      <c r="CA282" s="176"/>
      <c r="CB282" s="171"/>
      <c r="CC282" s="176"/>
      <c r="CD282" s="171"/>
      <c r="CE282" s="176"/>
      <c r="CF282" s="171"/>
      <c r="CG282" s="176"/>
      <c r="CH282" s="183"/>
      <c r="CI282" s="195"/>
      <c r="CJ282" s="195"/>
      <c r="CK282" s="195"/>
      <c r="CL282" s="195"/>
      <c r="CM282" s="195"/>
      <c r="CN282" s="195"/>
      <c r="CO282" s="195"/>
      <c r="CP282" s="195"/>
      <c r="CQ282" s="195"/>
      <c r="CR282" s="195"/>
      <c r="CS282" s="204"/>
      <c r="CT282" s="195"/>
      <c r="CU282" s="195"/>
      <c r="CV282" s="195"/>
      <c r="CW282" s="195"/>
      <c r="CX282" s="195"/>
      <c r="CY282" s="195"/>
      <c r="CZ282" s="195"/>
      <c r="DA282" s="195"/>
      <c r="DB282" s="195"/>
      <c r="DC282" s="195"/>
      <c r="DD282" s="195"/>
      <c r="DE282" s="195"/>
      <c r="DF282" s="195"/>
      <c r="DG282" s="195"/>
      <c r="DH282" s="195"/>
      <c r="DI282" s="195"/>
      <c r="DJ282" s="195"/>
      <c r="DK282" s="195"/>
      <c r="DL282" s="195"/>
      <c r="DM282" s="195"/>
      <c r="DN282" s="195"/>
    </row>
    <row r="283" spans="1:118" hidden="1">
      <c r="A283" s="190"/>
      <c r="B283" s="191"/>
      <c r="C283" s="192"/>
      <c r="D283" s="193"/>
      <c r="E283" s="193"/>
      <c r="F283" s="193"/>
      <c r="G283" s="193"/>
      <c r="H283" s="194">
        <f>SUM(Table4[[#This Row],[BASIC]:[FOOD]])</f>
        <v>0</v>
      </c>
      <c r="I283" s="196"/>
      <c r="J283" s="194">
        <v>220</v>
      </c>
      <c r="K283" s="194">
        <v>60</v>
      </c>
      <c r="L283" s="194"/>
      <c r="M283" s="194"/>
      <c r="N283" s="194"/>
      <c r="O283" s="194">
        <f>SUM(Table4[[#This Row],[ESI BASIC]:[ESI FOOD]])</f>
        <v>0</v>
      </c>
      <c r="P283" s="197"/>
      <c r="Q283" s="197"/>
      <c r="R283" s="200"/>
      <c r="S283" s="201"/>
      <c r="T283" s="202">
        <f t="shared" si="18"/>
        <v>0</v>
      </c>
      <c r="U283" s="199"/>
      <c r="V283" s="203">
        <f t="shared" si="19"/>
        <v>0</v>
      </c>
      <c r="W283" s="203">
        <f t="shared" si="20"/>
        <v>0</v>
      </c>
      <c r="X283" s="172"/>
      <c r="Y283" s="176"/>
      <c r="Z283" s="171"/>
      <c r="AA283" s="176"/>
      <c r="AB283" s="171"/>
      <c r="AC283" s="176"/>
      <c r="AD283" s="171"/>
      <c r="AE283" s="176"/>
      <c r="AF283" s="171"/>
      <c r="AG283" s="176"/>
      <c r="AH283" s="171"/>
      <c r="AI283" s="176"/>
      <c r="AJ283" s="171"/>
      <c r="AK283" s="176"/>
      <c r="AL283" s="171"/>
      <c r="AM283" s="176"/>
      <c r="AN283" s="171"/>
      <c r="AO283" s="176"/>
      <c r="AP283" s="171"/>
      <c r="AQ283" s="176"/>
      <c r="AR283" s="171"/>
      <c r="AS283" s="176"/>
      <c r="AT283" s="171"/>
      <c r="AU283" s="176"/>
      <c r="AV283" s="171"/>
      <c r="AW283" s="176"/>
      <c r="AX283" s="171"/>
      <c r="AY283" s="176"/>
      <c r="AZ283" s="171"/>
      <c r="BA283" s="176"/>
      <c r="BB283" s="171"/>
      <c r="BC283" s="176"/>
      <c r="BD283" s="171"/>
      <c r="BE283" s="176"/>
      <c r="BF283" s="171"/>
      <c r="BG283" s="176"/>
      <c r="BH283" s="171"/>
      <c r="BI283" s="176"/>
      <c r="BJ283" s="171"/>
      <c r="BK283" s="176"/>
      <c r="BL283" s="171"/>
      <c r="BM283" s="176"/>
      <c r="BN283" s="171"/>
      <c r="BO283" s="176"/>
      <c r="BP283" s="171"/>
      <c r="BQ283" s="176"/>
      <c r="BR283" s="171"/>
      <c r="BS283" s="176"/>
      <c r="BT283" s="171"/>
      <c r="BU283" s="176"/>
      <c r="BV283" s="171"/>
      <c r="BW283" s="176"/>
      <c r="BX283" s="171"/>
      <c r="BY283" s="176"/>
      <c r="BZ283" s="171"/>
      <c r="CA283" s="176"/>
      <c r="CB283" s="171"/>
      <c r="CC283" s="176"/>
      <c r="CD283" s="171"/>
      <c r="CE283" s="176"/>
      <c r="CF283" s="171"/>
      <c r="CG283" s="176"/>
      <c r="CH283" s="183"/>
      <c r="CI283" s="195"/>
      <c r="CJ283" s="195"/>
      <c r="CK283" s="195"/>
      <c r="CL283" s="195"/>
      <c r="CM283" s="195"/>
      <c r="CN283" s="195"/>
      <c r="CO283" s="195"/>
      <c r="CP283" s="195"/>
      <c r="CQ283" s="195"/>
      <c r="CR283" s="195"/>
      <c r="CS283" s="204"/>
      <c r="CT283" s="195"/>
      <c r="CU283" s="195"/>
      <c r="CV283" s="195"/>
      <c r="CW283" s="195"/>
      <c r="CX283" s="195"/>
      <c r="CY283" s="195"/>
      <c r="CZ283" s="195"/>
      <c r="DA283" s="195"/>
      <c r="DB283" s="195"/>
      <c r="DC283" s="195"/>
      <c r="DD283" s="195"/>
      <c r="DE283" s="195"/>
      <c r="DF283" s="195"/>
      <c r="DG283" s="195"/>
      <c r="DH283" s="195"/>
      <c r="DI283" s="195"/>
      <c r="DJ283" s="195"/>
      <c r="DK283" s="195"/>
      <c r="DL283" s="195"/>
      <c r="DM283" s="195"/>
      <c r="DN283" s="195"/>
    </row>
    <row r="284" spans="1:118" hidden="1">
      <c r="A284" s="190"/>
      <c r="B284" s="191"/>
      <c r="C284" s="192"/>
      <c r="D284" s="193"/>
      <c r="E284" s="193"/>
      <c r="F284" s="193"/>
      <c r="G284" s="193"/>
      <c r="H284" s="194">
        <f>SUM(Table4[[#This Row],[BASIC]:[FOOD]])</f>
        <v>0</v>
      </c>
      <c r="I284" s="196"/>
      <c r="J284" s="194"/>
      <c r="K284" s="194"/>
      <c r="L284" s="194"/>
      <c r="M284" s="194"/>
      <c r="N284" s="194"/>
      <c r="O284" s="194">
        <f>SUM(Table4[[#This Row],[ESI BASIC]:[ESI FOOD]])</f>
        <v>0</v>
      </c>
      <c r="P284" s="197"/>
      <c r="Q284" s="197"/>
      <c r="R284" s="200"/>
      <c r="S284" s="201"/>
      <c r="T284" s="202">
        <f t="shared" si="18"/>
        <v>0</v>
      </c>
      <c r="U284" s="199"/>
      <c r="V284" s="203">
        <f t="shared" si="19"/>
        <v>0</v>
      </c>
      <c r="W284" s="203">
        <f t="shared" si="20"/>
        <v>0</v>
      </c>
      <c r="X284" s="172"/>
      <c r="Y284" s="176"/>
      <c r="Z284" s="171"/>
      <c r="AA284" s="176"/>
      <c r="AB284" s="171"/>
      <c r="AC284" s="176"/>
      <c r="AD284" s="171"/>
      <c r="AE284" s="176"/>
      <c r="AF284" s="171"/>
      <c r="AG284" s="176"/>
      <c r="AH284" s="171"/>
      <c r="AI284" s="176"/>
      <c r="AJ284" s="171"/>
      <c r="AK284" s="176"/>
      <c r="AL284" s="171"/>
      <c r="AM284" s="176"/>
      <c r="AN284" s="171"/>
      <c r="AO284" s="176"/>
      <c r="AP284" s="171"/>
      <c r="AQ284" s="176"/>
      <c r="AR284" s="171"/>
      <c r="AS284" s="176"/>
      <c r="AT284" s="171"/>
      <c r="AU284" s="176"/>
      <c r="AV284" s="171"/>
      <c r="AW284" s="176"/>
      <c r="AX284" s="171"/>
      <c r="AY284" s="176"/>
      <c r="AZ284" s="171"/>
      <c r="BA284" s="176"/>
      <c r="BB284" s="171"/>
      <c r="BC284" s="176"/>
      <c r="BD284" s="171"/>
      <c r="BE284" s="176"/>
      <c r="BF284" s="171"/>
      <c r="BG284" s="176"/>
      <c r="BH284" s="171"/>
      <c r="BI284" s="176"/>
      <c r="BJ284" s="171"/>
      <c r="BK284" s="176"/>
      <c r="BL284" s="171"/>
      <c r="BM284" s="176"/>
      <c r="BN284" s="171"/>
      <c r="BO284" s="176"/>
      <c r="BP284" s="171"/>
      <c r="BQ284" s="176"/>
      <c r="BR284" s="171"/>
      <c r="BS284" s="176"/>
      <c r="BT284" s="171"/>
      <c r="BU284" s="176"/>
      <c r="BV284" s="171"/>
      <c r="BW284" s="176"/>
      <c r="BX284" s="171"/>
      <c r="BY284" s="176"/>
      <c r="BZ284" s="171"/>
      <c r="CA284" s="176"/>
      <c r="CB284" s="171"/>
      <c r="CC284" s="176"/>
      <c r="CD284" s="171"/>
      <c r="CE284" s="176"/>
      <c r="CF284" s="171"/>
      <c r="CG284" s="176"/>
      <c r="CH284" s="183"/>
      <c r="CI284" s="195"/>
      <c r="CJ284" s="195"/>
      <c r="CK284" s="195"/>
      <c r="CL284" s="195"/>
      <c r="CM284" s="195"/>
      <c r="CN284" s="195"/>
      <c r="CO284" s="195"/>
      <c r="CP284" s="195"/>
      <c r="CQ284" s="195"/>
      <c r="CR284" s="195"/>
      <c r="CS284" s="204"/>
      <c r="CT284" s="195"/>
      <c r="CU284" s="195"/>
      <c r="CV284" s="195"/>
      <c r="CW284" s="195"/>
      <c r="CX284" s="195"/>
      <c r="CY284" s="195"/>
      <c r="CZ284" s="195"/>
      <c r="DA284" s="195"/>
      <c r="DB284" s="195"/>
      <c r="DC284" s="195"/>
      <c r="DD284" s="195"/>
      <c r="DE284" s="195"/>
      <c r="DF284" s="195"/>
      <c r="DG284" s="195"/>
      <c r="DH284" s="195"/>
      <c r="DI284" s="195"/>
      <c r="DJ284" s="195"/>
      <c r="DK284" s="195"/>
      <c r="DL284" s="195"/>
      <c r="DM284" s="195"/>
      <c r="DN284" s="195"/>
    </row>
    <row r="286" spans="1:118">
      <c r="AA286" s="140" t="s">
        <v>194</v>
      </c>
    </row>
    <row r="287" spans="1:118">
      <c r="R287" s="266"/>
    </row>
  </sheetData>
  <sheetProtection formatCells="0" formatColumns="0" formatRows="0" deleteRows="0" sort="0" autoFilter="0" pivotTables="0"/>
  <mergeCells count="32">
    <mergeCell ref="A1:C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CD1:CE1"/>
    <mergeCell ref="CF1:CG1"/>
    <mergeCell ref="BT1:BU1"/>
    <mergeCell ref="BV1:BW1"/>
    <mergeCell ref="BX1:BY1"/>
    <mergeCell ref="BZ1:CA1"/>
    <mergeCell ref="CB1:CC1"/>
  </mergeCells>
  <conditionalFormatting sqref="X7">
    <cfRule type="containsText" dxfId="2058" priority="537" operator="containsText" text="P">
      <formula>NOT(ISERROR(SEARCH("P",X7)))</formula>
    </cfRule>
    <cfRule type="containsText" dxfId="2057" priority="538" operator="containsText" text="P">
      <formula>NOT(ISERROR(SEARCH("P",X7)))</formula>
    </cfRule>
    <cfRule type="cellIs" dxfId="2056" priority="539" operator="greaterThan">
      <formula>0</formula>
    </cfRule>
  </conditionalFormatting>
  <conditionalFormatting sqref="X7:X8 X91:AI92 X94:AI95">
    <cfRule type="containsText" dxfId="2055" priority="264" operator="containsText" text="A">
      <formula>NOT(ISERROR(SEARCH("A",X7)))</formula>
    </cfRule>
  </conditionalFormatting>
  <conditionalFormatting sqref="X7:X8">
    <cfRule type="containsText" dxfId="2054" priority="262" operator="containsText" text="A">
      <formula>NOT(ISERROR(SEARCH("A",X7)))</formula>
    </cfRule>
  </conditionalFormatting>
  <conditionalFormatting sqref="X8">
    <cfRule type="containsText" dxfId="2053" priority="467" operator="containsText" text="P">
      <formula>NOT(ISERROR(SEARCH("P",X8)))</formula>
    </cfRule>
    <cfRule type="containsText" dxfId="2052" priority="466" operator="containsText" text="P">
      <formula>NOT(ISERROR(SEARCH("P",X8)))</formula>
    </cfRule>
    <cfRule type="cellIs" dxfId="2051" priority="468" operator="greaterThan">
      <formula>0</formula>
    </cfRule>
  </conditionalFormatting>
  <conditionalFormatting sqref="X11">
    <cfRule type="containsText" dxfId="2050" priority="519" operator="containsText" text="P">
      <formula>NOT(ISERROR(SEARCH("P",X11)))</formula>
    </cfRule>
    <cfRule type="containsText" dxfId="2049" priority="518" operator="containsText" text="A">
      <formula>NOT(ISERROR(SEARCH("A",X11)))</formula>
    </cfRule>
    <cfRule type="containsText" dxfId="2048" priority="517" operator="containsText" text="P">
      <formula>NOT(ISERROR(SEARCH("P",X11)))</formula>
    </cfRule>
    <cfRule type="containsText" dxfId="2047" priority="516" operator="containsText" text="A">
      <formula>NOT(ISERROR(SEARCH("A",X11)))</formula>
    </cfRule>
  </conditionalFormatting>
  <conditionalFormatting sqref="X16">
    <cfRule type="cellIs" dxfId="2046" priority="458" operator="greaterThan">
      <formula>0</formula>
    </cfRule>
    <cfRule type="containsText" dxfId="2045" priority="457" operator="containsText" text="P">
      <formula>NOT(ISERROR(SEARCH("P",X16)))</formula>
    </cfRule>
    <cfRule type="containsText" dxfId="2044" priority="422" operator="containsText" text="A">
      <formula>NOT(ISERROR(SEARCH("A",X16)))</formula>
    </cfRule>
    <cfRule type="containsText" dxfId="2043" priority="420" operator="containsText" text="A">
      <formula>NOT(ISERROR(SEARCH("A",X16)))</formula>
    </cfRule>
    <cfRule type="containsText" dxfId="2042" priority="456" operator="containsText" text="P">
      <formula>NOT(ISERROR(SEARCH("P",X16)))</formula>
    </cfRule>
  </conditionalFormatting>
  <conditionalFormatting sqref="X30">
    <cfRule type="containsText" dxfId="2041" priority="383" operator="containsText" text="P">
      <formula>NOT(ISERROR(SEARCH("P",X30)))</formula>
    </cfRule>
    <cfRule type="containsText" dxfId="2040" priority="382" operator="containsText" text="P">
      <formula>NOT(ISERROR(SEARCH("P",X30)))</formula>
    </cfRule>
    <cfRule type="cellIs" dxfId="2039" priority="384" operator="greaterThan">
      <formula>0</formula>
    </cfRule>
  </conditionalFormatting>
  <conditionalFormatting sqref="X38 Z38:AC38">
    <cfRule type="containsText" dxfId="2038" priority="237" operator="containsText" text="A">
      <formula>NOT(ISERROR(SEARCH("A",X38)))</formula>
    </cfRule>
    <cfRule type="containsText" dxfId="2037" priority="239" operator="containsText" text="A">
      <formula>NOT(ISERROR(SEARCH("A",X38)))</formula>
    </cfRule>
    <cfRule type="containsText" dxfId="2036" priority="238" operator="containsText" text="P">
      <formula>NOT(ISERROR(SEARCH("P",X38)))</formula>
    </cfRule>
    <cfRule type="containsText" dxfId="2035" priority="240" operator="containsText" text="P">
      <formula>NOT(ISERROR(SEARCH("P",X38)))</formula>
    </cfRule>
  </conditionalFormatting>
  <conditionalFormatting sqref="X46">
    <cfRule type="containsText" dxfId="2034" priority="348" operator="containsText" text="P">
      <formula>NOT(ISERROR(SEARCH("P",X46)))</formula>
    </cfRule>
    <cfRule type="containsText" dxfId="2033" priority="349" operator="containsText" text="P">
      <formula>NOT(ISERROR(SEARCH("P",X46)))</formula>
    </cfRule>
    <cfRule type="cellIs" dxfId="2032" priority="350" operator="greaterThan">
      <formula>0</formula>
    </cfRule>
  </conditionalFormatting>
  <conditionalFormatting sqref="X46:X47">
    <cfRule type="containsText" dxfId="2031" priority="326" operator="containsText" text="A">
      <formula>NOT(ISERROR(SEARCH("A",X46)))</formula>
    </cfRule>
    <cfRule type="containsText" dxfId="2030" priority="328" operator="containsText" text="A">
      <formula>NOT(ISERROR(SEARCH("A",X46)))</formula>
    </cfRule>
  </conditionalFormatting>
  <conditionalFormatting sqref="X47">
    <cfRule type="containsText" dxfId="2029" priority="327" operator="containsText" text="P">
      <formula>NOT(ISERROR(SEARCH("P",X47)))</formula>
    </cfRule>
    <cfRule type="containsText" dxfId="2028" priority="329" operator="containsText" text="P">
      <formula>NOT(ISERROR(SEARCH("P",X47)))</formula>
    </cfRule>
    <cfRule type="cellIs" dxfId="2027" priority="330" operator="greaterThan">
      <formula>0</formula>
    </cfRule>
  </conditionalFormatting>
  <conditionalFormatting sqref="X49">
    <cfRule type="containsText" dxfId="2026" priority="489" operator="containsText" text="A">
      <formula>NOT(ISERROR(SEARCH("A",X49)))</formula>
    </cfRule>
    <cfRule type="containsText" dxfId="2025" priority="490" operator="containsText" text="P">
      <formula>NOT(ISERROR(SEARCH("P",X49)))</formula>
    </cfRule>
    <cfRule type="containsText" dxfId="2024" priority="488" operator="containsText" text="P">
      <formula>NOT(ISERROR(SEARCH("P",X49)))</formula>
    </cfRule>
    <cfRule type="cellIs" dxfId="2023" priority="491" operator="greaterThan">
      <formula>0</formula>
    </cfRule>
    <cfRule type="containsText" dxfId="2022" priority="487" operator="containsText" text="A">
      <formula>NOT(ISERROR(SEARCH("A",X49)))</formula>
    </cfRule>
  </conditionalFormatting>
  <conditionalFormatting sqref="X62">
    <cfRule type="containsText" dxfId="2021" priority="535" operator="containsText" text="A">
      <formula>NOT(ISERROR(SEARCH("A",X62)))</formula>
    </cfRule>
    <cfRule type="containsText" dxfId="2020" priority="533" operator="containsText" text="A">
      <formula>NOT(ISERROR(SEARCH("A",X62)))</formula>
    </cfRule>
  </conditionalFormatting>
  <conditionalFormatting sqref="X90 X83 X77 X54 X34 X31">
    <cfRule type="containsText" dxfId="2019" priority="124" operator="containsText" text="P">
      <formula>NOT(ISERROR(SEARCH("P",X31)))</formula>
    </cfRule>
    <cfRule type="containsText" dxfId="2018" priority="125" operator="containsText" text="P">
      <formula>NOT(ISERROR(SEARCH("P",X31)))</formula>
    </cfRule>
    <cfRule type="cellIs" dxfId="2017" priority="126" operator="greaterThan">
      <formula>0</formula>
    </cfRule>
  </conditionalFormatting>
  <conditionalFormatting sqref="X3:Y6 X9:Y9 X17:Y17 X19:Y22 X28:Y29 X42:Y42 X60:Y60 X70:Y70 X80:Y80 X86:Y86 X93:Y93">
    <cfRule type="containsText" dxfId="2016" priority="7" operator="containsText" text="A">
      <formula>NOT(ISERROR(SEARCH("A",X3)))</formula>
    </cfRule>
    <cfRule type="containsText" dxfId="2015" priority="9" operator="containsText" text="A">
      <formula>NOT(ISERROR(SEARCH("A",X3)))</formula>
    </cfRule>
  </conditionalFormatting>
  <conditionalFormatting sqref="X12:Y12">
    <cfRule type="containsText" dxfId="2014" priority="219" operator="containsText" text="A">
      <formula>NOT(ISERROR(SEARCH("A",X12)))</formula>
    </cfRule>
    <cfRule type="containsText" dxfId="2013" priority="218" operator="containsText" text="P">
      <formula>NOT(ISERROR(SEARCH("P",X12)))</formula>
    </cfRule>
    <cfRule type="containsText" dxfId="2012" priority="217" operator="containsText" text="A">
      <formula>NOT(ISERROR(SEARCH("A",X12)))</formula>
    </cfRule>
    <cfRule type="containsText" dxfId="2011" priority="220" operator="containsText" text="P">
      <formula>NOT(ISERROR(SEARCH("P",X12)))</formula>
    </cfRule>
  </conditionalFormatting>
  <conditionalFormatting sqref="X14:Y14">
    <cfRule type="containsText" dxfId="2010" priority="210" operator="containsText" text="P">
      <formula>NOT(ISERROR(SEARCH("P",X14)))</formula>
    </cfRule>
    <cfRule type="containsText" dxfId="2009" priority="208" operator="containsText" text="P">
      <formula>NOT(ISERROR(SEARCH("P",X14)))</formula>
    </cfRule>
  </conditionalFormatting>
  <conditionalFormatting sqref="X14:Y15 X25:Y26 X32:Y32 X51:Y51">
    <cfRule type="containsText" dxfId="2008" priority="89" operator="containsText" text="A">
      <formula>NOT(ISERROR(SEARCH("A",X14)))</formula>
    </cfRule>
    <cfRule type="containsText" dxfId="2007" priority="91" operator="containsText" text="A">
      <formula>NOT(ISERROR(SEARCH("A",X14)))</formula>
    </cfRule>
  </conditionalFormatting>
  <conditionalFormatting sqref="X19:Y19">
    <cfRule type="containsText" dxfId="2006" priority="445" operator="containsText" text="P">
      <formula>NOT(ISERROR(SEARCH("P",X19)))</formula>
    </cfRule>
    <cfRule type="containsText" dxfId="2005" priority="447" operator="containsText" text="P">
      <formula>NOT(ISERROR(SEARCH("P",X19)))</formula>
    </cfRule>
  </conditionalFormatting>
  <conditionalFormatting sqref="X22:Y22">
    <cfRule type="containsText" dxfId="2004" priority="198" operator="containsText" text="P">
      <formula>NOT(ISERROR(SEARCH("P",X22)))</formula>
    </cfRule>
    <cfRule type="containsText" dxfId="2003" priority="196" operator="containsText" text="P">
      <formula>NOT(ISERROR(SEARCH("P",X22)))</formula>
    </cfRule>
  </conditionalFormatting>
  <conditionalFormatting sqref="X26:Y26">
    <cfRule type="containsText" dxfId="2002" priority="393" operator="containsText" text="P">
      <formula>NOT(ISERROR(SEARCH("P",X26)))</formula>
    </cfRule>
    <cfRule type="containsText" dxfId="2001" priority="395" operator="containsText" text="P">
      <formula>NOT(ISERROR(SEARCH("P",X26)))</formula>
    </cfRule>
  </conditionalFormatting>
  <conditionalFormatting sqref="X37:Y37">
    <cfRule type="containsText" dxfId="2000" priority="372" operator="containsText" text="P">
      <formula>NOT(ISERROR(SEARCH("P",X37)))</formula>
    </cfRule>
    <cfRule type="containsText" dxfId="1999" priority="371" operator="containsText" text="A">
      <formula>NOT(ISERROR(SEARCH("A",X37)))</formula>
    </cfRule>
    <cfRule type="containsText" dxfId="1998" priority="370" operator="containsText" text="P">
      <formula>NOT(ISERROR(SEARCH("P",X37)))</formula>
    </cfRule>
    <cfRule type="containsText" dxfId="1997" priority="369" operator="containsText" text="A">
      <formula>NOT(ISERROR(SEARCH("A",X37)))</formula>
    </cfRule>
  </conditionalFormatting>
  <conditionalFormatting sqref="X40:Y40">
    <cfRule type="containsText" dxfId="1996" priority="253" operator="containsText" text="A">
      <formula>NOT(ISERROR(SEARCH("A",X40)))</formula>
    </cfRule>
    <cfRule type="containsText" dxfId="1995" priority="254" operator="containsText" text="P">
      <formula>NOT(ISERROR(SEARCH("P",X40)))</formula>
    </cfRule>
    <cfRule type="containsText" dxfId="1994" priority="255" operator="containsText" text="A">
      <formula>NOT(ISERROR(SEARCH("A",X40)))</formula>
    </cfRule>
    <cfRule type="containsText" dxfId="1993" priority="256" operator="containsText" text="P">
      <formula>NOT(ISERROR(SEARCH("P",X40)))</formula>
    </cfRule>
  </conditionalFormatting>
  <conditionalFormatting sqref="X45:Y45">
    <cfRule type="containsText" dxfId="1992" priority="184" operator="containsText" text="P">
      <formula>NOT(ISERROR(SEARCH("P",X45)))</formula>
    </cfRule>
    <cfRule type="containsText" dxfId="1991" priority="186" operator="containsText" text="P">
      <formula>NOT(ISERROR(SEARCH("P",X45)))</formula>
    </cfRule>
  </conditionalFormatting>
  <conditionalFormatting sqref="X45:Y46">
    <cfRule type="containsText" dxfId="1990" priority="183" operator="containsText" text="A">
      <formula>NOT(ISERROR(SEARCH("A",X45)))</formula>
    </cfRule>
    <cfRule type="containsText" dxfId="1989" priority="185" operator="containsText" text="A">
      <formula>NOT(ISERROR(SEARCH("A",X45)))</formula>
    </cfRule>
  </conditionalFormatting>
  <conditionalFormatting sqref="X46:Y46">
    <cfRule type="containsText" dxfId="1988" priority="324" operator="containsText" text="P">
      <formula>NOT(ISERROR(SEARCH("P",X46)))</formula>
    </cfRule>
    <cfRule type="containsText" dxfId="1987" priority="325" operator="containsText" text="P">
      <formula>NOT(ISERROR(SEARCH("P",X46)))</formula>
    </cfRule>
  </conditionalFormatting>
  <conditionalFormatting sqref="X47:Y47">
    <cfRule type="containsText" dxfId="1986" priority="345" operator="containsText" text="P">
      <formula>NOT(ISERROR(SEARCH("P",X47)))</formula>
    </cfRule>
    <cfRule type="containsText" dxfId="1985" priority="347" operator="containsText" text="P">
      <formula>NOT(ISERROR(SEARCH("P",X47)))</formula>
    </cfRule>
  </conditionalFormatting>
  <conditionalFormatting sqref="X47:Y48">
    <cfRule type="containsText" dxfId="1984" priority="344" operator="containsText" text="A">
      <formula>NOT(ISERROR(SEARCH("A",X47)))</formula>
    </cfRule>
    <cfRule type="containsText" dxfId="1983" priority="346" operator="containsText" text="A">
      <formula>NOT(ISERROR(SEARCH("A",X47)))</formula>
    </cfRule>
  </conditionalFormatting>
  <conditionalFormatting sqref="X48:Y48">
    <cfRule type="containsText" dxfId="1982" priority="359" operator="containsText" text="P">
      <formula>NOT(ISERROR(SEARCH("P",X48)))</formula>
    </cfRule>
    <cfRule type="containsText" dxfId="1981" priority="314" operator="containsText" text="P">
      <formula>NOT(ISERROR(SEARCH("P",X48)))</formula>
    </cfRule>
    <cfRule type="containsText" dxfId="1980" priority="313" operator="containsText" text="A">
      <formula>NOT(ISERROR(SEARCH("A",X48)))</formula>
    </cfRule>
    <cfRule type="containsText" dxfId="1979" priority="312" operator="containsText" text="P">
      <formula>NOT(ISERROR(SEARCH("P",X48)))</formula>
    </cfRule>
    <cfRule type="containsText" dxfId="1978" priority="311" operator="containsText" text="A">
      <formula>NOT(ISERROR(SEARCH("A",X48)))</formula>
    </cfRule>
    <cfRule type="containsText" dxfId="1977" priority="358" operator="containsText" text="P">
      <formula>NOT(ISERROR(SEARCH("P",X48)))</formula>
    </cfRule>
  </conditionalFormatting>
  <conditionalFormatting sqref="X51:Y51 X32:Y32 X25:Y25 X15:Y15">
    <cfRule type="containsText" dxfId="1976" priority="90" operator="containsText" text="P">
      <formula>NOT(ISERROR(SEARCH("P",X15)))</formula>
    </cfRule>
    <cfRule type="containsText" dxfId="1975" priority="92" operator="containsText" text="P">
      <formula>NOT(ISERROR(SEARCH("P",X15)))</formula>
    </cfRule>
  </conditionalFormatting>
  <conditionalFormatting sqref="X82:Y82">
    <cfRule type="containsText" dxfId="1974" priority="171" operator="containsText" text="A">
      <formula>NOT(ISERROR(SEARCH("A",X82)))</formula>
    </cfRule>
    <cfRule type="containsText" dxfId="1973" priority="173" operator="containsText" text="A">
      <formula>NOT(ISERROR(SEARCH("A",X82)))</formula>
    </cfRule>
    <cfRule type="containsText" dxfId="1972" priority="174" operator="containsText" text="P">
      <formula>NOT(ISERROR(SEARCH("P",X82)))</formula>
    </cfRule>
    <cfRule type="containsText" dxfId="1971" priority="172" operator="containsText" text="P">
      <formula>NOT(ISERROR(SEARCH("P",X82)))</formula>
    </cfRule>
  </conditionalFormatting>
  <conditionalFormatting sqref="X93:Y93 X86:Y86 X80:Y80 X70:Y70 X60:Y60 X42:Y42 X28:Y29 X20:Y21 X17:Y17 X9:Y9 X3:Y6">
    <cfRule type="containsText" dxfId="1970" priority="10" operator="containsText" text="P">
      <formula>NOT(ISERROR(SEARCH("P",X3)))</formula>
    </cfRule>
    <cfRule type="containsText" dxfId="1969" priority="8" operator="containsText" text="P">
      <formula>NOT(ISERROR(SEARCH("P",X3)))</formula>
    </cfRule>
  </conditionalFormatting>
  <conditionalFormatting sqref="X18:AA18">
    <cfRule type="containsText" dxfId="1968" priority="454" operator="containsText" text="A">
      <formula>NOT(ISERROR(SEARCH("A",X18)))</formula>
    </cfRule>
    <cfRule type="containsText" dxfId="1967" priority="455" operator="containsText" text="P">
      <formula>NOT(ISERROR(SEARCH("P",X18)))</formula>
    </cfRule>
    <cfRule type="containsText" dxfId="1966" priority="452" operator="containsText" text="A">
      <formula>NOT(ISERROR(SEARCH("A",X18)))</formula>
    </cfRule>
    <cfRule type="containsText" dxfId="1965" priority="453" operator="containsText" text="P">
      <formula>NOT(ISERROR(SEARCH("P",X18)))</formula>
    </cfRule>
  </conditionalFormatting>
  <conditionalFormatting sqref="X10:AC10">
    <cfRule type="containsText" dxfId="1964" priority="225" operator="containsText" text="A">
      <formula>NOT(ISERROR(SEARCH("A",X10)))</formula>
    </cfRule>
    <cfRule type="containsText" dxfId="1963" priority="226" operator="containsText" text="P">
      <formula>NOT(ISERROR(SEARCH("P",X10)))</formula>
    </cfRule>
    <cfRule type="containsText" dxfId="1962" priority="228" operator="containsText" text="P">
      <formula>NOT(ISERROR(SEARCH("P",X10)))</formula>
    </cfRule>
    <cfRule type="containsText" dxfId="1961" priority="227" operator="containsText" text="A">
      <formula>NOT(ISERROR(SEARCH("A",X10)))</formula>
    </cfRule>
  </conditionalFormatting>
  <conditionalFormatting sqref="X13:AC13">
    <cfRule type="containsText" dxfId="1960" priority="508" operator="containsText" text="A">
      <formula>NOT(ISERROR(SEARCH("A",X13)))</formula>
    </cfRule>
    <cfRule type="containsText" dxfId="1959" priority="507" operator="containsText" text="P">
      <formula>NOT(ISERROR(SEARCH("P",X13)))</formula>
    </cfRule>
    <cfRule type="containsText" dxfId="1958" priority="506" operator="containsText" text="A">
      <formula>NOT(ISERROR(SEARCH("A",X13)))</formula>
    </cfRule>
    <cfRule type="containsText" dxfId="1957" priority="509" operator="containsText" text="P">
      <formula>NOT(ISERROR(SEARCH("P",X13)))</formula>
    </cfRule>
  </conditionalFormatting>
  <conditionalFormatting sqref="X23:AC23">
    <cfRule type="containsText" dxfId="1956" priority="501" operator="containsText" text="P">
      <formula>NOT(ISERROR(SEARCH("P",X23)))</formula>
    </cfRule>
    <cfRule type="containsText" dxfId="1955" priority="500" operator="containsText" text="P">
      <formula>NOT(ISERROR(SEARCH("P",X23)))</formula>
    </cfRule>
  </conditionalFormatting>
  <conditionalFormatting sqref="X23:AC24">
    <cfRule type="containsText" dxfId="1954" priority="194" operator="containsText" text="A">
      <formula>NOT(ISERROR(SEARCH("A",X23)))</formula>
    </cfRule>
    <cfRule type="containsText" dxfId="1953" priority="193" operator="containsText" text="A">
      <formula>NOT(ISERROR(SEARCH("A",X23)))</formula>
    </cfRule>
  </conditionalFormatting>
  <conditionalFormatting sqref="X24:AC24">
    <cfRule type="containsText" dxfId="1952" priority="531" operator="containsText" text="P">
      <formula>NOT(ISERROR(SEARCH("P",X24)))</formula>
    </cfRule>
    <cfRule type="containsText" dxfId="1951" priority="532" operator="containsText" text="P">
      <formula>NOT(ISERROR(SEARCH("P",X24)))</formula>
    </cfRule>
  </conditionalFormatting>
  <conditionalFormatting sqref="X27:AC27">
    <cfRule type="containsText" dxfId="1950" priority="221" operator="containsText" text="A">
      <formula>NOT(ISERROR(SEARCH("A",X27)))</formula>
    </cfRule>
    <cfRule type="containsText" dxfId="1949" priority="222" operator="containsText" text="P">
      <formula>NOT(ISERROR(SEARCH("P",X27)))</formula>
    </cfRule>
    <cfRule type="containsText" dxfId="1948" priority="223" operator="containsText" text="A">
      <formula>NOT(ISERROR(SEARCH("A",X27)))</formula>
    </cfRule>
    <cfRule type="containsText" dxfId="1947" priority="224" operator="containsText" text="P">
      <formula>NOT(ISERROR(SEARCH("P",X27)))</formula>
    </cfRule>
  </conditionalFormatting>
  <conditionalFormatting sqref="X33:AC33">
    <cfRule type="containsText" dxfId="1946" priority="231" operator="containsText" text="A">
      <formula>NOT(ISERROR(SEARCH("A",X33)))</formula>
    </cfRule>
    <cfRule type="containsText" dxfId="1945" priority="229" operator="containsText" text="A">
      <formula>NOT(ISERROR(SEARCH("A",X33)))</formula>
    </cfRule>
    <cfRule type="containsText" dxfId="1944" priority="398" operator="containsText" text="P">
      <formula>NOT(ISERROR(SEARCH("P",X33)))</formula>
    </cfRule>
    <cfRule type="containsText" dxfId="1943" priority="399" operator="containsText" text="P">
      <formula>NOT(ISERROR(SEARCH("P",X33)))</formula>
    </cfRule>
  </conditionalFormatting>
  <conditionalFormatting sqref="X35:AC35">
    <cfRule type="containsText" dxfId="1942" priority="374" operator="containsText" text="P">
      <formula>NOT(ISERROR(SEARCH("P",X35)))</formula>
    </cfRule>
    <cfRule type="containsText" dxfId="1941" priority="376" operator="containsText" text="P">
      <formula>NOT(ISERROR(SEARCH("P",X35)))</formula>
    </cfRule>
  </conditionalFormatting>
  <conditionalFormatting sqref="X35:AC36">
    <cfRule type="containsText" dxfId="1940" priority="373" operator="containsText" text="A">
      <formula>NOT(ISERROR(SEARCH("A",X35)))</formula>
    </cfRule>
    <cfRule type="containsText" dxfId="1939" priority="375" operator="containsText" text="A">
      <formula>NOT(ISERROR(SEARCH("A",X35)))</formula>
    </cfRule>
  </conditionalFormatting>
  <conditionalFormatting sqref="X36:AC36">
    <cfRule type="containsText" dxfId="1938" priority="377" operator="containsText" text="P">
      <formula>NOT(ISERROR(SEARCH("P",X36)))</formula>
    </cfRule>
    <cfRule type="containsText" dxfId="1937" priority="378" operator="containsText" text="P">
      <formula>NOT(ISERROR(SEARCH("P",X36)))</formula>
    </cfRule>
  </conditionalFormatting>
  <conditionalFormatting sqref="X39:AC39">
    <cfRule type="containsText" dxfId="1936" priority="245" operator="containsText" text="A">
      <formula>NOT(ISERROR(SEARCH("A",X39)))</formula>
    </cfRule>
    <cfRule type="containsText" dxfId="1935" priority="246" operator="containsText" text="P">
      <formula>NOT(ISERROR(SEARCH("P",X39)))</formula>
    </cfRule>
    <cfRule type="containsText" dxfId="1934" priority="248" operator="containsText" text="P">
      <formula>NOT(ISERROR(SEARCH("P",X39)))</formula>
    </cfRule>
    <cfRule type="containsText" dxfId="1933" priority="247" operator="containsText" text="A">
      <formula>NOT(ISERROR(SEARCH("A",X39)))</formula>
    </cfRule>
  </conditionalFormatting>
  <conditionalFormatting sqref="X41:AC41 X43:AC44">
    <cfRule type="containsText" dxfId="1932" priority="502" operator="containsText" text="A">
      <formula>NOT(ISERROR(SEARCH("A",X41)))</formula>
    </cfRule>
    <cfRule type="containsText" dxfId="1931" priority="504" operator="containsText" text="A">
      <formula>NOT(ISERROR(SEARCH("A",X41)))</formula>
    </cfRule>
  </conditionalFormatting>
  <conditionalFormatting sqref="X41:AC41">
    <cfRule type="containsText" dxfId="1930" priority="514" operator="containsText" text="P">
      <formula>NOT(ISERROR(SEARCH("P",X41)))</formula>
    </cfRule>
    <cfRule type="containsText" dxfId="1929" priority="515" operator="containsText" text="P">
      <formula>NOT(ISERROR(SEARCH("P",X41)))</formula>
    </cfRule>
  </conditionalFormatting>
  <conditionalFormatting sqref="X43:AC43">
    <cfRule type="containsText" dxfId="1928" priority="505" operator="containsText" text="P">
      <formula>NOT(ISERROR(SEARCH("P",X43)))</formula>
    </cfRule>
    <cfRule type="containsText" dxfId="1927" priority="503" operator="containsText" text="P">
      <formula>NOT(ISERROR(SEARCH("P",X43)))</formula>
    </cfRule>
  </conditionalFormatting>
  <conditionalFormatting sqref="X44:AC44">
    <cfRule type="containsText" dxfId="1926" priority="510" operator="containsText" text="P">
      <formula>NOT(ISERROR(SEARCH("P",X44)))</formula>
    </cfRule>
    <cfRule type="containsText" dxfId="1925" priority="511" operator="containsText" text="P">
      <formula>NOT(ISERROR(SEARCH("P",X44)))</formula>
    </cfRule>
  </conditionalFormatting>
  <conditionalFormatting sqref="X50:AC50 X52:AC53 X55:AC55">
    <cfRule type="containsText" dxfId="1924" priority="167" operator="containsText" text="A">
      <formula>NOT(ISERROR(SEARCH("A",X50)))</formula>
    </cfRule>
  </conditionalFormatting>
  <conditionalFormatting sqref="X50:AC50 X52:AC53 X55:AC57">
    <cfRule type="containsText" dxfId="1923" priority="169" operator="containsText" text="A">
      <formula>NOT(ISERROR(SEARCH("A",X50)))</formula>
    </cfRule>
  </conditionalFormatting>
  <conditionalFormatting sqref="X50:AC50">
    <cfRule type="containsText" dxfId="1922" priority="478" operator="containsText" text="P">
      <formula>NOT(ISERROR(SEARCH("P",X50)))</formula>
    </cfRule>
    <cfRule type="containsText" dxfId="1921" priority="477" operator="containsText" text="P">
      <formula>NOT(ISERROR(SEARCH("P",X50)))</formula>
    </cfRule>
  </conditionalFormatting>
  <conditionalFormatting sqref="X52:AC52">
    <cfRule type="containsText" dxfId="1920" priority="512" operator="containsText" text="P">
      <formula>NOT(ISERROR(SEARCH("P",X52)))</formula>
    </cfRule>
    <cfRule type="containsText" dxfId="1919" priority="513" operator="containsText" text="P">
      <formula>NOT(ISERROR(SEARCH("P",X52)))</formula>
    </cfRule>
  </conditionalFormatting>
  <conditionalFormatting sqref="X53:AC53">
    <cfRule type="containsText" dxfId="1918" priority="170" operator="containsText" text="P">
      <formula>NOT(ISERROR(SEARCH("P",X53)))</formula>
    </cfRule>
    <cfRule type="containsText" dxfId="1917" priority="168" operator="containsText" text="P">
      <formula>NOT(ISERROR(SEARCH("P",X53)))</formula>
    </cfRule>
  </conditionalFormatting>
  <conditionalFormatting sqref="X55:AC55">
    <cfRule type="containsText" dxfId="1916" priority="188" operator="containsText" text="P">
      <formula>NOT(ISERROR(SEARCH("P",X55)))</formula>
    </cfRule>
    <cfRule type="containsText" dxfId="1915" priority="187" operator="containsText" text="P">
      <formula>NOT(ISERROR(SEARCH("P",X55)))</formula>
    </cfRule>
  </conditionalFormatting>
  <conditionalFormatting sqref="X56:AC57">
    <cfRule type="containsText" dxfId="1914" priority="299" operator="containsText" text="A">
      <formula>NOT(ISERROR(SEARCH("A",X56)))</formula>
    </cfRule>
  </conditionalFormatting>
  <conditionalFormatting sqref="X57:AC57">
    <cfRule type="containsText" dxfId="1913" priority="301" operator="containsText" text="P">
      <formula>NOT(ISERROR(SEARCH("P",X57)))</formula>
    </cfRule>
    <cfRule type="containsText" dxfId="1912" priority="300" operator="containsText" text="P">
      <formula>NOT(ISERROR(SEARCH("P",X57)))</formula>
    </cfRule>
  </conditionalFormatting>
  <conditionalFormatting sqref="X61:AC61 X56:AC56 X62">
    <cfRule type="containsText" dxfId="1911" priority="536" operator="containsText" text="P">
      <formula>NOT(ISERROR(SEARCH("P",X56)))</formula>
    </cfRule>
    <cfRule type="containsText" dxfId="1910" priority="534" operator="containsText" text="P">
      <formula>NOT(ISERROR(SEARCH("P",X56)))</formula>
    </cfRule>
  </conditionalFormatting>
  <conditionalFormatting sqref="X61:AC61">
    <cfRule type="containsText" dxfId="1909" priority="241" operator="containsText" text="A">
      <formula>NOT(ISERROR(SEARCH("A",X61)))</formula>
    </cfRule>
    <cfRule type="containsText" dxfId="1908" priority="243" operator="containsText" text="A">
      <formula>NOT(ISERROR(SEARCH("A",X61)))</formula>
    </cfRule>
  </conditionalFormatting>
  <conditionalFormatting sqref="X63:AC63">
    <cfRule type="containsText" dxfId="1907" priority="486" operator="containsText" text="P">
      <formula>NOT(ISERROR(SEARCH("P",X63)))</formula>
    </cfRule>
    <cfRule type="containsText" dxfId="1906" priority="485" operator="containsText" text="P">
      <formula>NOT(ISERROR(SEARCH("P",X63)))</formula>
    </cfRule>
  </conditionalFormatting>
  <conditionalFormatting sqref="X63:AC69 X71:AC72">
    <cfRule type="containsText" dxfId="1905" priority="191" operator="containsText" text="A">
      <formula>NOT(ISERROR(SEARCH("A",X63)))</formula>
    </cfRule>
    <cfRule type="containsText" dxfId="1904" priority="189" operator="containsText" text="A">
      <formula>NOT(ISERROR(SEARCH("A",X63)))</formula>
    </cfRule>
  </conditionalFormatting>
  <conditionalFormatting sqref="X64:AC65">
    <cfRule type="containsText" dxfId="1903" priority="544" operator="containsText" text="P">
      <formula>NOT(ISERROR(SEARCH("P",X64)))</formula>
    </cfRule>
    <cfRule type="containsText" dxfId="1902" priority="545" operator="containsText" text="P">
      <formula>NOT(ISERROR(SEARCH("P",X64)))</formula>
    </cfRule>
  </conditionalFormatting>
  <conditionalFormatting sqref="X66:AC66">
    <cfRule type="containsText" dxfId="1901" priority="472" operator="containsText" text="P">
      <formula>NOT(ISERROR(SEARCH("P",X66)))</formula>
    </cfRule>
    <cfRule type="containsText" dxfId="1900" priority="471" operator="containsText" text="P">
      <formula>NOT(ISERROR(SEARCH("P",X66)))</formula>
    </cfRule>
  </conditionalFormatting>
  <conditionalFormatting sqref="X67:AC68 X78:AC79 X81:AC81">
    <cfRule type="containsText" dxfId="1899" priority="551" operator="containsText" text="P">
      <formula>NOT(ISERROR(SEARCH("P",X67)))</formula>
    </cfRule>
    <cfRule type="containsText" dxfId="1898" priority="549" operator="containsText" text="P">
      <formula>NOT(ISERROR(SEARCH("P",X67)))</formula>
    </cfRule>
  </conditionalFormatting>
  <conditionalFormatting sqref="X69:AC69">
    <cfRule type="containsText" dxfId="1897" priority="192" operator="containsText" text="P">
      <formula>NOT(ISERROR(SEARCH("P",X69)))</formula>
    </cfRule>
    <cfRule type="containsText" dxfId="1896" priority="190" operator="containsText" text="P">
      <formula>NOT(ISERROR(SEARCH("P",X69)))</formula>
    </cfRule>
  </conditionalFormatting>
  <conditionalFormatting sqref="X71:AC71">
    <cfRule type="containsText" dxfId="1895" priority="546" operator="containsText" text="P">
      <formula>NOT(ISERROR(SEARCH("P",X71)))</formula>
    </cfRule>
    <cfRule type="containsText" dxfId="1894" priority="547" operator="containsText" text="P">
      <formula>NOT(ISERROR(SEARCH("P",X71)))</formula>
    </cfRule>
  </conditionalFormatting>
  <conditionalFormatting sqref="X72:AC72">
    <cfRule type="containsText" dxfId="1893" priority="212" operator="containsText" text="P">
      <formula>NOT(ISERROR(SEARCH("P",X72)))</formula>
    </cfRule>
    <cfRule type="containsText" dxfId="1892" priority="211" operator="containsText" text="P">
      <formula>NOT(ISERROR(SEARCH("P",X72)))</formula>
    </cfRule>
  </conditionalFormatting>
  <conditionalFormatting sqref="X78:AC79 X81:AC81">
    <cfRule type="containsText" dxfId="1891" priority="548" operator="containsText" text="A">
      <formula>NOT(ISERROR(SEARCH("A",X78)))</formula>
    </cfRule>
    <cfRule type="containsText" dxfId="1890" priority="550" operator="containsText" text="A">
      <formula>NOT(ISERROR(SEARCH("A",X78)))</formula>
    </cfRule>
  </conditionalFormatting>
  <conditionalFormatting sqref="X88:AC88">
    <cfRule type="containsText" dxfId="1889" priority="159" operator="containsText" text="A">
      <formula>NOT(ISERROR(SEARCH("A",X88)))</formula>
    </cfRule>
    <cfRule type="containsText" dxfId="1888" priority="160" operator="containsText" text="P">
      <formula>NOT(ISERROR(SEARCH("P",X88)))</formula>
    </cfRule>
    <cfRule type="containsText" dxfId="1887" priority="161" operator="containsText" text="A">
      <formula>NOT(ISERROR(SEARCH("A",X88)))</formula>
    </cfRule>
    <cfRule type="containsText" dxfId="1886" priority="162" operator="containsText" text="P">
      <formula>NOT(ISERROR(SEARCH("P",X88)))</formula>
    </cfRule>
  </conditionalFormatting>
  <conditionalFormatting sqref="X84:AE85 X87:AE87">
    <cfRule type="containsText" dxfId="1885" priority="690" operator="containsText" text="A">
      <formula>NOT(ISERROR(SEARCH("A",X84)))</formula>
    </cfRule>
    <cfRule type="containsText" dxfId="1884" priority="688" operator="containsText" text="A">
      <formula>NOT(ISERROR(SEARCH("A",X84)))</formula>
    </cfRule>
  </conditionalFormatting>
  <conditionalFormatting sqref="X89:AE89">
    <cfRule type="containsText" dxfId="1883" priority="155" operator="containsText" text="A">
      <formula>NOT(ISERROR(SEARCH("A",X89)))</formula>
    </cfRule>
    <cfRule type="containsText" dxfId="1882" priority="157" operator="containsText" text="A">
      <formula>NOT(ISERROR(SEARCH("A",X89)))</formula>
    </cfRule>
    <cfRule type="containsText" dxfId="1881" priority="158" operator="containsText" text="P">
      <formula>NOT(ISERROR(SEARCH("P",X89)))</formula>
    </cfRule>
    <cfRule type="containsText" dxfId="1880" priority="156" operator="containsText" text="P">
      <formula>NOT(ISERROR(SEARCH("P",X89)))</formula>
    </cfRule>
  </conditionalFormatting>
  <conditionalFormatting sqref="X58:AI58 X59:Z59 AB59:AI59 X73:AI76">
    <cfRule type="containsText" dxfId="1879" priority="1170" operator="containsText" text="A">
      <formula>NOT(ISERROR(SEARCH("A",X58)))</formula>
    </cfRule>
    <cfRule type="containsText" dxfId="1878" priority="1168" operator="containsText" text="A">
      <formula>NOT(ISERROR(SEARCH("A",X58)))</formula>
    </cfRule>
  </conditionalFormatting>
  <conditionalFormatting sqref="X58:AI58 X73:AI76 X59:Z59 AB59:AI59 X84:AI85 AF87:AI87">
    <cfRule type="containsText" dxfId="1877" priority="1169" operator="containsText" text="P">
      <formula>NOT(ISERROR(SEARCH("P",X58)))</formula>
    </cfRule>
    <cfRule type="containsText" dxfId="1876" priority="1171" operator="containsText" text="P">
      <formula>NOT(ISERROR(SEARCH("P",X58)))</formula>
    </cfRule>
  </conditionalFormatting>
  <conditionalFormatting sqref="X91:AI92 X94:AI95">
    <cfRule type="containsText" dxfId="1875" priority="281" operator="containsText" text="A">
      <formula>NOT(ISERROR(SEARCH("A",X91)))</formula>
    </cfRule>
  </conditionalFormatting>
  <conditionalFormatting sqref="X91:AI92">
    <cfRule type="containsText" dxfId="1874" priority="292" operator="containsText" text="P">
      <formula>NOT(ISERROR(SEARCH("P",X91)))</formula>
    </cfRule>
    <cfRule type="containsText" dxfId="1873" priority="291" operator="containsText" text="P">
      <formula>NOT(ISERROR(SEARCH("P",X91)))</formula>
    </cfRule>
  </conditionalFormatting>
  <conditionalFormatting sqref="X94:AI95">
    <cfRule type="containsText" dxfId="1872" priority="1165" operator="containsText" text="P">
      <formula>NOT(ISERROR(SEARCH("P",X94)))</formula>
    </cfRule>
    <cfRule type="containsText" dxfId="1871" priority="1167" operator="containsText" text="P">
      <formula>NOT(ISERROR(SEARCH("P",X94)))</formula>
    </cfRule>
  </conditionalFormatting>
  <conditionalFormatting sqref="X99:CG1048576">
    <cfRule type="containsText" dxfId="1870" priority="22491" operator="containsText" text="P">
      <formula>NOT(ISERROR(SEARCH("P",X99)))</formula>
    </cfRule>
    <cfRule type="containsText" dxfId="1869" priority="22490" operator="containsText" text="A">
      <formula>NOT(ISERROR(SEARCH("A",X99)))</formula>
    </cfRule>
    <cfRule type="containsText" dxfId="1868" priority="22492" operator="containsText" text="A">
      <formula>NOT(ISERROR(SEARCH("A",X99)))</formula>
    </cfRule>
    <cfRule type="containsText" dxfId="1867" priority="22493" operator="containsText" text="P">
      <formula>NOT(ISERROR(SEARCH("P",X99)))</formula>
    </cfRule>
  </conditionalFormatting>
  <conditionalFormatting sqref="Y8 AA8:AC8">
    <cfRule type="containsText" dxfId="1866" priority="469" operator="containsText" text="P">
      <formula>NOT(ISERROR(SEARCH("P",Y8)))</formula>
    </cfRule>
    <cfRule type="containsText" dxfId="1865" priority="470" operator="containsText" text="P">
      <formula>NOT(ISERROR(SEARCH("P",Y8)))</formula>
    </cfRule>
    <cfRule type="containsText" dxfId="1864" priority="267" operator="containsText" text="A">
      <formula>NOT(ISERROR(SEARCH("A",Y8)))</formula>
    </cfRule>
    <cfRule type="containsText" dxfId="1863" priority="269" operator="containsText" text="A">
      <formula>NOT(ISERROR(SEARCH("A",Y8)))</formula>
    </cfRule>
  </conditionalFormatting>
  <conditionalFormatting sqref="Y11">
    <cfRule type="containsText" dxfId="1862" priority="482" operator="containsText" text="P">
      <formula>NOT(ISERROR(SEARCH("P",Y11)))</formula>
    </cfRule>
    <cfRule type="containsText" dxfId="1861" priority="481" operator="containsText" text="A">
      <formula>NOT(ISERROR(SEARCH("A",Y11)))</formula>
    </cfRule>
    <cfRule type="containsText" dxfId="1860" priority="484" operator="containsText" text="P">
      <formula>NOT(ISERROR(SEARCH("P",Y11)))</formula>
    </cfRule>
    <cfRule type="containsText" dxfId="1859" priority="483" operator="containsText" text="A">
      <formula>NOT(ISERROR(SEARCH("A",Y11)))</formula>
    </cfRule>
  </conditionalFormatting>
  <conditionalFormatting sqref="Y30 AA30:AC30">
    <cfRule type="containsText" dxfId="1858" priority="385" operator="containsText" text="P">
      <formula>NOT(ISERROR(SEARCH("P",Y30)))</formula>
    </cfRule>
    <cfRule type="containsText" dxfId="1857" priority="386" operator="containsText" text="P">
      <formula>NOT(ISERROR(SEARCH("P",Y30)))</formula>
    </cfRule>
  </conditionalFormatting>
  <conditionalFormatting sqref="Y38">
    <cfRule type="containsText" dxfId="1856" priority="233" operator="containsText" text="A">
      <formula>NOT(ISERROR(SEARCH("A",Y38)))</formula>
    </cfRule>
    <cfRule type="containsText" dxfId="1855" priority="234" operator="containsText" text="P">
      <formula>NOT(ISERROR(SEARCH("P",Y38)))</formula>
    </cfRule>
    <cfRule type="containsText" dxfId="1854" priority="235" operator="containsText" text="A">
      <formula>NOT(ISERROR(SEARCH("A",Y38)))</formula>
    </cfRule>
    <cfRule type="containsText" dxfId="1853" priority="236" operator="containsText" text="P">
      <formula>NOT(ISERROR(SEARCH("P",Y38)))</formula>
    </cfRule>
  </conditionalFormatting>
  <conditionalFormatting sqref="Y49">
    <cfRule type="containsText" dxfId="1852" priority="499" operator="containsText" text="P">
      <formula>NOT(ISERROR(SEARCH("P",Y49)))</formula>
    </cfRule>
    <cfRule type="containsText" dxfId="1851" priority="498" operator="containsText" text="A">
      <formula>NOT(ISERROR(SEARCH("A",Y49)))</formula>
    </cfRule>
    <cfRule type="containsText" dxfId="1850" priority="497" operator="containsText" text="P">
      <formula>NOT(ISERROR(SEARCH("P",Y49)))</formula>
    </cfRule>
    <cfRule type="containsText" dxfId="1849" priority="496" operator="containsText" text="A">
      <formula>NOT(ISERROR(SEARCH("A",Y49)))</formula>
    </cfRule>
  </conditionalFormatting>
  <conditionalFormatting sqref="Y90 AA90:AC90 Y83 AA83:AC83 Y77 AA77:AC77 Y54 AA54:AC54 Y34 AA34:AC34 Y31 AA31:AC31">
    <cfRule type="containsText" dxfId="1848" priority="128" operator="containsText" text="P">
      <formula>NOT(ISERROR(SEARCH("P",Y31)))</formula>
    </cfRule>
    <cfRule type="containsText" dxfId="1847" priority="130" operator="containsText" text="P">
      <formula>NOT(ISERROR(SEARCH("P",Y31)))</formula>
    </cfRule>
  </conditionalFormatting>
  <conditionalFormatting sqref="Y7:AC7">
    <cfRule type="containsText" dxfId="1846" priority="541" operator="containsText" text="P">
      <formula>NOT(ISERROR(SEARCH("P",Y7)))</formula>
    </cfRule>
    <cfRule type="containsText" dxfId="1845" priority="540" operator="containsText" text="A">
      <formula>NOT(ISERROR(SEARCH("A",Y7)))</formula>
    </cfRule>
    <cfRule type="containsText" dxfId="1844" priority="543" operator="containsText" text="P">
      <formula>NOT(ISERROR(SEARCH("P",Y7)))</formula>
    </cfRule>
    <cfRule type="containsText" dxfId="1843" priority="542" operator="containsText" text="A">
      <formula>NOT(ISERROR(SEARCH("A",Y7)))</formula>
    </cfRule>
  </conditionalFormatting>
  <conditionalFormatting sqref="Y16:AC16">
    <cfRule type="containsText" dxfId="1842" priority="459" operator="containsText" text="A">
      <formula>NOT(ISERROR(SEARCH("A",Y16)))</formula>
    </cfRule>
    <cfRule type="containsText" dxfId="1841" priority="460" operator="containsText" text="P">
      <formula>NOT(ISERROR(SEARCH("P",Y16)))</formula>
    </cfRule>
    <cfRule type="containsText" dxfId="1840" priority="461" operator="containsText" text="A">
      <formula>NOT(ISERROR(SEARCH("A",Y16)))</formula>
    </cfRule>
    <cfRule type="containsText" dxfId="1839" priority="462" operator="containsText" text="P">
      <formula>NOT(ISERROR(SEARCH("P",Y16)))</formula>
    </cfRule>
  </conditionalFormatting>
  <conditionalFormatting sqref="Y46:AC46">
    <cfRule type="containsText" dxfId="1838" priority="351" operator="containsText" text="P">
      <formula>NOT(ISERROR(SEARCH("P",Y46)))</formula>
    </cfRule>
    <cfRule type="containsText" dxfId="1837" priority="352" operator="containsText" text="P">
      <formula>NOT(ISERROR(SEARCH("P",Y46)))</formula>
    </cfRule>
  </conditionalFormatting>
  <conditionalFormatting sqref="Y46:AC47">
    <cfRule type="containsText" dxfId="1836" priority="331" operator="containsText" text="A">
      <formula>NOT(ISERROR(SEARCH("A",Y46)))</formula>
    </cfRule>
    <cfRule type="containsText" dxfId="1835" priority="333" operator="containsText" text="A">
      <formula>NOT(ISERROR(SEARCH("A",Y46)))</formula>
    </cfRule>
  </conditionalFormatting>
  <conditionalFormatting sqref="Y47:AC47">
    <cfRule type="containsText" dxfId="1834" priority="334" operator="containsText" text="P">
      <formula>NOT(ISERROR(SEARCH("P",Y47)))</formula>
    </cfRule>
    <cfRule type="containsText" dxfId="1833" priority="332" operator="containsText" text="P">
      <formula>NOT(ISERROR(SEARCH("P",Y47)))</formula>
    </cfRule>
  </conditionalFormatting>
  <conditionalFormatting sqref="Y62:AC62">
    <cfRule type="containsText" dxfId="1832" priority="473" operator="containsText" text="A">
      <formula>NOT(ISERROR(SEARCH("A",Y62)))</formula>
    </cfRule>
    <cfRule type="containsText" dxfId="1831" priority="474" operator="containsText" text="P">
      <formula>NOT(ISERROR(SEARCH("P",Y62)))</formula>
    </cfRule>
    <cfRule type="containsText" dxfId="1830" priority="475" operator="containsText" text="A">
      <formula>NOT(ISERROR(SEARCH("A",Y62)))</formula>
    </cfRule>
    <cfRule type="containsText" dxfId="1829" priority="476" operator="containsText" text="P">
      <formula>NOT(ISERROR(SEARCH("P",Y62)))</formula>
    </cfRule>
  </conditionalFormatting>
  <conditionalFormatting sqref="Z8">
    <cfRule type="cellIs" dxfId="1828" priority="465" operator="greaterThan">
      <formula>0</formula>
    </cfRule>
    <cfRule type="containsText" dxfId="1827" priority="257" operator="containsText" text="A">
      <formula>NOT(ISERROR(SEARCH("A",Z8)))</formula>
    </cfRule>
    <cfRule type="containsText" dxfId="1826" priority="259" operator="containsText" text="A">
      <formula>NOT(ISERROR(SEARCH("A",Z8)))</formula>
    </cfRule>
    <cfRule type="containsText" dxfId="1825" priority="463" operator="containsText" text="P">
      <formula>NOT(ISERROR(SEARCH("P",Z8)))</formula>
    </cfRule>
    <cfRule type="containsText" dxfId="1824" priority="464" operator="containsText" text="P">
      <formula>NOT(ISERROR(SEARCH("P",Z8)))</formula>
    </cfRule>
  </conditionalFormatting>
  <conditionalFormatting sqref="Z26 Z30:Z31 Z34 Z54 Z77 Z83 Z90">
    <cfRule type="containsText" dxfId="1823" priority="120" operator="containsText" text="A">
      <formula>NOT(ISERROR(SEARCH("A",Z26)))</formula>
    </cfRule>
    <cfRule type="containsText" dxfId="1822" priority="122" operator="containsText" text="A">
      <formula>NOT(ISERROR(SEARCH("A",Z26)))</formula>
    </cfRule>
  </conditionalFormatting>
  <conditionalFormatting sqref="Z26">
    <cfRule type="containsText" dxfId="1821" priority="387" operator="containsText" text="P">
      <formula>NOT(ISERROR(SEARCH("P",Z26)))</formula>
    </cfRule>
    <cfRule type="containsText" dxfId="1820" priority="388" operator="containsText" text="P">
      <formula>NOT(ISERROR(SEARCH("P",Z26)))</formula>
    </cfRule>
    <cfRule type="cellIs" dxfId="1819" priority="389" operator="greaterThan">
      <formula>0</formula>
    </cfRule>
  </conditionalFormatting>
  <conditionalFormatting sqref="Z30">
    <cfRule type="cellIs" dxfId="1818" priority="381" operator="greaterThan">
      <formula>0</formula>
    </cfRule>
    <cfRule type="containsText" dxfId="1817" priority="380" operator="containsText" text="P">
      <formula>NOT(ISERROR(SEARCH("P",Z30)))</formula>
    </cfRule>
    <cfRule type="containsText" dxfId="1816" priority="379" operator="containsText" text="P">
      <formula>NOT(ISERROR(SEARCH("P",Z30)))</formula>
    </cfRule>
  </conditionalFormatting>
  <conditionalFormatting sqref="Z37">
    <cfRule type="containsText" dxfId="1815" priority="360" operator="containsText" text="A">
      <formula>NOT(ISERROR(SEARCH("A",Z37)))</formula>
    </cfRule>
    <cfRule type="containsText" dxfId="1814" priority="361" operator="containsText" text="P">
      <formula>NOT(ISERROR(SEARCH("P",Z37)))</formula>
    </cfRule>
    <cfRule type="containsText" dxfId="1813" priority="362" operator="containsText" text="A">
      <formula>NOT(ISERROR(SEARCH("A",Z37)))</formula>
    </cfRule>
    <cfRule type="containsText" dxfId="1812" priority="363" operator="containsText" text="P">
      <formula>NOT(ISERROR(SEARCH("P",Z37)))</formula>
    </cfRule>
    <cfRule type="cellIs" dxfId="1811" priority="364" operator="greaterThan">
      <formula>0</formula>
    </cfRule>
  </conditionalFormatting>
  <conditionalFormatting sqref="Z46">
    <cfRule type="containsText" dxfId="1810" priority="318" operator="containsText" text="P">
      <formula>NOT(ISERROR(SEARCH("P",Z46)))</formula>
    </cfRule>
    <cfRule type="containsText" dxfId="1809" priority="315" operator="containsText" text="A">
      <formula>NOT(ISERROR(SEARCH("A",Z46)))</formula>
    </cfRule>
    <cfRule type="containsText" dxfId="1808" priority="316" operator="containsText" text="P">
      <formula>NOT(ISERROR(SEARCH("P",Z46)))</formula>
    </cfRule>
    <cfRule type="containsText" dxfId="1807" priority="317" operator="containsText" text="A">
      <formula>NOT(ISERROR(SEARCH("A",Z46)))</formula>
    </cfRule>
    <cfRule type="cellIs" dxfId="1806" priority="319" operator="greaterThan">
      <formula>0</formula>
    </cfRule>
  </conditionalFormatting>
  <conditionalFormatting sqref="Z47">
    <cfRule type="containsText" dxfId="1805" priority="336" operator="containsText" text="P">
      <formula>NOT(ISERROR(SEARCH("P",Z47)))</formula>
    </cfRule>
    <cfRule type="containsText" dxfId="1804" priority="338" operator="containsText" text="P">
      <formula>NOT(ISERROR(SEARCH("P",Z47)))</formula>
    </cfRule>
    <cfRule type="cellIs" dxfId="1803" priority="339" operator="greaterThan">
      <formula>0</formula>
    </cfRule>
  </conditionalFormatting>
  <conditionalFormatting sqref="Z47:Z48">
    <cfRule type="containsText" dxfId="1802" priority="337" operator="containsText" text="A">
      <formula>NOT(ISERROR(SEARCH("A",Z47)))</formula>
    </cfRule>
    <cfRule type="containsText" dxfId="1801" priority="335" operator="containsText" text="A">
      <formula>NOT(ISERROR(SEARCH("A",Z47)))</formula>
    </cfRule>
  </conditionalFormatting>
  <conditionalFormatting sqref="Z48">
    <cfRule type="containsText" dxfId="1800" priority="353" operator="containsText" text="P">
      <formula>NOT(ISERROR(SEARCH("P",Z48)))</formula>
    </cfRule>
    <cfRule type="containsText" dxfId="1799" priority="305" operator="containsText" text="P">
      <formula>NOT(ISERROR(SEARCH("P",Z48)))</formula>
    </cfRule>
    <cfRule type="containsText" dxfId="1798" priority="354" operator="containsText" text="P">
      <formula>NOT(ISERROR(SEARCH("P",Z48)))</formula>
    </cfRule>
    <cfRule type="cellIs" dxfId="1797" priority="306" operator="greaterThan">
      <formula>0</formula>
    </cfRule>
    <cfRule type="containsText" dxfId="1796" priority="303" operator="containsText" text="P">
      <formula>NOT(ISERROR(SEARCH("P",Z48)))</formula>
    </cfRule>
    <cfRule type="cellIs" dxfId="1795" priority="355" operator="greaterThan">
      <formula>0</formula>
    </cfRule>
    <cfRule type="containsText" dxfId="1794" priority="304" operator="containsText" text="A">
      <formula>NOT(ISERROR(SEARCH("A",Z48)))</formula>
    </cfRule>
    <cfRule type="containsText" dxfId="1793" priority="302" operator="containsText" text="A">
      <formula>NOT(ISERROR(SEARCH("A",Z48)))</formula>
    </cfRule>
  </conditionalFormatting>
  <conditionalFormatting sqref="Z57 CL3:CL71 CM3:CM55 CN10:CO10 CR10:CS12 CT8:CU20 DC10:DH12 DM3:DM98">
    <cfRule type="cellIs" dxfId="1792" priority="298" operator="greaterThan">
      <formula>0</formula>
    </cfRule>
  </conditionalFormatting>
  <conditionalFormatting sqref="Z90 Z83 Z77 Z54 Z34 Z31">
    <cfRule type="containsText" dxfId="1791" priority="121" operator="containsText" text="P">
      <formula>NOT(ISERROR(SEARCH("P",Z31)))</formula>
    </cfRule>
    <cfRule type="containsText" dxfId="1790" priority="123" operator="containsText" text="P">
      <formula>NOT(ISERROR(SEARCH("P",Z31)))</formula>
    </cfRule>
  </conditionalFormatting>
  <conditionalFormatting sqref="Z3:AC6 Z9:AC9 Z17:AC17 Z19:AC22 Z28:AC29 Z42:AC42 Z60:AC60 Z70:AC70 Z80:AC80 Z86:AC86 Z93:AC93">
    <cfRule type="containsText" dxfId="1789" priority="5" operator="containsText" text="A">
      <formula>NOT(ISERROR(SEARCH("A",Z3)))</formula>
    </cfRule>
    <cfRule type="containsText" dxfId="1788" priority="3" operator="containsText" text="A">
      <formula>NOT(ISERROR(SEARCH("A",Z3)))</formula>
    </cfRule>
  </conditionalFormatting>
  <conditionalFormatting sqref="Z11:AC11">
    <cfRule type="containsText" dxfId="1787" priority="480" operator="containsText" text="P">
      <formula>NOT(ISERROR(SEARCH("P",Z11)))</formula>
    </cfRule>
    <cfRule type="containsText" dxfId="1786" priority="479" operator="containsText" text="P">
      <formula>NOT(ISERROR(SEARCH("P",Z11)))</formula>
    </cfRule>
  </conditionalFormatting>
  <conditionalFormatting sqref="Z11:AC12">
    <cfRule type="containsText" dxfId="1785" priority="213" operator="containsText" text="A">
      <formula>NOT(ISERROR(SEARCH("A",Z11)))</formula>
    </cfRule>
    <cfRule type="containsText" dxfId="1784" priority="215" operator="containsText" text="A">
      <formula>NOT(ISERROR(SEARCH("A",Z11)))</formula>
    </cfRule>
  </conditionalFormatting>
  <conditionalFormatting sqref="Z12:AC12">
    <cfRule type="containsText" dxfId="1783" priority="216" operator="containsText" text="P">
      <formula>NOT(ISERROR(SEARCH("P",Z12)))</formula>
    </cfRule>
    <cfRule type="containsText" dxfId="1782" priority="214" operator="containsText" text="P">
      <formula>NOT(ISERROR(SEARCH("P",Z12)))</formula>
    </cfRule>
  </conditionalFormatting>
  <conditionalFormatting sqref="Z14:AC14">
    <cfRule type="containsText" dxfId="1781" priority="206" operator="containsText" text="P">
      <formula>NOT(ISERROR(SEARCH("P",Z14)))</formula>
    </cfRule>
    <cfRule type="containsText" dxfId="1780" priority="204" operator="containsText" text="P">
      <formula>NOT(ISERROR(SEARCH("P",Z14)))</formula>
    </cfRule>
  </conditionalFormatting>
  <conditionalFormatting sqref="Z14:AC15 Z25:AC25 Z32:AC32 Z51:AC51">
    <cfRule type="containsText" dxfId="1779" priority="87" operator="containsText" text="A">
      <formula>NOT(ISERROR(SEARCH("A",Z14)))</formula>
    </cfRule>
    <cfRule type="containsText" dxfId="1778" priority="85" operator="containsText" text="A">
      <formula>NOT(ISERROR(SEARCH("A",Z14)))</formula>
    </cfRule>
  </conditionalFormatting>
  <conditionalFormatting sqref="Z19:AC19">
    <cfRule type="containsText" dxfId="1777" priority="443" operator="containsText" text="P">
      <formula>NOT(ISERROR(SEARCH("P",Z19)))</formula>
    </cfRule>
    <cfRule type="containsText" dxfId="1776" priority="441" operator="containsText" text="P">
      <formula>NOT(ISERROR(SEARCH("P",Z19)))</formula>
    </cfRule>
  </conditionalFormatting>
  <conditionalFormatting sqref="Z22:AC22">
    <cfRule type="containsText" dxfId="1775" priority="202" operator="containsText" text="P">
      <formula>NOT(ISERROR(SEARCH("P",Z22)))</formula>
    </cfRule>
    <cfRule type="containsText" dxfId="1774" priority="200" operator="containsText" text="P">
      <formula>NOT(ISERROR(SEARCH("P",Z22)))</formula>
    </cfRule>
  </conditionalFormatting>
  <conditionalFormatting sqref="Z40:AC40">
    <cfRule type="containsText" dxfId="1773" priority="251" operator="containsText" text="A">
      <formula>NOT(ISERROR(SEARCH("A",Z40)))</formula>
    </cfRule>
    <cfRule type="containsText" dxfId="1772" priority="250" operator="containsText" text="P">
      <formula>NOT(ISERROR(SEARCH("P",Z40)))</formula>
    </cfRule>
    <cfRule type="containsText" dxfId="1771" priority="249" operator="containsText" text="A">
      <formula>NOT(ISERROR(SEARCH("A",Z40)))</formula>
    </cfRule>
    <cfRule type="containsText" dxfId="1770" priority="252" operator="containsText" text="P">
      <formula>NOT(ISERROR(SEARCH("P",Z40)))</formula>
    </cfRule>
  </conditionalFormatting>
  <conditionalFormatting sqref="Z45:AC45">
    <cfRule type="containsText" dxfId="1769" priority="181" operator="containsText" text="A">
      <formula>NOT(ISERROR(SEARCH("A",Z45)))</formula>
    </cfRule>
    <cfRule type="containsText" dxfId="1768" priority="180" operator="containsText" text="P">
      <formula>NOT(ISERROR(SEARCH("P",Z45)))</formula>
    </cfRule>
    <cfRule type="containsText" dxfId="1767" priority="179" operator="containsText" text="A">
      <formula>NOT(ISERROR(SEARCH("A",Z45)))</formula>
    </cfRule>
    <cfRule type="containsText" dxfId="1766" priority="182" operator="containsText" text="P">
      <formula>NOT(ISERROR(SEARCH("P",Z45)))</formula>
    </cfRule>
  </conditionalFormatting>
  <conditionalFormatting sqref="Z49:AC49">
    <cfRule type="containsText" dxfId="1765" priority="494" operator="containsText" text="A">
      <formula>NOT(ISERROR(SEARCH("A",Z49)))</formula>
    </cfRule>
    <cfRule type="containsText" dxfId="1764" priority="495" operator="containsText" text="P">
      <formula>NOT(ISERROR(SEARCH("P",Z49)))</formula>
    </cfRule>
    <cfRule type="containsText" dxfId="1763" priority="492" operator="containsText" text="A">
      <formula>NOT(ISERROR(SEARCH("A",Z49)))</formula>
    </cfRule>
    <cfRule type="containsText" dxfId="1762" priority="493" operator="containsText" text="P">
      <formula>NOT(ISERROR(SEARCH("P",Z49)))</formula>
    </cfRule>
  </conditionalFormatting>
  <conditionalFormatting sqref="Z51:AC51 Z32:AC32 Z25:AC25 Z15:AC15">
    <cfRule type="containsText" dxfId="1761" priority="86" operator="containsText" text="P">
      <formula>NOT(ISERROR(SEARCH("P",Z15)))</formula>
    </cfRule>
    <cfRule type="containsText" dxfId="1760" priority="88" operator="containsText" text="P">
      <formula>NOT(ISERROR(SEARCH("P",Z15)))</formula>
    </cfRule>
  </conditionalFormatting>
  <conditionalFormatting sqref="Z82:AC82">
    <cfRule type="containsText" dxfId="1759" priority="178" operator="containsText" text="P">
      <formula>NOT(ISERROR(SEARCH("P",Z82)))</formula>
    </cfRule>
    <cfRule type="containsText" dxfId="1758" priority="175" operator="containsText" text="A">
      <formula>NOT(ISERROR(SEARCH("A",Z82)))</formula>
    </cfRule>
    <cfRule type="containsText" dxfId="1757" priority="177" operator="containsText" text="A">
      <formula>NOT(ISERROR(SEARCH("A",Z82)))</formula>
    </cfRule>
    <cfRule type="containsText" dxfId="1756" priority="176" operator="containsText" text="P">
      <formula>NOT(ISERROR(SEARCH("P",Z82)))</formula>
    </cfRule>
  </conditionalFormatting>
  <conditionalFormatting sqref="Z93:AC93 Z86:AC86 Z80:AC80 Z70:AC70 Z60:AC60 Z42:AC42 Z28:AC29 Z20:AC21 Z17:AC17 Z9:AC9 Z3:AC6">
    <cfRule type="containsText" dxfId="1755" priority="4" operator="containsText" text="P">
      <formula>NOT(ISERROR(SEARCH("P",Z3)))</formula>
    </cfRule>
    <cfRule type="containsText" dxfId="1754" priority="6" operator="containsText" text="P">
      <formula>NOT(ISERROR(SEARCH("P",Z3)))</formula>
    </cfRule>
  </conditionalFormatting>
  <conditionalFormatting sqref="AA59">
    <cfRule type="containsText" dxfId="1753" priority="151" operator="containsText" text="A">
      <formula>NOT(ISERROR(SEARCH("A",AA59)))</formula>
    </cfRule>
    <cfRule type="containsText" dxfId="1752" priority="152" operator="containsText" text="A">
      <formula>NOT(ISERROR(SEARCH("A",AA59)))</formula>
    </cfRule>
    <cfRule type="containsText" dxfId="1751" priority="153" operator="containsText" text="P">
      <formula>NOT(ISERROR(SEARCH("P",AA59)))</formula>
    </cfRule>
    <cfRule type="containsText" dxfId="1750" priority="154" operator="containsText" text="P">
      <formula>NOT(ISERROR(SEARCH("P",AA59)))</formula>
    </cfRule>
  </conditionalFormatting>
  <conditionalFormatting sqref="AA26:AC26 Y30:Y31 AA30:AC31 Y34 AA34:AC34 Y54 AA54:AC54 Y77 AA77:AC77 Y83 AA83:AC83 Y90 AA90:AC90">
    <cfRule type="containsText" dxfId="1749" priority="129" operator="containsText" text="A">
      <formula>NOT(ISERROR(SEARCH("A",Y26)))</formula>
    </cfRule>
    <cfRule type="containsText" dxfId="1748" priority="127" operator="containsText" text="A">
      <formula>NOT(ISERROR(SEARCH("A",Y26)))</formula>
    </cfRule>
  </conditionalFormatting>
  <conditionalFormatting sqref="AA26:AC26">
    <cfRule type="containsText" dxfId="1747" priority="390" operator="containsText" text="P">
      <formula>NOT(ISERROR(SEARCH("P",AA26)))</formula>
    </cfRule>
    <cfRule type="containsText" dxfId="1746" priority="391" operator="containsText" text="P">
      <formula>NOT(ISERROR(SEARCH("P",AA26)))</formula>
    </cfRule>
  </conditionalFormatting>
  <conditionalFormatting sqref="AA37:AC37">
    <cfRule type="containsText" dxfId="1745" priority="367" operator="containsText" text="A">
      <formula>NOT(ISERROR(SEARCH("A",AA37)))</formula>
    </cfRule>
    <cfRule type="containsText" dxfId="1744" priority="368" operator="containsText" text="P">
      <formula>NOT(ISERROR(SEARCH("P",AA37)))</formula>
    </cfRule>
    <cfRule type="containsText" dxfId="1743" priority="366" operator="containsText" text="P">
      <formula>NOT(ISERROR(SEARCH("P",AA37)))</formula>
    </cfRule>
    <cfRule type="containsText" dxfId="1742" priority="365" operator="containsText" text="A">
      <formula>NOT(ISERROR(SEARCH("A",AA37)))</formula>
    </cfRule>
  </conditionalFormatting>
  <conditionalFormatting sqref="AA46:AC46">
    <cfRule type="containsText" dxfId="1741" priority="320" operator="containsText" text="A">
      <formula>NOT(ISERROR(SEARCH("A",AA46)))</formula>
    </cfRule>
    <cfRule type="containsText" dxfId="1740" priority="323" operator="containsText" text="P">
      <formula>NOT(ISERROR(SEARCH("P",AA46)))</formula>
    </cfRule>
    <cfRule type="containsText" dxfId="1739" priority="321" operator="containsText" text="P">
      <formula>NOT(ISERROR(SEARCH("P",AA46)))</formula>
    </cfRule>
    <cfRule type="containsText" dxfId="1738" priority="322" operator="containsText" text="A">
      <formula>NOT(ISERROR(SEARCH("A",AA46)))</formula>
    </cfRule>
  </conditionalFormatting>
  <conditionalFormatting sqref="AA47:AC47">
    <cfRule type="containsText" dxfId="1737" priority="343" operator="containsText" text="P">
      <formula>NOT(ISERROR(SEARCH("P",AA47)))</formula>
    </cfRule>
    <cfRule type="containsText" dxfId="1736" priority="341" operator="containsText" text="P">
      <formula>NOT(ISERROR(SEARCH("P",AA47)))</formula>
    </cfRule>
  </conditionalFormatting>
  <conditionalFormatting sqref="AA47:AC48">
    <cfRule type="containsText" dxfId="1735" priority="342" operator="containsText" text="A">
      <formula>NOT(ISERROR(SEARCH("A",AA47)))</formula>
    </cfRule>
    <cfRule type="containsText" dxfId="1734" priority="340" operator="containsText" text="A">
      <formula>NOT(ISERROR(SEARCH("A",AA47)))</formula>
    </cfRule>
  </conditionalFormatting>
  <conditionalFormatting sqref="AA48:AC48">
    <cfRule type="containsText" dxfId="1733" priority="357" operator="containsText" text="P">
      <formula>NOT(ISERROR(SEARCH("P",AA48)))</formula>
    </cfRule>
    <cfRule type="containsText" dxfId="1732" priority="356" operator="containsText" text="P">
      <formula>NOT(ISERROR(SEARCH("P",AA48)))</formula>
    </cfRule>
    <cfRule type="containsText" dxfId="1731" priority="310" operator="containsText" text="P">
      <formula>NOT(ISERROR(SEARCH("P",AA48)))</formula>
    </cfRule>
    <cfRule type="containsText" dxfId="1730" priority="309" operator="containsText" text="A">
      <formula>NOT(ISERROR(SEARCH("A",AA48)))</formula>
    </cfRule>
    <cfRule type="containsText" dxfId="1729" priority="308" operator="containsText" text="P">
      <formula>NOT(ISERROR(SEARCH("P",AA48)))</formula>
    </cfRule>
    <cfRule type="containsText" dxfId="1728" priority="307" operator="containsText" text="A">
      <formula>NOT(ISERROR(SEARCH("A",AA48)))</formula>
    </cfRule>
  </conditionalFormatting>
  <conditionalFormatting sqref="AB18:AC18">
    <cfRule type="containsText" dxfId="1727" priority="451" operator="containsText" text="P">
      <formula>NOT(ISERROR(SEARCH("P",AB18)))</formula>
    </cfRule>
    <cfRule type="containsText" dxfId="1726" priority="449" operator="containsText" text="P">
      <formula>NOT(ISERROR(SEARCH("P",AB18)))</formula>
    </cfRule>
    <cfRule type="containsText" dxfId="1725" priority="448" operator="containsText" text="A">
      <formula>NOT(ISERROR(SEARCH("A",AB18)))</formula>
    </cfRule>
    <cfRule type="containsText" dxfId="1724" priority="450" operator="containsText" text="A">
      <formula>NOT(ISERROR(SEARCH("A",AB18)))</formula>
    </cfRule>
  </conditionalFormatting>
  <conditionalFormatting sqref="AD35">
    <cfRule type="containsText" dxfId="1723" priority="619" operator="containsText" text="P">
      <formula>NOT(ISERROR(SEARCH("P",AD35)))</formula>
    </cfRule>
    <cfRule type="containsText" dxfId="1722" priority="621" operator="containsText" text="P">
      <formula>NOT(ISERROR(SEARCH("P",AD35)))</formula>
    </cfRule>
  </conditionalFormatting>
  <conditionalFormatting sqref="AD35:AD36">
    <cfRule type="containsText" dxfId="1721" priority="618" operator="containsText" text="A">
      <formula>NOT(ISERROR(SEARCH("A",AD35)))</formula>
    </cfRule>
    <cfRule type="containsText" dxfId="1720" priority="620" operator="containsText" text="A">
      <formula>NOT(ISERROR(SEARCH("A",AD35)))</formula>
    </cfRule>
  </conditionalFormatting>
  <conditionalFormatting sqref="AD36">
    <cfRule type="containsText" dxfId="1719" priority="625" operator="containsText" text="P">
      <formula>NOT(ISERROR(SEARCH("P",AD36)))</formula>
    </cfRule>
    <cfRule type="containsText" dxfId="1718" priority="624" operator="containsText" text="P">
      <formula>NOT(ISERROR(SEARCH("P",AD36)))</formula>
    </cfRule>
  </conditionalFormatting>
  <conditionalFormatting sqref="AD7:AE7">
    <cfRule type="containsText" dxfId="1717" priority="682" operator="containsText" text="P">
      <formula>NOT(ISERROR(SEARCH("P",AD7)))</formula>
    </cfRule>
    <cfRule type="containsText" dxfId="1716" priority="683" operator="containsText" text="P">
      <formula>NOT(ISERROR(SEARCH("P",AD7)))</formula>
    </cfRule>
  </conditionalFormatting>
  <conditionalFormatting sqref="AD8:AE8">
    <cfRule type="containsText" dxfId="1715" priority="649" operator="containsText" text="P">
      <formula>NOT(ISERROR(SEARCH("P",AD8)))</formula>
    </cfRule>
    <cfRule type="containsText" dxfId="1714" priority="648" operator="containsText" text="P">
      <formula>NOT(ISERROR(SEARCH("P",AD8)))</formula>
    </cfRule>
  </conditionalFormatting>
  <conditionalFormatting sqref="AD10:AE10">
    <cfRule type="containsText" dxfId="1713" priority="577" operator="containsText" text="P">
      <formula>NOT(ISERROR(SEARCH("P",AD10)))</formula>
    </cfRule>
    <cfRule type="containsText" dxfId="1712" priority="576" operator="containsText" text="P">
      <formula>NOT(ISERROR(SEARCH("P",AD10)))</formula>
    </cfRule>
  </conditionalFormatting>
  <conditionalFormatting sqref="AD11:AE11">
    <cfRule type="containsText" dxfId="1711" priority="656" operator="containsText" text="P">
      <formula>NOT(ISERROR(SEARCH("P",AD11)))</formula>
    </cfRule>
    <cfRule type="containsText" dxfId="1710" priority="657" operator="containsText" text="P">
      <formula>NOT(ISERROR(SEARCH("P",AD11)))</formula>
    </cfRule>
  </conditionalFormatting>
  <conditionalFormatting sqref="AD12:AE12">
    <cfRule type="containsText" dxfId="1709" priority="572" operator="containsText" text="P">
      <formula>NOT(ISERROR(SEARCH("P",AD12)))</formula>
    </cfRule>
    <cfRule type="containsText" dxfId="1708" priority="573" operator="containsText" text="P">
      <formula>NOT(ISERROR(SEARCH("P",AD12)))</formula>
    </cfRule>
  </conditionalFormatting>
  <conditionalFormatting sqref="AD13:AE13">
    <cfRule type="containsText" dxfId="1707" priority="666" operator="containsText" text="P">
      <formula>NOT(ISERROR(SEARCH("P",AD13)))</formula>
    </cfRule>
    <cfRule type="containsText" dxfId="1706" priority="667" operator="containsText" text="P">
      <formula>NOT(ISERROR(SEARCH("P",AD13)))</formula>
    </cfRule>
  </conditionalFormatting>
  <conditionalFormatting sqref="AD14:AE14">
    <cfRule type="containsText" dxfId="1705" priority="568" operator="containsText" text="P">
      <formula>NOT(ISERROR(SEARCH("P",AD14)))</formula>
    </cfRule>
    <cfRule type="containsText" dxfId="1704" priority="569" operator="containsText" text="P">
      <formula>NOT(ISERROR(SEARCH("P",AD14)))</formula>
    </cfRule>
  </conditionalFormatting>
  <conditionalFormatting sqref="AD16:AE16">
    <cfRule type="containsText" dxfId="1703" priority="647" operator="containsText" text="P">
      <formula>NOT(ISERROR(SEARCH("P",AD16)))</formula>
    </cfRule>
    <cfRule type="containsText" dxfId="1702" priority="646" operator="containsText" text="P">
      <formula>NOT(ISERROR(SEARCH("P",AD16)))</formula>
    </cfRule>
  </conditionalFormatting>
  <conditionalFormatting sqref="AD18:AE18">
    <cfRule type="containsText" dxfId="1701" priority="644" operator="containsText" text="P">
      <formula>NOT(ISERROR(SEARCH("P",AD18)))</formula>
    </cfRule>
    <cfRule type="containsText" dxfId="1700" priority="645" operator="containsText" text="P">
      <formula>NOT(ISERROR(SEARCH("P",AD18)))</formula>
    </cfRule>
  </conditionalFormatting>
  <conditionalFormatting sqref="AD19:AE19">
    <cfRule type="containsText" dxfId="1699" priority="642" operator="containsText" text="P">
      <formula>NOT(ISERROR(SEARCH("P",AD19)))</formula>
    </cfRule>
    <cfRule type="containsText" dxfId="1698" priority="643" operator="containsText" text="P">
      <formula>NOT(ISERROR(SEARCH("P",AD19)))</formula>
    </cfRule>
  </conditionalFormatting>
  <conditionalFormatting sqref="AD22:AE22">
    <cfRule type="containsText" dxfId="1697" priority="566" operator="containsText" text="P">
      <formula>NOT(ISERROR(SEARCH("P",AD22)))</formula>
    </cfRule>
    <cfRule type="containsText" dxfId="1696" priority="567" operator="containsText" text="P">
      <formula>NOT(ISERROR(SEARCH("P",AD22)))</formula>
    </cfRule>
  </conditionalFormatting>
  <conditionalFormatting sqref="AD23:AE23">
    <cfRule type="containsText" dxfId="1695" priority="663" operator="containsText" text="P">
      <formula>NOT(ISERROR(SEARCH("P",AD23)))</formula>
    </cfRule>
    <cfRule type="containsText" dxfId="1694" priority="662" operator="containsText" text="P">
      <formula>NOT(ISERROR(SEARCH("P",AD23)))</formula>
    </cfRule>
  </conditionalFormatting>
  <conditionalFormatting sqref="AD24:AE24">
    <cfRule type="containsText" dxfId="1693" priority="679" operator="containsText" text="P">
      <formula>NOT(ISERROR(SEARCH("P",AD24)))</formula>
    </cfRule>
    <cfRule type="containsText" dxfId="1692" priority="678" operator="containsText" text="P">
      <formula>NOT(ISERROR(SEARCH("P",AD24)))</formula>
    </cfRule>
  </conditionalFormatting>
  <conditionalFormatting sqref="AD26:AE26">
    <cfRule type="containsText" dxfId="1691" priority="629" operator="containsText" text="P">
      <formula>NOT(ISERROR(SEARCH("P",AD26)))</formula>
    </cfRule>
    <cfRule type="containsText" dxfId="1690" priority="628" operator="containsText" text="P">
      <formula>NOT(ISERROR(SEARCH("P",AD26)))</formula>
    </cfRule>
  </conditionalFormatting>
  <conditionalFormatting sqref="AD27:AE27">
    <cfRule type="containsText" dxfId="1689" priority="574" operator="containsText" text="P">
      <formula>NOT(ISERROR(SEARCH("P",AD27)))</formula>
    </cfRule>
    <cfRule type="containsText" dxfId="1688" priority="575" operator="containsText" text="P">
      <formula>NOT(ISERROR(SEARCH("P",AD27)))</formula>
    </cfRule>
  </conditionalFormatting>
  <conditionalFormatting sqref="AD30:AE30">
    <cfRule type="containsText" dxfId="1687" priority="627" operator="containsText" text="P">
      <formula>NOT(ISERROR(SEARCH("P",AD30)))</formula>
    </cfRule>
    <cfRule type="containsText" dxfId="1686" priority="626" operator="containsText" text="P">
      <formula>NOT(ISERROR(SEARCH("P",AD30)))</formula>
    </cfRule>
  </conditionalFormatting>
  <conditionalFormatting sqref="AD33:AE33">
    <cfRule type="containsText" dxfId="1685" priority="633" operator="containsText" text="P">
      <formula>NOT(ISERROR(SEARCH("P",AD33)))</formula>
    </cfRule>
    <cfRule type="containsText" dxfId="1684" priority="632" operator="containsText" text="P">
      <formula>NOT(ISERROR(SEARCH("P",AD33)))</formula>
    </cfRule>
  </conditionalFormatting>
  <conditionalFormatting sqref="AD37:AE37">
    <cfRule type="containsText" dxfId="1683" priority="613" operator="containsText" text="P">
      <formula>NOT(ISERROR(SEARCH("P",AD37)))</formula>
    </cfRule>
    <cfRule type="containsText" dxfId="1682" priority="612" operator="containsText" text="P">
      <formula>NOT(ISERROR(SEARCH("P",AD37)))</formula>
    </cfRule>
  </conditionalFormatting>
  <conditionalFormatting sqref="AD37:AE48 AD60:AE72 AD93:AE93">
    <cfRule type="containsText" dxfId="1681" priority="1" operator="containsText" text="A">
      <formula>NOT(ISERROR(SEARCH("A",AD37)))</formula>
    </cfRule>
    <cfRule type="containsText" dxfId="1680" priority="2" operator="containsText" text="A">
      <formula>NOT(ISERROR(SEARCH("A",AD37)))</formula>
    </cfRule>
  </conditionalFormatting>
  <conditionalFormatting sqref="AD38:AE38">
    <cfRule type="containsText" dxfId="1679" priority="580" operator="containsText" text="P">
      <formula>NOT(ISERROR(SEARCH("P",AD38)))</formula>
    </cfRule>
    <cfRule type="containsText" dxfId="1678" priority="581" operator="containsText" text="P">
      <formula>NOT(ISERROR(SEARCH("P",AD38)))</formula>
    </cfRule>
  </conditionalFormatting>
  <conditionalFormatting sqref="AD39:AE39">
    <cfRule type="containsText" dxfId="1677" priority="585" operator="containsText" text="P">
      <formula>NOT(ISERROR(SEARCH("P",AD39)))</formula>
    </cfRule>
    <cfRule type="containsText" dxfId="1676" priority="584" operator="containsText" text="P">
      <formula>NOT(ISERROR(SEARCH("P",AD39)))</formula>
    </cfRule>
  </conditionalFormatting>
  <conditionalFormatting sqref="AD40:AE40">
    <cfRule type="containsText" dxfId="1675" priority="587" operator="containsText" text="P">
      <formula>NOT(ISERROR(SEARCH("P",AD40)))</formula>
    </cfRule>
    <cfRule type="containsText" dxfId="1674" priority="586" operator="containsText" text="P">
      <formula>NOT(ISERROR(SEARCH("P",AD40)))</formula>
    </cfRule>
  </conditionalFormatting>
  <conditionalFormatting sqref="AD41:AE41">
    <cfRule type="containsText" dxfId="1673" priority="672" operator="containsText" text="P">
      <formula>NOT(ISERROR(SEARCH("P",AD41)))</formula>
    </cfRule>
    <cfRule type="containsText" dxfId="1672" priority="673" operator="containsText" text="P">
      <formula>NOT(ISERROR(SEARCH("P",AD41)))</formula>
    </cfRule>
  </conditionalFormatting>
  <conditionalFormatting sqref="AD43:AE43">
    <cfRule type="containsText" dxfId="1671" priority="665" operator="containsText" text="P">
      <formula>NOT(ISERROR(SEARCH("P",AD43)))</formula>
    </cfRule>
    <cfRule type="containsText" dxfId="1670" priority="664" operator="containsText" text="P">
      <formula>NOT(ISERROR(SEARCH("P",AD43)))</formula>
    </cfRule>
  </conditionalFormatting>
  <conditionalFormatting sqref="AD44:AE44">
    <cfRule type="containsText" dxfId="1669" priority="669" operator="containsText" text="P">
      <formula>NOT(ISERROR(SEARCH("P",AD44)))</formula>
    </cfRule>
    <cfRule type="containsText" dxfId="1668" priority="668" operator="containsText" text="P">
      <formula>NOT(ISERROR(SEARCH("P",AD44)))</formula>
    </cfRule>
  </conditionalFormatting>
  <conditionalFormatting sqref="AD45:AE45">
    <cfRule type="containsText" dxfId="1667" priority="557" operator="containsText" text="P">
      <formula>NOT(ISERROR(SEARCH("P",AD45)))</formula>
    </cfRule>
    <cfRule type="containsText" dxfId="1666" priority="559" operator="containsText" text="P">
      <formula>NOT(ISERROR(SEARCH("P",AD45)))</formula>
    </cfRule>
  </conditionalFormatting>
  <conditionalFormatting sqref="AD46:AE46">
    <cfRule type="containsText" dxfId="1665" priority="608" operator="containsText" text="P">
      <formula>NOT(ISERROR(SEARCH("P",AD46)))</formula>
    </cfRule>
    <cfRule type="containsText" dxfId="1664" priority="600" operator="containsText" text="P">
      <formula>NOT(ISERROR(SEARCH("P",AD46)))</formula>
    </cfRule>
    <cfRule type="containsText" dxfId="1663" priority="609" operator="containsText" text="P">
      <formula>NOT(ISERROR(SEARCH("P",AD46)))</formula>
    </cfRule>
    <cfRule type="containsText" dxfId="1662" priority="601" operator="containsText" text="P">
      <formula>NOT(ISERROR(SEARCH("P",AD46)))</formula>
    </cfRule>
  </conditionalFormatting>
  <conditionalFormatting sqref="AD46:AE50">
    <cfRule type="containsText" dxfId="1661" priority="604" operator="containsText" text="A">
      <formula>NOT(ISERROR(SEARCH("A",AD46)))</formula>
    </cfRule>
    <cfRule type="containsText" dxfId="1660" priority="606" operator="containsText" text="A">
      <formula>NOT(ISERROR(SEARCH("A",AD46)))</formula>
    </cfRule>
  </conditionalFormatting>
  <conditionalFormatting sqref="AD47:AE47">
    <cfRule type="containsText" dxfId="1659" priority="602" operator="containsText" text="P">
      <formula>NOT(ISERROR(SEARCH("P",AD47)))</formula>
    </cfRule>
    <cfRule type="containsText" dxfId="1658" priority="603" operator="containsText" text="P">
      <formula>NOT(ISERROR(SEARCH("P",AD47)))</formula>
    </cfRule>
    <cfRule type="containsText" dxfId="1657" priority="605" operator="containsText" text="P">
      <formula>NOT(ISERROR(SEARCH("P",AD47)))</formula>
    </cfRule>
    <cfRule type="containsText" dxfId="1656" priority="607" operator="containsText" text="P">
      <formula>NOT(ISERROR(SEARCH("P",AD47)))</formula>
    </cfRule>
  </conditionalFormatting>
  <conditionalFormatting sqref="AD48:AE48">
    <cfRule type="containsText" dxfId="1655" priority="599" operator="containsText" text="P">
      <formula>NOT(ISERROR(SEARCH("P",AD48)))</formula>
    </cfRule>
    <cfRule type="containsText" dxfId="1654" priority="598" operator="containsText" text="P">
      <formula>NOT(ISERROR(SEARCH("P",AD48)))</formula>
    </cfRule>
    <cfRule type="containsText" dxfId="1653" priority="611" operator="containsText" text="P">
      <formula>NOT(ISERROR(SEARCH("P",AD48)))</formula>
    </cfRule>
    <cfRule type="containsText" dxfId="1652" priority="610" operator="containsText" text="P">
      <formula>NOT(ISERROR(SEARCH("P",AD48)))</formula>
    </cfRule>
  </conditionalFormatting>
  <conditionalFormatting sqref="AD49:AE49">
    <cfRule type="containsText" dxfId="1651" priority="660" operator="containsText" text="P">
      <formula>NOT(ISERROR(SEARCH("P",AD49)))</formula>
    </cfRule>
    <cfRule type="containsText" dxfId="1650" priority="661" operator="containsText" text="P">
      <formula>NOT(ISERROR(SEARCH("P",AD49)))</formula>
    </cfRule>
  </conditionalFormatting>
  <conditionalFormatting sqref="AD50:AE50">
    <cfRule type="containsText" dxfId="1649" priority="654" operator="containsText" text="P">
      <formula>NOT(ISERROR(SEARCH("P",AD50)))</formula>
    </cfRule>
    <cfRule type="containsText" dxfId="1648" priority="655" operator="containsText" text="P">
      <formula>NOT(ISERROR(SEARCH("P",AD50)))</formula>
    </cfRule>
  </conditionalFormatting>
  <conditionalFormatting sqref="AD51:AE51 AD32:AE32 AD25:AE25 AD15:AE15">
    <cfRule type="containsText" dxfId="1647" priority="94" operator="containsText" text="P">
      <formula>NOT(ISERROR(SEARCH("P",AD15)))</formula>
    </cfRule>
    <cfRule type="containsText" dxfId="1646" priority="93" operator="containsText" text="P">
      <formula>NOT(ISERROR(SEARCH("P",AD15)))</formula>
    </cfRule>
  </conditionalFormatting>
  <conditionalFormatting sqref="AD51:AE57 AD77:AE83 AD86:AE86 AD90:AE90">
    <cfRule type="containsText" dxfId="1645" priority="131" operator="containsText" text="A">
      <formula>NOT(ISERROR(SEARCH("A",AD51)))</formula>
    </cfRule>
    <cfRule type="containsText" dxfId="1644" priority="132" operator="containsText" text="A">
      <formula>NOT(ISERROR(SEARCH("A",AD51)))</formula>
    </cfRule>
  </conditionalFormatting>
  <conditionalFormatting sqref="AD52:AE52">
    <cfRule type="containsText" dxfId="1643" priority="671" operator="containsText" text="P">
      <formula>NOT(ISERROR(SEARCH("P",AD52)))</formula>
    </cfRule>
    <cfRule type="containsText" dxfId="1642" priority="670" operator="containsText" text="P">
      <formula>NOT(ISERROR(SEARCH("P",AD52)))</formula>
    </cfRule>
  </conditionalFormatting>
  <conditionalFormatting sqref="AD53:AE53">
    <cfRule type="containsText" dxfId="1641" priority="552" operator="containsText" text="P">
      <formula>NOT(ISERROR(SEARCH("P",AD53)))</formula>
    </cfRule>
    <cfRule type="containsText" dxfId="1640" priority="553" operator="containsText" text="P">
      <formula>NOT(ISERROR(SEARCH("P",AD53)))</formula>
    </cfRule>
  </conditionalFormatting>
  <conditionalFormatting sqref="AD55:AE55">
    <cfRule type="containsText" dxfId="1639" priority="560" operator="containsText" text="P">
      <formula>NOT(ISERROR(SEARCH("P",AD55)))</formula>
    </cfRule>
    <cfRule type="containsText" dxfId="1638" priority="561" operator="containsText" text="P">
      <formula>NOT(ISERROR(SEARCH("P",AD55)))</formula>
    </cfRule>
  </conditionalFormatting>
  <conditionalFormatting sqref="AD57:AE57">
    <cfRule type="containsText" dxfId="1637" priority="597" operator="containsText" text="P">
      <formula>NOT(ISERROR(SEARCH("P",AD57)))</formula>
    </cfRule>
    <cfRule type="containsText" dxfId="1636" priority="596" operator="containsText" text="P">
      <formula>NOT(ISERROR(SEARCH("P",AD57)))</formula>
    </cfRule>
  </conditionalFormatting>
  <conditionalFormatting sqref="AD61:AE61 AD56:AE56">
    <cfRule type="containsText" dxfId="1635" priority="680" operator="containsText" text="P">
      <formula>NOT(ISERROR(SEARCH("P",AD56)))</formula>
    </cfRule>
    <cfRule type="containsText" dxfId="1634" priority="681" operator="containsText" text="P">
      <formula>NOT(ISERROR(SEARCH("P",AD56)))</formula>
    </cfRule>
  </conditionalFormatting>
  <conditionalFormatting sqref="AD62:AE62">
    <cfRule type="containsText" dxfId="1633" priority="653" operator="containsText" text="P">
      <formula>NOT(ISERROR(SEARCH("P",AD62)))</formula>
    </cfRule>
    <cfRule type="containsText" dxfId="1632" priority="652" operator="containsText" text="P">
      <formula>NOT(ISERROR(SEARCH("P",AD62)))</formula>
    </cfRule>
  </conditionalFormatting>
  <conditionalFormatting sqref="AD63:AE63">
    <cfRule type="containsText" dxfId="1631" priority="658" operator="containsText" text="P">
      <formula>NOT(ISERROR(SEARCH("P",AD63)))</formula>
    </cfRule>
    <cfRule type="containsText" dxfId="1630" priority="659" operator="containsText" text="P">
      <formula>NOT(ISERROR(SEARCH("P",AD63)))</formula>
    </cfRule>
  </conditionalFormatting>
  <conditionalFormatting sqref="AD64:AE65">
    <cfRule type="containsText" dxfId="1629" priority="684" operator="containsText" text="P">
      <formula>NOT(ISERROR(SEARCH("P",AD64)))</formula>
    </cfRule>
    <cfRule type="containsText" dxfId="1628" priority="685" operator="containsText" text="P">
      <formula>NOT(ISERROR(SEARCH("P",AD64)))</formula>
    </cfRule>
  </conditionalFormatting>
  <conditionalFormatting sqref="AD66:AE66">
    <cfRule type="containsText" dxfId="1627" priority="650" operator="containsText" text="P">
      <formula>NOT(ISERROR(SEARCH("P",AD66)))</formula>
    </cfRule>
    <cfRule type="containsText" dxfId="1626" priority="651" operator="containsText" text="P">
      <formula>NOT(ISERROR(SEARCH("P",AD66)))</formula>
    </cfRule>
  </conditionalFormatting>
  <conditionalFormatting sqref="AD67:AE68 X87:AE87 AD78:AE79 AD81:AE81">
    <cfRule type="containsText" dxfId="1625" priority="689" operator="containsText" text="P">
      <formula>NOT(ISERROR(SEARCH("P",X67)))</formula>
    </cfRule>
    <cfRule type="containsText" dxfId="1624" priority="691" operator="containsText" text="P">
      <formula>NOT(ISERROR(SEARCH("P",X67)))</formula>
    </cfRule>
  </conditionalFormatting>
  <conditionalFormatting sqref="AD69:AE69">
    <cfRule type="containsText" dxfId="1623" priority="565" operator="containsText" text="P">
      <formula>NOT(ISERROR(SEARCH("P",AD69)))</formula>
    </cfRule>
    <cfRule type="containsText" dxfId="1622" priority="563" operator="containsText" text="P">
      <formula>NOT(ISERROR(SEARCH("P",AD69)))</formula>
    </cfRule>
  </conditionalFormatting>
  <conditionalFormatting sqref="AD71:AE71">
    <cfRule type="containsText" dxfId="1621" priority="687" operator="containsText" text="P">
      <formula>NOT(ISERROR(SEARCH("P",AD71)))</formula>
    </cfRule>
    <cfRule type="containsText" dxfId="1620" priority="686" operator="containsText" text="P">
      <formula>NOT(ISERROR(SEARCH("P",AD71)))</formula>
    </cfRule>
  </conditionalFormatting>
  <conditionalFormatting sqref="AD72:AE72">
    <cfRule type="containsText" dxfId="1619" priority="570" operator="containsText" text="P">
      <formula>NOT(ISERROR(SEARCH("P",AD72)))</formula>
    </cfRule>
    <cfRule type="containsText" dxfId="1618" priority="571" operator="containsText" text="P">
      <formula>NOT(ISERROR(SEARCH("P",AD72)))</formula>
    </cfRule>
  </conditionalFormatting>
  <conditionalFormatting sqref="AD82:AE82">
    <cfRule type="containsText" dxfId="1617" priority="555" operator="containsText" text="P">
      <formula>NOT(ISERROR(SEARCH("P",AD82)))</formula>
    </cfRule>
    <cfRule type="containsText" dxfId="1616" priority="554" operator="containsText" text="P">
      <formula>NOT(ISERROR(SEARCH("P",AD82)))</formula>
    </cfRule>
  </conditionalFormatting>
  <conditionalFormatting sqref="AD88:AE88">
    <cfRule type="containsText" dxfId="1615" priority="164" operator="containsText" text="P">
      <formula>NOT(ISERROR(SEARCH("P",AD88)))</formula>
    </cfRule>
    <cfRule type="containsText" dxfId="1614" priority="166" operator="containsText" text="P">
      <formula>NOT(ISERROR(SEARCH("P",AD88)))</formula>
    </cfRule>
    <cfRule type="containsText" dxfId="1613" priority="165" operator="containsText" text="A">
      <formula>NOT(ISERROR(SEARCH("A",AD88)))</formula>
    </cfRule>
    <cfRule type="containsText" dxfId="1612" priority="163" operator="containsText" text="A">
      <formula>NOT(ISERROR(SEARCH("A",AD88)))</formula>
    </cfRule>
  </conditionalFormatting>
  <conditionalFormatting sqref="AD90:AE90 AD83:AE83 AD77:AE77 AD54:AE54 AD34:AE34 AD31:AE31">
    <cfRule type="containsText" dxfId="1611" priority="133" operator="containsText" text="P">
      <formula>NOT(ISERROR(SEARCH("P",AD31)))</formula>
    </cfRule>
    <cfRule type="containsText" dxfId="1610" priority="134" operator="containsText" text="P">
      <formula>NOT(ISERROR(SEARCH("P",AD31)))</formula>
    </cfRule>
  </conditionalFormatting>
  <conditionalFormatting sqref="AD93:AE93 AD86:AE86 AD80:AE80 AD70:AE70 AD60:AE60 AD42:AE42 AD28:AE29 AD20:AE21 AD17:AE17 AD9:AE9 AD3:AE6">
    <cfRule type="containsText" dxfId="1609" priority="12" operator="containsText" text="P">
      <formula>NOT(ISERROR(SEARCH("P",AD3)))</formula>
    </cfRule>
    <cfRule type="containsText" dxfId="1608" priority="11" operator="containsText" text="P">
      <formula>NOT(ISERROR(SEARCH("P",AD3)))</formula>
    </cfRule>
  </conditionalFormatting>
  <conditionalFormatting sqref="AE35">
    <cfRule type="containsText" dxfId="1607" priority="615" operator="containsText" text="P">
      <formula>NOT(ISERROR(SEARCH("P",AE35)))</formula>
    </cfRule>
    <cfRule type="containsText" dxfId="1606" priority="617" operator="containsText" text="P">
      <formula>NOT(ISERROR(SEARCH("P",AE35)))</formula>
    </cfRule>
  </conditionalFormatting>
  <conditionalFormatting sqref="AE35:AE36">
    <cfRule type="containsText" dxfId="1605" priority="614" operator="containsText" text="A">
      <formula>NOT(ISERROR(SEARCH("A",AE35)))</formula>
    </cfRule>
    <cfRule type="containsText" dxfId="1604" priority="616" operator="containsText" text="A">
      <formula>NOT(ISERROR(SEARCH("A",AE35)))</formula>
    </cfRule>
  </conditionalFormatting>
  <conditionalFormatting sqref="AE36">
    <cfRule type="containsText" dxfId="1603" priority="623" operator="containsText" text="P">
      <formula>NOT(ISERROR(SEARCH("P",AE36)))</formula>
    </cfRule>
    <cfRule type="containsText" dxfId="1602" priority="622" operator="containsText" text="P">
      <formula>NOT(ISERROR(SEARCH("P",AE36)))</formula>
    </cfRule>
  </conditionalFormatting>
  <conditionalFormatting sqref="AF8">
    <cfRule type="containsText" dxfId="1601" priority="774" operator="containsText" text="A">
      <formula>NOT(ISERROR(SEARCH("A",AF8)))</formula>
    </cfRule>
    <cfRule type="containsText" dxfId="1600" priority="946" operator="containsText" text="P">
      <formula>NOT(ISERROR(SEARCH("P",AF8)))</formula>
    </cfRule>
    <cfRule type="containsText" dxfId="1599" priority="947" operator="containsText" text="P">
      <formula>NOT(ISERROR(SEARCH("P",AF8)))</formula>
    </cfRule>
    <cfRule type="containsText" dxfId="1598" priority="772" operator="containsText" text="A">
      <formula>NOT(ISERROR(SEARCH("A",AF8)))</formula>
    </cfRule>
  </conditionalFormatting>
  <conditionalFormatting sqref="AF18">
    <cfRule type="containsText" dxfId="1597" priority="924" operator="containsText" text="P">
      <formula>NOT(ISERROR(SEARCH("P",AF18)))</formula>
    </cfRule>
    <cfRule type="containsText" dxfId="1596" priority="908" operator="containsText" text="A">
      <formula>NOT(ISERROR(SEARCH("A",AF18)))</formula>
    </cfRule>
    <cfRule type="containsText" dxfId="1595" priority="906" operator="containsText" text="A">
      <formula>NOT(ISERROR(SEARCH("A",AF18)))</formula>
    </cfRule>
    <cfRule type="containsText" dxfId="1594" priority="925" operator="containsText" text="P">
      <formula>NOT(ISERROR(SEARCH("P",AF18)))</formula>
    </cfRule>
  </conditionalFormatting>
  <conditionalFormatting sqref="AF26 AF30:AF31 AF34 AF54 AF77 AF83 AF90">
    <cfRule type="containsText" dxfId="1593" priority="135" operator="containsText" text="A">
      <formula>NOT(ISERROR(SEARCH("A",AF26)))</formula>
    </cfRule>
    <cfRule type="containsText" dxfId="1592" priority="137" operator="containsText" text="A">
      <formula>NOT(ISERROR(SEARCH("A",AF26)))</formula>
    </cfRule>
  </conditionalFormatting>
  <conditionalFormatting sqref="AF26">
    <cfRule type="containsText" dxfId="1591" priority="872" operator="containsText" text="P">
      <formula>NOT(ISERROR(SEARCH("P",AF26)))</formula>
    </cfRule>
    <cfRule type="containsText" dxfId="1590" priority="873" operator="containsText" text="P">
      <formula>NOT(ISERROR(SEARCH("P",AF26)))</formula>
    </cfRule>
  </conditionalFormatting>
  <conditionalFormatting sqref="AF30">
    <cfRule type="containsText" dxfId="1589" priority="869" operator="containsText" text="P">
      <formula>NOT(ISERROR(SEARCH("P",AF30)))</formula>
    </cfRule>
    <cfRule type="containsText" dxfId="1588" priority="868" operator="containsText" text="P">
      <formula>NOT(ISERROR(SEARCH("P",AF30)))</formula>
    </cfRule>
  </conditionalFormatting>
  <conditionalFormatting sqref="AF37">
    <cfRule type="containsText" dxfId="1587" priority="855" operator="containsText" text="P">
      <formula>NOT(ISERROR(SEARCH("P",AF37)))</formula>
    </cfRule>
    <cfRule type="containsText" dxfId="1586" priority="856" operator="containsText" text="A">
      <formula>NOT(ISERROR(SEARCH("A",AF37)))</formula>
    </cfRule>
    <cfRule type="containsText" dxfId="1585" priority="857" operator="containsText" text="P">
      <formula>NOT(ISERROR(SEARCH("P",AF37)))</formula>
    </cfRule>
    <cfRule type="containsText" dxfId="1584" priority="854" operator="containsText" text="A">
      <formula>NOT(ISERROR(SEARCH("A",AF37)))</formula>
    </cfRule>
  </conditionalFormatting>
  <conditionalFormatting sqref="AF39">
    <cfRule type="containsText" dxfId="1583" priority="764" operator="containsText" text="A">
      <formula>NOT(ISERROR(SEARCH("A",AF39)))</formula>
    </cfRule>
    <cfRule type="containsText" dxfId="1582" priority="766" operator="containsText" text="A">
      <formula>NOT(ISERROR(SEARCH("A",AF39)))</formula>
    </cfRule>
  </conditionalFormatting>
  <conditionalFormatting sqref="AF44">
    <cfRule type="containsText" dxfId="1581" priority="993" operator="containsText" text="P">
      <formula>NOT(ISERROR(SEARCH("P",AF44)))</formula>
    </cfRule>
    <cfRule type="containsText" dxfId="1580" priority="990" operator="containsText" text="A">
      <formula>NOT(ISERROR(SEARCH("A",AF44)))</formula>
    </cfRule>
    <cfRule type="containsText" dxfId="1579" priority="991" operator="containsText" text="P">
      <formula>NOT(ISERROR(SEARCH("P",AF44)))</formula>
    </cfRule>
    <cfRule type="containsText" dxfId="1578" priority="992" operator="containsText" text="A">
      <formula>NOT(ISERROR(SEARCH("A",AF44)))</formula>
    </cfRule>
  </conditionalFormatting>
  <conditionalFormatting sqref="AF46">
    <cfRule type="containsText" dxfId="1577" priority="817" operator="containsText" text="P">
      <formula>NOT(ISERROR(SEARCH("P",AF46)))</formula>
    </cfRule>
    <cfRule type="containsText" dxfId="1576" priority="816" operator="containsText" text="A">
      <formula>NOT(ISERROR(SEARCH("A",AF46)))</formula>
    </cfRule>
    <cfRule type="containsText" dxfId="1575" priority="815" operator="containsText" text="P">
      <formula>NOT(ISERROR(SEARCH("P",AF46)))</formula>
    </cfRule>
    <cfRule type="containsText" dxfId="1574" priority="814" operator="containsText" text="A">
      <formula>NOT(ISERROR(SEARCH("A",AF46)))</formula>
    </cfRule>
  </conditionalFormatting>
  <conditionalFormatting sqref="AF47">
    <cfRule type="containsText" dxfId="1573" priority="829" operator="containsText" text="P">
      <formula>NOT(ISERROR(SEARCH("P",AF47)))</formula>
    </cfRule>
    <cfRule type="containsText" dxfId="1572" priority="827" operator="containsText" text="P">
      <formula>NOT(ISERROR(SEARCH("P",AF47)))</formula>
    </cfRule>
  </conditionalFormatting>
  <conditionalFormatting sqref="AF47:AF48">
    <cfRule type="containsText" dxfId="1571" priority="828" operator="containsText" text="A">
      <formula>NOT(ISERROR(SEARCH("A",AF47)))</formula>
    </cfRule>
    <cfRule type="containsText" dxfId="1570" priority="826" operator="containsText" text="A">
      <formula>NOT(ISERROR(SEARCH("A",AF47)))</formula>
    </cfRule>
  </conditionalFormatting>
  <conditionalFormatting sqref="AF48">
    <cfRule type="containsText" dxfId="1569" priority="837" operator="containsText" text="P">
      <formula>NOT(ISERROR(SEARCH("P",AF48)))</formula>
    </cfRule>
    <cfRule type="containsText" dxfId="1568" priority="812" operator="containsText" text="A">
      <formula>NOT(ISERROR(SEARCH("A",AF48)))</formula>
    </cfRule>
    <cfRule type="containsText" dxfId="1567" priority="811" operator="containsText" text="P">
      <formula>NOT(ISERROR(SEARCH("P",AF48)))</formula>
    </cfRule>
    <cfRule type="containsText" dxfId="1566" priority="810" operator="containsText" text="A">
      <formula>NOT(ISERROR(SEARCH("A",AF48)))</formula>
    </cfRule>
    <cfRule type="containsText" dxfId="1565" priority="813" operator="containsText" text="P">
      <formula>NOT(ISERROR(SEARCH("P",AF48)))</formula>
    </cfRule>
    <cfRule type="containsText" dxfId="1564" priority="836" operator="containsText" text="P">
      <formula>NOT(ISERROR(SEARCH("P",AF48)))</formula>
    </cfRule>
  </conditionalFormatting>
  <conditionalFormatting sqref="AF57">
    <cfRule type="containsText" dxfId="1563" priority="809" operator="containsText" text="P">
      <formula>NOT(ISERROR(SEARCH("P",AF57)))</formula>
    </cfRule>
    <cfRule type="containsText" dxfId="1562" priority="807" operator="containsText" text="P">
      <formula>NOT(ISERROR(SEARCH("P",AF57)))</formula>
    </cfRule>
    <cfRule type="containsText" dxfId="1561" priority="808" operator="containsText" text="A">
      <formula>NOT(ISERROR(SEARCH("A",AF57)))</formula>
    </cfRule>
    <cfRule type="containsText" dxfId="1560" priority="806" operator="containsText" text="A">
      <formula>NOT(ISERROR(SEARCH("A",AF57)))</formula>
    </cfRule>
  </conditionalFormatting>
  <conditionalFormatting sqref="AF90 AF83 AF77 AF54 AF34 AF31">
    <cfRule type="containsText" dxfId="1559" priority="136" operator="containsText" text="P">
      <formula>NOT(ISERROR(SEARCH("P",AF31)))</formula>
    </cfRule>
    <cfRule type="containsText" dxfId="1558" priority="138" operator="containsText" text="P">
      <formula>NOT(ISERROR(SEARCH("P",AF31)))</formula>
    </cfRule>
  </conditionalFormatting>
  <conditionalFormatting sqref="AF7:AG7">
    <cfRule type="containsText" dxfId="1557" priority="1014" operator="containsText" text="A">
      <formula>NOT(ISERROR(SEARCH("A",AF7)))</formula>
    </cfRule>
    <cfRule type="containsText" dxfId="1556" priority="1013" operator="containsText" text="P">
      <formula>NOT(ISERROR(SEARCH("P",AF7)))</formula>
    </cfRule>
    <cfRule type="containsText" dxfId="1555" priority="1012" operator="containsText" text="A">
      <formula>NOT(ISERROR(SEARCH("A",AF7)))</formula>
    </cfRule>
    <cfRule type="containsText" dxfId="1554" priority="1015" operator="containsText" text="P">
      <formula>NOT(ISERROR(SEARCH("P",AF7)))</formula>
    </cfRule>
  </conditionalFormatting>
  <conditionalFormatting sqref="AF11:AG11">
    <cfRule type="containsText" dxfId="1553" priority="966" operator="containsText" text="A">
      <formula>NOT(ISERROR(SEARCH("A",AF11)))</formula>
    </cfRule>
    <cfRule type="containsText" dxfId="1552" priority="967" operator="containsText" text="P">
      <formula>NOT(ISERROR(SEARCH("P",AF11)))</formula>
    </cfRule>
    <cfRule type="containsText" dxfId="1551" priority="969" operator="containsText" text="P">
      <formula>NOT(ISERROR(SEARCH("P",AF11)))</formula>
    </cfRule>
    <cfRule type="containsText" dxfId="1550" priority="968" operator="containsText" text="A">
      <formula>NOT(ISERROR(SEARCH("A",AF11)))</formula>
    </cfRule>
  </conditionalFormatting>
  <conditionalFormatting sqref="AF13:AG13">
    <cfRule type="containsText" dxfId="1549" priority="982" operator="containsText" text="A">
      <formula>NOT(ISERROR(SEARCH("A",AF13)))</formula>
    </cfRule>
    <cfRule type="containsText" dxfId="1548" priority="983" operator="containsText" text="P">
      <formula>NOT(ISERROR(SEARCH("P",AF13)))</formula>
    </cfRule>
    <cfRule type="containsText" dxfId="1547" priority="984" operator="containsText" text="A">
      <formula>NOT(ISERROR(SEARCH("A",AF13)))</formula>
    </cfRule>
    <cfRule type="containsText" dxfId="1546" priority="985" operator="containsText" text="P">
      <formula>NOT(ISERROR(SEARCH("P",AF13)))</formula>
    </cfRule>
  </conditionalFormatting>
  <conditionalFormatting sqref="AF16:AG16">
    <cfRule type="containsText" dxfId="1545" priority="933" operator="containsText" text="P">
      <formula>NOT(ISERROR(SEARCH("P",AF16)))</formula>
    </cfRule>
    <cfRule type="containsText" dxfId="1544" priority="930" operator="containsText" text="A">
      <formula>NOT(ISERROR(SEARCH("A",AF16)))</formula>
    </cfRule>
    <cfRule type="containsText" dxfId="1543" priority="931" operator="containsText" text="P">
      <formula>NOT(ISERROR(SEARCH("P",AF16)))</formula>
    </cfRule>
    <cfRule type="containsText" dxfId="1542" priority="932" operator="containsText" text="A">
      <formula>NOT(ISERROR(SEARCH("A",AF16)))</formula>
    </cfRule>
  </conditionalFormatting>
  <conditionalFormatting sqref="AF19:AG19">
    <cfRule type="containsText" dxfId="1541" priority="921" operator="containsText" text="P">
      <formula>NOT(ISERROR(SEARCH("P",AF19)))</formula>
    </cfRule>
    <cfRule type="containsText" dxfId="1540" priority="919" operator="containsText" text="P">
      <formula>NOT(ISERROR(SEARCH("P",AF19)))</formula>
    </cfRule>
    <cfRule type="containsText" dxfId="1539" priority="920" operator="containsText" text="A">
      <formula>NOT(ISERROR(SEARCH("A",AF19)))</formula>
    </cfRule>
    <cfRule type="containsText" dxfId="1538" priority="918" operator="containsText" text="A">
      <formula>NOT(ISERROR(SEARCH("A",AF19)))</formula>
    </cfRule>
  </conditionalFormatting>
  <conditionalFormatting sqref="AF23:AG23">
    <cfRule type="containsText" dxfId="1537" priority="977" operator="containsText" text="P">
      <formula>NOT(ISERROR(SEARCH("P",AF23)))</formula>
    </cfRule>
    <cfRule type="containsText" dxfId="1536" priority="975" operator="containsText" text="P">
      <formula>NOT(ISERROR(SEARCH("P",AF23)))</formula>
    </cfRule>
  </conditionalFormatting>
  <conditionalFormatting sqref="AF23:AG24">
    <cfRule type="containsText" dxfId="1535" priority="974" operator="containsText" text="A">
      <formula>NOT(ISERROR(SEARCH("A",AF23)))</formula>
    </cfRule>
    <cfRule type="containsText" dxfId="1534" priority="976" operator="containsText" text="A">
      <formula>NOT(ISERROR(SEARCH("A",AF23)))</formula>
    </cfRule>
  </conditionalFormatting>
  <conditionalFormatting sqref="AF24:AG24">
    <cfRule type="containsText" dxfId="1533" priority="1006" operator="containsText" text="P">
      <formula>NOT(ISERROR(SEARCH("P",AF24)))</formula>
    </cfRule>
    <cfRule type="containsText" dxfId="1532" priority="1007" operator="containsText" text="P">
      <formula>NOT(ISERROR(SEARCH("P",AF24)))</formula>
    </cfRule>
  </conditionalFormatting>
  <conditionalFormatting sqref="AF33:AG33">
    <cfRule type="containsText" dxfId="1531" priority="882" operator="containsText" text="A">
      <formula>NOT(ISERROR(SEARCH("A",AF33)))</formula>
    </cfRule>
    <cfRule type="containsText" dxfId="1530" priority="880" operator="containsText" text="A">
      <formula>NOT(ISERROR(SEARCH("A",AF33)))</formula>
    </cfRule>
    <cfRule type="containsText" dxfId="1529" priority="881" operator="containsText" text="P">
      <formula>NOT(ISERROR(SEARCH("P",AF33)))</formula>
    </cfRule>
    <cfRule type="containsText" dxfId="1528" priority="883" operator="containsText" text="P">
      <formula>NOT(ISERROR(SEARCH("P",AF33)))</formula>
    </cfRule>
  </conditionalFormatting>
  <conditionalFormatting sqref="AF35:AG35">
    <cfRule type="containsText" dxfId="1527" priority="863" operator="containsText" text="P">
      <formula>NOT(ISERROR(SEARCH("P",AF35)))</formula>
    </cfRule>
    <cfRule type="containsText" dxfId="1526" priority="865" operator="containsText" text="P">
      <formula>NOT(ISERROR(SEARCH("P",AF35)))</formula>
    </cfRule>
  </conditionalFormatting>
  <conditionalFormatting sqref="AF35:AG36">
    <cfRule type="containsText" dxfId="1525" priority="864" operator="containsText" text="A">
      <formula>NOT(ISERROR(SEARCH("A",AF35)))</formula>
    </cfRule>
    <cfRule type="containsText" dxfId="1524" priority="862" operator="containsText" text="A">
      <formula>NOT(ISERROR(SEARCH("A",AF35)))</formula>
    </cfRule>
  </conditionalFormatting>
  <conditionalFormatting sqref="AF36:AG36">
    <cfRule type="containsText" dxfId="1523" priority="867" operator="containsText" text="P">
      <formula>NOT(ISERROR(SEARCH("P",AF36)))</formula>
    </cfRule>
    <cfRule type="containsText" dxfId="1522" priority="866" operator="containsText" text="P">
      <formula>NOT(ISERROR(SEARCH("P",AF36)))</formula>
    </cfRule>
  </conditionalFormatting>
  <conditionalFormatting sqref="AF38:AG38">
    <cfRule type="containsText" dxfId="1521" priority="751" operator="containsText" text="P">
      <formula>NOT(ISERROR(SEARCH("P",AF38)))</formula>
    </cfRule>
    <cfRule type="containsText" dxfId="1520" priority="750" operator="containsText" text="A">
      <formula>NOT(ISERROR(SEARCH("A",AF38)))</formula>
    </cfRule>
    <cfRule type="containsText" dxfId="1519" priority="749" operator="containsText" text="P">
      <formula>NOT(ISERROR(SEARCH("P",AF38)))</formula>
    </cfRule>
    <cfRule type="containsText" dxfId="1518" priority="748" operator="containsText" text="A">
      <formula>NOT(ISERROR(SEARCH("A",AF38)))</formula>
    </cfRule>
  </conditionalFormatting>
  <conditionalFormatting sqref="AF41:AG41 AF43:AG43">
    <cfRule type="containsText" dxfId="1517" priority="980" operator="containsText" text="A">
      <formula>NOT(ISERROR(SEARCH("A",AF41)))</formula>
    </cfRule>
    <cfRule type="containsText" dxfId="1516" priority="978" operator="containsText" text="A">
      <formula>NOT(ISERROR(SEARCH("A",AF41)))</formula>
    </cfRule>
  </conditionalFormatting>
  <conditionalFormatting sqref="AF41:AG41">
    <cfRule type="containsText" dxfId="1515" priority="998" operator="containsText" text="P">
      <formula>NOT(ISERROR(SEARCH("P",AF41)))</formula>
    </cfRule>
    <cfRule type="containsText" dxfId="1514" priority="999" operator="containsText" text="P">
      <formula>NOT(ISERROR(SEARCH("P",AF41)))</formula>
    </cfRule>
  </conditionalFormatting>
  <conditionalFormatting sqref="AF43:AG43">
    <cfRule type="containsText" dxfId="1513" priority="979" operator="containsText" text="P">
      <formula>NOT(ISERROR(SEARCH("P",AF43)))</formula>
    </cfRule>
    <cfRule type="containsText" dxfId="1512" priority="981" operator="containsText" text="P">
      <formula>NOT(ISERROR(SEARCH("P",AF43)))</formula>
    </cfRule>
  </conditionalFormatting>
  <conditionalFormatting sqref="AF46:AG46">
    <cfRule type="containsText" dxfId="1511" priority="834" operator="containsText" text="P">
      <formula>NOT(ISERROR(SEARCH("P",AF46)))</formula>
    </cfRule>
    <cfRule type="containsText" dxfId="1510" priority="835" operator="containsText" text="P">
      <formula>NOT(ISERROR(SEARCH("P",AF46)))</formula>
    </cfRule>
  </conditionalFormatting>
  <conditionalFormatting sqref="AF46:AG47">
    <cfRule type="containsText" dxfId="1509" priority="822" operator="containsText" text="A">
      <formula>NOT(ISERROR(SEARCH("A",AF46)))</formula>
    </cfRule>
    <cfRule type="containsText" dxfId="1508" priority="824" operator="containsText" text="A">
      <formula>NOT(ISERROR(SEARCH("A",AF46)))</formula>
    </cfRule>
  </conditionalFormatting>
  <conditionalFormatting sqref="AF47:AG47">
    <cfRule type="containsText" dxfId="1507" priority="825" operator="containsText" text="P">
      <formula>NOT(ISERROR(SEARCH("P",AF47)))</formula>
    </cfRule>
    <cfRule type="containsText" dxfId="1506" priority="823" operator="containsText" text="P">
      <formula>NOT(ISERROR(SEARCH("P",AF47)))</formula>
    </cfRule>
  </conditionalFormatting>
  <conditionalFormatting sqref="AF49:AG49">
    <cfRule type="containsText" dxfId="1505" priority="973" operator="containsText" text="P">
      <formula>NOT(ISERROR(SEARCH("P",AF49)))</formula>
    </cfRule>
    <cfRule type="containsText" dxfId="1504" priority="972" operator="containsText" text="P">
      <formula>NOT(ISERROR(SEARCH("P",AF49)))</formula>
    </cfRule>
  </conditionalFormatting>
  <conditionalFormatting sqref="AF49:AG50">
    <cfRule type="containsText" dxfId="1503" priority="962" operator="containsText" text="A">
      <formula>NOT(ISERROR(SEARCH("A",AF49)))</formula>
    </cfRule>
    <cfRule type="containsText" dxfId="1502" priority="964" operator="containsText" text="A">
      <formula>NOT(ISERROR(SEARCH("A",AF49)))</formula>
    </cfRule>
  </conditionalFormatting>
  <conditionalFormatting sqref="AF50:AG50">
    <cfRule type="containsText" dxfId="1501" priority="965" operator="containsText" text="P">
      <formula>NOT(ISERROR(SEARCH("P",AF50)))</formula>
    </cfRule>
    <cfRule type="containsText" dxfId="1500" priority="963" operator="containsText" text="P">
      <formula>NOT(ISERROR(SEARCH("P",AF50)))</formula>
    </cfRule>
  </conditionalFormatting>
  <conditionalFormatting sqref="AF52:AG52">
    <cfRule type="containsText" dxfId="1499" priority="995" operator="containsText" text="P">
      <formula>NOT(ISERROR(SEARCH("P",AF52)))</formula>
    </cfRule>
    <cfRule type="containsText" dxfId="1498" priority="996" operator="containsText" text="A">
      <formula>NOT(ISERROR(SEARCH("A",AF52)))</formula>
    </cfRule>
    <cfRule type="containsText" dxfId="1497" priority="997" operator="containsText" text="P">
      <formula>NOT(ISERROR(SEARCH("P",AF52)))</formula>
    </cfRule>
    <cfRule type="containsText" dxfId="1496" priority="994" operator="containsText" text="A">
      <formula>NOT(ISERROR(SEARCH("A",AF52)))</formula>
    </cfRule>
  </conditionalFormatting>
  <conditionalFormatting sqref="AF56:AG56">
    <cfRule type="containsText" dxfId="1495" priority="1008" operator="containsText" text="A">
      <formula>NOT(ISERROR(SEARCH("A",AF56)))</formula>
    </cfRule>
    <cfRule type="containsText" dxfId="1494" priority="1010" operator="containsText" text="A">
      <formula>NOT(ISERROR(SEARCH("A",AF56)))</formula>
    </cfRule>
  </conditionalFormatting>
  <conditionalFormatting sqref="AF61:AG61 AF56:AG56">
    <cfRule type="containsText" dxfId="1493" priority="1009" operator="containsText" text="P">
      <formula>NOT(ISERROR(SEARCH("P",AF56)))</formula>
    </cfRule>
    <cfRule type="containsText" dxfId="1492" priority="1011" operator="containsText" text="P">
      <formula>NOT(ISERROR(SEARCH("P",AF56)))</formula>
    </cfRule>
  </conditionalFormatting>
  <conditionalFormatting sqref="AF61:AG66">
    <cfRule type="containsText" dxfId="1491" priority="954" operator="containsText" text="A">
      <formula>NOT(ISERROR(SEARCH("A",AF61)))</formula>
    </cfRule>
    <cfRule type="containsText" dxfId="1490" priority="952" operator="containsText" text="A">
      <formula>NOT(ISERROR(SEARCH("A",AF61)))</formula>
    </cfRule>
  </conditionalFormatting>
  <conditionalFormatting sqref="AF62:AG62">
    <cfRule type="containsText" dxfId="1489" priority="960" operator="containsText" text="P">
      <formula>NOT(ISERROR(SEARCH("P",AF62)))</formula>
    </cfRule>
    <cfRule type="containsText" dxfId="1488" priority="961" operator="containsText" text="P">
      <formula>NOT(ISERROR(SEARCH("P",AF62)))</formula>
    </cfRule>
  </conditionalFormatting>
  <conditionalFormatting sqref="AF63:AG63">
    <cfRule type="containsText" dxfId="1487" priority="970" operator="containsText" text="P">
      <formula>NOT(ISERROR(SEARCH("P",AF63)))</formula>
    </cfRule>
    <cfRule type="containsText" dxfId="1486" priority="971" operator="containsText" text="P">
      <formula>NOT(ISERROR(SEARCH("P",AF63)))</formula>
    </cfRule>
  </conditionalFormatting>
  <conditionalFormatting sqref="AF64:AG65">
    <cfRule type="containsText" dxfId="1485" priority="1016" operator="containsText" text="P">
      <formula>NOT(ISERROR(SEARCH("P",AF64)))</formula>
    </cfRule>
    <cfRule type="containsText" dxfId="1484" priority="1017" operator="containsText" text="P">
      <formula>NOT(ISERROR(SEARCH("P",AF64)))</formula>
    </cfRule>
  </conditionalFormatting>
  <conditionalFormatting sqref="AF66:AG66">
    <cfRule type="containsText" dxfId="1483" priority="953" operator="containsText" text="P">
      <formula>NOT(ISERROR(SEARCH("P",AF66)))</formula>
    </cfRule>
    <cfRule type="containsText" dxfId="1482" priority="955" operator="containsText" text="P">
      <formula>NOT(ISERROR(SEARCH("P",AF66)))</formula>
    </cfRule>
  </conditionalFormatting>
  <conditionalFormatting sqref="AF3:AI6 AF9:AI10 AF17:AI17 AF20:AI22 AF27:AI29 AF42:AI42 AF60:AI60 AF67:AI72 AF78:AI82 AF84:AI89 AF93:AI93">
    <cfRule type="containsText" dxfId="1481" priority="13" operator="containsText" text="A">
      <formula>NOT(ISERROR(SEARCH("A",AF3)))</formula>
    </cfRule>
    <cfRule type="containsText" dxfId="1480" priority="15" operator="containsText" text="A">
      <formula>NOT(ISERROR(SEARCH("A",AF3)))</formula>
    </cfRule>
  </conditionalFormatting>
  <conditionalFormatting sqref="AF10:AI10">
    <cfRule type="containsText" dxfId="1479" priority="741" operator="containsText" text="P">
      <formula>NOT(ISERROR(SEARCH("P",AF10)))</formula>
    </cfRule>
    <cfRule type="containsText" dxfId="1478" priority="743" operator="containsText" text="P">
      <formula>NOT(ISERROR(SEARCH("P",AF10)))</formula>
    </cfRule>
  </conditionalFormatting>
  <conditionalFormatting sqref="AF12:AI12">
    <cfRule type="containsText" dxfId="1477" priority="732" operator="containsText" text="A">
      <formula>NOT(ISERROR(SEARCH("A",AF12)))</formula>
    </cfRule>
    <cfRule type="containsText" dxfId="1476" priority="735" operator="containsText" text="P">
      <formula>NOT(ISERROR(SEARCH("P",AF12)))</formula>
    </cfRule>
    <cfRule type="containsText" dxfId="1475" priority="734" operator="containsText" text="A">
      <formula>NOT(ISERROR(SEARCH("A",AF12)))</formula>
    </cfRule>
    <cfRule type="containsText" dxfId="1474" priority="733" operator="containsText" text="P">
      <formula>NOT(ISERROR(SEARCH("P",AF12)))</formula>
    </cfRule>
  </conditionalFormatting>
  <conditionalFormatting sqref="AF14:AI14">
    <cfRule type="containsText" dxfId="1473" priority="727" operator="containsText" text="P">
      <formula>NOT(ISERROR(SEARCH("P",AF14)))</formula>
    </cfRule>
    <cfRule type="containsText" dxfId="1472" priority="725" operator="containsText" text="P">
      <formula>NOT(ISERROR(SEARCH("P",AF14)))</formula>
    </cfRule>
  </conditionalFormatting>
  <conditionalFormatting sqref="AF14:AI15 AF25:AI25 AF32:AI32 AF51:AI51">
    <cfRule type="containsText" dxfId="1471" priority="97" operator="containsText" text="A">
      <formula>NOT(ISERROR(SEARCH("A",AF14)))</formula>
    </cfRule>
    <cfRule type="containsText" dxfId="1470" priority="95" operator="containsText" text="A">
      <formula>NOT(ISERROR(SEARCH("A",AF14)))</formula>
    </cfRule>
  </conditionalFormatting>
  <conditionalFormatting sqref="AF22:AI22">
    <cfRule type="containsText" dxfId="1469" priority="721" operator="containsText" text="P">
      <formula>NOT(ISERROR(SEARCH("P",AF22)))</formula>
    </cfRule>
    <cfRule type="containsText" dxfId="1468" priority="723" operator="containsText" text="P">
      <formula>NOT(ISERROR(SEARCH("P",AF22)))</formula>
    </cfRule>
  </conditionalFormatting>
  <conditionalFormatting sqref="AF27:AI27">
    <cfRule type="containsText" dxfId="1467" priority="737" operator="containsText" text="P">
      <formula>NOT(ISERROR(SEARCH("P",AF27)))</formula>
    </cfRule>
    <cfRule type="containsText" dxfId="1466" priority="739" operator="containsText" text="P">
      <formula>NOT(ISERROR(SEARCH("P",AF27)))</formula>
    </cfRule>
  </conditionalFormatting>
  <conditionalFormatting sqref="AF40:AI40">
    <cfRule type="containsText" dxfId="1465" priority="768" operator="containsText" text="A">
      <formula>NOT(ISERROR(SEARCH("A",AF40)))</formula>
    </cfRule>
    <cfRule type="containsText" dxfId="1464" priority="769" operator="containsText" text="P">
      <formula>NOT(ISERROR(SEARCH("P",AF40)))</formula>
    </cfRule>
    <cfRule type="containsText" dxfId="1463" priority="771" operator="containsText" text="P">
      <formula>NOT(ISERROR(SEARCH("P",AF40)))</formula>
    </cfRule>
    <cfRule type="containsText" dxfId="1462" priority="770" operator="containsText" text="A">
      <formula>NOT(ISERROR(SEARCH("A",AF40)))</formula>
    </cfRule>
  </conditionalFormatting>
  <conditionalFormatting sqref="AF45:AI45">
    <cfRule type="containsText" dxfId="1461" priority="711" operator="containsText" text="P">
      <formula>NOT(ISERROR(SEARCH("P",AF45)))</formula>
    </cfRule>
    <cfRule type="containsText" dxfId="1460" priority="708" operator="containsText" text="A">
      <formula>NOT(ISERROR(SEARCH("A",AF45)))</formula>
    </cfRule>
    <cfRule type="containsText" dxfId="1459" priority="709" operator="containsText" text="P">
      <formula>NOT(ISERROR(SEARCH("P",AF45)))</formula>
    </cfRule>
    <cfRule type="containsText" dxfId="1458" priority="710" operator="containsText" text="A">
      <formula>NOT(ISERROR(SEARCH("A",AF45)))</formula>
    </cfRule>
  </conditionalFormatting>
  <conditionalFormatting sqref="AF51:AI51 AF32:AI32 AF25:AI25 AF15:AI15">
    <cfRule type="containsText" dxfId="1457" priority="98" operator="containsText" text="P">
      <formula>NOT(ISERROR(SEARCH("P",AF15)))</formula>
    </cfRule>
    <cfRule type="containsText" dxfId="1456" priority="96" operator="containsText" text="P">
      <formula>NOT(ISERROR(SEARCH("P",AF15)))</formula>
    </cfRule>
  </conditionalFormatting>
  <conditionalFormatting sqref="AF53:AI53">
    <cfRule type="containsText" dxfId="1455" priority="703" operator="containsText" text="P">
      <formula>NOT(ISERROR(SEARCH("P",AF53)))</formula>
    </cfRule>
    <cfRule type="containsText" dxfId="1454" priority="700" operator="containsText" text="A">
      <formula>NOT(ISERROR(SEARCH("A",AF53)))</formula>
    </cfRule>
    <cfRule type="containsText" dxfId="1453" priority="701" operator="containsText" text="P">
      <formula>NOT(ISERROR(SEARCH("P",AF53)))</formula>
    </cfRule>
    <cfRule type="containsText" dxfId="1452" priority="702" operator="containsText" text="A">
      <formula>NOT(ISERROR(SEARCH("A",AF53)))</formula>
    </cfRule>
  </conditionalFormatting>
  <conditionalFormatting sqref="AF55:AI55">
    <cfRule type="containsText" dxfId="1451" priority="713" operator="containsText" text="P">
      <formula>NOT(ISERROR(SEARCH("P",AF55)))</formula>
    </cfRule>
    <cfRule type="containsText" dxfId="1450" priority="715" operator="containsText" text="P">
      <formula>NOT(ISERROR(SEARCH("P",AF55)))</formula>
    </cfRule>
    <cfRule type="containsText" dxfId="1449" priority="712" operator="containsText" text="A">
      <formula>NOT(ISERROR(SEARCH("A",AF55)))</formula>
    </cfRule>
    <cfRule type="containsText" dxfId="1448" priority="714" operator="containsText" text="A">
      <formula>NOT(ISERROR(SEARCH("A",AF55)))</formula>
    </cfRule>
  </conditionalFormatting>
  <conditionalFormatting sqref="AF67:AI68 AF78:AI79 AF81:AI81">
    <cfRule type="containsText" dxfId="1447" priority="1163" operator="containsText" text="P">
      <formula>NOT(ISERROR(SEARCH("P",AF67)))</formula>
    </cfRule>
    <cfRule type="containsText" dxfId="1446" priority="1161" operator="containsText" text="P">
      <formula>NOT(ISERROR(SEARCH("P",AF67)))</formula>
    </cfRule>
  </conditionalFormatting>
  <conditionalFormatting sqref="AF69:AI69">
    <cfRule type="containsText" dxfId="1445" priority="717" operator="containsText" text="P">
      <formula>NOT(ISERROR(SEARCH("P",AF69)))</formula>
    </cfRule>
    <cfRule type="containsText" dxfId="1444" priority="719" operator="containsText" text="P">
      <formula>NOT(ISERROR(SEARCH("P",AF69)))</formula>
    </cfRule>
  </conditionalFormatting>
  <conditionalFormatting sqref="AF72:AI72">
    <cfRule type="containsText" dxfId="1443" priority="729" operator="containsText" text="P">
      <formula>NOT(ISERROR(SEARCH("P",AF72)))</formula>
    </cfRule>
    <cfRule type="containsText" dxfId="1442" priority="731" operator="containsText" text="P">
      <formula>NOT(ISERROR(SEARCH("P",AF72)))</formula>
    </cfRule>
  </conditionalFormatting>
  <conditionalFormatting sqref="AF82:AI82">
    <cfRule type="containsText" dxfId="1441" priority="707" operator="containsText" text="P">
      <formula>NOT(ISERROR(SEARCH("P",AF82)))</formula>
    </cfRule>
    <cfRule type="containsText" dxfId="1440" priority="705" operator="containsText" text="P">
      <formula>NOT(ISERROR(SEARCH("P",AF82)))</formula>
    </cfRule>
  </conditionalFormatting>
  <conditionalFormatting sqref="AF88:AI88">
    <cfRule type="containsText" dxfId="1439" priority="699" operator="containsText" text="P">
      <formula>NOT(ISERROR(SEARCH("P",AF88)))</formula>
    </cfRule>
    <cfRule type="containsText" dxfId="1438" priority="697" operator="containsText" text="P">
      <formula>NOT(ISERROR(SEARCH("P",AF88)))</formula>
    </cfRule>
  </conditionalFormatting>
  <conditionalFormatting sqref="AF89:AI89">
    <cfRule type="containsText" dxfId="1437" priority="693" operator="containsText" text="P">
      <formula>NOT(ISERROR(SEARCH("P",AF89)))</formula>
    </cfRule>
    <cfRule type="containsText" dxfId="1436" priority="695" operator="containsText" text="P">
      <formula>NOT(ISERROR(SEARCH("P",AF89)))</formula>
    </cfRule>
  </conditionalFormatting>
  <conditionalFormatting sqref="AF93:AI93 AF86:AI86 AF80:AI80 AF70:AI70 AF60:AI60 AF42:AI42 AF28:AI29 AF20:AI21 AF17:AI17 AF9:AI9 AF3:AI6">
    <cfRule type="containsText" dxfId="1435" priority="14" operator="containsText" text="P">
      <formula>NOT(ISERROR(SEARCH("P",AF3)))</formula>
    </cfRule>
    <cfRule type="containsText" dxfId="1434" priority="16" operator="containsText" text="P">
      <formula>NOT(ISERROR(SEARCH("P",AF3)))</formula>
    </cfRule>
  </conditionalFormatting>
  <conditionalFormatting sqref="AG8">
    <cfRule type="containsText" dxfId="1433" priority="949" operator="containsText" text="P">
      <formula>NOT(ISERROR(SEARCH("P",AG8)))</formula>
    </cfRule>
    <cfRule type="containsText" dxfId="1432" priority="948" operator="containsText" text="P">
      <formula>NOT(ISERROR(SEARCH("P",AG8)))</formula>
    </cfRule>
    <cfRule type="containsText" dxfId="1431" priority="776" operator="containsText" text="A">
      <formula>NOT(ISERROR(SEARCH("A",AG8)))</formula>
    </cfRule>
    <cfRule type="containsText" dxfId="1430" priority="778" operator="containsText" text="A">
      <formula>NOT(ISERROR(SEARCH("A",AG8)))</formula>
    </cfRule>
  </conditionalFormatting>
  <conditionalFormatting sqref="AG18">
    <cfRule type="containsText" dxfId="1429" priority="914" operator="containsText" text="A">
      <formula>NOT(ISERROR(SEARCH("A",AG18)))</formula>
    </cfRule>
    <cfRule type="containsText" dxfId="1428" priority="922" operator="containsText" text="P">
      <formula>NOT(ISERROR(SEARCH("P",AG18)))</formula>
    </cfRule>
    <cfRule type="containsText" dxfId="1427" priority="923" operator="containsText" text="P">
      <formula>NOT(ISERROR(SEARCH("P",AG18)))</formula>
    </cfRule>
    <cfRule type="containsText" dxfId="1426" priority="916" operator="containsText" text="A">
      <formula>NOT(ISERROR(SEARCH("A",AG18)))</formula>
    </cfRule>
  </conditionalFormatting>
  <conditionalFormatting sqref="AG26 AG30:AG31 AG34 AG54 AG77 AG83 AG90">
    <cfRule type="containsText" dxfId="1425" priority="141" operator="containsText" text="A">
      <formula>NOT(ISERROR(SEARCH("A",AG26)))</formula>
    </cfRule>
    <cfRule type="containsText" dxfId="1424" priority="139" operator="containsText" text="A">
      <formula>NOT(ISERROR(SEARCH("A",AG26)))</formula>
    </cfRule>
  </conditionalFormatting>
  <conditionalFormatting sqref="AG26">
    <cfRule type="containsText" dxfId="1423" priority="875" operator="containsText" text="P">
      <formula>NOT(ISERROR(SEARCH("P",AG26)))</formula>
    </cfRule>
    <cfRule type="containsText" dxfId="1422" priority="874" operator="containsText" text="P">
      <formula>NOT(ISERROR(SEARCH("P",AG26)))</formula>
    </cfRule>
  </conditionalFormatting>
  <conditionalFormatting sqref="AG30">
    <cfRule type="containsText" dxfId="1421" priority="870" operator="containsText" text="P">
      <formula>NOT(ISERROR(SEARCH("P",AG30)))</formula>
    </cfRule>
    <cfRule type="containsText" dxfId="1420" priority="871" operator="containsText" text="P">
      <formula>NOT(ISERROR(SEARCH("P",AG30)))</formula>
    </cfRule>
  </conditionalFormatting>
  <conditionalFormatting sqref="AG37">
    <cfRule type="containsText" dxfId="1419" priority="860" operator="containsText" text="A">
      <formula>NOT(ISERROR(SEARCH("A",AG37)))</formula>
    </cfRule>
    <cfRule type="containsText" dxfId="1418" priority="861" operator="containsText" text="P">
      <formula>NOT(ISERROR(SEARCH("P",AG37)))</formula>
    </cfRule>
    <cfRule type="containsText" dxfId="1417" priority="859" operator="containsText" text="P">
      <formula>NOT(ISERROR(SEARCH("P",AG37)))</formula>
    </cfRule>
    <cfRule type="containsText" dxfId="1416" priority="858" operator="containsText" text="A">
      <formula>NOT(ISERROR(SEARCH("A",AG37)))</formula>
    </cfRule>
  </conditionalFormatting>
  <conditionalFormatting sqref="AG39">
    <cfRule type="containsText" dxfId="1415" priority="763" operator="containsText" text="P">
      <formula>NOT(ISERROR(SEARCH("P",AG39)))</formula>
    </cfRule>
    <cfRule type="containsText" dxfId="1414" priority="762" operator="containsText" text="A">
      <formula>NOT(ISERROR(SEARCH("A",AG39)))</formula>
    </cfRule>
    <cfRule type="containsText" dxfId="1413" priority="761" operator="containsText" text="P">
      <formula>NOT(ISERROR(SEARCH("P",AG39)))</formula>
    </cfRule>
    <cfRule type="containsText" dxfId="1412" priority="760" operator="containsText" text="A">
      <formula>NOT(ISERROR(SEARCH("A",AG39)))</formula>
    </cfRule>
  </conditionalFormatting>
  <conditionalFormatting sqref="AG44">
    <cfRule type="containsText" dxfId="1411" priority="989" operator="containsText" text="P">
      <formula>NOT(ISERROR(SEARCH("P",AG44)))</formula>
    </cfRule>
    <cfRule type="containsText" dxfId="1410" priority="988" operator="containsText" text="A">
      <formula>NOT(ISERROR(SEARCH("A",AG44)))</formula>
    </cfRule>
    <cfRule type="containsText" dxfId="1409" priority="986" operator="containsText" text="A">
      <formula>NOT(ISERROR(SEARCH("A",AG44)))</formula>
    </cfRule>
    <cfRule type="containsText" dxfId="1408" priority="987" operator="containsText" text="P">
      <formula>NOT(ISERROR(SEARCH("P",AG44)))</formula>
    </cfRule>
  </conditionalFormatting>
  <conditionalFormatting sqref="AG46 AG48">
    <cfRule type="containsText" dxfId="1407" priority="818" operator="containsText" text="A">
      <formula>NOT(ISERROR(SEARCH("A",AG46)))</formula>
    </cfRule>
    <cfRule type="containsText" dxfId="1406" priority="820" operator="containsText" text="A">
      <formula>NOT(ISERROR(SEARCH("A",AG46)))</formula>
    </cfRule>
  </conditionalFormatting>
  <conditionalFormatting sqref="AG47">
    <cfRule type="containsText" dxfId="1405" priority="831" operator="containsText" text="P">
      <formula>NOT(ISERROR(SEARCH("P",AG47)))</formula>
    </cfRule>
    <cfRule type="containsText" dxfId="1404" priority="833" operator="containsText" text="P">
      <formula>NOT(ISERROR(SEARCH("P",AG47)))</formula>
    </cfRule>
  </conditionalFormatting>
  <conditionalFormatting sqref="AG47:AG48">
    <cfRule type="containsText" dxfId="1403" priority="830" operator="containsText" text="A">
      <formula>NOT(ISERROR(SEARCH("A",AG47)))</formula>
    </cfRule>
    <cfRule type="containsText" dxfId="1402" priority="832" operator="containsText" text="A">
      <formula>NOT(ISERROR(SEARCH("A",AG47)))</formula>
    </cfRule>
  </conditionalFormatting>
  <conditionalFormatting sqref="AG48 AG46">
    <cfRule type="containsText" dxfId="1401" priority="819" operator="containsText" text="P">
      <formula>NOT(ISERROR(SEARCH("P",AG46)))</formula>
    </cfRule>
    <cfRule type="containsText" dxfId="1400" priority="821" operator="containsText" text="P">
      <formula>NOT(ISERROR(SEARCH("P",AG46)))</formula>
    </cfRule>
  </conditionalFormatting>
  <conditionalFormatting sqref="AG48">
    <cfRule type="containsText" dxfId="1399" priority="838" operator="containsText" text="P">
      <formula>NOT(ISERROR(SEARCH("P",AG48)))</formula>
    </cfRule>
    <cfRule type="containsText" dxfId="1398" priority="839" operator="containsText" text="P">
      <formula>NOT(ISERROR(SEARCH("P",AG48)))</formula>
    </cfRule>
  </conditionalFormatting>
  <conditionalFormatting sqref="AG57">
    <cfRule type="containsText" dxfId="1397" priority="956" operator="containsText" text="A">
      <formula>NOT(ISERROR(SEARCH("A",AG57)))</formula>
    </cfRule>
    <cfRule type="containsText" dxfId="1396" priority="958" operator="containsText" text="A">
      <formula>NOT(ISERROR(SEARCH("A",AG57)))</formula>
    </cfRule>
    <cfRule type="containsText" dxfId="1395" priority="959" operator="containsText" text="P">
      <formula>NOT(ISERROR(SEARCH("P",AG57)))</formula>
    </cfRule>
    <cfRule type="containsText" dxfId="1394" priority="957" operator="containsText" text="P">
      <formula>NOT(ISERROR(SEARCH("P",AG57)))</formula>
    </cfRule>
  </conditionalFormatting>
  <conditionalFormatting sqref="AG90 AG83 AG77 AG54 AG34 AG31">
    <cfRule type="containsText" dxfId="1393" priority="140" operator="containsText" text="P">
      <formula>NOT(ISERROR(SEARCH("P",AG31)))</formula>
    </cfRule>
    <cfRule type="containsText" dxfId="1392" priority="142" operator="containsText" text="P">
      <formula>NOT(ISERROR(SEARCH("P",AG31)))</formula>
    </cfRule>
  </conditionalFormatting>
  <conditionalFormatting sqref="AH7">
    <cfRule type="containsText" dxfId="1391" priority="1112" operator="containsText" text="P">
      <formula>NOT(ISERROR(SEARCH("P",AH7)))</formula>
    </cfRule>
    <cfRule type="containsText" dxfId="1390" priority="1113" operator="containsText" text="P">
      <formula>NOT(ISERROR(SEARCH("P",AH7)))</formula>
    </cfRule>
  </conditionalFormatting>
  <conditionalFormatting sqref="AH7:AH8">
    <cfRule type="containsText" dxfId="1389" priority="782" operator="containsText" text="A">
      <formula>NOT(ISERROR(SEARCH("A",AH7)))</formula>
    </cfRule>
    <cfRule type="containsText" dxfId="1388" priority="780" operator="containsText" text="A">
      <formula>NOT(ISERROR(SEARCH("A",AH7)))</formula>
    </cfRule>
  </conditionalFormatting>
  <conditionalFormatting sqref="AH8">
    <cfRule type="containsText" dxfId="1387" priority="950" operator="containsText" text="P">
      <formula>NOT(ISERROR(SEARCH("P",AH8)))</formula>
    </cfRule>
    <cfRule type="containsText" dxfId="1386" priority="951" operator="containsText" text="P">
      <formula>NOT(ISERROR(SEARCH("P",AH8)))</formula>
    </cfRule>
  </conditionalFormatting>
  <conditionalFormatting sqref="AH13">
    <cfRule type="containsText" dxfId="1385" priority="1108" operator="containsText" text="A">
      <formula>NOT(ISERROR(SEARCH("A",AH13)))</formula>
    </cfRule>
    <cfRule type="containsText" dxfId="1384" priority="1109" operator="containsText" text="P">
      <formula>NOT(ISERROR(SEARCH("P",AH13)))</formula>
    </cfRule>
    <cfRule type="containsText" dxfId="1383" priority="1111" operator="containsText" text="P">
      <formula>NOT(ISERROR(SEARCH("P",AH13)))</formula>
    </cfRule>
    <cfRule type="containsText" dxfId="1382" priority="1110" operator="containsText" text="A">
      <formula>NOT(ISERROR(SEARCH("A",AH13)))</formula>
    </cfRule>
  </conditionalFormatting>
  <conditionalFormatting sqref="AH16 AH18:AH19">
    <cfRule type="containsText" dxfId="1381" priority="936" operator="containsText" text="A">
      <formula>NOT(ISERROR(SEARCH("A",AH16)))</formula>
    </cfRule>
    <cfRule type="containsText" dxfId="1380" priority="934" operator="containsText" text="A">
      <formula>NOT(ISERROR(SEARCH("A",AH16)))</formula>
    </cfRule>
  </conditionalFormatting>
  <conditionalFormatting sqref="AH16">
    <cfRule type="containsText" dxfId="1379" priority="944" operator="containsText" text="P">
      <formula>NOT(ISERROR(SEARCH("P",AH16)))</formula>
    </cfRule>
    <cfRule type="containsText" dxfId="1378" priority="945" operator="containsText" text="P">
      <formula>NOT(ISERROR(SEARCH("P",AH16)))</formula>
    </cfRule>
  </conditionalFormatting>
  <conditionalFormatting sqref="AH18">
    <cfRule type="containsText" dxfId="1377" priority="941" operator="containsText" text="P">
      <formula>NOT(ISERROR(SEARCH("P",AH18)))</formula>
    </cfRule>
    <cfRule type="containsText" dxfId="1376" priority="940" operator="containsText" text="P">
      <formula>NOT(ISERROR(SEARCH("P",AH18)))</formula>
    </cfRule>
  </conditionalFormatting>
  <conditionalFormatting sqref="AH19">
    <cfRule type="containsText" dxfId="1375" priority="938" operator="containsText" text="P">
      <formula>NOT(ISERROR(SEARCH("P",AH19)))</formula>
    </cfRule>
    <cfRule type="containsText" dxfId="1374" priority="939" operator="containsText" text="P">
      <formula>NOT(ISERROR(SEARCH("P",AH19)))</formula>
    </cfRule>
  </conditionalFormatting>
  <conditionalFormatting sqref="AH24 AH26 AH30:AH31 AH33:AH37 AH52 AH54 AH77 AH83 AH90">
    <cfRule type="containsText" dxfId="1373" priority="143" operator="containsText" text="A">
      <formula>NOT(ISERROR(SEARCH("A",AH24)))</formula>
    </cfRule>
    <cfRule type="containsText" dxfId="1372" priority="144" operator="containsText" text="A">
      <formula>NOT(ISERROR(SEARCH("A",AH24)))</formula>
    </cfRule>
  </conditionalFormatting>
  <conditionalFormatting sqref="AH24">
    <cfRule type="containsText" dxfId="1371" priority="1125" operator="containsText" text="P">
      <formula>NOT(ISERROR(SEARCH("P",AH24)))</formula>
    </cfRule>
    <cfRule type="containsText" dxfId="1370" priority="1124" operator="containsText" text="P">
      <formula>NOT(ISERROR(SEARCH("P",AH24)))</formula>
    </cfRule>
  </conditionalFormatting>
  <conditionalFormatting sqref="AH26">
    <cfRule type="containsText" dxfId="1369" priority="894" operator="containsText" text="P">
      <formula>NOT(ISERROR(SEARCH("P",AH26)))</formula>
    </cfRule>
    <cfRule type="containsText" dxfId="1368" priority="895" operator="containsText" text="P">
      <formula>NOT(ISERROR(SEARCH("P",AH26)))</formula>
    </cfRule>
  </conditionalFormatting>
  <conditionalFormatting sqref="AH30">
    <cfRule type="containsText" dxfId="1367" priority="893" operator="containsText" text="P">
      <formula>NOT(ISERROR(SEARCH("P",AH30)))</formula>
    </cfRule>
    <cfRule type="containsText" dxfId="1366" priority="892" operator="containsText" text="P">
      <formula>NOT(ISERROR(SEARCH("P",AH30)))</formula>
    </cfRule>
  </conditionalFormatting>
  <conditionalFormatting sqref="AH33">
    <cfRule type="containsText" dxfId="1365" priority="899" operator="containsText" text="P">
      <formula>NOT(ISERROR(SEARCH("P",AH33)))</formula>
    </cfRule>
    <cfRule type="containsText" dxfId="1364" priority="898" operator="containsText" text="P">
      <formula>NOT(ISERROR(SEARCH("P",AH33)))</formula>
    </cfRule>
  </conditionalFormatting>
  <conditionalFormatting sqref="AH35">
    <cfRule type="containsText" dxfId="1363" priority="889" operator="containsText" text="P">
      <formula>NOT(ISERROR(SEARCH("P",AH35)))</formula>
    </cfRule>
    <cfRule type="containsText" dxfId="1362" priority="888" operator="containsText" text="P">
      <formula>NOT(ISERROR(SEARCH("P",AH35)))</formula>
    </cfRule>
  </conditionalFormatting>
  <conditionalFormatting sqref="AH36">
    <cfRule type="containsText" dxfId="1361" priority="891" operator="containsText" text="P">
      <formula>NOT(ISERROR(SEARCH("P",AH36)))</formula>
    </cfRule>
    <cfRule type="containsText" dxfId="1360" priority="890" operator="containsText" text="P">
      <formula>NOT(ISERROR(SEARCH("P",AH36)))</formula>
    </cfRule>
  </conditionalFormatting>
  <conditionalFormatting sqref="AH37">
    <cfRule type="containsText" dxfId="1359" priority="886" operator="containsText" text="P">
      <formula>NOT(ISERROR(SEARCH("P",AH37)))</formula>
    </cfRule>
    <cfRule type="containsText" dxfId="1358" priority="887" operator="containsText" text="P">
      <formula>NOT(ISERROR(SEARCH("P",AH37)))</formula>
    </cfRule>
  </conditionalFormatting>
  <conditionalFormatting sqref="AH41 AH43:AH44">
    <cfRule type="containsText" dxfId="1357" priority="1104" operator="containsText" text="A">
      <formula>NOT(ISERROR(SEARCH("A",AH41)))</formula>
    </cfRule>
    <cfRule type="containsText" dxfId="1356" priority="1106" operator="containsText" text="A">
      <formula>NOT(ISERROR(SEARCH("A",AH41)))</formula>
    </cfRule>
  </conditionalFormatting>
  <conditionalFormatting sqref="AH41">
    <cfRule type="containsText" dxfId="1355" priority="1118" operator="containsText" text="P">
      <formula>NOT(ISERROR(SEARCH("P",AH41)))</formula>
    </cfRule>
    <cfRule type="containsText" dxfId="1354" priority="1119" operator="containsText" text="P">
      <formula>NOT(ISERROR(SEARCH("P",AH41)))</formula>
    </cfRule>
  </conditionalFormatting>
  <conditionalFormatting sqref="AH43">
    <cfRule type="containsText" dxfId="1353" priority="1107" operator="containsText" text="P">
      <formula>NOT(ISERROR(SEARCH("P",AH43)))</formula>
    </cfRule>
    <cfRule type="containsText" dxfId="1352" priority="1105" operator="containsText" text="P">
      <formula>NOT(ISERROR(SEARCH("P",AH43)))</formula>
    </cfRule>
  </conditionalFormatting>
  <conditionalFormatting sqref="AH44">
    <cfRule type="containsText" dxfId="1351" priority="1114" operator="containsText" text="P">
      <formula>NOT(ISERROR(SEARCH("P",AH44)))</formula>
    </cfRule>
    <cfRule type="containsText" dxfId="1350" priority="1115" operator="containsText" text="P">
      <formula>NOT(ISERROR(SEARCH("P",AH44)))</formula>
    </cfRule>
  </conditionalFormatting>
  <conditionalFormatting sqref="AH46">
    <cfRule type="containsText" dxfId="1349" priority="850" operator="containsText" text="P">
      <formula>NOT(ISERROR(SEARCH("P",AH46)))</formula>
    </cfRule>
    <cfRule type="containsText" dxfId="1348" priority="851" operator="containsText" text="P">
      <formula>NOT(ISERROR(SEARCH("P",AH46)))</formula>
    </cfRule>
  </conditionalFormatting>
  <conditionalFormatting sqref="AH46:AH48">
    <cfRule type="containsText" dxfId="1347" priority="840" operator="containsText" text="A">
      <formula>NOT(ISERROR(SEARCH("A",AH46)))</formula>
    </cfRule>
    <cfRule type="containsText" dxfId="1346" priority="842" operator="containsText" text="A">
      <formula>NOT(ISERROR(SEARCH("A",AH46)))</formula>
    </cfRule>
  </conditionalFormatting>
  <conditionalFormatting sqref="AH46:AH50">
    <cfRule type="containsText" dxfId="1345" priority="846" operator="containsText" text="A">
      <formula>NOT(ISERROR(SEARCH("A",AH46)))</formula>
    </cfRule>
    <cfRule type="containsText" dxfId="1344" priority="848" operator="containsText" text="A">
      <formula>NOT(ISERROR(SEARCH("A",AH46)))</formula>
    </cfRule>
  </conditionalFormatting>
  <conditionalFormatting sqref="AH47">
    <cfRule type="containsText" dxfId="1343" priority="844" operator="containsText" text="P">
      <formula>NOT(ISERROR(SEARCH("P",AH47)))</formula>
    </cfRule>
    <cfRule type="containsText" dxfId="1342" priority="845" operator="containsText" text="P">
      <formula>NOT(ISERROR(SEARCH("P",AH47)))</formula>
    </cfRule>
    <cfRule type="containsText" dxfId="1341" priority="847" operator="containsText" text="P">
      <formula>NOT(ISERROR(SEARCH("P",AH47)))</formula>
    </cfRule>
    <cfRule type="containsText" dxfId="1340" priority="849" operator="containsText" text="P">
      <formula>NOT(ISERROR(SEARCH("P",AH47)))</formula>
    </cfRule>
  </conditionalFormatting>
  <conditionalFormatting sqref="AH48 AH46">
    <cfRule type="containsText" dxfId="1339" priority="841" operator="containsText" text="P">
      <formula>NOT(ISERROR(SEARCH("P",AH46)))</formula>
    </cfRule>
    <cfRule type="containsText" dxfId="1338" priority="843" operator="containsText" text="P">
      <formula>NOT(ISERROR(SEARCH("P",AH46)))</formula>
    </cfRule>
  </conditionalFormatting>
  <conditionalFormatting sqref="AH48">
    <cfRule type="containsText" dxfId="1337" priority="853" operator="containsText" text="P">
      <formula>NOT(ISERROR(SEARCH("P",AH48)))</formula>
    </cfRule>
    <cfRule type="containsText" dxfId="1336" priority="852" operator="containsText" text="P">
      <formula>NOT(ISERROR(SEARCH("P",AH48)))</formula>
    </cfRule>
  </conditionalFormatting>
  <conditionalFormatting sqref="AH49">
    <cfRule type="containsText" dxfId="1335" priority="1095" operator="containsText" text="P">
      <formula>NOT(ISERROR(SEARCH("P",AH49)))</formula>
    </cfRule>
    <cfRule type="containsText" dxfId="1334" priority="1094" operator="containsText" text="P">
      <formula>NOT(ISERROR(SEARCH("P",AH49)))</formula>
    </cfRule>
  </conditionalFormatting>
  <conditionalFormatting sqref="AH50">
    <cfRule type="containsText" dxfId="1333" priority="1082" operator="containsText" text="P">
      <formula>NOT(ISERROR(SEARCH("P",AH50)))</formula>
    </cfRule>
    <cfRule type="containsText" dxfId="1332" priority="1083" operator="containsText" text="P">
      <formula>NOT(ISERROR(SEARCH("P",AH50)))</formula>
    </cfRule>
  </conditionalFormatting>
  <conditionalFormatting sqref="AH52">
    <cfRule type="containsText" dxfId="1331" priority="1117" operator="containsText" text="P">
      <formula>NOT(ISERROR(SEARCH("P",AH52)))</formula>
    </cfRule>
    <cfRule type="containsText" dxfId="1330" priority="1116" operator="containsText" text="P">
      <formula>NOT(ISERROR(SEARCH("P",AH52)))</formula>
    </cfRule>
  </conditionalFormatting>
  <conditionalFormatting sqref="AH57">
    <cfRule type="containsText" dxfId="1329" priority="1025" operator="containsText" text="P">
      <formula>NOT(ISERROR(SEARCH("P",AH57)))</formula>
    </cfRule>
    <cfRule type="containsText" dxfId="1328" priority="1024" operator="containsText" text="A">
      <formula>NOT(ISERROR(SEARCH("A",AH57)))</formula>
    </cfRule>
    <cfRule type="containsText" dxfId="1327" priority="1023" operator="containsText" text="P">
      <formula>NOT(ISERROR(SEARCH("P",AH57)))</formula>
    </cfRule>
    <cfRule type="containsText" dxfId="1326" priority="1022" operator="containsText" text="A">
      <formula>NOT(ISERROR(SEARCH("A",AH57)))</formula>
    </cfRule>
  </conditionalFormatting>
  <conditionalFormatting sqref="AH62">
    <cfRule type="containsText" dxfId="1325" priority="1075" operator="containsText" text="P">
      <formula>NOT(ISERROR(SEARCH("P",AH62)))</formula>
    </cfRule>
    <cfRule type="containsText" dxfId="1324" priority="1077" operator="containsText" text="P">
      <formula>NOT(ISERROR(SEARCH("P",AH62)))</formula>
    </cfRule>
  </conditionalFormatting>
  <conditionalFormatting sqref="AH62:AH63">
    <cfRule type="containsText" dxfId="1323" priority="1076" operator="containsText" text="A">
      <formula>NOT(ISERROR(SEARCH("A",AH62)))</formula>
    </cfRule>
    <cfRule type="containsText" dxfId="1322" priority="1074" operator="containsText" text="A">
      <formula>NOT(ISERROR(SEARCH("A",AH62)))</formula>
    </cfRule>
  </conditionalFormatting>
  <conditionalFormatting sqref="AH63">
    <cfRule type="containsText" dxfId="1321" priority="1090" operator="containsText" text="P">
      <formula>NOT(ISERROR(SEARCH("P",AH63)))</formula>
    </cfRule>
    <cfRule type="containsText" dxfId="1320" priority="1091" operator="containsText" text="P">
      <formula>NOT(ISERROR(SEARCH("P",AH63)))</formula>
    </cfRule>
  </conditionalFormatting>
  <conditionalFormatting sqref="AH90 AH83 AH77 AH54 AH34 AH31">
    <cfRule type="containsText" dxfId="1319" priority="145" operator="containsText" text="P">
      <formula>NOT(ISERROR(SEARCH("P",AH31)))</formula>
    </cfRule>
    <cfRule type="containsText" dxfId="1318" priority="146" operator="containsText" text="P">
      <formula>NOT(ISERROR(SEARCH("P",AH31)))</formula>
    </cfRule>
  </conditionalFormatting>
  <conditionalFormatting sqref="AH11:AI11">
    <cfRule type="containsText" dxfId="1317" priority="1087" operator="containsText" text="P">
      <formula>NOT(ISERROR(SEARCH("P",AH11)))</formula>
    </cfRule>
    <cfRule type="containsText" dxfId="1316" priority="1086" operator="containsText" text="A">
      <formula>NOT(ISERROR(SEARCH("A",AH11)))</formula>
    </cfRule>
    <cfRule type="containsText" dxfId="1315" priority="1088" operator="containsText" text="A">
      <formula>NOT(ISERROR(SEARCH("A",AH11)))</formula>
    </cfRule>
    <cfRule type="containsText" dxfId="1314" priority="1089" operator="containsText" text="P">
      <formula>NOT(ISERROR(SEARCH("P",AH11)))</formula>
    </cfRule>
  </conditionalFormatting>
  <conditionalFormatting sqref="AH23:AI23">
    <cfRule type="containsText" dxfId="1313" priority="1101" operator="containsText" text="P">
      <formula>NOT(ISERROR(SEARCH("P",AH23)))</formula>
    </cfRule>
    <cfRule type="containsText" dxfId="1312" priority="1099" operator="containsText" text="P">
      <formula>NOT(ISERROR(SEARCH("P",AH23)))</formula>
    </cfRule>
    <cfRule type="containsText" dxfId="1311" priority="1100" operator="containsText" text="A">
      <formula>NOT(ISERROR(SEARCH("A",AH23)))</formula>
    </cfRule>
    <cfRule type="containsText" dxfId="1310" priority="1098" operator="containsText" text="A">
      <formula>NOT(ISERROR(SEARCH("A",AH23)))</formula>
    </cfRule>
  </conditionalFormatting>
  <conditionalFormatting sqref="AH38:AI38">
    <cfRule type="containsText" dxfId="1309" priority="753" operator="containsText" text="P">
      <formula>NOT(ISERROR(SEARCH("P",AH38)))</formula>
    </cfRule>
    <cfRule type="containsText" dxfId="1308" priority="755" operator="containsText" text="P">
      <formula>NOT(ISERROR(SEARCH("P",AH38)))</formula>
    </cfRule>
  </conditionalFormatting>
  <conditionalFormatting sqref="AH38:AI39">
    <cfRule type="containsText" dxfId="1307" priority="752" operator="containsText" text="A">
      <formula>NOT(ISERROR(SEARCH("A",AH38)))</formula>
    </cfRule>
    <cfRule type="containsText" dxfId="1306" priority="754" operator="containsText" text="A">
      <formula>NOT(ISERROR(SEARCH("A",AH38)))</formula>
    </cfRule>
  </conditionalFormatting>
  <conditionalFormatting sqref="AH39:AI39 AF39">
    <cfRule type="containsText" dxfId="1305" priority="765" operator="containsText" text="P">
      <formula>NOT(ISERROR(SEARCH("P",AF39)))</formula>
    </cfRule>
    <cfRule type="containsText" dxfId="1304" priority="767" operator="containsText" text="P">
      <formula>NOT(ISERROR(SEARCH("P",AF39)))</formula>
    </cfRule>
  </conditionalFormatting>
  <conditionalFormatting sqref="AH56:AI56 AH61:AI61">
    <cfRule type="containsText" dxfId="1303" priority="1156" operator="containsText" text="A">
      <formula>NOT(ISERROR(SEARCH("A",AH56)))</formula>
    </cfRule>
    <cfRule type="containsText" dxfId="1302" priority="1158" operator="containsText" text="A">
      <formula>NOT(ISERROR(SEARCH("A",AH56)))</formula>
    </cfRule>
  </conditionalFormatting>
  <conditionalFormatting sqref="AH61:AI61 AH56:AI56 AH64:AI65 AF71:AI71">
    <cfRule type="containsText" dxfId="1301" priority="1157" operator="containsText" text="P">
      <formula>NOT(ISERROR(SEARCH("P",AF56)))</formula>
    </cfRule>
    <cfRule type="containsText" dxfId="1300" priority="1159" operator="containsText" text="P">
      <formula>NOT(ISERROR(SEARCH("P",AF56)))</formula>
    </cfRule>
  </conditionalFormatting>
  <conditionalFormatting sqref="AH64:AI66">
    <cfRule type="containsText" dxfId="1299" priority="1018" operator="containsText" text="A">
      <formula>NOT(ISERROR(SEARCH("A",AH64)))</formula>
    </cfRule>
    <cfRule type="containsText" dxfId="1298" priority="1020" operator="containsText" text="A">
      <formula>NOT(ISERROR(SEARCH("A",AH64)))</formula>
    </cfRule>
  </conditionalFormatting>
  <conditionalFormatting sqref="AH66:AI66">
    <cfRule type="containsText" dxfId="1297" priority="1019" operator="containsText" text="P">
      <formula>NOT(ISERROR(SEARCH("P",AH66)))</formula>
    </cfRule>
    <cfRule type="containsText" dxfId="1296" priority="1021" operator="containsText" text="P">
      <formula>NOT(ISERROR(SEARCH("P",AH66)))</formula>
    </cfRule>
  </conditionalFormatting>
  <conditionalFormatting sqref="AI7">
    <cfRule type="containsText" dxfId="1295" priority="1137" operator="containsText" text="P">
      <formula>NOT(ISERROR(SEARCH("P",AI7)))</formula>
    </cfRule>
    <cfRule type="containsText" dxfId="1294" priority="1136" operator="containsText" text="P">
      <formula>NOT(ISERROR(SEARCH("P",AI7)))</formula>
    </cfRule>
  </conditionalFormatting>
  <conditionalFormatting sqref="AI7:AI8">
    <cfRule type="containsText" dxfId="1293" priority="1064" operator="containsText" text="A">
      <formula>NOT(ISERROR(SEARCH("A",AI7)))</formula>
    </cfRule>
    <cfRule type="containsText" dxfId="1292" priority="1066" operator="containsText" text="A">
      <formula>NOT(ISERROR(SEARCH("A",AI7)))</formula>
    </cfRule>
  </conditionalFormatting>
  <conditionalFormatting sqref="AI8">
    <cfRule type="containsText" dxfId="1291" priority="1134" operator="containsText" text="P">
      <formula>NOT(ISERROR(SEARCH("P",AI8)))</formula>
    </cfRule>
    <cfRule type="containsText" dxfId="1290" priority="1135" operator="containsText" text="P">
      <formula>NOT(ISERROR(SEARCH("P",AI8)))</formula>
    </cfRule>
  </conditionalFormatting>
  <conditionalFormatting sqref="AI13">
    <cfRule type="containsText" dxfId="1289" priority="1130" operator="containsText" text="A">
      <formula>NOT(ISERROR(SEARCH("A",AI13)))</formula>
    </cfRule>
    <cfRule type="containsText" dxfId="1288" priority="1133" operator="containsText" text="P">
      <formula>NOT(ISERROR(SEARCH("P",AI13)))</formula>
    </cfRule>
    <cfRule type="containsText" dxfId="1287" priority="1132" operator="containsText" text="A">
      <formula>NOT(ISERROR(SEARCH("A",AI13)))</formula>
    </cfRule>
    <cfRule type="containsText" dxfId="1286" priority="1131" operator="containsText" text="P">
      <formula>NOT(ISERROR(SEARCH("P",AI13)))</formula>
    </cfRule>
  </conditionalFormatting>
  <conditionalFormatting sqref="AI16 AI18:AI19">
    <cfRule type="containsText" dxfId="1285" priority="1052" operator="containsText" text="A">
      <formula>NOT(ISERROR(SEARCH("A",AI16)))</formula>
    </cfRule>
    <cfRule type="containsText" dxfId="1284" priority="1054" operator="containsText" text="A">
      <formula>NOT(ISERROR(SEARCH("A",AI16)))</formula>
    </cfRule>
  </conditionalFormatting>
  <conditionalFormatting sqref="AI16">
    <cfRule type="containsText" dxfId="1283" priority="1062" operator="containsText" text="P">
      <formula>NOT(ISERROR(SEARCH("P",AI16)))</formula>
    </cfRule>
    <cfRule type="containsText" dxfId="1282" priority="1063" operator="containsText" text="P">
      <formula>NOT(ISERROR(SEARCH("P",AI16)))</formula>
    </cfRule>
  </conditionalFormatting>
  <conditionalFormatting sqref="AI18">
    <cfRule type="containsText" dxfId="1281" priority="1058" operator="containsText" text="P">
      <formula>NOT(ISERROR(SEARCH("P",AI18)))</formula>
    </cfRule>
    <cfRule type="containsText" dxfId="1280" priority="1059" operator="containsText" text="P">
      <formula>NOT(ISERROR(SEARCH("P",AI18)))</formula>
    </cfRule>
  </conditionalFormatting>
  <conditionalFormatting sqref="AI19">
    <cfRule type="containsText" dxfId="1279" priority="1056" operator="containsText" text="P">
      <formula>NOT(ISERROR(SEARCH("P",AI19)))</formula>
    </cfRule>
    <cfRule type="containsText" dxfId="1278" priority="1057" operator="containsText" text="P">
      <formula>NOT(ISERROR(SEARCH("P",AI19)))</formula>
    </cfRule>
  </conditionalFormatting>
  <conditionalFormatting sqref="AI24 AI26 AI30:AI31 AI33:AI37 AI52 AI54 AI77 AI83 AI90">
    <cfRule type="containsText" dxfId="1277" priority="147" operator="containsText" text="A">
      <formula>NOT(ISERROR(SEARCH("A",AI24)))</formula>
    </cfRule>
    <cfRule type="containsText" dxfId="1276" priority="148" operator="containsText" text="A">
      <formula>NOT(ISERROR(SEARCH("A",AI24)))</formula>
    </cfRule>
  </conditionalFormatting>
  <conditionalFormatting sqref="AI24">
    <cfRule type="containsText" dxfId="1275" priority="1154" operator="containsText" text="P">
      <formula>NOT(ISERROR(SEARCH("P",AI24)))</formula>
    </cfRule>
    <cfRule type="containsText" dxfId="1274" priority="1155" operator="containsText" text="P">
      <formula>NOT(ISERROR(SEARCH("P",AI24)))</formula>
    </cfRule>
  </conditionalFormatting>
  <conditionalFormatting sqref="AI26">
    <cfRule type="containsText" dxfId="1273" priority="1050" operator="containsText" text="P">
      <formula>NOT(ISERROR(SEARCH("P",AI26)))</formula>
    </cfRule>
    <cfRule type="containsText" dxfId="1272" priority="1051" operator="containsText" text="P">
      <formula>NOT(ISERROR(SEARCH("P",AI26)))</formula>
    </cfRule>
  </conditionalFormatting>
  <conditionalFormatting sqref="AI30">
    <cfRule type="containsText" dxfId="1271" priority="1048" operator="containsText" text="P">
      <formula>NOT(ISERROR(SEARCH("P",AI30)))</formula>
    </cfRule>
    <cfRule type="containsText" dxfId="1270" priority="1049" operator="containsText" text="P">
      <formula>NOT(ISERROR(SEARCH("P",AI30)))</formula>
    </cfRule>
  </conditionalFormatting>
  <conditionalFormatting sqref="AI33">
    <cfRule type="containsText" dxfId="1269" priority="1145" operator="containsText" text="P">
      <formula>NOT(ISERROR(SEARCH("P",AI33)))</formula>
    </cfRule>
    <cfRule type="containsText" dxfId="1268" priority="1144" operator="containsText" text="P">
      <formula>NOT(ISERROR(SEARCH("P",AI33)))</formula>
    </cfRule>
  </conditionalFormatting>
  <conditionalFormatting sqref="AI35">
    <cfRule type="containsText" dxfId="1267" priority="1045" operator="containsText" text="P">
      <formula>NOT(ISERROR(SEARCH("P",AI35)))</formula>
    </cfRule>
    <cfRule type="containsText" dxfId="1266" priority="1044" operator="containsText" text="P">
      <formula>NOT(ISERROR(SEARCH("P",AI35)))</formula>
    </cfRule>
  </conditionalFormatting>
  <conditionalFormatting sqref="AI36">
    <cfRule type="containsText" dxfId="1265" priority="1046" operator="containsText" text="P">
      <formula>NOT(ISERROR(SEARCH("P",AI36)))</formula>
    </cfRule>
    <cfRule type="containsText" dxfId="1264" priority="1047" operator="containsText" text="P">
      <formula>NOT(ISERROR(SEARCH("P",AI36)))</formula>
    </cfRule>
  </conditionalFormatting>
  <conditionalFormatting sqref="AI37">
    <cfRule type="containsText" dxfId="1263" priority="1042" operator="containsText" text="P">
      <formula>NOT(ISERROR(SEARCH("P",AI37)))</formula>
    </cfRule>
    <cfRule type="containsText" dxfId="1262" priority="1043" operator="containsText" text="P">
      <formula>NOT(ISERROR(SEARCH("P",AI37)))</formula>
    </cfRule>
  </conditionalFormatting>
  <conditionalFormatting sqref="AI41 AI43:AI44">
    <cfRule type="containsText" dxfId="1261" priority="1126" operator="containsText" text="A">
      <formula>NOT(ISERROR(SEARCH("A",AI41)))</formula>
    </cfRule>
    <cfRule type="containsText" dxfId="1260" priority="1128" operator="containsText" text="A">
      <formula>NOT(ISERROR(SEARCH("A",AI41)))</formula>
    </cfRule>
  </conditionalFormatting>
  <conditionalFormatting sqref="AI41">
    <cfRule type="containsText" dxfId="1259" priority="1146" operator="containsText" text="P">
      <formula>NOT(ISERROR(SEARCH("P",AI41)))</formula>
    </cfRule>
    <cfRule type="containsText" dxfId="1258" priority="1147" operator="containsText" text="P">
      <formula>NOT(ISERROR(SEARCH("P",AI41)))</formula>
    </cfRule>
  </conditionalFormatting>
  <conditionalFormatting sqref="AI43">
    <cfRule type="containsText" dxfId="1257" priority="1129" operator="containsText" text="P">
      <formula>NOT(ISERROR(SEARCH("P",AI43)))</formula>
    </cfRule>
    <cfRule type="containsText" dxfId="1256" priority="1127" operator="containsText" text="P">
      <formula>NOT(ISERROR(SEARCH("P",AI43)))</formula>
    </cfRule>
  </conditionalFormatting>
  <conditionalFormatting sqref="AI44">
    <cfRule type="containsText" dxfId="1255" priority="1140" operator="containsText" text="P">
      <formula>NOT(ISERROR(SEARCH("P",AI44)))</formula>
    </cfRule>
    <cfRule type="containsText" dxfId="1254" priority="1141" operator="containsText" text="P">
      <formula>NOT(ISERROR(SEARCH("P",AI44)))</formula>
    </cfRule>
  </conditionalFormatting>
  <conditionalFormatting sqref="AI46">
    <cfRule type="containsText" dxfId="1253" priority="1040" operator="containsText" text="P">
      <formula>NOT(ISERROR(SEARCH("P",AI46)))</formula>
    </cfRule>
    <cfRule type="containsText" dxfId="1252" priority="1041" operator="containsText" text="P">
      <formula>NOT(ISERROR(SEARCH("P",AI46)))</formula>
    </cfRule>
  </conditionalFormatting>
  <conditionalFormatting sqref="AI46:AI48">
    <cfRule type="containsText" dxfId="1251" priority="1032" operator="containsText" text="A">
      <formula>NOT(ISERROR(SEARCH("A",AI46)))</formula>
    </cfRule>
    <cfRule type="containsText" dxfId="1250" priority="1030" operator="containsText" text="A">
      <formula>NOT(ISERROR(SEARCH("A",AI46)))</formula>
    </cfRule>
  </conditionalFormatting>
  <conditionalFormatting sqref="AI46:AI50">
    <cfRule type="containsText" dxfId="1249" priority="1036" operator="containsText" text="A">
      <formula>NOT(ISERROR(SEARCH("A",AI46)))</formula>
    </cfRule>
    <cfRule type="containsText" dxfId="1248" priority="1038" operator="containsText" text="A">
      <formula>NOT(ISERROR(SEARCH("A",AI46)))</formula>
    </cfRule>
  </conditionalFormatting>
  <conditionalFormatting sqref="AI47">
    <cfRule type="containsText" dxfId="1247" priority="1034" operator="containsText" text="P">
      <formula>NOT(ISERROR(SEARCH("P",AI47)))</formula>
    </cfRule>
    <cfRule type="containsText" dxfId="1246" priority="1035" operator="containsText" text="P">
      <formula>NOT(ISERROR(SEARCH("P",AI47)))</formula>
    </cfRule>
    <cfRule type="containsText" dxfId="1245" priority="1039" operator="containsText" text="P">
      <formula>NOT(ISERROR(SEARCH("P",AI47)))</formula>
    </cfRule>
    <cfRule type="containsText" dxfId="1244" priority="1037" operator="containsText" text="P">
      <formula>NOT(ISERROR(SEARCH("P",AI47)))</formula>
    </cfRule>
  </conditionalFormatting>
  <conditionalFormatting sqref="AI48 AI46">
    <cfRule type="containsText" dxfId="1243" priority="1033" operator="containsText" text="P">
      <formula>NOT(ISERROR(SEARCH("P",AI46)))</formula>
    </cfRule>
    <cfRule type="containsText" dxfId="1242" priority="1031" operator="containsText" text="P">
      <formula>NOT(ISERROR(SEARCH("P",AI46)))</formula>
    </cfRule>
  </conditionalFormatting>
  <conditionalFormatting sqref="AI48">
    <cfRule type="containsText" dxfId="1241" priority="1138" operator="containsText" text="P">
      <formula>NOT(ISERROR(SEARCH("P",AI48)))</formula>
    </cfRule>
    <cfRule type="containsText" dxfId="1240" priority="1139" operator="containsText" text="P">
      <formula>NOT(ISERROR(SEARCH("P",AI48)))</formula>
    </cfRule>
  </conditionalFormatting>
  <conditionalFormatting sqref="AI49">
    <cfRule type="containsText" dxfId="1239" priority="1097" operator="containsText" text="P">
      <formula>NOT(ISERROR(SEARCH("P",AI49)))</formula>
    </cfRule>
    <cfRule type="containsText" dxfId="1238" priority="1096" operator="containsText" text="P">
      <formula>NOT(ISERROR(SEARCH("P",AI49)))</formula>
    </cfRule>
  </conditionalFormatting>
  <conditionalFormatting sqref="AI50">
    <cfRule type="containsText" dxfId="1237" priority="1084" operator="containsText" text="P">
      <formula>NOT(ISERROR(SEARCH("P",AI50)))</formula>
    </cfRule>
    <cfRule type="containsText" dxfId="1236" priority="1085" operator="containsText" text="P">
      <formula>NOT(ISERROR(SEARCH("P",AI50)))</formula>
    </cfRule>
  </conditionalFormatting>
  <conditionalFormatting sqref="AI52">
    <cfRule type="containsText" dxfId="1235" priority="1143" operator="containsText" text="P">
      <formula>NOT(ISERROR(SEARCH("P",AI52)))</formula>
    </cfRule>
    <cfRule type="containsText" dxfId="1234" priority="1142" operator="containsText" text="P">
      <formula>NOT(ISERROR(SEARCH("P",AI52)))</formula>
    </cfRule>
  </conditionalFormatting>
  <conditionalFormatting sqref="AI57">
    <cfRule type="containsText" dxfId="1233" priority="1027" operator="containsText" text="P">
      <formula>NOT(ISERROR(SEARCH("P",AI57)))</formula>
    </cfRule>
    <cfRule type="containsText" dxfId="1232" priority="1028" operator="containsText" text="A">
      <formula>NOT(ISERROR(SEARCH("A",AI57)))</formula>
    </cfRule>
    <cfRule type="containsText" dxfId="1231" priority="1026" operator="containsText" text="A">
      <formula>NOT(ISERROR(SEARCH("A",AI57)))</formula>
    </cfRule>
    <cfRule type="containsText" dxfId="1230" priority="1029" operator="containsText" text="P">
      <formula>NOT(ISERROR(SEARCH("P",AI57)))</formula>
    </cfRule>
  </conditionalFormatting>
  <conditionalFormatting sqref="AI62">
    <cfRule type="containsText" dxfId="1229" priority="1079" operator="containsText" text="P">
      <formula>NOT(ISERROR(SEARCH("P",AI62)))</formula>
    </cfRule>
    <cfRule type="containsText" dxfId="1228" priority="1081" operator="containsText" text="P">
      <formula>NOT(ISERROR(SEARCH("P",AI62)))</formula>
    </cfRule>
  </conditionalFormatting>
  <conditionalFormatting sqref="AI62:AI63">
    <cfRule type="containsText" dxfId="1227" priority="1078" operator="containsText" text="A">
      <formula>NOT(ISERROR(SEARCH("A",AI62)))</formula>
    </cfRule>
    <cfRule type="containsText" dxfId="1226" priority="1080" operator="containsText" text="A">
      <formula>NOT(ISERROR(SEARCH("A",AI62)))</formula>
    </cfRule>
  </conditionalFormatting>
  <conditionalFormatting sqref="AI63">
    <cfRule type="containsText" dxfId="1225" priority="1092" operator="containsText" text="P">
      <formula>NOT(ISERROR(SEARCH("P",AI63)))</formula>
    </cfRule>
    <cfRule type="containsText" dxfId="1224" priority="1093" operator="containsText" text="P">
      <formula>NOT(ISERROR(SEARCH("P",AI63)))</formula>
    </cfRule>
  </conditionalFormatting>
  <conditionalFormatting sqref="AI90 AI83 AI77 AI54 AI34 AI31">
    <cfRule type="containsText" dxfId="1223" priority="149" operator="containsText" text="P">
      <formula>NOT(ISERROR(SEARCH("P",AI31)))</formula>
    </cfRule>
    <cfRule type="containsText" dxfId="1222" priority="150" operator="containsText" text="P">
      <formula>NOT(ISERROR(SEARCH("P",AI31)))</formula>
    </cfRule>
  </conditionalFormatting>
  <conditionalFormatting sqref="AJ3:AJ6 AJ9 AJ17 AJ20:AJ22 AJ28:AJ29 AJ42 AJ60 AJ70 AJ80 AJ86 AJ93">
    <cfRule type="containsText" dxfId="1221" priority="37" operator="containsText" text="A">
      <formula>NOT(ISERROR(SEARCH("A",AJ3)))</formula>
    </cfRule>
    <cfRule type="containsText" dxfId="1220" priority="39" operator="containsText" text="A">
      <formula>NOT(ISERROR(SEARCH("A",AJ3)))</formula>
    </cfRule>
  </conditionalFormatting>
  <conditionalFormatting sqref="AJ12">
    <cfRule type="containsText" dxfId="1219" priority="2990" operator="containsText" text="P">
      <formula>NOT(ISERROR(SEARCH("P",AJ12)))</formula>
    </cfRule>
    <cfRule type="containsText" dxfId="1218" priority="2989" operator="containsText" text="A">
      <formula>NOT(ISERROR(SEARCH("A",AJ12)))</formula>
    </cfRule>
    <cfRule type="containsText" dxfId="1217" priority="2987" operator="containsText" text="A">
      <formula>NOT(ISERROR(SEARCH("A",AJ12)))</formula>
    </cfRule>
    <cfRule type="containsText" dxfId="1216" priority="2988" operator="containsText" text="P">
      <formula>NOT(ISERROR(SEARCH("P",AJ12)))</formula>
    </cfRule>
  </conditionalFormatting>
  <conditionalFormatting sqref="AJ14:AJ15">
    <cfRule type="containsText" dxfId="1215" priority="2338" operator="containsText" text="P">
      <formula>NOT(ISERROR(SEARCH("P",AJ14)))</formula>
    </cfRule>
    <cfRule type="containsText" dxfId="1214" priority="2337" operator="containsText" text="A">
      <formula>NOT(ISERROR(SEARCH("A",AJ14)))</formula>
    </cfRule>
    <cfRule type="containsText" dxfId="1213" priority="2336" operator="containsText" text="P">
      <formula>NOT(ISERROR(SEARCH("P",AJ14)))</formula>
    </cfRule>
    <cfRule type="containsText" dxfId="1212" priority="2335" operator="containsText" text="A">
      <formula>NOT(ISERROR(SEARCH("A",AJ14)))</formula>
    </cfRule>
  </conditionalFormatting>
  <conditionalFormatting sqref="AJ22">
    <cfRule type="containsText" dxfId="1211" priority="2310" operator="containsText" text="P">
      <formula>NOT(ISERROR(SEARCH("P",AJ22)))</formula>
    </cfRule>
    <cfRule type="containsText" dxfId="1210" priority="2308" operator="containsText" text="P">
      <formula>NOT(ISERROR(SEARCH("P",AJ22)))</formula>
    </cfRule>
  </conditionalFormatting>
  <conditionalFormatting sqref="AJ25 AJ31:AJ32 AJ51">
    <cfRule type="containsText" dxfId="1209" priority="65" operator="containsText" text="A">
      <formula>NOT(ISERROR(SEARCH("A",AJ25)))</formula>
    </cfRule>
    <cfRule type="containsText" dxfId="1208" priority="63" operator="containsText" text="A">
      <formula>NOT(ISERROR(SEARCH("A",AJ25)))</formula>
    </cfRule>
  </conditionalFormatting>
  <conditionalFormatting sqref="AJ35 AL35:AN35">
    <cfRule type="containsText" dxfId="1207" priority="3132" operator="containsText" text="P">
      <formula>NOT(ISERROR(SEARCH("P",AJ35)))</formula>
    </cfRule>
    <cfRule type="containsText" dxfId="1206" priority="3130" operator="containsText" text="P">
      <formula>NOT(ISERROR(SEARCH("P",AJ35)))</formula>
    </cfRule>
  </conditionalFormatting>
  <conditionalFormatting sqref="AJ40">
    <cfRule type="containsText" dxfId="1205" priority="3058" operator="containsText" text="P">
      <formula>NOT(ISERROR(SEARCH("P",AJ40)))</formula>
    </cfRule>
    <cfRule type="containsText" dxfId="1204" priority="3055" operator="containsText" text="A">
      <formula>NOT(ISERROR(SEARCH("A",AJ40)))</formula>
    </cfRule>
    <cfRule type="containsText" dxfId="1203" priority="3056" operator="containsText" text="P">
      <formula>NOT(ISERROR(SEARCH("P",AJ40)))</formula>
    </cfRule>
    <cfRule type="containsText" dxfId="1202" priority="3057" operator="containsText" text="A">
      <formula>NOT(ISERROR(SEARCH("A",AJ40)))</formula>
    </cfRule>
  </conditionalFormatting>
  <conditionalFormatting sqref="AJ45">
    <cfRule type="containsText" dxfId="1201" priority="2264" operator="containsText" text="P">
      <formula>NOT(ISERROR(SEARCH("P",AJ45)))</formula>
    </cfRule>
    <cfRule type="containsText" dxfId="1200" priority="2265" operator="containsText" text="A">
      <formula>NOT(ISERROR(SEARCH("A",AJ45)))</formula>
    </cfRule>
    <cfRule type="containsText" dxfId="1199" priority="2266" operator="containsText" text="P">
      <formula>NOT(ISERROR(SEARCH("P",AJ45)))</formula>
    </cfRule>
    <cfRule type="containsText" dxfId="1198" priority="2263" operator="containsText" text="A">
      <formula>NOT(ISERROR(SEARCH("A",AJ45)))</formula>
    </cfRule>
  </conditionalFormatting>
  <conditionalFormatting sqref="AJ49">
    <cfRule type="containsText" dxfId="1197" priority="3317" operator="containsText" text="P">
      <formula>NOT(ISERROR(SEARCH("P",AJ49)))</formula>
    </cfRule>
    <cfRule type="containsText" dxfId="1196" priority="3316" operator="containsText" text="A">
      <formula>NOT(ISERROR(SEARCH("A",AJ49)))</formula>
    </cfRule>
    <cfRule type="containsText" dxfId="1195" priority="3315" operator="containsText" text="P">
      <formula>NOT(ISERROR(SEARCH("P",AJ49)))</formula>
    </cfRule>
    <cfRule type="containsText" dxfId="1194" priority="3314" operator="containsText" text="A">
      <formula>NOT(ISERROR(SEARCH("A",AJ49)))</formula>
    </cfRule>
  </conditionalFormatting>
  <conditionalFormatting sqref="AJ51 AJ32 AJ25">
    <cfRule type="containsText" dxfId="1193" priority="64" operator="containsText" text="P">
      <formula>NOT(ISERROR(SEARCH("P",AJ25)))</formula>
    </cfRule>
    <cfRule type="containsText" dxfId="1192" priority="66" operator="containsText" text="P">
      <formula>NOT(ISERROR(SEARCH("P",AJ25)))</formula>
    </cfRule>
  </conditionalFormatting>
  <conditionalFormatting sqref="AJ82">
    <cfRule type="containsText" dxfId="1191" priority="2232" operator="containsText" text="P">
      <formula>NOT(ISERROR(SEARCH("P",AJ82)))</formula>
    </cfRule>
    <cfRule type="containsText" dxfId="1190" priority="2234" operator="containsText" text="P">
      <formula>NOT(ISERROR(SEARCH("P",AJ82)))</formula>
    </cfRule>
  </conditionalFormatting>
  <conditionalFormatting sqref="AJ90 AL90:AM90 AJ83 AL83:AM83 AJ77 AL77:AM77 AJ54 AL54:AM54 AJ34 AL34:AM34 AJ31 AL31:AM31">
    <cfRule type="containsText" dxfId="1189" priority="1253" operator="containsText" text="P">
      <formula>NOT(ISERROR(SEARCH("P",AJ31)))</formula>
    </cfRule>
    <cfRule type="containsText" dxfId="1188" priority="1255" operator="containsText" text="P">
      <formula>NOT(ISERROR(SEARCH("P",AJ31)))</formula>
    </cfRule>
  </conditionalFormatting>
  <conditionalFormatting sqref="AJ93 AJ86 AJ80 AJ70 AJ60 AJ42 AJ28:AJ29 AJ20:AJ21 AJ17 AJ9 AJ3:AJ6">
    <cfRule type="containsText" dxfId="1187" priority="40" operator="containsText" text="P">
      <formula>NOT(ISERROR(SEARCH("P",AJ3)))</formula>
    </cfRule>
    <cfRule type="containsText" dxfId="1186" priority="38" operator="containsText" text="P">
      <formula>NOT(ISERROR(SEARCH("P",AJ3)))</formula>
    </cfRule>
  </conditionalFormatting>
  <conditionalFormatting sqref="AJ38:AK38">
    <cfRule type="containsText" dxfId="1185" priority="3035" operator="containsText" text="A">
      <formula>NOT(ISERROR(SEARCH("A",AJ38)))</formula>
    </cfRule>
    <cfRule type="containsText" dxfId="1184" priority="3037" operator="containsText" text="A">
      <formula>NOT(ISERROR(SEARCH("A",AJ38)))</formula>
    </cfRule>
    <cfRule type="containsText" dxfId="1183" priority="3038" operator="containsText" text="P">
      <formula>NOT(ISERROR(SEARCH("P",AJ38)))</formula>
    </cfRule>
    <cfRule type="containsText" dxfId="1182" priority="3036" operator="containsText" text="P">
      <formula>NOT(ISERROR(SEARCH("P",AJ38)))</formula>
    </cfRule>
  </conditionalFormatting>
  <conditionalFormatting sqref="AJ11:AL11 AN11:AS11">
    <cfRule type="containsText" dxfId="1181" priority="3290" operator="containsText" text="A">
      <formula>NOT(ISERROR(SEARCH("A",AJ11)))</formula>
    </cfRule>
    <cfRule type="containsText" dxfId="1180" priority="3291" operator="containsText" text="P">
      <formula>NOT(ISERROR(SEARCH("P",AJ11)))</formula>
    </cfRule>
    <cfRule type="containsText" dxfId="1179" priority="3293" operator="containsText" text="P">
      <formula>NOT(ISERROR(SEARCH("P",AJ11)))</formula>
    </cfRule>
    <cfRule type="containsText" dxfId="1178" priority="3292" operator="containsText" text="A">
      <formula>NOT(ISERROR(SEARCH("A",AJ11)))</formula>
    </cfRule>
  </conditionalFormatting>
  <conditionalFormatting sqref="AJ18:AL18">
    <cfRule type="containsText" dxfId="1177" priority="3180" operator="containsText" text="P">
      <formula>NOT(ISERROR(SEARCH("P",AJ18)))</formula>
    </cfRule>
    <cfRule type="containsText" dxfId="1176" priority="3182" operator="containsText" text="P">
      <formula>NOT(ISERROR(SEARCH("P",AJ18)))</formula>
    </cfRule>
  </conditionalFormatting>
  <conditionalFormatting sqref="AJ18:AL19">
    <cfRule type="containsText" dxfId="1175" priority="3165" operator="containsText" text="A">
      <formula>NOT(ISERROR(SEARCH("A",AJ18)))</formula>
    </cfRule>
    <cfRule type="containsText" dxfId="1174" priority="3163" operator="containsText" text="A">
      <formula>NOT(ISERROR(SEARCH("A",AJ18)))</formula>
    </cfRule>
  </conditionalFormatting>
  <conditionalFormatting sqref="AJ19:AL19 AN19">
    <cfRule type="containsText" dxfId="1173" priority="3176" operator="containsText" text="P">
      <formula>NOT(ISERROR(SEARCH("P",AJ19)))</formula>
    </cfRule>
    <cfRule type="containsText" dxfId="1172" priority="3178" operator="containsText" text="P">
      <formula>NOT(ISERROR(SEARCH("P",AJ19)))</formula>
    </cfRule>
  </conditionalFormatting>
  <conditionalFormatting sqref="AJ30:AL30">
    <cfRule type="containsText" dxfId="1171" priority="3147" operator="containsText" text="P">
      <formula>NOT(ISERROR(SEARCH("P",AJ30)))</formula>
    </cfRule>
    <cfRule type="containsText" dxfId="1170" priority="3148" operator="containsText" text="A">
      <formula>NOT(ISERROR(SEARCH("A",AJ30)))</formula>
    </cfRule>
    <cfRule type="containsText" dxfId="1169" priority="3149" operator="containsText" text="P">
      <formula>NOT(ISERROR(SEARCH("P",AJ30)))</formula>
    </cfRule>
    <cfRule type="containsText" dxfId="1168" priority="3146" operator="containsText" text="A">
      <formula>NOT(ISERROR(SEARCH("A",AJ30)))</formula>
    </cfRule>
  </conditionalFormatting>
  <conditionalFormatting sqref="AJ36:AL36 AN36">
    <cfRule type="containsText" dxfId="1167" priority="3138" operator="containsText" text="P">
      <formula>NOT(ISERROR(SEARCH("P",AJ36)))</formula>
    </cfRule>
    <cfRule type="containsText" dxfId="1166" priority="3137" operator="containsText" text="A">
      <formula>NOT(ISERROR(SEARCH("A",AJ36)))</formula>
    </cfRule>
    <cfRule type="containsText" dxfId="1165" priority="3139" operator="containsText" text="A">
      <formula>NOT(ISERROR(SEARCH("A",AJ36)))</formula>
    </cfRule>
    <cfRule type="containsText" dxfId="1164" priority="3140" operator="containsText" text="P">
      <formula>NOT(ISERROR(SEARCH("P",AJ36)))</formula>
    </cfRule>
  </conditionalFormatting>
  <conditionalFormatting sqref="AJ44:AL44">
    <cfRule type="containsText" dxfId="1163" priority="3469" operator="containsText" text="A">
      <formula>NOT(ISERROR(SEARCH("A",AJ44)))</formula>
    </cfRule>
    <cfRule type="containsText" dxfId="1162" priority="3467" operator="containsText" text="A">
      <formula>NOT(ISERROR(SEARCH("A",AJ44)))</formula>
    </cfRule>
  </conditionalFormatting>
  <conditionalFormatting sqref="AJ46:AL46 AJ48:AL48">
    <cfRule type="containsText" dxfId="1161" priority="3092" operator="containsText" text="A">
      <formula>NOT(ISERROR(SEARCH("A",AJ46)))</formula>
    </cfRule>
    <cfRule type="containsText" dxfId="1160" priority="3094" operator="containsText" text="A">
      <formula>NOT(ISERROR(SEARCH("A",AJ46)))</formula>
    </cfRule>
  </conditionalFormatting>
  <conditionalFormatting sqref="AJ47:AL47">
    <cfRule type="containsText" dxfId="1159" priority="3112" operator="containsText" text="P">
      <formula>NOT(ISERROR(SEARCH("P",AJ47)))</formula>
    </cfRule>
    <cfRule type="containsText" dxfId="1158" priority="3110" operator="containsText" text="P">
      <formula>NOT(ISERROR(SEARCH("P",AJ47)))</formula>
    </cfRule>
  </conditionalFormatting>
  <conditionalFormatting sqref="AJ47:AL48">
    <cfRule type="containsText" dxfId="1157" priority="3109" operator="containsText" text="A">
      <formula>NOT(ISERROR(SEARCH("A",AJ47)))</formula>
    </cfRule>
    <cfRule type="containsText" dxfId="1156" priority="3111" operator="containsText" text="A">
      <formula>NOT(ISERROR(SEARCH("A",AJ47)))</formula>
    </cfRule>
  </conditionalFormatting>
  <conditionalFormatting sqref="AJ48:AL48 AJ46:AL46">
    <cfRule type="containsText" dxfId="1155" priority="3093" operator="containsText" text="P">
      <formula>NOT(ISERROR(SEARCH("P",AJ46)))</formula>
    </cfRule>
    <cfRule type="containsText" dxfId="1154" priority="3095" operator="containsText" text="P">
      <formula>NOT(ISERROR(SEARCH("P",AJ46)))</formula>
    </cfRule>
  </conditionalFormatting>
  <conditionalFormatting sqref="AJ48:AL48">
    <cfRule type="containsText" dxfId="1153" priority="3442" operator="containsText" text="P">
      <formula>NOT(ISERROR(SEARCH("P",AJ48)))</formula>
    </cfRule>
    <cfRule type="containsText" dxfId="1152" priority="3440" operator="containsText" text="P">
      <formula>NOT(ISERROR(SEARCH("P",AJ48)))</formula>
    </cfRule>
  </conditionalFormatting>
  <conditionalFormatting sqref="AJ52:AL52 AN52:AP52">
    <cfRule type="containsText" dxfId="1151" priority="3476" operator="containsText" text="P">
      <formula>NOT(ISERROR(SEARCH("P",AJ52)))</formula>
    </cfRule>
    <cfRule type="containsText" dxfId="1150" priority="3478" operator="containsText" text="P">
      <formula>NOT(ISERROR(SEARCH("P",AJ52)))</formula>
    </cfRule>
    <cfRule type="containsText" dxfId="1149" priority="3477" operator="containsText" text="A">
      <formula>NOT(ISERROR(SEARCH("A",AJ52)))</formula>
    </cfRule>
    <cfRule type="containsText" dxfId="1148" priority="3475" operator="containsText" text="A">
      <formula>NOT(ISERROR(SEARCH("A",AJ52)))</formula>
    </cfRule>
  </conditionalFormatting>
  <conditionalFormatting sqref="AJ91:AL91 AN91:CG91 AJ92:CG92">
    <cfRule type="containsText" dxfId="1147" priority="1559" operator="containsText" text="A">
      <formula>NOT(ISERROR(SEARCH("A",AJ91)))</formula>
    </cfRule>
    <cfRule type="containsText" dxfId="1146" priority="1538" operator="containsText" text="A">
      <formula>NOT(ISERROR(SEARCH("A",AJ91)))</formula>
    </cfRule>
  </conditionalFormatting>
  <conditionalFormatting sqref="AJ8:AM8">
    <cfRule type="containsText" dxfId="1145" priority="3404" operator="containsText" text="A">
      <formula>NOT(ISERROR(SEARCH("A",AJ8)))</formula>
    </cfRule>
    <cfRule type="containsText" dxfId="1144" priority="3402" operator="containsText" text="A">
      <formula>NOT(ISERROR(SEARCH("A",AJ8)))</formula>
    </cfRule>
    <cfRule type="containsText" dxfId="1143" priority="3405" operator="containsText" text="P">
      <formula>NOT(ISERROR(SEARCH("P",AJ8)))</formula>
    </cfRule>
    <cfRule type="containsText" dxfId="1142" priority="3403" operator="containsText" text="P">
      <formula>NOT(ISERROR(SEARCH("P",AJ8)))</formula>
    </cfRule>
  </conditionalFormatting>
  <conditionalFormatting sqref="AJ16:AM16">
    <cfRule type="containsText" dxfId="1141" priority="3200" operator="containsText" text="P">
      <formula>NOT(ISERROR(SEARCH("P",AJ16)))</formula>
    </cfRule>
    <cfRule type="containsText" dxfId="1140" priority="3199" operator="containsText" text="A">
      <formula>NOT(ISERROR(SEARCH("A",AJ16)))</formula>
    </cfRule>
    <cfRule type="containsText" dxfId="1139" priority="3201" operator="containsText" text="A">
      <formula>NOT(ISERROR(SEARCH("A",AJ16)))</formula>
    </cfRule>
    <cfRule type="containsText" dxfId="1138" priority="3202" operator="containsText" text="P">
      <formula>NOT(ISERROR(SEARCH("P",AJ16)))</formula>
    </cfRule>
  </conditionalFormatting>
  <conditionalFormatting sqref="AJ24:AM24 AO24:AQ24">
    <cfRule type="containsText" dxfId="1137" priority="3626" operator="containsText" text="P">
      <formula>NOT(ISERROR(SEARCH("P",AJ24)))</formula>
    </cfRule>
    <cfRule type="containsText" dxfId="1136" priority="3623" operator="containsText" text="A">
      <formula>NOT(ISERROR(SEARCH("A",AJ24)))</formula>
    </cfRule>
    <cfRule type="containsText" dxfId="1135" priority="3624" operator="containsText" text="P">
      <formula>NOT(ISERROR(SEARCH("P",AJ24)))</formula>
    </cfRule>
    <cfRule type="containsText" dxfId="1134" priority="3625" operator="containsText" text="A">
      <formula>NOT(ISERROR(SEARCH("A",AJ24)))</formula>
    </cfRule>
  </conditionalFormatting>
  <conditionalFormatting sqref="AJ43:AM43 AO43:AQ43">
    <cfRule type="containsText" dxfId="1133" priority="3390" operator="containsText" text="A">
      <formula>NOT(ISERROR(SEARCH("A",AJ43)))</formula>
    </cfRule>
    <cfRule type="containsText" dxfId="1132" priority="3391" operator="containsText" text="P">
      <formula>NOT(ISERROR(SEARCH("P",AJ43)))</formula>
    </cfRule>
    <cfRule type="containsText" dxfId="1131" priority="3392" operator="containsText" text="A">
      <formula>NOT(ISERROR(SEARCH("A",AJ43)))</formula>
    </cfRule>
    <cfRule type="containsText" dxfId="1130" priority="3393" operator="containsText" text="P">
      <formula>NOT(ISERROR(SEARCH("P",AJ43)))</formula>
    </cfRule>
  </conditionalFormatting>
  <conditionalFormatting sqref="AJ50:AM50">
    <cfRule type="containsText" dxfId="1129" priority="3272" operator="containsText" text="A">
      <formula>NOT(ISERROR(SEARCH("A",AJ50)))</formula>
    </cfRule>
    <cfRule type="containsText" dxfId="1128" priority="3270" operator="containsText" text="A">
      <formula>NOT(ISERROR(SEARCH("A",AJ50)))</formula>
    </cfRule>
    <cfRule type="containsText" dxfId="1127" priority="3273" operator="containsText" text="P">
      <formula>NOT(ISERROR(SEARCH("P",AJ50)))</formula>
    </cfRule>
    <cfRule type="containsText" dxfId="1126" priority="3271" operator="containsText" text="P">
      <formula>NOT(ISERROR(SEARCH("P",AJ50)))</formula>
    </cfRule>
  </conditionalFormatting>
  <conditionalFormatting sqref="AJ62:AM62 AO62:AQ62">
    <cfRule type="containsText" dxfId="1125" priority="3258" operator="containsText" text="A">
      <formula>NOT(ISERROR(SEARCH("A",AJ62)))</formula>
    </cfRule>
    <cfRule type="containsText" dxfId="1124" priority="3259" operator="containsText" text="P">
      <formula>NOT(ISERROR(SEARCH("P",AJ62)))</formula>
    </cfRule>
    <cfRule type="containsText" dxfId="1123" priority="3261" operator="containsText" text="P">
      <formula>NOT(ISERROR(SEARCH("P",AJ62)))</formula>
    </cfRule>
    <cfRule type="containsText" dxfId="1122" priority="3260" operator="containsText" text="A">
      <formula>NOT(ISERROR(SEARCH("A",AJ62)))</formula>
    </cfRule>
  </conditionalFormatting>
  <conditionalFormatting sqref="AJ26:AN26">
    <cfRule type="containsText" dxfId="1121" priority="3156" operator="containsText" text="A">
      <formula>NOT(ISERROR(SEARCH("A",AJ26)))</formula>
    </cfRule>
    <cfRule type="containsText" dxfId="1120" priority="3155" operator="containsText" text="P">
      <formula>NOT(ISERROR(SEARCH("P",AJ26)))</formula>
    </cfRule>
    <cfRule type="containsText" dxfId="1119" priority="3154" operator="containsText" text="A">
      <formula>NOT(ISERROR(SEARCH("A",AJ26)))</formula>
    </cfRule>
    <cfRule type="containsText" dxfId="1118" priority="3157" operator="containsText" text="P">
      <formula>NOT(ISERROR(SEARCH("P",AJ26)))</formula>
    </cfRule>
  </conditionalFormatting>
  <conditionalFormatting sqref="AJ37:AN37">
    <cfRule type="containsText" dxfId="1117" priority="3123" operator="containsText" text="A">
      <formula>NOT(ISERROR(SEARCH("A",AJ37)))</formula>
    </cfRule>
    <cfRule type="containsText" dxfId="1116" priority="3124" operator="containsText" text="P">
      <formula>NOT(ISERROR(SEARCH("P",AJ37)))</formula>
    </cfRule>
    <cfRule type="containsText" dxfId="1115" priority="3122" operator="containsText" text="P">
      <formula>NOT(ISERROR(SEARCH("P",AJ37)))</formula>
    </cfRule>
    <cfRule type="containsText" dxfId="1114" priority="3121" operator="containsText" text="A">
      <formula>NOT(ISERROR(SEARCH("A",AJ37)))</formula>
    </cfRule>
  </conditionalFormatting>
  <conditionalFormatting sqref="AJ39:AN39 AP39:AS39">
    <cfRule type="containsText" dxfId="1113" priority="3054" operator="containsText" text="P">
      <formula>NOT(ISERROR(SEARCH("P",AJ39)))</formula>
    </cfRule>
    <cfRule type="containsText" dxfId="1112" priority="3052" operator="containsText" text="P">
      <formula>NOT(ISERROR(SEARCH("P",AJ39)))</formula>
    </cfRule>
  </conditionalFormatting>
  <conditionalFormatting sqref="AJ39:AN39">
    <cfRule type="containsText" dxfId="1111" priority="3053" operator="containsText" text="A">
      <formula>NOT(ISERROR(SEARCH("A",AJ39)))</formula>
    </cfRule>
    <cfRule type="containsText" dxfId="1110" priority="3051" operator="containsText" text="A">
      <formula>NOT(ISERROR(SEARCH("A",AJ39)))</formula>
    </cfRule>
  </conditionalFormatting>
  <conditionalFormatting sqref="AJ46:AN46">
    <cfRule type="containsText" dxfId="1109" priority="3118" operator="containsText" text="P">
      <formula>NOT(ISERROR(SEARCH("P",AJ46)))</formula>
    </cfRule>
    <cfRule type="containsText" dxfId="1108" priority="3120" operator="containsText" text="P">
      <formula>NOT(ISERROR(SEARCH("P",AJ46)))</formula>
    </cfRule>
  </conditionalFormatting>
  <conditionalFormatting sqref="AJ46:AN47">
    <cfRule type="containsText" dxfId="1107" priority="3100" operator="containsText" text="A">
      <formula>NOT(ISERROR(SEARCH("A",AJ46)))</formula>
    </cfRule>
    <cfRule type="containsText" dxfId="1106" priority="3102" operator="containsText" text="A">
      <formula>NOT(ISERROR(SEARCH("A",AJ46)))</formula>
    </cfRule>
  </conditionalFormatting>
  <conditionalFormatting sqref="AJ47:AN47">
    <cfRule type="containsText" dxfId="1105" priority="3103" operator="containsText" text="P">
      <formula>NOT(ISERROR(SEARCH("P",AJ47)))</formula>
    </cfRule>
    <cfRule type="containsText" dxfId="1104" priority="3101" operator="containsText" text="P">
      <formula>NOT(ISERROR(SEARCH("P",AJ47)))</formula>
    </cfRule>
  </conditionalFormatting>
  <conditionalFormatting sqref="AJ57:AN57">
    <cfRule type="containsText" dxfId="1103" priority="3084" operator="containsText" text="P">
      <formula>NOT(ISERROR(SEARCH("P",AJ57)))</formula>
    </cfRule>
    <cfRule type="containsText" dxfId="1102" priority="3085" operator="containsText" text="A">
      <formula>NOT(ISERROR(SEARCH("A",AJ57)))</formula>
    </cfRule>
    <cfRule type="containsText" dxfId="1101" priority="3086" operator="containsText" text="P">
      <formula>NOT(ISERROR(SEARCH("P",AJ57)))</formula>
    </cfRule>
    <cfRule type="containsText" dxfId="1100" priority="3083" operator="containsText" text="A">
      <formula>NOT(ISERROR(SEARCH("A",AJ57)))</formula>
    </cfRule>
  </conditionalFormatting>
  <conditionalFormatting sqref="AJ66:AO66">
    <cfRule type="containsText" dxfId="1099" priority="3082" operator="containsText" text="P">
      <formula>NOT(ISERROR(SEARCH("P",AJ66)))</formula>
    </cfRule>
    <cfRule type="containsText" dxfId="1098" priority="3079" operator="containsText" text="A">
      <formula>NOT(ISERROR(SEARCH("A",AJ66)))</formula>
    </cfRule>
    <cfRule type="containsText" dxfId="1097" priority="3080" operator="containsText" text="P">
      <formula>NOT(ISERROR(SEARCH("P",AJ66)))</formula>
    </cfRule>
    <cfRule type="containsText" dxfId="1096" priority="3081" operator="containsText" text="A">
      <formula>NOT(ISERROR(SEARCH("A",AJ66)))</formula>
    </cfRule>
  </conditionalFormatting>
  <conditionalFormatting sqref="AJ33:AP33">
    <cfRule type="containsText" dxfId="1095" priority="3479" operator="containsText" text="A">
      <formula>NOT(ISERROR(SEARCH("A",AJ33)))</formula>
    </cfRule>
    <cfRule type="containsText" dxfId="1094" priority="3482" operator="containsText" text="P">
      <formula>NOT(ISERROR(SEARCH("P",AJ33)))</formula>
    </cfRule>
    <cfRule type="containsText" dxfId="1093" priority="3481" operator="containsText" text="A">
      <formula>NOT(ISERROR(SEARCH("A",AJ33)))</formula>
    </cfRule>
    <cfRule type="containsText" dxfId="1092" priority="3480" operator="containsText" text="P">
      <formula>NOT(ISERROR(SEARCH("P",AJ33)))</formula>
    </cfRule>
  </conditionalFormatting>
  <conditionalFormatting sqref="AJ41:AP41">
    <cfRule type="containsText" dxfId="1091" priority="3485" operator="containsText" text="A">
      <formula>NOT(ISERROR(SEARCH("A",AJ41)))</formula>
    </cfRule>
    <cfRule type="containsText" dxfId="1090" priority="3484" operator="containsText" text="P">
      <formula>NOT(ISERROR(SEARCH("P",AJ41)))</formula>
    </cfRule>
    <cfRule type="containsText" dxfId="1089" priority="3483" operator="containsText" text="A">
      <formula>NOT(ISERROR(SEARCH("A",AJ41)))</formula>
    </cfRule>
    <cfRule type="containsText" dxfId="1088" priority="3486" operator="containsText" text="P">
      <formula>NOT(ISERROR(SEARCH("P",AJ41)))</formula>
    </cfRule>
  </conditionalFormatting>
  <conditionalFormatting sqref="AJ63:AP63">
    <cfRule type="containsText" dxfId="1087" priority="3294" operator="containsText" text="A">
      <formula>NOT(ISERROR(SEARCH("A",AJ63)))</formula>
    </cfRule>
    <cfRule type="containsText" dxfId="1086" priority="3295" operator="containsText" text="P">
      <formula>NOT(ISERROR(SEARCH("P",AJ63)))</formula>
    </cfRule>
    <cfRule type="containsText" dxfId="1085" priority="3297" operator="containsText" text="P">
      <formula>NOT(ISERROR(SEARCH("P",AJ63)))</formula>
    </cfRule>
    <cfRule type="containsText" dxfId="1084" priority="3296" operator="containsText" text="A">
      <formula>NOT(ISERROR(SEARCH("A",AJ63)))</formula>
    </cfRule>
  </conditionalFormatting>
  <conditionalFormatting sqref="AJ7:AQ7 AS7">
    <cfRule type="containsText" dxfId="1083" priority="3419" operator="containsText" text="P">
      <formula>NOT(ISERROR(SEARCH("P",AJ7)))</formula>
    </cfRule>
    <cfRule type="containsText" dxfId="1082" priority="3421" operator="containsText" text="P">
      <formula>NOT(ISERROR(SEARCH("P",AJ7)))</formula>
    </cfRule>
  </conditionalFormatting>
  <conditionalFormatting sqref="AJ7:AQ7">
    <cfRule type="containsText" dxfId="1081" priority="3420" operator="containsText" text="A">
      <formula>NOT(ISERROR(SEARCH("A",AJ7)))</formula>
    </cfRule>
    <cfRule type="containsText" dxfId="1080" priority="3418" operator="containsText" text="A">
      <formula>NOT(ISERROR(SEARCH("A",AJ7)))</formula>
    </cfRule>
  </conditionalFormatting>
  <conditionalFormatting sqref="AJ13:AQ13 AS13">
    <cfRule type="containsText" dxfId="1079" priority="3398" operator="containsText" text="A">
      <formula>NOT(ISERROR(SEARCH("A",AJ13)))</formula>
    </cfRule>
    <cfRule type="containsText" dxfId="1078" priority="3399" operator="containsText" text="P">
      <formula>NOT(ISERROR(SEARCH("P",AJ13)))</formula>
    </cfRule>
    <cfRule type="containsText" dxfId="1077" priority="3400" operator="containsText" text="A">
      <formula>NOT(ISERROR(SEARCH("A",AJ13)))</formula>
    </cfRule>
    <cfRule type="containsText" dxfId="1076" priority="3401" operator="containsText" text="P">
      <formula>NOT(ISERROR(SEARCH("P",AJ13)))</formula>
    </cfRule>
  </conditionalFormatting>
  <conditionalFormatting sqref="AJ10:AS10">
    <cfRule type="containsText" dxfId="1075" priority="3018" operator="containsText" text="P">
      <formula>NOT(ISERROR(SEARCH("P",AJ10)))</formula>
    </cfRule>
    <cfRule type="containsText" dxfId="1074" priority="3015" operator="containsText" text="A">
      <formula>NOT(ISERROR(SEARCH("A",AJ10)))</formula>
    </cfRule>
    <cfRule type="containsText" dxfId="1073" priority="3016" operator="containsText" text="P">
      <formula>NOT(ISERROR(SEARCH("P",AJ10)))</formula>
    </cfRule>
    <cfRule type="containsText" dxfId="1072" priority="3017" operator="containsText" text="A">
      <formula>NOT(ISERROR(SEARCH("A",AJ10)))</formula>
    </cfRule>
  </conditionalFormatting>
  <conditionalFormatting sqref="AJ23:AS23">
    <cfRule type="containsText" dxfId="1071" priority="3342" operator="containsText" text="A">
      <formula>NOT(ISERROR(SEARCH("A",AJ23)))</formula>
    </cfRule>
    <cfRule type="containsText" dxfId="1070" priority="3343" operator="containsText" text="P">
      <formula>NOT(ISERROR(SEARCH("P",AJ23)))</formula>
    </cfRule>
    <cfRule type="containsText" dxfId="1069" priority="3345" operator="containsText" text="P">
      <formula>NOT(ISERROR(SEARCH("P",AJ23)))</formula>
    </cfRule>
    <cfRule type="containsText" dxfId="1068" priority="3344" operator="containsText" text="A">
      <formula>NOT(ISERROR(SEARCH("A",AJ23)))</formula>
    </cfRule>
  </conditionalFormatting>
  <conditionalFormatting sqref="AJ27:AS27">
    <cfRule type="containsText" dxfId="1067" priority="3012" operator="containsText" text="P">
      <formula>NOT(ISERROR(SEARCH("P",AJ27)))</formula>
    </cfRule>
    <cfRule type="containsText" dxfId="1066" priority="3013" operator="containsText" text="A">
      <formula>NOT(ISERROR(SEARCH("A",AJ27)))</formula>
    </cfRule>
    <cfRule type="containsText" dxfId="1065" priority="3014" operator="containsText" text="P">
      <formula>NOT(ISERROR(SEARCH("P",AJ27)))</formula>
    </cfRule>
    <cfRule type="containsText" dxfId="1064" priority="3011" operator="containsText" text="A">
      <formula>NOT(ISERROR(SEARCH("A",AJ27)))</formula>
    </cfRule>
  </conditionalFormatting>
  <conditionalFormatting sqref="AJ56:AS56 AO57:AQ57 AS57 AJ64:AS65 AP66:AS66">
    <cfRule type="containsText" dxfId="1063" priority="3645" operator="containsText" text="A">
      <formula>NOT(ISERROR(SEARCH("A",AJ56)))</formula>
    </cfRule>
    <cfRule type="containsText" dxfId="1062" priority="3643" operator="containsText" text="A">
      <formula>NOT(ISERROR(SEARCH("A",AJ56)))</formula>
    </cfRule>
  </conditionalFormatting>
  <conditionalFormatting sqref="AJ58:AS59 AJ61:AS61">
    <cfRule type="containsText" dxfId="1061" priority="3045" operator="containsText" text="A">
      <formula>NOT(ISERROR(SEARCH("A",AJ58)))</formula>
    </cfRule>
    <cfRule type="containsText" dxfId="1060" priority="3043" operator="containsText" text="A">
      <formula>NOT(ISERROR(SEARCH("A",AJ58)))</formula>
    </cfRule>
  </conditionalFormatting>
  <conditionalFormatting sqref="AJ71:AS72">
    <cfRule type="containsText" dxfId="1059" priority="2981" operator="containsText" text="A">
      <formula>NOT(ISERROR(SEARCH("A",AJ71)))</formula>
    </cfRule>
    <cfRule type="containsText" dxfId="1058" priority="2979" operator="containsText" text="A">
      <formula>NOT(ISERROR(SEARCH("A",AJ71)))</formula>
    </cfRule>
  </conditionalFormatting>
  <conditionalFormatting sqref="AJ72:AS72">
    <cfRule type="containsText" dxfId="1057" priority="2982" operator="containsText" text="P">
      <formula>NOT(ISERROR(SEARCH("P",AJ72)))</formula>
    </cfRule>
    <cfRule type="containsText" dxfId="1056" priority="2980" operator="containsText" text="P">
      <formula>NOT(ISERROR(SEARCH("P",AJ72)))</formula>
    </cfRule>
  </conditionalFormatting>
  <conditionalFormatting sqref="AJ88:AS88">
    <cfRule type="containsText" dxfId="1055" priority="2219" operator="containsText" text="A">
      <formula>NOT(ISERROR(SEARCH("A",AJ88)))</formula>
    </cfRule>
    <cfRule type="containsText" dxfId="1054" priority="2221" operator="containsText" text="A">
      <formula>NOT(ISERROR(SEARCH("A",AJ88)))</formula>
    </cfRule>
    <cfRule type="containsText" dxfId="1053" priority="2222" operator="containsText" text="P">
      <formula>NOT(ISERROR(SEARCH("P",AJ88)))</formula>
    </cfRule>
    <cfRule type="containsText" dxfId="1052" priority="2220" operator="containsText" text="P">
      <formula>NOT(ISERROR(SEARCH("P",AJ88)))</formula>
    </cfRule>
  </conditionalFormatting>
  <conditionalFormatting sqref="AJ55:AT55 AV55:AX55 AZ55:BA55">
    <cfRule type="containsText" dxfId="1051" priority="2295" operator="containsText" text="A">
      <formula>NOT(ISERROR(SEARCH("A",AJ55)))</formula>
    </cfRule>
    <cfRule type="containsText" dxfId="1050" priority="2297" operator="containsText" text="A">
      <formula>NOT(ISERROR(SEARCH("A",AJ55)))</formula>
    </cfRule>
  </conditionalFormatting>
  <conditionalFormatting sqref="AJ53:AZ53">
    <cfRule type="containsText" dxfId="1049" priority="2230" operator="containsText" text="P">
      <formula>NOT(ISERROR(SEARCH("P",AJ53)))</formula>
    </cfRule>
    <cfRule type="containsText" dxfId="1048" priority="2229" operator="containsText" text="A">
      <formula>NOT(ISERROR(SEARCH("A",AJ53)))</formula>
    </cfRule>
    <cfRule type="containsText" dxfId="1047" priority="2228" operator="containsText" text="P">
      <formula>NOT(ISERROR(SEARCH("P",AJ53)))</formula>
    </cfRule>
    <cfRule type="containsText" dxfId="1046" priority="2227" operator="containsText" text="A">
      <formula>NOT(ISERROR(SEARCH("A",AJ53)))</formula>
    </cfRule>
  </conditionalFormatting>
  <conditionalFormatting sqref="AJ69:AZ69">
    <cfRule type="containsText" dxfId="1045" priority="2300" operator="containsText" text="P">
      <formula>NOT(ISERROR(SEARCH("P",AJ69)))</formula>
    </cfRule>
    <cfRule type="containsText" dxfId="1044" priority="2301" operator="containsText" text="A">
      <formula>NOT(ISERROR(SEARCH("A",AJ69)))</formula>
    </cfRule>
    <cfRule type="containsText" dxfId="1043" priority="2302" operator="containsText" text="P">
      <formula>NOT(ISERROR(SEARCH("P",AJ69)))</formula>
    </cfRule>
    <cfRule type="containsText" dxfId="1042" priority="2299" operator="containsText" text="A">
      <formula>NOT(ISERROR(SEARCH("A",AJ69)))</formula>
    </cfRule>
  </conditionalFormatting>
  <conditionalFormatting sqref="AJ89:CE89">
    <cfRule type="containsText" dxfId="1041" priority="2210" operator="containsText" text="P">
      <formula>NOT(ISERROR(SEARCH("P",AJ89)))</formula>
    </cfRule>
    <cfRule type="containsText" dxfId="1040" priority="2209" operator="containsText" text="A">
      <formula>NOT(ISERROR(SEARCH("A",AJ89)))</formula>
    </cfRule>
    <cfRule type="containsText" dxfId="1039" priority="2208" operator="containsText" text="P">
      <formula>NOT(ISERROR(SEARCH("P",AJ89)))</formula>
    </cfRule>
    <cfRule type="containsText" dxfId="1038" priority="2207" operator="containsText" text="A">
      <formula>NOT(ISERROR(SEARCH("A",AJ89)))</formula>
    </cfRule>
  </conditionalFormatting>
  <conditionalFormatting sqref="AJ92:CG92 AJ91:AL91 AN91:CG91">
    <cfRule type="containsText" dxfId="1037" priority="1575" operator="containsText" text="P">
      <formula>NOT(ISERROR(SEARCH("P",AJ91)))</formula>
    </cfRule>
    <cfRule type="containsText" dxfId="1036" priority="1573" operator="containsText" text="P">
      <formula>NOT(ISERROR(SEARCH("P",AJ91)))</formula>
    </cfRule>
  </conditionalFormatting>
  <conditionalFormatting sqref="AK31 AK34:AK35 AK54 AK77 AK83 AK90">
    <cfRule type="containsText" dxfId="1035" priority="1209" operator="containsText" text="A">
      <formula>NOT(ISERROR(SEARCH("A",AK31)))</formula>
    </cfRule>
    <cfRule type="containsText" dxfId="1034" priority="1211" operator="containsText" text="A">
      <formula>NOT(ISERROR(SEARCH("A",AK31)))</formula>
    </cfRule>
  </conditionalFormatting>
  <conditionalFormatting sqref="AK35">
    <cfRule type="containsText" dxfId="1033" priority="3126" operator="containsText" text="P">
      <formula>NOT(ISERROR(SEARCH("P",AK35)))</formula>
    </cfRule>
    <cfRule type="containsText" dxfId="1032" priority="3128" operator="containsText" text="P">
      <formula>NOT(ISERROR(SEARCH("P",AK35)))</formula>
    </cfRule>
  </conditionalFormatting>
  <conditionalFormatting sqref="AK90 AK83 AK77 AK54 AK34 AK31">
    <cfRule type="containsText" dxfId="1031" priority="1210" operator="containsText" text="P">
      <formula>NOT(ISERROR(SEARCH("P",AK31)))</formula>
    </cfRule>
    <cfRule type="containsText" dxfId="1030" priority="1212" operator="containsText" text="P">
      <formula>NOT(ISERROR(SEARCH("P",AK31)))</formula>
    </cfRule>
  </conditionalFormatting>
  <conditionalFormatting sqref="AK3:AL6 AR3:AS6 AK9:AL9 AR9:AS9 AK17:AL17 AR17:AS17 AK20:AL22 AR20:AS22 AK28:AL29 AR28:AS29 AK42:AL42 AR42:AS45 AK60:AL60 AR60:AS60 AK70:AL70 AR70:AS70 AK80:AL80 AR80:AS80 AK86:AL86 AR86:AS86 AK93:AL93 AR93:AS93">
    <cfRule type="containsText" dxfId="1029" priority="19" operator="containsText" text="A">
      <formula>NOT(ISERROR(SEARCH("A",AK3)))</formula>
    </cfRule>
    <cfRule type="containsText" dxfId="1028" priority="17" operator="containsText" text="A">
      <formula>NOT(ISERROR(SEARCH("A",AK3)))</formula>
    </cfRule>
  </conditionalFormatting>
  <conditionalFormatting sqref="AK12:AL12 AR12:AS12">
    <cfRule type="containsText" dxfId="1027" priority="3009" operator="containsText" text="A">
      <formula>NOT(ISERROR(SEARCH("A",AK12)))</formula>
    </cfRule>
    <cfRule type="containsText" dxfId="1026" priority="3007" operator="containsText" text="A">
      <formula>NOT(ISERROR(SEARCH("A",AK12)))</formula>
    </cfRule>
  </conditionalFormatting>
  <conditionalFormatting sqref="AK14:AL15 AR14:AS15 AR24:AS26 AK25:AL25 AK32:AL32 AR32:AS33 AK51:AL51 AR51:AS51">
    <cfRule type="containsText" dxfId="1025" priority="101" operator="containsText" text="A">
      <formula>NOT(ISERROR(SEARCH("A",AK14)))</formula>
    </cfRule>
    <cfRule type="containsText" dxfId="1024" priority="99" operator="containsText" text="A">
      <formula>NOT(ISERROR(SEARCH("A",AK14)))</formula>
    </cfRule>
  </conditionalFormatting>
  <conditionalFormatting sqref="AK40:AL40 AR40:AS40">
    <cfRule type="containsText" dxfId="1023" priority="3077" operator="containsText" text="A">
      <formula>NOT(ISERROR(SEARCH("A",AK40)))</formula>
    </cfRule>
    <cfRule type="containsText" dxfId="1022" priority="3075" operator="containsText" text="A">
      <formula>NOT(ISERROR(SEARCH("A",AK40)))</formula>
    </cfRule>
  </conditionalFormatting>
  <conditionalFormatting sqref="AK45:AL45">
    <cfRule type="containsText" dxfId="1021" priority="2283" operator="containsText" text="A">
      <formula>NOT(ISERROR(SEARCH("A",AK45)))</formula>
    </cfRule>
    <cfRule type="containsText" dxfId="1020" priority="2285" operator="containsText" text="A">
      <formula>NOT(ISERROR(SEARCH("A",AK45)))</formula>
    </cfRule>
  </conditionalFormatting>
  <conditionalFormatting sqref="AK49:AL49">
    <cfRule type="containsText" dxfId="1019" priority="3336" operator="containsText" text="A">
      <formula>NOT(ISERROR(SEARCH("A",AK49)))</formula>
    </cfRule>
    <cfRule type="containsText" dxfId="1018" priority="3337" operator="containsText" text="P">
      <formula>NOT(ISERROR(SEARCH("P",AK49)))</formula>
    </cfRule>
    <cfRule type="containsText" dxfId="1017" priority="3335" operator="containsText" text="P">
      <formula>NOT(ISERROR(SEARCH("P",AK49)))</formula>
    </cfRule>
    <cfRule type="containsText" dxfId="1016" priority="3334" operator="containsText" text="A">
      <formula>NOT(ISERROR(SEARCH("A",AK49)))</formula>
    </cfRule>
  </conditionalFormatting>
  <conditionalFormatting sqref="AK82:AL82 AR82:AS82">
    <cfRule type="containsText" dxfId="1015" priority="2253" operator="containsText" text="A">
      <formula>NOT(ISERROR(SEARCH("A",AK82)))</formula>
    </cfRule>
    <cfRule type="containsText" dxfId="1014" priority="2251" operator="containsText" text="A">
      <formula>NOT(ISERROR(SEARCH("A",AK82)))</formula>
    </cfRule>
  </conditionalFormatting>
  <conditionalFormatting sqref="AL38 AN38 AP38:AS38">
    <cfRule type="containsText" dxfId="1013" priority="3040" operator="containsText" text="P">
      <formula>NOT(ISERROR(SEARCH("P",AL38)))</formula>
    </cfRule>
    <cfRule type="containsText" dxfId="1012" priority="3042" operator="containsText" text="P">
      <formula>NOT(ISERROR(SEARCH("P",AL38)))</formula>
    </cfRule>
  </conditionalFormatting>
  <conditionalFormatting sqref="AL38 AN38 AP38:AS39">
    <cfRule type="containsText" dxfId="1011" priority="3039" operator="containsText" text="A">
      <formula>NOT(ISERROR(SEARCH("A",AL38)))</formula>
    </cfRule>
    <cfRule type="containsText" dxfId="1010" priority="3041" operator="containsText" text="A">
      <formula>NOT(ISERROR(SEARCH("A",AL38)))</formula>
    </cfRule>
  </conditionalFormatting>
  <conditionalFormatting sqref="AL31:AM31 AL34:AM34 AJ34:AJ35 AJ54 AL54:AM54 AJ77 AL77:AM77 AJ82:AJ83 AL83:AM83 AJ90 AL90:AM90">
    <cfRule type="containsText" dxfId="1009" priority="1252" operator="containsText" text="A">
      <formula>NOT(ISERROR(SEARCH("A",AJ31)))</formula>
    </cfRule>
    <cfRule type="containsText" dxfId="1008" priority="1254" operator="containsText" text="A">
      <formula>NOT(ISERROR(SEARCH("A",AJ31)))</formula>
    </cfRule>
  </conditionalFormatting>
  <conditionalFormatting sqref="AL35:AN35">
    <cfRule type="containsText" dxfId="1007" priority="3131" operator="containsText" text="A">
      <formula>NOT(ISERROR(SEARCH("A",AL35)))</formula>
    </cfRule>
    <cfRule type="containsText" dxfId="1006" priority="3129" operator="containsText" text="A">
      <formula>NOT(ISERROR(SEARCH("A",AL35)))</formula>
    </cfRule>
  </conditionalFormatting>
  <conditionalFormatting sqref="AM3:AM6 AM9 AM17 AM19:AM22 AM28:AM30 AM42 AM60 AM70 AM80 AM86 AM93">
    <cfRule type="containsText" dxfId="1005" priority="41" operator="containsText" text="A">
      <formula>NOT(ISERROR(SEARCH("A",AM3)))</formula>
    </cfRule>
    <cfRule type="containsText" dxfId="1004" priority="43" operator="containsText" text="A">
      <formula>NOT(ISERROR(SEARCH("A",AM3)))</formula>
    </cfRule>
  </conditionalFormatting>
  <conditionalFormatting sqref="AM11">
    <cfRule type="containsText" dxfId="1003" priority="3287" operator="containsText" text="P">
      <formula>NOT(ISERROR(SEARCH("P",AM11)))</formula>
    </cfRule>
    <cfRule type="containsText" dxfId="1002" priority="3289" operator="containsText" text="P">
      <formula>NOT(ISERROR(SEARCH("P",AM11)))</formula>
    </cfRule>
  </conditionalFormatting>
  <conditionalFormatting sqref="AM11:AM12">
    <cfRule type="containsText" dxfId="1001" priority="2991" operator="containsText" text="A">
      <formula>NOT(ISERROR(SEARCH("A",AM11)))</formula>
    </cfRule>
    <cfRule type="containsText" dxfId="1000" priority="2993" operator="containsText" text="A">
      <formula>NOT(ISERROR(SEARCH("A",AM11)))</formula>
    </cfRule>
  </conditionalFormatting>
  <conditionalFormatting sqref="AM12">
    <cfRule type="containsText" dxfId="999" priority="2992" operator="containsText" text="P">
      <formula>NOT(ISERROR(SEARCH("P",AM12)))</formula>
    </cfRule>
    <cfRule type="containsText" dxfId="998" priority="2994" operator="containsText" text="P">
      <formula>NOT(ISERROR(SEARCH("P",AM12)))</formula>
    </cfRule>
  </conditionalFormatting>
  <conditionalFormatting sqref="AM14:AM15">
    <cfRule type="containsText" dxfId="997" priority="2340" operator="containsText" text="P">
      <formula>NOT(ISERROR(SEARCH("P",AM14)))</formula>
    </cfRule>
    <cfRule type="containsText" dxfId="996" priority="2342" operator="containsText" text="P">
      <formula>NOT(ISERROR(SEARCH("P",AM14)))</formula>
    </cfRule>
    <cfRule type="containsText" dxfId="995" priority="2341" operator="containsText" text="A">
      <formula>NOT(ISERROR(SEARCH("A",AM14)))</formula>
    </cfRule>
    <cfRule type="containsText" dxfId="994" priority="2339" operator="containsText" text="A">
      <formula>NOT(ISERROR(SEARCH("A",AM14)))</formula>
    </cfRule>
  </conditionalFormatting>
  <conditionalFormatting sqref="AM19">
    <cfRule type="containsText" dxfId="993" priority="3172" operator="containsText" text="P">
      <formula>NOT(ISERROR(SEARCH("P",AM19)))</formula>
    </cfRule>
    <cfRule type="containsText" dxfId="992" priority="3174" operator="containsText" text="P">
      <formula>NOT(ISERROR(SEARCH("P",AM19)))</formula>
    </cfRule>
  </conditionalFormatting>
  <conditionalFormatting sqref="AM22">
    <cfRule type="containsText" dxfId="991" priority="2314" operator="containsText" text="P">
      <formula>NOT(ISERROR(SEARCH("P",AM22)))</formula>
    </cfRule>
    <cfRule type="containsText" dxfId="990" priority="2312" operator="containsText" text="P">
      <formula>NOT(ISERROR(SEARCH("P",AM22)))</formula>
    </cfRule>
  </conditionalFormatting>
  <conditionalFormatting sqref="AM25 AM32 AM51:AM52">
    <cfRule type="containsText" dxfId="989" priority="67" operator="containsText" text="A">
      <formula>NOT(ISERROR(SEARCH("A",AM25)))</formula>
    </cfRule>
    <cfRule type="containsText" dxfId="988" priority="69" operator="containsText" text="A">
      <formula>NOT(ISERROR(SEARCH("A",AM25)))</formula>
    </cfRule>
  </conditionalFormatting>
  <conditionalFormatting sqref="AM30">
    <cfRule type="containsText" dxfId="987" priority="3153" operator="containsText" text="P">
      <formula>NOT(ISERROR(SEARCH("P",AM30)))</formula>
    </cfRule>
    <cfRule type="containsText" dxfId="986" priority="3151" operator="containsText" text="P">
      <formula>NOT(ISERROR(SEARCH("P",AM30)))</formula>
    </cfRule>
  </conditionalFormatting>
  <conditionalFormatting sqref="AM36">
    <cfRule type="containsText" dxfId="985" priority="3136" operator="containsText" text="P">
      <formula>NOT(ISERROR(SEARCH("P",AM36)))</formula>
    </cfRule>
    <cfRule type="containsText" dxfId="984" priority="3135" operator="containsText" text="A">
      <formula>NOT(ISERROR(SEARCH("A",AM36)))</formula>
    </cfRule>
    <cfRule type="containsText" dxfId="983" priority="3134" operator="containsText" text="P">
      <formula>NOT(ISERROR(SEARCH("P",AM36)))</formula>
    </cfRule>
    <cfRule type="containsText" dxfId="982" priority="3133" operator="containsText" text="A">
      <formula>NOT(ISERROR(SEARCH("A",AM36)))</formula>
    </cfRule>
  </conditionalFormatting>
  <conditionalFormatting sqref="AM38">
    <cfRule type="containsText" dxfId="981" priority="3027" operator="containsText" text="A">
      <formula>NOT(ISERROR(SEARCH("A",AM38)))</formula>
    </cfRule>
    <cfRule type="containsText" dxfId="980" priority="3030" operator="containsText" text="P">
      <formula>NOT(ISERROR(SEARCH("P",AM38)))</formula>
    </cfRule>
    <cfRule type="containsText" dxfId="979" priority="3029" operator="containsText" text="A">
      <formula>NOT(ISERROR(SEARCH("A",AM38)))</formula>
    </cfRule>
    <cfRule type="containsText" dxfId="978" priority="3028" operator="containsText" text="P">
      <formula>NOT(ISERROR(SEARCH("P",AM38)))</formula>
    </cfRule>
  </conditionalFormatting>
  <conditionalFormatting sqref="AM40">
    <cfRule type="containsText" dxfId="977" priority="3062" operator="containsText" text="P">
      <formula>NOT(ISERROR(SEARCH("P",AM40)))</formula>
    </cfRule>
    <cfRule type="containsText" dxfId="976" priority="3061" operator="containsText" text="A">
      <formula>NOT(ISERROR(SEARCH("A",AM40)))</formula>
    </cfRule>
    <cfRule type="containsText" dxfId="975" priority="3059" operator="containsText" text="A">
      <formula>NOT(ISERROR(SEARCH("A",AM40)))</formula>
    </cfRule>
    <cfRule type="containsText" dxfId="974" priority="3060" operator="containsText" text="P">
      <formula>NOT(ISERROR(SEARCH("P",AM40)))</formula>
    </cfRule>
  </conditionalFormatting>
  <conditionalFormatting sqref="AM44">
    <cfRule type="containsText" dxfId="973" priority="3456" operator="containsText" text="P">
      <formula>NOT(ISERROR(SEARCH("P",AM44)))</formula>
    </cfRule>
    <cfRule type="containsText" dxfId="972" priority="3458" operator="containsText" text="P">
      <formula>NOT(ISERROR(SEARCH("P",AM44)))</formula>
    </cfRule>
  </conditionalFormatting>
  <conditionalFormatting sqref="AM44:AM46">
    <cfRule type="containsText" dxfId="971" priority="2269" operator="containsText" text="A">
      <formula>NOT(ISERROR(SEARCH("A",AM44)))</formula>
    </cfRule>
    <cfRule type="containsText" dxfId="970" priority="2267" operator="containsText" text="A">
      <formula>NOT(ISERROR(SEARCH("A",AM44)))</formula>
    </cfRule>
  </conditionalFormatting>
  <conditionalFormatting sqref="AM45">
    <cfRule type="containsText" dxfId="969" priority="2270" operator="containsText" text="P">
      <formula>NOT(ISERROR(SEARCH("P",AM45)))</formula>
    </cfRule>
    <cfRule type="containsText" dxfId="968" priority="2268" operator="containsText" text="P">
      <formula>NOT(ISERROR(SEARCH("P",AM45)))</formula>
    </cfRule>
  </conditionalFormatting>
  <conditionalFormatting sqref="AM47">
    <cfRule type="containsText" dxfId="967" priority="3116" operator="containsText" text="P">
      <formula>NOT(ISERROR(SEARCH("P",AM47)))</formula>
    </cfRule>
    <cfRule type="containsText" dxfId="966" priority="3114" operator="containsText" text="P">
      <formula>NOT(ISERROR(SEARCH("P",AM47)))</formula>
    </cfRule>
  </conditionalFormatting>
  <conditionalFormatting sqref="AM47:AM49">
    <cfRule type="containsText" dxfId="965" priority="3113" operator="containsText" text="A">
      <formula>NOT(ISERROR(SEARCH("A",AM47)))</formula>
    </cfRule>
    <cfRule type="containsText" dxfId="964" priority="3115" operator="containsText" text="A">
      <formula>NOT(ISERROR(SEARCH("A",AM47)))</formula>
    </cfRule>
  </conditionalFormatting>
  <conditionalFormatting sqref="AM48 AM46">
    <cfRule type="containsText" dxfId="963" priority="3099" operator="containsText" text="P">
      <formula>NOT(ISERROR(SEARCH("P",AM46)))</formula>
    </cfRule>
    <cfRule type="containsText" dxfId="962" priority="3097" operator="containsText" text="P">
      <formula>NOT(ISERROR(SEARCH("P",AM46)))</formula>
    </cfRule>
  </conditionalFormatting>
  <conditionalFormatting sqref="AM48 AO48 AO46 AO30">
    <cfRule type="containsText" dxfId="961" priority="3446" operator="containsText" text="P">
      <formula>NOT(ISERROR(SEARCH("P",AM30)))</formula>
    </cfRule>
    <cfRule type="containsText" dxfId="960" priority="3444" operator="containsText" text="P">
      <formula>NOT(ISERROR(SEARCH("P",AM30)))</formula>
    </cfRule>
  </conditionalFormatting>
  <conditionalFormatting sqref="AM48">
    <cfRule type="containsText" dxfId="959" priority="3096" operator="containsText" text="A">
      <formula>NOT(ISERROR(SEARCH("A",AM48)))</formula>
    </cfRule>
    <cfRule type="containsText" dxfId="958" priority="3098" operator="containsText" text="A">
      <formula>NOT(ISERROR(SEARCH("A",AM48)))</formula>
    </cfRule>
  </conditionalFormatting>
  <conditionalFormatting sqref="AM49">
    <cfRule type="containsText" dxfId="957" priority="3321" operator="containsText" text="P">
      <formula>NOT(ISERROR(SEARCH("P",AM49)))</formula>
    </cfRule>
    <cfRule type="containsText" dxfId="956" priority="3319" operator="containsText" text="P">
      <formula>NOT(ISERROR(SEARCH("P",AM49)))</formula>
    </cfRule>
  </conditionalFormatting>
  <conditionalFormatting sqref="AM51 AM32 AM25">
    <cfRule type="containsText" dxfId="955" priority="68" operator="containsText" text="P">
      <formula>NOT(ISERROR(SEARCH("P",AM25)))</formula>
    </cfRule>
    <cfRule type="containsText" dxfId="954" priority="70" operator="containsText" text="P">
      <formula>NOT(ISERROR(SEARCH("P",AM25)))</formula>
    </cfRule>
  </conditionalFormatting>
  <conditionalFormatting sqref="AM52">
    <cfRule type="containsText" dxfId="953" priority="3472" operator="containsText" text="P">
      <formula>NOT(ISERROR(SEARCH("P",AM52)))</formula>
    </cfRule>
    <cfRule type="containsText" dxfId="952" priority="3474" operator="containsText" text="P">
      <formula>NOT(ISERROR(SEARCH("P",AM52)))</formula>
    </cfRule>
  </conditionalFormatting>
  <conditionalFormatting sqref="AM82">
    <cfRule type="containsText" dxfId="951" priority="2236" operator="containsText" text="P">
      <formula>NOT(ISERROR(SEARCH("P",AM82)))</formula>
    </cfRule>
    <cfRule type="containsText" dxfId="950" priority="2238" operator="containsText" text="P">
      <formula>NOT(ISERROR(SEARCH("P",AM82)))</formula>
    </cfRule>
    <cfRule type="containsText" dxfId="949" priority="2235" operator="containsText" text="A">
      <formula>NOT(ISERROR(SEARCH("A",AM82)))</formula>
    </cfRule>
    <cfRule type="containsText" dxfId="948" priority="2237" operator="containsText" text="A">
      <formula>NOT(ISERROR(SEARCH("A",AM82)))</formula>
    </cfRule>
  </conditionalFormatting>
  <conditionalFormatting sqref="AM91">
    <cfRule type="containsText" dxfId="947" priority="1180" operator="containsText" text="P">
      <formula>NOT(ISERROR(SEARCH("P",AM91)))</formula>
    </cfRule>
    <cfRule type="containsText" dxfId="946" priority="1177" operator="containsText" text="A">
      <formula>NOT(ISERROR(SEARCH("A",AM91)))</formula>
    </cfRule>
    <cfRule type="containsText" dxfId="945" priority="1178" operator="containsText" text="P">
      <formula>NOT(ISERROR(SEARCH("P",AM91)))</formula>
    </cfRule>
    <cfRule type="containsText" dxfId="944" priority="1179" operator="containsText" text="A">
      <formula>NOT(ISERROR(SEARCH("A",AM91)))</formula>
    </cfRule>
  </conditionalFormatting>
  <conditionalFormatting sqref="AM93 AM86 AM80 AM70 AM60 AM42 AM28:AM29 AM20:AM21 AM17 AM9 AM3:AM6">
    <cfRule type="containsText" dxfId="943" priority="42" operator="containsText" text="P">
      <formula>NOT(ISERROR(SEARCH("P",AM3)))</formula>
    </cfRule>
    <cfRule type="containsText" dxfId="942" priority="44" operator="containsText" text="P">
      <formula>NOT(ISERROR(SEARCH("P",AM3)))</formula>
    </cfRule>
  </conditionalFormatting>
  <conditionalFormatting sqref="AM18:AN18">
    <cfRule type="containsText" dxfId="941" priority="3185" operator="containsText" text="A">
      <formula>NOT(ISERROR(SEARCH("A",AM18)))</formula>
    </cfRule>
    <cfRule type="containsText" dxfId="940" priority="3183" operator="containsText" text="A">
      <formula>NOT(ISERROR(SEARCH("A",AM18)))</formula>
    </cfRule>
    <cfRule type="containsText" dxfId="939" priority="3184" operator="containsText" text="P">
      <formula>NOT(ISERROR(SEARCH("P",AM18)))</formula>
    </cfRule>
    <cfRule type="containsText" dxfId="938" priority="3186" operator="containsText" text="P">
      <formula>NOT(ISERROR(SEARCH("P",AM18)))</formula>
    </cfRule>
  </conditionalFormatting>
  <conditionalFormatting sqref="AN3:AN6 AP3:AP6 AN8:AN9 AP8:AP9 AN19:AN22 AP20:AP22 AP28:AP29 AN28:AN32 AP42 AN42:AN46 AN60 AP60 AN70 AP70 AN80 AP80 AN86 AP86 AN93 AP93">
    <cfRule type="containsText" dxfId="937" priority="55" operator="containsText" text="A">
      <formula>NOT(ISERROR(SEARCH("A",AN3)))</formula>
    </cfRule>
    <cfRule type="containsText" dxfId="936" priority="53" operator="containsText" text="A">
      <formula>NOT(ISERROR(SEARCH("A",AN3)))</formula>
    </cfRule>
  </conditionalFormatting>
  <conditionalFormatting sqref="AN8 AP8 AS8">
    <cfRule type="containsText" dxfId="935" priority="3417" operator="containsText" text="P">
      <formula>NOT(ISERROR(SEARCH("P",AN8)))</formula>
    </cfRule>
    <cfRule type="containsText" dxfId="934" priority="3415" operator="containsText" text="P">
      <formula>NOT(ISERROR(SEARCH("P",AN8)))</formula>
    </cfRule>
  </conditionalFormatting>
  <conditionalFormatting sqref="AN12 AP12">
    <cfRule type="containsText" dxfId="933" priority="3005" operator="containsText" text="A">
      <formula>NOT(ISERROR(SEARCH("A",AN12)))</formula>
    </cfRule>
    <cfRule type="containsText" dxfId="932" priority="3003" operator="containsText" text="A">
      <formula>NOT(ISERROR(SEARCH("A",AN12)))</formula>
    </cfRule>
  </conditionalFormatting>
  <conditionalFormatting sqref="AN14:AN17 AP17 AP14:AP15">
    <cfRule type="containsText" dxfId="931" priority="2351" operator="containsText" text="A">
      <formula>NOT(ISERROR(SEARCH("A",AN14)))</formula>
    </cfRule>
    <cfRule type="containsText" dxfId="930" priority="2353" operator="containsText" text="A">
      <formula>NOT(ISERROR(SEARCH("A",AN14)))</formula>
    </cfRule>
  </conditionalFormatting>
  <conditionalFormatting sqref="AN16">
    <cfRule type="containsText" dxfId="929" priority="3190" operator="containsText" text="P">
      <formula>NOT(ISERROR(SEARCH("P",AN16)))</formula>
    </cfRule>
    <cfRule type="containsText" dxfId="928" priority="3188" operator="containsText" text="P">
      <formula>NOT(ISERROR(SEARCH("P",AN16)))</formula>
    </cfRule>
  </conditionalFormatting>
  <conditionalFormatting sqref="AN24">
    <cfRule type="containsText" dxfId="927" priority="3538" operator="containsText" text="P">
      <formula>NOT(ISERROR(SEARCH("P",AN24)))</formula>
    </cfRule>
    <cfRule type="containsText" dxfId="926" priority="3536" operator="containsText" text="P">
      <formula>NOT(ISERROR(SEARCH("P",AN24)))</formula>
    </cfRule>
  </conditionalFormatting>
  <conditionalFormatting sqref="AN24:AN25 AP25:AP26 AP32 AP49:AP51 AN51">
    <cfRule type="containsText" dxfId="925" priority="81" operator="containsText" text="A">
      <formula>NOT(ISERROR(SEARCH("A",AN24)))</formula>
    </cfRule>
    <cfRule type="containsText" dxfId="924" priority="79" operator="containsText" text="A">
      <formula>NOT(ISERROR(SEARCH("A",AN24)))</formula>
    </cfRule>
  </conditionalFormatting>
  <conditionalFormatting sqref="AN30">
    <cfRule type="containsText" dxfId="923" priority="3142" operator="containsText" text="P">
      <formula>NOT(ISERROR(SEARCH("P",AN30)))</formula>
    </cfRule>
    <cfRule type="cellIs" dxfId="922" priority="3145" operator="greaterThan">
      <formula>0</formula>
    </cfRule>
    <cfRule type="containsText" dxfId="921" priority="3144" operator="containsText" text="P">
      <formula>NOT(ISERROR(SEARCH("P",AN30)))</formula>
    </cfRule>
  </conditionalFormatting>
  <conditionalFormatting sqref="AN34 AN54 AN77 AN82:AN83 AN90">
    <cfRule type="containsText" dxfId="920" priority="1232" operator="containsText" text="A">
      <formula>NOT(ISERROR(SEARCH("A",AN34)))</formula>
    </cfRule>
    <cfRule type="containsText" dxfId="919" priority="1233" operator="containsText" text="A">
      <formula>NOT(ISERROR(SEARCH("A",AN34)))</formula>
    </cfRule>
  </conditionalFormatting>
  <conditionalFormatting sqref="AN40 AP40">
    <cfRule type="containsText" dxfId="918" priority="3073" operator="containsText" text="A">
      <formula>NOT(ISERROR(SEARCH("A",AN40)))</formula>
    </cfRule>
    <cfRule type="containsText" dxfId="917" priority="3071" operator="containsText" text="A">
      <formula>NOT(ISERROR(SEARCH("A",AN40)))</formula>
    </cfRule>
  </conditionalFormatting>
  <conditionalFormatting sqref="AN43">
    <cfRule type="containsText" dxfId="916" priority="3387" operator="containsText" text="P">
      <formula>NOT(ISERROR(SEARCH("P",AN43)))</formula>
    </cfRule>
    <cfRule type="containsText" dxfId="915" priority="3389" operator="containsText" text="P">
      <formula>NOT(ISERROR(SEARCH("P",AN43)))</formula>
    </cfRule>
  </conditionalFormatting>
  <conditionalFormatting sqref="AN46 AN48">
    <cfRule type="cellIs" dxfId="914" priority="3091" operator="greaterThan">
      <formula>0</formula>
    </cfRule>
  </conditionalFormatting>
  <conditionalFormatting sqref="AN47">
    <cfRule type="containsText" dxfId="913" priority="3107" operator="containsText" text="P">
      <formula>NOT(ISERROR(SEARCH("P",AN47)))</formula>
    </cfRule>
    <cfRule type="cellIs" dxfId="912" priority="3108" operator="greaterThan">
      <formula>0</formula>
    </cfRule>
    <cfRule type="containsText" dxfId="911" priority="3105" operator="containsText" text="P">
      <formula>NOT(ISERROR(SEARCH("P",AN47)))</formula>
    </cfRule>
  </conditionalFormatting>
  <conditionalFormatting sqref="AN47:AN50">
    <cfRule type="containsText" dxfId="910" priority="3104" operator="containsText" text="A">
      <formula>NOT(ISERROR(SEARCH("A",AN47)))</formula>
    </cfRule>
    <cfRule type="containsText" dxfId="909" priority="3106" operator="containsText" text="A">
      <formula>NOT(ISERROR(SEARCH("A",AN47)))</formula>
    </cfRule>
  </conditionalFormatting>
  <conditionalFormatting sqref="AN48 AN46">
    <cfRule type="containsText" dxfId="908" priority="3090" operator="containsText" text="P">
      <formula>NOT(ISERROR(SEARCH("P",AN46)))</formula>
    </cfRule>
    <cfRule type="containsText" dxfId="907" priority="3088" operator="containsText" text="P">
      <formula>NOT(ISERROR(SEARCH("P",AN46)))</formula>
    </cfRule>
  </conditionalFormatting>
  <conditionalFormatting sqref="AN48">
    <cfRule type="containsText" dxfId="906" priority="3435" operator="containsText" text="P">
      <formula>NOT(ISERROR(SEARCH("P",AN48)))</formula>
    </cfRule>
    <cfRule type="cellIs" dxfId="905" priority="3438" operator="greaterThan">
      <formula>0</formula>
    </cfRule>
    <cfRule type="containsText" dxfId="904" priority="3437" operator="containsText" text="P">
      <formula>NOT(ISERROR(SEARCH("P",AN48)))</formula>
    </cfRule>
    <cfRule type="containsText" dxfId="903" priority="3089" operator="containsText" text="A">
      <formula>NOT(ISERROR(SEARCH("A",AN48)))</formula>
    </cfRule>
    <cfRule type="containsText" dxfId="902" priority="3087" operator="containsText" text="A">
      <formula>NOT(ISERROR(SEARCH("A",AN48)))</formula>
    </cfRule>
  </conditionalFormatting>
  <conditionalFormatting sqref="AN50 AP50">
    <cfRule type="containsText" dxfId="901" priority="3279" operator="containsText" text="P">
      <formula>NOT(ISERROR(SEARCH("P",AN50)))</formula>
    </cfRule>
    <cfRule type="containsText" dxfId="900" priority="3281" operator="containsText" text="P">
      <formula>NOT(ISERROR(SEARCH("P",AN50)))</formula>
    </cfRule>
  </conditionalFormatting>
  <conditionalFormatting sqref="AN62">
    <cfRule type="containsText" dxfId="899" priority="3256" operator="containsText" text="A">
      <formula>NOT(ISERROR(SEARCH("A",AN62)))</formula>
    </cfRule>
    <cfRule type="containsText" dxfId="898" priority="3255" operator="containsText" text="P">
      <formula>NOT(ISERROR(SEARCH("P",AN62)))</formula>
    </cfRule>
    <cfRule type="containsText" dxfId="897" priority="3254" operator="containsText" text="A">
      <formula>NOT(ISERROR(SEARCH("A",AN62)))</formula>
    </cfRule>
    <cfRule type="containsText" dxfId="896" priority="3257" operator="containsText" text="P">
      <formula>NOT(ISERROR(SEARCH("P",AN62)))</formula>
    </cfRule>
  </conditionalFormatting>
  <conditionalFormatting sqref="AN90 AN83 AN77 AN54 AN34 AN31">
    <cfRule type="containsText" dxfId="895" priority="1250" operator="containsText" text="P">
      <formula>NOT(ISERROR(SEARCH("P",AN31)))</formula>
    </cfRule>
    <cfRule type="containsText" dxfId="894" priority="1251" operator="containsText" text="P">
      <formula>NOT(ISERROR(SEARCH("P",AN31)))</formula>
    </cfRule>
  </conditionalFormatting>
  <conditionalFormatting sqref="AO3:AO6 AO8:AO9 AO20:AO22 AO28:AO32 AO42 AO60 AO70 AO80 AO86 AO93">
    <cfRule type="containsText" dxfId="893" priority="45" operator="containsText" text="A">
      <formula>NOT(ISERROR(SEARCH("A",AO3)))</formula>
    </cfRule>
    <cfRule type="containsText" dxfId="892" priority="47" operator="containsText" text="A">
      <formula>NOT(ISERROR(SEARCH("A",AO3)))</formula>
    </cfRule>
  </conditionalFormatting>
  <conditionalFormatting sqref="AO8">
    <cfRule type="containsText" dxfId="891" priority="3411" operator="containsText" text="P">
      <formula>NOT(ISERROR(SEARCH("P",AO8)))</formula>
    </cfRule>
    <cfRule type="containsText" dxfId="890" priority="3413" operator="containsText" text="P">
      <formula>NOT(ISERROR(SEARCH("P",AO8)))</formula>
    </cfRule>
  </conditionalFormatting>
  <conditionalFormatting sqref="AO12">
    <cfRule type="containsText" dxfId="889" priority="2997" operator="containsText" text="A">
      <formula>NOT(ISERROR(SEARCH("A",AO12)))</formula>
    </cfRule>
    <cfRule type="containsText" dxfId="888" priority="2996" operator="containsText" text="P">
      <formula>NOT(ISERROR(SEARCH("P",AO12)))</formula>
    </cfRule>
    <cfRule type="containsText" dxfId="887" priority="2995" operator="containsText" text="A">
      <formula>NOT(ISERROR(SEARCH("A",AO12)))</formula>
    </cfRule>
    <cfRule type="containsText" dxfId="886" priority="2998" operator="containsText" text="P">
      <formula>NOT(ISERROR(SEARCH("P",AO12)))</formula>
    </cfRule>
  </conditionalFormatting>
  <conditionalFormatting sqref="AO14:AO15">
    <cfRule type="containsText" dxfId="885" priority="2344" operator="containsText" text="P">
      <formula>NOT(ISERROR(SEARCH("P",AO14)))</formula>
    </cfRule>
    <cfRule type="containsText" dxfId="884" priority="2346" operator="containsText" text="P">
      <formula>NOT(ISERROR(SEARCH("P",AO14)))</formula>
    </cfRule>
  </conditionalFormatting>
  <conditionalFormatting sqref="AO14:AO17">
    <cfRule type="containsText" dxfId="883" priority="2345" operator="containsText" text="A">
      <formula>NOT(ISERROR(SEARCH("A",AO14)))</formula>
    </cfRule>
    <cfRule type="containsText" dxfId="882" priority="2343" operator="containsText" text="A">
      <formula>NOT(ISERROR(SEARCH("A",AO14)))</formula>
    </cfRule>
  </conditionalFormatting>
  <conditionalFormatting sqref="AO16">
    <cfRule type="containsText" dxfId="881" priority="3628" operator="containsText" text="P">
      <formula>NOT(ISERROR(SEARCH("P",AO16)))</formula>
    </cfRule>
    <cfRule type="containsText" dxfId="880" priority="3630" operator="containsText" text="P">
      <formula>NOT(ISERROR(SEARCH("P",AO16)))</formula>
    </cfRule>
  </conditionalFormatting>
  <conditionalFormatting sqref="AO22">
    <cfRule type="containsText" dxfId="879" priority="2318" operator="containsText" text="P">
      <formula>NOT(ISERROR(SEARCH("P",AO22)))</formula>
    </cfRule>
    <cfRule type="containsText" dxfId="878" priority="2316" operator="containsText" text="P">
      <formula>NOT(ISERROR(SEARCH("P",AO22)))</formula>
    </cfRule>
  </conditionalFormatting>
  <conditionalFormatting sqref="AO25:AO26 AO44:AO51">
    <cfRule type="containsText" dxfId="877" priority="73" operator="containsText" text="A">
      <formula>NOT(ISERROR(SEARCH("A",AO25)))</formula>
    </cfRule>
    <cfRule type="containsText" dxfId="876" priority="71" operator="containsText" text="A">
      <formula>NOT(ISERROR(SEARCH("A",AO25)))</formula>
    </cfRule>
  </conditionalFormatting>
  <conditionalFormatting sqref="AO34:AO40 AO54 AO77 AO82:AO83 AO90">
    <cfRule type="containsText" dxfId="875" priority="1231" operator="containsText" text="A">
      <formula>NOT(ISERROR(SEARCH("A",AO34)))</formula>
    </cfRule>
    <cfRule type="containsText" dxfId="874" priority="1230" operator="containsText" text="A">
      <formula>NOT(ISERROR(SEARCH("A",AO34)))</formula>
    </cfRule>
  </conditionalFormatting>
  <conditionalFormatting sqref="AO35">
    <cfRule type="containsText" dxfId="873" priority="3492" operator="containsText" text="P">
      <formula>NOT(ISERROR(SEARCH("P",AO35)))</formula>
    </cfRule>
    <cfRule type="containsText" dxfId="872" priority="3494" operator="containsText" text="P">
      <formula>NOT(ISERROR(SEARCH("P",AO35)))</formula>
    </cfRule>
  </conditionalFormatting>
  <conditionalFormatting sqref="AO36">
    <cfRule type="containsText" dxfId="871" priority="3506" operator="containsText" text="P">
      <formula>NOT(ISERROR(SEARCH("P",AO36)))</formula>
    </cfRule>
    <cfRule type="containsText" dxfId="870" priority="3504" operator="containsText" text="P">
      <formula>NOT(ISERROR(SEARCH("P",AO36)))</formula>
    </cfRule>
  </conditionalFormatting>
  <conditionalFormatting sqref="AO37 AQ37 AO26 AQ26">
    <cfRule type="containsText" dxfId="869" priority="3429" operator="containsText" text="P">
      <formula>NOT(ISERROR(SEARCH("P",AO26)))</formula>
    </cfRule>
    <cfRule type="containsText" dxfId="868" priority="3427" operator="containsText" text="P">
      <formula>NOT(ISERROR(SEARCH("P",AO26)))</formula>
    </cfRule>
  </conditionalFormatting>
  <conditionalFormatting sqref="AO38">
    <cfRule type="containsText" dxfId="867" priority="3034" operator="containsText" text="P">
      <formula>NOT(ISERROR(SEARCH("P",AO38)))</formula>
    </cfRule>
    <cfRule type="containsText" dxfId="866" priority="3032" operator="containsText" text="P">
      <formula>NOT(ISERROR(SEARCH("P",AO38)))</formula>
    </cfRule>
  </conditionalFormatting>
  <conditionalFormatting sqref="AO39">
    <cfRule type="containsText" dxfId="865" priority="3048" operator="containsText" text="P">
      <formula>NOT(ISERROR(SEARCH("P",AO39)))</formula>
    </cfRule>
    <cfRule type="containsText" dxfId="864" priority="3050" operator="containsText" text="P">
      <formula>NOT(ISERROR(SEARCH("P",AO39)))</formula>
    </cfRule>
  </conditionalFormatting>
  <conditionalFormatting sqref="AO40">
    <cfRule type="containsText" dxfId="863" priority="3064" operator="containsText" text="P">
      <formula>NOT(ISERROR(SEARCH("P",AO40)))</formula>
    </cfRule>
    <cfRule type="containsText" dxfId="862" priority="3066" operator="containsText" text="P">
      <formula>NOT(ISERROR(SEARCH("P",AO40)))</formula>
    </cfRule>
  </conditionalFormatting>
  <conditionalFormatting sqref="AO44">
    <cfRule type="containsText" dxfId="861" priority="3466" operator="containsText" text="P">
      <formula>NOT(ISERROR(SEARCH("P",AO44)))</formula>
    </cfRule>
    <cfRule type="containsText" dxfId="860" priority="3464" operator="containsText" text="P">
      <formula>NOT(ISERROR(SEARCH("P",AO44)))</formula>
    </cfRule>
  </conditionalFormatting>
  <conditionalFormatting sqref="AO45">
    <cfRule type="containsText" dxfId="859" priority="2272" operator="containsText" text="P">
      <formula>NOT(ISERROR(SEARCH("P",AO45)))</formula>
    </cfRule>
    <cfRule type="containsText" dxfId="858" priority="2274" operator="containsText" text="P">
      <formula>NOT(ISERROR(SEARCH("P",AO45)))</formula>
    </cfRule>
  </conditionalFormatting>
  <conditionalFormatting sqref="AO47">
    <cfRule type="containsText" dxfId="857" priority="3542" operator="containsText" text="P">
      <formula>NOT(ISERROR(SEARCH("P",AO47)))</formula>
    </cfRule>
    <cfRule type="containsText" dxfId="856" priority="3540" operator="containsText" text="P">
      <formula>NOT(ISERROR(SEARCH("P",AO47)))</formula>
    </cfRule>
  </conditionalFormatting>
  <conditionalFormatting sqref="AO49">
    <cfRule type="containsText" dxfId="855" priority="3325" operator="containsText" text="P">
      <formula>NOT(ISERROR(SEARCH("P",AO49)))</formula>
    </cfRule>
    <cfRule type="containsText" dxfId="854" priority="3323" operator="containsText" text="P">
      <formula>NOT(ISERROR(SEARCH("P",AO49)))</formula>
    </cfRule>
  </conditionalFormatting>
  <conditionalFormatting sqref="AO50">
    <cfRule type="containsText" dxfId="853" priority="3275" operator="containsText" text="P">
      <formula>NOT(ISERROR(SEARCH("P",AO50)))</formula>
    </cfRule>
    <cfRule type="containsText" dxfId="852" priority="3277" operator="containsText" text="P">
      <formula>NOT(ISERROR(SEARCH("P",AO50)))</formula>
    </cfRule>
  </conditionalFormatting>
  <conditionalFormatting sqref="AO51 AO32 AO25">
    <cfRule type="containsText" dxfId="851" priority="72" operator="containsText" text="P">
      <formula>NOT(ISERROR(SEARCH("P",AO25)))</formula>
    </cfRule>
    <cfRule type="containsText" dxfId="850" priority="74" operator="containsText" text="P">
      <formula>NOT(ISERROR(SEARCH("P",AO25)))</formula>
    </cfRule>
  </conditionalFormatting>
  <conditionalFormatting sqref="AO82">
    <cfRule type="containsText" dxfId="849" priority="2242" operator="containsText" text="P">
      <formula>NOT(ISERROR(SEARCH("P",AO82)))</formula>
    </cfRule>
    <cfRule type="containsText" dxfId="848" priority="2240" operator="containsText" text="P">
      <formula>NOT(ISERROR(SEARCH("P",AO82)))</formula>
    </cfRule>
  </conditionalFormatting>
  <conditionalFormatting sqref="AO90 AO83 AO77 AO54 AO34 AO31">
    <cfRule type="containsText" dxfId="847" priority="1263" operator="containsText" text="P">
      <formula>NOT(ISERROR(SEARCH("P",AO31)))</formula>
    </cfRule>
    <cfRule type="containsText" dxfId="846" priority="1262" operator="containsText" text="P">
      <formula>NOT(ISERROR(SEARCH("P",AO31)))</formula>
    </cfRule>
  </conditionalFormatting>
  <conditionalFormatting sqref="AO93 AO86 AO80 AO70 AO60 AO42 AO28:AO29 AO20:AO21 AO17 AO9 AO3:AO6">
    <cfRule type="containsText" dxfId="845" priority="48" operator="containsText" text="P">
      <formula>NOT(ISERROR(SEARCH("P",AO3)))</formula>
    </cfRule>
    <cfRule type="containsText" dxfId="844" priority="46" operator="containsText" text="P">
      <formula>NOT(ISERROR(SEARCH("P",AO3)))</formula>
    </cfRule>
  </conditionalFormatting>
  <conditionalFormatting sqref="AO18:AP18">
    <cfRule type="containsText" dxfId="843" priority="3502" operator="containsText" text="P">
      <formula>NOT(ISERROR(SEARCH("P",AO18)))</formula>
    </cfRule>
    <cfRule type="containsText" dxfId="842" priority="3500" operator="containsText" text="P">
      <formula>NOT(ISERROR(SEARCH("P",AO18)))</formula>
    </cfRule>
  </conditionalFormatting>
  <conditionalFormatting sqref="AO18:AP19">
    <cfRule type="containsText" dxfId="841" priority="3487" operator="containsText" text="A">
      <formula>NOT(ISERROR(SEARCH("A",AO18)))</formula>
    </cfRule>
    <cfRule type="containsText" dxfId="840" priority="3489" operator="containsText" text="A">
      <formula>NOT(ISERROR(SEARCH("A",AO18)))</formula>
    </cfRule>
  </conditionalFormatting>
  <conditionalFormatting sqref="AO19:AP19">
    <cfRule type="containsText" dxfId="839" priority="3490" operator="containsText" text="P">
      <formula>NOT(ISERROR(SEARCH("P",AO19)))</formula>
    </cfRule>
    <cfRule type="containsText" dxfId="838" priority="3488" operator="containsText" text="P">
      <formula>NOT(ISERROR(SEARCH("P",AO19)))</formula>
    </cfRule>
  </conditionalFormatting>
  <conditionalFormatting sqref="AO57:AQ57 AS57 AJ61:AS61 AR36:AS36 AJ56:AS56 AJ64:AS65 AJ71:AS71 AP66:AS66">
    <cfRule type="containsText" dxfId="837" priority="3644" operator="containsText" text="P">
      <formula>NOT(ISERROR(SEARCH("P",AJ36)))</formula>
    </cfRule>
    <cfRule type="containsText" dxfId="836" priority="3646" operator="containsText" text="P">
      <formula>NOT(ISERROR(SEARCH("P",AJ36)))</formula>
    </cfRule>
  </conditionalFormatting>
  <conditionalFormatting sqref="AP12 AN12">
    <cfRule type="containsText" dxfId="835" priority="3004" operator="containsText" text="P">
      <formula>NOT(ISERROR(SEARCH("P",AN12)))</formula>
    </cfRule>
    <cfRule type="containsText" dxfId="834" priority="3006" operator="containsText" text="P">
      <formula>NOT(ISERROR(SEARCH("P",AN12)))</formula>
    </cfRule>
  </conditionalFormatting>
  <conditionalFormatting sqref="AP14:AP15 AN14:AN15">
    <cfRule type="containsText" dxfId="833" priority="2354" operator="containsText" text="P">
      <formula>NOT(ISERROR(SEARCH("P",AN14)))</formula>
    </cfRule>
    <cfRule type="containsText" dxfId="832" priority="2352" operator="containsText" text="P">
      <formula>NOT(ISERROR(SEARCH("P",AN14)))</formula>
    </cfRule>
  </conditionalFormatting>
  <conditionalFormatting sqref="AP22 AN22">
    <cfRule type="containsText" dxfId="831" priority="2324" operator="containsText" text="P">
      <formula>NOT(ISERROR(SEARCH("P",AN22)))</formula>
    </cfRule>
    <cfRule type="containsText" dxfId="830" priority="2326" operator="containsText" text="P">
      <formula>NOT(ISERROR(SEARCH("P",AN22)))</formula>
    </cfRule>
  </conditionalFormatting>
  <conditionalFormatting sqref="AP35">
    <cfRule type="containsText" dxfId="829" priority="3496" operator="containsText" text="P">
      <formula>NOT(ISERROR(SEARCH("P",AP35)))</formula>
    </cfRule>
    <cfRule type="containsText" dxfId="828" priority="3498" operator="containsText" text="P">
      <formula>NOT(ISERROR(SEARCH("P",AP35)))</formula>
    </cfRule>
  </conditionalFormatting>
  <conditionalFormatting sqref="AP35:AP37">
    <cfRule type="containsText" dxfId="827" priority="3424" operator="containsText" text="A">
      <formula>NOT(ISERROR(SEARCH("A",AP35)))</formula>
    </cfRule>
    <cfRule type="containsText" dxfId="826" priority="3422" operator="containsText" text="A">
      <formula>NOT(ISERROR(SEARCH("A",AP35)))</formula>
    </cfRule>
  </conditionalFormatting>
  <conditionalFormatting sqref="AP36">
    <cfRule type="containsText" dxfId="825" priority="3508" operator="containsText" text="P">
      <formula>NOT(ISERROR(SEARCH("P",AP36)))</formula>
    </cfRule>
    <cfRule type="containsText" dxfId="824" priority="3510" operator="containsText" text="P">
      <formula>NOT(ISERROR(SEARCH("P",AP36)))</formula>
    </cfRule>
  </conditionalFormatting>
  <conditionalFormatting sqref="AP37 AP26">
    <cfRule type="containsText" dxfId="823" priority="3425" operator="containsText" text="P">
      <formula>NOT(ISERROR(SEARCH("P",AP26)))</formula>
    </cfRule>
    <cfRule type="containsText" dxfId="822" priority="3423" operator="containsText" text="P">
      <formula>NOT(ISERROR(SEARCH("P",AP26)))</formula>
    </cfRule>
  </conditionalFormatting>
  <conditionalFormatting sqref="AP40 AN40">
    <cfRule type="containsText" dxfId="821" priority="3074" operator="containsText" text="P">
      <formula>NOT(ISERROR(SEARCH("P",AN40)))</formula>
    </cfRule>
    <cfRule type="containsText" dxfId="820" priority="3072" operator="containsText" text="P">
      <formula>NOT(ISERROR(SEARCH("P",AN40)))</formula>
    </cfRule>
  </conditionalFormatting>
  <conditionalFormatting sqref="AP44 AN44 AJ44:AL44">
    <cfRule type="containsText" dxfId="819" priority="3470" operator="containsText" text="P">
      <formula>NOT(ISERROR(SEARCH("P",AJ44)))</formula>
    </cfRule>
    <cfRule type="containsText" dxfId="818" priority="3468" operator="containsText" text="P">
      <formula>NOT(ISERROR(SEARCH("P",AJ44)))</formula>
    </cfRule>
  </conditionalFormatting>
  <conditionalFormatting sqref="AP44:AP45">
    <cfRule type="containsText" dxfId="817" priority="2279" operator="containsText" text="A">
      <formula>NOT(ISERROR(SEARCH("A",AP44)))</formula>
    </cfRule>
    <cfRule type="containsText" dxfId="816" priority="2281" operator="containsText" text="A">
      <formula>NOT(ISERROR(SEARCH("A",AP44)))</formula>
    </cfRule>
  </conditionalFormatting>
  <conditionalFormatting sqref="AP45 AN45">
    <cfRule type="containsText" dxfId="815" priority="2280" operator="containsText" text="P">
      <formula>NOT(ISERROR(SEARCH("P",AN45)))</formula>
    </cfRule>
    <cfRule type="containsText" dxfId="814" priority="2282" operator="containsText" text="P">
      <formula>NOT(ISERROR(SEARCH("P",AN45)))</formula>
    </cfRule>
  </conditionalFormatting>
  <conditionalFormatting sqref="AP49 AN49">
    <cfRule type="containsText" dxfId="813" priority="3333" operator="containsText" text="P">
      <formula>NOT(ISERROR(SEARCH("P",AN49)))</formula>
    </cfRule>
    <cfRule type="containsText" dxfId="812" priority="3331" operator="containsText" text="P">
      <formula>NOT(ISERROR(SEARCH("P",AN49)))</formula>
    </cfRule>
  </conditionalFormatting>
  <conditionalFormatting sqref="AP51 AN51 AP32 AN32 AP25 AN25">
    <cfRule type="containsText" dxfId="811" priority="82" operator="containsText" text="P">
      <formula>NOT(ISERROR(SEARCH("P",AN25)))</formula>
    </cfRule>
    <cfRule type="containsText" dxfId="810" priority="80" operator="containsText" text="P">
      <formula>NOT(ISERROR(SEARCH("P",AN25)))</formula>
    </cfRule>
  </conditionalFormatting>
  <conditionalFormatting sqref="AP82 AN82">
    <cfRule type="containsText" dxfId="809" priority="2248" operator="containsText" text="P">
      <formula>NOT(ISERROR(SEARCH("P",AN82)))</formula>
    </cfRule>
    <cfRule type="containsText" dxfId="808" priority="2250" operator="containsText" text="P">
      <formula>NOT(ISERROR(SEARCH("P",AN82)))</formula>
    </cfRule>
  </conditionalFormatting>
  <conditionalFormatting sqref="AP82">
    <cfRule type="containsText" dxfId="807" priority="2249" operator="containsText" text="A">
      <formula>NOT(ISERROR(SEARCH("A",AP82)))</formula>
    </cfRule>
    <cfRule type="containsText" dxfId="806" priority="2247" operator="containsText" text="A">
      <formula>NOT(ISERROR(SEARCH("A",AP82)))</formula>
    </cfRule>
  </conditionalFormatting>
  <conditionalFormatting sqref="AP93 AN93 AP86 AN86 AP80 AN80 AP70 AN70 AP60 AN60 AP42 AN42 AP28:AP29 AN28:AN29 AP20:AP21 AN20:AN21 AP17 AN17 AP9 AN9 AP3:AP6 AN3:AN6">
    <cfRule type="containsText" dxfId="805" priority="56" operator="containsText" text="P">
      <formula>NOT(ISERROR(SEARCH("P",AN3)))</formula>
    </cfRule>
    <cfRule type="containsText" dxfId="804" priority="54" operator="containsText" text="P">
      <formula>NOT(ISERROR(SEARCH("P",AN3)))</formula>
    </cfRule>
  </conditionalFormatting>
  <conditionalFormatting sqref="AP16:AQ16 AP46:AQ48">
    <cfRule type="containsText" dxfId="803" priority="3447" operator="containsText" text="A">
      <formula>NOT(ISERROR(SEARCH("A",AP16)))</formula>
    </cfRule>
    <cfRule type="containsText" dxfId="802" priority="3449" operator="containsText" text="A">
      <formula>NOT(ISERROR(SEARCH("A",AP16)))</formula>
    </cfRule>
  </conditionalFormatting>
  <conditionalFormatting sqref="AP16:AQ16">
    <cfRule type="containsText" dxfId="801" priority="3634" operator="containsText" text="P">
      <formula>NOT(ISERROR(SEARCH("P",AP16)))</formula>
    </cfRule>
    <cfRule type="containsText" dxfId="800" priority="3632" operator="containsText" text="P">
      <formula>NOT(ISERROR(SEARCH("P",AP16)))</formula>
    </cfRule>
  </conditionalFormatting>
  <conditionalFormatting sqref="AP30:AQ31 AP34:AQ34 AP54:AQ54 AP77:AQ77 AP83:AQ83 AP90:AQ90">
    <cfRule type="containsText" dxfId="799" priority="1260" operator="containsText" text="A">
      <formula>NOT(ISERROR(SEARCH("A",AP30)))</formula>
    </cfRule>
    <cfRule type="containsText" dxfId="798" priority="1261" operator="containsText" text="A">
      <formula>NOT(ISERROR(SEARCH("A",AP30)))</formula>
    </cfRule>
  </conditionalFormatting>
  <conditionalFormatting sqref="AP47:AQ47">
    <cfRule type="containsText" dxfId="797" priority="3546" operator="containsText" text="P">
      <formula>NOT(ISERROR(SEARCH("P",AP47)))</formula>
    </cfRule>
    <cfRule type="containsText" dxfId="796" priority="3544" operator="containsText" text="P">
      <formula>NOT(ISERROR(SEARCH("P",AP47)))</formula>
    </cfRule>
  </conditionalFormatting>
  <conditionalFormatting sqref="AP48:AQ48 AP46:AQ46 AP30:AQ30">
    <cfRule type="containsText" dxfId="795" priority="3450" operator="containsText" text="P">
      <formula>NOT(ISERROR(SEARCH("P",AP30)))</formula>
    </cfRule>
    <cfRule type="containsText" dxfId="794" priority="3448" operator="containsText" text="P">
      <formula>NOT(ISERROR(SEARCH("P",AP30)))</formula>
    </cfRule>
  </conditionalFormatting>
  <conditionalFormatting sqref="AP90:AQ90 AS90 AP83:AQ83 AS83 AP77:AQ77 AS77 AP54:AQ54 AS54 AP34:AQ34 AS34 AP31:AQ31 AS31">
    <cfRule type="containsText" dxfId="793" priority="1267" operator="containsText" text="P">
      <formula>NOT(ISERROR(SEARCH("P",AP31)))</formula>
    </cfRule>
    <cfRule type="containsText" dxfId="792" priority="1265" operator="containsText" text="P">
      <formula>NOT(ISERROR(SEARCH("P",AP31)))</formula>
    </cfRule>
  </conditionalFormatting>
  <conditionalFormatting sqref="AQ3:AQ6 AQ8:AQ9 AQ17:AQ22 AQ28:AQ29 AQ42 AQ60 AQ70 AQ80 AQ86 AQ93">
    <cfRule type="containsText" dxfId="791" priority="49" operator="containsText" text="A">
      <formula>NOT(ISERROR(SEARCH("A",AQ3)))</formula>
    </cfRule>
    <cfRule type="containsText" dxfId="790" priority="51" operator="containsText" text="A">
      <formula>NOT(ISERROR(SEARCH("A",AQ3)))</formula>
    </cfRule>
  </conditionalFormatting>
  <conditionalFormatting sqref="AQ8">
    <cfRule type="containsText" dxfId="789" priority="3407" operator="containsText" text="P">
      <formula>NOT(ISERROR(SEARCH("P",AQ8)))</formula>
    </cfRule>
    <cfRule type="containsText" dxfId="788" priority="3409" operator="containsText" text="P">
      <formula>NOT(ISERROR(SEARCH("P",AQ8)))</formula>
    </cfRule>
  </conditionalFormatting>
  <conditionalFormatting sqref="AQ12">
    <cfRule type="containsText" dxfId="787" priority="3002" operator="containsText" text="P">
      <formula>NOT(ISERROR(SEARCH("P",AQ12)))</formula>
    </cfRule>
    <cfRule type="containsText" dxfId="786" priority="2999" operator="containsText" text="A">
      <formula>NOT(ISERROR(SEARCH("A",AQ12)))</formula>
    </cfRule>
    <cfRule type="containsText" dxfId="785" priority="3000" operator="containsText" text="P">
      <formula>NOT(ISERROR(SEARCH("P",AQ12)))</formula>
    </cfRule>
    <cfRule type="containsText" dxfId="784" priority="3001" operator="containsText" text="A">
      <formula>NOT(ISERROR(SEARCH("A",AQ12)))</formula>
    </cfRule>
  </conditionalFormatting>
  <conditionalFormatting sqref="AQ14:AQ15">
    <cfRule type="containsText" dxfId="783" priority="2347" operator="containsText" text="A">
      <formula>NOT(ISERROR(SEARCH("A",AQ14)))</formula>
    </cfRule>
    <cfRule type="containsText" dxfId="782" priority="2348" operator="containsText" text="P">
      <formula>NOT(ISERROR(SEARCH("P",AQ14)))</formula>
    </cfRule>
    <cfRule type="containsText" dxfId="781" priority="2349" operator="containsText" text="A">
      <formula>NOT(ISERROR(SEARCH("A",AQ14)))</formula>
    </cfRule>
    <cfRule type="containsText" dxfId="780" priority="2350" operator="containsText" text="P">
      <formula>NOT(ISERROR(SEARCH("P",AQ14)))</formula>
    </cfRule>
  </conditionalFormatting>
  <conditionalFormatting sqref="AQ22">
    <cfRule type="containsText" dxfId="779" priority="2322" operator="containsText" text="P">
      <formula>NOT(ISERROR(SEARCH("P",AQ22)))</formula>
    </cfRule>
    <cfRule type="containsText" dxfId="778" priority="2320" operator="containsText" text="P">
      <formula>NOT(ISERROR(SEARCH("P",AQ22)))</formula>
    </cfRule>
  </conditionalFormatting>
  <conditionalFormatting sqref="AQ25:AQ26 AQ32:AQ33 AQ49:AQ51">
    <cfRule type="containsText" dxfId="777" priority="75" operator="containsText" text="A">
      <formula>NOT(ISERROR(SEARCH("A",AQ25)))</formula>
    </cfRule>
    <cfRule type="containsText" dxfId="776" priority="77" operator="containsText" text="A">
      <formula>NOT(ISERROR(SEARCH("A",AQ25)))</formula>
    </cfRule>
  </conditionalFormatting>
  <conditionalFormatting sqref="AQ33">
    <cfRule type="containsText" dxfId="775" priority="3578" operator="containsText" text="P">
      <formula>NOT(ISERROR(SEARCH("P",AQ33)))</formula>
    </cfRule>
    <cfRule type="containsText" dxfId="774" priority="3576" operator="containsText" text="P">
      <formula>NOT(ISERROR(SEARCH("P",AQ33)))</formula>
    </cfRule>
  </conditionalFormatting>
  <conditionalFormatting sqref="AQ35">
    <cfRule type="containsText" dxfId="773" priority="3570" operator="containsText" text="P">
      <formula>NOT(ISERROR(SEARCH("P",AQ35)))</formula>
    </cfRule>
    <cfRule type="containsText" dxfId="772" priority="3568" operator="containsText" text="P">
      <formula>NOT(ISERROR(SEARCH("P",AQ35)))</formula>
    </cfRule>
  </conditionalFormatting>
  <conditionalFormatting sqref="AQ35:AQ37">
    <cfRule type="containsText" dxfId="771" priority="3428" operator="containsText" text="A">
      <formula>NOT(ISERROR(SEARCH("A",AQ35)))</formula>
    </cfRule>
    <cfRule type="containsText" dxfId="770" priority="3426" operator="containsText" text="A">
      <formula>NOT(ISERROR(SEARCH("A",AQ35)))</formula>
    </cfRule>
  </conditionalFormatting>
  <conditionalFormatting sqref="AQ36">
    <cfRule type="containsText" dxfId="769" priority="3586" operator="containsText" text="P">
      <formula>NOT(ISERROR(SEARCH("P",AQ36)))</formula>
    </cfRule>
    <cfRule type="containsText" dxfId="768" priority="3584" operator="containsText" text="P">
      <formula>NOT(ISERROR(SEARCH("P",AQ36)))</formula>
    </cfRule>
  </conditionalFormatting>
  <conditionalFormatting sqref="AQ40">
    <cfRule type="containsText" dxfId="767" priority="3067" operator="containsText" text="A">
      <formula>NOT(ISERROR(SEARCH("A",AQ40)))</formula>
    </cfRule>
    <cfRule type="containsText" dxfId="766" priority="3068" operator="containsText" text="P">
      <formula>NOT(ISERROR(SEARCH("P",AQ40)))</formula>
    </cfRule>
    <cfRule type="containsText" dxfId="765" priority="3070" operator="containsText" text="P">
      <formula>NOT(ISERROR(SEARCH("P",AQ40)))</formula>
    </cfRule>
    <cfRule type="containsText" dxfId="764" priority="3069" operator="containsText" text="A">
      <formula>NOT(ISERROR(SEARCH("A",AQ40)))</formula>
    </cfRule>
  </conditionalFormatting>
  <conditionalFormatting sqref="AQ44">
    <cfRule type="containsText" dxfId="763" priority="3460" operator="containsText" text="P">
      <formula>NOT(ISERROR(SEARCH("P",AQ44)))</formula>
    </cfRule>
    <cfRule type="containsText" dxfId="762" priority="3462" operator="containsText" text="P">
      <formula>NOT(ISERROR(SEARCH("P",AQ44)))</formula>
    </cfRule>
  </conditionalFormatting>
  <conditionalFormatting sqref="AQ44:AQ45">
    <cfRule type="containsText" dxfId="761" priority="2277" operator="containsText" text="A">
      <formula>NOT(ISERROR(SEARCH("A",AQ44)))</formula>
    </cfRule>
    <cfRule type="containsText" dxfId="760" priority="2275" operator="containsText" text="A">
      <formula>NOT(ISERROR(SEARCH("A",AQ44)))</formula>
    </cfRule>
  </conditionalFormatting>
  <conditionalFormatting sqref="AQ45">
    <cfRule type="containsText" dxfId="759" priority="2278" operator="containsText" text="P">
      <formula>NOT(ISERROR(SEARCH("P",AQ45)))</formula>
    </cfRule>
    <cfRule type="containsText" dxfId="758" priority="2276" operator="containsText" text="P">
      <formula>NOT(ISERROR(SEARCH("P",AQ45)))</formula>
    </cfRule>
  </conditionalFormatting>
  <conditionalFormatting sqref="AQ49">
    <cfRule type="containsText" dxfId="757" priority="3329" operator="containsText" text="P">
      <formula>NOT(ISERROR(SEARCH("P",AQ49)))</formula>
    </cfRule>
    <cfRule type="containsText" dxfId="756" priority="3327" operator="containsText" text="P">
      <formula>NOT(ISERROR(SEARCH("P",AQ49)))</formula>
    </cfRule>
  </conditionalFormatting>
  <conditionalFormatting sqref="AQ50 AS50">
    <cfRule type="containsText" dxfId="755" priority="3285" operator="containsText" text="P">
      <formula>NOT(ISERROR(SEARCH("P",AQ50)))</formula>
    </cfRule>
    <cfRule type="containsText" dxfId="754" priority="3283" operator="containsText" text="P">
      <formula>NOT(ISERROR(SEARCH("P",AQ50)))</formula>
    </cfRule>
  </conditionalFormatting>
  <conditionalFormatting sqref="AQ51 AQ32 AQ25">
    <cfRule type="containsText" dxfId="753" priority="78" operator="containsText" text="P">
      <formula>NOT(ISERROR(SEARCH("P",AQ25)))</formula>
    </cfRule>
    <cfRule type="containsText" dxfId="752" priority="76" operator="containsText" text="P">
      <formula>NOT(ISERROR(SEARCH("P",AQ25)))</formula>
    </cfRule>
  </conditionalFormatting>
  <conditionalFormatting sqref="AQ82">
    <cfRule type="containsText" dxfId="751" priority="2244" operator="containsText" text="P">
      <formula>NOT(ISERROR(SEARCH("P",AQ82)))</formula>
    </cfRule>
    <cfRule type="containsText" dxfId="750" priority="2245" operator="containsText" text="A">
      <formula>NOT(ISERROR(SEARCH("A",AQ82)))</formula>
    </cfRule>
    <cfRule type="containsText" dxfId="749" priority="2246" operator="containsText" text="P">
      <formula>NOT(ISERROR(SEARCH("P",AQ82)))</formula>
    </cfRule>
    <cfRule type="containsText" dxfId="748" priority="2243" operator="containsText" text="A">
      <formula>NOT(ISERROR(SEARCH("A",AQ82)))</formula>
    </cfRule>
  </conditionalFormatting>
  <conditionalFormatting sqref="AQ93 AQ86 AQ80 AQ70 AQ60 AQ42 AQ28:AQ29 AQ20:AQ21 AQ17 AQ9 AQ3:AQ6">
    <cfRule type="containsText" dxfId="747" priority="50" operator="containsText" text="P">
      <formula>NOT(ISERROR(SEARCH("P",AQ3)))</formula>
    </cfRule>
    <cfRule type="containsText" dxfId="746" priority="52" operator="containsText" text="P">
      <formula>NOT(ISERROR(SEARCH("P",AQ3)))</formula>
    </cfRule>
  </conditionalFormatting>
  <conditionalFormatting sqref="AQ41:AS41">
    <cfRule type="containsText" dxfId="745" priority="3563" operator="containsText" text="A">
      <formula>NOT(ISERROR(SEARCH("A",AQ41)))</formula>
    </cfRule>
    <cfRule type="containsText" dxfId="744" priority="3564" operator="containsText" text="P">
      <formula>NOT(ISERROR(SEARCH("P",AQ41)))</formula>
    </cfRule>
    <cfRule type="containsText" dxfId="743" priority="3565" operator="containsText" text="A">
      <formula>NOT(ISERROR(SEARCH("A",AQ41)))</formula>
    </cfRule>
    <cfRule type="containsText" dxfId="742" priority="3566" operator="containsText" text="P">
      <formula>NOT(ISERROR(SEARCH("P",AQ41)))</formula>
    </cfRule>
  </conditionalFormatting>
  <conditionalFormatting sqref="AQ52:AS52">
    <cfRule type="containsText" dxfId="741" priority="3551" operator="containsText" text="A">
      <formula>NOT(ISERROR(SEARCH("A",AQ52)))</formula>
    </cfRule>
    <cfRule type="containsText" dxfId="740" priority="3552" operator="containsText" text="P">
      <formula>NOT(ISERROR(SEARCH("P",AQ52)))</formula>
    </cfRule>
    <cfRule type="containsText" dxfId="739" priority="3553" operator="containsText" text="A">
      <formula>NOT(ISERROR(SEARCH("A",AQ52)))</formula>
    </cfRule>
    <cfRule type="containsText" dxfId="738" priority="3554" operator="containsText" text="P">
      <formula>NOT(ISERROR(SEARCH("P",AQ52)))</formula>
    </cfRule>
  </conditionalFormatting>
  <conditionalFormatting sqref="AQ63:AS63">
    <cfRule type="containsText" dxfId="737" priority="3299" operator="containsText" text="P">
      <formula>NOT(ISERROR(SEARCH("P",AQ63)))</formula>
    </cfRule>
    <cfRule type="containsText" dxfId="736" priority="3300" operator="containsText" text="A">
      <formula>NOT(ISERROR(SEARCH("A",AQ63)))</formula>
    </cfRule>
    <cfRule type="containsText" dxfId="735" priority="3301" operator="containsText" text="P">
      <formula>NOT(ISERROR(SEARCH("P",AQ63)))</formula>
    </cfRule>
    <cfRule type="containsText" dxfId="734" priority="3298" operator="containsText" text="A">
      <formula>NOT(ISERROR(SEARCH("A",AQ63)))</formula>
    </cfRule>
  </conditionalFormatting>
  <conditionalFormatting sqref="AR7:AR8">
    <cfRule type="containsText" dxfId="733" priority="3376" operator="containsText" text="A">
      <formula>NOT(ISERROR(SEARCH("A",AR7)))</formula>
    </cfRule>
    <cfRule type="containsText" dxfId="732" priority="3374" operator="containsText" text="A">
      <formula>NOT(ISERROR(SEARCH("A",AR7)))</formula>
    </cfRule>
  </conditionalFormatting>
  <conditionalFormatting sqref="AR13">
    <cfRule type="containsText" dxfId="731" priority="3378" operator="containsText" text="A">
      <formula>NOT(ISERROR(SEARCH("A",AR13)))</formula>
    </cfRule>
    <cfRule type="containsText" dxfId="730" priority="3380" operator="containsText" text="A">
      <formula>NOT(ISERROR(SEARCH("A",AR13)))</formula>
    </cfRule>
  </conditionalFormatting>
  <conditionalFormatting sqref="AR16 AR13 AR7:AR8">
    <cfRule type="containsText" dxfId="729" priority="3381" operator="containsText" text="P">
      <formula>NOT(ISERROR(SEARCH("P",AR7)))</formula>
    </cfRule>
    <cfRule type="containsText" dxfId="728" priority="3379" operator="containsText" text="P">
      <formula>NOT(ISERROR(SEARCH("P",AR7)))</formula>
    </cfRule>
  </conditionalFormatting>
  <conditionalFormatting sqref="AR16">
    <cfRule type="containsText" dxfId="727" priority="3370" operator="containsText" text="A">
      <formula>NOT(ISERROR(SEARCH("A",AR16)))</formula>
    </cfRule>
    <cfRule type="containsText" dxfId="726" priority="3372" operator="containsText" text="A">
      <formula>NOT(ISERROR(SEARCH("A",AR16)))</formula>
    </cfRule>
  </conditionalFormatting>
  <conditionalFormatting sqref="AR18:AR19">
    <cfRule type="containsText" dxfId="725" priority="3368" operator="containsText" text="A">
      <formula>NOT(ISERROR(SEARCH("A",AR18)))</formula>
    </cfRule>
    <cfRule type="containsText" dxfId="724" priority="3367" operator="containsText" text="P">
      <formula>NOT(ISERROR(SEARCH("P",AR18)))</formula>
    </cfRule>
    <cfRule type="containsText" dxfId="723" priority="3366" operator="containsText" text="A">
      <formula>NOT(ISERROR(SEARCH("A",AR18)))</formula>
    </cfRule>
    <cfRule type="containsText" dxfId="722" priority="3369" operator="containsText" text="P">
      <formula>NOT(ISERROR(SEARCH("P",AR18)))</formula>
    </cfRule>
  </conditionalFormatting>
  <conditionalFormatting sqref="AR30:AR31 AR34 AR46:AR50 AR54 AR77 AR83 AR90">
    <cfRule type="containsText" dxfId="721" priority="1256" operator="containsText" text="A">
      <formula>NOT(ISERROR(SEARCH("A",AR30)))</formula>
    </cfRule>
    <cfRule type="containsText" dxfId="720" priority="1258" operator="containsText" text="A">
      <formula>NOT(ISERROR(SEARCH("A",AR30)))</formula>
    </cfRule>
  </conditionalFormatting>
  <conditionalFormatting sqref="AR37 AR57">
    <cfRule type="containsText" dxfId="719" priority="3364" operator="containsText" text="A">
      <formula>NOT(ISERROR(SEARCH("A",AR37)))</formula>
    </cfRule>
    <cfRule type="containsText" dxfId="718" priority="3362" operator="containsText" text="A">
      <formula>NOT(ISERROR(SEARCH("A",AR37)))</formula>
    </cfRule>
  </conditionalFormatting>
  <conditionalFormatting sqref="AR47">
    <cfRule type="containsText" dxfId="717" priority="3548" operator="containsText" text="P">
      <formula>NOT(ISERROR(SEARCH("P",AR47)))</formula>
    </cfRule>
    <cfRule type="containsText" dxfId="716" priority="3550" operator="containsText" text="P">
      <formula>NOT(ISERROR(SEARCH("P",AR47)))</formula>
    </cfRule>
  </conditionalFormatting>
  <conditionalFormatting sqref="AR49">
    <cfRule type="containsText" dxfId="715" priority="3311" operator="containsText" text="P">
      <formula>NOT(ISERROR(SEARCH("P",AR49)))</formula>
    </cfRule>
    <cfRule type="containsText" dxfId="714" priority="3313" operator="containsText" text="P">
      <formula>NOT(ISERROR(SEARCH("P",AR49)))</formula>
    </cfRule>
  </conditionalFormatting>
  <conditionalFormatting sqref="AR50">
    <cfRule type="containsText" dxfId="713" priority="3267" operator="containsText" text="P">
      <formula>NOT(ISERROR(SEARCH("P",AR50)))</formula>
    </cfRule>
    <cfRule type="containsText" dxfId="712" priority="3269" operator="containsText" text="P">
      <formula>NOT(ISERROR(SEARCH("P",AR50)))</formula>
    </cfRule>
  </conditionalFormatting>
  <conditionalFormatting sqref="AR57 AR48 AR46 AR37 AR30">
    <cfRule type="containsText" dxfId="711" priority="3365" operator="containsText" text="P">
      <formula>NOT(ISERROR(SEARCH("P",AR30)))</formula>
    </cfRule>
    <cfRule type="containsText" dxfId="710" priority="3363" operator="containsText" text="P">
      <formula>NOT(ISERROR(SEARCH("P",AR30)))</formula>
    </cfRule>
  </conditionalFormatting>
  <conditionalFormatting sqref="AR90 AR83 AR77 AR54 AR34 AR31">
    <cfRule type="containsText" dxfId="709" priority="1257" operator="containsText" text="P">
      <formula>NOT(ISERROR(SEARCH("P",AR31)))</formula>
    </cfRule>
    <cfRule type="containsText" dxfId="708" priority="1259" operator="containsText" text="P">
      <formula>NOT(ISERROR(SEARCH("P",AR31)))</formula>
    </cfRule>
  </conditionalFormatting>
  <conditionalFormatting sqref="AR12:AS12 AK12:AL12">
    <cfRule type="containsText" dxfId="707" priority="3010" operator="containsText" text="P">
      <formula>NOT(ISERROR(SEARCH("P",AK12)))</formula>
    </cfRule>
    <cfRule type="containsText" dxfId="706" priority="3008" operator="containsText" text="P">
      <formula>NOT(ISERROR(SEARCH("P",AK12)))</formula>
    </cfRule>
  </conditionalFormatting>
  <conditionalFormatting sqref="AR14:AS14 AK14:AL14">
    <cfRule type="containsText" dxfId="705" priority="2358" operator="containsText" text="P">
      <formula>NOT(ISERROR(SEARCH("P",AK14)))</formula>
    </cfRule>
    <cfRule type="containsText" dxfId="704" priority="2356" operator="containsText" text="P">
      <formula>NOT(ISERROR(SEARCH("P",AK14)))</formula>
    </cfRule>
  </conditionalFormatting>
  <conditionalFormatting sqref="AR22:AS22 AK22:AL22">
    <cfRule type="containsText" dxfId="703" priority="2328" operator="containsText" text="P">
      <formula>NOT(ISERROR(SEARCH("P",AK22)))</formula>
    </cfRule>
    <cfRule type="containsText" dxfId="702" priority="2330" operator="containsText" text="P">
      <formula>NOT(ISERROR(SEARCH("P",AK22)))</formula>
    </cfRule>
  </conditionalFormatting>
  <conditionalFormatting sqref="AR24:AS24 AQ18:AQ19 AS18:AS19">
    <cfRule type="containsText" dxfId="701" priority="3640" operator="containsText" text="P">
      <formula>NOT(ISERROR(SEARCH("P",AQ18)))</formula>
    </cfRule>
    <cfRule type="containsText" dxfId="700" priority="3642" operator="containsText" text="P">
      <formula>NOT(ISERROR(SEARCH("P",AQ18)))</formula>
    </cfRule>
  </conditionalFormatting>
  <conditionalFormatting sqref="AR33:AS33">
    <cfRule type="containsText" dxfId="699" priority="3582" operator="containsText" text="P">
      <formula>NOT(ISERROR(SEARCH("P",AR33)))</formula>
    </cfRule>
    <cfRule type="containsText" dxfId="698" priority="3580" operator="containsText" text="P">
      <formula>NOT(ISERROR(SEARCH("P",AR33)))</formula>
    </cfRule>
  </conditionalFormatting>
  <conditionalFormatting sqref="AR35:AS35">
    <cfRule type="containsText" dxfId="697" priority="3574" operator="containsText" text="P">
      <formula>NOT(ISERROR(SEARCH("P",AR35)))</formula>
    </cfRule>
    <cfRule type="containsText" dxfId="696" priority="3572" operator="containsText" text="P">
      <formula>NOT(ISERROR(SEARCH("P",AR35)))</formula>
    </cfRule>
  </conditionalFormatting>
  <conditionalFormatting sqref="AR35:AS36 AS37">
    <cfRule type="containsText" dxfId="695" priority="3432" operator="containsText" text="A">
      <formula>NOT(ISERROR(SEARCH("A",AR35)))</formula>
    </cfRule>
    <cfRule type="containsText" dxfId="694" priority="3430" operator="containsText" text="A">
      <formula>NOT(ISERROR(SEARCH("A",AR35)))</formula>
    </cfRule>
  </conditionalFormatting>
  <conditionalFormatting sqref="AR40:AS40 AK40:AL40">
    <cfRule type="containsText" dxfId="693" priority="3076" operator="containsText" text="P">
      <formula>NOT(ISERROR(SEARCH("P",AK40)))</formula>
    </cfRule>
    <cfRule type="containsText" dxfId="692" priority="3078" operator="containsText" text="P">
      <formula>NOT(ISERROR(SEARCH("P",AK40)))</formula>
    </cfRule>
  </conditionalFormatting>
  <conditionalFormatting sqref="AR43:AS43">
    <cfRule type="containsText" dxfId="691" priority="3395" operator="containsText" text="P">
      <formula>NOT(ISERROR(SEARCH("P",AR43)))</formula>
    </cfRule>
    <cfRule type="containsText" dxfId="690" priority="3397" operator="containsText" text="P">
      <formula>NOT(ISERROR(SEARCH("P",AR43)))</formula>
    </cfRule>
  </conditionalFormatting>
  <conditionalFormatting sqref="AR44:AS44">
    <cfRule type="containsText" dxfId="689" priority="3560" operator="containsText" text="P">
      <formula>NOT(ISERROR(SEARCH("P",AR44)))</formula>
    </cfRule>
    <cfRule type="containsText" dxfId="688" priority="3562" operator="containsText" text="P">
      <formula>NOT(ISERROR(SEARCH("P",AR44)))</formula>
    </cfRule>
  </conditionalFormatting>
  <conditionalFormatting sqref="AR45:AS45 AK45:AL45">
    <cfRule type="containsText" dxfId="687" priority="2284" operator="containsText" text="P">
      <formula>NOT(ISERROR(SEARCH("P",AK45)))</formula>
    </cfRule>
    <cfRule type="containsText" dxfId="686" priority="2286" operator="containsText" text="P">
      <formula>NOT(ISERROR(SEARCH("P",AK45)))</formula>
    </cfRule>
  </conditionalFormatting>
  <conditionalFormatting sqref="AR51:AS51 AK51:AL51 AR32:AS32 AK32:AL32 AR25:AS25 AK25:AL25 AR15:AS15 AK15:AL15">
    <cfRule type="containsText" dxfId="685" priority="100" operator="containsText" text="P">
      <formula>NOT(ISERROR(SEARCH("P",AK15)))</formula>
    </cfRule>
    <cfRule type="containsText" dxfId="684" priority="102" operator="containsText" text="P">
      <formula>NOT(ISERROR(SEARCH("P",AK15)))</formula>
    </cfRule>
  </conditionalFormatting>
  <conditionalFormatting sqref="AR62:AS62">
    <cfRule type="containsText" dxfId="683" priority="3265" operator="containsText" text="P">
      <formula>NOT(ISERROR(SEARCH("P",AR62)))</formula>
    </cfRule>
    <cfRule type="containsText" dxfId="682" priority="3264" operator="containsText" text="A">
      <formula>NOT(ISERROR(SEARCH("A",AR62)))</formula>
    </cfRule>
    <cfRule type="containsText" dxfId="681" priority="3263" operator="containsText" text="P">
      <formula>NOT(ISERROR(SEARCH("P",AR62)))</formula>
    </cfRule>
    <cfRule type="containsText" dxfId="680" priority="3262" operator="containsText" text="A">
      <formula>NOT(ISERROR(SEARCH("A",AR62)))</formula>
    </cfRule>
  </conditionalFormatting>
  <conditionalFormatting sqref="AR82:AS82 AK82:AL82">
    <cfRule type="containsText" dxfId="679" priority="2254" operator="containsText" text="P">
      <formula>NOT(ISERROR(SEARCH("P",AK82)))</formula>
    </cfRule>
    <cfRule type="containsText" dxfId="678" priority="2252" operator="containsText" text="P">
      <formula>NOT(ISERROR(SEARCH("P",AK82)))</formula>
    </cfRule>
  </conditionalFormatting>
  <conditionalFormatting sqref="AR93:AS93 AK93:AL93 AR86:AS86 AK86:AL86 AR80:AS80 AK80:AL80 AR70:AS70 AK70:AL70 AR60:AS60 AK60:AL60 AR42:AS42 AK42:AL42 AR28:AS29 AK28:AL29 AR20:AS21 AK20:AL21 AR17:AS17 AK17:AL17 AR9:AS9 AK9:AL9 AR3:AS6 AK3:AL6">
    <cfRule type="containsText" dxfId="677" priority="20" operator="containsText" text="P">
      <formula>NOT(ISERROR(SEARCH("P",AK3)))</formula>
    </cfRule>
    <cfRule type="containsText" dxfId="676" priority="18" operator="containsText" text="P">
      <formula>NOT(ISERROR(SEARCH("P",AK3)))</formula>
    </cfRule>
  </conditionalFormatting>
  <conditionalFormatting sqref="AS7:AS8">
    <cfRule type="containsText" dxfId="675" priority="3416" operator="containsText" text="A">
      <formula>NOT(ISERROR(SEARCH("A",AS7)))</formula>
    </cfRule>
    <cfRule type="containsText" dxfId="674" priority="3414" operator="containsText" text="A">
      <formula>NOT(ISERROR(SEARCH("A",AS7)))</formula>
    </cfRule>
  </conditionalFormatting>
  <conditionalFormatting sqref="AS16">
    <cfRule type="containsText" dxfId="673" priority="3638" operator="containsText" text="P">
      <formula>NOT(ISERROR(SEARCH("P",AS16)))</formula>
    </cfRule>
    <cfRule type="containsText" dxfId="672" priority="3636" operator="containsText" text="P">
      <formula>NOT(ISERROR(SEARCH("P",AS16)))</formula>
    </cfRule>
    <cfRule type="containsText" dxfId="671" priority="3621" operator="containsText" text="A">
      <formula>NOT(ISERROR(SEARCH("A",AS16)))</formula>
    </cfRule>
    <cfRule type="containsText" dxfId="670" priority="3619" operator="containsText" text="A">
      <formula>NOT(ISERROR(SEARCH("A",AS16)))</formula>
    </cfRule>
  </conditionalFormatting>
  <conditionalFormatting sqref="AS18:AS19">
    <cfRule type="containsText" dxfId="669" priority="3451" operator="containsText" text="A">
      <formula>NOT(ISERROR(SEARCH("A",AS18)))</formula>
    </cfRule>
    <cfRule type="containsText" dxfId="668" priority="3453" operator="containsText" text="A">
      <formula>NOT(ISERROR(SEARCH("A",AS18)))</formula>
    </cfRule>
  </conditionalFormatting>
  <conditionalFormatting sqref="AS30:AS31 AS34 AS46:AS50 AS54 AS77 AS83 AS90">
    <cfRule type="containsText" dxfId="667" priority="1266" operator="containsText" text="A">
      <formula>NOT(ISERROR(SEARCH("A",AS30)))</formula>
    </cfRule>
    <cfRule type="containsText" dxfId="666" priority="1264" operator="containsText" text="A">
      <formula>NOT(ISERROR(SEARCH("A",AS30)))</formula>
    </cfRule>
  </conditionalFormatting>
  <conditionalFormatting sqref="AS37 AR26:AS26">
    <cfRule type="containsText" dxfId="665" priority="3431" operator="containsText" text="P">
      <formula>NOT(ISERROR(SEARCH("P",AR26)))</formula>
    </cfRule>
    <cfRule type="containsText" dxfId="664" priority="3433" operator="containsText" text="P">
      <formula>NOT(ISERROR(SEARCH("P",AR26)))</formula>
    </cfRule>
  </conditionalFormatting>
  <conditionalFormatting sqref="AS47">
    <cfRule type="containsText" dxfId="663" priority="3556" operator="containsText" text="P">
      <formula>NOT(ISERROR(SEARCH("P",AS47)))</formula>
    </cfRule>
    <cfRule type="containsText" dxfId="662" priority="3558" operator="containsText" text="P">
      <formula>NOT(ISERROR(SEARCH("P",AS47)))</formula>
    </cfRule>
  </conditionalFormatting>
  <conditionalFormatting sqref="AS48 AS46 AS30">
    <cfRule type="containsText" dxfId="661" priority="3452" operator="containsText" text="P">
      <formula>NOT(ISERROR(SEARCH("P",AS30)))</formula>
    </cfRule>
    <cfRule type="containsText" dxfId="660" priority="3454" operator="containsText" text="P">
      <formula>NOT(ISERROR(SEARCH("P",AS30)))</formula>
    </cfRule>
  </conditionalFormatting>
  <conditionalFormatting sqref="AS49">
    <cfRule type="containsText" dxfId="659" priority="3339" operator="containsText" text="P">
      <formula>NOT(ISERROR(SEARCH("P",AS49)))</formula>
    </cfRule>
    <cfRule type="containsText" dxfId="658" priority="3341" operator="containsText" text="P">
      <formula>NOT(ISERROR(SEARCH("P",AS49)))</formula>
    </cfRule>
  </conditionalFormatting>
  <conditionalFormatting sqref="AT22 AV22:BA22">
    <cfRule type="containsText" dxfId="657" priority="2332" operator="containsText" text="P">
      <formula>NOT(ISERROR(SEARCH("P",AT22)))</formula>
    </cfRule>
    <cfRule type="containsText" dxfId="656" priority="2334" operator="containsText" text="P">
      <formula>NOT(ISERROR(SEARCH("P",AT22)))</formula>
    </cfRule>
    <cfRule type="containsText" dxfId="655" priority="2333" operator="containsText" text="A">
      <formula>NOT(ISERROR(SEARCH("A",AT22)))</formula>
    </cfRule>
    <cfRule type="containsText" dxfId="654" priority="2331" operator="containsText" text="A">
      <formula>NOT(ISERROR(SEARCH("A",AT22)))</formula>
    </cfRule>
  </conditionalFormatting>
  <conditionalFormatting sqref="AT63">
    <cfRule type="containsText" dxfId="653" priority="3706" operator="containsText" text="P">
      <formula>NOT(ISERROR(SEARCH("P",AT63)))</formula>
    </cfRule>
    <cfRule type="containsText" dxfId="652" priority="3705" operator="containsText" text="A">
      <formula>NOT(ISERROR(SEARCH("A",AT63)))</formula>
    </cfRule>
    <cfRule type="containsText" dxfId="651" priority="3704" operator="containsText" text="P">
      <formula>NOT(ISERROR(SEARCH("P",AT63)))</formula>
    </cfRule>
    <cfRule type="containsText" dxfId="650" priority="3703" operator="containsText" text="A">
      <formula>NOT(ISERROR(SEARCH("A",AT63)))</formula>
    </cfRule>
  </conditionalFormatting>
  <conditionalFormatting sqref="AT11:AU11">
    <cfRule type="containsText" dxfId="649" priority="3699" operator="containsText" text="A">
      <formula>NOT(ISERROR(SEARCH("A",AT11)))</formula>
    </cfRule>
    <cfRule type="containsText" dxfId="648" priority="3702" operator="containsText" text="P">
      <formula>NOT(ISERROR(SEARCH("P",AT11)))</formula>
    </cfRule>
    <cfRule type="containsText" dxfId="647" priority="3700" operator="containsText" text="P">
      <formula>NOT(ISERROR(SEARCH("P",AT11)))</formula>
    </cfRule>
    <cfRule type="containsText" dxfId="646" priority="3701" operator="containsText" text="A">
      <formula>NOT(ISERROR(SEARCH("A",AT11)))</formula>
    </cfRule>
  </conditionalFormatting>
  <conditionalFormatting sqref="AT26:AU26 AT36:AU37">
    <cfRule type="containsText" dxfId="645" priority="3837" operator="containsText" text="A">
      <formula>NOT(ISERROR(SEARCH("A",AT26)))</formula>
    </cfRule>
    <cfRule type="containsText" dxfId="644" priority="3835" operator="containsText" text="A">
      <formula>NOT(ISERROR(SEARCH("A",AT26)))</formula>
    </cfRule>
  </conditionalFormatting>
  <conditionalFormatting sqref="AT37:AU37 AT26:AU26">
    <cfRule type="containsText" dxfId="643" priority="3836" operator="containsText" text="P">
      <formula>NOT(ISERROR(SEARCH("P",AT26)))</formula>
    </cfRule>
    <cfRule type="containsText" dxfId="642" priority="3838" operator="containsText" text="P">
      <formula>NOT(ISERROR(SEARCH("P",AT26)))</formula>
    </cfRule>
  </conditionalFormatting>
  <conditionalFormatting sqref="AT50:AU50">
    <cfRule type="containsText" dxfId="641" priority="3696" operator="containsText" text="P">
      <formula>NOT(ISERROR(SEARCH("P",AT50)))</formula>
    </cfRule>
    <cfRule type="containsText" dxfId="640" priority="3695" operator="containsText" text="A">
      <formula>NOT(ISERROR(SEARCH("A",AT50)))</formula>
    </cfRule>
    <cfRule type="containsText" dxfId="639" priority="3698" operator="containsText" text="P">
      <formula>NOT(ISERROR(SEARCH("P",AT50)))</formula>
    </cfRule>
    <cfRule type="containsText" dxfId="638" priority="3697" operator="containsText" text="A">
      <formula>NOT(ISERROR(SEARCH("A",AT50)))</formula>
    </cfRule>
  </conditionalFormatting>
  <conditionalFormatting sqref="AT62:AU62">
    <cfRule type="containsText" dxfId="637" priority="3692" operator="containsText" text="P">
      <formula>NOT(ISERROR(SEARCH("P",AT62)))</formula>
    </cfRule>
    <cfRule type="containsText" dxfId="636" priority="3693" operator="containsText" text="A">
      <formula>NOT(ISERROR(SEARCH("A",AT62)))</formula>
    </cfRule>
    <cfRule type="containsText" dxfId="635" priority="3694" operator="containsText" text="P">
      <formula>NOT(ISERROR(SEARCH("P",AT62)))</formula>
    </cfRule>
    <cfRule type="containsText" dxfId="634" priority="3691" operator="containsText" text="A">
      <formula>NOT(ISERROR(SEARCH("A",AT62)))</formula>
    </cfRule>
  </conditionalFormatting>
  <conditionalFormatting sqref="AT88:AU88">
    <cfRule type="containsText" dxfId="633" priority="2226" operator="containsText" text="P">
      <formula>NOT(ISERROR(SEARCH("P",AT88)))</formula>
    </cfRule>
    <cfRule type="containsText" dxfId="632" priority="2223" operator="containsText" text="A">
      <formula>NOT(ISERROR(SEARCH("A",AT88)))</formula>
    </cfRule>
    <cfRule type="containsText" dxfId="631" priority="2224" operator="containsText" text="P">
      <formula>NOT(ISERROR(SEARCH("P",AT88)))</formula>
    </cfRule>
    <cfRule type="containsText" dxfId="630" priority="2225" operator="containsText" text="A">
      <formula>NOT(ISERROR(SEARCH("A",AT88)))</formula>
    </cfRule>
  </conditionalFormatting>
  <conditionalFormatting sqref="AT12:AV12">
    <cfRule type="containsText" dxfId="629" priority="3649" operator="containsText" text="A">
      <formula>NOT(ISERROR(SEARCH("A",AT12)))</formula>
    </cfRule>
    <cfRule type="containsText" dxfId="628" priority="3648" operator="containsText" text="P">
      <formula>NOT(ISERROR(SEARCH("P",AT12)))</formula>
    </cfRule>
    <cfRule type="containsText" dxfId="627" priority="3647" operator="containsText" text="A">
      <formula>NOT(ISERROR(SEARCH("A",AT12)))</formula>
    </cfRule>
    <cfRule type="containsText" dxfId="626" priority="3650" operator="containsText" text="P">
      <formula>NOT(ISERROR(SEARCH("P",AT12)))</formula>
    </cfRule>
  </conditionalFormatting>
  <conditionalFormatting sqref="AT10:AW10">
    <cfRule type="containsText" dxfId="625" priority="3656" operator="containsText" text="P">
      <formula>NOT(ISERROR(SEARCH("P",AT10)))</formula>
    </cfRule>
    <cfRule type="containsText" dxfId="624" priority="3657" operator="containsText" text="A">
      <formula>NOT(ISERROR(SEARCH("A",AT10)))</formula>
    </cfRule>
    <cfRule type="containsText" dxfId="623" priority="3658" operator="containsText" text="P">
      <formula>NOT(ISERROR(SEARCH("P",AT10)))</formula>
    </cfRule>
    <cfRule type="containsText" dxfId="622" priority="3655" operator="containsText" text="A">
      <formula>NOT(ISERROR(SEARCH("A",AT10)))</formula>
    </cfRule>
  </conditionalFormatting>
  <conditionalFormatting sqref="AT27:AW27">
    <cfRule type="containsText" dxfId="621" priority="3651" operator="containsText" text="A">
      <formula>NOT(ISERROR(SEARCH("A",AT27)))</formula>
    </cfRule>
    <cfRule type="containsText" dxfId="620" priority="3653" operator="containsText" text="A">
      <formula>NOT(ISERROR(SEARCH("A",AT27)))</formula>
    </cfRule>
    <cfRule type="containsText" dxfId="619" priority="3654" operator="containsText" text="P">
      <formula>NOT(ISERROR(SEARCH("P",AT27)))</formula>
    </cfRule>
    <cfRule type="containsText" dxfId="618" priority="3652" operator="containsText" text="P">
      <formula>NOT(ISERROR(SEARCH("P",AT27)))</formula>
    </cfRule>
  </conditionalFormatting>
  <conditionalFormatting sqref="AT38:AW38">
    <cfRule type="containsText" dxfId="617" priority="3668" operator="containsText" text="P">
      <formula>NOT(ISERROR(SEARCH("P",AT38)))</formula>
    </cfRule>
    <cfRule type="containsText" dxfId="616" priority="3670" operator="containsText" text="P">
      <formula>NOT(ISERROR(SEARCH("P",AT38)))</formula>
    </cfRule>
  </conditionalFormatting>
  <conditionalFormatting sqref="AT38:AW39">
    <cfRule type="containsText" dxfId="615" priority="3667" operator="containsText" text="A">
      <formula>NOT(ISERROR(SEARCH("A",AT38)))</formula>
    </cfRule>
    <cfRule type="containsText" dxfId="614" priority="3669" operator="containsText" text="A">
      <formula>NOT(ISERROR(SEARCH("A",AT38)))</formula>
    </cfRule>
  </conditionalFormatting>
  <conditionalFormatting sqref="AT39:AW39">
    <cfRule type="containsText" dxfId="613" priority="3678" operator="containsText" text="P">
      <formula>NOT(ISERROR(SEARCH("P",AT39)))</formula>
    </cfRule>
    <cfRule type="containsText" dxfId="612" priority="3676" operator="containsText" text="P">
      <formula>NOT(ISERROR(SEARCH("P",AT39)))</formula>
    </cfRule>
  </conditionalFormatting>
  <conditionalFormatting sqref="AT8:AX8 AZ8:BA8">
    <cfRule type="containsText" dxfId="611" priority="3812" operator="containsText" text="P">
      <formula>NOT(ISERROR(SEARCH("P",AT8)))</formula>
    </cfRule>
    <cfRule type="containsText" dxfId="610" priority="3811" operator="containsText" text="A">
      <formula>NOT(ISERROR(SEARCH("A",AT8)))</formula>
    </cfRule>
    <cfRule type="containsText" dxfId="609" priority="3814" operator="containsText" text="P">
      <formula>NOT(ISERROR(SEARCH("P",AT8)))</formula>
    </cfRule>
    <cfRule type="containsText" dxfId="608" priority="3813" operator="containsText" text="A">
      <formula>NOT(ISERROR(SEARCH("A",AT8)))</formula>
    </cfRule>
  </conditionalFormatting>
  <conditionalFormatting sqref="AT35:AX35 AZ35:CE35 CB36:CE36 AX38:CE38">
    <cfRule type="containsText" dxfId="607" priority="3929" operator="containsText" text="A">
      <formula>NOT(ISERROR(SEARCH("A",AT35)))</formula>
    </cfRule>
    <cfRule type="containsText" dxfId="606" priority="3927" operator="containsText" text="A">
      <formula>NOT(ISERROR(SEARCH("A",AT35)))</formula>
    </cfRule>
  </conditionalFormatting>
  <conditionalFormatting sqref="AT35:AX35 CB36:CE36 AX38:CE38 AZ35:CE35">
    <cfRule type="containsText" dxfId="605" priority="3928" operator="containsText" text="P">
      <formula>NOT(ISERROR(SEARCH("P",AT35)))</formula>
    </cfRule>
    <cfRule type="containsText" dxfId="604" priority="3930" operator="containsText" text="P">
      <formula>NOT(ISERROR(SEARCH("P",AT35)))</formula>
    </cfRule>
  </conditionalFormatting>
  <conditionalFormatting sqref="AT3:AZ6 AT9:AZ9 AT17:AZ17 AT20:AZ21 AT28:AZ29 AT42:AZ42 AT60:AZ60 AT70:AZ70 AT80:AZ80 AT86:AZ86 AT93:AZ93">
    <cfRule type="containsText" dxfId="603" priority="21" operator="containsText" text="A">
      <formula>NOT(ISERROR(SEARCH("A",AT3)))</formula>
    </cfRule>
    <cfRule type="containsText" dxfId="602" priority="23" operator="containsText" text="A">
      <formula>NOT(ISERROR(SEARCH("A",AT3)))</formula>
    </cfRule>
  </conditionalFormatting>
  <conditionalFormatting sqref="AT14:AZ14">
    <cfRule type="containsText" dxfId="601" priority="2360" operator="containsText" text="P">
      <formula>NOT(ISERROR(SEARCH("P",AT14)))</formula>
    </cfRule>
    <cfRule type="containsText" dxfId="600" priority="2362" operator="containsText" text="P">
      <formula>NOT(ISERROR(SEARCH("P",AT14)))</formula>
    </cfRule>
  </conditionalFormatting>
  <conditionalFormatting sqref="AT14:AZ15 AT25:AZ25 AT32:AZ32 AT51:AZ51">
    <cfRule type="containsText" dxfId="599" priority="103" operator="containsText" text="A">
      <formula>NOT(ISERROR(SEARCH("A",AT14)))</formula>
    </cfRule>
    <cfRule type="containsText" dxfId="598" priority="105" operator="containsText" text="A">
      <formula>NOT(ISERROR(SEARCH("A",AT14)))</formula>
    </cfRule>
  </conditionalFormatting>
  <conditionalFormatting sqref="AT45:AZ45">
    <cfRule type="containsText" dxfId="597" priority="2289" operator="containsText" text="A">
      <formula>NOT(ISERROR(SEARCH("A",AT45)))</formula>
    </cfRule>
    <cfRule type="containsText" dxfId="596" priority="2287" operator="containsText" text="A">
      <formula>NOT(ISERROR(SEARCH("A",AT45)))</formula>
    </cfRule>
    <cfRule type="containsText" dxfId="595" priority="2290" operator="containsText" text="P">
      <formula>NOT(ISERROR(SEARCH("P",AT45)))</formula>
    </cfRule>
    <cfRule type="containsText" dxfId="594" priority="2288" operator="containsText" text="P">
      <formula>NOT(ISERROR(SEARCH("P",AT45)))</formula>
    </cfRule>
  </conditionalFormatting>
  <conditionalFormatting sqref="AT51:AZ51 AT32:AZ32 AT25:AZ25 AT15:AZ15">
    <cfRule type="containsText" dxfId="593" priority="104" operator="containsText" text="P">
      <formula>NOT(ISERROR(SEARCH("P",AT15)))</formula>
    </cfRule>
    <cfRule type="containsText" dxfId="592" priority="106" operator="containsText" text="P">
      <formula>NOT(ISERROR(SEARCH("P",AT15)))</formula>
    </cfRule>
  </conditionalFormatting>
  <conditionalFormatting sqref="AT93:AZ93 AT86:AZ86 AT80:AZ80 AT70:AZ70 AT60:AZ60 AT42:AZ42 AT28:AZ29 AT20:AZ21 AT17:AZ17 AT9:AZ9 AT3:AZ6">
    <cfRule type="containsText" dxfId="591" priority="24" operator="containsText" text="P">
      <formula>NOT(ISERROR(SEARCH("P",AT3)))</formula>
    </cfRule>
    <cfRule type="containsText" dxfId="590" priority="22" operator="containsText" text="P">
      <formula>NOT(ISERROR(SEARCH("P",AT3)))</formula>
    </cfRule>
  </conditionalFormatting>
  <conditionalFormatting sqref="AT13:BA13">
    <cfRule type="containsText" dxfId="589" priority="3800" operator="containsText" text="P">
      <formula>NOT(ISERROR(SEARCH("P",AT13)))</formula>
    </cfRule>
    <cfRule type="containsText" dxfId="588" priority="3801" operator="containsText" text="A">
      <formula>NOT(ISERROR(SEARCH("A",AT13)))</formula>
    </cfRule>
    <cfRule type="containsText" dxfId="587" priority="3802" operator="containsText" text="P">
      <formula>NOT(ISERROR(SEARCH("P",AT13)))</formula>
    </cfRule>
    <cfRule type="containsText" dxfId="586" priority="3799" operator="containsText" text="A">
      <formula>NOT(ISERROR(SEARCH("A",AT13)))</formula>
    </cfRule>
  </conditionalFormatting>
  <conditionalFormatting sqref="AT33:BA33">
    <cfRule type="containsText" dxfId="585" priority="3932" operator="containsText" text="P">
      <formula>NOT(ISERROR(SEARCH("P",AT33)))</formula>
    </cfRule>
    <cfRule type="containsText" dxfId="584" priority="3933" operator="containsText" text="A">
      <formula>NOT(ISERROR(SEARCH("A",AT33)))</formula>
    </cfRule>
    <cfRule type="containsText" dxfId="583" priority="3934" operator="containsText" text="P">
      <formula>NOT(ISERROR(SEARCH("P",AT33)))</formula>
    </cfRule>
    <cfRule type="containsText" dxfId="582" priority="3931" operator="containsText" text="A">
      <formula>NOT(ISERROR(SEARCH("A",AT33)))</formula>
    </cfRule>
  </conditionalFormatting>
  <conditionalFormatting sqref="AT41:BA41 BE40:CE40 BB39:CE39">
    <cfRule type="containsText" dxfId="581" priority="3922" operator="containsText" text="P">
      <formula>NOT(ISERROR(SEARCH("P",AT39)))</formula>
    </cfRule>
    <cfRule type="containsText" dxfId="580" priority="3920" operator="containsText" text="P">
      <formula>NOT(ISERROR(SEARCH("P",AT39)))</formula>
    </cfRule>
  </conditionalFormatting>
  <conditionalFormatting sqref="AT82:BA82">
    <cfRule type="containsText" dxfId="579" priority="2258" operator="containsText" text="P">
      <formula>NOT(ISERROR(SEARCH("P",AT82)))</formula>
    </cfRule>
    <cfRule type="containsText" dxfId="578" priority="2255" operator="containsText" text="A">
      <formula>NOT(ISERROR(SEARCH("A",AT82)))</formula>
    </cfRule>
    <cfRule type="containsText" dxfId="577" priority="2257" operator="containsText" text="A">
      <formula>NOT(ISERROR(SEARCH("A",AT82)))</formula>
    </cfRule>
    <cfRule type="containsText" dxfId="576" priority="2256" operator="containsText" text="P">
      <formula>NOT(ISERROR(SEARCH("P",AT82)))</formula>
    </cfRule>
  </conditionalFormatting>
  <conditionalFormatting sqref="AT49:BC49">
    <cfRule type="containsText" dxfId="575" priority="3721" operator="containsText" text="A">
      <formula>NOT(ISERROR(SEARCH("A",AT49)))</formula>
    </cfRule>
    <cfRule type="containsText" dxfId="574" priority="3720" operator="containsText" text="P">
      <formula>NOT(ISERROR(SEARCH("P",AT49)))</formula>
    </cfRule>
    <cfRule type="containsText" dxfId="573" priority="3719" operator="containsText" text="A">
      <formula>NOT(ISERROR(SEARCH("A",AT49)))</formula>
    </cfRule>
    <cfRule type="containsText" dxfId="572" priority="3722" operator="containsText" text="P">
      <formula>NOT(ISERROR(SEARCH("P",AT49)))</formula>
    </cfRule>
  </conditionalFormatting>
  <conditionalFormatting sqref="AT40:BD40">
    <cfRule type="containsText" dxfId="571" priority="3682" operator="containsText" text="P">
      <formula>NOT(ISERROR(SEARCH("P",AT40)))</formula>
    </cfRule>
    <cfRule type="containsText" dxfId="570" priority="3681" operator="containsText" text="A">
      <formula>NOT(ISERROR(SEARCH("A",AT40)))</formula>
    </cfRule>
    <cfRule type="containsText" dxfId="569" priority="3680" operator="containsText" text="P">
      <formula>NOT(ISERROR(SEARCH("P",AT40)))</formula>
    </cfRule>
    <cfRule type="containsText" dxfId="568" priority="3679" operator="containsText" text="A">
      <formula>NOT(ISERROR(SEARCH("A",AT40)))</formula>
    </cfRule>
  </conditionalFormatting>
  <conditionalFormatting sqref="AT24:BE24 AT30:BE31 AT34:BE34 BG34:BM34 AT54:BE54 BG54:BM54 AT77:BE77 BG77:BM77 AT83:BE83 BG83:BM83 AT90:BE90 BG90:BM90">
    <cfRule type="containsText" dxfId="567" priority="1270" operator="containsText" text="A">
      <formula>NOT(ISERROR(SEARCH("A",AT24)))</formula>
    </cfRule>
    <cfRule type="containsText" dxfId="566" priority="1271" operator="containsText" text="A">
      <formula>NOT(ISERROR(SEARCH("A",AT24)))</formula>
    </cfRule>
  </conditionalFormatting>
  <conditionalFormatting sqref="AT43:BE43 BG43:CE43">
    <cfRule type="containsText" dxfId="565" priority="3778" operator="containsText" text="P">
      <formula>NOT(ISERROR(SEARCH("P",AT43)))</formula>
    </cfRule>
    <cfRule type="containsText" dxfId="564" priority="3777" operator="containsText" text="A">
      <formula>NOT(ISERROR(SEARCH("A",AT43)))</formula>
    </cfRule>
    <cfRule type="containsText" dxfId="563" priority="3776" operator="containsText" text="P">
      <formula>NOT(ISERROR(SEARCH("P",AT43)))</formula>
    </cfRule>
    <cfRule type="containsText" dxfId="562" priority="3775" operator="containsText" text="A">
      <formula>NOT(ISERROR(SEARCH("A",AT43)))</formula>
    </cfRule>
  </conditionalFormatting>
  <conditionalFormatting sqref="AT48:BE48 BG48:BL48 AT46:BE46 BG46:CE46 AT30:BE30 BG30:CE30 BN48:CE48">
    <cfRule type="containsText" dxfId="561" priority="3850" operator="containsText" text="P">
      <formula>NOT(ISERROR(SEARCH("P",AT30)))</formula>
    </cfRule>
    <cfRule type="containsText" dxfId="560" priority="3848" operator="containsText" text="P">
      <formula>NOT(ISERROR(SEARCH("P",AT30)))</formula>
    </cfRule>
  </conditionalFormatting>
  <conditionalFormatting sqref="AT72:BE72">
    <cfRule type="containsText" dxfId="559" priority="2985" operator="containsText" text="A">
      <formula>NOT(ISERROR(SEARCH("A",AT72)))</formula>
    </cfRule>
    <cfRule type="containsText" dxfId="558" priority="2984" operator="containsText" text="P">
      <formula>NOT(ISERROR(SEARCH("P",AT72)))</formula>
    </cfRule>
    <cfRule type="containsText" dxfId="557" priority="2983" operator="containsText" text="A">
      <formula>NOT(ISERROR(SEARCH("A",AT72)))</formula>
    </cfRule>
    <cfRule type="containsText" dxfId="556" priority="2986" operator="containsText" text="P">
      <formula>NOT(ISERROR(SEARCH("P",AT72)))</formula>
    </cfRule>
  </conditionalFormatting>
  <conditionalFormatting sqref="AT90:BE90 BG90:BM90 AT83:BE83 BG83:BM83 AT77:BE77 BG77:BM77 AT54:BE54 BG54:BM54 AT34:BE34 BG34:BM34 AT31:BE31 BG31:BM31">
    <cfRule type="containsText" dxfId="555" priority="1274" operator="containsText" text="P">
      <formula>NOT(ISERROR(SEARCH("P",AT31)))</formula>
    </cfRule>
    <cfRule type="containsText" dxfId="554" priority="1275" operator="containsText" text="P">
      <formula>NOT(ISERROR(SEARCH("P",AT31)))</formula>
    </cfRule>
  </conditionalFormatting>
  <conditionalFormatting sqref="AT23:BT23">
    <cfRule type="containsText" dxfId="553" priority="3730" operator="containsText" text="P">
      <formula>NOT(ISERROR(SEARCH("P",AT23)))</formula>
    </cfRule>
    <cfRule type="containsText" dxfId="552" priority="3728" operator="containsText" text="P">
      <formula>NOT(ISERROR(SEARCH("P",AT23)))</formula>
    </cfRule>
    <cfRule type="containsText" dxfId="551" priority="3727" operator="containsText" text="A">
      <formula>NOT(ISERROR(SEARCH("A",AT23)))</formula>
    </cfRule>
    <cfRule type="containsText" dxfId="550" priority="3729" operator="containsText" text="A">
      <formula>NOT(ISERROR(SEARCH("A",AT23)))</formula>
    </cfRule>
  </conditionalFormatting>
  <conditionalFormatting sqref="AT7:CE7">
    <cfRule type="containsText" dxfId="549" priority="3817" operator="containsText" text="A">
      <formula>NOT(ISERROR(SEARCH("A",AT7)))</formula>
    </cfRule>
    <cfRule type="containsText" dxfId="548" priority="3818" operator="containsText" text="P">
      <formula>NOT(ISERROR(SEARCH("P",AT7)))</formula>
    </cfRule>
    <cfRule type="containsText" dxfId="547" priority="3815" operator="containsText" text="A">
      <formula>NOT(ISERROR(SEARCH("A",AT7)))</formula>
    </cfRule>
    <cfRule type="containsText" dxfId="546" priority="3816" operator="containsText" text="P">
      <formula>NOT(ISERROR(SEARCH("P",AT7)))</formula>
    </cfRule>
  </conditionalFormatting>
  <conditionalFormatting sqref="AT44:CE44 BA45:BE45">
    <cfRule type="containsText" dxfId="545" priority="3909" operator="containsText" text="A">
      <formula>NOT(ISERROR(SEARCH("A",AT44)))</formula>
    </cfRule>
    <cfRule type="containsText" dxfId="544" priority="3910" operator="containsText" text="P">
      <formula>NOT(ISERROR(SEARCH("P",AT44)))</formula>
    </cfRule>
    <cfRule type="containsText" dxfId="543" priority="3907" operator="containsText" text="A">
      <formula>NOT(ISERROR(SEARCH("A",AT44)))</formula>
    </cfRule>
    <cfRule type="containsText" dxfId="542" priority="3908" operator="containsText" text="P">
      <formula>NOT(ISERROR(SEARCH("P",AT44)))</formula>
    </cfRule>
  </conditionalFormatting>
  <conditionalFormatting sqref="AT47:CE47">
    <cfRule type="containsText" dxfId="541" priority="3896" operator="containsText" text="P">
      <formula>NOT(ISERROR(SEARCH("P",AT47)))</formula>
    </cfRule>
    <cfRule type="containsText" dxfId="540" priority="3898" operator="containsText" text="P">
      <formula>NOT(ISERROR(SEARCH("P",AT47)))</formula>
    </cfRule>
    <cfRule type="containsText" dxfId="539" priority="3897" operator="containsText" text="A">
      <formula>NOT(ISERROR(SEARCH("A",AT47)))</formula>
    </cfRule>
    <cfRule type="containsText" dxfId="538" priority="3895" operator="containsText" text="A">
      <formula>NOT(ISERROR(SEARCH("A",AT47)))</formula>
    </cfRule>
  </conditionalFormatting>
  <conditionalFormatting sqref="AT52:CE52">
    <cfRule type="containsText" dxfId="537" priority="3874" operator="containsText" text="P">
      <formula>NOT(ISERROR(SEARCH("P",AT52)))</formula>
    </cfRule>
    <cfRule type="containsText" dxfId="536" priority="3873" operator="containsText" text="A">
      <formula>NOT(ISERROR(SEARCH("A",AT52)))</formula>
    </cfRule>
    <cfRule type="containsText" dxfId="535" priority="3871" operator="containsText" text="A">
      <formula>NOT(ISERROR(SEARCH("A",AT52)))</formula>
    </cfRule>
    <cfRule type="containsText" dxfId="534" priority="3872" operator="containsText" text="P">
      <formula>NOT(ISERROR(SEARCH("P",AT52)))</formula>
    </cfRule>
  </conditionalFormatting>
  <conditionalFormatting sqref="AT61:CE61 X96:CG98 AJ94:CG95">
    <cfRule type="containsText" dxfId="533" priority="4086" operator="containsText" text="P">
      <formula>NOT(ISERROR(SEARCH("P",X61)))</formula>
    </cfRule>
    <cfRule type="containsText" dxfId="532" priority="4084" operator="containsText" text="P">
      <formula>NOT(ISERROR(SEARCH("P",X61)))</formula>
    </cfRule>
  </conditionalFormatting>
  <conditionalFormatting sqref="AT61:CE61 AJ94:CG95 X96:CG98">
    <cfRule type="containsText" dxfId="531" priority="4085" operator="containsText" text="A">
      <formula>NOT(ISERROR(SEARCH("A",X61)))</formula>
    </cfRule>
    <cfRule type="containsText" dxfId="530" priority="4083" operator="containsText" text="A">
      <formula>NOT(ISERROR(SEARCH("A",X61)))</formula>
    </cfRule>
  </conditionalFormatting>
  <conditionalFormatting sqref="AU22">
    <cfRule type="containsText" dxfId="529" priority="1189" operator="containsText" text="A">
      <formula>NOT(ISERROR(SEARCH("A",AU22)))</formula>
    </cfRule>
    <cfRule type="containsText" dxfId="528" priority="1190" operator="containsText" text="P">
      <formula>NOT(ISERROR(SEARCH("P",AU22)))</formula>
    </cfRule>
    <cfRule type="containsText" dxfId="527" priority="1191" operator="containsText" text="A">
      <formula>NOT(ISERROR(SEARCH("A",AU22)))</formula>
    </cfRule>
    <cfRule type="containsText" dxfId="526" priority="1192" operator="containsText" text="P">
      <formula>NOT(ISERROR(SEARCH("P",AU22)))</formula>
    </cfRule>
  </conditionalFormatting>
  <conditionalFormatting sqref="AV50:AX50 AZ50:CE50">
    <cfRule type="containsText" dxfId="525" priority="3886" operator="containsText" text="P">
      <formula>NOT(ISERROR(SEARCH("P",AV50)))</formula>
    </cfRule>
    <cfRule type="containsText" dxfId="524" priority="3885" operator="containsText" text="A">
      <formula>NOT(ISERROR(SEARCH("A",AV50)))</formula>
    </cfRule>
    <cfRule type="containsText" dxfId="523" priority="3884" operator="containsText" text="P">
      <formula>NOT(ISERROR(SEARCH("P",AV50)))</formula>
    </cfRule>
    <cfRule type="containsText" dxfId="522" priority="3883" operator="containsText" text="A">
      <formula>NOT(ISERROR(SEARCH("A",AV50)))</formula>
    </cfRule>
  </conditionalFormatting>
  <conditionalFormatting sqref="AV26:BG26 BI26:CE26 AV37:BG37 BI37:CE37">
    <cfRule type="containsText" dxfId="521" priority="3841" operator="containsText" text="A">
      <formula>NOT(ISERROR(SEARCH("A",AV26)))</formula>
    </cfRule>
    <cfRule type="containsText" dxfId="520" priority="3839" operator="containsText" text="A">
      <formula>NOT(ISERROR(SEARCH("A",AV26)))</formula>
    </cfRule>
  </conditionalFormatting>
  <conditionalFormatting sqref="AV37:BG37 BI37:CE37 AV26:BG26 BI26:CE26">
    <cfRule type="containsText" dxfId="519" priority="3840" operator="containsText" text="P">
      <formula>NOT(ISERROR(SEARCH("P",AV26)))</formula>
    </cfRule>
    <cfRule type="containsText" dxfId="518" priority="3842" operator="containsText" text="P">
      <formula>NOT(ISERROR(SEARCH("P",AV26)))</formula>
    </cfRule>
  </conditionalFormatting>
  <conditionalFormatting sqref="AV36:BL36 BN36:CA36">
    <cfRule type="containsText" dxfId="517" priority="3866" operator="containsText" text="P">
      <formula>NOT(ISERROR(SEARCH("P",AV36)))</formula>
    </cfRule>
    <cfRule type="containsText" dxfId="516" priority="3865" operator="containsText" text="A">
      <formula>NOT(ISERROR(SEARCH("A",AV36)))</formula>
    </cfRule>
    <cfRule type="containsText" dxfId="515" priority="3864" operator="containsText" text="P">
      <formula>NOT(ISERROR(SEARCH("P",AV36)))</formula>
    </cfRule>
    <cfRule type="containsText" dxfId="514" priority="3863" operator="containsText" text="A">
      <formula>NOT(ISERROR(SEARCH("A",AV36)))</formula>
    </cfRule>
  </conditionalFormatting>
  <conditionalFormatting sqref="AV88:CE88">
    <cfRule type="containsText" dxfId="513" priority="2214" operator="containsText" text="P">
      <formula>NOT(ISERROR(SEARCH("P",AV88)))</formula>
    </cfRule>
    <cfRule type="containsText" dxfId="512" priority="2213" operator="containsText" text="A">
      <formula>NOT(ISERROR(SEARCH("A",AV88)))</formula>
    </cfRule>
    <cfRule type="containsText" dxfId="511" priority="2212" operator="containsText" text="P">
      <formula>NOT(ISERROR(SEARCH("P",AV88)))</formula>
    </cfRule>
    <cfRule type="containsText" dxfId="510" priority="2211" operator="containsText" text="A">
      <formula>NOT(ISERROR(SEARCH("A",AV88)))</formula>
    </cfRule>
  </conditionalFormatting>
  <conditionalFormatting sqref="AW12:BC12">
    <cfRule type="containsText" dxfId="509" priority="3724" operator="containsText" text="P">
      <formula>NOT(ISERROR(SEARCH("P",AW12)))</formula>
    </cfRule>
    <cfRule type="containsText" dxfId="508" priority="3723" operator="containsText" text="A">
      <formula>NOT(ISERROR(SEARCH("A",AW12)))</formula>
    </cfRule>
    <cfRule type="containsText" dxfId="507" priority="3726" operator="containsText" text="P">
      <formula>NOT(ISERROR(SEARCH("P",AW12)))</formula>
    </cfRule>
    <cfRule type="containsText" dxfId="506" priority="3725" operator="containsText" text="A">
      <formula>NOT(ISERROR(SEARCH("A",AW12)))</formula>
    </cfRule>
  </conditionalFormatting>
  <conditionalFormatting sqref="AX27 AZ27:BA27">
    <cfRule type="containsText" dxfId="505" priority="3747" operator="containsText" text="A">
      <formula>NOT(ISERROR(SEARCH("A",AX27)))</formula>
    </cfRule>
    <cfRule type="containsText" dxfId="504" priority="3748" operator="containsText" text="P">
      <formula>NOT(ISERROR(SEARCH("P",AX27)))</formula>
    </cfRule>
    <cfRule type="containsText" dxfId="503" priority="3750" operator="containsText" text="P">
      <formula>NOT(ISERROR(SEARCH("P",AX27)))</formula>
    </cfRule>
    <cfRule type="containsText" dxfId="502" priority="3749" operator="containsText" text="A">
      <formula>NOT(ISERROR(SEARCH("A",AX27)))</formula>
    </cfRule>
  </conditionalFormatting>
  <conditionalFormatting sqref="AX39 AZ39:BA39">
    <cfRule type="containsText" dxfId="501" priority="3916" operator="containsText" text="P">
      <formula>NOT(ISERROR(SEARCH("P",AX39)))</formula>
    </cfRule>
    <cfRule type="containsText" dxfId="500" priority="3915" operator="containsText" text="A">
      <formula>NOT(ISERROR(SEARCH("A",AX39)))</formula>
    </cfRule>
    <cfRule type="containsText" dxfId="499" priority="3918" operator="containsText" text="P">
      <formula>NOT(ISERROR(SEARCH("P",AX39)))</formula>
    </cfRule>
    <cfRule type="containsText" dxfId="498" priority="3917" operator="containsText" text="A">
      <formula>NOT(ISERROR(SEARCH("A",AX39)))</formula>
    </cfRule>
  </conditionalFormatting>
  <conditionalFormatting sqref="AX10:BE10 BG10:CE10">
    <cfRule type="containsText" dxfId="497" priority="3830" operator="containsText" text="P">
      <formula>NOT(ISERROR(SEARCH("P",AX10)))</formula>
    </cfRule>
    <cfRule type="containsText" dxfId="496" priority="3828" operator="containsText" text="P">
      <formula>NOT(ISERROR(SEARCH("P",AX10)))</formula>
    </cfRule>
  </conditionalFormatting>
  <conditionalFormatting sqref="AX10:BE10 BG10:CE11">
    <cfRule type="containsText" dxfId="495" priority="3829" operator="containsText" text="A">
      <formula>NOT(ISERROR(SEARCH("A",AX10)))</formula>
    </cfRule>
    <cfRule type="containsText" dxfId="494" priority="3827" operator="containsText" text="A">
      <formula>NOT(ISERROR(SEARCH("A",AX10)))</formula>
    </cfRule>
  </conditionalFormatting>
  <conditionalFormatting sqref="AY8">
    <cfRule type="containsText" dxfId="493" priority="3808" operator="containsText" text="P">
      <formula>NOT(ISERROR(SEARCH("P",AY8)))</formula>
    </cfRule>
    <cfRule type="containsText" dxfId="492" priority="3807" operator="containsText" text="A">
      <formula>NOT(ISERROR(SEARCH("A",AY8)))</formula>
    </cfRule>
    <cfRule type="containsText" dxfId="491" priority="3810" operator="containsText" text="P">
      <formula>NOT(ISERROR(SEARCH("P",AY8)))</formula>
    </cfRule>
    <cfRule type="containsText" dxfId="490" priority="3809" operator="containsText" text="A">
      <formula>NOT(ISERROR(SEARCH("A",AY8)))</formula>
    </cfRule>
  </conditionalFormatting>
  <conditionalFormatting sqref="AY11">
    <cfRule type="containsText" dxfId="489" priority="3986" operator="containsText" text="P">
      <formula>NOT(ISERROR(SEARCH("P",AY11)))</formula>
    </cfRule>
    <cfRule type="containsText" dxfId="488" priority="3984" operator="containsText" text="P">
      <formula>NOT(ISERROR(SEARCH("P",AY11)))</formula>
    </cfRule>
    <cfRule type="containsText" dxfId="487" priority="3983" operator="containsText" text="A">
      <formula>NOT(ISERROR(SEARCH("A",AY11)))</formula>
    </cfRule>
    <cfRule type="containsText" dxfId="486" priority="3985" operator="containsText" text="A">
      <formula>NOT(ISERROR(SEARCH("A",AY11)))</formula>
    </cfRule>
  </conditionalFormatting>
  <conditionalFormatting sqref="AY27">
    <cfRule type="containsText" dxfId="485" priority="3737" operator="containsText" text="A">
      <formula>NOT(ISERROR(SEARCH("A",AY27)))</formula>
    </cfRule>
    <cfRule type="containsText" dxfId="484" priority="3746" operator="containsText" text="P">
      <formula>NOT(ISERROR(SEARCH("P",AY27)))</formula>
    </cfRule>
    <cfRule type="containsText" dxfId="483" priority="3744" operator="containsText" text="P">
      <formula>NOT(ISERROR(SEARCH("P",AY27)))</formula>
    </cfRule>
    <cfRule type="containsText" dxfId="482" priority="3735" operator="containsText" text="A">
      <formula>NOT(ISERROR(SEARCH("A",AY27)))</formula>
    </cfRule>
  </conditionalFormatting>
  <conditionalFormatting sqref="AY35">
    <cfRule type="containsText" dxfId="481" priority="3923" operator="containsText" text="A">
      <formula>NOT(ISERROR(SEARCH("A",AY35)))</formula>
    </cfRule>
    <cfRule type="containsText" dxfId="480" priority="3924" operator="containsText" text="P">
      <formula>NOT(ISERROR(SEARCH("P",AY35)))</formula>
    </cfRule>
    <cfRule type="containsText" dxfId="479" priority="3925" operator="containsText" text="A">
      <formula>NOT(ISERROR(SEARCH("A",AY35)))</formula>
    </cfRule>
    <cfRule type="containsText" dxfId="478" priority="3926" operator="containsText" text="P">
      <formula>NOT(ISERROR(SEARCH("P",AY35)))</formula>
    </cfRule>
  </conditionalFormatting>
  <conditionalFormatting sqref="AY39">
    <cfRule type="containsText" dxfId="477" priority="3913" operator="containsText" text="A">
      <formula>NOT(ISERROR(SEARCH("A",AY39)))</formula>
    </cfRule>
    <cfRule type="containsText" dxfId="476" priority="3914" operator="containsText" text="P">
      <formula>NOT(ISERROR(SEARCH("P",AY39)))</formula>
    </cfRule>
    <cfRule type="containsText" dxfId="475" priority="3912" operator="containsText" text="P">
      <formula>NOT(ISERROR(SEARCH("P",AY39)))</formula>
    </cfRule>
    <cfRule type="containsText" dxfId="474" priority="3911" operator="containsText" text="A">
      <formula>NOT(ISERROR(SEARCH("A",AY39)))</formula>
    </cfRule>
  </conditionalFormatting>
  <conditionalFormatting sqref="AY50">
    <cfRule type="containsText" dxfId="473" priority="3882" operator="containsText" text="P">
      <formula>NOT(ISERROR(SEARCH("P",AY50)))</formula>
    </cfRule>
    <cfRule type="containsText" dxfId="472" priority="3880" operator="containsText" text="P">
      <formula>NOT(ISERROR(SEARCH("P",AY50)))</formula>
    </cfRule>
    <cfRule type="containsText" dxfId="471" priority="3711" operator="containsText" text="A">
      <formula>NOT(ISERROR(SEARCH("A",AY50)))</formula>
    </cfRule>
    <cfRule type="containsText" dxfId="470" priority="3713" operator="containsText" text="A">
      <formula>NOT(ISERROR(SEARCH("A",AY50)))</formula>
    </cfRule>
  </conditionalFormatting>
  <conditionalFormatting sqref="AY55">
    <cfRule type="containsText" dxfId="469" priority="2291" operator="containsText" text="A">
      <formula>NOT(ISERROR(SEARCH("A",AY55)))</formula>
    </cfRule>
    <cfRule type="containsText" dxfId="468" priority="2293" operator="containsText" text="A">
      <formula>NOT(ISERROR(SEARCH("A",AY55)))</formula>
    </cfRule>
    <cfRule type="containsText" dxfId="467" priority="2292" operator="containsText" text="P">
      <formula>NOT(ISERROR(SEARCH("P",AY55)))</formula>
    </cfRule>
    <cfRule type="containsText" dxfId="466" priority="2294" operator="containsText" text="P">
      <formula>NOT(ISERROR(SEARCH("P",AY55)))</formula>
    </cfRule>
  </conditionalFormatting>
  <conditionalFormatting sqref="AZ55:BA55 AJ55:AT55 AV55:AX55">
    <cfRule type="containsText" dxfId="465" priority="2296" operator="containsText" text="P">
      <formula>NOT(ISERROR(SEARCH("P",AJ55)))</formula>
    </cfRule>
    <cfRule type="containsText" dxfId="464" priority="2298" operator="containsText" text="P">
      <formula>NOT(ISERROR(SEARCH("P",AJ55)))</formula>
    </cfRule>
  </conditionalFormatting>
  <conditionalFormatting sqref="BA3:BE6 BG3:BM6 BA9:BE9 BG9:BM9 BA17:BE17 BG17:BM17 BA20:BE21 BG20:BM21 BG27:BM29 BA28:BE29 BA42:BE42 BG42:BM42 BA60:BE60 BG60:BM60 BA70:BE70 BG70:BM70 BA80:BE80 BG80:BM80 BA86:BE86 BG86:BM86 BA93:BE93 BG93:BM93">
    <cfRule type="containsText" dxfId="463" priority="31" operator="containsText" text="A">
      <formula>NOT(ISERROR(SEARCH("A",BA3)))</formula>
    </cfRule>
    <cfRule type="containsText" dxfId="462" priority="29" operator="containsText" text="A">
      <formula>NOT(ISERROR(SEARCH("A",BA3)))</formula>
    </cfRule>
  </conditionalFormatting>
  <conditionalFormatting sqref="BA14:BE15 BG14:BM15 BA25:BE25 BG25:BM25 BG31:BM32 BA32:BE32 BA51:BE51 BG51:BM51">
    <cfRule type="containsText" dxfId="461" priority="111" operator="containsText" text="A">
      <formula>NOT(ISERROR(SEARCH("A",BA14)))</formula>
    </cfRule>
    <cfRule type="containsText" dxfId="460" priority="113" operator="containsText" text="A">
      <formula>NOT(ISERROR(SEARCH("A",BA14)))</formula>
    </cfRule>
  </conditionalFormatting>
  <conditionalFormatting sqref="BA51:BE51 BG51:BM51 BA32:BE32 BG32:BM32 BA25:BE25 BG25:BM25 BA15:BE15 BG15:BM15">
    <cfRule type="containsText" dxfId="459" priority="112" operator="containsText" text="P">
      <formula>NOT(ISERROR(SEARCH("P",BA15)))</formula>
    </cfRule>
    <cfRule type="containsText" dxfId="458" priority="114" operator="containsText" text="P">
      <formula>NOT(ISERROR(SEARCH("P",BA15)))</formula>
    </cfRule>
  </conditionalFormatting>
  <conditionalFormatting sqref="BA93:BE93 BG93:BM93 BA86:BE86 BG86:BM86 BA80:BE80 BG80:BM80 BA70:BE70 BG70:BM70 BA60:BE60 BG60:BM60 BA42:BE42 BG42:BM42 BA28:BE29 BG28:BM29 BA20:BE21 BG20:BM21 BA17:BE17 BG17:BM17 BA9:BE9 BG9:BM9 BA3:BE6 BG3:BM6">
    <cfRule type="containsText" dxfId="457" priority="32" operator="containsText" text="P">
      <formula>NOT(ISERROR(SEARCH("P",BA3)))</formula>
    </cfRule>
    <cfRule type="containsText" dxfId="456" priority="30" operator="containsText" text="P">
      <formula>NOT(ISERROR(SEARCH("P",BA3)))</formula>
    </cfRule>
  </conditionalFormatting>
  <conditionalFormatting sqref="BA53:CE53">
    <cfRule type="containsText" dxfId="455" priority="3867" operator="containsText" text="A">
      <formula>NOT(ISERROR(SEARCH("A",BA53)))</formula>
    </cfRule>
    <cfRule type="containsText" dxfId="454" priority="3870" operator="containsText" text="P">
      <formula>NOT(ISERROR(SEARCH("P",BA53)))</formula>
    </cfRule>
    <cfRule type="containsText" dxfId="453" priority="3868" operator="containsText" text="P">
      <formula>NOT(ISERROR(SEARCH("P",BA53)))</formula>
    </cfRule>
    <cfRule type="containsText" dxfId="452" priority="3869" operator="containsText" text="A">
      <formula>NOT(ISERROR(SEARCH("A",BA53)))</formula>
    </cfRule>
  </conditionalFormatting>
  <conditionalFormatting sqref="BB27 BD27:BE27">
    <cfRule type="containsText" dxfId="451" priority="3755" operator="containsText" text="A">
      <formula>NOT(ISERROR(SEARCH("A",BB27)))</formula>
    </cfRule>
    <cfRule type="containsText" dxfId="450" priority="3757" operator="containsText" text="A">
      <formula>NOT(ISERROR(SEARCH("A",BB27)))</formula>
    </cfRule>
  </conditionalFormatting>
  <conditionalFormatting sqref="BB27 BG27:BM27 BD27:BE27">
    <cfRule type="containsText" dxfId="449" priority="3756" operator="containsText" text="P">
      <formula>NOT(ISERROR(SEARCH("P",BB27)))</formula>
    </cfRule>
    <cfRule type="containsText" dxfId="448" priority="3758" operator="containsText" text="P">
      <formula>NOT(ISERROR(SEARCH("P",BB27)))</formula>
    </cfRule>
  </conditionalFormatting>
  <conditionalFormatting sqref="BB8:BE8 AV11:AX11 AZ11:BE11 BQ12:CE12 BO22:CE22 CB23:CE23 BG24:CE24 BS27:CE27">
    <cfRule type="containsText" dxfId="447" priority="3995" operator="containsText" text="A">
      <formula>NOT(ISERROR(SEARCH("A",AV8)))</formula>
    </cfRule>
    <cfRule type="containsText" dxfId="446" priority="3997" operator="containsText" text="A">
      <formula>NOT(ISERROR(SEARCH("A",AV8)))</formula>
    </cfRule>
  </conditionalFormatting>
  <conditionalFormatting sqref="BB22:BE22 BG22:BN22">
    <cfRule type="containsText" dxfId="445" priority="3783" operator="containsText" text="A">
      <formula>NOT(ISERROR(SEARCH("A",BB22)))</formula>
    </cfRule>
    <cfRule type="containsText" dxfId="444" priority="3785" operator="containsText" text="A">
      <formula>NOT(ISERROR(SEARCH("A",BB22)))</formula>
    </cfRule>
  </conditionalFormatting>
  <conditionalFormatting sqref="BB41:BE41 BG41:CE41">
    <cfRule type="containsText" dxfId="443" priority="3798" operator="containsText" text="P">
      <formula>NOT(ISERROR(SEARCH("P",BB41)))</formula>
    </cfRule>
    <cfRule type="containsText" dxfId="442" priority="3797" operator="containsText" text="A">
      <formula>NOT(ISERROR(SEARCH("A",BB41)))</formula>
    </cfRule>
    <cfRule type="containsText" dxfId="441" priority="3796" operator="containsText" text="P">
      <formula>NOT(ISERROR(SEARCH("P",BB41)))</formula>
    </cfRule>
    <cfRule type="containsText" dxfId="440" priority="3795" operator="containsText" text="A">
      <formula>NOT(ISERROR(SEARCH("A",BB41)))</formula>
    </cfRule>
  </conditionalFormatting>
  <conditionalFormatting sqref="BB13:BK13">
    <cfRule type="containsText" dxfId="439" priority="3819" operator="containsText" text="A">
      <formula>NOT(ISERROR(SEARCH("A",BB13)))</formula>
    </cfRule>
    <cfRule type="containsText" dxfId="438" priority="3820" operator="containsText" text="P">
      <formula>NOT(ISERROR(SEARCH("P",BB13)))</formula>
    </cfRule>
    <cfRule type="containsText" dxfId="437" priority="3821" operator="containsText" text="A">
      <formula>NOT(ISERROR(SEARCH("A",BB13)))</formula>
    </cfRule>
    <cfRule type="containsText" dxfId="436" priority="3822" operator="containsText" text="P">
      <formula>NOT(ISERROR(SEARCH("P",BB13)))</formula>
    </cfRule>
  </conditionalFormatting>
  <conditionalFormatting sqref="BB33:CE33">
    <cfRule type="containsText" dxfId="435" priority="3935" operator="containsText" text="A">
      <formula>NOT(ISERROR(SEARCH("A",BB33)))</formula>
    </cfRule>
    <cfRule type="containsText" dxfId="434" priority="3936" operator="containsText" text="P">
      <formula>NOT(ISERROR(SEARCH("P",BB33)))</formula>
    </cfRule>
    <cfRule type="containsText" dxfId="433" priority="3937" operator="containsText" text="A">
      <formula>NOT(ISERROR(SEARCH("A",BB33)))</formula>
    </cfRule>
    <cfRule type="containsText" dxfId="432" priority="3938" operator="containsText" text="P">
      <formula>NOT(ISERROR(SEARCH("P",BB33)))</formula>
    </cfRule>
  </conditionalFormatting>
  <conditionalFormatting sqref="BB39:CE39 BE40:CE40 AT41:BA41">
    <cfRule type="containsText" dxfId="431" priority="3919" operator="containsText" text="A">
      <formula>NOT(ISERROR(SEARCH("A",AT39)))</formula>
    </cfRule>
    <cfRule type="containsText" dxfId="430" priority="3921" operator="containsText" text="A">
      <formula>NOT(ISERROR(SEARCH("A",AT39)))</formula>
    </cfRule>
  </conditionalFormatting>
  <conditionalFormatting sqref="BB55:CE55 AT56:CE59 AV62:CE62 AU63:CE63 AT64:CE68 AJ67:AS68 BA69:BL69 AT71:CE71 BF72:CE72 AJ78:CE79 AJ81:CE81 BB82:CE82">
    <cfRule type="containsText" dxfId="429" priority="3999" operator="containsText" text="A">
      <formula>NOT(ISERROR(SEARCH("A",AJ55)))</formula>
    </cfRule>
    <cfRule type="containsText" dxfId="428" priority="4001" operator="containsText" text="A">
      <formula>NOT(ISERROR(SEARCH("A",AJ55)))</formula>
    </cfRule>
  </conditionalFormatting>
  <conditionalFormatting sqref="BB55:CE55 AU63:CE63 AT36:AU36 AV62:CE62 BF72:CE72 AT71:CE71 BA69:BL69 BB82:CE82 AT64:CE68 AJ67:AS68 AJ78:CE79 BN69:CE69 AJ81:CE81 AT56:CE59">
    <cfRule type="containsText" dxfId="427" priority="4000" operator="containsText" text="P">
      <formula>NOT(ISERROR(SEARCH("P",AJ36)))</formula>
    </cfRule>
    <cfRule type="containsText" dxfId="426" priority="4002" operator="containsText" text="P">
      <formula>NOT(ISERROR(SEARCH("P",AJ36)))</formula>
    </cfRule>
  </conditionalFormatting>
  <conditionalFormatting sqref="BC27">
    <cfRule type="containsText" dxfId="425" priority="1401" operator="containsText" text="A">
      <formula>NOT(ISERROR(SEARCH("A",BC27)))</formula>
    </cfRule>
    <cfRule type="containsText" dxfId="424" priority="1402" operator="containsText" text="P">
      <formula>NOT(ISERROR(SEARCH("P",BC27)))</formula>
    </cfRule>
    <cfRule type="containsText" dxfId="423" priority="1400" operator="containsText" text="P">
      <formula>NOT(ISERROR(SEARCH("P",BC27)))</formula>
    </cfRule>
    <cfRule type="containsText" dxfId="422" priority="1399" operator="containsText" text="A">
      <formula>NOT(ISERROR(SEARCH("A",BC27)))</formula>
    </cfRule>
  </conditionalFormatting>
  <conditionalFormatting sqref="BD12:BP12">
    <cfRule type="containsText" dxfId="421" priority="3951" operator="containsText" text="A">
      <formula>NOT(ISERROR(SEARCH("A",BD12)))</formula>
    </cfRule>
    <cfRule type="containsText" dxfId="420" priority="3953" operator="containsText" text="A">
      <formula>NOT(ISERROR(SEARCH("A",BD12)))</formula>
    </cfRule>
    <cfRule type="containsText" dxfId="419" priority="3954" operator="containsText" text="P">
      <formula>NOT(ISERROR(SEARCH("P",BD12)))</formula>
    </cfRule>
    <cfRule type="containsText" dxfId="418" priority="3952" operator="containsText" text="P">
      <formula>NOT(ISERROR(SEARCH("P",BD12)))</formula>
    </cfRule>
  </conditionalFormatting>
  <conditionalFormatting sqref="BD49:CE49">
    <cfRule type="containsText" dxfId="417" priority="3891" operator="containsText" text="A">
      <formula>NOT(ISERROR(SEARCH("A",BD49)))</formula>
    </cfRule>
    <cfRule type="containsText" dxfId="416" priority="3894" operator="containsText" text="P">
      <formula>NOT(ISERROR(SEARCH("P",BD49)))</formula>
    </cfRule>
    <cfRule type="containsText" dxfId="415" priority="3893" operator="containsText" text="A">
      <formula>NOT(ISERROR(SEARCH("A",BD49)))</formula>
    </cfRule>
    <cfRule type="containsText" dxfId="414" priority="3892" operator="containsText" text="P">
      <formula>NOT(ISERROR(SEARCH("P",BD49)))</formula>
    </cfRule>
  </conditionalFormatting>
  <conditionalFormatting sqref="BF3:BF6 BF8:BF11 BF27:BF29 BF41:BF43 BF60 BF70 BF80 BF86 BF93">
    <cfRule type="containsText" dxfId="413" priority="57" operator="containsText" text="A">
      <formula>NOT(ISERROR(SEARCH("A",BF3)))</formula>
    </cfRule>
    <cfRule type="containsText" dxfId="412" priority="58" operator="containsText" text="A">
      <formula>NOT(ISERROR(SEARCH("A",BF3)))</formula>
    </cfRule>
  </conditionalFormatting>
  <conditionalFormatting sqref="BF10">
    <cfRule type="containsText" dxfId="411" priority="3826" operator="containsText" text="P">
      <formula>NOT(ISERROR(SEARCH("P",BF10)))</formula>
    </cfRule>
    <cfRule type="containsText" dxfId="410" priority="3824" operator="containsText" text="P">
      <formula>NOT(ISERROR(SEARCH("P",BF10)))</formula>
    </cfRule>
  </conditionalFormatting>
  <conditionalFormatting sqref="BF11 BF24:BF25 BF8:BF9 BF14:BF21">
    <cfRule type="containsText" dxfId="409" priority="3968" operator="containsText" text="P">
      <formula>NOT(ISERROR(SEARCH("P",BF8)))</formula>
    </cfRule>
    <cfRule type="containsText" dxfId="408" priority="3970" operator="containsText" text="P">
      <formula>NOT(ISERROR(SEARCH("P",BF8)))</formula>
    </cfRule>
  </conditionalFormatting>
  <conditionalFormatting sqref="BF14:BF22">
    <cfRule type="containsText" dxfId="407" priority="3781" operator="containsText" text="A">
      <formula>NOT(ISERROR(SEARCH("A",BF14)))</formula>
    </cfRule>
    <cfRule type="containsText" dxfId="406" priority="3779" operator="containsText" text="A">
      <formula>NOT(ISERROR(SEARCH("A",BF14)))</formula>
    </cfRule>
  </conditionalFormatting>
  <conditionalFormatting sqref="BF22">
    <cfRule type="containsText" dxfId="405" priority="3780" operator="containsText" text="P">
      <formula>NOT(ISERROR(SEARCH("P",BF22)))</formula>
    </cfRule>
    <cfRule type="containsText" dxfId="404" priority="3782" operator="containsText" text="P">
      <formula>NOT(ISERROR(SEARCH("P",BF22)))</formula>
    </cfRule>
  </conditionalFormatting>
  <conditionalFormatting sqref="BF27">
    <cfRule type="containsText" dxfId="403" priority="3754" operator="containsText" text="P">
      <formula>NOT(ISERROR(SEARCH("P",BF27)))</formula>
    </cfRule>
    <cfRule type="containsText" dxfId="402" priority="3752" operator="containsText" text="P">
      <formula>NOT(ISERROR(SEARCH("P",BF27)))</formula>
    </cfRule>
  </conditionalFormatting>
  <conditionalFormatting sqref="BF30:BF32 BF51 BF24:BF25">
    <cfRule type="containsText" dxfId="401" priority="84" operator="containsText" text="A">
      <formula>NOT(ISERROR(SEARCH("A",BF24)))</formula>
    </cfRule>
    <cfRule type="containsText" dxfId="400" priority="83" operator="containsText" text="A">
      <formula>NOT(ISERROR(SEARCH("A",BF24)))</formula>
    </cfRule>
  </conditionalFormatting>
  <conditionalFormatting sqref="BF34 BF54 BF77 BF83 BF90">
    <cfRule type="containsText" dxfId="399" priority="1269" operator="containsText" text="A">
      <formula>NOT(ISERROR(SEARCH("A",BF34)))</formula>
    </cfRule>
    <cfRule type="containsText" dxfId="398" priority="1268" operator="containsText" text="A">
      <formula>NOT(ISERROR(SEARCH("A",BF34)))</formula>
    </cfRule>
  </conditionalFormatting>
  <conditionalFormatting sqref="BF41">
    <cfRule type="containsText" dxfId="397" priority="3794" operator="containsText" text="P">
      <formula>NOT(ISERROR(SEARCH("P",BF41)))</formula>
    </cfRule>
    <cfRule type="containsText" dxfId="396" priority="3792" operator="containsText" text="P">
      <formula>NOT(ISERROR(SEARCH("P",BF41)))</formula>
    </cfRule>
  </conditionalFormatting>
  <conditionalFormatting sqref="BF43">
    <cfRule type="containsText" dxfId="395" priority="3772" operator="containsText" text="P">
      <formula>NOT(ISERROR(SEARCH("P",BF43)))</formula>
    </cfRule>
    <cfRule type="containsText" dxfId="394" priority="3774" operator="containsText" text="P">
      <formula>NOT(ISERROR(SEARCH("P",BF43)))</formula>
    </cfRule>
  </conditionalFormatting>
  <conditionalFormatting sqref="BF46 BF48">
    <cfRule type="containsText" dxfId="393" priority="3843" operator="containsText" text="A">
      <formula>NOT(ISERROR(SEARCH("A",BF46)))</formula>
    </cfRule>
    <cfRule type="containsText" dxfId="392" priority="3845" operator="containsText" text="A">
      <formula>NOT(ISERROR(SEARCH("A",BF46)))</formula>
    </cfRule>
  </conditionalFormatting>
  <conditionalFormatting sqref="BF48 BF46 BF30">
    <cfRule type="containsText" dxfId="391" priority="3844" operator="containsText" text="P">
      <formula>NOT(ISERROR(SEARCH("P",BF30)))</formula>
    </cfRule>
    <cfRule type="containsText" dxfId="390" priority="3846" operator="containsText" text="P">
      <formula>NOT(ISERROR(SEARCH("P",BF30)))</formula>
    </cfRule>
  </conditionalFormatting>
  <conditionalFormatting sqref="BF51 BF32">
    <cfRule type="containsText" dxfId="389" priority="61" operator="containsText" text="P">
      <formula>NOT(ISERROR(SEARCH("P",BF32)))</formula>
    </cfRule>
    <cfRule type="containsText" dxfId="388" priority="62" operator="containsText" text="P">
      <formula>NOT(ISERROR(SEARCH("P",BF32)))</formula>
    </cfRule>
  </conditionalFormatting>
  <conditionalFormatting sqref="BF90 BF83 BF77 BF54 BF34 BF31">
    <cfRule type="containsText" dxfId="387" priority="1273" operator="containsText" text="P">
      <formula>NOT(ISERROR(SEARCH("P",BF31)))</formula>
    </cfRule>
    <cfRule type="containsText" dxfId="386" priority="1272" operator="containsText" text="P">
      <formula>NOT(ISERROR(SEARCH("P",BF31)))</formula>
    </cfRule>
  </conditionalFormatting>
  <conditionalFormatting sqref="BF93 BF86 BF80 BF70 BF60 BF42 BF28:BF29 BF3:BF6">
    <cfRule type="containsText" dxfId="385" priority="60" operator="containsText" text="P">
      <formula>NOT(ISERROR(SEARCH("P",BF3)))</formula>
    </cfRule>
    <cfRule type="containsText" dxfId="384" priority="59" operator="containsText" text="P">
      <formula>NOT(ISERROR(SEARCH("P",BF3)))</formula>
    </cfRule>
  </conditionalFormatting>
  <conditionalFormatting sqref="BF45:BL45 BN45:BW45">
    <cfRule type="containsText" dxfId="383" priority="3903" operator="containsText" text="A">
      <formula>NOT(ISERROR(SEARCH("A",BF45)))</formula>
    </cfRule>
    <cfRule type="containsText" dxfId="382" priority="3906" operator="containsText" text="P">
      <formula>NOT(ISERROR(SEARCH("P",BF45)))</formula>
    </cfRule>
    <cfRule type="containsText" dxfId="381" priority="3905" operator="containsText" text="A">
      <formula>NOT(ISERROR(SEARCH("A",BF45)))</formula>
    </cfRule>
    <cfRule type="containsText" dxfId="380" priority="3904" operator="containsText" text="P">
      <formula>NOT(ISERROR(SEARCH("P",BF45)))</formula>
    </cfRule>
  </conditionalFormatting>
  <conditionalFormatting sqref="BG22:BN22 BB22:BE22">
    <cfRule type="containsText" dxfId="379" priority="3786" operator="containsText" text="P">
      <formula>NOT(ISERROR(SEARCH("P",BB22)))</formula>
    </cfRule>
    <cfRule type="containsText" dxfId="378" priority="3784" operator="containsText" text="P">
      <formula>NOT(ISERROR(SEARCH("P",BB22)))</formula>
    </cfRule>
  </conditionalFormatting>
  <conditionalFormatting sqref="BG8:CE8 AT16:BE16 BG16:CE16 BG18:BL18 AT18:BE19 BG19:CE19 BG30:CE30 AT46:BE46 BG46:CE46 AT48:BE48 BG48:BL48 BN48:CE48">
    <cfRule type="containsText" dxfId="377" priority="3847" operator="containsText" text="A">
      <formula>NOT(ISERROR(SEARCH("A",AT8)))</formula>
    </cfRule>
    <cfRule type="containsText" dxfId="376" priority="3849" operator="containsText" text="A">
      <formula>NOT(ISERROR(SEARCH("A",AT8)))</formula>
    </cfRule>
  </conditionalFormatting>
  <conditionalFormatting sqref="BH26 BH37">
    <cfRule type="containsText" dxfId="375" priority="3831" operator="containsText" text="A">
      <formula>NOT(ISERROR(SEARCH("A",BH26)))</formula>
    </cfRule>
    <cfRule type="containsText" dxfId="374" priority="3833" operator="containsText" text="A">
      <formula>NOT(ISERROR(SEARCH("A",BH26)))</formula>
    </cfRule>
  </conditionalFormatting>
  <conditionalFormatting sqref="BH37 BH26">
    <cfRule type="containsText" dxfId="373" priority="3832" operator="containsText" text="P">
      <formula>NOT(ISERROR(SEARCH("P",BH26)))</formula>
    </cfRule>
    <cfRule type="containsText" dxfId="372" priority="3834" operator="containsText" text="P">
      <formula>NOT(ISERROR(SEARCH("P",BH26)))</formula>
    </cfRule>
  </conditionalFormatting>
  <conditionalFormatting sqref="BL13:CE13">
    <cfRule type="containsText" dxfId="371" priority="3788" operator="containsText" text="P">
      <formula>NOT(ISERROR(SEARCH("P",BL13)))</formula>
    </cfRule>
    <cfRule type="containsText" dxfId="370" priority="3787" operator="containsText" text="A">
      <formula>NOT(ISERROR(SEARCH("A",BL13)))</formula>
    </cfRule>
    <cfRule type="containsText" dxfId="369" priority="3789" operator="containsText" text="A">
      <formula>NOT(ISERROR(SEARCH("A",BL13)))</formula>
    </cfRule>
    <cfRule type="containsText" dxfId="368" priority="3790" operator="containsText" text="P">
      <formula>NOT(ISERROR(SEARCH("P",BL13)))</formula>
    </cfRule>
  </conditionalFormatting>
  <conditionalFormatting sqref="BM18">
    <cfRule type="containsText" dxfId="367" priority="1309" operator="containsText" text="P">
      <formula>NOT(ISERROR(SEARCH("P",BM18)))</formula>
    </cfRule>
    <cfRule type="containsText" dxfId="366" priority="1308" operator="containsText" text="A">
      <formula>NOT(ISERROR(SEARCH("A",BM18)))</formula>
    </cfRule>
    <cfRule type="containsText" dxfId="365" priority="1310" operator="containsText" text="A">
      <formula>NOT(ISERROR(SEARCH("A",BM18)))</formula>
    </cfRule>
    <cfRule type="containsText" dxfId="364" priority="1311" operator="containsText" text="P">
      <formula>NOT(ISERROR(SEARCH("P",BM18)))</formula>
    </cfRule>
  </conditionalFormatting>
  <conditionalFormatting sqref="BM36">
    <cfRule type="containsText" dxfId="363" priority="1319" operator="containsText" text="P">
      <formula>NOT(ISERROR(SEARCH("P",BM36)))</formula>
    </cfRule>
    <cfRule type="containsText" dxfId="362" priority="1318" operator="containsText" text="A">
      <formula>NOT(ISERROR(SEARCH("A",BM36)))</formula>
    </cfRule>
    <cfRule type="containsText" dxfId="361" priority="1317" operator="containsText" text="P">
      <formula>NOT(ISERROR(SEARCH("P",BM36)))</formula>
    </cfRule>
    <cfRule type="containsText" dxfId="360" priority="1316" operator="containsText" text="A">
      <formula>NOT(ISERROR(SEARCH("A",BM36)))</formula>
    </cfRule>
  </conditionalFormatting>
  <conditionalFormatting sqref="BM45">
    <cfRule type="containsText" dxfId="359" priority="1315" operator="containsText" text="P">
      <formula>NOT(ISERROR(SEARCH("P",BM45)))</formula>
    </cfRule>
    <cfRule type="containsText" dxfId="358" priority="1314" operator="containsText" text="A">
      <formula>NOT(ISERROR(SEARCH("A",BM45)))</formula>
    </cfRule>
    <cfRule type="containsText" dxfId="357" priority="1313" operator="containsText" text="P">
      <formula>NOT(ISERROR(SEARCH("P",BM45)))</formula>
    </cfRule>
    <cfRule type="containsText" dxfId="356" priority="1312" operator="containsText" text="A">
      <formula>NOT(ISERROR(SEARCH("A",BM45)))</formula>
    </cfRule>
  </conditionalFormatting>
  <conditionalFormatting sqref="BM48">
    <cfRule type="containsText" dxfId="355" priority="1304" operator="containsText" text="A">
      <formula>NOT(ISERROR(SEARCH("A",BM48)))</formula>
    </cfRule>
    <cfRule type="containsText" dxfId="354" priority="1306" operator="containsText" text="A">
      <formula>NOT(ISERROR(SEARCH("A",BM48)))</formula>
    </cfRule>
    <cfRule type="containsText" dxfId="353" priority="1307" operator="containsText" text="P">
      <formula>NOT(ISERROR(SEARCH("P",BM48)))</formula>
    </cfRule>
    <cfRule type="containsText" dxfId="352" priority="1305" operator="containsText" text="P">
      <formula>NOT(ISERROR(SEARCH("P",BM48)))</formula>
    </cfRule>
  </conditionalFormatting>
  <conditionalFormatting sqref="BM69">
    <cfRule type="containsText" dxfId="351" priority="1303" operator="containsText" text="P">
      <formula>NOT(ISERROR(SEARCH("P",BM69)))</formula>
    </cfRule>
    <cfRule type="containsText" dxfId="350" priority="1301" operator="containsText" text="P">
      <formula>NOT(ISERROR(SEARCH("P",BM69)))</formula>
    </cfRule>
    <cfRule type="containsText" dxfId="349" priority="1300" operator="containsText" text="A">
      <formula>NOT(ISERROR(SEARCH("A",BM69)))</formula>
    </cfRule>
    <cfRule type="containsText" dxfId="348" priority="1302" operator="containsText" text="A">
      <formula>NOT(ISERROR(SEARCH("A",BM69)))</formula>
    </cfRule>
  </conditionalFormatting>
  <conditionalFormatting sqref="BM75">
    <cfRule type="containsText" dxfId="347" priority="1299" operator="containsText" text="P">
      <formula>NOT(ISERROR(SEARCH("P",BM75)))</formula>
    </cfRule>
    <cfRule type="containsText" dxfId="346" priority="1298" operator="containsText" text="A">
      <formula>NOT(ISERROR(SEARCH("A",BM75)))</formula>
    </cfRule>
    <cfRule type="containsText" dxfId="345" priority="1297" operator="containsText" text="P">
      <formula>NOT(ISERROR(SEARCH("P",BM75)))</formula>
    </cfRule>
    <cfRule type="containsText" dxfId="344" priority="1296" operator="containsText" text="A">
      <formula>NOT(ISERROR(SEARCH("A",BM75)))</formula>
    </cfRule>
  </conditionalFormatting>
  <conditionalFormatting sqref="BN27">
    <cfRule type="containsText" dxfId="343" priority="3978" operator="containsText" text="P">
      <formula>NOT(ISERROR(SEARCH("P",BN27)))</formula>
    </cfRule>
    <cfRule type="containsText" dxfId="342" priority="3975" operator="containsText" text="A">
      <formula>NOT(ISERROR(SEARCH("A",BN27)))</formula>
    </cfRule>
    <cfRule type="containsText" dxfId="341" priority="3976" operator="containsText" text="P">
      <formula>NOT(ISERROR(SEARCH("P",BN27)))</formula>
    </cfRule>
    <cfRule type="containsText" dxfId="340" priority="3977" operator="containsText" text="A">
      <formula>NOT(ISERROR(SEARCH("A",BN27)))</formula>
    </cfRule>
  </conditionalFormatting>
  <conditionalFormatting sqref="BN3:CE6 BN9:CE9 BN17:CE18 BN20:CE21 BN28:CE29 BN42:CE42 BN60:CE60 BN69:CE70 BN80:CE80 BN86:CE86 BN93:CE93">
    <cfRule type="containsText" dxfId="339" priority="25" operator="containsText" text="A">
      <formula>NOT(ISERROR(SEARCH("A",BN3)))</formula>
    </cfRule>
    <cfRule type="containsText" dxfId="338" priority="27" operator="containsText" text="A">
      <formula>NOT(ISERROR(SEARCH("A",BN3)))</formula>
    </cfRule>
  </conditionalFormatting>
  <conditionalFormatting sqref="BN14:CE14">
    <cfRule type="containsText" dxfId="337" priority="3764" operator="containsText" text="P">
      <formula>NOT(ISERROR(SEARCH("P",BN14)))</formula>
    </cfRule>
    <cfRule type="containsText" dxfId="336" priority="3766" operator="containsText" text="P">
      <formula>NOT(ISERROR(SEARCH("P",BN14)))</formula>
    </cfRule>
  </conditionalFormatting>
  <conditionalFormatting sqref="BN14:CE15 BN25:CE25 BN31:CE32 BN51:CE51">
    <cfRule type="containsText" dxfId="335" priority="109" operator="containsText" text="A">
      <formula>NOT(ISERROR(SEARCH("A",BN14)))</formula>
    </cfRule>
    <cfRule type="containsText" dxfId="334" priority="107" operator="containsText" text="A">
      <formula>NOT(ISERROR(SEARCH("A",BN14)))</formula>
    </cfRule>
  </conditionalFormatting>
  <conditionalFormatting sqref="BN34:CE34 BN54:CE54 BN77:CE77 BN83:CE83 BN90:CE90">
    <cfRule type="containsText" dxfId="333" priority="1206" operator="containsText" text="A">
      <formula>NOT(ISERROR(SEARCH("A",BN34)))</formula>
    </cfRule>
    <cfRule type="containsText" dxfId="332" priority="1205" operator="containsText" text="A">
      <formula>NOT(ISERROR(SEARCH("A",BN34)))</formula>
    </cfRule>
  </conditionalFormatting>
  <conditionalFormatting sqref="BN51:CE51 BN32:CE32 BN25:CE25 BN15:CE15">
    <cfRule type="containsText" dxfId="331" priority="108" operator="containsText" text="P">
      <formula>NOT(ISERROR(SEARCH("P",BN15)))</formula>
    </cfRule>
    <cfRule type="containsText" dxfId="330" priority="110" operator="containsText" text="P">
      <formula>NOT(ISERROR(SEARCH("P",BN15)))</formula>
    </cfRule>
  </conditionalFormatting>
  <conditionalFormatting sqref="BN90:CE90 BN83:CE83 BN77:CE77 BN54:CE54 BN34:CE34 BN31:CE31">
    <cfRule type="containsText" dxfId="329" priority="1208" operator="containsText" text="P">
      <formula>NOT(ISERROR(SEARCH("P",BN31)))</formula>
    </cfRule>
    <cfRule type="containsText" dxfId="328" priority="1207" operator="containsText" text="P">
      <formula>NOT(ISERROR(SEARCH("P",BN31)))</formula>
    </cfRule>
  </conditionalFormatting>
  <conditionalFormatting sqref="BN93:CE93 BN86:CE86 BN80:CE80 BN70:CE70 BN60:CE60 BN42:CE42 BN28:CE29 BN20:CE21 BN17:CE17 BN9:CE9 BN3:CE6">
    <cfRule type="containsText" dxfId="327" priority="26" operator="containsText" text="P">
      <formula>NOT(ISERROR(SEARCH("P",BN3)))</formula>
    </cfRule>
    <cfRule type="containsText" dxfId="326" priority="28" operator="containsText" text="P">
      <formula>NOT(ISERROR(SEARCH("P",BN3)))</formula>
    </cfRule>
  </conditionalFormatting>
  <conditionalFormatting sqref="BO27:BR27">
    <cfRule type="containsText" dxfId="325" priority="3981" operator="containsText" text="A">
      <formula>NOT(ISERROR(SEARCH("A",BO27)))</formula>
    </cfRule>
    <cfRule type="containsText" dxfId="324" priority="3982" operator="containsText" text="P">
      <formula>NOT(ISERROR(SEARCH("P",BO27)))</formula>
    </cfRule>
    <cfRule type="containsText" dxfId="323" priority="3979" operator="containsText" text="A">
      <formula>NOT(ISERROR(SEARCH("A",BO27)))</formula>
    </cfRule>
    <cfRule type="containsText" dxfId="322" priority="3980" operator="containsText" text="P">
      <formula>NOT(ISERROR(SEARCH("P",BO27)))</formula>
    </cfRule>
  </conditionalFormatting>
  <conditionalFormatting sqref="BR27">
    <cfRule type="containsText" dxfId="321" priority="3974" operator="containsText" text="P">
      <formula>NOT(ISERROR(SEARCH("P",BR27)))</formula>
    </cfRule>
    <cfRule type="containsText" dxfId="320" priority="3972" operator="containsText" text="P">
      <formula>NOT(ISERROR(SEARCH("P",BR27)))</formula>
    </cfRule>
    <cfRule type="containsText" dxfId="319" priority="3971" operator="containsText" text="A">
      <formula>NOT(ISERROR(SEARCH("A",BR27)))</formula>
    </cfRule>
    <cfRule type="containsText" dxfId="318" priority="3973" operator="containsText" text="A">
      <formula>NOT(ISERROR(SEARCH("A",BR27)))</formula>
    </cfRule>
  </conditionalFormatting>
  <conditionalFormatting sqref="BR50:CE50">
    <cfRule type="containsText" dxfId="317" priority="3887" operator="containsText" text="A">
      <formula>NOT(ISERROR(SEARCH("A",BR50)))</formula>
    </cfRule>
    <cfRule type="containsText" dxfId="316" priority="3888" operator="containsText" text="P">
      <formula>NOT(ISERROR(SEARCH("P",BR50)))</formula>
    </cfRule>
    <cfRule type="containsText" dxfId="315" priority="3889" operator="containsText" text="A">
      <formula>NOT(ISERROR(SEARCH("A",BR50)))</formula>
    </cfRule>
    <cfRule type="containsText" dxfId="314" priority="3890" operator="containsText" text="P">
      <formula>NOT(ISERROR(SEARCH("P",BR50)))</formula>
    </cfRule>
  </conditionalFormatting>
  <conditionalFormatting sqref="BS27:CE27 AT24:BE24 AT16:BE16 BA14:BE14 BB8:BE8 AV11:AX11 AZ11:BE11 BG14:BM14 BG19:CE19 BG11:CE11 BG16:CE16 BO22:CE22 BQ12:CE12 BG8:CE8 BG24:CE24 CB23:CE23 AT18:BE19 BG18:BL18 BN18:CE18">
    <cfRule type="containsText" dxfId="313" priority="3996" operator="containsText" text="P">
      <formula>NOT(ISERROR(SEARCH("P",AT8)))</formula>
    </cfRule>
    <cfRule type="containsText" dxfId="312" priority="3998" operator="containsText" text="P">
      <formula>NOT(ISERROR(SEARCH("P",AT8)))</formula>
    </cfRule>
  </conditionalFormatting>
  <conditionalFormatting sqref="BU23:CA23">
    <cfRule type="containsText" dxfId="311" priority="3852" operator="containsText" text="P">
      <formula>NOT(ISERROR(SEARCH("P",BU23)))</formula>
    </cfRule>
    <cfRule type="containsText" dxfId="310" priority="3854" operator="containsText" text="P">
      <formula>NOT(ISERROR(SEARCH("P",BU23)))</formula>
    </cfRule>
    <cfRule type="containsText" dxfId="309" priority="3851" operator="containsText" text="A">
      <formula>NOT(ISERROR(SEARCH("A",BU23)))</formula>
    </cfRule>
    <cfRule type="containsText" dxfId="308" priority="3853" operator="containsText" text="A">
      <formula>NOT(ISERROR(SEARCH("A",BU23)))</formula>
    </cfRule>
  </conditionalFormatting>
  <conditionalFormatting sqref="BX45:CE45">
    <cfRule type="containsText" dxfId="307" priority="3902" operator="containsText" text="P">
      <formula>NOT(ISERROR(SEARCH("P",BX45)))</formula>
    </cfRule>
    <cfRule type="containsText" dxfId="306" priority="3901" operator="containsText" text="A">
      <formula>NOT(ISERROR(SEARCH("A",BX45)))</formula>
    </cfRule>
    <cfRule type="containsText" dxfId="305" priority="3900" operator="containsText" text="P">
      <formula>NOT(ISERROR(SEARCH("P",BX45)))</formula>
    </cfRule>
    <cfRule type="containsText" dxfId="304" priority="3899" operator="containsText" text="A">
      <formula>NOT(ISERROR(SEARCH("A",BX45)))</formula>
    </cfRule>
  </conditionalFormatting>
  <conditionalFormatting sqref="CF7 CF18:CG19 CF16:CG16 CF8:CG8 CF22:CG24 CF11:CG14 CF27:CG27">
    <cfRule type="containsText" dxfId="303" priority="4080" operator="containsText" text="P">
      <formula>NOT(ISERROR(SEARCH("P",CF7)))</formula>
    </cfRule>
    <cfRule type="containsText" dxfId="302" priority="4082" operator="containsText" text="P">
      <formula>NOT(ISERROR(SEARCH("P",CF7)))</formula>
    </cfRule>
  </conditionalFormatting>
  <conditionalFormatting sqref="CF7">
    <cfRule type="containsText" dxfId="301" priority="4079" operator="containsText" text="A">
      <formula>NOT(ISERROR(SEARCH("A",CF7)))</formula>
    </cfRule>
    <cfRule type="containsText" dxfId="300" priority="4081" operator="containsText" text="A">
      <formula>NOT(ISERROR(SEARCH("A",CF7)))</formula>
    </cfRule>
  </conditionalFormatting>
  <conditionalFormatting sqref="CF3:CG6 CF93:CG93">
    <cfRule type="containsText" dxfId="299" priority="36" operator="containsText" text="A">
      <formula>NOT(ISERROR(SEARCH("A",CF3)))</formula>
    </cfRule>
    <cfRule type="containsText" dxfId="298" priority="35" operator="containsText" text="A">
      <formula>NOT(ISERROR(SEARCH("A",CF3)))</formula>
    </cfRule>
  </conditionalFormatting>
  <conditionalFormatting sqref="CF8:CG90 AD3:AE34 X30:X31 X34 X54 X77 X83 X90">
    <cfRule type="containsText" dxfId="297" priority="118" operator="containsText" text="A">
      <formula>NOT(ISERROR(SEARCH("A",X3)))</formula>
    </cfRule>
    <cfRule type="containsText" dxfId="296" priority="119" operator="containsText" text="A">
      <formula>NOT(ISERROR(SEARCH("A",X3)))</formula>
    </cfRule>
  </conditionalFormatting>
  <conditionalFormatting sqref="CF10:CG10">
    <cfRule type="containsText" dxfId="295" priority="4010" operator="containsText" text="P">
      <formula>NOT(ISERROR(SEARCH("P",CF10)))</formula>
    </cfRule>
    <cfRule type="containsText" dxfId="294" priority="4008" operator="containsText" text="P">
      <formula>NOT(ISERROR(SEARCH("P",CF10)))</formula>
    </cfRule>
  </conditionalFormatting>
  <conditionalFormatting sqref="CF33:CG33">
    <cfRule type="containsText" dxfId="293" priority="4054" operator="containsText" text="P">
      <formula>NOT(ISERROR(SEARCH("P",CF33)))</formula>
    </cfRule>
    <cfRule type="containsText" dxfId="292" priority="4052" operator="containsText" text="P">
      <formula>NOT(ISERROR(SEARCH("P",CF33)))</formula>
    </cfRule>
  </conditionalFormatting>
  <conditionalFormatting sqref="CF37:CG37 CF26:CG26">
    <cfRule type="containsText" dxfId="291" priority="4012" operator="containsText" text="P">
      <formula>NOT(ISERROR(SEARCH("P",CF26)))</formula>
    </cfRule>
    <cfRule type="containsText" dxfId="290" priority="4014" operator="containsText" text="P">
      <formula>NOT(ISERROR(SEARCH("P",CF26)))</formula>
    </cfRule>
  </conditionalFormatting>
  <conditionalFormatting sqref="CF38:CG38 CF35:CG36">
    <cfRule type="containsText" dxfId="289" priority="4048" operator="containsText" text="P">
      <formula>NOT(ISERROR(SEARCH("P",CF35)))</formula>
    </cfRule>
    <cfRule type="containsText" dxfId="288" priority="4050" operator="containsText" text="P">
      <formula>NOT(ISERROR(SEARCH("P",CF35)))</formula>
    </cfRule>
  </conditionalFormatting>
  <conditionalFormatting sqref="CF39:CG40 CF43:CG43">
    <cfRule type="containsText" dxfId="287" priority="4046" operator="containsText" text="P">
      <formula>NOT(ISERROR(SEARCH("P",CF39)))</formula>
    </cfRule>
    <cfRule type="containsText" dxfId="286" priority="4044" operator="containsText" text="P">
      <formula>NOT(ISERROR(SEARCH("P",CF39)))</formula>
    </cfRule>
  </conditionalFormatting>
  <conditionalFormatting sqref="CF41:CG41">
    <cfRule type="containsText" dxfId="285" priority="4004" operator="containsText" text="P">
      <formula>NOT(ISERROR(SEARCH("P",CF41)))</formula>
    </cfRule>
    <cfRule type="containsText" dxfId="284" priority="4006" operator="containsText" text="P">
      <formula>NOT(ISERROR(SEARCH("P",CF41)))</formula>
    </cfRule>
  </conditionalFormatting>
  <conditionalFormatting sqref="CF44:CG45">
    <cfRule type="containsText" dxfId="283" priority="4040" operator="containsText" text="P">
      <formula>NOT(ISERROR(SEARCH("P",CF44)))</formula>
    </cfRule>
    <cfRule type="containsText" dxfId="282" priority="4042" operator="containsText" text="P">
      <formula>NOT(ISERROR(SEARCH("P",CF44)))</formula>
    </cfRule>
  </conditionalFormatting>
  <conditionalFormatting sqref="CF47:CG47">
    <cfRule type="containsText" dxfId="281" priority="4038" operator="containsText" text="P">
      <formula>NOT(ISERROR(SEARCH("P",CF47)))</formula>
    </cfRule>
    <cfRule type="containsText" dxfId="280" priority="4036" operator="containsText" text="P">
      <formula>NOT(ISERROR(SEARCH("P",CF47)))</formula>
    </cfRule>
  </conditionalFormatting>
  <conditionalFormatting sqref="CF48:CG48 CF46:CG46 CF30:CG30">
    <cfRule type="containsText" dxfId="279" priority="4016" operator="containsText" text="P">
      <formula>NOT(ISERROR(SEARCH("P",CF30)))</formula>
    </cfRule>
    <cfRule type="containsText" dxfId="278" priority="4018" operator="containsText" text="P">
      <formula>NOT(ISERROR(SEARCH("P",CF30)))</formula>
    </cfRule>
  </conditionalFormatting>
  <conditionalFormatting sqref="CF49:CG49">
    <cfRule type="containsText" dxfId="277" priority="4032" operator="containsText" text="P">
      <formula>NOT(ISERROR(SEARCH("P",CF49)))</formula>
    </cfRule>
    <cfRule type="containsText" dxfId="276" priority="4034" operator="containsText" text="P">
      <formula>NOT(ISERROR(SEARCH("P",CF49)))</formula>
    </cfRule>
  </conditionalFormatting>
  <conditionalFormatting sqref="CF50:CG50">
    <cfRule type="containsText" dxfId="275" priority="4030" operator="containsText" text="P">
      <formula>NOT(ISERROR(SEARCH("P",CF50)))</formula>
    </cfRule>
    <cfRule type="containsText" dxfId="274" priority="4028" operator="containsText" text="P">
      <formula>NOT(ISERROR(SEARCH("P",CF50)))</formula>
    </cfRule>
  </conditionalFormatting>
  <conditionalFormatting sqref="CF51:CG51 CF32:CG32 CF25:CG25 CF15:CG15">
    <cfRule type="containsText" dxfId="273" priority="116" operator="containsText" text="P">
      <formula>NOT(ISERROR(SEARCH("P",CF15)))</formula>
    </cfRule>
    <cfRule type="containsText" dxfId="272" priority="115" operator="containsText" text="P">
      <formula>NOT(ISERROR(SEARCH("P",CF15)))</formula>
    </cfRule>
  </conditionalFormatting>
  <conditionalFormatting sqref="CF52:CG52">
    <cfRule type="containsText" dxfId="271" priority="4022" operator="containsText" text="P">
      <formula>NOT(ISERROR(SEARCH("P",CF52)))</formula>
    </cfRule>
    <cfRule type="containsText" dxfId="270" priority="4020" operator="containsText" text="P">
      <formula>NOT(ISERROR(SEARCH("P",CF52)))</formula>
    </cfRule>
  </conditionalFormatting>
  <conditionalFormatting sqref="CF90:CG90 CF83:CG83 CF77:CG77 CF54:CG54 CF34:CG34 CF31:CG31">
    <cfRule type="containsText" dxfId="269" priority="1283" operator="containsText" text="P">
      <formula>NOT(ISERROR(SEARCH("P",CF31)))</formula>
    </cfRule>
    <cfRule type="containsText" dxfId="268" priority="1282" operator="containsText" text="P">
      <formula>NOT(ISERROR(SEARCH("P",CF31)))</formula>
    </cfRule>
  </conditionalFormatting>
  <conditionalFormatting sqref="CF93:CG93 CF86:CG86 CF80:CG80 CF70:CG70 CF60:CG60 CF42:CG42 CF28:CG29 CF20:CG21 CF17:CG17 CF9:CG9 CF3:CG6">
    <cfRule type="containsText" dxfId="267" priority="34" operator="containsText" text="P">
      <formula>NOT(ISERROR(SEARCH("P",CF3)))</formula>
    </cfRule>
    <cfRule type="containsText" dxfId="266" priority="33" operator="containsText" text="P">
      <formula>NOT(ISERROR(SEARCH("P",CF3)))</formula>
    </cfRule>
  </conditionalFormatting>
  <conditionalFormatting sqref="CG7">
    <cfRule type="containsText" dxfId="265" priority="4064" operator="containsText" text="P">
      <formula>NOT(ISERROR(SEARCH("P",CG7)))</formula>
    </cfRule>
    <cfRule type="containsText" dxfId="264" priority="4063" operator="containsText" text="A">
      <formula>NOT(ISERROR(SEARCH("A",CG7)))</formula>
    </cfRule>
    <cfRule type="containsText" dxfId="263" priority="4065" operator="containsText" text="A">
      <formula>NOT(ISERROR(SEARCH("A",CG7)))</formula>
    </cfRule>
    <cfRule type="containsText" dxfId="262" priority="4066" operator="containsText" text="P">
      <formula>NOT(ISERROR(SEARCH("P",CG7)))</formula>
    </cfRule>
  </conditionalFormatting>
  <conditionalFormatting sqref="CH26 CH34 CH37">
    <cfRule type="containsText" dxfId="261" priority="18805" operator="containsText" text="A">
      <formula>NOT(ISERROR(SEARCH("A",CH26)))</formula>
    </cfRule>
    <cfRule type="containsText" dxfId="260" priority="18807" operator="containsText" text="A">
      <formula>NOT(ISERROR(SEARCH("A",CH26)))</formula>
    </cfRule>
  </conditionalFormatting>
  <conditionalFormatting sqref="CH37 CH34 CH26">
    <cfRule type="containsText" dxfId="259" priority="18808" operator="containsText" text="P">
      <formula>NOT(ISERROR(SEARCH("P",CH26)))</formula>
    </cfRule>
    <cfRule type="containsText" dxfId="258" priority="18806" operator="containsText" text="P">
      <formula>NOT(ISERROR(SEARCH("P",CH26)))</formula>
    </cfRule>
  </conditionalFormatting>
  <conditionalFormatting sqref="CI13 CI14:CJ14">
    <cfRule type="cellIs" dxfId="257" priority="4139" operator="greaterThan">
      <formula>0</formula>
    </cfRule>
  </conditionalFormatting>
  <conditionalFormatting sqref="CI19">
    <cfRule type="cellIs" dxfId="256" priority="4130" operator="greaterThan">
      <formula>0</formula>
    </cfRule>
  </conditionalFormatting>
  <conditionalFormatting sqref="CI23">
    <cfRule type="cellIs" dxfId="255" priority="4129" operator="greaterThan">
      <formula>0</formula>
    </cfRule>
  </conditionalFormatting>
  <conditionalFormatting sqref="CI25">
    <cfRule type="cellIs" dxfId="254" priority="4125" operator="greaterThan">
      <formula>0</formula>
    </cfRule>
  </conditionalFormatting>
  <conditionalFormatting sqref="CI26 CI34">
    <cfRule type="containsText" dxfId="253" priority="4153" operator="containsText" text="A">
      <formula>NOT(ISERROR(SEARCH("A",CI26)))</formula>
    </cfRule>
    <cfRule type="containsText" dxfId="252" priority="4151" operator="containsText" text="A">
      <formula>NOT(ISERROR(SEARCH("A",CI26)))</formula>
    </cfRule>
  </conditionalFormatting>
  <conditionalFormatting sqref="CI28 CK28">
    <cfRule type="cellIs" dxfId="251" priority="4123" operator="greaterThan">
      <formula>0</formula>
    </cfRule>
  </conditionalFormatting>
  <conditionalFormatting sqref="CI34 CI26">
    <cfRule type="containsText" dxfId="250" priority="4154" operator="containsText" text="P">
      <formula>NOT(ISERROR(SEARCH("P",CI26)))</formula>
    </cfRule>
    <cfRule type="containsText" dxfId="249" priority="4152" operator="containsText" text="P">
      <formula>NOT(ISERROR(SEARCH("P",CI26)))</formula>
    </cfRule>
  </conditionalFormatting>
  <conditionalFormatting sqref="CI35:CI36">
    <cfRule type="cellIs" dxfId="248" priority="4115" operator="greaterThan">
      <formula>0</formula>
    </cfRule>
  </conditionalFormatting>
  <conditionalFormatting sqref="CI37 AJ73:CE74 AJ75:BL75 BN75:CE75 AJ76:CE76 AJ84:CE85 AJ87:CE87">
    <cfRule type="containsText" dxfId="247" priority="4148" operator="containsText" text="A">
      <formula>NOT(ISERROR(SEARCH("A",AJ37)))</formula>
    </cfRule>
    <cfRule type="containsText" dxfId="246" priority="4146" operator="containsText" text="A">
      <formula>NOT(ISERROR(SEARCH("A",AJ37)))</formula>
    </cfRule>
  </conditionalFormatting>
  <conditionalFormatting sqref="CI37 AJ73:CE74 CF53:CG53 AJ76:CE76 AJ75:BL75 BN75:CE75 AJ58:AS59 CF61:CG69 CF71:CG76 CF81:CG82 CF55:CG59 CF78:CG79 AJ84:CG85 CF87:CG89 AJ87:CE87">
    <cfRule type="containsText" dxfId="245" priority="4147" operator="containsText" text="P">
      <formula>NOT(ISERROR(SEARCH("P",AJ37)))</formula>
    </cfRule>
    <cfRule type="containsText" dxfId="244" priority="4149" operator="containsText" text="P">
      <formula>NOT(ISERROR(SEARCH("P",AJ37)))</formula>
    </cfRule>
  </conditionalFormatting>
  <conditionalFormatting sqref="CI43">
    <cfRule type="containsText" dxfId="243" priority="1323" operator="containsText" text="P">
      <formula>NOT(ISERROR(SEARCH("P",CI43)))</formula>
    </cfRule>
    <cfRule type="containsText" dxfId="242" priority="1322" operator="containsText" text="A">
      <formula>NOT(ISERROR(SEARCH("A",CI43)))</formula>
    </cfRule>
    <cfRule type="containsText" dxfId="241" priority="1321" operator="containsText" text="P">
      <formula>NOT(ISERROR(SEARCH("P",CI43)))</formula>
    </cfRule>
    <cfRule type="containsText" dxfId="240" priority="1320" operator="containsText" text="A">
      <formula>NOT(ISERROR(SEARCH("A",CI43)))</formula>
    </cfRule>
  </conditionalFormatting>
  <conditionalFormatting sqref="CI45">
    <cfRule type="cellIs" dxfId="239" priority="4108" operator="greaterThan">
      <formula>0</formula>
    </cfRule>
  </conditionalFormatting>
  <conditionalFormatting sqref="CI51">
    <cfRule type="cellIs" dxfId="238" priority="4102" operator="greaterThan">
      <formula>0</formula>
    </cfRule>
  </conditionalFormatting>
  <conditionalFormatting sqref="CI53">
    <cfRule type="cellIs" dxfId="237" priority="4098" operator="greaterThan">
      <formula>0</formula>
    </cfRule>
  </conditionalFormatting>
  <conditionalFormatting sqref="CI22:CJ22">
    <cfRule type="cellIs" dxfId="236" priority="4127" operator="greaterThan">
      <formula>0</formula>
    </cfRule>
  </conditionalFormatting>
  <conditionalFormatting sqref="CI40:CJ40">
    <cfRule type="cellIs" dxfId="235" priority="4113" operator="greaterThan">
      <formula>0</formula>
    </cfRule>
  </conditionalFormatting>
  <conditionalFormatting sqref="CI44:CJ44">
    <cfRule type="cellIs" dxfId="234" priority="4110" operator="greaterThan">
      <formula>0</formula>
    </cfRule>
  </conditionalFormatting>
  <conditionalFormatting sqref="CI61:CJ61">
    <cfRule type="cellIs" dxfId="233" priority="4090" operator="greaterThan">
      <formula>0</formula>
    </cfRule>
  </conditionalFormatting>
  <conditionalFormatting sqref="CI3:CK12">
    <cfRule type="cellIs" dxfId="232" priority="4137" operator="greaterThan">
      <formula>0</formula>
    </cfRule>
  </conditionalFormatting>
  <conditionalFormatting sqref="CI15:CK18">
    <cfRule type="cellIs" dxfId="231" priority="4132" operator="greaterThan">
      <formula>0</formula>
    </cfRule>
  </conditionalFormatting>
  <conditionalFormatting sqref="CI20:CK21">
    <cfRule type="cellIs" dxfId="230" priority="4158" operator="greaterThan">
      <formula>0</formula>
    </cfRule>
  </conditionalFormatting>
  <conditionalFormatting sqref="CI24:CK24 CJ34:CK34">
    <cfRule type="cellIs" dxfId="229" priority="4155" operator="greaterThan">
      <formula>0</formula>
    </cfRule>
  </conditionalFormatting>
  <conditionalFormatting sqref="CI27:CK27">
    <cfRule type="cellIs" dxfId="228" priority="4122" operator="greaterThan">
      <formula>0</formula>
    </cfRule>
  </conditionalFormatting>
  <conditionalFormatting sqref="CI29:CK33">
    <cfRule type="cellIs" dxfId="227" priority="4119" operator="greaterThan">
      <formula>0</formula>
    </cfRule>
  </conditionalFormatting>
  <conditionalFormatting sqref="CI38:CK39">
    <cfRule type="cellIs" dxfId="226" priority="4112" operator="greaterThan">
      <formula>0</formula>
    </cfRule>
  </conditionalFormatting>
  <conditionalFormatting sqref="CI41:CK42">
    <cfRule type="cellIs" dxfId="225" priority="4114" operator="greaterThan">
      <formula>0</formula>
    </cfRule>
  </conditionalFormatting>
  <conditionalFormatting sqref="CI46:CK50">
    <cfRule type="cellIs" dxfId="224" priority="4105" operator="greaterThan">
      <formula>0</formula>
    </cfRule>
  </conditionalFormatting>
  <conditionalFormatting sqref="CI52:CK52">
    <cfRule type="cellIs" dxfId="223" priority="4103" operator="greaterThan">
      <formula>0</formula>
    </cfRule>
  </conditionalFormatting>
  <conditionalFormatting sqref="CI54:CK60">
    <cfRule type="cellIs" dxfId="222" priority="4092" operator="greaterThan">
      <formula>0</formula>
    </cfRule>
  </conditionalFormatting>
  <conditionalFormatting sqref="CI62:CK71">
    <cfRule type="cellIs" dxfId="221" priority="4091" operator="greaterThan">
      <formula>0</formula>
    </cfRule>
  </conditionalFormatting>
  <conditionalFormatting sqref="CI73:CK74">
    <cfRule type="cellIs" dxfId="220" priority="4088" operator="greaterThan">
      <formula>0</formula>
    </cfRule>
  </conditionalFormatting>
  <conditionalFormatting sqref="CI83:CK83">
    <cfRule type="cellIs" dxfId="219" priority="4161" operator="greaterThan">
      <formula>0</formula>
    </cfRule>
  </conditionalFormatting>
  <conditionalFormatting sqref="CI72:CM72 CI75:CL75 CN75:CR75 CN76:CS77 CI76:CM82 CN80:DL80 CN81:DI81 DK81 CN82:DL83 CI99:DM1048576">
    <cfRule type="cellIs" dxfId="218" priority="22441" operator="greaterThan">
      <formula>0</formula>
    </cfRule>
  </conditionalFormatting>
  <conditionalFormatting sqref="CI86:DL93">
    <cfRule type="cellIs" dxfId="217" priority="1576" operator="greaterThan">
      <formula>0</formula>
    </cfRule>
  </conditionalFormatting>
  <conditionalFormatting sqref="CJ13">
    <cfRule type="cellIs" dxfId="216" priority="4135" operator="greaterThan">
      <formula>0</formula>
    </cfRule>
  </conditionalFormatting>
  <conditionalFormatting sqref="CJ19">
    <cfRule type="cellIs" dxfId="215" priority="4133" operator="greaterThan">
      <formula>0</formula>
    </cfRule>
  </conditionalFormatting>
  <conditionalFormatting sqref="CJ28">
    <cfRule type="cellIs" dxfId="214" priority="4121" operator="greaterThan">
      <formula>0</formula>
    </cfRule>
  </conditionalFormatting>
  <conditionalFormatting sqref="CJ35">
    <cfRule type="cellIs" dxfId="213" priority="1404" operator="greaterThan">
      <formula>0</formula>
    </cfRule>
  </conditionalFormatting>
  <conditionalFormatting sqref="CJ45">
    <cfRule type="cellIs" dxfId="212" priority="4109" operator="greaterThan">
      <formula>0</formula>
    </cfRule>
  </conditionalFormatting>
  <conditionalFormatting sqref="CJ51">
    <cfRule type="cellIs" dxfId="211" priority="4101" operator="greaterThan">
      <formula>0</formula>
    </cfRule>
  </conditionalFormatting>
  <conditionalFormatting sqref="CJ53">
    <cfRule type="cellIs" dxfId="210" priority="4100" operator="greaterThan">
      <formula>0</formula>
    </cfRule>
  </conditionalFormatting>
  <conditionalFormatting sqref="CJ87:CJ89">
    <cfRule type="cellIs" dxfId="209" priority="1344" operator="greaterThan">
      <formula>0</formula>
    </cfRule>
  </conditionalFormatting>
  <conditionalFormatting sqref="CJ23:CK23">
    <cfRule type="cellIs" dxfId="208" priority="4128" operator="greaterThan">
      <formula>0</formula>
    </cfRule>
  </conditionalFormatting>
  <conditionalFormatting sqref="CJ25:CK26">
    <cfRule type="cellIs" dxfId="207" priority="4124" operator="greaterThan">
      <formula>0</formula>
    </cfRule>
  </conditionalFormatting>
  <conditionalFormatting sqref="CJ36:CK37">
    <cfRule type="cellIs" dxfId="206" priority="4117" operator="greaterThan">
      <formula>0</formula>
    </cfRule>
  </conditionalFormatting>
  <conditionalFormatting sqref="CJ43:CK43">
    <cfRule type="cellIs" dxfId="205" priority="1324" operator="greaterThan">
      <formula>0</formula>
    </cfRule>
  </conditionalFormatting>
  <conditionalFormatting sqref="CK13:CK14">
    <cfRule type="cellIs" dxfId="204" priority="4134" operator="greaterThan">
      <formula>0</formula>
    </cfRule>
  </conditionalFormatting>
  <conditionalFormatting sqref="CK19">
    <cfRule type="cellIs" dxfId="203" priority="4131" operator="greaterThan">
      <formula>0</formula>
    </cfRule>
  </conditionalFormatting>
  <conditionalFormatting sqref="CK22">
    <cfRule type="cellIs" dxfId="202" priority="4126" operator="greaterThan">
      <formula>0</formula>
    </cfRule>
  </conditionalFormatting>
  <conditionalFormatting sqref="CK35">
    <cfRule type="cellIs" dxfId="201" priority="4118" operator="greaterThan">
      <formula>0</formula>
    </cfRule>
  </conditionalFormatting>
  <conditionalFormatting sqref="CK40">
    <cfRule type="cellIs" dxfId="200" priority="4111" operator="greaterThan">
      <formula>0</formula>
    </cfRule>
  </conditionalFormatting>
  <conditionalFormatting sqref="CK44:CK45">
    <cfRule type="cellIs" dxfId="199" priority="1204" operator="greaterThan">
      <formula>0</formula>
    </cfRule>
  </conditionalFormatting>
  <conditionalFormatting sqref="CK51">
    <cfRule type="cellIs" dxfId="198" priority="4104" operator="greaterThan">
      <formula>0</formula>
    </cfRule>
  </conditionalFormatting>
  <conditionalFormatting sqref="CK53">
    <cfRule type="cellIs" dxfId="197" priority="4099" operator="greaterThan">
      <formula>0</formula>
    </cfRule>
  </conditionalFormatting>
  <conditionalFormatting sqref="CK61">
    <cfRule type="cellIs" dxfId="196" priority="1407" operator="greaterThan">
      <formula>0</formula>
    </cfRule>
  </conditionalFormatting>
  <conditionalFormatting sqref="CL73:CL74">
    <cfRule type="cellIs" dxfId="195" priority="4163" operator="greaterThan">
      <formula>0</formula>
    </cfRule>
  </conditionalFormatting>
  <conditionalFormatting sqref="CL83">
    <cfRule type="cellIs" dxfId="194" priority="4210" operator="greaterThan">
      <formula>0</formula>
    </cfRule>
  </conditionalFormatting>
  <conditionalFormatting sqref="CM58:CM71">
    <cfRule type="cellIs" dxfId="193" priority="1199" operator="greaterThan">
      <formula>0</formula>
    </cfRule>
  </conditionalFormatting>
  <conditionalFormatting sqref="CM73:CM75">
    <cfRule type="cellIs" dxfId="192" priority="1198" operator="greaterThan">
      <formula>0</formula>
    </cfRule>
  </conditionalFormatting>
  <conditionalFormatting sqref="CM83">
    <cfRule type="cellIs" dxfId="191" priority="5246" operator="greaterThan">
      <formula>0</formula>
    </cfRule>
  </conditionalFormatting>
  <conditionalFormatting sqref="CN6:CN8">
    <cfRule type="cellIs" dxfId="190" priority="5313" operator="greaterThan">
      <formula>0</formula>
    </cfRule>
  </conditionalFormatting>
  <conditionalFormatting sqref="CN11:CN12">
    <cfRule type="cellIs" dxfId="189" priority="5299" operator="greaterThan">
      <formula>0</formula>
    </cfRule>
  </conditionalFormatting>
  <conditionalFormatting sqref="CN14">
    <cfRule type="cellIs" dxfId="188" priority="5298" operator="greaterThan">
      <formula>0</formula>
    </cfRule>
  </conditionalFormatting>
  <conditionalFormatting sqref="CN19">
    <cfRule type="cellIs" dxfId="187" priority="5295" operator="greaterThan">
      <formula>0</formula>
    </cfRule>
  </conditionalFormatting>
  <conditionalFormatting sqref="CN22:CN23">
    <cfRule type="cellIs" dxfId="186" priority="5290" operator="greaterThan">
      <formula>0</formula>
    </cfRule>
  </conditionalFormatting>
  <conditionalFormatting sqref="CN27:CN28">
    <cfRule type="cellIs" dxfId="185" priority="5282" operator="greaterThan">
      <formula>0</formula>
    </cfRule>
  </conditionalFormatting>
  <conditionalFormatting sqref="CN32:CN33">
    <cfRule type="cellIs" dxfId="184" priority="5278" operator="greaterThan">
      <formula>0</formula>
    </cfRule>
  </conditionalFormatting>
  <conditionalFormatting sqref="CN35:CN36">
    <cfRule type="cellIs" dxfId="183" priority="5273" operator="greaterThan">
      <formula>0</formula>
    </cfRule>
  </conditionalFormatting>
  <conditionalFormatting sqref="CN38:CN41">
    <cfRule type="cellIs" dxfId="182" priority="5267" operator="greaterThan">
      <formula>0</formula>
    </cfRule>
  </conditionalFormatting>
  <conditionalFormatting sqref="CN49">
    <cfRule type="cellIs" dxfId="181" priority="5260" operator="greaterThan">
      <formula>0</formula>
    </cfRule>
  </conditionalFormatting>
  <conditionalFormatting sqref="CN65">
    <cfRule type="cellIs" dxfId="180" priority="117" operator="greaterThan">
      <formula>0</formula>
    </cfRule>
  </conditionalFormatting>
  <conditionalFormatting sqref="CN13:CO13">
    <cfRule type="cellIs" dxfId="179" priority="5312" operator="greaterThan">
      <formula>0</formula>
    </cfRule>
  </conditionalFormatting>
  <conditionalFormatting sqref="CN25:CO25 CQ25">
    <cfRule type="cellIs" dxfId="178" priority="5289" operator="greaterThan">
      <formula>0</formula>
    </cfRule>
  </conditionalFormatting>
  <conditionalFormatting sqref="CN44:CO44">
    <cfRule type="cellIs" dxfId="177" priority="5266" operator="greaterThan">
      <formula>0</formula>
    </cfRule>
  </conditionalFormatting>
  <conditionalFormatting sqref="CN54:CO55 CQ54:CQ55">
    <cfRule type="cellIs" dxfId="176" priority="5262" operator="greaterThan">
      <formula>0</formula>
    </cfRule>
  </conditionalFormatting>
  <conditionalFormatting sqref="CN59:CO59 CQ59">
    <cfRule type="cellIs" dxfId="175" priority="5252" operator="greaterThan">
      <formula>0</formula>
    </cfRule>
  </conditionalFormatting>
  <conditionalFormatting sqref="CN69:CO69">
    <cfRule type="cellIs" dxfId="174" priority="5249" operator="greaterThan">
      <formula>0</formula>
    </cfRule>
  </conditionalFormatting>
  <conditionalFormatting sqref="CN43:CP43">
    <cfRule type="cellIs" dxfId="173" priority="1327" operator="greaterThan">
      <formula>0</formula>
    </cfRule>
  </conditionalFormatting>
  <conditionalFormatting sqref="CN50:CP52">
    <cfRule type="cellIs" dxfId="172" priority="5255" operator="greaterThan">
      <formula>0</formula>
    </cfRule>
  </conditionalFormatting>
  <conditionalFormatting sqref="CN18:CQ18">
    <cfRule type="cellIs" dxfId="171" priority="5297" operator="greaterThan">
      <formula>0</formula>
    </cfRule>
  </conditionalFormatting>
  <conditionalFormatting sqref="CN45:CQ45">
    <cfRule type="cellIs" dxfId="170" priority="5264" operator="greaterThan">
      <formula>0</formula>
    </cfRule>
  </conditionalFormatting>
  <conditionalFormatting sqref="CN49:CQ49">
    <cfRule type="cellIs" dxfId="169" priority="5261" operator="greaterThan">
      <formula>0</formula>
    </cfRule>
  </conditionalFormatting>
  <conditionalFormatting sqref="CN58:CQ58 CT58:DB60 DI58:DL61 CR58:CS63 CT61 CX61:DB61 CT62:DL62 CT63 CX63:DB63 DI63:DL63 CT64:DL68 CX69:DB70 DI69:DL70 CT69:CT71 CN70:CS74 CV71:DK71 CT72:DB72 DI72:DL72 CT73:DL73 CT74:DB74 DI74:DL75 CT75 CX75:DB75 CT76:DL76 CT77:CT79 CX77:DB79 DI77:DL79 CM84:DB84 CI84:CL90 CM85:CT87 CX85:DB87 CM86:DL86">
    <cfRule type="cellIs" dxfId="168" priority="4157" operator="greaterThan">
      <formula>0</formula>
    </cfRule>
  </conditionalFormatting>
  <conditionalFormatting sqref="CN60:CQ63">
    <cfRule type="cellIs" dxfId="167" priority="5250" operator="greaterThan">
      <formula>0</formula>
    </cfRule>
  </conditionalFormatting>
  <conditionalFormatting sqref="CN3:CS6">
    <cfRule type="cellIs" dxfId="166" priority="5355" operator="greaterThan">
      <formula>0</formula>
    </cfRule>
  </conditionalFormatting>
  <conditionalFormatting sqref="CN9:CS9 CN15:CS17 CN20:CS21 CN24:CS24 CN26:CR26 CN29:CS31 CN34:CS34 CN37:CS37 CN42:CS42 CQ43:CR43 CN46:CS48 CR54:CS55 CN64:CS64 CO65:CS65 CN66:CS68 CQ69 CS69 CN78:CP79 CR78:CS79">
    <cfRule type="cellIs" dxfId="165" priority="5356" operator="greaterThan">
      <formula>0</formula>
    </cfRule>
  </conditionalFormatting>
  <conditionalFormatting sqref="CO12">
    <cfRule type="cellIs" dxfId="164" priority="5303" operator="greaterThan">
      <formula>0</formula>
    </cfRule>
  </conditionalFormatting>
  <conditionalFormatting sqref="CO14">
    <cfRule type="cellIs" dxfId="163" priority="5307" operator="greaterThan">
      <formula>0</formula>
    </cfRule>
  </conditionalFormatting>
  <conditionalFormatting sqref="CO22 CQ22:CR22">
    <cfRule type="cellIs" dxfId="162" priority="5293" operator="greaterThan">
      <formula>0</formula>
    </cfRule>
  </conditionalFormatting>
  <conditionalFormatting sqref="CO28 CQ28">
    <cfRule type="cellIs" dxfId="161" priority="5287" operator="greaterThan">
      <formula>0</formula>
    </cfRule>
  </conditionalFormatting>
  <conditionalFormatting sqref="CO35">
    <cfRule type="cellIs" dxfId="160" priority="5277" operator="greaterThan">
      <formula>0</formula>
    </cfRule>
  </conditionalFormatting>
  <conditionalFormatting sqref="CO40">
    <cfRule type="cellIs" dxfId="159" priority="5270" operator="greaterThan">
      <formula>0</formula>
    </cfRule>
  </conditionalFormatting>
  <conditionalFormatting sqref="CO8:CP8 CR8">
    <cfRule type="cellIs" dxfId="158" priority="5327" operator="greaterThan">
      <formula>0</formula>
    </cfRule>
  </conditionalFormatting>
  <conditionalFormatting sqref="CO33:CP33">
    <cfRule type="cellIs" dxfId="157" priority="5280" operator="greaterThan">
      <formula>0</formula>
    </cfRule>
  </conditionalFormatting>
  <conditionalFormatting sqref="CO36:CP36">
    <cfRule type="cellIs" dxfId="156" priority="5276" operator="greaterThan">
      <formula>0</formula>
    </cfRule>
  </conditionalFormatting>
  <conditionalFormatting sqref="CO38:CP39 CO41:CQ41">
    <cfRule type="cellIs" dxfId="155" priority="5272" operator="greaterThan">
      <formula>0</formula>
    </cfRule>
  </conditionalFormatting>
  <conditionalFormatting sqref="CO11:CQ11">
    <cfRule type="cellIs" dxfId="154" priority="5310" operator="greaterThan">
      <formula>0</formula>
    </cfRule>
  </conditionalFormatting>
  <conditionalFormatting sqref="CO19:CQ19">
    <cfRule type="cellIs" dxfId="153" priority="5296" operator="greaterThan">
      <formula>0</formula>
    </cfRule>
  </conditionalFormatting>
  <conditionalFormatting sqref="CO27:CQ27">
    <cfRule type="cellIs" dxfId="152" priority="5286" operator="greaterThan">
      <formula>0</formula>
    </cfRule>
  </conditionalFormatting>
  <conditionalFormatting sqref="CO32:CQ32">
    <cfRule type="cellIs" dxfId="151" priority="5281" operator="greaterThan">
      <formula>0</formula>
    </cfRule>
  </conditionalFormatting>
  <conditionalFormatting sqref="CO23:CR23">
    <cfRule type="cellIs" dxfId="150" priority="5294" operator="greaterThan">
      <formula>0</formula>
    </cfRule>
  </conditionalFormatting>
  <conditionalFormatting sqref="CO7:CS7">
    <cfRule type="cellIs" dxfId="149" priority="5326" operator="greaterThan">
      <formula>0</formula>
    </cfRule>
  </conditionalFormatting>
  <conditionalFormatting sqref="CP10">
    <cfRule type="cellIs" dxfId="148" priority="5301" operator="greaterThan">
      <formula>0</formula>
    </cfRule>
  </conditionalFormatting>
  <conditionalFormatting sqref="CP13:CP14">
    <cfRule type="cellIs" dxfId="147" priority="5302" operator="greaterThan">
      <formula>0</formula>
    </cfRule>
  </conditionalFormatting>
  <conditionalFormatting sqref="CP22">
    <cfRule type="cellIs" dxfId="146" priority="5292" operator="greaterThan">
      <formula>0</formula>
    </cfRule>
  </conditionalFormatting>
  <conditionalFormatting sqref="CP25">
    <cfRule type="cellIs" dxfId="145" priority="5288" operator="greaterThan">
      <formula>0</formula>
    </cfRule>
  </conditionalFormatting>
  <conditionalFormatting sqref="CP28">
    <cfRule type="cellIs" dxfId="144" priority="5283" operator="greaterThan">
      <formula>0</formula>
    </cfRule>
  </conditionalFormatting>
  <conditionalFormatting sqref="CP35">
    <cfRule type="cellIs" dxfId="143" priority="5274" operator="greaterThan">
      <formula>0</formula>
    </cfRule>
  </conditionalFormatting>
  <conditionalFormatting sqref="CP40">
    <cfRule type="cellIs" dxfId="142" priority="5268" operator="greaterThan">
      <formula>0</formula>
    </cfRule>
  </conditionalFormatting>
  <conditionalFormatting sqref="CP44">
    <cfRule type="cellIs" dxfId="141" priority="5265" operator="greaterThan">
      <formula>0</formula>
    </cfRule>
  </conditionalFormatting>
  <conditionalFormatting sqref="CP54:CP55">
    <cfRule type="cellIs" dxfId="140" priority="1408" operator="greaterThan">
      <formula>0</formula>
    </cfRule>
  </conditionalFormatting>
  <conditionalFormatting sqref="CP59">
    <cfRule type="cellIs" dxfId="139" priority="5251" operator="greaterThan">
      <formula>0</formula>
    </cfRule>
  </conditionalFormatting>
  <conditionalFormatting sqref="CP69">
    <cfRule type="cellIs" dxfId="138" priority="5248" operator="greaterThan">
      <formula>0</formula>
    </cfRule>
  </conditionalFormatting>
  <conditionalFormatting sqref="CP12:CQ12">
    <cfRule type="cellIs" dxfId="137" priority="5309" operator="greaterThan">
      <formula>0</formula>
    </cfRule>
  </conditionalFormatting>
  <conditionalFormatting sqref="CQ8">
    <cfRule type="cellIs" dxfId="136" priority="5143" operator="greaterThan">
      <formula>0</formula>
    </cfRule>
  </conditionalFormatting>
  <conditionalFormatting sqref="CQ10">
    <cfRule type="cellIs" dxfId="135" priority="5306" operator="greaterThan">
      <formula>0</formula>
    </cfRule>
  </conditionalFormatting>
  <conditionalFormatting sqref="CQ13:CQ14">
    <cfRule type="cellIs" dxfId="134" priority="5304" operator="greaterThan">
      <formula>0</formula>
    </cfRule>
  </conditionalFormatting>
  <conditionalFormatting sqref="CQ33">
    <cfRule type="cellIs" dxfId="133" priority="1406" operator="greaterThan">
      <formula>0</formula>
    </cfRule>
  </conditionalFormatting>
  <conditionalFormatting sqref="CQ35">
    <cfRule type="cellIs" dxfId="132" priority="5325" operator="greaterThan">
      <formula>0</formula>
    </cfRule>
  </conditionalFormatting>
  <conditionalFormatting sqref="CQ38:CQ40">
    <cfRule type="cellIs" dxfId="131" priority="5269" operator="greaterThan">
      <formula>0</formula>
    </cfRule>
  </conditionalFormatting>
  <conditionalFormatting sqref="CQ44">
    <cfRule type="cellIs" dxfId="130" priority="5263" operator="greaterThan">
      <formula>0</formula>
    </cfRule>
  </conditionalFormatting>
  <conditionalFormatting sqref="CQ50:CQ52">
    <cfRule type="cellIs" dxfId="129" priority="5144" operator="greaterThan">
      <formula>0</formula>
    </cfRule>
  </conditionalFormatting>
  <conditionalFormatting sqref="CQ78:CQ79">
    <cfRule type="cellIs" dxfId="128" priority="5145" operator="greaterThan">
      <formula>0</formula>
    </cfRule>
  </conditionalFormatting>
  <conditionalFormatting sqref="CQ36:CS36">
    <cfRule type="cellIs" dxfId="127" priority="5339" operator="greaterThan">
      <formula>0</formula>
    </cfRule>
  </conditionalFormatting>
  <conditionalFormatting sqref="CR13:CR14">
    <cfRule type="cellIs" dxfId="126" priority="5316" operator="greaterThan">
      <formula>0</formula>
    </cfRule>
  </conditionalFormatting>
  <conditionalFormatting sqref="CR25">
    <cfRule type="cellIs" dxfId="125" priority="5346" operator="greaterThan">
      <formula>0</formula>
    </cfRule>
  </conditionalFormatting>
  <conditionalFormatting sqref="CR28">
    <cfRule type="cellIs" dxfId="124" priority="5317" operator="greaterThan">
      <formula>0</formula>
    </cfRule>
  </conditionalFormatting>
  <conditionalFormatting sqref="CR35">
    <cfRule type="cellIs" dxfId="123" priority="5340" operator="greaterThan">
      <formula>0</formula>
    </cfRule>
  </conditionalFormatting>
  <conditionalFormatting sqref="CR38:CR39">
    <cfRule type="cellIs" dxfId="122" priority="5335" operator="greaterThan">
      <formula>0</formula>
    </cfRule>
  </conditionalFormatting>
  <conditionalFormatting sqref="CR41">
    <cfRule type="cellIs" dxfId="121" priority="5314" operator="greaterThan">
      <formula>0</formula>
    </cfRule>
  </conditionalFormatting>
  <conditionalFormatting sqref="CR44">
    <cfRule type="cellIs" dxfId="120" priority="5334" operator="greaterThan">
      <formula>0</formula>
    </cfRule>
  </conditionalFormatting>
  <conditionalFormatting sqref="CR49:CR50">
    <cfRule type="cellIs" dxfId="119" priority="5321" operator="greaterThan">
      <formula>0</formula>
    </cfRule>
  </conditionalFormatting>
  <conditionalFormatting sqref="CR52">
    <cfRule type="cellIs" dxfId="118" priority="5328" operator="greaterThan">
      <formula>0</formula>
    </cfRule>
  </conditionalFormatting>
  <conditionalFormatting sqref="CR69">
    <cfRule type="cellIs" dxfId="117" priority="1398" operator="greaterThan">
      <formula>0</formula>
    </cfRule>
  </conditionalFormatting>
  <conditionalFormatting sqref="CR18:CS19">
    <cfRule type="cellIs" dxfId="116" priority="5348" operator="greaterThan">
      <formula>0</formula>
    </cfRule>
  </conditionalFormatting>
  <conditionalFormatting sqref="CR27:CS27">
    <cfRule type="cellIs" dxfId="115" priority="5344" operator="greaterThan">
      <formula>0</formula>
    </cfRule>
  </conditionalFormatting>
  <conditionalFormatting sqref="CR32:CS33">
    <cfRule type="cellIs" dxfId="114" priority="5341" operator="greaterThan">
      <formula>0</formula>
    </cfRule>
  </conditionalFormatting>
  <conditionalFormatting sqref="CR40:CS40">
    <cfRule type="cellIs" dxfId="113" priority="5337" operator="greaterThan">
      <formula>0</formula>
    </cfRule>
  </conditionalFormatting>
  <conditionalFormatting sqref="CR45:CS45">
    <cfRule type="cellIs" dxfId="112" priority="5319" operator="greaterThan">
      <formula>0</formula>
    </cfRule>
  </conditionalFormatting>
  <conditionalFormatting sqref="CR51:CS51">
    <cfRule type="cellIs" dxfId="111" priority="5330" operator="greaterThan">
      <formula>0</formula>
    </cfRule>
  </conditionalFormatting>
  <conditionalFormatting sqref="CS8">
    <cfRule type="cellIs" dxfId="110" priority="1330" operator="greaterThan">
      <formula>0</formula>
    </cfRule>
  </conditionalFormatting>
  <conditionalFormatting sqref="CS13:CS14">
    <cfRule type="cellIs" dxfId="109" priority="5323" operator="greaterThan">
      <formula>0</formula>
    </cfRule>
  </conditionalFormatting>
  <conditionalFormatting sqref="CS22:CS23">
    <cfRule type="cellIs" dxfId="108" priority="5318" operator="greaterThan">
      <formula>0</formula>
    </cfRule>
  </conditionalFormatting>
  <conditionalFormatting sqref="CS25:CS26">
    <cfRule type="cellIs" dxfId="107" priority="1329" operator="greaterThan">
      <formula>0</formula>
    </cfRule>
  </conditionalFormatting>
  <conditionalFormatting sqref="CS28">
    <cfRule type="cellIs" dxfId="106" priority="5343" operator="greaterThan">
      <formula>0</formula>
    </cfRule>
  </conditionalFormatting>
  <conditionalFormatting sqref="CS35">
    <cfRule type="cellIs" dxfId="105" priority="1332" operator="greaterThan">
      <formula>0</formula>
    </cfRule>
  </conditionalFormatting>
  <conditionalFormatting sqref="CS38:CS39 CS41">
    <cfRule type="cellIs" dxfId="104" priority="5338" operator="greaterThan">
      <formula>0</formula>
    </cfRule>
  </conditionalFormatting>
  <conditionalFormatting sqref="CS43:CS44">
    <cfRule type="cellIs" dxfId="103" priority="1331" operator="greaterThan">
      <formula>0</formula>
    </cfRule>
  </conditionalFormatting>
  <conditionalFormatting sqref="CS49:CS50">
    <cfRule type="cellIs" dxfId="102" priority="1334" operator="greaterThan">
      <formula>0</formula>
    </cfRule>
  </conditionalFormatting>
  <conditionalFormatting sqref="CS52:CS53">
    <cfRule type="cellIs" dxfId="101" priority="1328" operator="greaterThan">
      <formula>0</formula>
    </cfRule>
  </conditionalFormatting>
  <conditionalFormatting sqref="CS75">
    <cfRule type="cellIs" dxfId="100" priority="1333" operator="greaterThan">
      <formula>0</formula>
    </cfRule>
  </conditionalFormatting>
  <conditionalFormatting sqref="CT6 CV6:DG6">
    <cfRule type="cellIs" dxfId="99" priority="5478" operator="greaterThan">
      <formula>0</formula>
    </cfRule>
  </conditionalFormatting>
  <conditionalFormatting sqref="CT22:CT30">
    <cfRule type="cellIs" dxfId="98" priority="5379" operator="greaterThan">
      <formula>0</formula>
    </cfRule>
  </conditionalFormatting>
  <conditionalFormatting sqref="CT32 CV32:DB32">
    <cfRule type="cellIs" dxfId="97" priority="5438" operator="greaterThan">
      <formula>0</formula>
    </cfRule>
  </conditionalFormatting>
  <conditionalFormatting sqref="CT44">
    <cfRule type="cellIs" dxfId="96" priority="5419" operator="greaterThan">
      <formula>0</formula>
    </cfRule>
  </conditionalFormatting>
  <conditionalFormatting sqref="CT49:CT50 CV50:DA50">
    <cfRule type="cellIs" dxfId="95" priority="5415" operator="greaterThan">
      <formula>0</formula>
    </cfRule>
  </conditionalFormatting>
  <conditionalFormatting sqref="CT35:CU35 CX35:CZ35 DB35">
    <cfRule type="cellIs" dxfId="94" priority="5432" operator="greaterThan">
      <formula>0</formula>
    </cfRule>
  </conditionalFormatting>
  <conditionalFormatting sqref="CT52:CV52 CX52:CY52 DA52:DB52">
    <cfRule type="cellIs" dxfId="93" priority="5409" operator="greaterThan">
      <formula>0</formula>
    </cfRule>
  </conditionalFormatting>
  <conditionalFormatting sqref="CT40:CX40 CZ40:DB40 DI40:DJ40">
    <cfRule type="cellIs" dxfId="92" priority="5425" operator="greaterThan">
      <formula>0</formula>
    </cfRule>
  </conditionalFormatting>
  <conditionalFormatting sqref="CT7:DA7">
    <cfRule type="cellIs" dxfId="91" priority="5406" operator="greaterThan">
      <formula>0</formula>
    </cfRule>
  </conditionalFormatting>
  <conditionalFormatting sqref="CT51:DA51">
    <cfRule type="cellIs" dxfId="90" priority="5412" operator="greaterThan">
      <formula>0</formula>
    </cfRule>
  </conditionalFormatting>
  <conditionalFormatting sqref="CT45:DB45">
    <cfRule type="cellIs" dxfId="89" priority="5389" operator="greaterThan">
      <formula>0</formula>
    </cfRule>
  </conditionalFormatting>
  <conditionalFormatting sqref="CT3:DL5 CV15:DL17 CV20:DL20 CT21:DL21 CV24:DL24 CV26:DL26 CV29:DL29 CV30:DK30 CT31:DL31 CT34:DL34 CT37:DF37 CT42:DL43 CT46:DL47 CT48:DJ48 DL48 CN53:CR53 CT54 CV54:CZ54 CT55:CW55 CZ55:DA55 CM56:DL57 CU61:CW61 CU63:CW63 CU69:CW70 CU75:CW75 CU77:CW79 CU85:CW85 CI92:CZ95 CI94:DD94 CI95:DL98">
    <cfRule type="cellIs" dxfId="88" priority="5479" operator="greaterThan">
      <formula>0</formula>
    </cfRule>
  </conditionalFormatting>
  <conditionalFormatting sqref="CU6">
    <cfRule type="cellIs" dxfId="87" priority="5476" operator="greaterThan">
      <formula>0</formula>
    </cfRule>
  </conditionalFormatting>
  <conditionalFormatting sqref="CU22:CU30">
    <cfRule type="cellIs" dxfId="86" priority="1385" operator="greaterThan">
      <formula>0</formula>
    </cfRule>
  </conditionalFormatting>
  <conditionalFormatting sqref="CU32">
    <cfRule type="cellIs" dxfId="85" priority="1383" operator="greaterThan">
      <formula>0</formula>
    </cfRule>
  </conditionalFormatting>
  <conditionalFormatting sqref="CU36">
    <cfRule type="cellIs" dxfId="84" priority="5427" operator="greaterThan">
      <formula>0</formula>
    </cfRule>
  </conditionalFormatting>
  <conditionalFormatting sqref="CU41">
    <cfRule type="cellIs" dxfId="83" priority="1405" operator="greaterThan">
      <formula>0</formula>
    </cfRule>
  </conditionalFormatting>
  <conditionalFormatting sqref="CU49:CU50">
    <cfRule type="cellIs" dxfId="82" priority="1386" operator="greaterThan">
      <formula>0</formula>
    </cfRule>
  </conditionalFormatting>
  <conditionalFormatting sqref="CU54">
    <cfRule type="cellIs" dxfId="81" priority="1389" operator="greaterThan">
      <formula>0</formula>
    </cfRule>
  </conditionalFormatting>
  <conditionalFormatting sqref="CU71">
    <cfRule type="cellIs" dxfId="80" priority="1387" operator="greaterThan">
      <formula>0</formula>
    </cfRule>
  </conditionalFormatting>
  <conditionalFormatting sqref="CU88:CU92">
    <cfRule type="cellIs" dxfId="79" priority="1335" operator="greaterThan">
      <formula>0</formula>
    </cfRule>
  </conditionalFormatting>
  <conditionalFormatting sqref="CU44:DB44 DI44:DK44 DI45:DJ45">
    <cfRule type="cellIs" dxfId="78" priority="5420" operator="greaterThan">
      <formula>0</formula>
    </cfRule>
  </conditionalFormatting>
  <conditionalFormatting sqref="CV35">
    <cfRule type="cellIs" dxfId="77" priority="5380" operator="greaterThan">
      <formula>0</formula>
    </cfRule>
  </conditionalFormatting>
  <conditionalFormatting sqref="CV19:CX19">
    <cfRule type="cellIs" dxfId="76" priority="5457" operator="greaterThan">
      <formula>0</formula>
    </cfRule>
  </conditionalFormatting>
  <conditionalFormatting sqref="CV22:CX22">
    <cfRule type="cellIs" dxfId="75" priority="5387" operator="greaterThan">
      <formula>0</formula>
    </cfRule>
  </conditionalFormatting>
  <conditionalFormatting sqref="CV18:DB18 DI18:DK18 DI19:DL19">
    <cfRule type="cellIs" dxfId="74" priority="5458" operator="greaterThan">
      <formula>0</formula>
    </cfRule>
  </conditionalFormatting>
  <conditionalFormatting sqref="CV23:DB23">
    <cfRule type="cellIs" dxfId="73" priority="5452" operator="greaterThan">
      <formula>0</formula>
    </cfRule>
  </conditionalFormatting>
  <conditionalFormatting sqref="CV25:DB25 DI25:DL25">
    <cfRule type="cellIs" dxfId="72" priority="5449" operator="greaterThan">
      <formula>0</formula>
    </cfRule>
  </conditionalFormatting>
  <conditionalFormatting sqref="CV49:DB49">
    <cfRule type="cellIs" dxfId="71" priority="5417" operator="greaterThan">
      <formula>0</formula>
    </cfRule>
  </conditionalFormatting>
  <conditionalFormatting sqref="CV8:DL9 DC18:DH19 DC27:DH27 DC32:DH32 DC35:DH36 DC38:DH40 DC49:DH51 DC58:DH60 DC72:DH72 DC74:DH74 DC84:DH84">
    <cfRule type="cellIs" dxfId="70" priority="5407" operator="greaterThan">
      <formula>0</formula>
    </cfRule>
  </conditionalFormatting>
  <conditionalFormatting sqref="CW13:CW14">
    <cfRule type="cellIs" dxfId="69" priority="5373" operator="greaterThan">
      <formula>0</formula>
    </cfRule>
  </conditionalFormatting>
  <conditionalFormatting sqref="CW35">
    <cfRule type="cellIs" dxfId="68" priority="5429" operator="greaterThan">
      <formula>0</formula>
    </cfRule>
  </conditionalFormatting>
  <conditionalFormatting sqref="CW52">
    <cfRule type="cellIs" dxfId="67" priority="5391" operator="greaterThan">
      <formula>0</formula>
    </cfRule>
  </conditionalFormatting>
  <conditionalFormatting sqref="CX14">
    <cfRule type="cellIs" dxfId="66" priority="5467" operator="greaterThan">
      <formula>0</formula>
    </cfRule>
  </conditionalFormatting>
  <conditionalFormatting sqref="CX27:CX28">
    <cfRule type="cellIs" dxfId="65" priority="5443" operator="greaterThan">
      <formula>0</formula>
    </cfRule>
  </conditionalFormatting>
  <conditionalFormatting sqref="CX55">
    <cfRule type="cellIs" dxfId="64" priority="5405" operator="greaterThan">
      <formula>0</formula>
    </cfRule>
  </conditionalFormatting>
  <conditionalFormatting sqref="CX13:CZ13 CV13:CV14">
    <cfRule type="cellIs" dxfId="63" priority="5397" operator="greaterThan">
      <formula>0</formula>
    </cfRule>
  </conditionalFormatting>
  <conditionalFormatting sqref="CY33 DA33">
    <cfRule type="cellIs" dxfId="62" priority="5433" operator="greaterThan">
      <formula>0</formula>
    </cfRule>
  </conditionalFormatting>
  <conditionalFormatting sqref="CY40">
    <cfRule type="cellIs" dxfId="61" priority="5363" operator="greaterThan">
      <formula>0</formula>
    </cfRule>
  </conditionalFormatting>
  <conditionalFormatting sqref="CY50">
    <cfRule type="cellIs" dxfId="60" priority="5414" operator="greaterThan">
      <formula>0</formula>
    </cfRule>
  </conditionalFormatting>
  <conditionalFormatting sqref="CY55">
    <cfRule type="cellIs" dxfId="59" priority="5390" operator="greaterThan">
      <formula>0</formula>
    </cfRule>
  </conditionalFormatting>
  <conditionalFormatting sqref="CY19:CZ19">
    <cfRule type="cellIs" dxfId="58" priority="5455" operator="greaterThan">
      <formula>0</formula>
    </cfRule>
  </conditionalFormatting>
  <conditionalFormatting sqref="CY22:CZ22">
    <cfRule type="cellIs" dxfId="57" priority="5386" operator="greaterThan">
      <formula>0</formula>
    </cfRule>
  </conditionalFormatting>
  <conditionalFormatting sqref="CY28:DA28 DI28">
    <cfRule type="cellIs" dxfId="56" priority="5448" operator="greaterThan">
      <formula>0</formula>
    </cfRule>
  </conditionalFormatting>
  <conditionalFormatting sqref="CY27:DB27 CV27:CW28">
    <cfRule type="cellIs" dxfId="55" priority="5446" operator="greaterThan">
      <formula>0</formula>
    </cfRule>
  </conditionalFormatting>
  <conditionalFormatting sqref="CZ33">
    <cfRule type="cellIs" dxfId="54" priority="1193" operator="greaterThan">
      <formula>0</formula>
    </cfRule>
  </conditionalFormatting>
  <conditionalFormatting sqref="CZ52">
    <cfRule type="cellIs" dxfId="53" priority="5360" operator="greaterThan">
      <formula>0</formula>
    </cfRule>
  </conditionalFormatting>
  <conditionalFormatting sqref="DA19">
    <cfRule type="cellIs" dxfId="52" priority="5453" operator="greaterThan">
      <formula>0</formula>
    </cfRule>
  </conditionalFormatting>
  <conditionalFormatting sqref="DA22">
    <cfRule type="cellIs" dxfId="51" priority="5384" operator="greaterThan">
      <formula>0</formula>
    </cfRule>
  </conditionalFormatting>
  <conditionalFormatting sqref="DA35">
    <cfRule type="cellIs" dxfId="50" priority="5430" operator="greaterThan">
      <formula>0</formula>
    </cfRule>
  </conditionalFormatting>
  <conditionalFormatting sqref="DA54">
    <cfRule type="cellIs" dxfId="49" priority="5382" operator="greaterThan">
      <formula>0</formula>
    </cfRule>
  </conditionalFormatting>
  <conditionalFormatting sqref="DA13:DB13 CY14:DB14">
    <cfRule type="cellIs" dxfId="48" priority="5473" operator="greaterThan">
      <formula>0</formula>
    </cfRule>
  </conditionalFormatting>
  <conditionalFormatting sqref="DB19">
    <cfRule type="cellIs" dxfId="47" priority="1202" operator="greaterThan">
      <formula>0</formula>
    </cfRule>
  </conditionalFormatting>
  <conditionalFormatting sqref="DB22">
    <cfRule type="cellIs" dxfId="46" priority="5388" operator="greaterThan">
      <formula>0</formula>
    </cfRule>
  </conditionalFormatting>
  <conditionalFormatting sqref="DB28">
    <cfRule type="cellIs" dxfId="45" priority="5440" operator="greaterThan">
      <formula>0</formula>
    </cfRule>
  </conditionalFormatting>
  <conditionalFormatting sqref="DB50:DB51">
    <cfRule type="cellIs" dxfId="44" priority="5404" operator="greaterThan">
      <formula>0</formula>
    </cfRule>
  </conditionalFormatting>
  <conditionalFormatting sqref="DB53:DB55">
    <cfRule type="cellIs" dxfId="43" priority="1194" operator="greaterThan">
      <formula>0</formula>
    </cfRule>
  </conditionalFormatting>
  <conditionalFormatting sqref="DC85:DE89 DG85:DG89">
    <cfRule type="cellIs" dxfId="42" priority="1348" operator="greaterThan">
      <formula>0</formula>
    </cfRule>
  </conditionalFormatting>
  <conditionalFormatting sqref="DC86:DH91">
    <cfRule type="cellIs" dxfId="41" priority="1381" operator="greaterThan">
      <formula>0</formula>
    </cfRule>
  </conditionalFormatting>
  <conditionalFormatting sqref="DE90:DL92">
    <cfRule type="cellIs" dxfId="40" priority="1336" operator="greaterThan">
      <formula>0</formula>
    </cfRule>
  </conditionalFormatting>
  <conditionalFormatting sqref="DE94:DL94">
    <cfRule type="cellIs" dxfId="39" priority="1409" operator="greaterThan">
      <formula>0</formula>
    </cfRule>
  </conditionalFormatting>
  <conditionalFormatting sqref="DF7 DF13:DF14 DF22:DF23 DF25 DF28 DF33 DF41 DF44:DF45 DF52:DF55 DF61 DF63 DF69:DF70 DF75 DF77:DF79">
    <cfRule type="cellIs" dxfId="38" priority="5394" operator="greaterThan">
      <formula>0</formula>
    </cfRule>
  </conditionalFormatting>
  <conditionalFormatting sqref="DF85:DF89">
    <cfRule type="cellIs" dxfId="37" priority="1347" operator="greaterThan">
      <formula>0</formula>
    </cfRule>
  </conditionalFormatting>
  <conditionalFormatting sqref="DG37">
    <cfRule type="cellIs" dxfId="36" priority="1200" operator="greaterThan">
      <formula>0</formula>
    </cfRule>
  </conditionalFormatting>
  <conditionalFormatting sqref="DH6:DH7 DH13:DH14 DH22:DH23 DH25 DH28 DH33 DH41 DH44:DH45 DH52:DH55 DH61 DH63 DH69:DH70 DH75 DH77:DH79">
    <cfRule type="cellIs" dxfId="35" priority="5393" operator="greaterThan">
      <formula>0</formula>
    </cfRule>
  </conditionalFormatting>
  <conditionalFormatting sqref="DH37">
    <cfRule type="cellIs" dxfId="34" priority="1201" operator="greaterThan">
      <formula>0</formula>
    </cfRule>
  </conditionalFormatting>
  <conditionalFormatting sqref="DH85:DH89">
    <cfRule type="cellIs" dxfId="33" priority="1346" operator="greaterThan">
      <formula>0</formula>
    </cfRule>
  </conditionalFormatting>
  <conditionalFormatting sqref="DI6:DI7">
    <cfRule type="cellIs" dxfId="32" priority="5392" operator="greaterThan">
      <formula>0</formula>
    </cfRule>
  </conditionalFormatting>
  <conditionalFormatting sqref="DI11:DI14">
    <cfRule type="cellIs" dxfId="31" priority="5398" operator="greaterThan">
      <formula>0</formula>
    </cfRule>
  </conditionalFormatting>
  <conditionalFormatting sqref="DI32:DI33 CT33:CX33 DB33 DK33:DL33">
    <cfRule type="cellIs" dxfId="30" priority="5434" operator="greaterThan">
      <formula>0</formula>
    </cfRule>
  </conditionalFormatting>
  <conditionalFormatting sqref="DI51 DK51:DL51">
    <cfRule type="cellIs" dxfId="29" priority="5413" operator="greaterThan">
      <formula>0</formula>
    </cfRule>
  </conditionalFormatting>
  <conditionalFormatting sqref="DI27:DJ27">
    <cfRule type="cellIs" dxfId="28" priority="5447" operator="greaterThan">
      <formula>0</formula>
    </cfRule>
  </conditionalFormatting>
  <conditionalFormatting sqref="DI35:DJ35 CT36 CV36:DB36">
    <cfRule type="cellIs" dxfId="27" priority="5431" operator="greaterThan">
      <formula>0</formula>
    </cfRule>
  </conditionalFormatting>
  <conditionalFormatting sqref="DI36:DK36 DI37:DL39 CT38:DB39 CT41 CV41:DB41 DI41:DK41">
    <cfRule type="cellIs" dxfId="26" priority="5426" operator="greaterThan">
      <formula>0</formula>
    </cfRule>
  </conditionalFormatting>
  <conditionalFormatting sqref="DI54:DK55">
    <cfRule type="cellIs" dxfId="25" priority="5367" operator="greaterThan">
      <formula>0</formula>
    </cfRule>
  </conditionalFormatting>
  <conditionalFormatting sqref="DI10:DL10 CV10:DB12">
    <cfRule type="cellIs" dxfId="24" priority="5399" operator="greaterThan">
      <formula>0</formula>
    </cfRule>
  </conditionalFormatting>
  <conditionalFormatting sqref="DI22:DL23">
    <cfRule type="cellIs" dxfId="23" priority="5377" operator="greaterThan">
      <formula>0</formula>
    </cfRule>
  </conditionalFormatting>
  <conditionalFormatting sqref="DI49:DL50">
    <cfRule type="cellIs" dxfId="22" priority="5416" operator="greaterThan">
      <formula>0</formula>
    </cfRule>
  </conditionalFormatting>
  <conditionalFormatting sqref="DI52:DL53 CT53:DA53">
    <cfRule type="cellIs" dxfId="21" priority="5408" operator="greaterThan">
      <formula>0</formula>
    </cfRule>
  </conditionalFormatting>
  <conditionalFormatting sqref="DI84:DL88 CU86:DB88">
    <cfRule type="cellIs" dxfId="20" priority="1345" operator="greaterThan">
      <formula>0</formula>
    </cfRule>
  </conditionalFormatting>
  <conditionalFormatting sqref="DJ11">
    <cfRule type="cellIs" dxfId="19" priority="5463" operator="greaterThan">
      <formula>0</formula>
    </cfRule>
  </conditionalFormatting>
  <conditionalFormatting sqref="DJ32:DJ33">
    <cfRule type="cellIs" dxfId="18" priority="1196" operator="greaterThan">
      <formula>0</formula>
    </cfRule>
  </conditionalFormatting>
  <conditionalFormatting sqref="DJ51">
    <cfRule type="cellIs" dxfId="17" priority="5410" operator="greaterThan">
      <formula>0</formula>
    </cfRule>
  </conditionalFormatting>
  <conditionalFormatting sqref="DJ81">
    <cfRule type="cellIs" dxfId="16" priority="1173" operator="greaterThan">
      <formula>0</formula>
    </cfRule>
  </conditionalFormatting>
  <conditionalFormatting sqref="DJ12:DK12">
    <cfRule type="cellIs" dxfId="15" priority="5470" operator="greaterThan">
      <formula>0</formula>
    </cfRule>
  </conditionalFormatting>
  <conditionalFormatting sqref="DJ6:DL7 DB7:DE7 DG7 DC13:DE14 DG13:DG14 DC22:DE23 DG22:DG23 DC25:DE25 DG25 DC28:DE28 DG28 DC33:DE33 DG33 DC41:DE41 DG41 DC44:DE45 DG44:DG45 DC52:DE55 DG52:DG55 DC61:DE61 DG61 DC63:DE63 DG63 DC69:DE70 DG69:DG70 DC75:DE75 DG75 DC77:DE79 DG77:DG79">
    <cfRule type="cellIs" dxfId="14" priority="5395" operator="greaterThan">
      <formula>0</formula>
    </cfRule>
  </conditionalFormatting>
  <conditionalFormatting sqref="DJ13:DL14">
    <cfRule type="cellIs" dxfId="13" priority="5460" operator="greaterThan">
      <formula>0</formula>
    </cfRule>
  </conditionalFormatting>
  <conditionalFormatting sqref="DK11">
    <cfRule type="cellIs" dxfId="12" priority="5471" operator="greaterThan">
      <formula>0</formula>
    </cfRule>
  </conditionalFormatting>
  <conditionalFormatting sqref="DK27:DK28">
    <cfRule type="cellIs" dxfId="11" priority="5378" operator="greaterThan">
      <formula>0</formula>
    </cfRule>
  </conditionalFormatting>
  <conditionalFormatting sqref="DK32">
    <cfRule type="cellIs" dxfId="10" priority="5436" operator="greaterThan">
      <formula>0</formula>
    </cfRule>
  </conditionalFormatting>
  <conditionalFormatting sqref="DK35">
    <cfRule type="cellIs" dxfId="9" priority="1195" operator="greaterThan">
      <formula>0</formula>
    </cfRule>
  </conditionalFormatting>
  <conditionalFormatting sqref="DK40">
    <cfRule type="cellIs" dxfId="8" priority="5366" operator="greaterThan">
      <formula>0</formula>
    </cfRule>
  </conditionalFormatting>
  <conditionalFormatting sqref="DK45">
    <cfRule type="cellIs" dxfId="7" priority="5365" operator="greaterThan">
      <formula>0</formula>
    </cfRule>
  </conditionalFormatting>
  <conditionalFormatting sqref="DK48">
    <cfRule type="cellIs" dxfId="6" priority="1172" operator="greaterThan">
      <formula>0</formula>
    </cfRule>
  </conditionalFormatting>
  <conditionalFormatting sqref="DL11:DL12 DL54:DL55 DL71 DL81">
    <cfRule type="cellIs" dxfId="5" priority="1174" operator="greaterThan">
      <formula>0</formula>
    </cfRule>
  </conditionalFormatting>
  <conditionalFormatting sqref="DL18">
    <cfRule type="cellIs" dxfId="4" priority="1176" operator="greaterThan">
      <formula>0</formula>
    </cfRule>
  </conditionalFormatting>
  <conditionalFormatting sqref="DL27:DL28 DJ28">
    <cfRule type="cellIs" dxfId="3" priority="5439" operator="greaterThan">
      <formula>0</formula>
    </cfRule>
  </conditionalFormatting>
  <conditionalFormatting sqref="DL30 DL35:DL36 DL44:DL45">
    <cfRule type="cellIs" dxfId="2" priority="1175" operator="greaterThan">
      <formula>0</formula>
    </cfRule>
  </conditionalFormatting>
  <conditionalFormatting sqref="DL32">
    <cfRule type="cellIs" dxfId="1" priority="5435" operator="greaterThan">
      <formula>0</formula>
    </cfRule>
  </conditionalFormatting>
  <conditionalFormatting sqref="DL40:DL41">
    <cfRule type="cellIs" dxfId="0" priority="5422" operator="greaterThan">
      <formula>0</formula>
    </cfRule>
  </conditionalFormatting>
  <dataValidations count="1">
    <dataValidation type="list" allowBlank="1" showInputMessage="1" showErrorMessage="1" sqref="B3:B284" xr:uid="{00000000-0002-0000-0300-000000000000}">
      <formula1>INDIRECT(A3)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landscape" r:id="rId1"/>
  <colBreaks count="2" manualBreakCount="2">
    <brk id="47" max="266" man="1"/>
    <brk id="85" max="266" man="1"/>
  </colBreaks>
  <ignoredErrors>
    <ignoredError sqref="R61 R44" numberStoredAsText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'DATA '!$AB$2:$AB$4</xm:f>
          </x14:formula1>
          <xm:sqref>A3:A284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5BFF"/>
  </sheetPr>
  <dimension ref="A1:P60"/>
  <sheetViews>
    <sheetView topLeftCell="D1" workbookViewId="0">
      <selection activeCell="I20" sqref="I20"/>
    </sheetView>
  </sheetViews>
  <sheetFormatPr defaultColWidth="9.125" defaultRowHeight="15.75"/>
  <cols>
    <col min="1" max="1" width="6.625" style="21" customWidth="1"/>
    <col min="2" max="2" width="12.75" style="21" customWidth="1"/>
    <col min="3" max="3" width="32.625" style="21" customWidth="1"/>
    <col min="4" max="4" width="11.375" style="109" customWidth="1"/>
    <col min="5" max="5" width="7.375" style="109" customWidth="1"/>
    <col min="6" max="6" width="9.25" style="109" customWidth="1"/>
    <col min="7" max="7" width="10.875" style="109" customWidth="1"/>
    <col min="8" max="15" width="9.25" style="109" customWidth="1"/>
    <col min="16" max="16" width="10.125" style="109" customWidth="1"/>
    <col min="17" max="16384" width="9.125" style="21"/>
  </cols>
  <sheetData>
    <row r="1" spans="1:16" s="108" customFormat="1">
      <c r="A1" s="359" t="s">
        <v>195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59" t="str">
        <f>TEXT('RJ ATTENDENCE SHEET'!$A$1,"MMMM")</f>
        <v>July</v>
      </c>
      <c r="O1" s="361"/>
      <c r="P1" s="123">
        <f>YEAR('RJ ATTENDENCE SHEET'!$A$1)</f>
        <v>2026</v>
      </c>
    </row>
    <row r="2" spans="1:16" s="108" customFormat="1" ht="25.5" customHeight="1">
      <c r="A2" s="357" t="s">
        <v>196</v>
      </c>
      <c r="B2" s="357" t="s">
        <v>197</v>
      </c>
      <c r="C2" s="372" t="s">
        <v>92</v>
      </c>
      <c r="D2" s="372" t="s">
        <v>115</v>
      </c>
      <c r="E2" s="372" t="s">
        <v>116</v>
      </c>
      <c r="F2" s="372" t="s">
        <v>117</v>
      </c>
      <c r="G2" s="357" t="s">
        <v>198</v>
      </c>
      <c r="H2" s="362" t="s">
        <v>199</v>
      </c>
      <c r="I2" s="363"/>
      <c r="J2" s="357" t="s">
        <v>200</v>
      </c>
      <c r="K2" s="364" t="s">
        <v>201</v>
      </c>
      <c r="L2" s="362"/>
      <c r="M2" s="362"/>
      <c r="N2" s="365"/>
      <c r="O2" s="357" t="s">
        <v>202</v>
      </c>
      <c r="P2" s="357" t="s">
        <v>203</v>
      </c>
    </row>
    <row r="3" spans="1:16" s="109" customFormat="1" ht="45.75" customHeight="1">
      <c r="A3" s="358"/>
      <c r="B3" s="371"/>
      <c r="C3" s="371"/>
      <c r="D3" s="371"/>
      <c r="E3" s="371"/>
      <c r="F3" s="371"/>
      <c r="G3" s="358"/>
      <c r="H3" s="111" t="s">
        <v>204</v>
      </c>
      <c r="I3" s="124" t="s">
        <v>205</v>
      </c>
      <c r="J3" s="358"/>
      <c r="K3" s="125" t="s">
        <v>206</v>
      </c>
      <c r="L3" s="126" t="s">
        <v>207</v>
      </c>
      <c r="M3" s="125" t="s">
        <v>208</v>
      </c>
      <c r="N3" s="126" t="s">
        <v>209</v>
      </c>
      <c r="O3" s="358"/>
      <c r="P3" s="358"/>
    </row>
    <row r="4" spans="1:16">
      <c r="A4" s="112">
        <v>1</v>
      </c>
      <c r="B4" s="112" t="str">
        <f>IFERROR(VLOOKUP(C4,'RJ ATTENDENCE SHEET'!$C:$D,2,0),"")</f>
        <v>TC 0005</v>
      </c>
      <c r="C4" s="113" t="str">
        <f>'DATA '!H3</f>
        <v>ABED ALI</v>
      </c>
      <c r="D4" s="114">
        <f>IFERROR(VLOOKUP(C4,'RJ ATTENDENCE SHEET'!$C:$L,3,0),"")</f>
        <v>10560</v>
      </c>
      <c r="E4" s="114">
        <f>IFERROR(VLOOKUP(C4,'RJ ATTENDENCE SHEET'!$C:$L,4,0),"")</f>
        <v>5000</v>
      </c>
      <c r="F4" s="114">
        <f>IFERROR(VLOOKUP(C4,'RJ ATTENDENCE SHEET'!$C:$L,5,0),"")</f>
        <v>4440</v>
      </c>
      <c r="G4" s="114">
        <f t="shared" ref="G4:G13" si="0">SUM(D4:F4)</f>
        <v>20000</v>
      </c>
      <c r="H4" s="114">
        <f>DAY(EOMONTH('RJ ATTENDENCE SHEET'!$A$1,0))</f>
        <v>31</v>
      </c>
      <c r="I4" s="114">
        <f>IFERROR(VLOOKUP(C4,'RJ ATTENDENCE SHEET'!$C:$W,20,0),"")</f>
        <v>31</v>
      </c>
      <c r="J4" s="114">
        <f t="shared" ref="J4:J12" si="1">IFERROR(G4/H4*I4,"")</f>
        <v>20000</v>
      </c>
      <c r="K4" s="114">
        <f>IFERROR(VLOOKUP(C4,'SALARY ESI (P)'!$C:$T,13,0),"")</f>
        <v>1267</v>
      </c>
      <c r="L4" s="114">
        <f>IFERROR(VLOOKUP(C4,'SALARY ESI (P)'!$C:$T,14,0),"")</f>
        <v>150</v>
      </c>
      <c r="M4" s="114">
        <f>IFERROR(VLOOKUP(C4,'SALARY ESI (P)'!$C:$T,15,0),"")</f>
        <v>130</v>
      </c>
      <c r="N4" s="127">
        <f>IFERROR(VLOOKUP(C4,'RJ ATTENDENCE SHEET'!$C:$S,17,0),"")</f>
        <v>0</v>
      </c>
      <c r="O4" s="128">
        <f>SUM(K4:N4)</f>
        <v>1547</v>
      </c>
      <c r="P4" s="128">
        <f t="shared" ref="P4:P22" si="2">IFERROR(J4-O4,"")</f>
        <v>18453</v>
      </c>
    </row>
    <row r="5" spans="1:16">
      <c r="A5" s="112">
        <v>2</v>
      </c>
      <c r="B5" s="112" t="str">
        <f>IFERROR(VLOOKUP(C5,'RJ ATTENDENCE SHEET'!$C:$D,2,0),"")</f>
        <v>TC 0003</v>
      </c>
      <c r="C5" s="113" t="str">
        <f>'DATA '!H4</f>
        <v>ABHI MUKHERJEE</v>
      </c>
      <c r="D5" s="114">
        <f>IFERROR(VLOOKUP(C5,'RJ ATTENDENCE SHEET'!$C:$L,3,0),"")</f>
        <v>14300</v>
      </c>
      <c r="E5" s="114">
        <f>IFERROR(VLOOKUP(C5,'RJ ATTENDENCE SHEET'!$C:$L,4,0),"")</f>
        <v>7000</v>
      </c>
      <c r="F5" s="114">
        <f>IFERROR(VLOOKUP(C5,'RJ ATTENDENCE SHEET'!$C:$L,5,0),"")</f>
        <v>7200</v>
      </c>
      <c r="G5" s="114">
        <f t="shared" si="0"/>
        <v>28500</v>
      </c>
      <c r="H5" s="114">
        <f>DAY(EOMONTH('RJ ATTENDENCE SHEET'!$A$1,0))</f>
        <v>31</v>
      </c>
      <c r="I5" s="114">
        <f>IFERROR(VLOOKUP(C5,'RJ ATTENDENCE SHEET'!$C:$W,20,0),"")</f>
        <v>31</v>
      </c>
      <c r="J5" s="114">
        <f t="shared" si="1"/>
        <v>28500</v>
      </c>
      <c r="K5" s="114">
        <f>IFERROR(VLOOKUP(C5,'SALARY ESI (P)'!$C:$T,13,0),"")</f>
        <v>1716</v>
      </c>
      <c r="L5" s="114">
        <f>IFERROR(VLOOKUP(C5,'SALARY ESI (P)'!$C:$T,14,0),"")</f>
        <v>0</v>
      </c>
      <c r="M5" s="114">
        <f>IFERROR(VLOOKUP(C5,'SALARY ESI (P)'!$C:$T,15,0),"")</f>
        <v>150</v>
      </c>
      <c r="N5" s="127">
        <f>IFERROR(VLOOKUP(C5,'RJ ATTENDENCE SHEET'!$C:$S,17,0),"")</f>
        <v>0</v>
      </c>
      <c r="O5" s="128">
        <f t="shared" ref="O5:O12" si="3">SUM(K5:N5)</f>
        <v>1866</v>
      </c>
      <c r="P5" s="128">
        <f t="shared" si="2"/>
        <v>26634</v>
      </c>
    </row>
    <row r="6" spans="1:16">
      <c r="A6" s="112">
        <v>3</v>
      </c>
      <c r="B6" s="112" t="str">
        <f>IFERROR(VLOOKUP(C6,'RJ ATTENDENCE SHEET'!$C:$D,2,0),"")</f>
        <v>TC 0001</v>
      </c>
      <c r="C6" s="113" t="str">
        <f>'DATA '!H5</f>
        <v>ACHIN GUPTA</v>
      </c>
      <c r="D6" s="114">
        <f>IFERROR(VLOOKUP(C6,'RJ ATTENDENCE SHEET'!$C:$L,3,0),"")</f>
        <v>12000</v>
      </c>
      <c r="E6" s="114">
        <f>IFERROR(VLOOKUP(C6,'RJ ATTENDENCE SHEET'!$C:$L,4,0),"")</f>
        <v>6000</v>
      </c>
      <c r="F6" s="114">
        <f>IFERROR(VLOOKUP(C6,'RJ ATTENDENCE SHEET'!$C:$L,5,0),"")</f>
        <v>4500</v>
      </c>
      <c r="G6" s="114">
        <f t="shared" si="0"/>
        <v>22500</v>
      </c>
      <c r="H6" s="114">
        <f>DAY(EOMONTH('RJ ATTENDENCE SHEET'!$A$1,0))</f>
        <v>31</v>
      </c>
      <c r="I6" s="114">
        <f>IFERROR(VLOOKUP(C6,'RJ ATTENDENCE SHEET'!$C:$W,20,0),"")</f>
        <v>31</v>
      </c>
      <c r="J6" s="114">
        <f t="shared" si="1"/>
        <v>22500</v>
      </c>
      <c r="K6" s="114">
        <f>IFERROR(VLOOKUP(C6,'SALARY ESI (P)'!$C:$T,13,0),"")</f>
        <v>1440</v>
      </c>
      <c r="L6" s="114">
        <f>IFERROR(VLOOKUP(C6,'SALARY ESI (P)'!$C:$T,14,0),"")</f>
        <v>0</v>
      </c>
      <c r="M6" s="114">
        <f>IFERROR(VLOOKUP(C6,'SALARY ESI (P)'!$C:$T,15,0),"")</f>
        <v>130</v>
      </c>
      <c r="N6" s="127">
        <f>IFERROR(VLOOKUP(C6,'RJ ATTENDENCE SHEET'!$C:$S,17,0),"")</f>
        <v>0</v>
      </c>
      <c r="O6" s="128">
        <f t="shared" si="3"/>
        <v>1570</v>
      </c>
      <c r="P6" s="128">
        <f t="shared" si="2"/>
        <v>20930</v>
      </c>
    </row>
    <row r="7" spans="1:16">
      <c r="A7" s="112">
        <v>4</v>
      </c>
      <c r="B7" s="112" t="str">
        <f>IFERROR(VLOOKUP(C7,'RJ ATTENDENCE SHEET'!$C:$D,2,0),"")</f>
        <v>TC 0006</v>
      </c>
      <c r="C7" s="113" t="str">
        <f>'DATA '!H6</f>
        <v>AMIN YADAV</v>
      </c>
      <c r="D7" s="114">
        <f>IFERROR(VLOOKUP(C7,'RJ ATTENDENCE SHEET'!$C:$L,3,0),"")</f>
        <v>12780</v>
      </c>
      <c r="E7" s="114">
        <f>IFERROR(VLOOKUP(C7,'RJ ATTENDENCE SHEET'!$C:$L,4,0),"")</f>
        <v>6000</v>
      </c>
      <c r="F7" s="114">
        <f>IFERROR(VLOOKUP(C7,'RJ ATTENDENCE SHEET'!$C:$L,5,0),"")</f>
        <v>5720</v>
      </c>
      <c r="G7" s="114">
        <f t="shared" si="0"/>
        <v>24500</v>
      </c>
      <c r="H7" s="114">
        <f>DAY(EOMONTH('RJ ATTENDENCE SHEET'!$A$1,0))</f>
        <v>31</v>
      </c>
      <c r="I7" s="114">
        <f>IFERROR(VLOOKUP(C7,'RJ ATTENDENCE SHEET'!$C:$W,20,0),"")</f>
        <v>31</v>
      </c>
      <c r="J7" s="114">
        <f t="shared" si="1"/>
        <v>24500</v>
      </c>
      <c r="K7" s="114">
        <f>IFERROR(VLOOKUP(C7,'SALARY ESI (P)'!$C:$T,13,0),"")</f>
        <v>1534</v>
      </c>
      <c r="L7" s="114">
        <f>IFERROR(VLOOKUP(C7,'SALARY ESI (P)'!$C:$T,14,0),"")</f>
        <v>0</v>
      </c>
      <c r="M7" s="114">
        <f>IFERROR(VLOOKUP(C7,'SALARY ESI (P)'!$C:$T,15,0),"")</f>
        <v>130</v>
      </c>
      <c r="N7" s="127">
        <f>IFERROR(VLOOKUP(C7,'RJ ATTENDENCE SHEET'!$C:$S,17,0),"")</f>
        <v>0</v>
      </c>
      <c r="O7" s="128">
        <f t="shared" si="3"/>
        <v>1664</v>
      </c>
      <c r="P7" s="128">
        <f t="shared" si="2"/>
        <v>22836</v>
      </c>
    </row>
    <row r="8" spans="1:16">
      <c r="A8" s="112">
        <v>5</v>
      </c>
      <c r="B8" s="112" t="str">
        <f>IFERROR(VLOOKUP(C8,'RJ ATTENDENCE SHEET'!$C:$D,2,0),"")</f>
        <v>TC 0185</v>
      </c>
      <c r="C8" s="113" t="str">
        <f>'DATA '!H7</f>
        <v>ANOWAR MOLLA</v>
      </c>
      <c r="D8" s="114">
        <f>IFERROR(VLOOKUP(C8,'RJ ATTENDENCE SHEET'!$C:$L,3,0),"")</f>
        <v>10560</v>
      </c>
      <c r="E8" s="114">
        <f>IFERROR(VLOOKUP(C8,'RJ ATTENDENCE SHEET'!$C:$L,4,0),"")</f>
        <v>2000</v>
      </c>
      <c r="F8" s="114">
        <f>IFERROR(VLOOKUP(C8,'RJ ATTENDENCE SHEET'!$C:$L,5,0),"")</f>
        <v>1440</v>
      </c>
      <c r="G8" s="114">
        <f t="shared" si="0"/>
        <v>14000</v>
      </c>
      <c r="H8" s="114">
        <f>DAY(EOMONTH('RJ ATTENDENCE SHEET'!$A$1,0))</f>
        <v>31</v>
      </c>
      <c r="I8" s="114">
        <f>IFERROR(VLOOKUP(C8,'RJ ATTENDENCE SHEET'!$C:$W,20,0),"")</f>
        <v>31</v>
      </c>
      <c r="J8" s="114">
        <f t="shared" si="1"/>
        <v>14000</v>
      </c>
      <c r="K8" s="114">
        <f>IFERROR(VLOOKUP(C8,'SALARY ESI (P)'!$C:$T,13,0),"")</f>
        <v>1267</v>
      </c>
      <c r="L8" s="114">
        <f>IFERROR(VLOOKUP(C8,'SALARY ESI (P)'!$C:$T,14,0),"")</f>
        <v>105</v>
      </c>
      <c r="M8" s="114">
        <f>IFERROR(VLOOKUP(C8,'SALARY ESI (P)'!$C:$T,15,0),"")</f>
        <v>110</v>
      </c>
      <c r="N8" s="127">
        <f>IFERROR(VLOOKUP(C8,'RJ ATTENDENCE SHEET'!$C:$S,17,0),"")</f>
        <v>0</v>
      </c>
      <c r="O8" s="128">
        <f t="shared" si="3"/>
        <v>1482</v>
      </c>
      <c r="P8" s="128">
        <f t="shared" si="2"/>
        <v>12518</v>
      </c>
    </row>
    <row r="9" spans="1:16">
      <c r="A9" s="112">
        <v>6</v>
      </c>
      <c r="B9" s="112" t="str">
        <f>IFERROR(VLOOKUP(C9,'RJ ATTENDENCE SHEET'!$C:$D,2,0),"")</f>
        <v>TC 0260</v>
      </c>
      <c r="C9" s="113" t="str">
        <f>'DATA '!H8</f>
        <v>DIBAKAR MONDAL</v>
      </c>
      <c r="D9" s="114">
        <f>IFERROR(VLOOKUP(C9,'RJ ATTENDENCE SHEET'!$C:$L,3,0),"")</f>
        <v>10560</v>
      </c>
      <c r="E9" s="114">
        <f>IFERROR(VLOOKUP(C9,'RJ ATTENDENCE SHEET'!$C:$L,4,0),"")</f>
        <v>4000</v>
      </c>
      <c r="F9" s="114">
        <f>IFERROR(VLOOKUP(C9,'RJ ATTENDENCE SHEET'!$C:$L,5,0),"")</f>
        <v>3440</v>
      </c>
      <c r="G9" s="114">
        <f t="shared" si="0"/>
        <v>18000</v>
      </c>
      <c r="H9" s="114">
        <f>DAY(EOMONTH('RJ ATTENDENCE SHEET'!$A$1,0))</f>
        <v>31</v>
      </c>
      <c r="I9" s="114">
        <f>IFERROR(VLOOKUP(C9,'RJ ATTENDENCE SHEET'!$C:$W,20,0),"")</f>
        <v>31</v>
      </c>
      <c r="J9" s="114">
        <f t="shared" si="1"/>
        <v>18000</v>
      </c>
      <c r="K9" s="114">
        <f>IFERROR(VLOOKUP(C9,'SALARY ESI (P)'!$C:$T,13,0),"")</f>
        <v>1267</v>
      </c>
      <c r="L9" s="114">
        <f>IFERROR(VLOOKUP(C9,'SALARY ESI (P)'!$C:$T,14,0),"")</f>
        <v>135</v>
      </c>
      <c r="M9" s="114">
        <f>IFERROR(VLOOKUP(C9,'SALARY ESI (P)'!$C:$T,15,0),"")</f>
        <v>130</v>
      </c>
      <c r="N9" s="127">
        <f>IFERROR(VLOOKUP(C9,'RJ ATTENDENCE SHEET'!$C:$S,17,0),"")</f>
        <v>0</v>
      </c>
      <c r="O9" s="128">
        <f t="shared" si="3"/>
        <v>1532</v>
      </c>
      <c r="P9" s="128">
        <f t="shared" si="2"/>
        <v>16468</v>
      </c>
    </row>
    <row r="10" spans="1:16">
      <c r="A10" s="112">
        <v>7</v>
      </c>
      <c r="B10" s="112" t="str">
        <f>IFERROR(VLOOKUP(C10,'RJ ATTENDENCE SHEET'!$C:$D,2,0),"")</f>
        <v>TC 0122</v>
      </c>
      <c r="C10" s="113" t="str">
        <f>'DATA '!H9</f>
        <v xml:space="preserve">GOLAM SARWAR </v>
      </c>
      <c r="D10" s="114">
        <f>IFERROR(VLOOKUP(C10,'RJ ATTENDENCE SHEET'!$C:$L,3,0),"")</f>
        <v>26000</v>
      </c>
      <c r="E10" s="114">
        <f>IFERROR(VLOOKUP(C10,'RJ ATTENDENCE SHEET'!$C:$L,4,0),"")</f>
        <v>0</v>
      </c>
      <c r="F10" s="114">
        <f>IFERROR(VLOOKUP(C10,'RJ ATTENDENCE SHEET'!$C:$L,5,0),"")</f>
        <v>0</v>
      </c>
      <c r="G10" s="114">
        <f t="shared" si="0"/>
        <v>26000</v>
      </c>
      <c r="H10" s="114">
        <f>DAY(EOMONTH('RJ ATTENDENCE SHEET'!$A$1,0))</f>
        <v>31</v>
      </c>
      <c r="I10" s="114">
        <f>IFERROR(VLOOKUP(C10,'RJ ATTENDENCE SHEET'!$C:$W,20,0),"")</f>
        <v>31</v>
      </c>
      <c r="J10" s="114">
        <f t="shared" si="1"/>
        <v>26000</v>
      </c>
      <c r="K10" s="114" t="str">
        <f>IFERROR(VLOOKUP(C10,'SALARY ESI (P)'!$C:$T,13,0),"")</f>
        <v>0</v>
      </c>
      <c r="L10" s="114">
        <f>IFERROR(VLOOKUP(C10,'SALARY ESI (P)'!$C:$T,14,0),"")</f>
        <v>0</v>
      </c>
      <c r="M10" s="114">
        <f>IFERROR(VLOOKUP(C10,'SALARY ESI (P)'!$C:$T,15,0),"")</f>
        <v>150</v>
      </c>
      <c r="N10" s="127">
        <f>IFERROR(VLOOKUP(C10,'RJ ATTENDENCE SHEET'!$C:$S,17,0),"")</f>
        <v>0</v>
      </c>
      <c r="O10" s="128">
        <f t="shared" si="3"/>
        <v>150</v>
      </c>
      <c r="P10" s="128">
        <f t="shared" si="2"/>
        <v>25850</v>
      </c>
    </row>
    <row r="11" spans="1:16">
      <c r="A11" s="112">
        <v>8</v>
      </c>
      <c r="B11" s="112" t="str">
        <f>IFERROR(VLOOKUP(C11,'RJ ATTENDENCE SHEET'!$C:$D,2,0),"")</f>
        <v>TC 0205</v>
      </c>
      <c r="C11" s="113" t="str">
        <f>'DATA '!H10</f>
        <v>IMAN ALI MOLLA</v>
      </c>
      <c r="D11" s="114">
        <f>IFERROR(VLOOKUP(C11,'RJ ATTENDENCE SHEET'!$C:$L,3,0),"")</f>
        <v>10560</v>
      </c>
      <c r="E11" s="114">
        <f>IFERROR(VLOOKUP(C11,'RJ ATTENDENCE SHEET'!$C:$L,4,0),"")</f>
        <v>4000</v>
      </c>
      <c r="F11" s="114">
        <f>IFERROR(VLOOKUP(C11,'RJ ATTENDENCE SHEET'!$C:$L,5,0),"")</f>
        <v>2440</v>
      </c>
      <c r="G11" s="114">
        <f t="shared" si="0"/>
        <v>17000</v>
      </c>
      <c r="H11" s="114">
        <f>DAY(EOMONTH('RJ ATTENDENCE SHEET'!$A$1,0))</f>
        <v>31</v>
      </c>
      <c r="I11" s="129">
        <f>IFERROR(VLOOKUP(C11,'RJ ATTENDENCE SHEET'!$C:$W,20,0),"")</f>
        <v>31</v>
      </c>
      <c r="J11" s="114">
        <f t="shared" si="1"/>
        <v>17000</v>
      </c>
      <c r="K11" s="114">
        <f>IFERROR(VLOOKUP(C11,'SALARY ESI (P)'!$C:$T,13,0),"")</f>
        <v>1267</v>
      </c>
      <c r="L11" s="114">
        <f>IFERROR(VLOOKUP(C11,'SALARY ESI (P)'!$C:$T,14,0),"")</f>
        <v>128</v>
      </c>
      <c r="M11" s="114">
        <f>IFERROR(VLOOKUP(C11,'SALARY ESI (P)'!$C:$T,15,0),"")</f>
        <v>130</v>
      </c>
      <c r="N11" s="127">
        <f>IFERROR(VLOOKUP(C11,'RJ ATTENDENCE SHEET'!$C:$S,17,0),"")</f>
        <v>0</v>
      </c>
      <c r="O11" s="128">
        <f t="shared" si="3"/>
        <v>1525</v>
      </c>
      <c r="P11" s="128">
        <f t="shared" si="2"/>
        <v>15475</v>
      </c>
    </row>
    <row r="12" spans="1:16">
      <c r="A12" s="112">
        <v>9</v>
      </c>
      <c r="B12" s="112" t="str">
        <f>IFERROR(VLOOKUP(C12,'RJ ATTENDENCE SHEET'!$C:$D,2,0),"")</f>
        <v>TC 0024</v>
      </c>
      <c r="C12" s="113" t="str">
        <f>'DATA '!H11</f>
        <v>PULIN MONDAL</v>
      </c>
      <c r="D12" s="114">
        <f>IFERROR(VLOOKUP(C12,'RJ ATTENDENCE SHEET'!$C:$L,3,0),"")</f>
        <v>10560</v>
      </c>
      <c r="E12" s="114">
        <f>IFERROR(VLOOKUP(C12,'RJ ATTENDENCE SHEET'!$C:$L,4,0),"")</f>
        <v>500</v>
      </c>
      <c r="F12" s="114">
        <f>IFERROR(VLOOKUP(C12,'RJ ATTENDENCE SHEET'!$C:$L,5,0),"")</f>
        <v>440</v>
      </c>
      <c r="G12" s="114">
        <f t="shared" si="0"/>
        <v>11500</v>
      </c>
      <c r="H12" s="114">
        <f>DAY(EOMONTH('RJ ATTENDENCE SHEET'!$A$1,0))</f>
        <v>31</v>
      </c>
      <c r="I12" s="129">
        <f>IFERROR(VLOOKUP(C12,'RJ ATTENDENCE SHEET'!$C:$W,20,0),"")</f>
        <v>31</v>
      </c>
      <c r="J12" s="114">
        <f t="shared" si="1"/>
        <v>11500</v>
      </c>
      <c r="K12" s="114">
        <f>IFERROR(VLOOKUP(C12,'SALARY ESI (P)'!$C:$T,13,0),"")</f>
        <v>1267</v>
      </c>
      <c r="L12" s="114">
        <f>IFERROR(VLOOKUP(C12,'SALARY ESI (P)'!$C:$T,14,0),"")</f>
        <v>87</v>
      </c>
      <c r="M12" s="114">
        <f>IFERROR(VLOOKUP(C12,'SALARY ESI (P)'!$C:$T,15,0),"")</f>
        <v>110</v>
      </c>
      <c r="N12" s="127">
        <f>IFERROR(VLOOKUP(C12,'RJ ATTENDENCE SHEET'!$C:$S,17,0),"")</f>
        <v>0</v>
      </c>
      <c r="O12" s="128">
        <f t="shared" si="3"/>
        <v>1464</v>
      </c>
      <c r="P12" s="128">
        <f t="shared" si="2"/>
        <v>10036</v>
      </c>
    </row>
    <row r="13" spans="1:16">
      <c r="A13" s="112">
        <v>10</v>
      </c>
      <c r="B13" s="112" t="str">
        <f>IFERROR(VLOOKUP(C13,'RJ ATTENDENCE SHEET'!$C:$D,2,0),"")</f>
        <v>TC 0040</v>
      </c>
      <c r="C13" s="113" t="str">
        <f>'DATA '!H12</f>
        <v>RAJU PAL</v>
      </c>
      <c r="D13" s="114">
        <f>IFERROR(VLOOKUP(C13,'RJ ATTENDENCE SHEET'!$C:$L,3,0),"")</f>
        <v>11620</v>
      </c>
      <c r="E13" s="114">
        <f>IFERROR(VLOOKUP(C13,'RJ ATTENDENCE SHEET'!$C:$L,4,0),"")</f>
        <v>5000</v>
      </c>
      <c r="F13" s="114">
        <f>IFERROR(VLOOKUP(C13,'RJ ATTENDENCE SHEET'!$C:$L,5,0),"")</f>
        <v>3380</v>
      </c>
      <c r="G13" s="114">
        <f t="shared" si="0"/>
        <v>20000</v>
      </c>
      <c r="H13" s="114">
        <f>DAY(EOMONTH('RJ ATTENDENCE SHEET'!$A$1,0))</f>
        <v>31</v>
      </c>
      <c r="I13" s="129">
        <f>IFERROR(VLOOKUP(C13,'RJ ATTENDENCE SHEET'!$C:$W,20,0),"")</f>
        <v>31</v>
      </c>
      <c r="J13" s="114">
        <f t="shared" ref="J13:J18" si="4">IFERROR(G13/H13*I13,"")</f>
        <v>20000</v>
      </c>
      <c r="K13" s="114">
        <f>IFERROR(VLOOKUP(C13,'SALARY ESI (P)'!$C:$T,13,0),"")</f>
        <v>1394</v>
      </c>
      <c r="L13" s="114">
        <f>IFERROR(VLOOKUP(C13,'SALARY ESI (P)'!$C:$T,14,0),"")</f>
        <v>150</v>
      </c>
      <c r="M13" s="114">
        <f>IFERROR(VLOOKUP(C13,'SALARY ESI (P)'!$C:$T,15,0),"")</f>
        <v>130</v>
      </c>
      <c r="N13" s="127">
        <f>IFERROR(VLOOKUP(C13,'RJ ATTENDENCE SHEET'!$C:$S,17,0),"")</f>
        <v>0</v>
      </c>
      <c r="O13" s="128">
        <f t="shared" ref="O13:O22" si="5">SUM(K13:N13)</f>
        <v>1674</v>
      </c>
      <c r="P13" s="128">
        <f t="shared" si="2"/>
        <v>18326</v>
      </c>
    </row>
    <row r="14" spans="1:16">
      <c r="A14" s="112">
        <v>11</v>
      </c>
      <c r="B14" s="112" t="str">
        <f>IFERROR(VLOOKUP(C14,'RJ ATTENDENCE SHEET'!$C:$D,2,0),"")</f>
        <v>TC 0032</v>
      </c>
      <c r="C14" s="113" t="str">
        <f>'DATA '!H13</f>
        <v>UJJAL MUKHERJEE</v>
      </c>
      <c r="D14" s="114">
        <f>IFERROR(VLOOKUP(C14,'RJ ATTENDENCE SHEET'!$C:$L,3,0),"")</f>
        <v>10560</v>
      </c>
      <c r="E14" s="114">
        <f>IFERROR(VLOOKUP(C14,'RJ ATTENDENCE SHEET'!$C:$L,4,0),"")</f>
        <v>5000</v>
      </c>
      <c r="F14" s="114">
        <f>IFERROR(VLOOKUP(C14,'RJ ATTENDENCE SHEET'!$C:$L,5,0),"")</f>
        <v>4440</v>
      </c>
      <c r="G14" s="114">
        <f t="shared" ref="G14:G23" si="6">SUM(D14:F14)</f>
        <v>20000</v>
      </c>
      <c r="H14" s="114">
        <f>DAY(EOMONTH('RJ ATTENDENCE SHEET'!$A$1,0))</f>
        <v>31</v>
      </c>
      <c r="I14" s="129">
        <f>IFERROR(VLOOKUP(C14,'RJ ATTENDENCE SHEET'!$C:$W,20,0),"")</f>
        <v>31</v>
      </c>
      <c r="J14" s="114">
        <f t="shared" si="4"/>
        <v>20000</v>
      </c>
      <c r="K14" s="114">
        <f>IFERROR(VLOOKUP(C14,'SALARY ESI (P)'!$C:$T,13,0),"")</f>
        <v>1267</v>
      </c>
      <c r="L14" s="114">
        <f>IFERROR(VLOOKUP(C14,'SALARY ESI (P)'!$C:$T,14,0),"")</f>
        <v>150</v>
      </c>
      <c r="M14" s="114">
        <f>IFERROR(VLOOKUP(C14,'SALARY ESI (P)'!$C:$T,15,0),"")</f>
        <v>130</v>
      </c>
      <c r="N14" s="127">
        <f>IFERROR(VLOOKUP(C14,'RJ ATTENDENCE SHEET'!$C:$S,17,0),"")</f>
        <v>0</v>
      </c>
      <c r="O14" s="128">
        <f t="shared" si="5"/>
        <v>1547</v>
      </c>
      <c r="P14" s="128">
        <f t="shared" si="2"/>
        <v>18453</v>
      </c>
    </row>
    <row r="15" spans="1:16">
      <c r="A15" s="112">
        <v>12</v>
      </c>
      <c r="B15" s="112" t="str">
        <f>IFERROR(VLOOKUP(C15,'RJ ATTENDENCE SHEET'!$C:$D,2,0),"")</f>
        <v>TC0271</v>
      </c>
      <c r="C15" s="113" t="str">
        <f>'DATA '!H14</f>
        <v>PROBIR GHOSH</v>
      </c>
      <c r="D15" s="114">
        <f>IFERROR(VLOOKUP(C15,'RJ ATTENDENCE SHEET'!$C:$L,3,0),"")</f>
        <v>10560</v>
      </c>
      <c r="E15" s="114">
        <f>IFERROR(VLOOKUP(C15,'RJ ATTENDENCE SHEET'!$C:$L,4,0),"")</f>
        <v>3940</v>
      </c>
      <c r="F15" s="114">
        <f>IFERROR(VLOOKUP(C15,'RJ ATTENDENCE SHEET'!$C:$L,5,0),"")</f>
        <v>2000</v>
      </c>
      <c r="G15" s="114">
        <f t="shared" si="6"/>
        <v>16500</v>
      </c>
      <c r="H15" s="114">
        <f>DAY(EOMONTH('RJ ATTENDENCE SHEET'!$A$1,0))</f>
        <v>31</v>
      </c>
      <c r="I15" s="129">
        <f>IFERROR(VLOOKUP(C15,'RJ ATTENDENCE SHEET'!$C:$W,20,0),"")</f>
        <v>31</v>
      </c>
      <c r="J15" s="114">
        <f t="shared" si="4"/>
        <v>16500</v>
      </c>
      <c r="K15" s="114">
        <f>IFERROR(VLOOKUP(C15,'SALARY ESI (P)'!$C:$T,13,0),"")</f>
        <v>1267</v>
      </c>
      <c r="L15" s="114">
        <f>IFERROR(VLOOKUP(C15,'SALARY ESI (P)'!$C:$T,14,0),"")</f>
        <v>124</v>
      </c>
      <c r="M15" s="114">
        <f>IFERROR(VLOOKUP(C15,'SALARY ESI (P)'!$C:$T,15,0),"")</f>
        <v>130</v>
      </c>
      <c r="N15" s="127">
        <f>IFERROR(VLOOKUP(C15,'RJ ATTENDENCE SHEET'!$C:$S,17,0),"")</f>
        <v>0</v>
      </c>
      <c r="O15" s="128">
        <f t="shared" si="5"/>
        <v>1521</v>
      </c>
      <c r="P15" s="128">
        <f t="shared" si="2"/>
        <v>14979</v>
      </c>
    </row>
    <row r="16" spans="1:16">
      <c r="A16" s="112">
        <v>13</v>
      </c>
      <c r="B16" s="112" t="str">
        <f>IFERROR(VLOOKUP(C16,'RJ ATTENDENCE SHEET'!$C:$D,2,0),"")</f>
        <v>TC0367</v>
      </c>
      <c r="C16" s="113" t="str">
        <f>'DATA '!H15</f>
        <v>NABA KUMAR  BISWAS</v>
      </c>
      <c r="D16" s="114">
        <f>IFERROR(VLOOKUP(C16,'RJ ATTENDENCE SHEET'!$C:$L,3,0),"")</f>
        <v>25000</v>
      </c>
      <c r="E16" s="114">
        <f>IFERROR(VLOOKUP(C16,'RJ ATTENDENCE SHEET'!$C:$L,4,0),"")</f>
        <v>0</v>
      </c>
      <c r="F16" s="114">
        <f>IFERROR(VLOOKUP(C16,'RJ ATTENDENCE SHEET'!$C:$L,5,0),"")</f>
        <v>0</v>
      </c>
      <c r="G16" s="114">
        <f t="shared" si="6"/>
        <v>25000</v>
      </c>
      <c r="H16" s="114">
        <f>DAY(EOMONTH('RJ ATTENDENCE SHEET'!$A$1,0))</f>
        <v>31</v>
      </c>
      <c r="I16" s="129">
        <f>IFERROR(VLOOKUP(C16,'RJ ATTENDENCE SHEET'!$C:$W,20,0),"")</f>
        <v>28</v>
      </c>
      <c r="J16" s="114">
        <f t="shared" si="4"/>
        <v>22580.645161290326</v>
      </c>
      <c r="K16" s="114" t="str">
        <f>IFERROR(VLOOKUP(C16,'SALARY ESI (P)'!$C:$T,13,0),"")</f>
        <v>0</v>
      </c>
      <c r="L16" s="114">
        <f>IFERROR(VLOOKUP(C16,'SALARY ESI (P)'!$C:$T,14,0),"")</f>
        <v>0</v>
      </c>
      <c r="M16" s="114">
        <f>IFERROR(VLOOKUP(C16,'SALARY ESI (P)'!$C:$T,15,0),"")</f>
        <v>130</v>
      </c>
      <c r="N16" s="127">
        <f>IFERROR(VLOOKUP(C16,'RJ ATTENDENCE SHEET'!$C:$S,17,0),"")</f>
        <v>0</v>
      </c>
      <c r="O16" s="128">
        <f t="shared" si="5"/>
        <v>130</v>
      </c>
      <c r="P16" s="128">
        <f t="shared" si="2"/>
        <v>22450.645161290326</v>
      </c>
    </row>
    <row r="17" spans="1:16">
      <c r="A17" s="112">
        <v>14</v>
      </c>
      <c r="B17" s="112" t="str">
        <f>IFERROR(VLOOKUP(C17,'RJ ATTENDENCE SHEET'!$C:$D,2,0),"")</f>
        <v>TC 0213</v>
      </c>
      <c r="C17" s="113" t="str">
        <f>'DATA '!H16</f>
        <v>ASIM KHUNTIA</v>
      </c>
      <c r="D17" s="114">
        <f>IFERROR(VLOOKUP(C17,'RJ ATTENDENCE SHEET'!$C:$L,3,0),"")</f>
        <v>33000</v>
      </c>
      <c r="E17" s="114">
        <f>IFERROR(VLOOKUP(C17,'RJ ATTENDENCE SHEET'!$C:$L,4,0),"")</f>
        <v>7000</v>
      </c>
      <c r="F17" s="114">
        <f>IFERROR(VLOOKUP(C17,'RJ ATTENDENCE SHEET'!$C:$L,5,0),"")</f>
        <v>0</v>
      </c>
      <c r="G17" s="114">
        <f t="shared" si="6"/>
        <v>40000</v>
      </c>
      <c r="H17" s="114">
        <f>DAY(EOMONTH('RJ ATTENDENCE SHEET'!$A$1,0))</f>
        <v>31</v>
      </c>
      <c r="I17" s="129">
        <f>IFERROR(VLOOKUP(C17,'RJ ATTENDENCE SHEET'!$C:$W,20,0),"")</f>
        <v>31</v>
      </c>
      <c r="J17" s="114">
        <f t="shared" si="4"/>
        <v>40000</v>
      </c>
      <c r="K17" s="114" t="str">
        <f>IFERROR(VLOOKUP(C17,'SALARY ESI (P)'!$C:$T,13,0),"")</f>
        <v>0</v>
      </c>
      <c r="L17" s="114">
        <f>IFERROR(VLOOKUP(C17,'SALARY ESI (P)'!$C:$T,14,0),"")</f>
        <v>0</v>
      </c>
      <c r="M17" s="114">
        <f>IFERROR(VLOOKUP(C17,'SALARY ESI (P)'!$C:$T,15,0),"")</f>
        <v>150</v>
      </c>
      <c r="N17" s="127">
        <f>IFERROR(VLOOKUP(C17,'RJ ATTENDENCE SHEET'!$C:$S,17,0),"")</f>
        <v>0</v>
      </c>
      <c r="O17" s="128">
        <f t="shared" si="5"/>
        <v>150</v>
      </c>
      <c r="P17" s="128">
        <f t="shared" si="2"/>
        <v>39850</v>
      </c>
    </row>
    <row r="18" spans="1:16">
      <c r="A18" s="112">
        <v>15</v>
      </c>
      <c r="B18" s="112" t="str">
        <f>IFERROR(VLOOKUP(C18,'RJ ATTENDENCE SHEET'!$C:$D,2,0),"")</f>
        <v>TC 0398</v>
      </c>
      <c r="C18" s="113" t="str">
        <f>'DATA '!H17</f>
        <v>MANABINDU BISWAS</v>
      </c>
      <c r="D18" s="114">
        <f>IFERROR(VLOOKUP(C18,'RJ ATTENDENCE SHEET'!$C:$L,3,0),"")</f>
        <v>10560</v>
      </c>
      <c r="E18" s="114">
        <f>IFERROR(VLOOKUP(C18,'RJ ATTENDENCE SHEET'!$C:$L,4,0),"")</f>
        <v>3940</v>
      </c>
      <c r="F18" s="114">
        <f>IFERROR(VLOOKUP(C18,'RJ ATTENDENCE SHEET'!$C:$L,5,0),"")</f>
        <v>2000</v>
      </c>
      <c r="G18" s="114">
        <f t="shared" si="6"/>
        <v>16500</v>
      </c>
      <c r="H18" s="114">
        <f>DAY(EOMONTH('RJ ATTENDENCE SHEET'!$A$1,0))</f>
        <v>31</v>
      </c>
      <c r="I18" s="129">
        <f>IFERROR(VLOOKUP(C18,'RJ ATTENDENCE SHEET'!$C:$W,20,0),"")</f>
        <v>30</v>
      </c>
      <c r="J18" s="114">
        <f t="shared" si="4"/>
        <v>15967.741935483871</v>
      </c>
      <c r="K18" s="114">
        <f>IFERROR(VLOOKUP(C18,'SALARY ESI (P)'!$C:$T,13,0),"")</f>
        <v>1226</v>
      </c>
      <c r="L18" s="114">
        <f>IFERROR(VLOOKUP(C18,'SALARY ESI (P)'!$C:$T,14,0),"")</f>
        <v>120</v>
      </c>
      <c r="M18" s="114">
        <f>IFERROR(VLOOKUP(C18,'SALARY ESI (P)'!$C:$T,15,0),"")</f>
        <v>130</v>
      </c>
      <c r="N18" s="127">
        <f>IFERROR(VLOOKUP(C18,'RJ ATTENDENCE SHEET'!$C:$S,17,0),"")</f>
        <v>0</v>
      </c>
      <c r="O18" s="128">
        <f t="shared" si="5"/>
        <v>1476</v>
      </c>
      <c r="P18" s="128">
        <f t="shared" si="2"/>
        <v>14491.741935483871</v>
      </c>
    </row>
    <row r="19" spans="1:16">
      <c r="A19" s="112">
        <v>16</v>
      </c>
      <c r="B19" s="112" t="str">
        <f>IFERROR(VLOOKUP(C19,'RJ ATTENDENCE SHEET'!$C:$D,2,0),"")</f>
        <v>TC 0411</v>
      </c>
      <c r="C19" s="113" t="str">
        <f>'DATA '!H18</f>
        <v>SUVANKAR SAMADDAR</v>
      </c>
      <c r="D19" s="114">
        <f>IFERROR(VLOOKUP(C19,'RJ ATTENDENCE SHEET'!$C:$L,3,0),"")</f>
        <v>23000</v>
      </c>
      <c r="E19" s="114">
        <f>IFERROR(VLOOKUP(C19,'RJ ATTENDENCE SHEET'!$C:$L,4,0),"")</f>
        <v>0</v>
      </c>
      <c r="F19" s="114">
        <f>IFERROR(VLOOKUP(C19,'RJ ATTENDENCE SHEET'!$C:$L,5,0),"")</f>
        <v>0</v>
      </c>
      <c r="G19" s="114">
        <f t="shared" si="6"/>
        <v>23000</v>
      </c>
      <c r="H19" s="114">
        <f>DAY(EOMONTH('RJ ATTENDENCE SHEET'!$A$1,0))</f>
        <v>31</v>
      </c>
      <c r="I19" s="129">
        <f>IFERROR(VLOOKUP(C19,'RJ ATTENDENCE SHEET'!$C:$W,20,0),"")</f>
        <v>30</v>
      </c>
      <c r="J19" s="114">
        <f t="shared" ref="J19:J27" si="7">IFERROR(G19/H19*I19,"")</f>
        <v>22258.06451612903</v>
      </c>
      <c r="K19" s="114" t="str">
        <f>IFERROR(VLOOKUP(C19,'SALARY ESI (P)'!$C:$T,13,0),"")</f>
        <v>0</v>
      </c>
      <c r="L19" s="114">
        <f>IFERROR(VLOOKUP(C19,'SALARY ESI (P)'!$C:$T,14,0),"")</f>
        <v>0</v>
      </c>
      <c r="M19" s="114">
        <f>IFERROR(VLOOKUP(C19,'SALARY ESI (P)'!$C:$T,15,0),"")</f>
        <v>130</v>
      </c>
      <c r="N19" s="127">
        <f>IFERROR(VLOOKUP(C19,'RJ ATTENDENCE SHEET'!$C:$S,17,0),"")</f>
        <v>0</v>
      </c>
      <c r="O19" s="128">
        <f t="shared" si="5"/>
        <v>130</v>
      </c>
      <c r="P19" s="128">
        <f t="shared" si="2"/>
        <v>22128.06451612903</v>
      </c>
    </row>
    <row r="20" spans="1:16">
      <c r="A20" s="112">
        <v>17</v>
      </c>
      <c r="B20" s="112" t="str">
        <f>IFERROR(VLOOKUP(C20,'RJ ATTENDENCE SHEET'!$C:$D,2,0),"")</f>
        <v/>
      </c>
      <c r="C20" s="113" t="str">
        <f>'DATA '!H19</f>
        <v/>
      </c>
      <c r="D20" s="114" t="str">
        <f>IFERROR(VLOOKUP(C20,'RJ ATTENDENCE SHEET'!$C:$L,3,0),"")</f>
        <v/>
      </c>
      <c r="E20" s="114" t="str">
        <f>IFERROR(VLOOKUP(C20,'RJ ATTENDENCE SHEET'!$C:$L,4,0),"")</f>
        <v/>
      </c>
      <c r="F20" s="114" t="str">
        <f>IFERROR(VLOOKUP(C20,'RJ ATTENDENCE SHEET'!$C:$L,5,0),"")</f>
        <v/>
      </c>
      <c r="G20" s="114">
        <f t="shared" si="6"/>
        <v>0</v>
      </c>
      <c r="H20" s="114">
        <f>DAY(EOMONTH('RJ ATTENDENCE SHEET'!$A$1,0))</f>
        <v>31</v>
      </c>
      <c r="I20" s="129" t="str">
        <f>IFERROR(VLOOKUP(C20,'RJ ATTENDENCE SHEET'!$C:$W,20,0),"")</f>
        <v/>
      </c>
      <c r="J20" s="114" t="str">
        <f t="shared" si="7"/>
        <v/>
      </c>
      <c r="K20" s="114" t="str">
        <f>IFERROR(VLOOKUP(C20,'SALARY ESI (P)'!$C:$T,13,0),"")</f>
        <v>0</v>
      </c>
      <c r="L20" s="114">
        <f>IFERROR(VLOOKUP(C20,'SALARY ESI (P)'!$C:$T,14,0),"")</f>
        <v>0</v>
      </c>
      <c r="M20" s="114">
        <f>IFERROR(VLOOKUP(C20,'SALARY ESI (P)'!$C:$T,15,0),"")</f>
        <v>0</v>
      </c>
      <c r="N20" s="127" t="str">
        <f>IFERROR(VLOOKUP(C20,'RJ ATTENDENCE SHEET'!$C:$S,17,0),"")</f>
        <v/>
      </c>
      <c r="O20" s="128">
        <f t="shared" si="5"/>
        <v>0</v>
      </c>
      <c r="P20" s="128" t="str">
        <f t="shared" si="2"/>
        <v/>
      </c>
    </row>
    <row r="21" spans="1:16">
      <c r="A21" s="112">
        <v>18</v>
      </c>
      <c r="B21" s="112" t="str">
        <f>IFERROR(VLOOKUP(C21,'RJ ATTENDENCE SHEET'!$C:$D,2,0),"")</f>
        <v/>
      </c>
      <c r="C21" s="113" t="str">
        <f>'DATA '!H20</f>
        <v/>
      </c>
      <c r="D21" s="114" t="str">
        <f>IFERROR(VLOOKUP(C21,'RJ ATTENDENCE SHEET'!$C:$L,3,0),"")</f>
        <v/>
      </c>
      <c r="E21" s="114" t="str">
        <f>IFERROR(VLOOKUP(C21,'RJ ATTENDENCE SHEET'!$C:$L,4,0),"")</f>
        <v/>
      </c>
      <c r="F21" s="114" t="str">
        <f>IFERROR(VLOOKUP(C21,'RJ ATTENDENCE SHEET'!$C:$L,5,0),"")</f>
        <v/>
      </c>
      <c r="G21" s="114">
        <f t="shared" si="6"/>
        <v>0</v>
      </c>
      <c r="H21" s="114">
        <f>DAY(EOMONTH('RJ ATTENDENCE SHEET'!$A$1,0))</f>
        <v>31</v>
      </c>
      <c r="I21" s="129" t="str">
        <f>IFERROR(VLOOKUP(C21,'RJ ATTENDENCE SHEET'!$C:$W,20,0),"")</f>
        <v/>
      </c>
      <c r="J21" s="114" t="str">
        <f t="shared" si="7"/>
        <v/>
      </c>
      <c r="K21" s="114" t="str">
        <f>IFERROR(VLOOKUP(C21,'SALARY ESI (P)'!$C:$T,13,0),"")</f>
        <v>0</v>
      </c>
      <c r="L21" s="114">
        <f>IFERROR(VLOOKUP(C21,'SALARY ESI (P)'!$C:$T,14,0),"")</f>
        <v>0</v>
      </c>
      <c r="M21" s="114">
        <f>IFERROR(VLOOKUP(C21,'SALARY ESI (P)'!$C:$T,15,0),"")</f>
        <v>0</v>
      </c>
      <c r="N21" s="127" t="str">
        <f>IFERROR(VLOOKUP(C21,'RJ ATTENDENCE SHEET'!$C:$S,17,0),"")</f>
        <v/>
      </c>
      <c r="O21" s="128">
        <f t="shared" si="5"/>
        <v>0</v>
      </c>
      <c r="P21" s="128" t="str">
        <f t="shared" si="2"/>
        <v/>
      </c>
    </row>
    <row r="22" spans="1:16">
      <c r="A22" s="112">
        <v>19</v>
      </c>
      <c r="B22" s="112" t="str">
        <f>IFERROR(VLOOKUP(C22,'RJ ATTENDENCE SHEET'!$C:$D,2,0),"")</f>
        <v/>
      </c>
      <c r="C22" s="113" t="str">
        <f>'DATA '!H21</f>
        <v/>
      </c>
      <c r="D22" s="114" t="str">
        <f>IFERROR(VLOOKUP(C22,'RJ ATTENDENCE SHEET'!$C:$L,3,0),"")</f>
        <v/>
      </c>
      <c r="E22" s="114" t="str">
        <f>IFERROR(VLOOKUP(C22,'RJ ATTENDENCE SHEET'!$C:$L,4,0),"")</f>
        <v/>
      </c>
      <c r="F22" s="114" t="str">
        <f>IFERROR(VLOOKUP(C22,'RJ ATTENDENCE SHEET'!$C:$L,5,0),"")</f>
        <v/>
      </c>
      <c r="G22" s="114">
        <f t="shared" si="6"/>
        <v>0</v>
      </c>
      <c r="H22" s="114">
        <f>DAY(EOMONTH('RJ ATTENDENCE SHEET'!$A$1,0))</f>
        <v>31</v>
      </c>
      <c r="I22" s="129" t="str">
        <f>IFERROR(VLOOKUP(C22,'RJ ATTENDENCE SHEET'!$C:$W,20,0),"")</f>
        <v/>
      </c>
      <c r="J22" s="114" t="str">
        <f t="shared" si="7"/>
        <v/>
      </c>
      <c r="K22" s="114" t="str">
        <f>IFERROR(VLOOKUP(C22,'SALARY ESI (P)'!$C:$T,13,0),"")</f>
        <v>0</v>
      </c>
      <c r="L22" s="114">
        <f>IFERROR(VLOOKUP(C22,'SALARY ESI (P)'!$C:$T,14,0),"")</f>
        <v>0</v>
      </c>
      <c r="M22" s="114">
        <f>IFERROR(VLOOKUP(C22,'SALARY ESI (P)'!$C:$T,15,0),"")</f>
        <v>0</v>
      </c>
      <c r="N22" s="127" t="str">
        <f>IFERROR(VLOOKUP(C22,'RJ ATTENDENCE SHEET'!$C:$S,17,0),"")</f>
        <v/>
      </c>
      <c r="O22" s="128">
        <f t="shared" si="5"/>
        <v>0</v>
      </c>
      <c r="P22" s="128" t="str">
        <f t="shared" si="2"/>
        <v/>
      </c>
    </row>
    <row r="23" spans="1:16" hidden="1">
      <c r="A23" s="112">
        <v>20</v>
      </c>
      <c r="B23" s="112" t="str">
        <f>IFERROR(VLOOKUP(C23,'RJ ATTENDENCE SHEET'!$C:$D,2,0),"")</f>
        <v/>
      </c>
      <c r="C23" s="113" t="str">
        <f>'DATA '!H22</f>
        <v/>
      </c>
      <c r="D23" s="114" t="str">
        <f>IFERROR(VLOOKUP(C23,'RJ ATTENDENCE SHEET'!$C:$L,3,0),"")</f>
        <v/>
      </c>
      <c r="E23" s="114" t="str">
        <f>IFERROR(VLOOKUP(C23,'RJ ATTENDENCE SHEET'!$C:$L,4,0),"")</f>
        <v/>
      </c>
      <c r="F23" s="114" t="str">
        <f>IFERROR(VLOOKUP(C23,'RJ ATTENDENCE SHEET'!$C:$L,5,0),"")</f>
        <v/>
      </c>
      <c r="G23" s="114">
        <f t="shared" si="6"/>
        <v>0</v>
      </c>
      <c r="H23" s="114">
        <f>DAY(EOMONTH('RJ ATTENDENCE SHEET'!$A$1,0))</f>
        <v>31</v>
      </c>
      <c r="I23" s="129" t="str">
        <f>IFERROR(VLOOKUP(C23,'RJ ATTENDENCE SHEET'!$C:$W,20,0),"")</f>
        <v/>
      </c>
      <c r="J23" s="114" t="str">
        <f t="shared" si="7"/>
        <v/>
      </c>
      <c r="K23" s="114" t="str">
        <f>IFERROR(VLOOKUP(C23,'SALARY ESI (P)'!$C:$T,13,0),"")</f>
        <v>0</v>
      </c>
      <c r="L23" s="114">
        <f>IFERROR(VLOOKUP(C23,'SALARY ESI (P)'!$C:$T,14,0),"")</f>
        <v>0</v>
      </c>
      <c r="M23" s="114">
        <f>IFERROR(VLOOKUP(C23,'SALARY ESI (P)'!$C:$T,15,0),"")</f>
        <v>0</v>
      </c>
      <c r="N23" s="127" t="str">
        <f>IFERROR(VLOOKUP(C23,'RJ ATTENDENCE SHEET'!$C:$S,17,0),"")</f>
        <v/>
      </c>
      <c r="O23" s="128">
        <f t="shared" ref="O23:O31" si="8">SUM(K23:N23)</f>
        <v>0</v>
      </c>
      <c r="P23" s="128" t="str">
        <f t="shared" ref="P23:P31" si="9">IFERROR(J23-O23,"")</f>
        <v/>
      </c>
    </row>
    <row r="24" spans="1:16" hidden="1">
      <c r="A24" s="112">
        <v>21</v>
      </c>
      <c r="B24" s="112" t="str">
        <f>IFERROR(VLOOKUP(C24,'RJ ATTENDENCE SHEET'!$C:$D,2,0),"")</f>
        <v/>
      </c>
      <c r="C24" s="113" t="str">
        <f>'DATA '!H23</f>
        <v/>
      </c>
      <c r="D24" s="114" t="str">
        <f>IFERROR(VLOOKUP(C24,'RJ ATTENDENCE SHEET'!$C:$L,3,0),"")</f>
        <v/>
      </c>
      <c r="E24" s="114" t="str">
        <f>IFERROR(VLOOKUP(C24,'RJ ATTENDENCE SHEET'!$C:$L,4,0),"")</f>
        <v/>
      </c>
      <c r="F24" s="114" t="str">
        <f>IFERROR(VLOOKUP(C24,'RJ ATTENDENCE SHEET'!$C:$L,5,0),"")</f>
        <v/>
      </c>
      <c r="G24" s="114">
        <f t="shared" ref="G24:G38" si="10">SUM(D24:F24)</f>
        <v>0</v>
      </c>
      <c r="H24" s="114">
        <f>DAY(EOMONTH('RJ ATTENDENCE SHEET'!$A$1,0))</f>
        <v>31</v>
      </c>
      <c r="I24" s="129" t="str">
        <f>IFERROR(VLOOKUP(C24,'RJ ATTENDENCE SHEET'!$C:$W,20,0),"")</f>
        <v/>
      </c>
      <c r="J24" s="114" t="str">
        <f t="shared" si="7"/>
        <v/>
      </c>
      <c r="K24" s="114" t="str">
        <f>IFERROR(VLOOKUP(C24,'SALARY ESI (P)'!$C:$T,13,0),"")</f>
        <v>0</v>
      </c>
      <c r="L24" s="114">
        <f>IFERROR(VLOOKUP(C24,'SALARY ESI (P)'!$C:$T,14,0),"")</f>
        <v>0</v>
      </c>
      <c r="M24" s="114">
        <f>IFERROR(VLOOKUP(C24,'SALARY ESI (P)'!$C:$T,15,0),"")</f>
        <v>0</v>
      </c>
      <c r="N24" s="127" t="str">
        <f>IFERROR(VLOOKUP(C24,'RJ ATTENDENCE SHEET'!$C:$S,17,0),"")</f>
        <v/>
      </c>
      <c r="O24" s="128">
        <f t="shared" si="8"/>
        <v>0</v>
      </c>
      <c r="P24" s="128" t="str">
        <f t="shared" si="9"/>
        <v/>
      </c>
    </row>
    <row r="25" spans="1:16" hidden="1">
      <c r="A25" s="112">
        <v>22</v>
      </c>
      <c r="B25" s="112" t="str">
        <f>IFERROR(VLOOKUP(C25,'RJ ATTENDENCE SHEET'!$C:$D,2,0),"")</f>
        <v/>
      </c>
      <c r="C25" s="113" t="str">
        <f>'DATA '!H24</f>
        <v/>
      </c>
      <c r="D25" s="114" t="str">
        <f>IFERROR(VLOOKUP(C25,'RJ ATTENDENCE SHEET'!$C:$L,3,0),"")</f>
        <v/>
      </c>
      <c r="E25" s="114" t="str">
        <f>IFERROR(VLOOKUP(C25,'RJ ATTENDENCE SHEET'!$C:$L,4,0),"")</f>
        <v/>
      </c>
      <c r="F25" s="114" t="str">
        <f>IFERROR(VLOOKUP(C25,'RJ ATTENDENCE SHEET'!$C:$L,5,0),"")</f>
        <v/>
      </c>
      <c r="G25" s="114">
        <f t="shared" si="10"/>
        <v>0</v>
      </c>
      <c r="H25" s="114">
        <f>DAY(EOMONTH('RJ ATTENDENCE SHEET'!$A$1,0))</f>
        <v>31</v>
      </c>
      <c r="I25" s="129" t="str">
        <f>IFERROR(VLOOKUP(C25,'RJ ATTENDENCE SHEET'!$C:$W,20,0),"")</f>
        <v/>
      </c>
      <c r="J25" s="114" t="str">
        <f t="shared" si="7"/>
        <v/>
      </c>
      <c r="K25" s="114" t="str">
        <f>IFERROR(VLOOKUP(C25,'SALARY ESI (P)'!$C:$T,13,0),"")</f>
        <v>0</v>
      </c>
      <c r="L25" s="114">
        <f>IFERROR(VLOOKUP(C25,'SALARY ESI (P)'!$C:$T,14,0),"")</f>
        <v>0</v>
      </c>
      <c r="M25" s="114">
        <f>IFERROR(VLOOKUP(C25,'SALARY ESI (P)'!$C:$T,15,0),"")</f>
        <v>0</v>
      </c>
      <c r="N25" s="127" t="str">
        <f>IFERROR(VLOOKUP(C25,'RJ ATTENDENCE SHEET'!$C:$S,17,0),"")</f>
        <v/>
      </c>
      <c r="O25" s="128">
        <f t="shared" si="8"/>
        <v>0</v>
      </c>
      <c r="P25" s="128" t="str">
        <f t="shared" si="9"/>
        <v/>
      </c>
    </row>
    <row r="26" spans="1:16" hidden="1">
      <c r="A26" s="112">
        <v>23</v>
      </c>
      <c r="B26" s="112" t="str">
        <f>IFERROR(VLOOKUP(C26,'RJ ATTENDENCE SHEET'!$C:$D,2,0),"")</f>
        <v/>
      </c>
      <c r="C26" s="113" t="str">
        <f>'DATA '!H25</f>
        <v/>
      </c>
      <c r="D26" s="114" t="str">
        <f>IFERROR(VLOOKUP(C26,'RJ ATTENDENCE SHEET'!$C:$L,3,0),"")</f>
        <v/>
      </c>
      <c r="E26" s="114" t="str">
        <f>IFERROR(VLOOKUP(C26,'RJ ATTENDENCE SHEET'!$C:$L,4,0),"")</f>
        <v/>
      </c>
      <c r="F26" s="114" t="str">
        <f>IFERROR(VLOOKUP(C26,'RJ ATTENDENCE SHEET'!$C:$L,5,0),"")</f>
        <v/>
      </c>
      <c r="G26" s="114">
        <f t="shared" si="10"/>
        <v>0</v>
      </c>
      <c r="H26" s="114">
        <f>DAY(EOMONTH('RJ ATTENDENCE SHEET'!$A$1,0))</f>
        <v>31</v>
      </c>
      <c r="I26" s="129" t="str">
        <f>IFERROR(VLOOKUP(C26,'RJ ATTENDENCE SHEET'!$C:$W,20,0),"")</f>
        <v/>
      </c>
      <c r="J26" s="114" t="str">
        <f t="shared" si="7"/>
        <v/>
      </c>
      <c r="K26" s="114" t="str">
        <f>IFERROR(VLOOKUP(C26,'SALARY ESI (P)'!$C:$T,13,0),"")</f>
        <v>0</v>
      </c>
      <c r="L26" s="114">
        <f>IFERROR(VLOOKUP(C26,'SALARY ESI (P)'!$C:$T,14,0),"")</f>
        <v>0</v>
      </c>
      <c r="M26" s="114">
        <f>IFERROR(VLOOKUP(C26,'SALARY ESI (P)'!$C:$T,15,0),"")</f>
        <v>0</v>
      </c>
      <c r="N26" s="127" t="str">
        <f>IFERROR(VLOOKUP(C26,'RJ ATTENDENCE SHEET'!$C:$S,17,0),"")</f>
        <v/>
      </c>
      <c r="O26" s="128">
        <f t="shared" si="8"/>
        <v>0</v>
      </c>
      <c r="P26" s="128" t="str">
        <f t="shared" si="9"/>
        <v/>
      </c>
    </row>
    <row r="27" spans="1:16" hidden="1">
      <c r="A27" s="112">
        <v>24</v>
      </c>
      <c r="B27" s="112" t="str">
        <f>IFERROR(VLOOKUP(C27,'RJ ATTENDENCE SHEET'!$C:$D,2,0),"")</f>
        <v/>
      </c>
      <c r="C27" s="113" t="str">
        <f>'DATA '!H26</f>
        <v/>
      </c>
      <c r="D27" s="114" t="str">
        <f>IFERROR(VLOOKUP(C27,'RJ ATTENDENCE SHEET'!$C:$L,3,0),"")</f>
        <v/>
      </c>
      <c r="E27" s="114" t="str">
        <f>IFERROR(VLOOKUP(C27,'RJ ATTENDENCE SHEET'!$C:$L,4,0),"")</f>
        <v/>
      </c>
      <c r="F27" s="114" t="str">
        <f>IFERROR(VLOOKUP(C27,'RJ ATTENDENCE SHEET'!$C:$L,5,0),"")</f>
        <v/>
      </c>
      <c r="G27" s="114">
        <f t="shared" si="10"/>
        <v>0</v>
      </c>
      <c r="H27" s="114">
        <f>DAY(EOMONTH('RJ ATTENDENCE SHEET'!$A$1,0))</f>
        <v>31</v>
      </c>
      <c r="I27" s="129" t="str">
        <f>IFERROR(VLOOKUP(C27,'RJ ATTENDENCE SHEET'!$C:$W,20,0),"")</f>
        <v/>
      </c>
      <c r="J27" s="114" t="str">
        <f t="shared" si="7"/>
        <v/>
      </c>
      <c r="K27" s="114" t="str">
        <f>IFERROR(VLOOKUP(C27,'SALARY ESI (P)'!$C:$T,13,0),"")</f>
        <v>0</v>
      </c>
      <c r="L27" s="114">
        <f>IFERROR(VLOOKUP(C27,'SALARY ESI (P)'!$C:$T,14,0),"")</f>
        <v>0</v>
      </c>
      <c r="M27" s="114">
        <f>IFERROR(VLOOKUP(C27,'SALARY ESI (P)'!$C:$T,15,0),"")</f>
        <v>0</v>
      </c>
      <c r="N27" s="127" t="str">
        <f>IFERROR(VLOOKUP(C27,'RJ ATTENDENCE SHEET'!$C:$S,17,0),"")</f>
        <v/>
      </c>
      <c r="O27" s="128">
        <f t="shared" si="8"/>
        <v>0</v>
      </c>
      <c r="P27" s="128" t="str">
        <f t="shared" si="9"/>
        <v/>
      </c>
    </row>
    <row r="28" spans="1:16" hidden="1">
      <c r="A28" s="112">
        <v>25</v>
      </c>
      <c r="B28" s="112" t="str">
        <f>IFERROR(VLOOKUP(C28,'RJ ATTENDENCE SHEET'!$C:$D,2,0),"")</f>
        <v/>
      </c>
      <c r="C28" s="113" t="str">
        <f>'DATA '!H27</f>
        <v/>
      </c>
      <c r="D28" s="114" t="str">
        <f>IFERROR(VLOOKUP(C28,'RJ ATTENDENCE SHEET'!$C:$L,3,0),"")</f>
        <v/>
      </c>
      <c r="E28" s="114" t="str">
        <f>IFERROR(VLOOKUP(C28,'RJ ATTENDENCE SHEET'!$C:$L,4,0),"")</f>
        <v/>
      </c>
      <c r="F28" s="114" t="str">
        <f>IFERROR(VLOOKUP(C28,'RJ ATTENDENCE SHEET'!$C:$L,5,0),"")</f>
        <v/>
      </c>
      <c r="G28" s="114">
        <f t="shared" si="10"/>
        <v>0</v>
      </c>
      <c r="H28" s="114">
        <f>DAY(EOMONTH('RJ ATTENDENCE SHEET'!$A$1,0))</f>
        <v>31</v>
      </c>
      <c r="I28" s="129" t="str">
        <f>IFERROR(VLOOKUP(C28,'RJ ATTENDENCE SHEET'!$C:$W,20,0),"")</f>
        <v/>
      </c>
      <c r="J28" s="114" t="str">
        <f t="shared" ref="J28:J38" si="11">IFERROR(G28/H28*I28,"")</f>
        <v/>
      </c>
      <c r="K28" s="114" t="str">
        <f>IFERROR(VLOOKUP(C28,'SALARY ESI (P)'!$C:$T,13,0),"")</f>
        <v>0</v>
      </c>
      <c r="L28" s="114">
        <f>IFERROR(VLOOKUP(C28,'SALARY ESI (P)'!$C:$T,14,0),"")</f>
        <v>0</v>
      </c>
      <c r="M28" s="114">
        <f>IFERROR(VLOOKUP(C28,'SALARY ESI (P)'!$C:$T,15,0),"")</f>
        <v>0</v>
      </c>
      <c r="N28" s="127" t="str">
        <f>IFERROR(VLOOKUP(C28,'RJ ATTENDENCE SHEET'!$C:$S,17,0),"")</f>
        <v/>
      </c>
      <c r="O28" s="128">
        <f t="shared" si="8"/>
        <v>0</v>
      </c>
      <c r="P28" s="128" t="str">
        <f t="shared" si="9"/>
        <v/>
      </c>
    </row>
    <row r="29" spans="1:16" hidden="1">
      <c r="A29" s="112">
        <v>26</v>
      </c>
      <c r="B29" s="112" t="str">
        <f>IFERROR(VLOOKUP(C29,'RJ ATTENDENCE SHEET'!$C:$D,2,0),"")</f>
        <v/>
      </c>
      <c r="C29" s="113" t="str">
        <f>'DATA '!H28</f>
        <v/>
      </c>
      <c r="D29" s="114" t="str">
        <f>IFERROR(VLOOKUP(C29,'RJ ATTENDENCE SHEET'!$C:$L,3,0),"")</f>
        <v/>
      </c>
      <c r="E29" s="114" t="str">
        <f>IFERROR(VLOOKUP(C29,'RJ ATTENDENCE SHEET'!$C:$L,4,0),"")</f>
        <v/>
      </c>
      <c r="F29" s="114" t="str">
        <f>IFERROR(VLOOKUP(C29,'RJ ATTENDENCE SHEET'!$C:$L,5,0),"")</f>
        <v/>
      </c>
      <c r="G29" s="114">
        <f t="shared" si="10"/>
        <v>0</v>
      </c>
      <c r="H29" s="114">
        <f>DAY(EOMONTH('RJ ATTENDENCE SHEET'!$A$1,0))</f>
        <v>31</v>
      </c>
      <c r="I29" s="129" t="str">
        <f>IFERROR(VLOOKUP(C29,'RJ ATTENDENCE SHEET'!$C:$W,20,0),"")</f>
        <v/>
      </c>
      <c r="J29" s="114" t="str">
        <f t="shared" si="11"/>
        <v/>
      </c>
      <c r="K29" s="114" t="str">
        <f>IFERROR(VLOOKUP(C29,'SALARY ESI (P)'!$C:$T,13,0),"")</f>
        <v>0</v>
      </c>
      <c r="L29" s="114">
        <f>IFERROR(VLOOKUP(C29,'SALARY ESI (P)'!$C:$T,14,0),"")</f>
        <v>0</v>
      </c>
      <c r="M29" s="114">
        <f>IFERROR(VLOOKUP(C29,'SALARY ESI (P)'!$C:$T,15,0),"")</f>
        <v>0</v>
      </c>
      <c r="N29" s="127" t="str">
        <f>IFERROR(VLOOKUP(C29,'RJ ATTENDENCE SHEET'!$C:$S,17,0),"")</f>
        <v/>
      </c>
      <c r="O29" s="128">
        <f t="shared" si="8"/>
        <v>0</v>
      </c>
      <c r="P29" s="128" t="str">
        <f t="shared" si="9"/>
        <v/>
      </c>
    </row>
    <row r="30" spans="1:16" hidden="1">
      <c r="A30" s="112">
        <v>27</v>
      </c>
      <c r="B30" s="112" t="str">
        <f>IFERROR(VLOOKUP(C30,'RJ ATTENDENCE SHEET'!$C:$D,2,0),"")</f>
        <v/>
      </c>
      <c r="C30" s="113" t="str">
        <f>'DATA '!H29</f>
        <v/>
      </c>
      <c r="D30" s="114" t="str">
        <f>IFERROR(VLOOKUP(C30,'RJ ATTENDENCE SHEET'!$C:$L,3,0),"")</f>
        <v/>
      </c>
      <c r="E30" s="114" t="str">
        <f>IFERROR(VLOOKUP(C30,'RJ ATTENDENCE SHEET'!$C:$L,4,0),"")</f>
        <v/>
      </c>
      <c r="F30" s="114" t="str">
        <f>IFERROR(VLOOKUP(C30,'RJ ATTENDENCE SHEET'!$C:$L,5,0),"")</f>
        <v/>
      </c>
      <c r="G30" s="114">
        <f t="shared" si="10"/>
        <v>0</v>
      </c>
      <c r="H30" s="114">
        <f>DAY(EOMONTH('RJ ATTENDENCE SHEET'!$A$1,0))</f>
        <v>31</v>
      </c>
      <c r="I30" s="129" t="str">
        <f>IFERROR(VLOOKUP(C30,'RJ ATTENDENCE SHEET'!$C:$W,20,0),"")</f>
        <v/>
      </c>
      <c r="J30" s="114" t="str">
        <f t="shared" si="11"/>
        <v/>
      </c>
      <c r="K30" s="114" t="str">
        <f>IFERROR(VLOOKUP(C30,'SALARY ESI (P)'!$C:$T,13,0),"")</f>
        <v>0</v>
      </c>
      <c r="L30" s="114">
        <f>IFERROR(VLOOKUP(C30,'SALARY ESI (P)'!$C:$T,14,0),"")</f>
        <v>0</v>
      </c>
      <c r="M30" s="114">
        <f>IFERROR(VLOOKUP(C30,'SALARY ESI (P)'!$C:$T,15,0),"")</f>
        <v>0</v>
      </c>
      <c r="N30" s="127" t="str">
        <f>IFERROR(VLOOKUP(C30,'RJ ATTENDENCE SHEET'!$C:$S,17,0),"")</f>
        <v/>
      </c>
      <c r="O30" s="128">
        <f t="shared" si="8"/>
        <v>0</v>
      </c>
      <c r="P30" s="128" t="str">
        <f t="shared" si="9"/>
        <v/>
      </c>
    </row>
    <row r="31" spans="1:16" hidden="1">
      <c r="A31" s="112">
        <v>28</v>
      </c>
      <c r="B31" s="112" t="str">
        <f>IFERROR(VLOOKUP(C31,'RJ ATTENDENCE SHEET'!$C:$D,2,0),"")</f>
        <v/>
      </c>
      <c r="C31" s="113" t="str">
        <f>'DATA '!H30</f>
        <v/>
      </c>
      <c r="D31" s="114" t="str">
        <f>IFERROR(VLOOKUP(C31,'RJ ATTENDENCE SHEET'!$C:$L,3,0),"")</f>
        <v/>
      </c>
      <c r="E31" s="114" t="str">
        <f>IFERROR(VLOOKUP(C31,'RJ ATTENDENCE SHEET'!$C:$L,4,0),"")</f>
        <v/>
      </c>
      <c r="F31" s="114" t="str">
        <f>IFERROR(VLOOKUP(C31,'RJ ATTENDENCE SHEET'!$C:$L,5,0),"")</f>
        <v/>
      </c>
      <c r="G31" s="114">
        <f t="shared" si="10"/>
        <v>0</v>
      </c>
      <c r="H31" s="114">
        <f>DAY(EOMONTH('RJ ATTENDENCE SHEET'!$A$1,0))</f>
        <v>31</v>
      </c>
      <c r="I31" s="129" t="str">
        <f>IFERROR(VLOOKUP(C31,'RJ ATTENDENCE SHEET'!$C:$W,20,0),"")</f>
        <v/>
      </c>
      <c r="J31" s="114" t="str">
        <f t="shared" si="11"/>
        <v/>
      </c>
      <c r="K31" s="114" t="str">
        <f>IFERROR(VLOOKUP(C31,'SALARY ESI (P)'!$C:$T,13,0),"")</f>
        <v>0</v>
      </c>
      <c r="L31" s="114">
        <f>IFERROR(VLOOKUP(C31,'SALARY ESI (P)'!$C:$T,14,0),"")</f>
        <v>0</v>
      </c>
      <c r="M31" s="114">
        <f>IFERROR(VLOOKUP(C31,'SALARY ESI (P)'!$C:$T,15,0),"")</f>
        <v>0</v>
      </c>
      <c r="N31" s="127" t="str">
        <f>IFERROR(VLOOKUP(C31,'RJ ATTENDENCE SHEET'!$C:$S,17,0),"")</f>
        <v/>
      </c>
      <c r="O31" s="128">
        <f t="shared" si="8"/>
        <v>0</v>
      </c>
      <c r="P31" s="128" t="str">
        <f t="shared" si="9"/>
        <v/>
      </c>
    </row>
    <row r="32" spans="1:16" hidden="1">
      <c r="A32" s="112">
        <v>29</v>
      </c>
      <c r="B32" s="112" t="str">
        <f>IFERROR(VLOOKUP(C32,'RJ ATTENDENCE SHEET'!$C:$D,2,0),"")</f>
        <v/>
      </c>
      <c r="C32" s="113" t="str">
        <f>'DATA '!H31</f>
        <v/>
      </c>
      <c r="D32" s="114" t="str">
        <f>IFERROR(VLOOKUP(C32,'RJ ATTENDENCE SHEET'!$C:$L,3,0),"")</f>
        <v/>
      </c>
      <c r="E32" s="114" t="str">
        <f>IFERROR(VLOOKUP(C32,'RJ ATTENDENCE SHEET'!$C:$L,4,0),"")</f>
        <v/>
      </c>
      <c r="F32" s="114" t="str">
        <f>IFERROR(VLOOKUP(C32,'RJ ATTENDENCE SHEET'!$C:$L,5,0),"")</f>
        <v/>
      </c>
      <c r="G32" s="114">
        <f t="shared" si="10"/>
        <v>0</v>
      </c>
      <c r="H32" s="114">
        <f>DAY(EOMONTH('RJ ATTENDENCE SHEET'!$A$1,0))</f>
        <v>31</v>
      </c>
      <c r="I32" s="129" t="str">
        <f>IFERROR(VLOOKUP(C32,'RJ ATTENDENCE SHEET'!$C:$W,20,0),"")</f>
        <v/>
      </c>
      <c r="J32" s="114" t="str">
        <f t="shared" si="11"/>
        <v/>
      </c>
      <c r="K32" s="114" t="str">
        <f>IFERROR(VLOOKUP(C32,'SALARY ESI (P)'!$C:$T,13,0),"")</f>
        <v>0</v>
      </c>
      <c r="L32" s="114">
        <f>IFERROR(VLOOKUP(C32,'SALARY ESI (P)'!$C:$T,14,0),"")</f>
        <v>0</v>
      </c>
      <c r="M32" s="114">
        <f>IFERROR(VLOOKUP(C32,'SALARY ESI (P)'!$C:$T,15,0),"")</f>
        <v>0</v>
      </c>
      <c r="N32" s="127" t="str">
        <f>IFERROR(VLOOKUP(C32,'RJ ATTENDENCE SHEET'!$C:$S,17,0),"")</f>
        <v/>
      </c>
      <c r="O32" s="128">
        <f t="shared" ref="O32:O38" si="12">SUM(K32:N32)</f>
        <v>0</v>
      </c>
      <c r="P32" s="128" t="str">
        <f t="shared" ref="P32:P38" si="13">IFERROR(J32-O32,"")</f>
        <v/>
      </c>
    </row>
    <row r="33" spans="1:16" hidden="1">
      <c r="A33" s="112">
        <v>30</v>
      </c>
      <c r="B33" s="112" t="str">
        <f>IFERROR(VLOOKUP(C33,'RJ ATTENDENCE SHEET'!$C:$D,2,0),"")</f>
        <v/>
      </c>
      <c r="C33" s="113" t="str">
        <f>'DATA '!H32</f>
        <v/>
      </c>
      <c r="D33" s="114" t="str">
        <f>IFERROR(VLOOKUP(C33,'RJ ATTENDENCE SHEET'!$C:$L,3,0),"")</f>
        <v/>
      </c>
      <c r="E33" s="114" t="str">
        <f>IFERROR(VLOOKUP(C33,'RJ ATTENDENCE SHEET'!$C:$L,4,0),"")</f>
        <v/>
      </c>
      <c r="F33" s="114" t="str">
        <f>IFERROR(VLOOKUP(C33,'RJ ATTENDENCE SHEET'!$C:$L,5,0),"")</f>
        <v/>
      </c>
      <c r="G33" s="114">
        <f t="shared" si="10"/>
        <v>0</v>
      </c>
      <c r="H33" s="114">
        <f>DAY(EOMONTH('RJ ATTENDENCE SHEET'!$A$1,0))</f>
        <v>31</v>
      </c>
      <c r="I33" s="129" t="str">
        <f>IFERROR(VLOOKUP(C33,'RJ ATTENDENCE SHEET'!$C:$W,20,0),"")</f>
        <v/>
      </c>
      <c r="J33" s="114" t="str">
        <f t="shared" si="11"/>
        <v/>
      </c>
      <c r="K33" s="114" t="str">
        <f>IFERROR(VLOOKUP(C33,'SALARY ESI (P)'!$C:$T,13,0),"")</f>
        <v>0</v>
      </c>
      <c r="L33" s="114">
        <f>IFERROR(VLOOKUP(C33,'SALARY ESI (P)'!$C:$T,14,0),"")</f>
        <v>0</v>
      </c>
      <c r="M33" s="114">
        <f>IFERROR(VLOOKUP(C33,'SALARY ESI (P)'!$C:$T,15,0),"")</f>
        <v>0</v>
      </c>
      <c r="N33" s="127" t="str">
        <f>IFERROR(VLOOKUP(C33,'RJ ATTENDENCE SHEET'!$C:$S,17,0),"")</f>
        <v/>
      </c>
      <c r="O33" s="128">
        <f t="shared" si="12"/>
        <v>0</v>
      </c>
      <c r="P33" s="128" t="str">
        <f t="shared" si="13"/>
        <v/>
      </c>
    </row>
    <row r="34" spans="1:16" hidden="1">
      <c r="A34" s="112">
        <v>31</v>
      </c>
      <c r="B34" s="112" t="str">
        <f>IFERROR(VLOOKUP(C34,'RJ ATTENDENCE SHEET'!$C:$D,2,0),"")</f>
        <v/>
      </c>
      <c r="C34" s="113" t="str">
        <f>'DATA '!H33</f>
        <v/>
      </c>
      <c r="D34" s="114" t="str">
        <f>IFERROR(VLOOKUP(C34,'RJ ATTENDENCE SHEET'!$C:$L,3,0),"")</f>
        <v/>
      </c>
      <c r="E34" s="114" t="str">
        <f>IFERROR(VLOOKUP(C34,'RJ ATTENDENCE SHEET'!$C:$L,4,0),"")</f>
        <v/>
      </c>
      <c r="F34" s="114" t="str">
        <f>IFERROR(VLOOKUP(C34,'RJ ATTENDENCE SHEET'!$C:$L,5,0),"")</f>
        <v/>
      </c>
      <c r="G34" s="114">
        <f t="shared" si="10"/>
        <v>0</v>
      </c>
      <c r="H34" s="114">
        <f>DAY(EOMONTH('RJ ATTENDENCE SHEET'!$A$1,0))</f>
        <v>31</v>
      </c>
      <c r="I34" s="129" t="str">
        <f>IFERROR(VLOOKUP(C34,'RJ ATTENDENCE SHEET'!$C:$W,20,0),"")</f>
        <v/>
      </c>
      <c r="J34" s="114" t="str">
        <f t="shared" si="11"/>
        <v/>
      </c>
      <c r="K34" s="114" t="str">
        <f>IFERROR(VLOOKUP(C34,'SALARY ESI (P)'!$C:$T,13,0),"")</f>
        <v>0</v>
      </c>
      <c r="L34" s="114">
        <f>IFERROR(VLOOKUP(C34,'SALARY ESI (P)'!$C:$T,14,0),"")</f>
        <v>0</v>
      </c>
      <c r="M34" s="114">
        <f>IFERROR(VLOOKUP(C34,'SALARY ESI (P)'!$C:$T,15,0),"")</f>
        <v>0</v>
      </c>
      <c r="N34" s="127" t="str">
        <f>IFERROR(VLOOKUP(C34,'RJ ATTENDENCE SHEET'!$C:$S,17,0),"")</f>
        <v/>
      </c>
      <c r="O34" s="128">
        <f t="shared" si="12"/>
        <v>0</v>
      </c>
      <c r="P34" s="128" t="str">
        <f t="shared" si="13"/>
        <v/>
      </c>
    </row>
    <row r="35" spans="1:16" hidden="1">
      <c r="A35" s="112">
        <v>32</v>
      </c>
      <c r="B35" s="112" t="str">
        <f>IFERROR(VLOOKUP(C35,'RJ ATTENDENCE SHEET'!$C:$D,2,0),"")</f>
        <v/>
      </c>
      <c r="C35" s="113" t="str">
        <f>'DATA '!H34</f>
        <v/>
      </c>
      <c r="D35" s="114" t="str">
        <f>IFERROR(VLOOKUP(C35,'RJ ATTENDENCE SHEET'!$C:$L,3,0),"")</f>
        <v/>
      </c>
      <c r="E35" s="114" t="str">
        <f>IFERROR(VLOOKUP(C35,'RJ ATTENDENCE SHEET'!$C:$L,4,0),"")</f>
        <v/>
      </c>
      <c r="F35" s="114" t="str">
        <f>IFERROR(VLOOKUP(C35,'RJ ATTENDENCE SHEET'!$C:$L,5,0),"")</f>
        <v/>
      </c>
      <c r="G35" s="114">
        <f t="shared" si="10"/>
        <v>0</v>
      </c>
      <c r="H35" s="114">
        <f>DAY(EOMONTH('RJ ATTENDENCE SHEET'!$A$1,0))</f>
        <v>31</v>
      </c>
      <c r="I35" s="129" t="str">
        <f>IFERROR(VLOOKUP(C35,'RJ ATTENDENCE SHEET'!$C:$W,20,0),"")</f>
        <v/>
      </c>
      <c r="J35" s="114" t="str">
        <f t="shared" si="11"/>
        <v/>
      </c>
      <c r="K35" s="114" t="str">
        <f>IFERROR(VLOOKUP(C35,'SALARY ESI (P)'!$C:$T,13,0),"")</f>
        <v>0</v>
      </c>
      <c r="L35" s="114">
        <f>IFERROR(VLOOKUP(C35,'SALARY ESI (P)'!$C:$T,14,0),"")</f>
        <v>0</v>
      </c>
      <c r="M35" s="114">
        <f>IFERROR(VLOOKUP(C35,'SALARY ESI (P)'!$C:$T,15,0),"")</f>
        <v>0</v>
      </c>
      <c r="N35" s="127" t="str">
        <f>IFERROR(VLOOKUP(C35,'RJ ATTENDENCE SHEET'!$C:$S,17,0),"")</f>
        <v/>
      </c>
      <c r="O35" s="128">
        <f t="shared" si="12"/>
        <v>0</v>
      </c>
      <c r="P35" s="128" t="str">
        <f t="shared" si="13"/>
        <v/>
      </c>
    </row>
    <row r="36" spans="1:16" hidden="1">
      <c r="A36" s="112">
        <v>33</v>
      </c>
      <c r="B36" s="112" t="str">
        <f>IFERROR(VLOOKUP(C36,'RJ ATTENDENCE SHEET'!$C:$D,2,0),"")</f>
        <v/>
      </c>
      <c r="C36" s="113" t="str">
        <f>'DATA '!H35</f>
        <v/>
      </c>
      <c r="D36" s="114" t="str">
        <f>IFERROR(VLOOKUP(C36,'RJ ATTENDENCE SHEET'!$C:$L,3,0),"")</f>
        <v/>
      </c>
      <c r="E36" s="114" t="str">
        <f>IFERROR(VLOOKUP(C36,'RJ ATTENDENCE SHEET'!$C:$L,4,0),"")</f>
        <v/>
      </c>
      <c r="F36" s="114" t="str">
        <f>IFERROR(VLOOKUP(C36,'RJ ATTENDENCE SHEET'!$C:$L,5,0),"")</f>
        <v/>
      </c>
      <c r="G36" s="114">
        <f t="shared" si="10"/>
        <v>0</v>
      </c>
      <c r="H36" s="114">
        <f>DAY(EOMONTH('RJ ATTENDENCE SHEET'!$A$1,0))</f>
        <v>31</v>
      </c>
      <c r="I36" s="129" t="str">
        <f>IFERROR(VLOOKUP(C36,'RJ ATTENDENCE SHEET'!$C:$W,20,0),"")</f>
        <v/>
      </c>
      <c r="J36" s="114" t="str">
        <f t="shared" si="11"/>
        <v/>
      </c>
      <c r="K36" s="114" t="str">
        <f>IFERROR(VLOOKUP(C36,'SALARY ESI (P)'!$C:$T,13,0),"")</f>
        <v>0</v>
      </c>
      <c r="L36" s="114">
        <f>IFERROR(VLOOKUP(C36,'SALARY ESI (P)'!$C:$T,14,0),"")</f>
        <v>0</v>
      </c>
      <c r="M36" s="114">
        <f>IFERROR(VLOOKUP(C36,'SALARY ESI (P)'!$C:$T,15,0),"")</f>
        <v>0</v>
      </c>
      <c r="N36" s="127" t="str">
        <f>IFERROR(VLOOKUP(C36,'RJ ATTENDENCE SHEET'!$C:$S,17,0),"")</f>
        <v/>
      </c>
      <c r="O36" s="128">
        <f t="shared" si="12"/>
        <v>0</v>
      </c>
      <c r="P36" s="128" t="str">
        <f t="shared" si="13"/>
        <v/>
      </c>
    </row>
    <row r="37" spans="1:16" hidden="1">
      <c r="A37" s="112">
        <v>34</v>
      </c>
      <c r="B37" s="112" t="str">
        <f>IFERROR(VLOOKUP(C37,'RJ ATTENDENCE SHEET'!$C:$D,2,0),"")</f>
        <v/>
      </c>
      <c r="C37" s="113" t="str">
        <f>'DATA '!H36</f>
        <v/>
      </c>
      <c r="D37" s="114" t="str">
        <f>IFERROR(VLOOKUP(C37,'RJ ATTENDENCE SHEET'!$C:$L,3,0),"")</f>
        <v/>
      </c>
      <c r="E37" s="114" t="str">
        <f>IFERROR(VLOOKUP(C37,'RJ ATTENDENCE SHEET'!$C:$L,4,0),"")</f>
        <v/>
      </c>
      <c r="F37" s="114" t="str">
        <f>IFERROR(VLOOKUP(C37,'RJ ATTENDENCE SHEET'!$C:$L,5,0),"")</f>
        <v/>
      </c>
      <c r="G37" s="114">
        <f t="shared" si="10"/>
        <v>0</v>
      </c>
      <c r="H37" s="114">
        <f>DAY(EOMONTH('RJ ATTENDENCE SHEET'!$A$1,0))</f>
        <v>31</v>
      </c>
      <c r="I37" s="129" t="str">
        <f>IFERROR(VLOOKUP(C37,'RJ ATTENDENCE SHEET'!$C:$W,20,0),"")</f>
        <v/>
      </c>
      <c r="J37" s="114" t="str">
        <f t="shared" si="11"/>
        <v/>
      </c>
      <c r="K37" s="114" t="str">
        <f>IFERROR(VLOOKUP(C37,'SALARY ESI (P)'!$C:$T,13,0),"")</f>
        <v>0</v>
      </c>
      <c r="L37" s="114">
        <f>IFERROR(VLOOKUP(C37,'SALARY ESI (P)'!$C:$T,14,0),"")</f>
        <v>0</v>
      </c>
      <c r="M37" s="114">
        <f>IFERROR(VLOOKUP(C37,'SALARY ESI (P)'!$C:$T,15,0),"")</f>
        <v>0</v>
      </c>
      <c r="N37" s="127" t="str">
        <f>IFERROR(VLOOKUP(C37,'RJ ATTENDENCE SHEET'!$C:$S,17,0),"")</f>
        <v/>
      </c>
      <c r="O37" s="128">
        <f t="shared" si="12"/>
        <v>0</v>
      </c>
      <c r="P37" s="128" t="str">
        <f t="shared" si="13"/>
        <v/>
      </c>
    </row>
    <row r="38" spans="1:16" hidden="1">
      <c r="A38" s="112">
        <v>35</v>
      </c>
      <c r="B38" s="112" t="str">
        <f>IFERROR(VLOOKUP(C38,'RJ ATTENDENCE SHEET'!$C:$D,2,0),"")</f>
        <v/>
      </c>
      <c r="C38" s="113" t="str">
        <f>'DATA '!H37</f>
        <v/>
      </c>
      <c r="D38" s="114" t="str">
        <f>IFERROR(VLOOKUP(C38,'RJ ATTENDENCE SHEET'!$C:$L,3,0),"")</f>
        <v/>
      </c>
      <c r="E38" s="114" t="str">
        <f>IFERROR(VLOOKUP(C38,'RJ ATTENDENCE SHEET'!$C:$L,4,0),"")</f>
        <v/>
      </c>
      <c r="F38" s="114" t="str">
        <f>IFERROR(VLOOKUP(C38,'RJ ATTENDENCE SHEET'!$C:$L,5,0),"")</f>
        <v/>
      </c>
      <c r="G38" s="114">
        <f t="shared" si="10"/>
        <v>0</v>
      </c>
      <c r="H38" s="114">
        <f>DAY(EOMONTH('RJ ATTENDENCE SHEET'!$A$1,0))</f>
        <v>31</v>
      </c>
      <c r="I38" s="129" t="str">
        <f>IFERROR(VLOOKUP(C38,'RJ ATTENDENCE SHEET'!$C:$W,20,0),"")</f>
        <v/>
      </c>
      <c r="J38" s="114" t="str">
        <f t="shared" si="11"/>
        <v/>
      </c>
      <c r="K38" s="114" t="str">
        <f>IFERROR(VLOOKUP(C38,'SALARY ESI (P)'!$C:$T,13,0),"")</f>
        <v>0</v>
      </c>
      <c r="L38" s="114">
        <f>IFERROR(VLOOKUP(C38,'SALARY ESI (P)'!$C:$T,14,0),"")</f>
        <v>0</v>
      </c>
      <c r="M38" s="114">
        <f>IFERROR(VLOOKUP(C38,'SALARY ESI (P)'!$C:$T,15,0),"")</f>
        <v>0</v>
      </c>
      <c r="N38" s="127" t="str">
        <f>IFERROR(VLOOKUP(C38,'RJ ATTENDENCE SHEET'!$C:$S,17,0),"")</f>
        <v/>
      </c>
      <c r="O38" s="128">
        <f t="shared" si="12"/>
        <v>0</v>
      </c>
      <c r="P38" s="128" t="str">
        <f t="shared" si="13"/>
        <v/>
      </c>
    </row>
    <row r="39" spans="1:16" s="110" customFormat="1">
      <c r="A39" s="366" t="s">
        <v>97</v>
      </c>
      <c r="B39" s="367"/>
      <c r="C39" s="368"/>
      <c r="D39" s="115">
        <f>SUM(D4:D38)</f>
        <v>242180</v>
      </c>
      <c r="E39" s="115">
        <f>SUM(E4:E38)</f>
        <v>59380</v>
      </c>
      <c r="F39" s="115">
        <f>SUM(F4:F38)</f>
        <v>41440</v>
      </c>
      <c r="G39" s="115">
        <f>SUM(G4:G38)</f>
        <v>343000</v>
      </c>
      <c r="H39" s="369"/>
      <c r="I39" s="370"/>
      <c r="J39" s="115">
        <f t="shared" ref="J39:P39" si="14">SUM(J4:J38)</f>
        <v>339306.45161290321</v>
      </c>
      <c r="K39" s="115">
        <f t="shared" si="14"/>
        <v>16179</v>
      </c>
      <c r="L39" s="115">
        <f t="shared" si="14"/>
        <v>1149</v>
      </c>
      <c r="M39" s="115">
        <f t="shared" si="14"/>
        <v>2100</v>
      </c>
      <c r="N39" s="115">
        <f t="shared" si="14"/>
        <v>0</v>
      </c>
      <c r="O39" s="115">
        <f t="shared" si="14"/>
        <v>19428</v>
      </c>
      <c r="P39" s="115">
        <f t="shared" si="14"/>
        <v>319878.45161290321</v>
      </c>
    </row>
    <row r="40" spans="1:16">
      <c r="A40" s="109"/>
      <c r="B40" s="109"/>
      <c r="C40" s="116"/>
      <c r="D40" s="117"/>
      <c r="E40" s="117"/>
      <c r="F40" s="118"/>
      <c r="G40" s="118"/>
      <c r="H40" s="119"/>
      <c r="I40" s="117"/>
      <c r="J40" s="117"/>
      <c r="K40" s="117"/>
      <c r="L40" s="117"/>
      <c r="M40" s="130"/>
      <c r="N40" s="131"/>
      <c r="O40" s="117"/>
      <c r="P40" s="117"/>
    </row>
    <row r="41" spans="1:16">
      <c r="A41" s="109"/>
      <c r="B41" s="109"/>
      <c r="C41" s="116"/>
      <c r="D41" s="117"/>
      <c r="E41" s="117"/>
      <c r="F41" s="118"/>
      <c r="G41" s="118"/>
      <c r="H41" s="119"/>
      <c r="I41" s="117"/>
      <c r="J41" s="117"/>
      <c r="K41" s="117"/>
      <c r="L41" s="117"/>
      <c r="M41" s="130"/>
      <c r="N41" s="131"/>
      <c r="O41" s="117"/>
      <c r="P41" s="117"/>
    </row>
    <row r="42" spans="1:16">
      <c r="A42" s="109"/>
      <c r="B42" s="109"/>
      <c r="C42" s="116"/>
      <c r="D42" s="117"/>
      <c r="E42" s="117"/>
      <c r="F42" s="118"/>
      <c r="G42" s="118"/>
      <c r="H42" s="119"/>
      <c r="I42" s="117"/>
      <c r="J42" s="117"/>
      <c r="K42" s="117"/>
      <c r="L42" s="117"/>
      <c r="M42" s="130"/>
      <c r="N42" s="131"/>
      <c r="O42" s="117"/>
      <c r="P42" s="117"/>
    </row>
    <row r="43" spans="1:16">
      <c r="A43" s="109"/>
      <c r="B43" s="109"/>
      <c r="C43" s="116"/>
      <c r="D43" s="117"/>
      <c r="E43" s="117"/>
      <c r="F43" s="118"/>
      <c r="G43" s="118"/>
      <c r="H43" s="119"/>
      <c r="I43" s="117"/>
      <c r="J43" s="117"/>
      <c r="K43" s="117"/>
      <c r="L43" s="117"/>
      <c r="M43" s="130"/>
      <c r="N43" s="131"/>
      <c r="O43" s="117"/>
      <c r="P43" s="117"/>
    </row>
    <row r="44" spans="1:16">
      <c r="A44" s="109"/>
      <c r="B44" s="109"/>
      <c r="C44" s="116"/>
      <c r="D44" s="117"/>
      <c r="E44" s="117"/>
      <c r="F44" s="118"/>
      <c r="G44" s="118"/>
      <c r="H44" s="119"/>
      <c r="I44" s="117"/>
      <c r="J44" s="117"/>
      <c r="K44" s="117"/>
      <c r="L44" s="117"/>
      <c r="M44" s="130"/>
      <c r="N44" s="131"/>
      <c r="O44" s="117"/>
      <c r="P44" s="117"/>
    </row>
    <row r="45" spans="1:16">
      <c r="A45" s="109"/>
      <c r="B45" s="109"/>
      <c r="C45" s="116"/>
      <c r="D45" s="117"/>
      <c r="E45" s="117"/>
      <c r="F45" s="118"/>
      <c r="G45" s="118"/>
      <c r="H45" s="119"/>
      <c r="I45" s="117"/>
      <c r="J45" s="117"/>
      <c r="K45" s="117"/>
      <c r="L45" s="117"/>
      <c r="M45" s="130"/>
      <c r="N45" s="131"/>
      <c r="O45" s="117"/>
      <c r="P45" s="117"/>
    </row>
    <row r="46" spans="1:16">
      <c r="A46" s="109"/>
      <c r="B46" s="109"/>
      <c r="C46" s="116"/>
      <c r="D46" s="117"/>
      <c r="E46" s="117"/>
      <c r="F46" s="118"/>
      <c r="G46" s="118"/>
      <c r="H46" s="119"/>
      <c r="I46" s="117"/>
      <c r="J46" s="117"/>
      <c r="K46" s="117"/>
      <c r="L46" s="117"/>
      <c r="M46" s="130"/>
      <c r="N46" s="131"/>
      <c r="O46" s="117"/>
      <c r="P46" s="117"/>
    </row>
    <row r="47" spans="1:16">
      <c r="A47" s="109"/>
      <c r="B47" s="109"/>
      <c r="C47" s="116"/>
      <c r="D47" s="117"/>
      <c r="E47" s="117"/>
      <c r="F47" s="118"/>
      <c r="G47" s="118"/>
      <c r="H47" s="119"/>
      <c r="I47" s="117"/>
      <c r="J47" s="117"/>
      <c r="K47" s="117"/>
      <c r="L47" s="117"/>
      <c r="M47" s="130"/>
      <c r="N47" s="131"/>
      <c r="O47" s="117"/>
      <c r="P47" s="117"/>
    </row>
    <row r="48" spans="1:16">
      <c r="A48" s="109"/>
      <c r="B48" s="109"/>
      <c r="C48" s="116"/>
      <c r="D48" s="117"/>
      <c r="E48" s="117"/>
      <c r="F48" s="118"/>
      <c r="G48" s="118"/>
      <c r="H48" s="119"/>
      <c r="I48" s="117"/>
      <c r="J48" s="117"/>
      <c r="K48" s="117"/>
      <c r="L48" s="117"/>
      <c r="M48" s="130"/>
      <c r="N48" s="131"/>
      <c r="O48" s="117"/>
      <c r="P48" s="117"/>
    </row>
    <row r="49" spans="1:16">
      <c r="A49" s="109"/>
      <c r="B49" s="109"/>
      <c r="C49" s="116"/>
      <c r="D49" s="117"/>
      <c r="E49" s="117"/>
      <c r="F49" s="118"/>
      <c r="G49" s="118"/>
      <c r="H49" s="119"/>
      <c r="I49" s="117"/>
      <c r="J49" s="117"/>
      <c r="K49" s="117"/>
      <c r="L49" s="117"/>
      <c r="M49" s="130"/>
      <c r="N49" s="131"/>
      <c r="O49" s="117"/>
      <c r="P49" s="117"/>
    </row>
    <row r="50" spans="1:16">
      <c r="A50" s="109"/>
      <c r="B50" s="109"/>
      <c r="C50" s="116"/>
      <c r="D50" s="117"/>
      <c r="E50" s="117"/>
      <c r="F50" s="118"/>
      <c r="G50" s="118"/>
      <c r="H50" s="119"/>
      <c r="I50" s="117"/>
      <c r="J50" s="117"/>
      <c r="K50" s="117"/>
      <c r="L50" s="117"/>
      <c r="M50" s="130"/>
      <c r="N50" s="131"/>
      <c r="O50" s="117"/>
      <c r="P50" s="117"/>
    </row>
    <row r="51" spans="1:16">
      <c r="A51" s="109"/>
      <c r="B51" s="109"/>
      <c r="C51" s="116"/>
      <c r="D51" s="117"/>
      <c r="E51" s="117"/>
      <c r="F51" s="118"/>
      <c r="G51" s="118"/>
      <c r="H51" s="119"/>
      <c r="I51" s="117"/>
      <c r="J51" s="117"/>
      <c r="K51" s="117"/>
      <c r="L51" s="117"/>
      <c r="M51" s="130"/>
      <c r="N51" s="131"/>
      <c r="O51" s="117"/>
      <c r="P51" s="117"/>
    </row>
    <row r="52" spans="1:16">
      <c r="A52" s="109"/>
      <c r="B52" s="109"/>
      <c r="C52" s="116"/>
      <c r="D52" s="117"/>
      <c r="E52" s="117"/>
      <c r="F52" s="118"/>
      <c r="G52" s="118"/>
      <c r="H52" s="119"/>
      <c r="I52" s="117"/>
      <c r="J52" s="117"/>
      <c r="K52" s="117"/>
      <c r="L52" s="117"/>
      <c r="M52" s="130"/>
      <c r="N52" s="131"/>
      <c r="O52" s="117"/>
      <c r="P52" s="117"/>
    </row>
    <row r="53" spans="1:16">
      <c r="A53" s="109"/>
      <c r="B53" s="109"/>
      <c r="C53" s="116"/>
      <c r="D53" s="117"/>
      <c r="E53" s="117"/>
      <c r="F53" s="118"/>
      <c r="G53" s="118"/>
      <c r="H53" s="119"/>
      <c r="I53" s="117"/>
      <c r="J53" s="117"/>
      <c r="K53" s="117"/>
      <c r="L53" s="117"/>
      <c r="M53" s="130"/>
      <c r="N53" s="131"/>
      <c r="O53" s="117"/>
      <c r="P53" s="117"/>
    </row>
    <row r="54" spans="1:16">
      <c r="A54" s="109"/>
      <c r="B54" s="109"/>
      <c r="C54" s="116"/>
      <c r="D54" s="117"/>
      <c r="E54" s="117"/>
      <c r="F54" s="118"/>
      <c r="G54" s="118"/>
      <c r="H54" s="119"/>
      <c r="I54" s="117"/>
      <c r="J54" s="117"/>
      <c r="K54" s="117"/>
      <c r="L54" s="117"/>
      <c r="M54" s="130"/>
      <c r="N54" s="131"/>
      <c r="O54" s="117"/>
      <c r="P54" s="117"/>
    </row>
    <row r="55" spans="1:16">
      <c r="A55" s="109"/>
      <c r="B55" s="109"/>
      <c r="C55" s="116"/>
      <c r="D55" s="117"/>
      <c r="E55" s="117"/>
      <c r="F55" s="118"/>
      <c r="G55" s="118"/>
      <c r="H55" s="119"/>
      <c r="I55" s="117"/>
      <c r="J55" s="117"/>
      <c r="K55" s="117"/>
      <c r="L55" s="117"/>
      <c r="M55" s="130"/>
      <c r="N55" s="131"/>
      <c r="O55" s="117"/>
      <c r="P55" s="117"/>
    </row>
    <row r="56" spans="1:16">
      <c r="A56" s="109"/>
      <c r="B56" s="109"/>
      <c r="C56" s="116"/>
      <c r="D56" s="117"/>
      <c r="E56" s="117"/>
      <c r="F56" s="118"/>
      <c r="G56" s="118"/>
      <c r="H56" s="119"/>
      <c r="I56" s="117"/>
      <c r="J56" s="117"/>
      <c r="K56" s="117"/>
      <c r="L56" s="117"/>
      <c r="M56" s="130"/>
      <c r="N56" s="131"/>
      <c r="O56" s="117"/>
      <c r="P56" s="117"/>
    </row>
    <row r="57" spans="1:16">
      <c r="A57" s="109"/>
      <c r="B57" s="109"/>
      <c r="C57" s="116"/>
      <c r="D57" s="117"/>
      <c r="E57" s="117"/>
      <c r="F57" s="118"/>
      <c r="G57" s="118"/>
      <c r="H57" s="119"/>
      <c r="I57" s="117"/>
      <c r="J57" s="117"/>
      <c r="K57" s="117"/>
      <c r="L57" s="117"/>
      <c r="M57" s="130"/>
      <c r="N57" s="131"/>
      <c r="O57" s="117"/>
      <c r="P57" s="117"/>
    </row>
    <row r="58" spans="1:16">
      <c r="A58" s="109"/>
      <c r="B58" s="109"/>
      <c r="C58" s="116"/>
      <c r="D58" s="117"/>
      <c r="E58" s="117"/>
      <c r="F58" s="118"/>
      <c r="G58" s="118"/>
      <c r="H58" s="119"/>
      <c r="I58" s="117"/>
      <c r="J58" s="117"/>
      <c r="K58" s="117"/>
      <c r="L58" s="117"/>
      <c r="M58" s="130"/>
      <c r="N58" s="131"/>
      <c r="O58" s="117"/>
      <c r="P58" s="117"/>
    </row>
    <row r="59" spans="1:16">
      <c r="A59" s="109"/>
      <c r="B59" s="109"/>
      <c r="C59" s="120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</row>
    <row r="60" spans="1:16">
      <c r="A60" s="121"/>
      <c r="B60" s="121"/>
      <c r="C60" s="121"/>
      <c r="D60" s="122"/>
      <c r="E60" s="122"/>
      <c r="F60" s="117"/>
      <c r="G60" s="117"/>
      <c r="H60" s="122"/>
      <c r="I60" s="122"/>
      <c r="J60" s="122"/>
      <c r="K60" s="122"/>
      <c r="L60" s="122"/>
      <c r="M60" s="122"/>
      <c r="N60" s="122"/>
      <c r="O60" s="122"/>
      <c r="P60" s="122"/>
    </row>
  </sheetData>
  <sheetProtection algorithmName="SHA-512" hashValue="E+EIs1NnCNDZ4zHWHb7olzmfQOsXm5itJ0QRaLy86YVVeAy3pD3ZEPkB4XsffbxM7qEssK9h8TEyBkHh6EuFRw==" saltValue="mLQ42FDa19vujGznUqKptA==" spinCount="100000" sheet="1" objects="1" scenarios="1" formatCells="0" formatColumns="0" formatRows="0"/>
  <mergeCells count="16">
    <mergeCell ref="A39:C39"/>
    <mergeCell ref="H39:I39"/>
    <mergeCell ref="A2:A3"/>
    <mergeCell ref="B2:B3"/>
    <mergeCell ref="C2:C3"/>
    <mergeCell ref="D2:D3"/>
    <mergeCell ref="E2:E3"/>
    <mergeCell ref="F2:F3"/>
    <mergeCell ref="G2:G3"/>
    <mergeCell ref="P2:P3"/>
    <mergeCell ref="A1:M1"/>
    <mergeCell ref="N1:O1"/>
    <mergeCell ref="H2:I2"/>
    <mergeCell ref="K2:N2"/>
    <mergeCell ref="J2:J3"/>
    <mergeCell ref="O2:O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O45"/>
  <sheetViews>
    <sheetView zoomScale="90" zoomScaleNormal="90" workbookViewId="0">
      <pane ySplit="3" topLeftCell="A4" activePane="bottomLeft" state="frozen"/>
      <selection pane="bottomLeft" activeCell="C24" sqref="C24"/>
    </sheetView>
  </sheetViews>
  <sheetFormatPr defaultColWidth="9.125" defaultRowHeight="15.75"/>
  <cols>
    <col min="1" max="1" width="6.375" style="89" customWidth="1"/>
    <col min="2" max="2" width="8.625" style="89" customWidth="1"/>
    <col min="3" max="3" width="35" style="89" customWidth="1"/>
    <col min="4" max="4" width="11.75" style="89" customWidth="1"/>
    <col min="5" max="5" width="9.75" style="89" customWidth="1"/>
    <col min="6" max="6" width="8.875" style="89" customWidth="1"/>
    <col min="7" max="7" width="8" style="89" customWidth="1"/>
    <col min="8" max="11" width="9.25" style="89" customWidth="1"/>
    <col min="12" max="12" width="9.875" style="89" customWidth="1"/>
    <col min="13" max="13" width="13.625" style="90" customWidth="1"/>
    <col min="14" max="14" width="17.25" style="89" customWidth="1"/>
    <col min="15" max="15" width="43.875" style="89" customWidth="1"/>
    <col min="16" max="16384" width="9.125" style="91"/>
  </cols>
  <sheetData>
    <row r="1" spans="1:15" ht="18">
      <c r="A1" s="384" t="s">
        <v>210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6"/>
      <c r="M1" s="387" t="str">
        <f>TEXT('RJ ATTENDENCE SHEET'!$A$1,"MMMM")</f>
        <v>July</v>
      </c>
      <c r="N1" s="388"/>
      <c r="O1" s="99">
        <f>YEAR('RJ ATTENDENCE SHEET'!$A$1)</f>
        <v>2026</v>
      </c>
    </row>
    <row r="2" spans="1:15" ht="15" customHeight="1">
      <c r="A2" s="378" t="s">
        <v>196</v>
      </c>
      <c r="B2" s="92"/>
      <c r="C2" s="380" t="s">
        <v>92</v>
      </c>
      <c r="D2" s="389" t="s">
        <v>211</v>
      </c>
      <c r="E2" s="390"/>
      <c r="F2" s="390"/>
      <c r="G2" s="391"/>
      <c r="H2" s="392" t="s">
        <v>199</v>
      </c>
      <c r="I2" s="393"/>
      <c r="J2" s="394" t="s">
        <v>212</v>
      </c>
      <c r="K2" s="395"/>
      <c r="L2" s="382" t="s">
        <v>200</v>
      </c>
      <c r="M2" s="380" t="s">
        <v>209</v>
      </c>
      <c r="N2" s="100" t="s">
        <v>213</v>
      </c>
      <c r="O2" s="373" t="s">
        <v>214</v>
      </c>
    </row>
    <row r="3" spans="1:15" ht="15" customHeight="1">
      <c r="A3" s="379"/>
      <c r="B3" s="93"/>
      <c r="C3" s="381"/>
      <c r="D3" s="94" t="s">
        <v>215</v>
      </c>
      <c r="E3" s="94" t="s">
        <v>216</v>
      </c>
      <c r="F3" s="94" t="s">
        <v>93</v>
      </c>
      <c r="G3" s="94" t="s">
        <v>217</v>
      </c>
      <c r="H3" s="95" t="s">
        <v>93</v>
      </c>
      <c r="I3" s="101" t="s">
        <v>94</v>
      </c>
      <c r="J3" s="101" t="s">
        <v>218</v>
      </c>
      <c r="K3" s="101" t="s">
        <v>219</v>
      </c>
      <c r="L3" s="383"/>
      <c r="M3" s="381"/>
      <c r="N3" s="102" t="s">
        <v>220</v>
      </c>
      <c r="O3" s="374"/>
    </row>
    <row r="4" spans="1:15">
      <c r="A4" s="96">
        <v>1</v>
      </c>
      <c r="B4" s="96" t="str">
        <f>VLOOKUP(C4,'DATA '!$K:$L,2,0)</f>
        <v>DRIVER</v>
      </c>
      <c r="C4" s="97" t="str">
        <f>'DATA '!K3</f>
        <v xml:space="preserve">ANISUR </v>
      </c>
      <c r="D4" s="98" t="str">
        <f>IF(B4="DRIVER","",IF(B4="HELPER","",IF(B4="HOPPER",VLOOKUP(WAGES!C4,'RJ ATTENDENCE SHEET'!$C:$I,7,0),IF(B4="LAB",VLOOKUP(WAGES!C4,'RJ ATTENDENCE SHEET'!$C:$I,7,0),IF(B4="OTHERS",VLOOKUP(WAGES!C4,'RJ ATTENDENCE SHEET'!$C:$I,7,0),"")))))</f>
        <v/>
      </c>
      <c r="E4" s="98" t="str">
        <f>IFERROR(D4/DAY(EOMONTH('RJ ATTENDENCE SHEET'!$A$1,0)),"")</f>
        <v/>
      </c>
      <c r="F4" s="98">
        <f>IF(B4="DRIVER",VLOOKUP(WAGES!C4,'RJ ATTENDENCE SHEET'!$C:$W,8,0),IF(B4="HELPER",VLOOKUP(WAGES!C4,'RJ ATTENDENCE SHEET'!$C:$W,8,0),IF(B4="HOPPER","",IF(B4="LAB","",IF(B4="OTHERS","","")))))</f>
        <v>325</v>
      </c>
      <c r="G4" s="98">
        <f>IF(B4="DRIVER",VLOOKUP(WAGES!C4,'RJ ATTENDENCE SHEET'!$C:$W,9,0),IF(B4="HELPER",VLOOKUP(WAGES!C4,'RJ ATTENDENCE SHEET'!$C:$W,9,0),IF(B4="HOPPER","",IF(B4="LAB","",IF(B4="OTHERS","","")))))</f>
        <v>185</v>
      </c>
      <c r="H4" s="98">
        <f>IFERROR(VLOOKUP(C4,'RJ ATTENDENCE SHEET'!$C:$V,20,0),"")</f>
        <v>40</v>
      </c>
      <c r="I4" s="98">
        <f>IFERROR(VLOOKUP(C4,'RJ ATTENDENCE SHEET'!$C:$W,21,0),"")</f>
        <v>13</v>
      </c>
      <c r="J4" s="103">
        <f t="shared" ref="J4:K6" si="0">IFERROR(F4*H4,"")</f>
        <v>13000</v>
      </c>
      <c r="K4" s="104">
        <f>IFERROR(G4*I4,"")</f>
        <v>2405</v>
      </c>
      <c r="L4" s="103">
        <f>IF(B4="DRIVER",(J4+K4),IF(B4="HELPER",(J4+K4),IF(B4="HOPPER",(E4*H4),IF(B4="LAB",(E4*H4),IF(B4="OTHERS",(E4*H4),"")))))</f>
        <v>15405</v>
      </c>
      <c r="M4" s="105">
        <f>IFERROR(VLOOKUP(C4,'RJ ATTENDENCE SHEET'!$C:$S,17,0),"")</f>
        <v>0</v>
      </c>
      <c r="N4" s="106">
        <f>IFERROR(L4-M4,"")</f>
        <v>15405</v>
      </c>
      <c r="O4" s="107"/>
    </row>
    <row r="5" spans="1:15">
      <c r="A5" s="96">
        <v>2</v>
      </c>
      <c r="B5" s="96" t="str">
        <f>VLOOKUP(C5,'DATA '!$K:$L,2,0)</f>
        <v>DRIVER</v>
      </c>
      <c r="C5" s="97" t="str">
        <f>'DATA '!K4</f>
        <v xml:space="preserve">ARMAN ALI MONDAL </v>
      </c>
      <c r="D5" s="98" t="str">
        <f>IF(B5="DRIVER","",IF(B5="HELPER","",IF(B5="HOPPER",VLOOKUP(WAGES!C5,'RJ ATTENDENCE SHEET'!$C:$I,7,0),IF(B5="LAB",VLOOKUP(WAGES!C5,'RJ ATTENDENCE SHEET'!$C:$I,7,0),IF(B5="OTHERS",VLOOKUP(WAGES!C5,'RJ ATTENDENCE SHEET'!$C:$I,7,0),"")))))</f>
        <v/>
      </c>
      <c r="E5" s="98" t="str">
        <f>IFERROR(D5/DAY(EOMONTH('RJ ATTENDENCE SHEET'!$A$1,0)),"")</f>
        <v/>
      </c>
      <c r="F5" s="98">
        <f>IF(B5="DRIVER",VLOOKUP(WAGES!C5,'RJ ATTENDENCE SHEET'!$C:$W,8,0),IF(B5="HELPER",VLOOKUP(WAGES!C5,'RJ ATTENDENCE SHEET'!$C:$W,8,0),IF(B5="HOPPER","",IF(B5="LAB","",IF(B5="OTHERS","","")))))</f>
        <v>320</v>
      </c>
      <c r="G5" s="98">
        <f>IF(B5="DRIVER",VLOOKUP(WAGES!C5,'RJ ATTENDENCE SHEET'!$C:$W,9,0),IF(B5="HELPER",VLOOKUP(WAGES!C5,'RJ ATTENDENCE SHEET'!$C:$W,9,0),IF(B5="HOPPER","",IF(B5="LAB","",IF(B5="OTHERS","","")))))</f>
        <v>185</v>
      </c>
      <c r="H5" s="98">
        <f>IFERROR(VLOOKUP(C5,'RJ ATTENDENCE SHEET'!$C:$V,20,0),"")</f>
        <v>41</v>
      </c>
      <c r="I5" s="98">
        <f>IFERROR(VLOOKUP(C5,'RJ ATTENDENCE SHEET'!$C:$W,21,0),"")</f>
        <v>8</v>
      </c>
      <c r="J5" s="103">
        <f t="shared" si="0"/>
        <v>13120</v>
      </c>
      <c r="K5" s="104">
        <f t="shared" si="0"/>
        <v>1480</v>
      </c>
      <c r="L5" s="103">
        <f t="shared" ref="L5:L28" si="1">IF(B5="DRIVER",(J5+K5),IF(B5="HELPER",(J5+K5),IF(B5="HOPPER",(E5*H5),IF(B5="LAB",(E5*H5),IF(B5="OTHERS",(E5*H5),"")))))</f>
        <v>14600</v>
      </c>
      <c r="M5" s="105">
        <f>IFERROR(VLOOKUP(C5,'RJ ATTENDENCE SHEET'!$C:$S,17,0),"")</f>
        <v>0</v>
      </c>
      <c r="N5" s="106">
        <f t="shared" ref="N5:N28" si="2">IFERROR(L5-M5,"")</f>
        <v>14600</v>
      </c>
      <c r="O5" s="107"/>
    </row>
    <row r="6" spans="1:15">
      <c r="A6" s="96">
        <v>3</v>
      </c>
      <c r="B6" s="96" t="str">
        <f>VLOOKUP(C6,'DATA '!$K:$L,2,0)</f>
        <v>HELPER</v>
      </c>
      <c r="C6" s="97" t="str">
        <f>'DATA '!K5</f>
        <v>ASUTOSH SARDAR</v>
      </c>
      <c r="D6" s="98" t="str">
        <f>IF(B6="DRIVER","",IF(B6="HELPER","",IF(B6="HOPPER",VLOOKUP(WAGES!C6,'RJ ATTENDENCE SHEET'!$C:$I,7,0),IF(B6="LAB",VLOOKUP(WAGES!C6,'RJ ATTENDENCE SHEET'!$C:$I,7,0),IF(B6="OTHERS",VLOOKUP(WAGES!C6,'RJ ATTENDENCE SHEET'!$C:$I,7,0),"")))))</f>
        <v/>
      </c>
      <c r="E6" s="98" t="str">
        <f>IFERROR(D6/DAY(EOMONTH('RJ ATTENDENCE SHEET'!$A$1,0)),"")</f>
        <v/>
      </c>
      <c r="F6" s="98">
        <f>IF(B6="DRIVER",VLOOKUP(WAGES!C6,'RJ ATTENDENCE SHEET'!$C:$W,8,0),IF(B6="HELPER",VLOOKUP(WAGES!C6,'RJ ATTENDENCE SHEET'!$C:$W,8,0),IF(B6="HOPPER","",IF(B6="LAB","",IF(B6="OTHERS","","")))))</f>
        <v>285</v>
      </c>
      <c r="G6" s="98">
        <f>IF(B6="DRIVER",VLOOKUP(WAGES!C6,'RJ ATTENDENCE SHEET'!$C:$W,9,0),IF(B6="HELPER",VLOOKUP(WAGES!C6,'RJ ATTENDENCE SHEET'!$C:$W,9,0),IF(B6="HOPPER","",IF(B6="LAB","",IF(B6="OTHERS","","")))))</f>
        <v>80</v>
      </c>
      <c r="H6" s="98">
        <f>IFERROR(VLOOKUP(C6,'RJ ATTENDENCE SHEET'!$C:$V,20,0),"")</f>
        <v>40</v>
      </c>
      <c r="I6" s="98">
        <f>IFERROR(VLOOKUP(C6,'RJ ATTENDENCE SHEET'!$C:$W,21,0),"")</f>
        <v>8</v>
      </c>
      <c r="J6" s="103">
        <f t="shared" si="0"/>
        <v>11400</v>
      </c>
      <c r="K6" s="104">
        <f t="shared" si="0"/>
        <v>640</v>
      </c>
      <c r="L6" s="103">
        <f t="shared" si="1"/>
        <v>12040</v>
      </c>
      <c r="M6" s="105">
        <f>IFERROR(VLOOKUP(C6,'RJ ATTENDENCE SHEET'!$C:$S,17,0),"")</f>
        <v>0</v>
      </c>
      <c r="N6" s="106">
        <f t="shared" si="2"/>
        <v>12040</v>
      </c>
      <c r="O6" s="107"/>
    </row>
    <row r="7" spans="1:15">
      <c r="A7" s="96">
        <v>4</v>
      </c>
      <c r="B7" s="96" t="str">
        <f>VLOOKUP(C7,'DATA '!$K:$L,2,0)</f>
        <v>LAB</v>
      </c>
      <c r="C7" s="97" t="str">
        <f>'DATA '!K6</f>
        <v>BUDDHADEV SEAL</v>
      </c>
      <c r="D7" s="98">
        <f>IF(B7="DRIVER","",IF(B7="HELPER","",IF(B7="HOPPER",VLOOKUP(WAGES!C7,'RJ ATTENDENCE SHEET'!$C:$I,7,0),IF(B7="LAB",VLOOKUP(WAGES!C7,'RJ ATTENDENCE SHEET'!$C:$I,7,0),IF(B7="OTHERS",VLOOKUP(WAGES!C7,'RJ ATTENDENCE SHEET'!$C:$I,7,0),"")))))</f>
        <v>15225</v>
      </c>
      <c r="E7" s="98">
        <f>IFERROR(D7/DAY(EOMONTH('RJ ATTENDENCE SHEET'!$A$1,0)),"")</f>
        <v>491.12903225806451</v>
      </c>
      <c r="F7" s="98" t="str">
        <f>IF(B7="DRIVER",VLOOKUP(WAGES!C7,'RJ ATTENDENCE SHEET'!$C:$W,8,0),IF(B7="HELPER",VLOOKUP(WAGES!C7,'RJ ATTENDENCE SHEET'!$C:$W,8,0),IF(B7="HOPPER","",IF(B7="LAB","",IF(B7="OTHERS","","")))))</f>
        <v/>
      </c>
      <c r="G7" s="98" t="str">
        <f>IF(B7="DRIVER",VLOOKUP(WAGES!C7,'RJ ATTENDENCE SHEET'!$C:$W,9,0),IF(B7="HELPER",VLOOKUP(WAGES!C7,'RJ ATTENDENCE SHEET'!$C:$W,9,0),IF(B7="HOPPER","",IF(B7="LAB","",IF(B7="OTHERS","","")))))</f>
        <v/>
      </c>
      <c r="H7" s="98">
        <f>IFERROR(VLOOKUP(C7,'RJ ATTENDENCE SHEET'!$C:$V,20,0),"")</f>
        <v>34</v>
      </c>
      <c r="I7" s="98">
        <f>IFERROR(VLOOKUP(C7,'RJ ATTENDENCE SHEET'!$C:$W,21,0),"")</f>
        <v>0</v>
      </c>
      <c r="J7" s="103" t="str">
        <f t="shared" ref="J7:J28" si="3">IFERROR(F7*H7,"")</f>
        <v/>
      </c>
      <c r="K7" s="104" t="str">
        <f t="shared" ref="K7:K28" si="4">IFERROR(G7*I7,"")</f>
        <v/>
      </c>
      <c r="L7" s="103">
        <f t="shared" si="1"/>
        <v>16698.387096774193</v>
      </c>
      <c r="M7" s="105">
        <f>IFERROR(VLOOKUP(C7,'RJ ATTENDENCE SHEET'!$C:$S,17,0),"")</f>
        <v>0</v>
      </c>
      <c r="N7" s="106">
        <f t="shared" si="2"/>
        <v>16698.387096774193</v>
      </c>
      <c r="O7" s="107"/>
    </row>
    <row r="8" spans="1:15">
      <c r="A8" s="96">
        <v>5</v>
      </c>
      <c r="B8" s="96" t="str">
        <f>VLOOKUP(C8,'DATA '!$K:$L,2,0)</f>
        <v>DRIVER</v>
      </c>
      <c r="C8" s="97" t="str">
        <f>'DATA '!K7</f>
        <v xml:space="preserve">FARUK ALI </v>
      </c>
      <c r="D8" s="98" t="str">
        <f>IF(B8="DRIVER","",IF(B8="HELPER","",IF(B8="HOPPER",VLOOKUP(WAGES!C8,'RJ ATTENDENCE SHEET'!$C:$I,7,0),IF(B8="LAB",VLOOKUP(WAGES!C8,'RJ ATTENDENCE SHEET'!$C:$I,7,0),IF(B8="OTHERS",VLOOKUP(WAGES!C8,'RJ ATTENDENCE SHEET'!$C:$I,7,0),"")))))</f>
        <v/>
      </c>
      <c r="E8" s="98" t="str">
        <f>IFERROR(D8/DAY(EOMONTH('RJ ATTENDENCE SHEET'!$A$1,0)),"")</f>
        <v/>
      </c>
      <c r="F8" s="98">
        <f>IF(B8="DRIVER",VLOOKUP(WAGES!C8,'RJ ATTENDENCE SHEET'!$C:$W,8,0),IF(B8="HELPER",VLOOKUP(WAGES!C8,'RJ ATTENDENCE SHEET'!$C:$W,8,0),IF(B8="HOPPER","",IF(B8="LAB","",IF(B8="OTHERS","","")))))</f>
        <v>300</v>
      </c>
      <c r="G8" s="98">
        <f>IF(B8="DRIVER",VLOOKUP(WAGES!C8,'RJ ATTENDENCE SHEET'!$C:$W,9,0),IF(B8="HELPER",VLOOKUP(WAGES!C8,'RJ ATTENDENCE SHEET'!$C:$W,9,0),IF(B8="HOPPER","",IF(B8="LAB","",IF(B8="OTHERS","","")))))</f>
        <v>185</v>
      </c>
      <c r="H8" s="98">
        <f>IFERROR(VLOOKUP(C8,'RJ ATTENDENCE SHEET'!$C:$V,20,0),"")</f>
        <v>41</v>
      </c>
      <c r="I8" s="98">
        <f>IFERROR(VLOOKUP(C8,'RJ ATTENDENCE SHEET'!$C:$W,21,0),"")</f>
        <v>12</v>
      </c>
      <c r="J8" s="103">
        <f t="shared" si="3"/>
        <v>12300</v>
      </c>
      <c r="K8" s="104">
        <f t="shared" si="4"/>
        <v>2220</v>
      </c>
      <c r="L8" s="103">
        <f t="shared" si="1"/>
        <v>14520</v>
      </c>
      <c r="M8" s="105">
        <f>IFERROR(VLOOKUP(C8,'RJ ATTENDENCE SHEET'!$C:$S,17,0),"")</f>
        <v>0</v>
      </c>
      <c r="N8" s="106">
        <f t="shared" si="2"/>
        <v>14520</v>
      </c>
      <c r="O8" s="107"/>
    </row>
    <row r="9" spans="1:15">
      <c r="A9" s="96">
        <v>6</v>
      </c>
      <c r="B9" s="96" t="str">
        <f>VLOOKUP(C9,'DATA '!$K:$L,2,0)</f>
        <v>HOPPER</v>
      </c>
      <c r="C9" s="97" t="str">
        <f>'DATA '!K8</f>
        <v>KUTUBUDDIN MOLLA</v>
      </c>
      <c r="D9" s="98">
        <f>IF(B9="DRIVER","",IF(B9="HELPER","",IF(B9="HOPPER",VLOOKUP(WAGES!C9,'RJ ATTENDENCE SHEET'!$C:$I,7,0),IF(B9="LAB",VLOOKUP(WAGES!C9,'RJ ATTENDENCE SHEET'!$C:$I,7,0),IF(B9="OTHERS",VLOOKUP(WAGES!C9,'RJ ATTENDENCE SHEET'!$C:$I,7,0),"")))))</f>
        <v>15000</v>
      </c>
      <c r="E9" s="98">
        <f>IFERROR(D9/DAY(EOMONTH('RJ ATTENDENCE SHEET'!$A$1,0)),"")</f>
        <v>483.87096774193549</v>
      </c>
      <c r="F9" s="98" t="str">
        <f>IF(B9="DRIVER",VLOOKUP(WAGES!C9,'RJ ATTENDENCE SHEET'!$C:$W,8,0),IF(B9="HELPER",VLOOKUP(WAGES!C9,'RJ ATTENDENCE SHEET'!$C:$W,8,0),IF(B9="HOPPER","",IF(B9="LAB","",IF(B9="OTHERS","","")))))</f>
        <v/>
      </c>
      <c r="G9" s="98" t="str">
        <f>IF(B9="DRIVER",VLOOKUP(WAGES!C9,'RJ ATTENDENCE SHEET'!$C:$W,9,0),IF(B9="HELPER",VLOOKUP(WAGES!C9,'RJ ATTENDENCE SHEET'!$C:$W,9,0),IF(B9="HOPPER","",IF(B9="LAB","",IF(B9="OTHERS","","")))))</f>
        <v/>
      </c>
      <c r="H9" s="98">
        <f>IFERROR(VLOOKUP(C9,'RJ ATTENDENCE SHEET'!$C:$V,20,0),"")</f>
        <v>34</v>
      </c>
      <c r="I9" s="98">
        <f>IFERROR(VLOOKUP(C9,'RJ ATTENDENCE SHEET'!$C:$W,21,0),"")</f>
        <v>0</v>
      </c>
      <c r="J9" s="103" t="str">
        <f t="shared" si="3"/>
        <v/>
      </c>
      <c r="K9" s="104" t="str">
        <f t="shared" si="4"/>
        <v/>
      </c>
      <c r="L9" s="103">
        <f t="shared" si="1"/>
        <v>16451.612903225807</v>
      </c>
      <c r="M9" s="105">
        <f>IFERROR(VLOOKUP(C9,'RJ ATTENDENCE SHEET'!$C:$S,17,0),"")</f>
        <v>0</v>
      </c>
      <c r="N9" s="106">
        <f t="shared" si="2"/>
        <v>16451.612903225807</v>
      </c>
      <c r="O9" s="107"/>
    </row>
    <row r="10" spans="1:15">
      <c r="A10" s="96">
        <v>7</v>
      </c>
      <c r="B10" s="96" t="str">
        <f>VLOOKUP(C10,'DATA '!$K:$L,2,0)</f>
        <v>OTHERS</v>
      </c>
      <c r="C10" s="97" t="str">
        <f>'DATA '!K9</f>
        <v>MD. SAMIM AKRAM</v>
      </c>
      <c r="D10" s="98">
        <f>IF(B10="DRIVER","",IF(B10="HELPER","",IF(B10="HOPPER",VLOOKUP(WAGES!C10,'RJ ATTENDENCE SHEET'!$C:$I,7,0),IF(B10="LAB",VLOOKUP(WAGES!C10,'RJ ATTENDENCE SHEET'!$C:$I,7,0),IF(B10="OTHERS",VLOOKUP(WAGES!C10,'RJ ATTENDENCE SHEET'!$C:$I,7,0),"")))))</f>
        <v>15500</v>
      </c>
      <c r="E10" s="98">
        <f>IFERROR(D10/DAY(EOMONTH('RJ ATTENDENCE SHEET'!$A$1,0)),"")</f>
        <v>500</v>
      </c>
      <c r="F10" s="98" t="str">
        <f>IF(B10="DRIVER",VLOOKUP(WAGES!C10,'RJ ATTENDENCE SHEET'!$C:$W,8,0),IF(B10="HELPER",VLOOKUP(WAGES!C10,'RJ ATTENDENCE SHEET'!$C:$W,8,0),IF(B10="HOPPER","",IF(B10="LAB","",IF(B10="OTHERS","","")))))</f>
        <v/>
      </c>
      <c r="G10" s="98" t="str">
        <f>IF(B10="DRIVER",VLOOKUP(WAGES!C10,'RJ ATTENDENCE SHEET'!$C:$W,9,0),IF(B10="HELPER",VLOOKUP(WAGES!C10,'RJ ATTENDENCE SHEET'!$C:$W,9,0),IF(B10="HOPPER","",IF(B10="LAB","",IF(B10="OTHERS","","")))))</f>
        <v/>
      </c>
      <c r="H10" s="98">
        <f>IFERROR(VLOOKUP(C10,'RJ ATTENDENCE SHEET'!$C:$V,20,0),"")</f>
        <v>35</v>
      </c>
      <c r="I10" s="98">
        <f>IFERROR(VLOOKUP(C10,'RJ ATTENDENCE SHEET'!$C:$W,21,0),"")</f>
        <v>0</v>
      </c>
      <c r="J10" s="103" t="str">
        <f t="shared" si="3"/>
        <v/>
      </c>
      <c r="K10" s="104" t="str">
        <f t="shared" si="4"/>
        <v/>
      </c>
      <c r="L10" s="103">
        <f t="shared" si="1"/>
        <v>17500</v>
      </c>
      <c r="M10" s="105">
        <f>IFERROR(VLOOKUP(C10,'RJ ATTENDENCE SHEET'!$C:$S,17,0),"")</f>
        <v>0</v>
      </c>
      <c r="N10" s="106">
        <f t="shared" si="2"/>
        <v>17500</v>
      </c>
      <c r="O10" s="107"/>
    </row>
    <row r="11" spans="1:15">
      <c r="A11" s="96">
        <v>8</v>
      </c>
      <c r="B11" s="96" t="str">
        <f>VLOOKUP(C11,'DATA '!$K:$L,2,0)</f>
        <v>DRIVER</v>
      </c>
      <c r="C11" s="97" t="str">
        <f>'DATA '!K10</f>
        <v>MOTIAR RAHAMAN</v>
      </c>
      <c r="D11" s="98" t="str">
        <f>IF(B11="DRIVER","",IF(B11="HELPER","",IF(B11="HOPPER",VLOOKUP(WAGES!C11,'RJ ATTENDENCE SHEET'!$C:$I,7,0),IF(B11="LAB",VLOOKUP(WAGES!C11,'RJ ATTENDENCE SHEET'!$C:$I,7,0),IF(B11="OTHERS",VLOOKUP(WAGES!C11,'RJ ATTENDENCE SHEET'!$C:$I,7,0),"")))))</f>
        <v/>
      </c>
      <c r="E11" s="98" t="str">
        <f>IFERROR(D11/DAY(EOMONTH('RJ ATTENDENCE SHEET'!$A$1,0)),"")</f>
        <v/>
      </c>
      <c r="F11" s="98">
        <f>IF(B11="DRIVER",VLOOKUP(WAGES!C11,'RJ ATTENDENCE SHEET'!$C:$W,8,0),IF(B11="HELPER",VLOOKUP(WAGES!C11,'RJ ATTENDENCE SHEET'!$C:$W,8,0),IF(B11="HOPPER","",IF(B11="LAB","",IF(B11="OTHERS","","")))))</f>
        <v>360</v>
      </c>
      <c r="G11" s="98">
        <f>IF(B11="DRIVER",VLOOKUP(WAGES!C11,'RJ ATTENDENCE SHEET'!$C:$W,9,0),IF(B11="HELPER",VLOOKUP(WAGES!C11,'RJ ATTENDENCE SHEET'!$C:$W,9,0),IF(B11="HOPPER","",IF(B11="LAB","",IF(B11="OTHERS","","")))))</f>
        <v>185</v>
      </c>
      <c r="H11" s="98">
        <f>IFERROR(VLOOKUP(C11,'RJ ATTENDENCE SHEET'!$C:$V,20,0),"")</f>
        <v>33</v>
      </c>
      <c r="I11" s="98">
        <f>IFERROR(VLOOKUP(C11,'RJ ATTENDENCE SHEET'!$C:$W,21,0),"")</f>
        <v>6</v>
      </c>
      <c r="J11" s="103">
        <f t="shared" si="3"/>
        <v>11880</v>
      </c>
      <c r="K11" s="104">
        <f t="shared" si="4"/>
        <v>1110</v>
      </c>
      <c r="L11" s="103">
        <f t="shared" si="1"/>
        <v>12990</v>
      </c>
      <c r="M11" s="105">
        <f>IFERROR(VLOOKUP(C11,'RJ ATTENDENCE SHEET'!$C:$S,17,0),"")</f>
        <v>0</v>
      </c>
      <c r="N11" s="106">
        <f t="shared" si="2"/>
        <v>12990</v>
      </c>
      <c r="O11" s="107"/>
    </row>
    <row r="12" spans="1:15">
      <c r="A12" s="96">
        <v>9</v>
      </c>
      <c r="B12" s="96" t="str">
        <f>VLOOKUP(C12,'DATA '!$K:$L,2,0)</f>
        <v>DRIVER</v>
      </c>
      <c r="C12" s="97" t="str">
        <f>'DATA '!K11</f>
        <v>MOKSHED ALI</v>
      </c>
      <c r="D12" s="98" t="str">
        <f>IF(B12="DRIVER","",IF(B12="HELPER","",IF(B12="HOPPER",VLOOKUP(WAGES!C12,'RJ ATTENDENCE SHEET'!$C:$I,7,0),IF(B12="LAB",VLOOKUP(WAGES!C12,'RJ ATTENDENCE SHEET'!$C:$I,7,0),IF(B12="OTHERS",VLOOKUP(WAGES!C12,'RJ ATTENDENCE SHEET'!$C:$I,7,0),"")))))</f>
        <v/>
      </c>
      <c r="E12" s="98" t="str">
        <f>IFERROR(D12/DAY(EOMONTH('RJ ATTENDENCE SHEET'!$A$1,0)),"")</f>
        <v/>
      </c>
      <c r="F12" s="98">
        <f>IF(B12="DRIVER",VLOOKUP(WAGES!C12,'RJ ATTENDENCE SHEET'!$C:$W,8,0),IF(B12="HELPER",VLOOKUP(WAGES!C12,'RJ ATTENDENCE SHEET'!$C:$W,8,0),IF(B12="HOPPER","",IF(B12="LAB","",IF(B12="OTHERS","","")))))</f>
        <v>300</v>
      </c>
      <c r="G12" s="98">
        <f>IF(B12="DRIVER",VLOOKUP(WAGES!C12,'RJ ATTENDENCE SHEET'!$C:$W,9,0),IF(B12="HELPER",VLOOKUP(WAGES!C12,'RJ ATTENDENCE SHEET'!$C:$W,9,0),IF(B12="HOPPER","",IF(B12="LAB","",IF(B12="OTHERS","","")))))</f>
        <v>185</v>
      </c>
      <c r="H12" s="98">
        <f>IFERROR(VLOOKUP(C12,'RJ ATTENDENCE SHEET'!$C:$V,20,0),"")</f>
        <v>41</v>
      </c>
      <c r="I12" s="98">
        <f>IFERROR(VLOOKUP(C12,'RJ ATTENDENCE SHEET'!$C:$W,21,0),"")</f>
        <v>12</v>
      </c>
      <c r="J12" s="103">
        <f t="shared" si="3"/>
        <v>12300</v>
      </c>
      <c r="K12" s="104">
        <f t="shared" si="4"/>
        <v>2220</v>
      </c>
      <c r="L12" s="103">
        <f t="shared" si="1"/>
        <v>14520</v>
      </c>
      <c r="M12" s="105">
        <f>IFERROR(VLOOKUP(C12,'RJ ATTENDENCE SHEET'!$C:$S,17,0),"")</f>
        <v>0</v>
      </c>
      <c r="N12" s="106">
        <f t="shared" si="2"/>
        <v>14520</v>
      </c>
      <c r="O12" s="107"/>
    </row>
    <row r="13" spans="1:15">
      <c r="A13" s="96">
        <v>10</v>
      </c>
      <c r="B13" s="96" t="str">
        <f>VLOOKUP(C13,'DATA '!$K:$L,2,0)</f>
        <v>DRIVER</v>
      </c>
      <c r="C13" s="97" t="str">
        <f>'DATA '!K12</f>
        <v xml:space="preserve">SAMSER ALI </v>
      </c>
      <c r="D13" s="98" t="str">
        <f>IF(B13="DRIVER","",IF(B13="HELPER","",IF(B13="HOPPER",VLOOKUP(WAGES!C13,'RJ ATTENDENCE SHEET'!$C:$I,7,0),IF(B13="LAB",VLOOKUP(WAGES!C13,'RJ ATTENDENCE SHEET'!$C:$I,7,0),IF(B13="OTHERS",VLOOKUP(WAGES!C13,'RJ ATTENDENCE SHEET'!$C:$I,7,0),"")))))</f>
        <v/>
      </c>
      <c r="E13" s="98" t="str">
        <f>IFERROR(D13/DAY(EOMONTH('RJ ATTENDENCE SHEET'!$A$1,0)),"")</f>
        <v/>
      </c>
      <c r="F13" s="98">
        <f>IF(B13="DRIVER",VLOOKUP(WAGES!C13,'RJ ATTENDENCE SHEET'!$C:$W,8,0),IF(B13="HELPER",VLOOKUP(WAGES!C13,'RJ ATTENDENCE SHEET'!$C:$W,8,0),IF(B13="HOPPER","",IF(B13="LAB","",IF(B13="OTHERS","","")))))</f>
        <v>325</v>
      </c>
      <c r="G13" s="98">
        <f>IF(B13="DRIVER",VLOOKUP(WAGES!C13,'RJ ATTENDENCE SHEET'!$C:$W,9,0),IF(B13="HELPER",VLOOKUP(WAGES!C13,'RJ ATTENDENCE SHEET'!$C:$W,9,0),IF(B13="HOPPER","",IF(B13="LAB","",IF(B13="OTHERS","","")))))</f>
        <v>185</v>
      </c>
      <c r="H13" s="98">
        <f>IFERROR(VLOOKUP(C13,'RJ ATTENDENCE SHEET'!$C:$V,20,0),"")</f>
        <v>37</v>
      </c>
      <c r="I13" s="98">
        <f>IFERROR(VLOOKUP(C13,'RJ ATTENDENCE SHEET'!$C:$W,21,0),"")</f>
        <v>7</v>
      </c>
      <c r="J13" s="103">
        <f t="shared" si="3"/>
        <v>12025</v>
      </c>
      <c r="K13" s="104">
        <f t="shared" si="4"/>
        <v>1295</v>
      </c>
      <c r="L13" s="103">
        <f t="shared" si="1"/>
        <v>13320</v>
      </c>
      <c r="M13" s="105">
        <f>IFERROR(VLOOKUP(C13,'RJ ATTENDENCE SHEET'!$C:$S,17,0),"")</f>
        <v>0</v>
      </c>
      <c r="N13" s="106">
        <f t="shared" si="2"/>
        <v>13320</v>
      </c>
      <c r="O13" s="107"/>
    </row>
    <row r="14" spans="1:15">
      <c r="A14" s="96">
        <v>11</v>
      </c>
      <c r="B14" s="96" t="str">
        <f>VLOOKUP(C14,'DATA '!$K:$L,2,0)</f>
        <v>DRIVER</v>
      </c>
      <c r="C14" s="97" t="str">
        <f>'DATA '!K13</f>
        <v>SHANTI  MONDAL</v>
      </c>
      <c r="D14" s="98" t="str">
        <f>IF(B14="DRIVER","",IF(B14="HELPER","",IF(B14="HOPPER",VLOOKUP(WAGES!C14,'RJ ATTENDENCE SHEET'!$C:$I,7,0),IF(B14="LAB",VLOOKUP(WAGES!C14,'RJ ATTENDENCE SHEET'!$C:$I,7,0),IF(B14="OTHERS",VLOOKUP(WAGES!C14,'RJ ATTENDENCE SHEET'!$C:$I,7,0),"")))))</f>
        <v/>
      </c>
      <c r="E14" s="98" t="str">
        <f>IFERROR(D14/DAY(EOMONTH('RJ ATTENDENCE SHEET'!$A$1,0)),"")</f>
        <v/>
      </c>
      <c r="F14" s="98">
        <f>IF(B14="DRIVER",VLOOKUP(WAGES!C14,'RJ ATTENDENCE SHEET'!$C:$W,8,0),IF(B14="HELPER",VLOOKUP(WAGES!C14,'RJ ATTENDENCE SHEET'!$C:$W,8,0),IF(B14="HOPPER","",IF(B14="LAB","",IF(B14="OTHERS","","")))))</f>
        <v>310</v>
      </c>
      <c r="G14" s="98">
        <f>IF(B14="DRIVER",VLOOKUP(WAGES!C14,'RJ ATTENDENCE SHEET'!$C:$W,9,0),IF(B14="HELPER",VLOOKUP(WAGES!C14,'RJ ATTENDENCE SHEET'!$C:$W,9,0),IF(B14="HOPPER","",IF(B14="LAB","",IF(B14="OTHERS","","")))))</f>
        <v>185</v>
      </c>
      <c r="H14" s="98">
        <f>IFERROR(VLOOKUP(C14,'RJ ATTENDENCE SHEET'!$C:$V,20,0),"")</f>
        <v>41</v>
      </c>
      <c r="I14" s="98">
        <f>IFERROR(VLOOKUP(C14,'RJ ATTENDENCE SHEET'!$C:$W,21,0),"")</f>
        <v>7</v>
      </c>
      <c r="J14" s="103">
        <f t="shared" si="3"/>
        <v>12710</v>
      </c>
      <c r="K14" s="104">
        <f t="shared" si="4"/>
        <v>1295</v>
      </c>
      <c r="L14" s="103">
        <f t="shared" si="1"/>
        <v>14005</v>
      </c>
      <c r="M14" s="105">
        <f>IFERROR(VLOOKUP(C14,'RJ ATTENDENCE SHEET'!$C:$S,17,0),"")</f>
        <v>0</v>
      </c>
      <c r="N14" s="106">
        <f t="shared" si="2"/>
        <v>14005</v>
      </c>
      <c r="O14" s="107"/>
    </row>
    <row r="15" spans="1:15">
      <c r="A15" s="96">
        <v>12</v>
      </c>
      <c r="B15" s="96" t="str">
        <f>VLOOKUP(C15,'DATA '!$K:$L,2,0)</f>
        <v>DRIVER</v>
      </c>
      <c r="C15" s="97" t="str">
        <f>'DATA '!K14</f>
        <v xml:space="preserve">SIRAJUL  MOLLA  </v>
      </c>
      <c r="D15" s="98" t="str">
        <f>IF(B15="DRIVER","",IF(B15="HELPER","",IF(B15="HOPPER",VLOOKUP(WAGES!C15,'RJ ATTENDENCE SHEET'!$C:$I,7,0),IF(B15="LAB",VLOOKUP(WAGES!C15,'RJ ATTENDENCE SHEET'!$C:$I,7,0),IF(B15="OTHERS",VLOOKUP(WAGES!C15,'RJ ATTENDENCE SHEET'!$C:$I,7,0),"")))))</f>
        <v/>
      </c>
      <c r="E15" s="98" t="str">
        <f>IFERROR(D15/DAY(EOMONTH('RJ ATTENDENCE SHEET'!$A$1,0)),"")</f>
        <v/>
      </c>
      <c r="F15" s="98">
        <f>IF(B15="DRIVER",VLOOKUP(WAGES!C15,'RJ ATTENDENCE SHEET'!$C:$W,8,0),IF(B15="HELPER",VLOOKUP(WAGES!C15,'RJ ATTENDENCE SHEET'!$C:$W,8,0),IF(B15="HOPPER","",IF(B15="LAB","",IF(B15="OTHERS","","")))))</f>
        <v>320</v>
      </c>
      <c r="G15" s="98">
        <f>IF(B15="DRIVER",VLOOKUP(WAGES!C15,'RJ ATTENDENCE SHEET'!$C:$W,9,0),IF(B15="HELPER",VLOOKUP(WAGES!C15,'RJ ATTENDENCE SHEET'!$C:$W,9,0),IF(B15="HOPPER","",IF(B15="LAB","",IF(B15="OTHERS","","")))))</f>
        <v>185</v>
      </c>
      <c r="H15" s="98">
        <f>IFERROR(VLOOKUP(C15,'RJ ATTENDENCE SHEET'!$C:$V,20,0),"")</f>
        <v>41</v>
      </c>
      <c r="I15" s="98">
        <f>IFERROR(VLOOKUP(C15,'RJ ATTENDENCE SHEET'!$C:$W,21,0),"")</f>
        <v>13</v>
      </c>
      <c r="J15" s="103">
        <f t="shared" si="3"/>
        <v>13120</v>
      </c>
      <c r="K15" s="104">
        <f t="shared" si="4"/>
        <v>2405</v>
      </c>
      <c r="L15" s="103">
        <f t="shared" si="1"/>
        <v>15525</v>
      </c>
      <c r="M15" s="105">
        <f>IFERROR(VLOOKUP(C15,'RJ ATTENDENCE SHEET'!$C:$S,17,0),"")</f>
        <v>0</v>
      </c>
      <c r="N15" s="106">
        <f t="shared" si="2"/>
        <v>15525</v>
      </c>
      <c r="O15" s="107"/>
    </row>
    <row r="16" spans="1:15">
      <c r="A16" s="96">
        <v>13</v>
      </c>
      <c r="B16" s="96" t="str">
        <f>VLOOKUP(C16,'DATA '!$K:$L,2,0)</f>
        <v>HELPER</v>
      </c>
      <c r="C16" s="97" t="str">
        <f>'DATA '!K15</f>
        <v>SK. ANARUL ISLAM</v>
      </c>
      <c r="D16" s="98" t="str">
        <f>IF(B16="DRIVER","",IF(B16="HELPER","",IF(B16="HOPPER",VLOOKUP(WAGES!C16,'RJ ATTENDENCE SHEET'!$C:$I,7,0),IF(B16="LAB",VLOOKUP(WAGES!C16,'RJ ATTENDENCE SHEET'!$C:$I,7,0),IF(B16="OTHERS",VLOOKUP(WAGES!C16,'RJ ATTENDENCE SHEET'!$C:$I,7,0),"")))))</f>
        <v/>
      </c>
      <c r="E16" s="98" t="str">
        <f>IFERROR(D16/DAY(EOMONTH('RJ ATTENDENCE SHEET'!$A$1,0)),"")</f>
        <v/>
      </c>
      <c r="F16" s="98">
        <f>IF(B16="DRIVER",VLOOKUP(WAGES!C16,'RJ ATTENDENCE SHEET'!$C:$W,8,0),IF(B16="HELPER",VLOOKUP(WAGES!C16,'RJ ATTENDENCE SHEET'!$C:$W,8,0),IF(B16="HOPPER","",IF(B16="LAB","",IF(B16="OTHERS","","")))))</f>
        <v>420</v>
      </c>
      <c r="G16" s="98">
        <f>IF(B16="DRIVER",VLOOKUP(WAGES!C16,'RJ ATTENDENCE SHEET'!$C:$W,9,0),IF(B16="HELPER",VLOOKUP(WAGES!C16,'RJ ATTENDENCE SHEET'!$C:$W,9,0),IF(B16="HOPPER","",IF(B16="LAB","",IF(B16="OTHERS","","")))))</f>
        <v>0</v>
      </c>
      <c r="H16" s="98">
        <f>IFERROR(VLOOKUP(C16,'RJ ATTENDENCE SHEET'!$C:$V,20,0),"")</f>
        <v>31</v>
      </c>
      <c r="I16" s="98">
        <f>IFERROR(VLOOKUP(C16,'RJ ATTENDENCE SHEET'!$C:$W,21,0),"")</f>
        <v>0</v>
      </c>
      <c r="J16" s="103">
        <f t="shared" si="3"/>
        <v>13020</v>
      </c>
      <c r="K16" s="104">
        <f t="shared" si="4"/>
        <v>0</v>
      </c>
      <c r="L16" s="103">
        <f t="shared" si="1"/>
        <v>13020</v>
      </c>
      <c r="M16" s="105">
        <f>IFERROR(VLOOKUP(C16,'RJ ATTENDENCE SHEET'!$C:$S,17,0),"")</f>
        <v>0</v>
      </c>
      <c r="N16" s="106">
        <f t="shared" si="2"/>
        <v>13020</v>
      </c>
      <c r="O16" s="107"/>
    </row>
    <row r="17" spans="1:15">
      <c r="A17" s="96">
        <v>14</v>
      </c>
      <c r="B17" s="96" t="str">
        <f>VLOOKUP(C17,'DATA '!$K:$L,2,0)</f>
        <v>HOPPER</v>
      </c>
      <c r="C17" s="97" t="str">
        <f>'DATA '!K16</f>
        <v>SRISTI DHAR MONDAL</v>
      </c>
      <c r="D17" s="98">
        <f>IF(B17="DRIVER","",IF(B17="HELPER","",IF(B17="HOPPER",VLOOKUP(WAGES!C17,'RJ ATTENDENCE SHEET'!$C:$I,7,0),IF(B17="LAB",VLOOKUP(WAGES!C17,'RJ ATTENDENCE SHEET'!$C:$I,7,0),IF(B17="OTHERS",VLOOKUP(WAGES!C17,'RJ ATTENDENCE SHEET'!$C:$I,7,0),"")))))</f>
        <v>14000</v>
      </c>
      <c r="E17" s="98">
        <f>IFERROR(D17/DAY(EOMONTH('RJ ATTENDENCE SHEET'!$A$1,0)),"")</f>
        <v>451.61290322580646</v>
      </c>
      <c r="F17" s="98" t="str">
        <f>IF(B17="DRIVER",VLOOKUP(WAGES!C17,'RJ ATTENDENCE SHEET'!$C:$W,8,0),IF(B17="HELPER",VLOOKUP(WAGES!C17,'RJ ATTENDENCE SHEET'!$C:$W,8,0),IF(B17="HOPPER","",IF(B17="LAB","",IF(B17="OTHERS","","")))))</f>
        <v/>
      </c>
      <c r="G17" s="98" t="str">
        <f>IF(B17="DRIVER",VLOOKUP(WAGES!C17,'RJ ATTENDENCE SHEET'!$C:$W,9,0),IF(B17="HELPER",VLOOKUP(WAGES!C17,'RJ ATTENDENCE SHEET'!$C:$W,9,0),IF(B17="HOPPER","",IF(B17="LAB","",IF(B17="OTHERS","","")))))</f>
        <v/>
      </c>
      <c r="H17" s="98">
        <f>IFERROR(VLOOKUP(C17,'RJ ATTENDENCE SHEET'!$C:$V,20,0),"")</f>
        <v>37</v>
      </c>
      <c r="I17" s="98">
        <f>IFERROR(VLOOKUP(C17,'RJ ATTENDENCE SHEET'!$C:$W,21,0),"")</f>
        <v>0</v>
      </c>
      <c r="J17" s="103" t="str">
        <f t="shared" si="3"/>
        <v/>
      </c>
      <c r="K17" s="104" t="str">
        <f t="shared" si="4"/>
        <v/>
      </c>
      <c r="L17" s="103">
        <f t="shared" si="1"/>
        <v>16709.677419354841</v>
      </c>
      <c r="M17" s="105">
        <f>IFERROR(VLOOKUP(C17,'RJ ATTENDENCE SHEET'!$C:$S,17,0),"")</f>
        <v>0</v>
      </c>
      <c r="N17" s="106">
        <f t="shared" si="2"/>
        <v>16709.677419354841</v>
      </c>
      <c r="O17" s="107"/>
    </row>
    <row r="18" spans="1:15">
      <c r="A18" s="96">
        <v>15</v>
      </c>
      <c r="B18" s="96" t="str">
        <f>VLOOKUP(C18,'DATA '!$K:$L,2,0)</f>
        <v>HOPPER</v>
      </c>
      <c r="C18" s="97" t="str">
        <f>'DATA '!K17</f>
        <v>SUDHAN MONDAL</v>
      </c>
      <c r="D18" s="98">
        <f>IF(B18="DRIVER","",IF(B18="HELPER","",IF(B18="HOPPER",VLOOKUP(WAGES!C18,'RJ ATTENDENCE SHEET'!$C:$I,7,0),IF(B18="LAB",VLOOKUP(WAGES!C18,'RJ ATTENDENCE SHEET'!$C:$I,7,0),IF(B18="OTHERS",VLOOKUP(WAGES!C18,'RJ ATTENDENCE SHEET'!$C:$I,7,0),"")))))</f>
        <v>15200</v>
      </c>
      <c r="E18" s="98">
        <f>IFERROR(D18/DAY(EOMONTH('RJ ATTENDENCE SHEET'!$A$1,0)),"")</f>
        <v>490.32258064516128</v>
      </c>
      <c r="F18" s="98" t="str">
        <f>IF(B18="DRIVER",VLOOKUP(WAGES!C18,'RJ ATTENDENCE SHEET'!$C:$W,8,0),IF(B18="HELPER",VLOOKUP(WAGES!C18,'RJ ATTENDENCE SHEET'!$C:$W,8,0),IF(B18="HOPPER","",IF(B18="LAB","",IF(B18="OTHERS","","")))))</f>
        <v/>
      </c>
      <c r="G18" s="98" t="str">
        <f>IF(B18="DRIVER",VLOOKUP(WAGES!C18,'RJ ATTENDENCE SHEET'!$C:$W,9,0),IF(B18="HELPER",VLOOKUP(WAGES!C18,'RJ ATTENDENCE SHEET'!$C:$W,9,0),IF(B18="HOPPER","",IF(B18="LAB","",IF(B18="OTHERS","","")))))</f>
        <v/>
      </c>
      <c r="H18" s="98">
        <f>IFERROR(VLOOKUP(C18,'RJ ATTENDENCE SHEET'!$C:$V,20,0),"")</f>
        <v>33</v>
      </c>
      <c r="I18" s="98">
        <f>IFERROR(VLOOKUP(C18,'RJ ATTENDENCE SHEET'!$C:$W,21,0),"")</f>
        <v>0</v>
      </c>
      <c r="J18" s="103" t="str">
        <f t="shared" si="3"/>
        <v/>
      </c>
      <c r="K18" s="104" t="str">
        <f t="shared" si="4"/>
        <v/>
      </c>
      <c r="L18" s="103">
        <f t="shared" si="1"/>
        <v>16180.645161290322</v>
      </c>
      <c r="M18" s="105">
        <f>IFERROR(VLOOKUP(C18,'RJ ATTENDENCE SHEET'!$C:$S,17,0),"")</f>
        <v>0</v>
      </c>
      <c r="N18" s="106">
        <f t="shared" si="2"/>
        <v>16180.645161290322</v>
      </c>
      <c r="O18" s="107"/>
    </row>
    <row r="19" spans="1:15">
      <c r="A19" s="96">
        <v>16</v>
      </c>
      <c r="B19" s="96" t="str">
        <f>VLOOKUP(C19,'DATA '!$K:$L,2,0)</f>
        <v>LAB</v>
      </c>
      <c r="C19" s="97" t="str">
        <f>'DATA '!K18</f>
        <v>SWAPAN MONDAL</v>
      </c>
      <c r="D19" s="98">
        <f>IF(B19="DRIVER","",IF(B19="HELPER","",IF(B19="HOPPER",VLOOKUP(WAGES!C19,'RJ ATTENDENCE SHEET'!$C:$I,7,0),IF(B19="LAB",VLOOKUP(WAGES!C19,'RJ ATTENDENCE SHEET'!$C:$I,7,0),IF(B19="OTHERS",VLOOKUP(WAGES!C19,'RJ ATTENDENCE SHEET'!$C:$I,7,0),"")))))</f>
        <v>16800</v>
      </c>
      <c r="E19" s="98">
        <f>IFERROR(D19/DAY(EOMONTH('RJ ATTENDENCE SHEET'!$A$1,0)),"")</f>
        <v>541.93548387096769</v>
      </c>
      <c r="F19" s="98" t="str">
        <f>IF(B19="DRIVER",VLOOKUP(WAGES!C19,'RJ ATTENDENCE SHEET'!$C:$W,8,0),IF(B19="HELPER",VLOOKUP(WAGES!C19,'RJ ATTENDENCE SHEET'!$C:$W,8,0),IF(B19="HOPPER","",IF(B19="LAB","",IF(B19="OTHERS","","")))))</f>
        <v/>
      </c>
      <c r="G19" s="98" t="str">
        <f>IF(B19="DRIVER",VLOOKUP(WAGES!C19,'RJ ATTENDENCE SHEET'!$C:$W,9,0),IF(B19="HELPER",VLOOKUP(WAGES!C19,'RJ ATTENDENCE SHEET'!$C:$W,9,0),IF(B19="HOPPER","",IF(B19="LAB","",IF(B19="OTHERS","","")))))</f>
        <v/>
      </c>
      <c r="H19" s="98">
        <f>IFERROR(VLOOKUP(C19,'RJ ATTENDENCE SHEET'!$C:$V,20,0),"")</f>
        <v>34</v>
      </c>
      <c r="I19" s="98">
        <f>IFERROR(VLOOKUP(C19,'RJ ATTENDENCE SHEET'!$C:$W,21,0),"")</f>
        <v>0</v>
      </c>
      <c r="J19" s="103" t="str">
        <f t="shared" si="3"/>
        <v/>
      </c>
      <c r="K19" s="104" t="str">
        <f t="shared" si="4"/>
        <v/>
      </c>
      <c r="L19" s="103">
        <f t="shared" si="1"/>
        <v>18425.806451612902</v>
      </c>
      <c r="M19" s="105">
        <f>IFERROR(VLOOKUP(C19,'RJ ATTENDENCE SHEET'!$C:$S,17,0),"")</f>
        <v>0</v>
      </c>
      <c r="N19" s="106">
        <f t="shared" si="2"/>
        <v>18425.806451612902</v>
      </c>
      <c r="O19" s="107"/>
    </row>
    <row r="20" spans="1:15">
      <c r="A20" s="96">
        <v>17</v>
      </c>
      <c r="B20" s="96" t="str">
        <f>VLOOKUP(C20,'DATA '!$K:$L,2,0)</f>
        <v>DRIVER</v>
      </c>
      <c r="C20" s="97" t="str">
        <f>'DATA '!K19</f>
        <v>MOSIAR MOLLA</v>
      </c>
      <c r="D20" s="98" t="str">
        <f>IF(B20="DRIVER","",IF(B20="HELPER","",IF(B20="HOPPER",VLOOKUP(WAGES!C20,'RJ ATTENDENCE SHEET'!$C:$I,7,0),IF(B20="LAB",VLOOKUP(WAGES!C20,'RJ ATTENDENCE SHEET'!$C:$I,7,0),IF(B20="OTHERS",VLOOKUP(WAGES!C20,'RJ ATTENDENCE SHEET'!$C:$I,7,0),"")))))</f>
        <v/>
      </c>
      <c r="E20" s="98" t="str">
        <f>IFERROR(D20/DAY(EOMONTH('RJ ATTENDENCE SHEET'!$A$1,0)),"")</f>
        <v/>
      </c>
      <c r="F20" s="98">
        <f>IF(B20="DRIVER",VLOOKUP(WAGES!C20,'RJ ATTENDENCE SHEET'!$C:$W,8,0),IF(B20="HELPER",VLOOKUP(WAGES!C20,'RJ ATTENDENCE SHEET'!$C:$W,8,0),IF(B20="HOPPER","",IF(B20="LAB","",IF(B20="OTHERS","","")))))</f>
        <v>300</v>
      </c>
      <c r="G20" s="98">
        <f>IF(B20="DRIVER",VLOOKUP(WAGES!C20,'RJ ATTENDENCE SHEET'!$C:$W,9,0),IF(B20="HELPER",VLOOKUP(WAGES!C20,'RJ ATTENDENCE SHEET'!$C:$W,9,0),IF(B20="HOPPER","",IF(B20="LAB","",IF(B20="OTHERS","","")))))</f>
        <v>185</v>
      </c>
      <c r="H20" s="98">
        <f>IFERROR(VLOOKUP(C20,'RJ ATTENDENCE SHEET'!$C:$V,20,0),"")</f>
        <v>34</v>
      </c>
      <c r="I20" s="98">
        <f>IFERROR(VLOOKUP(C20,'RJ ATTENDENCE SHEET'!$C:$W,21,0),"")</f>
        <v>8</v>
      </c>
      <c r="J20" s="103">
        <f t="shared" si="3"/>
        <v>10200</v>
      </c>
      <c r="K20" s="104">
        <f t="shared" si="4"/>
        <v>1480</v>
      </c>
      <c r="L20" s="103">
        <f t="shared" si="1"/>
        <v>11680</v>
      </c>
      <c r="M20" s="105">
        <f>IFERROR(VLOOKUP(C20,'RJ ATTENDENCE SHEET'!$C:$S,17,0),"")</f>
        <v>0</v>
      </c>
      <c r="N20" s="106">
        <f t="shared" si="2"/>
        <v>11680</v>
      </c>
      <c r="O20" s="107"/>
    </row>
    <row r="21" spans="1:15">
      <c r="A21" s="96">
        <v>18</v>
      </c>
      <c r="B21" s="96" t="str">
        <f>VLOOKUP(C21,'DATA '!$K:$L,2,0)</f>
        <v>DRIVER</v>
      </c>
      <c r="C21" s="97" t="str">
        <f>'DATA '!K20</f>
        <v>ISRAFIL DHALI</v>
      </c>
      <c r="D21" s="98" t="str">
        <f>IF(B21="DRIVER","",IF(B21="HELPER","",IF(B21="HOPPER",VLOOKUP(WAGES!C21,'RJ ATTENDENCE SHEET'!$C:$I,7,0),IF(B21="LAB",VLOOKUP(WAGES!C21,'RJ ATTENDENCE SHEET'!$C:$I,7,0),IF(B21="OTHERS",VLOOKUP(WAGES!C21,'RJ ATTENDENCE SHEET'!$C:$I,7,0),"")))))</f>
        <v/>
      </c>
      <c r="E21" s="98" t="str">
        <f>IFERROR(D21/DAY(EOMONTH('RJ ATTENDENCE SHEET'!$A$1,0)),"")</f>
        <v/>
      </c>
      <c r="F21" s="98">
        <f>IF(B21="DRIVER",VLOOKUP(WAGES!C21,'RJ ATTENDENCE SHEET'!$C:$W,8,0),IF(B21="HELPER",VLOOKUP(WAGES!C21,'RJ ATTENDENCE SHEET'!$C:$W,8,0),IF(B21="HOPPER","",IF(B21="LAB","",IF(B21="OTHERS","","")))))</f>
        <v>300</v>
      </c>
      <c r="G21" s="98">
        <f>IF(B21="DRIVER",VLOOKUP(WAGES!C21,'RJ ATTENDENCE SHEET'!$C:$W,9,0),IF(B21="HELPER",VLOOKUP(WAGES!C21,'RJ ATTENDENCE SHEET'!$C:$W,9,0),IF(B21="HOPPER","",IF(B21="LAB","",IF(B21="OTHERS","","")))))</f>
        <v>185</v>
      </c>
      <c r="H21" s="98">
        <f>IFERROR(VLOOKUP(C21,'RJ ATTENDENCE SHEET'!$C:$V,20,0),"")</f>
        <v>41</v>
      </c>
      <c r="I21" s="98">
        <f>IFERROR(VLOOKUP(C21,'RJ ATTENDENCE SHEET'!$C:$W,21,0),"")</f>
        <v>10</v>
      </c>
      <c r="J21" s="103">
        <f t="shared" si="3"/>
        <v>12300</v>
      </c>
      <c r="K21" s="104">
        <f t="shared" si="4"/>
        <v>1850</v>
      </c>
      <c r="L21" s="103">
        <f t="shared" si="1"/>
        <v>14150</v>
      </c>
      <c r="M21" s="105">
        <f>IFERROR(VLOOKUP(C21,'RJ ATTENDENCE SHEET'!$C:$S,17,0),"")</f>
        <v>0</v>
      </c>
      <c r="N21" s="106">
        <f t="shared" si="2"/>
        <v>14150</v>
      </c>
      <c r="O21" s="107"/>
    </row>
    <row r="22" spans="1:15">
      <c r="A22" s="96">
        <v>19</v>
      </c>
      <c r="B22" s="96" t="str">
        <f>VLOOKUP(C22,'DATA '!$K:$L,2,0)</f>
        <v>DRIVER</v>
      </c>
      <c r="C22" s="97" t="str">
        <f>'DATA '!K21</f>
        <v>ROUF MONDAL</v>
      </c>
      <c r="D22" s="98" t="str">
        <f>IF(B22="DRIVER","",IF(B22="HELPER","",IF(B22="HOPPER",VLOOKUP(WAGES!C22,'RJ ATTENDENCE SHEET'!$C:$I,7,0),IF(B22="LAB",VLOOKUP(WAGES!C22,'RJ ATTENDENCE SHEET'!$C:$I,7,0),IF(B22="OTHERS",VLOOKUP(WAGES!C22,'RJ ATTENDENCE SHEET'!$C:$I,7,0),"")))))</f>
        <v/>
      </c>
      <c r="E22" s="98" t="str">
        <f>IFERROR(D22/DAY(EOMONTH('RJ ATTENDENCE SHEET'!$A$1,0)),"")</f>
        <v/>
      </c>
      <c r="F22" s="98">
        <f>IF(B22="DRIVER",VLOOKUP(WAGES!C22,'RJ ATTENDENCE SHEET'!$C:$W,8,0),IF(B22="HELPER",VLOOKUP(WAGES!C22,'RJ ATTENDENCE SHEET'!$C:$W,8,0),IF(B22="HOPPER","",IF(B22="LAB","",IF(B22="OTHERS","","")))))</f>
        <v>300</v>
      </c>
      <c r="G22" s="98">
        <f>IF(B22="DRIVER",VLOOKUP(WAGES!C22,'RJ ATTENDENCE SHEET'!$C:$W,9,0),IF(B22="HELPER",VLOOKUP(WAGES!C22,'RJ ATTENDENCE SHEET'!$C:$W,9,0),IF(B22="HOPPER","",IF(B22="LAB","",IF(B22="OTHERS","","")))))</f>
        <v>185</v>
      </c>
      <c r="H22" s="98">
        <f>IFERROR(VLOOKUP(C22,'RJ ATTENDENCE SHEET'!$C:$V,20,0),"")</f>
        <v>43</v>
      </c>
      <c r="I22" s="98">
        <f>IFERROR(VLOOKUP(C22,'RJ ATTENDENCE SHEET'!$C:$W,21,0),"")</f>
        <v>14</v>
      </c>
      <c r="J22" s="103">
        <f t="shared" si="3"/>
        <v>12900</v>
      </c>
      <c r="K22" s="104">
        <f t="shared" si="4"/>
        <v>2590</v>
      </c>
      <c r="L22" s="103">
        <f t="shared" si="1"/>
        <v>15490</v>
      </c>
      <c r="M22" s="105">
        <f>IFERROR(VLOOKUP(C22,'RJ ATTENDENCE SHEET'!$C:$S,17,0),"")</f>
        <v>0</v>
      </c>
      <c r="N22" s="106">
        <f t="shared" si="2"/>
        <v>15490</v>
      </c>
      <c r="O22" s="107"/>
    </row>
    <row r="23" spans="1:15">
      <c r="A23" s="96">
        <v>20</v>
      </c>
      <c r="B23" s="96" t="str">
        <f>VLOOKUP(C23,'DATA '!$K:$L,2,0)</f>
        <v>LAB</v>
      </c>
      <c r="C23" s="97" t="str">
        <f>'DATA '!K22</f>
        <v>KANAK JANA</v>
      </c>
      <c r="D23" s="98">
        <f>IF(B23="DRIVER","",IF(B23="HELPER","",IF(B23="HOPPER",VLOOKUP(WAGES!C23,'RJ ATTENDENCE SHEET'!$C:$I,7,0),IF(B23="LAB",VLOOKUP(WAGES!C23,'RJ ATTENDENCE SHEET'!$C:$I,7,0),IF(B23="OTHERS",VLOOKUP(WAGES!C23,'RJ ATTENDENCE SHEET'!$C:$I,7,0),"")))))</f>
        <v>19500</v>
      </c>
      <c r="E23" s="98">
        <f>IFERROR(D23/DAY(EOMONTH('RJ ATTENDENCE SHEET'!$A$1,0)),"")</f>
        <v>629.0322580645161</v>
      </c>
      <c r="F23" s="98" t="str">
        <f>IF(B23="DRIVER",VLOOKUP(WAGES!C23,'RJ ATTENDENCE SHEET'!$C:$W,8,0),IF(B23="HELPER",VLOOKUP(WAGES!C23,'RJ ATTENDENCE SHEET'!$C:$W,8,0),IF(B23="HOPPER","",IF(B23="LAB","",IF(B23="OTHERS","","")))))</f>
        <v/>
      </c>
      <c r="G23" s="98" t="str">
        <f>IF(B23="DRIVER",VLOOKUP(WAGES!C23,'RJ ATTENDENCE SHEET'!$C:$W,9,0),IF(B23="HELPER",VLOOKUP(WAGES!C23,'RJ ATTENDENCE SHEET'!$C:$W,9,0),IF(B23="HOPPER","",IF(B23="LAB","",IF(B23="OTHERS","","")))))</f>
        <v/>
      </c>
      <c r="H23" s="98">
        <f>IFERROR(VLOOKUP(C23,'RJ ATTENDENCE SHEET'!$C:$V,20,0),"")</f>
        <v>25</v>
      </c>
      <c r="I23" s="98">
        <f>IFERROR(VLOOKUP(C23,'RJ ATTENDENCE SHEET'!$C:$W,21,0),"")</f>
        <v>0</v>
      </c>
      <c r="J23" s="103" t="str">
        <f t="shared" si="3"/>
        <v/>
      </c>
      <c r="K23" s="104" t="str">
        <f t="shared" si="4"/>
        <v/>
      </c>
      <c r="L23" s="103">
        <f t="shared" si="1"/>
        <v>15725.806451612902</v>
      </c>
      <c r="M23" s="105">
        <f>IFERROR(VLOOKUP(C23,'RJ ATTENDENCE SHEET'!$C:$S,17,0),"")</f>
        <v>0</v>
      </c>
      <c r="N23" s="106">
        <f t="shared" si="2"/>
        <v>15725.806451612902</v>
      </c>
      <c r="O23" s="107"/>
    </row>
    <row r="24" spans="1:15">
      <c r="A24" s="96">
        <v>21</v>
      </c>
      <c r="B24" s="96" t="str">
        <f>VLOOKUP(C24,'DATA '!$K:$L,2,0)</f>
        <v>OTHERS</v>
      </c>
      <c r="C24" s="97" t="str">
        <f>'DATA '!K23</f>
        <v>SOUMEN GARAI</v>
      </c>
      <c r="D24" s="98">
        <f>IF(B24="DRIVER","",IF(B24="HELPER","",IF(B24="HOPPER",VLOOKUP(WAGES!C24,'RJ ATTENDENCE SHEET'!$C:$I,7,0),IF(B24="LAB",VLOOKUP(WAGES!C24,'RJ ATTENDENCE SHEET'!$C:$I,7,0),IF(B24="OTHERS",VLOOKUP(WAGES!C24,'RJ ATTENDENCE SHEET'!$C:$I,7,0),"")))))</f>
        <v>15000</v>
      </c>
      <c r="E24" s="98">
        <f>IFERROR(D24/DAY(EOMONTH('RJ ATTENDENCE SHEET'!$A$1,0)),"")</f>
        <v>483.87096774193549</v>
      </c>
      <c r="F24" s="98" t="str">
        <f>IF(B24="DRIVER",VLOOKUP(WAGES!C24,'RJ ATTENDENCE SHEET'!$C:$W,8,0),IF(B24="HELPER",VLOOKUP(WAGES!C24,'RJ ATTENDENCE SHEET'!$C:$W,8,0),IF(B24="HOPPER","",IF(B24="LAB","",IF(B24="OTHERS","","")))))</f>
        <v/>
      </c>
      <c r="G24" s="98" t="str">
        <f>IF(B24="DRIVER",VLOOKUP(WAGES!C24,'RJ ATTENDENCE SHEET'!$C:$W,9,0),IF(B24="HELPER",VLOOKUP(WAGES!C24,'RJ ATTENDENCE SHEET'!$C:$W,9,0),IF(B24="HOPPER","",IF(B24="LAB","",IF(B24="OTHERS","","")))))</f>
        <v/>
      </c>
      <c r="H24" s="98">
        <f>IFERROR(VLOOKUP(C24,'RJ ATTENDENCE SHEET'!$C:$V,20,0),"")</f>
        <v>31</v>
      </c>
      <c r="I24" s="98">
        <f>IFERROR(VLOOKUP(C24,'RJ ATTENDENCE SHEET'!$C:$W,21,0),"")</f>
        <v>0</v>
      </c>
      <c r="J24" s="103" t="str">
        <f t="shared" si="3"/>
        <v/>
      </c>
      <c r="K24" s="104" t="str">
        <f t="shared" si="4"/>
        <v/>
      </c>
      <c r="L24" s="103">
        <f t="shared" si="1"/>
        <v>15000</v>
      </c>
      <c r="M24" s="105">
        <f>IFERROR(VLOOKUP(C24,'RJ ATTENDENCE SHEET'!$C:$S,17,0),"")</f>
        <v>0</v>
      </c>
      <c r="N24" s="106">
        <f t="shared" si="2"/>
        <v>15000</v>
      </c>
      <c r="O24" s="107"/>
    </row>
    <row r="25" spans="1:15">
      <c r="A25" s="96">
        <v>22</v>
      </c>
      <c r="B25" s="96" t="str">
        <f>VLOOKUP(C25,'DATA '!$K:$L,2,0)</f>
        <v>DRIVER</v>
      </c>
      <c r="C25" s="97" t="str">
        <f>'DATA '!K24</f>
        <v>ASHOK MONDAL</v>
      </c>
      <c r="D25" s="98" t="str">
        <f>IF(B25="DRIVER","",IF(B25="HELPER","",IF(B25="HOPPER",VLOOKUP(WAGES!C25,'RJ ATTENDENCE SHEET'!$C:$I,7,0),IF(B25="LAB",VLOOKUP(WAGES!C25,'RJ ATTENDENCE SHEET'!$C:$I,7,0),IF(B25="OTHERS",VLOOKUP(WAGES!C25,'RJ ATTENDENCE SHEET'!$C:$I,7,0),"")))))</f>
        <v/>
      </c>
      <c r="E25" s="98" t="str">
        <f>IFERROR(D25/DAY(EOMONTH('RJ ATTENDENCE SHEET'!$A$1,0)),"")</f>
        <v/>
      </c>
      <c r="F25" s="98">
        <f>IF(B25="DRIVER",VLOOKUP(WAGES!C25,'RJ ATTENDENCE SHEET'!$C:$W,8,0),IF(B25="HELPER",VLOOKUP(WAGES!C25,'RJ ATTENDENCE SHEET'!$C:$W,8,0),IF(B25="HOPPER","",IF(B25="LAB","",IF(B25="OTHERS","","")))))</f>
        <v>300</v>
      </c>
      <c r="G25" s="98">
        <f>IF(B25="DRIVER",VLOOKUP(WAGES!C25,'RJ ATTENDENCE SHEET'!$C:$W,9,0),IF(B25="HELPER",VLOOKUP(WAGES!C25,'RJ ATTENDENCE SHEET'!$C:$W,9,0),IF(B25="HOPPER","",IF(B25="LAB","",IF(B25="OTHERS","","")))))</f>
        <v>185</v>
      </c>
      <c r="H25" s="98">
        <f>IFERROR(VLOOKUP(C25,'RJ ATTENDENCE SHEET'!$C:$V,20,0),"")</f>
        <v>40</v>
      </c>
      <c r="I25" s="98">
        <f>IFERROR(VLOOKUP(C25,'RJ ATTENDENCE SHEET'!$C:$W,21,0),"")</f>
        <v>5</v>
      </c>
      <c r="J25" s="103">
        <f t="shared" si="3"/>
        <v>12000</v>
      </c>
      <c r="K25" s="104">
        <f t="shared" si="4"/>
        <v>925</v>
      </c>
      <c r="L25" s="103">
        <f t="shared" si="1"/>
        <v>12925</v>
      </c>
      <c r="M25" s="105">
        <f>IFERROR(VLOOKUP(C25,'RJ ATTENDENCE SHEET'!$C:$S,17,0),"")</f>
        <v>0</v>
      </c>
      <c r="N25" s="106">
        <f t="shared" si="2"/>
        <v>12925</v>
      </c>
      <c r="O25" s="107"/>
    </row>
    <row r="26" spans="1:15">
      <c r="A26" s="96">
        <v>23</v>
      </c>
      <c r="B26" s="96" t="str">
        <f>VLOOKUP(C26,'DATA '!$K:$L,2,0)</f>
        <v>DRIVER</v>
      </c>
      <c r="C26" s="97" t="str">
        <f>'DATA '!K25</f>
        <v>ANSWAR ALI MOLLA</v>
      </c>
      <c r="D26" s="98" t="str">
        <f>IF(B26="DRIVER","",IF(B26="HELPER","",IF(B26="HOPPER",VLOOKUP(WAGES!C26,'RJ ATTENDENCE SHEET'!$C:$I,7,0),IF(B26="LAB",VLOOKUP(WAGES!C26,'RJ ATTENDENCE SHEET'!$C:$I,7,0),IF(B26="OTHERS",VLOOKUP(WAGES!C26,'RJ ATTENDENCE SHEET'!$C:$I,7,0),"")))))</f>
        <v/>
      </c>
      <c r="E26" s="98" t="str">
        <f>IFERROR(D26/DAY(EOMONTH('RJ ATTENDENCE SHEET'!$A$1,0)),"")</f>
        <v/>
      </c>
      <c r="F26" s="98">
        <f>IF(B26="DRIVER",VLOOKUP(WAGES!C26,'RJ ATTENDENCE SHEET'!$C:$W,8,0),IF(B26="HELPER",VLOOKUP(WAGES!C26,'RJ ATTENDENCE SHEET'!$C:$W,8,0),IF(B26="HOPPER","",IF(B26="LAB","",IF(B26="OTHERS","","")))))</f>
        <v>300</v>
      </c>
      <c r="G26" s="98">
        <f>IF(B26="DRIVER",VLOOKUP(WAGES!C26,'RJ ATTENDENCE SHEET'!$C:$W,9,0),IF(B26="HELPER",VLOOKUP(WAGES!C26,'RJ ATTENDENCE SHEET'!$C:$W,9,0),IF(B26="HOPPER","",IF(B26="LAB","",IF(B26="OTHERS","","")))))</f>
        <v>185</v>
      </c>
      <c r="H26" s="98">
        <f>IFERROR(VLOOKUP(C26,'RJ ATTENDENCE SHEET'!$C:$V,20,0),"")</f>
        <v>38</v>
      </c>
      <c r="I26" s="98">
        <f>IFERROR(VLOOKUP(C26,'RJ ATTENDENCE SHEET'!$C:$W,21,0),"")</f>
        <v>10</v>
      </c>
      <c r="J26" s="103">
        <f t="shared" si="3"/>
        <v>11400</v>
      </c>
      <c r="K26" s="104">
        <f t="shared" si="4"/>
        <v>1850</v>
      </c>
      <c r="L26" s="103">
        <f t="shared" si="1"/>
        <v>13250</v>
      </c>
      <c r="M26" s="105">
        <f>IFERROR(VLOOKUP(C26,'RJ ATTENDENCE SHEET'!$C:$S,17,0),"")</f>
        <v>0</v>
      </c>
      <c r="N26" s="106">
        <f t="shared" si="2"/>
        <v>13250</v>
      </c>
      <c r="O26" s="107"/>
    </row>
    <row r="27" spans="1:15">
      <c r="A27" s="96">
        <v>24</v>
      </c>
      <c r="B27" s="96" t="str">
        <f>VLOOKUP(C27,'DATA '!$K:$L,2,0)</f>
        <v>LAB</v>
      </c>
      <c r="C27" s="97" t="str">
        <f>'DATA '!K26</f>
        <v>MOMINUL HAQUE</v>
      </c>
      <c r="D27" s="98">
        <f>IF(B27="DRIVER","",IF(B27="HELPER","",IF(B27="HOPPER",VLOOKUP(WAGES!C27,'RJ ATTENDENCE SHEET'!$C:$I,7,0),IF(B27="LAB",VLOOKUP(WAGES!C27,'RJ ATTENDENCE SHEET'!$C:$I,7,0),IF(B27="OTHERS",VLOOKUP(WAGES!C27,'RJ ATTENDENCE SHEET'!$C:$I,7,0),"")))))</f>
        <v>14700</v>
      </c>
      <c r="E27" s="98">
        <f>IFERROR(D27/DAY(EOMONTH('RJ ATTENDENCE SHEET'!$A$1,0)),"")</f>
        <v>474.19354838709677</v>
      </c>
      <c r="F27" s="98" t="str">
        <f>IF(B27="DRIVER",VLOOKUP(WAGES!C27,'RJ ATTENDENCE SHEET'!$C:$W,8,0),IF(B27="HELPER",VLOOKUP(WAGES!C27,'RJ ATTENDENCE SHEET'!$C:$W,8,0),IF(B27="HOPPER","",IF(B27="LAB","",IF(B27="OTHERS","","")))))</f>
        <v/>
      </c>
      <c r="G27" s="98" t="str">
        <f>IF(B27="DRIVER",VLOOKUP(WAGES!C27,'RJ ATTENDENCE SHEET'!$C:$W,9,0),IF(B27="HELPER",VLOOKUP(WAGES!C27,'RJ ATTENDENCE SHEET'!$C:$W,9,0),IF(B27="HOPPER","",IF(B27="LAB","",IF(B27="OTHERS","","")))))</f>
        <v/>
      </c>
      <c r="H27" s="98">
        <f>IFERROR(VLOOKUP(C27,'RJ ATTENDENCE SHEET'!$C:$V,20,0),"")</f>
        <v>34</v>
      </c>
      <c r="I27" s="98">
        <f>IFERROR(VLOOKUP(C27,'RJ ATTENDENCE SHEET'!$C:$W,21,0),"")</f>
        <v>0</v>
      </c>
      <c r="J27" s="103" t="str">
        <f t="shared" si="3"/>
        <v/>
      </c>
      <c r="K27" s="104" t="str">
        <f t="shared" si="4"/>
        <v/>
      </c>
      <c r="L27" s="103">
        <f t="shared" si="1"/>
        <v>16122.58064516129</v>
      </c>
      <c r="M27" s="105">
        <f>IFERROR(VLOOKUP(C27,'RJ ATTENDENCE SHEET'!$C:$S,17,0),"")</f>
        <v>0</v>
      </c>
      <c r="N27" s="106">
        <f t="shared" si="2"/>
        <v>16122.58064516129</v>
      </c>
      <c r="O27" s="107"/>
    </row>
    <row r="28" spans="1:15">
      <c r="A28" s="96">
        <v>25</v>
      </c>
      <c r="B28" s="96" t="str">
        <f>VLOOKUP(C28,'DATA '!$K:$L,2,0)</f>
        <v>HELPER</v>
      </c>
      <c r="C28" s="97" t="str">
        <f>'DATA '!K27</f>
        <v>EKRAMUL ALI</v>
      </c>
      <c r="D28" s="98" t="str">
        <f>IF(B28="DRIVER","",IF(B28="HELPER","",IF(B28="HOPPER",VLOOKUP(WAGES!C28,'RJ ATTENDENCE SHEET'!$C:$I,7,0),IF(B28="LAB",VLOOKUP(WAGES!C28,'RJ ATTENDENCE SHEET'!$C:$I,7,0),IF(B28="OTHERS",VLOOKUP(WAGES!C28,'RJ ATTENDENCE SHEET'!$C:$I,7,0),"")))))</f>
        <v/>
      </c>
      <c r="E28" s="98" t="str">
        <f>IFERROR(D28/DAY(EOMONTH('RJ ATTENDENCE SHEET'!$A$1,0)),"")</f>
        <v/>
      </c>
      <c r="F28" s="98">
        <f>IF(B28="DRIVER",VLOOKUP(WAGES!C28,'RJ ATTENDENCE SHEET'!$C:$W,8,0),IF(B28="HELPER",VLOOKUP(WAGES!C28,'RJ ATTENDENCE SHEET'!$C:$W,8,0),IF(B28="HOPPER","",IF(B28="LAB","",IF(B28="OTHERS","","")))))</f>
        <v>260</v>
      </c>
      <c r="G28" s="98">
        <f>IF(B28="DRIVER",VLOOKUP(WAGES!C28,'RJ ATTENDENCE SHEET'!$C:$W,9,0),IF(B28="HELPER",VLOOKUP(WAGES!C28,'RJ ATTENDENCE SHEET'!$C:$W,9,0),IF(B28="HOPPER","",IF(B28="LAB","",IF(B28="OTHERS","","")))))</f>
        <v>80</v>
      </c>
      <c r="H28" s="98">
        <f>IFERROR(VLOOKUP(C28,'RJ ATTENDENCE SHEET'!$C:$V,20,0),"")</f>
        <v>40</v>
      </c>
      <c r="I28" s="98">
        <f>IFERROR(VLOOKUP(C28,'RJ ATTENDENCE SHEET'!$C:$W,21,0),"")</f>
        <v>11</v>
      </c>
      <c r="J28" s="103">
        <f t="shared" si="3"/>
        <v>10400</v>
      </c>
      <c r="K28" s="104">
        <f t="shared" si="4"/>
        <v>880</v>
      </c>
      <c r="L28" s="103">
        <f t="shared" si="1"/>
        <v>11280</v>
      </c>
      <c r="M28" s="105">
        <f>IFERROR(VLOOKUP(C28,'RJ ATTENDENCE SHEET'!$C:$S,17,0),"")</f>
        <v>0</v>
      </c>
      <c r="N28" s="106">
        <f t="shared" si="2"/>
        <v>11280</v>
      </c>
      <c r="O28" s="107"/>
    </row>
    <row r="29" spans="1:15">
      <c r="A29" s="96">
        <v>26</v>
      </c>
      <c r="B29" s="96" t="str">
        <f>VLOOKUP(C29,'DATA '!$K:$L,2,0)</f>
        <v>DRIVER</v>
      </c>
      <c r="C29" s="97" t="str">
        <f>'DATA '!K28</f>
        <v>JULFIKAR DHALI</v>
      </c>
      <c r="D29" s="98" t="str">
        <f>IF(B29="DRIVER","",IF(B29="HELPER","",IF(B29="HOPPER",VLOOKUP(WAGES!C29,'RJ ATTENDENCE SHEET'!$C:$I,7,0),IF(B29="LAB",VLOOKUP(WAGES!C29,'RJ ATTENDENCE SHEET'!$C:$I,7,0),IF(B29="OTHERS",VLOOKUP(WAGES!C29,'RJ ATTENDENCE SHEET'!$C:$I,7,0),"")))))</f>
        <v/>
      </c>
      <c r="E29" s="98" t="str">
        <f>IFERROR(D29/DAY(EOMONTH('RJ ATTENDENCE SHEET'!$A$1,0)),"")</f>
        <v/>
      </c>
      <c r="F29" s="98">
        <f>IF(B29="DRIVER",VLOOKUP(WAGES!C29,'RJ ATTENDENCE SHEET'!$C:$W,8,0),IF(B29="HELPER",VLOOKUP(WAGES!C29,'RJ ATTENDENCE SHEET'!$C:$W,8,0),IF(B29="HOPPER","",IF(B29="LAB","",IF(B29="OTHERS","","")))))</f>
        <v>300</v>
      </c>
      <c r="G29" s="98">
        <f>IF(B29="DRIVER",VLOOKUP(WAGES!C29,'RJ ATTENDENCE SHEET'!$C:$W,9,0),IF(B29="HELPER",VLOOKUP(WAGES!C29,'RJ ATTENDENCE SHEET'!$C:$W,9,0),IF(B29="HOPPER","",IF(B29="LAB","",IF(B29="OTHERS","","")))))</f>
        <v>185</v>
      </c>
      <c r="H29" s="98">
        <f>IFERROR(VLOOKUP(C29,'RJ ATTENDENCE SHEET'!$C:$V,20,0),"")</f>
        <v>41</v>
      </c>
      <c r="I29" s="98">
        <f>IFERROR(VLOOKUP(C29,'RJ ATTENDENCE SHEET'!$C:$W,21,0),"")</f>
        <v>8</v>
      </c>
      <c r="J29" s="103">
        <f t="shared" ref="J29:J44" si="5">IFERROR(F29*H29,"")</f>
        <v>12300</v>
      </c>
      <c r="K29" s="104">
        <f t="shared" ref="K29:K44" si="6">IFERROR(G29*I29,"")</f>
        <v>1480</v>
      </c>
      <c r="L29" s="103">
        <f t="shared" ref="L29:L44" si="7">IF(B29="DRIVER",(J29+K29),IF(B29="HELPER",(J29+K29),IF(B29="HOPPER",(E29*H29),IF(B29="LAB",(E29*H29),IF(B29="OTHERS",(E29*H29),"")))))</f>
        <v>13780</v>
      </c>
      <c r="M29" s="105">
        <f>IFERROR(VLOOKUP(C29,'RJ ATTENDENCE SHEET'!$C:$S,17,0),"")</f>
        <v>0</v>
      </c>
      <c r="N29" s="106">
        <f t="shared" ref="N29:N44" si="8">IFERROR(L29-M29,"")</f>
        <v>13780</v>
      </c>
      <c r="O29" s="107"/>
    </row>
    <row r="30" spans="1:15">
      <c r="A30" s="96">
        <v>27</v>
      </c>
      <c r="B30" s="96" t="str">
        <f>VLOOKUP(C30,'DATA '!$K:$L,2,0)</f>
        <v>LAB</v>
      </c>
      <c r="C30" s="97" t="str">
        <f>'DATA '!K29</f>
        <v>SUPRAKASH SAMANTO</v>
      </c>
      <c r="D30" s="98">
        <f>IF(B30="DRIVER","",IF(B30="HELPER","",IF(B30="HOPPER",VLOOKUP(WAGES!C30,'RJ ATTENDENCE SHEET'!$C:$I,7,0),IF(B30="LAB",VLOOKUP(WAGES!C30,'RJ ATTENDENCE SHEET'!$C:$I,7,0),IF(B30="OTHERS",VLOOKUP(WAGES!C30,'RJ ATTENDENCE SHEET'!$C:$I,7,0),"")))))</f>
        <v>13650</v>
      </c>
      <c r="E30" s="98">
        <f>IFERROR(D30/DAY(EOMONTH('RJ ATTENDENCE SHEET'!$A$1,0)),"")</f>
        <v>440.32258064516128</v>
      </c>
      <c r="F30" s="98" t="str">
        <f>IF(B30="DRIVER",VLOOKUP(WAGES!C30,'RJ ATTENDENCE SHEET'!$C:$W,8,0),IF(B30="HELPER",VLOOKUP(WAGES!C30,'RJ ATTENDENCE SHEET'!$C:$W,8,0),IF(B30="HOPPER","",IF(B30="LAB","",IF(B30="OTHERS","","")))))</f>
        <v/>
      </c>
      <c r="G30" s="98" t="str">
        <f>IF(B30="DRIVER",VLOOKUP(WAGES!C30,'RJ ATTENDENCE SHEET'!$C:$W,9,0),IF(B30="HELPER",VLOOKUP(WAGES!C30,'RJ ATTENDENCE SHEET'!$C:$W,9,0),IF(B30="HOPPER","",IF(B30="LAB","",IF(B30="OTHERS","","")))))</f>
        <v/>
      </c>
      <c r="H30" s="98">
        <f>IFERROR(VLOOKUP(C30,'RJ ATTENDENCE SHEET'!$C:$V,20,0),"")</f>
        <v>28</v>
      </c>
      <c r="I30" s="98">
        <f>IFERROR(VLOOKUP(C30,'RJ ATTENDENCE SHEET'!$C:$W,21,0),"")</f>
        <v>0</v>
      </c>
      <c r="J30" s="103" t="str">
        <f t="shared" si="5"/>
        <v/>
      </c>
      <c r="K30" s="104" t="str">
        <f t="shared" si="6"/>
        <v/>
      </c>
      <c r="L30" s="103">
        <f t="shared" si="7"/>
        <v>12329.032258064515</v>
      </c>
      <c r="M30" s="105">
        <f>IFERROR(VLOOKUP(C30,'RJ ATTENDENCE SHEET'!$C:$S,17,0),"")</f>
        <v>0</v>
      </c>
      <c r="N30" s="106">
        <f t="shared" si="8"/>
        <v>12329.032258064515</v>
      </c>
      <c r="O30" s="107"/>
    </row>
    <row r="31" spans="1:15">
      <c r="A31" s="96">
        <v>28</v>
      </c>
      <c r="B31" s="96" t="str">
        <f>VLOOKUP(C31,'DATA '!$K:$L,2,0)</f>
        <v>DRIVER</v>
      </c>
      <c r="C31" s="97" t="str">
        <f>'DATA '!K30</f>
        <v>TANMOY MONDAL</v>
      </c>
      <c r="D31" s="98" t="str">
        <f>IF(B31="DRIVER","",IF(B31="HELPER","",IF(B31="HOPPER",VLOOKUP(WAGES!C31,'RJ ATTENDENCE SHEET'!$C:$I,7,0),IF(B31="LAB",VLOOKUP(WAGES!C31,'RJ ATTENDENCE SHEET'!$C:$I,7,0),IF(B31="OTHERS",VLOOKUP(WAGES!C31,'RJ ATTENDENCE SHEET'!$C:$I,7,0),"")))))</f>
        <v/>
      </c>
      <c r="E31" s="98" t="str">
        <f>IFERROR(D31/DAY(EOMONTH('RJ ATTENDENCE SHEET'!$A$1,0)),"")</f>
        <v/>
      </c>
      <c r="F31" s="98">
        <f>IF(B31="DRIVER",VLOOKUP(WAGES!C31,'RJ ATTENDENCE SHEET'!$C:$W,8,0),IF(B31="HELPER",VLOOKUP(WAGES!C31,'RJ ATTENDENCE SHEET'!$C:$W,8,0),IF(B31="HOPPER","",IF(B31="LAB","",IF(B31="OTHERS","","")))))</f>
        <v>300</v>
      </c>
      <c r="G31" s="98">
        <f>IF(B31="DRIVER",VLOOKUP(WAGES!C31,'RJ ATTENDENCE SHEET'!$C:$W,9,0),IF(B31="HELPER",VLOOKUP(WAGES!C31,'RJ ATTENDENCE SHEET'!$C:$W,9,0),IF(B31="HOPPER","",IF(B31="LAB","",IF(B31="OTHERS","","")))))</f>
        <v>185</v>
      </c>
      <c r="H31" s="98">
        <f>IFERROR(VLOOKUP(C31,'RJ ATTENDENCE SHEET'!$C:$V,20,0),"")</f>
        <v>39</v>
      </c>
      <c r="I31" s="98">
        <f>IFERROR(VLOOKUP(C31,'RJ ATTENDENCE SHEET'!$C:$W,21,0),"")</f>
        <v>10</v>
      </c>
      <c r="J31" s="103">
        <f t="shared" si="5"/>
        <v>11700</v>
      </c>
      <c r="K31" s="104">
        <f t="shared" si="6"/>
        <v>1850</v>
      </c>
      <c r="L31" s="103">
        <f t="shared" si="7"/>
        <v>13550</v>
      </c>
      <c r="M31" s="105">
        <f>IFERROR(VLOOKUP(C31,'RJ ATTENDENCE SHEET'!$C:$S,17,0),"")</f>
        <v>0</v>
      </c>
      <c r="N31" s="106">
        <f t="shared" si="8"/>
        <v>13550</v>
      </c>
      <c r="O31" s="107"/>
    </row>
    <row r="32" spans="1:15">
      <c r="A32" s="96">
        <v>29</v>
      </c>
      <c r="B32" s="96" t="str">
        <f>VLOOKUP(C32,'DATA '!$K:$L,2,0)</f>
        <v>HELPER</v>
      </c>
      <c r="C32" s="97" t="str">
        <f>'DATA '!K31</f>
        <v>ALOK MONDAL</v>
      </c>
      <c r="D32" s="98" t="str">
        <f>IF(B32="DRIVER","",IF(B32="HELPER","",IF(B32="HOPPER",VLOOKUP(WAGES!C32,'RJ ATTENDENCE SHEET'!$C:$I,7,0),IF(B32="LAB",VLOOKUP(WAGES!C32,'RJ ATTENDENCE SHEET'!$C:$I,7,0),IF(B32="OTHERS",VLOOKUP(WAGES!C32,'RJ ATTENDENCE SHEET'!$C:$I,7,0),"")))))</f>
        <v/>
      </c>
      <c r="E32" s="98" t="str">
        <f>IFERROR(D32/DAY(EOMONTH('RJ ATTENDENCE SHEET'!$A$1,0)),"")</f>
        <v/>
      </c>
      <c r="F32" s="98">
        <f>IF(B32="DRIVER",VLOOKUP(WAGES!C32,'RJ ATTENDENCE SHEET'!$C:$W,8,0),IF(B32="HELPER",VLOOKUP(WAGES!C32,'RJ ATTENDENCE SHEET'!$C:$W,8,0),IF(B32="HOPPER","",IF(B32="LAB","",IF(B32="OTHERS","","")))))</f>
        <v>260</v>
      </c>
      <c r="G32" s="98">
        <f>IF(B32="DRIVER",VLOOKUP(WAGES!C32,'RJ ATTENDENCE SHEET'!$C:$W,9,0),IF(B32="HELPER",VLOOKUP(WAGES!C32,'RJ ATTENDENCE SHEET'!$C:$W,9,0),IF(B32="HOPPER","",IF(B32="LAB","",IF(B32="OTHERS","","")))))</f>
        <v>80</v>
      </c>
      <c r="H32" s="98">
        <f>IFERROR(VLOOKUP(C32,'RJ ATTENDENCE SHEET'!$C:$V,20,0),"")</f>
        <v>37</v>
      </c>
      <c r="I32" s="98">
        <f>IFERROR(VLOOKUP(C32,'RJ ATTENDENCE SHEET'!$C:$W,21,0),"")</f>
        <v>9</v>
      </c>
      <c r="J32" s="103">
        <f t="shared" si="5"/>
        <v>9620</v>
      </c>
      <c r="K32" s="104">
        <f t="shared" si="6"/>
        <v>720</v>
      </c>
      <c r="L32" s="103">
        <f t="shared" si="7"/>
        <v>10340</v>
      </c>
      <c r="M32" s="105">
        <f>IFERROR(VLOOKUP(C32,'RJ ATTENDENCE SHEET'!$C:$S,17,0),"")</f>
        <v>0</v>
      </c>
      <c r="N32" s="106">
        <f t="shared" si="8"/>
        <v>10340</v>
      </c>
      <c r="O32" s="107"/>
    </row>
    <row r="33" spans="1:15">
      <c r="A33" s="96">
        <v>30</v>
      </c>
      <c r="B33" s="96" t="str">
        <f>VLOOKUP(C33,'DATA '!$K:$L,2,0)</f>
        <v>LAB</v>
      </c>
      <c r="C33" s="97" t="str">
        <f>'DATA '!K32</f>
        <v>RAJESH BAR</v>
      </c>
      <c r="D33" s="98">
        <f>IF(B33="DRIVER","",IF(B33="HELPER","",IF(B33="HOPPER",VLOOKUP(WAGES!C33,'RJ ATTENDENCE SHEET'!$C:$I,7,0),IF(B33="LAB",VLOOKUP(WAGES!C33,'RJ ATTENDENCE SHEET'!$C:$I,7,0),IF(B33="OTHERS",VLOOKUP(WAGES!C33,'RJ ATTENDENCE SHEET'!$C:$I,7,0),"")))))</f>
        <v>15750</v>
      </c>
      <c r="E33" s="98">
        <f>IFERROR(D33/DAY(EOMONTH('RJ ATTENDENCE SHEET'!$A$1,0)),"")</f>
        <v>508.06451612903226</v>
      </c>
      <c r="F33" s="98" t="str">
        <f>IF(B33="DRIVER",VLOOKUP(WAGES!C33,'RJ ATTENDENCE SHEET'!$C:$W,8,0),IF(B33="HELPER",VLOOKUP(WAGES!C33,'RJ ATTENDENCE SHEET'!$C:$W,8,0),IF(B33="HOPPER","",IF(B33="LAB","",IF(B33="OTHERS","","")))))</f>
        <v/>
      </c>
      <c r="G33" s="98" t="str">
        <f>IF(B33="DRIVER",VLOOKUP(WAGES!C33,'RJ ATTENDENCE SHEET'!$C:$W,9,0),IF(B33="HELPER",VLOOKUP(WAGES!C33,'RJ ATTENDENCE SHEET'!$C:$W,9,0),IF(B33="HOPPER","",IF(B33="LAB","",IF(B33="OTHERS","","")))))</f>
        <v/>
      </c>
      <c r="H33" s="98">
        <f>IFERROR(VLOOKUP(C33,'RJ ATTENDENCE SHEET'!$C:$V,20,0),"")</f>
        <v>28</v>
      </c>
      <c r="I33" s="98">
        <f>IFERROR(VLOOKUP(C33,'RJ ATTENDENCE SHEET'!$C:$W,21,0),"")</f>
        <v>0</v>
      </c>
      <c r="J33" s="103" t="str">
        <f t="shared" si="5"/>
        <v/>
      </c>
      <c r="K33" s="104" t="str">
        <f t="shared" si="6"/>
        <v/>
      </c>
      <c r="L33" s="103">
        <f t="shared" si="7"/>
        <v>14225.806451612903</v>
      </c>
      <c r="M33" s="105">
        <f>IFERROR(VLOOKUP(C33,'RJ ATTENDENCE SHEET'!$C:$S,17,0),"")</f>
        <v>0</v>
      </c>
      <c r="N33" s="106">
        <f t="shared" si="8"/>
        <v>14225.806451612903</v>
      </c>
      <c r="O33" s="107"/>
    </row>
    <row r="34" spans="1:15">
      <c r="A34" s="96">
        <v>31</v>
      </c>
      <c r="B34" s="96" t="str">
        <f>VLOOKUP(C34,'DATA '!$K:$L,2,0)</f>
        <v>LAB</v>
      </c>
      <c r="C34" s="97" t="str">
        <f>'DATA '!K33</f>
        <v>BIKRAM ROY</v>
      </c>
      <c r="D34" s="98">
        <f>IF(B34="DRIVER","",IF(B34="HELPER","",IF(B34="HOPPER",VLOOKUP(WAGES!C34,'RJ ATTENDENCE SHEET'!$C:$I,7,0),IF(B34="LAB",VLOOKUP(WAGES!C34,'RJ ATTENDENCE SHEET'!$C:$I,7,0),IF(B34="OTHERS",VLOOKUP(WAGES!C34,'RJ ATTENDENCE SHEET'!$C:$I,7,0),"")))))</f>
        <v>13650</v>
      </c>
      <c r="E34" s="98">
        <f>IFERROR(D34/DAY(EOMONTH('RJ ATTENDENCE SHEET'!$A$1,0)),"")</f>
        <v>440.32258064516128</v>
      </c>
      <c r="F34" s="98" t="str">
        <f>IF(B34="DRIVER",VLOOKUP(WAGES!C34,'RJ ATTENDENCE SHEET'!$C:$W,8,0),IF(B34="HELPER",VLOOKUP(WAGES!C34,'RJ ATTENDENCE SHEET'!$C:$W,8,0),IF(B34="HOPPER","",IF(B34="LAB","",IF(B34="OTHERS","","")))))</f>
        <v/>
      </c>
      <c r="G34" s="98" t="str">
        <f>IF(B34="DRIVER",VLOOKUP(WAGES!C34,'RJ ATTENDENCE SHEET'!$C:$W,9,0),IF(B34="HELPER",VLOOKUP(WAGES!C34,'RJ ATTENDENCE SHEET'!$C:$W,9,0),IF(B34="HOPPER","",IF(B34="LAB","",IF(B34="OTHERS","","")))))</f>
        <v/>
      </c>
      <c r="H34" s="98">
        <f>IFERROR(VLOOKUP(C34,'RJ ATTENDENCE SHEET'!$C:$V,20,0),"")</f>
        <v>35</v>
      </c>
      <c r="I34" s="98">
        <f>IFERROR(VLOOKUP(C34,'RJ ATTENDENCE SHEET'!$C:$W,21,0),"")</f>
        <v>0</v>
      </c>
      <c r="J34" s="103" t="str">
        <f t="shared" si="5"/>
        <v/>
      </c>
      <c r="K34" s="104" t="str">
        <f t="shared" si="6"/>
        <v/>
      </c>
      <c r="L34" s="103">
        <f t="shared" si="7"/>
        <v>15411.290322580644</v>
      </c>
      <c r="M34" s="105">
        <f>IFERROR(VLOOKUP(C34,'RJ ATTENDENCE SHEET'!$C:$S,17,0),"")</f>
        <v>0</v>
      </c>
      <c r="N34" s="106">
        <f t="shared" si="8"/>
        <v>15411.290322580644</v>
      </c>
      <c r="O34" s="107"/>
    </row>
    <row r="35" spans="1:15">
      <c r="A35" s="96">
        <v>32</v>
      </c>
      <c r="B35" s="96" t="str">
        <f>VLOOKUP(C35,'DATA '!$K:$L,2,0)</f>
        <v>DRIVER</v>
      </c>
      <c r="C35" s="97" t="str">
        <f>'DATA '!K34</f>
        <v>JITU MAHALI</v>
      </c>
      <c r="D35" s="98" t="str">
        <f>IF(B35="DRIVER","",IF(B35="HELPER","",IF(B35="HOPPER",VLOOKUP(WAGES!C35,'RJ ATTENDENCE SHEET'!$C:$I,7,0),IF(B35="LAB",VLOOKUP(WAGES!C35,'RJ ATTENDENCE SHEET'!$C:$I,7,0),IF(B35="OTHERS",VLOOKUP(WAGES!C35,'RJ ATTENDENCE SHEET'!$C:$I,7,0),"")))))</f>
        <v/>
      </c>
      <c r="E35" s="98" t="str">
        <f>IFERROR(D35/DAY(EOMONTH('RJ ATTENDENCE SHEET'!$A$1,0)),"")</f>
        <v/>
      </c>
      <c r="F35" s="98">
        <f>IF(B35="DRIVER",VLOOKUP(WAGES!C35,'RJ ATTENDENCE SHEET'!$C:$W,8,0),IF(B35="HELPER",VLOOKUP(WAGES!C35,'RJ ATTENDENCE SHEET'!$C:$W,8,0),IF(B35="HOPPER","",IF(B35="LAB","",IF(B35="OTHERS","","")))))</f>
        <v>300</v>
      </c>
      <c r="G35" s="98">
        <f>IF(B35="DRIVER",VLOOKUP(WAGES!C35,'RJ ATTENDENCE SHEET'!$C:$W,9,0),IF(B35="HELPER",VLOOKUP(WAGES!C35,'RJ ATTENDENCE SHEET'!$C:$W,9,0),IF(B35="HOPPER","",IF(B35="LAB","",IF(B35="OTHERS","","")))))</f>
        <v>185</v>
      </c>
      <c r="H35" s="98">
        <f>IFERROR(VLOOKUP(C35,'RJ ATTENDENCE SHEET'!$C:$V,20,0),"")</f>
        <v>40</v>
      </c>
      <c r="I35" s="98">
        <f>IFERROR(VLOOKUP(C35,'RJ ATTENDENCE SHEET'!$C:$W,21,0),"")</f>
        <v>8</v>
      </c>
      <c r="J35" s="103">
        <f t="shared" si="5"/>
        <v>12000</v>
      </c>
      <c r="K35" s="104">
        <f t="shared" si="6"/>
        <v>1480</v>
      </c>
      <c r="L35" s="103">
        <f t="shared" si="7"/>
        <v>13480</v>
      </c>
      <c r="M35" s="105">
        <f>IFERROR(VLOOKUP(C35,'RJ ATTENDENCE SHEET'!$C:$S,17,0),"")</f>
        <v>0</v>
      </c>
      <c r="N35" s="106">
        <f t="shared" si="8"/>
        <v>13480</v>
      </c>
      <c r="O35" s="107"/>
    </row>
    <row r="36" spans="1:15">
      <c r="A36" s="96">
        <v>33</v>
      </c>
      <c r="B36" s="96" t="str">
        <f>VLOOKUP(C36,'DATA '!$K:$L,2,0)</f>
        <v>LAB</v>
      </c>
      <c r="C36" s="97" t="str">
        <f>'DATA '!K35</f>
        <v>MILAN RUIDAS</v>
      </c>
      <c r="D36" s="98">
        <f>IF(B36="DRIVER","",IF(B36="HELPER","",IF(B36="HOPPER",VLOOKUP(WAGES!C36,'RJ ATTENDENCE SHEET'!$C:$I,7,0),IF(B36="LAB",VLOOKUP(WAGES!C36,'RJ ATTENDENCE SHEET'!$C:$I,7,0),IF(B36="OTHERS",VLOOKUP(WAGES!C36,'RJ ATTENDENCE SHEET'!$C:$I,7,0),"")))))</f>
        <v>12600</v>
      </c>
      <c r="E36" s="98">
        <f>IFERROR(D36/DAY(EOMONTH('RJ ATTENDENCE SHEET'!$A$1,0)),"")</f>
        <v>406.45161290322579</v>
      </c>
      <c r="F36" s="98" t="str">
        <f>IF(B36="DRIVER",VLOOKUP(WAGES!C36,'RJ ATTENDENCE SHEET'!$C:$W,8,0),IF(B36="HELPER",VLOOKUP(WAGES!C36,'RJ ATTENDENCE SHEET'!$C:$W,8,0),IF(B36="HOPPER","",IF(B36="LAB","",IF(B36="OTHERS","","")))))</f>
        <v/>
      </c>
      <c r="G36" s="98" t="str">
        <f>IF(B36="DRIVER",VLOOKUP(WAGES!C36,'RJ ATTENDENCE SHEET'!$C:$W,9,0),IF(B36="HELPER",VLOOKUP(WAGES!C36,'RJ ATTENDENCE SHEET'!$C:$W,9,0),IF(B36="HOPPER","",IF(B36="LAB","",IF(B36="OTHERS","","")))))</f>
        <v/>
      </c>
      <c r="H36" s="98">
        <f>IFERROR(VLOOKUP(C36,'RJ ATTENDENCE SHEET'!$C:$V,20,0),"")</f>
        <v>30</v>
      </c>
      <c r="I36" s="98">
        <f>IFERROR(VLOOKUP(C36,'RJ ATTENDENCE SHEET'!$C:$W,21,0),"")</f>
        <v>0</v>
      </c>
      <c r="J36" s="103" t="str">
        <f t="shared" si="5"/>
        <v/>
      </c>
      <c r="K36" s="104" t="str">
        <f t="shared" si="6"/>
        <v/>
      </c>
      <c r="L36" s="103">
        <f t="shared" si="7"/>
        <v>12193.548387096775</v>
      </c>
      <c r="M36" s="105">
        <f>IFERROR(VLOOKUP(C36,'RJ ATTENDENCE SHEET'!$C:$S,17,0),"")</f>
        <v>0</v>
      </c>
      <c r="N36" s="106">
        <f t="shared" si="8"/>
        <v>12193.548387096775</v>
      </c>
      <c r="O36" s="107"/>
    </row>
    <row r="37" spans="1:15">
      <c r="A37" s="96">
        <v>34</v>
      </c>
      <c r="B37" s="96" t="str">
        <f>VLOOKUP(C37,'DATA '!$K:$L,2,0)</f>
        <v>LAB</v>
      </c>
      <c r="C37" s="97" t="str">
        <f>'DATA '!K36</f>
        <v>BABLU MONDAL</v>
      </c>
      <c r="D37" s="98">
        <f>IF(B37="DRIVER","",IF(B37="HELPER","",IF(B37="HOPPER",VLOOKUP(WAGES!C37,'RJ ATTENDENCE SHEET'!$C:$I,7,0),IF(B37="LAB",VLOOKUP(WAGES!C37,'RJ ATTENDENCE SHEET'!$C:$I,7,0),IF(B37="OTHERS",VLOOKUP(WAGES!C37,'RJ ATTENDENCE SHEET'!$C:$I,7,0),"")))))</f>
        <v>18500</v>
      </c>
      <c r="E37" s="98">
        <f>IFERROR(D37/DAY(EOMONTH('RJ ATTENDENCE SHEET'!$A$1,0)),"")</f>
        <v>596.77419354838707</v>
      </c>
      <c r="F37" s="98" t="str">
        <f>IF(B37="DRIVER",VLOOKUP(WAGES!C37,'RJ ATTENDENCE SHEET'!$C:$W,8,0),IF(B37="HELPER",VLOOKUP(WAGES!C37,'RJ ATTENDENCE SHEET'!$C:$W,8,0),IF(B37="HOPPER","",IF(B37="LAB","",IF(B37="OTHERS","","")))))</f>
        <v/>
      </c>
      <c r="G37" s="98" t="str">
        <f>IF(B37="DRIVER",VLOOKUP(WAGES!C37,'RJ ATTENDENCE SHEET'!$C:$W,9,0),IF(B37="HELPER",VLOOKUP(WAGES!C37,'RJ ATTENDENCE SHEET'!$C:$W,9,0),IF(B37="HOPPER","",IF(B37="LAB","",IF(B37="OTHERS","","")))))</f>
        <v/>
      </c>
      <c r="H37" s="98">
        <f>IFERROR(VLOOKUP(C37,'RJ ATTENDENCE SHEET'!$C:$V,20,0),"")</f>
        <v>25</v>
      </c>
      <c r="I37" s="98">
        <f>IFERROR(VLOOKUP(C37,'RJ ATTENDENCE SHEET'!$C:$W,21,0),"")</f>
        <v>0</v>
      </c>
      <c r="J37" s="103" t="str">
        <f t="shared" si="5"/>
        <v/>
      </c>
      <c r="K37" s="104" t="str">
        <f t="shared" si="6"/>
        <v/>
      </c>
      <c r="L37" s="103">
        <f t="shared" si="7"/>
        <v>14919.354838709676</v>
      </c>
      <c r="M37" s="105">
        <f>IFERROR(VLOOKUP(C37,'RJ ATTENDENCE SHEET'!$C:$S,17,0),"")</f>
        <v>0</v>
      </c>
      <c r="N37" s="106">
        <f t="shared" si="8"/>
        <v>14919.354838709676</v>
      </c>
      <c r="O37" s="107"/>
    </row>
    <row r="38" spans="1:15">
      <c r="A38" s="96">
        <v>35</v>
      </c>
      <c r="B38" s="96" t="str">
        <f>VLOOKUP(C38,'DATA '!$K:$L,2,0)</f>
        <v/>
      </c>
      <c r="C38" s="97" t="str">
        <f>'DATA '!K37</f>
        <v/>
      </c>
      <c r="D38" s="98" t="str">
        <f>IF(B38="DRIVER","",IF(B38="HELPER","",IF(B38="HOPPER",VLOOKUP(WAGES!C38,'RJ ATTENDENCE SHEET'!$C:$I,7,0),IF(B38="LAB",VLOOKUP(WAGES!C38,'RJ ATTENDENCE SHEET'!$C:$I,7,0),IF(B38="OTHERS",VLOOKUP(WAGES!C38,'RJ ATTENDENCE SHEET'!$C:$I,7,0),"")))))</f>
        <v/>
      </c>
      <c r="E38" s="98" t="str">
        <f>IFERROR(D38/DAY(EOMONTH('RJ ATTENDENCE SHEET'!$A$1,0)),"")</f>
        <v/>
      </c>
      <c r="F38" s="98" t="str">
        <f>IF(B38="DRIVER",VLOOKUP(WAGES!C38,'RJ ATTENDENCE SHEET'!$C:$W,8,0),IF(B38="HELPER",VLOOKUP(WAGES!C38,'RJ ATTENDENCE SHEET'!$C:$W,8,0),IF(B38="HOPPER","",IF(B38="LAB","",IF(B38="OTHERS","","")))))</f>
        <v/>
      </c>
      <c r="G38" s="98" t="str">
        <f>IF(B38="DRIVER",VLOOKUP(WAGES!C38,'RJ ATTENDENCE SHEET'!$C:$W,9,0),IF(B38="HELPER",VLOOKUP(WAGES!C38,'RJ ATTENDENCE SHEET'!$C:$W,9,0),IF(B38="HOPPER","",IF(B38="LAB","",IF(B38="OTHERS","","")))))</f>
        <v/>
      </c>
      <c r="H38" s="98" t="str">
        <f>IFERROR(VLOOKUP(C38,'RJ ATTENDENCE SHEET'!$C:$V,20,0),"")</f>
        <v/>
      </c>
      <c r="I38" s="98" t="str">
        <f>IFERROR(VLOOKUP(C38,'RJ ATTENDENCE SHEET'!$C:$W,21,0),"")</f>
        <v/>
      </c>
      <c r="J38" s="103" t="str">
        <f t="shared" si="5"/>
        <v/>
      </c>
      <c r="K38" s="104" t="str">
        <f t="shared" si="6"/>
        <v/>
      </c>
      <c r="L38" s="103" t="str">
        <f t="shared" si="7"/>
        <v/>
      </c>
      <c r="M38" s="105" t="str">
        <f>IFERROR(VLOOKUP(C38,'RJ ATTENDENCE SHEET'!$C:$S,17,0),"")</f>
        <v/>
      </c>
      <c r="N38" s="106" t="str">
        <f t="shared" si="8"/>
        <v/>
      </c>
      <c r="O38" s="107"/>
    </row>
    <row r="39" spans="1:15">
      <c r="A39" s="96">
        <v>36</v>
      </c>
      <c r="B39" s="96" t="str">
        <f>VLOOKUP(C39,'DATA '!$K:$L,2,0)</f>
        <v/>
      </c>
      <c r="C39" s="97" t="str">
        <f>'DATA '!K38</f>
        <v/>
      </c>
      <c r="D39" s="98" t="str">
        <f>IF(B39="DRIVER","",IF(B39="HELPER","",IF(B39="HOPPER",VLOOKUP(WAGES!C39,'RJ ATTENDENCE SHEET'!$C:$I,7,0),IF(B39="LAB",VLOOKUP(WAGES!C39,'RJ ATTENDENCE SHEET'!$C:$I,7,0),IF(B39="OTHERS",VLOOKUP(WAGES!C39,'RJ ATTENDENCE SHEET'!$C:$I,7,0),"")))))</f>
        <v/>
      </c>
      <c r="E39" s="98" t="str">
        <f>IFERROR(D39/DAY(EOMONTH('RJ ATTENDENCE SHEET'!$A$1,0)),"")</f>
        <v/>
      </c>
      <c r="F39" s="98" t="str">
        <f>IF(B39="DRIVER",VLOOKUP(WAGES!C39,'RJ ATTENDENCE SHEET'!$C:$W,8,0),IF(B39="HELPER",VLOOKUP(WAGES!C39,'RJ ATTENDENCE SHEET'!$C:$W,8,0),IF(B39="HOPPER","",IF(B39="LAB","",IF(B39="OTHERS","","")))))</f>
        <v/>
      </c>
      <c r="G39" s="98" t="str">
        <f>IF(B39="DRIVER",VLOOKUP(WAGES!C39,'RJ ATTENDENCE SHEET'!$C:$W,9,0),IF(B39="HELPER",VLOOKUP(WAGES!C39,'RJ ATTENDENCE SHEET'!$C:$W,9,0),IF(B39="HOPPER","",IF(B39="LAB","",IF(B39="OTHERS","","")))))</f>
        <v/>
      </c>
      <c r="H39" s="98" t="str">
        <f>IFERROR(VLOOKUP(C39,'RJ ATTENDENCE SHEET'!$C:$V,20,0),"")</f>
        <v/>
      </c>
      <c r="I39" s="98" t="str">
        <f>IFERROR(VLOOKUP(C39,'RJ ATTENDENCE SHEET'!$C:$W,21,0),"")</f>
        <v/>
      </c>
      <c r="J39" s="103" t="str">
        <f t="shared" si="5"/>
        <v/>
      </c>
      <c r="K39" s="104" t="str">
        <f t="shared" si="6"/>
        <v/>
      </c>
      <c r="L39" s="103" t="str">
        <f t="shared" si="7"/>
        <v/>
      </c>
      <c r="M39" s="105" t="str">
        <f>IFERROR(VLOOKUP(C39,'RJ ATTENDENCE SHEET'!$C:$S,17,0),"")</f>
        <v/>
      </c>
      <c r="N39" s="106" t="str">
        <f t="shared" si="8"/>
        <v/>
      </c>
      <c r="O39" s="107"/>
    </row>
    <row r="40" spans="1:15">
      <c r="A40" s="96">
        <v>37</v>
      </c>
      <c r="B40" s="96" t="str">
        <f>VLOOKUP(C40,'DATA '!$K:$L,2,0)</f>
        <v/>
      </c>
      <c r="C40" s="97" t="str">
        <f>'DATA '!K39</f>
        <v/>
      </c>
      <c r="D40" s="98" t="str">
        <f>IF(B40="DRIVER","",IF(B40="HELPER","",IF(B40="HOPPER",VLOOKUP(WAGES!C40,'RJ ATTENDENCE SHEET'!$C:$I,7,0),IF(B40="LAB",VLOOKUP(WAGES!C40,'RJ ATTENDENCE SHEET'!$C:$I,7,0),IF(B40="OTHERS",VLOOKUP(WAGES!C40,'RJ ATTENDENCE SHEET'!$C:$I,7,0),"")))))</f>
        <v/>
      </c>
      <c r="E40" s="98" t="str">
        <f>IFERROR(D40/DAY(EOMONTH('RJ ATTENDENCE SHEET'!$A$1,0)),"")</f>
        <v/>
      </c>
      <c r="F40" s="98" t="str">
        <f>IF(B40="DRIVER",VLOOKUP(WAGES!C40,'RJ ATTENDENCE SHEET'!$C:$W,8,0),IF(B40="HELPER",VLOOKUP(WAGES!C40,'RJ ATTENDENCE SHEET'!$C:$W,8,0),IF(B40="HOPPER","",IF(B40="LAB","",IF(B40="OTHERS","","")))))</f>
        <v/>
      </c>
      <c r="G40" s="98" t="str">
        <f>IF(B40="DRIVER",VLOOKUP(WAGES!C40,'RJ ATTENDENCE SHEET'!$C:$W,9,0),IF(B40="HELPER",VLOOKUP(WAGES!C40,'RJ ATTENDENCE SHEET'!$C:$W,9,0),IF(B40="HOPPER","",IF(B40="LAB","",IF(B40="OTHERS","","")))))</f>
        <v/>
      </c>
      <c r="H40" s="98" t="str">
        <f>IFERROR(VLOOKUP(C40,'RJ ATTENDENCE SHEET'!$C:$V,20,0),"")</f>
        <v/>
      </c>
      <c r="I40" s="98" t="str">
        <f>IFERROR(VLOOKUP(C40,'RJ ATTENDENCE SHEET'!$C:$W,21,0),"")</f>
        <v/>
      </c>
      <c r="J40" s="103" t="str">
        <f t="shared" si="5"/>
        <v/>
      </c>
      <c r="K40" s="104" t="str">
        <f t="shared" si="6"/>
        <v/>
      </c>
      <c r="L40" s="103" t="str">
        <f t="shared" si="7"/>
        <v/>
      </c>
      <c r="M40" s="105" t="str">
        <f>IFERROR(VLOOKUP(C40,'RJ ATTENDENCE SHEET'!$C:$S,17,0),"")</f>
        <v/>
      </c>
      <c r="N40" s="106" t="str">
        <f t="shared" si="8"/>
        <v/>
      </c>
      <c r="O40" s="107"/>
    </row>
    <row r="41" spans="1:15">
      <c r="A41" s="96">
        <v>38</v>
      </c>
      <c r="B41" s="96" t="str">
        <f>VLOOKUP(C41,'DATA '!$K:$L,2,0)</f>
        <v/>
      </c>
      <c r="C41" s="97" t="str">
        <f>'DATA '!K40</f>
        <v/>
      </c>
      <c r="D41" s="98" t="str">
        <f>IF(B41="DRIVER","",IF(B41="HELPER","",IF(B41="HOPPER",VLOOKUP(WAGES!C41,'RJ ATTENDENCE SHEET'!$C:$I,7,0),IF(B41="LAB",VLOOKUP(WAGES!C41,'RJ ATTENDENCE SHEET'!$C:$I,7,0),IF(B41="OTHERS",VLOOKUP(WAGES!C41,'RJ ATTENDENCE SHEET'!$C:$I,7,0),"")))))</f>
        <v/>
      </c>
      <c r="E41" s="98" t="str">
        <f>IFERROR(D41/DAY(EOMONTH('RJ ATTENDENCE SHEET'!$A$1,0)),"")</f>
        <v/>
      </c>
      <c r="F41" s="98" t="str">
        <f>IF(B41="DRIVER",VLOOKUP(WAGES!C41,'RJ ATTENDENCE SHEET'!$C:$W,8,0),IF(B41="HELPER",VLOOKUP(WAGES!C41,'RJ ATTENDENCE SHEET'!$C:$W,8,0),IF(B41="HOPPER","",IF(B41="LAB","",IF(B41="OTHERS","","")))))</f>
        <v/>
      </c>
      <c r="G41" s="98" t="str">
        <f>IF(B41="DRIVER",VLOOKUP(WAGES!C41,'RJ ATTENDENCE SHEET'!$C:$W,9,0),IF(B41="HELPER",VLOOKUP(WAGES!C41,'RJ ATTENDENCE SHEET'!$C:$W,9,0),IF(B41="HOPPER","",IF(B41="LAB","",IF(B41="OTHERS","","")))))</f>
        <v/>
      </c>
      <c r="H41" s="98" t="str">
        <f>IFERROR(VLOOKUP(C41,'RJ ATTENDENCE SHEET'!$C:$V,20,0),"")</f>
        <v/>
      </c>
      <c r="I41" s="98" t="str">
        <f>IFERROR(VLOOKUP(C41,'RJ ATTENDENCE SHEET'!$C:$W,21,0),"")</f>
        <v/>
      </c>
      <c r="J41" s="103" t="str">
        <f t="shared" si="5"/>
        <v/>
      </c>
      <c r="K41" s="104" t="str">
        <f t="shared" si="6"/>
        <v/>
      </c>
      <c r="L41" s="103" t="str">
        <f t="shared" si="7"/>
        <v/>
      </c>
      <c r="M41" s="105" t="str">
        <f>IFERROR(VLOOKUP(C41,'RJ ATTENDENCE SHEET'!$C:$S,17,0),"")</f>
        <v/>
      </c>
      <c r="N41" s="106" t="str">
        <f t="shared" si="8"/>
        <v/>
      </c>
      <c r="O41" s="107"/>
    </row>
    <row r="42" spans="1:15">
      <c r="A42" s="96">
        <v>39</v>
      </c>
      <c r="B42" s="96" t="str">
        <f>VLOOKUP(C42,'DATA '!$K:$L,2,0)</f>
        <v/>
      </c>
      <c r="C42" s="97" t="str">
        <f>'DATA '!K41</f>
        <v/>
      </c>
      <c r="D42" s="98" t="str">
        <f>IF(B42="DRIVER","",IF(B42="HELPER","",IF(B42="HOPPER",VLOOKUP(WAGES!C42,'RJ ATTENDENCE SHEET'!$C:$I,7,0),IF(B42="LAB",VLOOKUP(WAGES!C42,'RJ ATTENDENCE SHEET'!$C:$I,7,0),IF(B42="OTHERS",VLOOKUP(WAGES!C42,'RJ ATTENDENCE SHEET'!$C:$I,7,0),"")))))</f>
        <v/>
      </c>
      <c r="E42" s="98" t="str">
        <f>IFERROR(D42/DAY(EOMONTH('RJ ATTENDENCE SHEET'!$A$1,0)),"")</f>
        <v/>
      </c>
      <c r="F42" s="98" t="str">
        <f>IF(B42="DRIVER",VLOOKUP(WAGES!C42,'RJ ATTENDENCE SHEET'!$C:$W,8,0),IF(B42="HELPER",VLOOKUP(WAGES!C42,'RJ ATTENDENCE SHEET'!$C:$W,8,0),IF(B42="HOPPER","",IF(B42="LAB","",IF(B42="OTHERS","","")))))</f>
        <v/>
      </c>
      <c r="G42" s="98" t="str">
        <f>IF(B42="DRIVER",VLOOKUP(WAGES!C42,'RJ ATTENDENCE SHEET'!$C:$W,9,0),IF(B42="HELPER",VLOOKUP(WAGES!C42,'RJ ATTENDENCE SHEET'!$C:$W,9,0),IF(B42="HOPPER","",IF(B42="LAB","",IF(B42="OTHERS","","")))))</f>
        <v/>
      </c>
      <c r="H42" s="98" t="str">
        <f>IFERROR(VLOOKUP(C42,'RJ ATTENDENCE SHEET'!$C:$V,20,0),"")</f>
        <v/>
      </c>
      <c r="I42" s="98" t="str">
        <f>IFERROR(VLOOKUP(C42,'RJ ATTENDENCE SHEET'!$C:$W,21,0),"")</f>
        <v/>
      </c>
      <c r="J42" s="103" t="str">
        <f t="shared" si="5"/>
        <v/>
      </c>
      <c r="K42" s="104" t="str">
        <f t="shared" si="6"/>
        <v/>
      </c>
      <c r="L42" s="103" t="str">
        <f t="shared" si="7"/>
        <v/>
      </c>
      <c r="M42" s="105" t="str">
        <f>IFERROR(VLOOKUP(C42,'RJ ATTENDENCE SHEET'!$C:$S,17,0),"")</f>
        <v/>
      </c>
      <c r="N42" s="106" t="str">
        <f t="shared" si="8"/>
        <v/>
      </c>
      <c r="O42" s="107"/>
    </row>
    <row r="43" spans="1:15">
      <c r="A43" s="96">
        <v>40</v>
      </c>
      <c r="B43" s="96" t="str">
        <f>VLOOKUP(C43,'DATA '!$K:$L,2,0)</f>
        <v/>
      </c>
      <c r="C43" s="97" t="str">
        <f>'DATA '!K42</f>
        <v/>
      </c>
      <c r="D43" s="98" t="str">
        <f>IF(B43="DRIVER","",IF(B43="HELPER","",IF(B43="HOPPER",VLOOKUP(WAGES!C43,'RJ ATTENDENCE SHEET'!$C:$I,7,0),IF(B43="LAB",VLOOKUP(WAGES!C43,'RJ ATTENDENCE SHEET'!$C:$I,7,0),IF(B43="OTHERS",VLOOKUP(WAGES!C43,'RJ ATTENDENCE SHEET'!$C:$I,7,0),"")))))</f>
        <v/>
      </c>
      <c r="E43" s="98" t="str">
        <f>IFERROR(D43/DAY(EOMONTH('RJ ATTENDENCE SHEET'!$A$1,0)),"")</f>
        <v/>
      </c>
      <c r="F43" s="98" t="str">
        <f>IF(B43="DRIVER",VLOOKUP(WAGES!C43,'RJ ATTENDENCE SHEET'!$C:$W,8,0),IF(B43="HELPER",VLOOKUP(WAGES!C43,'RJ ATTENDENCE SHEET'!$C:$W,8,0),IF(B43="HOPPER","",IF(B43="LAB","",IF(B43="OTHERS","","")))))</f>
        <v/>
      </c>
      <c r="G43" s="98" t="str">
        <f>IF(B43="DRIVER",VLOOKUP(WAGES!C43,'RJ ATTENDENCE SHEET'!$C:$W,9,0),IF(B43="HELPER",VLOOKUP(WAGES!C43,'RJ ATTENDENCE SHEET'!$C:$W,9,0),IF(B43="HOPPER","",IF(B43="LAB","",IF(B43="OTHERS","","")))))</f>
        <v/>
      </c>
      <c r="H43" s="98" t="str">
        <f>IFERROR(VLOOKUP(C43,'RJ ATTENDENCE SHEET'!$C:$V,20,0),"")</f>
        <v/>
      </c>
      <c r="I43" s="98" t="str">
        <f>IFERROR(VLOOKUP(C43,'RJ ATTENDENCE SHEET'!$C:$W,21,0),"")</f>
        <v/>
      </c>
      <c r="J43" s="103" t="str">
        <f t="shared" si="5"/>
        <v/>
      </c>
      <c r="K43" s="104" t="str">
        <f t="shared" si="6"/>
        <v/>
      </c>
      <c r="L43" s="103" t="str">
        <f t="shared" si="7"/>
        <v/>
      </c>
      <c r="M43" s="105" t="str">
        <f>IFERROR(VLOOKUP(C43,'RJ ATTENDENCE SHEET'!$C:$S,17,0),"")</f>
        <v/>
      </c>
      <c r="N43" s="106" t="str">
        <f t="shared" si="8"/>
        <v/>
      </c>
      <c r="O43" s="107"/>
    </row>
    <row r="44" spans="1:15">
      <c r="A44" s="96">
        <v>41</v>
      </c>
      <c r="B44" s="96" t="str">
        <f>VLOOKUP(C44,'DATA '!$K:$L,2,0)</f>
        <v/>
      </c>
      <c r="C44" s="97" t="str">
        <f>'DATA '!K43</f>
        <v/>
      </c>
      <c r="D44" s="98" t="str">
        <f>IF(B44="DRIVER","",IF(B44="HELPER","",IF(B44="HOPPER",VLOOKUP(WAGES!C44,'RJ ATTENDENCE SHEET'!$C:$I,7,0),IF(B44="LAB",VLOOKUP(WAGES!C44,'RJ ATTENDENCE SHEET'!$C:$I,7,0),IF(B44="OTHERS",VLOOKUP(WAGES!C44,'RJ ATTENDENCE SHEET'!$C:$I,7,0),"")))))</f>
        <v/>
      </c>
      <c r="E44" s="98" t="str">
        <f>IFERROR(D44/DAY(EOMONTH('RJ ATTENDENCE SHEET'!$A$1,0)),"")</f>
        <v/>
      </c>
      <c r="F44" s="98" t="str">
        <f>IF(B44="DRIVER",VLOOKUP(WAGES!C44,'RJ ATTENDENCE SHEET'!$C:$W,8,0),IF(B44="HELPER",VLOOKUP(WAGES!C44,'RJ ATTENDENCE SHEET'!$C:$W,8,0),IF(B44="HOPPER","",IF(B44="LAB","",IF(B44="OTHERS","","")))))</f>
        <v/>
      </c>
      <c r="G44" s="98" t="str">
        <f>IF(B44="DRIVER",VLOOKUP(WAGES!C44,'RJ ATTENDENCE SHEET'!$C:$W,9,0),IF(B44="HELPER",VLOOKUP(WAGES!C44,'RJ ATTENDENCE SHEET'!$C:$W,9,0),IF(B44="HOPPER","",IF(B44="LAB","",IF(B44="OTHERS","","")))))</f>
        <v/>
      </c>
      <c r="H44" s="98" t="str">
        <f>IFERROR(VLOOKUP(C44,'RJ ATTENDENCE SHEET'!$C:$V,20,0),"")</f>
        <v/>
      </c>
      <c r="I44" s="98" t="str">
        <f>IFERROR(VLOOKUP(C44,'RJ ATTENDENCE SHEET'!$C:$W,21,0),"")</f>
        <v/>
      </c>
      <c r="J44" s="103" t="str">
        <f t="shared" si="5"/>
        <v/>
      </c>
      <c r="K44" s="104" t="str">
        <f t="shared" si="6"/>
        <v/>
      </c>
      <c r="L44" s="103" t="str">
        <f t="shared" si="7"/>
        <v/>
      </c>
      <c r="M44" s="105" t="str">
        <f>IFERROR(VLOOKUP(C44,'RJ ATTENDENCE SHEET'!$C:$S,17,0),"")</f>
        <v/>
      </c>
      <c r="N44" s="106" t="str">
        <f t="shared" si="8"/>
        <v/>
      </c>
      <c r="O44" s="107"/>
    </row>
    <row r="45" spans="1:15">
      <c r="A45" s="375" t="s">
        <v>97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7"/>
      <c r="L45" s="103">
        <f>SUM(L4:L44)</f>
        <v>487763.54838709679</v>
      </c>
      <c r="M45" s="103">
        <f>SUM(M4:M44)</f>
        <v>0</v>
      </c>
      <c r="N45" s="103">
        <f>SUM(N4:N44)</f>
        <v>487763.54838709679</v>
      </c>
      <c r="O45" s="105"/>
    </row>
  </sheetData>
  <sheetProtection algorithmName="SHA-512" hashValue="f9w+aloDld9P4vCXs/kaBLUMN5zi8/hECISTLzKOlQdswvXUXYcrIod6twTcyuwmEuE06CswykmjPj2ql1jyQw==" saltValue="dP0pSDfVaI+sIsESL+RVNg==" spinCount="100000" sheet="1" objects="1" scenarios="1" formatCells="0" formatColumns="0" formatRows="0"/>
  <mergeCells count="11">
    <mergeCell ref="A1:L1"/>
    <mergeCell ref="M1:N1"/>
    <mergeCell ref="D2:G2"/>
    <mergeCell ref="H2:I2"/>
    <mergeCell ref="J2:K2"/>
    <mergeCell ref="O2:O3"/>
    <mergeCell ref="A45:K45"/>
    <mergeCell ref="A2:A3"/>
    <mergeCell ref="C2:C3"/>
    <mergeCell ref="L2:L3"/>
    <mergeCell ref="M2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5BFF"/>
    <pageSetUpPr fitToPage="1"/>
  </sheetPr>
  <dimension ref="A1:Y51"/>
  <sheetViews>
    <sheetView tabSelected="1" zoomScale="62" zoomScaleNormal="62" workbookViewId="0">
      <pane ySplit="8" topLeftCell="A9" activePane="bottomLeft" state="frozen"/>
      <selection activeCell="T53" sqref="T53"/>
      <selection pane="bottomLeft" activeCell="E11" sqref="E11"/>
    </sheetView>
  </sheetViews>
  <sheetFormatPr defaultColWidth="9.125" defaultRowHeight="15"/>
  <cols>
    <col min="1" max="1" width="6.875" style="44" customWidth="1"/>
    <col min="2" max="2" width="13.625" style="44" customWidth="1"/>
    <col min="3" max="3" width="31" style="44" customWidth="1"/>
    <col min="4" max="4" width="11.25" style="44" hidden="1" customWidth="1"/>
    <col min="5" max="9" width="9.125" style="44"/>
    <col min="10" max="10" width="11" style="44" customWidth="1"/>
    <col min="11" max="11" width="10" style="44" customWidth="1"/>
    <col min="12" max="13" width="9.125" style="44"/>
    <col min="14" max="14" width="12.125" style="44" customWidth="1"/>
    <col min="15" max="15" width="13" style="75" customWidth="1"/>
    <col min="16" max="16" width="7.125" style="44" customWidth="1"/>
    <col min="17" max="17" width="7.875" style="44" customWidth="1"/>
    <col min="18" max="18" width="9.375" style="44" customWidth="1"/>
    <col min="19" max="19" width="10.375" style="44" customWidth="1"/>
    <col min="20" max="20" width="12.625" style="44" customWidth="1"/>
    <col min="21" max="21" width="39" style="44" customWidth="1"/>
    <col min="22" max="16384" width="9.125" style="44"/>
  </cols>
  <sheetData>
    <row r="1" spans="1:25" s="1" customFormat="1" ht="18">
      <c r="A1" s="295" t="s">
        <v>195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5" t="str">
        <f>TEXT('RJ ATTENDENCE SHEET'!$A$1,"MMMM")</f>
        <v>July</v>
      </c>
      <c r="T1" s="297"/>
      <c r="U1" s="64">
        <f>YEAR('RJ ATTENDENCE SHEET'!$A$1)</f>
        <v>2026</v>
      </c>
    </row>
    <row r="2" spans="1:25" ht="15.7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80"/>
      <c r="P2" s="47"/>
      <c r="Q2" s="47"/>
      <c r="R2" s="47"/>
      <c r="S2" s="47"/>
      <c r="T2" s="47"/>
      <c r="U2" s="65"/>
      <c r="V2" s="47"/>
      <c r="W2" s="47"/>
      <c r="X2" s="47"/>
    </row>
    <row r="3" spans="1:25" ht="39.75" customHeight="1">
      <c r="A3" s="298" t="s">
        <v>221</v>
      </c>
      <c r="B3" s="299"/>
      <c r="C3" s="299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80"/>
      <c r="P3" s="47"/>
      <c r="Q3" s="47"/>
      <c r="R3" s="47"/>
      <c r="S3" s="47"/>
      <c r="T3" s="47"/>
      <c r="U3" s="66" t="s">
        <v>222</v>
      </c>
      <c r="V3" s="47"/>
      <c r="W3" s="47"/>
      <c r="X3" s="47"/>
    </row>
    <row r="4" spans="1:25" ht="15.75">
      <c r="A4" s="76" t="s">
        <v>82</v>
      </c>
      <c r="B4" s="77"/>
      <c r="C4" s="78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80"/>
      <c r="P4" s="47"/>
      <c r="Q4" s="47"/>
      <c r="R4" s="47"/>
      <c r="S4" s="47"/>
      <c r="T4" s="47"/>
      <c r="U4" s="66"/>
      <c r="V4" s="47"/>
      <c r="W4" s="47"/>
      <c r="X4" s="47"/>
    </row>
    <row r="5" spans="1:25" ht="15.75">
      <c r="A5" s="49"/>
      <c r="B5" s="50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80"/>
      <c r="P5" s="47"/>
      <c r="Q5" s="47"/>
      <c r="R5" s="47"/>
      <c r="S5" s="47"/>
      <c r="T5" s="47"/>
      <c r="U5" s="66" t="s">
        <v>223</v>
      </c>
      <c r="V5" s="47"/>
      <c r="W5" s="47"/>
      <c r="X5" s="47"/>
    </row>
    <row r="6" spans="1:25" ht="15.75" hidden="1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80"/>
      <c r="P6" s="47"/>
      <c r="Q6" s="47"/>
      <c r="R6" s="47"/>
      <c r="S6" s="47"/>
      <c r="T6" s="47"/>
      <c r="U6" s="65"/>
      <c r="V6" s="47"/>
      <c r="W6" s="47"/>
      <c r="X6" s="47"/>
    </row>
    <row r="7" spans="1:25" ht="15.75">
      <c r="A7" s="51" t="s">
        <v>224</v>
      </c>
      <c r="B7" s="291" t="s">
        <v>197</v>
      </c>
      <c r="C7" s="293" t="s">
        <v>92</v>
      </c>
      <c r="D7" s="79"/>
      <c r="E7" s="291" t="s">
        <v>225</v>
      </c>
      <c r="F7" s="291"/>
      <c r="G7" s="291"/>
      <c r="H7" s="291" t="s">
        <v>226</v>
      </c>
      <c r="I7" s="300" t="s">
        <v>227</v>
      </c>
      <c r="J7" s="300"/>
      <c r="K7" s="301" t="s">
        <v>228</v>
      </c>
      <c r="L7" s="302"/>
      <c r="M7" s="302"/>
      <c r="N7" s="291" t="s">
        <v>229</v>
      </c>
      <c r="O7" s="300" t="s">
        <v>201</v>
      </c>
      <c r="P7" s="300"/>
      <c r="Q7" s="300"/>
      <c r="R7" s="300"/>
      <c r="S7" s="59" t="s">
        <v>97</v>
      </c>
      <c r="T7" s="67" t="s">
        <v>213</v>
      </c>
      <c r="U7" s="287" t="s">
        <v>214</v>
      </c>
      <c r="V7" s="47"/>
      <c r="W7" s="47"/>
      <c r="X7" s="47"/>
    </row>
    <row r="8" spans="1:25" ht="15.75">
      <c r="A8" s="53" t="s">
        <v>230</v>
      </c>
      <c r="B8" s="292"/>
      <c r="C8" s="292"/>
      <c r="D8" s="54"/>
      <c r="E8" s="54" t="s">
        <v>115</v>
      </c>
      <c r="F8" s="54" t="s">
        <v>116</v>
      </c>
      <c r="G8" s="54" t="s">
        <v>117</v>
      </c>
      <c r="H8" s="294"/>
      <c r="I8" s="60" t="s">
        <v>231</v>
      </c>
      <c r="J8" s="60" t="s">
        <v>232</v>
      </c>
      <c r="K8" s="60" t="s">
        <v>115</v>
      </c>
      <c r="L8" s="60" t="s">
        <v>116</v>
      </c>
      <c r="M8" s="60" t="s">
        <v>117</v>
      </c>
      <c r="N8" s="294"/>
      <c r="O8" s="54" t="s">
        <v>206</v>
      </c>
      <c r="P8" s="60" t="s">
        <v>207</v>
      </c>
      <c r="Q8" s="60" t="s">
        <v>208</v>
      </c>
      <c r="R8" s="60" t="s">
        <v>209</v>
      </c>
      <c r="S8" s="60" t="s">
        <v>233</v>
      </c>
      <c r="T8" s="68" t="s">
        <v>220</v>
      </c>
      <c r="U8" s="288"/>
      <c r="V8" s="47"/>
      <c r="W8" s="47"/>
      <c r="X8" s="47"/>
    </row>
    <row r="9" spans="1:25" ht="50.1" customHeight="1">
      <c r="A9" s="55">
        <v>1</v>
      </c>
      <c r="B9" s="55" t="str">
        <f>IFERROR(VLOOKUP(C9,'RJ ATTENDENCE SHEET'!$C:$D,2,0),"")</f>
        <v>TC 0005</v>
      </c>
      <c r="C9" s="55" t="str">
        <f>'DATA '!H3</f>
        <v>ABED ALI</v>
      </c>
      <c r="D9" s="55" t="str">
        <f t="shared" ref="D9:D14" si="0">B9</f>
        <v>TC 0005</v>
      </c>
      <c r="E9" s="62">
        <f>IFERROR(VLOOKUP(C9,'RJ ATTENDENCE SHEET'!$C:$L,3,0),"")</f>
        <v>10560</v>
      </c>
      <c r="F9" s="62">
        <f>IFERROR(VLOOKUP(C9,'RJ ATTENDENCE SHEET'!$C:$L,4,0),"")</f>
        <v>5000</v>
      </c>
      <c r="G9" s="62">
        <f>IFERROR(VLOOKUP(C9,'RJ ATTENDENCE SHEET'!$C:$L,5,0),"")</f>
        <v>4440</v>
      </c>
      <c r="H9" s="62">
        <f t="shared" ref="H9:H14" si="1">SUM(E9:G9)</f>
        <v>20000</v>
      </c>
      <c r="I9" s="81">
        <f>DAY(EOMONTH('RJ ATTENDENCE SHEET'!$A$1,0))</f>
        <v>31</v>
      </c>
      <c r="J9" s="62">
        <f>IFERROR(VLOOKUP(C9,'RJ ATTENDENCE SHEET'!$C:$W,20,0),"")</f>
        <v>31</v>
      </c>
      <c r="K9" s="62">
        <f t="shared" ref="K9:K14" si="2">IFERROR(ROUND(E9/I9*J9,0),"")</f>
        <v>10560</v>
      </c>
      <c r="L9" s="62">
        <f t="shared" ref="L9:L14" si="3">IFERROR(F9/I9*J9,"")</f>
        <v>5000</v>
      </c>
      <c r="M9" s="62">
        <f t="shared" ref="M9:M14" si="4">IFERROR(G9/I9*J9,"")</f>
        <v>4440</v>
      </c>
      <c r="N9" s="62">
        <f t="shared" ref="N9:N14" si="5">SUM(K9:M9)</f>
        <v>20000</v>
      </c>
      <c r="O9" s="58">
        <f>IFERROR(IF(E9&lt;15000,ROUND(K9*12%,0),"0"),"")</f>
        <v>1267</v>
      </c>
      <c r="P9" s="62">
        <f>IF(H9&gt;21000,0,ROUNDUP(N9*0.75%,0))</f>
        <v>150</v>
      </c>
      <c r="Q9" s="69">
        <f>IF(AND(N9&gt;0,N9&lt;8501),0,(IF(AND(N9&gt;8500,N9&lt;10001),0,(IF(AND(N9&gt;10000,N9&lt;15001),110,(IF(AND(N9&gt;15000,N9&lt;25001),130,(IF(AND(N9&gt;25000,N9&lt;40001),150,(IF(AND(N9&gt;40000,N9&lt;60001),200,0)))))))))))</f>
        <v>130</v>
      </c>
      <c r="R9" s="62">
        <f>IFERROR(VLOOKUP(C9,'RJ ATTENDENCE SHEET'!$C:$S,17,0),"")</f>
        <v>0</v>
      </c>
      <c r="S9" s="62">
        <f>SUM(O9:R9)</f>
        <v>1547</v>
      </c>
      <c r="T9" s="62">
        <f>N9-S9</f>
        <v>18453</v>
      </c>
      <c r="U9" s="85"/>
      <c r="V9" s="47"/>
      <c r="W9" s="47"/>
      <c r="X9" s="47"/>
    </row>
    <row r="10" spans="1:25" ht="50.1" customHeight="1">
      <c r="A10" s="55">
        <v>2</v>
      </c>
      <c r="B10" s="55" t="str">
        <f>IFERROR(VLOOKUP(C10,'RJ ATTENDENCE SHEET'!$C:$D,2,0),"")</f>
        <v>TC 0003</v>
      </c>
      <c r="C10" s="55" t="str">
        <f>'DATA '!H4</f>
        <v>ABHI MUKHERJEE</v>
      </c>
      <c r="D10" s="55" t="str">
        <f t="shared" si="0"/>
        <v>TC 0003</v>
      </c>
      <c r="E10" s="62">
        <f>IFERROR(VLOOKUP(C10,'RJ ATTENDENCE SHEET'!$C:$L,3,0),"")</f>
        <v>14300</v>
      </c>
      <c r="F10" s="62">
        <f>IFERROR(VLOOKUP(C10,'RJ ATTENDENCE SHEET'!$C:$L,4,0),"")</f>
        <v>7000</v>
      </c>
      <c r="G10" s="62">
        <f>IFERROR(VLOOKUP(C10,'RJ ATTENDENCE SHEET'!$C:$L,5,0),"")</f>
        <v>7200</v>
      </c>
      <c r="H10" s="62">
        <f t="shared" si="1"/>
        <v>28500</v>
      </c>
      <c r="I10" s="81">
        <f>DAY(EOMONTH('RJ ATTENDENCE SHEET'!$A$1,0))</f>
        <v>31</v>
      </c>
      <c r="J10" s="62">
        <f>IFERROR(VLOOKUP(C10,'RJ ATTENDENCE SHEET'!$C:$W,20,0),"")</f>
        <v>31</v>
      </c>
      <c r="K10" s="62">
        <f t="shared" si="2"/>
        <v>14300</v>
      </c>
      <c r="L10" s="62">
        <f t="shared" si="3"/>
        <v>7000</v>
      </c>
      <c r="M10" s="62">
        <f t="shared" si="4"/>
        <v>7200</v>
      </c>
      <c r="N10" s="62">
        <f t="shared" si="5"/>
        <v>28500</v>
      </c>
      <c r="O10" s="58">
        <f t="shared" ref="O10:O50" si="6">IFERROR(IF(E10&lt;15000,ROUND(K10*12%,0),"0"),"")</f>
        <v>1716</v>
      </c>
      <c r="P10" s="62">
        <f t="shared" ref="P10:P24" si="7">IF(H10&gt;21000,0,ROUNDUP(N10*0.75%,0))</f>
        <v>0</v>
      </c>
      <c r="Q10" s="69">
        <f t="shared" ref="Q10:Q50" si="8">IF(AND(N10&gt;0,N10&lt;8501),0,(IF(AND(N10&gt;8500,N10&lt;10001),0,(IF(AND(N10&gt;10000,N10&lt;15001),110,(IF(AND(N10&gt;15000,N10&lt;25001),130,(IF(AND(N10&gt;25000,N10&lt;40001),150,(IF(AND(N10&gt;40000,N10&lt;60001),200,0)))))))))))</f>
        <v>150</v>
      </c>
      <c r="R10" s="62">
        <f>IFERROR(VLOOKUP(C10,'RJ ATTENDENCE SHEET'!$C:$S,17,0),"")</f>
        <v>0</v>
      </c>
      <c r="S10" s="62">
        <f t="shared" ref="S10:S50" si="9">SUM(O10:R10)</f>
        <v>1866</v>
      </c>
      <c r="T10" s="62">
        <f t="shared" ref="T10:T50" si="10">N10-S10</f>
        <v>26634</v>
      </c>
      <c r="U10" s="70"/>
      <c r="V10" s="47"/>
      <c r="W10" s="47"/>
      <c r="X10" s="87"/>
      <c r="Y10" s="88"/>
    </row>
    <row r="11" spans="1:25" ht="50.1" customHeight="1">
      <c r="A11" s="55">
        <v>3</v>
      </c>
      <c r="B11" s="55" t="str">
        <f>IFERROR(VLOOKUP(C11,'RJ ATTENDENCE SHEET'!$C:$D,2,0),"")</f>
        <v>TC 0001</v>
      </c>
      <c r="C11" s="55" t="str">
        <f>'DATA '!H5</f>
        <v>ACHIN GUPTA</v>
      </c>
      <c r="D11" s="55" t="str">
        <f t="shared" si="0"/>
        <v>TC 0001</v>
      </c>
      <c r="E11" s="62">
        <f>IFERROR(VLOOKUP(C11,'RJ ATTENDENCE SHEET'!$C:$L,3,0),"")</f>
        <v>12000</v>
      </c>
      <c r="F11" s="62">
        <f>IFERROR(VLOOKUP(C11,'RJ ATTENDENCE SHEET'!$C:$L,4,0),"")</f>
        <v>6000</v>
      </c>
      <c r="G11" s="62">
        <f>IFERROR(VLOOKUP(C11,'RJ ATTENDENCE SHEET'!$C:$L,5,0),"")</f>
        <v>4500</v>
      </c>
      <c r="H11" s="62">
        <f t="shared" si="1"/>
        <v>22500</v>
      </c>
      <c r="I11" s="81">
        <f>DAY(EOMONTH('RJ ATTENDENCE SHEET'!$A$1,0))</f>
        <v>31</v>
      </c>
      <c r="J11" s="62">
        <f>IFERROR(VLOOKUP(C11,'RJ ATTENDENCE SHEET'!$C:$W,20,0),"")</f>
        <v>31</v>
      </c>
      <c r="K11" s="62">
        <f t="shared" si="2"/>
        <v>12000</v>
      </c>
      <c r="L11" s="62">
        <f t="shared" si="3"/>
        <v>6000</v>
      </c>
      <c r="M11" s="62">
        <f t="shared" si="4"/>
        <v>4500</v>
      </c>
      <c r="N11" s="62">
        <f t="shared" si="5"/>
        <v>22500</v>
      </c>
      <c r="O11" s="58">
        <f t="shared" si="6"/>
        <v>1440</v>
      </c>
      <c r="P11" s="62">
        <f t="shared" si="7"/>
        <v>0</v>
      </c>
      <c r="Q11" s="69">
        <f t="shared" si="8"/>
        <v>130</v>
      </c>
      <c r="R11" s="62">
        <f>IFERROR(VLOOKUP(C11,'RJ ATTENDENCE SHEET'!$C:$S,17,0),"")</f>
        <v>0</v>
      </c>
      <c r="S11" s="62">
        <f t="shared" si="9"/>
        <v>1570</v>
      </c>
      <c r="T11" s="62">
        <f t="shared" si="10"/>
        <v>20930</v>
      </c>
      <c r="U11" s="70"/>
      <c r="V11" s="47"/>
      <c r="W11" s="47"/>
      <c r="X11" s="47"/>
    </row>
    <row r="12" spans="1:25" ht="50.1" customHeight="1">
      <c r="A12" s="55">
        <v>4</v>
      </c>
      <c r="B12" s="55" t="str">
        <f>IFERROR(VLOOKUP(C12,'RJ ATTENDENCE SHEET'!$C:$D,2,0),"")</f>
        <v>TC 0006</v>
      </c>
      <c r="C12" s="55" t="str">
        <f>'DATA '!H6</f>
        <v>AMIN YADAV</v>
      </c>
      <c r="D12" s="55" t="str">
        <f t="shared" si="0"/>
        <v>TC 0006</v>
      </c>
      <c r="E12" s="62">
        <f>IFERROR(VLOOKUP(C12,'RJ ATTENDENCE SHEET'!$C:$L,3,0),"")</f>
        <v>12780</v>
      </c>
      <c r="F12" s="62">
        <f>IFERROR(VLOOKUP(C12,'RJ ATTENDENCE SHEET'!$C:$L,4,0),"")</f>
        <v>6000</v>
      </c>
      <c r="G12" s="62">
        <f>IFERROR(VLOOKUP(C12,'RJ ATTENDENCE SHEET'!$C:$L,5,0),"")</f>
        <v>5720</v>
      </c>
      <c r="H12" s="62">
        <f t="shared" si="1"/>
        <v>24500</v>
      </c>
      <c r="I12" s="81">
        <f>DAY(EOMONTH('RJ ATTENDENCE SHEET'!$A$1,0))</f>
        <v>31</v>
      </c>
      <c r="J12" s="62">
        <f>IFERROR(VLOOKUP(C12,'RJ ATTENDENCE SHEET'!$C:$W,20,0),"")</f>
        <v>31</v>
      </c>
      <c r="K12" s="62">
        <f t="shared" si="2"/>
        <v>12780</v>
      </c>
      <c r="L12" s="62">
        <f t="shared" si="3"/>
        <v>6000</v>
      </c>
      <c r="M12" s="62">
        <f t="shared" si="4"/>
        <v>5720</v>
      </c>
      <c r="N12" s="62">
        <f t="shared" si="5"/>
        <v>24500</v>
      </c>
      <c r="O12" s="58">
        <f t="shared" si="6"/>
        <v>1534</v>
      </c>
      <c r="P12" s="62">
        <f t="shared" si="7"/>
        <v>0</v>
      </c>
      <c r="Q12" s="69">
        <f t="shared" si="8"/>
        <v>130</v>
      </c>
      <c r="R12" s="62">
        <f>IFERROR(VLOOKUP(C12,'RJ ATTENDENCE SHEET'!$C:$S,17,0),"")</f>
        <v>0</v>
      </c>
      <c r="S12" s="62">
        <f t="shared" si="9"/>
        <v>1664</v>
      </c>
      <c r="T12" s="62">
        <f t="shared" si="10"/>
        <v>22836</v>
      </c>
      <c r="U12" s="70"/>
      <c r="V12" s="47"/>
      <c r="W12" s="47"/>
      <c r="X12" s="47"/>
    </row>
    <row r="13" spans="1:25" ht="50.1" customHeight="1">
      <c r="A13" s="55">
        <v>5</v>
      </c>
      <c r="B13" s="55" t="str">
        <f>IFERROR(VLOOKUP(C13,'RJ ATTENDENCE SHEET'!$C:$D,2,0),"")</f>
        <v>TC 0185</v>
      </c>
      <c r="C13" s="55" t="str">
        <f>'DATA '!H7</f>
        <v>ANOWAR MOLLA</v>
      </c>
      <c r="D13" s="55" t="str">
        <f t="shared" si="0"/>
        <v>TC 0185</v>
      </c>
      <c r="E13" s="62">
        <f>IFERROR(VLOOKUP(C13,'RJ ATTENDENCE SHEET'!$C:$L,3,0),"")</f>
        <v>10560</v>
      </c>
      <c r="F13" s="62">
        <f>IFERROR(VLOOKUP(C13,'RJ ATTENDENCE SHEET'!$C:$L,4,0),"")</f>
        <v>2000</v>
      </c>
      <c r="G13" s="62">
        <f>IFERROR(VLOOKUP(C13,'RJ ATTENDENCE SHEET'!$C:$L,5,0),"")</f>
        <v>1440</v>
      </c>
      <c r="H13" s="62">
        <f t="shared" si="1"/>
        <v>14000</v>
      </c>
      <c r="I13" s="81">
        <f>DAY(EOMONTH('RJ ATTENDENCE SHEET'!$A$1,0))</f>
        <v>31</v>
      </c>
      <c r="J13" s="62">
        <f>IFERROR(VLOOKUP(C13,'RJ ATTENDENCE SHEET'!$C:$W,20,0),"")</f>
        <v>31</v>
      </c>
      <c r="K13" s="62">
        <f t="shared" si="2"/>
        <v>10560</v>
      </c>
      <c r="L13" s="62">
        <f t="shared" si="3"/>
        <v>2000</v>
      </c>
      <c r="M13" s="62">
        <f t="shared" si="4"/>
        <v>1440</v>
      </c>
      <c r="N13" s="62">
        <f t="shared" si="5"/>
        <v>14000</v>
      </c>
      <c r="O13" s="58">
        <f t="shared" si="6"/>
        <v>1267</v>
      </c>
      <c r="P13" s="62">
        <f t="shared" si="7"/>
        <v>105</v>
      </c>
      <c r="Q13" s="69">
        <f t="shared" si="8"/>
        <v>110</v>
      </c>
      <c r="R13" s="62">
        <f>IFERROR(VLOOKUP(C13,'RJ ATTENDENCE SHEET'!$C:$S,17,0),"")</f>
        <v>0</v>
      </c>
      <c r="S13" s="62">
        <f t="shared" si="9"/>
        <v>1482</v>
      </c>
      <c r="T13" s="62">
        <f t="shared" si="10"/>
        <v>12518</v>
      </c>
      <c r="U13" s="70"/>
      <c r="V13" s="47"/>
      <c r="W13" s="47"/>
      <c r="X13" s="47"/>
    </row>
    <row r="14" spans="1:25" ht="50.1" customHeight="1">
      <c r="A14" s="55">
        <v>6</v>
      </c>
      <c r="B14" s="55" t="str">
        <f>IFERROR(VLOOKUP(C14,'RJ ATTENDENCE SHEET'!$C:$D,2,0),"")</f>
        <v>TC 0260</v>
      </c>
      <c r="C14" s="55" t="str">
        <f>'DATA '!H8</f>
        <v>DIBAKAR MONDAL</v>
      </c>
      <c r="D14" s="55" t="str">
        <f t="shared" si="0"/>
        <v>TC 0260</v>
      </c>
      <c r="E14" s="62">
        <f>IFERROR(VLOOKUP(C14,'RJ ATTENDENCE SHEET'!$C:$L,3,0),"")</f>
        <v>10560</v>
      </c>
      <c r="F14" s="62">
        <f>IFERROR(VLOOKUP(C14,'RJ ATTENDENCE SHEET'!$C:$L,4,0),"")</f>
        <v>4000</v>
      </c>
      <c r="G14" s="62">
        <f>IFERROR(VLOOKUP(C14,'RJ ATTENDENCE SHEET'!$C:$L,5,0),"")</f>
        <v>3440</v>
      </c>
      <c r="H14" s="62">
        <f t="shared" si="1"/>
        <v>18000</v>
      </c>
      <c r="I14" s="81">
        <f>DAY(EOMONTH('RJ ATTENDENCE SHEET'!$A$1,0))</f>
        <v>31</v>
      </c>
      <c r="J14" s="62">
        <f>IFERROR(VLOOKUP(C14,'RJ ATTENDENCE SHEET'!$C:$W,20,0),"")</f>
        <v>31</v>
      </c>
      <c r="K14" s="62">
        <f t="shared" si="2"/>
        <v>10560</v>
      </c>
      <c r="L14" s="62">
        <f t="shared" si="3"/>
        <v>4000</v>
      </c>
      <c r="M14" s="62">
        <f t="shared" si="4"/>
        <v>3440</v>
      </c>
      <c r="N14" s="62">
        <f t="shared" si="5"/>
        <v>18000</v>
      </c>
      <c r="O14" s="58">
        <f t="shared" si="6"/>
        <v>1267</v>
      </c>
      <c r="P14" s="62">
        <f t="shared" si="7"/>
        <v>135</v>
      </c>
      <c r="Q14" s="69">
        <f t="shared" si="8"/>
        <v>130</v>
      </c>
      <c r="R14" s="62">
        <f>IFERROR(VLOOKUP(C14,'RJ ATTENDENCE SHEET'!$C:$S,17,0),"")</f>
        <v>0</v>
      </c>
      <c r="S14" s="62">
        <f t="shared" si="9"/>
        <v>1532</v>
      </c>
      <c r="T14" s="62">
        <f t="shared" si="10"/>
        <v>16468</v>
      </c>
      <c r="U14" s="70"/>
      <c r="V14" s="47"/>
      <c r="W14" s="47"/>
      <c r="X14" s="47"/>
    </row>
    <row r="15" spans="1:25" ht="50.1" customHeight="1">
      <c r="A15" s="275">
        <v>7</v>
      </c>
      <c r="B15" s="275" t="str">
        <f>IFERROR(VLOOKUP(C15,'RJ ATTENDENCE SHEET'!$C:$D,2,0),"")</f>
        <v>TC 0122</v>
      </c>
      <c r="C15" s="275" t="str">
        <f>'DATA '!H9</f>
        <v xml:space="preserve">GOLAM SARWAR </v>
      </c>
      <c r="D15" s="275" t="str">
        <f t="shared" ref="D15:D20" si="11">B15</f>
        <v>TC 0122</v>
      </c>
      <c r="E15" s="276">
        <f>IFERROR(VLOOKUP(C15,'RJ ATTENDENCE SHEET'!$C:$L,3,0),"")</f>
        <v>26000</v>
      </c>
      <c r="F15" s="276">
        <f>IFERROR(VLOOKUP(C15,'RJ ATTENDENCE SHEET'!$C:$L,4,0),"")</f>
        <v>0</v>
      </c>
      <c r="G15" s="276">
        <f>IFERROR(VLOOKUP(C15,'RJ ATTENDENCE SHEET'!$C:$L,5,0),"")</f>
        <v>0</v>
      </c>
      <c r="H15" s="276">
        <f t="shared" ref="H15:H20" si="12">SUM(E15:G15)</f>
        <v>26000</v>
      </c>
      <c r="I15" s="277">
        <f>DAY(EOMONTH('RJ ATTENDENCE SHEET'!$A$1,0))</f>
        <v>31</v>
      </c>
      <c r="J15" s="276">
        <f>IFERROR(VLOOKUP(C15,'RJ ATTENDENCE SHEET'!$C:$W,20,0),"")</f>
        <v>31</v>
      </c>
      <c r="K15" s="276">
        <f t="shared" ref="K15:K20" si="13">IFERROR(ROUND(E15/I15*J15,0),"")</f>
        <v>26000</v>
      </c>
      <c r="L15" s="276">
        <f t="shared" ref="L15:L20" si="14">IFERROR(F15/I15*J15,"")</f>
        <v>0</v>
      </c>
      <c r="M15" s="276">
        <f t="shared" ref="M15:M20" si="15">IFERROR(G15/I15*J15,"")</f>
        <v>0</v>
      </c>
      <c r="N15" s="276">
        <f t="shared" ref="N15:N20" si="16">SUM(K15:M15)</f>
        <v>26000</v>
      </c>
      <c r="O15" s="278" t="str">
        <f t="shared" si="6"/>
        <v>0</v>
      </c>
      <c r="P15" s="276">
        <f t="shared" si="7"/>
        <v>0</v>
      </c>
      <c r="Q15" s="279">
        <f t="shared" si="8"/>
        <v>150</v>
      </c>
      <c r="R15" s="276">
        <f>IFERROR(VLOOKUP(C15,'RJ ATTENDENCE SHEET'!$C:$S,17,0),"")</f>
        <v>0</v>
      </c>
      <c r="S15" s="276">
        <f t="shared" si="9"/>
        <v>150</v>
      </c>
      <c r="T15" s="276">
        <f t="shared" si="10"/>
        <v>25850</v>
      </c>
      <c r="U15" s="70"/>
      <c r="V15" s="47"/>
      <c r="W15" s="47"/>
      <c r="X15" s="47"/>
    </row>
    <row r="16" spans="1:25" ht="50.1" customHeight="1">
      <c r="A16" s="55">
        <v>8</v>
      </c>
      <c r="B16" s="55" t="str">
        <f>IFERROR(VLOOKUP(C16,'RJ ATTENDENCE SHEET'!$C:$D,2,0),"")</f>
        <v>TC 0205</v>
      </c>
      <c r="C16" s="55" t="str">
        <f>'DATA '!H10</f>
        <v>IMAN ALI MOLLA</v>
      </c>
      <c r="D16" s="55" t="str">
        <f t="shared" si="11"/>
        <v>TC 0205</v>
      </c>
      <c r="E16" s="62">
        <f>IFERROR(VLOOKUP(C16,'RJ ATTENDENCE SHEET'!$C:$L,3,0),"")</f>
        <v>10560</v>
      </c>
      <c r="F16" s="62">
        <f>IFERROR(VLOOKUP(C16,'RJ ATTENDENCE SHEET'!$C:$L,4,0),"")</f>
        <v>4000</v>
      </c>
      <c r="G16" s="62">
        <f>IFERROR(VLOOKUP(C16,'RJ ATTENDENCE SHEET'!$C:$L,5,0),"")</f>
        <v>2440</v>
      </c>
      <c r="H16" s="62">
        <f t="shared" si="12"/>
        <v>17000</v>
      </c>
      <c r="I16" s="81">
        <f>DAY(EOMONTH('RJ ATTENDENCE SHEET'!$A$1,0))</f>
        <v>31</v>
      </c>
      <c r="J16" s="62">
        <f>IFERROR(VLOOKUP(C16,'RJ ATTENDENCE SHEET'!$C:$W,20,0),"")</f>
        <v>31</v>
      </c>
      <c r="K16" s="62">
        <f t="shared" si="13"/>
        <v>10560</v>
      </c>
      <c r="L16" s="62">
        <f t="shared" si="14"/>
        <v>4000</v>
      </c>
      <c r="M16" s="62">
        <f t="shared" si="15"/>
        <v>2440</v>
      </c>
      <c r="N16" s="62">
        <f t="shared" si="16"/>
        <v>17000</v>
      </c>
      <c r="O16" s="58">
        <f t="shared" si="6"/>
        <v>1267</v>
      </c>
      <c r="P16" s="62">
        <f t="shared" si="7"/>
        <v>128</v>
      </c>
      <c r="Q16" s="69">
        <f t="shared" si="8"/>
        <v>130</v>
      </c>
      <c r="R16" s="62">
        <f>IFERROR(VLOOKUP(C16,'RJ ATTENDENCE SHEET'!$C:$S,17,0),"")</f>
        <v>0</v>
      </c>
      <c r="S16" s="62">
        <f t="shared" si="9"/>
        <v>1525</v>
      </c>
      <c r="T16" s="62">
        <f t="shared" si="10"/>
        <v>15475</v>
      </c>
      <c r="U16" s="70"/>
      <c r="V16" s="47"/>
      <c r="W16" s="47"/>
      <c r="X16" s="47"/>
    </row>
    <row r="17" spans="1:24" ht="50.1" customHeight="1">
      <c r="A17" s="55">
        <v>9</v>
      </c>
      <c r="B17" s="55" t="str">
        <f>IFERROR(VLOOKUP(C17,'RJ ATTENDENCE SHEET'!$C:$D,2,0),"")</f>
        <v>TC 0024</v>
      </c>
      <c r="C17" s="55" t="str">
        <f>'DATA '!H11</f>
        <v>PULIN MONDAL</v>
      </c>
      <c r="D17" s="55" t="str">
        <f t="shared" si="11"/>
        <v>TC 0024</v>
      </c>
      <c r="E17" s="62">
        <f>IFERROR(VLOOKUP(C17,'RJ ATTENDENCE SHEET'!$C:$L,3,0),"")</f>
        <v>10560</v>
      </c>
      <c r="F17" s="62">
        <f>IFERROR(VLOOKUP(C17,'RJ ATTENDENCE SHEET'!$C:$L,4,0),"")</f>
        <v>500</v>
      </c>
      <c r="G17" s="62">
        <f>IFERROR(VLOOKUP(C17,'RJ ATTENDENCE SHEET'!$C:$L,5,0),"")</f>
        <v>440</v>
      </c>
      <c r="H17" s="62">
        <f t="shared" si="12"/>
        <v>11500</v>
      </c>
      <c r="I17" s="81">
        <f>DAY(EOMONTH('RJ ATTENDENCE SHEET'!$A$1,0))</f>
        <v>31</v>
      </c>
      <c r="J17" s="62">
        <f>IFERROR(VLOOKUP(C17,'RJ ATTENDENCE SHEET'!$C:$W,20,0),"")</f>
        <v>31</v>
      </c>
      <c r="K17" s="62">
        <f t="shared" si="13"/>
        <v>10560</v>
      </c>
      <c r="L17" s="62">
        <f t="shared" si="14"/>
        <v>500</v>
      </c>
      <c r="M17" s="62">
        <f t="shared" si="15"/>
        <v>440</v>
      </c>
      <c r="N17" s="62">
        <f t="shared" si="16"/>
        <v>11500</v>
      </c>
      <c r="O17" s="58">
        <f t="shared" si="6"/>
        <v>1267</v>
      </c>
      <c r="P17" s="62">
        <f t="shared" si="7"/>
        <v>87</v>
      </c>
      <c r="Q17" s="69">
        <f t="shared" si="8"/>
        <v>110</v>
      </c>
      <c r="R17" s="62">
        <f>IFERROR(VLOOKUP(C17,'RJ ATTENDENCE SHEET'!$C:$S,17,0),"")</f>
        <v>0</v>
      </c>
      <c r="S17" s="62">
        <f t="shared" si="9"/>
        <v>1464</v>
      </c>
      <c r="T17" s="62">
        <f t="shared" si="10"/>
        <v>10036</v>
      </c>
      <c r="U17" s="70"/>
      <c r="V17" s="47"/>
      <c r="W17" s="47"/>
      <c r="X17" s="47"/>
    </row>
    <row r="18" spans="1:24" ht="50.1" customHeight="1">
      <c r="A18" s="55">
        <v>10</v>
      </c>
      <c r="B18" s="55" t="str">
        <f>IFERROR(VLOOKUP(C18,'RJ ATTENDENCE SHEET'!$C:$D,2,0),"")</f>
        <v>TC 0040</v>
      </c>
      <c r="C18" s="55" t="str">
        <f>'DATA '!H12</f>
        <v>RAJU PAL</v>
      </c>
      <c r="D18" s="55" t="str">
        <f t="shared" si="11"/>
        <v>TC 0040</v>
      </c>
      <c r="E18" s="62">
        <f>IFERROR(VLOOKUP(C18,'RJ ATTENDENCE SHEET'!$C:$L,3,0),"")</f>
        <v>11620</v>
      </c>
      <c r="F18" s="62">
        <f>IFERROR(VLOOKUP(C18,'RJ ATTENDENCE SHEET'!$C:$L,4,0),"")</f>
        <v>5000</v>
      </c>
      <c r="G18" s="62">
        <f>IFERROR(VLOOKUP(C18,'RJ ATTENDENCE SHEET'!$C:$L,5,0),"")</f>
        <v>3380</v>
      </c>
      <c r="H18" s="62">
        <f t="shared" si="12"/>
        <v>20000</v>
      </c>
      <c r="I18" s="81">
        <f>DAY(EOMONTH('RJ ATTENDENCE SHEET'!$A$1,0))</f>
        <v>31</v>
      </c>
      <c r="J18" s="62">
        <f>IFERROR(VLOOKUP(C18,'RJ ATTENDENCE SHEET'!$C:$W,20,0),"")</f>
        <v>31</v>
      </c>
      <c r="K18" s="62">
        <f t="shared" si="13"/>
        <v>11620</v>
      </c>
      <c r="L18" s="62">
        <f t="shared" si="14"/>
        <v>5000</v>
      </c>
      <c r="M18" s="62">
        <f t="shared" si="15"/>
        <v>3380</v>
      </c>
      <c r="N18" s="62">
        <f t="shared" si="16"/>
        <v>20000</v>
      </c>
      <c r="O18" s="58">
        <f t="shared" si="6"/>
        <v>1394</v>
      </c>
      <c r="P18" s="62">
        <f t="shared" si="7"/>
        <v>150</v>
      </c>
      <c r="Q18" s="69">
        <f t="shared" si="8"/>
        <v>130</v>
      </c>
      <c r="R18" s="62">
        <f>IFERROR(VLOOKUP(C18,'RJ ATTENDENCE SHEET'!$C:$S,17,0),"")</f>
        <v>0</v>
      </c>
      <c r="S18" s="62">
        <f t="shared" si="9"/>
        <v>1674</v>
      </c>
      <c r="T18" s="62">
        <f t="shared" si="10"/>
        <v>18326</v>
      </c>
      <c r="U18" s="70"/>
      <c r="V18" s="47"/>
      <c r="W18" s="47"/>
      <c r="X18" s="47"/>
    </row>
    <row r="19" spans="1:24" ht="50.1" customHeight="1">
      <c r="A19" s="55">
        <v>11</v>
      </c>
      <c r="B19" s="55" t="str">
        <f>IFERROR(VLOOKUP(C19,'RJ ATTENDENCE SHEET'!$C:$D,2,0),"")</f>
        <v>TC 0032</v>
      </c>
      <c r="C19" s="55" t="str">
        <f>'DATA '!H13</f>
        <v>UJJAL MUKHERJEE</v>
      </c>
      <c r="D19" s="55" t="str">
        <f t="shared" si="11"/>
        <v>TC 0032</v>
      </c>
      <c r="E19" s="62">
        <f>IFERROR(VLOOKUP(C19,'RJ ATTENDENCE SHEET'!$C:$L,3,0),"")</f>
        <v>10560</v>
      </c>
      <c r="F19" s="62">
        <f>IFERROR(VLOOKUP(C19,'RJ ATTENDENCE SHEET'!$C:$L,4,0),"")</f>
        <v>5000</v>
      </c>
      <c r="G19" s="62">
        <f>IFERROR(VLOOKUP(C19,'RJ ATTENDENCE SHEET'!$C:$L,5,0),"")</f>
        <v>4440</v>
      </c>
      <c r="H19" s="62">
        <f t="shared" si="12"/>
        <v>20000</v>
      </c>
      <c r="I19" s="81">
        <f>DAY(EOMONTH('RJ ATTENDENCE SHEET'!$A$1,0))</f>
        <v>31</v>
      </c>
      <c r="J19" s="62">
        <f>IFERROR(VLOOKUP(C19,'RJ ATTENDENCE SHEET'!$C:$W,20,0),"")</f>
        <v>31</v>
      </c>
      <c r="K19" s="62">
        <f t="shared" si="13"/>
        <v>10560</v>
      </c>
      <c r="L19" s="62">
        <f t="shared" si="14"/>
        <v>5000</v>
      </c>
      <c r="M19" s="62">
        <f t="shared" si="15"/>
        <v>4440</v>
      </c>
      <c r="N19" s="62">
        <f t="shared" si="16"/>
        <v>20000</v>
      </c>
      <c r="O19" s="58">
        <f t="shared" si="6"/>
        <v>1267</v>
      </c>
      <c r="P19" s="62">
        <f t="shared" si="7"/>
        <v>150</v>
      </c>
      <c r="Q19" s="69">
        <f t="shared" si="8"/>
        <v>130</v>
      </c>
      <c r="R19" s="62">
        <f>IFERROR(VLOOKUP(C19,'RJ ATTENDENCE SHEET'!$C:$S,17,0),"")</f>
        <v>0</v>
      </c>
      <c r="S19" s="62">
        <f t="shared" si="9"/>
        <v>1547</v>
      </c>
      <c r="T19" s="62">
        <f t="shared" si="10"/>
        <v>18453</v>
      </c>
      <c r="U19" s="70"/>
      <c r="V19" s="47"/>
      <c r="W19" s="47"/>
      <c r="X19" s="47"/>
    </row>
    <row r="20" spans="1:24" ht="50.1" customHeight="1">
      <c r="A20" s="55">
        <v>12</v>
      </c>
      <c r="B20" s="55" t="str">
        <f>IFERROR(VLOOKUP(C20,'RJ ATTENDENCE SHEET'!$C:$D,2,0),"")</f>
        <v>TC0271</v>
      </c>
      <c r="C20" s="55" t="str">
        <f>'DATA '!H14</f>
        <v>PROBIR GHOSH</v>
      </c>
      <c r="D20" s="55" t="str">
        <f t="shared" si="11"/>
        <v>TC0271</v>
      </c>
      <c r="E20" s="62">
        <f>IFERROR(VLOOKUP(C20,'RJ ATTENDENCE SHEET'!$C:$L,3,0),"")</f>
        <v>10560</v>
      </c>
      <c r="F20" s="62">
        <f>IFERROR(VLOOKUP(C20,'RJ ATTENDENCE SHEET'!$C:$L,4,0),"")</f>
        <v>3940</v>
      </c>
      <c r="G20" s="62">
        <f>IFERROR(VLOOKUP(C20,'RJ ATTENDENCE SHEET'!$C:$L,5,0),"")</f>
        <v>2000</v>
      </c>
      <c r="H20" s="62">
        <f t="shared" si="12"/>
        <v>16500</v>
      </c>
      <c r="I20" s="81">
        <f>DAY(EOMONTH('RJ ATTENDENCE SHEET'!$A$1,0))</f>
        <v>31</v>
      </c>
      <c r="J20" s="62">
        <f>IFERROR(VLOOKUP(C20,'RJ ATTENDENCE SHEET'!$C:$W,20,0),"")</f>
        <v>31</v>
      </c>
      <c r="K20" s="62">
        <f t="shared" si="13"/>
        <v>10560</v>
      </c>
      <c r="L20" s="62">
        <f t="shared" si="14"/>
        <v>3940</v>
      </c>
      <c r="M20" s="62">
        <f t="shared" si="15"/>
        <v>2000</v>
      </c>
      <c r="N20" s="62">
        <f t="shared" si="16"/>
        <v>16500</v>
      </c>
      <c r="O20" s="58">
        <f t="shared" si="6"/>
        <v>1267</v>
      </c>
      <c r="P20" s="62">
        <f t="shared" si="7"/>
        <v>124</v>
      </c>
      <c r="Q20" s="69">
        <f t="shared" si="8"/>
        <v>130</v>
      </c>
      <c r="R20" s="62">
        <f>IFERROR(VLOOKUP(C20,'RJ ATTENDENCE SHEET'!$C:$S,17,0),"")</f>
        <v>0</v>
      </c>
      <c r="S20" s="62">
        <f t="shared" si="9"/>
        <v>1521</v>
      </c>
      <c r="T20" s="62">
        <f t="shared" si="10"/>
        <v>14979</v>
      </c>
      <c r="U20" s="70"/>
      <c r="V20" s="47"/>
      <c r="W20" s="47"/>
      <c r="X20" s="47"/>
    </row>
    <row r="21" spans="1:24" ht="50.1" customHeight="1">
      <c r="A21" s="275">
        <v>13</v>
      </c>
      <c r="B21" s="275" t="str">
        <f>IFERROR(VLOOKUP(C21,'RJ ATTENDENCE SHEET'!$C:$D,2,0),"")</f>
        <v>TC0367</v>
      </c>
      <c r="C21" s="275" t="str">
        <f>'DATA '!H15</f>
        <v>NABA KUMAR  BISWAS</v>
      </c>
      <c r="D21" s="275" t="str">
        <f t="shared" ref="D21:D26" si="17">B21</f>
        <v>TC0367</v>
      </c>
      <c r="E21" s="276">
        <f>IFERROR(VLOOKUP(C21,'RJ ATTENDENCE SHEET'!$C:$L,3,0),"")</f>
        <v>25000</v>
      </c>
      <c r="F21" s="276">
        <f>IFERROR(VLOOKUP(C21,'RJ ATTENDENCE SHEET'!$C:$L,4,0),"")</f>
        <v>0</v>
      </c>
      <c r="G21" s="276">
        <f>IFERROR(VLOOKUP(C21,'RJ ATTENDENCE SHEET'!$C:$L,5,0),"")</f>
        <v>0</v>
      </c>
      <c r="H21" s="276">
        <f t="shared" ref="H21:H26" si="18">SUM(E21:G21)</f>
        <v>25000</v>
      </c>
      <c r="I21" s="277">
        <f>DAY(EOMONTH('RJ ATTENDENCE SHEET'!$A$1,0))</f>
        <v>31</v>
      </c>
      <c r="J21" s="276">
        <f>IFERROR(VLOOKUP(C21,'RJ ATTENDENCE SHEET'!$C:$W,20,0),"")</f>
        <v>28</v>
      </c>
      <c r="K21" s="276">
        <f t="shared" ref="K21:K26" si="19">IFERROR(ROUND(E21/I21*J21,0),"")</f>
        <v>22581</v>
      </c>
      <c r="L21" s="276">
        <f t="shared" ref="L21:L26" si="20">IFERROR(F21/I21*J21,"")</f>
        <v>0</v>
      </c>
      <c r="M21" s="276">
        <f t="shared" ref="M21:M26" si="21">IFERROR(G21/I21*J21,"")</f>
        <v>0</v>
      </c>
      <c r="N21" s="276">
        <f t="shared" ref="N21:N26" si="22">SUM(K21:M21)</f>
        <v>22581</v>
      </c>
      <c r="O21" s="278" t="str">
        <f t="shared" si="6"/>
        <v>0</v>
      </c>
      <c r="P21" s="276">
        <f t="shared" si="7"/>
        <v>0</v>
      </c>
      <c r="Q21" s="279">
        <f t="shared" si="8"/>
        <v>130</v>
      </c>
      <c r="R21" s="276">
        <f>IFERROR(VLOOKUP(C21,'RJ ATTENDENCE SHEET'!$C:$S,17,0),"")</f>
        <v>0</v>
      </c>
      <c r="S21" s="276">
        <f t="shared" si="9"/>
        <v>130</v>
      </c>
      <c r="T21" s="276">
        <f t="shared" si="10"/>
        <v>22451</v>
      </c>
      <c r="U21" s="70"/>
      <c r="V21" s="47"/>
      <c r="W21" s="47"/>
      <c r="X21" s="47"/>
    </row>
    <row r="22" spans="1:24" ht="50.1" customHeight="1">
      <c r="A22" s="275">
        <v>14</v>
      </c>
      <c r="B22" s="275" t="str">
        <f>IFERROR(VLOOKUP(C22,'RJ ATTENDENCE SHEET'!$C:$D,2,0),"")</f>
        <v>TC 0213</v>
      </c>
      <c r="C22" s="275" t="str">
        <f>'DATA '!H16</f>
        <v>ASIM KHUNTIA</v>
      </c>
      <c r="D22" s="275" t="str">
        <f t="shared" si="17"/>
        <v>TC 0213</v>
      </c>
      <c r="E22" s="276">
        <f>IFERROR(VLOOKUP(C22,'RJ ATTENDENCE SHEET'!$C:$L,3,0),"")</f>
        <v>33000</v>
      </c>
      <c r="F22" s="276">
        <f>IFERROR(VLOOKUP(C22,'RJ ATTENDENCE SHEET'!$C:$L,4,0),"")</f>
        <v>7000</v>
      </c>
      <c r="G22" s="276">
        <f>IFERROR(VLOOKUP(C22,'RJ ATTENDENCE SHEET'!$C:$L,5,0),"")</f>
        <v>0</v>
      </c>
      <c r="H22" s="276">
        <f t="shared" si="18"/>
        <v>40000</v>
      </c>
      <c r="I22" s="277">
        <f>DAY(EOMONTH('RJ ATTENDENCE SHEET'!$A$1,0))</f>
        <v>31</v>
      </c>
      <c r="J22" s="276">
        <f>IFERROR(VLOOKUP(C22,'RJ ATTENDENCE SHEET'!$C:$W,20,0),"")</f>
        <v>31</v>
      </c>
      <c r="K22" s="276">
        <f t="shared" si="19"/>
        <v>33000</v>
      </c>
      <c r="L22" s="276">
        <f t="shared" si="20"/>
        <v>7000</v>
      </c>
      <c r="M22" s="276">
        <f t="shared" si="21"/>
        <v>0</v>
      </c>
      <c r="N22" s="276">
        <f t="shared" si="22"/>
        <v>40000</v>
      </c>
      <c r="O22" s="278" t="str">
        <f t="shared" si="6"/>
        <v>0</v>
      </c>
      <c r="P22" s="276">
        <f t="shared" si="7"/>
        <v>0</v>
      </c>
      <c r="Q22" s="279">
        <f t="shared" si="8"/>
        <v>150</v>
      </c>
      <c r="R22" s="276">
        <f>IFERROR(VLOOKUP(C22,'RJ ATTENDENCE SHEET'!$C:$S,17,0),"")</f>
        <v>0</v>
      </c>
      <c r="S22" s="276">
        <f t="shared" si="9"/>
        <v>150</v>
      </c>
      <c r="T22" s="276">
        <f t="shared" si="10"/>
        <v>39850</v>
      </c>
      <c r="U22" s="70"/>
      <c r="V22" s="47"/>
      <c r="W22" s="47"/>
      <c r="X22" s="47"/>
    </row>
    <row r="23" spans="1:24" ht="50.1" customHeight="1">
      <c r="A23" s="55">
        <v>16</v>
      </c>
      <c r="B23" s="55" t="s">
        <v>193</v>
      </c>
      <c r="C23" s="55" t="str">
        <f>'DATA '!H17</f>
        <v>MANABINDU BISWAS</v>
      </c>
      <c r="D23" s="55"/>
      <c r="E23" s="62">
        <f>IFERROR(VLOOKUP(C23,'RJ ATTENDENCE SHEET'!$C:$L,3,0),"")</f>
        <v>10560</v>
      </c>
      <c r="F23" s="62">
        <f>IFERROR(VLOOKUP(C23,'RJ ATTENDENCE SHEET'!$C:$L,4,0),"")</f>
        <v>3940</v>
      </c>
      <c r="G23" s="62">
        <f>IFERROR(VLOOKUP(C23,'RJ ATTENDENCE SHEET'!$C:$L,5,0),"")</f>
        <v>2000</v>
      </c>
      <c r="H23" s="62">
        <f t="shared" si="18"/>
        <v>16500</v>
      </c>
      <c r="I23" s="81">
        <f>DAY(EOMONTH('RJ ATTENDENCE SHEET'!$A$1,0))</f>
        <v>31</v>
      </c>
      <c r="J23" s="62">
        <f>IFERROR(VLOOKUP(C23,'RJ ATTENDENCE SHEET'!$C:$W,20,0),"")</f>
        <v>30</v>
      </c>
      <c r="K23" s="62">
        <f t="shared" si="19"/>
        <v>10219</v>
      </c>
      <c r="L23" s="62">
        <f t="shared" si="20"/>
        <v>3812.9032258064517</v>
      </c>
      <c r="M23" s="62">
        <f t="shared" si="21"/>
        <v>1935.483870967742</v>
      </c>
      <c r="N23" s="62">
        <f t="shared" si="22"/>
        <v>15967.387096774193</v>
      </c>
      <c r="O23" s="58">
        <f t="shared" si="6"/>
        <v>1226</v>
      </c>
      <c r="P23" s="62">
        <f t="shared" si="7"/>
        <v>120</v>
      </c>
      <c r="Q23" s="69">
        <f t="shared" si="8"/>
        <v>130</v>
      </c>
      <c r="R23" s="62">
        <f>IFERROR(VLOOKUP(C23,'RJ ATTENDENCE SHEET'!$C:$S,17,0),"")</f>
        <v>0</v>
      </c>
      <c r="S23" s="62">
        <f t="shared" si="9"/>
        <v>1476</v>
      </c>
      <c r="T23" s="62">
        <f t="shared" si="10"/>
        <v>14491.387096774193</v>
      </c>
      <c r="U23" s="70"/>
      <c r="V23" s="47"/>
      <c r="W23" s="47"/>
      <c r="X23" s="47"/>
    </row>
    <row r="24" spans="1:24" ht="50.1" customHeight="1">
      <c r="A24" s="275">
        <v>17</v>
      </c>
      <c r="B24" s="275" t="str">
        <f>IFERROR(VLOOKUP(C24,'RJ ATTENDENCE SHEET'!$C:$D,2,0),"")</f>
        <v>TC 0411</v>
      </c>
      <c r="C24" s="275" t="str">
        <f>'DATA '!H18</f>
        <v>SUVANKAR SAMADDAR</v>
      </c>
      <c r="D24" s="275" t="str">
        <f t="shared" si="17"/>
        <v>TC 0411</v>
      </c>
      <c r="E24" s="276">
        <f>IFERROR(VLOOKUP(C24,'RJ ATTENDENCE SHEET'!$C:$L,3,0),"")</f>
        <v>23000</v>
      </c>
      <c r="F24" s="276">
        <f>IFERROR(VLOOKUP(C24,'RJ ATTENDENCE SHEET'!$C:$L,4,0),"")</f>
        <v>0</v>
      </c>
      <c r="G24" s="276">
        <f>IFERROR(VLOOKUP(C24,'RJ ATTENDENCE SHEET'!$C:$L,5,0),"")</f>
        <v>0</v>
      </c>
      <c r="H24" s="276">
        <f t="shared" si="18"/>
        <v>23000</v>
      </c>
      <c r="I24" s="277">
        <f>DAY(EOMONTH('RJ ATTENDENCE SHEET'!$A$1,0))</f>
        <v>31</v>
      </c>
      <c r="J24" s="276">
        <f>IFERROR(VLOOKUP(C24,'RJ ATTENDENCE SHEET'!$C:$W,20,0),"")</f>
        <v>30</v>
      </c>
      <c r="K24" s="276">
        <f t="shared" si="19"/>
        <v>22258</v>
      </c>
      <c r="L24" s="276">
        <f t="shared" si="20"/>
        <v>0</v>
      </c>
      <c r="M24" s="276">
        <f t="shared" si="21"/>
        <v>0</v>
      </c>
      <c r="N24" s="276">
        <f t="shared" si="22"/>
        <v>22258</v>
      </c>
      <c r="O24" s="278" t="str">
        <f t="shared" si="6"/>
        <v>0</v>
      </c>
      <c r="P24" s="276">
        <f t="shared" si="7"/>
        <v>0</v>
      </c>
      <c r="Q24" s="279">
        <f t="shared" si="8"/>
        <v>130</v>
      </c>
      <c r="R24" s="276">
        <f>IFERROR(VLOOKUP(C24,'RJ ATTENDENCE SHEET'!$C:$S,17,0),"")</f>
        <v>0</v>
      </c>
      <c r="S24" s="276">
        <f t="shared" si="9"/>
        <v>130</v>
      </c>
      <c r="T24" s="276">
        <f t="shared" si="10"/>
        <v>22128</v>
      </c>
      <c r="U24" s="70"/>
      <c r="V24" s="47"/>
      <c r="W24" s="47"/>
      <c r="X24" s="47"/>
    </row>
    <row r="25" spans="1:24" ht="50.1" hidden="1" customHeight="1">
      <c r="A25" s="55">
        <v>18</v>
      </c>
      <c r="B25" s="55" t="str">
        <f>IFERROR(VLOOKUP(C25,'RJ ATTENDENCE SHEET'!$C:$D,2,0),"")</f>
        <v/>
      </c>
      <c r="C25" s="55" t="str">
        <f>'DATA '!H20</f>
        <v/>
      </c>
      <c r="D25" s="55" t="str">
        <f t="shared" si="17"/>
        <v/>
      </c>
      <c r="E25" s="62" t="str">
        <f>IFERROR(VLOOKUP(C25,'RJ ATTENDENCE SHEET'!$C:$L,3,0),"")</f>
        <v/>
      </c>
      <c r="F25" s="62" t="str">
        <f>IFERROR(VLOOKUP(C25,'RJ ATTENDENCE SHEET'!$C:$L,4,0),"")</f>
        <v/>
      </c>
      <c r="G25" s="62" t="str">
        <f>IFERROR(VLOOKUP(C25,'RJ ATTENDENCE SHEET'!$C:$L,5,0),"")</f>
        <v/>
      </c>
      <c r="H25" s="62">
        <f t="shared" si="18"/>
        <v>0</v>
      </c>
      <c r="I25" s="81">
        <f>DAY(EOMONTH('RJ ATTENDENCE SHEET'!$A$1,0))</f>
        <v>31</v>
      </c>
      <c r="J25" s="62" t="str">
        <f>IFERROR(VLOOKUP(C25,'RJ ATTENDENCE SHEET'!$C:$W,20,0),"")</f>
        <v/>
      </c>
      <c r="K25" s="62" t="str">
        <f t="shared" si="19"/>
        <v/>
      </c>
      <c r="L25" s="62" t="str">
        <f t="shared" si="20"/>
        <v/>
      </c>
      <c r="M25" s="62" t="str">
        <f t="shared" si="21"/>
        <v/>
      </c>
      <c r="N25" s="62">
        <f t="shared" si="22"/>
        <v>0</v>
      </c>
      <c r="O25" s="58" t="str">
        <f t="shared" si="6"/>
        <v>0</v>
      </c>
      <c r="P25" s="62">
        <f t="shared" ref="P25:P50" si="23">IF(C25="ARDHENDU ADHIKARY",0,ROUNDUP(N25*0.75%,0))</f>
        <v>0</v>
      </c>
      <c r="Q25" s="69">
        <f t="shared" si="8"/>
        <v>0</v>
      </c>
      <c r="R25" s="62" t="str">
        <f>IFERROR(VLOOKUP(C25,'RJ ATTENDENCE SHEET'!$C:$S,17,0),"")</f>
        <v/>
      </c>
      <c r="S25" s="62">
        <f t="shared" si="9"/>
        <v>0</v>
      </c>
      <c r="T25" s="62">
        <f t="shared" si="10"/>
        <v>0</v>
      </c>
      <c r="U25" s="70"/>
      <c r="V25" s="47"/>
      <c r="W25" s="47"/>
      <c r="X25" s="47"/>
    </row>
    <row r="26" spans="1:24" ht="50.1" hidden="1" customHeight="1">
      <c r="A26" s="55">
        <v>19</v>
      </c>
      <c r="B26" s="55" t="str">
        <f>IFERROR(VLOOKUP(C26,'RJ ATTENDENCE SHEET'!$C:$D,2,0),"")</f>
        <v/>
      </c>
      <c r="C26" s="55" t="str">
        <f>'DATA '!H21</f>
        <v/>
      </c>
      <c r="D26" s="55" t="str">
        <f t="shared" si="17"/>
        <v/>
      </c>
      <c r="E26" s="62" t="str">
        <f>IFERROR(VLOOKUP(C26,'RJ ATTENDENCE SHEET'!$C:$L,3,0),"")</f>
        <v/>
      </c>
      <c r="F26" s="62" t="str">
        <f>IFERROR(VLOOKUP(C26,'RJ ATTENDENCE SHEET'!$C:$L,4,0),"")</f>
        <v/>
      </c>
      <c r="G26" s="62" t="str">
        <f>IFERROR(VLOOKUP(C26,'RJ ATTENDENCE SHEET'!$C:$L,5,0),"")</f>
        <v/>
      </c>
      <c r="H26" s="62">
        <f t="shared" si="18"/>
        <v>0</v>
      </c>
      <c r="I26" s="81">
        <f>DAY(EOMONTH('RJ ATTENDENCE SHEET'!$A$1,0))</f>
        <v>31</v>
      </c>
      <c r="J26" s="62" t="str">
        <f>IFERROR(VLOOKUP(C26,'RJ ATTENDENCE SHEET'!$C:$W,20,0),"")</f>
        <v/>
      </c>
      <c r="K26" s="62" t="str">
        <f t="shared" si="19"/>
        <v/>
      </c>
      <c r="L26" s="62" t="str">
        <f t="shared" si="20"/>
        <v/>
      </c>
      <c r="M26" s="62" t="str">
        <f t="shared" si="21"/>
        <v/>
      </c>
      <c r="N26" s="62">
        <f t="shared" si="22"/>
        <v>0</v>
      </c>
      <c r="O26" s="58" t="str">
        <f t="shared" si="6"/>
        <v>0</v>
      </c>
      <c r="P26" s="62">
        <f t="shared" si="23"/>
        <v>0</v>
      </c>
      <c r="Q26" s="69">
        <f t="shared" si="8"/>
        <v>0</v>
      </c>
      <c r="R26" s="62" t="str">
        <f>IFERROR(VLOOKUP(C26,'RJ ATTENDENCE SHEET'!$C:$S,17,0),"")</f>
        <v/>
      </c>
      <c r="S26" s="62">
        <f t="shared" si="9"/>
        <v>0</v>
      </c>
      <c r="T26" s="62">
        <f t="shared" si="10"/>
        <v>0</v>
      </c>
      <c r="U26" s="70"/>
      <c r="V26" s="47"/>
      <c r="W26" s="47"/>
      <c r="X26" s="47"/>
    </row>
    <row r="27" spans="1:24" ht="50.1" hidden="1" customHeight="1">
      <c r="A27" s="55">
        <v>20</v>
      </c>
      <c r="B27" s="55" t="str">
        <f>IFERROR(VLOOKUP(C27,'RJ ATTENDENCE SHEET'!$C:$D,2,0),"")</f>
        <v/>
      </c>
      <c r="C27" s="55" t="str">
        <f>'DATA '!H22</f>
        <v/>
      </c>
      <c r="D27" s="55" t="str">
        <f t="shared" ref="D27:D50" si="24">B27</f>
        <v/>
      </c>
      <c r="E27" s="62" t="str">
        <f>IFERROR(VLOOKUP(C27,'RJ ATTENDENCE SHEET'!$C:$L,3,0),"")</f>
        <v/>
      </c>
      <c r="F27" s="62" t="str">
        <f>IFERROR(VLOOKUP(C27,'RJ ATTENDENCE SHEET'!$C:$L,4,0),"")</f>
        <v/>
      </c>
      <c r="G27" s="62" t="str">
        <f>IFERROR(VLOOKUP(C27,'RJ ATTENDENCE SHEET'!$C:$L,5,0),"")</f>
        <v/>
      </c>
      <c r="H27" s="62">
        <f t="shared" ref="H27:H50" si="25">SUM(E27:G27)</f>
        <v>0</v>
      </c>
      <c r="I27" s="81">
        <f>DAY(EOMONTH('RJ ATTENDENCE SHEET'!$A$1,0))</f>
        <v>31</v>
      </c>
      <c r="J27" s="62" t="str">
        <f>IFERROR(VLOOKUP(C27,'RJ ATTENDENCE SHEET'!$C:$W,20,0),"")</f>
        <v/>
      </c>
      <c r="K27" s="62" t="str">
        <f t="shared" ref="K27:K50" si="26">IFERROR(ROUND(E27/I27*J27,0),"")</f>
        <v/>
      </c>
      <c r="L27" s="62" t="str">
        <f t="shared" ref="L27:L50" si="27">IFERROR(F27/I27*J27,"")</f>
        <v/>
      </c>
      <c r="M27" s="62" t="str">
        <f t="shared" ref="M27:M50" si="28">IFERROR(G27/I27*J27,"")</f>
        <v/>
      </c>
      <c r="N27" s="62">
        <f t="shared" ref="N27:N50" si="29">SUM(K27:M27)</f>
        <v>0</v>
      </c>
      <c r="O27" s="58" t="str">
        <f t="shared" si="6"/>
        <v>0</v>
      </c>
      <c r="P27" s="62">
        <f t="shared" si="23"/>
        <v>0</v>
      </c>
      <c r="Q27" s="69">
        <f t="shared" si="8"/>
        <v>0</v>
      </c>
      <c r="R27" s="62" t="str">
        <f>IFERROR(VLOOKUP(C27,'RJ ATTENDENCE SHEET'!$C:$S,17,0),"")</f>
        <v/>
      </c>
      <c r="S27" s="62">
        <f t="shared" si="9"/>
        <v>0</v>
      </c>
      <c r="T27" s="62">
        <f t="shared" si="10"/>
        <v>0</v>
      </c>
      <c r="U27" s="70"/>
      <c r="V27" s="47"/>
      <c r="W27" s="47"/>
      <c r="X27" s="47"/>
    </row>
    <row r="28" spans="1:24" ht="50.1" hidden="1" customHeight="1">
      <c r="A28" s="55">
        <v>21</v>
      </c>
      <c r="B28" s="55" t="str">
        <f>IFERROR(VLOOKUP(C28,'RJ ATTENDENCE SHEET'!$C:$D,2,0),"")</f>
        <v/>
      </c>
      <c r="C28" s="55" t="str">
        <f>'DATA '!H23</f>
        <v/>
      </c>
      <c r="D28" s="55" t="str">
        <f t="shared" si="24"/>
        <v/>
      </c>
      <c r="E28" s="62" t="str">
        <f>IFERROR(VLOOKUP(C28,'RJ ATTENDENCE SHEET'!$C:$L,3,0),"")</f>
        <v/>
      </c>
      <c r="F28" s="62" t="str">
        <f>IFERROR(VLOOKUP(C28,'RJ ATTENDENCE SHEET'!$C:$L,4,0),"")</f>
        <v/>
      </c>
      <c r="G28" s="62" t="str">
        <f>IFERROR(VLOOKUP(C28,'RJ ATTENDENCE SHEET'!$C:$L,5,0),"")</f>
        <v/>
      </c>
      <c r="H28" s="62">
        <f t="shared" si="25"/>
        <v>0</v>
      </c>
      <c r="I28" s="81">
        <f>DAY(EOMONTH('RJ ATTENDENCE SHEET'!$A$1,0))</f>
        <v>31</v>
      </c>
      <c r="J28" s="62" t="str">
        <f>IFERROR(VLOOKUP(C28,'RJ ATTENDENCE SHEET'!$C:$W,20,0),"")</f>
        <v/>
      </c>
      <c r="K28" s="62" t="str">
        <f t="shared" si="26"/>
        <v/>
      </c>
      <c r="L28" s="62" t="str">
        <f t="shared" si="27"/>
        <v/>
      </c>
      <c r="M28" s="62" t="str">
        <f t="shared" si="28"/>
        <v/>
      </c>
      <c r="N28" s="62">
        <f t="shared" si="29"/>
        <v>0</v>
      </c>
      <c r="O28" s="58" t="str">
        <f t="shared" si="6"/>
        <v>0</v>
      </c>
      <c r="P28" s="62">
        <f t="shared" si="23"/>
        <v>0</v>
      </c>
      <c r="Q28" s="69">
        <f t="shared" si="8"/>
        <v>0</v>
      </c>
      <c r="R28" s="62" t="str">
        <f>IFERROR(VLOOKUP(C28,'RJ ATTENDENCE SHEET'!$C:$S,17,0),"")</f>
        <v/>
      </c>
      <c r="S28" s="62">
        <f t="shared" si="9"/>
        <v>0</v>
      </c>
      <c r="T28" s="62">
        <f t="shared" si="10"/>
        <v>0</v>
      </c>
      <c r="U28" s="70"/>
      <c r="V28" s="47"/>
      <c r="W28" s="47"/>
      <c r="X28" s="47"/>
    </row>
    <row r="29" spans="1:24" ht="50.1" hidden="1" customHeight="1">
      <c r="A29" s="55">
        <v>22</v>
      </c>
      <c r="B29" s="55" t="str">
        <f>IFERROR(VLOOKUP(C29,'RJ ATTENDENCE SHEET'!$C:$D,2,0),"")</f>
        <v/>
      </c>
      <c r="C29" s="55" t="str">
        <f>'DATA '!H24</f>
        <v/>
      </c>
      <c r="D29" s="55" t="str">
        <f t="shared" si="24"/>
        <v/>
      </c>
      <c r="E29" s="62" t="str">
        <f>IFERROR(VLOOKUP(C29,'RJ ATTENDENCE SHEET'!$C:$L,3,0),"")</f>
        <v/>
      </c>
      <c r="F29" s="62" t="str">
        <f>IFERROR(VLOOKUP(C29,'RJ ATTENDENCE SHEET'!$C:$L,4,0),"")</f>
        <v/>
      </c>
      <c r="G29" s="62" t="str">
        <f>IFERROR(VLOOKUP(C29,'RJ ATTENDENCE SHEET'!$C:$L,5,0),"")</f>
        <v/>
      </c>
      <c r="H29" s="62">
        <f t="shared" si="25"/>
        <v>0</v>
      </c>
      <c r="I29" s="81">
        <f>DAY(EOMONTH('RJ ATTENDENCE SHEET'!$A$1,0))</f>
        <v>31</v>
      </c>
      <c r="J29" s="62" t="str">
        <f>IFERROR(VLOOKUP(C29,'RJ ATTENDENCE SHEET'!$C:$W,20,0),"")</f>
        <v/>
      </c>
      <c r="K29" s="62" t="str">
        <f t="shared" si="26"/>
        <v/>
      </c>
      <c r="L29" s="62" t="str">
        <f t="shared" si="27"/>
        <v/>
      </c>
      <c r="M29" s="62" t="str">
        <f t="shared" si="28"/>
        <v/>
      </c>
      <c r="N29" s="62">
        <f t="shared" si="29"/>
        <v>0</v>
      </c>
      <c r="O29" s="58" t="str">
        <f t="shared" si="6"/>
        <v>0</v>
      </c>
      <c r="P29" s="62">
        <f t="shared" si="23"/>
        <v>0</v>
      </c>
      <c r="Q29" s="69">
        <f t="shared" si="8"/>
        <v>0</v>
      </c>
      <c r="R29" s="62" t="str">
        <f>IFERROR(VLOOKUP(C29,'RJ ATTENDENCE SHEET'!$C:$S,17,0),"")</f>
        <v/>
      </c>
      <c r="S29" s="62">
        <f t="shared" si="9"/>
        <v>0</v>
      </c>
      <c r="T29" s="62">
        <f t="shared" si="10"/>
        <v>0</v>
      </c>
      <c r="U29" s="70"/>
      <c r="V29" s="47"/>
      <c r="W29" s="47"/>
      <c r="X29" s="47"/>
    </row>
    <row r="30" spans="1:24" ht="50.1" hidden="1" customHeight="1">
      <c r="A30" s="55">
        <v>23</v>
      </c>
      <c r="B30" s="55" t="str">
        <f>IFERROR(VLOOKUP(C30,'RJ ATTENDENCE SHEET'!$C:$D,2,0),"")</f>
        <v/>
      </c>
      <c r="C30" s="55" t="str">
        <f>'DATA '!H25</f>
        <v/>
      </c>
      <c r="D30" s="55" t="str">
        <f t="shared" si="24"/>
        <v/>
      </c>
      <c r="E30" s="62" t="str">
        <f>IFERROR(VLOOKUP(C30,'RJ ATTENDENCE SHEET'!$C:$L,3,0),"")</f>
        <v/>
      </c>
      <c r="F30" s="62" t="str">
        <f>IFERROR(VLOOKUP(C30,'RJ ATTENDENCE SHEET'!$C:$L,4,0),"")</f>
        <v/>
      </c>
      <c r="G30" s="62" t="str">
        <f>IFERROR(VLOOKUP(C30,'RJ ATTENDENCE SHEET'!$C:$L,5,0),"")</f>
        <v/>
      </c>
      <c r="H30" s="62">
        <f t="shared" si="25"/>
        <v>0</v>
      </c>
      <c r="I30" s="81">
        <f>DAY(EOMONTH('RJ ATTENDENCE SHEET'!$A$1,0))</f>
        <v>31</v>
      </c>
      <c r="J30" s="62" t="str">
        <f>IFERROR(VLOOKUP(C30,'RJ ATTENDENCE SHEET'!$C:$W,20,0),"")</f>
        <v/>
      </c>
      <c r="K30" s="62" t="str">
        <f t="shared" si="26"/>
        <v/>
      </c>
      <c r="L30" s="62" t="str">
        <f t="shared" si="27"/>
        <v/>
      </c>
      <c r="M30" s="62" t="str">
        <f t="shared" si="28"/>
        <v/>
      </c>
      <c r="N30" s="62">
        <f t="shared" si="29"/>
        <v>0</v>
      </c>
      <c r="O30" s="58" t="str">
        <f t="shared" si="6"/>
        <v>0</v>
      </c>
      <c r="P30" s="62">
        <f t="shared" si="23"/>
        <v>0</v>
      </c>
      <c r="Q30" s="69">
        <f t="shared" si="8"/>
        <v>0</v>
      </c>
      <c r="R30" s="62" t="str">
        <f>IFERROR(VLOOKUP(C30,'RJ ATTENDENCE SHEET'!$C:$S,17,0),"")</f>
        <v/>
      </c>
      <c r="S30" s="62">
        <f t="shared" si="9"/>
        <v>0</v>
      </c>
      <c r="T30" s="62">
        <f t="shared" si="10"/>
        <v>0</v>
      </c>
      <c r="U30" s="70"/>
      <c r="V30" s="47"/>
      <c r="W30" s="47"/>
      <c r="X30" s="47"/>
    </row>
    <row r="31" spans="1:24" ht="50.1" hidden="1" customHeight="1">
      <c r="A31" s="55">
        <v>24</v>
      </c>
      <c r="B31" s="55" t="str">
        <f>IFERROR(VLOOKUP(C31,'RJ ATTENDENCE SHEET'!$C:$D,2,0),"")</f>
        <v/>
      </c>
      <c r="C31" s="55" t="str">
        <f>'DATA '!H26</f>
        <v/>
      </c>
      <c r="D31" s="55" t="str">
        <f t="shared" si="24"/>
        <v/>
      </c>
      <c r="E31" s="62" t="str">
        <f>IFERROR(VLOOKUP(C31,'RJ ATTENDENCE SHEET'!$C:$L,3,0),"")</f>
        <v/>
      </c>
      <c r="F31" s="62" t="str">
        <f>IFERROR(VLOOKUP(C31,'RJ ATTENDENCE SHEET'!$C:$L,4,0),"")</f>
        <v/>
      </c>
      <c r="G31" s="62" t="str">
        <f>IFERROR(VLOOKUP(C31,'RJ ATTENDENCE SHEET'!$C:$L,5,0),"")</f>
        <v/>
      </c>
      <c r="H31" s="62">
        <f t="shared" si="25"/>
        <v>0</v>
      </c>
      <c r="I31" s="81">
        <f>DAY(EOMONTH('RJ ATTENDENCE SHEET'!$A$1,0))</f>
        <v>31</v>
      </c>
      <c r="J31" s="62" t="str">
        <f>IFERROR(VLOOKUP(C31,'RJ ATTENDENCE SHEET'!$C:$W,20,0),"")</f>
        <v/>
      </c>
      <c r="K31" s="62" t="str">
        <f t="shared" si="26"/>
        <v/>
      </c>
      <c r="L31" s="62" t="str">
        <f t="shared" si="27"/>
        <v/>
      </c>
      <c r="M31" s="62" t="str">
        <f t="shared" si="28"/>
        <v/>
      </c>
      <c r="N31" s="62">
        <f t="shared" si="29"/>
        <v>0</v>
      </c>
      <c r="O31" s="58" t="str">
        <f t="shared" si="6"/>
        <v>0</v>
      </c>
      <c r="P31" s="62">
        <f t="shared" si="23"/>
        <v>0</v>
      </c>
      <c r="Q31" s="69">
        <f t="shared" si="8"/>
        <v>0</v>
      </c>
      <c r="R31" s="62" t="str">
        <f>IFERROR(VLOOKUP(C31,'RJ ATTENDENCE SHEET'!$C:$S,17,0),"")</f>
        <v/>
      </c>
      <c r="S31" s="62">
        <f t="shared" si="9"/>
        <v>0</v>
      </c>
      <c r="T31" s="62">
        <f t="shared" si="10"/>
        <v>0</v>
      </c>
      <c r="U31" s="70"/>
      <c r="V31" s="47"/>
      <c r="W31" s="47"/>
      <c r="X31" s="47"/>
    </row>
    <row r="32" spans="1:24" ht="50.1" hidden="1" customHeight="1">
      <c r="A32" s="55">
        <v>25</v>
      </c>
      <c r="B32" s="55" t="str">
        <f>IFERROR(VLOOKUP(C32,'RJ ATTENDENCE SHEET'!$C:$D,2,0),"")</f>
        <v/>
      </c>
      <c r="C32" s="55" t="str">
        <f>'DATA '!H27</f>
        <v/>
      </c>
      <c r="D32" s="55" t="str">
        <f t="shared" si="24"/>
        <v/>
      </c>
      <c r="E32" s="62" t="str">
        <f>IFERROR(VLOOKUP(C32,'RJ ATTENDENCE SHEET'!$C:$L,3,0),"")</f>
        <v/>
      </c>
      <c r="F32" s="62" t="str">
        <f>IFERROR(VLOOKUP(C32,'RJ ATTENDENCE SHEET'!$C:$L,4,0),"")</f>
        <v/>
      </c>
      <c r="G32" s="62" t="str">
        <f>IFERROR(VLOOKUP(C32,'RJ ATTENDENCE SHEET'!$C:$L,5,0),"")</f>
        <v/>
      </c>
      <c r="H32" s="62">
        <f t="shared" si="25"/>
        <v>0</v>
      </c>
      <c r="I32" s="81">
        <f>DAY(EOMONTH('RJ ATTENDENCE SHEET'!$A$1,0))</f>
        <v>31</v>
      </c>
      <c r="J32" s="62" t="str">
        <f>IFERROR(VLOOKUP(C32,'RJ ATTENDENCE SHEET'!$C:$W,20,0),"")</f>
        <v/>
      </c>
      <c r="K32" s="62" t="str">
        <f t="shared" si="26"/>
        <v/>
      </c>
      <c r="L32" s="62" t="str">
        <f t="shared" si="27"/>
        <v/>
      </c>
      <c r="M32" s="62" t="str">
        <f t="shared" si="28"/>
        <v/>
      </c>
      <c r="N32" s="62">
        <f t="shared" si="29"/>
        <v>0</v>
      </c>
      <c r="O32" s="58" t="str">
        <f t="shared" si="6"/>
        <v>0</v>
      </c>
      <c r="P32" s="62">
        <f t="shared" si="23"/>
        <v>0</v>
      </c>
      <c r="Q32" s="69">
        <f t="shared" si="8"/>
        <v>0</v>
      </c>
      <c r="R32" s="62" t="str">
        <f>IFERROR(VLOOKUP(C32,'RJ ATTENDENCE SHEET'!$C:$S,17,0),"")</f>
        <v/>
      </c>
      <c r="S32" s="62">
        <f t="shared" si="9"/>
        <v>0</v>
      </c>
      <c r="T32" s="62">
        <f t="shared" si="10"/>
        <v>0</v>
      </c>
      <c r="U32" s="70"/>
      <c r="V32" s="47"/>
      <c r="W32" s="47"/>
      <c r="X32" s="47"/>
    </row>
    <row r="33" spans="1:24" ht="50.1" hidden="1" customHeight="1">
      <c r="A33" s="55">
        <v>26</v>
      </c>
      <c r="B33" s="55" t="str">
        <f>IFERROR(VLOOKUP(C33,'RJ ATTENDENCE SHEET'!$C:$D,2,0),"")</f>
        <v/>
      </c>
      <c r="C33" s="55" t="str">
        <f>'DATA '!H28</f>
        <v/>
      </c>
      <c r="D33" s="55" t="str">
        <f t="shared" si="24"/>
        <v/>
      </c>
      <c r="E33" s="62" t="str">
        <f>IFERROR(VLOOKUP(C33,'RJ ATTENDENCE SHEET'!$C:$L,3,0),"")</f>
        <v/>
      </c>
      <c r="F33" s="62" t="str">
        <f>IFERROR(VLOOKUP(C33,'RJ ATTENDENCE SHEET'!$C:$L,4,0),"")</f>
        <v/>
      </c>
      <c r="G33" s="62" t="str">
        <f>IFERROR(VLOOKUP(C33,'RJ ATTENDENCE SHEET'!$C:$L,5,0),"")</f>
        <v/>
      </c>
      <c r="H33" s="62">
        <f t="shared" si="25"/>
        <v>0</v>
      </c>
      <c r="I33" s="81">
        <f>DAY(EOMONTH('RJ ATTENDENCE SHEET'!$A$1,0))</f>
        <v>31</v>
      </c>
      <c r="J33" s="62" t="str">
        <f>IFERROR(VLOOKUP(C33,'RJ ATTENDENCE SHEET'!$C:$W,20,0),"")</f>
        <v/>
      </c>
      <c r="K33" s="62" t="str">
        <f t="shared" si="26"/>
        <v/>
      </c>
      <c r="L33" s="62" t="str">
        <f t="shared" si="27"/>
        <v/>
      </c>
      <c r="M33" s="62" t="str">
        <f t="shared" si="28"/>
        <v/>
      </c>
      <c r="N33" s="62">
        <f t="shared" si="29"/>
        <v>0</v>
      </c>
      <c r="O33" s="58" t="str">
        <f t="shared" si="6"/>
        <v>0</v>
      </c>
      <c r="P33" s="62">
        <f t="shared" si="23"/>
        <v>0</v>
      </c>
      <c r="Q33" s="69">
        <f t="shared" si="8"/>
        <v>0</v>
      </c>
      <c r="R33" s="62" t="str">
        <f>IFERROR(VLOOKUP(C33,'RJ ATTENDENCE SHEET'!$C:$S,17,0),"")</f>
        <v/>
      </c>
      <c r="S33" s="62">
        <f t="shared" si="9"/>
        <v>0</v>
      </c>
      <c r="T33" s="62">
        <f t="shared" si="10"/>
        <v>0</v>
      </c>
      <c r="U33" s="70"/>
      <c r="V33" s="47"/>
      <c r="W33" s="47"/>
      <c r="X33" s="47"/>
    </row>
    <row r="34" spans="1:24" ht="50.1" hidden="1" customHeight="1">
      <c r="A34" s="55">
        <v>27</v>
      </c>
      <c r="B34" s="55" t="str">
        <f>IFERROR(VLOOKUP(C34,'RJ ATTENDENCE SHEET'!$C:$D,2,0),"")</f>
        <v/>
      </c>
      <c r="C34" s="55" t="str">
        <f>'DATA '!H29</f>
        <v/>
      </c>
      <c r="D34" s="55" t="str">
        <f t="shared" si="24"/>
        <v/>
      </c>
      <c r="E34" s="62" t="str">
        <f>IFERROR(VLOOKUP(C34,'RJ ATTENDENCE SHEET'!$C:$L,3,0),"")</f>
        <v/>
      </c>
      <c r="F34" s="62" t="str">
        <f>IFERROR(VLOOKUP(C34,'RJ ATTENDENCE SHEET'!$C:$L,4,0),"")</f>
        <v/>
      </c>
      <c r="G34" s="62" t="str">
        <f>IFERROR(VLOOKUP(C34,'RJ ATTENDENCE SHEET'!$C:$L,5,0),"")</f>
        <v/>
      </c>
      <c r="H34" s="62">
        <f t="shared" si="25"/>
        <v>0</v>
      </c>
      <c r="I34" s="81">
        <f>DAY(EOMONTH('RJ ATTENDENCE SHEET'!$A$1,0))</f>
        <v>31</v>
      </c>
      <c r="J34" s="62" t="str">
        <f>IFERROR(VLOOKUP(C34,'RJ ATTENDENCE SHEET'!$C:$W,20,0),"")</f>
        <v/>
      </c>
      <c r="K34" s="62" t="str">
        <f t="shared" si="26"/>
        <v/>
      </c>
      <c r="L34" s="62" t="str">
        <f t="shared" si="27"/>
        <v/>
      </c>
      <c r="M34" s="62" t="str">
        <f t="shared" si="28"/>
        <v/>
      </c>
      <c r="N34" s="62">
        <f t="shared" si="29"/>
        <v>0</v>
      </c>
      <c r="O34" s="58" t="str">
        <f t="shared" si="6"/>
        <v>0</v>
      </c>
      <c r="P34" s="62">
        <f t="shared" si="23"/>
        <v>0</v>
      </c>
      <c r="Q34" s="69">
        <f t="shared" si="8"/>
        <v>0</v>
      </c>
      <c r="R34" s="62" t="str">
        <f>IFERROR(VLOOKUP(C34,'RJ ATTENDENCE SHEET'!$C:$S,17,0),"")</f>
        <v/>
      </c>
      <c r="S34" s="62">
        <f t="shared" si="9"/>
        <v>0</v>
      </c>
      <c r="T34" s="62">
        <f t="shared" si="10"/>
        <v>0</v>
      </c>
      <c r="U34" s="70"/>
      <c r="V34" s="47"/>
      <c r="W34" s="47"/>
      <c r="X34" s="47"/>
    </row>
    <row r="35" spans="1:24" ht="50.1" hidden="1" customHeight="1">
      <c r="A35" s="55">
        <v>28</v>
      </c>
      <c r="B35" s="55" t="str">
        <f>IFERROR(VLOOKUP(C35,'RJ ATTENDENCE SHEET'!$C:$D,2,0),"")</f>
        <v/>
      </c>
      <c r="C35" s="55" t="str">
        <f>'DATA '!H30</f>
        <v/>
      </c>
      <c r="D35" s="55" t="str">
        <f t="shared" si="24"/>
        <v/>
      </c>
      <c r="E35" s="62" t="str">
        <f>IFERROR(VLOOKUP(C35,'RJ ATTENDENCE SHEET'!$C:$L,3,0),"")</f>
        <v/>
      </c>
      <c r="F35" s="62" t="str">
        <f>IFERROR(VLOOKUP(C35,'RJ ATTENDENCE SHEET'!$C:$L,4,0),"")</f>
        <v/>
      </c>
      <c r="G35" s="62" t="str">
        <f>IFERROR(VLOOKUP(C35,'RJ ATTENDENCE SHEET'!$C:$L,5,0),"")</f>
        <v/>
      </c>
      <c r="H35" s="62">
        <f t="shared" si="25"/>
        <v>0</v>
      </c>
      <c r="I35" s="81">
        <f>DAY(EOMONTH('RJ ATTENDENCE SHEET'!$A$1,0))</f>
        <v>31</v>
      </c>
      <c r="J35" s="62" t="str">
        <f>IFERROR(VLOOKUP(C35,'RJ ATTENDENCE SHEET'!$C:$W,20,0),"")</f>
        <v/>
      </c>
      <c r="K35" s="62" t="str">
        <f t="shared" si="26"/>
        <v/>
      </c>
      <c r="L35" s="62" t="str">
        <f t="shared" si="27"/>
        <v/>
      </c>
      <c r="M35" s="62" t="str">
        <f t="shared" si="28"/>
        <v/>
      </c>
      <c r="N35" s="62">
        <f t="shared" si="29"/>
        <v>0</v>
      </c>
      <c r="O35" s="58" t="str">
        <f t="shared" si="6"/>
        <v>0</v>
      </c>
      <c r="P35" s="62">
        <f t="shared" si="23"/>
        <v>0</v>
      </c>
      <c r="Q35" s="69">
        <f t="shared" si="8"/>
        <v>0</v>
      </c>
      <c r="R35" s="62" t="str">
        <f>IFERROR(VLOOKUP(C35,'RJ ATTENDENCE SHEET'!$C:$S,17,0),"")</f>
        <v/>
      </c>
      <c r="S35" s="62">
        <f t="shared" si="9"/>
        <v>0</v>
      </c>
      <c r="T35" s="62">
        <f t="shared" si="10"/>
        <v>0</v>
      </c>
      <c r="U35" s="70"/>
      <c r="V35" s="47"/>
      <c r="W35" s="47"/>
      <c r="X35" s="47"/>
    </row>
    <row r="36" spans="1:24" ht="50.1" hidden="1" customHeight="1">
      <c r="A36" s="55">
        <v>29</v>
      </c>
      <c r="B36" s="55" t="str">
        <f>IFERROR(VLOOKUP(C36,'RJ ATTENDENCE SHEET'!$C:$D,2,0),"")</f>
        <v/>
      </c>
      <c r="C36" s="55" t="str">
        <f>'DATA '!H31</f>
        <v/>
      </c>
      <c r="D36" s="55" t="str">
        <f t="shared" si="24"/>
        <v/>
      </c>
      <c r="E36" s="62" t="str">
        <f>IFERROR(VLOOKUP(C36,'RJ ATTENDENCE SHEET'!$C:$L,3,0),"")</f>
        <v/>
      </c>
      <c r="F36" s="62" t="str">
        <f>IFERROR(VLOOKUP(C36,'RJ ATTENDENCE SHEET'!$C:$L,4,0),"")</f>
        <v/>
      </c>
      <c r="G36" s="62" t="str">
        <f>IFERROR(VLOOKUP(C36,'RJ ATTENDENCE SHEET'!$C:$L,5,0),"")</f>
        <v/>
      </c>
      <c r="H36" s="62">
        <f t="shared" si="25"/>
        <v>0</v>
      </c>
      <c r="I36" s="81">
        <f>DAY(EOMONTH('RJ ATTENDENCE SHEET'!$A$1,0))</f>
        <v>31</v>
      </c>
      <c r="J36" s="62" t="str">
        <f>IFERROR(VLOOKUP(C36,'RJ ATTENDENCE SHEET'!$C:$W,20,0),"")</f>
        <v/>
      </c>
      <c r="K36" s="62" t="str">
        <f t="shared" si="26"/>
        <v/>
      </c>
      <c r="L36" s="62" t="str">
        <f t="shared" si="27"/>
        <v/>
      </c>
      <c r="M36" s="62" t="str">
        <f t="shared" si="28"/>
        <v/>
      </c>
      <c r="N36" s="62">
        <f t="shared" si="29"/>
        <v>0</v>
      </c>
      <c r="O36" s="58" t="str">
        <f t="shared" si="6"/>
        <v>0</v>
      </c>
      <c r="P36" s="62">
        <f t="shared" si="23"/>
        <v>0</v>
      </c>
      <c r="Q36" s="69">
        <f t="shared" si="8"/>
        <v>0</v>
      </c>
      <c r="R36" s="62" t="str">
        <f>IFERROR(VLOOKUP(C36,'RJ ATTENDENCE SHEET'!$C:$S,17,0),"")</f>
        <v/>
      </c>
      <c r="S36" s="62">
        <f t="shared" si="9"/>
        <v>0</v>
      </c>
      <c r="T36" s="62">
        <f t="shared" si="10"/>
        <v>0</v>
      </c>
      <c r="U36" s="70"/>
      <c r="V36" s="47"/>
      <c r="W36" s="47"/>
      <c r="X36" s="47"/>
    </row>
    <row r="37" spans="1:24" ht="50.1" hidden="1" customHeight="1">
      <c r="A37" s="55">
        <v>30</v>
      </c>
      <c r="B37" s="55" t="str">
        <f>IFERROR(VLOOKUP(C37,'RJ ATTENDENCE SHEET'!$C:$D,2,0),"")</f>
        <v/>
      </c>
      <c r="C37" s="55" t="str">
        <f>'DATA '!H32</f>
        <v/>
      </c>
      <c r="D37" s="55" t="str">
        <f t="shared" si="24"/>
        <v/>
      </c>
      <c r="E37" s="62" t="str">
        <f>IFERROR(VLOOKUP(C37,'RJ ATTENDENCE SHEET'!$C:$L,3,0),"")</f>
        <v/>
      </c>
      <c r="F37" s="62" t="str">
        <f>IFERROR(VLOOKUP(C37,'RJ ATTENDENCE SHEET'!$C:$L,4,0),"")</f>
        <v/>
      </c>
      <c r="G37" s="62" t="str">
        <f>IFERROR(VLOOKUP(C37,'RJ ATTENDENCE SHEET'!$C:$L,5,0),"")</f>
        <v/>
      </c>
      <c r="H37" s="62">
        <f t="shared" si="25"/>
        <v>0</v>
      </c>
      <c r="I37" s="81">
        <f>DAY(EOMONTH('RJ ATTENDENCE SHEET'!$A$1,0))</f>
        <v>31</v>
      </c>
      <c r="J37" s="62" t="str">
        <f>IFERROR(VLOOKUP(C37,'RJ ATTENDENCE SHEET'!$C:$W,20,0),"")</f>
        <v/>
      </c>
      <c r="K37" s="62" t="str">
        <f t="shared" si="26"/>
        <v/>
      </c>
      <c r="L37" s="62" t="str">
        <f t="shared" si="27"/>
        <v/>
      </c>
      <c r="M37" s="62" t="str">
        <f t="shared" si="28"/>
        <v/>
      </c>
      <c r="N37" s="62">
        <f t="shared" si="29"/>
        <v>0</v>
      </c>
      <c r="O37" s="58" t="str">
        <f t="shared" si="6"/>
        <v>0</v>
      </c>
      <c r="P37" s="62">
        <f t="shared" si="23"/>
        <v>0</v>
      </c>
      <c r="Q37" s="69">
        <f t="shared" si="8"/>
        <v>0</v>
      </c>
      <c r="R37" s="62" t="str">
        <f>IFERROR(VLOOKUP(C37,'RJ ATTENDENCE SHEET'!$C:$S,17,0),"")</f>
        <v/>
      </c>
      <c r="S37" s="62">
        <f t="shared" si="9"/>
        <v>0</v>
      </c>
      <c r="T37" s="62">
        <f t="shared" si="10"/>
        <v>0</v>
      </c>
      <c r="U37" s="70"/>
      <c r="V37" s="47"/>
      <c r="W37" s="47"/>
      <c r="X37" s="47"/>
    </row>
    <row r="38" spans="1:24" ht="50.1" hidden="1" customHeight="1">
      <c r="A38" s="55">
        <v>31</v>
      </c>
      <c r="B38" s="55" t="str">
        <f>IFERROR(VLOOKUP(C38,'RJ ATTENDENCE SHEET'!$C:$D,2,0),"")</f>
        <v/>
      </c>
      <c r="C38" s="55" t="str">
        <f>'DATA '!H33</f>
        <v/>
      </c>
      <c r="D38" s="55" t="str">
        <f t="shared" si="24"/>
        <v/>
      </c>
      <c r="E38" s="62" t="str">
        <f>IFERROR(VLOOKUP(C38,'RJ ATTENDENCE SHEET'!$C:$L,3,0),"")</f>
        <v/>
      </c>
      <c r="F38" s="62" t="str">
        <f>IFERROR(VLOOKUP(C38,'RJ ATTENDENCE SHEET'!$C:$L,4,0),"")</f>
        <v/>
      </c>
      <c r="G38" s="62" t="str">
        <f>IFERROR(VLOOKUP(C38,'RJ ATTENDENCE SHEET'!$C:$L,5,0),"")</f>
        <v/>
      </c>
      <c r="H38" s="62">
        <f t="shared" si="25"/>
        <v>0</v>
      </c>
      <c r="I38" s="81">
        <f>DAY(EOMONTH('RJ ATTENDENCE SHEET'!$A$1,0))</f>
        <v>31</v>
      </c>
      <c r="J38" s="62" t="str">
        <f>IFERROR(VLOOKUP(C38,'RJ ATTENDENCE SHEET'!$C:$W,20,0),"")</f>
        <v/>
      </c>
      <c r="K38" s="62" t="str">
        <f t="shared" si="26"/>
        <v/>
      </c>
      <c r="L38" s="62" t="str">
        <f t="shared" si="27"/>
        <v/>
      </c>
      <c r="M38" s="62" t="str">
        <f t="shared" si="28"/>
        <v/>
      </c>
      <c r="N38" s="62">
        <f t="shared" si="29"/>
        <v>0</v>
      </c>
      <c r="O38" s="58" t="str">
        <f t="shared" si="6"/>
        <v>0</v>
      </c>
      <c r="P38" s="62">
        <f t="shared" si="23"/>
        <v>0</v>
      </c>
      <c r="Q38" s="69">
        <f t="shared" si="8"/>
        <v>0</v>
      </c>
      <c r="R38" s="62" t="str">
        <f>IFERROR(VLOOKUP(C38,'RJ ATTENDENCE SHEET'!$C:$S,17,0),"")</f>
        <v/>
      </c>
      <c r="S38" s="62">
        <f t="shared" si="9"/>
        <v>0</v>
      </c>
      <c r="T38" s="62">
        <f t="shared" si="10"/>
        <v>0</v>
      </c>
      <c r="U38" s="70"/>
      <c r="V38" s="47"/>
      <c r="W38" s="47"/>
      <c r="X38" s="47"/>
    </row>
    <row r="39" spans="1:24" ht="50.1" hidden="1" customHeight="1">
      <c r="A39" s="55">
        <v>32</v>
      </c>
      <c r="B39" s="55" t="str">
        <f>IFERROR(VLOOKUP(C39,'RJ ATTENDENCE SHEET'!$C:$D,2,0),"")</f>
        <v/>
      </c>
      <c r="C39" s="55" t="str">
        <f>'DATA '!H34</f>
        <v/>
      </c>
      <c r="D39" s="55" t="str">
        <f t="shared" si="24"/>
        <v/>
      </c>
      <c r="E39" s="62" t="str">
        <f>IFERROR(VLOOKUP(C39,'RJ ATTENDENCE SHEET'!$C:$L,3,0),"")</f>
        <v/>
      </c>
      <c r="F39" s="62" t="str">
        <f>IFERROR(VLOOKUP(C39,'RJ ATTENDENCE SHEET'!$C:$L,4,0),"")</f>
        <v/>
      </c>
      <c r="G39" s="62" t="str">
        <f>IFERROR(VLOOKUP(C39,'RJ ATTENDENCE SHEET'!$C:$L,5,0),"")</f>
        <v/>
      </c>
      <c r="H39" s="62">
        <f t="shared" si="25"/>
        <v>0</v>
      </c>
      <c r="I39" s="81">
        <f>DAY(EOMONTH('RJ ATTENDENCE SHEET'!$A$1,0))</f>
        <v>31</v>
      </c>
      <c r="J39" s="62" t="str">
        <f>IFERROR(VLOOKUP(C39,'RJ ATTENDENCE SHEET'!$C:$W,20,0),"")</f>
        <v/>
      </c>
      <c r="K39" s="62" t="str">
        <f t="shared" si="26"/>
        <v/>
      </c>
      <c r="L39" s="62" t="str">
        <f t="shared" si="27"/>
        <v/>
      </c>
      <c r="M39" s="62" t="str">
        <f t="shared" si="28"/>
        <v/>
      </c>
      <c r="N39" s="62">
        <f t="shared" si="29"/>
        <v>0</v>
      </c>
      <c r="O39" s="58" t="str">
        <f t="shared" si="6"/>
        <v>0</v>
      </c>
      <c r="P39" s="62">
        <f t="shared" si="23"/>
        <v>0</v>
      </c>
      <c r="Q39" s="69">
        <f t="shared" si="8"/>
        <v>0</v>
      </c>
      <c r="R39" s="62" t="str">
        <f>IFERROR(VLOOKUP(C39,'RJ ATTENDENCE SHEET'!$C:$S,17,0),"")</f>
        <v/>
      </c>
      <c r="S39" s="62">
        <f t="shared" si="9"/>
        <v>0</v>
      </c>
      <c r="T39" s="62">
        <f t="shared" si="10"/>
        <v>0</v>
      </c>
      <c r="U39" s="70"/>
      <c r="V39" s="47"/>
      <c r="W39" s="47"/>
      <c r="X39" s="47"/>
    </row>
    <row r="40" spans="1:24" ht="50.1" hidden="1" customHeight="1">
      <c r="A40" s="55">
        <v>33</v>
      </c>
      <c r="B40" s="55" t="str">
        <f>IFERROR(VLOOKUP(C40,'RJ ATTENDENCE SHEET'!$C:$D,2,0),"")</f>
        <v/>
      </c>
      <c r="C40" s="55" t="str">
        <f>'DATA '!H35</f>
        <v/>
      </c>
      <c r="D40" s="55" t="str">
        <f t="shared" si="24"/>
        <v/>
      </c>
      <c r="E40" s="62" t="str">
        <f>IFERROR(VLOOKUP(C40,'RJ ATTENDENCE SHEET'!$C:$L,3,0),"")</f>
        <v/>
      </c>
      <c r="F40" s="62" t="str">
        <f>IFERROR(VLOOKUP(C40,'RJ ATTENDENCE SHEET'!$C:$L,4,0),"")</f>
        <v/>
      </c>
      <c r="G40" s="62" t="str">
        <f>IFERROR(VLOOKUP(C40,'RJ ATTENDENCE SHEET'!$C:$L,5,0),"")</f>
        <v/>
      </c>
      <c r="H40" s="62">
        <f t="shared" si="25"/>
        <v>0</v>
      </c>
      <c r="I40" s="81">
        <f>DAY(EOMONTH('RJ ATTENDENCE SHEET'!$A$1,0))</f>
        <v>31</v>
      </c>
      <c r="J40" s="62" t="str">
        <f>IFERROR(VLOOKUP(C40,'RJ ATTENDENCE SHEET'!$C:$W,20,0),"")</f>
        <v/>
      </c>
      <c r="K40" s="62" t="str">
        <f t="shared" si="26"/>
        <v/>
      </c>
      <c r="L40" s="62" t="str">
        <f t="shared" si="27"/>
        <v/>
      </c>
      <c r="M40" s="62" t="str">
        <f t="shared" si="28"/>
        <v/>
      </c>
      <c r="N40" s="62">
        <f t="shared" si="29"/>
        <v>0</v>
      </c>
      <c r="O40" s="58" t="str">
        <f t="shared" si="6"/>
        <v>0</v>
      </c>
      <c r="P40" s="62">
        <f t="shared" si="23"/>
        <v>0</v>
      </c>
      <c r="Q40" s="69">
        <f t="shared" si="8"/>
        <v>0</v>
      </c>
      <c r="R40" s="62" t="str">
        <f>IFERROR(VLOOKUP(C40,'RJ ATTENDENCE SHEET'!$C:$S,17,0),"")</f>
        <v/>
      </c>
      <c r="S40" s="62">
        <f t="shared" si="9"/>
        <v>0</v>
      </c>
      <c r="T40" s="62">
        <f t="shared" si="10"/>
        <v>0</v>
      </c>
      <c r="U40" s="70"/>
      <c r="V40" s="47"/>
      <c r="W40" s="47"/>
      <c r="X40" s="47"/>
    </row>
    <row r="41" spans="1:24" ht="50.1" hidden="1" customHeight="1">
      <c r="A41" s="55">
        <v>34</v>
      </c>
      <c r="B41" s="55" t="str">
        <f>IFERROR(VLOOKUP(C41,'RJ ATTENDENCE SHEET'!$C:$D,2,0),"")</f>
        <v/>
      </c>
      <c r="C41" s="55" t="str">
        <f>'DATA '!H36</f>
        <v/>
      </c>
      <c r="D41" s="55" t="str">
        <f t="shared" si="24"/>
        <v/>
      </c>
      <c r="E41" s="62" t="str">
        <f>IFERROR(VLOOKUP(C41,'RJ ATTENDENCE SHEET'!$C:$L,3,0),"")</f>
        <v/>
      </c>
      <c r="F41" s="62" t="str">
        <f>IFERROR(VLOOKUP(C41,'RJ ATTENDENCE SHEET'!$C:$L,4,0),"")</f>
        <v/>
      </c>
      <c r="G41" s="62" t="str">
        <f>IFERROR(VLOOKUP(C41,'RJ ATTENDENCE SHEET'!$C:$L,5,0),"")</f>
        <v/>
      </c>
      <c r="H41" s="62">
        <f t="shared" si="25"/>
        <v>0</v>
      </c>
      <c r="I41" s="81">
        <f>DAY(EOMONTH('RJ ATTENDENCE SHEET'!$A$1,0))</f>
        <v>31</v>
      </c>
      <c r="J41" s="62" t="str">
        <f>IFERROR(VLOOKUP(C41,'RJ ATTENDENCE SHEET'!$C:$W,20,0),"")</f>
        <v/>
      </c>
      <c r="K41" s="62" t="str">
        <f t="shared" si="26"/>
        <v/>
      </c>
      <c r="L41" s="62" t="str">
        <f t="shared" si="27"/>
        <v/>
      </c>
      <c r="M41" s="62" t="str">
        <f t="shared" si="28"/>
        <v/>
      </c>
      <c r="N41" s="62">
        <f t="shared" si="29"/>
        <v>0</v>
      </c>
      <c r="O41" s="58" t="str">
        <f t="shared" si="6"/>
        <v>0</v>
      </c>
      <c r="P41" s="62">
        <f t="shared" si="23"/>
        <v>0</v>
      </c>
      <c r="Q41" s="69">
        <f t="shared" si="8"/>
        <v>0</v>
      </c>
      <c r="R41" s="62" t="str">
        <f>IFERROR(VLOOKUP(C41,'RJ ATTENDENCE SHEET'!$C:$S,17,0),"")</f>
        <v/>
      </c>
      <c r="S41" s="62">
        <f t="shared" si="9"/>
        <v>0</v>
      </c>
      <c r="T41" s="62">
        <f t="shared" si="10"/>
        <v>0</v>
      </c>
      <c r="U41" s="70"/>
      <c r="V41" s="47"/>
      <c r="W41" s="47"/>
      <c r="X41" s="47"/>
    </row>
    <row r="42" spans="1:24" ht="50.1" hidden="1" customHeight="1">
      <c r="A42" s="55">
        <v>35</v>
      </c>
      <c r="B42" s="55" t="str">
        <f>IFERROR(VLOOKUP(C42,'RJ ATTENDENCE SHEET'!$C:$D,2,0),"")</f>
        <v/>
      </c>
      <c r="C42" s="55" t="str">
        <f>'DATA '!H37</f>
        <v/>
      </c>
      <c r="D42" s="55" t="str">
        <f t="shared" si="24"/>
        <v/>
      </c>
      <c r="E42" s="62" t="str">
        <f>IFERROR(VLOOKUP(C42,'RJ ATTENDENCE SHEET'!$C:$L,3,0),"")</f>
        <v/>
      </c>
      <c r="F42" s="62" t="str">
        <f>IFERROR(VLOOKUP(C42,'RJ ATTENDENCE SHEET'!$C:$L,4,0),"")</f>
        <v/>
      </c>
      <c r="G42" s="62" t="str">
        <f>IFERROR(VLOOKUP(C42,'RJ ATTENDENCE SHEET'!$C:$L,5,0),"")</f>
        <v/>
      </c>
      <c r="H42" s="62">
        <f t="shared" si="25"/>
        <v>0</v>
      </c>
      <c r="I42" s="81">
        <f>DAY(EOMONTH('RJ ATTENDENCE SHEET'!$A$1,0))</f>
        <v>31</v>
      </c>
      <c r="J42" s="62" t="str">
        <f>IFERROR(VLOOKUP(C42,'RJ ATTENDENCE SHEET'!$C:$W,20,0),"")</f>
        <v/>
      </c>
      <c r="K42" s="62" t="str">
        <f t="shared" si="26"/>
        <v/>
      </c>
      <c r="L42" s="62" t="str">
        <f t="shared" si="27"/>
        <v/>
      </c>
      <c r="M42" s="62" t="str">
        <f t="shared" si="28"/>
        <v/>
      </c>
      <c r="N42" s="62">
        <f t="shared" si="29"/>
        <v>0</v>
      </c>
      <c r="O42" s="58" t="str">
        <f t="shared" si="6"/>
        <v>0</v>
      </c>
      <c r="P42" s="62">
        <f t="shared" si="23"/>
        <v>0</v>
      </c>
      <c r="Q42" s="69">
        <f t="shared" si="8"/>
        <v>0</v>
      </c>
      <c r="R42" s="62" t="str">
        <f>IFERROR(VLOOKUP(C42,'RJ ATTENDENCE SHEET'!$C:$S,17,0),"")</f>
        <v/>
      </c>
      <c r="S42" s="62">
        <f t="shared" si="9"/>
        <v>0</v>
      </c>
      <c r="T42" s="62">
        <f t="shared" si="10"/>
        <v>0</v>
      </c>
      <c r="U42" s="70"/>
      <c r="V42" s="47"/>
      <c r="W42" s="47"/>
      <c r="X42" s="47"/>
    </row>
    <row r="43" spans="1:24" ht="50.1" hidden="1" customHeight="1">
      <c r="A43" s="55">
        <v>36</v>
      </c>
      <c r="B43" s="55" t="str">
        <f>IFERROR(VLOOKUP(C43,'RJ ATTENDENCE SHEET'!$C:$D,2,0),"")</f>
        <v/>
      </c>
      <c r="C43" s="55" t="str">
        <f>'DATA '!H38</f>
        <v/>
      </c>
      <c r="D43" s="55" t="str">
        <f t="shared" si="24"/>
        <v/>
      </c>
      <c r="E43" s="62" t="str">
        <f>IFERROR(VLOOKUP(C43,'RJ ATTENDENCE SHEET'!$C:$L,3,0),"")</f>
        <v/>
      </c>
      <c r="F43" s="62" t="str">
        <f>IFERROR(VLOOKUP(C43,'RJ ATTENDENCE SHEET'!$C:$L,4,0),"")</f>
        <v/>
      </c>
      <c r="G43" s="62" t="str">
        <f>IFERROR(VLOOKUP(C43,'RJ ATTENDENCE SHEET'!$C:$L,5,0),"")</f>
        <v/>
      </c>
      <c r="H43" s="62">
        <f t="shared" si="25"/>
        <v>0</v>
      </c>
      <c r="I43" s="81">
        <f>DAY(EOMONTH('RJ ATTENDENCE SHEET'!$A$1,0))</f>
        <v>31</v>
      </c>
      <c r="J43" s="62" t="str">
        <f>IFERROR(VLOOKUP(C43,'RJ ATTENDENCE SHEET'!$C:$W,20,0),"")</f>
        <v/>
      </c>
      <c r="K43" s="62" t="str">
        <f t="shared" si="26"/>
        <v/>
      </c>
      <c r="L43" s="62" t="str">
        <f t="shared" si="27"/>
        <v/>
      </c>
      <c r="M43" s="62" t="str">
        <f t="shared" si="28"/>
        <v/>
      </c>
      <c r="N43" s="62">
        <f t="shared" si="29"/>
        <v>0</v>
      </c>
      <c r="O43" s="58" t="str">
        <f t="shared" si="6"/>
        <v>0</v>
      </c>
      <c r="P43" s="62">
        <f t="shared" si="23"/>
        <v>0</v>
      </c>
      <c r="Q43" s="69">
        <f t="shared" si="8"/>
        <v>0</v>
      </c>
      <c r="R43" s="62" t="str">
        <f>IFERROR(VLOOKUP(C43,'RJ ATTENDENCE SHEET'!$C:$S,17,0),"")</f>
        <v/>
      </c>
      <c r="S43" s="62">
        <f t="shared" si="9"/>
        <v>0</v>
      </c>
      <c r="T43" s="62">
        <f t="shared" si="10"/>
        <v>0</v>
      </c>
      <c r="U43" s="70"/>
      <c r="V43" s="47"/>
      <c r="W43" s="47"/>
      <c r="X43" s="47"/>
    </row>
    <row r="44" spans="1:24" ht="50.1" hidden="1" customHeight="1">
      <c r="A44" s="55">
        <v>37</v>
      </c>
      <c r="B44" s="55" t="str">
        <f>IFERROR(VLOOKUP(C44,'RJ ATTENDENCE SHEET'!$C:$D,2,0),"")</f>
        <v/>
      </c>
      <c r="C44" s="55" t="str">
        <f>'DATA '!H39</f>
        <v/>
      </c>
      <c r="D44" s="55" t="str">
        <f t="shared" si="24"/>
        <v/>
      </c>
      <c r="E44" s="62" t="str">
        <f>IFERROR(VLOOKUP(C44,'RJ ATTENDENCE SHEET'!$C:$L,3,0),"")</f>
        <v/>
      </c>
      <c r="F44" s="62" t="str">
        <f>IFERROR(VLOOKUP(C44,'RJ ATTENDENCE SHEET'!$C:$L,4,0),"")</f>
        <v/>
      </c>
      <c r="G44" s="62" t="str">
        <f>IFERROR(VLOOKUP(C44,'RJ ATTENDENCE SHEET'!$C:$L,5,0),"")</f>
        <v/>
      </c>
      <c r="H44" s="62">
        <f t="shared" si="25"/>
        <v>0</v>
      </c>
      <c r="I44" s="81">
        <f>DAY(EOMONTH('RJ ATTENDENCE SHEET'!$A$1,0))</f>
        <v>31</v>
      </c>
      <c r="J44" s="62" t="str">
        <f>IFERROR(VLOOKUP(C44,'RJ ATTENDENCE SHEET'!$C:$W,20,0),"")</f>
        <v/>
      </c>
      <c r="K44" s="62" t="str">
        <f t="shared" si="26"/>
        <v/>
      </c>
      <c r="L44" s="62" t="str">
        <f t="shared" si="27"/>
        <v/>
      </c>
      <c r="M44" s="62" t="str">
        <f t="shared" si="28"/>
        <v/>
      </c>
      <c r="N44" s="62">
        <f t="shared" si="29"/>
        <v>0</v>
      </c>
      <c r="O44" s="58" t="str">
        <f t="shared" si="6"/>
        <v>0</v>
      </c>
      <c r="P44" s="62">
        <f t="shared" si="23"/>
        <v>0</v>
      </c>
      <c r="Q44" s="69">
        <f t="shared" si="8"/>
        <v>0</v>
      </c>
      <c r="R44" s="62" t="str">
        <f>IFERROR(VLOOKUP(C44,'RJ ATTENDENCE SHEET'!$C:$S,17,0),"")</f>
        <v/>
      </c>
      <c r="S44" s="62">
        <f t="shared" si="9"/>
        <v>0</v>
      </c>
      <c r="T44" s="62">
        <f t="shared" si="10"/>
        <v>0</v>
      </c>
      <c r="U44" s="70"/>
      <c r="V44" s="47"/>
      <c r="W44" s="47"/>
      <c r="X44" s="47"/>
    </row>
    <row r="45" spans="1:24" ht="50.1" hidden="1" customHeight="1">
      <c r="A45" s="55">
        <v>38</v>
      </c>
      <c r="B45" s="55" t="str">
        <f>IFERROR(VLOOKUP(C45,'RJ ATTENDENCE SHEET'!$C:$D,2,0),"")</f>
        <v/>
      </c>
      <c r="C45" s="55" t="str">
        <f>'DATA '!H40</f>
        <v/>
      </c>
      <c r="D45" s="55" t="str">
        <f t="shared" si="24"/>
        <v/>
      </c>
      <c r="E45" s="62" t="str">
        <f>IFERROR(VLOOKUP(C45,'RJ ATTENDENCE SHEET'!$C:$L,3,0),"")</f>
        <v/>
      </c>
      <c r="F45" s="62" t="str">
        <f>IFERROR(VLOOKUP(C45,'RJ ATTENDENCE SHEET'!$C:$L,4,0),"")</f>
        <v/>
      </c>
      <c r="G45" s="62" t="str">
        <f>IFERROR(VLOOKUP(C45,'RJ ATTENDENCE SHEET'!$C:$L,5,0),"")</f>
        <v/>
      </c>
      <c r="H45" s="62">
        <f t="shared" si="25"/>
        <v>0</v>
      </c>
      <c r="I45" s="81">
        <f>DAY(EOMONTH('RJ ATTENDENCE SHEET'!$A$1,0))</f>
        <v>31</v>
      </c>
      <c r="J45" s="62" t="str">
        <f>IFERROR(VLOOKUP(C45,'RJ ATTENDENCE SHEET'!$C:$W,20,0),"")</f>
        <v/>
      </c>
      <c r="K45" s="62" t="str">
        <f t="shared" si="26"/>
        <v/>
      </c>
      <c r="L45" s="62" t="str">
        <f t="shared" si="27"/>
        <v/>
      </c>
      <c r="M45" s="62" t="str">
        <f t="shared" si="28"/>
        <v/>
      </c>
      <c r="N45" s="62">
        <f t="shared" si="29"/>
        <v>0</v>
      </c>
      <c r="O45" s="58" t="str">
        <f t="shared" si="6"/>
        <v>0</v>
      </c>
      <c r="P45" s="62">
        <f t="shared" si="23"/>
        <v>0</v>
      </c>
      <c r="Q45" s="69">
        <f t="shared" si="8"/>
        <v>0</v>
      </c>
      <c r="R45" s="62" t="str">
        <f>IFERROR(VLOOKUP(C45,'RJ ATTENDENCE SHEET'!$C:$S,17,0),"")</f>
        <v/>
      </c>
      <c r="S45" s="62">
        <f t="shared" si="9"/>
        <v>0</v>
      </c>
      <c r="T45" s="62">
        <f t="shared" si="10"/>
        <v>0</v>
      </c>
      <c r="U45" s="70"/>
      <c r="V45" s="47"/>
      <c r="W45" s="47"/>
      <c r="X45" s="47"/>
    </row>
    <row r="46" spans="1:24" ht="50.1" hidden="1" customHeight="1">
      <c r="A46" s="55">
        <v>39</v>
      </c>
      <c r="B46" s="55" t="str">
        <f>IFERROR(VLOOKUP(C46,'RJ ATTENDENCE SHEET'!$C:$D,2,0),"")</f>
        <v/>
      </c>
      <c r="C46" s="55" t="str">
        <f>'DATA '!H41</f>
        <v/>
      </c>
      <c r="D46" s="55" t="str">
        <f t="shared" si="24"/>
        <v/>
      </c>
      <c r="E46" s="62" t="str">
        <f>IFERROR(VLOOKUP(C46,'RJ ATTENDENCE SHEET'!$C:$L,3,0),"")</f>
        <v/>
      </c>
      <c r="F46" s="62" t="str">
        <f>IFERROR(VLOOKUP(C46,'RJ ATTENDENCE SHEET'!$C:$L,4,0),"")</f>
        <v/>
      </c>
      <c r="G46" s="62" t="str">
        <f>IFERROR(VLOOKUP(C46,'RJ ATTENDENCE SHEET'!$C:$L,5,0),"")</f>
        <v/>
      </c>
      <c r="H46" s="62">
        <f t="shared" si="25"/>
        <v>0</v>
      </c>
      <c r="I46" s="81">
        <f>DAY(EOMONTH('RJ ATTENDENCE SHEET'!$A$1,0))</f>
        <v>31</v>
      </c>
      <c r="J46" s="62" t="str">
        <f>IFERROR(VLOOKUP(C46,'RJ ATTENDENCE SHEET'!$C:$W,20,0),"")</f>
        <v/>
      </c>
      <c r="K46" s="62" t="str">
        <f t="shared" si="26"/>
        <v/>
      </c>
      <c r="L46" s="62" t="str">
        <f t="shared" si="27"/>
        <v/>
      </c>
      <c r="M46" s="62" t="str">
        <f t="shared" si="28"/>
        <v/>
      </c>
      <c r="N46" s="62">
        <f t="shared" si="29"/>
        <v>0</v>
      </c>
      <c r="O46" s="58" t="str">
        <f t="shared" si="6"/>
        <v>0</v>
      </c>
      <c r="P46" s="62">
        <f t="shared" si="23"/>
        <v>0</v>
      </c>
      <c r="Q46" s="69">
        <f t="shared" si="8"/>
        <v>0</v>
      </c>
      <c r="R46" s="62" t="str">
        <f>IFERROR(VLOOKUP(C46,'RJ ATTENDENCE SHEET'!$C:$S,17,0),"")</f>
        <v/>
      </c>
      <c r="S46" s="62">
        <f t="shared" si="9"/>
        <v>0</v>
      </c>
      <c r="T46" s="62">
        <f t="shared" si="10"/>
        <v>0</v>
      </c>
      <c r="U46" s="70"/>
      <c r="V46" s="47"/>
      <c r="W46" s="47"/>
      <c r="X46" s="47"/>
    </row>
    <row r="47" spans="1:24" ht="50.1" hidden="1" customHeight="1">
      <c r="A47" s="55">
        <v>40</v>
      </c>
      <c r="B47" s="55" t="str">
        <f>IFERROR(VLOOKUP(C47,'RJ ATTENDENCE SHEET'!$C:$D,2,0),"")</f>
        <v/>
      </c>
      <c r="C47" s="55" t="str">
        <f>'DATA '!H42</f>
        <v/>
      </c>
      <c r="D47" s="55" t="str">
        <f t="shared" si="24"/>
        <v/>
      </c>
      <c r="E47" s="62" t="str">
        <f>IFERROR(VLOOKUP(C47,'RJ ATTENDENCE SHEET'!$C:$L,3,0),"")</f>
        <v/>
      </c>
      <c r="F47" s="62" t="str">
        <f>IFERROR(VLOOKUP(C47,'RJ ATTENDENCE SHEET'!$C:$L,4,0),"")</f>
        <v/>
      </c>
      <c r="G47" s="62" t="str">
        <f>IFERROR(VLOOKUP(C47,'RJ ATTENDENCE SHEET'!$C:$L,5,0),"")</f>
        <v/>
      </c>
      <c r="H47" s="62">
        <f t="shared" si="25"/>
        <v>0</v>
      </c>
      <c r="I47" s="81">
        <f>DAY(EOMONTH('RJ ATTENDENCE SHEET'!$A$1,0))</f>
        <v>31</v>
      </c>
      <c r="J47" s="62" t="str">
        <f>IFERROR(VLOOKUP(C47,'RJ ATTENDENCE SHEET'!$C:$W,20,0),"")</f>
        <v/>
      </c>
      <c r="K47" s="62" t="str">
        <f t="shared" si="26"/>
        <v/>
      </c>
      <c r="L47" s="62" t="str">
        <f t="shared" si="27"/>
        <v/>
      </c>
      <c r="M47" s="62" t="str">
        <f t="shared" si="28"/>
        <v/>
      </c>
      <c r="N47" s="62">
        <f t="shared" si="29"/>
        <v>0</v>
      </c>
      <c r="O47" s="58" t="str">
        <f t="shared" si="6"/>
        <v>0</v>
      </c>
      <c r="P47" s="62">
        <f t="shared" si="23"/>
        <v>0</v>
      </c>
      <c r="Q47" s="69">
        <f t="shared" si="8"/>
        <v>0</v>
      </c>
      <c r="R47" s="62" t="str">
        <f>IFERROR(VLOOKUP(C47,'RJ ATTENDENCE SHEET'!$C:$S,17,0),"")</f>
        <v/>
      </c>
      <c r="S47" s="62">
        <f t="shared" si="9"/>
        <v>0</v>
      </c>
      <c r="T47" s="62">
        <f t="shared" si="10"/>
        <v>0</v>
      </c>
      <c r="U47" s="70"/>
      <c r="V47" s="47"/>
      <c r="W47" s="47"/>
      <c r="X47" s="47"/>
    </row>
    <row r="48" spans="1:24" ht="50.1" hidden="1" customHeight="1">
      <c r="A48" s="55">
        <v>41</v>
      </c>
      <c r="B48" s="55" t="str">
        <f>IFERROR(VLOOKUP(C48,'RJ ATTENDENCE SHEET'!$C:$D,2,0),"")</f>
        <v/>
      </c>
      <c r="C48" s="55" t="str">
        <f>'DATA '!H43</f>
        <v/>
      </c>
      <c r="D48" s="55" t="str">
        <f t="shared" si="24"/>
        <v/>
      </c>
      <c r="E48" s="62" t="str">
        <f>IFERROR(VLOOKUP(C48,'RJ ATTENDENCE SHEET'!$C:$L,3,0),"")</f>
        <v/>
      </c>
      <c r="F48" s="62" t="str">
        <f>IFERROR(VLOOKUP(C48,'RJ ATTENDENCE SHEET'!$C:$L,4,0),"")</f>
        <v/>
      </c>
      <c r="G48" s="62" t="str">
        <f>IFERROR(VLOOKUP(C48,'RJ ATTENDENCE SHEET'!$C:$L,5,0),"")</f>
        <v/>
      </c>
      <c r="H48" s="62">
        <f t="shared" si="25"/>
        <v>0</v>
      </c>
      <c r="I48" s="81">
        <f>DAY(EOMONTH('RJ ATTENDENCE SHEET'!$A$1,0))</f>
        <v>31</v>
      </c>
      <c r="J48" s="62" t="str">
        <f>IFERROR(VLOOKUP(C48,'RJ ATTENDENCE SHEET'!$C:$W,20,0),"")</f>
        <v/>
      </c>
      <c r="K48" s="62" t="str">
        <f t="shared" si="26"/>
        <v/>
      </c>
      <c r="L48" s="62" t="str">
        <f t="shared" si="27"/>
        <v/>
      </c>
      <c r="M48" s="62" t="str">
        <f t="shared" si="28"/>
        <v/>
      </c>
      <c r="N48" s="62">
        <f t="shared" si="29"/>
        <v>0</v>
      </c>
      <c r="O48" s="58" t="str">
        <f t="shared" si="6"/>
        <v>0</v>
      </c>
      <c r="P48" s="62">
        <f t="shared" si="23"/>
        <v>0</v>
      </c>
      <c r="Q48" s="69">
        <f t="shared" si="8"/>
        <v>0</v>
      </c>
      <c r="R48" s="62" t="str">
        <f>IFERROR(VLOOKUP(C48,'RJ ATTENDENCE SHEET'!$C:$S,17,0),"")</f>
        <v/>
      </c>
      <c r="S48" s="62">
        <f t="shared" si="9"/>
        <v>0</v>
      </c>
      <c r="T48" s="62">
        <f t="shared" si="10"/>
        <v>0</v>
      </c>
      <c r="U48" s="70"/>
      <c r="V48" s="47"/>
      <c r="W48" s="47"/>
      <c r="X48" s="47"/>
    </row>
    <row r="49" spans="1:24" ht="50.1" hidden="1" customHeight="1">
      <c r="A49" s="55">
        <v>42</v>
      </c>
      <c r="B49" s="55" t="str">
        <f>IFERROR(VLOOKUP(C49,'RJ ATTENDENCE SHEET'!$C:$D,2,0),"")</f>
        <v/>
      </c>
      <c r="C49" s="55" t="str">
        <f>'DATA '!H44</f>
        <v/>
      </c>
      <c r="D49" s="55" t="str">
        <f t="shared" si="24"/>
        <v/>
      </c>
      <c r="E49" s="62" t="str">
        <f>IFERROR(VLOOKUP(C49,'RJ ATTENDENCE SHEET'!$C:$L,3,0),"")</f>
        <v/>
      </c>
      <c r="F49" s="62" t="str">
        <f>IFERROR(VLOOKUP(C49,'RJ ATTENDENCE SHEET'!$C:$L,4,0),"")</f>
        <v/>
      </c>
      <c r="G49" s="62" t="str">
        <f>IFERROR(VLOOKUP(C49,'RJ ATTENDENCE SHEET'!$C:$L,5,0),"")</f>
        <v/>
      </c>
      <c r="H49" s="62">
        <f t="shared" si="25"/>
        <v>0</v>
      </c>
      <c r="I49" s="81">
        <f>DAY(EOMONTH('RJ ATTENDENCE SHEET'!$A$1,0))</f>
        <v>31</v>
      </c>
      <c r="J49" s="62" t="str">
        <f>IFERROR(VLOOKUP(C49,'RJ ATTENDENCE SHEET'!$C:$W,20,0),"")</f>
        <v/>
      </c>
      <c r="K49" s="62" t="str">
        <f t="shared" si="26"/>
        <v/>
      </c>
      <c r="L49" s="62" t="str">
        <f t="shared" si="27"/>
        <v/>
      </c>
      <c r="M49" s="62" t="str">
        <f t="shared" si="28"/>
        <v/>
      </c>
      <c r="N49" s="62">
        <f t="shared" si="29"/>
        <v>0</v>
      </c>
      <c r="O49" s="58" t="str">
        <f t="shared" si="6"/>
        <v>0</v>
      </c>
      <c r="P49" s="62">
        <f t="shared" si="23"/>
        <v>0</v>
      </c>
      <c r="Q49" s="69">
        <f t="shared" si="8"/>
        <v>0</v>
      </c>
      <c r="R49" s="62" t="str">
        <f>IFERROR(VLOOKUP(C49,'RJ ATTENDENCE SHEET'!$C:$S,17,0),"")</f>
        <v/>
      </c>
      <c r="S49" s="62">
        <f t="shared" si="9"/>
        <v>0</v>
      </c>
      <c r="T49" s="62">
        <f t="shared" si="10"/>
        <v>0</v>
      </c>
      <c r="U49" s="70"/>
      <c r="V49" s="47"/>
      <c r="W49" s="47"/>
      <c r="X49" s="47"/>
    </row>
    <row r="50" spans="1:24" ht="50.1" hidden="1" customHeight="1">
      <c r="A50" s="55">
        <v>43</v>
      </c>
      <c r="B50" s="55" t="str">
        <f>IFERROR(VLOOKUP(C50,'RJ ATTENDENCE SHEET'!$C:$D,2,0),"")</f>
        <v/>
      </c>
      <c r="C50" s="55" t="str">
        <f>'DATA '!H45</f>
        <v/>
      </c>
      <c r="D50" s="55" t="str">
        <f t="shared" si="24"/>
        <v/>
      </c>
      <c r="E50" s="62" t="str">
        <f>IFERROR(VLOOKUP(C50,'RJ ATTENDENCE SHEET'!$C:$L,3,0),"")</f>
        <v/>
      </c>
      <c r="F50" s="62" t="str">
        <f>IFERROR(VLOOKUP(C50,'RJ ATTENDENCE SHEET'!$C:$L,4,0),"")</f>
        <v/>
      </c>
      <c r="G50" s="62" t="str">
        <f>IFERROR(VLOOKUP(C50,'RJ ATTENDENCE SHEET'!$C:$L,5,0),"")</f>
        <v/>
      </c>
      <c r="H50" s="62">
        <f t="shared" si="25"/>
        <v>0</v>
      </c>
      <c r="I50" s="81">
        <f>DAY(EOMONTH('RJ ATTENDENCE SHEET'!$A$1,0))</f>
        <v>31</v>
      </c>
      <c r="J50" s="62" t="str">
        <f>IFERROR(VLOOKUP(C50,'RJ ATTENDENCE SHEET'!$C:$W,20,0),"")</f>
        <v/>
      </c>
      <c r="K50" s="62" t="str">
        <f t="shared" si="26"/>
        <v/>
      </c>
      <c r="L50" s="62" t="str">
        <f t="shared" si="27"/>
        <v/>
      </c>
      <c r="M50" s="62" t="str">
        <f t="shared" si="28"/>
        <v/>
      </c>
      <c r="N50" s="62">
        <f t="shared" si="29"/>
        <v>0</v>
      </c>
      <c r="O50" s="58" t="str">
        <f t="shared" si="6"/>
        <v>0</v>
      </c>
      <c r="P50" s="62">
        <f t="shared" si="23"/>
        <v>0</v>
      </c>
      <c r="Q50" s="69">
        <f t="shared" si="8"/>
        <v>0</v>
      </c>
      <c r="R50" s="62" t="str">
        <f>IFERROR(VLOOKUP(C50,'RJ ATTENDENCE SHEET'!$C:$S,17,0),"")</f>
        <v/>
      </c>
      <c r="S50" s="62">
        <f t="shared" si="9"/>
        <v>0</v>
      </c>
      <c r="T50" s="62">
        <f t="shared" si="10"/>
        <v>0</v>
      </c>
      <c r="U50" s="70"/>
      <c r="V50" s="47"/>
      <c r="W50" s="47"/>
      <c r="X50" s="47"/>
    </row>
    <row r="51" spans="1:24" ht="50.1" customHeight="1">
      <c r="A51" s="289" t="s">
        <v>234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82">
        <f>SUM(K9:K50)</f>
        <v>238678</v>
      </c>
      <c r="L51" s="82">
        <f>SUM(L9:L50)</f>
        <v>59252.903225806454</v>
      </c>
      <c r="M51" s="83">
        <f>SUM(M9:M50)</f>
        <v>41375.483870967742</v>
      </c>
      <c r="N51" s="84">
        <f>SUM(N9:N50)</f>
        <v>339306.38709677418</v>
      </c>
      <c r="O51" s="84">
        <f t="shared" ref="O51:T51" si="30">SUM(O9:O50)</f>
        <v>16179</v>
      </c>
      <c r="P51" s="84">
        <f t="shared" si="30"/>
        <v>1149</v>
      </c>
      <c r="Q51" s="84">
        <f t="shared" si="30"/>
        <v>2100</v>
      </c>
      <c r="R51" s="84">
        <f t="shared" si="30"/>
        <v>0</v>
      </c>
      <c r="S51" s="84">
        <f t="shared" si="30"/>
        <v>19428</v>
      </c>
      <c r="T51" s="84">
        <f t="shared" si="30"/>
        <v>319878.38709677418</v>
      </c>
      <c r="U51" s="86"/>
    </row>
  </sheetData>
  <sheetProtection formatCells="0" formatColumns="0" formatRows="0"/>
  <mergeCells count="13">
    <mergeCell ref="A1:R1"/>
    <mergeCell ref="S1:T1"/>
    <mergeCell ref="A3:C3"/>
    <mergeCell ref="E7:G7"/>
    <mergeCell ref="I7:J7"/>
    <mergeCell ref="K7:M7"/>
    <mergeCell ref="O7:R7"/>
    <mergeCell ref="U7:U8"/>
    <mergeCell ref="A51:J51"/>
    <mergeCell ref="B7:B8"/>
    <mergeCell ref="C7:C8"/>
    <mergeCell ref="H7:H8"/>
    <mergeCell ref="N7:N8"/>
  </mergeCells>
  <pageMargins left="0" right="0" top="0" bottom="0" header="0.31496062992126" footer="0.31496062992126"/>
  <pageSetup paperSize="9" scale="5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FF99"/>
    <pageSetUpPr fitToPage="1"/>
  </sheetPr>
  <dimension ref="A1:AB110"/>
  <sheetViews>
    <sheetView topLeftCell="B1" zoomScale="62" zoomScaleNormal="62" workbookViewId="0">
      <pane ySplit="8" topLeftCell="A14" activePane="bottomLeft" state="frozen"/>
      <selection activeCell="T53" sqref="T53"/>
      <selection pane="bottomLeft" activeCell="N41" sqref="N41"/>
    </sheetView>
  </sheetViews>
  <sheetFormatPr defaultColWidth="9.125" defaultRowHeight="15"/>
  <cols>
    <col min="1" max="1" width="9.75" style="44" customWidth="1"/>
    <col min="2" max="2" width="14.375" style="44" customWidth="1"/>
    <col min="3" max="3" width="11.375" style="44" customWidth="1"/>
    <col min="4" max="4" width="38.875" style="45" customWidth="1"/>
    <col min="5" max="5" width="11" style="44" hidden="1" customWidth="1"/>
    <col min="6" max="10" width="9.125" style="44"/>
    <col min="11" max="11" width="11" style="44" customWidth="1"/>
    <col min="12" max="12" width="12.25" style="44" customWidth="1"/>
    <col min="13" max="13" width="13.875" style="44" customWidth="1"/>
    <col min="14" max="14" width="12.375" style="44" customWidth="1"/>
    <col min="15" max="15" width="16.625" style="44" customWidth="1"/>
    <col min="16" max="16" width="14" style="44" customWidth="1"/>
    <col min="17" max="17" width="10.625" style="44" customWidth="1"/>
    <col min="18" max="18" width="9.75" style="44" customWidth="1"/>
    <col min="19" max="19" width="11.125" style="44" customWidth="1"/>
    <col min="20" max="20" width="10.75" style="44" customWidth="1"/>
    <col min="21" max="21" width="11.75" style="44" customWidth="1"/>
    <col min="22" max="22" width="12" style="44" customWidth="1"/>
    <col min="23" max="23" width="75.625" style="44" customWidth="1"/>
    <col min="24" max="24" width="25.25" style="44" customWidth="1"/>
    <col min="25" max="16384" width="9.125" style="44"/>
  </cols>
  <sheetData>
    <row r="1" spans="1:28" ht="18" customHeight="1">
      <c r="A1" s="295" t="s">
        <v>195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295" t="str">
        <f>TEXT('RJ ATTENDENCE SHEET'!$A$1,"MMMM")</f>
        <v>July</v>
      </c>
      <c r="V1" s="297"/>
      <c r="W1" s="64">
        <f>YEAR('RJ ATTENDENCE SHEET'!$A$1)</f>
        <v>2026</v>
      </c>
      <c r="X1" s="401" t="s">
        <v>409</v>
      </c>
      <c r="Y1" s="47"/>
      <c r="Z1" s="47"/>
      <c r="AA1" s="47"/>
      <c r="AB1" s="47"/>
    </row>
    <row r="2" spans="1:28" ht="15.75" customHeight="1">
      <c r="A2" s="46"/>
      <c r="B2" s="47"/>
      <c r="C2" s="47"/>
      <c r="D2" s="48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65"/>
      <c r="X2" s="402"/>
      <c r="Y2" s="47"/>
      <c r="Z2" s="47"/>
      <c r="AA2" s="47"/>
      <c r="AB2" s="47"/>
    </row>
    <row r="3" spans="1:28" ht="15.75" customHeight="1">
      <c r="A3" s="404" t="s">
        <v>221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66" t="s">
        <v>222</v>
      </c>
      <c r="X3" s="402"/>
      <c r="Y3" s="47"/>
      <c r="Z3" s="47"/>
      <c r="AA3" s="47"/>
      <c r="AB3" s="47"/>
    </row>
    <row r="4" spans="1:28" ht="21" customHeight="1">
      <c r="A4" s="49"/>
      <c r="B4" s="50"/>
      <c r="C4" s="50"/>
      <c r="D4" s="4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66"/>
      <c r="X4" s="402"/>
      <c r="Y4" s="47"/>
      <c r="Z4" s="47"/>
      <c r="AA4" s="47"/>
      <c r="AB4" s="47"/>
    </row>
    <row r="5" spans="1:28" ht="21" customHeight="1">
      <c r="A5" s="49"/>
      <c r="B5" s="50"/>
      <c r="C5" s="50"/>
      <c r="D5" s="48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66" t="s">
        <v>223</v>
      </c>
      <c r="X5" s="402"/>
      <c r="Y5" s="47"/>
      <c r="Z5" s="47"/>
      <c r="AA5" s="47"/>
      <c r="AB5" s="47"/>
    </row>
    <row r="6" spans="1:28" ht="21" hidden="1" customHeight="1">
      <c r="A6" s="46"/>
      <c r="B6" s="47"/>
      <c r="C6" s="47"/>
      <c r="D6" s="48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65"/>
      <c r="X6" s="403"/>
      <c r="Y6" s="47"/>
      <c r="Z6" s="47"/>
      <c r="AA6" s="47"/>
      <c r="AB6" s="47"/>
    </row>
    <row r="7" spans="1:28" ht="21">
      <c r="A7" s="51" t="s">
        <v>224</v>
      </c>
      <c r="B7" s="291" t="s">
        <v>197</v>
      </c>
      <c r="C7" s="399"/>
      <c r="D7" s="291" t="s">
        <v>92</v>
      </c>
      <c r="E7" s="52"/>
      <c r="F7" s="406" t="s">
        <v>225</v>
      </c>
      <c r="G7" s="407"/>
      <c r="H7" s="408"/>
      <c r="I7" s="291" t="s">
        <v>226</v>
      </c>
      <c r="J7" s="300" t="s">
        <v>227</v>
      </c>
      <c r="K7" s="300"/>
      <c r="L7" s="301" t="s">
        <v>228</v>
      </c>
      <c r="M7" s="302"/>
      <c r="N7" s="302"/>
      <c r="O7" s="302"/>
      <c r="P7" s="291" t="s">
        <v>235</v>
      </c>
      <c r="Q7" s="300" t="s">
        <v>201</v>
      </c>
      <c r="R7" s="300"/>
      <c r="S7" s="300"/>
      <c r="T7" s="300"/>
      <c r="U7" s="59" t="s">
        <v>97</v>
      </c>
      <c r="V7" s="67" t="s">
        <v>213</v>
      </c>
      <c r="W7" s="287" t="s">
        <v>214</v>
      </c>
      <c r="X7" s="272"/>
      <c r="Y7" s="47"/>
      <c r="Z7" s="47"/>
      <c r="AA7" s="47"/>
      <c r="AB7" s="47"/>
    </row>
    <row r="8" spans="1:28" ht="33.75" customHeight="1">
      <c r="A8" s="53" t="s">
        <v>230</v>
      </c>
      <c r="B8" s="292"/>
      <c r="C8" s="400"/>
      <c r="D8" s="294"/>
      <c r="E8" s="54"/>
      <c r="F8" s="54" t="s">
        <v>115</v>
      </c>
      <c r="G8" s="54" t="s">
        <v>116</v>
      </c>
      <c r="H8" s="54" t="s">
        <v>117</v>
      </c>
      <c r="I8" s="294"/>
      <c r="J8" s="60" t="s">
        <v>231</v>
      </c>
      <c r="K8" s="60" t="s">
        <v>232</v>
      </c>
      <c r="L8" s="60" t="s">
        <v>115</v>
      </c>
      <c r="M8" s="60" t="s">
        <v>116</v>
      </c>
      <c r="N8" s="60" t="s">
        <v>117</v>
      </c>
      <c r="O8" s="61" t="s">
        <v>236</v>
      </c>
      <c r="P8" s="294"/>
      <c r="Q8" s="60" t="s">
        <v>206</v>
      </c>
      <c r="R8" s="60" t="s">
        <v>207</v>
      </c>
      <c r="S8" s="60" t="s">
        <v>208</v>
      </c>
      <c r="T8" s="60" t="s">
        <v>209</v>
      </c>
      <c r="U8" s="60" t="s">
        <v>233</v>
      </c>
      <c r="V8" s="68" t="s">
        <v>220</v>
      </c>
      <c r="W8" s="288"/>
      <c r="X8" s="272"/>
      <c r="Y8" s="47"/>
      <c r="Z8" s="47"/>
      <c r="AA8" s="47"/>
      <c r="AB8" s="47"/>
    </row>
    <row r="9" spans="1:28" ht="39.950000000000003" customHeight="1">
      <c r="A9" s="55">
        <v>1</v>
      </c>
      <c r="B9" s="55" t="str">
        <f>IFERROR(VLOOKUP(D9,'RJ ATTENDENCE SHEET'!$C:$D,2,0),"")</f>
        <v>TC 0179</v>
      </c>
      <c r="C9" s="275" t="str">
        <f>IFERROR(VLOOKUP(D9,'DATA '!$D:$E,2,0),"")</f>
        <v>DRIVER</v>
      </c>
      <c r="D9" s="280" t="str">
        <f>'DATA '!K3</f>
        <v xml:space="preserve">ANISUR </v>
      </c>
      <c r="E9" s="281" t="str">
        <f>B9</f>
        <v>TC 0179</v>
      </c>
      <c r="F9" s="278">
        <f>IFERROR(VLOOKUP(D9,'RJ ATTENDENCE SHEET'!$C:$O,10,0),"")</f>
        <v>20200</v>
      </c>
      <c r="G9" s="278">
        <f>IFERROR(VLOOKUP(D9,'RJ ATTENDENCE SHEET'!$C:$O,11,0),"")</f>
        <v>0</v>
      </c>
      <c r="H9" s="278">
        <f>IFERROR(VLOOKUP(D9,'RJ ATTENDENCE SHEET'!$C:$O,12,0),"")</f>
        <v>0</v>
      </c>
      <c r="I9" s="278">
        <f>IFERROR(SUM(F9:H9),"")</f>
        <v>20200</v>
      </c>
      <c r="J9" s="276">
        <f>DAY(EOMONTH('RJ ATTENDENCE SHEET'!$A$1,0))</f>
        <v>31</v>
      </c>
      <c r="K9" s="282">
        <v>22</v>
      </c>
      <c r="L9" s="278">
        <f>IFERROR(ROUND(F9/J9*K9,0),"")</f>
        <v>14335</v>
      </c>
      <c r="M9" s="278">
        <f>IFERROR(G9/J9*K9,"")</f>
        <v>0</v>
      </c>
      <c r="N9" s="278">
        <f>IFERROR(H9/J9*K9,"")</f>
        <v>0</v>
      </c>
      <c r="O9" s="278">
        <f>VLOOKUP(D9,WAGES!$C:$L,10,0)-L9-M9-N9</f>
        <v>1070</v>
      </c>
      <c r="P9" s="276">
        <f t="shared" ref="P9:P24" si="0">SUM(L9:O9)</f>
        <v>15405</v>
      </c>
      <c r="Q9" s="278" t="str">
        <f>IFERROR(IF(F9&lt;15000,ROUND(L9*12%,0),"0"),"")</f>
        <v>0</v>
      </c>
      <c r="R9" s="278">
        <f>ROUNDUP(P9*0.75%,0)</f>
        <v>116</v>
      </c>
      <c r="S9" s="279">
        <f>IF(AND(P9&gt;0,P9&lt;8501),0,(IF(AND(P9&gt;8500,P9&lt;10001),0,(IF(AND(P9&gt;10000,P9&lt;15001),110,(IF(AND(P9&gt;15000,P9&lt;25001),130,(IF(AND(P9&gt;25000,P9&lt;40001),150,0)))))))))</f>
        <v>130</v>
      </c>
      <c r="T9" s="278">
        <f>IFERROR(VLOOKUP(D9,'RJ ATTENDENCE SHEET'!$C:$S,17,0),"")</f>
        <v>0</v>
      </c>
      <c r="U9" s="278">
        <f>SUM(Q9:T9)</f>
        <v>246</v>
      </c>
      <c r="V9" s="278">
        <f>P9-U9</f>
        <v>15159</v>
      </c>
      <c r="W9" s="70"/>
      <c r="X9" s="272"/>
      <c r="Y9" s="47"/>
      <c r="Z9" s="47"/>
      <c r="AA9" s="47"/>
      <c r="AB9" s="47"/>
    </row>
    <row r="10" spans="1:28" ht="39.950000000000003" customHeight="1">
      <c r="A10" s="55">
        <v>2</v>
      </c>
      <c r="B10" s="55" t="str">
        <f>IFERROR(VLOOKUP(D10,'RJ ATTENDENCE SHEET'!$C:$D,2,0),"")</f>
        <v>TC 0074</v>
      </c>
      <c r="C10" s="55" t="str">
        <f>IFERROR(VLOOKUP(D10,'DATA '!$D:$E,2,0),"")</f>
        <v>DRIVER</v>
      </c>
      <c r="D10" s="56" t="str">
        <f>'DATA '!K4</f>
        <v xml:space="preserve">ARMAN ALI MONDAL </v>
      </c>
      <c r="E10" s="57" t="str">
        <f t="shared" ref="E10:E33" si="1">B10</f>
        <v>TC 0074</v>
      </c>
      <c r="F10" s="58">
        <f>IFERROR(VLOOKUP(D10,'RJ ATTENDENCE SHEET'!$C:$O,10,0),"")</f>
        <v>11620</v>
      </c>
      <c r="G10" s="58">
        <f>IFERROR(VLOOKUP(D10,'RJ ATTENDENCE SHEET'!$C:$O,11,0),"")</f>
        <v>2240</v>
      </c>
      <c r="H10" s="58">
        <f>IFERROR(VLOOKUP(D10,'RJ ATTENDENCE SHEET'!$C:$O,12,0),"")</f>
        <v>2040</v>
      </c>
      <c r="I10" s="58">
        <f t="shared" ref="I10:I33" si="2">IFERROR(SUM(F10:H10),"")</f>
        <v>15900</v>
      </c>
      <c r="J10" s="62">
        <f>DAY(EOMONTH('RJ ATTENDENCE SHEET'!$A$1,0))</f>
        <v>31</v>
      </c>
      <c r="K10" s="442">
        <v>26</v>
      </c>
      <c r="L10" s="58">
        <f t="shared" ref="L10:L33" si="3">IFERROR(ROUND(F10/J10*K10,0),"")</f>
        <v>9746</v>
      </c>
      <c r="M10" s="58">
        <f t="shared" ref="M10:M33" si="4">IFERROR(G10/J10*K10,"")</f>
        <v>1878.7096774193551</v>
      </c>
      <c r="N10" s="58">
        <f t="shared" ref="N10:N33" si="5">IFERROR(H10/J10*K10,"")</f>
        <v>1710.9677419354839</v>
      </c>
      <c r="O10" s="58">
        <f>IFERROR(VLOOKUP(D10,WAGES!$C:$L,10,0)-L10-M10-N10,"")</f>
        <v>1264.322580645161</v>
      </c>
      <c r="P10" s="62">
        <f t="shared" si="0"/>
        <v>14600.000000000002</v>
      </c>
      <c r="Q10" s="58">
        <f t="shared" ref="Q10:Q73" si="6">IFERROR(IF(F10&lt;15000,ROUND(L10*12%,0),"0"),"")</f>
        <v>1170</v>
      </c>
      <c r="R10" s="58">
        <f t="shared" ref="R10:R73" si="7">ROUNDUP(P10*0.75%,0)</f>
        <v>110</v>
      </c>
      <c r="S10" s="69">
        <f t="shared" ref="S10:S73" si="8">IF(AND(P10&gt;0,P10&lt;8501),0,(IF(AND(P10&gt;8500,P10&lt;10001),0,(IF(AND(P10&gt;10000,P10&lt;15001),110,(IF(AND(P10&gt;15000,P10&lt;25001),130,(IF(AND(P10&gt;25000,P10&lt;40001),150,0)))))))))</f>
        <v>110</v>
      </c>
      <c r="T10" s="58">
        <f>IFERROR(VLOOKUP(D10,'RJ ATTENDENCE SHEET'!$C:$S,17,0),"")</f>
        <v>0</v>
      </c>
      <c r="U10" s="58">
        <f t="shared" ref="U10:U73" si="9">SUM(Q10:T10)</f>
        <v>1390</v>
      </c>
      <c r="V10" s="58">
        <f t="shared" ref="V10:V73" si="10">P10-U10</f>
        <v>13210.000000000002</v>
      </c>
      <c r="W10" s="70"/>
      <c r="X10" s="272"/>
      <c r="Y10" s="47"/>
      <c r="Z10" s="47"/>
      <c r="AA10" s="47"/>
      <c r="AB10" s="47"/>
    </row>
    <row r="11" spans="1:28" ht="39.950000000000003" customHeight="1">
      <c r="A11" s="55">
        <v>3</v>
      </c>
      <c r="B11" s="55" t="str">
        <f>IFERROR(VLOOKUP(D11,'RJ ATTENDENCE SHEET'!$C:$D,2,0),"")</f>
        <v>TC 0187</v>
      </c>
      <c r="C11" s="55" t="str">
        <f>IFERROR(VLOOKUP(D11,'DATA '!$D:$E,2,0),"")</f>
        <v>HELPER</v>
      </c>
      <c r="D11" s="56" t="str">
        <f>'DATA '!K5</f>
        <v>ASUTOSH SARDAR</v>
      </c>
      <c r="E11" s="57" t="str">
        <f t="shared" si="1"/>
        <v>TC 0187</v>
      </c>
      <c r="F11" s="58">
        <f>IFERROR(VLOOKUP(D11,'RJ ATTENDENCE SHEET'!$C:$O,10,0),"")</f>
        <v>10560</v>
      </c>
      <c r="G11" s="58">
        <f>IFERROR(VLOOKUP(D11,'RJ ATTENDENCE SHEET'!$C:$O,11,0),"")</f>
        <v>920</v>
      </c>
      <c r="H11" s="58">
        <f>IFERROR(VLOOKUP(D11,'RJ ATTENDENCE SHEET'!$C:$O,12,0),"")</f>
        <v>720</v>
      </c>
      <c r="I11" s="58">
        <f t="shared" si="2"/>
        <v>12200</v>
      </c>
      <c r="J11" s="62">
        <f>DAY(EOMONTH('RJ ATTENDENCE SHEET'!$A$1,0))</f>
        <v>31</v>
      </c>
      <c r="K11" s="442">
        <v>28</v>
      </c>
      <c r="L11" s="58">
        <f t="shared" si="3"/>
        <v>9538</v>
      </c>
      <c r="M11" s="58">
        <f t="shared" si="4"/>
        <v>830.96774193548379</v>
      </c>
      <c r="N11" s="58">
        <f t="shared" si="5"/>
        <v>650.32258064516134</v>
      </c>
      <c r="O11" s="58">
        <f>IFERROR(VLOOKUP(D11,WAGES!$C:$L,10,0)-L11-M11-N11,"")</f>
        <v>1020.7096774193548</v>
      </c>
      <c r="P11" s="62">
        <f t="shared" si="0"/>
        <v>12039.999999999998</v>
      </c>
      <c r="Q11" s="58">
        <f t="shared" si="6"/>
        <v>1145</v>
      </c>
      <c r="R11" s="58">
        <f t="shared" si="7"/>
        <v>91</v>
      </c>
      <c r="S11" s="69">
        <f t="shared" si="8"/>
        <v>110</v>
      </c>
      <c r="T11" s="58">
        <f>IFERROR(VLOOKUP(D11,'RJ ATTENDENCE SHEET'!$C:$S,17,0),"")</f>
        <v>0</v>
      </c>
      <c r="U11" s="58">
        <f t="shared" si="9"/>
        <v>1346</v>
      </c>
      <c r="V11" s="58">
        <f t="shared" si="10"/>
        <v>10693.999999999998</v>
      </c>
      <c r="W11" s="70"/>
      <c r="X11" s="272"/>
      <c r="Y11" s="47"/>
      <c r="Z11" s="47"/>
      <c r="AA11" s="47"/>
      <c r="AB11" s="47"/>
    </row>
    <row r="12" spans="1:28" ht="39.950000000000003" customHeight="1">
      <c r="A12" s="55">
        <v>4</v>
      </c>
      <c r="B12" s="55" t="str">
        <f>IFERROR(VLOOKUP(D12,'RJ ATTENDENCE SHEET'!$C:$D,2,0),"")</f>
        <v>TC 0222</v>
      </c>
      <c r="C12" s="55" t="str">
        <f>IFERROR(VLOOKUP(D12,'DATA '!$D:$E,2,0),"")</f>
        <v>LAB</v>
      </c>
      <c r="D12" s="56" t="str">
        <f>'DATA '!K6</f>
        <v>BUDDHADEV SEAL</v>
      </c>
      <c r="E12" s="57" t="str">
        <f t="shared" si="1"/>
        <v>TC 0222</v>
      </c>
      <c r="F12" s="58">
        <f>IFERROR(VLOOKUP(D12,'RJ ATTENDENCE SHEET'!$C:$O,10,0),"")</f>
        <v>10560</v>
      </c>
      <c r="G12" s="58">
        <f>IFERROR(VLOOKUP(D12,'RJ ATTENDENCE SHEET'!$C:$O,11,0),"")</f>
        <v>2665</v>
      </c>
      <c r="H12" s="58">
        <f>IFERROR(VLOOKUP(D12,'RJ ATTENDENCE SHEET'!$C:$O,12,0),"")</f>
        <v>2000</v>
      </c>
      <c r="I12" s="58">
        <f t="shared" si="2"/>
        <v>15225</v>
      </c>
      <c r="J12" s="62">
        <f>DAY(EOMONTH('RJ ATTENDENCE SHEET'!$A$1,0))</f>
        <v>31</v>
      </c>
      <c r="K12" s="442">
        <v>31</v>
      </c>
      <c r="L12" s="58">
        <f t="shared" si="3"/>
        <v>10560</v>
      </c>
      <c r="M12" s="58">
        <f t="shared" si="4"/>
        <v>2665</v>
      </c>
      <c r="N12" s="58">
        <f t="shared" si="5"/>
        <v>2000</v>
      </c>
      <c r="O12" s="58">
        <f>IFERROR(VLOOKUP(D12,WAGES!$C:$L,10,0)-L12-M12-N12,"")</f>
        <v>1473.3870967741932</v>
      </c>
      <c r="P12" s="62">
        <f t="shared" si="0"/>
        <v>16698.387096774193</v>
      </c>
      <c r="Q12" s="58">
        <f t="shared" si="6"/>
        <v>1267</v>
      </c>
      <c r="R12" s="58">
        <f t="shared" si="7"/>
        <v>126</v>
      </c>
      <c r="S12" s="69">
        <f t="shared" si="8"/>
        <v>130</v>
      </c>
      <c r="T12" s="58">
        <f>IFERROR(VLOOKUP(D12,'RJ ATTENDENCE SHEET'!$C:$S,17,0),"")</f>
        <v>0</v>
      </c>
      <c r="U12" s="58">
        <f t="shared" si="9"/>
        <v>1523</v>
      </c>
      <c r="V12" s="58">
        <f t="shared" si="10"/>
        <v>15175.387096774193</v>
      </c>
      <c r="W12" s="70"/>
      <c r="X12" s="272"/>
      <c r="Y12" s="47"/>
      <c r="Z12" s="47"/>
      <c r="AA12" s="47"/>
      <c r="AB12" s="47"/>
    </row>
    <row r="13" spans="1:28" ht="39.950000000000003" customHeight="1">
      <c r="A13" s="55">
        <v>5</v>
      </c>
      <c r="B13" s="55" t="str">
        <f>IFERROR(VLOOKUP(D13,'RJ ATTENDENCE SHEET'!$C:$D,2,0),"")</f>
        <v>TC0361</v>
      </c>
      <c r="C13" s="55" t="str">
        <f>IFERROR(VLOOKUP(D13,'DATA '!$D:$E,2,0),"")</f>
        <v>DRIVER</v>
      </c>
      <c r="D13" s="56" t="str">
        <f>'DATA '!K7</f>
        <v xml:space="preserve">FARUK ALI </v>
      </c>
      <c r="E13" s="57" t="str">
        <f t="shared" si="1"/>
        <v>TC0361</v>
      </c>
      <c r="F13" s="58">
        <f>IFERROR(VLOOKUP(D13,'RJ ATTENDENCE SHEET'!$C:$O,10,0),"")</f>
        <v>11620</v>
      </c>
      <c r="G13" s="58">
        <f>IFERROR(VLOOKUP(D13,'RJ ATTENDENCE SHEET'!$C:$O,11,0),"")</f>
        <v>2170</v>
      </c>
      <c r="H13" s="58">
        <f>IFERROR(VLOOKUP(D13,'RJ ATTENDENCE SHEET'!$C:$O,12,0),"")</f>
        <v>2010</v>
      </c>
      <c r="I13" s="58">
        <f t="shared" si="2"/>
        <v>15800</v>
      </c>
      <c r="J13" s="62">
        <f>DAY(EOMONTH('RJ ATTENDENCE SHEET'!$A$1,0))</f>
        <v>31</v>
      </c>
      <c r="K13" s="442">
        <v>26</v>
      </c>
      <c r="L13" s="58">
        <f t="shared" si="3"/>
        <v>9746</v>
      </c>
      <c r="M13" s="58">
        <f t="shared" si="4"/>
        <v>1820</v>
      </c>
      <c r="N13" s="58">
        <f t="shared" si="5"/>
        <v>1685.8064516129034</v>
      </c>
      <c r="O13" s="58">
        <f>IFERROR(VLOOKUP(D13,WAGES!$C:$L,10,0)-L13-M13-N13,"")</f>
        <v>1268.1935483870966</v>
      </c>
      <c r="P13" s="62">
        <f t="shared" si="0"/>
        <v>14520</v>
      </c>
      <c r="Q13" s="58">
        <f t="shared" si="6"/>
        <v>1170</v>
      </c>
      <c r="R13" s="58">
        <f t="shared" si="7"/>
        <v>109</v>
      </c>
      <c r="S13" s="69">
        <f t="shared" si="8"/>
        <v>110</v>
      </c>
      <c r="T13" s="58">
        <f>IFERROR(VLOOKUP(D13,'RJ ATTENDENCE SHEET'!$C:$S,17,0),"")</f>
        <v>0</v>
      </c>
      <c r="U13" s="58">
        <f t="shared" si="9"/>
        <v>1389</v>
      </c>
      <c r="V13" s="58">
        <f t="shared" si="10"/>
        <v>13131</v>
      </c>
      <c r="W13" s="70"/>
      <c r="X13" s="272"/>
      <c r="Y13" s="47"/>
      <c r="Z13" s="47"/>
      <c r="AA13" s="47"/>
      <c r="AB13" s="47"/>
    </row>
    <row r="14" spans="1:28" ht="39.950000000000003" customHeight="1">
      <c r="A14" s="55">
        <v>6</v>
      </c>
      <c r="B14" s="55" t="str">
        <f>IFERROR(VLOOKUP(D14,'RJ ATTENDENCE SHEET'!$C:$D,2,0),"")</f>
        <v>TC 0219</v>
      </c>
      <c r="C14" s="55" t="str">
        <f>IFERROR(VLOOKUP(D14,'DATA '!$D:$E,2,0),"")</f>
        <v>HOPPER</v>
      </c>
      <c r="D14" s="56" t="str">
        <f>'DATA '!K8</f>
        <v>KUTUBUDDIN MOLLA</v>
      </c>
      <c r="E14" s="57" t="str">
        <f t="shared" si="1"/>
        <v>TC 0219</v>
      </c>
      <c r="F14" s="58">
        <f>IFERROR(VLOOKUP(D14,'RJ ATTENDENCE SHEET'!$C:$O,10,0),"")</f>
        <v>11615</v>
      </c>
      <c r="G14" s="58">
        <f>IFERROR(VLOOKUP(D14,'RJ ATTENDENCE SHEET'!$C:$O,11,0),"")</f>
        <v>1765</v>
      </c>
      <c r="H14" s="58">
        <f>IFERROR(VLOOKUP(D14,'RJ ATTENDENCE SHEET'!$C:$O,12,0),"")</f>
        <v>1620</v>
      </c>
      <c r="I14" s="58">
        <f t="shared" si="2"/>
        <v>15000</v>
      </c>
      <c r="J14" s="62">
        <f>DAY(EOMONTH('RJ ATTENDENCE SHEET'!$A$1,0))</f>
        <v>31</v>
      </c>
      <c r="K14" s="442">
        <v>31</v>
      </c>
      <c r="L14" s="58">
        <f t="shared" si="3"/>
        <v>11615</v>
      </c>
      <c r="M14" s="58">
        <f t="shared" si="4"/>
        <v>1765</v>
      </c>
      <c r="N14" s="58">
        <f t="shared" si="5"/>
        <v>1620</v>
      </c>
      <c r="O14" s="58">
        <f>IFERROR(VLOOKUP(D14,WAGES!$C:$L,10,0)-L14-M14-N14,"")</f>
        <v>1451.6129032258068</v>
      </c>
      <c r="P14" s="62">
        <f t="shared" si="0"/>
        <v>16451.612903225807</v>
      </c>
      <c r="Q14" s="58">
        <f t="shared" si="6"/>
        <v>1394</v>
      </c>
      <c r="R14" s="58">
        <f t="shared" si="7"/>
        <v>124</v>
      </c>
      <c r="S14" s="69">
        <f t="shared" si="8"/>
        <v>130</v>
      </c>
      <c r="T14" s="58">
        <f>IFERROR(VLOOKUP(D14,'RJ ATTENDENCE SHEET'!$C:$S,17,0),"")</f>
        <v>0</v>
      </c>
      <c r="U14" s="58">
        <f t="shared" si="9"/>
        <v>1648</v>
      </c>
      <c r="V14" s="58">
        <f t="shared" si="10"/>
        <v>14803.612903225807</v>
      </c>
      <c r="W14" s="70"/>
      <c r="X14" s="272"/>
      <c r="Y14" s="47"/>
      <c r="Z14" s="47"/>
      <c r="AA14" s="47"/>
      <c r="AB14" s="47"/>
    </row>
    <row r="15" spans="1:28" ht="39.950000000000003" customHeight="1">
      <c r="A15" s="55">
        <v>7</v>
      </c>
      <c r="B15" s="55" t="str">
        <f>IFERROR(VLOOKUP(D15,'RJ ATTENDENCE SHEET'!$C:$D,2,0),"")</f>
        <v>TC0391</v>
      </c>
      <c r="C15" s="55" t="str">
        <f>IFERROR(VLOOKUP(D15,'DATA '!$D:$E,2,0),"")</f>
        <v>OTHERS</v>
      </c>
      <c r="D15" s="56" t="str">
        <f>'DATA '!K9</f>
        <v>MD. SAMIM AKRAM</v>
      </c>
      <c r="E15" s="57" t="str">
        <f t="shared" si="1"/>
        <v>TC0391</v>
      </c>
      <c r="F15" s="58">
        <f>IFERROR(VLOOKUP(D15,'RJ ATTENDENCE SHEET'!$C:$O,10,0),"")</f>
        <v>12777</v>
      </c>
      <c r="G15" s="58">
        <f>IFERROR(VLOOKUP(D15,'RJ ATTENDENCE SHEET'!$C:$O,11,0),"")</f>
        <v>1556</v>
      </c>
      <c r="H15" s="58">
        <f>IFERROR(VLOOKUP(D15,'RJ ATTENDENCE SHEET'!$C:$O,12,0),"")</f>
        <v>1167</v>
      </c>
      <c r="I15" s="58">
        <f t="shared" si="2"/>
        <v>15500</v>
      </c>
      <c r="J15" s="62">
        <f>DAY(EOMONTH('RJ ATTENDENCE SHEET'!$A$1,0))</f>
        <v>31</v>
      </c>
      <c r="K15" s="442">
        <v>31</v>
      </c>
      <c r="L15" s="58">
        <f t="shared" si="3"/>
        <v>12777</v>
      </c>
      <c r="M15" s="58">
        <f t="shared" si="4"/>
        <v>1556</v>
      </c>
      <c r="N15" s="58">
        <f t="shared" si="5"/>
        <v>1167</v>
      </c>
      <c r="O15" s="58">
        <f>IFERROR(VLOOKUP(D15,WAGES!$C:$L,10,0)-L15-M15-N15,"")</f>
        <v>2000</v>
      </c>
      <c r="P15" s="62">
        <f t="shared" si="0"/>
        <v>17500</v>
      </c>
      <c r="Q15" s="58">
        <f t="shared" si="6"/>
        <v>1533</v>
      </c>
      <c r="R15" s="58">
        <f t="shared" si="7"/>
        <v>132</v>
      </c>
      <c r="S15" s="69">
        <f t="shared" si="8"/>
        <v>130</v>
      </c>
      <c r="T15" s="58">
        <f>IFERROR(VLOOKUP(D15,'RJ ATTENDENCE SHEET'!$C:$S,17,0),"")</f>
        <v>0</v>
      </c>
      <c r="U15" s="58">
        <f t="shared" si="9"/>
        <v>1795</v>
      </c>
      <c r="V15" s="58">
        <f t="shared" si="10"/>
        <v>15705</v>
      </c>
      <c r="W15" s="70"/>
      <c r="X15" s="272"/>
      <c r="Y15" s="47"/>
      <c r="Z15" s="47"/>
      <c r="AA15" s="47"/>
      <c r="AB15" s="47"/>
    </row>
    <row r="16" spans="1:28" ht="39.950000000000003" customHeight="1">
      <c r="A16" s="55">
        <v>8</v>
      </c>
      <c r="B16" s="55" t="str">
        <f>IFERROR(VLOOKUP(D16,'RJ ATTENDENCE SHEET'!$C:$D,2,0),"")</f>
        <v>TC0051</v>
      </c>
      <c r="C16" s="55" t="str">
        <f>IFERROR(VLOOKUP(D16,'DATA '!$D:$E,2,0),"")</f>
        <v>DRIVER</v>
      </c>
      <c r="D16" s="56" t="str">
        <f>'DATA '!K10</f>
        <v>MOTIAR RAHAMAN</v>
      </c>
      <c r="E16" s="57" t="str">
        <f t="shared" si="1"/>
        <v>TC0051</v>
      </c>
      <c r="F16" s="58">
        <f>IFERROR(VLOOKUP(D16,'RJ ATTENDENCE SHEET'!$C:$O,10,0),"")</f>
        <v>11620</v>
      </c>
      <c r="G16" s="58">
        <f>IFERROR(VLOOKUP(D16,'RJ ATTENDENCE SHEET'!$C:$O,11,0),"")</f>
        <v>3130</v>
      </c>
      <c r="H16" s="58">
        <f>IFERROR(VLOOKUP(D16,'RJ ATTENDENCE SHEET'!$C:$O,12,0),"")</f>
        <v>2550</v>
      </c>
      <c r="I16" s="58">
        <f t="shared" si="2"/>
        <v>17300</v>
      </c>
      <c r="J16" s="62">
        <f>DAY(EOMONTH('RJ ATTENDENCE SHEET'!$A$1,0))</f>
        <v>31</v>
      </c>
      <c r="K16" s="442">
        <v>22</v>
      </c>
      <c r="L16" s="58">
        <f t="shared" si="3"/>
        <v>8246</v>
      </c>
      <c r="M16" s="58">
        <f t="shared" si="4"/>
        <v>2221.2903225806454</v>
      </c>
      <c r="N16" s="58">
        <f t="shared" si="5"/>
        <v>1809.6774193548388</v>
      </c>
      <c r="O16" s="58">
        <f>IFERROR(VLOOKUP(D16,WAGES!$C:$L,10,0)-L16-M16-N16,"")</f>
        <v>713.03225806451587</v>
      </c>
      <c r="P16" s="62">
        <f t="shared" si="0"/>
        <v>12990</v>
      </c>
      <c r="Q16" s="58">
        <f t="shared" si="6"/>
        <v>990</v>
      </c>
      <c r="R16" s="58">
        <f t="shared" si="7"/>
        <v>98</v>
      </c>
      <c r="S16" s="69">
        <f t="shared" si="8"/>
        <v>110</v>
      </c>
      <c r="T16" s="58">
        <f>IFERROR(VLOOKUP(D16,'RJ ATTENDENCE SHEET'!$C:$S,17,0),"")</f>
        <v>0</v>
      </c>
      <c r="U16" s="58">
        <f t="shared" si="9"/>
        <v>1198</v>
      </c>
      <c r="V16" s="58">
        <f t="shared" si="10"/>
        <v>11792</v>
      </c>
      <c r="W16" s="70"/>
      <c r="X16" s="272"/>
      <c r="Y16" s="47"/>
      <c r="Z16" s="47"/>
      <c r="AA16" s="47"/>
      <c r="AB16" s="47"/>
    </row>
    <row r="17" spans="1:28" ht="39.950000000000003" customHeight="1">
      <c r="A17" s="55">
        <v>9</v>
      </c>
      <c r="B17" s="247">
        <f>IFERROR(VLOOKUP(D17,'RJ ATTENDENCE SHEET'!$C:$D,2,0),"")</f>
        <v>0</v>
      </c>
      <c r="C17" s="275" t="str">
        <f>IFERROR(VLOOKUP(D17,'DATA '!$D:$E,2,0),"")</f>
        <v>DRIVER</v>
      </c>
      <c r="D17" s="280" t="str">
        <f>'DATA '!K11</f>
        <v>MOKSHED ALI</v>
      </c>
      <c r="E17" s="281">
        <f t="shared" si="1"/>
        <v>0</v>
      </c>
      <c r="F17" s="278">
        <f>IFERROR(VLOOKUP(D17,'RJ ATTENDENCE SHEET'!$C:$O,10,0),"")</f>
        <v>19000</v>
      </c>
      <c r="G17" s="278">
        <f>IFERROR(VLOOKUP(D17,'RJ ATTENDENCE SHEET'!$C:$O,11,0),"")</f>
        <v>0</v>
      </c>
      <c r="H17" s="278">
        <f>IFERROR(VLOOKUP(D17,'RJ ATTENDENCE SHEET'!$C:$O,12,0),"")</f>
        <v>0</v>
      </c>
      <c r="I17" s="278">
        <f t="shared" si="2"/>
        <v>19000</v>
      </c>
      <c r="J17" s="276">
        <f>DAY(EOMONTH('RJ ATTENDENCE SHEET'!$A$1,0))</f>
        <v>31</v>
      </c>
      <c r="K17" s="282">
        <v>22</v>
      </c>
      <c r="L17" s="278">
        <f t="shared" si="3"/>
        <v>13484</v>
      </c>
      <c r="M17" s="278">
        <f t="shared" si="4"/>
        <v>0</v>
      </c>
      <c r="N17" s="278">
        <f t="shared" si="5"/>
        <v>0</v>
      </c>
      <c r="O17" s="278">
        <f>IFERROR(VLOOKUP(D17,WAGES!$C:$L,10,0)-L17-M17-N17,"")</f>
        <v>1036</v>
      </c>
      <c r="P17" s="276">
        <f t="shared" si="0"/>
        <v>14520</v>
      </c>
      <c r="Q17" s="278" t="str">
        <f t="shared" si="6"/>
        <v>0</v>
      </c>
      <c r="R17" s="278">
        <f t="shared" si="7"/>
        <v>109</v>
      </c>
      <c r="S17" s="279">
        <f t="shared" si="8"/>
        <v>110</v>
      </c>
      <c r="T17" s="278">
        <f>IFERROR(VLOOKUP(D17,'RJ ATTENDENCE SHEET'!$C:$S,17,0),"")</f>
        <v>0</v>
      </c>
      <c r="U17" s="278">
        <f t="shared" si="9"/>
        <v>219</v>
      </c>
      <c r="V17" s="278">
        <f t="shared" si="10"/>
        <v>14301</v>
      </c>
      <c r="W17" s="70"/>
      <c r="X17" s="272"/>
      <c r="Y17" s="47"/>
      <c r="Z17" s="47"/>
      <c r="AA17" s="47"/>
      <c r="AB17" s="47"/>
    </row>
    <row r="18" spans="1:28" ht="39.950000000000003" customHeight="1">
      <c r="A18" s="55">
        <v>10</v>
      </c>
      <c r="B18" s="55" t="str">
        <f>IFERROR(VLOOKUP(D18,'RJ ATTENDENCE SHEET'!$C:$D,2,0),"")</f>
        <v>TC 0143</v>
      </c>
      <c r="C18" s="275" t="str">
        <f>IFERROR(VLOOKUP(D18,'DATA '!$D:$E,2,0),"")</f>
        <v>DRIVER</v>
      </c>
      <c r="D18" s="280" t="str">
        <f>'DATA '!K12</f>
        <v xml:space="preserve">SAMSER ALI </v>
      </c>
      <c r="E18" s="281" t="str">
        <f t="shared" si="1"/>
        <v>TC 0143</v>
      </c>
      <c r="F18" s="278">
        <f>IFERROR(VLOOKUP(D18,'RJ ATTENDENCE SHEET'!$C:$O,10,0),"")</f>
        <v>20600</v>
      </c>
      <c r="G18" s="278">
        <f>IFERROR(VLOOKUP(D18,'RJ ATTENDENCE SHEET'!$C:$O,11,0),"")</f>
        <v>0</v>
      </c>
      <c r="H18" s="278">
        <f>IFERROR(VLOOKUP(D18,'RJ ATTENDENCE SHEET'!$C:$O,12,0),"")</f>
        <v>0</v>
      </c>
      <c r="I18" s="278">
        <f t="shared" si="2"/>
        <v>20600</v>
      </c>
      <c r="J18" s="276">
        <f>DAY(EOMONTH('RJ ATTENDENCE SHEET'!$A$1,0))</f>
        <v>31</v>
      </c>
      <c r="K18" s="282">
        <v>19</v>
      </c>
      <c r="L18" s="278">
        <f t="shared" si="3"/>
        <v>12626</v>
      </c>
      <c r="M18" s="278">
        <f t="shared" si="4"/>
        <v>0</v>
      </c>
      <c r="N18" s="278">
        <f t="shared" si="5"/>
        <v>0</v>
      </c>
      <c r="O18" s="278">
        <f>IFERROR(VLOOKUP(D18,WAGES!$C:$L,10,0)-L18-M18-N18,"")</f>
        <v>694</v>
      </c>
      <c r="P18" s="276">
        <f t="shared" si="0"/>
        <v>13320</v>
      </c>
      <c r="Q18" s="278" t="str">
        <f t="shared" si="6"/>
        <v>0</v>
      </c>
      <c r="R18" s="278">
        <f t="shared" si="7"/>
        <v>100</v>
      </c>
      <c r="S18" s="279">
        <f t="shared" si="8"/>
        <v>110</v>
      </c>
      <c r="T18" s="278">
        <f>IFERROR(VLOOKUP(D18,'RJ ATTENDENCE SHEET'!$C:$S,17,0),"")</f>
        <v>0</v>
      </c>
      <c r="U18" s="278">
        <f t="shared" si="9"/>
        <v>210</v>
      </c>
      <c r="V18" s="278">
        <f t="shared" si="10"/>
        <v>13110</v>
      </c>
      <c r="W18" s="70"/>
      <c r="X18" s="272"/>
      <c r="Y18" s="47"/>
      <c r="Z18" s="47"/>
      <c r="AA18" s="47"/>
      <c r="AB18" s="47"/>
    </row>
    <row r="19" spans="1:28" ht="39.950000000000003" customHeight="1">
      <c r="A19" s="55">
        <v>11</v>
      </c>
      <c r="B19" s="55" t="str">
        <f>IFERROR(VLOOKUP(D19,'RJ ATTENDENCE SHEET'!$C:$D,2,0),"")</f>
        <v>TC 0412</v>
      </c>
      <c r="C19" s="275" t="str">
        <f>IFERROR(VLOOKUP(D19,'DATA '!$D:$E,2,0),"")</f>
        <v>DRIVER</v>
      </c>
      <c r="D19" s="280" t="str">
        <f>'DATA '!K13</f>
        <v>SHANTI  MONDAL</v>
      </c>
      <c r="E19" s="281" t="str">
        <f t="shared" si="1"/>
        <v>TC 0412</v>
      </c>
      <c r="F19" s="278">
        <f>IFERROR(VLOOKUP(D19,'RJ ATTENDENCE SHEET'!$C:$O,10,0),"")</f>
        <v>20000</v>
      </c>
      <c r="G19" s="278">
        <f>IFERROR(VLOOKUP(D19,'RJ ATTENDENCE SHEET'!$C:$O,11,0),"")</f>
        <v>0</v>
      </c>
      <c r="H19" s="278">
        <f>IFERROR(VLOOKUP(D19,'RJ ATTENDENCE SHEET'!$C:$O,12,0),"")</f>
        <v>0</v>
      </c>
      <c r="I19" s="278">
        <f t="shared" si="2"/>
        <v>20000</v>
      </c>
      <c r="J19" s="276">
        <f>DAY(EOMONTH('RJ ATTENDENCE SHEET'!$A$1,0))</f>
        <v>31</v>
      </c>
      <c r="K19" s="282">
        <v>20</v>
      </c>
      <c r="L19" s="278">
        <f t="shared" si="3"/>
        <v>12903</v>
      </c>
      <c r="M19" s="278">
        <f t="shared" si="4"/>
        <v>0</v>
      </c>
      <c r="N19" s="278">
        <f t="shared" si="5"/>
        <v>0</v>
      </c>
      <c r="O19" s="278">
        <f>IFERROR(VLOOKUP(D19,WAGES!$C:$L,10,0)-L19-M19-N19,"")</f>
        <v>1102</v>
      </c>
      <c r="P19" s="276">
        <f t="shared" si="0"/>
        <v>14005</v>
      </c>
      <c r="Q19" s="278" t="str">
        <f t="shared" si="6"/>
        <v>0</v>
      </c>
      <c r="R19" s="278">
        <f t="shared" si="7"/>
        <v>106</v>
      </c>
      <c r="S19" s="279">
        <f t="shared" si="8"/>
        <v>110</v>
      </c>
      <c r="T19" s="278">
        <f>IFERROR(VLOOKUP(D19,'RJ ATTENDENCE SHEET'!$C:$S,17,0),"")</f>
        <v>0</v>
      </c>
      <c r="U19" s="278">
        <f t="shared" si="9"/>
        <v>216</v>
      </c>
      <c r="V19" s="278">
        <f t="shared" si="10"/>
        <v>13789</v>
      </c>
      <c r="W19" s="70"/>
      <c r="X19" s="272"/>
      <c r="Y19" s="47"/>
      <c r="Z19" s="47"/>
      <c r="AA19" s="47"/>
      <c r="AB19" s="47"/>
    </row>
    <row r="20" spans="1:28" ht="39.950000000000003" customHeight="1">
      <c r="A20" s="55">
        <v>12</v>
      </c>
      <c r="B20" s="247" t="str">
        <f>IFERROR(VLOOKUP(D20,'RJ ATTENDENCE SHEET'!$C:$D,2,0),"")</f>
        <v>TC 0072</v>
      </c>
      <c r="C20" s="247" t="str">
        <f>IFERROR(VLOOKUP(D20,'DATA '!$D:$E,2,0),"")</f>
        <v>DRIVER</v>
      </c>
      <c r="D20" s="283" t="str">
        <f>'DATA '!K14</f>
        <v xml:space="preserve">SIRAJUL  MOLLA  </v>
      </c>
      <c r="E20" s="284" t="str">
        <f t="shared" si="1"/>
        <v>TC 0072</v>
      </c>
      <c r="F20" s="285">
        <f>IFERROR(VLOOKUP(D20,'RJ ATTENDENCE SHEET'!$C:$O,10,0),"")</f>
        <v>11620</v>
      </c>
      <c r="G20" s="285">
        <f>IFERROR(VLOOKUP(D20,'RJ ATTENDENCE SHEET'!$C:$O,11,0),"")</f>
        <v>2160</v>
      </c>
      <c r="H20" s="285">
        <f>IFERROR(VLOOKUP(D20,'RJ ATTENDENCE SHEET'!$C:$O,12,0),"")</f>
        <v>1920</v>
      </c>
      <c r="I20" s="285">
        <f t="shared" si="2"/>
        <v>15700</v>
      </c>
      <c r="J20" s="248">
        <f>DAY(EOMONTH('RJ ATTENDENCE SHEET'!$A$1,0))</f>
        <v>31</v>
      </c>
      <c r="K20" s="442">
        <v>28</v>
      </c>
      <c r="L20" s="285">
        <f t="shared" si="3"/>
        <v>10495</v>
      </c>
      <c r="M20" s="285">
        <f t="shared" si="4"/>
        <v>1950.9677419354837</v>
      </c>
      <c r="N20" s="285">
        <f t="shared" si="5"/>
        <v>1734.1935483870968</v>
      </c>
      <c r="O20" s="285">
        <f>IFERROR(VLOOKUP(D20,WAGES!$C:$L,10,0)-L20-M20-N20,"")</f>
        <v>1344.8387096774193</v>
      </c>
      <c r="P20" s="248">
        <f t="shared" si="0"/>
        <v>15524.999999999998</v>
      </c>
      <c r="Q20" s="285">
        <f t="shared" si="6"/>
        <v>1259</v>
      </c>
      <c r="R20" s="285">
        <f t="shared" si="7"/>
        <v>117</v>
      </c>
      <c r="S20" s="286">
        <f t="shared" si="8"/>
        <v>130</v>
      </c>
      <c r="T20" s="285">
        <f>IFERROR(VLOOKUP(D20,'RJ ATTENDENCE SHEET'!$C:$S,17,0),"")</f>
        <v>0</v>
      </c>
      <c r="U20" s="285">
        <f t="shared" si="9"/>
        <v>1506</v>
      </c>
      <c r="V20" s="285">
        <f t="shared" si="10"/>
        <v>14018.999999999998</v>
      </c>
      <c r="W20" s="70"/>
      <c r="X20" s="272"/>
      <c r="Y20" s="47"/>
      <c r="Z20" s="47"/>
      <c r="AA20" s="47"/>
      <c r="AB20" s="47"/>
    </row>
    <row r="21" spans="1:28" ht="39.950000000000003" customHeight="1">
      <c r="A21" s="55">
        <v>13</v>
      </c>
      <c r="B21" s="247" t="str">
        <f>IFERROR(VLOOKUP(D21,'RJ ATTENDENCE SHEET'!$C:$D,2,0),"")</f>
        <v>TC 0076</v>
      </c>
      <c r="C21" s="55" t="str">
        <f>IFERROR(VLOOKUP(D21,'DATA '!$D:$E,2,0),"")</f>
        <v>HELPER</v>
      </c>
      <c r="D21" s="56" t="str">
        <f>'DATA '!K15</f>
        <v>SK. ANARUL ISLAM</v>
      </c>
      <c r="E21" s="57" t="str">
        <f t="shared" si="1"/>
        <v>TC 0076</v>
      </c>
      <c r="F21" s="58">
        <f>IFERROR(VLOOKUP(D21,'RJ ATTENDENCE SHEET'!$C:$O,10,0),"")</f>
        <v>10560</v>
      </c>
      <c r="G21" s="58">
        <f>IFERROR(VLOOKUP(D21,'RJ ATTENDENCE SHEET'!$C:$O,11,0),"")</f>
        <v>1140</v>
      </c>
      <c r="H21" s="58">
        <f>IFERROR(VLOOKUP(D21,'RJ ATTENDENCE SHEET'!$C:$O,12,0),"")</f>
        <v>900</v>
      </c>
      <c r="I21" s="58">
        <f t="shared" si="2"/>
        <v>12600</v>
      </c>
      <c r="J21" s="62">
        <f>DAY(EOMONTH('RJ ATTENDENCE SHEET'!$A$1,0))</f>
        <v>31</v>
      </c>
      <c r="K21" s="442">
        <v>31</v>
      </c>
      <c r="L21" s="58">
        <f t="shared" si="3"/>
        <v>10560</v>
      </c>
      <c r="M21" s="58">
        <f t="shared" si="4"/>
        <v>1140</v>
      </c>
      <c r="N21" s="58">
        <f t="shared" si="5"/>
        <v>900</v>
      </c>
      <c r="O21" s="58">
        <f>IFERROR(VLOOKUP(D21,WAGES!$C:$L,10,0)-L21-M21-N21,"")</f>
        <v>420</v>
      </c>
      <c r="P21" s="62">
        <f t="shared" si="0"/>
        <v>13020</v>
      </c>
      <c r="Q21" s="58">
        <f t="shared" si="6"/>
        <v>1267</v>
      </c>
      <c r="R21" s="58">
        <f t="shared" si="7"/>
        <v>98</v>
      </c>
      <c r="S21" s="69">
        <f t="shared" si="8"/>
        <v>110</v>
      </c>
      <c r="T21" s="58">
        <f>IFERROR(VLOOKUP(D21,'RJ ATTENDENCE SHEET'!$C:$S,17,0),"")</f>
        <v>0</v>
      </c>
      <c r="U21" s="58">
        <f t="shared" si="9"/>
        <v>1475</v>
      </c>
      <c r="V21" s="58">
        <f t="shared" si="10"/>
        <v>11545</v>
      </c>
      <c r="W21" s="70"/>
      <c r="X21" s="272"/>
      <c r="Y21" s="47"/>
      <c r="Z21" s="47"/>
      <c r="AA21" s="47"/>
      <c r="AB21" s="47"/>
    </row>
    <row r="22" spans="1:28" ht="39.950000000000003" customHeight="1">
      <c r="A22" s="55">
        <v>14</v>
      </c>
      <c r="B22" s="247" t="str">
        <f>IFERROR(VLOOKUP(D22,'RJ ATTENDENCE SHEET'!$C:$D,2,0),"")</f>
        <v>TC 0014</v>
      </c>
      <c r="C22" s="55" t="str">
        <f>IFERROR(VLOOKUP(D22,'DATA '!$D:$E,2,0),"")</f>
        <v>HOPPER</v>
      </c>
      <c r="D22" s="56" t="str">
        <f>'DATA '!K16</f>
        <v>SRISTI DHAR MONDAL</v>
      </c>
      <c r="E22" s="57" t="str">
        <f t="shared" si="1"/>
        <v>TC 0014</v>
      </c>
      <c r="F22" s="58">
        <f>IFERROR(VLOOKUP(D22,'RJ ATTENDENCE SHEET'!$C:$O,10,0),"")</f>
        <v>11615</v>
      </c>
      <c r="G22" s="58">
        <f>IFERROR(VLOOKUP(D22,'RJ ATTENDENCE SHEET'!$C:$O,11,0),"")</f>
        <v>1378</v>
      </c>
      <c r="H22" s="58">
        <f>IFERROR(VLOOKUP(D22,'RJ ATTENDENCE SHEET'!$C:$O,12,0),"")</f>
        <v>1007</v>
      </c>
      <c r="I22" s="58">
        <f t="shared" si="2"/>
        <v>14000</v>
      </c>
      <c r="J22" s="62">
        <f>DAY(EOMONTH('RJ ATTENDENCE SHEET'!$A$1,0))</f>
        <v>31</v>
      </c>
      <c r="K22" s="442">
        <v>31</v>
      </c>
      <c r="L22" s="58">
        <f t="shared" si="3"/>
        <v>11615</v>
      </c>
      <c r="M22" s="58">
        <f t="shared" si="4"/>
        <v>1378</v>
      </c>
      <c r="N22" s="58">
        <f t="shared" si="5"/>
        <v>1007</v>
      </c>
      <c r="O22" s="58">
        <f>IFERROR(VLOOKUP(D22,WAGES!$C:$L,10,0)-L22-M22-N22,"")</f>
        <v>2709.6774193548408</v>
      </c>
      <c r="P22" s="62">
        <f t="shared" si="0"/>
        <v>16709.677419354841</v>
      </c>
      <c r="Q22" s="58">
        <f t="shared" si="6"/>
        <v>1394</v>
      </c>
      <c r="R22" s="58">
        <f t="shared" si="7"/>
        <v>126</v>
      </c>
      <c r="S22" s="69">
        <f t="shared" si="8"/>
        <v>130</v>
      </c>
      <c r="T22" s="58">
        <f>IFERROR(VLOOKUP(D22,'RJ ATTENDENCE SHEET'!$C:$S,17,0),"")</f>
        <v>0</v>
      </c>
      <c r="U22" s="58">
        <f t="shared" si="9"/>
        <v>1650</v>
      </c>
      <c r="V22" s="58">
        <f t="shared" si="10"/>
        <v>15059.677419354841</v>
      </c>
      <c r="W22" s="70"/>
      <c r="X22" s="272"/>
      <c r="Y22" s="47"/>
      <c r="Z22" s="47"/>
      <c r="AA22" s="47"/>
      <c r="AB22" s="47"/>
    </row>
    <row r="23" spans="1:28" ht="39.950000000000003" customHeight="1">
      <c r="A23" s="55">
        <v>15</v>
      </c>
      <c r="B23" s="247" t="str">
        <f>IFERROR(VLOOKUP(D23,'RJ ATTENDENCE SHEET'!$C:$D,2,0),"")</f>
        <v>TC 0109</v>
      </c>
      <c r="C23" s="55" t="str">
        <f>IFERROR(VLOOKUP(D23,'DATA '!$D:$E,2,0),"")</f>
        <v>HOPPER</v>
      </c>
      <c r="D23" s="56" t="str">
        <f>'DATA '!K17</f>
        <v>SUDHAN MONDAL</v>
      </c>
      <c r="E23" s="57" t="str">
        <f t="shared" si="1"/>
        <v>TC 0109</v>
      </c>
      <c r="F23" s="58">
        <f>IFERROR(VLOOKUP(D23,'RJ ATTENDENCE SHEET'!$C:$O,10,0),"")</f>
        <v>11615</v>
      </c>
      <c r="G23" s="58">
        <f>IFERROR(VLOOKUP(D23,'RJ ATTENDENCE SHEET'!$C:$O,11,0),"")</f>
        <v>1894</v>
      </c>
      <c r="H23" s="58">
        <f>IFERROR(VLOOKUP(D23,'RJ ATTENDENCE SHEET'!$C:$O,12,0),"")</f>
        <v>1691</v>
      </c>
      <c r="I23" s="58">
        <f t="shared" si="2"/>
        <v>15200</v>
      </c>
      <c r="J23" s="62">
        <f>DAY(EOMONTH('RJ ATTENDENCE SHEET'!$A$1,0))</f>
        <v>31</v>
      </c>
      <c r="K23" s="442">
        <v>31</v>
      </c>
      <c r="L23" s="58">
        <f t="shared" si="3"/>
        <v>11615</v>
      </c>
      <c r="M23" s="58">
        <f t="shared" si="4"/>
        <v>1894</v>
      </c>
      <c r="N23" s="58">
        <f t="shared" si="5"/>
        <v>1691</v>
      </c>
      <c r="O23" s="58">
        <f>IFERROR(VLOOKUP(D23,WAGES!$C:$L,10,0)-L23-M23-N23,"")</f>
        <v>980.64516129032199</v>
      </c>
      <c r="P23" s="62">
        <f t="shared" si="0"/>
        <v>16180.645161290322</v>
      </c>
      <c r="Q23" s="58">
        <f t="shared" si="6"/>
        <v>1394</v>
      </c>
      <c r="R23" s="58">
        <f t="shared" si="7"/>
        <v>122</v>
      </c>
      <c r="S23" s="69">
        <f t="shared" si="8"/>
        <v>130</v>
      </c>
      <c r="T23" s="58">
        <f>IFERROR(VLOOKUP(D23,'RJ ATTENDENCE SHEET'!$C:$S,17,0),"")</f>
        <v>0</v>
      </c>
      <c r="U23" s="58">
        <f t="shared" si="9"/>
        <v>1646</v>
      </c>
      <c r="V23" s="58">
        <f t="shared" si="10"/>
        <v>14534.645161290322</v>
      </c>
      <c r="W23" s="70"/>
      <c r="X23" s="272"/>
      <c r="Y23" s="47"/>
      <c r="Z23" s="47"/>
      <c r="AA23" s="47"/>
      <c r="AB23" s="47"/>
    </row>
    <row r="24" spans="1:28" ht="39.950000000000003" customHeight="1">
      <c r="A24" s="55">
        <v>16</v>
      </c>
      <c r="B24" s="247" t="str">
        <f>IFERROR(VLOOKUP(D24,'RJ ATTENDENCE SHEET'!$C:$D,2,0),"")</f>
        <v>TC 0023</v>
      </c>
      <c r="C24" s="55" t="str">
        <f>IFERROR(VLOOKUP(D24,'DATA '!$D:$E,2,0),"")</f>
        <v>LAB</v>
      </c>
      <c r="D24" s="56" t="str">
        <f>'DATA '!K18</f>
        <v>SWAPAN MONDAL</v>
      </c>
      <c r="E24" s="57" t="str">
        <f t="shared" si="1"/>
        <v>TC 0023</v>
      </c>
      <c r="F24" s="58">
        <f>IFERROR(VLOOKUP(D24,'RJ ATTENDENCE SHEET'!$C:$O,10,0),"")</f>
        <v>11620</v>
      </c>
      <c r="G24" s="58">
        <f>IFERROR(VLOOKUP(D24,'RJ ATTENDENCE SHEET'!$C:$O,11,0),"")</f>
        <v>2600</v>
      </c>
      <c r="H24" s="58">
        <f>IFERROR(VLOOKUP(D24,'RJ ATTENDENCE SHEET'!$C:$O,12,0),"")</f>
        <v>2580</v>
      </c>
      <c r="I24" s="58">
        <f t="shared" si="2"/>
        <v>16800</v>
      </c>
      <c r="J24" s="62">
        <f>DAY(EOMONTH('RJ ATTENDENCE SHEET'!$A$1,0))</f>
        <v>31</v>
      </c>
      <c r="K24" s="442">
        <v>31</v>
      </c>
      <c r="L24" s="58">
        <f t="shared" si="3"/>
        <v>11620</v>
      </c>
      <c r="M24" s="58">
        <f t="shared" si="4"/>
        <v>2600</v>
      </c>
      <c r="N24" s="58">
        <f t="shared" si="5"/>
        <v>2580</v>
      </c>
      <c r="O24" s="58">
        <f>IFERROR(VLOOKUP(D24,WAGES!$C:$L,10,0)-L24-M24-N24,"")</f>
        <v>1625.8064516129016</v>
      </c>
      <c r="P24" s="62">
        <f t="shared" si="0"/>
        <v>18425.806451612902</v>
      </c>
      <c r="Q24" s="58">
        <f t="shared" si="6"/>
        <v>1394</v>
      </c>
      <c r="R24" s="58">
        <f t="shared" si="7"/>
        <v>139</v>
      </c>
      <c r="S24" s="69">
        <f t="shared" si="8"/>
        <v>130</v>
      </c>
      <c r="T24" s="58">
        <f>IFERROR(VLOOKUP(D24,'RJ ATTENDENCE SHEET'!$C:$S,17,0),"")</f>
        <v>0</v>
      </c>
      <c r="U24" s="58">
        <f t="shared" si="9"/>
        <v>1663</v>
      </c>
      <c r="V24" s="58">
        <f t="shared" si="10"/>
        <v>16762.806451612902</v>
      </c>
      <c r="W24" s="70"/>
      <c r="X24" s="272"/>
      <c r="Y24" s="47"/>
      <c r="Z24" s="47"/>
      <c r="AA24" s="47"/>
      <c r="AB24" s="47"/>
    </row>
    <row r="25" spans="1:28" ht="39.950000000000003" customHeight="1">
      <c r="A25" s="55">
        <v>17</v>
      </c>
      <c r="B25" s="247">
        <f>IFERROR(VLOOKUP(D25,'RJ ATTENDENCE SHEET'!$C:$D,2,0),"")</f>
        <v>0</v>
      </c>
      <c r="C25" s="275" t="str">
        <f>IFERROR(VLOOKUP(D25,'DATA '!$D:$E,2,0),"")</f>
        <v>DRIVER</v>
      </c>
      <c r="D25" s="280" t="str">
        <f>'DATA '!K19</f>
        <v>MOSIAR MOLLA</v>
      </c>
      <c r="E25" s="281">
        <f t="shared" si="1"/>
        <v>0</v>
      </c>
      <c r="F25" s="278">
        <f>IFERROR(VLOOKUP(D25,'RJ ATTENDENCE SHEET'!$C:$O,10,0),"")</f>
        <v>19000</v>
      </c>
      <c r="G25" s="278">
        <f>IFERROR(VLOOKUP(D25,'RJ ATTENDENCE SHEET'!$C:$O,11,0),"")</f>
        <v>0</v>
      </c>
      <c r="H25" s="278">
        <f>IFERROR(VLOOKUP(D25,'RJ ATTENDENCE SHEET'!$C:$O,12,0),"")</f>
        <v>0</v>
      </c>
      <c r="I25" s="278">
        <f t="shared" si="2"/>
        <v>19000</v>
      </c>
      <c r="J25" s="276">
        <f>DAY(EOMONTH('RJ ATTENDENCE SHEET'!$A$1,0))</f>
        <v>31</v>
      </c>
      <c r="K25" s="282">
        <v>18</v>
      </c>
      <c r="L25" s="278">
        <f t="shared" si="3"/>
        <v>11032</v>
      </c>
      <c r="M25" s="278">
        <f t="shared" si="4"/>
        <v>0</v>
      </c>
      <c r="N25" s="278">
        <f t="shared" si="5"/>
        <v>0</v>
      </c>
      <c r="O25" s="278">
        <f>IFERROR(VLOOKUP(D25,WAGES!$C:$L,10,0)-L25-M25-N25,"")</f>
        <v>648</v>
      </c>
      <c r="P25" s="276">
        <f t="shared" ref="P25:P36" si="11">SUM(L25:O25)</f>
        <v>11680</v>
      </c>
      <c r="Q25" s="278" t="str">
        <f t="shared" si="6"/>
        <v>0</v>
      </c>
      <c r="R25" s="278">
        <f t="shared" si="7"/>
        <v>88</v>
      </c>
      <c r="S25" s="279">
        <f t="shared" si="8"/>
        <v>110</v>
      </c>
      <c r="T25" s="278">
        <f>IFERROR(VLOOKUP(D25,'RJ ATTENDENCE SHEET'!$C:$S,17,0),"")</f>
        <v>0</v>
      </c>
      <c r="U25" s="278">
        <f t="shared" si="9"/>
        <v>198</v>
      </c>
      <c r="V25" s="278">
        <f t="shared" si="10"/>
        <v>11482</v>
      </c>
      <c r="W25" s="71"/>
      <c r="X25" s="272" t="s">
        <v>410</v>
      </c>
      <c r="Y25" s="47"/>
      <c r="Z25" s="47"/>
      <c r="AA25" s="47"/>
      <c r="AB25" s="47"/>
    </row>
    <row r="26" spans="1:28" ht="39.950000000000003" customHeight="1">
      <c r="A26" s="55">
        <v>18</v>
      </c>
      <c r="B26" s="247" t="str">
        <f>IFERROR(VLOOKUP(D26,'RJ ATTENDENCE SHEET'!$C:$D,2,0),"")</f>
        <v>TC 0427</v>
      </c>
      <c r="C26" s="275" t="str">
        <f>IFERROR(VLOOKUP(D26,'DATA '!$D:$E,2,0),"")</f>
        <v>DRIVER</v>
      </c>
      <c r="D26" s="280" t="str">
        <f>'DATA '!K20</f>
        <v>ISRAFIL DHALI</v>
      </c>
      <c r="E26" s="281" t="str">
        <f t="shared" si="1"/>
        <v>TC 0427</v>
      </c>
      <c r="F26" s="278">
        <f>IFERROR(VLOOKUP(D26,'RJ ATTENDENCE SHEET'!$C:$O,10,0),"")</f>
        <v>21000</v>
      </c>
      <c r="G26" s="278">
        <f>IFERROR(VLOOKUP(D26,'RJ ATTENDENCE SHEET'!$C:$O,11,0),"")</f>
        <v>0</v>
      </c>
      <c r="H26" s="278">
        <f>IFERROR(VLOOKUP(D26,'RJ ATTENDENCE SHEET'!$C:$O,12,0),"")</f>
        <v>0</v>
      </c>
      <c r="I26" s="278">
        <f t="shared" si="2"/>
        <v>21000</v>
      </c>
      <c r="J26" s="276">
        <f>DAY(EOMONTH('RJ ATTENDENCE SHEET'!$A$1,0))</f>
        <v>31</v>
      </c>
      <c r="K26" s="282">
        <v>20</v>
      </c>
      <c r="L26" s="278">
        <f t="shared" si="3"/>
        <v>13548</v>
      </c>
      <c r="M26" s="278">
        <f t="shared" si="4"/>
        <v>0</v>
      </c>
      <c r="N26" s="278">
        <f t="shared" si="5"/>
        <v>0</v>
      </c>
      <c r="O26" s="278">
        <f>IFERROR(VLOOKUP(D26,WAGES!$C:$L,10,0)-L26-M26-N26,"")</f>
        <v>602</v>
      </c>
      <c r="P26" s="276">
        <f t="shared" si="11"/>
        <v>14150</v>
      </c>
      <c r="Q26" s="278" t="str">
        <f t="shared" si="6"/>
        <v>0</v>
      </c>
      <c r="R26" s="278">
        <f t="shared" si="7"/>
        <v>107</v>
      </c>
      <c r="S26" s="279">
        <f t="shared" si="8"/>
        <v>110</v>
      </c>
      <c r="T26" s="278">
        <f>IFERROR(VLOOKUP(D26,'RJ ATTENDENCE SHEET'!$C:$S,17,0),"")</f>
        <v>0</v>
      </c>
      <c r="U26" s="278">
        <f t="shared" si="9"/>
        <v>217</v>
      </c>
      <c r="V26" s="278">
        <f t="shared" si="10"/>
        <v>13933</v>
      </c>
      <c r="W26" s="71"/>
      <c r="X26" s="272"/>
      <c r="Y26" s="47"/>
      <c r="Z26" s="47"/>
      <c r="AA26" s="47"/>
      <c r="AB26" s="47"/>
    </row>
    <row r="27" spans="1:28" ht="39.950000000000003" customHeight="1">
      <c r="A27" s="55">
        <v>19</v>
      </c>
      <c r="B27" s="247" t="str">
        <f>IFERROR(VLOOKUP(D27,'RJ ATTENDENCE SHEET'!$C:$D,2,0),"")</f>
        <v>TC 0420</v>
      </c>
      <c r="C27" s="275" t="str">
        <f>IFERROR(VLOOKUP(D27,'DATA '!$D:$E,2,0),"")</f>
        <v>DRIVER</v>
      </c>
      <c r="D27" s="280" t="str">
        <f>'DATA '!K21</f>
        <v>ROUF MONDAL</v>
      </c>
      <c r="E27" s="281" t="str">
        <f t="shared" si="1"/>
        <v>TC 0420</v>
      </c>
      <c r="F27" s="278">
        <f>IFERROR(VLOOKUP(D27,'RJ ATTENDENCE SHEET'!$C:$O,10,0),"")</f>
        <v>21000</v>
      </c>
      <c r="G27" s="278">
        <f>IFERROR(VLOOKUP(D27,'RJ ATTENDENCE SHEET'!$C:$O,11,0),"")</f>
        <v>0</v>
      </c>
      <c r="H27" s="278">
        <f>IFERROR(VLOOKUP(D27,'RJ ATTENDENCE SHEET'!$C:$O,12,0),"")</f>
        <v>0</v>
      </c>
      <c r="I27" s="278">
        <f t="shared" si="2"/>
        <v>21000</v>
      </c>
      <c r="J27" s="276">
        <f>DAY(EOMONTH('RJ ATTENDENCE SHEET'!$A$1,0))</f>
        <v>31</v>
      </c>
      <c r="K27" s="282">
        <v>22</v>
      </c>
      <c r="L27" s="278">
        <f t="shared" si="3"/>
        <v>14903</v>
      </c>
      <c r="M27" s="278">
        <f t="shared" si="4"/>
        <v>0</v>
      </c>
      <c r="N27" s="278">
        <f t="shared" si="5"/>
        <v>0</v>
      </c>
      <c r="O27" s="278">
        <f>IFERROR(VLOOKUP(D27,WAGES!$C:$L,10,0)-L27-M27-N27,"")</f>
        <v>587</v>
      </c>
      <c r="P27" s="276">
        <f t="shared" si="11"/>
        <v>15490</v>
      </c>
      <c r="Q27" s="278" t="str">
        <f t="shared" si="6"/>
        <v>0</v>
      </c>
      <c r="R27" s="278">
        <f t="shared" si="7"/>
        <v>117</v>
      </c>
      <c r="S27" s="279">
        <f t="shared" si="8"/>
        <v>130</v>
      </c>
      <c r="T27" s="278">
        <f>IFERROR(VLOOKUP(D27,'RJ ATTENDENCE SHEET'!$C:$S,17,0),"")</f>
        <v>0</v>
      </c>
      <c r="U27" s="278">
        <f t="shared" si="9"/>
        <v>247</v>
      </c>
      <c r="V27" s="278">
        <f t="shared" si="10"/>
        <v>15243</v>
      </c>
      <c r="W27" s="71"/>
      <c r="X27" s="272"/>
      <c r="Y27" s="47"/>
      <c r="Z27" s="47"/>
      <c r="AA27" s="47"/>
      <c r="AB27" s="47"/>
    </row>
    <row r="28" spans="1:28" ht="39.950000000000003" customHeight="1">
      <c r="A28" s="55">
        <v>20</v>
      </c>
      <c r="B28" s="247" t="str">
        <f>IFERROR(VLOOKUP(D28,'RJ ATTENDENCE SHEET'!$C:$D,2,0),"")</f>
        <v>TC0390</v>
      </c>
      <c r="C28" s="247" t="str">
        <f>IFERROR(VLOOKUP(D28,'DATA '!$D:$E,2,0),"")</f>
        <v>LAB</v>
      </c>
      <c r="D28" s="283" t="str">
        <f>'DATA '!K22</f>
        <v>KANAK JANA</v>
      </c>
      <c r="E28" s="284" t="str">
        <f t="shared" si="1"/>
        <v>TC0390</v>
      </c>
      <c r="F28" s="285">
        <f>IFERROR(VLOOKUP(D28,'RJ ATTENDENCE SHEET'!$C:$O,10,0),"")</f>
        <v>11620</v>
      </c>
      <c r="G28" s="285">
        <f>IFERROR(VLOOKUP(D28,'RJ ATTENDENCE SHEET'!$C:$O,11,0),"")</f>
        <v>4000</v>
      </c>
      <c r="H28" s="285">
        <f>IFERROR(VLOOKUP(D28,'RJ ATTENDENCE SHEET'!$C:$O,12,0),"")</f>
        <v>3880</v>
      </c>
      <c r="I28" s="285">
        <f t="shared" si="2"/>
        <v>19500</v>
      </c>
      <c r="J28" s="248">
        <f>DAY(EOMONTH('RJ ATTENDENCE SHEET'!$A$1,0))</f>
        <v>31</v>
      </c>
      <c r="K28" s="442">
        <v>23</v>
      </c>
      <c r="L28" s="285">
        <f t="shared" si="3"/>
        <v>8621</v>
      </c>
      <c r="M28" s="285">
        <f t="shared" si="4"/>
        <v>2967.7419354838707</v>
      </c>
      <c r="N28" s="285">
        <f t="shared" si="5"/>
        <v>2878.7096774193546</v>
      </c>
      <c r="O28" s="285">
        <f>IFERROR(VLOOKUP(D28,WAGES!$C:$L,10,0)-L28-M28-N28,"")</f>
        <v>1258.3548387096757</v>
      </c>
      <c r="P28" s="248">
        <f t="shared" si="11"/>
        <v>15725.806451612902</v>
      </c>
      <c r="Q28" s="285">
        <f t="shared" si="6"/>
        <v>1035</v>
      </c>
      <c r="R28" s="285">
        <f t="shared" si="7"/>
        <v>118</v>
      </c>
      <c r="S28" s="286">
        <f t="shared" si="8"/>
        <v>130</v>
      </c>
      <c r="T28" s="285">
        <f>IFERROR(VLOOKUP(D28,'RJ ATTENDENCE SHEET'!$C:$S,17,0),"")</f>
        <v>0</v>
      </c>
      <c r="U28" s="285">
        <f t="shared" si="9"/>
        <v>1283</v>
      </c>
      <c r="V28" s="285">
        <f t="shared" si="10"/>
        <v>14442.806451612902</v>
      </c>
      <c r="W28" s="71"/>
      <c r="X28" s="272"/>
      <c r="Y28" s="47"/>
      <c r="Z28" s="47"/>
      <c r="AA28" s="47"/>
      <c r="AB28" s="47"/>
    </row>
    <row r="29" spans="1:28" ht="39.950000000000003" customHeight="1">
      <c r="A29" s="55">
        <v>21</v>
      </c>
      <c r="B29" s="247" t="str">
        <f>IFERROR(VLOOKUP(D29,'RJ ATTENDENCE SHEET'!$C:$D,2,0),"")</f>
        <v>TC0362</v>
      </c>
      <c r="C29" s="55" t="str">
        <f>IFERROR(VLOOKUP(D29,'DATA '!$D:$E,2,0),"")</f>
        <v>OTHERS</v>
      </c>
      <c r="D29" s="56" t="str">
        <f>'DATA '!K23</f>
        <v>SOUMEN GARAI</v>
      </c>
      <c r="E29" s="57" t="str">
        <f t="shared" si="1"/>
        <v>TC0362</v>
      </c>
      <c r="F29" s="58">
        <f>IFERROR(VLOOKUP(D29,'RJ ATTENDENCE SHEET'!$C:$O,10,0),"")</f>
        <v>12777</v>
      </c>
      <c r="G29" s="58">
        <f>IFERROR(VLOOKUP(D29,'RJ ATTENDENCE SHEET'!$C:$O,11,0),"")</f>
        <v>1127</v>
      </c>
      <c r="H29" s="58">
        <f>IFERROR(VLOOKUP(D29,'RJ ATTENDENCE SHEET'!$C:$O,12,0),"")</f>
        <v>1096</v>
      </c>
      <c r="I29" s="58">
        <f t="shared" si="2"/>
        <v>15000</v>
      </c>
      <c r="J29" s="62">
        <f>DAY(EOMONTH('RJ ATTENDENCE SHEET'!$A$1,0))</f>
        <v>31</v>
      </c>
      <c r="K29" s="442">
        <v>31</v>
      </c>
      <c r="L29" s="58">
        <f t="shared" si="3"/>
        <v>12777</v>
      </c>
      <c r="M29" s="58">
        <f t="shared" si="4"/>
        <v>1127</v>
      </c>
      <c r="N29" s="58">
        <f t="shared" si="5"/>
        <v>1096</v>
      </c>
      <c r="O29" s="58">
        <f>IFERROR(VLOOKUP(D29,WAGES!$C:$L,10,0)-L29-M29-N29,"")</f>
        <v>0</v>
      </c>
      <c r="P29" s="62">
        <f t="shared" si="11"/>
        <v>15000</v>
      </c>
      <c r="Q29" s="58">
        <f t="shared" si="6"/>
        <v>1533</v>
      </c>
      <c r="R29" s="58">
        <f t="shared" si="7"/>
        <v>113</v>
      </c>
      <c r="S29" s="69">
        <f t="shared" si="8"/>
        <v>110</v>
      </c>
      <c r="T29" s="58">
        <f>IFERROR(VLOOKUP(D29,'RJ ATTENDENCE SHEET'!$C:$S,17,0),"")</f>
        <v>0</v>
      </c>
      <c r="U29" s="58">
        <f t="shared" si="9"/>
        <v>1756</v>
      </c>
      <c r="V29" s="58">
        <f t="shared" si="10"/>
        <v>13244</v>
      </c>
      <c r="W29" s="71"/>
      <c r="X29" s="272"/>
      <c r="Y29" s="47"/>
      <c r="Z29" s="47"/>
      <c r="AA29" s="47"/>
      <c r="AB29" s="47"/>
    </row>
    <row r="30" spans="1:28" ht="39.950000000000003" customHeight="1">
      <c r="A30" s="55">
        <v>22</v>
      </c>
      <c r="B30" s="247" t="str">
        <f>IFERROR(VLOOKUP(D30,'RJ ATTENDENCE SHEET'!$C:$D,2,0),"")</f>
        <v>TC 0428</v>
      </c>
      <c r="C30" s="275" t="str">
        <f>IFERROR(VLOOKUP(D30,'DATA '!$D:$E,2,0),"")</f>
        <v>DRIVER</v>
      </c>
      <c r="D30" s="280" t="str">
        <f>'DATA '!K24</f>
        <v>ASHOK MONDAL</v>
      </c>
      <c r="E30" s="281" t="str">
        <f t="shared" si="1"/>
        <v>TC 0428</v>
      </c>
      <c r="F30" s="278">
        <f>IFERROR(VLOOKUP(D30,'RJ ATTENDENCE SHEET'!$C:$O,10,0),"")</f>
        <v>21000</v>
      </c>
      <c r="G30" s="278">
        <f>IFERROR(VLOOKUP(D30,'RJ ATTENDENCE SHEET'!$C:$O,11,0),"")</f>
        <v>0</v>
      </c>
      <c r="H30" s="278">
        <f>IFERROR(VLOOKUP(D30,'RJ ATTENDENCE SHEET'!$C:$O,12,0),"")</f>
        <v>0</v>
      </c>
      <c r="I30" s="278">
        <f t="shared" si="2"/>
        <v>21000</v>
      </c>
      <c r="J30" s="276">
        <f>DAY(EOMONTH('RJ ATTENDENCE SHEET'!$A$1,0))</f>
        <v>31</v>
      </c>
      <c r="K30" s="282">
        <v>18</v>
      </c>
      <c r="L30" s="278">
        <f t="shared" si="3"/>
        <v>12194</v>
      </c>
      <c r="M30" s="278">
        <f t="shared" si="4"/>
        <v>0</v>
      </c>
      <c r="N30" s="278">
        <f t="shared" si="5"/>
        <v>0</v>
      </c>
      <c r="O30" s="278">
        <f>IFERROR(VLOOKUP(D30,WAGES!$C:$L,10,0)-L30-M30-N30,"")</f>
        <v>731</v>
      </c>
      <c r="P30" s="276">
        <f t="shared" si="11"/>
        <v>12925</v>
      </c>
      <c r="Q30" s="278" t="str">
        <f t="shared" si="6"/>
        <v>0</v>
      </c>
      <c r="R30" s="278">
        <f t="shared" si="7"/>
        <v>97</v>
      </c>
      <c r="S30" s="279">
        <f t="shared" si="8"/>
        <v>110</v>
      </c>
      <c r="T30" s="278">
        <f>IFERROR(VLOOKUP(D30,'RJ ATTENDENCE SHEET'!$C:$S,17,0),"")</f>
        <v>0</v>
      </c>
      <c r="U30" s="278">
        <f t="shared" si="9"/>
        <v>207</v>
      </c>
      <c r="V30" s="278">
        <f t="shared" si="10"/>
        <v>12718</v>
      </c>
      <c r="W30" s="71"/>
      <c r="X30" s="272"/>
      <c r="Y30" s="47"/>
      <c r="Z30" s="47"/>
      <c r="AA30" s="47"/>
      <c r="AB30" s="47"/>
    </row>
    <row r="31" spans="1:28" ht="39.950000000000003" customHeight="1">
      <c r="A31" s="55">
        <v>23</v>
      </c>
      <c r="B31" s="55" t="str">
        <f>IFERROR(VLOOKUP(D31,'RJ ATTENDENCE SHEET'!$C:$D,2,0),"")</f>
        <v>TC 0395</v>
      </c>
      <c r="C31" s="275" t="str">
        <f>IFERROR(VLOOKUP(D31,'DATA '!$D:$E,2,0),"")</f>
        <v>DRIVER</v>
      </c>
      <c r="D31" s="280" t="str">
        <f>'DATA '!K25</f>
        <v>ANSWAR ALI MOLLA</v>
      </c>
      <c r="E31" s="281" t="str">
        <f t="shared" si="1"/>
        <v>TC 0395</v>
      </c>
      <c r="F31" s="278">
        <f>IFERROR(VLOOKUP(D31,'RJ ATTENDENCE SHEET'!$C:$O,10,0),"")</f>
        <v>21000</v>
      </c>
      <c r="G31" s="278">
        <f>IFERROR(VLOOKUP(D31,'RJ ATTENDENCE SHEET'!$C:$O,11,0),"")</f>
        <v>0</v>
      </c>
      <c r="H31" s="278">
        <f>IFERROR(VLOOKUP(D31,'RJ ATTENDENCE SHEET'!$C:$O,12,0),"")</f>
        <v>0</v>
      </c>
      <c r="I31" s="278">
        <f t="shared" si="2"/>
        <v>21000</v>
      </c>
      <c r="J31" s="276">
        <f>DAY(EOMONTH('RJ ATTENDENCE SHEET'!$A$1,0))</f>
        <v>31</v>
      </c>
      <c r="K31" s="282">
        <v>19</v>
      </c>
      <c r="L31" s="278">
        <f t="shared" si="3"/>
        <v>12871</v>
      </c>
      <c r="M31" s="278">
        <f t="shared" si="4"/>
        <v>0</v>
      </c>
      <c r="N31" s="278">
        <f t="shared" si="5"/>
        <v>0</v>
      </c>
      <c r="O31" s="278">
        <f>IFERROR(VLOOKUP(D31,WAGES!$C:$L,10,0)-L31-M31-N31,"")</f>
        <v>379</v>
      </c>
      <c r="P31" s="276">
        <f t="shared" si="11"/>
        <v>13250</v>
      </c>
      <c r="Q31" s="278" t="str">
        <f t="shared" si="6"/>
        <v>0</v>
      </c>
      <c r="R31" s="278">
        <f t="shared" si="7"/>
        <v>100</v>
      </c>
      <c r="S31" s="279">
        <f t="shared" si="8"/>
        <v>110</v>
      </c>
      <c r="T31" s="278">
        <f>IFERROR(VLOOKUP(D31,'RJ ATTENDENCE SHEET'!$C:$S,17,0),"")</f>
        <v>0</v>
      </c>
      <c r="U31" s="278">
        <f t="shared" si="9"/>
        <v>210</v>
      </c>
      <c r="V31" s="278">
        <f t="shared" si="10"/>
        <v>13040</v>
      </c>
      <c r="W31" s="71"/>
      <c r="X31" s="272"/>
      <c r="Y31" s="47"/>
      <c r="Z31" s="47"/>
      <c r="AA31" s="47"/>
      <c r="AB31" s="47"/>
    </row>
    <row r="32" spans="1:28" ht="39.950000000000003" customHeight="1">
      <c r="A32" s="55">
        <v>24</v>
      </c>
      <c r="B32" s="55" t="str">
        <f>IFERROR(VLOOKUP(D32,'RJ ATTENDENCE SHEET'!$C:$D,2,0),"")</f>
        <v>TC 0421</v>
      </c>
      <c r="C32" s="247" t="str">
        <f>IFERROR(VLOOKUP(D32,'DATA '!$D:$E,2,0),"")</f>
        <v>LAB</v>
      </c>
      <c r="D32" s="283" t="str">
        <f>'DATA '!K26</f>
        <v>MOMINUL HAQUE</v>
      </c>
      <c r="E32" s="284" t="str">
        <f t="shared" si="1"/>
        <v>TC 0421</v>
      </c>
      <c r="F32" s="285">
        <f>IFERROR(VLOOKUP(D32,'RJ ATTENDENCE SHEET'!$C:$O,10,0),"")</f>
        <v>10560</v>
      </c>
      <c r="G32" s="285">
        <f>IFERROR(VLOOKUP(D32,'RJ ATTENDENCE SHEET'!$C:$O,11,0),"")</f>
        <v>3000</v>
      </c>
      <c r="H32" s="285">
        <f>IFERROR(VLOOKUP(D32,'RJ ATTENDENCE SHEET'!$C:$O,12,0),"")</f>
        <v>1140</v>
      </c>
      <c r="I32" s="285">
        <f t="shared" si="2"/>
        <v>14700</v>
      </c>
      <c r="J32" s="248">
        <f>DAY(EOMONTH('RJ ATTENDENCE SHEET'!$A$1,0))</f>
        <v>31</v>
      </c>
      <c r="K32" s="442">
        <v>31</v>
      </c>
      <c r="L32" s="285">
        <f t="shared" si="3"/>
        <v>10560</v>
      </c>
      <c r="M32" s="285">
        <f t="shared" si="4"/>
        <v>3000</v>
      </c>
      <c r="N32" s="285">
        <f t="shared" si="5"/>
        <v>1140</v>
      </c>
      <c r="O32" s="285">
        <f>IFERROR(VLOOKUP(D32,WAGES!$C:$L,10,0)-L32-M32-N32,"")</f>
        <v>1422.5806451612898</v>
      </c>
      <c r="P32" s="248">
        <f t="shared" si="11"/>
        <v>16122.58064516129</v>
      </c>
      <c r="Q32" s="285">
        <f t="shared" si="6"/>
        <v>1267</v>
      </c>
      <c r="R32" s="285">
        <f t="shared" si="7"/>
        <v>121</v>
      </c>
      <c r="S32" s="286">
        <f t="shared" si="8"/>
        <v>130</v>
      </c>
      <c r="T32" s="285">
        <f>IFERROR(VLOOKUP(D32,'RJ ATTENDENCE SHEET'!$C:$S,17,0),"")</f>
        <v>0</v>
      </c>
      <c r="U32" s="285">
        <f t="shared" si="9"/>
        <v>1518</v>
      </c>
      <c r="V32" s="285">
        <f t="shared" si="10"/>
        <v>14604.58064516129</v>
      </c>
      <c r="W32" s="71"/>
      <c r="X32" s="272"/>
      <c r="Y32" s="47"/>
      <c r="Z32" s="47"/>
      <c r="AA32" s="47"/>
      <c r="AB32" s="47"/>
    </row>
    <row r="33" spans="1:28" ht="39.950000000000003" customHeight="1">
      <c r="A33" s="55">
        <v>25</v>
      </c>
      <c r="B33" s="55" t="str">
        <f>IFERROR(VLOOKUP(D33,'RJ ATTENDENCE SHEET'!$C:$D,2,0),"")</f>
        <v>TC 0422</v>
      </c>
      <c r="C33" s="55" t="str">
        <f>IFERROR(VLOOKUP(D33,'DATA '!$D:$E,2,0),"")</f>
        <v>HELPER</v>
      </c>
      <c r="D33" s="56" t="str">
        <f>'DATA '!K27</f>
        <v>EKRAMUL ALI</v>
      </c>
      <c r="E33" s="57" t="str">
        <f t="shared" si="1"/>
        <v>TC 0422</v>
      </c>
      <c r="F33" s="58">
        <f>IFERROR(VLOOKUP(D33,'RJ ATTENDENCE SHEET'!$C:$O,10,0),"")</f>
        <v>10560</v>
      </c>
      <c r="G33" s="58">
        <f>IFERROR(VLOOKUP(D33,'RJ ATTENDENCE SHEET'!$C:$O,11,0),"")</f>
        <v>700</v>
      </c>
      <c r="H33" s="58">
        <f>IFERROR(VLOOKUP(D33,'RJ ATTENDENCE SHEET'!$C:$O,12,0),"")</f>
        <v>540</v>
      </c>
      <c r="I33" s="58">
        <f t="shared" si="2"/>
        <v>11800</v>
      </c>
      <c r="J33" s="62">
        <f>DAY(EOMONTH('RJ ATTENDENCE SHEET'!$A$1,0))</f>
        <v>31</v>
      </c>
      <c r="K33" s="442">
        <v>28</v>
      </c>
      <c r="L33" s="58">
        <f t="shared" si="3"/>
        <v>9538</v>
      </c>
      <c r="M33" s="58">
        <f t="shared" si="4"/>
        <v>632.25806451612902</v>
      </c>
      <c r="N33" s="58">
        <f t="shared" si="5"/>
        <v>487.74193548387092</v>
      </c>
      <c r="O33" s="58">
        <f>IFERROR(VLOOKUP(D33,WAGES!$C:$L,10,0)-L33-M33-N33,"")</f>
        <v>622</v>
      </c>
      <c r="P33" s="62">
        <f t="shared" si="11"/>
        <v>11280</v>
      </c>
      <c r="Q33" s="58">
        <f t="shared" si="6"/>
        <v>1145</v>
      </c>
      <c r="R33" s="58">
        <f t="shared" si="7"/>
        <v>85</v>
      </c>
      <c r="S33" s="69">
        <f t="shared" si="8"/>
        <v>110</v>
      </c>
      <c r="T33" s="58">
        <f>IFERROR(VLOOKUP(D33,'RJ ATTENDENCE SHEET'!$C:$S,17,0),"")</f>
        <v>0</v>
      </c>
      <c r="U33" s="58">
        <f t="shared" si="9"/>
        <v>1340</v>
      </c>
      <c r="V33" s="58">
        <f t="shared" si="10"/>
        <v>9940</v>
      </c>
      <c r="W33" s="71"/>
      <c r="X33" s="273" t="s">
        <v>411</v>
      </c>
      <c r="Y33" s="47"/>
      <c r="Z33" s="47"/>
      <c r="AA33" s="47"/>
      <c r="AB33" s="47"/>
    </row>
    <row r="34" spans="1:28" ht="39.950000000000003" customHeight="1">
      <c r="A34" s="55">
        <v>26</v>
      </c>
      <c r="B34" s="55">
        <f>IFERROR(VLOOKUP(D34,'RJ ATTENDENCE SHEET'!$C:$D,2,0),"")</f>
        <v>0</v>
      </c>
      <c r="C34" s="275" t="str">
        <f>IFERROR(VLOOKUP(D34,'DATA '!$D:$E,2,0),"")</f>
        <v>DRIVER</v>
      </c>
      <c r="D34" s="280" t="str">
        <f>'DATA '!K28</f>
        <v>JULFIKAR DHALI</v>
      </c>
      <c r="E34" s="281">
        <f t="shared" ref="E34:E97" si="12">B34</f>
        <v>0</v>
      </c>
      <c r="F34" s="278">
        <f>IFERROR(VLOOKUP(D34,'RJ ATTENDENCE SHEET'!$C:$O,10,0),"")</f>
        <v>19000</v>
      </c>
      <c r="G34" s="278">
        <f>IFERROR(VLOOKUP(D34,'RJ ATTENDENCE SHEET'!$C:$O,11,0),"")</f>
        <v>0</v>
      </c>
      <c r="H34" s="278">
        <f>IFERROR(VLOOKUP(D34,'RJ ATTENDENCE SHEET'!$C:$O,12,0),"")</f>
        <v>0</v>
      </c>
      <c r="I34" s="278">
        <f t="shared" ref="I34:I97" si="13">IFERROR(SUM(F34:H34),"")</f>
        <v>19000</v>
      </c>
      <c r="J34" s="276">
        <f>DAY(EOMONTH('RJ ATTENDENCE SHEET'!$A$1,0))</f>
        <v>31</v>
      </c>
      <c r="K34" s="282">
        <v>21</v>
      </c>
      <c r="L34" s="278">
        <f t="shared" ref="L34:L97" si="14">IFERROR(ROUND(F34/J34*K34,0),"")</f>
        <v>12871</v>
      </c>
      <c r="M34" s="278">
        <f t="shared" ref="M34:M97" si="15">IFERROR(G34/J34*K34,"")</f>
        <v>0</v>
      </c>
      <c r="N34" s="278">
        <f t="shared" ref="N34:N97" si="16">IFERROR(H34/J34*K34,"")</f>
        <v>0</v>
      </c>
      <c r="O34" s="278">
        <f>IFERROR(VLOOKUP(D34,WAGES!$C:$L,10,0)-L34-M34-N34,"")</f>
        <v>909</v>
      </c>
      <c r="P34" s="276">
        <f t="shared" si="11"/>
        <v>13780</v>
      </c>
      <c r="Q34" s="278" t="str">
        <f t="shared" si="6"/>
        <v>0</v>
      </c>
      <c r="R34" s="278">
        <f t="shared" si="7"/>
        <v>104</v>
      </c>
      <c r="S34" s="279">
        <f t="shared" si="8"/>
        <v>110</v>
      </c>
      <c r="T34" s="278">
        <f>IFERROR(VLOOKUP(D34,'RJ ATTENDENCE SHEET'!$C:$S,17,0),"")</f>
        <v>0</v>
      </c>
      <c r="U34" s="278">
        <f t="shared" si="9"/>
        <v>214</v>
      </c>
      <c r="V34" s="278">
        <f t="shared" si="10"/>
        <v>13566</v>
      </c>
      <c r="W34" s="71"/>
      <c r="X34" s="249"/>
      <c r="Y34" s="47"/>
      <c r="Z34" s="47"/>
      <c r="AA34" s="47"/>
      <c r="AB34" s="47"/>
    </row>
    <row r="35" spans="1:28" ht="39.950000000000003" customHeight="1">
      <c r="A35" s="55">
        <v>27</v>
      </c>
      <c r="B35" s="55" t="str">
        <f>IFERROR(VLOOKUP(D35,'RJ ATTENDENCE SHEET'!$C:$D,2,0),"")</f>
        <v>TC 0413</v>
      </c>
      <c r="C35" s="247" t="str">
        <f>IFERROR(VLOOKUP(D35,'DATA '!$D:$E,2,0),"")</f>
        <v>LAB</v>
      </c>
      <c r="D35" s="283" t="str">
        <f>'DATA '!K29</f>
        <v>SUPRAKASH SAMANTO</v>
      </c>
      <c r="E35" s="284" t="str">
        <f t="shared" si="12"/>
        <v>TC 0413</v>
      </c>
      <c r="F35" s="285">
        <f>IFERROR(VLOOKUP(D35,'RJ ATTENDENCE SHEET'!$C:$O,10,0),"")</f>
        <v>10560</v>
      </c>
      <c r="G35" s="285">
        <f>IFERROR(VLOOKUP(D35,'RJ ATTENDENCE SHEET'!$C:$O,11,0),"")</f>
        <v>2000</v>
      </c>
      <c r="H35" s="285">
        <f>IFERROR(VLOOKUP(D35,'RJ ATTENDENCE SHEET'!$C:$O,12,0),"")</f>
        <v>1090</v>
      </c>
      <c r="I35" s="285">
        <f t="shared" si="13"/>
        <v>13650</v>
      </c>
      <c r="J35" s="248">
        <f>DAY(EOMONTH('RJ ATTENDENCE SHEET'!$A$1,0))</f>
        <v>31</v>
      </c>
      <c r="K35" s="442">
        <v>26</v>
      </c>
      <c r="L35" s="285">
        <f t="shared" si="14"/>
        <v>8857</v>
      </c>
      <c r="M35" s="285">
        <f t="shared" si="15"/>
        <v>1677.4193548387098</v>
      </c>
      <c r="N35" s="285">
        <f t="shared" si="16"/>
        <v>914.19354838709683</v>
      </c>
      <c r="O35" s="285">
        <f>IFERROR(VLOOKUP(D35,WAGES!$C:$L,10,0)-L35-M35-N35,"")</f>
        <v>880.41935483870861</v>
      </c>
      <c r="P35" s="248">
        <f t="shared" si="11"/>
        <v>12329.032258064515</v>
      </c>
      <c r="Q35" s="285">
        <f t="shared" si="6"/>
        <v>1063</v>
      </c>
      <c r="R35" s="285">
        <f t="shared" si="7"/>
        <v>93</v>
      </c>
      <c r="S35" s="286">
        <f t="shared" si="8"/>
        <v>110</v>
      </c>
      <c r="T35" s="285">
        <f>IFERROR(VLOOKUP(D35,'RJ ATTENDENCE SHEET'!$C:$S,17,0),"")</f>
        <v>0</v>
      </c>
      <c r="U35" s="285">
        <f t="shared" si="9"/>
        <v>1266</v>
      </c>
      <c r="V35" s="285">
        <f t="shared" si="10"/>
        <v>11063.032258064515</v>
      </c>
      <c r="W35" s="71"/>
      <c r="X35" s="249"/>
      <c r="Y35" s="47"/>
      <c r="Z35" s="47"/>
      <c r="AA35" s="47"/>
      <c r="AB35" s="47"/>
    </row>
    <row r="36" spans="1:28" ht="39.950000000000003" customHeight="1">
      <c r="A36" s="55">
        <v>28</v>
      </c>
      <c r="B36" s="55">
        <f>IFERROR(VLOOKUP(D36,'RJ ATTENDENCE SHEET'!$C:$D,2,0),"")</f>
        <v>0</v>
      </c>
      <c r="C36" s="275" t="str">
        <f>IFERROR(VLOOKUP(D36,'DATA '!$D:$E,2,0),"")</f>
        <v>DRIVER</v>
      </c>
      <c r="D36" s="280" t="str">
        <f>'DATA '!K30</f>
        <v>TANMOY MONDAL</v>
      </c>
      <c r="E36" s="281">
        <f t="shared" si="12"/>
        <v>0</v>
      </c>
      <c r="F36" s="278">
        <f>IFERROR(VLOOKUP(D36,'RJ ATTENDENCE SHEET'!$C:$O,10,0),"")</f>
        <v>19000</v>
      </c>
      <c r="G36" s="278">
        <f>IFERROR(VLOOKUP(D36,'RJ ATTENDENCE SHEET'!$C:$O,11,0),"")</f>
        <v>0</v>
      </c>
      <c r="H36" s="278">
        <f>IFERROR(VLOOKUP(D36,'RJ ATTENDENCE SHEET'!$C:$O,12,0),"")</f>
        <v>0</v>
      </c>
      <c r="I36" s="278">
        <f t="shared" si="13"/>
        <v>19000</v>
      </c>
      <c r="J36" s="276">
        <f>DAY(EOMONTH('RJ ATTENDENCE SHEET'!$A$1,0))</f>
        <v>31</v>
      </c>
      <c r="K36" s="282">
        <v>20</v>
      </c>
      <c r="L36" s="278">
        <f t="shared" si="14"/>
        <v>12258</v>
      </c>
      <c r="M36" s="278">
        <f t="shared" si="15"/>
        <v>0</v>
      </c>
      <c r="N36" s="278">
        <f t="shared" si="16"/>
        <v>0</v>
      </c>
      <c r="O36" s="278">
        <f>IFERROR(VLOOKUP(D36,WAGES!$C:$L,10,0)-L36-M36-N36,"")</f>
        <v>1292</v>
      </c>
      <c r="P36" s="276">
        <f t="shared" si="11"/>
        <v>13550</v>
      </c>
      <c r="Q36" s="278" t="str">
        <f t="shared" si="6"/>
        <v>0</v>
      </c>
      <c r="R36" s="278">
        <f t="shared" si="7"/>
        <v>102</v>
      </c>
      <c r="S36" s="279">
        <f t="shared" si="8"/>
        <v>110</v>
      </c>
      <c r="T36" s="278">
        <f>IFERROR(VLOOKUP(D36,'RJ ATTENDENCE SHEET'!$C:$S,17,0),"")</f>
        <v>0</v>
      </c>
      <c r="U36" s="278">
        <f t="shared" si="9"/>
        <v>212</v>
      </c>
      <c r="V36" s="278">
        <f t="shared" si="10"/>
        <v>13338</v>
      </c>
      <c r="W36" s="71"/>
      <c r="X36" s="249"/>
      <c r="Y36" s="47"/>
      <c r="Z36" s="47"/>
      <c r="AA36" s="47"/>
      <c r="AB36" s="47"/>
    </row>
    <row r="37" spans="1:28" ht="39.950000000000003" customHeight="1">
      <c r="A37" s="55">
        <v>29</v>
      </c>
      <c r="B37" s="55" t="str">
        <f>IFERROR(VLOOKUP(D37,'RJ ATTENDENCE SHEET'!$C:$D,2,0),"")</f>
        <v>TC 0414</v>
      </c>
      <c r="C37" s="247" t="str">
        <f>IFERROR(VLOOKUP(D37,'DATA '!$D:$E,2,0),"")</f>
        <v>HELPER</v>
      </c>
      <c r="D37" s="283" t="str">
        <f>'DATA '!K31</f>
        <v>ALOK MONDAL</v>
      </c>
      <c r="E37" s="284" t="str">
        <f t="shared" si="12"/>
        <v>TC 0414</v>
      </c>
      <c r="F37" s="285">
        <f>IFERROR(VLOOKUP(D37,'RJ ATTENDENCE SHEET'!$C:$O,10,0),"")</f>
        <v>10560</v>
      </c>
      <c r="G37" s="285">
        <f>IFERROR(VLOOKUP(D37,'RJ ATTENDENCE SHEET'!$C:$O,11,0),"")</f>
        <v>700</v>
      </c>
      <c r="H37" s="285">
        <f>IFERROR(VLOOKUP(D37,'RJ ATTENDENCE SHEET'!$C:$O,12,0),"")</f>
        <v>540</v>
      </c>
      <c r="I37" s="285">
        <f t="shared" si="13"/>
        <v>11800</v>
      </c>
      <c r="J37" s="248">
        <f>DAY(EOMONTH('RJ ATTENDENCE SHEET'!$A$1,0))</f>
        <v>31</v>
      </c>
      <c r="K37" s="442">
        <v>24</v>
      </c>
      <c r="L37" s="285">
        <f t="shared" si="14"/>
        <v>8175</v>
      </c>
      <c r="M37" s="285">
        <f t="shared" si="15"/>
        <v>541.9354838709678</v>
      </c>
      <c r="N37" s="285">
        <f t="shared" si="16"/>
        <v>418.0645161290322</v>
      </c>
      <c r="O37" s="285">
        <f>IFERROR(VLOOKUP(D37,WAGES!$C:$L,10,0)-L37-M37-N37,"")</f>
        <v>1205</v>
      </c>
      <c r="P37" s="248">
        <f t="shared" ref="P37:P100" si="17">SUM(L37:O37)</f>
        <v>10340</v>
      </c>
      <c r="Q37" s="285">
        <f t="shared" si="6"/>
        <v>981</v>
      </c>
      <c r="R37" s="285">
        <f t="shared" si="7"/>
        <v>78</v>
      </c>
      <c r="S37" s="286">
        <f t="shared" si="8"/>
        <v>110</v>
      </c>
      <c r="T37" s="285">
        <f>IFERROR(VLOOKUP(D37,'RJ ATTENDENCE SHEET'!$C:$S,17,0),"")</f>
        <v>0</v>
      </c>
      <c r="U37" s="285">
        <f t="shared" si="9"/>
        <v>1169</v>
      </c>
      <c r="V37" s="285">
        <f t="shared" si="10"/>
        <v>9171</v>
      </c>
      <c r="W37" s="71"/>
      <c r="X37" s="249"/>
      <c r="Y37" s="47"/>
      <c r="Z37" s="47"/>
      <c r="AA37" s="47"/>
      <c r="AB37" s="47"/>
    </row>
    <row r="38" spans="1:28" ht="39.950000000000003" customHeight="1">
      <c r="A38" s="55">
        <v>30</v>
      </c>
      <c r="B38" s="55" t="str">
        <f>IFERROR(VLOOKUP(D38,'RJ ATTENDENCE SHEET'!$C:$D,2,0),"")</f>
        <v>TC 0415</v>
      </c>
      <c r="C38" s="55" t="str">
        <f>IFERROR(VLOOKUP(D38,'DATA '!$D:$E,2,0),"")</f>
        <v>LAB</v>
      </c>
      <c r="D38" s="56" t="str">
        <f>'DATA '!K32</f>
        <v>RAJESH BAR</v>
      </c>
      <c r="E38" s="57" t="str">
        <f t="shared" si="12"/>
        <v>TC 0415</v>
      </c>
      <c r="F38" s="58">
        <f>IFERROR(VLOOKUP(D38,'RJ ATTENDENCE SHEET'!$C:$O,10,0),"")</f>
        <v>11620</v>
      </c>
      <c r="G38" s="58">
        <f>IFERROR(VLOOKUP(D38,'RJ ATTENDENCE SHEET'!$C:$O,11,0),"")</f>
        <v>2130</v>
      </c>
      <c r="H38" s="58">
        <f>IFERROR(VLOOKUP(D38,'RJ ATTENDENCE SHEET'!$C:$O,12,0),"")</f>
        <v>2000</v>
      </c>
      <c r="I38" s="58">
        <f t="shared" si="13"/>
        <v>15750</v>
      </c>
      <c r="J38" s="62">
        <f>DAY(EOMONTH('RJ ATTENDENCE SHEET'!$A$1,0))</f>
        <v>31</v>
      </c>
      <c r="K38" s="442">
        <v>26</v>
      </c>
      <c r="L38" s="58">
        <f t="shared" si="14"/>
        <v>9746</v>
      </c>
      <c r="M38" s="58">
        <f t="shared" si="15"/>
        <v>1786.4516129032256</v>
      </c>
      <c r="N38" s="58">
        <f t="shared" si="16"/>
        <v>1677.4193548387098</v>
      </c>
      <c r="O38" s="58">
        <f>IFERROR(VLOOKUP(D38,WAGES!$C:$L,10,0)-L38-M38-N38,"")</f>
        <v>1015.9354838709683</v>
      </c>
      <c r="P38" s="62">
        <f t="shared" si="17"/>
        <v>14225.806451612903</v>
      </c>
      <c r="Q38" s="58">
        <f t="shared" si="6"/>
        <v>1170</v>
      </c>
      <c r="R38" s="58">
        <f t="shared" si="7"/>
        <v>107</v>
      </c>
      <c r="S38" s="69">
        <f t="shared" si="8"/>
        <v>110</v>
      </c>
      <c r="T38" s="58">
        <f>IFERROR(VLOOKUP(D38,'RJ ATTENDENCE SHEET'!$C:$S,17,0),"")</f>
        <v>0</v>
      </c>
      <c r="U38" s="58">
        <f t="shared" si="9"/>
        <v>1387</v>
      </c>
      <c r="V38" s="58">
        <f t="shared" si="10"/>
        <v>12838.806451612903</v>
      </c>
      <c r="W38" s="71"/>
      <c r="X38" s="249"/>
      <c r="Y38" s="47"/>
      <c r="Z38" s="47"/>
      <c r="AA38" s="47"/>
      <c r="AB38" s="47"/>
    </row>
    <row r="39" spans="1:28" ht="39.950000000000003" customHeight="1">
      <c r="A39" s="55">
        <v>31</v>
      </c>
      <c r="B39" s="55">
        <f>IFERROR(VLOOKUP(D39,'RJ ATTENDENCE SHEET'!$C:$D,2,0),"")</f>
        <v>0</v>
      </c>
      <c r="C39" s="55" t="str">
        <f>IFERROR(VLOOKUP(D39,'DATA '!$D:$E,2,0),"")</f>
        <v>LAB</v>
      </c>
      <c r="D39" s="56" t="str">
        <f>'DATA '!K33</f>
        <v>BIKRAM ROY</v>
      </c>
      <c r="E39" s="57">
        <f t="shared" si="12"/>
        <v>0</v>
      </c>
      <c r="F39" s="58">
        <f>IFERROR(VLOOKUP(D39,'RJ ATTENDENCE SHEET'!$C:$O,10,0),"")</f>
        <v>10560</v>
      </c>
      <c r="G39" s="58">
        <f>IFERROR(VLOOKUP(D39,'RJ ATTENDENCE SHEET'!$C:$O,11,0),"")</f>
        <v>2000</v>
      </c>
      <c r="H39" s="58">
        <f>IFERROR(VLOOKUP(D39,'RJ ATTENDENCE SHEET'!$C:$O,12,0),"")</f>
        <v>1090</v>
      </c>
      <c r="I39" s="58">
        <f t="shared" si="13"/>
        <v>13650</v>
      </c>
      <c r="J39" s="62">
        <f>DAY(EOMONTH('RJ ATTENDENCE SHEET'!$A$1,0))</f>
        <v>31</v>
      </c>
      <c r="K39" s="442">
        <v>31</v>
      </c>
      <c r="L39" s="58">
        <f t="shared" si="14"/>
        <v>10560</v>
      </c>
      <c r="M39" s="58">
        <f t="shared" si="15"/>
        <v>2000</v>
      </c>
      <c r="N39" s="58">
        <f t="shared" si="16"/>
        <v>1090</v>
      </c>
      <c r="O39" s="58">
        <f>IFERROR(VLOOKUP(D39,WAGES!$C:$L,10,0)-L39-M39-N39,"")</f>
        <v>1761.290322580644</v>
      </c>
      <c r="P39" s="62">
        <f t="shared" si="17"/>
        <v>15411.290322580644</v>
      </c>
      <c r="Q39" s="58">
        <f t="shared" si="6"/>
        <v>1267</v>
      </c>
      <c r="R39" s="58">
        <f t="shared" si="7"/>
        <v>116</v>
      </c>
      <c r="S39" s="69">
        <f t="shared" si="8"/>
        <v>130</v>
      </c>
      <c r="T39" s="58">
        <f>IFERROR(VLOOKUP(D39,'RJ ATTENDENCE SHEET'!$C:$S,17,0),"")</f>
        <v>0</v>
      </c>
      <c r="U39" s="58">
        <f t="shared" si="9"/>
        <v>1513</v>
      </c>
      <c r="V39" s="58">
        <f t="shared" si="10"/>
        <v>13898.290322580644</v>
      </c>
      <c r="W39" s="71"/>
      <c r="X39" s="249"/>
      <c r="Y39" s="47"/>
      <c r="Z39" s="47"/>
      <c r="AA39" s="47"/>
      <c r="AB39" s="47"/>
    </row>
    <row r="40" spans="1:28" ht="39.950000000000003" customHeight="1">
      <c r="A40" s="55">
        <v>32</v>
      </c>
      <c r="B40" s="55">
        <f>IFERROR(VLOOKUP(D40,'RJ ATTENDENCE SHEET'!$C:$D,2,0),"")</f>
        <v>0</v>
      </c>
      <c r="C40" s="275" t="str">
        <f>IFERROR(VLOOKUP(D40,'DATA '!$D:$E,2,0),"")</f>
        <v>DRIVER</v>
      </c>
      <c r="D40" s="280" t="str">
        <f>'DATA '!K34</f>
        <v>JITU MAHALI</v>
      </c>
      <c r="E40" s="281">
        <f t="shared" si="12"/>
        <v>0</v>
      </c>
      <c r="F40" s="278">
        <f>IFERROR(VLOOKUP(D40,'RJ ATTENDENCE SHEET'!$C:$O,10,0),"")</f>
        <v>19000</v>
      </c>
      <c r="G40" s="278">
        <f>IFERROR(VLOOKUP(D40,'RJ ATTENDENCE SHEET'!$C:$O,11,0),"")</f>
        <v>0</v>
      </c>
      <c r="H40" s="278">
        <f>IFERROR(VLOOKUP(D40,'RJ ATTENDENCE SHEET'!$C:$O,12,0),"")</f>
        <v>0</v>
      </c>
      <c r="I40" s="278">
        <f t="shared" si="13"/>
        <v>19000</v>
      </c>
      <c r="J40" s="276">
        <f>DAY(EOMONTH('RJ ATTENDENCE SHEET'!$A$1,0))</f>
        <v>31</v>
      </c>
      <c r="K40" s="282">
        <v>20</v>
      </c>
      <c r="L40" s="278">
        <f t="shared" si="14"/>
        <v>12258</v>
      </c>
      <c r="M40" s="278">
        <f t="shared" si="15"/>
        <v>0</v>
      </c>
      <c r="N40" s="278">
        <f t="shared" si="16"/>
        <v>0</v>
      </c>
      <c r="O40" s="278">
        <f>IFERROR(VLOOKUP(D40,WAGES!$C:$L,10,0)-L40-M40-N40,"")</f>
        <v>1222</v>
      </c>
      <c r="P40" s="276">
        <f t="shared" si="17"/>
        <v>13480</v>
      </c>
      <c r="Q40" s="278" t="str">
        <f t="shared" si="6"/>
        <v>0</v>
      </c>
      <c r="R40" s="278">
        <f t="shared" si="7"/>
        <v>102</v>
      </c>
      <c r="S40" s="279">
        <f t="shared" si="8"/>
        <v>110</v>
      </c>
      <c r="T40" s="278">
        <f>IFERROR(VLOOKUP(D40,'RJ ATTENDENCE SHEET'!$C:$S,17,0),"")</f>
        <v>0</v>
      </c>
      <c r="U40" s="278">
        <f t="shared" si="9"/>
        <v>212</v>
      </c>
      <c r="V40" s="278">
        <f t="shared" si="10"/>
        <v>13268</v>
      </c>
      <c r="W40" s="71"/>
      <c r="X40" s="249"/>
      <c r="Y40" s="47"/>
      <c r="Z40" s="47"/>
      <c r="AA40" s="47"/>
      <c r="AB40" s="47"/>
    </row>
    <row r="41" spans="1:28" ht="39.950000000000003" customHeight="1">
      <c r="A41" s="55">
        <v>33</v>
      </c>
      <c r="B41" s="55">
        <f>IFERROR(VLOOKUP(D41,'RJ ATTENDENCE SHEET'!$C:$D,2,0),"")</f>
        <v>0</v>
      </c>
      <c r="C41" s="247" t="str">
        <f>IFERROR(VLOOKUP(D41,'DATA '!$D:$E,2,0),"")</f>
        <v>LAB</v>
      </c>
      <c r="D41" s="283" t="str">
        <f>'DATA '!K35</f>
        <v>MILAN RUIDAS</v>
      </c>
      <c r="E41" s="284">
        <f t="shared" si="12"/>
        <v>0</v>
      </c>
      <c r="F41" s="285">
        <f>IFERROR(VLOOKUP(D41,'RJ ATTENDENCE SHEET'!$C:$O,10,0),"")</f>
        <v>10560</v>
      </c>
      <c r="G41" s="285">
        <f>IFERROR(VLOOKUP(D41,'RJ ATTENDENCE SHEET'!$C:$O,11,0),"")</f>
        <v>1040</v>
      </c>
      <c r="H41" s="285">
        <f>IFERROR(VLOOKUP(D41,'RJ ATTENDENCE SHEET'!$C:$O,12,0),"")</f>
        <v>1000</v>
      </c>
      <c r="I41" s="285">
        <f t="shared" si="13"/>
        <v>12600</v>
      </c>
      <c r="J41" s="248">
        <f>DAY(EOMONTH('RJ ATTENDENCE SHEET'!$A$1,0))</f>
        <v>31</v>
      </c>
      <c r="K41" s="442">
        <v>28</v>
      </c>
      <c r="L41" s="285">
        <f t="shared" si="14"/>
        <v>9538</v>
      </c>
      <c r="M41" s="285">
        <f t="shared" si="15"/>
        <v>939.35483870967732</v>
      </c>
      <c r="N41" s="285">
        <f t="shared" si="16"/>
        <v>903.22580645161293</v>
      </c>
      <c r="O41" s="285">
        <f>IFERROR(VLOOKUP(D41,WAGES!$C:$L,10,0)-L41-M41-N41,"")</f>
        <v>812.96774193548436</v>
      </c>
      <c r="P41" s="248">
        <f t="shared" si="17"/>
        <v>12193.548387096776</v>
      </c>
      <c r="Q41" s="285">
        <f t="shared" si="6"/>
        <v>1145</v>
      </c>
      <c r="R41" s="285">
        <f t="shared" si="7"/>
        <v>92</v>
      </c>
      <c r="S41" s="286">
        <f t="shared" si="8"/>
        <v>110</v>
      </c>
      <c r="T41" s="285">
        <f>IFERROR(VLOOKUP(D41,'RJ ATTENDENCE SHEET'!$C:$S,17,0),"")</f>
        <v>0</v>
      </c>
      <c r="U41" s="285">
        <f t="shared" si="9"/>
        <v>1347</v>
      </c>
      <c r="V41" s="285">
        <f t="shared" si="10"/>
        <v>10846.548387096776</v>
      </c>
      <c r="W41" s="71"/>
      <c r="X41" s="249"/>
      <c r="Y41" s="47"/>
      <c r="Z41" s="47"/>
      <c r="AA41" s="47"/>
      <c r="AB41" s="47"/>
    </row>
    <row r="42" spans="1:28" ht="39.950000000000003" customHeight="1">
      <c r="A42" s="55">
        <v>34</v>
      </c>
      <c r="B42" s="55" t="str">
        <f>IFERROR(VLOOKUP(D42,'RJ ATTENDENCE SHEET'!$C:$D,2,0),"")</f>
        <v>TC0227</v>
      </c>
      <c r="C42" s="247" t="str">
        <f>IFERROR(VLOOKUP(D42,'DATA '!$D:$E,2,0),"")</f>
        <v>LAB</v>
      </c>
      <c r="D42" s="283" t="str">
        <f>'DATA '!K36</f>
        <v>BABLU MONDAL</v>
      </c>
      <c r="E42" s="284" t="str">
        <f t="shared" si="12"/>
        <v>TC0227</v>
      </c>
      <c r="F42" s="285">
        <f>IFERROR(VLOOKUP(D42,'RJ ATTENDENCE SHEET'!$C:$O,10,0),"")</f>
        <v>11620</v>
      </c>
      <c r="G42" s="285">
        <f>IFERROR(VLOOKUP(D42,'RJ ATTENDENCE SHEET'!$C:$O,11,0),"")</f>
        <v>4000</v>
      </c>
      <c r="H42" s="285">
        <f>IFERROR(VLOOKUP(D42,'RJ ATTENDENCE SHEET'!$C:$O,12,0),"")</f>
        <v>2880</v>
      </c>
      <c r="I42" s="285">
        <f t="shared" si="13"/>
        <v>18500</v>
      </c>
      <c r="J42" s="248">
        <f>DAY(EOMONTH('RJ ATTENDENCE SHEET'!$A$1,0))</f>
        <v>31</v>
      </c>
      <c r="K42" s="442">
        <v>23</v>
      </c>
      <c r="L42" s="285">
        <f t="shared" si="14"/>
        <v>8621</v>
      </c>
      <c r="M42" s="285">
        <f t="shared" si="15"/>
        <v>2967.7419354838707</v>
      </c>
      <c r="N42" s="285">
        <f t="shared" si="16"/>
        <v>2136.7741935483873</v>
      </c>
      <c r="O42" s="285">
        <f>IFERROR(VLOOKUP(D42,WAGES!$C:$L,10,0)-L42-M42-N42,"")</f>
        <v>1193.8387096774181</v>
      </c>
      <c r="P42" s="248">
        <f t="shared" si="17"/>
        <v>14919.354838709676</v>
      </c>
      <c r="Q42" s="285">
        <f t="shared" si="6"/>
        <v>1035</v>
      </c>
      <c r="R42" s="285">
        <f t="shared" si="7"/>
        <v>112</v>
      </c>
      <c r="S42" s="286">
        <f t="shared" si="8"/>
        <v>110</v>
      </c>
      <c r="T42" s="285">
        <f>IFERROR(VLOOKUP(D42,'RJ ATTENDENCE SHEET'!$C:$S,17,0),"")</f>
        <v>0</v>
      </c>
      <c r="U42" s="285">
        <f t="shared" si="9"/>
        <v>1257</v>
      </c>
      <c r="V42" s="285">
        <f t="shared" si="10"/>
        <v>13662.354838709676</v>
      </c>
      <c r="W42" s="71"/>
      <c r="X42" s="249"/>
      <c r="Y42" s="47"/>
      <c r="Z42" s="47"/>
      <c r="AA42" s="47"/>
      <c r="AB42" s="47"/>
    </row>
    <row r="43" spans="1:28" ht="39.950000000000003" hidden="1" customHeight="1">
      <c r="A43" s="55">
        <v>35</v>
      </c>
      <c r="B43" s="55" t="str">
        <f>IFERROR(VLOOKUP(D43,'RJ ATTENDENCE SHEET'!$C:$D,2,0),"")</f>
        <v/>
      </c>
      <c r="C43" s="55" t="str">
        <f>IFERROR(VLOOKUP(D43,'DATA '!$D:$E,2,0),"")</f>
        <v/>
      </c>
      <c r="D43" s="56" t="str">
        <f>'DATA '!K37</f>
        <v/>
      </c>
      <c r="E43" s="57" t="str">
        <f t="shared" si="12"/>
        <v/>
      </c>
      <c r="F43" s="58" t="str">
        <f>IFERROR(VLOOKUP(D43,'RJ ATTENDENCE SHEET'!$C:$O,10,0),"")</f>
        <v/>
      </c>
      <c r="G43" s="58" t="str">
        <f>IFERROR(VLOOKUP(D43,'RJ ATTENDENCE SHEET'!$C:$O,11,0),"")</f>
        <v/>
      </c>
      <c r="H43" s="58" t="str">
        <f>IFERROR(VLOOKUP(D43,'RJ ATTENDENCE SHEET'!$C:$O,12,0),"")</f>
        <v/>
      </c>
      <c r="I43" s="58">
        <f t="shared" si="13"/>
        <v>0</v>
      </c>
      <c r="J43" s="62">
        <f>DAY(EOMONTH('RJ ATTENDENCE SHEET'!$A$1,0))</f>
        <v>31</v>
      </c>
      <c r="K43" s="63">
        <v>24</v>
      </c>
      <c r="L43" s="58" t="str">
        <f t="shared" si="14"/>
        <v/>
      </c>
      <c r="M43" s="58" t="str">
        <f t="shared" si="15"/>
        <v/>
      </c>
      <c r="N43" s="58" t="str">
        <f t="shared" si="16"/>
        <v/>
      </c>
      <c r="O43" s="58" t="str">
        <f>IFERROR(VLOOKUP(D43,WAGES!$C:$L,10,0)-L43-M43-N43,"")</f>
        <v/>
      </c>
      <c r="P43" s="62">
        <f t="shared" si="17"/>
        <v>0</v>
      </c>
      <c r="Q43" s="58" t="str">
        <f t="shared" si="6"/>
        <v>0</v>
      </c>
      <c r="R43" s="58">
        <f t="shared" si="7"/>
        <v>0</v>
      </c>
      <c r="S43" s="69">
        <f t="shared" si="8"/>
        <v>0</v>
      </c>
      <c r="T43" s="58" t="str">
        <f>IFERROR(VLOOKUP(D43,'RJ ATTENDENCE SHEET'!$C:$S,17,0),"")</f>
        <v/>
      </c>
      <c r="U43" s="58">
        <f t="shared" si="9"/>
        <v>0</v>
      </c>
      <c r="V43" s="58">
        <f t="shared" si="10"/>
        <v>0</v>
      </c>
      <c r="W43" s="71"/>
      <c r="X43" s="249"/>
      <c r="Y43" s="47"/>
      <c r="Z43" s="47"/>
      <c r="AA43" s="47"/>
      <c r="AB43" s="47"/>
    </row>
    <row r="44" spans="1:28" ht="39.950000000000003" hidden="1" customHeight="1">
      <c r="A44" s="55">
        <v>36</v>
      </c>
      <c r="B44" s="55" t="str">
        <f>IFERROR(VLOOKUP(D44,'RJ ATTENDENCE SHEET'!$C:$D,2,0),"")</f>
        <v/>
      </c>
      <c r="C44" s="55" t="str">
        <f>IFERROR(VLOOKUP(D44,'DATA '!$D:$E,2,0),"")</f>
        <v/>
      </c>
      <c r="D44" s="56" t="str">
        <f>'DATA '!K38</f>
        <v/>
      </c>
      <c r="E44" s="57" t="str">
        <f t="shared" si="12"/>
        <v/>
      </c>
      <c r="F44" s="58" t="str">
        <f>IFERROR(VLOOKUP(D44,'RJ ATTENDENCE SHEET'!$C:$O,10,0),"")</f>
        <v/>
      </c>
      <c r="G44" s="58" t="str">
        <f>IFERROR(VLOOKUP(D44,'RJ ATTENDENCE SHEET'!$C:$O,11,0),"")</f>
        <v/>
      </c>
      <c r="H44" s="58" t="str">
        <f>IFERROR(VLOOKUP(D44,'RJ ATTENDENCE SHEET'!$C:$O,12,0),"")</f>
        <v/>
      </c>
      <c r="I44" s="58">
        <f t="shared" si="13"/>
        <v>0</v>
      </c>
      <c r="J44" s="62">
        <f>DAY(EOMONTH('RJ ATTENDENCE SHEET'!$A$1,0))</f>
        <v>31</v>
      </c>
      <c r="K44" s="63"/>
      <c r="L44" s="58" t="str">
        <f t="shared" si="14"/>
        <v/>
      </c>
      <c r="M44" s="58" t="str">
        <f t="shared" si="15"/>
        <v/>
      </c>
      <c r="N44" s="58" t="str">
        <f t="shared" si="16"/>
        <v/>
      </c>
      <c r="O44" s="58" t="str">
        <f>IFERROR(VLOOKUP(D44,WAGES!$C:$L,10,0)-L44-M44-N44,"")</f>
        <v/>
      </c>
      <c r="P44" s="62">
        <f t="shared" si="17"/>
        <v>0</v>
      </c>
      <c r="Q44" s="58" t="str">
        <f t="shared" si="6"/>
        <v>0</v>
      </c>
      <c r="R44" s="58">
        <f t="shared" si="7"/>
        <v>0</v>
      </c>
      <c r="S44" s="69">
        <f t="shared" si="8"/>
        <v>0</v>
      </c>
      <c r="T44" s="58" t="str">
        <f>IFERROR(VLOOKUP(D44,'RJ ATTENDENCE SHEET'!$C:$S,17,0),"")</f>
        <v/>
      </c>
      <c r="U44" s="58">
        <f t="shared" si="9"/>
        <v>0</v>
      </c>
      <c r="V44" s="58">
        <f t="shared" si="10"/>
        <v>0</v>
      </c>
      <c r="W44" s="71"/>
      <c r="X44" s="249"/>
      <c r="Y44" s="47"/>
      <c r="Z44" s="47"/>
      <c r="AA44" s="47"/>
      <c r="AB44" s="47"/>
    </row>
    <row r="45" spans="1:28" ht="39.950000000000003" hidden="1" customHeight="1">
      <c r="A45" s="55">
        <v>37</v>
      </c>
      <c r="B45" s="55" t="str">
        <f>IFERROR(VLOOKUP(D45,'RJ ATTENDENCE SHEET'!$C:$D,2,0),"")</f>
        <v/>
      </c>
      <c r="C45" s="55" t="str">
        <f>IFERROR(VLOOKUP(D45,'DATA '!$D:$E,2,0),"")</f>
        <v/>
      </c>
      <c r="D45" s="56" t="str">
        <f>'DATA '!K39</f>
        <v/>
      </c>
      <c r="E45" s="57" t="str">
        <f t="shared" si="12"/>
        <v/>
      </c>
      <c r="F45" s="58" t="str">
        <f>IFERROR(VLOOKUP(D45,'RJ ATTENDENCE SHEET'!$C:$O,10,0),"")</f>
        <v/>
      </c>
      <c r="G45" s="58" t="str">
        <f>IFERROR(VLOOKUP(D45,'RJ ATTENDENCE SHEET'!$C:$O,11,0),"")</f>
        <v/>
      </c>
      <c r="H45" s="58" t="str">
        <f>IFERROR(VLOOKUP(D45,'RJ ATTENDENCE SHEET'!$C:$O,12,0),"")</f>
        <v/>
      </c>
      <c r="I45" s="58">
        <f t="shared" si="13"/>
        <v>0</v>
      </c>
      <c r="J45" s="62">
        <f>DAY(EOMONTH('RJ ATTENDENCE SHEET'!$A$1,0))</f>
        <v>31</v>
      </c>
      <c r="K45" s="63"/>
      <c r="L45" s="58" t="str">
        <f t="shared" si="14"/>
        <v/>
      </c>
      <c r="M45" s="58" t="str">
        <f t="shared" si="15"/>
        <v/>
      </c>
      <c r="N45" s="58" t="str">
        <f t="shared" si="16"/>
        <v/>
      </c>
      <c r="O45" s="58" t="str">
        <f>IFERROR(VLOOKUP(D45,WAGES!$C:$L,10,0)-L45-M45-N45,"")</f>
        <v/>
      </c>
      <c r="P45" s="62">
        <f t="shared" si="17"/>
        <v>0</v>
      </c>
      <c r="Q45" s="58" t="str">
        <f t="shared" si="6"/>
        <v>0</v>
      </c>
      <c r="R45" s="58">
        <f t="shared" si="7"/>
        <v>0</v>
      </c>
      <c r="S45" s="69">
        <f t="shared" si="8"/>
        <v>0</v>
      </c>
      <c r="T45" s="58" t="str">
        <f>IFERROR(VLOOKUP(D45,'RJ ATTENDENCE SHEET'!$C:$S,17,0),"")</f>
        <v/>
      </c>
      <c r="U45" s="58">
        <f t="shared" si="9"/>
        <v>0</v>
      </c>
      <c r="V45" s="58">
        <f t="shared" si="10"/>
        <v>0</v>
      </c>
      <c r="W45" s="71"/>
      <c r="X45" s="249"/>
      <c r="Y45" s="47"/>
      <c r="Z45" s="47"/>
      <c r="AA45" s="47"/>
      <c r="AB45" s="47"/>
    </row>
    <row r="46" spans="1:28" ht="39.950000000000003" hidden="1" customHeight="1">
      <c r="A46" s="55">
        <v>38</v>
      </c>
      <c r="B46" s="55" t="str">
        <f>IFERROR(VLOOKUP(D46,'RJ ATTENDENCE SHEET'!$C:$D,2,0),"")</f>
        <v/>
      </c>
      <c r="C46" s="55" t="str">
        <f>IFERROR(VLOOKUP(D46,'DATA '!$D:$E,2,0),"")</f>
        <v/>
      </c>
      <c r="D46" s="56" t="str">
        <f>'DATA '!K40</f>
        <v/>
      </c>
      <c r="E46" s="57" t="str">
        <f t="shared" si="12"/>
        <v/>
      </c>
      <c r="F46" s="58" t="str">
        <f>IFERROR(VLOOKUP(D46,'RJ ATTENDENCE SHEET'!$C:$O,10,0),"")</f>
        <v/>
      </c>
      <c r="G46" s="58" t="str">
        <f>IFERROR(VLOOKUP(D46,'RJ ATTENDENCE SHEET'!$C:$O,11,0),"")</f>
        <v/>
      </c>
      <c r="H46" s="58" t="str">
        <f>IFERROR(VLOOKUP(D46,'RJ ATTENDENCE SHEET'!$C:$O,12,0),"")</f>
        <v/>
      </c>
      <c r="I46" s="58">
        <f t="shared" si="13"/>
        <v>0</v>
      </c>
      <c r="J46" s="62">
        <f>DAY(EOMONTH('RJ ATTENDENCE SHEET'!$A$1,0))</f>
        <v>31</v>
      </c>
      <c r="K46" s="63"/>
      <c r="L46" s="58" t="str">
        <f t="shared" si="14"/>
        <v/>
      </c>
      <c r="M46" s="58" t="str">
        <f t="shared" si="15"/>
        <v/>
      </c>
      <c r="N46" s="58" t="str">
        <f t="shared" si="16"/>
        <v/>
      </c>
      <c r="O46" s="58" t="str">
        <f>IFERROR(VLOOKUP(D46,WAGES!$C:$L,10,0)-L46-M46-N46,"")</f>
        <v/>
      </c>
      <c r="P46" s="62">
        <f t="shared" si="17"/>
        <v>0</v>
      </c>
      <c r="Q46" s="58" t="str">
        <f t="shared" si="6"/>
        <v>0</v>
      </c>
      <c r="R46" s="58">
        <f t="shared" si="7"/>
        <v>0</v>
      </c>
      <c r="S46" s="69">
        <f t="shared" si="8"/>
        <v>0</v>
      </c>
      <c r="T46" s="58" t="str">
        <f>IFERROR(VLOOKUP(D46,'RJ ATTENDENCE SHEET'!$C:$S,17,0),"")</f>
        <v/>
      </c>
      <c r="U46" s="58">
        <f t="shared" si="9"/>
        <v>0</v>
      </c>
      <c r="V46" s="58">
        <f t="shared" si="10"/>
        <v>0</v>
      </c>
      <c r="W46" s="71"/>
      <c r="X46" s="249"/>
      <c r="Y46" s="47"/>
      <c r="Z46" s="47"/>
      <c r="AA46" s="47"/>
      <c r="AB46" s="47"/>
    </row>
    <row r="47" spans="1:28" ht="39.950000000000003" hidden="1" customHeight="1">
      <c r="A47" s="55">
        <v>39</v>
      </c>
      <c r="B47" s="55" t="str">
        <f>IFERROR(VLOOKUP(D47,'RJ ATTENDENCE SHEET'!$C:$D,2,0),"")</f>
        <v/>
      </c>
      <c r="C47" s="55" t="str">
        <f>IFERROR(VLOOKUP(D47,'DATA '!$D:$E,2,0),"")</f>
        <v/>
      </c>
      <c r="D47" s="56" t="str">
        <f>'DATA '!K41</f>
        <v/>
      </c>
      <c r="E47" s="57" t="str">
        <f t="shared" si="12"/>
        <v/>
      </c>
      <c r="F47" s="58" t="str">
        <f>IFERROR(VLOOKUP(D47,'RJ ATTENDENCE SHEET'!$C:$O,10,0),"")</f>
        <v/>
      </c>
      <c r="G47" s="58" t="str">
        <f>IFERROR(VLOOKUP(D47,'RJ ATTENDENCE SHEET'!$C:$O,11,0),"")</f>
        <v/>
      </c>
      <c r="H47" s="58" t="str">
        <f>IFERROR(VLOOKUP(D47,'RJ ATTENDENCE SHEET'!$C:$O,12,0),"")</f>
        <v/>
      </c>
      <c r="I47" s="58">
        <f t="shared" si="13"/>
        <v>0</v>
      </c>
      <c r="J47" s="62">
        <f>DAY(EOMONTH('RJ ATTENDENCE SHEET'!$A$1,0))</f>
        <v>31</v>
      </c>
      <c r="K47" s="63"/>
      <c r="L47" s="58" t="str">
        <f t="shared" si="14"/>
        <v/>
      </c>
      <c r="M47" s="58" t="str">
        <f t="shared" si="15"/>
        <v/>
      </c>
      <c r="N47" s="58" t="str">
        <f t="shared" si="16"/>
        <v/>
      </c>
      <c r="O47" s="58" t="str">
        <f>IFERROR(VLOOKUP(D47,WAGES!$C:$L,10,0)-L47-M47-N47,"")</f>
        <v/>
      </c>
      <c r="P47" s="62">
        <f t="shared" si="17"/>
        <v>0</v>
      </c>
      <c r="Q47" s="58" t="str">
        <f t="shared" si="6"/>
        <v>0</v>
      </c>
      <c r="R47" s="58">
        <f t="shared" si="7"/>
        <v>0</v>
      </c>
      <c r="S47" s="69">
        <f t="shared" si="8"/>
        <v>0</v>
      </c>
      <c r="T47" s="58" t="str">
        <f>IFERROR(VLOOKUP(D47,'RJ ATTENDENCE SHEET'!$C:$S,17,0),"")</f>
        <v/>
      </c>
      <c r="U47" s="58">
        <f t="shared" si="9"/>
        <v>0</v>
      </c>
      <c r="V47" s="58">
        <f t="shared" si="10"/>
        <v>0</v>
      </c>
      <c r="W47" s="71"/>
      <c r="X47" s="249"/>
      <c r="Y47" s="47"/>
      <c r="Z47" s="47"/>
      <c r="AA47" s="47"/>
      <c r="AB47" s="47"/>
    </row>
    <row r="48" spans="1:28" ht="39.950000000000003" hidden="1" customHeight="1">
      <c r="A48" s="55">
        <v>40</v>
      </c>
      <c r="B48" s="55" t="str">
        <f>IFERROR(VLOOKUP(D48,'RJ ATTENDENCE SHEET'!$C:$D,2,0),"")</f>
        <v/>
      </c>
      <c r="C48" s="55" t="str">
        <f>IFERROR(VLOOKUP(D48,'DATA '!$D:$E,2,0),"")</f>
        <v/>
      </c>
      <c r="D48" s="56" t="str">
        <f>'DATA '!K42</f>
        <v/>
      </c>
      <c r="E48" s="57" t="str">
        <f t="shared" si="12"/>
        <v/>
      </c>
      <c r="F48" s="58" t="str">
        <f>IFERROR(VLOOKUP(D48,'RJ ATTENDENCE SHEET'!$C:$O,10,0),"")</f>
        <v/>
      </c>
      <c r="G48" s="58" t="str">
        <f>IFERROR(VLOOKUP(D48,'RJ ATTENDENCE SHEET'!$C:$O,11,0),"")</f>
        <v/>
      </c>
      <c r="H48" s="58" t="str">
        <f>IFERROR(VLOOKUP(D48,'RJ ATTENDENCE SHEET'!$C:$O,12,0),"")</f>
        <v/>
      </c>
      <c r="I48" s="58">
        <f t="shared" si="13"/>
        <v>0</v>
      </c>
      <c r="J48" s="62">
        <f>DAY(EOMONTH('RJ ATTENDENCE SHEET'!$A$1,0))</f>
        <v>31</v>
      </c>
      <c r="K48" s="63"/>
      <c r="L48" s="58" t="str">
        <f t="shared" si="14"/>
        <v/>
      </c>
      <c r="M48" s="58" t="str">
        <f t="shared" si="15"/>
        <v/>
      </c>
      <c r="N48" s="58" t="str">
        <f t="shared" si="16"/>
        <v/>
      </c>
      <c r="O48" s="58" t="str">
        <f>IFERROR(VLOOKUP(D48,WAGES!$C:$L,10,0)-L48-M48-N48,"")</f>
        <v/>
      </c>
      <c r="P48" s="62">
        <f t="shared" si="17"/>
        <v>0</v>
      </c>
      <c r="Q48" s="58" t="str">
        <f t="shared" si="6"/>
        <v>0</v>
      </c>
      <c r="R48" s="58">
        <f t="shared" si="7"/>
        <v>0</v>
      </c>
      <c r="S48" s="69">
        <f t="shared" si="8"/>
        <v>0</v>
      </c>
      <c r="T48" s="58" t="str">
        <f>IFERROR(VLOOKUP(D48,'RJ ATTENDENCE SHEET'!$C:$S,17,0),"")</f>
        <v/>
      </c>
      <c r="U48" s="58">
        <f t="shared" si="9"/>
        <v>0</v>
      </c>
      <c r="V48" s="58">
        <f t="shared" si="10"/>
        <v>0</v>
      </c>
      <c r="W48" s="71"/>
      <c r="X48" s="249"/>
      <c r="Y48" s="47"/>
      <c r="Z48" s="47"/>
      <c r="AA48" s="47"/>
      <c r="AB48" s="47"/>
    </row>
    <row r="49" spans="1:28" ht="39.950000000000003" hidden="1" customHeight="1">
      <c r="A49" s="55">
        <v>41</v>
      </c>
      <c r="B49" s="55" t="str">
        <f>IFERROR(VLOOKUP(D49,'RJ ATTENDENCE SHEET'!$C:$D,2,0),"")</f>
        <v/>
      </c>
      <c r="C49" s="55" t="str">
        <f>IFERROR(VLOOKUP(D49,'DATA '!$D:$E,2,0),"")</f>
        <v/>
      </c>
      <c r="D49" s="56" t="str">
        <f>'DATA '!K43</f>
        <v/>
      </c>
      <c r="E49" s="57" t="str">
        <f t="shared" si="12"/>
        <v/>
      </c>
      <c r="F49" s="58" t="str">
        <f>IFERROR(VLOOKUP(D49,'RJ ATTENDENCE SHEET'!$C:$O,10,0),"")</f>
        <v/>
      </c>
      <c r="G49" s="58" t="str">
        <f>IFERROR(VLOOKUP(D49,'RJ ATTENDENCE SHEET'!$C:$O,11,0),"")</f>
        <v/>
      </c>
      <c r="H49" s="58" t="str">
        <f>IFERROR(VLOOKUP(D49,'RJ ATTENDENCE SHEET'!$C:$O,12,0),"")</f>
        <v/>
      </c>
      <c r="I49" s="58">
        <f t="shared" si="13"/>
        <v>0</v>
      </c>
      <c r="J49" s="62">
        <f>DAY(EOMONTH('RJ ATTENDENCE SHEET'!$A$1,0))</f>
        <v>31</v>
      </c>
      <c r="K49" s="63"/>
      <c r="L49" s="58" t="str">
        <f t="shared" si="14"/>
        <v/>
      </c>
      <c r="M49" s="58" t="str">
        <f t="shared" si="15"/>
        <v/>
      </c>
      <c r="N49" s="58" t="str">
        <f t="shared" si="16"/>
        <v/>
      </c>
      <c r="O49" s="58" t="str">
        <f>IFERROR(VLOOKUP(D49,WAGES!$C:$L,10,0)-L49-M49-N49,"")</f>
        <v/>
      </c>
      <c r="P49" s="62">
        <f t="shared" si="17"/>
        <v>0</v>
      </c>
      <c r="Q49" s="58" t="str">
        <f t="shared" si="6"/>
        <v>0</v>
      </c>
      <c r="R49" s="58">
        <f t="shared" si="7"/>
        <v>0</v>
      </c>
      <c r="S49" s="69">
        <f t="shared" si="8"/>
        <v>0</v>
      </c>
      <c r="T49" s="58" t="str">
        <f>IFERROR(VLOOKUP(D49,'RJ ATTENDENCE SHEET'!$C:$S,17,0),"")</f>
        <v/>
      </c>
      <c r="U49" s="58">
        <f t="shared" si="9"/>
        <v>0</v>
      </c>
      <c r="V49" s="58">
        <f t="shared" si="10"/>
        <v>0</v>
      </c>
      <c r="W49" s="71"/>
      <c r="X49" s="249"/>
      <c r="Y49" s="47"/>
      <c r="Z49" s="47"/>
      <c r="AA49" s="47"/>
      <c r="AB49" s="47"/>
    </row>
    <row r="50" spans="1:28" ht="39.950000000000003" hidden="1" customHeight="1">
      <c r="A50" s="55">
        <v>42</v>
      </c>
      <c r="B50" s="55" t="str">
        <f>IFERROR(VLOOKUP(D50,'RJ ATTENDENCE SHEET'!$C:$D,2,0),"")</f>
        <v/>
      </c>
      <c r="C50" s="55" t="str">
        <f>IFERROR(VLOOKUP(D50,'DATA '!$D:$E,2,0),"")</f>
        <v/>
      </c>
      <c r="D50" s="56" t="str">
        <f>'DATA '!K44</f>
        <v/>
      </c>
      <c r="E50" s="57" t="str">
        <f t="shared" si="12"/>
        <v/>
      </c>
      <c r="F50" s="58" t="str">
        <f>IFERROR(VLOOKUP(D50,'RJ ATTENDENCE SHEET'!$C:$O,10,0),"")</f>
        <v/>
      </c>
      <c r="G50" s="58" t="str">
        <f>IFERROR(VLOOKUP(D50,'RJ ATTENDENCE SHEET'!$C:$O,11,0),"")</f>
        <v/>
      </c>
      <c r="H50" s="58" t="str">
        <f>IFERROR(VLOOKUP(D50,'RJ ATTENDENCE SHEET'!$C:$O,12,0),"")</f>
        <v/>
      </c>
      <c r="I50" s="58">
        <f t="shared" si="13"/>
        <v>0</v>
      </c>
      <c r="J50" s="62">
        <f>DAY(EOMONTH('RJ ATTENDENCE SHEET'!$A$1,0))</f>
        <v>31</v>
      </c>
      <c r="K50" s="63"/>
      <c r="L50" s="58" t="str">
        <f t="shared" si="14"/>
        <v/>
      </c>
      <c r="M50" s="58" t="str">
        <f t="shared" si="15"/>
        <v/>
      </c>
      <c r="N50" s="58" t="str">
        <f t="shared" si="16"/>
        <v/>
      </c>
      <c r="O50" s="58" t="str">
        <f>IFERROR(VLOOKUP(D50,WAGES!$C:$L,10,0)-L50-M50-N50,"")</f>
        <v/>
      </c>
      <c r="P50" s="62">
        <f t="shared" si="17"/>
        <v>0</v>
      </c>
      <c r="Q50" s="58" t="str">
        <f t="shared" si="6"/>
        <v>0</v>
      </c>
      <c r="R50" s="58">
        <f t="shared" si="7"/>
        <v>0</v>
      </c>
      <c r="S50" s="69">
        <f t="shared" si="8"/>
        <v>0</v>
      </c>
      <c r="T50" s="58" t="str">
        <f>IFERROR(VLOOKUP(D50,'RJ ATTENDENCE SHEET'!$C:$S,17,0),"")</f>
        <v/>
      </c>
      <c r="U50" s="58">
        <f t="shared" si="9"/>
        <v>0</v>
      </c>
      <c r="V50" s="58">
        <f t="shared" si="10"/>
        <v>0</v>
      </c>
      <c r="W50" s="71"/>
      <c r="X50" s="249"/>
      <c r="Y50" s="47"/>
      <c r="Z50" s="47"/>
      <c r="AA50" s="47"/>
      <c r="AB50" s="47"/>
    </row>
    <row r="51" spans="1:28" ht="39.950000000000003" hidden="1" customHeight="1">
      <c r="A51" s="55">
        <v>43</v>
      </c>
      <c r="B51" s="55" t="str">
        <f>IFERROR(VLOOKUP(D51,'RJ ATTENDENCE SHEET'!$C:$D,2,0),"")</f>
        <v/>
      </c>
      <c r="C51" s="55" t="str">
        <f>IFERROR(VLOOKUP(D51,'DATA '!$D:$E,2,0),"")</f>
        <v/>
      </c>
      <c r="D51" s="56" t="str">
        <f>'DATA '!K45</f>
        <v/>
      </c>
      <c r="E51" s="57" t="str">
        <f t="shared" si="12"/>
        <v/>
      </c>
      <c r="F51" s="58" t="str">
        <f>IFERROR(VLOOKUP(D51,'RJ ATTENDENCE SHEET'!$C:$O,10,0),"")</f>
        <v/>
      </c>
      <c r="G51" s="58" t="str">
        <f>IFERROR(VLOOKUP(D51,'RJ ATTENDENCE SHEET'!$C:$O,11,0),"")</f>
        <v/>
      </c>
      <c r="H51" s="58" t="str">
        <f>IFERROR(VLOOKUP(D51,'RJ ATTENDENCE SHEET'!$C:$O,12,0),"")</f>
        <v/>
      </c>
      <c r="I51" s="58">
        <f t="shared" si="13"/>
        <v>0</v>
      </c>
      <c r="J51" s="62">
        <f>DAY(EOMONTH('RJ ATTENDENCE SHEET'!$A$1,0))</f>
        <v>31</v>
      </c>
      <c r="K51" s="63"/>
      <c r="L51" s="58" t="str">
        <f t="shared" si="14"/>
        <v/>
      </c>
      <c r="M51" s="58" t="str">
        <f t="shared" si="15"/>
        <v/>
      </c>
      <c r="N51" s="58" t="str">
        <f t="shared" si="16"/>
        <v/>
      </c>
      <c r="O51" s="58" t="str">
        <f>IFERROR(VLOOKUP(D51,WAGES!$C:$L,10,0)-L51-M51-N51,"")</f>
        <v/>
      </c>
      <c r="P51" s="62">
        <f t="shared" si="17"/>
        <v>0</v>
      </c>
      <c r="Q51" s="58" t="str">
        <f t="shared" si="6"/>
        <v>0</v>
      </c>
      <c r="R51" s="58">
        <f t="shared" si="7"/>
        <v>0</v>
      </c>
      <c r="S51" s="69">
        <f t="shared" si="8"/>
        <v>0</v>
      </c>
      <c r="T51" s="58" t="str">
        <f>IFERROR(VLOOKUP(D51,'RJ ATTENDENCE SHEET'!$C:$S,17,0),"")</f>
        <v/>
      </c>
      <c r="U51" s="58">
        <f t="shared" si="9"/>
        <v>0</v>
      </c>
      <c r="V51" s="58">
        <f t="shared" si="10"/>
        <v>0</v>
      </c>
      <c r="W51" s="71"/>
      <c r="X51" s="249"/>
      <c r="Y51" s="47"/>
      <c r="Z51" s="47"/>
      <c r="AA51" s="47"/>
      <c r="AB51" s="47"/>
    </row>
    <row r="52" spans="1:28" ht="39.950000000000003" hidden="1" customHeight="1">
      <c r="A52" s="55">
        <v>44</v>
      </c>
      <c r="B52" s="55" t="str">
        <f>IFERROR(VLOOKUP(D52,'RJ ATTENDENCE SHEET'!$C:$D,2,0),"")</f>
        <v/>
      </c>
      <c r="C52" s="55" t="str">
        <f>IFERROR(VLOOKUP(D52,'DATA '!$D:$E,2,0),"")</f>
        <v/>
      </c>
      <c r="D52" s="56" t="str">
        <f>'DATA '!K46</f>
        <v/>
      </c>
      <c r="E52" s="57" t="str">
        <f t="shared" si="12"/>
        <v/>
      </c>
      <c r="F52" s="58" t="str">
        <f>IFERROR(VLOOKUP(D52,'RJ ATTENDENCE SHEET'!$C:$O,10,0),"")</f>
        <v/>
      </c>
      <c r="G52" s="58" t="str">
        <f>IFERROR(VLOOKUP(D52,'RJ ATTENDENCE SHEET'!$C:$O,11,0),"")</f>
        <v/>
      </c>
      <c r="H52" s="58" t="str">
        <f>IFERROR(VLOOKUP(D52,'RJ ATTENDENCE SHEET'!$C:$O,12,0),"")</f>
        <v/>
      </c>
      <c r="I52" s="58">
        <f t="shared" si="13"/>
        <v>0</v>
      </c>
      <c r="J52" s="62">
        <f>DAY(EOMONTH('RJ ATTENDENCE SHEET'!$A$1,0))</f>
        <v>31</v>
      </c>
      <c r="K52" s="63"/>
      <c r="L52" s="58" t="str">
        <f t="shared" si="14"/>
        <v/>
      </c>
      <c r="M52" s="58" t="str">
        <f t="shared" si="15"/>
        <v/>
      </c>
      <c r="N52" s="58" t="str">
        <f t="shared" si="16"/>
        <v/>
      </c>
      <c r="O52" s="58" t="str">
        <f>IFERROR(VLOOKUP(D52,WAGES!$C:$L,10,0)-L52-M52-N52,"")</f>
        <v/>
      </c>
      <c r="P52" s="62">
        <f t="shared" si="17"/>
        <v>0</v>
      </c>
      <c r="Q52" s="58" t="str">
        <f t="shared" si="6"/>
        <v>0</v>
      </c>
      <c r="R52" s="58">
        <f t="shared" si="7"/>
        <v>0</v>
      </c>
      <c r="S52" s="69">
        <f t="shared" si="8"/>
        <v>0</v>
      </c>
      <c r="T52" s="58" t="str">
        <f>IFERROR(VLOOKUP(D52,'RJ ATTENDENCE SHEET'!$C:$S,17,0),"")</f>
        <v/>
      </c>
      <c r="U52" s="58">
        <f t="shared" si="9"/>
        <v>0</v>
      </c>
      <c r="V52" s="58">
        <f t="shared" si="10"/>
        <v>0</v>
      </c>
      <c r="W52" s="71"/>
      <c r="X52" s="249"/>
      <c r="Y52" s="47"/>
      <c r="Z52" s="47"/>
      <c r="AA52" s="47"/>
      <c r="AB52" s="47"/>
    </row>
    <row r="53" spans="1:28" ht="39.950000000000003" hidden="1" customHeight="1">
      <c r="A53" s="55">
        <v>45</v>
      </c>
      <c r="B53" s="55" t="str">
        <f>IFERROR(VLOOKUP(D53,'RJ ATTENDENCE SHEET'!$C:$D,2,0),"")</f>
        <v/>
      </c>
      <c r="C53" s="55" t="str">
        <f>IFERROR(VLOOKUP(D53,'DATA '!$D:$E,2,0),"")</f>
        <v/>
      </c>
      <c r="D53" s="56" t="str">
        <f>'DATA '!K47</f>
        <v/>
      </c>
      <c r="E53" s="57" t="str">
        <f t="shared" si="12"/>
        <v/>
      </c>
      <c r="F53" s="58" t="str">
        <f>IFERROR(VLOOKUP(D53,'RJ ATTENDENCE SHEET'!$C:$O,10,0),"")</f>
        <v/>
      </c>
      <c r="G53" s="58" t="str">
        <f>IFERROR(VLOOKUP(D53,'RJ ATTENDENCE SHEET'!$C:$O,11,0),"")</f>
        <v/>
      </c>
      <c r="H53" s="58" t="str">
        <f>IFERROR(VLOOKUP(D53,'RJ ATTENDENCE SHEET'!$C:$O,12,0),"")</f>
        <v/>
      </c>
      <c r="I53" s="58">
        <f t="shared" si="13"/>
        <v>0</v>
      </c>
      <c r="J53" s="62">
        <f>DAY(EOMONTH('RJ ATTENDENCE SHEET'!$A$1,0))</f>
        <v>31</v>
      </c>
      <c r="K53" s="63"/>
      <c r="L53" s="58" t="str">
        <f t="shared" si="14"/>
        <v/>
      </c>
      <c r="M53" s="58" t="str">
        <f t="shared" si="15"/>
        <v/>
      </c>
      <c r="N53" s="58" t="str">
        <f t="shared" si="16"/>
        <v/>
      </c>
      <c r="O53" s="58" t="str">
        <f>IFERROR(VLOOKUP(D53,WAGES!$C:$L,10,0)-L53-M53-N53,"")</f>
        <v/>
      </c>
      <c r="P53" s="62">
        <f t="shared" si="17"/>
        <v>0</v>
      </c>
      <c r="Q53" s="58" t="str">
        <f t="shared" si="6"/>
        <v>0</v>
      </c>
      <c r="R53" s="58">
        <f t="shared" si="7"/>
        <v>0</v>
      </c>
      <c r="S53" s="69">
        <f t="shared" si="8"/>
        <v>0</v>
      </c>
      <c r="T53" s="58" t="str">
        <f>IFERROR(VLOOKUP(D53,'RJ ATTENDENCE SHEET'!$C:$S,17,0),"")</f>
        <v/>
      </c>
      <c r="U53" s="58">
        <f t="shared" si="9"/>
        <v>0</v>
      </c>
      <c r="V53" s="58">
        <f t="shared" si="10"/>
        <v>0</v>
      </c>
      <c r="W53" s="71"/>
      <c r="X53" s="249"/>
      <c r="Y53" s="47"/>
      <c r="Z53" s="47"/>
      <c r="AA53" s="47"/>
      <c r="AB53" s="47"/>
    </row>
    <row r="54" spans="1:28" ht="39.950000000000003" hidden="1" customHeight="1">
      <c r="A54" s="55">
        <v>46</v>
      </c>
      <c r="B54" s="55" t="str">
        <f>IFERROR(VLOOKUP(D54,'RJ ATTENDENCE SHEET'!$C:$D,2,0),"")</f>
        <v/>
      </c>
      <c r="C54" s="55" t="str">
        <f>IFERROR(VLOOKUP(D54,'DATA '!$D:$E,2,0),"")</f>
        <v/>
      </c>
      <c r="D54" s="56" t="str">
        <f>'DATA '!K48</f>
        <v/>
      </c>
      <c r="E54" s="57" t="str">
        <f t="shared" si="12"/>
        <v/>
      </c>
      <c r="F54" s="58" t="str">
        <f>IFERROR(VLOOKUP(D54,'RJ ATTENDENCE SHEET'!$C:$O,10,0),"")</f>
        <v/>
      </c>
      <c r="G54" s="58" t="str">
        <f>IFERROR(VLOOKUP(D54,'RJ ATTENDENCE SHEET'!$C:$O,11,0),"")</f>
        <v/>
      </c>
      <c r="H54" s="58" t="str">
        <f>IFERROR(VLOOKUP(D54,'RJ ATTENDENCE SHEET'!$C:$O,12,0),"")</f>
        <v/>
      </c>
      <c r="I54" s="58">
        <f t="shared" si="13"/>
        <v>0</v>
      </c>
      <c r="J54" s="62">
        <f>DAY(EOMONTH('RJ ATTENDENCE SHEET'!$A$1,0))</f>
        <v>31</v>
      </c>
      <c r="K54" s="63"/>
      <c r="L54" s="58" t="str">
        <f t="shared" si="14"/>
        <v/>
      </c>
      <c r="M54" s="58" t="str">
        <f t="shared" si="15"/>
        <v/>
      </c>
      <c r="N54" s="58" t="str">
        <f t="shared" si="16"/>
        <v/>
      </c>
      <c r="O54" s="58" t="str">
        <f>IFERROR(VLOOKUP(D54,WAGES!$C:$L,10,0)-L54-M54-N54,"")</f>
        <v/>
      </c>
      <c r="P54" s="62">
        <f t="shared" si="17"/>
        <v>0</v>
      </c>
      <c r="Q54" s="58" t="str">
        <f t="shared" si="6"/>
        <v>0</v>
      </c>
      <c r="R54" s="58">
        <f t="shared" si="7"/>
        <v>0</v>
      </c>
      <c r="S54" s="69">
        <f t="shared" si="8"/>
        <v>0</v>
      </c>
      <c r="T54" s="58" t="str">
        <f>IFERROR(VLOOKUP(D54,'RJ ATTENDENCE SHEET'!$C:$S,17,0),"")</f>
        <v/>
      </c>
      <c r="U54" s="58">
        <f t="shared" si="9"/>
        <v>0</v>
      </c>
      <c r="V54" s="58">
        <f t="shared" si="10"/>
        <v>0</v>
      </c>
      <c r="W54" s="71"/>
      <c r="X54" s="249"/>
      <c r="Y54" s="47"/>
      <c r="Z54" s="47"/>
      <c r="AA54" s="47"/>
      <c r="AB54" s="47"/>
    </row>
    <row r="55" spans="1:28" ht="39.950000000000003" hidden="1" customHeight="1">
      <c r="A55" s="55">
        <v>47</v>
      </c>
      <c r="B55" s="55" t="str">
        <f>IFERROR(VLOOKUP(D55,'RJ ATTENDENCE SHEET'!$C:$D,2,0),"")</f>
        <v/>
      </c>
      <c r="C55" s="55" t="str">
        <f>IFERROR(VLOOKUP(D55,'DATA '!$D:$E,2,0),"")</f>
        <v/>
      </c>
      <c r="D55" s="56" t="str">
        <f>'DATA '!K49</f>
        <v/>
      </c>
      <c r="E55" s="57" t="str">
        <f t="shared" si="12"/>
        <v/>
      </c>
      <c r="F55" s="58" t="str">
        <f>IFERROR(VLOOKUP(D55,'RJ ATTENDENCE SHEET'!$C:$O,10,0),"")</f>
        <v/>
      </c>
      <c r="G55" s="58" t="str">
        <f>IFERROR(VLOOKUP(D55,'RJ ATTENDENCE SHEET'!$C:$O,11,0),"")</f>
        <v/>
      </c>
      <c r="H55" s="58" t="str">
        <f>IFERROR(VLOOKUP(D55,'RJ ATTENDENCE SHEET'!$C:$O,12,0),"")</f>
        <v/>
      </c>
      <c r="I55" s="58">
        <f t="shared" si="13"/>
        <v>0</v>
      </c>
      <c r="J55" s="62">
        <f>DAY(EOMONTH('RJ ATTENDENCE SHEET'!$A$1,0))</f>
        <v>31</v>
      </c>
      <c r="K55" s="63"/>
      <c r="L55" s="58" t="str">
        <f t="shared" si="14"/>
        <v/>
      </c>
      <c r="M55" s="58" t="str">
        <f t="shared" si="15"/>
        <v/>
      </c>
      <c r="N55" s="58" t="str">
        <f t="shared" si="16"/>
        <v/>
      </c>
      <c r="O55" s="58" t="str">
        <f>IFERROR(VLOOKUP(D55,WAGES!$C:$L,10,0)-L55-M55-N55,"")</f>
        <v/>
      </c>
      <c r="P55" s="62">
        <f t="shared" si="17"/>
        <v>0</v>
      </c>
      <c r="Q55" s="58" t="str">
        <f t="shared" si="6"/>
        <v>0</v>
      </c>
      <c r="R55" s="58">
        <f t="shared" si="7"/>
        <v>0</v>
      </c>
      <c r="S55" s="69">
        <f t="shared" si="8"/>
        <v>0</v>
      </c>
      <c r="T55" s="58" t="str">
        <f>IFERROR(VLOOKUP(D55,'RJ ATTENDENCE SHEET'!$C:$S,17,0),"")</f>
        <v/>
      </c>
      <c r="U55" s="58">
        <f t="shared" si="9"/>
        <v>0</v>
      </c>
      <c r="V55" s="58">
        <f t="shared" si="10"/>
        <v>0</v>
      </c>
      <c r="W55" s="71"/>
      <c r="X55" s="249"/>
      <c r="Y55" s="47"/>
      <c r="Z55" s="47"/>
      <c r="AA55" s="47"/>
      <c r="AB55" s="47"/>
    </row>
    <row r="56" spans="1:28" ht="39.950000000000003" hidden="1" customHeight="1">
      <c r="A56" s="55">
        <v>48</v>
      </c>
      <c r="B56" s="55" t="str">
        <f>IFERROR(VLOOKUP(D56,'RJ ATTENDENCE SHEET'!$C:$D,2,0),"")</f>
        <v/>
      </c>
      <c r="C56" s="55" t="str">
        <f>IFERROR(VLOOKUP(D56,'DATA '!$D:$E,2,0),"")</f>
        <v/>
      </c>
      <c r="D56" s="56" t="str">
        <f>'DATA '!K50</f>
        <v/>
      </c>
      <c r="E56" s="57" t="str">
        <f t="shared" si="12"/>
        <v/>
      </c>
      <c r="F56" s="58" t="str">
        <f>IFERROR(VLOOKUP(D56,'RJ ATTENDENCE SHEET'!$C:$O,10,0),"")</f>
        <v/>
      </c>
      <c r="G56" s="58" t="str">
        <f>IFERROR(VLOOKUP(D56,'RJ ATTENDENCE SHEET'!$C:$O,11,0),"")</f>
        <v/>
      </c>
      <c r="H56" s="58" t="str">
        <f>IFERROR(VLOOKUP(D56,'RJ ATTENDENCE SHEET'!$C:$O,12,0),"")</f>
        <v/>
      </c>
      <c r="I56" s="58">
        <f t="shared" si="13"/>
        <v>0</v>
      </c>
      <c r="J56" s="62">
        <f>DAY(EOMONTH('RJ ATTENDENCE SHEET'!$A$1,0))</f>
        <v>31</v>
      </c>
      <c r="K56" s="63"/>
      <c r="L56" s="58" t="str">
        <f t="shared" si="14"/>
        <v/>
      </c>
      <c r="M56" s="58" t="str">
        <f t="shared" si="15"/>
        <v/>
      </c>
      <c r="N56" s="58" t="str">
        <f t="shared" si="16"/>
        <v/>
      </c>
      <c r="O56" s="58" t="str">
        <f>IFERROR(VLOOKUP(D56,WAGES!$C:$L,10,0)-L56-M56-N56,"")</f>
        <v/>
      </c>
      <c r="P56" s="62">
        <f t="shared" si="17"/>
        <v>0</v>
      </c>
      <c r="Q56" s="58" t="str">
        <f t="shared" si="6"/>
        <v>0</v>
      </c>
      <c r="R56" s="58">
        <f t="shared" si="7"/>
        <v>0</v>
      </c>
      <c r="S56" s="69">
        <f t="shared" si="8"/>
        <v>0</v>
      </c>
      <c r="T56" s="58" t="str">
        <f>IFERROR(VLOOKUP(D56,'RJ ATTENDENCE SHEET'!$C:$S,17,0),"")</f>
        <v/>
      </c>
      <c r="U56" s="58">
        <f t="shared" si="9"/>
        <v>0</v>
      </c>
      <c r="V56" s="58">
        <f t="shared" si="10"/>
        <v>0</v>
      </c>
      <c r="W56" s="71"/>
      <c r="X56" s="249"/>
      <c r="Y56" s="47"/>
      <c r="Z56" s="47"/>
      <c r="AA56" s="47"/>
      <c r="AB56" s="47"/>
    </row>
    <row r="57" spans="1:28" ht="39.950000000000003" hidden="1" customHeight="1">
      <c r="A57" s="55">
        <v>49</v>
      </c>
      <c r="B57" s="55" t="str">
        <f>IFERROR(VLOOKUP(D57,'RJ ATTENDENCE SHEET'!$C:$D,2,0),"")</f>
        <v/>
      </c>
      <c r="C57" s="55" t="str">
        <f>IFERROR(VLOOKUP(D57,'DATA '!$D:$E,2,0),"")</f>
        <v/>
      </c>
      <c r="D57" s="56" t="str">
        <f>'DATA '!K51</f>
        <v/>
      </c>
      <c r="E57" s="57" t="str">
        <f t="shared" si="12"/>
        <v/>
      </c>
      <c r="F57" s="58" t="str">
        <f>IFERROR(VLOOKUP(D57,'RJ ATTENDENCE SHEET'!$C:$O,10,0),"")</f>
        <v/>
      </c>
      <c r="G57" s="58" t="str">
        <f>IFERROR(VLOOKUP(D57,'RJ ATTENDENCE SHEET'!$C:$O,11,0),"")</f>
        <v/>
      </c>
      <c r="H57" s="58" t="str">
        <f>IFERROR(VLOOKUP(D57,'RJ ATTENDENCE SHEET'!$C:$O,12,0),"")</f>
        <v/>
      </c>
      <c r="I57" s="58">
        <f t="shared" si="13"/>
        <v>0</v>
      </c>
      <c r="J57" s="62">
        <f>DAY(EOMONTH('RJ ATTENDENCE SHEET'!$A$1,0))</f>
        <v>31</v>
      </c>
      <c r="K57" s="63"/>
      <c r="L57" s="58" t="str">
        <f t="shared" si="14"/>
        <v/>
      </c>
      <c r="M57" s="58" t="str">
        <f t="shared" si="15"/>
        <v/>
      </c>
      <c r="N57" s="58" t="str">
        <f t="shared" si="16"/>
        <v/>
      </c>
      <c r="O57" s="58" t="str">
        <f>IFERROR(VLOOKUP(D57,WAGES!$C:$L,10,0)-L57-M57-N57,"")</f>
        <v/>
      </c>
      <c r="P57" s="62">
        <f t="shared" si="17"/>
        <v>0</v>
      </c>
      <c r="Q57" s="58" t="str">
        <f t="shared" si="6"/>
        <v>0</v>
      </c>
      <c r="R57" s="58">
        <f t="shared" si="7"/>
        <v>0</v>
      </c>
      <c r="S57" s="69">
        <f t="shared" si="8"/>
        <v>0</v>
      </c>
      <c r="T57" s="58" t="str">
        <f>IFERROR(VLOOKUP(D57,'RJ ATTENDENCE SHEET'!$C:$S,17,0),"")</f>
        <v/>
      </c>
      <c r="U57" s="58">
        <f t="shared" si="9"/>
        <v>0</v>
      </c>
      <c r="V57" s="58">
        <f t="shared" si="10"/>
        <v>0</v>
      </c>
      <c r="W57" s="71"/>
      <c r="X57" s="249"/>
      <c r="Y57" s="47"/>
      <c r="Z57" s="47"/>
      <c r="AA57" s="47"/>
      <c r="AB57" s="47"/>
    </row>
    <row r="58" spans="1:28" ht="39.950000000000003" hidden="1" customHeight="1">
      <c r="A58" s="55">
        <v>50</v>
      </c>
      <c r="B58" s="55" t="str">
        <f>IFERROR(VLOOKUP(D58,'RJ ATTENDENCE SHEET'!$C:$D,2,0),"")</f>
        <v/>
      </c>
      <c r="C58" s="55" t="str">
        <f>IFERROR(VLOOKUP(D58,'DATA '!$D:$E,2,0),"")</f>
        <v/>
      </c>
      <c r="D58" s="56" t="str">
        <f>'DATA '!K52</f>
        <v/>
      </c>
      <c r="E58" s="57" t="str">
        <f t="shared" si="12"/>
        <v/>
      </c>
      <c r="F58" s="58" t="str">
        <f>IFERROR(VLOOKUP(D58,'RJ ATTENDENCE SHEET'!$C:$O,10,0),"")</f>
        <v/>
      </c>
      <c r="G58" s="58" t="str">
        <f>IFERROR(VLOOKUP(D58,'RJ ATTENDENCE SHEET'!$C:$O,11,0),"")</f>
        <v/>
      </c>
      <c r="H58" s="58" t="str">
        <f>IFERROR(VLOOKUP(D58,'RJ ATTENDENCE SHEET'!$C:$O,12,0),"")</f>
        <v/>
      </c>
      <c r="I58" s="58">
        <f t="shared" si="13"/>
        <v>0</v>
      </c>
      <c r="J58" s="62">
        <f>DAY(EOMONTH('RJ ATTENDENCE SHEET'!$A$1,0))</f>
        <v>31</v>
      </c>
      <c r="K58" s="63"/>
      <c r="L58" s="58" t="str">
        <f t="shared" si="14"/>
        <v/>
      </c>
      <c r="M58" s="58" t="str">
        <f t="shared" si="15"/>
        <v/>
      </c>
      <c r="N58" s="58" t="str">
        <f t="shared" si="16"/>
        <v/>
      </c>
      <c r="O58" s="58" t="str">
        <f>IFERROR(VLOOKUP(D58,WAGES!$C:$L,10,0)-L58-M58-N58,"")</f>
        <v/>
      </c>
      <c r="P58" s="62">
        <f t="shared" si="17"/>
        <v>0</v>
      </c>
      <c r="Q58" s="58" t="str">
        <f t="shared" si="6"/>
        <v>0</v>
      </c>
      <c r="R58" s="58">
        <f t="shared" si="7"/>
        <v>0</v>
      </c>
      <c r="S58" s="69">
        <f t="shared" si="8"/>
        <v>0</v>
      </c>
      <c r="T58" s="58" t="str">
        <f>IFERROR(VLOOKUP(D58,'RJ ATTENDENCE SHEET'!$C:$S,17,0),"")</f>
        <v/>
      </c>
      <c r="U58" s="58">
        <f t="shared" si="9"/>
        <v>0</v>
      </c>
      <c r="V58" s="58">
        <f t="shared" si="10"/>
        <v>0</v>
      </c>
      <c r="W58" s="71"/>
      <c r="X58" s="249"/>
      <c r="Y58" s="47"/>
      <c r="Z58" s="47"/>
      <c r="AA58" s="47"/>
      <c r="AB58" s="47"/>
    </row>
    <row r="59" spans="1:28" ht="39.950000000000003" hidden="1" customHeight="1">
      <c r="A59" s="55">
        <v>51</v>
      </c>
      <c r="B59" s="55" t="str">
        <f>IFERROR(VLOOKUP(D59,'RJ ATTENDENCE SHEET'!$C:$D,2,0),"")</f>
        <v/>
      </c>
      <c r="C59" s="55" t="str">
        <f>IFERROR(VLOOKUP(D59,'DATA '!$D:$E,2,0),"")</f>
        <v/>
      </c>
      <c r="D59" s="56" t="str">
        <f>'DATA '!K53</f>
        <v/>
      </c>
      <c r="E59" s="57" t="str">
        <f t="shared" si="12"/>
        <v/>
      </c>
      <c r="F59" s="58" t="str">
        <f>IFERROR(VLOOKUP(D59,'RJ ATTENDENCE SHEET'!$C:$O,10,0),"")</f>
        <v/>
      </c>
      <c r="G59" s="58" t="str">
        <f>IFERROR(VLOOKUP(D59,'RJ ATTENDENCE SHEET'!$C:$O,11,0),"")</f>
        <v/>
      </c>
      <c r="H59" s="58" t="str">
        <f>IFERROR(VLOOKUP(D59,'RJ ATTENDENCE SHEET'!$C:$O,12,0),"")</f>
        <v/>
      </c>
      <c r="I59" s="58">
        <f t="shared" si="13"/>
        <v>0</v>
      </c>
      <c r="J59" s="62">
        <f>DAY(EOMONTH('RJ ATTENDENCE SHEET'!$A$1,0))</f>
        <v>31</v>
      </c>
      <c r="K59" s="63"/>
      <c r="L59" s="58" t="str">
        <f t="shared" si="14"/>
        <v/>
      </c>
      <c r="M59" s="58" t="str">
        <f t="shared" si="15"/>
        <v/>
      </c>
      <c r="N59" s="58" t="str">
        <f t="shared" si="16"/>
        <v/>
      </c>
      <c r="O59" s="58" t="str">
        <f>IFERROR(VLOOKUP(D59,WAGES!$C:$L,10,0)-L59-M59-N59,"")</f>
        <v/>
      </c>
      <c r="P59" s="62">
        <f t="shared" si="17"/>
        <v>0</v>
      </c>
      <c r="Q59" s="58" t="str">
        <f t="shared" si="6"/>
        <v>0</v>
      </c>
      <c r="R59" s="58">
        <f t="shared" si="7"/>
        <v>0</v>
      </c>
      <c r="S59" s="69">
        <f t="shared" si="8"/>
        <v>0</v>
      </c>
      <c r="T59" s="58" t="str">
        <f>IFERROR(VLOOKUP(D59,'RJ ATTENDENCE SHEET'!$C:$S,17,0),"")</f>
        <v/>
      </c>
      <c r="U59" s="58">
        <f t="shared" si="9"/>
        <v>0</v>
      </c>
      <c r="V59" s="58">
        <f t="shared" si="10"/>
        <v>0</v>
      </c>
      <c r="W59" s="71"/>
      <c r="X59" s="249"/>
      <c r="Y59" s="47"/>
      <c r="Z59" s="47"/>
      <c r="AA59" s="47"/>
      <c r="AB59" s="47"/>
    </row>
    <row r="60" spans="1:28" ht="39.950000000000003" hidden="1" customHeight="1">
      <c r="A60" s="55">
        <v>52</v>
      </c>
      <c r="B60" s="55" t="str">
        <f>IFERROR(VLOOKUP(D60,'RJ ATTENDENCE SHEET'!$C:$D,2,0),"")</f>
        <v/>
      </c>
      <c r="C60" s="55" t="str">
        <f>IFERROR(VLOOKUP(D60,'DATA '!$D:$E,2,0),"")</f>
        <v/>
      </c>
      <c r="D60" s="56" t="str">
        <f>'DATA '!K54</f>
        <v/>
      </c>
      <c r="E60" s="57" t="str">
        <f t="shared" si="12"/>
        <v/>
      </c>
      <c r="F60" s="58" t="str">
        <f>IFERROR(VLOOKUP(D60,'RJ ATTENDENCE SHEET'!$C:$O,10,0),"")</f>
        <v/>
      </c>
      <c r="G60" s="58" t="str">
        <f>IFERROR(VLOOKUP(D60,'RJ ATTENDENCE SHEET'!$C:$O,11,0),"")</f>
        <v/>
      </c>
      <c r="H60" s="58" t="str">
        <f>IFERROR(VLOOKUP(D60,'RJ ATTENDENCE SHEET'!$C:$O,12,0),"")</f>
        <v/>
      </c>
      <c r="I60" s="58">
        <f t="shared" si="13"/>
        <v>0</v>
      </c>
      <c r="J60" s="62">
        <f>DAY(EOMONTH('RJ ATTENDENCE SHEET'!$A$1,0))</f>
        <v>31</v>
      </c>
      <c r="K60" s="63"/>
      <c r="L60" s="58" t="str">
        <f t="shared" si="14"/>
        <v/>
      </c>
      <c r="M60" s="58" t="str">
        <f t="shared" si="15"/>
        <v/>
      </c>
      <c r="N60" s="58" t="str">
        <f t="shared" si="16"/>
        <v/>
      </c>
      <c r="O60" s="58" t="str">
        <f>IFERROR(VLOOKUP(D60,WAGES!$C:$L,10,0)-L60-M60-N60,"")</f>
        <v/>
      </c>
      <c r="P60" s="62">
        <f t="shared" si="17"/>
        <v>0</v>
      </c>
      <c r="Q60" s="58" t="str">
        <f t="shared" si="6"/>
        <v>0</v>
      </c>
      <c r="R60" s="58">
        <f t="shared" si="7"/>
        <v>0</v>
      </c>
      <c r="S60" s="69">
        <f t="shared" si="8"/>
        <v>0</v>
      </c>
      <c r="T60" s="58" t="str">
        <f>IFERROR(VLOOKUP(D60,'RJ ATTENDENCE SHEET'!$C:$S,17,0),"")</f>
        <v/>
      </c>
      <c r="U60" s="58">
        <f t="shared" si="9"/>
        <v>0</v>
      </c>
      <c r="V60" s="58">
        <f t="shared" si="10"/>
        <v>0</v>
      </c>
      <c r="W60" s="71"/>
      <c r="X60" s="249"/>
      <c r="Y60" s="47"/>
      <c r="Z60" s="47"/>
      <c r="AA60" s="47"/>
      <c r="AB60" s="47"/>
    </row>
    <row r="61" spans="1:28" ht="39.950000000000003" hidden="1" customHeight="1">
      <c r="A61" s="55">
        <v>53</v>
      </c>
      <c r="B61" s="55" t="str">
        <f>IFERROR(VLOOKUP(D61,'RJ ATTENDENCE SHEET'!$C:$D,2,0),"")</f>
        <v/>
      </c>
      <c r="C61" s="55" t="str">
        <f>IFERROR(VLOOKUP(D61,'DATA '!$D:$E,2,0),"")</f>
        <v/>
      </c>
      <c r="D61" s="56" t="str">
        <f>'DATA '!K55</f>
        <v/>
      </c>
      <c r="E61" s="57" t="str">
        <f t="shared" si="12"/>
        <v/>
      </c>
      <c r="F61" s="58" t="str">
        <f>IFERROR(VLOOKUP(D61,'RJ ATTENDENCE SHEET'!$C:$O,10,0),"")</f>
        <v/>
      </c>
      <c r="G61" s="58" t="str">
        <f>IFERROR(VLOOKUP(D61,'RJ ATTENDENCE SHEET'!$C:$O,11,0),"")</f>
        <v/>
      </c>
      <c r="H61" s="58" t="str">
        <f>IFERROR(VLOOKUP(D61,'RJ ATTENDENCE SHEET'!$C:$O,12,0),"")</f>
        <v/>
      </c>
      <c r="I61" s="58">
        <f t="shared" si="13"/>
        <v>0</v>
      </c>
      <c r="J61" s="62">
        <f>DAY(EOMONTH('RJ ATTENDENCE SHEET'!$A$1,0))</f>
        <v>31</v>
      </c>
      <c r="K61" s="63"/>
      <c r="L61" s="58" t="str">
        <f t="shared" si="14"/>
        <v/>
      </c>
      <c r="M61" s="58" t="str">
        <f t="shared" si="15"/>
        <v/>
      </c>
      <c r="N61" s="58" t="str">
        <f t="shared" si="16"/>
        <v/>
      </c>
      <c r="O61" s="58" t="str">
        <f>IFERROR(VLOOKUP(D61,WAGES!$C:$L,10,0)-L61-M61-N61,"")</f>
        <v/>
      </c>
      <c r="P61" s="62">
        <f t="shared" si="17"/>
        <v>0</v>
      </c>
      <c r="Q61" s="58" t="str">
        <f t="shared" si="6"/>
        <v>0</v>
      </c>
      <c r="R61" s="58">
        <f t="shared" si="7"/>
        <v>0</v>
      </c>
      <c r="S61" s="69">
        <f t="shared" si="8"/>
        <v>0</v>
      </c>
      <c r="T61" s="58" t="str">
        <f>IFERROR(VLOOKUP(D61,'RJ ATTENDENCE SHEET'!$C:$S,17,0),"")</f>
        <v/>
      </c>
      <c r="U61" s="58">
        <f t="shared" si="9"/>
        <v>0</v>
      </c>
      <c r="V61" s="58">
        <f t="shared" si="10"/>
        <v>0</v>
      </c>
      <c r="W61" s="71"/>
      <c r="X61" s="249"/>
      <c r="Y61" s="47"/>
      <c r="Z61" s="47"/>
      <c r="AA61" s="47"/>
      <c r="AB61" s="47"/>
    </row>
    <row r="62" spans="1:28" ht="39.950000000000003" hidden="1" customHeight="1">
      <c r="A62" s="55">
        <v>54</v>
      </c>
      <c r="B62" s="55" t="str">
        <f>IFERROR(VLOOKUP(D62,'RJ ATTENDENCE SHEET'!$C:$D,2,0),"")</f>
        <v/>
      </c>
      <c r="C62" s="55" t="str">
        <f>IFERROR(VLOOKUP(D62,'DATA '!$D:$E,2,0),"")</f>
        <v/>
      </c>
      <c r="D62" s="56" t="str">
        <f>'DATA '!K56</f>
        <v/>
      </c>
      <c r="E62" s="57" t="str">
        <f t="shared" si="12"/>
        <v/>
      </c>
      <c r="F62" s="58" t="str">
        <f>IFERROR(VLOOKUP(D62,'RJ ATTENDENCE SHEET'!$C:$O,10,0),"")</f>
        <v/>
      </c>
      <c r="G62" s="58" t="str">
        <f>IFERROR(VLOOKUP(D62,'RJ ATTENDENCE SHEET'!$C:$O,11,0),"")</f>
        <v/>
      </c>
      <c r="H62" s="58" t="str">
        <f>IFERROR(VLOOKUP(D62,'RJ ATTENDENCE SHEET'!$C:$O,12,0),"")</f>
        <v/>
      </c>
      <c r="I62" s="58">
        <f t="shared" si="13"/>
        <v>0</v>
      </c>
      <c r="J62" s="62">
        <f>DAY(EOMONTH('RJ ATTENDENCE SHEET'!$A$1,0))</f>
        <v>31</v>
      </c>
      <c r="K62" s="63"/>
      <c r="L62" s="58" t="str">
        <f t="shared" si="14"/>
        <v/>
      </c>
      <c r="M62" s="58" t="str">
        <f t="shared" si="15"/>
        <v/>
      </c>
      <c r="N62" s="58" t="str">
        <f t="shared" si="16"/>
        <v/>
      </c>
      <c r="O62" s="58" t="str">
        <f>IFERROR(VLOOKUP(D62,WAGES!$C:$L,10,0)-L62-M62-N62,"")</f>
        <v/>
      </c>
      <c r="P62" s="62">
        <f t="shared" si="17"/>
        <v>0</v>
      </c>
      <c r="Q62" s="58" t="str">
        <f t="shared" si="6"/>
        <v>0</v>
      </c>
      <c r="R62" s="58">
        <f t="shared" si="7"/>
        <v>0</v>
      </c>
      <c r="S62" s="69">
        <f t="shared" si="8"/>
        <v>0</v>
      </c>
      <c r="T62" s="58" t="str">
        <f>IFERROR(VLOOKUP(D62,'RJ ATTENDENCE SHEET'!$C:$S,17,0),"")</f>
        <v/>
      </c>
      <c r="U62" s="58">
        <f t="shared" si="9"/>
        <v>0</v>
      </c>
      <c r="V62" s="58">
        <f t="shared" si="10"/>
        <v>0</v>
      </c>
      <c r="W62" s="71"/>
      <c r="X62" s="249"/>
      <c r="Y62" s="47"/>
      <c r="Z62" s="47"/>
      <c r="AA62" s="47"/>
      <c r="AB62" s="47"/>
    </row>
    <row r="63" spans="1:28" ht="39.950000000000003" hidden="1" customHeight="1">
      <c r="A63" s="55">
        <v>55</v>
      </c>
      <c r="B63" s="55" t="str">
        <f>IFERROR(VLOOKUP(D63,'RJ ATTENDENCE SHEET'!$C:$D,2,0),"")</f>
        <v/>
      </c>
      <c r="C63" s="55" t="str">
        <f>IFERROR(VLOOKUP(D63,'DATA '!$D:$E,2,0),"")</f>
        <v/>
      </c>
      <c r="D63" s="56" t="str">
        <f>'DATA '!K57</f>
        <v/>
      </c>
      <c r="E63" s="57" t="str">
        <f t="shared" si="12"/>
        <v/>
      </c>
      <c r="F63" s="58" t="str">
        <f>IFERROR(VLOOKUP(D63,'RJ ATTENDENCE SHEET'!$C:$O,10,0),"")</f>
        <v/>
      </c>
      <c r="G63" s="58" t="str">
        <f>IFERROR(VLOOKUP(D63,'RJ ATTENDENCE SHEET'!$C:$O,11,0),"")</f>
        <v/>
      </c>
      <c r="H63" s="58" t="str">
        <f>IFERROR(VLOOKUP(D63,'RJ ATTENDENCE SHEET'!$C:$O,12,0),"")</f>
        <v/>
      </c>
      <c r="I63" s="58">
        <f t="shared" si="13"/>
        <v>0</v>
      </c>
      <c r="J63" s="62">
        <f>DAY(EOMONTH('RJ ATTENDENCE SHEET'!$A$1,0))</f>
        <v>31</v>
      </c>
      <c r="K63" s="63"/>
      <c r="L63" s="58" t="str">
        <f t="shared" si="14"/>
        <v/>
      </c>
      <c r="M63" s="58" t="str">
        <f t="shared" si="15"/>
        <v/>
      </c>
      <c r="N63" s="58" t="str">
        <f t="shared" si="16"/>
        <v/>
      </c>
      <c r="O63" s="58" t="str">
        <f>IFERROR(VLOOKUP(D63,WAGES!$C:$L,10,0)-L63-M63-N63,"")</f>
        <v/>
      </c>
      <c r="P63" s="62">
        <f t="shared" si="17"/>
        <v>0</v>
      </c>
      <c r="Q63" s="58" t="str">
        <f t="shared" si="6"/>
        <v>0</v>
      </c>
      <c r="R63" s="58">
        <f t="shared" si="7"/>
        <v>0</v>
      </c>
      <c r="S63" s="69">
        <f t="shared" si="8"/>
        <v>0</v>
      </c>
      <c r="T63" s="58" t="str">
        <f>IFERROR(VLOOKUP(D63,'RJ ATTENDENCE SHEET'!$C:$S,17,0),"")</f>
        <v/>
      </c>
      <c r="U63" s="58">
        <f t="shared" si="9"/>
        <v>0</v>
      </c>
      <c r="V63" s="58">
        <f t="shared" si="10"/>
        <v>0</v>
      </c>
      <c r="W63" s="71"/>
      <c r="X63" s="249"/>
      <c r="Y63" s="47"/>
      <c r="Z63" s="47"/>
      <c r="AA63" s="47"/>
      <c r="AB63" s="47"/>
    </row>
    <row r="64" spans="1:28" ht="39.950000000000003" hidden="1" customHeight="1">
      <c r="A64" s="55">
        <v>56</v>
      </c>
      <c r="B64" s="55" t="str">
        <f>IFERROR(VLOOKUP(D64,'RJ ATTENDENCE SHEET'!$C:$D,2,0),"")</f>
        <v/>
      </c>
      <c r="C64" s="55" t="str">
        <f>IFERROR(VLOOKUP(D64,'DATA '!$D:$E,2,0),"")</f>
        <v/>
      </c>
      <c r="D64" s="56" t="str">
        <f>'DATA '!K58</f>
        <v/>
      </c>
      <c r="E64" s="57" t="str">
        <f t="shared" si="12"/>
        <v/>
      </c>
      <c r="F64" s="58" t="str">
        <f>IFERROR(VLOOKUP(D64,'RJ ATTENDENCE SHEET'!$C:$O,10,0),"")</f>
        <v/>
      </c>
      <c r="G64" s="58" t="str">
        <f>IFERROR(VLOOKUP(D64,'RJ ATTENDENCE SHEET'!$C:$O,11,0),"")</f>
        <v/>
      </c>
      <c r="H64" s="58" t="str">
        <f>IFERROR(VLOOKUP(D64,'RJ ATTENDENCE SHEET'!$C:$O,12,0),"")</f>
        <v/>
      </c>
      <c r="I64" s="58">
        <f t="shared" si="13"/>
        <v>0</v>
      </c>
      <c r="J64" s="62">
        <f>DAY(EOMONTH('RJ ATTENDENCE SHEET'!$A$1,0))</f>
        <v>31</v>
      </c>
      <c r="K64" s="63"/>
      <c r="L64" s="58" t="str">
        <f t="shared" si="14"/>
        <v/>
      </c>
      <c r="M64" s="58" t="str">
        <f t="shared" si="15"/>
        <v/>
      </c>
      <c r="N64" s="58" t="str">
        <f t="shared" si="16"/>
        <v/>
      </c>
      <c r="O64" s="58" t="str">
        <f>IFERROR(VLOOKUP(D64,WAGES!$C:$L,10,0)-L64-M64-N64,"")</f>
        <v/>
      </c>
      <c r="P64" s="62">
        <f t="shared" si="17"/>
        <v>0</v>
      </c>
      <c r="Q64" s="58" t="str">
        <f t="shared" si="6"/>
        <v>0</v>
      </c>
      <c r="R64" s="58">
        <f t="shared" si="7"/>
        <v>0</v>
      </c>
      <c r="S64" s="69">
        <f t="shared" si="8"/>
        <v>0</v>
      </c>
      <c r="T64" s="58" t="str">
        <f>IFERROR(VLOOKUP(D64,'RJ ATTENDENCE SHEET'!$C:$S,17,0),"")</f>
        <v/>
      </c>
      <c r="U64" s="58">
        <f t="shared" si="9"/>
        <v>0</v>
      </c>
      <c r="V64" s="58">
        <f t="shared" si="10"/>
        <v>0</v>
      </c>
      <c r="W64" s="71"/>
      <c r="X64" s="249"/>
      <c r="Y64" s="47"/>
      <c r="Z64" s="47"/>
      <c r="AA64" s="47"/>
      <c r="AB64" s="47"/>
    </row>
    <row r="65" spans="1:28" ht="39.950000000000003" hidden="1" customHeight="1">
      <c r="A65" s="55">
        <v>57</v>
      </c>
      <c r="B65" s="55" t="str">
        <f>IFERROR(VLOOKUP(D65,'RJ ATTENDENCE SHEET'!$C:$D,2,0),"")</f>
        <v/>
      </c>
      <c r="C65" s="55" t="str">
        <f>IFERROR(VLOOKUP(D65,'DATA '!$D:$E,2,0),"")</f>
        <v/>
      </c>
      <c r="D65" s="56" t="str">
        <f>'DATA '!K59</f>
        <v/>
      </c>
      <c r="E65" s="57" t="str">
        <f t="shared" si="12"/>
        <v/>
      </c>
      <c r="F65" s="58" t="str">
        <f>IFERROR(VLOOKUP(D65,'RJ ATTENDENCE SHEET'!$C:$O,10,0),"")</f>
        <v/>
      </c>
      <c r="G65" s="58" t="str">
        <f>IFERROR(VLOOKUP(D65,'RJ ATTENDENCE SHEET'!$C:$O,11,0),"")</f>
        <v/>
      </c>
      <c r="H65" s="58" t="str">
        <f>IFERROR(VLOOKUP(D65,'RJ ATTENDENCE SHEET'!$C:$O,12,0),"")</f>
        <v/>
      </c>
      <c r="I65" s="58">
        <f t="shared" si="13"/>
        <v>0</v>
      </c>
      <c r="J65" s="62">
        <f>DAY(EOMONTH('RJ ATTENDENCE SHEET'!$A$1,0))</f>
        <v>31</v>
      </c>
      <c r="K65" s="63"/>
      <c r="L65" s="58" t="str">
        <f t="shared" si="14"/>
        <v/>
      </c>
      <c r="M65" s="58" t="str">
        <f t="shared" si="15"/>
        <v/>
      </c>
      <c r="N65" s="58" t="str">
        <f t="shared" si="16"/>
        <v/>
      </c>
      <c r="O65" s="58" t="str">
        <f>IFERROR(VLOOKUP(D65,WAGES!$C:$L,10,0)-L65-M65-N65,"")</f>
        <v/>
      </c>
      <c r="P65" s="62">
        <f t="shared" si="17"/>
        <v>0</v>
      </c>
      <c r="Q65" s="58" t="str">
        <f t="shared" si="6"/>
        <v>0</v>
      </c>
      <c r="R65" s="58">
        <f t="shared" si="7"/>
        <v>0</v>
      </c>
      <c r="S65" s="69">
        <f t="shared" si="8"/>
        <v>0</v>
      </c>
      <c r="T65" s="58" t="str">
        <f>IFERROR(VLOOKUP(D65,'RJ ATTENDENCE SHEET'!$C:$S,17,0),"")</f>
        <v/>
      </c>
      <c r="U65" s="58">
        <f t="shared" si="9"/>
        <v>0</v>
      </c>
      <c r="V65" s="58">
        <f t="shared" si="10"/>
        <v>0</v>
      </c>
      <c r="W65" s="71"/>
      <c r="X65" s="249"/>
      <c r="Y65" s="47"/>
      <c r="Z65" s="47"/>
      <c r="AA65" s="47"/>
      <c r="AB65" s="47"/>
    </row>
    <row r="66" spans="1:28" ht="39.950000000000003" hidden="1" customHeight="1">
      <c r="A66" s="55">
        <v>58</v>
      </c>
      <c r="B66" s="55" t="str">
        <f>IFERROR(VLOOKUP(D66,'RJ ATTENDENCE SHEET'!$C:$D,2,0),"")</f>
        <v/>
      </c>
      <c r="C66" s="55" t="str">
        <f>IFERROR(VLOOKUP(D66,'DATA '!$D:$E,2,0),"")</f>
        <v/>
      </c>
      <c r="D66" s="56" t="str">
        <f>'DATA '!K60</f>
        <v/>
      </c>
      <c r="E66" s="57" t="str">
        <f t="shared" si="12"/>
        <v/>
      </c>
      <c r="F66" s="58" t="str">
        <f>IFERROR(VLOOKUP(D66,'RJ ATTENDENCE SHEET'!$C:$O,10,0),"")</f>
        <v/>
      </c>
      <c r="G66" s="58" t="str">
        <f>IFERROR(VLOOKUP(D66,'RJ ATTENDENCE SHEET'!$C:$O,11,0),"")</f>
        <v/>
      </c>
      <c r="H66" s="58" t="str">
        <f>IFERROR(VLOOKUP(D66,'RJ ATTENDENCE SHEET'!$C:$O,12,0),"")</f>
        <v/>
      </c>
      <c r="I66" s="58">
        <f t="shared" si="13"/>
        <v>0</v>
      </c>
      <c r="J66" s="62">
        <f>DAY(EOMONTH('RJ ATTENDENCE SHEET'!$A$1,0))</f>
        <v>31</v>
      </c>
      <c r="K66" s="63"/>
      <c r="L66" s="58" t="str">
        <f t="shared" si="14"/>
        <v/>
      </c>
      <c r="M66" s="58" t="str">
        <f t="shared" si="15"/>
        <v/>
      </c>
      <c r="N66" s="58" t="str">
        <f t="shared" si="16"/>
        <v/>
      </c>
      <c r="O66" s="58" t="str">
        <f>IFERROR(VLOOKUP(D66,WAGES!$C:$L,10,0)-L66-M66-N66,"")</f>
        <v/>
      </c>
      <c r="P66" s="62">
        <f t="shared" si="17"/>
        <v>0</v>
      </c>
      <c r="Q66" s="58" t="str">
        <f t="shared" si="6"/>
        <v>0</v>
      </c>
      <c r="R66" s="58">
        <f t="shared" si="7"/>
        <v>0</v>
      </c>
      <c r="S66" s="69">
        <f t="shared" si="8"/>
        <v>0</v>
      </c>
      <c r="T66" s="58" t="str">
        <f>IFERROR(VLOOKUP(D66,'RJ ATTENDENCE SHEET'!$C:$S,17,0),"")</f>
        <v/>
      </c>
      <c r="U66" s="58">
        <f t="shared" si="9"/>
        <v>0</v>
      </c>
      <c r="V66" s="58">
        <f t="shared" si="10"/>
        <v>0</v>
      </c>
      <c r="W66" s="71"/>
      <c r="X66" s="249"/>
      <c r="Y66" s="47"/>
      <c r="Z66" s="47"/>
      <c r="AA66" s="47"/>
      <c r="AB66" s="47"/>
    </row>
    <row r="67" spans="1:28" ht="39.950000000000003" hidden="1" customHeight="1">
      <c r="A67" s="55">
        <v>59</v>
      </c>
      <c r="B67" s="55" t="str">
        <f>IFERROR(VLOOKUP(D67,'RJ ATTENDENCE SHEET'!$C:$D,2,0),"")</f>
        <v/>
      </c>
      <c r="C67" s="55" t="str">
        <f>IFERROR(VLOOKUP(D67,'DATA '!$D:$E,2,0),"")</f>
        <v/>
      </c>
      <c r="D67" s="56" t="str">
        <f>'DATA '!K61</f>
        <v/>
      </c>
      <c r="E67" s="57" t="str">
        <f t="shared" si="12"/>
        <v/>
      </c>
      <c r="F67" s="58" t="str">
        <f>IFERROR(VLOOKUP(D67,'RJ ATTENDENCE SHEET'!$C:$O,10,0),"")</f>
        <v/>
      </c>
      <c r="G67" s="58" t="str">
        <f>IFERROR(VLOOKUP(D67,'RJ ATTENDENCE SHEET'!$C:$O,11,0),"")</f>
        <v/>
      </c>
      <c r="H67" s="58" t="str">
        <f>IFERROR(VLOOKUP(D67,'RJ ATTENDENCE SHEET'!$C:$O,12,0),"")</f>
        <v/>
      </c>
      <c r="I67" s="58">
        <f t="shared" si="13"/>
        <v>0</v>
      </c>
      <c r="J67" s="62">
        <f>DAY(EOMONTH('RJ ATTENDENCE SHEET'!$A$1,0))</f>
        <v>31</v>
      </c>
      <c r="K67" s="63"/>
      <c r="L67" s="58" t="str">
        <f t="shared" si="14"/>
        <v/>
      </c>
      <c r="M67" s="58" t="str">
        <f t="shared" si="15"/>
        <v/>
      </c>
      <c r="N67" s="58" t="str">
        <f t="shared" si="16"/>
        <v/>
      </c>
      <c r="O67" s="58" t="str">
        <f>IFERROR(VLOOKUP(D67,WAGES!$C:$L,10,0)-L67-M67-N67,"")</f>
        <v/>
      </c>
      <c r="P67" s="62">
        <f t="shared" si="17"/>
        <v>0</v>
      </c>
      <c r="Q67" s="58" t="str">
        <f t="shared" si="6"/>
        <v>0</v>
      </c>
      <c r="R67" s="58">
        <f t="shared" si="7"/>
        <v>0</v>
      </c>
      <c r="S67" s="69">
        <f t="shared" si="8"/>
        <v>0</v>
      </c>
      <c r="T67" s="58" t="str">
        <f>IFERROR(VLOOKUP(D67,'RJ ATTENDENCE SHEET'!$C:$S,17,0),"")</f>
        <v/>
      </c>
      <c r="U67" s="58">
        <f t="shared" si="9"/>
        <v>0</v>
      </c>
      <c r="V67" s="58">
        <f t="shared" si="10"/>
        <v>0</v>
      </c>
      <c r="W67" s="71"/>
      <c r="X67" s="249"/>
      <c r="Y67" s="47"/>
      <c r="Z67" s="47"/>
      <c r="AA67" s="47"/>
      <c r="AB67" s="47"/>
    </row>
    <row r="68" spans="1:28" ht="39.950000000000003" hidden="1" customHeight="1">
      <c r="A68" s="55">
        <v>60</v>
      </c>
      <c r="B68" s="55" t="str">
        <f>IFERROR(VLOOKUP(D68,'RJ ATTENDENCE SHEET'!$C:$D,2,0),"")</f>
        <v/>
      </c>
      <c r="C68" s="55" t="str">
        <f>IFERROR(VLOOKUP(D68,'DATA '!$D:$E,2,0),"")</f>
        <v/>
      </c>
      <c r="D68" s="56" t="str">
        <f>'DATA '!K62</f>
        <v/>
      </c>
      <c r="E68" s="57" t="str">
        <f t="shared" si="12"/>
        <v/>
      </c>
      <c r="F68" s="58" t="str">
        <f>IFERROR(VLOOKUP(D68,'RJ ATTENDENCE SHEET'!$C:$O,10,0),"")</f>
        <v/>
      </c>
      <c r="G68" s="58" t="str">
        <f>IFERROR(VLOOKUP(D68,'RJ ATTENDENCE SHEET'!$C:$O,11,0),"")</f>
        <v/>
      </c>
      <c r="H68" s="58" t="str">
        <f>IFERROR(VLOOKUP(D68,'RJ ATTENDENCE SHEET'!$C:$O,12,0),"")</f>
        <v/>
      </c>
      <c r="I68" s="58">
        <f t="shared" si="13"/>
        <v>0</v>
      </c>
      <c r="J68" s="62">
        <f>DAY(EOMONTH('RJ ATTENDENCE SHEET'!$A$1,0))</f>
        <v>31</v>
      </c>
      <c r="K68" s="63"/>
      <c r="L68" s="58" t="str">
        <f t="shared" si="14"/>
        <v/>
      </c>
      <c r="M68" s="58" t="str">
        <f t="shared" si="15"/>
        <v/>
      </c>
      <c r="N68" s="58" t="str">
        <f t="shared" si="16"/>
        <v/>
      </c>
      <c r="O68" s="58" t="str">
        <f>IFERROR(VLOOKUP(D68,WAGES!$C:$L,10,0)-L68-M68-N68,"")</f>
        <v/>
      </c>
      <c r="P68" s="62">
        <f t="shared" si="17"/>
        <v>0</v>
      </c>
      <c r="Q68" s="58" t="str">
        <f t="shared" si="6"/>
        <v>0</v>
      </c>
      <c r="R68" s="58">
        <f t="shared" si="7"/>
        <v>0</v>
      </c>
      <c r="S68" s="69">
        <f t="shared" si="8"/>
        <v>0</v>
      </c>
      <c r="T68" s="58" t="str">
        <f>IFERROR(VLOOKUP(D68,'RJ ATTENDENCE SHEET'!$C:$S,17,0),"")</f>
        <v/>
      </c>
      <c r="U68" s="58">
        <f t="shared" si="9"/>
        <v>0</v>
      </c>
      <c r="V68" s="58">
        <f t="shared" si="10"/>
        <v>0</v>
      </c>
      <c r="W68" s="71"/>
      <c r="X68" s="249"/>
      <c r="Y68" s="47"/>
      <c r="Z68" s="47"/>
      <c r="AA68" s="47"/>
      <c r="AB68" s="47"/>
    </row>
    <row r="69" spans="1:28" ht="39.950000000000003" hidden="1" customHeight="1">
      <c r="A69" s="55">
        <v>61</v>
      </c>
      <c r="B69" s="55" t="str">
        <f>IFERROR(VLOOKUP(D69,'RJ ATTENDENCE SHEET'!$C:$D,2,0),"")</f>
        <v/>
      </c>
      <c r="C69" s="55" t="str">
        <f>IFERROR(VLOOKUP(D69,'DATA '!$D:$E,2,0),"")</f>
        <v/>
      </c>
      <c r="D69" s="56" t="str">
        <f>'DATA '!K63</f>
        <v/>
      </c>
      <c r="E69" s="57" t="str">
        <f t="shared" si="12"/>
        <v/>
      </c>
      <c r="F69" s="58" t="str">
        <f>IFERROR(VLOOKUP(D69,'RJ ATTENDENCE SHEET'!$C:$O,10,0),"")</f>
        <v/>
      </c>
      <c r="G69" s="58" t="str">
        <f>IFERROR(VLOOKUP(D69,'RJ ATTENDENCE SHEET'!$C:$O,11,0),"")</f>
        <v/>
      </c>
      <c r="H69" s="58" t="str">
        <f>IFERROR(VLOOKUP(D69,'RJ ATTENDENCE SHEET'!$C:$O,12,0),"")</f>
        <v/>
      </c>
      <c r="I69" s="58">
        <f t="shared" si="13"/>
        <v>0</v>
      </c>
      <c r="J69" s="62">
        <f>DAY(EOMONTH('RJ ATTENDENCE SHEET'!$A$1,0))</f>
        <v>31</v>
      </c>
      <c r="K69" s="63"/>
      <c r="L69" s="58" t="str">
        <f t="shared" si="14"/>
        <v/>
      </c>
      <c r="M69" s="58" t="str">
        <f t="shared" si="15"/>
        <v/>
      </c>
      <c r="N69" s="58" t="str">
        <f t="shared" si="16"/>
        <v/>
      </c>
      <c r="O69" s="58" t="str">
        <f>IFERROR(VLOOKUP(D69,WAGES!$C:$L,10,0)-L69-M69-N69,"")</f>
        <v/>
      </c>
      <c r="P69" s="62">
        <f t="shared" si="17"/>
        <v>0</v>
      </c>
      <c r="Q69" s="58" t="str">
        <f t="shared" si="6"/>
        <v>0</v>
      </c>
      <c r="R69" s="58">
        <f t="shared" si="7"/>
        <v>0</v>
      </c>
      <c r="S69" s="69">
        <f t="shared" si="8"/>
        <v>0</v>
      </c>
      <c r="T69" s="58" t="str">
        <f>IFERROR(VLOOKUP(D69,'RJ ATTENDENCE SHEET'!$C:$S,17,0),"")</f>
        <v/>
      </c>
      <c r="U69" s="58">
        <f t="shared" si="9"/>
        <v>0</v>
      </c>
      <c r="V69" s="58">
        <f t="shared" si="10"/>
        <v>0</v>
      </c>
      <c r="W69" s="71"/>
      <c r="X69" s="249"/>
      <c r="Y69" s="47"/>
      <c r="Z69" s="47"/>
      <c r="AA69" s="47"/>
      <c r="AB69" s="47"/>
    </row>
    <row r="70" spans="1:28" ht="39.950000000000003" hidden="1" customHeight="1">
      <c r="A70" s="55">
        <v>62</v>
      </c>
      <c r="B70" s="55" t="str">
        <f>IFERROR(VLOOKUP(D70,'RJ ATTENDENCE SHEET'!$C:$D,2,0),"")</f>
        <v/>
      </c>
      <c r="C70" s="55" t="str">
        <f>IFERROR(VLOOKUP(D70,'DATA '!$D:$E,2,0),"")</f>
        <v/>
      </c>
      <c r="D70" s="56" t="str">
        <f>'DATA '!K64</f>
        <v/>
      </c>
      <c r="E70" s="57" t="str">
        <f t="shared" si="12"/>
        <v/>
      </c>
      <c r="F70" s="58" t="str">
        <f>IFERROR(VLOOKUP(D70,'RJ ATTENDENCE SHEET'!$C:$O,10,0),"")</f>
        <v/>
      </c>
      <c r="G70" s="58" t="str">
        <f>IFERROR(VLOOKUP(D70,'RJ ATTENDENCE SHEET'!$C:$O,11,0),"")</f>
        <v/>
      </c>
      <c r="H70" s="58" t="str">
        <f>IFERROR(VLOOKUP(D70,'RJ ATTENDENCE SHEET'!$C:$O,12,0),"")</f>
        <v/>
      </c>
      <c r="I70" s="58">
        <f t="shared" si="13"/>
        <v>0</v>
      </c>
      <c r="J70" s="62">
        <f>DAY(EOMONTH('RJ ATTENDENCE SHEET'!$A$1,0))</f>
        <v>31</v>
      </c>
      <c r="K70" s="63"/>
      <c r="L70" s="58" t="str">
        <f t="shared" si="14"/>
        <v/>
      </c>
      <c r="M70" s="58" t="str">
        <f t="shared" si="15"/>
        <v/>
      </c>
      <c r="N70" s="58" t="str">
        <f t="shared" si="16"/>
        <v/>
      </c>
      <c r="O70" s="58" t="str">
        <f>IFERROR(VLOOKUP(D70,WAGES!$C:$L,10,0)-L70-M70-N70,"")</f>
        <v/>
      </c>
      <c r="P70" s="62">
        <f t="shared" si="17"/>
        <v>0</v>
      </c>
      <c r="Q70" s="58" t="str">
        <f t="shared" si="6"/>
        <v>0</v>
      </c>
      <c r="R70" s="58">
        <f t="shared" si="7"/>
        <v>0</v>
      </c>
      <c r="S70" s="69">
        <f t="shared" si="8"/>
        <v>0</v>
      </c>
      <c r="T70" s="58" t="str">
        <f>IFERROR(VLOOKUP(D70,'RJ ATTENDENCE SHEET'!$C:$S,17,0),"")</f>
        <v/>
      </c>
      <c r="U70" s="58">
        <f t="shared" si="9"/>
        <v>0</v>
      </c>
      <c r="V70" s="58">
        <f t="shared" si="10"/>
        <v>0</v>
      </c>
      <c r="W70" s="71"/>
      <c r="X70" s="249"/>
      <c r="Y70" s="47"/>
      <c r="Z70" s="47"/>
      <c r="AA70" s="47"/>
      <c r="AB70" s="47"/>
    </row>
    <row r="71" spans="1:28" ht="39.950000000000003" hidden="1" customHeight="1">
      <c r="A71" s="55">
        <v>63</v>
      </c>
      <c r="B71" s="55" t="str">
        <f>IFERROR(VLOOKUP(D71,'RJ ATTENDENCE SHEET'!$C:$D,2,0),"")</f>
        <v/>
      </c>
      <c r="C71" s="55" t="str">
        <f>IFERROR(VLOOKUP(D71,'DATA '!$D:$E,2,0),"")</f>
        <v/>
      </c>
      <c r="D71" s="56" t="str">
        <f>'DATA '!K65</f>
        <v/>
      </c>
      <c r="E71" s="57" t="str">
        <f t="shared" si="12"/>
        <v/>
      </c>
      <c r="F71" s="58" t="str">
        <f>IFERROR(VLOOKUP(D71,'RJ ATTENDENCE SHEET'!$C:$O,10,0),"")</f>
        <v/>
      </c>
      <c r="G71" s="58" t="str">
        <f>IFERROR(VLOOKUP(D71,'RJ ATTENDENCE SHEET'!$C:$O,11,0),"")</f>
        <v/>
      </c>
      <c r="H71" s="58" t="str">
        <f>IFERROR(VLOOKUP(D71,'RJ ATTENDENCE SHEET'!$C:$O,12,0),"")</f>
        <v/>
      </c>
      <c r="I71" s="58">
        <f t="shared" si="13"/>
        <v>0</v>
      </c>
      <c r="J71" s="62">
        <f>DAY(EOMONTH('RJ ATTENDENCE SHEET'!$A$1,0))</f>
        <v>31</v>
      </c>
      <c r="K71" s="63"/>
      <c r="L71" s="58" t="str">
        <f t="shared" si="14"/>
        <v/>
      </c>
      <c r="M71" s="58" t="str">
        <f t="shared" si="15"/>
        <v/>
      </c>
      <c r="N71" s="58" t="str">
        <f t="shared" si="16"/>
        <v/>
      </c>
      <c r="O71" s="58" t="str">
        <f>IFERROR(VLOOKUP(D71,WAGES!$C:$L,10,0)-L71-M71-N71,"")</f>
        <v/>
      </c>
      <c r="P71" s="62">
        <f t="shared" si="17"/>
        <v>0</v>
      </c>
      <c r="Q71" s="58" t="str">
        <f t="shared" si="6"/>
        <v>0</v>
      </c>
      <c r="R71" s="58">
        <f t="shared" si="7"/>
        <v>0</v>
      </c>
      <c r="S71" s="69">
        <f t="shared" si="8"/>
        <v>0</v>
      </c>
      <c r="T71" s="58" t="str">
        <f>IFERROR(VLOOKUP(D71,'RJ ATTENDENCE SHEET'!$C:$S,17,0),"")</f>
        <v/>
      </c>
      <c r="U71" s="58">
        <f t="shared" si="9"/>
        <v>0</v>
      </c>
      <c r="V71" s="58">
        <f t="shared" si="10"/>
        <v>0</v>
      </c>
      <c r="W71" s="71"/>
      <c r="X71" s="249"/>
      <c r="Y71" s="47"/>
      <c r="Z71" s="47"/>
      <c r="AA71" s="47"/>
      <c r="AB71" s="47"/>
    </row>
    <row r="72" spans="1:28" ht="39.950000000000003" hidden="1" customHeight="1">
      <c r="A72" s="55">
        <v>64</v>
      </c>
      <c r="B72" s="55" t="str">
        <f>IFERROR(VLOOKUP(D72,'RJ ATTENDENCE SHEET'!$C:$D,2,0),"")</f>
        <v/>
      </c>
      <c r="C72" s="55" t="str">
        <f>IFERROR(VLOOKUP(D72,'DATA '!$D:$E,2,0),"")</f>
        <v/>
      </c>
      <c r="D72" s="56" t="str">
        <f>'DATA '!K66</f>
        <v/>
      </c>
      <c r="E72" s="57" t="str">
        <f t="shared" si="12"/>
        <v/>
      </c>
      <c r="F72" s="58" t="str">
        <f>IFERROR(VLOOKUP(D72,'RJ ATTENDENCE SHEET'!$C:$O,10,0),"")</f>
        <v/>
      </c>
      <c r="G72" s="58" t="str">
        <f>IFERROR(VLOOKUP(D72,'RJ ATTENDENCE SHEET'!$C:$O,11,0),"")</f>
        <v/>
      </c>
      <c r="H72" s="58" t="str">
        <f>IFERROR(VLOOKUP(D72,'RJ ATTENDENCE SHEET'!$C:$O,12,0),"")</f>
        <v/>
      </c>
      <c r="I72" s="58">
        <f t="shared" si="13"/>
        <v>0</v>
      </c>
      <c r="J72" s="62">
        <f>DAY(EOMONTH('RJ ATTENDENCE SHEET'!$A$1,0))</f>
        <v>31</v>
      </c>
      <c r="K72" s="63"/>
      <c r="L72" s="58" t="str">
        <f t="shared" si="14"/>
        <v/>
      </c>
      <c r="M72" s="58" t="str">
        <f t="shared" si="15"/>
        <v/>
      </c>
      <c r="N72" s="58" t="str">
        <f t="shared" si="16"/>
        <v/>
      </c>
      <c r="O72" s="58" t="str">
        <f>IFERROR(VLOOKUP(D72,WAGES!$C:$L,10,0)-L72-M72-N72,"")</f>
        <v/>
      </c>
      <c r="P72" s="62">
        <f t="shared" si="17"/>
        <v>0</v>
      </c>
      <c r="Q72" s="58" t="str">
        <f t="shared" si="6"/>
        <v>0</v>
      </c>
      <c r="R72" s="58">
        <f t="shared" si="7"/>
        <v>0</v>
      </c>
      <c r="S72" s="69">
        <f t="shared" si="8"/>
        <v>0</v>
      </c>
      <c r="T72" s="58" t="str">
        <f>IFERROR(VLOOKUP(D72,'RJ ATTENDENCE SHEET'!$C:$S,17,0),"")</f>
        <v/>
      </c>
      <c r="U72" s="58">
        <f t="shared" si="9"/>
        <v>0</v>
      </c>
      <c r="V72" s="58">
        <f t="shared" si="10"/>
        <v>0</v>
      </c>
      <c r="W72" s="71"/>
      <c r="X72" s="249"/>
      <c r="Y72" s="47"/>
      <c r="Z72" s="47"/>
      <c r="AA72" s="47"/>
      <c r="AB72" s="47"/>
    </row>
    <row r="73" spans="1:28" ht="39.950000000000003" hidden="1" customHeight="1">
      <c r="A73" s="55">
        <v>65</v>
      </c>
      <c r="B73" s="55" t="str">
        <f>IFERROR(VLOOKUP(D73,'RJ ATTENDENCE SHEET'!$C:$D,2,0),"")</f>
        <v/>
      </c>
      <c r="C73" s="55" t="str">
        <f>IFERROR(VLOOKUP(D73,'DATA '!$D:$E,2,0),"")</f>
        <v/>
      </c>
      <c r="D73" s="56" t="str">
        <f>'DATA '!K67</f>
        <v/>
      </c>
      <c r="E73" s="57" t="str">
        <f t="shared" si="12"/>
        <v/>
      </c>
      <c r="F73" s="58" t="str">
        <f>IFERROR(VLOOKUP(D73,'RJ ATTENDENCE SHEET'!$C:$O,10,0),"")</f>
        <v/>
      </c>
      <c r="G73" s="58" t="str">
        <f>IFERROR(VLOOKUP(D73,'RJ ATTENDENCE SHEET'!$C:$O,11,0),"")</f>
        <v/>
      </c>
      <c r="H73" s="58" t="str">
        <f>IFERROR(VLOOKUP(D73,'RJ ATTENDENCE SHEET'!$C:$O,12,0),"")</f>
        <v/>
      </c>
      <c r="I73" s="58">
        <f t="shared" si="13"/>
        <v>0</v>
      </c>
      <c r="J73" s="62">
        <f>DAY(EOMONTH('RJ ATTENDENCE SHEET'!$A$1,0))</f>
        <v>31</v>
      </c>
      <c r="K73" s="63"/>
      <c r="L73" s="58" t="str">
        <f t="shared" si="14"/>
        <v/>
      </c>
      <c r="M73" s="58" t="str">
        <f t="shared" si="15"/>
        <v/>
      </c>
      <c r="N73" s="58" t="str">
        <f t="shared" si="16"/>
        <v/>
      </c>
      <c r="O73" s="58" t="str">
        <f>IFERROR(VLOOKUP(D73,WAGES!$C:$L,10,0)-L73-M73-N73,"")</f>
        <v/>
      </c>
      <c r="P73" s="62">
        <f t="shared" si="17"/>
        <v>0</v>
      </c>
      <c r="Q73" s="58" t="str">
        <f t="shared" si="6"/>
        <v>0</v>
      </c>
      <c r="R73" s="58">
        <f t="shared" si="7"/>
        <v>0</v>
      </c>
      <c r="S73" s="69">
        <f t="shared" si="8"/>
        <v>0</v>
      </c>
      <c r="T73" s="58" t="str">
        <f>IFERROR(VLOOKUP(D73,'RJ ATTENDENCE SHEET'!$C:$S,17,0),"")</f>
        <v/>
      </c>
      <c r="U73" s="58">
        <f t="shared" si="9"/>
        <v>0</v>
      </c>
      <c r="V73" s="58">
        <f t="shared" si="10"/>
        <v>0</v>
      </c>
      <c r="W73" s="71"/>
      <c r="X73" s="249"/>
      <c r="Y73" s="47"/>
      <c r="Z73" s="47"/>
      <c r="AA73" s="47"/>
      <c r="AB73" s="47"/>
    </row>
    <row r="74" spans="1:28" ht="39.950000000000003" hidden="1" customHeight="1">
      <c r="A74" s="55">
        <v>66</v>
      </c>
      <c r="B74" s="55" t="str">
        <f>IFERROR(VLOOKUP(D74,'RJ ATTENDENCE SHEET'!$C:$D,2,0),"")</f>
        <v/>
      </c>
      <c r="C74" s="55" t="str">
        <f>IFERROR(VLOOKUP(D74,'DATA '!$D:$E,2,0),"")</f>
        <v/>
      </c>
      <c r="D74" s="56" t="str">
        <f>'DATA '!K68</f>
        <v/>
      </c>
      <c r="E74" s="57" t="str">
        <f t="shared" si="12"/>
        <v/>
      </c>
      <c r="F74" s="58" t="str">
        <f>IFERROR(VLOOKUP(D74,'RJ ATTENDENCE SHEET'!$C:$O,10,0),"")</f>
        <v/>
      </c>
      <c r="G74" s="58" t="str">
        <f>IFERROR(VLOOKUP(D74,'RJ ATTENDENCE SHEET'!$C:$O,11,0),"")</f>
        <v/>
      </c>
      <c r="H74" s="58" t="str">
        <f>IFERROR(VLOOKUP(D74,'RJ ATTENDENCE SHEET'!$C:$O,12,0),"")</f>
        <v/>
      </c>
      <c r="I74" s="58">
        <f t="shared" si="13"/>
        <v>0</v>
      </c>
      <c r="J74" s="62">
        <f>DAY(EOMONTH('RJ ATTENDENCE SHEET'!$A$1,0))</f>
        <v>31</v>
      </c>
      <c r="K74" s="63"/>
      <c r="L74" s="58" t="str">
        <f t="shared" si="14"/>
        <v/>
      </c>
      <c r="M74" s="58" t="str">
        <f t="shared" si="15"/>
        <v/>
      </c>
      <c r="N74" s="58" t="str">
        <f t="shared" si="16"/>
        <v/>
      </c>
      <c r="O74" s="58" t="str">
        <f>IFERROR(VLOOKUP(D74,WAGES!$C:$L,10,0)-L74-M74-N74,"")</f>
        <v/>
      </c>
      <c r="P74" s="62">
        <f t="shared" si="17"/>
        <v>0</v>
      </c>
      <c r="Q74" s="58" t="str">
        <f t="shared" ref="Q74:Q108" si="18">IFERROR(IF(F74&lt;15000,ROUND(L74*12%,0),"0"),"")</f>
        <v>0</v>
      </c>
      <c r="R74" s="58">
        <f t="shared" ref="R74:R108" si="19">ROUNDUP(P74*0.75%,0)</f>
        <v>0</v>
      </c>
      <c r="S74" s="69">
        <f t="shared" ref="S74:S108" si="20">IF(AND(P74&gt;0,P74&lt;8501),0,(IF(AND(P74&gt;8500,P74&lt;10001),0,(IF(AND(P74&gt;10000,P74&lt;15001),110,(IF(AND(P74&gt;15000,P74&lt;25001),130,(IF(AND(P74&gt;25000,P74&lt;40001),150,0)))))))))</f>
        <v>0</v>
      </c>
      <c r="T74" s="58" t="str">
        <f>IFERROR(VLOOKUP(D74,'RJ ATTENDENCE SHEET'!$C:$S,17,0),"")</f>
        <v/>
      </c>
      <c r="U74" s="58">
        <f t="shared" ref="U74:U108" si="21">SUM(Q74:T74)</f>
        <v>0</v>
      </c>
      <c r="V74" s="58">
        <f t="shared" ref="V74:V108" si="22">P74-U74</f>
        <v>0</v>
      </c>
      <c r="W74" s="71"/>
      <c r="X74" s="249"/>
      <c r="Y74" s="47"/>
      <c r="Z74" s="47"/>
      <c r="AA74" s="47"/>
      <c r="AB74" s="47"/>
    </row>
    <row r="75" spans="1:28" ht="39.950000000000003" hidden="1" customHeight="1">
      <c r="A75" s="55">
        <v>67</v>
      </c>
      <c r="B75" s="55" t="str">
        <f>IFERROR(VLOOKUP(D75,'RJ ATTENDENCE SHEET'!$C:$D,2,0),"")</f>
        <v/>
      </c>
      <c r="C75" s="55" t="str">
        <f>IFERROR(VLOOKUP(D75,'DATA '!$D:$E,2,0),"")</f>
        <v/>
      </c>
      <c r="D75" s="56" t="str">
        <f>'DATA '!K69</f>
        <v/>
      </c>
      <c r="E75" s="57" t="str">
        <f t="shared" si="12"/>
        <v/>
      </c>
      <c r="F75" s="58" t="str">
        <f>IFERROR(VLOOKUP(D75,'RJ ATTENDENCE SHEET'!$C:$O,10,0),"")</f>
        <v/>
      </c>
      <c r="G75" s="58" t="str">
        <f>IFERROR(VLOOKUP(D75,'RJ ATTENDENCE SHEET'!$C:$O,11,0),"")</f>
        <v/>
      </c>
      <c r="H75" s="58" t="str">
        <f>IFERROR(VLOOKUP(D75,'RJ ATTENDENCE SHEET'!$C:$O,12,0),"")</f>
        <v/>
      </c>
      <c r="I75" s="58">
        <f t="shared" si="13"/>
        <v>0</v>
      </c>
      <c r="J75" s="62">
        <f>DAY(EOMONTH('RJ ATTENDENCE SHEET'!$A$1,0))</f>
        <v>31</v>
      </c>
      <c r="K75" s="63"/>
      <c r="L75" s="58" t="str">
        <f t="shared" si="14"/>
        <v/>
      </c>
      <c r="M75" s="58" t="str">
        <f t="shared" si="15"/>
        <v/>
      </c>
      <c r="N75" s="58" t="str">
        <f t="shared" si="16"/>
        <v/>
      </c>
      <c r="O75" s="58" t="str">
        <f>IFERROR(VLOOKUP(D75,WAGES!$C:$L,10,0)-L75-M75-N75,"")</f>
        <v/>
      </c>
      <c r="P75" s="62">
        <f t="shared" si="17"/>
        <v>0</v>
      </c>
      <c r="Q75" s="58" t="str">
        <f t="shared" si="18"/>
        <v>0</v>
      </c>
      <c r="R75" s="58">
        <f t="shared" si="19"/>
        <v>0</v>
      </c>
      <c r="S75" s="69">
        <f t="shared" si="20"/>
        <v>0</v>
      </c>
      <c r="T75" s="58" t="str">
        <f>IFERROR(VLOOKUP(D75,'RJ ATTENDENCE SHEET'!$C:$S,17,0),"")</f>
        <v/>
      </c>
      <c r="U75" s="58">
        <f t="shared" si="21"/>
        <v>0</v>
      </c>
      <c r="V75" s="58">
        <f t="shared" si="22"/>
        <v>0</v>
      </c>
      <c r="W75" s="71"/>
      <c r="X75" s="249"/>
      <c r="Y75" s="47"/>
      <c r="Z75" s="47"/>
      <c r="AA75" s="47"/>
      <c r="AB75" s="47"/>
    </row>
    <row r="76" spans="1:28" ht="39.950000000000003" hidden="1" customHeight="1">
      <c r="A76" s="55">
        <v>68</v>
      </c>
      <c r="B76" s="55" t="str">
        <f>IFERROR(VLOOKUP(D76,'RJ ATTENDENCE SHEET'!$C:$D,2,0),"")</f>
        <v/>
      </c>
      <c r="C76" s="55" t="str">
        <f>IFERROR(VLOOKUP(D76,'DATA '!$D:$E,2,0),"")</f>
        <v/>
      </c>
      <c r="D76" s="56" t="str">
        <f>'DATA '!K70</f>
        <v/>
      </c>
      <c r="E76" s="57" t="str">
        <f t="shared" si="12"/>
        <v/>
      </c>
      <c r="F76" s="58" t="str">
        <f>IFERROR(VLOOKUP(D76,'RJ ATTENDENCE SHEET'!$C:$O,10,0),"")</f>
        <v/>
      </c>
      <c r="G76" s="58" t="str">
        <f>IFERROR(VLOOKUP(D76,'RJ ATTENDENCE SHEET'!$C:$O,11,0),"")</f>
        <v/>
      </c>
      <c r="H76" s="58" t="str">
        <f>IFERROR(VLOOKUP(D76,'RJ ATTENDENCE SHEET'!$C:$O,12,0),"")</f>
        <v/>
      </c>
      <c r="I76" s="58">
        <f t="shared" si="13"/>
        <v>0</v>
      </c>
      <c r="J76" s="62">
        <f>DAY(EOMONTH('RJ ATTENDENCE SHEET'!$A$1,0))</f>
        <v>31</v>
      </c>
      <c r="K76" s="63"/>
      <c r="L76" s="58" t="str">
        <f t="shared" si="14"/>
        <v/>
      </c>
      <c r="M76" s="58" t="str">
        <f t="shared" si="15"/>
        <v/>
      </c>
      <c r="N76" s="58" t="str">
        <f t="shared" si="16"/>
        <v/>
      </c>
      <c r="O76" s="58" t="str">
        <f>IFERROR(VLOOKUP(D76,WAGES!$C:$L,10,0)-L76-M76-N76,"")</f>
        <v/>
      </c>
      <c r="P76" s="62">
        <f t="shared" si="17"/>
        <v>0</v>
      </c>
      <c r="Q76" s="58" t="str">
        <f t="shared" si="18"/>
        <v>0</v>
      </c>
      <c r="R76" s="58">
        <f t="shared" si="19"/>
        <v>0</v>
      </c>
      <c r="S76" s="69">
        <f t="shared" si="20"/>
        <v>0</v>
      </c>
      <c r="T76" s="58" t="str">
        <f>IFERROR(VLOOKUP(D76,'RJ ATTENDENCE SHEET'!$C:$S,17,0),"")</f>
        <v/>
      </c>
      <c r="U76" s="58">
        <f t="shared" si="21"/>
        <v>0</v>
      </c>
      <c r="V76" s="58">
        <f t="shared" si="22"/>
        <v>0</v>
      </c>
      <c r="W76" s="71"/>
      <c r="X76" s="249"/>
      <c r="Y76" s="47"/>
      <c r="Z76" s="47"/>
      <c r="AA76" s="47"/>
      <c r="AB76" s="47"/>
    </row>
    <row r="77" spans="1:28" ht="39.950000000000003" hidden="1" customHeight="1">
      <c r="A77" s="55">
        <v>69</v>
      </c>
      <c r="B77" s="55" t="str">
        <f>IFERROR(VLOOKUP(D77,'RJ ATTENDENCE SHEET'!$C:$D,2,0),"")</f>
        <v/>
      </c>
      <c r="C77" s="55" t="str">
        <f>IFERROR(VLOOKUP(D77,'DATA '!$D:$E,2,0),"")</f>
        <v/>
      </c>
      <c r="D77" s="56" t="str">
        <f>'DATA '!K71</f>
        <v/>
      </c>
      <c r="E77" s="57" t="str">
        <f t="shared" si="12"/>
        <v/>
      </c>
      <c r="F77" s="58" t="str">
        <f>IFERROR(VLOOKUP(D77,'RJ ATTENDENCE SHEET'!$C:$O,10,0),"")</f>
        <v/>
      </c>
      <c r="G77" s="58" t="str">
        <f>IFERROR(VLOOKUP(D77,'RJ ATTENDENCE SHEET'!$C:$O,11,0),"")</f>
        <v/>
      </c>
      <c r="H77" s="58" t="str">
        <f>IFERROR(VLOOKUP(D77,'RJ ATTENDENCE SHEET'!$C:$O,12,0),"")</f>
        <v/>
      </c>
      <c r="I77" s="58">
        <f t="shared" si="13"/>
        <v>0</v>
      </c>
      <c r="J77" s="62">
        <f>DAY(EOMONTH('RJ ATTENDENCE SHEET'!$A$1,0))</f>
        <v>31</v>
      </c>
      <c r="K77" s="63"/>
      <c r="L77" s="58" t="str">
        <f t="shared" si="14"/>
        <v/>
      </c>
      <c r="M77" s="58" t="str">
        <f t="shared" si="15"/>
        <v/>
      </c>
      <c r="N77" s="58" t="str">
        <f t="shared" si="16"/>
        <v/>
      </c>
      <c r="O77" s="58" t="str">
        <f>IFERROR(VLOOKUP(D77,WAGES!$C:$L,10,0)-L77-M77-N77,"")</f>
        <v/>
      </c>
      <c r="P77" s="62">
        <f t="shared" si="17"/>
        <v>0</v>
      </c>
      <c r="Q77" s="58" t="str">
        <f t="shared" si="18"/>
        <v>0</v>
      </c>
      <c r="R77" s="58">
        <f t="shared" si="19"/>
        <v>0</v>
      </c>
      <c r="S77" s="69">
        <f t="shared" si="20"/>
        <v>0</v>
      </c>
      <c r="T77" s="58" t="str">
        <f>IFERROR(VLOOKUP(D77,'RJ ATTENDENCE SHEET'!$C:$S,17,0),"")</f>
        <v/>
      </c>
      <c r="U77" s="58">
        <f t="shared" si="21"/>
        <v>0</v>
      </c>
      <c r="V77" s="58">
        <f t="shared" si="22"/>
        <v>0</v>
      </c>
      <c r="W77" s="71"/>
      <c r="X77" s="249"/>
      <c r="Y77" s="47"/>
      <c r="Z77" s="47"/>
      <c r="AA77" s="47"/>
      <c r="AB77" s="47"/>
    </row>
    <row r="78" spans="1:28" ht="39.950000000000003" hidden="1" customHeight="1">
      <c r="A78" s="55">
        <v>70</v>
      </c>
      <c r="B78" s="55" t="str">
        <f>IFERROR(VLOOKUP(D78,'RJ ATTENDENCE SHEET'!$C:$D,2,0),"")</f>
        <v/>
      </c>
      <c r="C78" s="55" t="str">
        <f>IFERROR(VLOOKUP(D78,'DATA '!$D:$E,2,0),"")</f>
        <v/>
      </c>
      <c r="D78" s="56" t="str">
        <f>'DATA '!K72</f>
        <v/>
      </c>
      <c r="E78" s="57" t="str">
        <f t="shared" si="12"/>
        <v/>
      </c>
      <c r="F78" s="58" t="str">
        <f>IFERROR(VLOOKUP(D78,'RJ ATTENDENCE SHEET'!$C:$O,10,0),"")</f>
        <v/>
      </c>
      <c r="G78" s="58" t="str">
        <f>IFERROR(VLOOKUP(D78,'RJ ATTENDENCE SHEET'!$C:$O,11,0),"")</f>
        <v/>
      </c>
      <c r="H78" s="58" t="str">
        <f>IFERROR(VLOOKUP(D78,'RJ ATTENDENCE SHEET'!$C:$O,12,0),"")</f>
        <v/>
      </c>
      <c r="I78" s="58">
        <f t="shared" si="13"/>
        <v>0</v>
      </c>
      <c r="J78" s="62">
        <f>DAY(EOMONTH('RJ ATTENDENCE SHEET'!$A$1,0))</f>
        <v>31</v>
      </c>
      <c r="K78" s="63"/>
      <c r="L78" s="58" t="str">
        <f t="shared" si="14"/>
        <v/>
      </c>
      <c r="M78" s="58" t="str">
        <f t="shared" si="15"/>
        <v/>
      </c>
      <c r="N78" s="58" t="str">
        <f t="shared" si="16"/>
        <v/>
      </c>
      <c r="O78" s="58" t="str">
        <f>IFERROR(VLOOKUP(D78,WAGES!$C:$L,10,0)-L78-M78-N78,"")</f>
        <v/>
      </c>
      <c r="P78" s="62">
        <f t="shared" si="17"/>
        <v>0</v>
      </c>
      <c r="Q78" s="58" t="str">
        <f t="shared" si="18"/>
        <v>0</v>
      </c>
      <c r="R78" s="58">
        <f t="shared" si="19"/>
        <v>0</v>
      </c>
      <c r="S78" s="69">
        <f t="shared" si="20"/>
        <v>0</v>
      </c>
      <c r="T78" s="58" t="str">
        <f>IFERROR(VLOOKUP(D78,'RJ ATTENDENCE SHEET'!$C:$S,17,0),"")</f>
        <v/>
      </c>
      <c r="U78" s="58">
        <f t="shared" si="21"/>
        <v>0</v>
      </c>
      <c r="V78" s="58">
        <f t="shared" si="22"/>
        <v>0</v>
      </c>
      <c r="W78" s="71"/>
      <c r="X78" s="249"/>
      <c r="Y78" s="47"/>
      <c r="Z78" s="47"/>
      <c r="AA78" s="47"/>
      <c r="AB78" s="47"/>
    </row>
    <row r="79" spans="1:28" ht="39.950000000000003" hidden="1" customHeight="1">
      <c r="A79" s="55">
        <v>71</v>
      </c>
      <c r="B79" s="55" t="str">
        <f>IFERROR(VLOOKUP(D79,'RJ ATTENDENCE SHEET'!$C:$D,2,0),"")</f>
        <v/>
      </c>
      <c r="C79" s="55" t="str">
        <f>IFERROR(VLOOKUP(D79,'DATA '!$D:$E,2,0),"")</f>
        <v/>
      </c>
      <c r="D79" s="56" t="str">
        <f>'DATA '!K73</f>
        <v/>
      </c>
      <c r="E79" s="57" t="str">
        <f t="shared" si="12"/>
        <v/>
      </c>
      <c r="F79" s="58" t="str">
        <f>IFERROR(VLOOKUP(D79,'RJ ATTENDENCE SHEET'!$C:$O,10,0),"")</f>
        <v/>
      </c>
      <c r="G79" s="58" t="str">
        <f>IFERROR(VLOOKUP(D79,'RJ ATTENDENCE SHEET'!$C:$O,11,0),"")</f>
        <v/>
      </c>
      <c r="H79" s="58" t="str">
        <f>IFERROR(VLOOKUP(D79,'RJ ATTENDENCE SHEET'!$C:$O,12,0),"")</f>
        <v/>
      </c>
      <c r="I79" s="58">
        <f t="shared" si="13"/>
        <v>0</v>
      </c>
      <c r="J79" s="62">
        <f>DAY(EOMONTH('RJ ATTENDENCE SHEET'!$A$1,0))</f>
        <v>31</v>
      </c>
      <c r="K79" s="63"/>
      <c r="L79" s="58" t="str">
        <f t="shared" si="14"/>
        <v/>
      </c>
      <c r="M79" s="58" t="str">
        <f t="shared" si="15"/>
        <v/>
      </c>
      <c r="N79" s="58" t="str">
        <f t="shared" si="16"/>
        <v/>
      </c>
      <c r="O79" s="58" t="str">
        <f>IFERROR(VLOOKUP(D79,WAGES!$C:$L,10,0)-L79-M79-N79,"")</f>
        <v/>
      </c>
      <c r="P79" s="62">
        <f t="shared" si="17"/>
        <v>0</v>
      </c>
      <c r="Q79" s="58" t="str">
        <f t="shared" si="18"/>
        <v>0</v>
      </c>
      <c r="R79" s="58">
        <f t="shared" si="19"/>
        <v>0</v>
      </c>
      <c r="S79" s="69">
        <f t="shared" si="20"/>
        <v>0</v>
      </c>
      <c r="T79" s="58" t="str">
        <f>IFERROR(VLOOKUP(D79,'RJ ATTENDENCE SHEET'!$C:$S,17,0),"")</f>
        <v/>
      </c>
      <c r="U79" s="58">
        <f t="shared" si="21"/>
        <v>0</v>
      </c>
      <c r="V79" s="58">
        <f t="shared" si="22"/>
        <v>0</v>
      </c>
      <c r="W79" s="71"/>
      <c r="X79" s="249"/>
      <c r="Y79" s="47"/>
      <c r="Z79" s="47"/>
      <c r="AA79" s="47"/>
      <c r="AB79" s="47"/>
    </row>
    <row r="80" spans="1:28" ht="39.950000000000003" hidden="1" customHeight="1">
      <c r="A80" s="55">
        <v>72</v>
      </c>
      <c r="B80" s="55" t="str">
        <f>IFERROR(VLOOKUP(D80,'RJ ATTENDENCE SHEET'!$C:$D,2,0),"")</f>
        <v/>
      </c>
      <c r="C80" s="55" t="str">
        <f>IFERROR(VLOOKUP(D80,'DATA '!$D:$E,2,0),"")</f>
        <v/>
      </c>
      <c r="D80" s="56" t="str">
        <f>'DATA '!K74</f>
        <v/>
      </c>
      <c r="E80" s="57" t="str">
        <f t="shared" si="12"/>
        <v/>
      </c>
      <c r="F80" s="58" t="str">
        <f>IFERROR(VLOOKUP(D80,'RJ ATTENDENCE SHEET'!$C:$O,10,0),"")</f>
        <v/>
      </c>
      <c r="G80" s="58" t="str">
        <f>IFERROR(VLOOKUP(D80,'RJ ATTENDENCE SHEET'!$C:$O,11,0),"")</f>
        <v/>
      </c>
      <c r="H80" s="58" t="str">
        <f>IFERROR(VLOOKUP(D80,'RJ ATTENDENCE SHEET'!$C:$O,12,0),"")</f>
        <v/>
      </c>
      <c r="I80" s="58">
        <f t="shared" si="13"/>
        <v>0</v>
      </c>
      <c r="J80" s="62">
        <f>DAY(EOMONTH('RJ ATTENDENCE SHEET'!$A$1,0))</f>
        <v>31</v>
      </c>
      <c r="K80" s="63"/>
      <c r="L80" s="58" t="str">
        <f t="shared" si="14"/>
        <v/>
      </c>
      <c r="M80" s="58" t="str">
        <f t="shared" si="15"/>
        <v/>
      </c>
      <c r="N80" s="58" t="str">
        <f t="shared" si="16"/>
        <v/>
      </c>
      <c r="O80" s="58" t="str">
        <f>IFERROR(VLOOKUP(D80,WAGES!$C:$L,10,0)-L80-M80-N80,"")</f>
        <v/>
      </c>
      <c r="P80" s="62">
        <f t="shared" si="17"/>
        <v>0</v>
      </c>
      <c r="Q80" s="58" t="str">
        <f t="shared" si="18"/>
        <v>0</v>
      </c>
      <c r="R80" s="58">
        <f t="shared" si="19"/>
        <v>0</v>
      </c>
      <c r="S80" s="69">
        <f t="shared" si="20"/>
        <v>0</v>
      </c>
      <c r="T80" s="58" t="str">
        <f>IFERROR(VLOOKUP(D80,'RJ ATTENDENCE SHEET'!$C:$S,17,0),"")</f>
        <v/>
      </c>
      <c r="U80" s="58">
        <f t="shared" si="21"/>
        <v>0</v>
      </c>
      <c r="V80" s="58">
        <f t="shared" si="22"/>
        <v>0</v>
      </c>
      <c r="W80" s="71"/>
      <c r="X80" s="249"/>
      <c r="Y80" s="47"/>
      <c r="Z80" s="47"/>
      <c r="AA80" s="47"/>
      <c r="AB80" s="47"/>
    </row>
    <row r="81" spans="1:28" ht="39.950000000000003" hidden="1" customHeight="1">
      <c r="A81" s="55">
        <v>73</v>
      </c>
      <c r="B81" s="55" t="str">
        <f>IFERROR(VLOOKUP(D81,'RJ ATTENDENCE SHEET'!$C:$D,2,0),"")</f>
        <v/>
      </c>
      <c r="C81" s="55" t="str">
        <f>IFERROR(VLOOKUP(D81,'DATA '!$D:$E,2,0),"")</f>
        <v/>
      </c>
      <c r="D81" s="56" t="str">
        <f>'DATA '!K75</f>
        <v/>
      </c>
      <c r="E81" s="57" t="str">
        <f t="shared" si="12"/>
        <v/>
      </c>
      <c r="F81" s="58" t="str">
        <f>IFERROR(VLOOKUP(D81,'RJ ATTENDENCE SHEET'!$C:$O,10,0),"")</f>
        <v/>
      </c>
      <c r="G81" s="58" t="str">
        <f>IFERROR(VLOOKUP(D81,'RJ ATTENDENCE SHEET'!$C:$O,11,0),"")</f>
        <v/>
      </c>
      <c r="H81" s="58" t="str">
        <f>IFERROR(VLOOKUP(D81,'RJ ATTENDENCE SHEET'!$C:$O,12,0),"")</f>
        <v/>
      </c>
      <c r="I81" s="58">
        <f t="shared" si="13"/>
        <v>0</v>
      </c>
      <c r="J81" s="62">
        <f>DAY(EOMONTH('RJ ATTENDENCE SHEET'!$A$1,0))</f>
        <v>31</v>
      </c>
      <c r="K81" s="63"/>
      <c r="L81" s="58" t="str">
        <f t="shared" si="14"/>
        <v/>
      </c>
      <c r="M81" s="58" t="str">
        <f t="shared" si="15"/>
        <v/>
      </c>
      <c r="N81" s="58" t="str">
        <f t="shared" si="16"/>
        <v/>
      </c>
      <c r="O81" s="58" t="str">
        <f>IFERROR(VLOOKUP(D81,WAGES!$C:$L,10,0)-L81-M81-N81,"")</f>
        <v/>
      </c>
      <c r="P81" s="62">
        <f t="shared" si="17"/>
        <v>0</v>
      </c>
      <c r="Q81" s="58" t="str">
        <f t="shared" si="18"/>
        <v>0</v>
      </c>
      <c r="R81" s="58">
        <f t="shared" si="19"/>
        <v>0</v>
      </c>
      <c r="S81" s="69">
        <f t="shared" si="20"/>
        <v>0</v>
      </c>
      <c r="T81" s="58" t="str">
        <f>IFERROR(VLOOKUP(D81,'RJ ATTENDENCE SHEET'!$C:$S,17,0),"")</f>
        <v/>
      </c>
      <c r="U81" s="58">
        <f t="shared" si="21"/>
        <v>0</v>
      </c>
      <c r="V81" s="58">
        <f t="shared" si="22"/>
        <v>0</v>
      </c>
      <c r="W81" s="71"/>
      <c r="X81" s="249"/>
      <c r="Y81" s="47"/>
      <c r="Z81" s="47"/>
      <c r="AA81" s="47"/>
      <c r="AB81" s="47"/>
    </row>
    <row r="82" spans="1:28" ht="39.950000000000003" hidden="1" customHeight="1">
      <c r="A82" s="55">
        <v>74</v>
      </c>
      <c r="B82" s="55" t="str">
        <f>IFERROR(VLOOKUP(D82,'RJ ATTENDENCE SHEET'!$C:$D,2,0),"")</f>
        <v/>
      </c>
      <c r="C82" s="55" t="str">
        <f>IFERROR(VLOOKUP(D82,'DATA '!$D:$E,2,0),"")</f>
        <v/>
      </c>
      <c r="D82" s="56" t="str">
        <f>'DATA '!K76</f>
        <v/>
      </c>
      <c r="E82" s="57" t="str">
        <f t="shared" si="12"/>
        <v/>
      </c>
      <c r="F82" s="58" t="str">
        <f>IFERROR(VLOOKUP(D82,'RJ ATTENDENCE SHEET'!$C:$O,10,0),"")</f>
        <v/>
      </c>
      <c r="G82" s="58" t="str">
        <f>IFERROR(VLOOKUP(D82,'RJ ATTENDENCE SHEET'!$C:$O,11,0),"")</f>
        <v/>
      </c>
      <c r="H82" s="58" t="str">
        <f>IFERROR(VLOOKUP(D82,'RJ ATTENDENCE SHEET'!$C:$O,12,0),"")</f>
        <v/>
      </c>
      <c r="I82" s="58">
        <f t="shared" si="13"/>
        <v>0</v>
      </c>
      <c r="J82" s="62">
        <f>DAY(EOMONTH('RJ ATTENDENCE SHEET'!$A$1,0))</f>
        <v>31</v>
      </c>
      <c r="K82" s="63"/>
      <c r="L82" s="58" t="str">
        <f t="shared" si="14"/>
        <v/>
      </c>
      <c r="M82" s="58" t="str">
        <f t="shared" si="15"/>
        <v/>
      </c>
      <c r="N82" s="58" t="str">
        <f t="shared" si="16"/>
        <v/>
      </c>
      <c r="O82" s="58" t="str">
        <f>IFERROR(VLOOKUP(D82,WAGES!$C:$L,10,0)-L82-M82-N82,"")</f>
        <v/>
      </c>
      <c r="P82" s="62">
        <f t="shared" si="17"/>
        <v>0</v>
      </c>
      <c r="Q82" s="58" t="str">
        <f t="shared" si="18"/>
        <v>0</v>
      </c>
      <c r="R82" s="58">
        <f t="shared" si="19"/>
        <v>0</v>
      </c>
      <c r="S82" s="69">
        <f t="shared" si="20"/>
        <v>0</v>
      </c>
      <c r="T82" s="58" t="str">
        <f>IFERROR(VLOOKUP(D82,'RJ ATTENDENCE SHEET'!$C:$S,17,0),"")</f>
        <v/>
      </c>
      <c r="U82" s="58">
        <f t="shared" si="21"/>
        <v>0</v>
      </c>
      <c r="V82" s="58">
        <f t="shared" si="22"/>
        <v>0</v>
      </c>
      <c r="W82" s="71"/>
      <c r="X82" s="249"/>
      <c r="Y82" s="47"/>
      <c r="Z82" s="47"/>
      <c r="AA82" s="47"/>
      <c r="AB82" s="47"/>
    </row>
    <row r="83" spans="1:28" ht="39.950000000000003" hidden="1" customHeight="1">
      <c r="A83" s="55">
        <v>75</v>
      </c>
      <c r="B83" s="55" t="str">
        <f>IFERROR(VLOOKUP(D83,'RJ ATTENDENCE SHEET'!$C:$D,2,0),"")</f>
        <v/>
      </c>
      <c r="C83" s="55" t="str">
        <f>IFERROR(VLOOKUP(D83,'DATA '!$D:$E,2,0),"")</f>
        <v/>
      </c>
      <c r="D83" s="56" t="str">
        <f>'DATA '!K77</f>
        <v/>
      </c>
      <c r="E83" s="57" t="str">
        <f t="shared" si="12"/>
        <v/>
      </c>
      <c r="F83" s="58" t="str">
        <f>IFERROR(VLOOKUP(D83,'RJ ATTENDENCE SHEET'!$C:$O,10,0),"")</f>
        <v/>
      </c>
      <c r="G83" s="58" t="str">
        <f>IFERROR(VLOOKUP(D83,'RJ ATTENDENCE SHEET'!$C:$O,11,0),"")</f>
        <v/>
      </c>
      <c r="H83" s="58" t="str">
        <f>IFERROR(VLOOKUP(D83,'RJ ATTENDENCE SHEET'!$C:$O,12,0),"")</f>
        <v/>
      </c>
      <c r="I83" s="58">
        <f t="shared" si="13"/>
        <v>0</v>
      </c>
      <c r="J83" s="62">
        <f>DAY(EOMONTH('RJ ATTENDENCE SHEET'!$A$1,0))</f>
        <v>31</v>
      </c>
      <c r="K83" s="63"/>
      <c r="L83" s="58" t="str">
        <f t="shared" si="14"/>
        <v/>
      </c>
      <c r="M83" s="58" t="str">
        <f t="shared" si="15"/>
        <v/>
      </c>
      <c r="N83" s="58" t="str">
        <f t="shared" si="16"/>
        <v/>
      </c>
      <c r="O83" s="58" t="str">
        <f>IFERROR(VLOOKUP(D83,WAGES!$C:$L,10,0)-L83-M83-N83,"")</f>
        <v/>
      </c>
      <c r="P83" s="62">
        <f t="shared" si="17"/>
        <v>0</v>
      </c>
      <c r="Q83" s="58" t="str">
        <f t="shared" si="18"/>
        <v>0</v>
      </c>
      <c r="R83" s="58">
        <f t="shared" si="19"/>
        <v>0</v>
      </c>
      <c r="S83" s="69">
        <f t="shared" si="20"/>
        <v>0</v>
      </c>
      <c r="T83" s="58" t="str">
        <f>IFERROR(VLOOKUP(D83,'RJ ATTENDENCE SHEET'!$C:$S,17,0),"")</f>
        <v/>
      </c>
      <c r="U83" s="58">
        <f t="shared" si="21"/>
        <v>0</v>
      </c>
      <c r="V83" s="58">
        <f t="shared" si="22"/>
        <v>0</v>
      </c>
      <c r="W83" s="71"/>
      <c r="X83" s="249"/>
      <c r="Y83" s="47"/>
      <c r="Z83" s="47"/>
      <c r="AA83" s="47"/>
      <c r="AB83" s="47"/>
    </row>
    <row r="84" spans="1:28" ht="39.950000000000003" hidden="1" customHeight="1">
      <c r="A84" s="55">
        <v>76</v>
      </c>
      <c r="B84" s="55" t="str">
        <f>IFERROR(VLOOKUP(D84,'RJ ATTENDENCE SHEET'!$C:$D,2,0),"")</f>
        <v/>
      </c>
      <c r="C84" s="55" t="str">
        <f>IFERROR(VLOOKUP(D84,'DATA '!$D:$E,2,0),"")</f>
        <v/>
      </c>
      <c r="D84" s="56" t="str">
        <f>'DATA '!K78</f>
        <v/>
      </c>
      <c r="E84" s="57" t="str">
        <f t="shared" si="12"/>
        <v/>
      </c>
      <c r="F84" s="58" t="str">
        <f>IFERROR(VLOOKUP(D84,'RJ ATTENDENCE SHEET'!$C:$O,10,0),"")</f>
        <v/>
      </c>
      <c r="G84" s="58" t="str">
        <f>IFERROR(VLOOKUP(D84,'RJ ATTENDENCE SHEET'!$C:$O,11,0),"")</f>
        <v/>
      </c>
      <c r="H84" s="58" t="str">
        <f>IFERROR(VLOOKUP(D84,'RJ ATTENDENCE SHEET'!$C:$O,12,0),"")</f>
        <v/>
      </c>
      <c r="I84" s="58">
        <f t="shared" si="13"/>
        <v>0</v>
      </c>
      <c r="J84" s="62">
        <f>DAY(EOMONTH('RJ ATTENDENCE SHEET'!$A$1,0))</f>
        <v>31</v>
      </c>
      <c r="K84" s="63"/>
      <c r="L84" s="58" t="str">
        <f t="shared" si="14"/>
        <v/>
      </c>
      <c r="M84" s="58" t="str">
        <f t="shared" si="15"/>
        <v/>
      </c>
      <c r="N84" s="58" t="str">
        <f t="shared" si="16"/>
        <v/>
      </c>
      <c r="O84" s="58" t="str">
        <f>IFERROR(VLOOKUP(D84,WAGES!$C:$L,10,0)-L84-M84-N84,"")</f>
        <v/>
      </c>
      <c r="P84" s="62">
        <f t="shared" si="17"/>
        <v>0</v>
      </c>
      <c r="Q84" s="58" t="str">
        <f t="shared" si="18"/>
        <v>0</v>
      </c>
      <c r="R84" s="58">
        <f t="shared" si="19"/>
        <v>0</v>
      </c>
      <c r="S84" s="69">
        <f t="shared" si="20"/>
        <v>0</v>
      </c>
      <c r="T84" s="58" t="str">
        <f>IFERROR(VLOOKUP(D84,'RJ ATTENDENCE SHEET'!$C:$S,17,0),"")</f>
        <v/>
      </c>
      <c r="U84" s="58">
        <f t="shared" si="21"/>
        <v>0</v>
      </c>
      <c r="V84" s="58">
        <f t="shared" si="22"/>
        <v>0</v>
      </c>
      <c r="W84" s="71"/>
      <c r="X84" s="249"/>
      <c r="Y84" s="47"/>
      <c r="Z84" s="47"/>
      <c r="AA84" s="47"/>
      <c r="AB84" s="47"/>
    </row>
    <row r="85" spans="1:28" ht="39.950000000000003" hidden="1" customHeight="1">
      <c r="A85" s="55">
        <v>77</v>
      </c>
      <c r="B85" s="55" t="str">
        <f>IFERROR(VLOOKUP(D85,'RJ ATTENDENCE SHEET'!$C:$D,2,0),"")</f>
        <v/>
      </c>
      <c r="C85" s="55" t="str">
        <f>IFERROR(VLOOKUP(D85,'DATA '!$D:$E,2,0),"")</f>
        <v/>
      </c>
      <c r="D85" s="56" t="str">
        <f>'DATA '!K79</f>
        <v/>
      </c>
      <c r="E85" s="57" t="str">
        <f t="shared" si="12"/>
        <v/>
      </c>
      <c r="F85" s="58" t="str">
        <f>IFERROR(VLOOKUP(D85,'RJ ATTENDENCE SHEET'!$C:$O,10,0),"")</f>
        <v/>
      </c>
      <c r="G85" s="58" t="str">
        <f>IFERROR(VLOOKUP(D85,'RJ ATTENDENCE SHEET'!$C:$O,11,0),"")</f>
        <v/>
      </c>
      <c r="H85" s="58" t="str">
        <f>IFERROR(VLOOKUP(D85,'RJ ATTENDENCE SHEET'!$C:$O,12,0),"")</f>
        <v/>
      </c>
      <c r="I85" s="58">
        <f t="shared" si="13"/>
        <v>0</v>
      </c>
      <c r="J85" s="62">
        <f>DAY(EOMONTH('RJ ATTENDENCE SHEET'!$A$1,0))</f>
        <v>31</v>
      </c>
      <c r="K85" s="63"/>
      <c r="L85" s="58" t="str">
        <f t="shared" si="14"/>
        <v/>
      </c>
      <c r="M85" s="58" t="str">
        <f t="shared" si="15"/>
        <v/>
      </c>
      <c r="N85" s="58" t="str">
        <f t="shared" si="16"/>
        <v/>
      </c>
      <c r="O85" s="58" t="str">
        <f>IFERROR(VLOOKUP(D85,WAGES!$C:$L,10,0)-L85-M85-N85,"")</f>
        <v/>
      </c>
      <c r="P85" s="62">
        <f t="shared" si="17"/>
        <v>0</v>
      </c>
      <c r="Q85" s="58" t="str">
        <f t="shared" si="18"/>
        <v>0</v>
      </c>
      <c r="R85" s="58">
        <f t="shared" si="19"/>
        <v>0</v>
      </c>
      <c r="S85" s="69">
        <f t="shared" si="20"/>
        <v>0</v>
      </c>
      <c r="T85" s="58" t="str">
        <f>IFERROR(VLOOKUP(D85,'RJ ATTENDENCE SHEET'!$C:$S,17,0),"")</f>
        <v/>
      </c>
      <c r="U85" s="58">
        <f t="shared" si="21"/>
        <v>0</v>
      </c>
      <c r="V85" s="58">
        <f t="shared" si="22"/>
        <v>0</v>
      </c>
      <c r="W85" s="71"/>
      <c r="X85" s="249"/>
      <c r="Y85" s="47"/>
      <c r="Z85" s="47"/>
      <c r="AA85" s="47"/>
      <c r="AB85" s="47"/>
    </row>
    <row r="86" spans="1:28" ht="39.950000000000003" hidden="1" customHeight="1">
      <c r="A86" s="55">
        <v>78</v>
      </c>
      <c r="B86" s="55" t="str">
        <f>IFERROR(VLOOKUP(D86,'RJ ATTENDENCE SHEET'!$C:$D,2,0),"")</f>
        <v/>
      </c>
      <c r="C86" s="55" t="str">
        <f>IFERROR(VLOOKUP(D86,'DATA '!$D:$E,2,0),"")</f>
        <v/>
      </c>
      <c r="D86" s="56" t="str">
        <f>'DATA '!K80</f>
        <v/>
      </c>
      <c r="E86" s="57" t="str">
        <f t="shared" si="12"/>
        <v/>
      </c>
      <c r="F86" s="58" t="str">
        <f>IFERROR(VLOOKUP(D86,'RJ ATTENDENCE SHEET'!$C:$O,10,0),"")</f>
        <v/>
      </c>
      <c r="G86" s="58" t="str">
        <f>IFERROR(VLOOKUP(D86,'RJ ATTENDENCE SHEET'!$C:$O,11,0),"")</f>
        <v/>
      </c>
      <c r="H86" s="58" t="str">
        <f>IFERROR(VLOOKUP(D86,'RJ ATTENDENCE SHEET'!$C:$O,12,0),"")</f>
        <v/>
      </c>
      <c r="I86" s="58">
        <f t="shared" si="13"/>
        <v>0</v>
      </c>
      <c r="J86" s="62">
        <f>DAY(EOMONTH('RJ ATTENDENCE SHEET'!$A$1,0))</f>
        <v>31</v>
      </c>
      <c r="K86" s="63"/>
      <c r="L86" s="58" t="str">
        <f t="shared" si="14"/>
        <v/>
      </c>
      <c r="M86" s="58" t="str">
        <f t="shared" si="15"/>
        <v/>
      </c>
      <c r="N86" s="58" t="str">
        <f t="shared" si="16"/>
        <v/>
      </c>
      <c r="O86" s="58" t="str">
        <f>IFERROR(VLOOKUP(D86,WAGES!$C:$L,10,0)-L86-M86-N86,"")</f>
        <v/>
      </c>
      <c r="P86" s="62">
        <f t="shared" si="17"/>
        <v>0</v>
      </c>
      <c r="Q86" s="58" t="str">
        <f t="shared" si="18"/>
        <v>0</v>
      </c>
      <c r="R86" s="58">
        <f t="shared" si="19"/>
        <v>0</v>
      </c>
      <c r="S86" s="69">
        <f t="shared" si="20"/>
        <v>0</v>
      </c>
      <c r="T86" s="58" t="str">
        <f>IFERROR(VLOOKUP(D86,'RJ ATTENDENCE SHEET'!$C:$S,17,0),"")</f>
        <v/>
      </c>
      <c r="U86" s="58">
        <f t="shared" si="21"/>
        <v>0</v>
      </c>
      <c r="V86" s="58">
        <f t="shared" si="22"/>
        <v>0</v>
      </c>
      <c r="W86" s="71"/>
      <c r="X86" s="249"/>
      <c r="Y86" s="47"/>
      <c r="Z86" s="47"/>
      <c r="AA86" s="47"/>
      <c r="AB86" s="47"/>
    </row>
    <row r="87" spans="1:28" ht="39.950000000000003" hidden="1" customHeight="1">
      <c r="A87" s="55">
        <v>79</v>
      </c>
      <c r="B87" s="55" t="str">
        <f>IFERROR(VLOOKUP(D87,'RJ ATTENDENCE SHEET'!$C:$D,2,0),"")</f>
        <v/>
      </c>
      <c r="C87" s="55" t="str">
        <f>IFERROR(VLOOKUP(D87,'DATA '!$D:$E,2,0),"")</f>
        <v/>
      </c>
      <c r="D87" s="56" t="str">
        <f>'DATA '!K81</f>
        <v/>
      </c>
      <c r="E87" s="57" t="str">
        <f t="shared" si="12"/>
        <v/>
      </c>
      <c r="F87" s="58" t="str">
        <f>IFERROR(VLOOKUP(D87,'RJ ATTENDENCE SHEET'!$C:$O,10,0),"")</f>
        <v/>
      </c>
      <c r="G87" s="58" t="str">
        <f>IFERROR(VLOOKUP(D87,'RJ ATTENDENCE SHEET'!$C:$O,11,0),"")</f>
        <v/>
      </c>
      <c r="H87" s="58" t="str">
        <f>IFERROR(VLOOKUP(D87,'RJ ATTENDENCE SHEET'!$C:$O,12,0),"")</f>
        <v/>
      </c>
      <c r="I87" s="58">
        <f t="shared" si="13"/>
        <v>0</v>
      </c>
      <c r="J87" s="62">
        <f>DAY(EOMONTH('RJ ATTENDENCE SHEET'!$A$1,0))</f>
        <v>31</v>
      </c>
      <c r="K87" s="63"/>
      <c r="L87" s="58" t="str">
        <f t="shared" si="14"/>
        <v/>
      </c>
      <c r="M87" s="58" t="str">
        <f t="shared" si="15"/>
        <v/>
      </c>
      <c r="N87" s="58" t="str">
        <f t="shared" si="16"/>
        <v/>
      </c>
      <c r="O87" s="58" t="str">
        <f>IFERROR(VLOOKUP(D87,WAGES!$C:$L,10,0)-L87-M87-N87,"")</f>
        <v/>
      </c>
      <c r="P87" s="62">
        <f t="shared" si="17"/>
        <v>0</v>
      </c>
      <c r="Q87" s="58" t="str">
        <f t="shared" si="18"/>
        <v>0</v>
      </c>
      <c r="R87" s="58">
        <f t="shared" si="19"/>
        <v>0</v>
      </c>
      <c r="S87" s="69">
        <f t="shared" si="20"/>
        <v>0</v>
      </c>
      <c r="T87" s="58" t="str">
        <f>IFERROR(VLOOKUP(D87,'RJ ATTENDENCE SHEET'!$C:$S,17,0),"")</f>
        <v/>
      </c>
      <c r="U87" s="58">
        <f t="shared" si="21"/>
        <v>0</v>
      </c>
      <c r="V87" s="58">
        <f t="shared" si="22"/>
        <v>0</v>
      </c>
      <c r="W87" s="71"/>
      <c r="X87" s="249"/>
      <c r="Y87" s="47"/>
      <c r="Z87" s="47"/>
      <c r="AA87" s="47"/>
      <c r="AB87" s="47"/>
    </row>
    <row r="88" spans="1:28" ht="39.950000000000003" hidden="1" customHeight="1">
      <c r="A88" s="55">
        <v>80</v>
      </c>
      <c r="B88" s="55" t="str">
        <f>IFERROR(VLOOKUP(D88,'RJ ATTENDENCE SHEET'!$C:$D,2,0),"")</f>
        <v/>
      </c>
      <c r="C88" s="55" t="str">
        <f>IFERROR(VLOOKUP(D88,'DATA '!$D:$E,2,0),"")</f>
        <v/>
      </c>
      <c r="D88" s="56" t="str">
        <f>'DATA '!K82</f>
        <v/>
      </c>
      <c r="E88" s="57" t="str">
        <f t="shared" si="12"/>
        <v/>
      </c>
      <c r="F88" s="58" t="str">
        <f>IFERROR(VLOOKUP(D88,'RJ ATTENDENCE SHEET'!$C:$O,10,0),"")</f>
        <v/>
      </c>
      <c r="G88" s="58" t="str">
        <f>IFERROR(VLOOKUP(D88,'RJ ATTENDENCE SHEET'!$C:$O,11,0),"")</f>
        <v/>
      </c>
      <c r="H88" s="58" t="str">
        <f>IFERROR(VLOOKUP(D88,'RJ ATTENDENCE SHEET'!$C:$O,12,0),"")</f>
        <v/>
      </c>
      <c r="I88" s="58">
        <f t="shared" si="13"/>
        <v>0</v>
      </c>
      <c r="J88" s="62">
        <f>DAY(EOMONTH('RJ ATTENDENCE SHEET'!$A$1,0))</f>
        <v>31</v>
      </c>
      <c r="K88" s="63"/>
      <c r="L88" s="58" t="str">
        <f t="shared" si="14"/>
        <v/>
      </c>
      <c r="M88" s="58" t="str">
        <f t="shared" si="15"/>
        <v/>
      </c>
      <c r="N88" s="58" t="str">
        <f t="shared" si="16"/>
        <v/>
      </c>
      <c r="O88" s="58" t="str">
        <f>IFERROR(VLOOKUP(D88,WAGES!$C:$L,10,0)-L88-M88-N88,"")</f>
        <v/>
      </c>
      <c r="P88" s="62">
        <f t="shared" si="17"/>
        <v>0</v>
      </c>
      <c r="Q88" s="58" t="str">
        <f t="shared" si="18"/>
        <v>0</v>
      </c>
      <c r="R88" s="58">
        <f t="shared" si="19"/>
        <v>0</v>
      </c>
      <c r="S88" s="69">
        <f t="shared" si="20"/>
        <v>0</v>
      </c>
      <c r="T88" s="58" t="str">
        <f>IFERROR(VLOOKUP(D88,'RJ ATTENDENCE SHEET'!$C:$S,17,0),"")</f>
        <v/>
      </c>
      <c r="U88" s="58">
        <f t="shared" si="21"/>
        <v>0</v>
      </c>
      <c r="V88" s="58">
        <f t="shared" si="22"/>
        <v>0</v>
      </c>
      <c r="W88" s="71"/>
      <c r="X88" s="249"/>
      <c r="Y88" s="47"/>
      <c r="Z88" s="47"/>
      <c r="AA88" s="47"/>
      <c r="AB88" s="47"/>
    </row>
    <row r="89" spans="1:28" ht="39.950000000000003" hidden="1" customHeight="1">
      <c r="A89" s="55">
        <v>81</v>
      </c>
      <c r="B89" s="55" t="str">
        <f>IFERROR(VLOOKUP(D89,'RJ ATTENDENCE SHEET'!$C:$D,2,0),"")</f>
        <v/>
      </c>
      <c r="C89" s="55" t="str">
        <f>IFERROR(VLOOKUP(D89,'DATA '!$D:$E,2,0),"")</f>
        <v/>
      </c>
      <c r="D89" s="56" t="str">
        <f>'DATA '!K83</f>
        <v/>
      </c>
      <c r="E89" s="57" t="str">
        <f t="shared" si="12"/>
        <v/>
      </c>
      <c r="F89" s="58" t="str">
        <f>IFERROR(VLOOKUP(D89,'RJ ATTENDENCE SHEET'!$C:$O,10,0),"")</f>
        <v/>
      </c>
      <c r="G89" s="58" t="str">
        <f>IFERROR(VLOOKUP(D89,'RJ ATTENDENCE SHEET'!$C:$O,11,0),"")</f>
        <v/>
      </c>
      <c r="H89" s="58" t="str">
        <f>IFERROR(VLOOKUP(D89,'RJ ATTENDENCE SHEET'!$C:$O,12,0),"")</f>
        <v/>
      </c>
      <c r="I89" s="58">
        <f t="shared" si="13"/>
        <v>0</v>
      </c>
      <c r="J89" s="62">
        <f>DAY(EOMONTH('RJ ATTENDENCE SHEET'!$A$1,0))</f>
        <v>31</v>
      </c>
      <c r="K89" s="63"/>
      <c r="L89" s="58" t="str">
        <f t="shared" si="14"/>
        <v/>
      </c>
      <c r="M89" s="58" t="str">
        <f t="shared" si="15"/>
        <v/>
      </c>
      <c r="N89" s="58" t="str">
        <f t="shared" si="16"/>
        <v/>
      </c>
      <c r="O89" s="58" t="str">
        <f>IFERROR(VLOOKUP(D89,WAGES!$C:$L,10,0)-L89-M89-N89,"")</f>
        <v/>
      </c>
      <c r="P89" s="62">
        <f t="shared" si="17"/>
        <v>0</v>
      </c>
      <c r="Q89" s="58" t="str">
        <f t="shared" si="18"/>
        <v>0</v>
      </c>
      <c r="R89" s="58">
        <f t="shared" si="19"/>
        <v>0</v>
      </c>
      <c r="S89" s="69">
        <f t="shared" si="20"/>
        <v>0</v>
      </c>
      <c r="T89" s="58" t="str">
        <f>IFERROR(VLOOKUP(D89,'RJ ATTENDENCE SHEET'!$C:$S,17,0),"")</f>
        <v/>
      </c>
      <c r="U89" s="58">
        <f t="shared" si="21"/>
        <v>0</v>
      </c>
      <c r="V89" s="58">
        <f t="shared" si="22"/>
        <v>0</v>
      </c>
      <c r="W89" s="71"/>
      <c r="X89" s="249"/>
      <c r="Y89" s="47"/>
      <c r="Z89" s="47"/>
      <c r="AA89" s="47"/>
      <c r="AB89" s="47"/>
    </row>
    <row r="90" spans="1:28" ht="39.950000000000003" hidden="1" customHeight="1">
      <c r="A90" s="55">
        <v>82</v>
      </c>
      <c r="B90" s="55" t="str">
        <f>IFERROR(VLOOKUP(D90,'RJ ATTENDENCE SHEET'!$C:$D,2,0),"")</f>
        <v/>
      </c>
      <c r="C90" s="55" t="str">
        <f>IFERROR(VLOOKUP(D90,'DATA '!$D:$E,2,0),"")</f>
        <v/>
      </c>
      <c r="D90" s="56" t="str">
        <f>'DATA '!K84</f>
        <v/>
      </c>
      <c r="E90" s="57" t="str">
        <f t="shared" si="12"/>
        <v/>
      </c>
      <c r="F90" s="58" t="str">
        <f>IFERROR(VLOOKUP(D90,'RJ ATTENDENCE SHEET'!$C:$O,10,0),"")</f>
        <v/>
      </c>
      <c r="G90" s="58" t="str">
        <f>IFERROR(VLOOKUP(D90,'RJ ATTENDENCE SHEET'!$C:$O,11,0),"")</f>
        <v/>
      </c>
      <c r="H90" s="58" t="str">
        <f>IFERROR(VLOOKUP(D90,'RJ ATTENDENCE SHEET'!$C:$O,12,0),"")</f>
        <v/>
      </c>
      <c r="I90" s="58">
        <f t="shared" si="13"/>
        <v>0</v>
      </c>
      <c r="J90" s="62">
        <f>DAY(EOMONTH('RJ ATTENDENCE SHEET'!$A$1,0))</f>
        <v>31</v>
      </c>
      <c r="K90" s="63"/>
      <c r="L90" s="58" t="str">
        <f t="shared" si="14"/>
        <v/>
      </c>
      <c r="M90" s="58" t="str">
        <f t="shared" si="15"/>
        <v/>
      </c>
      <c r="N90" s="58" t="str">
        <f t="shared" si="16"/>
        <v/>
      </c>
      <c r="O90" s="58" t="str">
        <f>IFERROR(VLOOKUP(D90,WAGES!$C:$L,10,0)-L90-M90-N90,"")</f>
        <v/>
      </c>
      <c r="P90" s="62">
        <f t="shared" si="17"/>
        <v>0</v>
      </c>
      <c r="Q90" s="58" t="str">
        <f t="shared" si="18"/>
        <v>0</v>
      </c>
      <c r="R90" s="58">
        <f t="shared" si="19"/>
        <v>0</v>
      </c>
      <c r="S90" s="69">
        <f t="shared" si="20"/>
        <v>0</v>
      </c>
      <c r="T90" s="58" t="str">
        <f>IFERROR(VLOOKUP(D90,'RJ ATTENDENCE SHEET'!$C:$S,17,0),"")</f>
        <v/>
      </c>
      <c r="U90" s="58">
        <f t="shared" si="21"/>
        <v>0</v>
      </c>
      <c r="V90" s="58">
        <f t="shared" si="22"/>
        <v>0</v>
      </c>
      <c r="W90" s="71"/>
      <c r="X90" s="249"/>
      <c r="Y90" s="47"/>
      <c r="Z90" s="47"/>
      <c r="AA90" s="47"/>
      <c r="AB90" s="47"/>
    </row>
    <row r="91" spans="1:28" ht="39.950000000000003" hidden="1" customHeight="1">
      <c r="A91" s="55">
        <v>83</v>
      </c>
      <c r="B91" s="55" t="str">
        <f>IFERROR(VLOOKUP(D91,'RJ ATTENDENCE SHEET'!$C:$D,2,0),"")</f>
        <v/>
      </c>
      <c r="C91" s="55" t="str">
        <f>IFERROR(VLOOKUP(D91,'DATA '!$D:$E,2,0),"")</f>
        <v/>
      </c>
      <c r="D91" s="56" t="str">
        <f>'DATA '!K85</f>
        <v/>
      </c>
      <c r="E91" s="57" t="str">
        <f t="shared" si="12"/>
        <v/>
      </c>
      <c r="F91" s="58" t="str">
        <f>IFERROR(VLOOKUP(D91,'RJ ATTENDENCE SHEET'!$C:$O,10,0),"")</f>
        <v/>
      </c>
      <c r="G91" s="58" t="str">
        <f>IFERROR(VLOOKUP(D91,'RJ ATTENDENCE SHEET'!$C:$O,11,0),"")</f>
        <v/>
      </c>
      <c r="H91" s="58" t="str">
        <f>IFERROR(VLOOKUP(D91,'RJ ATTENDENCE SHEET'!$C:$O,12,0),"")</f>
        <v/>
      </c>
      <c r="I91" s="58">
        <f t="shared" si="13"/>
        <v>0</v>
      </c>
      <c r="J91" s="62">
        <f>DAY(EOMONTH('RJ ATTENDENCE SHEET'!$A$1,0))</f>
        <v>31</v>
      </c>
      <c r="K91" s="63"/>
      <c r="L91" s="58" t="str">
        <f t="shared" si="14"/>
        <v/>
      </c>
      <c r="M91" s="58" t="str">
        <f t="shared" si="15"/>
        <v/>
      </c>
      <c r="N91" s="58" t="str">
        <f t="shared" si="16"/>
        <v/>
      </c>
      <c r="O91" s="58" t="str">
        <f>IFERROR(VLOOKUP(D91,WAGES!$C:$L,10,0)-L91-M91-N91,"")</f>
        <v/>
      </c>
      <c r="P91" s="62">
        <f t="shared" si="17"/>
        <v>0</v>
      </c>
      <c r="Q91" s="58" t="str">
        <f t="shared" si="18"/>
        <v>0</v>
      </c>
      <c r="R91" s="58">
        <f t="shared" si="19"/>
        <v>0</v>
      </c>
      <c r="S91" s="69">
        <f t="shared" si="20"/>
        <v>0</v>
      </c>
      <c r="T91" s="58" t="str">
        <f>IFERROR(VLOOKUP(D91,'RJ ATTENDENCE SHEET'!$C:$S,17,0),"")</f>
        <v/>
      </c>
      <c r="U91" s="58">
        <f t="shared" si="21"/>
        <v>0</v>
      </c>
      <c r="V91" s="58">
        <f t="shared" si="22"/>
        <v>0</v>
      </c>
      <c r="W91" s="71"/>
      <c r="X91" s="249"/>
      <c r="Y91" s="47"/>
      <c r="Z91" s="47"/>
      <c r="AA91" s="47"/>
      <c r="AB91" s="47"/>
    </row>
    <row r="92" spans="1:28" ht="39.950000000000003" hidden="1" customHeight="1">
      <c r="A92" s="55">
        <v>84</v>
      </c>
      <c r="B92" s="55" t="str">
        <f>IFERROR(VLOOKUP(D92,'RJ ATTENDENCE SHEET'!$C:$D,2,0),"")</f>
        <v/>
      </c>
      <c r="C92" s="55" t="str">
        <f>IFERROR(VLOOKUP(D92,'DATA '!$D:$E,2,0),"")</f>
        <v/>
      </c>
      <c r="D92" s="56" t="str">
        <f>'DATA '!K86</f>
        <v/>
      </c>
      <c r="E92" s="57" t="str">
        <f t="shared" si="12"/>
        <v/>
      </c>
      <c r="F92" s="58" t="str">
        <f>IFERROR(VLOOKUP(D92,'RJ ATTENDENCE SHEET'!$C:$O,10,0),"")</f>
        <v/>
      </c>
      <c r="G92" s="58" t="str">
        <f>IFERROR(VLOOKUP(D92,'RJ ATTENDENCE SHEET'!$C:$O,11,0),"")</f>
        <v/>
      </c>
      <c r="H92" s="58" t="str">
        <f>IFERROR(VLOOKUP(D92,'RJ ATTENDENCE SHEET'!$C:$O,12,0),"")</f>
        <v/>
      </c>
      <c r="I92" s="58">
        <f t="shared" si="13"/>
        <v>0</v>
      </c>
      <c r="J92" s="62">
        <f>DAY(EOMONTH('RJ ATTENDENCE SHEET'!$A$1,0))</f>
        <v>31</v>
      </c>
      <c r="K92" s="63"/>
      <c r="L92" s="58" t="str">
        <f t="shared" si="14"/>
        <v/>
      </c>
      <c r="M92" s="58" t="str">
        <f t="shared" si="15"/>
        <v/>
      </c>
      <c r="N92" s="58" t="str">
        <f t="shared" si="16"/>
        <v/>
      </c>
      <c r="O92" s="58" t="str">
        <f>IFERROR(VLOOKUP(D92,WAGES!$C:$L,10,0)-L92-M92-N92,"")</f>
        <v/>
      </c>
      <c r="P92" s="62">
        <f t="shared" si="17"/>
        <v>0</v>
      </c>
      <c r="Q92" s="58" t="str">
        <f t="shared" si="18"/>
        <v>0</v>
      </c>
      <c r="R92" s="58">
        <f t="shared" si="19"/>
        <v>0</v>
      </c>
      <c r="S92" s="69">
        <f t="shared" si="20"/>
        <v>0</v>
      </c>
      <c r="T92" s="58" t="str">
        <f>IFERROR(VLOOKUP(D92,'RJ ATTENDENCE SHEET'!$C:$S,17,0),"")</f>
        <v/>
      </c>
      <c r="U92" s="58">
        <f t="shared" si="21"/>
        <v>0</v>
      </c>
      <c r="V92" s="58">
        <f t="shared" si="22"/>
        <v>0</v>
      </c>
      <c r="W92" s="71"/>
      <c r="X92" s="249"/>
      <c r="Y92" s="47"/>
      <c r="Z92" s="47"/>
      <c r="AA92" s="47"/>
      <c r="AB92" s="47"/>
    </row>
    <row r="93" spans="1:28" ht="39.950000000000003" hidden="1" customHeight="1">
      <c r="A93" s="55">
        <v>85</v>
      </c>
      <c r="B93" s="55" t="str">
        <f>IFERROR(VLOOKUP(D93,'RJ ATTENDENCE SHEET'!$C:$D,2,0),"")</f>
        <v/>
      </c>
      <c r="C93" s="55" t="str">
        <f>IFERROR(VLOOKUP(D93,'DATA '!$D:$E,2,0),"")</f>
        <v/>
      </c>
      <c r="D93" s="56" t="str">
        <f>'DATA '!K87</f>
        <v/>
      </c>
      <c r="E93" s="57" t="str">
        <f t="shared" si="12"/>
        <v/>
      </c>
      <c r="F93" s="58" t="str">
        <f>IFERROR(VLOOKUP(D93,'RJ ATTENDENCE SHEET'!$C:$O,10,0),"")</f>
        <v/>
      </c>
      <c r="G93" s="58" t="str">
        <f>IFERROR(VLOOKUP(D93,'RJ ATTENDENCE SHEET'!$C:$O,11,0),"")</f>
        <v/>
      </c>
      <c r="H93" s="58" t="str">
        <f>IFERROR(VLOOKUP(D93,'RJ ATTENDENCE SHEET'!$C:$O,12,0),"")</f>
        <v/>
      </c>
      <c r="I93" s="58">
        <f t="shared" si="13"/>
        <v>0</v>
      </c>
      <c r="J93" s="62">
        <f>DAY(EOMONTH('RJ ATTENDENCE SHEET'!$A$1,0))</f>
        <v>31</v>
      </c>
      <c r="K93" s="63"/>
      <c r="L93" s="58" t="str">
        <f t="shared" si="14"/>
        <v/>
      </c>
      <c r="M93" s="58" t="str">
        <f t="shared" si="15"/>
        <v/>
      </c>
      <c r="N93" s="58" t="str">
        <f t="shared" si="16"/>
        <v/>
      </c>
      <c r="O93" s="58" t="str">
        <f>IFERROR(VLOOKUP(D93,WAGES!$C:$L,10,0)-L93-M93-N93,"")</f>
        <v/>
      </c>
      <c r="P93" s="62">
        <f t="shared" si="17"/>
        <v>0</v>
      </c>
      <c r="Q93" s="58" t="str">
        <f t="shared" si="18"/>
        <v>0</v>
      </c>
      <c r="R93" s="58">
        <f t="shared" si="19"/>
        <v>0</v>
      </c>
      <c r="S93" s="69">
        <f t="shared" si="20"/>
        <v>0</v>
      </c>
      <c r="T93" s="58" t="str">
        <f>IFERROR(VLOOKUP(D93,'RJ ATTENDENCE SHEET'!$C:$S,17,0),"")</f>
        <v/>
      </c>
      <c r="U93" s="58">
        <f t="shared" si="21"/>
        <v>0</v>
      </c>
      <c r="V93" s="58">
        <f t="shared" si="22"/>
        <v>0</v>
      </c>
      <c r="W93" s="71"/>
      <c r="X93" s="249"/>
      <c r="Y93" s="47"/>
      <c r="Z93" s="47"/>
      <c r="AA93" s="47"/>
      <c r="AB93" s="47"/>
    </row>
    <row r="94" spans="1:28" ht="39.950000000000003" hidden="1" customHeight="1">
      <c r="A94" s="55">
        <v>86</v>
      </c>
      <c r="B94" s="55" t="str">
        <f>IFERROR(VLOOKUP(D94,'RJ ATTENDENCE SHEET'!$C:$D,2,0),"")</f>
        <v/>
      </c>
      <c r="C94" s="55" t="str">
        <f>IFERROR(VLOOKUP(D94,'DATA '!$D:$E,2,0),"")</f>
        <v/>
      </c>
      <c r="D94" s="56" t="str">
        <f>'DATA '!K88</f>
        <v/>
      </c>
      <c r="E94" s="57" t="str">
        <f t="shared" si="12"/>
        <v/>
      </c>
      <c r="F94" s="58" t="str">
        <f>IFERROR(VLOOKUP(D94,'RJ ATTENDENCE SHEET'!$C:$O,10,0),"")</f>
        <v/>
      </c>
      <c r="G94" s="58" t="str">
        <f>IFERROR(VLOOKUP(D94,'RJ ATTENDENCE SHEET'!$C:$O,11,0),"")</f>
        <v/>
      </c>
      <c r="H94" s="58" t="str">
        <f>IFERROR(VLOOKUP(D94,'RJ ATTENDENCE SHEET'!$C:$O,12,0),"")</f>
        <v/>
      </c>
      <c r="I94" s="58">
        <f t="shared" si="13"/>
        <v>0</v>
      </c>
      <c r="J94" s="62">
        <f>DAY(EOMONTH('RJ ATTENDENCE SHEET'!$A$1,0))</f>
        <v>31</v>
      </c>
      <c r="K94" s="63"/>
      <c r="L94" s="58" t="str">
        <f t="shared" si="14"/>
        <v/>
      </c>
      <c r="M94" s="58" t="str">
        <f t="shared" si="15"/>
        <v/>
      </c>
      <c r="N94" s="58" t="str">
        <f t="shared" si="16"/>
        <v/>
      </c>
      <c r="O94" s="58" t="str">
        <f>IFERROR(VLOOKUP(D94,WAGES!$C:$L,10,0)-L94-M94-N94,"")</f>
        <v/>
      </c>
      <c r="P94" s="62">
        <f t="shared" si="17"/>
        <v>0</v>
      </c>
      <c r="Q94" s="58" t="str">
        <f t="shared" si="18"/>
        <v>0</v>
      </c>
      <c r="R94" s="58">
        <f t="shared" si="19"/>
        <v>0</v>
      </c>
      <c r="S94" s="69">
        <f t="shared" si="20"/>
        <v>0</v>
      </c>
      <c r="T94" s="58" t="str">
        <f>IFERROR(VLOOKUP(D94,'RJ ATTENDENCE SHEET'!$C:$S,17,0),"")</f>
        <v/>
      </c>
      <c r="U94" s="58">
        <f t="shared" si="21"/>
        <v>0</v>
      </c>
      <c r="V94" s="58">
        <f t="shared" si="22"/>
        <v>0</v>
      </c>
      <c r="W94" s="71"/>
      <c r="X94" s="249"/>
      <c r="Y94" s="47"/>
      <c r="Z94" s="47"/>
      <c r="AA94" s="47"/>
      <c r="AB94" s="47"/>
    </row>
    <row r="95" spans="1:28" ht="39.950000000000003" hidden="1" customHeight="1">
      <c r="A95" s="55">
        <v>87</v>
      </c>
      <c r="B95" s="55" t="str">
        <f>IFERROR(VLOOKUP(D95,'RJ ATTENDENCE SHEET'!$C:$D,2,0),"")</f>
        <v/>
      </c>
      <c r="C95" s="55" t="str">
        <f>IFERROR(VLOOKUP(D95,'DATA '!$D:$E,2,0),"")</f>
        <v/>
      </c>
      <c r="D95" s="56" t="str">
        <f>'DATA '!K89</f>
        <v/>
      </c>
      <c r="E95" s="57" t="str">
        <f t="shared" si="12"/>
        <v/>
      </c>
      <c r="F95" s="58" t="str">
        <f>IFERROR(VLOOKUP(D95,'RJ ATTENDENCE SHEET'!$C:$O,10,0),"")</f>
        <v/>
      </c>
      <c r="G95" s="58" t="str">
        <f>IFERROR(VLOOKUP(D95,'RJ ATTENDENCE SHEET'!$C:$O,11,0),"")</f>
        <v/>
      </c>
      <c r="H95" s="58" t="str">
        <f>IFERROR(VLOOKUP(D95,'RJ ATTENDENCE SHEET'!$C:$O,12,0),"")</f>
        <v/>
      </c>
      <c r="I95" s="58">
        <f t="shared" si="13"/>
        <v>0</v>
      </c>
      <c r="J95" s="62">
        <f>DAY(EOMONTH('RJ ATTENDENCE SHEET'!$A$1,0))</f>
        <v>31</v>
      </c>
      <c r="K95" s="63"/>
      <c r="L95" s="58" t="str">
        <f t="shared" si="14"/>
        <v/>
      </c>
      <c r="M95" s="58" t="str">
        <f t="shared" si="15"/>
        <v/>
      </c>
      <c r="N95" s="58" t="str">
        <f t="shared" si="16"/>
        <v/>
      </c>
      <c r="O95" s="58" t="str">
        <f>IFERROR(VLOOKUP(D95,WAGES!$C:$L,10,0)-L95-M95-N95,"")</f>
        <v/>
      </c>
      <c r="P95" s="62">
        <f t="shared" si="17"/>
        <v>0</v>
      </c>
      <c r="Q95" s="58" t="str">
        <f t="shared" si="18"/>
        <v>0</v>
      </c>
      <c r="R95" s="58">
        <f t="shared" si="19"/>
        <v>0</v>
      </c>
      <c r="S95" s="69">
        <f t="shared" si="20"/>
        <v>0</v>
      </c>
      <c r="T95" s="58" t="str">
        <f>IFERROR(VLOOKUP(D95,'RJ ATTENDENCE SHEET'!$C:$S,17,0),"")</f>
        <v/>
      </c>
      <c r="U95" s="58">
        <f t="shared" si="21"/>
        <v>0</v>
      </c>
      <c r="V95" s="58">
        <f t="shared" si="22"/>
        <v>0</v>
      </c>
      <c r="W95" s="71"/>
      <c r="X95" s="249"/>
      <c r="Y95" s="47"/>
      <c r="Z95" s="47"/>
      <c r="AA95" s="47"/>
      <c r="AB95" s="47"/>
    </row>
    <row r="96" spans="1:28" ht="39.950000000000003" hidden="1" customHeight="1">
      <c r="A96" s="55">
        <v>88</v>
      </c>
      <c r="B96" s="55" t="str">
        <f>IFERROR(VLOOKUP(D96,'RJ ATTENDENCE SHEET'!$C:$D,2,0),"")</f>
        <v/>
      </c>
      <c r="C96" s="55" t="str">
        <f>IFERROR(VLOOKUP(D96,'DATA '!$D:$E,2,0),"")</f>
        <v/>
      </c>
      <c r="D96" s="56" t="str">
        <f>'DATA '!K90</f>
        <v/>
      </c>
      <c r="E96" s="57" t="str">
        <f t="shared" si="12"/>
        <v/>
      </c>
      <c r="F96" s="58" t="str">
        <f>IFERROR(VLOOKUP(D96,'RJ ATTENDENCE SHEET'!$C:$O,10,0),"")</f>
        <v/>
      </c>
      <c r="G96" s="58" t="str">
        <f>IFERROR(VLOOKUP(D96,'RJ ATTENDENCE SHEET'!$C:$O,11,0),"")</f>
        <v/>
      </c>
      <c r="H96" s="58" t="str">
        <f>IFERROR(VLOOKUP(D96,'RJ ATTENDENCE SHEET'!$C:$O,12,0),"")</f>
        <v/>
      </c>
      <c r="I96" s="58">
        <f t="shared" si="13"/>
        <v>0</v>
      </c>
      <c r="J96" s="62">
        <f>DAY(EOMONTH('RJ ATTENDENCE SHEET'!$A$1,0))</f>
        <v>31</v>
      </c>
      <c r="K96" s="63"/>
      <c r="L96" s="58" t="str">
        <f t="shared" si="14"/>
        <v/>
      </c>
      <c r="M96" s="58" t="str">
        <f t="shared" si="15"/>
        <v/>
      </c>
      <c r="N96" s="58" t="str">
        <f t="shared" si="16"/>
        <v/>
      </c>
      <c r="O96" s="58" t="str">
        <f>IFERROR(VLOOKUP(D96,WAGES!$C:$L,10,0)-L96-M96-N96,"")</f>
        <v/>
      </c>
      <c r="P96" s="62">
        <f t="shared" si="17"/>
        <v>0</v>
      </c>
      <c r="Q96" s="58" t="str">
        <f t="shared" si="18"/>
        <v>0</v>
      </c>
      <c r="R96" s="58">
        <f t="shared" si="19"/>
        <v>0</v>
      </c>
      <c r="S96" s="69">
        <f t="shared" si="20"/>
        <v>0</v>
      </c>
      <c r="T96" s="58" t="str">
        <f>IFERROR(VLOOKUP(D96,'RJ ATTENDENCE SHEET'!$C:$S,17,0),"")</f>
        <v/>
      </c>
      <c r="U96" s="58">
        <f t="shared" si="21"/>
        <v>0</v>
      </c>
      <c r="V96" s="58">
        <f t="shared" si="22"/>
        <v>0</v>
      </c>
      <c r="W96" s="71"/>
      <c r="X96" s="249"/>
      <c r="Y96" s="47"/>
      <c r="Z96" s="47"/>
      <c r="AA96" s="47"/>
      <c r="AB96" s="47"/>
    </row>
    <row r="97" spans="1:28" ht="39.950000000000003" hidden="1" customHeight="1">
      <c r="A97" s="55">
        <v>89</v>
      </c>
      <c r="B97" s="55" t="str">
        <f>IFERROR(VLOOKUP(D97,'RJ ATTENDENCE SHEET'!$C:$D,2,0),"")</f>
        <v/>
      </c>
      <c r="C97" s="55" t="str">
        <f>IFERROR(VLOOKUP(D97,'DATA '!$D:$E,2,0),"")</f>
        <v/>
      </c>
      <c r="D97" s="56" t="str">
        <f>'DATA '!K91</f>
        <v/>
      </c>
      <c r="E97" s="57" t="str">
        <f t="shared" si="12"/>
        <v/>
      </c>
      <c r="F97" s="58" t="str">
        <f>IFERROR(VLOOKUP(D97,'RJ ATTENDENCE SHEET'!$C:$O,10,0),"")</f>
        <v/>
      </c>
      <c r="G97" s="58" t="str">
        <f>IFERROR(VLOOKUP(D97,'RJ ATTENDENCE SHEET'!$C:$O,11,0),"")</f>
        <v/>
      </c>
      <c r="H97" s="58" t="str">
        <f>IFERROR(VLOOKUP(D97,'RJ ATTENDENCE SHEET'!$C:$O,12,0),"")</f>
        <v/>
      </c>
      <c r="I97" s="58">
        <f t="shared" si="13"/>
        <v>0</v>
      </c>
      <c r="J97" s="62">
        <f>DAY(EOMONTH('RJ ATTENDENCE SHEET'!$A$1,0))</f>
        <v>31</v>
      </c>
      <c r="K97" s="63"/>
      <c r="L97" s="58" t="str">
        <f t="shared" si="14"/>
        <v/>
      </c>
      <c r="M97" s="58" t="str">
        <f t="shared" si="15"/>
        <v/>
      </c>
      <c r="N97" s="58" t="str">
        <f t="shared" si="16"/>
        <v/>
      </c>
      <c r="O97" s="58" t="str">
        <f>IFERROR(VLOOKUP(D97,WAGES!$C:$L,10,0)-L97-M97-N97,"")</f>
        <v/>
      </c>
      <c r="P97" s="62">
        <f t="shared" si="17"/>
        <v>0</v>
      </c>
      <c r="Q97" s="58" t="str">
        <f t="shared" si="18"/>
        <v>0</v>
      </c>
      <c r="R97" s="58">
        <f t="shared" si="19"/>
        <v>0</v>
      </c>
      <c r="S97" s="69">
        <f t="shared" si="20"/>
        <v>0</v>
      </c>
      <c r="T97" s="58" t="str">
        <f>IFERROR(VLOOKUP(D97,'RJ ATTENDENCE SHEET'!$C:$S,17,0),"")</f>
        <v/>
      </c>
      <c r="U97" s="58">
        <f t="shared" si="21"/>
        <v>0</v>
      </c>
      <c r="V97" s="58">
        <f t="shared" si="22"/>
        <v>0</v>
      </c>
      <c r="W97" s="71"/>
      <c r="X97" s="249"/>
      <c r="Y97" s="47"/>
      <c r="Z97" s="47"/>
      <c r="AA97" s="47"/>
      <c r="AB97" s="47"/>
    </row>
    <row r="98" spans="1:28" ht="39.950000000000003" hidden="1" customHeight="1">
      <c r="A98" s="55">
        <v>90</v>
      </c>
      <c r="B98" s="55" t="str">
        <f>IFERROR(VLOOKUP(D98,'RJ ATTENDENCE SHEET'!$C:$D,2,0),"")</f>
        <v/>
      </c>
      <c r="C98" s="55" t="str">
        <f>IFERROR(VLOOKUP(D98,'DATA '!$D:$E,2,0),"")</f>
        <v/>
      </c>
      <c r="D98" s="56" t="str">
        <f>'DATA '!K92</f>
        <v/>
      </c>
      <c r="E98" s="57" t="str">
        <f t="shared" ref="E98:E108" si="23">B98</f>
        <v/>
      </c>
      <c r="F98" s="58" t="str">
        <f>IFERROR(VLOOKUP(D98,'RJ ATTENDENCE SHEET'!$C:$O,10,0),"")</f>
        <v/>
      </c>
      <c r="G98" s="58" t="str">
        <f>IFERROR(VLOOKUP(D98,'RJ ATTENDENCE SHEET'!$C:$O,11,0),"")</f>
        <v/>
      </c>
      <c r="H98" s="58" t="str">
        <f>IFERROR(VLOOKUP(D98,'RJ ATTENDENCE SHEET'!$C:$O,12,0),"")</f>
        <v/>
      </c>
      <c r="I98" s="58">
        <f t="shared" ref="I98:I108" si="24">IFERROR(SUM(F98:H98),"")</f>
        <v>0</v>
      </c>
      <c r="J98" s="62">
        <f>DAY(EOMONTH('RJ ATTENDENCE SHEET'!$A$1,0))</f>
        <v>31</v>
      </c>
      <c r="K98" s="63"/>
      <c r="L98" s="58" t="str">
        <f t="shared" ref="L98:L108" si="25">IFERROR(ROUND(F98/J98*K98,0),"")</f>
        <v/>
      </c>
      <c r="M98" s="58" t="str">
        <f t="shared" ref="M98:M108" si="26">IFERROR(G98/J98*K98,"")</f>
        <v/>
      </c>
      <c r="N98" s="58" t="str">
        <f t="shared" ref="N98:N108" si="27">IFERROR(H98/J98*K98,"")</f>
        <v/>
      </c>
      <c r="O98" s="58" t="str">
        <f>IFERROR(VLOOKUP(D98,WAGES!$C:$L,10,0)-L98-M98-N98,"")</f>
        <v/>
      </c>
      <c r="P98" s="62">
        <f t="shared" si="17"/>
        <v>0</v>
      </c>
      <c r="Q98" s="58" t="str">
        <f t="shared" si="18"/>
        <v>0</v>
      </c>
      <c r="R98" s="58">
        <f t="shared" si="19"/>
        <v>0</v>
      </c>
      <c r="S98" s="69">
        <f t="shared" si="20"/>
        <v>0</v>
      </c>
      <c r="T98" s="58" t="str">
        <f>IFERROR(VLOOKUP(D98,'RJ ATTENDENCE SHEET'!$C:$S,17,0),"")</f>
        <v/>
      </c>
      <c r="U98" s="58">
        <f t="shared" si="21"/>
        <v>0</v>
      </c>
      <c r="V98" s="58">
        <f t="shared" si="22"/>
        <v>0</v>
      </c>
      <c r="W98" s="71"/>
      <c r="X98" s="249"/>
      <c r="Y98" s="47"/>
      <c r="Z98" s="47"/>
      <c r="AA98" s="47"/>
      <c r="AB98" s="47"/>
    </row>
    <row r="99" spans="1:28" ht="39.950000000000003" hidden="1" customHeight="1">
      <c r="A99" s="55">
        <v>91</v>
      </c>
      <c r="B99" s="55" t="str">
        <f>IFERROR(VLOOKUP(D99,'RJ ATTENDENCE SHEET'!$C:$D,2,0),"")</f>
        <v/>
      </c>
      <c r="C99" s="55" t="str">
        <f>IFERROR(VLOOKUP(D99,'DATA '!$D:$E,2,0),"")</f>
        <v/>
      </c>
      <c r="D99" s="56" t="str">
        <f>'DATA '!K93</f>
        <v/>
      </c>
      <c r="E99" s="57" t="str">
        <f t="shared" si="23"/>
        <v/>
      </c>
      <c r="F99" s="58" t="str">
        <f>IFERROR(VLOOKUP(D99,'RJ ATTENDENCE SHEET'!$C:$O,10,0),"")</f>
        <v/>
      </c>
      <c r="G99" s="58" t="str">
        <f>IFERROR(VLOOKUP(D99,'RJ ATTENDENCE SHEET'!$C:$O,11,0),"")</f>
        <v/>
      </c>
      <c r="H99" s="58" t="str">
        <f>IFERROR(VLOOKUP(D99,'RJ ATTENDENCE SHEET'!$C:$O,12,0),"")</f>
        <v/>
      </c>
      <c r="I99" s="58">
        <f t="shared" si="24"/>
        <v>0</v>
      </c>
      <c r="J99" s="62">
        <f>DAY(EOMONTH('RJ ATTENDENCE SHEET'!$A$1,0))</f>
        <v>31</v>
      </c>
      <c r="K99" s="63"/>
      <c r="L99" s="58" t="str">
        <f t="shared" si="25"/>
        <v/>
      </c>
      <c r="M99" s="58" t="str">
        <f t="shared" si="26"/>
        <v/>
      </c>
      <c r="N99" s="58" t="str">
        <f t="shared" si="27"/>
        <v/>
      </c>
      <c r="O99" s="58" t="str">
        <f>IFERROR(VLOOKUP(D99,WAGES!$C:$L,10,0)-L99-M99-N99,"")</f>
        <v/>
      </c>
      <c r="P99" s="62">
        <f t="shared" si="17"/>
        <v>0</v>
      </c>
      <c r="Q99" s="58" t="str">
        <f t="shared" si="18"/>
        <v>0</v>
      </c>
      <c r="R99" s="58">
        <f t="shared" si="19"/>
        <v>0</v>
      </c>
      <c r="S99" s="69">
        <f t="shared" si="20"/>
        <v>0</v>
      </c>
      <c r="T99" s="58" t="str">
        <f>IFERROR(VLOOKUP(D99,'RJ ATTENDENCE SHEET'!$C:$S,17,0),"")</f>
        <v/>
      </c>
      <c r="U99" s="58">
        <f t="shared" si="21"/>
        <v>0</v>
      </c>
      <c r="V99" s="58">
        <f t="shared" si="22"/>
        <v>0</v>
      </c>
      <c r="W99" s="71"/>
      <c r="X99" s="249"/>
      <c r="Y99" s="47"/>
      <c r="Z99" s="47"/>
      <c r="AA99" s="47"/>
      <c r="AB99" s="47"/>
    </row>
    <row r="100" spans="1:28" ht="39.950000000000003" hidden="1" customHeight="1">
      <c r="A100" s="55">
        <v>92</v>
      </c>
      <c r="B100" s="55" t="str">
        <f>IFERROR(VLOOKUP(D100,'RJ ATTENDENCE SHEET'!$C:$D,2,0),"")</f>
        <v/>
      </c>
      <c r="C100" s="55" t="str">
        <f>IFERROR(VLOOKUP(D100,'DATA '!$D:$E,2,0),"")</f>
        <v/>
      </c>
      <c r="D100" s="56" t="str">
        <f>'DATA '!K94</f>
        <v/>
      </c>
      <c r="E100" s="57" t="str">
        <f t="shared" si="23"/>
        <v/>
      </c>
      <c r="F100" s="58" t="str">
        <f>IFERROR(VLOOKUP(D100,'RJ ATTENDENCE SHEET'!$C:$O,10,0),"")</f>
        <v/>
      </c>
      <c r="G100" s="58" t="str">
        <f>IFERROR(VLOOKUP(D100,'RJ ATTENDENCE SHEET'!$C:$O,11,0),"")</f>
        <v/>
      </c>
      <c r="H100" s="58" t="str">
        <f>IFERROR(VLOOKUP(D100,'RJ ATTENDENCE SHEET'!$C:$O,12,0),"")</f>
        <v/>
      </c>
      <c r="I100" s="58">
        <f t="shared" si="24"/>
        <v>0</v>
      </c>
      <c r="J100" s="62">
        <f>DAY(EOMONTH('RJ ATTENDENCE SHEET'!$A$1,0))</f>
        <v>31</v>
      </c>
      <c r="K100" s="63"/>
      <c r="L100" s="58" t="str">
        <f t="shared" si="25"/>
        <v/>
      </c>
      <c r="M100" s="58" t="str">
        <f t="shared" si="26"/>
        <v/>
      </c>
      <c r="N100" s="58" t="str">
        <f t="shared" si="27"/>
        <v/>
      </c>
      <c r="O100" s="58" t="str">
        <f>IFERROR(VLOOKUP(D100,WAGES!$C:$L,10,0)-L100-M100-N100,"")</f>
        <v/>
      </c>
      <c r="P100" s="62">
        <f t="shared" si="17"/>
        <v>0</v>
      </c>
      <c r="Q100" s="58" t="str">
        <f t="shared" si="18"/>
        <v>0</v>
      </c>
      <c r="R100" s="58">
        <f t="shared" si="19"/>
        <v>0</v>
      </c>
      <c r="S100" s="69">
        <f t="shared" si="20"/>
        <v>0</v>
      </c>
      <c r="T100" s="58" t="str">
        <f>IFERROR(VLOOKUP(D100,'RJ ATTENDENCE SHEET'!$C:$S,17,0),"")</f>
        <v/>
      </c>
      <c r="U100" s="58">
        <f t="shared" si="21"/>
        <v>0</v>
      </c>
      <c r="V100" s="58">
        <f t="shared" si="22"/>
        <v>0</v>
      </c>
      <c r="W100" s="71"/>
      <c r="X100" s="249"/>
      <c r="Y100" s="47"/>
      <c r="Z100" s="47"/>
      <c r="AA100" s="47"/>
      <c r="AB100" s="47"/>
    </row>
    <row r="101" spans="1:28" ht="39.950000000000003" hidden="1" customHeight="1">
      <c r="A101" s="55">
        <v>93</v>
      </c>
      <c r="B101" s="55" t="str">
        <f>IFERROR(VLOOKUP(D101,'RJ ATTENDENCE SHEET'!$C:$D,2,0),"")</f>
        <v/>
      </c>
      <c r="C101" s="55" t="str">
        <f>IFERROR(VLOOKUP(D101,'DATA '!$D:$E,2,0),"")</f>
        <v/>
      </c>
      <c r="D101" s="56" t="str">
        <f>'DATA '!K95</f>
        <v/>
      </c>
      <c r="E101" s="57" t="str">
        <f t="shared" si="23"/>
        <v/>
      </c>
      <c r="F101" s="58" t="str">
        <f>IFERROR(VLOOKUP(D101,'RJ ATTENDENCE SHEET'!$C:$O,10,0),"")</f>
        <v/>
      </c>
      <c r="G101" s="58" t="str">
        <f>IFERROR(VLOOKUP(D101,'RJ ATTENDENCE SHEET'!$C:$O,11,0),"")</f>
        <v/>
      </c>
      <c r="H101" s="58" t="str">
        <f>IFERROR(VLOOKUP(D101,'RJ ATTENDENCE SHEET'!$C:$O,12,0),"")</f>
        <v/>
      </c>
      <c r="I101" s="58">
        <f t="shared" si="24"/>
        <v>0</v>
      </c>
      <c r="J101" s="62">
        <f>DAY(EOMONTH('RJ ATTENDENCE SHEET'!$A$1,0))</f>
        <v>31</v>
      </c>
      <c r="K101" s="63"/>
      <c r="L101" s="58" t="str">
        <f t="shared" si="25"/>
        <v/>
      </c>
      <c r="M101" s="58" t="str">
        <f t="shared" si="26"/>
        <v/>
      </c>
      <c r="N101" s="58" t="str">
        <f t="shared" si="27"/>
        <v/>
      </c>
      <c r="O101" s="58" t="str">
        <f>IFERROR(VLOOKUP(D101,WAGES!$C:$L,10,0)-L101-M101-N101,"")</f>
        <v/>
      </c>
      <c r="P101" s="62">
        <f t="shared" ref="P101:P108" si="28">SUM(L101:O101)</f>
        <v>0</v>
      </c>
      <c r="Q101" s="58" t="str">
        <f t="shared" si="18"/>
        <v>0</v>
      </c>
      <c r="R101" s="58">
        <f t="shared" si="19"/>
        <v>0</v>
      </c>
      <c r="S101" s="69">
        <f t="shared" si="20"/>
        <v>0</v>
      </c>
      <c r="T101" s="58" t="str">
        <f>IFERROR(VLOOKUP(D101,'RJ ATTENDENCE SHEET'!$C:$S,17,0),"")</f>
        <v/>
      </c>
      <c r="U101" s="58">
        <f t="shared" si="21"/>
        <v>0</v>
      </c>
      <c r="V101" s="58">
        <f t="shared" si="22"/>
        <v>0</v>
      </c>
      <c r="W101" s="71"/>
      <c r="X101" s="249"/>
      <c r="Y101" s="47"/>
      <c r="Z101" s="47"/>
      <c r="AA101" s="47"/>
      <c r="AB101" s="47"/>
    </row>
    <row r="102" spans="1:28" ht="39.950000000000003" hidden="1" customHeight="1">
      <c r="A102" s="55">
        <v>94</v>
      </c>
      <c r="B102" s="55" t="str">
        <f>IFERROR(VLOOKUP(D102,'RJ ATTENDENCE SHEET'!$C:$D,2,0),"")</f>
        <v/>
      </c>
      <c r="C102" s="55" t="str">
        <f>IFERROR(VLOOKUP(D102,'DATA '!$D:$E,2,0),"")</f>
        <v/>
      </c>
      <c r="D102" s="56" t="str">
        <f>'DATA '!K96</f>
        <v/>
      </c>
      <c r="E102" s="57" t="str">
        <f t="shared" si="23"/>
        <v/>
      </c>
      <c r="F102" s="58" t="str">
        <f>IFERROR(VLOOKUP(D102,'RJ ATTENDENCE SHEET'!$C:$O,10,0),"")</f>
        <v/>
      </c>
      <c r="G102" s="58" t="str">
        <f>IFERROR(VLOOKUP(D102,'RJ ATTENDENCE SHEET'!$C:$O,11,0),"")</f>
        <v/>
      </c>
      <c r="H102" s="58" t="str">
        <f>IFERROR(VLOOKUP(D102,'RJ ATTENDENCE SHEET'!$C:$O,12,0),"")</f>
        <v/>
      </c>
      <c r="I102" s="58">
        <f t="shared" si="24"/>
        <v>0</v>
      </c>
      <c r="J102" s="62">
        <f>DAY(EOMONTH('RJ ATTENDENCE SHEET'!$A$1,0))</f>
        <v>31</v>
      </c>
      <c r="K102" s="63"/>
      <c r="L102" s="58" t="str">
        <f t="shared" si="25"/>
        <v/>
      </c>
      <c r="M102" s="58" t="str">
        <f t="shared" si="26"/>
        <v/>
      </c>
      <c r="N102" s="58" t="str">
        <f t="shared" si="27"/>
        <v/>
      </c>
      <c r="O102" s="58" t="str">
        <f>IFERROR(VLOOKUP(D102,WAGES!$C:$L,10,0)-L102-M102-N102,"")</f>
        <v/>
      </c>
      <c r="P102" s="62">
        <f t="shared" si="28"/>
        <v>0</v>
      </c>
      <c r="Q102" s="58" t="str">
        <f t="shared" si="18"/>
        <v>0</v>
      </c>
      <c r="R102" s="58">
        <f t="shared" si="19"/>
        <v>0</v>
      </c>
      <c r="S102" s="69">
        <f t="shared" si="20"/>
        <v>0</v>
      </c>
      <c r="T102" s="58" t="str">
        <f>IFERROR(VLOOKUP(D102,'RJ ATTENDENCE SHEET'!$C:$S,17,0),"")</f>
        <v/>
      </c>
      <c r="U102" s="58">
        <f t="shared" si="21"/>
        <v>0</v>
      </c>
      <c r="V102" s="58">
        <f t="shared" si="22"/>
        <v>0</v>
      </c>
      <c r="W102" s="71"/>
      <c r="X102" s="249"/>
      <c r="Y102" s="47"/>
      <c r="Z102" s="47"/>
      <c r="AA102" s="47"/>
      <c r="AB102" s="47"/>
    </row>
    <row r="103" spans="1:28" ht="39.950000000000003" hidden="1" customHeight="1">
      <c r="A103" s="55">
        <v>95</v>
      </c>
      <c r="B103" s="55" t="str">
        <f>IFERROR(VLOOKUP(D103,'RJ ATTENDENCE SHEET'!$C:$D,2,0),"")</f>
        <v/>
      </c>
      <c r="C103" s="55" t="str">
        <f>IFERROR(VLOOKUP(D103,'DATA '!$D:$E,2,0),"")</f>
        <v/>
      </c>
      <c r="D103" s="56" t="str">
        <f>'DATA '!K97</f>
        <v/>
      </c>
      <c r="E103" s="57" t="str">
        <f t="shared" si="23"/>
        <v/>
      </c>
      <c r="F103" s="58" t="str">
        <f>IFERROR(VLOOKUP(D103,'RJ ATTENDENCE SHEET'!$C:$O,10,0),"")</f>
        <v/>
      </c>
      <c r="G103" s="58" t="str">
        <f>IFERROR(VLOOKUP(D103,'RJ ATTENDENCE SHEET'!$C:$O,11,0),"")</f>
        <v/>
      </c>
      <c r="H103" s="58" t="str">
        <f>IFERROR(VLOOKUP(D103,'RJ ATTENDENCE SHEET'!$C:$O,12,0),"")</f>
        <v/>
      </c>
      <c r="I103" s="58">
        <f t="shared" si="24"/>
        <v>0</v>
      </c>
      <c r="J103" s="62">
        <f>DAY(EOMONTH('RJ ATTENDENCE SHEET'!$A$1,0))</f>
        <v>31</v>
      </c>
      <c r="K103" s="63"/>
      <c r="L103" s="58" t="str">
        <f t="shared" si="25"/>
        <v/>
      </c>
      <c r="M103" s="58" t="str">
        <f t="shared" si="26"/>
        <v/>
      </c>
      <c r="N103" s="58" t="str">
        <f t="shared" si="27"/>
        <v/>
      </c>
      <c r="O103" s="58" t="str">
        <f>IFERROR(VLOOKUP(D103,WAGES!$C:$L,10,0)-L103-M103-N103,"")</f>
        <v/>
      </c>
      <c r="P103" s="62">
        <f t="shared" si="28"/>
        <v>0</v>
      </c>
      <c r="Q103" s="58" t="str">
        <f t="shared" si="18"/>
        <v>0</v>
      </c>
      <c r="R103" s="58">
        <f t="shared" si="19"/>
        <v>0</v>
      </c>
      <c r="S103" s="69">
        <f t="shared" si="20"/>
        <v>0</v>
      </c>
      <c r="T103" s="58" t="str">
        <f>IFERROR(VLOOKUP(D103,'RJ ATTENDENCE SHEET'!$C:$S,17,0),"")</f>
        <v/>
      </c>
      <c r="U103" s="58">
        <f t="shared" si="21"/>
        <v>0</v>
      </c>
      <c r="V103" s="58">
        <f t="shared" si="22"/>
        <v>0</v>
      </c>
      <c r="W103" s="71"/>
      <c r="X103" s="249"/>
      <c r="Y103" s="47"/>
      <c r="Z103" s="47"/>
      <c r="AA103" s="47"/>
      <c r="AB103" s="47"/>
    </row>
    <row r="104" spans="1:28" ht="39.950000000000003" hidden="1" customHeight="1">
      <c r="A104" s="55">
        <v>96</v>
      </c>
      <c r="B104" s="55" t="str">
        <f>IFERROR(VLOOKUP(D104,'RJ ATTENDENCE SHEET'!$C:$D,2,0),"")</f>
        <v/>
      </c>
      <c r="C104" s="55" t="str">
        <f>IFERROR(VLOOKUP(D104,'DATA '!$D:$E,2,0),"")</f>
        <v/>
      </c>
      <c r="D104" s="56" t="str">
        <f>'DATA '!K98</f>
        <v/>
      </c>
      <c r="E104" s="57" t="str">
        <f t="shared" si="23"/>
        <v/>
      </c>
      <c r="F104" s="58" t="str">
        <f>IFERROR(VLOOKUP(D104,'RJ ATTENDENCE SHEET'!$C:$O,10,0),"")</f>
        <v/>
      </c>
      <c r="G104" s="58" t="str">
        <f>IFERROR(VLOOKUP(D104,'RJ ATTENDENCE SHEET'!$C:$O,11,0),"")</f>
        <v/>
      </c>
      <c r="H104" s="58" t="str">
        <f>IFERROR(VLOOKUP(D104,'RJ ATTENDENCE SHEET'!$C:$O,12,0),"")</f>
        <v/>
      </c>
      <c r="I104" s="58">
        <f t="shared" si="24"/>
        <v>0</v>
      </c>
      <c r="J104" s="62">
        <f>DAY(EOMONTH('RJ ATTENDENCE SHEET'!$A$1,0))</f>
        <v>31</v>
      </c>
      <c r="K104" s="63"/>
      <c r="L104" s="58" t="str">
        <f t="shared" si="25"/>
        <v/>
      </c>
      <c r="M104" s="58" t="str">
        <f t="shared" si="26"/>
        <v/>
      </c>
      <c r="N104" s="58" t="str">
        <f t="shared" si="27"/>
        <v/>
      </c>
      <c r="O104" s="58" t="str">
        <f>IFERROR(VLOOKUP(D104,WAGES!$C:$L,10,0)-L104-M104-N104,"")</f>
        <v/>
      </c>
      <c r="P104" s="62">
        <f t="shared" si="28"/>
        <v>0</v>
      </c>
      <c r="Q104" s="58" t="str">
        <f t="shared" si="18"/>
        <v>0</v>
      </c>
      <c r="R104" s="58">
        <f t="shared" si="19"/>
        <v>0</v>
      </c>
      <c r="S104" s="69">
        <f t="shared" si="20"/>
        <v>0</v>
      </c>
      <c r="T104" s="58" t="str">
        <f>IFERROR(VLOOKUP(D104,'RJ ATTENDENCE SHEET'!$C:$S,17,0),"")</f>
        <v/>
      </c>
      <c r="U104" s="58">
        <f t="shared" si="21"/>
        <v>0</v>
      </c>
      <c r="V104" s="58">
        <f t="shared" si="22"/>
        <v>0</v>
      </c>
      <c r="W104" s="71"/>
      <c r="X104" s="249"/>
      <c r="Y104" s="47"/>
      <c r="Z104" s="47"/>
      <c r="AA104" s="47"/>
      <c r="AB104" s="47"/>
    </row>
    <row r="105" spans="1:28" ht="39.950000000000003" hidden="1" customHeight="1">
      <c r="A105" s="55">
        <v>97</v>
      </c>
      <c r="B105" s="55" t="str">
        <f>IFERROR(VLOOKUP(D105,'RJ ATTENDENCE SHEET'!$C:$D,2,0),"")</f>
        <v/>
      </c>
      <c r="C105" s="55" t="str">
        <f>IFERROR(VLOOKUP(D105,'DATA '!$D:$E,2,0),"")</f>
        <v/>
      </c>
      <c r="D105" s="56" t="str">
        <f>'DATA '!K99</f>
        <v/>
      </c>
      <c r="E105" s="57" t="str">
        <f t="shared" si="23"/>
        <v/>
      </c>
      <c r="F105" s="58" t="str">
        <f>IFERROR(VLOOKUP(D105,'RJ ATTENDENCE SHEET'!$C:$O,10,0),"")</f>
        <v/>
      </c>
      <c r="G105" s="58" t="str">
        <f>IFERROR(VLOOKUP(D105,'RJ ATTENDENCE SHEET'!$C:$O,11,0),"")</f>
        <v/>
      </c>
      <c r="H105" s="58" t="str">
        <f>IFERROR(VLOOKUP(D105,'RJ ATTENDENCE SHEET'!$C:$O,12,0),"")</f>
        <v/>
      </c>
      <c r="I105" s="58">
        <f t="shared" si="24"/>
        <v>0</v>
      </c>
      <c r="J105" s="62">
        <f>DAY(EOMONTH('RJ ATTENDENCE SHEET'!$A$1,0))</f>
        <v>31</v>
      </c>
      <c r="K105" s="63"/>
      <c r="L105" s="58" t="str">
        <f t="shared" si="25"/>
        <v/>
      </c>
      <c r="M105" s="58" t="str">
        <f t="shared" si="26"/>
        <v/>
      </c>
      <c r="N105" s="58" t="str">
        <f t="shared" si="27"/>
        <v/>
      </c>
      <c r="O105" s="58" t="str">
        <f>IFERROR(VLOOKUP(D105,WAGES!$C:$L,10,0)-L105-M105-N105,"")</f>
        <v/>
      </c>
      <c r="P105" s="62">
        <f t="shared" si="28"/>
        <v>0</v>
      </c>
      <c r="Q105" s="58" t="str">
        <f t="shared" si="18"/>
        <v>0</v>
      </c>
      <c r="R105" s="58">
        <f t="shared" si="19"/>
        <v>0</v>
      </c>
      <c r="S105" s="69">
        <f t="shared" si="20"/>
        <v>0</v>
      </c>
      <c r="T105" s="58" t="str">
        <f>IFERROR(VLOOKUP(D105,'RJ ATTENDENCE SHEET'!$C:$S,17,0),"")</f>
        <v/>
      </c>
      <c r="U105" s="58">
        <f t="shared" si="21"/>
        <v>0</v>
      </c>
      <c r="V105" s="58">
        <f t="shared" si="22"/>
        <v>0</v>
      </c>
      <c r="W105" s="71"/>
      <c r="X105" s="249"/>
      <c r="Y105" s="47"/>
      <c r="Z105" s="47"/>
      <c r="AA105" s="47"/>
      <c r="AB105" s="47"/>
    </row>
    <row r="106" spans="1:28" ht="39.950000000000003" hidden="1" customHeight="1">
      <c r="A106" s="55">
        <v>98</v>
      </c>
      <c r="B106" s="55" t="str">
        <f>IFERROR(VLOOKUP(D106,'RJ ATTENDENCE SHEET'!$C:$D,2,0),"")</f>
        <v/>
      </c>
      <c r="C106" s="55" t="str">
        <f>IFERROR(VLOOKUP(D106,'DATA '!$D:$E,2,0),"")</f>
        <v/>
      </c>
      <c r="D106" s="56" t="str">
        <f>'DATA '!K100</f>
        <v/>
      </c>
      <c r="E106" s="57" t="str">
        <f t="shared" si="23"/>
        <v/>
      </c>
      <c r="F106" s="58" t="str">
        <f>IFERROR(VLOOKUP(D106,'RJ ATTENDENCE SHEET'!$C:$O,10,0),"")</f>
        <v/>
      </c>
      <c r="G106" s="58" t="str">
        <f>IFERROR(VLOOKUP(D106,'RJ ATTENDENCE SHEET'!$C:$O,11,0),"")</f>
        <v/>
      </c>
      <c r="H106" s="58" t="str">
        <f>IFERROR(VLOOKUP(D106,'RJ ATTENDENCE SHEET'!$C:$O,12,0),"")</f>
        <v/>
      </c>
      <c r="I106" s="58">
        <f t="shared" si="24"/>
        <v>0</v>
      </c>
      <c r="J106" s="62">
        <f>DAY(EOMONTH('RJ ATTENDENCE SHEET'!$A$1,0))</f>
        <v>31</v>
      </c>
      <c r="K106" s="63"/>
      <c r="L106" s="58" t="str">
        <f t="shared" si="25"/>
        <v/>
      </c>
      <c r="M106" s="58" t="str">
        <f t="shared" si="26"/>
        <v/>
      </c>
      <c r="N106" s="58" t="str">
        <f t="shared" si="27"/>
        <v/>
      </c>
      <c r="O106" s="58" t="str">
        <f>IFERROR(VLOOKUP(D106,WAGES!$C:$L,10,0)-L106-M106-N106,"")</f>
        <v/>
      </c>
      <c r="P106" s="62">
        <f t="shared" si="28"/>
        <v>0</v>
      </c>
      <c r="Q106" s="58" t="str">
        <f t="shared" si="18"/>
        <v>0</v>
      </c>
      <c r="R106" s="58">
        <f t="shared" si="19"/>
        <v>0</v>
      </c>
      <c r="S106" s="69">
        <f t="shared" si="20"/>
        <v>0</v>
      </c>
      <c r="T106" s="58" t="str">
        <f>IFERROR(VLOOKUP(D106,'RJ ATTENDENCE SHEET'!$C:$S,17,0),"")</f>
        <v/>
      </c>
      <c r="U106" s="58">
        <f t="shared" si="21"/>
        <v>0</v>
      </c>
      <c r="V106" s="58">
        <f t="shared" si="22"/>
        <v>0</v>
      </c>
      <c r="W106" s="71"/>
      <c r="X106" s="249"/>
      <c r="Y106" s="47"/>
      <c r="Z106" s="47"/>
      <c r="AA106" s="47"/>
      <c r="AB106" s="47"/>
    </row>
    <row r="107" spans="1:28" ht="39.950000000000003" hidden="1" customHeight="1">
      <c r="A107" s="55">
        <v>99</v>
      </c>
      <c r="B107" s="55" t="str">
        <f>IFERROR(VLOOKUP(D107,'RJ ATTENDENCE SHEET'!$C:$D,2,0),"")</f>
        <v/>
      </c>
      <c r="C107" s="55" t="str">
        <f>IFERROR(VLOOKUP(D107,'DATA '!$D:$E,2,0),"")</f>
        <v/>
      </c>
      <c r="D107" s="56" t="str">
        <f>'DATA '!K101</f>
        <v/>
      </c>
      <c r="E107" s="57" t="str">
        <f t="shared" si="23"/>
        <v/>
      </c>
      <c r="F107" s="58" t="str">
        <f>IFERROR(VLOOKUP(D107,'RJ ATTENDENCE SHEET'!$C:$O,10,0),"")</f>
        <v/>
      </c>
      <c r="G107" s="58" t="str">
        <f>IFERROR(VLOOKUP(D107,'RJ ATTENDENCE SHEET'!$C:$O,11,0),"")</f>
        <v/>
      </c>
      <c r="H107" s="58" t="str">
        <f>IFERROR(VLOOKUP(D107,'RJ ATTENDENCE SHEET'!$C:$O,12,0),"")</f>
        <v/>
      </c>
      <c r="I107" s="58">
        <f t="shared" si="24"/>
        <v>0</v>
      </c>
      <c r="J107" s="62">
        <f>DAY(EOMONTH('RJ ATTENDENCE SHEET'!$A$1,0))</f>
        <v>31</v>
      </c>
      <c r="K107" s="63"/>
      <c r="L107" s="58" t="str">
        <f t="shared" si="25"/>
        <v/>
      </c>
      <c r="M107" s="58" t="str">
        <f t="shared" si="26"/>
        <v/>
      </c>
      <c r="N107" s="58" t="str">
        <f t="shared" si="27"/>
        <v/>
      </c>
      <c r="O107" s="58" t="str">
        <f>IFERROR(VLOOKUP(D107,WAGES!$C:$L,10,0)-L107-M107-N107,"")</f>
        <v/>
      </c>
      <c r="P107" s="62">
        <f t="shared" si="28"/>
        <v>0</v>
      </c>
      <c r="Q107" s="58" t="str">
        <f t="shared" si="18"/>
        <v>0</v>
      </c>
      <c r="R107" s="58">
        <f t="shared" si="19"/>
        <v>0</v>
      </c>
      <c r="S107" s="69">
        <f t="shared" si="20"/>
        <v>0</v>
      </c>
      <c r="T107" s="58" t="str">
        <f>IFERROR(VLOOKUP(D107,'RJ ATTENDENCE SHEET'!$C:$S,17,0),"")</f>
        <v/>
      </c>
      <c r="U107" s="58">
        <f t="shared" si="21"/>
        <v>0</v>
      </c>
      <c r="V107" s="58">
        <f t="shared" si="22"/>
        <v>0</v>
      </c>
      <c r="W107" s="71"/>
      <c r="X107" s="249"/>
      <c r="Y107" s="47"/>
      <c r="Z107" s="47"/>
      <c r="AA107" s="47"/>
      <c r="AB107" s="47"/>
    </row>
    <row r="108" spans="1:28" ht="39.950000000000003" hidden="1" customHeight="1">
      <c r="A108" s="55">
        <v>100</v>
      </c>
      <c r="B108" s="55" t="str">
        <f>IFERROR(VLOOKUP(D108,'RJ ATTENDENCE SHEET'!$C:$D,2,0),"")</f>
        <v/>
      </c>
      <c r="C108" s="55" t="str">
        <f>IFERROR(VLOOKUP(D108,'DATA '!$D:$E,2,0),"")</f>
        <v/>
      </c>
      <c r="D108" s="56" t="str">
        <f>'DATA '!K102</f>
        <v/>
      </c>
      <c r="E108" s="57" t="str">
        <f t="shared" si="23"/>
        <v/>
      </c>
      <c r="F108" s="58" t="str">
        <f>IFERROR(VLOOKUP(D108,'RJ ATTENDENCE SHEET'!$C:$O,10,0),"")</f>
        <v/>
      </c>
      <c r="G108" s="58" t="str">
        <f>IFERROR(VLOOKUP(D108,'RJ ATTENDENCE SHEET'!$C:$O,11,0),"")</f>
        <v/>
      </c>
      <c r="H108" s="58" t="str">
        <f>IFERROR(VLOOKUP(D108,'RJ ATTENDENCE SHEET'!$C:$O,12,0),"")</f>
        <v/>
      </c>
      <c r="I108" s="58">
        <f t="shared" si="24"/>
        <v>0</v>
      </c>
      <c r="J108" s="62">
        <f>DAY(EOMONTH('RJ ATTENDENCE SHEET'!$A$1,0))</f>
        <v>31</v>
      </c>
      <c r="K108" s="63"/>
      <c r="L108" s="58" t="str">
        <f t="shared" si="25"/>
        <v/>
      </c>
      <c r="M108" s="58" t="str">
        <f t="shared" si="26"/>
        <v/>
      </c>
      <c r="N108" s="58" t="str">
        <f t="shared" si="27"/>
        <v/>
      </c>
      <c r="O108" s="58" t="str">
        <f>IFERROR(VLOOKUP(D108,WAGES!$C:$L,10,0)-L108-M108-N108,"")</f>
        <v/>
      </c>
      <c r="P108" s="62">
        <f t="shared" si="28"/>
        <v>0</v>
      </c>
      <c r="Q108" s="58" t="str">
        <f t="shared" si="18"/>
        <v>0</v>
      </c>
      <c r="R108" s="58">
        <f t="shared" si="19"/>
        <v>0</v>
      </c>
      <c r="S108" s="69">
        <f t="shared" si="20"/>
        <v>0</v>
      </c>
      <c r="T108" s="58" t="str">
        <f>IFERROR(VLOOKUP(D108,'RJ ATTENDENCE SHEET'!$C:$S,17,0),"")</f>
        <v/>
      </c>
      <c r="U108" s="58">
        <f t="shared" si="21"/>
        <v>0</v>
      </c>
      <c r="V108" s="58">
        <f t="shared" si="22"/>
        <v>0</v>
      </c>
      <c r="W108" s="71"/>
      <c r="X108" s="249"/>
      <c r="Y108" s="47"/>
      <c r="Z108" s="47"/>
      <c r="AA108" s="47"/>
      <c r="AB108" s="47"/>
    </row>
    <row r="109" spans="1:28" ht="15.75">
      <c r="A109" s="396" t="s">
        <v>97</v>
      </c>
      <c r="B109" s="397"/>
      <c r="C109" s="397"/>
      <c r="D109" s="398"/>
      <c r="E109" s="72"/>
      <c r="F109" s="73"/>
      <c r="G109" s="73"/>
      <c r="H109" s="73"/>
      <c r="I109" s="73"/>
      <c r="J109" s="74"/>
      <c r="K109" s="74"/>
      <c r="L109" s="73">
        <f>SUM(L9:L108)</f>
        <v>380409</v>
      </c>
      <c r="M109" s="73">
        <f>SUM(M9:M108)</f>
        <v>39339.838709677417</v>
      </c>
      <c r="N109" s="73">
        <f>SUM(N9:N108)</f>
        <v>31298.096774193549</v>
      </c>
      <c r="O109" s="73">
        <f t="shared" ref="O109:V109" si="29">SUM(O9:O108)</f>
        <v>36716.612903225796</v>
      </c>
      <c r="P109" s="73">
        <f t="shared" si="29"/>
        <v>487763.54838709679</v>
      </c>
      <c r="Q109" s="73">
        <f t="shared" si="29"/>
        <v>27018</v>
      </c>
      <c r="R109" s="73">
        <f t="shared" si="29"/>
        <v>3675</v>
      </c>
      <c r="S109" s="73">
        <f t="shared" si="29"/>
        <v>3980</v>
      </c>
      <c r="T109" s="73">
        <f t="shared" si="29"/>
        <v>0</v>
      </c>
      <c r="U109" s="73">
        <f t="shared" si="29"/>
        <v>34673</v>
      </c>
      <c r="V109" s="73">
        <f t="shared" si="29"/>
        <v>453090.54838709679</v>
      </c>
      <c r="W109" s="72"/>
      <c r="X109" s="249"/>
      <c r="Y109" s="47"/>
      <c r="Z109" s="47"/>
      <c r="AA109" s="47"/>
      <c r="AB109" s="47"/>
    </row>
    <row r="110" spans="1:28">
      <c r="V110" s="44" t="b">
        <f>AND(V109='BANK TRANSFER'!M2)</f>
        <v>1</v>
      </c>
    </row>
  </sheetData>
  <sheetProtection formatCells="0" formatColumns="0" formatRows="0"/>
  <mergeCells count="15">
    <mergeCell ref="X1:X6"/>
    <mergeCell ref="A1:T1"/>
    <mergeCell ref="U1:V1"/>
    <mergeCell ref="A3:V3"/>
    <mergeCell ref="F7:H7"/>
    <mergeCell ref="J7:K7"/>
    <mergeCell ref="L7:O7"/>
    <mergeCell ref="Q7:T7"/>
    <mergeCell ref="P7:P8"/>
    <mergeCell ref="W7:W8"/>
    <mergeCell ref="A109:D109"/>
    <mergeCell ref="B7:B8"/>
    <mergeCell ref="C7:C8"/>
    <mergeCell ref="D7:D8"/>
    <mergeCell ref="I7:I8"/>
  </mergeCells>
  <conditionalFormatting sqref="V110">
    <cfRule type="cellIs" dxfId="2068" priority="1" operator="equal">
      <formula>FALSE</formula>
    </cfRule>
    <cfRule type="cellIs" dxfId="2067" priority="2" operator="equal">
      <formula>TRUE</formula>
    </cfRule>
  </conditionalFormatting>
  <pageMargins left="0" right="0" top="0" bottom="0" header="0.31496062992126" footer="0.31496062992126"/>
  <pageSetup paperSize="9" scale="3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P98"/>
  <sheetViews>
    <sheetView zoomScale="85" zoomScaleNormal="85" zoomScaleSheetLayoutView="78" workbookViewId="0">
      <pane ySplit="3" topLeftCell="A4" activePane="bottomLeft" state="frozen"/>
      <selection activeCell="T53" sqref="T53"/>
      <selection pane="bottomLeft" activeCell="C105" sqref="C105"/>
    </sheetView>
  </sheetViews>
  <sheetFormatPr defaultColWidth="9.125" defaultRowHeight="15.75"/>
  <cols>
    <col min="1" max="1" width="6.375" style="21" customWidth="1"/>
    <col min="2" max="2" width="8.625" style="21" customWidth="1"/>
    <col min="3" max="3" width="45" style="21" customWidth="1"/>
    <col min="4" max="4" width="11.75" style="21" customWidth="1"/>
    <col min="5" max="5" width="9.75" style="21" customWidth="1"/>
    <col min="6" max="6" width="8.875" style="21" customWidth="1"/>
    <col min="7" max="7" width="8" style="21" customWidth="1"/>
    <col min="8" max="11" width="9.25" style="21" customWidth="1"/>
    <col min="12" max="12" width="9.875" style="21" customWidth="1"/>
    <col min="13" max="13" width="13.625" style="22" customWidth="1"/>
    <col min="14" max="14" width="17.25" style="21" customWidth="1"/>
    <col min="15" max="15" width="40.375" style="21" customWidth="1"/>
    <col min="16" max="16" width="24.125" customWidth="1"/>
  </cols>
  <sheetData>
    <row r="1" spans="1:16" ht="18">
      <c r="A1" s="420" t="s">
        <v>237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2"/>
      <c r="M1" s="423" t="str">
        <f>TEXT('RJ ATTENDENCE SHEET'!$A$1,"MMMM")</f>
        <v>July</v>
      </c>
      <c r="N1" s="424"/>
      <c r="O1" s="270">
        <f>YEAR('RJ ATTENDENCE SHEET'!$A$1)</f>
        <v>2026</v>
      </c>
      <c r="P1" s="417" t="s">
        <v>409</v>
      </c>
    </row>
    <row r="2" spans="1:16" ht="15" customHeight="1">
      <c r="A2" s="411" t="s">
        <v>196</v>
      </c>
      <c r="B2" s="23"/>
      <c r="C2" s="413" t="s">
        <v>92</v>
      </c>
      <c r="D2" s="425" t="s">
        <v>211</v>
      </c>
      <c r="E2" s="426"/>
      <c r="F2" s="426"/>
      <c r="G2" s="427"/>
      <c r="H2" s="428" t="s">
        <v>199</v>
      </c>
      <c r="I2" s="429"/>
      <c r="J2" s="430" t="s">
        <v>212</v>
      </c>
      <c r="K2" s="431"/>
      <c r="L2" s="415" t="s">
        <v>200</v>
      </c>
      <c r="M2" s="413" t="s">
        <v>209</v>
      </c>
      <c r="N2" s="31" t="s">
        <v>213</v>
      </c>
      <c r="O2" s="432" t="s">
        <v>214</v>
      </c>
      <c r="P2" s="418"/>
    </row>
    <row r="3" spans="1:16" ht="34.5" customHeight="1">
      <c r="A3" s="412"/>
      <c r="B3" s="24"/>
      <c r="C3" s="414"/>
      <c r="D3" s="25" t="s">
        <v>215</v>
      </c>
      <c r="E3" s="25" t="s">
        <v>216</v>
      </c>
      <c r="F3" s="25" t="s">
        <v>93</v>
      </c>
      <c r="G3" s="25" t="s">
        <v>217</v>
      </c>
      <c r="H3" s="26" t="s">
        <v>93</v>
      </c>
      <c r="I3" s="32" t="s">
        <v>94</v>
      </c>
      <c r="J3" s="32" t="s">
        <v>218</v>
      </c>
      <c r="K3" s="32" t="s">
        <v>219</v>
      </c>
      <c r="L3" s="416"/>
      <c r="M3" s="414"/>
      <c r="N3" s="33" t="s">
        <v>220</v>
      </c>
      <c r="O3" s="433"/>
      <c r="P3" s="419"/>
    </row>
    <row r="4" spans="1:16" ht="27.95" customHeight="1">
      <c r="A4" s="27">
        <v>1</v>
      </c>
      <c r="B4" s="27" t="str">
        <f>VLOOKUP(C4,'DATA '!$O:$P,2,0)</f>
        <v>HELPER</v>
      </c>
      <c r="C4" s="28" t="str">
        <f>'DATA '!O3</f>
        <v xml:space="preserve">AMIT BISWAS  </v>
      </c>
      <c r="D4" s="29" t="str">
        <f>IF(B4="DRIVER","",IF(B4="HELPER","",IF(B4="HOPPER",VLOOKUP('CONTRACT TOTAL (P)'!C4,'RJ ATTENDENCE SHEET'!$C:$I,7,0),IF(B4="LAB",VLOOKUP('CONTRACT TOTAL (P)'!C4,'RJ ATTENDENCE SHEET'!$C:$I,7,0),IF(B4="OTHERS",VLOOKUP('CONTRACT TOTAL (P)'!C4,'RJ ATTENDENCE SHEET'!$C:$I,7,0),"")))))</f>
        <v/>
      </c>
      <c r="E4" s="29" t="str">
        <f>IFERROR(D4/DAY(EOMONTH('RJ ATTENDENCE SHEET'!$A$1,0)),"")</f>
        <v/>
      </c>
      <c r="F4" s="29">
        <f>IF(B4="DRIVER",VLOOKUP('CONTRACT TOTAL (P)'!C4,'RJ ATTENDENCE SHEET'!$C:$W,8,0),IF(B4="HELPER",VLOOKUP('CONTRACT TOTAL (P)'!C4,'RJ ATTENDENCE SHEET'!$C:$W,8,0),IF(B4="HOPPER","",IF(B4="LAB","",IF(B4="OTHERS","","")))))</f>
        <v>285</v>
      </c>
      <c r="G4" s="29">
        <f>IF(B4="DRIVER",VLOOKUP('CONTRACT TOTAL (P)'!C4,'RJ ATTENDENCE SHEET'!$C:$W,9,0),IF(B4="HELPER",VLOOKUP('CONTRACT TOTAL (P)'!C4,'RJ ATTENDENCE SHEET'!$C:$W,9,0),IF(B4="HOPPER","",IF(B4="LAB","",IF(B4="OTHERS","","")))))</f>
        <v>80</v>
      </c>
      <c r="H4" s="29">
        <f>IFERROR(VLOOKUP(C4,'RJ ATTENDENCE SHEET'!$C:$V,20,0),"")</f>
        <v>38</v>
      </c>
      <c r="I4" s="29">
        <f>IFERROR(VLOOKUP(C4,'RJ ATTENDENCE SHEET'!$C:$W,21,0),"")</f>
        <v>10</v>
      </c>
      <c r="J4" s="34">
        <f>IFERROR(F4*H4,"")</f>
        <v>10830</v>
      </c>
      <c r="K4" s="35">
        <f>IFERROR(G4*I4,"")</f>
        <v>800</v>
      </c>
      <c r="L4" s="34">
        <f>IF(B4="DRIVER",(J4+K4),IF(B4="HELPER",(J4+K4),IF(B4="HOPPER",(E4*H4),IF(B4="LAB",(E4*H4),IF(B4="OTHERS",(E4*H4),"")))))</f>
        <v>11630</v>
      </c>
      <c r="M4" s="36">
        <f>IFERROR(VLOOKUP(C4,'RJ ATTENDENCE SHEET'!$C:$S,14,0),"")</f>
        <v>0</v>
      </c>
      <c r="N4" s="36">
        <f>IFERROR(L4-M4,"")</f>
        <v>11630</v>
      </c>
      <c r="O4" s="271"/>
      <c r="P4" s="272"/>
    </row>
    <row r="5" spans="1:16" ht="27.95" customHeight="1">
      <c r="A5" s="27">
        <v>2</v>
      </c>
      <c r="B5" s="27" t="str">
        <f>VLOOKUP(C5,'DATA '!$O:$P,2,0)</f>
        <v>HELPER</v>
      </c>
      <c r="C5" s="28" t="str">
        <f>'DATA '!O4</f>
        <v>JHANTU MONDAL</v>
      </c>
      <c r="D5" s="29" t="str">
        <f>IF(B5="DRIVER","",IF(B5="HELPER","",IF(B5="HOPPER",VLOOKUP('CONTRACT TOTAL (P)'!C5,'RJ ATTENDENCE SHEET'!$C:$I,7,0),IF(B5="LAB",VLOOKUP('CONTRACT TOTAL (P)'!C5,'RJ ATTENDENCE SHEET'!$C:$I,7,0),IF(B5="OTHERS",VLOOKUP('CONTRACT TOTAL (P)'!C5,'RJ ATTENDENCE SHEET'!$C:$I,7,0),"")))))</f>
        <v/>
      </c>
      <c r="E5" s="29" t="str">
        <f>IFERROR(D5/DAY(EOMONTH('RJ ATTENDENCE SHEET'!$A$1,0)),"")</f>
        <v/>
      </c>
      <c r="F5" s="29">
        <f>IF(B5="DRIVER",VLOOKUP('CONTRACT TOTAL (P)'!C5,'RJ ATTENDENCE SHEET'!$C:$W,8,0),IF(B5="HELPER",VLOOKUP('CONTRACT TOTAL (P)'!C5,'RJ ATTENDENCE SHEET'!$C:$W,8,0),IF(B5="HOPPER","",IF(B5="LAB","",IF(B5="OTHERS","","")))))</f>
        <v>260</v>
      </c>
      <c r="G5" s="29">
        <f>IF(B5="DRIVER",VLOOKUP('CONTRACT TOTAL (P)'!C5,'RJ ATTENDENCE SHEET'!$C:$W,9,0),IF(B5="HELPER",VLOOKUP('CONTRACT TOTAL (P)'!C5,'RJ ATTENDENCE SHEET'!$C:$W,9,0),IF(B5="HOPPER","",IF(B5="LAB","",IF(B5="OTHERS","","")))))</f>
        <v>80</v>
      </c>
      <c r="H5" s="29">
        <f>IFERROR(VLOOKUP(C5,'RJ ATTENDENCE SHEET'!$C:$V,20,0),"")</f>
        <v>41</v>
      </c>
      <c r="I5" s="29">
        <f>IFERROR(VLOOKUP(C5,'RJ ATTENDENCE SHEET'!$C:$W,21,0),"")</f>
        <v>10</v>
      </c>
      <c r="J5" s="34">
        <f t="shared" ref="J5:J42" si="0">IFERROR(F5*H5,"")</f>
        <v>10660</v>
      </c>
      <c r="K5" s="35">
        <f t="shared" ref="K5:K42" si="1">IFERROR(G5*I5,"")</f>
        <v>800</v>
      </c>
      <c r="L5" s="34">
        <f t="shared" ref="L5:L42" si="2">IF(B5="DRIVER",(J5+K5),IF(B5="HELPER",(J5+K5),IF(B5="HOPPER",(E5*H5),IF(B5="LAB",(E5*H5),IF(B5="OTHERS",(E5*H5),"")))))</f>
        <v>11460</v>
      </c>
      <c r="M5" s="36">
        <f>IFERROR(VLOOKUP(C5,'RJ ATTENDENCE SHEET'!$C:$S,14,0),"")</f>
        <v>0</v>
      </c>
      <c r="N5" s="36">
        <f t="shared" ref="N5:N42" si="3">IFERROR(L5-M5,"")</f>
        <v>11460</v>
      </c>
      <c r="O5" s="271"/>
      <c r="P5" s="272"/>
    </row>
    <row r="6" spans="1:16" ht="27.95" customHeight="1">
      <c r="A6" s="27">
        <v>3</v>
      </c>
      <c r="B6" s="27" t="str">
        <f>VLOOKUP(C6,'DATA '!$O:$P,2,0)</f>
        <v>DRIVER</v>
      </c>
      <c r="C6" s="28" t="str">
        <f>'DATA '!O5</f>
        <v xml:space="preserve">ASHIT BISWAS </v>
      </c>
      <c r="D6" s="29" t="str">
        <f>IF(B6="DRIVER","",IF(B6="HELPER","",IF(B6="HOPPER",VLOOKUP('CONTRACT TOTAL (P)'!C6,'RJ ATTENDENCE SHEET'!$C:$I,7,0),IF(B6="LAB",VLOOKUP('CONTRACT TOTAL (P)'!C6,'RJ ATTENDENCE SHEET'!$C:$I,7,0),IF(B6="OTHERS",VLOOKUP('CONTRACT TOTAL (P)'!C6,'RJ ATTENDENCE SHEET'!$C:$I,7,0),"")))))</f>
        <v/>
      </c>
      <c r="E6" s="29" t="str">
        <f>IFERROR(D6/DAY(EOMONTH('RJ ATTENDENCE SHEET'!$A$1,0)),"")</f>
        <v/>
      </c>
      <c r="F6" s="29">
        <f>IF(B6="DRIVER",VLOOKUP('CONTRACT TOTAL (P)'!C6,'RJ ATTENDENCE SHEET'!$C:$W,8,0),IF(B6="HELPER",VLOOKUP('CONTRACT TOTAL (P)'!C6,'RJ ATTENDENCE SHEET'!$C:$W,8,0),IF(B6="HOPPER","",IF(B6="LAB","",IF(B6="OTHERS","","")))))</f>
        <v>320</v>
      </c>
      <c r="G6" s="29">
        <f>IF(B6="DRIVER",VLOOKUP('CONTRACT TOTAL (P)'!C6,'RJ ATTENDENCE SHEET'!$C:$W,9,0),IF(B6="HELPER",VLOOKUP('CONTRACT TOTAL (P)'!C6,'RJ ATTENDENCE SHEET'!$C:$W,9,0),IF(B6="HOPPER","",IF(B6="LAB","",IF(B6="OTHERS","","")))))</f>
        <v>185</v>
      </c>
      <c r="H6" s="29">
        <f>IFERROR(VLOOKUP(C6,'RJ ATTENDENCE SHEET'!$C:$V,20,0),"")</f>
        <v>40</v>
      </c>
      <c r="I6" s="29">
        <f>IFERROR(VLOOKUP(C6,'RJ ATTENDENCE SHEET'!$C:$W,21,0),"")</f>
        <v>9</v>
      </c>
      <c r="J6" s="34">
        <f t="shared" si="0"/>
        <v>12800</v>
      </c>
      <c r="K6" s="35">
        <f t="shared" si="1"/>
        <v>1665</v>
      </c>
      <c r="L6" s="34">
        <f t="shared" si="2"/>
        <v>14465</v>
      </c>
      <c r="M6" s="36">
        <f>IFERROR(VLOOKUP(C6,'RJ ATTENDENCE SHEET'!$C:$S,14,0),"")</f>
        <v>0</v>
      </c>
      <c r="N6" s="36">
        <f t="shared" si="3"/>
        <v>14465</v>
      </c>
      <c r="O6" s="271"/>
      <c r="P6" s="272"/>
    </row>
    <row r="7" spans="1:16" ht="27.95" customHeight="1">
      <c r="A7" s="27">
        <v>4</v>
      </c>
      <c r="B7" s="27" t="str">
        <f>VLOOKUP(C7,'DATA '!$O:$P,2,0)</f>
        <v>HELPER</v>
      </c>
      <c r="C7" s="28" t="str">
        <f>'DATA '!O6</f>
        <v>NASIB KARIKAR</v>
      </c>
      <c r="D7" s="29" t="str">
        <f>IF(B7="DRIVER","",IF(B7="HELPER","",IF(B7="HOPPER",VLOOKUP('CONTRACT TOTAL (P)'!C7,'RJ ATTENDENCE SHEET'!$C:$I,7,0),IF(B7="LAB",VLOOKUP('CONTRACT TOTAL (P)'!C7,'RJ ATTENDENCE SHEET'!$C:$I,7,0),IF(B7="OTHERS",VLOOKUP('CONTRACT TOTAL (P)'!C7,'RJ ATTENDENCE SHEET'!$C:$I,7,0),"")))))</f>
        <v/>
      </c>
      <c r="E7" s="29" t="str">
        <f>IFERROR(D7/DAY(EOMONTH('RJ ATTENDENCE SHEET'!$A$1,0)),"")</f>
        <v/>
      </c>
      <c r="F7" s="29">
        <f>IF(B7="DRIVER",VLOOKUP('CONTRACT TOTAL (P)'!C7,'RJ ATTENDENCE SHEET'!$C:$W,8,0),IF(B7="HELPER",VLOOKUP('CONTRACT TOTAL (P)'!C7,'RJ ATTENDENCE SHEET'!$C:$W,8,0),IF(B7="HOPPER","",IF(B7="LAB","",IF(B7="OTHERS","","")))))</f>
        <v>250</v>
      </c>
      <c r="G7" s="29">
        <f>IF(B7="DRIVER",VLOOKUP('CONTRACT TOTAL (P)'!C7,'RJ ATTENDENCE SHEET'!$C:$W,9,0),IF(B7="HELPER",VLOOKUP('CONTRACT TOTAL (P)'!C7,'RJ ATTENDENCE SHEET'!$C:$W,9,0),IF(B7="HOPPER","",IF(B7="LAB","",IF(B7="OTHERS","","")))))</f>
        <v>70</v>
      </c>
      <c r="H7" s="29">
        <f>IFERROR(VLOOKUP(C7,'RJ ATTENDENCE SHEET'!$C:$V,20,0),"")</f>
        <v>40</v>
      </c>
      <c r="I7" s="29">
        <f>IFERROR(VLOOKUP(C7,'RJ ATTENDENCE SHEET'!$C:$W,21,0),"")</f>
        <v>7</v>
      </c>
      <c r="J7" s="34">
        <f t="shared" si="0"/>
        <v>10000</v>
      </c>
      <c r="K7" s="35">
        <f t="shared" si="1"/>
        <v>490</v>
      </c>
      <c r="L7" s="34">
        <f t="shared" si="2"/>
        <v>10490</v>
      </c>
      <c r="M7" s="36">
        <f>IFERROR(VLOOKUP(C7,'RJ ATTENDENCE SHEET'!$C:$S,14,0),"")</f>
        <v>0</v>
      </c>
      <c r="N7" s="36">
        <f t="shared" si="3"/>
        <v>10490</v>
      </c>
      <c r="O7" s="271"/>
      <c r="P7" s="272"/>
    </row>
    <row r="8" spans="1:16" ht="27.95" customHeight="1">
      <c r="A8" s="27">
        <v>5</v>
      </c>
      <c r="B8" s="27" t="str">
        <f>VLOOKUP(C8,'DATA '!$O:$P,2,0)</f>
        <v>OTHERS</v>
      </c>
      <c r="C8" s="28" t="str">
        <f>'DATA '!O7</f>
        <v>BASIRUDDIN KHAN</v>
      </c>
      <c r="D8" s="29">
        <f>IF(B8="DRIVER","",IF(B8="HELPER","",IF(B8="HOPPER",VLOOKUP('CONTRACT TOTAL (P)'!C8,'RJ ATTENDENCE SHEET'!$C:$I,7,0),IF(B8="LAB",VLOOKUP('CONTRACT TOTAL (P)'!C8,'RJ ATTENDENCE SHEET'!$C:$I,7,0),IF(B8="OTHERS",VLOOKUP('CONTRACT TOTAL (P)'!C8,'RJ ATTENDENCE SHEET'!$C:$I,7,0),"")))))</f>
        <v>15500</v>
      </c>
      <c r="E8" s="29">
        <f>IFERROR(D8/DAY(EOMONTH('RJ ATTENDENCE SHEET'!$A$1,0)),"")</f>
        <v>500</v>
      </c>
      <c r="F8" s="29" t="str">
        <f>IF(B8="DRIVER",VLOOKUP('CONTRACT TOTAL (P)'!C8,'RJ ATTENDENCE SHEET'!$C:$W,8,0),IF(B8="HELPER",VLOOKUP('CONTRACT TOTAL (P)'!C8,'RJ ATTENDENCE SHEET'!$C:$W,8,0),IF(B8="HOPPER","",IF(B8="LAB","",IF(B8="OTHERS","","")))))</f>
        <v/>
      </c>
      <c r="G8" s="29" t="str">
        <f>IF(B8="DRIVER",VLOOKUP('CONTRACT TOTAL (P)'!C8,'RJ ATTENDENCE SHEET'!$C:$W,9,0),IF(B8="HELPER",VLOOKUP('CONTRACT TOTAL (P)'!C8,'RJ ATTENDENCE SHEET'!$C:$W,9,0),IF(B8="HOPPER","",IF(B8="LAB","",IF(B8="OTHERS","","")))))</f>
        <v/>
      </c>
      <c r="H8" s="29">
        <f>IFERROR(VLOOKUP(C8,'RJ ATTENDENCE SHEET'!$C:$V,20,0),"")</f>
        <v>35</v>
      </c>
      <c r="I8" s="29">
        <f>IFERROR(VLOOKUP(C8,'RJ ATTENDENCE SHEET'!$C:$W,21,0),"")</f>
        <v>0</v>
      </c>
      <c r="J8" s="34" t="str">
        <f t="shared" si="0"/>
        <v/>
      </c>
      <c r="K8" s="35" t="str">
        <f t="shared" si="1"/>
        <v/>
      </c>
      <c r="L8" s="34">
        <f t="shared" si="2"/>
        <v>17500</v>
      </c>
      <c r="M8" s="36">
        <f>IFERROR(VLOOKUP(C8,'RJ ATTENDENCE SHEET'!$C:$S,14,0),"")</f>
        <v>0</v>
      </c>
      <c r="N8" s="36">
        <f t="shared" si="3"/>
        <v>17500</v>
      </c>
      <c r="O8" s="271"/>
      <c r="P8" s="272"/>
    </row>
    <row r="9" spans="1:16" ht="27.95" customHeight="1">
      <c r="A9" s="27">
        <v>6</v>
      </c>
      <c r="B9" s="27" t="str">
        <f>VLOOKUP(C9,'DATA '!$O:$P,2,0)</f>
        <v>DRIVER</v>
      </c>
      <c r="C9" s="28" t="str">
        <f>'DATA '!O8</f>
        <v>DIN MOHAMMOD ALI</v>
      </c>
      <c r="D9" s="29" t="str">
        <f>IF(B9="DRIVER","",IF(B9="HELPER","",IF(B9="HOPPER",VLOOKUP('CONTRACT TOTAL (P)'!C9,'RJ ATTENDENCE SHEET'!$C:$I,7,0),IF(B9="LAB",VLOOKUP('CONTRACT TOTAL (P)'!C9,'RJ ATTENDENCE SHEET'!$C:$I,7,0),IF(B9="OTHERS",VLOOKUP('CONTRACT TOTAL (P)'!C9,'RJ ATTENDENCE SHEET'!$C:$I,7,0),"")))))</f>
        <v/>
      </c>
      <c r="E9" s="29" t="str">
        <f>IFERROR(D9/DAY(EOMONTH('RJ ATTENDENCE SHEET'!$A$1,0)),"")</f>
        <v/>
      </c>
      <c r="F9" s="29">
        <f>IF(B9="DRIVER",VLOOKUP('CONTRACT TOTAL (P)'!C9,'RJ ATTENDENCE SHEET'!$C:$W,8,0),IF(B9="HELPER",VLOOKUP('CONTRACT TOTAL (P)'!C9,'RJ ATTENDENCE SHEET'!$C:$W,8,0),IF(B9="HOPPER","",IF(B9="LAB","",IF(B9="OTHERS","","")))))</f>
        <v>320</v>
      </c>
      <c r="G9" s="29">
        <f>IF(B9="DRIVER",VLOOKUP('CONTRACT TOTAL (P)'!C9,'RJ ATTENDENCE SHEET'!$C:$W,9,0),IF(B9="HELPER",VLOOKUP('CONTRACT TOTAL (P)'!C9,'RJ ATTENDENCE SHEET'!$C:$W,9,0),IF(B9="HOPPER","",IF(B9="LAB","",IF(B9="OTHERS","","")))))</f>
        <v>185</v>
      </c>
      <c r="H9" s="29">
        <f>IFERROR(VLOOKUP(C9,'RJ ATTENDENCE SHEET'!$C:$V,20,0),"")</f>
        <v>41</v>
      </c>
      <c r="I9" s="29">
        <f>IFERROR(VLOOKUP(C9,'RJ ATTENDENCE SHEET'!$C:$W,21,0),"")</f>
        <v>10</v>
      </c>
      <c r="J9" s="34">
        <f t="shared" si="0"/>
        <v>13120</v>
      </c>
      <c r="K9" s="35">
        <f t="shared" si="1"/>
        <v>1850</v>
      </c>
      <c r="L9" s="34">
        <f t="shared" si="2"/>
        <v>14970</v>
      </c>
      <c r="M9" s="36">
        <f>IFERROR(VLOOKUP(C9,'RJ ATTENDENCE SHEET'!$C:$S,14,0),"")</f>
        <v>0</v>
      </c>
      <c r="N9" s="36">
        <f t="shared" si="3"/>
        <v>14970</v>
      </c>
      <c r="O9" s="271"/>
      <c r="P9" s="272"/>
    </row>
    <row r="10" spans="1:16" ht="27.95" customHeight="1">
      <c r="A10" s="27">
        <v>7</v>
      </c>
      <c r="B10" s="27" t="str">
        <f>VLOOKUP(C10,'DATA '!$O:$P,2,0)</f>
        <v>DRIVER</v>
      </c>
      <c r="C10" s="28" t="str">
        <f>'DATA '!O9</f>
        <v>RAFIQUE MOLLA</v>
      </c>
      <c r="D10" s="29" t="str">
        <f>IF(B10="DRIVER","",IF(B10="HELPER","",IF(B10="HOPPER",VLOOKUP('CONTRACT TOTAL (P)'!C10,'RJ ATTENDENCE SHEET'!$C:$I,7,0),IF(B10="LAB",VLOOKUP('CONTRACT TOTAL (P)'!C10,'RJ ATTENDENCE SHEET'!$C:$I,7,0),IF(B10="OTHERS",VLOOKUP('CONTRACT TOTAL (P)'!C10,'RJ ATTENDENCE SHEET'!$C:$I,7,0),"")))))</f>
        <v/>
      </c>
      <c r="E10" s="29" t="str">
        <f>IFERROR(D10/DAY(EOMONTH('RJ ATTENDENCE SHEET'!$A$1,0)),"")</f>
        <v/>
      </c>
      <c r="F10" s="29">
        <f>IF(B10="DRIVER",VLOOKUP('CONTRACT TOTAL (P)'!C10,'RJ ATTENDENCE SHEET'!$C:$W,8,0),IF(B10="HELPER",VLOOKUP('CONTRACT TOTAL (P)'!C10,'RJ ATTENDENCE SHEET'!$C:$W,8,0),IF(B10="HOPPER","",IF(B10="LAB","",IF(B10="OTHERS","","")))))</f>
        <v>300</v>
      </c>
      <c r="G10" s="29">
        <f>IF(B10="DRIVER",VLOOKUP('CONTRACT TOTAL (P)'!C10,'RJ ATTENDENCE SHEET'!$C:$W,9,0),IF(B10="HELPER",VLOOKUP('CONTRACT TOTAL (P)'!C10,'RJ ATTENDENCE SHEET'!$C:$W,9,0),IF(B10="HOPPER","",IF(B10="LAB","",IF(B10="OTHERS","","")))))</f>
        <v>185</v>
      </c>
      <c r="H10" s="29">
        <f>IFERROR(VLOOKUP(C10,'RJ ATTENDENCE SHEET'!$C:$V,20,0),"")</f>
        <v>41</v>
      </c>
      <c r="I10" s="29">
        <f>IFERROR(VLOOKUP(C10,'RJ ATTENDENCE SHEET'!$C:$W,21,0),"")</f>
        <v>10</v>
      </c>
      <c r="J10" s="34">
        <f t="shared" si="0"/>
        <v>12300</v>
      </c>
      <c r="K10" s="35">
        <f t="shared" si="1"/>
        <v>1850</v>
      </c>
      <c r="L10" s="34">
        <f t="shared" si="2"/>
        <v>14150</v>
      </c>
      <c r="M10" s="36">
        <f>IFERROR(VLOOKUP(C10,'RJ ATTENDENCE SHEET'!$C:$S,14,0),"")</f>
        <v>0</v>
      </c>
      <c r="N10" s="36">
        <f t="shared" si="3"/>
        <v>14150</v>
      </c>
      <c r="O10" s="271"/>
      <c r="P10" s="272"/>
    </row>
    <row r="11" spans="1:16" ht="27.95" customHeight="1">
      <c r="A11" s="27">
        <v>8</v>
      </c>
      <c r="B11" s="27" t="str">
        <f>VLOOKUP(C11,'DATA '!$O:$P,2,0)</f>
        <v>HELPER</v>
      </c>
      <c r="C11" s="28" t="str">
        <f>'DATA '!O10</f>
        <v>RAFIKUL MOLLA</v>
      </c>
      <c r="D11" s="29" t="str">
        <f>IF(B11="DRIVER","",IF(B11="HELPER","",IF(B11="HOPPER",VLOOKUP('CONTRACT TOTAL (P)'!C11,'RJ ATTENDENCE SHEET'!$C:$I,7,0),IF(B11="LAB",VLOOKUP('CONTRACT TOTAL (P)'!C11,'RJ ATTENDENCE SHEET'!$C:$I,7,0),IF(B11="OTHERS",VLOOKUP('CONTRACT TOTAL (P)'!C11,'RJ ATTENDENCE SHEET'!$C:$I,7,0),"")))))</f>
        <v/>
      </c>
      <c r="E11" s="29" t="str">
        <f>IFERROR(D11/DAY(EOMONTH('RJ ATTENDENCE SHEET'!$A$1,0)),"")</f>
        <v/>
      </c>
      <c r="F11" s="29">
        <f>IF(B11="DRIVER",VLOOKUP('CONTRACT TOTAL (P)'!C11,'RJ ATTENDENCE SHEET'!$C:$W,8,0),IF(B11="HELPER",VLOOKUP('CONTRACT TOTAL (P)'!C11,'RJ ATTENDENCE SHEET'!$C:$W,8,0),IF(B11="HOPPER","",IF(B11="LAB","",IF(B11="OTHERS","","")))))</f>
        <v>260</v>
      </c>
      <c r="G11" s="29">
        <f>IF(B11="DRIVER",VLOOKUP('CONTRACT TOTAL (P)'!C11,'RJ ATTENDENCE SHEET'!$C:$W,9,0),IF(B11="HELPER",VLOOKUP('CONTRACT TOTAL (P)'!C11,'RJ ATTENDENCE SHEET'!$C:$W,9,0),IF(B11="HOPPER","",IF(B11="LAB","",IF(B11="OTHERS","","")))))</f>
        <v>80</v>
      </c>
      <c r="H11" s="29">
        <f>IFERROR(VLOOKUP(C11,'RJ ATTENDENCE SHEET'!$C:$V,20,0),"")</f>
        <v>36</v>
      </c>
      <c r="I11" s="29">
        <f>IFERROR(VLOOKUP(C11,'RJ ATTENDENCE SHEET'!$C:$W,21,0),"")</f>
        <v>8</v>
      </c>
      <c r="J11" s="34">
        <f t="shared" si="0"/>
        <v>9360</v>
      </c>
      <c r="K11" s="35">
        <f t="shared" si="1"/>
        <v>640</v>
      </c>
      <c r="L11" s="34">
        <f t="shared" si="2"/>
        <v>10000</v>
      </c>
      <c r="M11" s="36">
        <f>IFERROR(VLOOKUP(C11,'RJ ATTENDENCE SHEET'!$C:$S,14,0),"")</f>
        <v>0</v>
      </c>
      <c r="N11" s="36">
        <f t="shared" si="3"/>
        <v>10000</v>
      </c>
      <c r="O11" s="271"/>
      <c r="P11" s="272"/>
    </row>
    <row r="12" spans="1:16" ht="27.95" customHeight="1">
      <c r="A12" s="27">
        <v>9</v>
      </c>
      <c r="B12" s="27" t="str">
        <f>VLOOKUP(C12,'DATA '!$O:$P,2,0)</f>
        <v>OTHERS</v>
      </c>
      <c r="C12" s="28" t="str">
        <f>'DATA '!O11</f>
        <v>AYAN PAUL</v>
      </c>
      <c r="D12" s="29">
        <f>IF(B12="DRIVER","",IF(B12="HELPER","",IF(B12="HOPPER",VLOOKUP('CONTRACT TOTAL (P)'!C12,'RJ ATTENDENCE SHEET'!$C:$I,7,0),IF(B12="LAB",VLOOKUP('CONTRACT TOTAL (P)'!C12,'RJ ATTENDENCE SHEET'!$C:$I,7,0),IF(B12="OTHERS",VLOOKUP('CONTRACT TOTAL (P)'!C12,'RJ ATTENDENCE SHEET'!$C:$I,7,0),"")))))</f>
        <v>12000</v>
      </c>
      <c r="E12" s="29">
        <f>IFERROR(D12/DAY(EOMONTH('RJ ATTENDENCE SHEET'!$A$1,0)),"")</f>
        <v>387.09677419354841</v>
      </c>
      <c r="F12" s="29" t="str">
        <f>IF(B12="DRIVER",VLOOKUP('CONTRACT TOTAL (P)'!C12,'RJ ATTENDENCE SHEET'!$C:$W,8,0),IF(B12="HELPER",VLOOKUP('CONTRACT TOTAL (P)'!C12,'RJ ATTENDENCE SHEET'!$C:$W,8,0),IF(B12="HOPPER","",IF(B12="LAB","",IF(B12="OTHERS","","")))))</f>
        <v/>
      </c>
      <c r="G12" s="29" t="str">
        <f>IF(B12="DRIVER",VLOOKUP('CONTRACT TOTAL (P)'!C12,'RJ ATTENDENCE SHEET'!$C:$W,9,0),IF(B12="HELPER",VLOOKUP('CONTRACT TOTAL (P)'!C12,'RJ ATTENDENCE SHEET'!$C:$W,9,0),IF(B12="HOPPER","",IF(B12="LAB","",IF(B12="OTHERS","","")))))</f>
        <v/>
      </c>
      <c r="H12" s="29">
        <f>IFERROR(VLOOKUP(C12,'RJ ATTENDENCE SHEET'!$C:$V,20,0),"")</f>
        <v>35</v>
      </c>
      <c r="I12" s="29">
        <f>IFERROR(VLOOKUP(C12,'RJ ATTENDENCE SHEET'!$C:$W,21,0),"")</f>
        <v>0</v>
      </c>
      <c r="J12" s="34" t="str">
        <f t="shared" si="0"/>
        <v/>
      </c>
      <c r="K12" s="35" t="str">
        <f t="shared" si="1"/>
        <v/>
      </c>
      <c r="L12" s="34">
        <f t="shared" si="2"/>
        <v>13548.387096774195</v>
      </c>
      <c r="M12" s="36">
        <f>IFERROR(VLOOKUP(C12,'RJ ATTENDENCE SHEET'!$C:$S,14,0),"")</f>
        <v>0</v>
      </c>
      <c r="N12" s="36">
        <f t="shared" si="3"/>
        <v>13548.387096774195</v>
      </c>
      <c r="O12" s="271"/>
      <c r="P12" s="272"/>
    </row>
    <row r="13" spans="1:16" ht="27.95" customHeight="1">
      <c r="A13" s="27">
        <v>10</v>
      </c>
      <c r="B13" s="27" t="str">
        <f>VLOOKUP(C13,'DATA '!$O:$P,2,0)</f>
        <v>HELPER</v>
      </c>
      <c r="C13" s="28" t="str">
        <f>'DATA '!O12</f>
        <v>NAYAN MONDAL</v>
      </c>
      <c r="D13" s="29" t="str">
        <f>IF(B13="DRIVER","",IF(B13="HELPER","",IF(B13="HOPPER",VLOOKUP('CONTRACT TOTAL (P)'!C13,'RJ ATTENDENCE SHEET'!$C:$I,7,0),IF(B13="LAB",VLOOKUP('CONTRACT TOTAL (P)'!C13,'RJ ATTENDENCE SHEET'!$C:$I,7,0),IF(B13="OTHERS",VLOOKUP('CONTRACT TOTAL (P)'!C13,'RJ ATTENDENCE SHEET'!$C:$I,7,0),"")))))</f>
        <v/>
      </c>
      <c r="E13" s="29" t="str">
        <f>IFERROR(D13/DAY(EOMONTH('RJ ATTENDENCE SHEET'!$A$1,0)),"")</f>
        <v/>
      </c>
      <c r="F13" s="29">
        <f>IF(B13="DRIVER",VLOOKUP('CONTRACT TOTAL (P)'!C13,'RJ ATTENDENCE SHEET'!$C:$W,8,0),IF(B13="HELPER",VLOOKUP('CONTRACT TOTAL (P)'!C13,'RJ ATTENDENCE SHEET'!$C:$W,8,0),IF(B13="HOPPER","",IF(B13="LAB","",IF(B13="OTHERS","","")))))</f>
        <v>250</v>
      </c>
      <c r="G13" s="29">
        <f>IF(B13="DRIVER",VLOOKUP('CONTRACT TOTAL (P)'!C13,'RJ ATTENDENCE SHEET'!$C:$W,9,0),IF(B13="HELPER",VLOOKUP('CONTRACT TOTAL (P)'!C13,'RJ ATTENDENCE SHEET'!$C:$W,9,0),IF(B13="HOPPER","",IF(B13="LAB","",IF(B13="OTHERS","","")))))</f>
        <v>70</v>
      </c>
      <c r="H13" s="29">
        <f>IFERROR(VLOOKUP(C13,'RJ ATTENDENCE SHEET'!$C:$V,20,0),"")</f>
        <v>42</v>
      </c>
      <c r="I13" s="29">
        <f>IFERROR(VLOOKUP(C13,'RJ ATTENDENCE SHEET'!$C:$W,21,0),"")</f>
        <v>9</v>
      </c>
      <c r="J13" s="34">
        <f t="shared" si="0"/>
        <v>10500</v>
      </c>
      <c r="K13" s="35">
        <f t="shared" si="1"/>
        <v>630</v>
      </c>
      <c r="L13" s="34">
        <f t="shared" si="2"/>
        <v>11130</v>
      </c>
      <c r="M13" s="36">
        <f>IFERROR(VLOOKUP(C13,'RJ ATTENDENCE SHEET'!$C:$S,14,0),"")</f>
        <v>0</v>
      </c>
      <c r="N13" s="36">
        <f t="shared" si="3"/>
        <v>11130</v>
      </c>
      <c r="O13" s="271"/>
      <c r="P13" s="272"/>
    </row>
    <row r="14" spans="1:16" ht="27.95" customHeight="1">
      <c r="A14" s="27">
        <v>11</v>
      </c>
      <c r="B14" s="27" t="str">
        <f>VLOOKUP(C14,'DATA '!$O:$P,2,0)</f>
        <v>OTHERS</v>
      </c>
      <c r="C14" s="28" t="str">
        <f>'DATA '!O13</f>
        <v>SHIB SANKAR MAJHI</v>
      </c>
      <c r="D14" s="29">
        <f>IF(B14="DRIVER","",IF(B14="HELPER","",IF(B14="HOPPER",VLOOKUP('CONTRACT TOTAL (P)'!C14,'RJ ATTENDENCE SHEET'!$C:$I,7,0),IF(B14="LAB",VLOOKUP('CONTRACT TOTAL (P)'!C14,'RJ ATTENDENCE SHEET'!$C:$I,7,0),IF(B14="OTHERS",VLOOKUP('CONTRACT TOTAL (P)'!C14,'RJ ATTENDENCE SHEET'!$C:$I,7,0),"")))))</f>
        <v>17900</v>
      </c>
      <c r="E14" s="29">
        <f>IFERROR(D14/DAY(EOMONTH('RJ ATTENDENCE SHEET'!$A$1,0)),"")</f>
        <v>577.41935483870964</v>
      </c>
      <c r="F14" s="29" t="str">
        <f>IF(B14="DRIVER",VLOOKUP('CONTRACT TOTAL (P)'!C14,'RJ ATTENDENCE SHEET'!$C:$W,8,0),IF(B14="HELPER",VLOOKUP('CONTRACT TOTAL (P)'!C14,'RJ ATTENDENCE SHEET'!$C:$W,8,0),IF(B14="HOPPER","",IF(B14="LAB","",IF(B14="OTHERS","","")))))</f>
        <v/>
      </c>
      <c r="G14" s="29" t="str">
        <f>IF(B14="DRIVER",VLOOKUP('CONTRACT TOTAL (P)'!C14,'RJ ATTENDENCE SHEET'!$C:$W,9,0),IF(B14="HELPER",VLOOKUP('CONTRACT TOTAL (P)'!C14,'RJ ATTENDENCE SHEET'!$C:$W,9,0),IF(B14="HOPPER","",IF(B14="LAB","",IF(B14="OTHERS","","")))))</f>
        <v/>
      </c>
      <c r="H14" s="29">
        <f>IFERROR(VLOOKUP(C14,'RJ ATTENDENCE SHEET'!$C:$V,20,0),"")</f>
        <v>35</v>
      </c>
      <c r="I14" s="29">
        <f>IFERROR(VLOOKUP(C14,'RJ ATTENDENCE SHEET'!$C:$W,21,0),"")</f>
        <v>0</v>
      </c>
      <c r="J14" s="34" t="str">
        <f t="shared" si="0"/>
        <v/>
      </c>
      <c r="K14" s="35" t="str">
        <f t="shared" si="1"/>
        <v/>
      </c>
      <c r="L14" s="34">
        <f t="shared" si="2"/>
        <v>20209.677419354837</v>
      </c>
      <c r="M14" s="36">
        <f>IFERROR(VLOOKUP(C14,'RJ ATTENDENCE SHEET'!$C:$S,14,0),"")</f>
        <v>0</v>
      </c>
      <c r="N14" s="36">
        <f t="shared" si="3"/>
        <v>20209.677419354837</v>
      </c>
      <c r="O14" s="271"/>
      <c r="P14" s="272"/>
    </row>
    <row r="15" spans="1:16" ht="27.95" customHeight="1">
      <c r="A15" s="27">
        <v>12</v>
      </c>
      <c r="B15" s="27" t="str">
        <f>VLOOKUP(C15,'DATA '!$O:$P,2,0)</f>
        <v>OTHERS</v>
      </c>
      <c r="C15" s="28" t="str">
        <f>'DATA '!O14</f>
        <v>ABUL KALAM AZAD</v>
      </c>
      <c r="D15" s="29">
        <f>IF(B15="DRIVER","",IF(B15="HELPER","",IF(B15="HOPPER",VLOOKUP('CONTRACT TOTAL (P)'!C15,'RJ ATTENDENCE SHEET'!$C:$I,7,0),IF(B15="LAB",VLOOKUP('CONTRACT TOTAL (P)'!C15,'RJ ATTENDENCE SHEET'!$C:$I,7,0),IF(B15="OTHERS",VLOOKUP('CONTRACT TOTAL (P)'!C15,'RJ ATTENDENCE SHEET'!$C:$I,7,0),"")))))</f>
        <v>17900</v>
      </c>
      <c r="E15" s="29">
        <f>IFERROR(D15/DAY(EOMONTH('RJ ATTENDENCE SHEET'!$A$1,0)),"")</f>
        <v>577.41935483870964</v>
      </c>
      <c r="F15" s="29" t="str">
        <f>IF(B15="DRIVER",VLOOKUP('CONTRACT TOTAL (P)'!C15,'RJ ATTENDENCE SHEET'!$C:$W,8,0),IF(B15="HELPER",VLOOKUP('CONTRACT TOTAL (P)'!C15,'RJ ATTENDENCE SHEET'!$C:$W,8,0),IF(B15="HOPPER","",IF(B15="LAB","",IF(B15="OTHERS","","")))))</f>
        <v/>
      </c>
      <c r="G15" s="29" t="str">
        <f>IF(B15="DRIVER",VLOOKUP('CONTRACT TOTAL (P)'!C15,'RJ ATTENDENCE SHEET'!$C:$W,9,0),IF(B15="HELPER",VLOOKUP('CONTRACT TOTAL (P)'!C15,'RJ ATTENDENCE SHEET'!$C:$W,9,0),IF(B15="HOPPER","",IF(B15="LAB","",IF(B15="OTHERS","","")))))</f>
        <v/>
      </c>
      <c r="H15" s="29">
        <f>IFERROR(VLOOKUP(C15,'RJ ATTENDENCE SHEET'!$C:$V,20,0),"")</f>
        <v>35</v>
      </c>
      <c r="I15" s="29">
        <f>IFERROR(VLOOKUP(C15,'RJ ATTENDENCE SHEET'!$C:$W,21,0),"")</f>
        <v>0</v>
      </c>
      <c r="J15" s="34" t="str">
        <f t="shared" si="0"/>
        <v/>
      </c>
      <c r="K15" s="35" t="str">
        <f t="shared" si="1"/>
        <v/>
      </c>
      <c r="L15" s="34">
        <f t="shared" si="2"/>
        <v>20209.677419354837</v>
      </c>
      <c r="M15" s="36">
        <f>IFERROR(VLOOKUP(C15,'RJ ATTENDENCE SHEET'!$C:$S,14,0),"")</f>
        <v>0</v>
      </c>
      <c r="N15" s="36">
        <f t="shared" si="3"/>
        <v>20209.677419354837</v>
      </c>
      <c r="O15" s="271"/>
      <c r="P15" s="272"/>
    </row>
    <row r="16" spans="1:16" ht="27.95" customHeight="1">
      <c r="A16" s="27">
        <v>13</v>
      </c>
      <c r="B16" s="27" t="str">
        <f>VLOOKUP(C16,'DATA '!$O:$P,2,0)</f>
        <v>DRIVER</v>
      </c>
      <c r="C16" s="28" t="str">
        <f>'DATA '!O15</f>
        <v>SATYA NASKAR</v>
      </c>
      <c r="D16" s="29" t="str">
        <f>IF(B16="DRIVER","",IF(B16="HELPER","",IF(B16="HOPPER",VLOOKUP('CONTRACT TOTAL (P)'!C16,'RJ ATTENDENCE SHEET'!$C:$I,7,0),IF(B16="LAB",VLOOKUP('CONTRACT TOTAL (P)'!C16,'RJ ATTENDENCE SHEET'!$C:$I,7,0),IF(B16="OTHERS",VLOOKUP('CONTRACT TOTAL (P)'!C16,'RJ ATTENDENCE SHEET'!$C:$I,7,0),"")))))</f>
        <v/>
      </c>
      <c r="E16" s="29" t="str">
        <f>IFERROR(D16/DAY(EOMONTH('RJ ATTENDENCE SHEET'!$A$1,0)),"")</f>
        <v/>
      </c>
      <c r="F16" s="29">
        <f>IF(B16="DRIVER",VLOOKUP('CONTRACT TOTAL (P)'!C16,'RJ ATTENDENCE SHEET'!$C:$W,8,0),IF(B16="HELPER",VLOOKUP('CONTRACT TOTAL (P)'!C16,'RJ ATTENDENCE SHEET'!$C:$W,8,0),IF(B16="HOPPER","",IF(B16="LAB","",IF(B16="OTHERS","","")))))</f>
        <v>300</v>
      </c>
      <c r="G16" s="29">
        <f>IF(B16="DRIVER",VLOOKUP('CONTRACT TOTAL (P)'!C16,'RJ ATTENDENCE SHEET'!$C:$W,9,0),IF(B16="HELPER",VLOOKUP('CONTRACT TOTAL (P)'!C16,'RJ ATTENDENCE SHEET'!$C:$W,9,0),IF(B16="HOPPER","",IF(B16="LAB","",IF(B16="OTHERS","","")))))</f>
        <v>185</v>
      </c>
      <c r="H16" s="29">
        <f>IFERROR(VLOOKUP(C16,'RJ ATTENDENCE SHEET'!$C:$V,20,0),"")</f>
        <v>41</v>
      </c>
      <c r="I16" s="29">
        <f>IFERROR(VLOOKUP(C16,'RJ ATTENDENCE SHEET'!$C:$W,21,0),"")</f>
        <v>9</v>
      </c>
      <c r="J16" s="34">
        <f t="shared" si="0"/>
        <v>12300</v>
      </c>
      <c r="K16" s="35">
        <f t="shared" si="1"/>
        <v>1665</v>
      </c>
      <c r="L16" s="34">
        <f t="shared" si="2"/>
        <v>13965</v>
      </c>
      <c r="M16" s="36">
        <f>IFERROR(VLOOKUP(C16,'RJ ATTENDENCE SHEET'!$C:$S,14,0),"")</f>
        <v>0</v>
      </c>
      <c r="N16" s="36">
        <f t="shared" si="3"/>
        <v>13965</v>
      </c>
      <c r="O16" s="271"/>
      <c r="P16" s="272"/>
    </row>
    <row r="17" spans="1:16" ht="27.95" customHeight="1">
      <c r="A17" s="27">
        <v>14</v>
      </c>
      <c r="B17" s="27" t="str">
        <f>VLOOKUP(C17,'DATA '!$O:$P,2,0)</f>
        <v>HELPER</v>
      </c>
      <c r="C17" s="28" t="str">
        <f>'DATA '!O16</f>
        <v>JAMSHED ALI</v>
      </c>
      <c r="D17" s="29" t="str">
        <f>IF(B17="DRIVER","",IF(B17="HELPER","",IF(B17="HOPPER",VLOOKUP('CONTRACT TOTAL (P)'!C17,'RJ ATTENDENCE SHEET'!$C:$I,7,0),IF(B17="LAB",VLOOKUP('CONTRACT TOTAL (P)'!C17,'RJ ATTENDENCE SHEET'!$C:$I,7,0),IF(B17="OTHERS",VLOOKUP('CONTRACT TOTAL (P)'!C17,'RJ ATTENDENCE SHEET'!$C:$I,7,0),"")))))</f>
        <v/>
      </c>
      <c r="E17" s="29" t="str">
        <f>IFERROR(D17/DAY(EOMONTH('RJ ATTENDENCE SHEET'!$A$1,0)),"")</f>
        <v/>
      </c>
      <c r="F17" s="29">
        <f>IF(B17="DRIVER",VLOOKUP('CONTRACT TOTAL (P)'!C17,'RJ ATTENDENCE SHEET'!$C:$W,8,0),IF(B17="HELPER",VLOOKUP('CONTRACT TOTAL (P)'!C17,'RJ ATTENDENCE SHEET'!$C:$W,8,0),IF(B17="HOPPER","",IF(B17="LAB","",IF(B17="OTHERS","","")))))</f>
        <v>260</v>
      </c>
      <c r="G17" s="29">
        <f>IF(B17="DRIVER",VLOOKUP('CONTRACT TOTAL (P)'!C17,'RJ ATTENDENCE SHEET'!$C:$W,9,0),IF(B17="HELPER",VLOOKUP('CONTRACT TOTAL (P)'!C17,'RJ ATTENDENCE SHEET'!$C:$W,9,0),IF(B17="HOPPER","",IF(B17="LAB","",IF(B17="OTHERS","","")))))</f>
        <v>80</v>
      </c>
      <c r="H17" s="29">
        <f>IFERROR(VLOOKUP(C17,'RJ ATTENDENCE SHEET'!$C:$V,20,0),"")</f>
        <v>39</v>
      </c>
      <c r="I17" s="29">
        <f>IFERROR(VLOOKUP(C17,'RJ ATTENDENCE SHEET'!$C:$W,21,0),"")</f>
        <v>14</v>
      </c>
      <c r="J17" s="34">
        <f t="shared" si="0"/>
        <v>10140</v>
      </c>
      <c r="K17" s="35">
        <f t="shared" si="1"/>
        <v>1120</v>
      </c>
      <c r="L17" s="34">
        <f t="shared" si="2"/>
        <v>11260</v>
      </c>
      <c r="M17" s="36">
        <f>IFERROR(VLOOKUP(C17,'RJ ATTENDENCE SHEET'!$C:$S,14,0),"")</f>
        <v>0</v>
      </c>
      <c r="N17" s="36">
        <f t="shared" si="3"/>
        <v>11260</v>
      </c>
      <c r="O17" s="271"/>
      <c r="P17" s="272"/>
    </row>
    <row r="18" spans="1:16" ht="27.95" customHeight="1">
      <c r="A18" s="27">
        <v>15</v>
      </c>
      <c r="B18" s="27" t="str">
        <f>VLOOKUP(C18,'DATA '!$O:$P,2,0)</f>
        <v>HELPER</v>
      </c>
      <c r="C18" s="28" t="str">
        <f>'DATA '!O17</f>
        <v>ABHIJIT MONDAL</v>
      </c>
      <c r="D18" s="29" t="str">
        <f>IF(B18="DRIVER","",IF(B18="HELPER","",IF(B18="HOPPER",VLOOKUP('CONTRACT TOTAL (P)'!C18,'RJ ATTENDENCE SHEET'!$C:$I,7,0),IF(B18="LAB",VLOOKUP('CONTRACT TOTAL (P)'!C18,'RJ ATTENDENCE SHEET'!$C:$I,7,0),IF(B18="OTHERS",VLOOKUP('CONTRACT TOTAL (P)'!C18,'RJ ATTENDENCE SHEET'!$C:$I,7,0),"")))))</f>
        <v/>
      </c>
      <c r="E18" s="29" t="str">
        <f>IFERROR(D18/DAY(EOMONTH('RJ ATTENDENCE SHEET'!$A$1,0)),"")</f>
        <v/>
      </c>
      <c r="F18" s="29">
        <f>IF(B18="DRIVER",VLOOKUP('CONTRACT TOTAL (P)'!C18,'RJ ATTENDENCE SHEET'!$C:$W,8,0),IF(B18="HELPER",VLOOKUP('CONTRACT TOTAL (P)'!C18,'RJ ATTENDENCE SHEET'!$C:$W,8,0),IF(B18="HOPPER","",IF(B18="LAB","",IF(B18="OTHERS","","")))))</f>
        <v>250</v>
      </c>
      <c r="G18" s="29">
        <f>IF(B18="DRIVER",VLOOKUP('CONTRACT TOTAL (P)'!C18,'RJ ATTENDENCE SHEET'!$C:$W,9,0),IF(B18="HELPER",VLOOKUP('CONTRACT TOTAL (P)'!C18,'RJ ATTENDENCE SHEET'!$C:$W,9,0),IF(B18="HOPPER","",IF(B18="LAB","",IF(B18="OTHERS","","")))))</f>
        <v>70</v>
      </c>
      <c r="H18" s="29">
        <f>IFERROR(VLOOKUP(C18,'RJ ATTENDENCE SHEET'!$C:$V,20,0),"")</f>
        <v>40</v>
      </c>
      <c r="I18" s="29">
        <f>IFERROR(VLOOKUP(C18,'RJ ATTENDENCE SHEET'!$C:$W,21,0),"")</f>
        <v>9</v>
      </c>
      <c r="J18" s="34">
        <f t="shared" si="0"/>
        <v>10000</v>
      </c>
      <c r="K18" s="35">
        <f t="shared" si="1"/>
        <v>630</v>
      </c>
      <c r="L18" s="34">
        <f t="shared" si="2"/>
        <v>10630</v>
      </c>
      <c r="M18" s="36">
        <f>IFERROR(VLOOKUP(C18,'RJ ATTENDENCE SHEET'!$C:$S,14,0),"")</f>
        <v>0</v>
      </c>
      <c r="N18" s="36">
        <f t="shared" si="3"/>
        <v>10630</v>
      </c>
      <c r="O18" s="271"/>
      <c r="P18" s="272"/>
    </row>
    <row r="19" spans="1:16" ht="27.95" customHeight="1">
      <c r="A19" s="27">
        <v>16</v>
      </c>
      <c r="B19" s="27" t="str">
        <f>VLOOKUP(C19,'DATA '!$O:$P,2,0)</f>
        <v>HELPER</v>
      </c>
      <c r="C19" s="28" t="str">
        <f>'DATA '!O18</f>
        <v>KHALEK DHALI</v>
      </c>
      <c r="D19" s="29" t="str">
        <f>IF(B19="DRIVER","",IF(B19="HELPER","",IF(B19="HOPPER",VLOOKUP('CONTRACT TOTAL (P)'!C19,'RJ ATTENDENCE SHEET'!$C:$I,7,0),IF(B19="LAB",VLOOKUP('CONTRACT TOTAL (P)'!C19,'RJ ATTENDENCE SHEET'!$C:$I,7,0),IF(B19="OTHERS",VLOOKUP('CONTRACT TOTAL (P)'!C19,'RJ ATTENDENCE SHEET'!$C:$I,7,0),"")))))</f>
        <v/>
      </c>
      <c r="E19" s="29" t="str">
        <f>IFERROR(D19/DAY(EOMONTH('RJ ATTENDENCE SHEET'!$A$1,0)),"")</f>
        <v/>
      </c>
      <c r="F19" s="29">
        <f>IF(B19="DRIVER",VLOOKUP('CONTRACT TOTAL (P)'!C19,'RJ ATTENDENCE SHEET'!$C:$W,8,0),IF(B19="HELPER",VLOOKUP('CONTRACT TOTAL (P)'!C19,'RJ ATTENDENCE SHEET'!$C:$W,8,0),IF(B19="HOPPER","",IF(B19="LAB","",IF(B19="OTHERS","","")))))</f>
        <v>260</v>
      </c>
      <c r="G19" s="29">
        <f>IF(B19="DRIVER",VLOOKUP('CONTRACT TOTAL (P)'!C19,'RJ ATTENDENCE SHEET'!$C:$W,9,0),IF(B19="HELPER",VLOOKUP('CONTRACT TOTAL (P)'!C19,'RJ ATTENDENCE SHEET'!$C:$W,9,0),IF(B19="HOPPER","",IF(B19="LAB","",IF(B19="OTHERS","","")))))</f>
        <v>80</v>
      </c>
      <c r="H19" s="29">
        <f>IFERROR(VLOOKUP(C19,'RJ ATTENDENCE SHEET'!$C:$V,20,0),"")</f>
        <v>40</v>
      </c>
      <c r="I19" s="29">
        <f>IFERROR(VLOOKUP(C19,'RJ ATTENDENCE SHEET'!$C:$W,21,0),"")</f>
        <v>13</v>
      </c>
      <c r="J19" s="34">
        <f t="shared" si="0"/>
        <v>10400</v>
      </c>
      <c r="K19" s="35">
        <f t="shared" si="1"/>
        <v>1040</v>
      </c>
      <c r="L19" s="34">
        <f t="shared" si="2"/>
        <v>11440</v>
      </c>
      <c r="M19" s="36">
        <f>IFERROR(VLOOKUP(C19,'RJ ATTENDENCE SHEET'!$C:$S,14,0),"")</f>
        <v>0</v>
      </c>
      <c r="N19" s="36">
        <f t="shared" si="3"/>
        <v>11440</v>
      </c>
      <c r="O19" s="271"/>
      <c r="P19" s="272"/>
    </row>
    <row r="20" spans="1:16" ht="27.95" customHeight="1">
      <c r="A20" s="27">
        <v>17</v>
      </c>
      <c r="B20" s="27" t="str">
        <f>VLOOKUP(C20,'DATA '!$O:$P,2,0)</f>
        <v>HELPER</v>
      </c>
      <c r="C20" s="28" t="str">
        <f>'DATA '!O19</f>
        <v>JAMIR ALI</v>
      </c>
      <c r="D20" s="29" t="str">
        <f>IF(B20="DRIVER","",IF(B20="HELPER","",IF(B20="HOPPER",VLOOKUP('CONTRACT TOTAL (P)'!C20,'RJ ATTENDENCE SHEET'!$C:$I,7,0),IF(B20="LAB",VLOOKUP('CONTRACT TOTAL (P)'!C20,'RJ ATTENDENCE SHEET'!$C:$I,7,0),IF(B20="OTHERS",VLOOKUP('CONTRACT TOTAL (P)'!C20,'RJ ATTENDENCE SHEET'!$C:$I,7,0),"")))))</f>
        <v/>
      </c>
      <c r="E20" s="29" t="str">
        <f>IFERROR(D20/DAY(EOMONTH('RJ ATTENDENCE SHEET'!$A$1,0)),"")</f>
        <v/>
      </c>
      <c r="F20" s="29">
        <f>IF(B20="DRIVER",VLOOKUP('CONTRACT TOTAL (P)'!C20,'RJ ATTENDENCE SHEET'!$C:$W,8,0),IF(B20="HELPER",VLOOKUP('CONTRACT TOTAL (P)'!C20,'RJ ATTENDENCE SHEET'!$C:$W,8,0),IF(B20="HOPPER","",IF(B20="LAB","",IF(B20="OTHERS","","")))))</f>
        <v>260</v>
      </c>
      <c r="G20" s="29">
        <f>IF(B20="DRIVER",VLOOKUP('CONTRACT TOTAL (P)'!C20,'RJ ATTENDENCE SHEET'!$C:$W,9,0),IF(B20="HELPER",VLOOKUP('CONTRACT TOTAL (P)'!C20,'RJ ATTENDENCE SHEET'!$C:$W,9,0),IF(B20="HOPPER","",IF(B20="LAB","",IF(B20="OTHERS","","")))))</f>
        <v>80</v>
      </c>
      <c r="H20" s="29">
        <f>IFERROR(VLOOKUP(C20,'RJ ATTENDENCE SHEET'!$C:$V,20,0),"")</f>
        <v>31</v>
      </c>
      <c r="I20" s="29">
        <f>IFERROR(VLOOKUP(C20,'RJ ATTENDENCE SHEET'!$C:$W,21,0),"")</f>
        <v>7</v>
      </c>
      <c r="J20" s="34">
        <f t="shared" si="0"/>
        <v>8060</v>
      </c>
      <c r="K20" s="35">
        <f t="shared" si="1"/>
        <v>560</v>
      </c>
      <c r="L20" s="34">
        <f t="shared" si="2"/>
        <v>8620</v>
      </c>
      <c r="M20" s="36">
        <f>IFERROR(VLOOKUP(C20,'RJ ATTENDENCE SHEET'!$C:$S,14,0),"")</f>
        <v>0</v>
      </c>
      <c r="N20" s="36">
        <f t="shared" si="3"/>
        <v>8620</v>
      </c>
      <c r="O20" s="271"/>
      <c r="P20" s="272"/>
    </row>
    <row r="21" spans="1:16" ht="27.95" customHeight="1">
      <c r="A21" s="27">
        <v>18</v>
      </c>
      <c r="B21" s="27" t="str">
        <f>VLOOKUP(C21,'DATA '!$O:$P,2,0)</f>
        <v>HELPER</v>
      </c>
      <c r="C21" s="28" t="str">
        <f>'DATA '!O20</f>
        <v>MADAN</v>
      </c>
      <c r="D21" s="29" t="str">
        <f>IF(B21="DRIVER","",IF(B21="HELPER","",IF(B21="HOPPER",VLOOKUP('CONTRACT TOTAL (P)'!C21,'RJ ATTENDENCE SHEET'!$C:$I,7,0),IF(B21="LAB",VLOOKUP('CONTRACT TOTAL (P)'!C21,'RJ ATTENDENCE SHEET'!$C:$I,7,0),IF(B21="OTHERS",VLOOKUP('CONTRACT TOTAL (P)'!C21,'RJ ATTENDENCE SHEET'!$C:$I,7,0),"")))))</f>
        <v/>
      </c>
      <c r="E21" s="29" t="str">
        <f>IFERROR(D21/DAY(EOMONTH('RJ ATTENDENCE SHEET'!$A$1,0)),"")</f>
        <v/>
      </c>
      <c r="F21" s="29">
        <f>IF(B21="DRIVER",VLOOKUP('CONTRACT TOTAL (P)'!C21,'RJ ATTENDENCE SHEET'!$C:$W,8,0),IF(B21="HELPER",VLOOKUP('CONTRACT TOTAL (P)'!C21,'RJ ATTENDENCE SHEET'!$C:$W,8,0),IF(B21="HOPPER","",IF(B21="LAB","",IF(B21="OTHERS","","")))))</f>
        <v>260</v>
      </c>
      <c r="G21" s="29">
        <f>IF(B21="DRIVER",VLOOKUP('CONTRACT TOTAL (P)'!C21,'RJ ATTENDENCE SHEET'!$C:$W,9,0),IF(B21="HELPER",VLOOKUP('CONTRACT TOTAL (P)'!C21,'RJ ATTENDENCE SHEET'!$C:$W,9,0),IF(B21="HOPPER","",IF(B21="LAB","",IF(B21="OTHERS","","")))))</f>
        <v>80</v>
      </c>
      <c r="H21" s="29">
        <f>IFERROR(VLOOKUP(C21,'RJ ATTENDENCE SHEET'!$C:$V,20,0),"")</f>
        <v>41</v>
      </c>
      <c r="I21" s="29">
        <f>IFERROR(VLOOKUP(C21,'RJ ATTENDENCE SHEET'!$C:$W,21,0),"")</f>
        <v>9</v>
      </c>
      <c r="J21" s="34">
        <f t="shared" si="0"/>
        <v>10660</v>
      </c>
      <c r="K21" s="35">
        <f t="shared" si="1"/>
        <v>720</v>
      </c>
      <c r="L21" s="34">
        <f t="shared" si="2"/>
        <v>11380</v>
      </c>
      <c r="M21" s="36">
        <f>IFERROR(VLOOKUP(C21,'RJ ATTENDENCE SHEET'!$C:$S,14,0),"")</f>
        <v>0</v>
      </c>
      <c r="N21" s="36">
        <f t="shared" si="3"/>
        <v>11380</v>
      </c>
      <c r="O21" s="271"/>
      <c r="P21" s="272"/>
    </row>
    <row r="22" spans="1:16" ht="27.95" customHeight="1">
      <c r="A22" s="27">
        <v>19</v>
      </c>
      <c r="B22" s="27" t="str">
        <f>VLOOKUP(C22,'DATA '!$O:$P,2,0)</f>
        <v>HELPER</v>
      </c>
      <c r="C22" s="28" t="str">
        <f>'DATA '!O21</f>
        <v>SALAUDDIN SHAH</v>
      </c>
      <c r="D22" s="29" t="str">
        <f>IF(B22="DRIVER","",IF(B22="HELPER","",IF(B22="HOPPER",VLOOKUP('CONTRACT TOTAL (P)'!C22,'RJ ATTENDENCE SHEET'!$C:$I,7,0),IF(B22="LAB",VLOOKUP('CONTRACT TOTAL (P)'!C22,'RJ ATTENDENCE SHEET'!$C:$I,7,0),IF(B22="OTHERS",VLOOKUP('CONTRACT TOTAL (P)'!C22,'RJ ATTENDENCE SHEET'!$C:$I,7,0),"")))))</f>
        <v/>
      </c>
      <c r="E22" s="29" t="str">
        <f>IFERROR(D22/DAY(EOMONTH('RJ ATTENDENCE SHEET'!$A$1,0)),"")</f>
        <v/>
      </c>
      <c r="F22" s="29">
        <f>IF(B22="DRIVER",VLOOKUP('CONTRACT TOTAL (P)'!C22,'RJ ATTENDENCE SHEET'!$C:$W,8,0),IF(B22="HELPER",VLOOKUP('CONTRACT TOTAL (P)'!C22,'RJ ATTENDENCE SHEET'!$C:$W,8,0),IF(B22="HOPPER","",IF(B22="LAB","",IF(B22="OTHERS","","")))))</f>
        <v>260</v>
      </c>
      <c r="G22" s="29">
        <f>IF(B22="DRIVER",VLOOKUP('CONTRACT TOTAL (P)'!C22,'RJ ATTENDENCE SHEET'!$C:$W,9,0),IF(B22="HELPER",VLOOKUP('CONTRACT TOTAL (P)'!C22,'RJ ATTENDENCE SHEET'!$C:$W,9,0),IF(B22="HOPPER","",IF(B22="LAB","",IF(B22="OTHERS","","")))))</f>
        <v>80</v>
      </c>
      <c r="H22" s="29">
        <f>IFERROR(VLOOKUP(C22,'RJ ATTENDENCE SHEET'!$C:$V,20,0),"")</f>
        <v>41</v>
      </c>
      <c r="I22" s="29">
        <f>IFERROR(VLOOKUP(C22,'RJ ATTENDENCE SHEET'!$C:$W,21,0),"")</f>
        <v>12</v>
      </c>
      <c r="J22" s="34">
        <f t="shared" si="0"/>
        <v>10660</v>
      </c>
      <c r="K22" s="35">
        <f t="shared" si="1"/>
        <v>960</v>
      </c>
      <c r="L22" s="34">
        <f t="shared" si="2"/>
        <v>11620</v>
      </c>
      <c r="M22" s="36">
        <f>IFERROR(VLOOKUP(C22,'RJ ATTENDENCE SHEET'!$C:$S,14,0),"")</f>
        <v>0</v>
      </c>
      <c r="N22" s="36">
        <f t="shared" si="3"/>
        <v>11620</v>
      </c>
      <c r="O22" s="271"/>
      <c r="P22" s="272"/>
    </row>
    <row r="23" spans="1:16" ht="27.95" customHeight="1">
      <c r="A23" s="27">
        <v>20</v>
      </c>
      <c r="B23" s="27" t="str">
        <f>VLOOKUP(C23,'DATA '!$O:$P,2,0)</f>
        <v>DRIVER</v>
      </c>
      <c r="C23" s="28" t="str">
        <f>'DATA '!O22</f>
        <v>MOFIJUL ALI</v>
      </c>
      <c r="D23" s="29" t="str">
        <f>IF(B23="DRIVER","",IF(B23="HELPER","",IF(B23="HOPPER",VLOOKUP('CONTRACT TOTAL (P)'!C23,'RJ ATTENDENCE SHEET'!$C:$I,7,0),IF(B23="LAB",VLOOKUP('CONTRACT TOTAL (P)'!C23,'RJ ATTENDENCE SHEET'!$C:$I,7,0),IF(B23="OTHERS",VLOOKUP('CONTRACT TOTAL (P)'!C23,'RJ ATTENDENCE SHEET'!$C:$I,7,0),"")))))</f>
        <v/>
      </c>
      <c r="E23" s="29" t="str">
        <f>IFERROR(D23/DAY(EOMONTH('RJ ATTENDENCE SHEET'!$A$1,0)),"")</f>
        <v/>
      </c>
      <c r="F23" s="29">
        <f>IF(B23="DRIVER",VLOOKUP('CONTRACT TOTAL (P)'!C23,'RJ ATTENDENCE SHEET'!$C:$W,8,0),IF(B23="HELPER",VLOOKUP('CONTRACT TOTAL (P)'!C23,'RJ ATTENDENCE SHEET'!$C:$W,8,0),IF(B23="HOPPER","",IF(B23="LAB","",IF(B23="OTHERS","","")))))</f>
        <v>633.33000000000004</v>
      </c>
      <c r="G23" s="29">
        <f>IF(B23="DRIVER",VLOOKUP('CONTRACT TOTAL (P)'!C23,'RJ ATTENDENCE SHEET'!$C:$W,9,0),IF(B23="HELPER",VLOOKUP('CONTRACT TOTAL (P)'!C23,'RJ ATTENDENCE SHEET'!$C:$W,9,0),IF(B23="HOPPER","",IF(B23="LAB","",IF(B23="OTHERS","","")))))</f>
        <v>0</v>
      </c>
      <c r="H23" s="29">
        <f>IFERROR(VLOOKUP(C23,'RJ ATTENDENCE SHEET'!$C:$V,20,0),"")</f>
        <v>31</v>
      </c>
      <c r="I23" s="29">
        <f>IFERROR(VLOOKUP(C23,'RJ ATTENDENCE SHEET'!$C:$W,21,0),"")</f>
        <v>0</v>
      </c>
      <c r="J23" s="34">
        <f t="shared" si="0"/>
        <v>19633.23</v>
      </c>
      <c r="K23" s="35">
        <f t="shared" si="1"/>
        <v>0</v>
      </c>
      <c r="L23" s="34">
        <f t="shared" si="2"/>
        <v>19633.23</v>
      </c>
      <c r="M23" s="36">
        <f>IFERROR(VLOOKUP(C23,'RJ ATTENDENCE SHEET'!$C:$S,14,0),"")</f>
        <v>0</v>
      </c>
      <c r="N23" s="36">
        <f t="shared" si="3"/>
        <v>19633.23</v>
      </c>
      <c r="O23" s="271"/>
      <c r="P23" s="272"/>
    </row>
    <row r="24" spans="1:16" ht="27.95" customHeight="1">
      <c r="A24" s="27">
        <v>21</v>
      </c>
      <c r="B24" s="27" t="str">
        <f>VLOOKUP(C24,'DATA '!$O:$P,2,0)</f>
        <v>LAB</v>
      </c>
      <c r="C24" s="28" t="str">
        <f>'DATA '!O23</f>
        <v>ASHIK AHMED</v>
      </c>
      <c r="D24" s="29">
        <f>IF(B24="DRIVER","",IF(B24="HELPER","",IF(B24="HOPPER",VLOOKUP('CONTRACT TOTAL (P)'!C24,'RJ ATTENDENCE SHEET'!$C:$I,7,0),IF(B24="LAB",VLOOKUP('CONTRACT TOTAL (P)'!C24,'RJ ATTENDENCE SHEET'!$C:$I,7,0),IF(B24="OTHERS",VLOOKUP('CONTRACT TOTAL (P)'!C24,'RJ ATTENDENCE SHEET'!$C:$I,7,0),"")))))</f>
        <v>12000</v>
      </c>
      <c r="E24" s="29">
        <f>IFERROR(D24/DAY(EOMONTH('RJ ATTENDENCE SHEET'!$A$1,0)),"")</f>
        <v>387.09677419354841</v>
      </c>
      <c r="F24" s="29" t="str">
        <f>IF(B24="DRIVER",VLOOKUP('CONTRACT TOTAL (P)'!C24,'RJ ATTENDENCE SHEET'!$C:$W,8,0),IF(B24="HELPER",VLOOKUP('CONTRACT TOTAL (P)'!C24,'RJ ATTENDENCE SHEET'!$C:$W,8,0),IF(B24="HOPPER","",IF(B24="LAB","",IF(B24="OTHERS","","")))))</f>
        <v/>
      </c>
      <c r="G24" s="29" t="str">
        <f>IF(B24="DRIVER",VLOOKUP('CONTRACT TOTAL (P)'!C24,'RJ ATTENDENCE SHEET'!$C:$W,9,0),IF(B24="HELPER",VLOOKUP('CONTRACT TOTAL (P)'!C24,'RJ ATTENDENCE SHEET'!$C:$W,9,0),IF(B24="HOPPER","",IF(B24="LAB","",IF(B24="OTHERS","","")))))</f>
        <v/>
      </c>
      <c r="H24" s="29">
        <f>IFERROR(VLOOKUP(C24,'RJ ATTENDENCE SHEET'!$C:$V,20,0),"")</f>
        <v>24</v>
      </c>
      <c r="I24" s="29">
        <f>IFERROR(VLOOKUP(C24,'RJ ATTENDENCE SHEET'!$C:$W,21,0),"")</f>
        <v>0</v>
      </c>
      <c r="J24" s="34" t="str">
        <f t="shared" si="0"/>
        <v/>
      </c>
      <c r="K24" s="35" t="str">
        <f t="shared" si="1"/>
        <v/>
      </c>
      <c r="L24" s="34">
        <f t="shared" si="2"/>
        <v>9290.3225806451628</v>
      </c>
      <c r="M24" s="36">
        <f>IFERROR(VLOOKUP(C24,'RJ ATTENDENCE SHEET'!$C:$S,14,0),"")</f>
        <v>0</v>
      </c>
      <c r="N24" s="36">
        <f t="shared" si="3"/>
        <v>9290.3225806451628</v>
      </c>
      <c r="O24" s="271"/>
      <c r="P24" s="272"/>
    </row>
    <row r="25" spans="1:16" ht="27.95" customHeight="1">
      <c r="A25" s="27">
        <v>22</v>
      </c>
      <c r="B25" s="27" t="str">
        <f>VLOOKUP(C25,'DATA '!$O:$P,2,0)</f>
        <v>LAB</v>
      </c>
      <c r="C25" s="28" t="str">
        <f>'DATA '!O24</f>
        <v>SAMIT MONDAL</v>
      </c>
      <c r="D25" s="29">
        <f>IF(B25="DRIVER","",IF(B25="HELPER","",IF(B25="HOPPER",VLOOKUP('CONTRACT TOTAL (P)'!C25,'RJ ATTENDENCE SHEET'!$C:$I,7,0),IF(B25="LAB",VLOOKUP('CONTRACT TOTAL (P)'!C25,'RJ ATTENDENCE SHEET'!$C:$I,7,0),IF(B25="OTHERS",VLOOKUP('CONTRACT TOTAL (P)'!C25,'RJ ATTENDENCE SHEET'!$C:$I,7,0),"")))))</f>
        <v>12000</v>
      </c>
      <c r="E25" s="29">
        <f>IFERROR(D25/DAY(EOMONTH('RJ ATTENDENCE SHEET'!$A$1,0)),"")</f>
        <v>387.09677419354841</v>
      </c>
      <c r="F25" s="29" t="str">
        <f>IF(B25="DRIVER",VLOOKUP('CONTRACT TOTAL (P)'!C25,'RJ ATTENDENCE SHEET'!$C:$W,8,0),IF(B25="HELPER",VLOOKUP('CONTRACT TOTAL (P)'!C25,'RJ ATTENDENCE SHEET'!$C:$W,8,0),IF(B25="HOPPER","",IF(B25="LAB","",IF(B25="OTHERS","","")))))</f>
        <v/>
      </c>
      <c r="G25" s="29" t="str">
        <f>IF(B25="DRIVER",VLOOKUP('CONTRACT TOTAL (P)'!C25,'RJ ATTENDENCE SHEET'!$C:$W,9,0),IF(B25="HELPER",VLOOKUP('CONTRACT TOTAL (P)'!C25,'RJ ATTENDENCE SHEET'!$C:$W,9,0),IF(B25="HOPPER","",IF(B25="LAB","",IF(B25="OTHERS","","")))))</f>
        <v/>
      </c>
      <c r="H25" s="29">
        <f>IFERROR(VLOOKUP(C25,'RJ ATTENDENCE SHEET'!$C:$V,20,0),"")</f>
        <v>28</v>
      </c>
      <c r="I25" s="29">
        <f>IFERROR(VLOOKUP(C25,'RJ ATTENDENCE SHEET'!$C:$W,21,0),"")</f>
        <v>0</v>
      </c>
      <c r="J25" s="34" t="str">
        <f t="shared" si="0"/>
        <v/>
      </c>
      <c r="K25" s="35" t="str">
        <f t="shared" si="1"/>
        <v/>
      </c>
      <c r="L25" s="34">
        <f t="shared" si="2"/>
        <v>10838.709677419356</v>
      </c>
      <c r="M25" s="36">
        <f>IFERROR(VLOOKUP(C25,'RJ ATTENDENCE SHEET'!$C:$S,14,0),"")</f>
        <v>0</v>
      </c>
      <c r="N25" s="36">
        <f t="shared" si="3"/>
        <v>10838.709677419356</v>
      </c>
      <c r="O25" s="271"/>
      <c r="P25" s="272" t="s">
        <v>410</v>
      </c>
    </row>
    <row r="26" spans="1:16" ht="27.95" customHeight="1">
      <c r="A26" s="27">
        <v>23</v>
      </c>
      <c r="B26" s="27" t="str">
        <f>VLOOKUP(C26,'DATA '!$O:$P,2,0)</f>
        <v>LAB</v>
      </c>
      <c r="C26" s="28" t="str">
        <f>'DATA '!O25</f>
        <v>SIDHARTHA MONDAL</v>
      </c>
      <c r="D26" s="29">
        <f>IF(B26="DRIVER","",IF(B26="HELPER","",IF(B26="HOPPER",VLOOKUP('CONTRACT TOTAL (P)'!C26,'RJ ATTENDENCE SHEET'!$C:$I,7,0),IF(B26="LAB",VLOOKUP('CONTRACT TOTAL (P)'!C26,'RJ ATTENDENCE SHEET'!$C:$I,7,0),IF(B26="OTHERS",VLOOKUP('CONTRACT TOTAL (P)'!C26,'RJ ATTENDENCE SHEET'!$C:$I,7,0),"")))))</f>
        <v>12000</v>
      </c>
      <c r="E26" s="29">
        <f>IFERROR(D26/DAY(EOMONTH('RJ ATTENDENCE SHEET'!$A$1,0)),"")</f>
        <v>387.09677419354841</v>
      </c>
      <c r="F26" s="29" t="str">
        <f>IF(B26="DRIVER",VLOOKUP('CONTRACT TOTAL (P)'!C26,'RJ ATTENDENCE SHEET'!$C:$W,8,0),IF(B26="HELPER",VLOOKUP('CONTRACT TOTAL (P)'!C26,'RJ ATTENDENCE SHEET'!$C:$W,8,0),IF(B26="HOPPER","",IF(B26="LAB","",IF(B26="OTHERS","","")))))</f>
        <v/>
      </c>
      <c r="G26" s="29" t="str">
        <f>IF(B26="DRIVER",VLOOKUP('CONTRACT TOTAL (P)'!C26,'RJ ATTENDENCE SHEET'!$C:$W,9,0),IF(B26="HELPER",VLOOKUP('CONTRACT TOTAL (P)'!C26,'RJ ATTENDENCE SHEET'!$C:$W,9,0),IF(B26="HOPPER","",IF(B26="LAB","",IF(B26="OTHERS","","")))))</f>
        <v/>
      </c>
      <c r="H26" s="29">
        <f>IFERROR(VLOOKUP(C26,'RJ ATTENDENCE SHEET'!$C:$V,20,0),"")</f>
        <v>25</v>
      </c>
      <c r="I26" s="29">
        <f>IFERROR(VLOOKUP(C26,'RJ ATTENDENCE SHEET'!$C:$W,21,0),"")</f>
        <v>0</v>
      </c>
      <c r="J26" s="34" t="str">
        <f t="shared" si="0"/>
        <v/>
      </c>
      <c r="K26" s="35" t="str">
        <f t="shared" si="1"/>
        <v/>
      </c>
      <c r="L26" s="34">
        <f t="shared" si="2"/>
        <v>9677.4193548387102</v>
      </c>
      <c r="M26" s="36">
        <f>IFERROR(VLOOKUP(C26,'RJ ATTENDENCE SHEET'!$C:$S,14,0),"")</f>
        <v>0</v>
      </c>
      <c r="N26" s="36">
        <f t="shared" si="3"/>
        <v>9677.4193548387102</v>
      </c>
      <c r="O26" s="271"/>
      <c r="P26" s="272"/>
    </row>
    <row r="27" spans="1:16" ht="27.95" customHeight="1">
      <c r="A27" s="27">
        <v>24</v>
      </c>
      <c r="B27" s="27" t="str">
        <f>VLOOKUP(C27,'DATA '!$O:$P,2,0)</f>
        <v>HOPPER</v>
      </c>
      <c r="C27" s="28" t="str">
        <f>'DATA '!O26</f>
        <v>SUBRATA MONDAL</v>
      </c>
      <c r="D27" s="29">
        <f>IF(B27="DRIVER","",IF(B27="HELPER","",IF(B27="HOPPER",VLOOKUP('CONTRACT TOTAL (P)'!C27,'RJ ATTENDENCE SHEET'!$C:$I,7,0),IF(B27="LAB",VLOOKUP('CONTRACT TOTAL (P)'!C27,'RJ ATTENDENCE SHEET'!$C:$I,7,0),IF(B27="OTHERS",VLOOKUP('CONTRACT TOTAL (P)'!C27,'RJ ATTENDENCE SHEET'!$C:$I,7,0),"")))))</f>
        <v>15000</v>
      </c>
      <c r="E27" s="29">
        <f>IFERROR(D27/DAY(EOMONTH('RJ ATTENDENCE SHEET'!$A$1,0)),"")</f>
        <v>483.87096774193549</v>
      </c>
      <c r="F27" s="29" t="str">
        <f>IF(B27="DRIVER",VLOOKUP('CONTRACT TOTAL (P)'!C27,'RJ ATTENDENCE SHEET'!$C:$W,8,0),IF(B27="HELPER",VLOOKUP('CONTRACT TOTAL (P)'!C27,'RJ ATTENDENCE SHEET'!$C:$W,8,0),IF(B27="HOPPER","",IF(B27="LAB","",IF(B27="OTHERS","","")))))</f>
        <v/>
      </c>
      <c r="G27" s="29" t="str">
        <f>IF(B27="DRIVER",VLOOKUP('CONTRACT TOTAL (P)'!C27,'RJ ATTENDENCE SHEET'!$C:$W,9,0),IF(B27="HELPER",VLOOKUP('CONTRACT TOTAL (P)'!C27,'RJ ATTENDENCE SHEET'!$C:$W,9,0),IF(B27="HOPPER","",IF(B27="LAB","",IF(B27="OTHERS","","")))))</f>
        <v/>
      </c>
      <c r="H27" s="29">
        <f>IFERROR(VLOOKUP(C27,'RJ ATTENDENCE SHEET'!$C:$V,20,0),"")</f>
        <v>36</v>
      </c>
      <c r="I27" s="29">
        <f>IFERROR(VLOOKUP(C27,'RJ ATTENDENCE SHEET'!$C:$W,21,0),"")</f>
        <v>0</v>
      </c>
      <c r="J27" s="34" t="str">
        <f t="shared" si="0"/>
        <v/>
      </c>
      <c r="K27" s="35" t="str">
        <f t="shared" si="1"/>
        <v/>
      </c>
      <c r="L27" s="34">
        <f t="shared" si="2"/>
        <v>17419.354838709678</v>
      </c>
      <c r="M27" s="36">
        <f>IFERROR(VLOOKUP(C27,'RJ ATTENDENCE SHEET'!$C:$S,14,0),"")</f>
        <v>0</v>
      </c>
      <c r="N27" s="36">
        <f t="shared" si="3"/>
        <v>17419.354838709678</v>
      </c>
      <c r="O27" s="271"/>
      <c r="P27" s="272"/>
    </row>
    <row r="28" spans="1:16" ht="27.95" customHeight="1">
      <c r="A28" s="27">
        <v>25</v>
      </c>
      <c r="B28" s="27" t="str">
        <f>VLOOKUP(C28,'DATA '!$O:$P,2,0)</f>
        <v>HELPER</v>
      </c>
      <c r="C28" s="28" t="str">
        <f>'DATA '!O27</f>
        <v>REJJAK MONDAL</v>
      </c>
      <c r="D28" s="29" t="str">
        <f>IF(B28="DRIVER","",IF(B28="HELPER","",IF(B28="HOPPER",VLOOKUP('CONTRACT TOTAL (P)'!C28,'RJ ATTENDENCE SHEET'!$C:$I,7,0),IF(B28="LAB",VLOOKUP('CONTRACT TOTAL (P)'!C28,'RJ ATTENDENCE SHEET'!$C:$I,7,0),IF(B28="OTHERS",VLOOKUP('CONTRACT TOTAL (P)'!C28,'RJ ATTENDENCE SHEET'!$C:$I,7,0),"")))))</f>
        <v/>
      </c>
      <c r="E28" s="29" t="str">
        <f>IFERROR(D28/DAY(EOMONTH('RJ ATTENDENCE SHEET'!$A$1,0)),"")</f>
        <v/>
      </c>
      <c r="F28" s="29">
        <f>IF(B28="DRIVER",VLOOKUP('CONTRACT TOTAL (P)'!C28,'RJ ATTENDENCE SHEET'!$C:$W,8,0),IF(B28="HELPER",VLOOKUP('CONTRACT TOTAL (P)'!C28,'RJ ATTENDENCE SHEET'!$C:$W,8,0),IF(B28="HOPPER","",IF(B28="LAB","",IF(B28="OTHERS","","")))))</f>
        <v>260</v>
      </c>
      <c r="G28" s="29">
        <f>IF(B28="DRIVER",VLOOKUP('CONTRACT TOTAL (P)'!C28,'RJ ATTENDENCE SHEET'!$C:$W,9,0),IF(B28="HELPER",VLOOKUP('CONTRACT TOTAL (P)'!C28,'RJ ATTENDENCE SHEET'!$C:$W,9,0),IF(B28="HOPPER","",IF(B28="LAB","",IF(B28="OTHERS","","")))))</f>
        <v>80</v>
      </c>
      <c r="H28" s="29">
        <f>IFERROR(VLOOKUP(C28,'RJ ATTENDENCE SHEET'!$C:$V,20,0),"")</f>
        <v>41</v>
      </c>
      <c r="I28" s="29">
        <f>IFERROR(VLOOKUP(C28,'RJ ATTENDENCE SHEET'!$C:$W,21,0),"")</f>
        <v>12</v>
      </c>
      <c r="J28" s="34">
        <f t="shared" si="0"/>
        <v>10660</v>
      </c>
      <c r="K28" s="35">
        <f t="shared" si="1"/>
        <v>960</v>
      </c>
      <c r="L28" s="34">
        <f t="shared" si="2"/>
        <v>11620</v>
      </c>
      <c r="M28" s="36">
        <f>IFERROR(VLOOKUP(C28,'RJ ATTENDENCE SHEET'!$C:$S,14,0),"")</f>
        <v>0</v>
      </c>
      <c r="N28" s="36">
        <f t="shared" si="3"/>
        <v>11620</v>
      </c>
      <c r="O28" s="271"/>
      <c r="P28" s="272"/>
    </row>
    <row r="29" spans="1:16" ht="27.95" customHeight="1">
      <c r="A29" s="27">
        <v>26</v>
      </c>
      <c r="B29" s="27" t="str">
        <f>VLOOKUP(C29,'DATA '!$O:$P,2,0)</f>
        <v>DRIVER</v>
      </c>
      <c r="C29" s="28" t="str">
        <f>'DATA '!O28</f>
        <v>BISWANTH MONDAL</v>
      </c>
      <c r="D29" s="29" t="str">
        <f>IF(B29="DRIVER","",IF(B29="HELPER","",IF(B29="HOPPER",VLOOKUP('CONTRACT TOTAL (P)'!C29,'RJ ATTENDENCE SHEET'!$C:$I,7,0),IF(B29="LAB",VLOOKUP('CONTRACT TOTAL (P)'!C29,'RJ ATTENDENCE SHEET'!$C:$I,7,0),IF(B29="OTHERS",VLOOKUP('CONTRACT TOTAL (P)'!C29,'RJ ATTENDENCE SHEET'!$C:$I,7,0),"")))))</f>
        <v/>
      </c>
      <c r="E29" s="29" t="str">
        <f>IFERROR(D29/DAY(EOMONTH('RJ ATTENDENCE SHEET'!$A$1,0)),"")</f>
        <v/>
      </c>
      <c r="F29" s="29">
        <f>IF(B29="DRIVER",VLOOKUP('CONTRACT TOTAL (P)'!C29,'RJ ATTENDENCE SHEET'!$C:$W,8,0),IF(B29="HELPER",VLOOKUP('CONTRACT TOTAL (P)'!C29,'RJ ATTENDENCE SHEET'!$C:$W,8,0),IF(B29="HOPPER","",IF(B29="LAB","",IF(B29="OTHERS","","")))))</f>
        <v>300</v>
      </c>
      <c r="G29" s="29">
        <f>IF(B29="DRIVER",VLOOKUP('CONTRACT TOTAL (P)'!C29,'RJ ATTENDENCE SHEET'!$C:$W,9,0),IF(B29="HELPER",VLOOKUP('CONTRACT TOTAL (P)'!C29,'RJ ATTENDENCE SHEET'!$C:$W,9,0),IF(B29="HOPPER","",IF(B29="LAB","",IF(B29="OTHERS","","")))))</f>
        <v>185</v>
      </c>
      <c r="H29" s="29">
        <f>IFERROR(VLOOKUP(C29,'RJ ATTENDENCE SHEET'!$C:$V,20,0),"")</f>
        <v>32</v>
      </c>
      <c r="I29" s="29">
        <f>IFERROR(VLOOKUP(C29,'RJ ATTENDENCE SHEET'!$C:$W,21,0),"")</f>
        <v>8</v>
      </c>
      <c r="J29" s="34">
        <f t="shared" si="0"/>
        <v>9600</v>
      </c>
      <c r="K29" s="35">
        <f t="shared" si="1"/>
        <v>1480</v>
      </c>
      <c r="L29" s="34">
        <f t="shared" si="2"/>
        <v>11080</v>
      </c>
      <c r="M29" s="36">
        <f>IFERROR(VLOOKUP(C29,'RJ ATTENDENCE SHEET'!$C:$S,14,0),"")</f>
        <v>0</v>
      </c>
      <c r="N29" s="36">
        <f t="shared" si="3"/>
        <v>11080</v>
      </c>
      <c r="O29" s="271"/>
      <c r="P29" s="272"/>
    </row>
    <row r="30" spans="1:16" ht="27.95" customHeight="1">
      <c r="A30" s="27">
        <v>27</v>
      </c>
      <c r="B30" s="27" t="str">
        <f>VLOOKUP(C30,'DATA '!$O:$P,2,0)</f>
        <v>HELPER</v>
      </c>
      <c r="C30" s="28" t="str">
        <f>'DATA '!O29</f>
        <v>TAPAS MONDAL</v>
      </c>
      <c r="D30" s="29" t="str">
        <f>IF(B30="DRIVER","",IF(B30="HELPER","",IF(B30="HOPPER",VLOOKUP('CONTRACT TOTAL (P)'!C30,'RJ ATTENDENCE SHEET'!$C:$I,7,0),IF(B30="LAB",VLOOKUP('CONTRACT TOTAL (P)'!C30,'RJ ATTENDENCE SHEET'!$C:$I,7,0),IF(B30="OTHERS",VLOOKUP('CONTRACT TOTAL (P)'!C30,'RJ ATTENDENCE SHEET'!$C:$I,7,0),"")))))</f>
        <v/>
      </c>
      <c r="E30" s="29" t="str">
        <f>IFERROR(D30/DAY(EOMONTH('RJ ATTENDENCE SHEET'!$A$1,0)),"")</f>
        <v/>
      </c>
      <c r="F30" s="29">
        <f>IF(B30="DRIVER",VLOOKUP('CONTRACT TOTAL (P)'!C30,'RJ ATTENDENCE SHEET'!$C:$W,8,0),IF(B30="HELPER",VLOOKUP('CONTRACT TOTAL (P)'!C30,'RJ ATTENDENCE SHEET'!$C:$W,8,0),IF(B30="HOPPER","",IF(B30="LAB","",IF(B30="OTHERS","","")))))</f>
        <v>260</v>
      </c>
      <c r="G30" s="29">
        <f>IF(B30="DRIVER",VLOOKUP('CONTRACT TOTAL (P)'!C30,'RJ ATTENDENCE SHEET'!$C:$W,9,0),IF(B30="HELPER",VLOOKUP('CONTRACT TOTAL (P)'!C30,'RJ ATTENDENCE SHEET'!$C:$W,9,0),IF(B30="HOPPER","",IF(B30="LAB","",IF(B30="OTHERS","","")))))</f>
        <v>80</v>
      </c>
      <c r="H30" s="29">
        <f>IFERROR(VLOOKUP(C30,'RJ ATTENDENCE SHEET'!$C:$V,20,0),"")</f>
        <v>36</v>
      </c>
      <c r="I30" s="29">
        <f>IFERROR(VLOOKUP(C30,'RJ ATTENDENCE SHEET'!$C:$W,21,0),"")</f>
        <v>7</v>
      </c>
      <c r="J30" s="34">
        <f t="shared" si="0"/>
        <v>9360</v>
      </c>
      <c r="K30" s="35">
        <f t="shared" si="1"/>
        <v>560</v>
      </c>
      <c r="L30" s="34">
        <f t="shared" si="2"/>
        <v>9920</v>
      </c>
      <c r="M30" s="36">
        <f>IFERROR(VLOOKUP(C30,'RJ ATTENDENCE SHEET'!$C:$S,14,0),"")</f>
        <v>0</v>
      </c>
      <c r="N30" s="36">
        <f t="shared" si="3"/>
        <v>9920</v>
      </c>
      <c r="O30" s="271"/>
      <c r="P30" s="272"/>
    </row>
    <row r="31" spans="1:16" ht="27.95" customHeight="1">
      <c r="A31" s="27">
        <v>28</v>
      </c>
      <c r="B31" s="27" t="str">
        <f>VLOOKUP(C31,'DATA '!$O:$P,2,0)</f>
        <v>HELPER</v>
      </c>
      <c r="C31" s="28" t="str">
        <f>'DATA '!O30</f>
        <v>RASHID MONDAL</v>
      </c>
      <c r="D31" s="29" t="str">
        <f>IF(B31="DRIVER","",IF(B31="HELPER","",IF(B31="HOPPER",VLOOKUP('CONTRACT TOTAL (P)'!C31,'RJ ATTENDENCE SHEET'!$C:$I,7,0),IF(B31="LAB",VLOOKUP('CONTRACT TOTAL (P)'!C31,'RJ ATTENDENCE SHEET'!$C:$I,7,0),IF(B31="OTHERS",VLOOKUP('CONTRACT TOTAL (P)'!C31,'RJ ATTENDENCE SHEET'!$C:$I,7,0),"")))))</f>
        <v/>
      </c>
      <c r="E31" s="29" t="str">
        <f>IFERROR(D31/DAY(EOMONTH('RJ ATTENDENCE SHEET'!$A$1,0)),"")</f>
        <v/>
      </c>
      <c r="F31" s="29">
        <f>IF(B31="DRIVER",VLOOKUP('CONTRACT TOTAL (P)'!C31,'RJ ATTENDENCE SHEET'!$C:$W,8,0),IF(B31="HELPER",VLOOKUP('CONTRACT TOTAL (P)'!C31,'RJ ATTENDENCE SHEET'!$C:$W,8,0),IF(B31="HOPPER","",IF(B31="LAB","",IF(B31="OTHERS","","")))))</f>
        <v>250</v>
      </c>
      <c r="G31" s="29">
        <f>IF(B31="DRIVER",VLOOKUP('CONTRACT TOTAL (P)'!C31,'RJ ATTENDENCE SHEET'!$C:$W,9,0),IF(B31="HELPER",VLOOKUP('CONTRACT TOTAL (P)'!C31,'RJ ATTENDENCE SHEET'!$C:$W,9,0),IF(B31="HOPPER","",IF(B31="LAB","",IF(B31="OTHERS","","")))))</f>
        <v>70</v>
      </c>
      <c r="H31" s="29">
        <f>IFERROR(VLOOKUP(C31,'RJ ATTENDENCE SHEET'!$C:$V,20,0),"")</f>
        <v>42</v>
      </c>
      <c r="I31" s="29">
        <f>IFERROR(VLOOKUP(C31,'RJ ATTENDENCE SHEET'!$C:$W,21,0),"")</f>
        <v>10</v>
      </c>
      <c r="J31" s="34">
        <f t="shared" si="0"/>
        <v>10500</v>
      </c>
      <c r="K31" s="35">
        <f t="shared" si="1"/>
        <v>700</v>
      </c>
      <c r="L31" s="34">
        <f t="shared" si="2"/>
        <v>11200</v>
      </c>
      <c r="M31" s="36">
        <f>IFERROR(VLOOKUP(C31,'RJ ATTENDENCE SHEET'!$C:$S,14,0),"")</f>
        <v>0</v>
      </c>
      <c r="N31" s="36">
        <f t="shared" si="3"/>
        <v>11200</v>
      </c>
      <c r="O31" s="271"/>
      <c r="P31" s="272"/>
    </row>
    <row r="32" spans="1:16" ht="27.95" customHeight="1">
      <c r="A32" s="27">
        <v>29</v>
      </c>
      <c r="B32" s="27" t="str">
        <f>VLOOKUP(C32,'DATA '!$O:$P,2,0)</f>
        <v>HELPER</v>
      </c>
      <c r="C32" s="28" t="str">
        <f>'DATA '!O31</f>
        <v>RAJU MONDAL</v>
      </c>
      <c r="D32" s="29" t="str">
        <f>IF(B32="DRIVER","",IF(B32="HELPER","",IF(B32="HOPPER",VLOOKUP('CONTRACT TOTAL (P)'!C32,'RJ ATTENDENCE SHEET'!$C:$I,7,0),IF(B32="LAB",VLOOKUP('CONTRACT TOTAL (P)'!C32,'RJ ATTENDENCE SHEET'!$C:$I,7,0),IF(B32="OTHERS",VLOOKUP('CONTRACT TOTAL (P)'!C32,'RJ ATTENDENCE SHEET'!$C:$I,7,0),"")))))</f>
        <v/>
      </c>
      <c r="E32" s="29" t="str">
        <f>IFERROR(D32/DAY(EOMONTH('RJ ATTENDENCE SHEET'!$A$1,0)),"")</f>
        <v/>
      </c>
      <c r="F32" s="29">
        <f>IF(B32="DRIVER",VLOOKUP('CONTRACT TOTAL (P)'!C32,'RJ ATTENDENCE SHEET'!$C:$W,8,0),IF(B32="HELPER",VLOOKUP('CONTRACT TOTAL (P)'!C32,'RJ ATTENDENCE SHEET'!$C:$W,8,0),IF(B32="HOPPER","",IF(B32="LAB","",IF(B32="OTHERS","","")))))</f>
        <v>260</v>
      </c>
      <c r="G32" s="29">
        <f>IF(B32="DRIVER",VLOOKUP('CONTRACT TOTAL (P)'!C32,'RJ ATTENDENCE SHEET'!$C:$W,9,0),IF(B32="HELPER",VLOOKUP('CONTRACT TOTAL (P)'!C32,'RJ ATTENDENCE SHEET'!$C:$W,9,0),IF(B32="HOPPER","",IF(B32="LAB","",IF(B32="OTHERS","","")))))</f>
        <v>80</v>
      </c>
      <c r="H32" s="29">
        <f>IFERROR(VLOOKUP(C32,'RJ ATTENDENCE SHEET'!$C:$V,20,0),"")</f>
        <v>41</v>
      </c>
      <c r="I32" s="29">
        <f>IFERROR(VLOOKUP(C32,'RJ ATTENDENCE SHEET'!$C:$W,21,0),"")</f>
        <v>7</v>
      </c>
      <c r="J32" s="34">
        <f t="shared" si="0"/>
        <v>10660</v>
      </c>
      <c r="K32" s="35">
        <f t="shared" si="1"/>
        <v>560</v>
      </c>
      <c r="L32" s="34">
        <f t="shared" si="2"/>
        <v>11220</v>
      </c>
      <c r="M32" s="36">
        <f>IFERROR(VLOOKUP(C32,'RJ ATTENDENCE SHEET'!$C:$S,14,0),"")</f>
        <v>0</v>
      </c>
      <c r="N32" s="36">
        <f t="shared" si="3"/>
        <v>11220</v>
      </c>
      <c r="O32" s="271"/>
      <c r="P32" s="272"/>
    </row>
    <row r="33" spans="1:16" ht="27.95" customHeight="1">
      <c r="A33" s="27">
        <v>30</v>
      </c>
      <c r="B33" s="27" t="str">
        <f>VLOOKUP(C33,'DATA '!$O:$P,2,0)</f>
        <v>HELPER</v>
      </c>
      <c r="C33" s="28" t="str">
        <f>'DATA '!O32</f>
        <v>SUDIP MONDAL</v>
      </c>
      <c r="D33" s="29" t="str">
        <f>IF(B33="DRIVER","",IF(B33="HELPER","",IF(B33="HOPPER",VLOOKUP('CONTRACT TOTAL (P)'!C33,'RJ ATTENDENCE SHEET'!$C:$I,7,0),IF(B33="LAB",VLOOKUP('CONTRACT TOTAL (P)'!C33,'RJ ATTENDENCE SHEET'!$C:$I,7,0),IF(B33="OTHERS",VLOOKUP('CONTRACT TOTAL (P)'!C33,'RJ ATTENDENCE SHEET'!$C:$I,7,0),"")))))</f>
        <v/>
      </c>
      <c r="E33" s="29" t="str">
        <f>IFERROR(D33/DAY(EOMONTH('RJ ATTENDENCE SHEET'!$A$1,0)),"")</f>
        <v/>
      </c>
      <c r="F33" s="29">
        <f>IF(B33="DRIVER",VLOOKUP('CONTRACT TOTAL (P)'!C33,'RJ ATTENDENCE SHEET'!$C:$W,8,0),IF(B33="HELPER",VLOOKUP('CONTRACT TOTAL (P)'!C33,'RJ ATTENDENCE SHEET'!$C:$W,8,0),IF(B33="HOPPER","",IF(B33="LAB","",IF(B33="OTHERS","","")))))</f>
        <v>260</v>
      </c>
      <c r="G33" s="29">
        <f>IF(B33="DRIVER",VLOOKUP('CONTRACT TOTAL (P)'!C33,'RJ ATTENDENCE SHEET'!$C:$W,9,0),IF(B33="HELPER",VLOOKUP('CONTRACT TOTAL (P)'!C33,'RJ ATTENDENCE SHEET'!$C:$W,9,0),IF(B33="HOPPER","",IF(B33="LAB","",IF(B33="OTHERS","","")))))</f>
        <v>80</v>
      </c>
      <c r="H33" s="29">
        <f>IFERROR(VLOOKUP(C33,'RJ ATTENDENCE SHEET'!$C:$V,20,0),"")</f>
        <v>41</v>
      </c>
      <c r="I33" s="29">
        <f>IFERROR(VLOOKUP(C33,'RJ ATTENDENCE SHEET'!$C:$W,21,0),"")</f>
        <v>14</v>
      </c>
      <c r="J33" s="34">
        <f t="shared" si="0"/>
        <v>10660</v>
      </c>
      <c r="K33" s="35">
        <f t="shared" si="1"/>
        <v>1120</v>
      </c>
      <c r="L33" s="34">
        <f t="shared" si="2"/>
        <v>11780</v>
      </c>
      <c r="M33" s="36">
        <f>IFERROR(VLOOKUP(C33,'RJ ATTENDENCE SHEET'!$C:$S,14,0),"")</f>
        <v>0</v>
      </c>
      <c r="N33" s="36">
        <f t="shared" si="3"/>
        <v>11780</v>
      </c>
      <c r="O33" s="271"/>
      <c r="P33" s="272"/>
    </row>
    <row r="34" spans="1:16" ht="27.95" customHeight="1">
      <c r="A34" s="27">
        <v>31</v>
      </c>
      <c r="B34" s="27" t="str">
        <f>VLOOKUP(C34,'DATA '!$O:$P,2,0)</f>
        <v>OTHERS</v>
      </c>
      <c r="C34" s="28" t="str">
        <f>'DATA '!O33</f>
        <v>ALMIRAJ JHAN</v>
      </c>
      <c r="D34" s="29">
        <f>IF(B34="DRIVER","",IF(B34="HELPER","",IF(B34="HOPPER",VLOOKUP('CONTRACT TOTAL (P)'!C34,'RJ ATTENDENCE SHEET'!$C:$I,7,0),IF(B34="LAB",VLOOKUP('CONTRACT TOTAL (P)'!C34,'RJ ATTENDENCE SHEET'!$C:$I,7,0),IF(B34="OTHERS",VLOOKUP('CONTRACT TOTAL (P)'!C34,'RJ ATTENDENCE SHEET'!$C:$I,7,0),"")))))</f>
        <v>17900</v>
      </c>
      <c r="E34" s="29">
        <f>IFERROR(D34/DAY(EOMONTH('RJ ATTENDENCE SHEET'!$A$1,0)),"")</f>
        <v>577.41935483870964</v>
      </c>
      <c r="F34" s="29" t="str">
        <f>IF(B34="DRIVER",VLOOKUP('CONTRACT TOTAL (P)'!C34,'RJ ATTENDENCE SHEET'!$C:$W,8,0),IF(B34="HELPER",VLOOKUP('CONTRACT TOTAL (P)'!C34,'RJ ATTENDENCE SHEET'!$C:$W,8,0),IF(B34="HOPPER","",IF(B34="LAB","",IF(B34="OTHERS","","")))))</f>
        <v/>
      </c>
      <c r="G34" s="29" t="str">
        <f>IF(B34="DRIVER",VLOOKUP('CONTRACT TOTAL (P)'!C34,'RJ ATTENDENCE SHEET'!$C:$W,9,0),IF(B34="HELPER",VLOOKUP('CONTRACT TOTAL (P)'!C34,'RJ ATTENDENCE SHEET'!$C:$W,9,0),IF(B34="HOPPER","",IF(B34="LAB","",IF(B34="OTHERS","","")))))</f>
        <v/>
      </c>
      <c r="H34" s="29">
        <f>IFERROR(VLOOKUP(C34,'RJ ATTENDENCE SHEET'!$C:$V,20,0),"")</f>
        <v>2</v>
      </c>
      <c r="I34" s="29">
        <f>IFERROR(VLOOKUP(C34,'RJ ATTENDENCE SHEET'!$C:$W,21,0),"")</f>
        <v>0</v>
      </c>
      <c r="J34" s="34" t="str">
        <f t="shared" si="0"/>
        <v/>
      </c>
      <c r="K34" s="35" t="str">
        <f t="shared" si="1"/>
        <v/>
      </c>
      <c r="L34" s="34">
        <f t="shared" si="2"/>
        <v>1154.8387096774193</v>
      </c>
      <c r="M34" s="36">
        <f>IFERROR(VLOOKUP(C34,'RJ ATTENDENCE SHEET'!$C:$S,14,0),"")</f>
        <v>0</v>
      </c>
      <c r="N34" s="36">
        <f t="shared" si="3"/>
        <v>1154.8387096774193</v>
      </c>
      <c r="O34" s="271"/>
      <c r="P34" s="272"/>
    </row>
    <row r="35" spans="1:16" ht="27.95" customHeight="1">
      <c r="A35" s="27">
        <v>32</v>
      </c>
      <c r="B35" s="27" t="str">
        <f>VLOOKUP(C35,'DATA '!$O:$P,2,0)</f>
        <v>HELPER</v>
      </c>
      <c r="C35" s="28" t="str">
        <f>'DATA '!O34</f>
        <v>SAMSUR</v>
      </c>
      <c r="D35" s="29" t="str">
        <f>IF(B35="DRIVER","",IF(B35="HELPER","",IF(B35="HOPPER",VLOOKUP('CONTRACT TOTAL (P)'!C35,'RJ ATTENDENCE SHEET'!$C:$I,7,0),IF(B35="LAB",VLOOKUP('CONTRACT TOTAL (P)'!C35,'RJ ATTENDENCE SHEET'!$C:$I,7,0),IF(B35="OTHERS",VLOOKUP('CONTRACT TOTAL (P)'!C35,'RJ ATTENDENCE SHEET'!$C:$I,7,0),"")))))</f>
        <v/>
      </c>
      <c r="E35" s="29" t="str">
        <f>IFERROR(D35/DAY(EOMONTH('RJ ATTENDENCE SHEET'!$A$1,0)),"")</f>
        <v/>
      </c>
      <c r="F35" s="29">
        <f>IF(B35="DRIVER",VLOOKUP('CONTRACT TOTAL (P)'!C35,'RJ ATTENDENCE SHEET'!$C:$W,8,0),IF(B35="HELPER",VLOOKUP('CONTRACT TOTAL (P)'!C35,'RJ ATTENDENCE SHEET'!$C:$W,8,0),IF(B35="HOPPER","",IF(B35="LAB","",IF(B35="OTHERS","","")))))</f>
        <v>260</v>
      </c>
      <c r="G35" s="29">
        <f>IF(B35="DRIVER",VLOOKUP('CONTRACT TOTAL (P)'!C35,'RJ ATTENDENCE SHEET'!$C:$W,9,0),IF(B35="HELPER",VLOOKUP('CONTRACT TOTAL (P)'!C35,'RJ ATTENDENCE SHEET'!$C:$W,9,0),IF(B35="HOPPER","",IF(B35="LAB","",IF(B35="OTHERS","","")))))</f>
        <v>80</v>
      </c>
      <c r="H35" s="29">
        <f>IFERROR(VLOOKUP(C35,'RJ ATTENDENCE SHEET'!$C:$V,20,0),"")</f>
        <v>41</v>
      </c>
      <c r="I35" s="29">
        <f>IFERROR(VLOOKUP(C35,'RJ ATTENDENCE SHEET'!$C:$W,21,0),"")</f>
        <v>10</v>
      </c>
      <c r="J35" s="34">
        <f t="shared" si="0"/>
        <v>10660</v>
      </c>
      <c r="K35" s="35">
        <f t="shared" si="1"/>
        <v>800</v>
      </c>
      <c r="L35" s="34">
        <f t="shared" si="2"/>
        <v>11460</v>
      </c>
      <c r="M35" s="36">
        <f>IFERROR(VLOOKUP(C35,'RJ ATTENDENCE SHEET'!$C:$S,14,0),"")</f>
        <v>0</v>
      </c>
      <c r="N35" s="36">
        <f t="shared" si="3"/>
        <v>11460</v>
      </c>
      <c r="O35" s="271"/>
      <c r="P35" s="272"/>
    </row>
    <row r="36" spans="1:16" ht="27.95" customHeight="1">
      <c r="A36" s="27">
        <v>33</v>
      </c>
      <c r="B36" s="27" t="str">
        <f>VLOOKUP(C36,'DATA '!$O:$P,2,0)</f>
        <v>LAB</v>
      </c>
      <c r="C36" s="28" t="str">
        <f>'DATA '!O35</f>
        <v>BALAI CHAND ROY</v>
      </c>
      <c r="D36" s="29">
        <f>IF(B36="DRIVER","",IF(B36="HELPER","",IF(B36="HOPPER",VLOOKUP('CONTRACT TOTAL (P)'!C36,'RJ ATTENDENCE SHEET'!$C:$I,7,0),IF(B36="LAB",VLOOKUP('CONTRACT TOTAL (P)'!C36,'RJ ATTENDENCE SHEET'!$C:$I,7,0),IF(B36="OTHERS",VLOOKUP('CONTRACT TOTAL (P)'!C36,'RJ ATTENDENCE SHEET'!$C:$I,7,0),"")))))</f>
        <v>14700</v>
      </c>
      <c r="E36" s="29">
        <f>IFERROR(D36/DAY(EOMONTH('RJ ATTENDENCE SHEET'!$A$1,0)),"")</f>
        <v>474.19354838709677</v>
      </c>
      <c r="F36" s="29" t="str">
        <f>IF(B36="DRIVER",VLOOKUP('CONTRACT TOTAL (P)'!C36,'RJ ATTENDENCE SHEET'!$C:$W,8,0),IF(B36="HELPER",VLOOKUP('CONTRACT TOTAL (P)'!C36,'RJ ATTENDENCE SHEET'!$C:$W,8,0),IF(B36="HOPPER","",IF(B36="LAB","",IF(B36="OTHERS","","")))))</f>
        <v/>
      </c>
      <c r="G36" s="29" t="str">
        <f>IF(B36="DRIVER",VLOOKUP('CONTRACT TOTAL (P)'!C36,'RJ ATTENDENCE SHEET'!$C:$W,9,0),IF(B36="HELPER",VLOOKUP('CONTRACT TOTAL (P)'!C36,'RJ ATTENDENCE SHEET'!$C:$W,9,0),IF(B36="HOPPER","",IF(B36="LAB","",IF(B36="OTHERS","","")))))</f>
        <v/>
      </c>
      <c r="H36" s="29">
        <f>IFERROR(VLOOKUP(C36,'RJ ATTENDENCE SHEET'!$C:$V,20,0),"")</f>
        <v>30</v>
      </c>
      <c r="I36" s="29">
        <f>IFERROR(VLOOKUP(C36,'RJ ATTENDENCE SHEET'!$C:$W,21,0),"")</f>
        <v>0</v>
      </c>
      <c r="J36" s="34" t="str">
        <f t="shared" si="0"/>
        <v/>
      </c>
      <c r="K36" s="35" t="str">
        <f t="shared" si="1"/>
        <v/>
      </c>
      <c r="L36" s="34">
        <f t="shared" si="2"/>
        <v>14225.806451612903</v>
      </c>
      <c r="M36" s="36">
        <f>IFERROR(VLOOKUP(C36,'RJ ATTENDENCE SHEET'!$C:$S,14,0),"")</f>
        <v>0</v>
      </c>
      <c r="N36" s="36">
        <f t="shared" si="3"/>
        <v>14225.806451612903</v>
      </c>
      <c r="O36" s="271"/>
      <c r="P36" s="272"/>
    </row>
    <row r="37" spans="1:16" ht="27.95" hidden="1" customHeight="1">
      <c r="A37" s="30">
        <v>34</v>
      </c>
      <c r="B37" s="27" t="str">
        <f>VLOOKUP(C37,'DATA '!$O:$P,2,0)</f>
        <v/>
      </c>
      <c r="C37" s="28" t="str">
        <f>'DATA '!O36</f>
        <v/>
      </c>
      <c r="D37" s="29" t="str">
        <f>IF(B37="DRIVER","",IF(B37="HELPER","",IF(B37="HOPPER",VLOOKUP('CONTRACT TOTAL (P)'!C37,'RJ ATTENDENCE SHEET'!$C:$I,7,0),IF(B37="LAB",VLOOKUP('CONTRACT TOTAL (P)'!C37,'RJ ATTENDENCE SHEET'!$C:$I,7,0),IF(B37="OTHERS",VLOOKUP('CONTRACT TOTAL (P)'!C37,'RJ ATTENDENCE SHEET'!$C:$I,7,0),"")))))</f>
        <v/>
      </c>
      <c r="E37" s="29" t="str">
        <f>IFERROR(D37/DAY(EOMONTH('RJ ATTENDENCE SHEET'!$A$1,0)),"")</f>
        <v/>
      </c>
      <c r="F37" s="29" t="str">
        <f>IF(B37="DRIVER",VLOOKUP('CONTRACT TOTAL (P)'!C37,'RJ ATTENDENCE SHEET'!$C:$W,8,0),IF(B37="HELPER",VLOOKUP('CONTRACT TOTAL (P)'!C37,'RJ ATTENDENCE SHEET'!$C:$W,8,0),IF(B37="HOPPER","",IF(B37="LAB","",IF(B37="OTHERS","","")))))</f>
        <v/>
      </c>
      <c r="G37" s="29" t="str">
        <f>IF(B37="DRIVER",VLOOKUP('CONTRACT TOTAL (P)'!C37,'RJ ATTENDENCE SHEET'!$C:$W,9,0),IF(B37="HELPER",VLOOKUP('CONTRACT TOTAL (P)'!C37,'RJ ATTENDENCE SHEET'!$C:$W,9,0),IF(B37="HOPPER","",IF(B37="LAB","",IF(B37="OTHERS","","")))))</f>
        <v/>
      </c>
      <c r="H37" s="29" t="str">
        <f>IFERROR(VLOOKUP(C37,'RJ ATTENDENCE SHEET'!$C:$V,20,0),"")</f>
        <v/>
      </c>
      <c r="I37" s="29" t="str">
        <f>IFERROR(VLOOKUP(C37,'RJ ATTENDENCE SHEET'!$C:$W,21,0),"")</f>
        <v/>
      </c>
      <c r="J37" s="34" t="str">
        <f t="shared" si="0"/>
        <v/>
      </c>
      <c r="K37" s="35" t="str">
        <f t="shared" si="1"/>
        <v/>
      </c>
      <c r="L37" s="34" t="str">
        <f t="shared" si="2"/>
        <v/>
      </c>
      <c r="M37" s="36" t="str">
        <f>IFERROR(VLOOKUP(C37,'RJ ATTENDENCE SHEET'!$C:$S,14,0),"")</f>
        <v/>
      </c>
      <c r="N37" s="36" t="str">
        <f t="shared" si="3"/>
        <v/>
      </c>
      <c r="O37" s="271"/>
      <c r="P37" s="272"/>
    </row>
    <row r="38" spans="1:16" ht="20.45" hidden="1" customHeight="1">
      <c r="A38" s="27">
        <v>35</v>
      </c>
      <c r="B38" s="27" t="str">
        <f>VLOOKUP(C38,'DATA '!$O:$P,2,0)</f>
        <v/>
      </c>
      <c r="C38" s="28" t="str">
        <f>'DATA '!O37</f>
        <v/>
      </c>
      <c r="D38" s="29" t="str">
        <f>IF(B38="DRIVER","",IF(B38="HELPER","",IF(B38="HOPPER",VLOOKUP('CONTRACT TOTAL (P)'!C38,'RJ ATTENDENCE SHEET'!$C:$I,7,0),IF(B38="LAB",VLOOKUP('CONTRACT TOTAL (P)'!C38,'RJ ATTENDENCE SHEET'!$C:$I,7,0),IF(B38="OTHERS",VLOOKUP('CONTRACT TOTAL (P)'!C38,'RJ ATTENDENCE SHEET'!$C:$I,7,0),"")))))</f>
        <v/>
      </c>
      <c r="E38" s="29" t="str">
        <f>IFERROR(D38/DAY(EOMONTH('RJ ATTENDENCE SHEET'!$A$1,0)),"")</f>
        <v/>
      </c>
      <c r="F38" s="29" t="str">
        <f>IF(B38="DRIVER",VLOOKUP('CONTRACT TOTAL (P)'!C38,'RJ ATTENDENCE SHEET'!$C:$W,8,0),IF(B38="HELPER",VLOOKUP('CONTRACT TOTAL (P)'!C38,'RJ ATTENDENCE SHEET'!$C:$W,8,0),IF(B38="HOPPER","",IF(B38="LAB","",IF(B38="OTHERS","","")))))</f>
        <v/>
      </c>
      <c r="G38" s="29" t="str">
        <f>IF(B38="DRIVER",VLOOKUP('CONTRACT TOTAL (P)'!C38,'RJ ATTENDENCE SHEET'!$C:$W,9,0),IF(B38="HELPER",VLOOKUP('CONTRACT TOTAL (P)'!C38,'RJ ATTENDENCE SHEET'!$C:$W,9,0),IF(B38="HOPPER","",IF(B38="LAB","",IF(B38="OTHERS","","")))))</f>
        <v/>
      </c>
      <c r="H38" s="29" t="str">
        <f>IFERROR(VLOOKUP(C38,'RJ ATTENDENCE SHEET'!$C:$V,20,0),"")</f>
        <v/>
      </c>
      <c r="I38" s="29" t="str">
        <f>IFERROR(VLOOKUP(C38,'RJ ATTENDENCE SHEET'!$C:$W,21,0),"")</f>
        <v/>
      </c>
      <c r="J38" s="34" t="str">
        <f t="shared" si="0"/>
        <v/>
      </c>
      <c r="K38" s="35" t="str">
        <f t="shared" si="1"/>
        <v/>
      </c>
      <c r="L38" s="34" t="str">
        <f t="shared" si="2"/>
        <v/>
      </c>
      <c r="M38" s="36" t="str">
        <f>IFERROR(VLOOKUP(C38,'RJ ATTENDENCE SHEET'!$C:$S,14,0),"")</f>
        <v/>
      </c>
      <c r="N38" s="36" t="str">
        <f t="shared" si="3"/>
        <v/>
      </c>
      <c r="O38" s="271"/>
      <c r="P38" s="272"/>
    </row>
    <row r="39" spans="1:16" ht="20.45" hidden="1" customHeight="1">
      <c r="A39" s="27">
        <v>36</v>
      </c>
      <c r="B39" s="27" t="str">
        <f>VLOOKUP(C39,'DATA '!$O:$P,2,0)</f>
        <v/>
      </c>
      <c r="C39" s="28" t="str">
        <f>'DATA '!O38</f>
        <v/>
      </c>
      <c r="D39" s="29" t="str">
        <f>IF(B39="DRIVER","",IF(B39="HELPER","",IF(B39="HOPPER",VLOOKUP('CONTRACT TOTAL (P)'!C39,'RJ ATTENDENCE SHEET'!$C:$I,7,0),IF(B39="LAB",VLOOKUP('CONTRACT TOTAL (P)'!C39,'RJ ATTENDENCE SHEET'!$C:$I,7,0),IF(B39="OTHERS",VLOOKUP('CONTRACT TOTAL (P)'!C39,'RJ ATTENDENCE SHEET'!$C:$I,7,0),"")))))</f>
        <v/>
      </c>
      <c r="E39" s="29" t="str">
        <f>IFERROR(D39/DAY(EOMONTH('RJ ATTENDENCE SHEET'!$A$1,0)),"")</f>
        <v/>
      </c>
      <c r="F39" s="29" t="str">
        <f>IF(B39="DRIVER",VLOOKUP('CONTRACT TOTAL (P)'!C39,'RJ ATTENDENCE SHEET'!$C:$W,8,0),IF(B39="HELPER",VLOOKUP('CONTRACT TOTAL (P)'!C39,'RJ ATTENDENCE SHEET'!$C:$W,8,0),IF(B39="HOPPER","",IF(B39="LAB","",IF(B39="OTHERS","","")))))</f>
        <v/>
      </c>
      <c r="G39" s="29" t="str">
        <f>IF(B39="DRIVER",VLOOKUP('CONTRACT TOTAL (P)'!C39,'RJ ATTENDENCE SHEET'!$C:$W,9,0),IF(B39="HELPER",VLOOKUP('CONTRACT TOTAL (P)'!C39,'RJ ATTENDENCE SHEET'!$C:$W,9,0),IF(B39="HOPPER","",IF(B39="LAB","",IF(B39="OTHERS","","")))))</f>
        <v/>
      </c>
      <c r="H39" s="29" t="str">
        <f>IFERROR(VLOOKUP(C39,'RJ ATTENDENCE SHEET'!$C:$V,20,0),"")</f>
        <v/>
      </c>
      <c r="I39" s="29" t="str">
        <f>IFERROR(VLOOKUP(C39,'RJ ATTENDENCE SHEET'!$C:$W,21,0),"")</f>
        <v/>
      </c>
      <c r="J39" s="34" t="str">
        <f t="shared" si="0"/>
        <v/>
      </c>
      <c r="K39" s="35" t="str">
        <f t="shared" si="1"/>
        <v/>
      </c>
      <c r="L39" s="34" t="str">
        <f t="shared" si="2"/>
        <v/>
      </c>
      <c r="M39" s="36" t="str">
        <f>IFERROR(VLOOKUP(C39,'RJ ATTENDENCE SHEET'!$C:$S,14,0),"")</f>
        <v/>
      </c>
      <c r="N39" s="36" t="str">
        <f t="shared" si="3"/>
        <v/>
      </c>
      <c r="O39" s="271"/>
      <c r="P39" s="272"/>
    </row>
    <row r="40" spans="1:16" ht="20.45" hidden="1" customHeight="1">
      <c r="A40" s="27">
        <v>37</v>
      </c>
      <c r="B40" s="27" t="str">
        <f>VLOOKUP(C40,'DATA '!$O:$P,2,0)</f>
        <v/>
      </c>
      <c r="C40" s="28" t="str">
        <f>'DATA '!O39</f>
        <v/>
      </c>
      <c r="D40" s="29" t="str">
        <f>IF(B40="DRIVER","",IF(B40="HELPER","",IF(B40="HOPPER",VLOOKUP('CONTRACT TOTAL (P)'!C40,'RJ ATTENDENCE SHEET'!$C:$I,7,0),IF(B40="LAB",VLOOKUP('CONTRACT TOTAL (P)'!C40,'RJ ATTENDENCE SHEET'!$C:$I,7,0),IF(B40="OTHERS",VLOOKUP('CONTRACT TOTAL (P)'!C40,'RJ ATTENDENCE SHEET'!$C:$I,7,0),"")))))</f>
        <v/>
      </c>
      <c r="E40" s="29" t="str">
        <f>IFERROR(D40/DAY(EOMONTH('RJ ATTENDENCE SHEET'!$A$1,0)),"")</f>
        <v/>
      </c>
      <c r="F40" s="29" t="str">
        <f>IF(B40="DRIVER",VLOOKUP('CONTRACT TOTAL (P)'!C40,'RJ ATTENDENCE SHEET'!$C:$W,8,0),IF(B40="HELPER",VLOOKUP('CONTRACT TOTAL (P)'!C40,'RJ ATTENDENCE SHEET'!$C:$W,8,0),IF(B40="HOPPER","",IF(B40="LAB","",IF(B40="OTHERS","","")))))</f>
        <v/>
      </c>
      <c r="G40" s="29" t="str">
        <f>IF(B40="DRIVER",VLOOKUP('CONTRACT TOTAL (P)'!C40,'RJ ATTENDENCE SHEET'!$C:$W,9,0),IF(B40="HELPER",VLOOKUP('CONTRACT TOTAL (P)'!C40,'RJ ATTENDENCE SHEET'!$C:$W,9,0),IF(B40="HOPPER","",IF(B40="LAB","",IF(B40="OTHERS","","")))))</f>
        <v/>
      </c>
      <c r="H40" s="29" t="str">
        <f>IFERROR(VLOOKUP(C40,'RJ ATTENDENCE SHEET'!$C:$V,20,0),"")</f>
        <v/>
      </c>
      <c r="I40" s="29" t="str">
        <f>IFERROR(VLOOKUP(C40,'RJ ATTENDENCE SHEET'!$C:$W,21,0),"")</f>
        <v/>
      </c>
      <c r="J40" s="34" t="str">
        <f t="shared" si="0"/>
        <v/>
      </c>
      <c r="K40" s="35" t="str">
        <f t="shared" si="1"/>
        <v/>
      </c>
      <c r="L40" s="34" t="str">
        <f t="shared" si="2"/>
        <v/>
      </c>
      <c r="M40" s="36" t="str">
        <f>IFERROR(VLOOKUP(C40,'RJ ATTENDENCE SHEET'!$C:$S,14,0),"")</f>
        <v/>
      </c>
      <c r="N40" s="36" t="str">
        <f t="shared" si="3"/>
        <v/>
      </c>
      <c r="O40" s="271"/>
      <c r="P40" s="272"/>
    </row>
    <row r="41" spans="1:16" ht="20.45" hidden="1" customHeight="1">
      <c r="A41" s="27">
        <v>38</v>
      </c>
      <c r="B41" s="27" t="str">
        <f>VLOOKUP(C41,'DATA '!$O:$P,2,0)</f>
        <v/>
      </c>
      <c r="C41" s="28" t="str">
        <f>'DATA '!O40</f>
        <v/>
      </c>
      <c r="D41" s="29" t="str">
        <f>IF(B41="DRIVER","",IF(B41="HELPER","",IF(B41="HOPPER",VLOOKUP('CONTRACT TOTAL (P)'!C41,'RJ ATTENDENCE SHEET'!$C:$I,7,0),IF(B41="LAB",VLOOKUP('CONTRACT TOTAL (P)'!C41,'RJ ATTENDENCE SHEET'!$C:$I,7,0),IF(B41="OTHERS",VLOOKUP('CONTRACT TOTAL (P)'!C41,'RJ ATTENDENCE SHEET'!$C:$I,7,0),"")))))</f>
        <v/>
      </c>
      <c r="E41" s="29" t="str">
        <f>IFERROR(D41/DAY(EOMONTH('RJ ATTENDENCE SHEET'!$A$1,0)),"")</f>
        <v/>
      </c>
      <c r="F41" s="29" t="str">
        <f>IF(B41="DRIVER",VLOOKUP('CONTRACT TOTAL (P)'!C41,'RJ ATTENDENCE SHEET'!$C:$W,8,0),IF(B41="HELPER",VLOOKUP('CONTRACT TOTAL (P)'!C41,'RJ ATTENDENCE SHEET'!$C:$W,8,0),IF(B41="HOPPER","",IF(B41="LAB","",IF(B41="OTHERS","","")))))</f>
        <v/>
      </c>
      <c r="G41" s="29" t="str">
        <f>IF(B41="DRIVER",VLOOKUP('CONTRACT TOTAL (P)'!C41,'RJ ATTENDENCE SHEET'!$C:$W,9,0),IF(B41="HELPER",VLOOKUP('CONTRACT TOTAL (P)'!C41,'RJ ATTENDENCE SHEET'!$C:$W,9,0),IF(B41="HOPPER","",IF(B41="LAB","",IF(B41="OTHERS","","")))))</f>
        <v/>
      </c>
      <c r="H41" s="29" t="str">
        <f>IFERROR(VLOOKUP(C41,'RJ ATTENDENCE SHEET'!$C:$V,20,0),"")</f>
        <v/>
      </c>
      <c r="I41" s="29" t="str">
        <f>IFERROR(VLOOKUP(C41,'RJ ATTENDENCE SHEET'!$C:$W,21,0),"")</f>
        <v/>
      </c>
      <c r="J41" s="34" t="str">
        <f t="shared" si="0"/>
        <v/>
      </c>
      <c r="K41" s="35" t="str">
        <f t="shared" si="1"/>
        <v/>
      </c>
      <c r="L41" s="34" t="str">
        <f t="shared" si="2"/>
        <v/>
      </c>
      <c r="M41" s="36" t="str">
        <f>IFERROR(VLOOKUP(C41,'RJ ATTENDENCE SHEET'!$C:$S,14,0),"")</f>
        <v/>
      </c>
      <c r="N41" s="36" t="str">
        <f t="shared" si="3"/>
        <v/>
      </c>
      <c r="O41" s="271"/>
      <c r="P41" s="272"/>
    </row>
    <row r="42" spans="1:16" ht="20.45" hidden="1" customHeight="1">
      <c r="A42" s="27">
        <v>39</v>
      </c>
      <c r="B42" s="27" t="str">
        <f>VLOOKUP(C42,'DATA '!$O:$P,2,0)</f>
        <v/>
      </c>
      <c r="C42" s="28" t="str">
        <f>'DATA '!O41</f>
        <v/>
      </c>
      <c r="D42" s="29" t="str">
        <f>IF(B42="DRIVER","",IF(B42="HELPER","",IF(B42="HOPPER",VLOOKUP('CONTRACT TOTAL (P)'!C42,'RJ ATTENDENCE SHEET'!$C:$I,7,0),IF(B42="LAB",VLOOKUP('CONTRACT TOTAL (P)'!C42,'RJ ATTENDENCE SHEET'!$C:$I,7,0),IF(B42="OTHERS",VLOOKUP('CONTRACT TOTAL (P)'!C42,'RJ ATTENDENCE SHEET'!$C:$I,7,0),"")))))</f>
        <v/>
      </c>
      <c r="E42" s="29" t="str">
        <f>IFERROR(D42/DAY(EOMONTH('RJ ATTENDENCE SHEET'!$A$1,0)),"")</f>
        <v/>
      </c>
      <c r="F42" s="29" t="str">
        <f>IF(B42="DRIVER",VLOOKUP('CONTRACT TOTAL (P)'!C42,'RJ ATTENDENCE SHEET'!$C:$W,8,0),IF(B42="HELPER",VLOOKUP('CONTRACT TOTAL (P)'!C42,'RJ ATTENDENCE SHEET'!$C:$W,8,0),IF(B42="HOPPER","",IF(B42="LAB","",IF(B42="OTHERS","","")))))</f>
        <v/>
      </c>
      <c r="G42" s="29" t="str">
        <f>IF(B42="DRIVER",VLOOKUP('CONTRACT TOTAL (P)'!C42,'RJ ATTENDENCE SHEET'!$C:$W,9,0),IF(B42="HELPER",VLOOKUP('CONTRACT TOTAL (P)'!C42,'RJ ATTENDENCE SHEET'!$C:$W,9,0),IF(B42="HOPPER","",IF(B42="LAB","",IF(B42="OTHERS","","")))))</f>
        <v/>
      </c>
      <c r="H42" s="29" t="str">
        <f>IFERROR(VLOOKUP(C42,'RJ ATTENDENCE SHEET'!$C:$V,20,0),"")</f>
        <v/>
      </c>
      <c r="I42" s="29" t="str">
        <f>IFERROR(VLOOKUP(C42,'RJ ATTENDENCE SHEET'!$C:$W,21,0),"")</f>
        <v/>
      </c>
      <c r="J42" s="34" t="str">
        <f t="shared" si="0"/>
        <v/>
      </c>
      <c r="K42" s="35" t="str">
        <f t="shared" si="1"/>
        <v/>
      </c>
      <c r="L42" s="34" t="str">
        <f t="shared" si="2"/>
        <v/>
      </c>
      <c r="M42" s="36" t="str">
        <f>IFERROR(VLOOKUP(C42,'RJ ATTENDENCE SHEET'!$C:$S,14,0),"")</f>
        <v/>
      </c>
      <c r="N42" s="36" t="str">
        <f t="shared" si="3"/>
        <v/>
      </c>
      <c r="O42" s="271"/>
      <c r="P42" s="272"/>
    </row>
    <row r="43" spans="1:16" ht="20.45" hidden="1" customHeight="1">
      <c r="A43" s="27">
        <v>40</v>
      </c>
      <c r="B43" s="27" t="str">
        <f>VLOOKUP(C43,'DATA '!$O:$P,2,0)</f>
        <v/>
      </c>
      <c r="C43" s="28" t="str">
        <f>'DATA '!O42</f>
        <v/>
      </c>
      <c r="D43" s="29" t="str">
        <f>IF(B43="DRIVER","",IF(B43="HELPER","",IF(B43="HOPPER",VLOOKUP('CONTRACT TOTAL (P)'!C43,'RJ ATTENDENCE SHEET'!$C:$I,7,0),IF(B43="LAB",VLOOKUP('CONTRACT TOTAL (P)'!C43,'RJ ATTENDENCE SHEET'!$C:$I,7,0),IF(B43="OTHERS",VLOOKUP('CONTRACT TOTAL (P)'!C43,'RJ ATTENDENCE SHEET'!$C:$I,7,0),"")))))</f>
        <v/>
      </c>
      <c r="E43" s="29" t="str">
        <f>IFERROR(D43/DAY(EOMONTH('RJ ATTENDENCE SHEET'!$A$1,0)),"")</f>
        <v/>
      </c>
      <c r="F43" s="29" t="str">
        <f>IF(B43="DRIVER",VLOOKUP('CONTRACT TOTAL (P)'!C43,'RJ ATTENDENCE SHEET'!$C:$W,8,0),IF(B43="HELPER",VLOOKUP('CONTRACT TOTAL (P)'!C43,'RJ ATTENDENCE SHEET'!$C:$W,8,0),IF(B43="HOPPER","",IF(B43="LAB","",IF(B43="OTHERS","","")))))</f>
        <v/>
      </c>
      <c r="G43" s="29" t="str">
        <f>IF(B43="DRIVER",VLOOKUP('CONTRACT TOTAL (P)'!C43,'RJ ATTENDENCE SHEET'!$C:$W,9,0),IF(B43="HELPER",VLOOKUP('CONTRACT TOTAL (P)'!C43,'RJ ATTENDENCE SHEET'!$C:$W,9,0),IF(B43="HOPPER","",IF(B43="LAB","",IF(B43="OTHERS","","")))))</f>
        <v/>
      </c>
      <c r="H43" s="29" t="str">
        <f>IFERROR(VLOOKUP(C43,'RJ ATTENDENCE SHEET'!$C:$V,20,0),"")</f>
        <v/>
      </c>
      <c r="I43" s="29" t="str">
        <f>IFERROR(VLOOKUP(C43,'RJ ATTENDENCE SHEET'!$C:$W,21,0),"")</f>
        <v/>
      </c>
      <c r="J43" s="34" t="str">
        <f t="shared" ref="J43:J65" si="4">IFERROR(F43*H43,"")</f>
        <v/>
      </c>
      <c r="K43" s="35" t="str">
        <f t="shared" ref="K43:K65" si="5">IFERROR(G43*I43,"")</f>
        <v/>
      </c>
      <c r="L43" s="34" t="str">
        <f t="shared" ref="L43:L65" si="6">IF(B43="DRIVER",(J43+K43),IF(B43="HELPER",(J43+K43),IF(B43="HOPPER",(E43*H43),IF(B43="LAB",(E43*H43),IF(B43="OTHERS",(E43*H43),"")))))</f>
        <v/>
      </c>
      <c r="M43" s="36" t="str">
        <f>IFERROR(VLOOKUP(C43,'RJ ATTENDENCE SHEET'!$C:$S,14,0),"")</f>
        <v/>
      </c>
      <c r="N43" s="36" t="str">
        <f t="shared" ref="N43:N65" si="7">IFERROR(L43-M43,"")</f>
        <v/>
      </c>
      <c r="O43" s="271"/>
      <c r="P43" s="272"/>
    </row>
    <row r="44" spans="1:16" ht="20.45" hidden="1" customHeight="1">
      <c r="A44" s="30">
        <v>41</v>
      </c>
      <c r="B44" s="27" t="str">
        <f>VLOOKUP(C44,'DATA '!$O:$P,2,0)</f>
        <v/>
      </c>
      <c r="C44" s="28" t="str">
        <f>'DATA '!O43</f>
        <v/>
      </c>
      <c r="D44" s="29" t="str">
        <f>IF(B44="DRIVER","",IF(B44="HELPER","",IF(B44="HOPPER",VLOOKUP('CONTRACT TOTAL (P)'!C44,'RJ ATTENDENCE SHEET'!$C:$I,7,0),IF(B44="LAB",VLOOKUP('CONTRACT TOTAL (P)'!C44,'RJ ATTENDENCE SHEET'!$C:$I,7,0),IF(B44="OTHERS",VLOOKUP('CONTRACT TOTAL (P)'!C44,'RJ ATTENDENCE SHEET'!$C:$I,7,0),"")))))</f>
        <v/>
      </c>
      <c r="E44" s="29" t="str">
        <f>IFERROR(D44/DAY(EOMONTH('RJ ATTENDENCE SHEET'!$A$1,0)),"")</f>
        <v/>
      </c>
      <c r="F44" s="29" t="str">
        <f>IF(B44="DRIVER",VLOOKUP('CONTRACT TOTAL (P)'!C44,'RJ ATTENDENCE SHEET'!$C:$W,8,0),IF(B44="HELPER",VLOOKUP('CONTRACT TOTAL (P)'!C44,'RJ ATTENDENCE SHEET'!$C:$W,8,0),IF(B44="HOPPER","",IF(B44="LAB","",IF(B44="OTHERS","","")))))</f>
        <v/>
      </c>
      <c r="G44" s="29" t="str">
        <f>IF(B44="DRIVER",VLOOKUP('CONTRACT TOTAL (P)'!C44,'RJ ATTENDENCE SHEET'!$C:$W,9,0),IF(B44="HELPER",VLOOKUP('CONTRACT TOTAL (P)'!C44,'RJ ATTENDENCE SHEET'!$C:$W,9,0),IF(B44="HOPPER","",IF(B44="LAB","",IF(B44="OTHERS","","")))))</f>
        <v/>
      </c>
      <c r="H44" s="29" t="str">
        <f>IFERROR(VLOOKUP(C44,'RJ ATTENDENCE SHEET'!$C:$V,20,0),"")</f>
        <v/>
      </c>
      <c r="I44" s="29" t="str">
        <f>IFERROR(VLOOKUP(C44,'RJ ATTENDENCE SHEET'!$C:$W,21,0),"")</f>
        <v/>
      </c>
      <c r="J44" s="34" t="str">
        <f t="shared" si="4"/>
        <v/>
      </c>
      <c r="K44" s="35" t="str">
        <f t="shared" si="5"/>
        <v/>
      </c>
      <c r="L44" s="34" t="str">
        <f t="shared" si="6"/>
        <v/>
      </c>
      <c r="M44" s="36" t="str">
        <f>IFERROR(VLOOKUP(C44,'RJ ATTENDENCE SHEET'!$C:$S,14,0),"")</f>
        <v/>
      </c>
      <c r="N44" s="36" t="str">
        <f t="shared" si="7"/>
        <v/>
      </c>
      <c r="O44" s="271"/>
      <c r="P44" s="272"/>
    </row>
    <row r="45" spans="1:16" ht="20.45" hidden="1" customHeight="1">
      <c r="A45" s="27">
        <v>42</v>
      </c>
      <c r="B45" s="27" t="str">
        <f>VLOOKUP(C45,'DATA '!$O:$P,2,0)</f>
        <v/>
      </c>
      <c r="C45" s="28" t="str">
        <f>'DATA '!O44</f>
        <v/>
      </c>
      <c r="D45" s="29" t="str">
        <f>IF(B45="DRIVER","",IF(B45="HELPER","",IF(B45="HOPPER",VLOOKUP('CONTRACT TOTAL (P)'!C45,'RJ ATTENDENCE SHEET'!$C:$I,7,0),IF(B45="LAB",VLOOKUP('CONTRACT TOTAL (P)'!C45,'RJ ATTENDENCE SHEET'!$C:$I,7,0),IF(B45="OTHERS",VLOOKUP('CONTRACT TOTAL (P)'!C45,'RJ ATTENDENCE SHEET'!$C:$I,7,0),"")))))</f>
        <v/>
      </c>
      <c r="E45" s="29" t="str">
        <f>IFERROR(D45/DAY(EOMONTH('RJ ATTENDENCE SHEET'!$A$1,0)),"")</f>
        <v/>
      </c>
      <c r="F45" s="29" t="str">
        <f>IF(B45="DRIVER",VLOOKUP('CONTRACT TOTAL (P)'!C45,'RJ ATTENDENCE SHEET'!$C:$W,8,0),IF(B45="HELPER",VLOOKUP('CONTRACT TOTAL (P)'!C45,'RJ ATTENDENCE SHEET'!$C:$W,8,0),IF(B45="HOPPER","",IF(B45="LAB","",IF(B45="OTHERS","","")))))</f>
        <v/>
      </c>
      <c r="G45" s="29" t="str">
        <f>IF(B45="DRIVER",VLOOKUP('CONTRACT TOTAL (P)'!C45,'RJ ATTENDENCE SHEET'!$C:$W,9,0),IF(B45="HELPER",VLOOKUP('CONTRACT TOTAL (P)'!C45,'RJ ATTENDENCE SHEET'!$C:$W,9,0),IF(B45="HOPPER","",IF(B45="LAB","",IF(B45="OTHERS","","")))))</f>
        <v/>
      </c>
      <c r="H45" s="29" t="str">
        <f>IFERROR(VLOOKUP(C45,'RJ ATTENDENCE SHEET'!$C:$V,20,0),"")</f>
        <v/>
      </c>
      <c r="I45" s="29" t="str">
        <f>IFERROR(VLOOKUP(C45,'RJ ATTENDENCE SHEET'!$C:$W,21,0),"")</f>
        <v/>
      </c>
      <c r="J45" s="34" t="str">
        <f t="shared" si="4"/>
        <v/>
      </c>
      <c r="K45" s="35" t="str">
        <f t="shared" si="5"/>
        <v/>
      </c>
      <c r="L45" s="34" t="str">
        <f t="shared" si="6"/>
        <v/>
      </c>
      <c r="M45" s="36" t="str">
        <f>IFERROR(VLOOKUP(C45,'RJ ATTENDENCE SHEET'!$C:$S,14,0),"")</f>
        <v/>
      </c>
      <c r="N45" s="36" t="str">
        <f t="shared" si="7"/>
        <v/>
      </c>
      <c r="O45" s="271"/>
      <c r="P45" s="272"/>
    </row>
    <row r="46" spans="1:16" ht="20.45" hidden="1" customHeight="1">
      <c r="A46" s="27">
        <v>43</v>
      </c>
      <c r="B46" s="27" t="str">
        <f>VLOOKUP(C46,'DATA '!$O:$P,2,0)</f>
        <v/>
      </c>
      <c r="C46" s="28" t="str">
        <f>'DATA '!O45</f>
        <v/>
      </c>
      <c r="D46" s="29" t="str">
        <f>IF(B46="DRIVER","",IF(B46="HELPER","",IF(B46="HOPPER",VLOOKUP('CONTRACT TOTAL (P)'!C46,'RJ ATTENDENCE SHEET'!$C:$I,7,0),IF(B46="LAB",VLOOKUP('CONTRACT TOTAL (P)'!C46,'RJ ATTENDENCE SHEET'!$C:$I,7,0),IF(B46="OTHERS",VLOOKUP('CONTRACT TOTAL (P)'!C46,'RJ ATTENDENCE SHEET'!$C:$I,7,0),"")))))</f>
        <v/>
      </c>
      <c r="E46" s="29" t="str">
        <f>IFERROR(D46/DAY(EOMONTH('RJ ATTENDENCE SHEET'!$A$1,0)),"")</f>
        <v/>
      </c>
      <c r="F46" s="29" t="str">
        <f>IF(B46="DRIVER",VLOOKUP('CONTRACT TOTAL (P)'!C46,'RJ ATTENDENCE SHEET'!$C:$W,8,0),IF(B46="HELPER",VLOOKUP('CONTRACT TOTAL (P)'!C46,'RJ ATTENDENCE SHEET'!$C:$W,8,0),IF(B46="HOPPER","",IF(B46="LAB","",IF(B46="OTHERS","","")))))</f>
        <v/>
      </c>
      <c r="G46" s="29" t="str">
        <f>IF(B46="DRIVER",VLOOKUP('CONTRACT TOTAL (P)'!C46,'RJ ATTENDENCE SHEET'!$C:$W,9,0),IF(B46="HELPER",VLOOKUP('CONTRACT TOTAL (P)'!C46,'RJ ATTENDENCE SHEET'!$C:$W,9,0),IF(B46="HOPPER","",IF(B46="LAB","",IF(B46="OTHERS","","")))))</f>
        <v/>
      </c>
      <c r="H46" s="29" t="str">
        <f>IFERROR(VLOOKUP(C46,'RJ ATTENDENCE SHEET'!$C:$V,20,0),"")</f>
        <v/>
      </c>
      <c r="I46" s="29" t="str">
        <f>IFERROR(VLOOKUP(C46,'RJ ATTENDENCE SHEET'!$C:$W,21,0),"")</f>
        <v/>
      </c>
      <c r="J46" s="34" t="str">
        <f t="shared" si="4"/>
        <v/>
      </c>
      <c r="K46" s="35" t="str">
        <f t="shared" si="5"/>
        <v/>
      </c>
      <c r="L46" s="34" t="str">
        <f t="shared" si="6"/>
        <v/>
      </c>
      <c r="M46" s="36" t="str">
        <f>IFERROR(VLOOKUP(C46,'RJ ATTENDENCE SHEET'!$C:$S,14,0),"")</f>
        <v/>
      </c>
      <c r="N46" s="36" t="str">
        <f t="shared" si="7"/>
        <v/>
      </c>
      <c r="O46" s="271"/>
      <c r="P46" s="272"/>
    </row>
    <row r="47" spans="1:16" ht="20.45" hidden="1" customHeight="1">
      <c r="A47" s="27">
        <v>44</v>
      </c>
      <c r="B47" s="27" t="str">
        <f>VLOOKUP(C47,'DATA '!$O:$P,2,0)</f>
        <v/>
      </c>
      <c r="C47" s="28" t="str">
        <f>'DATA '!O46</f>
        <v/>
      </c>
      <c r="D47" s="29" t="str">
        <f>IF(B47="DRIVER","",IF(B47="HELPER","",IF(B47="HOPPER",VLOOKUP('CONTRACT TOTAL (P)'!C47,'RJ ATTENDENCE SHEET'!$C:$I,7,0),IF(B47="LAB",VLOOKUP('CONTRACT TOTAL (P)'!C47,'RJ ATTENDENCE SHEET'!$C:$I,7,0),IF(B47="OTHERS",VLOOKUP('CONTRACT TOTAL (P)'!C47,'RJ ATTENDENCE SHEET'!$C:$I,7,0),"")))))</f>
        <v/>
      </c>
      <c r="E47" s="29" t="str">
        <f>IFERROR(D47/DAY(EOMONTH('RJ ATTENDENCE SHEET'!$A$1,0)),"")</f>
        <v/>
      </c>
      <c r="F47" s="29" t="str">
        <f>IF(B47="DRIVER",VLOOKUP('CONTRACT TOTAL (P)'!C47,'RJ ATTENDENCE SHEET'!$C:$W,8,0),IF(B47="HELPER",VLOOKUP('CONTRACT TOTAL (P)'!C47,'RJ ATTENDENCE SHEET'!$C:$W,8,0),IF(B47="HOPPER","",IF(B47="LAB","",IF(B47="OTHERS","","")))))</f>
        <v/>
      </c>
      <c r="G47" s="29" t="str">
        <f>IF(B47="DRIVER",VLOOKUP('CONTRACT TOTAL (P)'!C47,'RJ ATTENDENCE SHEET'!$C:$W,9,0),IF(B47="HELPER",VLOOKUP('CONTRACT TOTAL (P)'!C47,'RJ ATTENDENCE SHEET'!$C:$W,9,0),IF(B47="HOPPER","",IF(B47="LAB","",IF(B47="OTHERS","","")))))</f>
        <v/>
      </c>
      <c r="H47" s="29" t="str">
        <f>IFERROR(VLOOKUP(C47,'RJ ATTENDENCE SHEET'!$C:$V,20,0),"")</f>
        <v/>
      </c>
      <c r="I47" s="29" t="str">
        <f>IFERROR(VLOOKUP(C47,'RJ ATTENDENCE SHEET'!$C:$W,21,0),"")</f>
        <v/>
      </c>
      <c r="J47" s="34" t="str">
        <f t="shared" si="4"/>
        <v/>
      </c>
      <c r="K47" s="35" t="str">
        <f t="shared" si="5"/>
        <v/>
      </c>
      <c r="L47" s="34" t="str">
        <f t="shared" si="6"/>
        <v/>
      </c>
      <c r="M47" s="36" t="str">
        <f>IFERROR(VLOOKUP(C47,'RJ ATTENDENCE SHEET'!$C:$S,14,0),"")</f>
        <v/>
      </c>
      <c r="N47" s="36" t="str">
        <f t="shared" si="7"/>
        <v/>
      </c>
      <c r="O47" s="271"/>
      <c r="P47" s="272"/>
    </row>
    <row r="48" spans="1:16" ht="20.45" hidden="1" customHeight="1">
      <c r="A48" s="27">
        <v>45</v>
      </c>
      <c r="B48" s="27" t="str">
        <f>VLOOKUP(C48,'DATA '!$O:$P,2,0)</f>
        <v/>
      </c>
      <c r="C48" s="28" t="str">
        <f>'DATA '!O47</f>
        <v/>
      </c>
      <c r="D48" s="29" t="str">
        <f>IF(B48="DRIVER","",IF(B48="HELPER","",IF(B48="HOPPER",VLOOKUP('CONTRACT TOTAL (P)'!C48,'RJ ATTENDENCE SHEET'!$C:$I,7,0),IF(B48="LAB",VLOOKUP('CONTRACT TOTAL (P)'!C48,'RJ ATTENDENCE SHEET'!$C:$I,7,0),IF(B48="OTHERS",VLOOKUP('CONTRACT TOTAL (P)'!C48,'RJ ATTENDENCE SHEET'!$C:$I,7,0),"")))))</f>
        <v/>
      </c>
      <c r="E48" s="29" t="str">
        <f>IFERROR(D48/DAY(EOMONTH('RJ ATTENDENCE SHEET'!$A$1,0)),"")</f>
        <v/>
      </c>
      <c r="F48" s="29" t="str">
        <f>IF(B48="DRIVER",VLOOKUP('CONTRACT TOTAL (P)'!C48,'RJ ATTENDENCE SHEET'!$C:$W,8,0),IF(B48="HELPER",VLOOKUP('CONTRACT TOTAL (P)'!C48,'RJ ATTENDENCE SHEET'!$C:$W,8,0),IF(B48="HOPPER","",IF(B48="LAB","",IF(B48="OTHERS","","")))))</f>
        <v/>
      </c>
      <c r="G48" s="29" t="str">
        <f>IF(B48="DRIVER",VLOOKUP('CONTRACT TOTAL (P)'!C48,'RJ ATTENDENCE SHEET'!$C:$W,9,0),IF(B48="HELPER",VLOOKUP('CONTRACT TOTAL (P)'!C48,'RJ ATTENDENCE SHEET'!$C:$W,9,0),IF(B48="HOPPER","",IF(B48="LAB","",IF(B48="OTHERS","","")))))</f>
        <v/>
      </c>
      <c r="H48" s="29" t="str">
        <f>IFERROR(VLOOKUP(C48,'RJ ATTENDENCE SHEET'!$C:$V,20,0),"")</f>
        <v/>
      </c>
      <c r="I48" s="29" t="str">
        <f>IFERROR(VLOOKUP(C48,'RJ ATTENDENCE SHEET'!$C:$W,21,0),"")</f>
        <v/>
      </c>
      <c r="J48" s="34" t="str">
        <f t="shared" si="4"/>
        <v/>
      </c>
      <c r="K48" s="35" t="str">
        <f t="shared" si="5"/>
        <v/>
      </c>
      <c r="L48" s="34" t="str">
        <f t="shared" si="6"/>
        <v/>
      </c>
      <c r="M48" s="36" t="str">
        <f>IFERROR(VLOOKUP(C48,'RJ ATTENDENCE SHEET'!$C:$S,14,0),"")</f>
        <v/>
      </c>
      <c r="N48" s="36" t="str">
        <f t="shared" si="7"/>
        <v/>
      </c>
      <c r="O48" s="271"/>
      <c r="P48" s="272"/>
    </row>
    <row r="49" spans="1:16" ht="20.45" hidden="1" customHeight="1">
      <c r="A49" s="27">
        <v>46</v>
      </c>
      <c r="B49" s="27" t="str">
        <f>VLOOKUP(C49,'DATA '!$O:$P,2,0)</f>
        <v/>
      </c>
      <c r="C49" s="28" t="str">
        <f>'DATA '!O48</f>
        <v/>
      </c>
      <c r="D49" s="29" t="str">
        <f>IF(B49="DRIVER","",IF(B49="HELPER","",IF(B49="HOPPER",VLOOKUP('CONTRACT TOTAL (P)'!C49,'RJ ATTENDENCE SHEET'!$C:$I,7,0),IF(B49="LAB",VLOOKUP('CONTRACT TOTAL (P)'!C49,'RJ ATTENDENCE SHEET'!$C:$I,7,0),IF(B49="OTHERS",VLOOKUP('CONTRACT TOTAL (P)'!C49,'RJ ATTENDENCE SHEET'!$C:$I,7,0),"")))))</f>
        <v/>
      </c>
      <c r="E49" s="29" t="str">
        <f>IFERROR(D49/DAY(EOMONTH('RJ ATTENDENCE SHEET'!$A$1,0)),"")</f>
        <v/>
      </c>
      <c r="F49" s="29" t="str">
        <f>IF(B49="DRIVER",VLOOKUP('CONTRACT TOTAL (P)'!C49,'RJ ATTENDENCE SHEET'!$C:$W,8,0),IF(B49="HELPER",VLOOKUP('CONTRACT TOTAL (P)'!C49,'RJ ATTENDENCE SHEET'!$C:$W,8,0),IF(B49="HOPPER","",IF(B49="LAB","",IF(B49="OTHERS","","")))))</f>
        <v/>
      </c>
      <c r="G49" s="29" t="str">
        <f>IF(B49="DRIVER",VLOOKUP('CONTRACT TOTAL (P)'!C49,'RJ ATTENDENCE SHEET'!$C:$W,9,0),IF(B49="HELPER",VLOOKUP('CONTRACT TOTAL (P)'!C49,'RJ ATTENDENCE SHEET'!$C:$W,9,0),IF(B49="HOPPER","",IF(B49="LAB","",IF(B49="OTHERS","","")))))</f>
        <v/>
      </c>
      <c r="H49" s="29" t="str">
        <f>IFERROR(VLOOKUP(C49,'RJ ATTENDENCE SHEET'!$C:$V,20,0),"")</f>
        <v/>
      </c>
      <c r="I49" s="29" t="str">
        <f>IFERROR(VLOOKUP(C49,'RJ ATTENDENCE SHEET'!$C:$W,21,0),"")</f>
        <v/>
      </c>
      <c r="J49" s="34" t="str">
        <f t="shared" si="4"/>
        <v/>
      </c>
      <c r="K49" s="35" t="str">
        <f t="shared" si="5"/>
        <v/>
      </c>
      <c r="L49" s="34" t="str">
        <f t="shared" si="6"/>
        <v/>
      </c>
      <c r="M49" s="36" t="str">
        <f>IFERROR(VLOOKUP(C49,'RJ ATTENDENCE SHEET'!$C:$S,14,0),"")</f>
        <v/>
      </c>
      <c r="N49" s="36" t="str">
        <f t="shared" si="7"/>
        <v/>
      </c>
      <c r="O49" s="271"/>
      <c r="P49" s="272"/>
    </row>
    <row r="50" spans="1:16" ht="20.45" hidden="1" customHeight="1">
      <c r="A50" s="27">
        <v>47</v>
      </c>
      <c r="B50" s="27" t="str">
        <f>VLOOKUP(C50,'DATA '!$O:$P,2,0)</f>
        <v/>
      </c>
      <c r="C50" s="28" t="str">
        <f>'DATA '!O49</f>
        <v/>
      </c>
      <c r="D50" s="29" t="str">
        <f>IF(B50="DRIVER","",IF(B50="HELPER","",IF(B50="HOPPER",VLOOKUP('CONTRACT TOTAL (P)'!C50,'RJ ATTENDENCE SHEET'!$C:$I,7,0),IF(B50="LAB",VLOOKUP('CONTRACT TOTAL (P)'!C50,'RJ ATTENDENCE SHEET'!$C:$I,7,0),IF(B50="OTHERS",VLOOKUP('CONTRACT TOTAL (P)'!C50,'RJ ATTENDENCE SHEET'!$C:$I,7,0),"")))))</f>
        <v/>
      </c>
      <c r="E50" s="29" t="str">
        <f>IFERROR(D50/DAY(EOMONTH('RJ ATTENDENCE SHEET'!$A$1,0)),"")</f>
        <v/>
      </c>
      <c r="F50" s="29" t="str">
        <f>IF(B50="DRIVER",VLOOKUP('CONTRACT TOTAL (P)'!C50,'RJ ATTENDENCE SHEET'!$C:$W,8,0),IF(B50="HELPER",VLOOKUP('CONTRACT TOTAL (P)'!C50,'RJ ATTENDENCE SHEET'!$C:$W,8,0),IF(B50="HOPPER","",IF(B50="LAB","",IF(B50="OTHERS","","")))))</f>
        <v/>
      </c>
      <c r="G50" s="29" t="str">
        <f>IF(B50="DRIVER",VLOOKUP('CONTRACT TOTAL (P)'!C50,'RJ ATTENDENCE SHEET'!$C:$W,9,0),IF(B50="HELPER",VLOOKUP('CONTRACT TOTAL (P)'!C50,'RJ ATTENDENCE SHEET'!$C:$W,9,0),IF(B50="HOPPER","",IF(B50="LAB","",IF(B50="OTHERS","","")))))</f>
        <v/>
      </c>
      <c r="H50" s="29" t="str">
        <f>IFERROR(VLOOKUP(C50,'RJ ATTENDENCE SHEET'!$C:$V,20,0),"")</f>
        <v/>
      </c>
      <c r="I50" s="29" t="str">
        <f>IFERROR(VLOOKUP(C50,'RJ ATTENDENCE SHEET'!$C:$W,21,0),"")</f>
        <v/>
      </c>
      <c r="J50" s="34" t="str">
        <f t="shared" si="4"/>
        <v/>
      </c>
      <c r="K50" s="35" t="str">
        <f t="shared" si="5"/>
        <v/>
      </c>
      <c r="L50" s="34" t="str">
        <f t="shared" si="6"/>
        <v/>
      </c>
      <c r="M50" s="36" t="str">
        <f>IFERROR(VLOOKUP(C50,'RJ ATTENDENCE SHEET'!$C:$S,14,0),"")</f>
        <v/>
      </c>
      <c r="N50" s="36" t="str">
        <f t="shared" si="7"/>
        <v/>
      </c>
      <c r="O50" s="271"/>
      <c r="P50" s="272"/>
    </row>
    <row r="51" spans="1:16" ht="20.45" hidden="1" customHeight="1">
      <c r="A51" s="30">
        <v>48</v>
      </c>
      <c r="B51" s="27" t="str">
        <f>VLOOKUP(C51,'DATA '!$O:$P,2,0)</f>
        <v/>
      </c>
      <c r="C51" s="28" t="str">
        <f>'DATA '!O50</f>
        <v/>
      </c>
      <c r="D51" s="29" t="str">
        <f>IF(B51="DRIVER","",IF(B51="HELPER","",IF(B51="HOPPER",VLOOKUP('CONTRACT TOTAL (P)'!C51,'RJ ATTENDENCE SHEET'!$C:$I,7,0),IF(B51="LAB",VLOOKUP('CONTRACT TOTAL (P)'!C51,'RJ ATTENDENCE SHEET'!$C:$I,7,0),IF(B51="OTHERS",VLOOKUP('CONTRACT TOTAL (P)'!C51,'RJ ATTENDENCE SHEET'!$C:$I,7,0),"")))))</f>
        <v/>
      </c>
      <c r="E51" s="29" t="str">
        <f>IFERROR(D51/DAY(EOMONTH('RJ ATTENDENCE SHEET'!$A$1,0)),"")</f>
        <v/>
      </c>
      <c r="F51" s="29" t="str">
        <f>IF(B51="DRIVER",VLOOKUP('CONTRACT TOTAL (P)'!C51,'RJ ATTENDENCE SHEET'!$C:$W,8,0),IF(B51="HELPER",VLOOKUP('CONTRACT TOTAL (P)'!C51,'RJ ATTENDENCE SHEET'!$C:$W,8,0),IF(B51="HOPPER","",IF(B51="LAB","",IF(B51="OTHERS","","")))))</f>
        <v/>
      </c>
      <c r="G51" s="29" t="str">
        <f>IF(B51="DRIVER",VLOOKUP('CONTRACT TOTAL (P)'!C51,'RJ ATTENDENCE SHEET'!$C:$W,9,0),IF(B51="HELPER",VLOOKUP('CONTRACT TOTAL (P)'!C51,'RJ ATTENDENCE SHEET'!$C:$W,9,0),IF(B51="HOPPER","",IF(B51="LAB","",IF(B51="OTHERS","","")))))</f>
        <v/>
      </c>
      <c r="H51" s="29" t="str">
        <f>IFERROR(VLOOKUP(C51,'RJ ATTENDENCE SHEET'!$C:$V,20,0),"")</f>
        <v/>
      </c>
      <c r="I51" s="29" t="str">
        <f>IFERROR(VLOOKUP(C51,'RJ ATTENDENCE SHEET'!$C:$W,21,0),"")</f>
        <v/>
      </c>
      <c r="J51" s="34" t="str">
        <f t="shared" si="4"/>
        <v/>
      </c>
      <c r="K51" s="35" t="str">
        <f t="shared" si="5"/>
        <v/>
      </c>
      <c r="L51" s="34" t="str">
        <f t="shared" si="6"/>
        <v/>
      </c>
      <c r="M51" s="36" t="str">
        <f>IFERROR(VLOOKUP(C51,'RJ ATTENDENCE SHEET'!$C:$S,14,0),"")</f>
        <v/>
      </c>
      <c r="N51" s="36" t="str">
        <f t="shared" si="7"/>
        <v/>
      </c>
      <c r="O51" s="271"/>
      <c r="P51" s="272"/>
    </row>
    <row r="52" spans="1:16" ht="21" hidden="1" customHeight="1">
      <c r="A52" s="27">
        <v>49</v>
      </c>
      <c r="B52" s="27" t="str">
        <f>VLOOKUP(C52,'DATA '!$O:$P,2,0)</f>
        <v/>
      </c>
      <c r="C52" s="28" t="str">
        <f>'DATA '!O51</f>
        <v/>
      </c>
      <c r="D52" s="29" t="str">
        <f>IF(B52="DRIVER","",IF(B52="HELPER","",IF(B52="HOPPER",VLOOKUP('CONTRACT TOTAL (P)'!C52,'RJ ATTENDENCE SHEET'!$C:$I,7,0),IF(B52="LAB",VLOOKUP('CONTRACT TOTAL (P)'!C52,'RJ ATTENDENCE SHEET'!$C:$I,7,0),IF(B52="OTHERS",VLOOKUP('CONTRACT TOTAL (P)'!C52,'RJ ATTENDENCE SHEET'!$C:$I,7,0),"")))))</f>
        <v/>
      </c>
      <c r="E52" s="29" t="str">
        <f>IFERROR(D52/DAY(EOMONTH('RJ ATTENDENCE SHEET'!$A$1,0)),"")</f>
        <v/>
      </c>
      <c r="F52" s="29" t="str">
        <f>IF(B52="DRIVER",VLOOKUP('CONTRACT TOTAL (P)'!C52,'RJ ATTENDENCE SHEET'!$C:$W,8,0),IF(B52="HELPER",VLOOKUP('CONTRACT TOTAL (P)'!C52,'RJ ATTENDENCE SHEET'!$C:$W,8,0),IF(B52="HOPPER","",IF(B52="LAB","",IF(B52="OTHERS","","")))))</f>
        <v/>
      </c>
      <c r="G52" s="29" t="str">
        <f>IF(B52="DRIVER",VLOOKUP('CONTRACT TOTAL (P)'!C52,'RJ ATTENDENCE SHEET'!$C:$W,9,0),IF(B52="HELPER",VLOOKUP('CONTRACT TOTAL (P)'!C52,'RJ ATTENDENCE SHEET'!$C:$W,9,0),IF(B52="HOPPER","",IF(B52="LAB","",IF(B52="OTHERS","","")))))</f>
        <v/>
      </c>
      <c r="H52" s="29" t="str">
        <f>IFERROR(VLOOKUP(C52,'RJ ATTENDENCE SHEET'!$C:$V,20,0),"")</f>
        <v/>
      </c>
      <c r="I52" s="29" t="str">
        <f>IFERROR(VLOOKUP(C52,'RJ ATTENDENCE SHEET'!$C:$W,21,0),"")</f>
        <v/>
      </c>
      <c r="J52" s="34" t="str">
        <f t="shared" si="4"/>
        <v/>
      </c>
      <c r="K52" s="35" t="str">
        <f t="shared" si="5"/>
        <v/>
      </c>
      <c r="L52" s="34" t="str">
        <f t="shared" si="6"/>
        <v/>
      </c>
      <c r="M52" s="36" t="str">
        <f>IFERROR(VLOOKUP(C52,'RJ ATTENDENCE SHEET'!$C:$S,14,0),"")</f>
        <v/>
      </c>
      <c r="N52" s="36" t="str">
        <f t="shared" si="7"/>
        <v/>
      </c>
      <c r="O52" s="271"/>
      <c r="P52" s="272"/>
    </row>
    <row r="53" spans="1:16" ht="21" hidden="1" customHeight="1">
      <c r="A53" s="27">
        <v>50</v>
      </c>
      <c r="B53" s="27" t="str">
        <f>VLOOKUP(C53,'DATA '!$O:$P,2,0)</f>
        <v/>
      </c>
      <c r="C53" s="28" t="str">
        <f>'DATA '!O52</f>
        <v/>
      </c>
      <c r="D53" s="29" t="str">
        <f>IF(B53="DRIVER","",IF(B53="HELPER","",IF(B53="HOPPER",VLOOKUP('CONTRACT TOTAL (P)'!C53,'RJ ATTENDENCE SHEET'!$C:$I,7,0),IF(B53="LAB",VLOOKUP('CONTRACT TOTAL (P)'!C53,'RJ ATTENDENCE SHEET'!$C:$I,7,0),IF(B53="OTHERS",VLOOKUP('CONTRACT TOTAL (P)'!C53,'RJ ATTENDENCE SHEET'!$C:$I,7,0),"")))))</f>
        <v/>
      </c>
      <c r="E53" s="29" t="str">
        <f>IFERROR(D53/DAY(EOMONTH('RJ ATTENDENCE SHEET'!$A$1,0)),"")</f>
        <v/>
      </c>
      <c r="F53" s="29" t="str">
        <f>IF(B53="DRIVER",VLOOKUP('CONTRACT TOTAL (P)'!C53,'RJ ATTENDENCE SHEET'!$C:$W,8,0),IF(B53="HELPER",VLOOKUP('CONTRACT TOTAL (P)'!C53,'RJ ATTENDENCE SHEET'!$C:$W,8,0),IF(B53="HOPPER","",IF(B53="LAB","",IF(B53="OTHERS","","")))))</f>
        <v/>
      </c>
      <c r="G53" s="29" t="str">
        <f>IF(B53="DRIVER",VLOOKUP('CONTRACT TOTAL (P)'!C53,'RJ ATTENDENCE SHEET'!$C:$W,9,0),IF(B53="HELPER",VLOOKUP('CONTRACT TOTAL (P)'!C53,'RJ ATTENDENCE SHEET'!$C:$W,9,0),IF(B53="HOPPER","",IF(B53="LAB","",IF(B53="OTHERS","","")))))</f>
        <v/>
      </c>
      <c r="H53" s="29" t="str">
        <f>IFERROR(VLOOKUP(C53,'RJ ATTENDENCE SHEET'!$C:$V,20,0),"")</f>
        <v/>
      </c>
      <c r="I53" s="29" t="str">
        <f>IFERROR(VLOOKUP(C53,'RJ ATTENDENCE SHEET'!$C:$W,21,0),"")</f>
        <v/>
      </c>
      <c r="J53" s="34" t="str">
        <f t="shared" si="4"/>
        <v/>
      </c>
      <c r="K53" s="35" t="str">
        <f t="shared" si="5"/>
        <v/>
      </c>
      <c r="L53" s="34" t="str">
        <f t="shared" si="6"/>
        <v/>
      </c>
      <c r="M53" s="36" t="str">
        <f>IFERROR(VLOOKUP(C53,'RJ ATTENDENCE SHEET'!$C:$S,14,0),"")</f>
        <v/>
      </c>
      <c r="N53" s="36" t="str">
        <f t="shared" si="7"/>
        <v/>
      </c>
      <c r="O53" s="271"/>
      <c r="P53" s="272"/>
    </row>
    <row r="54" spans="1:16" ht="21" hidden="1" customHeight="1">
      <c r="A54" s="27">
        <v>51</v>
      </c>
      <c r="B54" s="27" t="str">
        <f>VLOOKUP(C54,'DATA '!$O:$P,2,0)</f>
        <v/>
      </c>
      <c r="C54" s="28" t="str">
        <f>'DATA '!O53</f>
        <v/>
      </c>
      <c r="D54" s="29" t="str">
        <f>IF(B54="DRIVER","",IF(B54="HELPER","",IF(B54="HOPPER",VLOOKUP('CONTRACT TOTAL (P)'!C54,'RJ ATTENDENCE SHEET'!$C:$I,7,0),IF(B54="LAB",VLOOKUP('CONTRACT TOTAL (P)'!C54,'RJ ATTENDENCE SHEET'!$C:$I,7,0),IF(B54="OTHERS",VLOOKUP('CONTRACT TOTAL (P)'!C54,'RJ ATTENDENCE SHEET'!$C:$I,7,0),"")))))</f>
        <v/>
      </c>
      <c r="E54" s="29" t="str">
        <f>IFERROR(D54/DAY(EOMONTH('RJ ATTENDENCE SHEET'!$A$1,0)),"")</f>
        <v/>
      </c>
      <c r="F54" s="29" t="str">
        <f>IF(B54="DRIVER",VLOOKUP('CONTRACT TOTAL (P)'!C54,'RJ ATTENDENCE SHEET'!$C:$W,8,0),IF(B54="HELPER",VLOOKUP('CONTRACT TOTAL (P)'!C54,'RJ ATTENDENCE SHEET'!$C:$W,8,0),IF(B54="HOPPER","",IF(B54="LAB","",IF(B54="OTHERS","","")))))</f>
        <v/>
      </c>
      <c r="G54" s="29" t="str">
        <f>IF(B54="DRIVER",VLOOKUP('CONTRACT TOTAL (P)'!C54,'RJ ATTENDENCE SHEET'!$C:$W,9,0),IF(B54="HELPER",VLOOKUP('CONTRACT TOTAL (P)'!C54,'RJ ATTENDENCE SHEET'!$C:$W,9,0),IF(B54="HOPPER","",IF(B54="LAB","",IF(B54="OTHERS","","")))))</f>
        <v/>
      </c>
      <c r="H54" s="29" t="str">
        <f>IFERROR(VLOOKUP(C54,'RJ ATTENDENCE SHEET'!$C:$V,20,0),"")</f>
        <v/>
      </c>
      <c r="I54" s="29" t="str">
        <f>IFERROR(VLOOKUP(C54,'RJ ATTENDENCE SHEET'!$C:$W,21,0),"")</f>
        <v/>
      </c>
      <c r="J54" s="34" t="str">
        <f t="shared" si="4"/>
        <v/>
      </c>
      <c r="K54" s="35" t="str">
        <f t="shared" si="5"/>
        <v/>
      </c>
      <c r="L54" s="34" t="str">
        <f t="shared" si="6"/>
        <v/>
      </c>
      <c r="M54" s="36" t="str">
        <f>IFERROR(VLOOKUP(C54,'RJ ATTENDENCE SHEET'!$C:$S,14,0),"")</f>
        <v/>
      </c>
      <c r="N54" s="36" t="str">
        <f t="shared" si="7"/>
        <v/>
      </c>
      <c r="O54" s="271"/>
      <c r="P54" s="272"/>
    </row>
    <row r="55" spans="1:16" ht="21" hidden="1" customHeight="1">
      <c r="A55" s="27">
        <v>52</v>
      </c>
      <c r="B55" s="27" t="str">
        <f>VLOOKUP(C55,'DATA '!$O:$P,2,0)</f>
        <v/>
      </c>
      <c r="C55" s="28" t="str">
        <f>'DATA '!O54</f>
        <v/>
      </c>
      <c r="D55" s="29" t="str">
        <f>IF(B55="DRIVER","",IF(B55="HELPER","",IF(B55="HOPPER",VLOOKUP('CONTRACT TOTAL (P)'!C55,'RJ ATTENDENCE SHEET'!$C:$I,7,0),IF(B55="LAB",VLOOKUP('CONTRACT TOTAL (P)'!C55,'RJ ATTENDENCE SHEET'!$C:$I,7,0),IF(B55="OTHERS",VLOOKUP('CONTRACT TOTAL (P)'!C55,'RJ ATTENDENCE SHEET'!$C:$I,7,0),"")))))</f>
        <v/>
      </c>
      <c r="E55" s="29" t="str">
        <f>IFERROR(D55/DAY(EOMONTH('RJ ATTENDENCE SHEET'!$A$1,0)),"")</f>
        <v/>
      </c>
      <c r="F55" s="29" t="str">
        <f>IF(B55="DRIVER",VLOOKUP('CONTRACT TOTAL (P)'!C55,'RJ ATTENDENCE SHEET'!$C:$W,8,0),IF(B55="HELPER",VLOOKUP('CONTRACT TOTAL (P)'!C55,'RJ ATTENDENCE SHEET'!$C:$W,8,0),IF(B55="HOPPER","",IF(B55="LAB","",IF(B55="OTHERS","","")))))</f>
        <v/>
      </c>
      <c r="G55" s="29" t="str">
        <f>IF(B55="DRIVER",VLOOKUP('CONTRACT TOTAL (P)'!C55,'RJ ATTENDENCE SHEET'!$C:$W,9,0),IF(B55="HELPER",VLOOKUP('CONTRACT TOTAL (P)'!C55,'RJ ATTENDENCE SHEET'!$C:$W,9,0),IF(B55="HOPPER","",IF(B55="LAB","",IF(B55="OTHERS","","")))))</f>
        <v/>
      </c>
      <c r="H55" s="29" t="str">
        <f>IFERROR(VLOOKUP(C55,'RJ ATTENDENCE SHEET'!$C:$V,20,0),"")</f>
        <v/>
      </c>
      <c r="I55" s="29" t="str">
        <f>IFERROR(VLOOKUP(C55,'RJ ATTENDENCE SHEET'!$C:$W,21,0),"")</f>
        <v/>
      </c>
      <c r="J55" s="34" t="str">
        <f t="shared" si="4"/>
        <v/>
      </c>
      <c r="K55" s="35" t="str">
        <f t="shared" si="5"/>
        <v/>
      </c>
      <c r="L55" s="34" t="str">
        <f t="shared" si="6"/>
        <v/>
      </c>
      <c r="M55" s="36" t="str">
        <f>IFERROR(VLOOKUP(C55,'RJ ATTENDENCE SHEET'!$C:$S,14,0),"")</f>
        <v/>
      </c>
      <c r="N55" s="36" t="str">
        <f t="shared" si="7"/>
        <v/>
      </c>
      <c r="O55" s="271"/>
      <c r="P55" s="272"/>
    </row>
    <row r="56" spans="1:16" ht="21" hidden="1" customHeight="1">
      <c r="A56" s="27">
        <v>53</v>
      </c>
      <c r="B56" s="27" t="str">
        <f>VLOOKUP(C56,'DATA '!$O:$P,2,0)</f>
        <v/>
      </c>
      <c r="C56" s="28" t="str">
        <f>'DATA '!O55</f>
        <v/>
      </c>
      <c r="D56" s="29" t="str">
        <f>IF(B56="DRIVER","",IF(B56="HELPER","",IF(B56="HOPPER",VLOOKUP('CONTRACT TOTAL (P)'!C56,'RJ ATTENDENCE SHEET'!$C:$I,7,0),IF(B56="LAB",VLOOKUP('CONTRACT TOTAL (P)'!C56,'RJ ATTENDENCE SHEET'!$C:$I,7,0),IF(B56="OTHERS",VLOOKUP('CONTRACT TOTAL (P)'!C56,'RJ ATTENDENCE SHEET'!$C:$I,7,0),"")))))</f>
        <v/>
      </c>
      <c r="E56" s="29" t="str">
        <f>IFERROR(D56/DAY(EOMONTH('RJ ATTENDENCE SHEET'!$A$1,0)),"")</f>
        <v/>
      </c>
      <c r="F56" s="29" t="str">
        <f>IF(B56="DRIVER",VLOOKUP('CONTRACT TOTAL (P)'!C56,'RJ ATTENDENCE SHEET'!$C:$W,8,0),IF(B56="HELPER",VLOOKUP('CONTRACT TOTAL (P)'!C56,'RJ ATTENDENCE SHEET'!$C:$W,8,0),IF(B56="HOPPER","",IF(B56="LAB","",IF(B56="OTHERS","","")))))</f>
        <v/>
      </c>
      <c r="G56" s="29" t="str">
        <f>IF(B56="DRIVER",VLOOKUP('CONTRACT TOTAL (P)'!C56,'RJ ATTENDENCE SHEET'!$C:$W,9,0),IF(B56="HELPER",VLOOKUP('CONTRACT TOTAL (P)'!C56,'RJ ATTENDENCE SHEET'!$C:$W,9,0),IF(B56="HOPPER","",IF(B56="LAB","",IF(B56="OTHERS","","")))))</f>
        <v/>
      </c>
      <c r="H56" s="29" t="str">
        <f>IFERROR(VLOOKUP(C56,'RJ ATTENDENCE SHEET'!$C:$V,20,0),"")</f>
        <v/>
      </c>
      <c r="I56" s="29" t="str">
        <f>IFERROR(VLOOKUP(C56,'RJ ATTENDENCE SHEET'!$C:$W,21,0),"")</f>
        <v/>
      </c>
      <c r="J56" s="34" t="str">
        <f t="shared" si="4"/>
        <v/>
      </c>
      <c r="K56" s="35" t="str">
        <f t="shared" si="5"/>
        <v/>
      </c>
      <c r="L56" s="34" t="str">
        <f t="shared" si="6"/>
        <v/>
      </c>
      <c r="M56" s="36" t="str">
        <f>IFERROR(VLOOKUP(C56,'RJ ATTENDENCE SHEET'!$C:$S,14,0),"")</f>
        <v/>
      </c>
      <c r="N56" s="36" t="str">
        <f t="shared" si="7"/>
        <v/>
      </c>
      <c r="O56" s="271"/>
      <c r="P56" s="272"/>
    </row>
    <row r="57" spans="1:16" ht="21" hidden="1" customHeight="1">
      <c r="A57" s="27">
        <v>54</v>
      </c>
      <c r="B57" s="27" t="str">
        <f>VLOOKUP(C57,'DATA '!$O:$P,2,0)</f>
        <v/>
      </c>
      <c r="C57" s="28" t="str">
        <f>'DATA '!O56</f>
        <v/>
      </c>
      <c r="D57" s="29" t="str">
        <f>IF(B57="DRIVER","",IF(B57="HELPER","",IF(B57="HOPPER",VLOOKUP('CONTRACT TOTAL (P)'!C57,'RJ ATTENDENCE SHEET'!$C:$I,7,0),IF(B57="LAB",VLOOKUP('CONTRACT TOTAL (P)'!C57,'RJ ATTENDENCE SHEET'!$C:$I,7,0),IF(B57="OTHERS",VLOOKUP('CONTRACT TOTAL (P)'!C57,'RJ ATTENDENCE SHEET'!$C:$I,7,0),"")))))</f>
        <v/>
      </c>
      <c r="E57" s="29" t="str">
        <f>IFERROR(D57/DAY(EOMONTH('RJ ATTENDENCE SHEET'!$A$1,0)),"")</f>
        <v/>
      </c>
      <c r="F57" s="29" t="str">
        <f>IF(B57="DRIVER",VLOOKUP('CONTRACT TOTAL (P)'!C57,'RJ ATTENDENCE SHEET'!$C:$W,8,0),IF(B57="HELPER",VLOOKUP('CONTRACT TOTAL (P)'!C57,'RJ ATTENDENCE SHEET'!$C:$W,8,0),IF(B57="HOPPER","",IF(B57="LAB","",IF(B57="OTHERS","","")))))</f>
        <v/>
      </c>
      <c r="G57" s="29" t="str">
        <f>IF(B57="DRIVER",VLOOKUP('CONTRACT TOTAL (P)'!C57,'RJ ATTENDENCE SHEET'!$C:$W,9,0),IF(B57="HELPER",VLOOKUP('CONTRACT TOTAL (P)'!C57,'RJ ATTENDENCE SHEET'!$C:$W,9,0),IF(B57="HOPPER","",IF(B57="LAB","",IF(B57="OTHERS","","")))))</f>
        <v/>
      </c>
      <c r="H57" s="29" t="str">
        <f>IFERROR(VLOOKUP(C57,'RJ ATTENDENCE SHEET'!$C:$V,20,0),"")</f>
        <v/>
      </c>
      <c r="I57" s="29" t="str">
        <f>IFERROR(VLOOKUP(C57,'RJ ATTENDENCE SHEET'!$C:$W,21,0),"")</f>
        <v/>
      </c>
      <c r="J57" s="34" t="str">
        <f t="shared" si="4"/>
        <v/>
      </c>
      <c r="K57" s="35" t="str">
        <f t="shared" si="5"/>
        <v/>
      </c>
      <c r="L57" s="34" t="str">
        <f t="shared" si="6"/>
        <v/>
      </c>
      <c r="M57" s="36" t="str">
        <f>IFERROR(VLOOKUP(C57,'RJ ATTENDENCE SHEET'!$C:$S,14,0),"")</f>
        <v/>
      </c>
      <c r="N57" s="36" t="str">
        <f t="shared" si="7"/>
        <v/>
      </c>
      <c r="O57" s="271"/>
      <c r="P57" s="272"/>
    </row>
    <row r="58" spans="1:16" ht="21" hidden="1" customHeight="1">
      <c r="A58" s="30">
        <v>55</v>
      </c>
      <c r="B58" s="27" t="str">
        <f>VLOOKUP(C58,'DATA '!$O:$P,2,0)</f>
        <v/>
      </c>
      <c r="C58" s="28" t="str">
        <f>'DATA '!O57</f>
        <v/>
      </c>
      <c r="D58" s="29" t="str">
        <f>IF(B58="DRIVER","",IF(B58="HELPER","",IF(B58="HOPPER",VLOOKUP('CONTRACT TOTAL (P)'!C58,'RJ ATTENDENCE SHEET'!$C:$I,7,0),IF(B58="LAB",VLOOKUP('CONTRACT TOTAL (P)'!C58,'RJ ATTENDENCE SHEET'!$C:$I,7,0),IF(B58="OTHERS",VLOOKUP('CONTRACT TOTAL (P)'!C58,'RJ ATTENDENCE SHEET'!$C:$I,7,0),"")))))</f>
        <v/>
      </c>
      <c r="E58" s="29" t="str">
        <f>IFERROR(D58/DAY(EOMONTH('RJ ATTENDENCE SHEET'!$A$1,0)),"")</f>
        <v/>
      </c>
      <c r="F58" s="29" t="str">
        <f>IF(B58="DRIVER",VLOOKUP('CONTRACT TOTAL (P)'!C58,'RJ ATTENDENCE SHEET'!$C:$W,8,0),IF(B58="HELPER",VLOOKUP('CONTRACT TOTAL (P)'!C58,'RJ ATTENDENCE SHEET'!$C:$W,8,0),IF(B58="HOPPER","",IF(B58="LAB","",IF(B58="OTHERS","","")))))</f>
        <v/>
      </c>
      <c r="G58" s="29" t="str">
        <f>IF(B58="DRIVER",VLOOKUP('CONTRACT TOTAL (P)'!C58,'RJ ATTENDENCE SHEET'!$C:$W,9,0),IF(B58="HELPER",VLOOKUP('CONTRACT TOTAL (P)'!C58,'RJ ATTENDENCE SHEET'!$C:$W,9,0),IF(B58="HOPPER","",IF(B58="LAB","",IF(B58="OTHERS","","")))))</f>
        <v/>
      </c>
      <c r="H58" s="29" t="str">
        <f>IFERROR(VLOOKUP(C58,'RJ ATTENDENCE SHEET'!$C:$V,20,0),"")</f>
        <v/>
      </c>
      <c r="I58" s="29" t="str">
        <f>IFERROR(VLOOKUP(C58,'RJ ATTENDENCE SHEET'!$C:$W,21,0),"")</f>
        <v/>
      </c>
      <c r="J58" s="34" t="str">
        <f t="shared" si="4"/>
        <v/>
      </c>
      <c r="K58" s="35" t="str">
        <f t="shared" si="5"/>
        <v/>
      </c>
      <c r="L58" s="34" t="str">
        <f t="shared" si="6"/>
        <v/>
      </c>
      <c r="M58" s="36" t="str">
        <f>IFERROR(VLOOKUP(C58,'RJ ATTENDENCE SHEET'!$C:$S,14,0),"")</f>
        <v/>
      </c>
      <c r="N58" s="36" t="str">
        <f t="shared" si="7"/>
        <v/>
      </c>
      <c r="O58" s="271"/>
      <c r="P58" s="272"/>
    </row>
    <row r="59" spans="1:16" ht="21" hidden="1" customHeight="1">
      <c r="A59" s="27">
        <v>56</v>
      </c>
      <c r="B59" s="27" t="str">
        <f>VLOOKUP(C59,'DATA '!$O:$P,2,0)</f>
        <v/>
      </c>
      <c r="C59" s="28" t="str">
        <f>'DATA '!O58</f>
        <v/>
      </c>
      <c r="D59" s="29" t="str">
        <f>IF(B59="DRIVER","",IF(B59="HELPER","",IF(B59="HOPPER",VLOOKUP('CONTRACT TOTAL (P)'!C59,'RJ ATTENDENCE SHEET'!$C:$I,7,0),IF(B59="LAB",VLOOKUP('CONTRACT TOTAL (P)'!C59,'RJ ATTENDENCE SHEET'!$C:$I,7,0),IF(B59="OTHERS",VLOOKUP('CONTRACT TOTAL (P)'!C59,'RJ ATTENDENCE SHEET'!$C:$I,7,0),"")))))</f>
        <v/>
      </c>
      <c r="E59" s="29" t="str">
        <f>IFERROR(D59/DAY(EOMONTH('RJ ATTENDENCE SHEET'!$A$1,0)),"")</f>
        <v/>
      </c>
      <c r="F59" s="29" t="str">
        <f>IF(B59="DRIVER",VLOOKUP('CONTRACT TOTAL (P)'!C59,'RJ ATTENDENCE SHEET'!$C:$W,8,0),IF(B59="HELPER",VLOOKUP('CONTRACT TOTAL (P)'!C59,'RJ ATTENDENCE SHEET'!$C:$W,8,0),IF(B59="HOPPER","",IF(B59="LAB","",IF(B59="OTHERS","","")))))</f>
        <v/>
      </c>
      <c r="G59" s="29" t="str">
        <f>IF(B59="DRIVER",VLOOKUP('CONTRACT TOTAL (P)'!C59,'RJ ATTENDENCE SHEET'!$C:$W,9,0),IF(B59="HELPER",VLOOKUP('CONTRACT TOTAL (P)'!C59,'RJ ATTENDENCE SHEET'!$C:$W,9,0),IF(B59="HOPPER","",IF(B59="LAB","",IF(B59="OTHERS","","")))))</f>
        <v/>
      </c>
      <c r="H59" s="29" t="str">
        <f>IFERROR(VLOOKUP(C59,'RJ ATTENDENCE SHEET'!$C:$V,20,0),"")</f>
        <v/>
      </c>
      <c r="I59" s="29" t="str">
        <f>IFERROR(VLOOKUP(C59,'RJ ATTENDENCE SHEET'!$C:$W,21,0),"")</f>
        <v/>
      </c>
      <c r="J59" s="34" t="str">
        <f t="shared" si="4"/>
        <v/>
      </c>
      <c r="K59" s="35" t="str">
        <f t="shared" si="5"/>
        <v/>
      </c>
      <c r="L59" s="34" t="str">
        <f t="shared" si="6"/>
        <v/>
      </c>
      <c r="M59" s="36" t="str">
        <f>IFERROR(VLOOKUP(C59,'RJ ATTENDENCE SHEET'!$C:$S,14,0),"")</f>
        <v/>
      </c>
      <c r="N59" s="36" t="str">
        <f t="shared" si="7"/>
        <v/>
      </c>
      <c r="O59" s="271"/>
      <c r="P59" s="272"/>
    </row>
    <row r="60" spans="1:16" ht="21" hidden="1" customHeight="1">
      <c r="A60" s="27">
        <v>57</v>
      </c>
      <c r="B60" s="27" t="str">
        <f>VLOOKUP(C60,'DATA '!$O:$P,2,0)</f>
        <v/>
      </c>
      <c r="C60" s="28" t="str">
        <f>'DATA '!O59</f>
        <v/>
      </c>
      <c r="D60" s="29" t="str">
        <f>IF(B60="DRIVER","",IF(B60="HELPER","",IF(B60="HOPPER",VLOOKUP('CONTRACT TOTAL (P)'!C60,'RJ ATTENDENCE SHEET'!$C:$I,7,0),IF(B60="LAB",VLOOKUP('CONTRACT TOTAL (P)'!C60,'RJ ATTENDENCE SHEET'!$C:$I,7,0),IF(B60="OTHERS",VLOOKUP('CONTRACT TOTAL (P)'!C60,'RJ ATTENDENCE SHEET'!$C:$I,7,0),"")))))</f>
        <v/>
      </c>
      <c r="E60" s="29" t="str">
        <f>IFERROR(D60/DAY(EOMONTH('RJ ATTENDENCE SHEET'!$A$1,0)),"")</f>
        <v/>
      </c>
      <c r="F60" s="29" t="str">
        <f>IF(B60="DRIVER",VLOOKUP('CONTRACT TOTAL (P)'!C60,'RJ ATTENDENCE SHEET'!$C:$W,8,0),IF(B60="HELPER",VLOOKUP('CONTRACT TOTAL (P)'!C60,'RJ ATTENDENCE SHEET'!$C:$W,8,0),IF(B60="HOPPER","",IF(B60="LAB","",IF(B60="OTHERS","","")))))</f>
        <v/>
      </c>
      <c r="G60" s="29" t="str">
        <f>IF(B60="DRIVER",VLOOKUP('CONTRACT TOTAL (P)'!C60,'RJ ATTENDENCE SHEET'!$C:$W,9,0),IF(B60="HELPER",VLOOKUP('CONTRACT TOTAL (P)'!C60,'RJ ATTENDENCE SHEET'!$C:$W,9,0),IF(B60="HOPPER","",IF(B60="LAB","",IF(B60="OTHERS","","")))))</f>
        <v/>
      </c>
      <c r="H60" s="29" t="str">
        <f>IFERROR(VLOOKUP(C60,'RJ ATTENDENCE SHEET'!$C:$V,20,0),"")</f>
        <v/>
      </c>
      <c r="I60" s="29" t="str">
        <f>IFERROR(VLOOKUP(C60,'RJ ATTENDENCE SHEET'!$C:$W,21,0),"")</f>
        <v/>
      </c>
      <c r="J60" s="34" t="str">
        <f t="shared" si="4"/>
        <v/>
      </c>
      <c r="K60" s="35" t="str">
        <f t="shared" si="5"/>
        <v/>
      </c>
      <c r="L60" s="34" t="str">
        <f t="shared" si="6"/>
        <v/>
      </c>
      <c r="M60" s="36" t="str">
        <f>IFERROR(VLOOKUP(C60,'RJ ATTENDENCE SHEET'!$C:$S,14,0),"")</f>
        <v/>
      </c>
      <c r="N60" s="36" t="str">
        <f t="shared" si="7"/>
        <v/>
      </c>
      <c r="O60" s="271"/>
      <c r="P60" s="272"/>
    </row>
    <row r="61" spans="1:16" ht="21" hidden="1" customHeight="1">
      <c r="A61" s="27">
        <v>58</v>
      </c>
      <c r="B61" s="27" t="str">
        <f>VLOOKUP(C61,'DATA '!$O:$P,2,0)</f>
        <v/>
      </c>
      <c r="C61" s="28" t="str">
        <f>'DATA '!O60</f>
        <v/>
      </c>
      <c r="D61" s="29" t="str">
        <f>IF(B61="DRIVER","",IF(B61="HELPER","",IF(B61="HOPPER",VLOOKUP('CONTRACT TOTAL (P)'!C61,'RJ ATTENDENCE SHEET'!$C:$I,7,0),IF(B61="LAB",VLOOKUP('CONTRACT TOTAL (P)'!C61,'RJ ATTENDENCE SHEET'!$C:$I,7,0),IF(B61="OTHERS",VLOOKUP('CONTRACT TOTAL (P)'!C61,'RJ ATTENDENCE SHEET'!$C:$I,7,0),"")))))</f>
        <v/>
      </c>
      <c r="E61" s="29" t="str">
        <f>IFERROR(D61/DAY(EOMONTH('RJ ATTENDENCE SHEET'!$A$1,0)),"")</f>
        <v/>
      </c>
      <c r="F61" s="29" t="str">
        <f>IF(B61="DRIVER",VLOOKUP('CONTRACT TOTAL (P)'!C61,'RJ ATTENDENCE SHEET'!$C:$W,8,0),IF(B61="HELPER",VLOOKUP('CONTRACT TOTAL (P)'!C61,'RJ ATTENDENCE SHEET'!$C:$W,8,0),IF(B61="HOPPER","",IF(B61="LAB","",IF(B61="OTHERS","","")))))</f>
        <v/>
      </c>
      <c r="G61" s="29" t="str">
        <f>IF(B61="DRIVER",VLOOKUP('CONTRACT TOTAL (P)'!C61,'RJ ATTENDENCE SHEET'!$C:$W,9,0),IF(B61="HELPER",VLOOKUP('CONTRACT TOTAL (P)'!C61,'RJ ATTENDENCE SHEET'!$C:$W,9,0),IF(B61="HOPPER","",IF(B61="LAB","",IF(B61="OTHERS","","")))))</f>
        <v/>
      </c>
      <c r="H61" s="29" t="str">
        <f>IFERROR(VLOOKUP(C61,'RJ ATTENDENCE SHEET'!$C:$V,20,0),"")</f>
        <v/>
      </c>
      <c r="I61" s="29" t="str">
        <f>IFERROR(VLOOKUP(C61,'RJ ATTENDENCE SHEET'!$C:$W,21,0),"")</f>
        <v/>
      </c>
      <c r="J61" s="34" t="str">
        <f t="shared" si="4"/>
        <v/>
      </c>
      <c r="K61" s="35" t="str">
        <f t="shared" si="5"/>
        <v/>
      </c>
      <c r="L61" s="34" t="str">
        <f t="shared" si="6"/>
        <v/>
      </c>
      <c r="M61" s="36" t="str">
        <f>IFERROR(VLOOKUP(C61,'RJ ATTENDENCE SHEET'!$C:$S,14,0),"")</f>
        <v/>
      </c>
      <c r="N61" s="36" t="str">
        <f t="shared" si="7"/>
        <v/>
      </c>
      <c r="O61" s="271"/>
      <c r="P61" s="272"/>
    </row>
    <row r="62" spans="1:16" ht="21" hidden="1" customHeight="1">
      <c r="A62" s="27">
        <v>59</v>
      </c>
      <c r="B62" s="27" t="str">
        <f>VLOOKUP(C62,'DATA '!$O:$P,2,0)</f>
        <v/>
      </c>
      <c r="C62" s="28" t="str">
        <f>'DATA '!O61</f>
        <v/>
      </c>
      <c r="D62" s="29" t="str">
        <f>IF(B62="DRIVER","",IF(B62="HELPER","",IF(B62="HOPPER",VLOOKUP('CONTRACT TOTAL (P)'!C62,'RJ ATTENDENCE SHEET'!$C:$I,7,0),IF(B62="LAB",VLOOKUP('CONTRACT TOTAL (P)'!C62,'RJ ATTENDENCE SHEET'!$C:$I,7,0),IF(B62="OTHERS",VLOOKUP('CONTRACT TOTAL (P)'!C62,'RJ ATTENDENCE SHEET'!$C:$I,7,0),"")))))</f>
        <v/>
      </c>
      <c r="E62" s="29" t="str">
        <f>IFERROR(D62/DAY(EOMONTH('RJ ATTENDENCE SHEET'!$A$1,0)),"")</f>
        <v/>
      </c>
      <c r="F62" s="29" t="str">
        <f>IF(B62="DRIVER",VLOOKUP('CONTRACT TOTAL (P)'!C62,'RJ ATTENDENCE SHEET'!$C:$W,8,0),IF(B62="HELPER",VLOOKUP('CONTRACT TOTAL (P)'!C62,'RJ ATTENDENCE SHEET'!$C:$W,8,0),IF(B62="HOPPER","",IF(B62="LAB","",IF(B62="OTHERS","","")))))</f>
        <v/>
      </c>
      <c r="G62" s="29" t="str">
        <f>IF(B62="DRIVER",VLOOKUP('CONTRACT TOTAL (P)'!C62,'RJ ATTENDENCE SHEET'!$C:$W,9,0),IF(B62="HELPER",VLOOKUP('CONTRACT TOTAL (P)'!C62,'RJ ATTENDENCE SHEET'!$C:$W,9,0),IF(B62="HOPPER","",IF(B62="LAB","",IF(B62="OTHERS","","")))))</f>
        <v/>
      </c>
      <c r="H62" s="29" t="str">
        <f>IFERROR(VLOOKUP(C62,'RJ ATTENDENCE SHEET'!$C:$V,20,0),"")</f>
        <v/>
      </c>
      <c r="I62" s="29" t="str">
        <f>IFERROR(VLOOKUP(C62,'RJ ATTENDENCE SHEET'!$C:$W,21,0),"")</f>
        <v/>
      </c>
      <c r="J62" s="34" t="str">
        <f t="shared" si="4"/>
        <v/>
      </c>
      <c r="K62" s="35" t="str">
        <f t="shared" si="5"/>
        <v/>
      </c>
      <c r="L62" s="34" t="str">
        <f t="shared" si="6"/>
        <v/>
      </c>
      <c r="M62" s="36" t="str">
        <f>IFERROR(VLOOKUP(C62,'RJ ATTENDENCE SHEET'!$C:$S,14,0),"")</f>
        <v/>
      </c>
      <c r="N62" s="36" t="str">
        <f t="shared" si="7"/>
        <v/>
      </c>
      <c r="O62" s="271"/>
      <c r="P62" s="272"/>
    </row>
    <row r="63" spans="1:16" ht="21" hidden="1" customHeight="1">
      <c r="A63" s="27">
        <v>60</v>
      </c>
      <c r="B63" s="27" t="str">
        <f>VLOOKUP(C63,'DATA '!$O:$P,2,0)</f>
        <v/>
      </c>
      <c r="C63" s="28" t="str">
        <f>'DATA '!O62</f>
        <v/>
      </c>
      <c r="D63" s="29" t="str">
        <f>IF(B63="DRIVER","",IF(B63="HELPER","",IF(B63="HOPPER",VLOOKUP('CONTRACT TOTAL (P)'!C63,'RJ ATTENDENCE SHEET'!$C:$I,7,0),IF(B63="LAB",VLOOKUP('CONTRACT TOTAL (P)'!C63,'RJ ATTENDENCE SHEET'!$C:$I,7,0),IF(B63="OTHERS",VLOOKUP('CONTRACT TOTAL (P)'!C63,'RJ ATTENDENCE SHEET'!$C:$I,7,0),"")))))</f>
        <v/>
      </c>
      <c r="E63" s="29" t="str">
        <f>IFERROR(D63/DAY(EOMONTH('RJ ATTENDENCE SHEET'!$A$1,0)),"")</f>
        <v/>
      </c>
      <c r="F63" s="29" t="str">
        <f>IF(B63="DRIVER",VLOOKUP('CONTRACT TOTAL (P)'!C63,'RJ ATTENDENCE SHEET'!$C:$W,8,0),IF(B63="HELPER",VLOOKUP('CONTRACT TOTAL (P)'!C63,'RJ ATTENDENCE SHEET'!$C:$W,8,0),IF(B63="HOPPER","",IF(B63="LAB","",IF(B63="OTHERS","","")))))</f>
        <v/>
      </c>
      <c r="G63" s="29" t="str">
        <f>IF(B63="DRIVER",VLOOKUP('CONTRACT TOTAL (P)'!C63,'RJ ATTENDENCE SHEET'!$C:$W,9,0),IF(B63="HELPER",VLOOKUP('CONTRACT TOTAL (P)'!C63,'RJ ATTENDENCE SHEET'!$C:$W,9,0),IF(B63="HOPPER","",IF(B63="LAB","",IF(B63="OTHERS","","")))))</f>
        <v/>
      </c>
      <c r="H63" s="29" t="str">
        <f>IFERROR(VLOOKUP(C63,'RJ ATTENDENCE SHEET'!$C:$V,20,0),"")</f>
        <v/>
      </c>
      <c r="I63" s="29" t="str">
        <f>IFERROR(VLOOKUP(C63,'RJ ATTENDENCE SHEET'!$C:$W,21,0),"")</f>
        <v/>
      </c>
      <c r="J63" s="34" t="str">
        <f t="shared" si="4"/>
        <v/>
      </c>
      <c r="K63" s="35" t="str">
        <f t="shared" si="5"/>
        <v/>
      </c>
      <c r="L63" s="34" t="str">
        <f t="shared" si="6"/>
        <v/>
      </c>
      <c r="M63" s="36" t="str">
        <f>IFERROR(VLOOKUP(C63,'RJ ATTENDENCE SHEET'!$C:$S,14,0),"")</f>
        <v/>
      </c>
      <c r="N63" s="36" t="str">
        <f t="shared" si="7"/>
        <v/>
      </c>
      <c r="O63" s="271"/>
      <c r="P63" s="272"/>
    </row>
    <row r="64" spans="1:16" ht="21" hidden="1" customHeight="1">
      <c r="A64" s="27">
        <v>61</v>
      </c>
      <c r="B64" s="27" t="str">
        <f>VLOOKUP(C64,'DATA '!$O:$P,2,0)</f>
        <v/>
      </c>
      <c r="C64" s="28" t="str">
        <f>'DATA '!O63</f>
        <v/>
      </c>
      <c r="D64" s="29" t="str">
        <f>IF(B64="DRIVER","",IF(B64="HELPER","",IF(B64="HOPPER",VLOOKUP('CONTRACT TOTAL (P)'!C64,'RJ ATTENDENCE SHEET'!$C:$I,7,0),IF(B64="LAB",VLOOKUP('CONTRACT TOTAL (P)'!C64,'RJ ATTENDENCE SHEET'!$C:$I,7,0),IF(B64="OTHERS",VLOOKUP('CONTRACT TOTAL (P)'!C64,'RJ ATTENDENCE SHEET'!$C:$I,7,0),"")))))</f>
        <v/>
      </c>
      <c r="E64" s="29" t="str">
        <f>IFERROR(D64/DAY(EOMONTH('RJ ATTENDENCE SHEET'!$A$1,0)),"")</f>
        <v/>
      </c>
      <c r="F64" s="29" t="str">
        <f>IF(B64="DRIVER",VLOOKUP('CONTRACT TOTAL (P)'!C64,'RJ ATTENDENCE SHEET'!$C:$W,8,0),IF(B64="HELPER",VLOOKUP('CONTRACT TOTAL (P)'!C64,'RJ ATTENDENCE SHEET'!$C:$W,8,0),IF(B64="HOPPER","",IF(B64="LAB","",IF(B64="OTHERS","","")))))</f>
        <v/>
      </c>
      <c r="G64" s="29" t="str">
        <f>IF(B64="DRIVER",VLOOKUP('CONTRACT TOTAL (P)'!C64,'RJ ATTENDENCE SHEET'!$C:$W,9,0),IF(B64="HELPER",VLOOKUP('CONTRACT TOTAL (P)'!C64,'RJ ATTENDENCE SHEET'!$C:$W,9,0),IF(B64="HOPPER","",IF(B64="LAB","",IF(B64="OTHERS","","")))))</f>
        <v/>
      </c>
      <c r="H64" s="29" t="str">
        <f>IFERROR(VLOOKUP(C64,'RJ ATTENDENCE SHEET'!$C:$V,20,0),"")</f>
        <v/>
      </c>
      <c r="I64" s="29" t="str">
        <f>IFERROR(VLOOKUP(C64,'RJ ATTENDENCE SHEET'!$C:$W,21,0),"")</f>
        <v/>
      </c>
      <c r="J64" s="34" t="str">
        <f t="shared" si="4"/>
        <v/>
      </c>
      <c r="K64" s="35" t="str">
        <f t="shared" si="5"/>
        <v/>
      </c>
      <c r="L64" s="34" t="str">
        <f t="shared" si="6"/>
        <v/>
      </c>
      <c r="M64" s="36" t="str">
        <f>IFERROR(VLOOKUP(C64,'RJ ATTENDENCE SHEET'!$C:$S,14,0),"")</f>
        <v/>
      </c>
      <c r="N64" s="36" t="str">
        <f t="shared" si="7"/>
        <v/>
      </c>
      <c r="O64" s="271"/>
      <c r="P64" s="272"/>
    </row>
    <row r="65" spans="1:16" ht="21" hidden="1" customHeight="1">
      <c r="A65" s="30">
        <v>62</v>
      </c>
      <c r="B65" s="27" t="str">
        <f>VLOOKUP(C65,'DATA '!$O:$P,2,0)</f>
        <v/>
      </c>
      <c r="C65" s="28" t="str">
        <f>'DATA '!O64</f>
        <v/>
      </c>
      <c r="D65" s="29" t="str">
        <f>IF(B65="DRIVER","",IF(B65="HELPER","",IF(B65="HOPPER",VLOOKUP('CONTRACT TOTAL (P)'!C65,'RJ ATTENDENCE SHEET'!$C:$I,7,0),IF(B65="LAB",VLOOKUP('CONTRACT TOTAL (P)'!C65,'RJ ATTENDENCE SHEET'!$C:$I,7,0),IF(B65="OTHERS",VLOOKUP('CONTRACT TOTAL (P)'!C65,'RJ ATTENDENCE SHEET'!$C:$I,7,0),"")))))</f>
        <v/>
      </c>
      <c r="E65" s="29" t="str">
        <f>IFERROR(D65/DAY(EOMONTH('RJ ATTENDENCE SHEET'!$A$1,0)),"")</f>
        <v/>
      </c>
      <c r="F65" s="29" t="str">
        <f>IF(B65="DRIVER",VLOOKUP('CONTRACT TOTAL (P)'!C65,'RJ ATTENDENCE SHEET'!$C:$W,8,0),IF(B65="HELPER",VLOOKUP('CONTRACT TOTAL (P)'!C65,'RJ ATTENDENCE SHEET'!$C:$W,8,0),IF(B65="HOPPER","",IF(B65="LAB","",IF(B65="OTHERS","","")))))</f>
        <v/>
      </c>
      <c r="G65" s="29" t="str">
        <f>IF(B65="DRIVER",VLOOKUP('CONTRACT TOTAL (P)'!C65,'RJ ATTENDENCE SHEET'!$C:$W,9,0),IF(B65="HELPER",VLOOKUP('CONTRACT TOTAL (P)'!C65,'RJ ATTENDENCE SHEET'!$C:$W,9,0),IF(B65="HOPPER","",IF(B65="LAB","",IF(B65="OTHERS","","")))))</f>
        <v/>
      </c>
      <c r="H65" s="29" t="str">
        <f>IFERROR(VLOOKUP(C65,'RJ ATTENDENCE SHEET'!$C:$V,20,0),"")</f>
        <v/>
      </c>
      <c r="I65" s="29" t="str">
        <f>IFERROR(VLOOKUP(C65,'RJ ATTENDENCE SHEET'!$C:$W,21,0),"")</f>
        <v/>
      </c>
      <c r="J65" s="34" t="str">
        <f t="shared" si="4"/>
        <v/>
      </c>
      <c r="K65" s="35" t="str">
        <f t="shared" si="5"/>
        <v/>
      </c>
      <c r="L65" s="34" t="str">
        <f t="shared" si="6"/>
        <v/>
      </c>
      <c r="M65" s="36" t="str">
        <f>IFERROR(VLOOKUP(C65,'RJ ATTENDENCE SHEET'!$C:$S,14,0),"")</f>
        <v/>
      </c>
      <c r="N65" s="36" t="str">
        <f t="shared" si="7"/>
        <v/>
      </c>
      <c r="O65" s="271"/>
      <c r="P65" s="272"/>
    </row>
    <row r="66" spans="1:16" ht="21" hidden="1" customHeight="1">
      <c r="A66" s="27">
        <v>63</v>
      </c>
      <c r="B66" s="27" t="str">
        <f>VLOOKUP(C66,'DATA '!$O:$P,2,0)</f>
        <v/>
      </c>
      <c r="C66" s="28" t="str">
        <f>'DATA '!O65</f>
        <v/>
      </c>
      <c r="D66" s="29" t="str">
        <f>IF(B66="DRIVER","",IF(B66="HELPER","",IF(B66="HOPPER",VLOOKUP('CONTRACT TOTAL (P)'!C66,'RJ ATTENDENCE SHEET'!$C:$I,7,0),IF(B66="LAB",VLOOKUP('CONTRACT TOTAL (P)'!C66,'RJ ATTENDENCE SHEET'!$C:$I,7,0),IF(B66="OTHERS",VLOOKUP('CONTRACT TOTAL (P)'!C66,'RJ ATTENDENCE SHEET'!$C:$I,7,0),"")))))</f>
        <v/>
      </c>
      <c r="E66" s="29" t="str">
        <f>IFERROR(D66/DAY(EOMONTH('RJ ATTENDENCE SHEET'!$A$1,0)),"")</f>
        <v/>
      </c>
      <c r="F66" s="29" t="str">
        <f>IF(B66="DRIVER",VLOOKUP('CONTRACT TOTAL (P)'!C66,'RJ ATTENDENCE SHEET'!$C:$W,8,0),IF(B66="HELPER",VLOOKUP('CONTRACT TOTAL (P)'!C66,'RJ ATTENDENCE SHEET'!$C:$W,8,0),IF(B66="HOPPER","",IF(B66="LAB","",IF(B66="OTHERS","","")))))</f>
        <v/>
      </c>
      <c r="G66" s="29" t="str">
        <f>IF(B66="DRIVER",VLOOKUP('CONTRACT TOTAL (P)'!C66,'RJ ATTENDENCE SHEET'!$C:$W,9,0),IF(B66="HELPER",VLOOKUP('CONTRACT TOTAL (P)'!C66,'RJ ATTENDENCE SHEET'!$C:$W,9,0),IF(B66="HOPPER","",IF(B66="LAB","",IF(B66="OTHERS","","")))))</f>
        <v/>
      </c>
      <c r="H66" s="29" t="str">
        <f>IFERROR(VLOOKUP(C66,'RJ ATTENDENCE SHEET'!$C:$V,20,0),"")</f>
        <v/>
      </c>
      <c r="I66" s="29" t="str">
        <f>IFERROR(VLOOKUP(C66,'RJ ATTENDENCE SHEET'!$C:$W,21,0),"")</f>
        <v/>
      </c>
      <c r="J66" s="34" t="str">
        <f t="shared" ref="J66:J74" si="8">IFERROR(F66*H66,"")</f>
        <v/>
      </c>
      <c r="K66" s="35" t="str">
        <f t="shared" ref="K66:K74" si="9">IFERROR(G66*I66,"")</f>
        <v/>
      </c>
      <c r="L66" s="34" t="str">
        <f t="shared" ref="L66:L74" si="10">IF(B66="DRIVER",(J66+K66),IF(B66="HELPER",(J66+K66),IF(B66="HOPPER",(E66*H66),IF(B66="LAB",(E66*H66),IF(B66="OTHERS",(E66*H66),"")))))</f>
        <v/>
      </c>
      <c r="M66" s="36" t="str">
        <f>IFERROR(VLOOKUP(C66,'RJ ATTENDENCE SHEET'!$C:$S,14,0),"")</f>
        <v/>
      </c>
      <c r="N66" s="36" t="str">
        <f t="shared" ref="N66:N74" si="11">IFERROR(L66-M66,"")</f>
        <v/>
      </c>
      <c r="O66" s="271"/>
      <c r="P66" s="272"/>
    </row>
    <row r="67" spans="1:16" ht="21" hidden="1" customHeight="1">
      <c r="A67" s="30">
        <v>64</v>
      </c>
      <c r="B67" s="27" t="str">
        <f>VLOOKUP(C67,'DATA '!$O:$P,2,0)</f>
        <v/>
      </c>
      <c r="C67" s="28" t="str">
        <f>'DATA '!O66</f>
        <v/>
      </c>
      <c r="D67" s="29" t="str">
        <f>IF(B67="DRIVER","",IF(B67="HELPER","",IF(B67="HOPPER",VLOOKUP('CONTRACT TOTAL (P)'!C67,'RJ ATTENDENCE SHEET'!$C:$I,7,0),IF(B67="LAB",VLOOKUP('CONTRACT TOTAL (P)'!C67,'RJ ATTENDENCE SHEET'!$C:$I,7,0),IF(B67="OTHERS",VLOOKUP('CONTRACT TOTAL (P)'!C67,'RJ ATTENDENCE SHEET'!$C:$I,7,0),"")))))</f>
        <v/>
      </c>
      <c r="E67" s="29" t="str">
        <f>IFERROR(D67/DAY(EOMONTH('RJ ATTENDENCE SHEET'!$A$1,0)),"")</f>
        <v/>
      </c>
      <c r="F67" s="29" t="str">
        <f>IF(B67="DRIVER",VLOOKUP('CONTRACT TOTAL (P)'!C67,'RJ ATTENDENCE SHEET'!$C:$W,8,0),IF(B67="HELPER",VLOOKUP('CONTRACT TOTAL (P)'!C67,'RJ ATTENDENCE SHEET'!$C:$W,8,0),IF(B67="HOPPER","",IF(B67="LAB","",IF(B67="OTHERS","","")))))</f>
        <v/>
      </c>
      <c r="G67" s="29" t="str">
        <f>IF(B67="DRIVER",VLOOKUP('CONTRACT TOTAL (P)'!C67,'RJ ATTENDENCE SHEET'!$C:$W,9,0),IF(B67="HELPER",VLOOKUP('CONTRACT TOTAL (P)'!C67,'RJ ATTENDENCE SHEET'!$C:$W,9,0),IF(B67="HOPPER","",IF(B67="LAB","",IF(B67="OTHERS","","")))))</f>
        <v/>
      </c>
      <c r="H67" s="29" t="str">
        <f>IFERROR(VLOOKUP(C67,'RJ ATTENDENCE SHEET'!$C:$V,20,0),"")</f>
        <v/>
      </c>
      <c r="I67" s="29" t="str">
        <f>IFERROR(VLOOKUP(C67,'RJ ATTENDENCE SHEET'!$C:$W,21,0),"")</f>
        <v/>
      </c>
      <c r="J67" s="34" t="str">
        <f t="shared" si="8"/>
        <v/>
      </c>
      <c r="K67" s="35" t="str">
        <f t="shared" si="9"/>
        <v/>
      </c>
      <c r="L67" s="34" t="str">
        <f t="shared" si="10"/>
        <v/>
      </c>
      <c r="M67" s="36" t="str">
        <f>IFERROR(VLOOKUP(C67,'RJ ATTENDENCE SHEET'!$C:$S,14,0),"")</f>
        <v/>
      </c>
      <c r="N67" s="36" t="str">
        <f t="shared" si="11"/>
        <v/>
      </c>
      <c r="O67" s="271"/>
      <c r="P67" s="272"/>
    </row>
    <row r="68" spans="1:16" ht="21" hidden="1" customHeight="1">
      <c r="A68" s="27">
        <v>65</v>
      </c>
      <c r="B68" s="27" t="str">
        <f>VLOOKUP(C68,'DATA '!$O:$P,2,0)</f>
        <v/>
      </c>
      <c r="C68" s="28" t="str">
        <f>'DATA '!O67</f>
        <v/>
      </c>
      <c r="D68" s="29" t="str">
        <f>IF(B68="DRIVER","",IF(B68="HELPER","",IF(B68="HOPPER",VLOOKUP('CONTRACT TOTAL (P)'!C68,'RJ ATTENDENCE SHEET'!$C:$I,7,0),IF(B68="LAB",VLOOKUP('CONTRACT TOTAL (P)'!C68,'RJ ATTENDENCE SHEET'!$C:$I,7,0),IF(B68="OTHERS",VLOOKUP('CONTRACT TOTAL (P)'!C68,'RJ ATTENDENCE SHEET'!$C:$I,7,0),"")))))</f>
        <v/>
      </c>
      <c r="E68" s="29" t="str">
        <f>IFERROR(D68/DAY(EOMONTH('RJ ATTENDENCE SHEET'!$A$1,0)),"")</f>
        <v/>
      </c>
      <c r="F68" s="29" t="str">
        <f>IF(B68="DRIVER",VLOOKUP('CONTRACT TOTAL (P)'!C68,'RJ ATTENDENCE SHEET'!$C:$W,8,0),IF(B68="HELPER",VLOOKUP('CONTRACT TOTAL (P)'!C68,'RJ ATTENDENCE SHEET'!$C:$W,8,0),IF(B68="HOPPER","",IF(B68="LAB","",IF(B68="OTHERS","","")))))</f>
        <v/>
      </c>
      <c r="G68" s="29" t="str">
        <f>IF(B68="DRIVER",VLOOKUP('CONTRACT TOTAL (P)'!C68,'RJ ATTENDENCE SHEET'!$C:$W,9,0),IF(B68="HELPER",VLOOKUP('CONTRACT TOTAL (P)'!C68,'RJ ATTENDENCE SHEET'!$C:$W,9,0),IF(B68="HOPPER","",IF(B68="LAB","",IF(B68="OTHERS","","")))))</f>
        <v/>
      </c>
      <c r="H68" s="29" t="str">
        <f>IFERROR(VLOOKUP(C68,'RJ ATTENDENCE SHEET'!$C:$V,20,0),"")</f>
        <v/>
      </c>
      <c r="I68" s="29" t="str">
        <f>IFERROR(VLOOKUP(C68,'RJ ATTENDENCE SHEET'!$C:$W,21,0),"")</f>
        <v/>
      </c>
      <c r="J68" s="34" t="str">
        <f t="shared" si="8"/>
        <v/>
      </c>
      <c r="K68" s="35" t="str">
        <f t="shared" si="9"/>
        <v/>
      </c>
      <c r="L68" s="34" t="str">
        <f t="shared" si="10"/>
        <v/>
      </c>
      <c r="M68" s="36" t="str">
        <f>IFERROR(VLOOKUP(C68,'RJ ATTENDENCE SHEET'!$C:$S,14,0),"")</f>
        <v/>
      </c>
      <c r="N68" s="36" t="str">
        <f t="shared" si="11"/>
        <v/>
      </c>
      <c r="O68" s="271"/>
      <c r="P68" s="272"/>
    </row>
    <row r="69" spans="1:16" ht="21" hidden="1" customHeight="1">
      <c r="A69" s="30">
        <v>66</v>
      </c>
      <c r="B69" s="27" t="str">
        <f>VLOOKUP(C69,'DATA '!$O:$P,2,0)</f>
        <v/>
      </c>
      <c r="C69" s="28" t="str">
        <f>'DATA '!O68</f>
        <v/>
      </c>
      <c r="D69" s="29" t="str">
        <f>IF(B69="DRIVER","",IF(B69="HELPER","",IF(B69="HOPPER",VLOOKUP('CONTRACT TOTAL (P)'!C69,'RJ ATTENDENCE SHEET'!$C:$I,7,0),IF(B69="LAB",VLOOKUP('CONTRACT TOTAL (P)'!C69,'RJ ATTENDENCE SHEET'!$C:$I,7,0),IF(B69="OTHERS",VLOOKUP('CONTRACT TOTAL (P)'!C69,'RJ ATTENDENCE SHEET'!$C:$I,7,0),"")))))</f>
        <v/>
      </c>
      <c r="E69" s="29" t="str">
        <f>IFERROR(D69/DAY(EOMONTH('RJ ATTENDENCE SHEET'!$A$1,0)),"")</f>
        <v/>
      </c>
      <c r="F69" s="29" t="str">
        <f>IF(B69="DRIVER",VLOOKUP('CONTRACT TOTAL (P)'!C69,'RJ ATTENDENCE SHEET'!$C:$W,8,0),IF(B69="HELPER",VLOOKUP('CONTRACT TOTAL (P)'!C69,'RJ ATTENDENCE SHEET'!$C:$W,8,0),IF(B69="HOPPER","",IF(B69="LAB","",IF(B69="OTHERS","","")))))</f>
        <v/>
      </c>
      <c r="G69" s="29" t="str">
        <f>IF(B69="DRIVER",VLOOKUP('CONTRACT TOTAL (P)'!C69,'RJ ATTENDENCE SHEET'!$C:$W,9,0),IF(B69="HELPER",VLOOKUP('CONTRACT TOTAL (P)'!C69,'RJ ATTENDENCE SHEET'!$C:$W,9,0),IF(B69="HOPPER","",IF(B69="LAB","",IF(B69="OTHERS","","")))))</f>
        <v/>
      </c>
      <c r="H69" s="29" t="str">
        <f>IFERROR(VLOOKUP(C69,'RJ ATTENDENCE SHEET'!$C:$V,20,0),"")</f>
        <v/>
      </c>
      <c r="I69" s="29" t="str">
        <f>IFERROR(VLOOKUP(C69,'RJ ATTENDENCE SHEET'!$C:$W,21,0),"")</f>
        <v/>
      </c>
      <c r="J69" s="34" t="str">
        <f t="shared" si="8"/>
        <v/>
      </c>
      <c r="K69" s="35" t="str">
        <f t="shared" si="9"/>
        <v/>
      </c>
      <c r="L69" s="34" t="str">
        <f t="shared" si="10"/>
        <v/>
      </c>
      <c r="M69" s="36" t="str">
        <f>IFERROR(VLOOKUP(C69,'RJ ATTENDENCE SHEET'!$C:$S,14,0),"")</f>
        <v/>
      </c>
      <c r="N69" s="36" t="str">
        <f t="shared" si="11"/>
        <v/>
      </c>
      <c r="O69" s="271"/>
      <c r="P69" s="272"/>
    </row>
    <row r="70" spans="1:16" ht="21" hidden="1" customHeight="1">
      <c r="A70" s="27">
        <v>67</v>
      </c>
      <c r="B70" s="27" t="str">
        <f>VLOOKUP(C70,'DATA '!$O:$P,2,0)</f>
        <v/>
      </c>
      <c r="C70" s="28" t="str">
        <f>'DATA '!O69</f>
        <v/>
      </c>
      <c r="D70" s="29" t="str">
        <f>IF(B70="DRIVER","",IF(B70="HELPER","",IF(B70="HOPPER",VLOOKUP('CONTRACT TOTAL (P)'!C70,'RJ ATTENDENCE SHEET'!$C:$I,7,0),IF(B70="LAB",VLOOKUP('CONTRACT TOTAL (P)'!C70,'RJ ATTENDENCE SHEET'!$C:$I,7,0),IF(B70="OTHERS",VLOOKUP('CONTRACT TOTAL (P)'!C70,'RJ ATTENDENCE SHEET'!$C:$I,7,0),"")))))</f>
        <v/>
      </c>
      <c r="E70" s="29" t="str">
        <f>IFERROR(D70/DAY(EOMONTH('RJ ATTENDENCE SHEET'!$A$1,0)),"")</f>
        <v/>
      </c>
      <c r="F70" s="29" t="str">
        <f>IF(B70="DRIVER",VLOOKUP('CONTRACT TOTAL (P)'!C70,'RJ ATTENDENCE SHEET'!$C:$W,8,0),IF(B70="HELPER",VLOOKUP('CONTRACT TOTAL (P)'!C70,'RJ ATTENDENCE SHEET'!$C:$W,8,0),IF(B70="HOPPER","",IF(B70="LAB","",IF(B70="OTHERS","","")))))</f>
        <v/>
      </c>
      <c r="G70" s="29" t="str">
        <f>IF(B70="DRIVER",VLOOKUP('CONTRACT TOTAL (P)'!C70,'RJ ATTENDENCE SHEET'!$C:$W,9,0),IF(B70="HELPER",VLOOKUP('CONTRACT TOTAL (P)'!C70,'RJ ATTENDENCE SHEET'!$C:$W,9,0),IF(B70="HOPPER","",IF(B70="LAB","",IF(B70="OTHERS","","")))))</f>
        <v/>
      </c>
      <c r="H70" s="29" t="str">
        <f>IFERROR(VLOOKUP(C70,'RJ ATTENDENCE SHEET'!$C:$V,20,0),"")</f>
        <v/>
      </c>
      <c r="I70" s="29" t="str">
        <f>IFERROR(VLOOKUP(C70,'RJ ATTENDENCE SHEET'!$C:$W,21,0),"")</f>
        <v/>
      </c>
      <c r="J70" s="34" t="str">
        <f t="shared" si="8"/>
        <v/>
      </c>
      <c r="K70" s="35" t="str">
        <f t="shared" si="9"/>
        <v/>
      </c>
      <c r="L70" s="34" t="str">
        <f t="shared" si="10"/>
        <v/>
      </c>
      <c r="M70" s="36" t="str">
        <f>IFERROR(VLOOKUP(C70,'RJ ATTENDENCE SHEET'!$C:$S,14,0),"")</f>
        <v/>
      </c>
      <c r="N70" s="36" t="str">
        <f t="shared" si="11"/>
        <v/>
      </c>
      <c r="O70" s="271"/>
      <c r="P70" s="272"/>
    </row>
    <row r="71" spans="1:16" ht="21" hidden="1" customHeight="1">
      <c r="A71" s="30">
        <v>68</v>
      </c>
      <c r="B71" s="27" t="str">
        <f>VLOOKUP(C71,'DATA '!$O:$P,2,0)</f>
        <v/>
      </c>
      <c r="C71" s="28" t="str">
        <f>'DATA '!O70</f>
        <v/>
      </c>
      <c r="D71" s="29" t="str">
        <f>IF(B71="DRIVER","",IF(B71="HELPER","",IF(B71="HOPPER",VLOOKUP('CONTRACT TOTAL (P)'!C71,'RJ ATTENDENCE SHEET'!$C:$I,7,0),IF(B71="LAB",VLOOKUP('CONTRACT TOTAL (P)'!C71,'RJ ATTENDENCE SHEET'!$C:$I,7,0),IF(B71="OTHERS",VLOOKUP('CONTRACT TOTAL (P)'!C71,'RJ ATTENDENCE SHEET'!$C:$I,7,0),"")))))</f>
        <v/>
      </c>
      <c r="E71" s="29" t="str">
        <f>IFERROR(D71/DAY(EOMONTH('RJ ATTENDENCE SHEET'!$A$1,0)),"")</f>
        <v/>
      </c>
      <c r="F71" s="29" t="str">
        <f>IF(B71="DRIVER",VLOOKUP('CONTRACT TOTAL (P)'!C71,'RJ ATTENDENCE SHEET'!$C:$W,8,0),IF(B71="HELPER",VLOOKUP('CONTRACT TOTAL (P)'!C71,'RJ ATTENDENCE SHEET'!$C:$W,8,0),IF(B71="HOPPER","",IF(B71="LAB","",IF(B71="OTHERS","","")))))</f>
        <v/>
      </c>
      <c r="G71" s="29" t="str">
        <f>IF(B71="DRIVER",VLOOKUP('CONTRACT TOTAL (P)'!C71,'RJ ATTENDENCE SHEET'!$C:$W,9,0),IF(B71="HELPER",VLOOKUP('CONTRACT TOTAL (P)'!C71,'RJ ATTENDENCE SHEET'!$C:$W,9,0),IF(B71="HOPPER","",IF(B71="LAB","",IF(B71="OTHERS","","")))))</f>
        <v/>
      </c>
      <c r="H71" s="29" t="str">
        <f>IFERROR(VLOOKUP(C71,'RJ ATTENDENCE SHEET'!$C:$V,20,0),"")</f>
        <v/>
      </c>
      <c r="I71" s="29" t="str">
        <f>IFERROR(VLOOKUP(C71,'RJ ATTENDENCE SHEET'!$C:$W,21,0),"")</f>
        <v/>
      </c>
      <c r="J71" s="34" t="str">
        <f t="shared" si="8"/>
        <v/>
      </c>
      <c r="K71" s="35" t="str">
        <f t="shared" si="9"/>
        <v/>
      </c>
      <c r="L71" s="34" t="str">
        <f t="shared" si="10"/>
        <v/>
      </c>
      <c r="M71" s="36" t="str">
        <f>IFERROR(VLOOKUP(C71,'RJ ATTENDENCE SHEET'!$C:$S,14,0),"")</f>
        <v/>
      </c>
      <c r="N71" s="36" t="str">
        <f t="shared" si="11"/>
        <v/>
      </c>
      <c r="O71" s="271"/>
      <c r="P71" s="272"/>
    </row>
    <row r="72" spans="1:16" ht="21" hidden="1" customHeight="1">
      <c r="A72" s="27">
        <v>69</v>
      </c>
      <c r="B72" s="27" t="str">
        <f>VLOOKUP(C72,'DATA '!$O:$P,2,0)</f>
        <v/>
      </c>
      <c r="C72" s="28" t="str">
        <f>'DATA '!O71</f>
        <v/>
      </c>
      <c r="D72" s="29" t="str">
        <f>IF(B72="DRIVER","",IF(B72="HELPER","",IF(B72="HOPPER",VLOOKUP('CONTRACT TOTAL (P)'!C72,'RJ ATTENDENCE SHEET'!$C:$I,7,0),IF(B72="LAB",VLOOKUP('CONTRACT TOTAL (P)'!C72,'RJ ATTENDENCE SHEET'!$C:$I,7,0),IF(B72="OTHERS",VLOOKUP('CONTRACT TOTAL (P)'!C72,'RJ ATTENDENCE SHEET'!$C:$I,7,0),"")))))</f>
        <v/>
      </c>
      <c r="E72" s="29" t="str">
        <f>IFERROR(D72/DAY(EOMONTH('RJ ATTENDENCE SHEET'!$A$1,0)),"")</f>
        <v/>
      </c>
      <c r="F72" s="29" t="str">
        <f>IF(B72="DRIVER",VLOOKUP('CONTRACT TOTAL (P)'!C72,'RJ ATTENDENCE SHEET'!$C:$W,8,0),IF(B72="HELPER",VLOOKUP('CONTRACT TOTAL (P)'!C72,'RJ ATTENDENCE SHEET'!$C:$W,8,0),IF(B72="HOPPER","",IF(B72="LAB","",IF(B72="OTHERS","","")))))</f>
        <v/>
      </c>
      <c r="G72" s="29" t="str">
        <f>IF(B72="DRIVER",VLOOKUP('CONTRACT TOTAL (P)'!C72,'RJ ATTENDENCE SHEET'!$C:$W,9,0),IF(B72="HELPER",VLOOKUP('CONTRACT TOTAL (P)'!C72,'RJ ATTENDENCE SHEET'!$C:$W,9,0),IF(B72="HOPPER","",IF(B72="LAB","",IF(B72="OTHERS","","")))))</f>
        <v/>
      </c>
      <c r="H72" s="29" t="str">
        <f>IFERROR(VLOOKUP(C72,'RJ ATTENDENCE SHEET'!$C:$V,20,0),"")</f>
        <v/>
      </c>
      <c r="I72" s="29" t="str">
        <f>IFERROR(VLOOKUP(C72,'RJ ATTENDENCE SHEET'!$C:$W,21,0),"")</f>
        <v/>
      </c>
      <c r="J72" s="34" t="str">
        <f t="shared" si="8"/>
        <v/>
      </c>
      <c r="K72" s="35" t="str">
        <f t="shared" si="9"/>
        <v/>
      </c>
      <c r="L72" s="34" t="str">
        <f t="shared" si="10"/>
        <v/>
      </c>
      <c r="M72" s="36" t="str">
        <f>IFERROR(VLOOKUP(C72,'RJ ATTENDENCE SHEET'!$C:$S,14,0),"")</f>
        <v/>
      </c>
      <c r="N72" s="36" t="str">
        <f t="shared" si="11"/>
        <v/>
      </c>
      <c r="O72" s="271"/>
      <c r="P72" s="272"/>
    </row>
    <row r="73" spans="1:16" ht="21" hidden="1" customHeight="1">
      <c r="A73" s="30">
        <v>70</v>
      </c>
      <c r="B73" s="27" t="str">
        <f>VLOOKUP(C73,'DATA '!$O:$P,2,0)</f>
        <v/>
      </c>
      <c r="C73" s="28" t="str">
        <f>'DATA '!O72</f>
        <v/>
      </c>
      <c r="D73" s="29" t="str">
        <f>IF(B73="DRIVER","",IF(B73="HELPER","",IF(B73="HOPPER",VLOOKUP('CONTRACT TOTAL (P)'!C73,'RJ ATTENDENCE SHEET'!$C:$I,7,0),IF(B73="LAB",VLOOKUP('CONTRACT TOTAL (P)'!C73,'RJ ATTENDENCE SHEET'!$C:$I,7,0),IF(B73="OTHERS",VLOOKUP('CONTRACT TOTAL (P)'!C73,'RJ ATTENDENCE SHEET'!$C:$I,7,0),"")))))</f>
        <v/>
      </c>
      <c r="E73" s="29" t="str">
        <f>IFERROR(D73/DAY(EOMONTH('RJ ATTENDENCE SHEET'!$A$1,0)),"")</f>
        <v/>
      </c>
      <c r="F73" s="29" t="str">
        <f>IF(B73="DRIVER",VLOOKUP('CONTRACT TOTAL (P)'!C73,'RJ ATTENDENCE SHEET'!$C:$W,8,0),IF(B73="HELPER",VLOOKUP('CONTRACT TOTAL (P)'!C73,'RJ ATTENDENCE SHEET'!$C:$W,8,0),IF(B73="HOPPER","",IF(B73="LAB","",IF(B73="OTHERS","","")))))</f>
        <v/>
      </c>
      <c r="G73" s="29" t="str">
        <f>IF(B73="DRIVER",VLOOKUP('CONTRACT TOTAL (P)'!C73,'RJ ATTENDENCE SHEET'!$C:$W,9,0),IF(B73="HELPER",VLOOKUP('CONTRACT TOTAL (P)'!C73,'RJ ATTENDENCE SHEET'!$C:$W,9,0),IF(B73="HOPPER","",IF(B73="LAB","",IF(B73="OTHERS","","")))))</f>
        <v/>
      </c>
      <c r="H73" s="29" t="str">
        <f>IFERROR(VLOOKUP(C73,'RJ ATTENDENCE SHEET'!$C:$V,20,0),"")</f>
        <v/>
      </c>
      <c r="I73" s="29" t="str">
        <f>IFERROR(VLOOKUP(C73,'RJ ATTENDENCE SHEET'!$C:$W,21,0),"")</f>
        <v/>
      </c>
      <c r="J73" s="34" t="str">
        <f t="shared" si="8"/>
        <v/>
      </c>
      <c r="K73" s="35" t="str">
        <f t="shared" si="9"/>
        <v/>
      </c>
      <c r="L73" s="34" t="str">
        <f t="shared" si="10"/>
        <v/>
      </c>
      <c r="M73" s="36" t="str">
        <f>IFERROR(VLOOKUP(C73,'RJ ATTENDENCE SHEET'!$C:$S,14,0),"")</f>
        <v/>
      </c>
      <c r="N73" s="36" t="str">
        <f t="shared" si="11"/>
        <v/>
      </c>
      <c r="O73" s="271"/>
      <c r="P73" s="272"/>
    </row>
    <row r="74" spans="1:16" ht="21" hidden="1" customHeight="1">
      <c r="A74" s="27">
        <v>71</v>
      </c>
      <c r="B74" s="27" t="str">
        <f>VLOOKUP(C74,'DATA '!$O:$P,2,0)</f>
        <v/>
      </c>
      <c r="C74" s="28" t="str">
        <f>'DATA '!O73</f>
        <v/>
      </c>
      <c r="D74" s="29" t="str">
        <f>IF(B74="DRIVER","",IF(B74="HELPER","",IF(B74="HOPPER",VLOOKUP('CONTRACT TOTAL (P)'!C74,'RJ ATTENDENCE SHEET'!$C:$I,7,0),IF(B74="LAB",VLOOKUP('CONTRACT TOTAL (P)'!C74,'RJ ATTENDENCE SHEET'!$C:$I,7,0),IF(B74="OTHERS",VLOOKUP('CONTRACT TOTAL (P)'!C74,'RJ ATTENDENCE SHEET'!$C:$I,7,0),"")))))</f>
        <v/>
      </c>
      <c r="E74" s="29" t="str">
        <f>IFERROR(D74/DAY(EOMONTH('RJ ATTENDENCE SHEET'!$A$1,0)),"")</f>
        <v/>
      </c>
      <c r="F74" s="29" t="str">
        <f>IF(B74="DRIVER",VLOOKUP('CONTRACT TOTAL (P)'!C74,'RJ ATTENDENCE SHEET'!$C:$W,8,0),IF(B74="HELPER",VLOOKUP('CONTRACT TOTAL (P)'!C74,'RJ ATTENDENCE SHEET'!$C:$W,8,0),IF(B74="HOPPER","",IF(B74="LAB","",IF(B74="OTHERS","","")))))</f>
        <v/>
      </c>
      <c r="G74" s="29" t="str">
        <f>IF(B74="DRIVER",VLOOKUP('CONTRACT TOTAL (P)'!C74,'RJ ATTENDENCE SHEET'!$C:$W,9,0),IF(B74="HELPER",VLOOKUP('CONTRACT TOTAL (P)'!C74,'RJ ATTENDENCE SHEET'!$C:$W,9,0),IF(B74="HOPPER","",IF(B74="LAB","",IF(B74="OTHERS","","")))))</f>
        <v/>
      </c>
      <c r="H74" s="29" t="str">
        <f>IFERROR(VLOOKUP(C74,'RJ ATTENDENCE SHEET'!$C:$V,20,0),"")</f>
        <v/>
      </c>
      <c r="I74" s="29" t="str">
        <f>IFERROR(VLOOKUP(C74,'RJ ATTENDENCE SHEET'!$C:$W,21,0),"")</f>
        <v/>
      </c>
      <c r="J74" s="34" t="str">
        <f t="shared" si="8"/>
        <v/>
      </c>
      <c r="K74" s="35" t="str">
        <f t="shared" si="9"/>
        <v/>
      </c>
      <c r="L74" s="34" t="str">
        <f t="shared" si="10"/>
        <v/>
      </c>
      <c r="M74" s="36" t="str">
        <f>IFERROR(VLOOKUP(C74,'RJ ATTENDENCE SHEET'!$C:$S,14,0),"")</f>
        <v/>
      </c>
      <c r="N74" s="36" t="str">
        <f t="shared" si="11"/>
        <v/>
      </c>
      <c r="O74" s="271"/>
      <c r="P74" s="272"/>
    </row>
    <row r="75" spans="1:16" ht="21" hidden="1" customHeight="1">
      <c r="A75" s="37"/>
      <c r="B75" s="38"/>
      <c r="C75" s="39"/>
      <c r="D75" s="40"/>
      <c r="E75" s="40"/>
      <c r="F75" s="40"/>
      <c r="G75" s="40"/>
      <c r="H75" s="40"/>
      <c r="I75" s="40"/>
      <c r="J75" s="41"/>
      <c r="K75" s="40"/>
      <c r="L75" s="34"/>
      <c r="M75" s="36"/>
      <c r="N75" s="36"/>
      <c r="O75" s="271"/>
      <c r="P75" s="272"/>
    </row>
    <row r="76" spans="1:16" ht="21" hidden="1" customHeight="1">
      <c r="A76" s="37"/>
      <c r="B76" s="38"/>
      <c r="C76" s="39"/>
      <c r="D76" s="40"/>
      <c r="E76" s="40"/>
      <c r="F76" s="40"/>
      <c r="G76" s="40"/>
      <c r="H76" s="40"/>
      <c r="I76" s="40"/>
      <c r="J76" s="41"/>
      <c r="K76" s="40"/>
      <c r="L76" s="34"/>
      <c r="M76" s="36"/>
      <c r="N76" s="36"/>
      <c r="O76" s="271"/>
      <c r="P76" s="272"/>
    </row>
    <row r="77" spans="1:16" ht="21" hidden="1" customHeight="1">
      <c r="A77" s="37"/>
      <c r="B77" s="38"/>
      <c r="C77" s="39"/>
      <c r="D77" s="40"/>
      <c r="E77" s="40"/>
      <c r="F77" s="40"/>
      <c r="G77" s="40"/>
      <c r="H77" s="40"/>
      <c r="I77" s="40"/>
      <c r="J77" s="41"/>
      <c r="K77" s="40"/>
      <c r="L77" s="34"/>
      <c r="M77" s="36"/>
      <c r="N77" s="36"/>
      <c r="O77" s="271"/>
      <c r="P77" s="272"/>
    </row>
    <row r="78" spans="1:16" ht="21" hidden="1" customHeight="1">
      <c r="A78" s="37"/>
      <c r="B78" s="38"/>
      <c r="C78" s="39"/>
      <c r="D78" s="40"/>
      <c r="E78" s="40"/>
      <c r="F78" s="40"/>
      <c r="G78" s="40"/>
      <c r="H78" s="40"/>
      <c r="I78" s="40"/>
      <c r="J78" s="41"/>
      <c r="K78" s="40"/>
      <c r="L78" s="34"/>
      <c r="M78" s="36"/>
      <c r="N78" s="36"/>
      <c r="O78" s="271"/>
      <c r="P78" s="272"/>
    </row>
    <row r="79" spans="1:16" ht="21" hidden="1" customHeight="1">
      <c r="A79" s="37"/>
      <c r="B79" s="38"/>
      <c r="C79" s="39"/>
      <c r="D79" s="40"/>
      <c r="E79" s="40"/>
      <c r="F79" s="40"/>
      <c r="G79" s="40"/>
      <c r="H79" s="40"/>
      <c r="I79" s="40"/>
      <c r="J79" s="41"/>
      <c r="K79" s="40"/>
      <c r="L79" s="34"/>
      <c r="M79" s="36"/>
      <c r="N79" s="36"/>
      <c r="O79" s="271"/>
      <c r="P79" s="272"/>
    </row>
    <row r="80" spans="1:16" ht="21" hidden="1" customHeight="1">
      <c r="A80" s="37"/>
      <c r="B80" s="38"/>
      <c r="C80" s="39"/>
      <c r="D80" s="40"/>
      <c r="E80" s="40"/>
      <c r="F80" s="40"/>
      <c r="G80" s="40"/>
      <c r="H80" s="40"/>
      <c r="I80" s="40"/>
      <c r="J80" s="41"/>
      <c r="K80" s="40"/>
      <c r="L80" s="34"/>
      <c r="M80" s="36"/>
      <c r="N80" s="36"/>
      <c r="O80" s="271"/>
      <c r="P80" s="272"/>
    </row>
    <row r="81" spans="1:16" ht="21" hidden="1" customHeight="1">
      <c r="A81" s="37"/>
      <c r="B81" s="38"/>
      <c r="C81" s="39"/>
      <c r="D81" s="40"/>
      <c r="E81" s="40"/>
      <c r="F81" s="40"/>
      <c r="G81" s="40"/>
      <c r="H81" s="40"/>
      <c r="I81" s="40"/>
      <c r="J81" s="41"/>
      <c r="K81" s="40"/>
      <c r="L81" s="34"/>
      <c r="M81" s="36"/>
      <c r="N81" s="36"/>
      <c r="O81" s="271"/>
      <c r="P81" s="272"/>
    </row>
    <row r="82" spans="1:16" ht="21" hidden="1" customHeight="1">
      <c r="A82" s="37"/>
      <c r="B82" s="38"/>
      <c r="C82" s="39"/>
      <c r="D82" s="40"/>
      <c r="E82" s="40"/>
      <c r="F82" s="40"/>
      <c r="G82" s="40"/>
      <c r="H82" s="40"/>
      <c r="I82" s="40"/>
      <c r="J82" s="41"/>
      <c r="K82" s="40"/>
      <c r="L82" s="34"/>
      <c r="M82" s="36"/>
      <c r="N82" s="36"/>
      <c r="O82" s="271"/>
      <c r="P82" s="272"/>
    </row>
    <row r="83" spans="1:16" ht="21" hidden="1" customHeight="1">
      <c r="A83" s="37"/>
      <c r="B83" s="38"/>
      <c r="C83" s="39"/>
      <c r="D83" s="40"/>
      <c r="E83" s="40"/>
      <c r="F83" s="40"/>
      <c r="G83" s="40"/>
      <c r="H83" s="40"/>
      <c r="I83" s="40"/>
      <c r="J83" s="41"/>
      <c r="K83" s="40"/>
      <c r="L83" s="34"/>
      <c r="M83" s="36"/>
      <c r="N83" s="36"/>
      <c r="O83" s="271"/>
      <c r="P83" s="272"/>
    </row>
    <row r="84" spans="1:16" ht="21" hidden="1" customHeight="1">
      <c r="A84" s="37"/>
      <c r="B84" s="38"/>
      <c r="C84" s="39"/>
      <c r="D84" s="40"/>
      <c r="E84" s="40"/>
      <c r="F84" s="40"/>
      <c r="G84" s="40"/>
      <c r="H84" s="40"/>
      <c r="I84" s="40"/>
      <c r="J84" s="41"/>
      <c r="K84" s="40"/>
      <c r="L84" s="34"/>
      <c r="M84" s="36"/>
      <c r="N84" s="36"/>
      <c r="O84" s="271"/>
      <c r="P84" s="272"/>
    </row>
    <row r="85" spans="1:16" ht="21" hidden="1" customHeight="1">
      <c r="A85" s="37"/>
      <c r="B85" s="38"/>
      <c r="C85" s="39"/>
      <c r="D85" s="40"/>
      <c r="E85" s="40"/>
      <c r="F85" s="40"/>
      <c r="G85" s="40"/>
      <c r="H85" s="40"/>
      <c r="I85" s="40"/>
      <c r="J85" s="41"/>
      <c r="K85" s="40"/>
      <c r="L85" s="34"/>
      <c r="M85" s="36"/>
      <c r="N85" s="36"/>
      <c r="O85" s="271"/>
      <c r="P85" s="272"/>
    </row>
    <row r="86" spans="1:16" ht="21" hidden="1" customHeight="1">
      <c r="A86" s="37"/>
      <c r="B86" s="38"/>
      <c r="C86" s="39"/>
      <c r="D86" s="40"/>
      <c r="E86" s="40"/>
      <c r="F86" s="40"/>
      <c r="G86" s="40"/>
      <c r="H86" s="40"/>
      <c r="I86" s="40"/>
      <c r="J86" s="41"/>
      <c r="K86" s="40"/>
      <c r="L86" s="34"/>
      <c r="M86" s="36"/>
      <c r="N86" s="36"/>
      <c r="O86" s="271"/>
      <c r="P86" s="272"/>
    </row>
    <row r="87" spans="1:16" ht="21" hidden="1" customHeight="1">
      <c r="A87" s="37"/>
      <c r="B87" s="38"/>
      <c r="C87" s="39"/>
      <c r="D87" s="40"/>
      <c r="E87" s="40"/>
      <c r="F87" s="40"/>
      <c r="G87" s="40"/>
      <c r="H87" s="40"/>
      <c r="I87" s="40"/>
      <c r="J87" s="41"/>
      <c r="K87" s="40"/>
      <c r="L87" s="34"/>
      <c r="M87" s="36"/>
      <c r="N87" s="36"/>
      <c r="O87" s="271"/>
      <c r="P87" s="272"/>
    </row>
    <row r="88" spans="1:16" ht="21" hidden="1" customHeight="1">
      <c r="A88" s="37"/>
      <c r="B88" s="38"/>
      <c r="C88" s="39"/>
      <c r="D88" s="40"/>
      <c r="E88" s="40"/>
      <c r="F88" s="40"/>
      <c r="G88" s="40"/>
      <c r="H88" s="40"/>
      <c r="I88" s="40"/>
      <c r="J88" s="41"/>
      <c r="K88" s="40"/>
      <c r="L88" s="34"/>
      <c r="M88" s="36"/>
      <c r="N88" s="36"/>
      <c r="O88" s="271"/>
      <c r="P88" s="272"/>
    </row>
    <row r="89" spans="1:16" ht="21" hidden="1" customHeight="1">
      <c r="A89" s="37"/>
      <c r="B89" s="38"/>
      <c r="C89" s="39"/>
      <c r="D89" s="40"/>
      <c r="E89" s="40"/>
      <c r="F89" s="40"/>
      <c r="G89" s="40"/>
      <c r="H89" s="40"/>
      <c r="I89" s="40"/>
      <c r="J89" s="41"/>
      <c r="K89" s="40"/>
      <c r="L89" s="34"/>
      <c r="M89" s="36"/>
      <c r="N89" s="36"/>
      <c r="O89" s="271"/>
      <c r="P89" s="272"/>
    </row>
    <row r="90" spans="1:16" ht="21" hidden="1" customHeight="1">
      <c r="A90" s="37"/>
      <c r="B90" s="38"/>
      <c r="C90" s="39"/>
      <c r="D90" s="40"/>
      <c r="E90" s="40"/>
      <c r="F90" s="40"/>
      <c r="G90" s="40"/>
      <c r="H90" s="40"/>
      <c r="I90" s="40"/>
      <c r="J90" s="41"/>
      <c r="K90" s="40"/>
      <c r="L90" s="34"/>
      <c r="M90" s="36"/>
      <c r="N90" s="36"/>
      <c r="O90" s="271"/>
      <c r="P90" s="272"/>
    </row>
    <row r="91" spans="1:16" ht="21" hidden="1" customHeight="1">
      <c r="A91" s="37"/>
      <c r="B91" s="38"/>
      <c r="C91" s="39"/>
      <c r="D91" s="40"/>
      <c r="E91" s="40"/>
      <c r="F91" s="40"/>
      <c r="G91" s="40"/>
      <c r="H91" s="40"/>
      <c r="I91" s="40"/>
      <c r="J91" s="41"/>
      <c r="K91" s="40"/>
      <c r="L91" s="34"/>
      <c r="M91" s="36"/>
      <c r="N91" s="36"/>
      <c r="O91" s="271"/>
      <c r="P91" s="272"/>
    </row>
    <row r="92" spans="1:16" ht="21" hidden="1" customHeight="1">
      <c r="A92" s="37"/>
      <c r="B92" s="38"/>
      <c r="C92" s="39"/>
      <c r="D92" s="40"/>
      <c r="E92" s="40"/>
      <c r="F92" s="40"/>
      <c r="G92" s="40"/>
      <c r="H92" s="40"/>
      <c r="I92" s="40"/>
      <c r="J92" s="41"/>
      <c r="K92" s="40"/>
      <c r="L92" s="34"/>
      <c r="M92" s="36"/>
      <c r="N92" s="36"/>
      <c r="O92" s="271"/>
      <c r="P92" s="272"/>
    </row>
    <row r="93" spans="1:16" ht="21" hidden="1" customHeight="1">
      <c r="A93" s="37"/>
      <c r="B93" s="38"/>
      <c r="C93" s="39"/>
      <c r="D93" s="40"/>
      <c r="E93" s="40"/>
      <c r="F93" s="40"/>
      <c r="G93" s="40"/>
      <c r="H93" s="40"/>
      <c r="I93" s="40"/>
      <c r="J93" s="41"/>
      <c r="K93" s="40"/>
      <c r="L93" s="34"/>
      <c r="M93" s="36"/>
      <c r="N93" s="36"/>
      <c r="O93" s="271"/>
      <c r="P93" s="272"/>
    </row>
    <row r="94" spans="1:16" ht="21" hidden="1" customHeight="1">
      <c r="A94" s="37"/>
      <c r="B94" s="38"/>
      <c r="C94" s="39"/>
      <c r="D94" s="40"/>
      <c r="E94" s="40"/>
      <c r="F94" s="40"/>
      <c r="G94" s="40"/>
      <c r="H94" s="40"/>
      <c r="I94" s="40"/>
      <c r="J94" s="41"/>
      <c r="K94" s="40"/>
      <c r="L94" s="34"/>
      <c r="M94" s="36"/>
      <c r="N94" s="36"/>
      <c r="O94" s="271"/>
      <c r="P94" s="272"/>
    </row>
    <row r="95" spans="1:16" ht="21" hidden="1" customHeight="1">
      <c r="A95" s="37"/>
      <c r="B95" s="38"/>
      <c r="C95" s="39"/>
      <c r="D95" s="40"/>
      <c r="E95" s="40"/>
      <c r="F95" s="40"/>
      <c r="G95" s="40"/>
      <c r="H95" s="40"/>
      <c r="I95" s="40"/>
      <c r="J95" s="41"/>
      <c r="K95" s="40"/>
      <c r="L95" s="34"/>
      <c r="M95" s="36"/>
      <c r="N95" s="36"/>
      <c r="O95" s="271"/>
      <c r="P95" s="272"/>
    </row>
    <row r="96" spans="1:16" ht="21" hidden="1" customHeight="1">
      <c r="A96" s="37"/>
      <c r="B96" s="38"/>
      <c r="C96" s="39"/>
      <c r="D96" s="40"/>
      <c r="E96" s="40"/>
      <c r="F96" s="40"/>
      <c r="G96" s="40"/>
      <c r="H96" s="40"/>
      <c r="I96" s="40"/>
      <c r="J96" s="41"/>
      <c r="K96" s="40"/>
      <c r="L96" s="34"/>
      <c r="M96" s="36"/>
      <c r="N96" s="36"/>
      <c r="O96" s="271"/>
      <c r="P96" s="272"/>
    </row>
    <row r="97" spans="1:16" ht="21" hidden="1" customHeight="1">
      <c r="A97" s="37"/>
      <c r="B97" s="38"/>
      <c r="C97" s="39"/>
      <c r="D97" s="40"/>
      <c r="E97" s="40"/>
      <c r="F97" s="40"/>
      <c r="G97" s="40"/>
      <c r="H97" s="40"/>
      <c r="I97" s="40"/>
      <c r="J97" s="41"/>
      <c r="K97" s="40"/>
      <c r="L97" s="34"/>
      <c r="M97" s="36"/>
      <c r="N97" s="36"/>
      <c r="O97" s="271"/>
      <c r="P97" s="272"/>
    </row>
    <row r="98" spans="1:16" ht="21" customHeight="1">
      <c r="A98" s="409" t="s">
        <v>97</v>
      </c>
      <c r="B98" s="363"/>
      <c r="C98" s="363"/>
      <c r="D98" s="363"/>
      <c r="E98" s="363"/>
      <c r="F98" s="363"/>
      <c r="G98" s="363"/>
      <c r="H98" s="363"/>
      <c r="I98" s="363"/>
      <c r="J98" s="363"/>
      <c r="K98" s="410"/>
      <c r="L98" s="42">
        <f>SUM(L4:L70)</f>
        <v>409197.42354838707</v>
      </c>
      <c r="M98" s="42">
        <f>SUM(M4:M65)</f>
        <v>0</v>
      </c>
      <c r="N98" s="42">
        <f>SUM(N4:N70)</f>
        <v>409197.42354838707</v>
      </c>
      <c r="O98" s="269"/>
      <c r="P98" s="272"/>
    </row>
  </sheetData>
  <sheetProtection formatCells="0" formatColumns="0" formatRows="0"/>
  <mergeCells count="12">
    <mergeCell ref="P1:P3"/>
    <mergeCell ref="A1:L1"/>
    <mergeCell ref="M1:N1"/>
    <mergeCell ref="D2:G2"/>
    <mergeCell ref="H2:I2"/>
    <mergeCell ref="J2:K2"/>
    <mergeCell ref="O2:O3"/>
    <mergeCell ref="A98:K98"/>
    <mergeCell ref="A2:A3"/>
    <mergeCell ref="C2:C3"/>
    <mergeCell ref="L2:L3"/>
    <mergeCell ref="M2:M3"/>
  </mergeCells>
  <pageMargins left="0.70866141732283472" right="0.70866141732283472" top="0" bottom="0" header="0.31496062992125984" footer="0.31496062992125984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4"/>
  <sheetViews>
    <sheetView topLeftCell="C1" zoomScale="62" zoomScaleNormal="62" workbookViewId="0">
      <selection activeCell="M2" sqref="M2:O2"/>
    </sheetView>
  </sheetViews>
  <sheetFormatPr defaultColWidth="9.125" defaultRowHeight="14.25"/>
  <cols>
    <col min="1" max="1" width="9.125" style="2"/>
    <col min="2" max="4" width="27.625" style="2" customWidth="1"/>
    <col min="5" max="5" width="27.625" style="3" customWidth="1"/>
    <col min="6" max="6" width="17.125" style="2" customWidth="1"/>
    <col min="7" max="7" width="23.625" style="2" customWidth="1"/>
    <col min="8" max="8" width="1.625" style="4" customWidth="1"/>
    <col min="9" max="9" width="9.125" style="2"/>
    <col min="10" max="12" width="27.625" style="2" customWidth="1"/>
    <col min="13" max="13" width="27.625" style="3" customWidth="1"/>
    <col min="14" max="14" width="17.125" style="2" customWidth="1"/>
    <col min="15" max="15" width="23.625" style="2" customWidth="1"/>
    <col min="16" max="16384" width="9.125" style="2"/>
  </cols>
  <sheetData>
    <row r="1" spans="1:15">
      <c r="A1" s="434" t="s">
        <v>238</v>
      </c>
      <c r="B1" s="435"/>
      <c r="C1" s="435"/>
      <c r="D1" s="435"/>
      <c r="E1" s="435"/>
      <c r="F1" s="435"/>
      <c r="G1" s="436"/>
      <c r="I1" s="434" t="s">
        <v>239</v>
      </c>
      <c r="J1" s="435"/>
      <c r="K1" s="435"/>
      <c r="L1" s="435"/>
      <c r="M1" s="435"/>
      <c r="N1" s="435"/>
      <c r="O1" s="436"/>
    </row>
    <row r="2" spans="1:15" ht="29.25" customHeight="1">
      <c r="A2" s="437" t="s">
        <v>97</v>
      </c>
      <c r="B2" s="438"/>
      <c r="C2" s="438"/>
      <c r="D2" s="439"/>
      <c r="E2" s="440">
        <f>SUM(F4:F54)</f>
        <v>319878.38709677418</v>
      </c>
      <c r="F2" s="440"/>
      <c r="G2" s="441"/>
      <c r="I2" s="437" t="s">
        <v>97</v>
      </c>
      <c r="J2" s="438"/>
      <c r="K2" s="438"/>
      <c r="L2" s="439"/>
      <c r="M2" s="440">
        <f>SUM(N4:N54)</f>
        <v>453090.54838709679</v>
      </c>
      <c r="N2" s="440"/>
      <c r="O2" s="441"/>
    </row>
    <row r="3" spans="1:15" s="1" customFormat="1" ht="18">
      <c r="A3" s="5" t="s">
        <v>240</v>
      </c>
      <c r="B3" s="6" t="s">
        <v>241</v>
      </c>
      <c r="C3" s="6" t="s">
        <v>104</v>
      </c>
      <c r="D3" s="6" t="s">
        <v>105</v>
      </c>
      <c r="E3" s="7" t="s">
        <v>106</v>
      </c>
      <c r="F3" s="6" t="s">
        <v>212</v>
      </c>
      <c r="G3" s="8" t="s">
        <v>242</v>
      </c>
      <c r="H3" s="9"/>
      <c r="I3" s="5" t="s">
        <v>240</v>
      </c>
      <c r="J3" s="6" t="s">
        <v>241</v>
      </c>
      <c r="K3" s="6" t="s">
        <v>104</v>
      </c>
      <c r="L3" s="6" t="s">
        <v>105</v>
      </c>
      <c r="M3" s="7" t="s">
        <v>106</v>
      </c>
      <c r="N3" s="6" t="s">
        <v>212</v>
      </c>
      <c r="O3" s="8" t="s">
        <v>242</v>
      </c>
    </row>
    <row r="4" spans="1:15">
      <c r="A4" s="10">
        <v>1</v>
      </c>
      <c r="B4" s="11" t="str">
        <f>'DATA '!H3</f>
        <v>ABED ALI</v>
      </c>
      <c r="C4" s="11" t="str">
        <f>IFERROR(VLOOKUP(B4,'RJ ATTENDENCE SHEET'!$C:$R,14,0),"")</f>
        <v>IOB</v>
      </c>
      <c r="D4" s="11" t="str">
        <f>IFERROR(VLOOKUP(B4,'RJ ATTENDENCE SHEET'!$C:$R,15,0),"")</f>
        <v>IOBA0000013</v>
      </c>
      <c r="E4" s="12">
        <f>IFERROR(VLOOKUP(B4,'RJ ATTENDENCE SHEET'!$C:$R,16,0),"")</f>
        <v>1301000024464</v>
      </c>
      <c r="F4" s="13">
        <f>VLOOKUP(B4,'SALARY ESI (P)'!$C:$T,18,0)</f>
        <v>18453</v>
      </c>
      <c r="G4" s="14" t="s">
        <v>243</v>
      </c>
      <c r="I4" s="11">
        <v>1</v>
      </c>
      <c r="J4" s="11" t="str">
        <f>'DATA '!K3</f>
        <v xml:space="preserve">ANISUR </v>
      </c>
      <c r="K4" s="11" t="str">
        <f>IFERROR(VLOOKUP(J4,'RJ ATTENDENCE SHEET'!$C:$R,14,0),"")</f>
        <v>Bank of Baroda</v>
      </c>
      <c r="L4" s="11" t="str">
        <f>IFERROR(VLOOKUP(J4,'RJ ATTENDENCE SHEET'!$C:$R,15,0),"")</f>
        <v>BARB0DBRAJR</v>
      </c>
      <c r="M4" s="12">
        <f>IFERROR(VLOOKUP(J4,'RJ ATTENDENCE SHEET'!$C:$R,16,0),"")</f>
        <v>119710024815</v>
      </c>
      <c r="N4" s="13">
        <f>VLOOKUP(J4,'WAGES ESI (P)'!$D:$V,19,0)</f>
        <v>15159</v>
      </c>
      <c r="O4" s="14" t="s">
        <v>243</v>
      </c>
    </row>
    <row r="5" spans="1:15">
      <c r="A5" s="10">
        <v>2</v>
      </c>
      <c r="B5" s="11" t="str">
        <f>'DATA '!H4</f>
        <v>ABHI MUKHERJEE</v>
      </c>
      <c r="C5" s="11" t="str">
        <f>IFERROR(VLOOKUP(B5,'RJ ATTENDENCE SHEET'!$C:$R,14,0),"")</f>
        <v>SBI</v>
      </c>
      <c r="D5" s="11" t="str">
        <f>IFERROR(VLOOKUP(B5,'RJ ATTENDENCE SHEET'!$C:$R,15,0),"")</f>
        <v>SBIN0016917</v>
      </c>
      <c r="E5" s="12">
        <f>IFERROR(VLOOKUP(B5,'RJ ATTENDENCE SHEET'!$C:$R,16,0),"")</f>
        <v>37720693683</v>
      </c>
      <c r="F5" s="13">
        <f>VLOOKUP(B5,'SALARY ESI (P)'!$C:$T,18,0)</f>
        <v>26634</v>
      </c>
      <c r="G5" s="14" t="s">
        <v>243</v>
      </c>
      <c r="I5" s="11">
        <v>2</v>
      </c>
      <c r="J5" s="11" t="str">
        <f>'DATA '!K4</f>
        <v xml:space="preserve">ARMAN ALI MONDAL </v>
      </c>
      <c r="K5" s="11" t="str">
        <f>IFERROR(VLOOKUP(J5,'RJ ATTENDENCE SHEET'!$C:$R,14,0),"")</f>
        <v>CANARA BANK</v>
      </c>
      <c r="L5" s="11" t="str">
        <f>IFERROR(VLOOKUP(J5,'RJ ATTENDENCE SHEET'!$C:$R,15,0),"")</f>
        <v>CNRB0019776</v>
      </c>
      <c r="M5" s="12">
        <f>IFERROR(VLOOKUP(J5,'RJ ATTENDENCE SHEET'!$C:$R,16,0),"")</f>
        <v>97762010009114</v>
      </c>
      <c r="N5" s="13">
        <f>VLOOKUP(J5,'WAGES ESI (P)'!$D:$V,19,0)</f>
        <v>13210.000000000002</v>
      </c>
      <c r="O5" s="14" t="s">
        <v>243</v>
      </c>
    </row>
    <row r="6" spans="1:15">
      <c r="A6" s="10">
        <v>3</v>
      </c>
      <c r="B6" s="11" t="str">
        <f>'DATA '!H5</f>
        <v>ACHIN GUPTA</v>
      </c>
      <c r="C6" s="11" t="str">
        <f>IFERROR(VLOOKUP(B6,'RJ ATTENDENCE SHEET'!$C:$R,14,0),"")</f>
        <v>Bank of Baroda</v>
      </c>
      <c r="D6" s="11" t="str">
        <f>IFERROR(VLOOKUP(B6,'RJ ATTENDENCE SHEET'!$C:$R,15,0),"")</f>
        <v>BARB0DBRAJR</v>
      </c>
      <c r="E6" s="12">
        <f>IFERROR(VLOOKUP(B6,'RJ ATTENDENCE SHEET'!$C:$R,16,0),"")</f>
        <v>80850100001569</v>
      </c>
      <c r="F6" s="13">
        <f>VLOOKUP(B6,'SALARY ESI (P)'!$C:$T,18,0)</f>
        <v>20930</v>
      </c>
      <c r="G6" s="14" t="s">
        <v>243</v>
      </c>
      <c r="I6" s="11">
        <v>3</v>
      </c>
      <c r="J6" s="11" t="str">
        <f>'DATA '!K5</f>
        <v>ASUTOSH SARDAR</v>
      </c>
      <c r="K6" s="11" t="str">
        <f>IFERROR(VLOOKUP(J6,'RJ ATTENDENCE SHEET'!$C:$R,14,0),"")</f>
        <v>UNION BANK</v>
      </c>
      <c r="L6" s="11" t="str">
        <f>IFERROR(VLOOKUP(J6,'RJ ATTENDENCE SHEET'!$C:$R,15,0),"")</f>
        <v>UBIN0912344</v>
      </c>
      <c r="M6" s="12" t="str">
        <f>IFERROR(VLOOKUP(J6,'RJ ATTENDENCE SHEET'!$C:$R,16,0),"")</f>
        <v>123400101005434</v>
      </c>
      <c r="N6" s="13">
        <f>VLOOKUP(J6,'WAGES ESI (P)'!$D:$V,19,0)</f>
        <v>10693.999999999998</v>
      </c>
      <c r="O6" s="14" t="s">
        <v>243</v>
      </c>
    </row>
    <row r="7" spans="1:15">
      <c r="A7" s="10">
        <v>4</v>
      </c>
      <c r="B7" s="11" t="str">
        <f>'DATA '!H6</f>
        <v>AMIN YADAV</v>
      </c>
      <c r="C7" s="11" t="str">
        <f>IFERROR(VLOOKUP(B7,'RJ ATTENDENCE SHEET'!$C:$R,14,0),"")</f>
        <v>IOB</v>
      </c>
      <c r="D7" s="11" t="str">
        <f>IFERROR(VLOOKUP(B7,'RJ ATTENDENCE SHEET'!$C:$R,15,0),"")</f>
        <v>IOBA0000013</v>
      </c>
      <c r="E7" s="12">
        <f>IFERROR(VLOOKUP(B7,'RJ ATTENDENCE SHEET'!$C:$R,16,0),"")</f>
        <v>1301000024469</v>
      </c>
      <c r="F7" s="13">
        <f>VLOOKUP(B7,'SALARY ESI (P)'!$C:$T,18,0)</f>
        <v>22836</v>
      </c>
      <c r="G7" s="14" t="s">
        <v>243</v>
      </c>
      <c r="I7" s="11">
        <v>4</v>
      </c>
      <c r="J7" s="11" t="str">
        <f>'DATA '!K6</f>
        <v>BUDDHADEV SEAL</v>
      </c>
      <c r="K7" s="11" t="str">
        <f>IFERROR(VLOOKUP(J7,'RJ ATTENDENCE SHEET'!$C:$R,14,0),"")</f>
        <v>SBI</v>
      </c>
      <c r="L7" s="11" t="str">
        <f>IFERROR(VLOOKUP(J7,'RJ ATTENDENCE SHEET'!$C:$R,15,0),"")</f>
        <v>SBIN0006208</v>
      </c>
      <c r="M7" s="12">
        <f>IFERROR(VLOOKUP(J7,'RJ ATTENDENCE SHEET'!$C:$R,16,0),"")</f>
        <v>36573214016</v>
      </c>
      <c r="N7" s="13">
        <f>VLOOKUP(J7,'WAGES ESI (P)'!$D:$V,19,0)</f>
        <v>15175.387096774193</v>
      </c>
      <c r="O7" s="14" t="s">
        <v>243</v>
      </c>
    </row>
    <row r="8" spans="1:15">
      <c r="A8" s="10">
        <v>5</v>
      </c>
      <c r="B8" s="11" t="str">
        <f>'DATA '!H7</f>
        <v>ANOWAR MOLLA</v>
      </c>
      <c r="C8" s="11" t="str">
        <f>IFERROR(VLOOKUP(B8,'RJ ATTENDENCE SHEET'!$C:$R,14,0),"")</f>
        <v>SBI</v>
      </c>
      <c r="D8" s="11" t="str">
        <f>IFERROR(VLOOKUP(B8,'RJ ATTENDENCE SHEET'!$C:$R,15,0),"")</f>
        <v>SBIN0012380</v>
      </c>
      <c r="E8" s="12">
        <f>IFERROR(VLOOKUP(B8,'RJ ATTENDENCE SHEET'!$C:$R,16,0),"")</f>
        <v>20357794848</v>
      </c>
      <c r="F8" s="13">
        <f>VLOOKUP(B8,'SALARY ESI (P)'!$C:$T,18,0)</f>
        <v>12518</v>
      </c>
      <c r="G8" s="14" t="s">
        <v>243</v>
      </c>
      <c r="I8" s="11">
        <v>5</v>
      </c>
      <c r="J8" s="11" t="str">
        <f>'DATA '!K7</f>
        <v xml:space="preserve">FARUK ALI </v>
      </c>
      <c r="K8" s="11" t="str">
        <f>IFERROR(VLOOKUP(J8,'RJ ATTENDENCE SHEET'!$C:$R,14,0),"")</f>
        <v>SBI</v>
      </c>
      <c r="L8" s="11" t="str">
        <f>IFERROR(VLOOKUP(J8,'RJ ATTENDENCE SHEET'!$C:$R,15,0),"")</f>
        <v>SBIN0016917</v>
      </c>
      <c r="M8" s="12">
        <f>IFERROR(VLOOKUP(J8,'RJ ATTENDENCE SHEET'!$C:$R,16,0),"")</f>
        <v>40361475410</v>
      </c>
      <c r="N8" s="13">
        <f>VLOOKUP(J8,'WAGES ESI (P)'!$D:$V,19,0)</f>
        <v>13131</v>
      </c>
      <c r="O8" s="14" t="s">
        <v>243</v>
      </c>
    </row>
    <row r="9" spans="1:15">
      <c r="A9" s="10">
        <v>6</v>
      </c>
      <c r="B9" s="11" t="str">
        <f>'DATA '!H8</f>
        <v>DIBAKAR MONDAL</v>
      </c>
      <c r="C9" s="11" t="str">
        <f>IFERROR(VLOOKUP(B9,'RJ ATTENDENCE SHEET'!$C:$R,14,0),"")</f>
        <v>CANARA BANK</v>
      </c>
      <c r="D9" s="11" t="str">
        <f>IFERROR(VLOOKUP(B9,'RJ ATTENDENCE SHEET'!$C:$R,15,0),"")</f>
        <v>CNRB0019776</v>
      </c>
      <c r="E9" s="243" t="str">
        <f>IFERROR(VLOOKUP(B9,'RJ ATTENDENCE SHEET'!$C:$R,16,0),"")</f>
        <v>97762010010800</v>
      </c>
      <c r="F9" s="13">
        <f>VLOOKUP(B9,'SALARY ESI (P)'!$C:$T,18,0)</f>
        <v>16468</v>
      </c>
      <c r="G9" s="14" t="s">
        <v>243</v>
      </c>
      <c r="I9" s="11">
        <v>6</v>
      </c>
      <c r="J9" s="11" t="str">
        <f>'DATA '!K8</f>
        <v>KUTUBUDDIN MOLLA</v>
      </c>
      <c r="K9" s="11" t="str">
        <f>IFERROR(VLOOKUP(J9,'RJ ATTENDENCE SHEET'!$C:$R,14,0),"")</f>
        <v>UCO BANK</v>
      </c>
      <c r="L9" s="11" t="str">
        <f>IFERROR(VLOOKUP(J9,'RJ ATTENDENCE SHEET'!$C:$R,15,0),"")</f>
        <v>UCBA0002550</v>
      </c>
      <c r="M9" s="12">
        <f>IFERROR(VLOOKUP(J9,'RJ ATTENDENCE SHEET'!$C:$R,16,0),"")</f>
        <v>25500110064306</v>
      </c>
      <c r="N9" s="13">
        <f>VLOOKUP(J9,'WAGES ESI (P)'!$D:$V,19,0)</f>
        <v>14803.612903225807</v>
      </c>
      <c r="O9" s="14" t="s">
        <v>243</v>
      </c>
    </row>
    <row r="10" spans="1:15">
      <c r="A10" s="10">
        <v>7</v>
      </c>
      <c r="B10" s="11" t="str">
        <f>'DATA '!H9</f>
        <v xml:space="preserve">GOLAM SARWAR </v>
      </c>
      <c r="C10" s="11" t="str">
        <f>IFERROR(VLOOKUP(B10,'RJ ATTENDENCE SHEET'!$C:$R,14,0),"")</f>
        <v xml:space="preserve">PNB </v>
      </c>
      <c r="D10" s="11" t="str">
        <f>IFERROR(VLOOKUP(B10,'RJ ATTENDENCE SHEET'!$C:$R,15,0),"")</f>
        <v>PUNB0058400</v>
      </c>
      <c r="E10" s="12">
        <f>IFERROR(VLOOKUP(B10,'RJ ATTENDENCE SHEET'!$C:$R,16,0),"")</f>
        <v>163000100058792</v>
      </c>
      <c r="F10" s="13">
        <f>VLOOKUP(B10,'SALARY ESI (P)'!$C:$T,18,0)</f>
        <v>25850</v>
      </c>
      <c r="G10" s="14" t="s">
        <v>243</v>
      </c>
      <c r="I10" s="11">
        <v>7</v>
      </c>
      <c r="J10" s="11" t="str">
        <f>'DATA '!K9</f>
        <v>MD. SAMIM AKRAM</v>
      </c>
      <c r="K10" s="11" t="str">
        <f>IFERROR(VLOOKUP(J10,'RJ ATTENDENCE SHEET'!$C:$R,14,0),"")</f>
        <v>UCO BANK</v>
      </c>
      <c r="L10" s="11" t="str">
        <f>IFERROR(VLOOKUP(J10,'RJ ATTENDENCE SHEET'!$C:$R,15,0),"")</f>
        <v>UCBA0001119</v>
      </c>
      <c r="M10" s="243">
        <f>IFERROR(VLOOKUP(J10,'RJ ATTENDENCE SHEET'!$C:$R,16,0),"")</f>
        <v>11193210017690</v>
      </c>
      <c r="N10" s="13">
        <f>VLOOKUP(J10,'WAGES ESI (P)'!$D:$V,19,0)</f>
        <v>15705</v>
      </c>
      <c r="O10" s="14" t="s">
        <v>243</v>
      </c>
    </row>
    <row r="11" spans="1:15">
      <c r="A11" s="10">
        <v>8</v>
      </c>
      <c r="B11" s="11" t="str">
        <f>'DATA '!H10</f>
        <v>IMAN ALI MOLLA</v>
      </c>
      <c r="C11" s="11" t="str">
        <f>IFERROR(VLOOKUP(B11,'RJ ATTENDENCE SHEET'!$C:$R,14,0),"")</f>
        <v xml:space="preserve">UCO BANK    </v>
      </c>
      <c r="D11" s="11" t="str">
        <f>IFERROR(VLOOKUP(B11,'RJ ATTENDENCE SHEET'!$C:$R,15,0),"")</f>
        <v>UCBA0002951</v>
      </c>
      <c r="E11" s="12">
        <f>IFERROR(VLOOKUP(B11,'RJ ATTENDENCE SHEET'!$C:$R,16,0),"")</f>
        <v>29510110048184</v>
      </c>
      <c r="F11" s="13">
        <f>VLOOKUP(B11,'SALARY ESI (P)'!$C:$T,18,0)</f>
        <v>15475</v>
      </c>
      <c r="G11" s="14" t="s">
        <v>243</v>
      </c>
      <c r="I11" s="11">
        <v>8</v>
      </c>
      <c r="J11" s="11" t="str">
        <f>'DATA '!K10</f>
        <v>MOTIAR RAHAMAN</v>
      </c>
      <c r="K11" s="11" t="str">
        <f>IFERROR(VLOOKUP(J11,'RJ ATTENDENCE SHEET'!$C:$R,14,0),"")</f>
        <v>UCO BANK</v>
      </c>
      <c r="L11" s="11" t="str">
        <f>IFERROR(VLOOKUP(J11,'RJ ATTENDENCE SHEET'!$C:$R,15,0),"")</f>
        <v>UCBA0002550</v>
      </c>
      <c r="M11" s="12">
        <f>IFERROR(VLOOKUP(J11,'RJ ATTENDENCE SHEET'!$C:$R,16,0),"")</f>
        <v>25500110099254</v>
      </c>
      <c r="N11" s="13">
        <f>VLOOKUP(J11,'WAGES ESI (P)'!$D:$V,19,0)</f>
        <v>11792</v>
      </c>
      <c r="O11" s="14" t="s">
        <v>243</v>
      </c>
    </row>
    <row r="12" spans="1:15">
      <c r="A12" s="10">
        <v>9</v>
      </c>
      <c r="B12" s="11" t="str">
        <f>'DATA '!H11</f>
        <v>PULIN MONDAL</v>
      </c>
      <c r="C12" s="11" t="str">
        <f>IFERROR(VLOOKUP(B12,'RJ ATTENDENCE SHEET'!$C:$R,14,0),"")</f>
        <v>SBI</v>
      </c>
      <c r="D12" s="11" t="str">
        <f>IFERROR(VLOOKUP(B12,'RJ ATTENDENCE SHEET'!$C:$R,15,0),"")</f>
        <v>SBIN0016917</v>
      </c>
      <c r="E12" s="12">
        <f>IFERROR(VLOOKUP(B12,'RJ ATTENDENCE SHEET'!$C:$R,16,0),"")</f>
        <v>34576474280</v>
      </c>
      <c r="F12" s="13">
        <f>VLOOKUP(B12,'SALARY ESI (P)'!$C:$T,18,0)</f>
        <v>10036</v>
      </c>
      <c r="G12" s="14" t="s">
        <v>243</v>
      </c>
      <c r="I12" s="11">
        <v>9</v>
      </c>
      <c r="J12" s="11" t="str">
        <f>'DATA '!K11</f>
        <v>MOKSHED ALI</v>
      </c>
      <c r="K12" s="11" t="str">
        <f>IFERROR(VLOOKUP(J12,'RJ ATTENDENCE SHEET'!$C:$R,14,0),"")</f>
        <v>UNION BANK</v>
      </c>
      <c r="L12" s="11" t="str">
        <f>IFERROR(VLOOKUP(J12,'RJ ATTENDENCE SHEET'!$C:$R,15,0),"")</f>
        <v>UBIN0912344</v>
      </c>
      <c r="M12" s="12">
        <f>IFERROR(VLOOKUP(J12,'RJ ATTENDENCE SHEET'!$C:$R,16,0),"")</f>
        <v>520441033294786</v>
      </c>
      <c r="N12" s="13">
        <f>VLOOKUP(J12,'WAGES ESI (P)'!$D:$V,19,0)</f>
        <v>14301</v>
      </c>
      <c r="O12" s="14" t="s">
        <v>243</v>
      </c>
    </row>
    <row r="13" spans="1:15">
      <c r="A13" s="10">
        <v>10</v>
      </c>
      <c r="B13" s="11" t="str">
        <f>'DATA '!H12</f>
        <v>RAJU PAL</v>
      </c>
      <c r="C13" s="11" t="str">
        <f>IFERROR(VLOOKUP(B13,'RJ ATTENDENCE SHEET'!$C:$R,14,0),"")</f>
        <v>UCO BANK</v>
      </c>
      <c r="D13" s="11" t="str">
        <f>IFERROR(VLOOKUP(B13,'RJ ATTENDENCE SHEET'!$C:$R,15,0),"")</f>
        <v>UCBA0002567</v>
      </c>
      <c r="E13" s="12">
        <f>IFERROR(VLOOKUP(B13,'RJ ATTENDENCE SHEET'!$C:$R,16,0),"")</f>
        <v>25670110051610</v>
      </c>
      <c r="F13" s="13">
        <f>VLOOKUP(B13,'SALARY ESI (P)'!$C:$T,18,0)</f>
        <v>18326</v>
      </c>
      <c r="G13" s="14" t="s">
        <v>243</v>
      </c>
      <c r="I13" s="11">
        <v>10</v>
      </c>
      <c r="J13" s="11" t="str">
        <f>'DATA '!K12</f>
        <v xml:space="preserve">SAMSER ALI </v>
      </c>
      <c r="K13" s="11" t="str">
        <f>IFERROR(VLOOKUP(J13,'RJ ATTENDENCE SHEET'!$C:$R,14,0),"")</f>
        <v>UNION BANK</v>
      </c>
      <c r="L13" s="11" t="str">
        <f>IFERROR(VLOOKUP(J13,'RJ ATTENDENCE SHEET'!$C:$R,15,0),"")</f>
        <v>UBIN0912344</v>
      </c>
      <c r="M13" s="12">
        <f>IFERROR(VLOOKUP(J13,'RJ ATTENDENCE SHEET'!$C:$R,16,0),"")</f>
        <v>690302010003128</v>
      </c>
      <c r="N13" s="13">
        <f>VLOOKUP(J13,'WAGES ESI (P)'!$D:$V,19,0)</f>
        <v>13110</v>
      </c>
      <c r="O13" s="14" t="s">
        <v>243</v>
      </c>
    </row>
    <row r="14" spans="1:15">
      <c r="A14" s="10">
        <v>11</v>
      </c>
      <c r="B14" s="11" t="str">
        <f>'DATA '!H13</f>
        <v>UJJAL MUKHERJEE</v>
      </c>
      <c r="C14" s="11" t="str">
        <f>IFERROR(VLOOKUP(B14,'RJ ATTENDENCE SHEET'!$C:$R,14,0),"")</f>
        <v>CANARA BANK</v>
      </c>
      <c r="D14" s="11" t="str">
        <f>IFERROR(VLOOKUP(B14,'RJ ATTENDENCE SHEET'!$C:$R,15,0),"")</f>
        <v>CNRB0019776</v>
      </c>
      <c r="E14" s="12">
        <f>IFERROR(VLOOKUP(B14,'RJ ATTENDENCE SHEET'!$C:$R,16,0),"")</f>
        <v>110062333588</v>
      </c>
      <c r="F14" s="13">
        <f>VLOOKUP(B14,'SALARY ESI (P)'!$C:$T,18,0)</f>
        <v>18453</v>
      </c>
      <c r="G14" s="14" t="s">
        <v>243</v>
      </c>
      <c r="I14" s="11">
        <v>11</v>
      </c>
      <c r="J14" s="11" t="str">
        <f>'DATA '!K13</f>
        <v>SHANTI  MONDAL</v>
      </c>
      <c r="K14" s="11" t="str">
        <f>IFERROR(VLOOKUP(J14,'RJ ATTENDENCE SHEET'!$C:$R,14,0),"")</f>
        <v>UCO BANK</v>
      </c>
      <c r="L14" s="11" t="str">
        <f>IFERROR(VLOOKUP(J14,'RJ ATTENDENCE SHEET'!$C:$R,15,0),"")</f>
        <v>UCBA0002550</v>
      </c>
      <c r="M14" s="12">
        <f>IFERROR(VLOOKUP(J14,'RJ ATTENDENCE SHEET'!$C:$R,16,0),"")</f>
        <v>25503211002376</v>
      </c>
      <c r="N14" s="13">
        <f>VLOOKUP(J14,'WAGES ESI (P)'!$D:$V,19,0)</f>
        <v>13789</v>
      </c>
      <c r="O14" s="14" t="s">
        <v>243</v>
      </c>
    </row>
    <row r="15" spans="1:15">
      <c r="A15" s="15">
        <v>12</v>
      </c>
      <c r="B15" s="16" t="str">
        <f>'DATA '!H14</f>
        <v>PROBIR GHOSH</v>
      </c>
      <c r="C15" s="11" t="str">
        <f>IFERROR(VLOOKUP(B15,'RJ ATTENDENCE SHEET'!$C:$R,14,0),"")</f>
        <v>INDIAN BANK</v>
      </c>
      <c r="D15" s="11" t="str">
        <f>IFERROR(VLOOKUP(B15,'RJ ATTENDENCE SHEET'!$C:$R,15,0),"")</f>
        <v>IDIB000H550</v>
      </c>
      <c r="E15" s="12">
        <f>IFERROR(VLOOKUP(B15,'RJ ATTENDENCE SHEET'!$C:$R,16,0),"")</f>
        <v>59049049476</v>
      </c>
      <c r="F15" s="17">
        <f>VLOOKUP(B15,'SALARY ESI (P)'!$C:$T,18,0)</f>
        <v>14979</v>
      </c>
      <c r="G15" s="18" t="s">
        <v>243</v>
      </c>
      <c r="I15" s="11">
        <v>12</v>
      </c>
      <c r="J15" s="11" t="str">
        <f>'DATA '!K14</f>
        <v xml:space="preserve">SIRAJUL  MOLLA  </v>
      </c>
      <c r="K15" s="11" t="str">
        <f>IFERROR(VLOOKUP(J15,'RJ ATTENDENCE SHEET'!$C:$R,14,0),"")</f>
        <v>SBI</v>
      </c>
      <c r="L15" s="11" t="str">
        <f>IFERROR(VLOOKUP(J15,'RJ ATTENDENCE SHEET'!$C:$R,15,0),"")</f>
        <v>SBIN0016917</v>
      </c>
      <c r="M15" s="12">
        <f>IFERROR(VLOOKUP(J15,'RJ ATTENDENCE SHEET'!$C:$R,16,0),"")</f>
        <v>34256315188</v>
      </c>
      <c r="N15" s="13">
        <f>VLOOKUP(J15,'WAGES ESI (P)'!$D:$V,19,0)</f>
        <v>14018.999999999998</v>
      </c>
      <c r="O15" s="14" t="s">
        <v>243</v>
      </c>
    </row>
    <row r="16" spans="1:15">
      <c r="A16" s="10">
        <v>13</v>
      </c>
      <c r="B16" s="11" t="str">
        <f>'DATA '!H15</f>
        <v>NABA KUMAR  BISWAS</v>
      </c>
      <c r="C16" s="11" t="str">
        <f>IFERROR(VLOOKUP(B16,'RJ ATTENDENCE SHEET'!$C:$R,14,0),"")</f>
        <v>UCO BANK</v>
      </c>
      <c r="D16" s="11" t="str">
        <f>IFERROR(VLOOKUP(B16,'RJ ATTENDENCE SHEET'!$C:$R,15,0),"")</f>
        <v>UCBA0001870</v>
      </c>
      <c r="E16" s="12">
        <f>IFERROR(VLOOKUP(B16,'RJ ATTENDENCE SHEET'!$C:$R,16,0),"")</f>
        <v>18700110074961</v>
      </c>
      <c r="F16" s="13">
        <f>VLOOKUP(B16,'SALARY ESI (P)'!$C:$T,18,0)</f>
        <v>22451</v>
      </c>
      <c r="G16" s="14" t="s">
        <v>243</v>
      </c>
      <c r="I16" s="11">
        <v>13</v>
      </c>
      <c r="J16" s="11" t="str">
        <f>'DATA '!K15</f>
        <v>SK. ANARUL ISLAM</v>
      </c>
      <c r="K16" s="11" t="str">
        <f>IFERROR(VLOOKUP(J16,'RJ ATTENDENCE SHEET'!$C:$R,14,0),"")</f>
        <v>IOB</v>
      </c>
      <c r="L16" s="11" t="str">
        <f>IFERROR(VLOOKUP(J16,'RJ ATTENDENCE SHEET'!$C:$R,15,0),"")</f>
        <v>IOBA0000013</v>
      </c>
      <c r="M16" s="12">
        <f>IFERROR(VLOOKUP(J16,'RJ ATTENDENCE SHEET'!$C:$R,16,0),"")</f>
        <v>1301000024478</v>
      </c>
      <c r="N16" s="13">
        <f>VLOOKUP(J16,'WAGES ESI (P)'!$D:$V,19,0)</f>
        <v>11545</v>
      </c>
      <c r="O16" s="14" t="s">
        <v>243</v>
      </c>
    </row>
    <row r="17" spans="1:15">
      <c r="A17" s="10">
        <v>14</v>
      </c>
      <c r="B17" s="11" t="str">
        <f>'DATA '!H16</f>
        <v>ASIM KHUNTIA</v>
      </c>
      <c r="C17" s="11" t="str">
        <f>IFERROR(VLOOKUP(B17,'RJ ATTENDENCE SHEET'!$C:$R,14,0),"")</f>
        <v xml:space="preserve">PNB </v>
      </c>
      <c r="D17" s="11" t="str">
        <f>IFERROR(VLOOKUP(B17,'RJ ATTENDENCE SHEET'!$C:$R,15,0),"")</f>
        <v>PUNB0213000</v>
      </c>
      <c r="E17" s="12">
        <f>IFERROR(VLOOKUP(B17,'RJ ATTENDENCE SHEET'!$C:$R,16,0),"")</f>
        <v>2130000100176180</v>
      </c>
      <c r="F17" s="13">
        <f>VLOOKUP(B17,'SALARY ESI (P)'!$C:$T,18,0)</f>
        <v>39850</v>
      </c>
      <c r="G17" s="14" t="s">
        <v>243</v>
      </c>
      <c r="I17" s="11">
        <v>14</v>
      </c>
      <c r="J17" s="11" t="str">
        <f>'DATA '!K16</f>
        <v>SRISTI DHAR MONDAL</v>
      </c>
      <c r="K17" s="11" t="str">
        <f>IFERROR(VLOOKUP(J17,'RJ ATTENDENCE SHEET'!$C:$R,14,0),"")</f>
        <v>CANARA BANK</v>
      </c>
      <c r="L17" s="11" t="str">
        <f>IFERROR(VLOOKUP(J17,'RJ ATTENDENCE SHEET'!$C:$R,15,0),"")</f>
        <v>CNRB0019776</v>
      </c>
      <c r="M17" s="12">
        <f>IFERROR(VLOOKUP(J17,'RJ ATTENDENCE SHEET'!$C:$R,16,0),"")</f>
        <v>97762210013678</v>
      </c>
      <c r="N17" s="13">
        <f>VLOOKUP(J17,'WAGES ESI (P)'!$D:$V,19,0)</f>
        <v>15059.677419354841</v>
      </c>
      <c r="O17" s="14" t="s">
        <v>243</v>
      </c>
    </row>
    <row r="18" spans="1:15">
      <c r="A18" s="10">
        <v>15</v>
      </c>
      <c r="B18" s="11" t="str">
        <f>'DATA '!H17</f>
        <v>MANABINDU BISWAS</v>
      </c>
      <c r="C18" s="11" t="str">
        <f>IFERROR(VLOOKUP(B18,'RJ ATTENDENCE SHEET'!$C:$R,14,0),"")</f>
        <v>KOTAK MAHINDRA</v>
      </c>
      <c r="D18" s="11" t="str">
        <f>IFERROR(VLOOKUP(B18,'RJ ATTENDENCE SHEET'!$C:$R,15,0),"")</f>
        <v>KKBK0006575</v>
      </c>
      <c r="E18" s="12">
        <f>IFERROR(VLOOKUP(B18,'RJ ATTENDENCE SHEET'!$C:$R,16,0),"")</f>
        <v>4449590771</v>
      </c>
      <c r="F18" s="13">
        <f>VLOOKUP(B18,'SALARY ESI (P)'!$C:$T,18,0)</f>
        <v>14491.387096774193</v>
      </c>
      <c r="G18" s="14" t="s">
        <v>243</v>
      </c>
      <c r="I18" s="11">
        <v>15</v>
      </c>
      <c r="J18" s="11" t="str">
        <f>'DATA '!K17</f>
        <v>SUDHAN MONDAL</v>
      </c>
      <c r="K18" s="11" t="str">
        <f>IFERROR(VLOOKUP(J18,'RJ ATTENDENCE SHEET'!$C:$R,14,0),"")</f>
        <v>SBI</v>
      </c>
      <c r="L18" s="11" t="str">
        <f>IFERROR(VLOOKUP(J18,'RJ ATTENDENCE SHEET'!$C:$R,15,0),"")</f>
        <v>SBIN0016917</v>
      </c>
      <c r="M18" s="12">
        <f>IFERROR(VLOOKUP(J18,'RJ ATTENDENCE SHEET'!$C:$R,16,0),"")</f>
        <v>36454318522</v>
      </c>
      <c r="N18" s="13">
        <f>VLOOKUP(J18,'WAGES ESI (P)'!$D:$V,19,0)</f>
        <v>14534.645161290322</v>
      </c>
      <c r="O18" s="14" t="s">
        <v>243</v>
      </c>
    </row>
    <row r="19" spans="1:15">
      <c r="A19" s="10">
        <v>16</v>
      </c>
      <c r="B19" s="11" t="str">
        <f>'DATA '!H18</f>
        <v>SUVANKAR SAMADDAR</v>
      </c>
      <c r="C19" s="11" t="str">
        <f>IFERROR(VLOOKUP(B19,'RJ ATTENDENCE SHEET'!$C:$R,14,0),"")</f>
        <v>BANK OF INDIA</v>
      </c>
      <c r="D19" s="11" t="str">
        <f>IFERROR(VLOOKUP(B19,'RJ ATTENDENCE SHEET'!$C:$R,15,0),"")</f>
        <v>BKID0004190</v>
      </c>
      <c r="E19" s="12">
        <f>IFERROR(VLOOKUP(B19,'RJ ATTENDENCE SHEET'!$C:$R,16,0),"")</f>
        <v>419010110010170</v>
      </c>
      <c r="F19" s="13">
        <f>VLOOKUP(B19,'SALARY ESI (P)'!$C:$T,18,0)</f>
        <v>22128</v>
      </c>
      <c r="G19" s="14" t="s">
        <v>243</v>
      </c>
      <c r="I19" s="11">
        <v>16</v>
      </c>
      <c r="J19" s="11" t="str">
        <f>'DATA '!K18</f>
        <v>SWAPAN MONDAL</v>
      </c>
      <c r="K19" s="11" t="str">
        <f>IFERROR(VLOOKUP(J19,'RJ ATTENDENCE SHEET'!$C:$R,14,0),"")</f>
        <v>CENTRAL BANK OF INDIA</v>
      </c>
      <c r="L19" s="11" t="str">
        <f>IFERROR(VLOOKUP(J19,'RJ ATTENDENCE SHEET'!$C:$R,15,0),"")</f>
        <v>CBIN0281927</v>
      </c>
      <c r="M19" s="12">
        <f>IFERROR(VLOOKUP(J19,'RJ ATTENDENCE SHEET'!$C:$R,16,0),"")</f>
        <v>1937031426</v>
      </c>
      <c r="N19" s="13">
        <f>VLOOKUP(J19,'WAGES ESI (P)'!$D:$V,19,0)</f>
        <v>16762.806451612902</v>
      </c>
      <c r="O19" s="14" t="s">
        <v>243</v>
      </c>
    </row>
    <row r="20" spans="1:15">
      <c r="A20" s="10">
        <v>17</v>
      </c>
      <c r="B20" s="11" t="str">
        <f>'DATA '!H19</f>
        <v/>
      </c>
      <c r="C20" s="11" t="str">
        <f>IFERROR(VLOOKUP(B20,'RJ ATTENDENCE SHEET'!$C:$R,14,0),"")</f>
        <v/>
      </c>
      <c r="D20" s="11" t="str">
        <f>IFERROR(VLOOKUP(B20,'RJ ATTENDENCE SHEET'!$C:$R,15,0),"")</f>
        <v/>
      </c>
      <c r="E20" s="12" t="str">
        <f>IFERROR(VLOOKUP(B20,'RJ ATTENDENCE SHEET'!$C:$R,16,0),"")</f>
        <v/>
      </c>
      <c r="F20" s="13">
        <f>VLOOKUP(B20,'SALARY ESI (P)'!$C:$T,18,0)</f>
        <v>0</v>
      </c>
      <c r="G20" s="14"/>
      <c r="I20" s="11">
        <v>17</v>
      </c>
      <c r="J20" s="11" t="str">
        <f>'DATA '!K19</f>
        <v>MOSIAR MOLLA</v>
      </c>
      <c r="K20" s="11" t="str">
        <f>IFERROR(VLOOKUP(J20,'RJ ATTENDENCE SHEET'!$C:$R,14,0),"")</f>
        <v>BANK OF BARODA</v>
      </c>
      <c r="L20" s="11" t="str">
        <f>IFERROR(VLOOKUP(J20,'RJ ATTENDENCE SHEET'!$C:$R,15,0),"")</f>
        <v>BARB0DBRAJR</v>
      </c>
      <c r="M20" s="12">
        <f>IFERROR(VLOOKUP(J20,'RJ ATTENDENCE SHEET'!$C:$R,16,0),"")</f>
        <v>80850100011310</v>
      </c>
      <c r="N20" s="13">
        <f>VLOOKUP(J20,'WAGES ESI (P)'!$D:$V,19,0)</f>
        <v>11482</v>
      </c>
      <c r="O20" s="14" t="s">
        <v>243</v>
      </c>
    </row>
    <row r="21" spans="1:15">
      <c r="A21" s="10">
        <v>18</v>
      </c>
      <c r="B21" s="11" t="str">
        <f>'DATA '!H20</f>
        <v/>
      </c>
      <c r="C21" s="11" t="str">
        <f>IFERROR(VLOOKUP(B21,'RJ ATTENDENCE SHEET'!$C:$R,14,0),"")</f>
        <v/>
      </c>
      <c r="D21" s="11" t="str">
        <f>IFERROR(VLOOKUP(B21,'RJ ATTENDENCE SHEET'!$C:$R,15,0),"")</f>
        <v/>
      </c>
      <c r="E21" s="12" t="str">
        <f>IFERROR(VLOOKUP(B21,'RJ ATTENDENCE SHEET'!$C:$R,16,0),"")</f>
        <v/>
      </c>
      <c r="F21" s="13">
        <f>VLOOKUP(B21,'SALARY ESI (P)'!$C:$T,18,0)</f>
        <v>0</v>
      </c>
      <c r="G21" s="14"/>
      <c r="I21" s="11">
        <v>18</v>
      </c>
      <c r="J21" s="11" t="str">
        <f>'DATA '!K20</f>
        <v>ISRAFIL DHALI</v>
      </c>
      <c r="K21" s="11" t="str">
        <f>IFERROR(VLOOKUP(J21,'RJ ATTENDENCE SHEET'!$C:$R,14,0),"")</f>
        <v>UJJIVAN SMALL FINANCE BANK</v>
      </c>
      <c r="L21" s="11" t="str">
        <f>IFERROR(VLOOKUP(J21,'RJ ATTENDENCE SHEET'!$C:$R,15,0),"")</f>
        <v>UJVN0003572</v>
      </c>
      <c r="M21" s="12" t="str">
        <f>IFERROR(VLOOKUP(J21,'RJ ATTENDENCE SHEET'!$C:$R,16,0),"")</f>
        <v>3572110010050084</v>
      </c>
      <c r="N21" s="13">
        <f>VLOOKUP(J21,'WAGES ESI (P)'!$D:$V,19,0)</f>
        <v>13933</v>
      </c>
      <c r="O21" s="14" t="s">
        <v>243</v>
      </c>
    </row>
    <row r="22" spans="1:15">
      <c r="A22" s="10">
        <v>19</v>
      </c>
      <c r="B22" s="11" t="str">
        <f>'DATA '!H21</f>
        <v/>
      </c>
      <c r="C22" s="11" t="str">
        <f>IFERROR(VLOOKUP(B22,'RJ ATTENDENCE SHEET'!$C:$R,14,0),"")</f>
        <v/>
      </c>
      <c r="D22" s="11" t="str">
        <f>IFERROR(VLOOKUP(B22,'RJ ATTENDENCE SHEET'!$C:$R,15,0),"")</f>
        <v/>
      </c>
      <c r="E22" s="12" t="str">
        <f>IFERROR(VLOOKUP(B22,'RJ ATTENDENCE SHEET'!$C:$R,16,0),"")</f>
        <v/>
      </c>
      <c r="F22" s="13">
        <f>VLOOKUP(B22,'SALARY ESI (P)'!$C:$T,18,0)</f>
        <v>0</v>
      </c>
      <c r="G22" s="14"/>
      <c r="I22" s="11">
        <v>19</v>
      </c>
      <c r="J22" s="11" t="str">
        <f>'DATA '!K21</f>
        <v>ROUF MONDAL</v>
      </c>
      <c r="K22" s="11" t="str">
        <f>IFERROR(VLOOKUP(J22,'RJ ATTENDENCE SHEET'!$C:$R,14,0),"")</f>
        <v>UCO BANK</v>
      </c>
      <c r="L22" s="11" t="str">
        <f>IFERROR(VLOOKUP(J22,'RJ ATTENDENCE SHEET'!$C:$R,15,0),"")</f>
        <v>UCBA0002550</v>
      </c>
      <c r="M22" s="12">
        <f>IFERROR(VLOOKUP(J22,'RJ ATTENDENCE SHEET'!$C:$R,16,0),"")</f>
        <v>25500110040355</v>
      </c>
      <c r="N22" s="13">
        <f>VLOOKUP(J22,'WAGES ESI (P)'!$D:$V,19,0)</f>
        <v>15243</v>
      </c>
      <c r="O22" s="14" t="s">
        <v>243</v>
      </c>
    </row>
    <row r="23" spans="1:15">
      <c r="A23" s="10">
        <v>20</v>
      </c>
      <c r="B23" s="11" t="str">
        <f>'DATA '!H22</f>
        <v/>
      </c>
      <c r="C23" s="11" t="str">
        <f>IFERROR(VLOOKUP(B23,'RJ ATTENDENCE SHEET'!$C:$R,14,0),"")</f>
        <v/>
      </c>
      <c r="D23" s="11" t="str">
        <f>IFERROR(VLOOKUP(B23,'RJ ATTENDENCE SHEET'!$C:$R,15,0),"")</f>
        <v/>
      </c>
      <c r="E23" s="12" t="str">
        <f>IFERROR(VLOOKUP(B23,'RJ ATTENDENCE SHEET'!$C:$R,16,0),"")</f>
        <v/>
      </c>
      <c r="F23" s="13">
        <f>VLOOKUP(B23,'SALARY ESI (P)'!$C:$T,18,0)</f>
        <v>0</v>
      </c>
      <c r="G23" s="14"/>
      <c r="I23" s="11">
        <v>20</v>
      </c>
      <c r="J23" s="11" t="str">
        <f>'DATA '!K22</f>
        <v>KANAK JANA</v>
      </c>
      <c r="K23" s="11" t="str">
        <f>IFERROR(VLOOKUP(J23,'RJ ATTENDENCE SHEET'!$C:$R,14,0),"")</f>
        <v>BANK OF BARODA</v>
      </c>
      <c r="L23" s="11" t="str">
        <f>IFERROR(VLOOKUP(J23,'RJ ATTENDENCE SHEET'!$C:$R,15,0),"")</f>
        <v>BARB0VJSALT</v>
      </c>
      <c r="M23" s="12">
        <f>IFERROR(VLOOKUP(J23,'RJ ATTENDENCE SHEET'!$C:$R,16,0),"")</f>
        <v>77830100006691</v>
      </c>
      <c r="N23" s="13">
        <f>VLOOKUP(J23,'WAGES ESI (P)'!$D:$V,19,0)</f>
        <v>14442.806451612902</v>
      </c>
      <c r="O23" s="14" t="s">
        <v>243</v>
      </c>
    </row>
    <row r="24" spans="1:15">
      <c r="A24" s="10">
        <v>21</v>
      </c>
      <c r="B24" s="11" t="str">
        <f>'DATA '!H23</f>
        <v/>
      </c>
      <c r="C24" s="11" t="str">
        <f>IFERROR(VLOOKUP(B24,'RJ ATTENDENCE SHEET'!$C:$R,14,0),"")</f>
        <v/>
      </c>
      <c r="D24" s="11" t="str">
        <f>IFERROR(VLOOKUP(B24,'RJ ATTENDENCE SHEET'!$C:$R,15,0),"")</f>
        <v/>
      </c>
      <c r="E24" s="12" t="str">
        <f>IFERROR(VLOOKUP(B24,'RJ ATTENDENCE SHEET'!$C:$R,16,0),"")</f>
        <v/>
      </c>
      <c r="F24" s="13">
        <f>VLOOKUP(B24,'SALARY ESI (P)'!$C:$T,18,0)</f>
        <v>0</v>
      </c>
      <c r="G24" s="14"/>
      <c r="I24" s="11">
        <v>21</v>
      </c>
      <c r="J24" s="11" t="str">
        <f>'DATA '!K23</f>
        <v>SOUMEN GARAI</v>
      </c>
      <c r="K24" s="11" t="str">
        <f>IFERROR(VLOOKUP(J24,'RJ ATTENDENCE SHEET'!$C:$R,14,0),"")</f>
        <v>UCO BANK</v>
      </c>
      <c r="L24" s="11" t="str">
        <f>IFERROR(VLOOKUP(J24,'RJ ATTENDENCE SHEET'!$C:$R,15,0),"")</f>
        <v>UCBA0001725</v>
      </c>
      <c r="M24" s="12">
        <f>IFERROR(VLOOKUP(J24,'RJ ATTENDENCE SHEET'!$C:$R,16,0),"")</f>
        <v>17250110061947</v>
      </c>
      <c r="N24" s="13">
        <f>VLOOKUP(J24,'WAGES ESI (P)'!$D:$V,19,0)</f>
        <v>13244</v>
      </c>
      <c r="O24" s="14" t="s">
        <v>243</v>
      </c>
    </row>
    <row r="25" spans="1:15">
      <c r="A25" s="10">
        <v>22</v>
      </c>
      <c r="B25" s="11" t="str">
        <f>'DATA '!H24</f>
        <v/>
      </c>
      <c r="C25" s="11" t="str">
        <f>IFERROR(VLOOKUP(B25,'RJ ATTENDENCE SHEET'!$C:$R,14,0),"")</f>
        <v/>
      </c>
      <c r="D25" s="11" t="str">
        <f>IFERROR(VLOOKUP(B25,'RJ ATTENDENCE SHEET'!$C:$R,15,0),"")</f>
        <v/>
      </c>
      <c r="E25" s="12" t="str">
        <f>IFERROR(VLOOKUP(B25,'RJ ATTENDENCE SHEET'!$C:$R,16,0),"")</f>
        <v/>
      </c>
      <c r="F25" s="13">
        <f>VLOOKUP(B25,'SALARY ESI (P)'!$C:$T,18,0)</f>
        <v>0</v>
      </c>
      <c r="G25" s="14"/>
      <c r="I25" s="11">
        <v>22</v>
      </c>
      <c r="J25" s="11" t="str">
        <f>'DATA '!K24</f>
        <v>ASHOK MONDAL</v>
      </c>
      <c r="K25" s="11" t="str">
        <f>IFERROR(VLOOKUP(J25,'RJ ATTENDENCE SHEET'!$C:$R,14,0),"")</f>
        <v>BANGIYA GRAMIN VIKASH BANK</v>
      </c>
      <c r="L25" s="11" t="str">
        <f>IFERROR(VLOOKUP(J25,'RJ ATTENDENCE SHEET'!$C:$R,15,0),"")</f>
        <v>PUNB0RRBBGB</v>
      </c>
      <c r="M25" s="12">
        <f>IFERROR(VLOOKUP(J25,'RJ ATTENDENCE SHEET'!$C:$R,16,0),"")</f>
        <v>5108010004050</v>
      </c>
      <c r="N25" s="13">
        <f>VLOOKUP(J25,'WAGES ESI (P)'!$D:$V,19,0)</f>
        <v>12718</v>
      </c>
      <c r="O25" s="14" t="s">
        <v>243</v>
      </c>
    </row>
    <row r="26" spans="1:15">
      <c r="A26" s="10">
        <v>23</v>
      </c>
      <c r="B26" s="11" t="str">
        <f>'DATA '!H25</f>
        <v/>
      </c>
      <c r="C26" s="11" t="str">
        <f>IFERROR(VLOOKUP(B26,'RJ ATTENDENCE SHEET'!$C:$R,14,0),"")</f>
        <v/>
      </c>
      <c r="D26" s="11" t="str">
        <f>IFERROR(VLOOKUP(B26,'RJ ATTENDENCE SHEET'!$C:$R,15,0),"")</f>
        <v/>
      </c>
      <c r="E26" s="12" t="str">
        <f>IFERROR(VLOOKUP(B26,'RJ ATTENDENCE SHEET'!$C:$R,16,0),"")</f>
        <v/>
      </c>
      <c r="F26" s="13">
        <f>VLOOKUP(B26,'SALARY ESI (P)'!$C:$T,18,0)</f>
        <v>0</v>
      </c>
      <c r="G26" s="14"/>
      <c r="I26" s="11">
        <v>23</v>
      </c>
      <c r="J26" s="11" t="str">
        <f>'DATA '!K25</f>
        <v>ANSWAR ALI MOLLA</v>
      </c>
      <c r="K26" s="11" t="str">
        <f>IFERROR(VLOOKUP(J26,'RJ ATTENDENCE SHEET'!$C:$R,14,0),"")</f>
        <v>SBI</v>
      </c>
      <c r="L26" s="11" t="str">
        <f>IFERROR(VLOOKUP(J26,'RJ ATTENDENCE SHEET'!$C:$R,15,0),"")</f>
        <v>SBIN0014537</v>
      </c>
      <c r="M26" s="12">
        <f>IFERROR(VLOOKUP(J26,'RJ ATTENDENCE SHEET'!$C:$R,16,0),"")</f>
        <v>34311568785</v>
      </c>
      <c r="N26" s="13">
        <f>VLOOKUP(J26,'WAGES ESI (P)'!$D:$V,19,0)</f>
        <v>13040</v>
      </c>
      <c r="O26" s="14" t="s">
        <v>243</v>
      </c>
    </row>
    <row r="27" spans="1:15">
      <c r="A27" s="10">
        <v>24</v>
      </c>
      <c r="B27" s="11" t="str">
        <f>'DATA '!H26</f>
        <v/>
      </c>
      <c r="C27" s="11" t="str">
        <f>IFERROR(VLOOKUP(B27,'RJ ATTENDENCE SHEET'!$C:$R,14,0),"")</f>
        <v/>
      </c>
      <c r="D27" s="11" t="str">
        <f>IFERROR(VLOOKUP(B27,'RJ ATTENDENCE SHEET'!$C:$R,15,0),"")</f>
        <v/>
      </c>
      <c r="E27" s="12" t="str">
        <f>IFERROR(VLOOKUP(B27,'RJ ATTENDENCE SHEET'!$C:$R,16,0),"")</f>
        <v/>
      </c>
      <c r="F27" s="13">
        <f>VLOOKUP(B27,'SALARY ESI (P)'!$C:$T,18,0)</f>
        <v>0</v>
      </c>
      <c r="G27" s="14"/>
      <c r="I27" s="11">
        <v>24</v>
      </c>
      <c r="J27" s="11" t="str">
        <f>'DATA '!K26</f>
        <v>MOMINUL HAQUE</v>
      </c>
      <c r="K27" s="11" t="str">
        <f>IFERROR(VLOOKUP(J27,'RJ ATTENDENCE SHEET'!$C:$R,14,0),"")</f>
        <v>PUNJAB NATIONAL BANK</v>
      </c>
      <c r="L27" s="11" t="str">
        <f>IFERROR(VLOOKUP(J27,'RJ ATTENDENCE SHEET'!$C:$R,15,0),"")</f>
        <v>PUNB0071920</v>
      </c>
      <c r="M27" s="12" t="str">
        <f>IFERROR(VLOOKUP(J27,'RJ ATTENDENCE SHEET'!$C:$R,16,0),"")</f>
        <v>0719010235143</v>
      </c>
      <c r="N27" s="13">
        <f>VLOOKUP(J27,'WAGES ESI (P)'!$D:$V,19,0)</f>
        <v>14604.58064516129</v>
      </c>
      <c r="O27" s="14" t="s">
        <v>243</v>
      </c>
    </row>
    <row r="28" spans="1:15">
      <c r="A28" s="10">
        <v>25</v>
      </c>
      <c r="B28" s="11" t="str">
        <f>'DATA '!H27</f>
        <v/>
      </c>
      <c r="C28" s="11" t="str">
        <f>IFERROR(VLOOKUP(B28,'RJ ATTENDENCE SHEET'!$C:$R,14,0),"")</f>
        <v/>
      </c>
      <c r="D28" s="11" t="str">
        <f>IFERROR(VLOOKUP(B28,'RJ ATTENDENCE SHEET'!$C:$R,15,0),"")</f>
        <v/>
      </c>
      <c r="E28" s="12" t="str">
        <f>IFERROR(VLOOKUP(B28,'RJ ATTENDENCE SHEET'!$C:$R,16,0),"")</f>
        <v/>
      </c>
      <c r="F28" s="13">
        <f>VLOOKUP(B28,'SALARY ESI (P)'!$C:$T,18,0)</f>
        <v>0</v>
      </c>
      <c r="G28" s="14"/>
      <c r="I28" s="11">
        <v>25</v>
      </c>
      <c r="J28" s="11" t="str">
        <f>'DATA '!K27</f>
        <v>EKRAMUL ALI</v>
      </c>
      <c r="K28" s="11" t="str">
        <f>IFERROR(VLOOKUP(J28,'RJ ATTENDENCE SHEET'!$C:$R,14,0),"")</f>
        <v>CENTRAL BANK OF INDIA</v>
      </c>
      <c r="L28" s="11" t="str">
        <f>IFERROR(VLOOKUP(J28,'RJ ATTENDENCE SHEET'!$C:$R,15,0),"")</f>
        <v>CBIN0281927</v>
      </c>
      <c r="M28" s="12">
        <f>IFERROR(VLOOKUP(J28,'RJ ATTENDENCE SHEET'!$C:$R,16,0),"")</f>
        <v>5327086346</v>
      </c>
      <c r="N28" s="13">
        <f>VLOOKUP(J28,'WAGES ESI (P)'!$D:$V,19,0)</f>
        <v>9940</v>
      </c>
      <c r="O28" s="14" t="s">
        <v>243</v>
      </c>
    </row>
    <row r="29" spans="1:15">
      <c r="A29" s="10">
        <v>26</v>
      </c>
      <c r="B29" s="11" t="str">
        <f>'DATA '!H28</f>
        <v/>
      </c>
      <c r="C29" s="11" t="str">
        <f>IFERROR(VLOOKUP(B29,'RJ ATTENDENCE SHEET'!$C:$R,14,0),"")</f>
        <v/>
      </c>
      <c r="D29" s="11" t="str">
        <f>IFERROR(VLOOKUP(B29,'RJ ATTENDENCE SHEET'!$C:$R,15,0),"")</f>
        <v/>
      </c>
      <c r="E29" s="12" t="str">
        <f>IFERROR(VLOOKUP(B29,'RJ ATTENDENCE SHEET'!$C:$R,16,0),"")</f>
        <v/>
      </c>
      <c r="F29" s="13">
        <f>VLOOKUP(B29,'SALARY ESI (P)'!$C:$T,18,0)</f>
        <v>0</v>
      </c>
      <c r="G29" s="14"/>
      <c r="I29" s="11">
        <v>26</v>
      </c>
      <c r="J29" s="11" t="str">
        <f>'DATA '!K28</f>
        <v>JULFIKAR DHALI</v>
      </c>
      <c r="K29" s="11" t="str">
        <f>IFERROR(VLOOKUP(J29,'RJ ATTENDENCE SHEET'!$C:$R,14,0),"")</f>
        <v>BANK OF INDIA</v>
      </c>
      <c r="L29" s="11" t="str">
        <f>IFERROR(VLOOKUP(J29,'RJ ATTENDENCE SHEET'!$C:$R,15,0),"")</f>
        <v>BKID0004382</v>
      </c>
      <c r="M29" s="12">
        <f>IFERROR(VLOOKUP(J29,'RJ ATTENDENCE SHEET'!$C:$R,16,0),"")</f>
        <v>438218210001792</v>
      </c>
      <c r="N29" s="13">
        <f>VLOOKUP(J29,'WAGES ESI (P)'!$D:$V,19,0)</f>
        <v>13566</v>
      </c>
      <c r="O29" s="14" t="s">
        <v>243</v>
      </c>
    </row>
    <row r="30" spans="1:15">
      <c r="A30" s="10">
        <v>27</v>
      </c>
      <c r="B30" s="11" t="str">
        <f>'DATA '!H29</f>
        <v/>
      </c>
      <c r="C30" s="11" t="str">
        <f>IFERROR(VLOOKUP(B30,'RJ ATTENDENCE SHEET'!$C:$R,14,0),"")</f>
        <v/>
      </c>
      <c r="D30" s="11" t="str">
        <f>IFERROR(VLOOKUP(B30,'RJ ATTENDENCE SHEET'!$C:$R,15,0),"")</f>
        <v/>
      </c>
      <c r="E30" s="12" t="str">
        <f>IFERROR(VLOOKUP(B30,'RJ ATTENDENCE SHEET'!$C:$R,16,0),"")</f>
        <v/>
      </c>
      <c r="F30" s="13">
        <f>VLOOKUP(B30,'SALARY ESI (P)'!$C:$T,18,0)</f>
        <v>0</v>
      </c>
      <c r="G30" s="14"/>
      <c r="I30" s="11">
        <v>27</v>
      </c>
      <c r="J30" s="11" t="str">
        <f>'DATA '!K29</f>
        <v>SUPRAKASH SAMANTO</v>
      </c>
      <c r="K30" s="11" t="str">
        <f>IFERROR(VLOOKUP(J30,'RJ ATTENDENCE SHEET'!$C:$R,14,0),"")</f>
        <v>PUNJAB NATIONAL BANK</v>
      </c>
      <c r="L30" s="11" t="str">
        <f>IFERROR(VLOOKUP(J30,'RJ ATTENDENCE SHEET'!$C:$R,15,0),"")</f>
        <v>PUNB0104620</v>
      </c>
      <c r="M30" s="12">
        <f>IFERROR(VLOOKUP(J30,'RJ ATTENDENCE SHEET'!$C:$R,16,0),"")</f>
        <v>1046010656917</v>
      </c>
      <c r="N30" s="13">
        <f>VLOOKUP(J30,'WAGES ESI (P)'!$D:$V,19,0)</f>
        <v>11063.032258064515</v>
      </c>
      <c r="O30" s="14" t="s">
        <v>243</v>
      </c>
    </row>
    <row r="31" spans="1:15">
      <c r="A31" s="10">
        <v>28</v>
      </c>
      <c r="B31" s="11" t="str">
        <f>'DATA '!H30</f>
        <v/>
      </c>
      <c r="C31" s="11" t="str">
        <f>IFERROR(VLOOKUP(B31,'RJ ATTENDENCE SHEET'!$C:$R,14,0),"")</f>
        <v/>
      </c>
      <c r="D31" s="11" t="str">
        <f>IFERROR(VLOOKUP(B31,'RJ ATTENDENCE SHEET'!$C:$R,15,0),"")</f>
        <v/>
      </c>
      <c r="E31" s="12" t="str">
        <f>IFERROR(VLOOKUP(B31,'RJ ATTENDENCE SHEET'!$C:$R,16,0),"")</f>
        <v/>
      </c>
      <c r="F31" s="13">
        <f>VLOOKUP(B31,'SALARY ESI (P)'!$C:$T,18,0)</f>
        <v>0</v>
      </c>
      <c r="G31" s="14"/>
      <c r="I31" s="11">
        <v>28</v>
      </c>
      <c r="J31" s="11" t="str">
        <f>'DATA '!K30</f>
        <v>TANMOY MONDAL</v>
      </c>
      <c r="K31" s="11" t="str">
        <f>IFERROR(VLOOKUP(J31,'RJ ATTENDENCE SHEET'!$C:$R,14,0),"")</f>
        <v>BANK OF INDIA</v>
      </c>
      <c r="L31" s="11" t="str">
        <f>IFERROR(VLOOKUP(J31,'RJ ATTENDENCE SHEET'!$C:$R,15,0),"")</f>
        <v>BKID0004382</v>
      </c>
      <c r="M31" s="12">
        <f>IFERROR(VLOOKUP(J31,'RJ ATTENDENCE SHEET'!$C:$R,16,0),"")</f>
        <v>438210110012523</v>
      </c>
      <c r="N31" s="13">
        <f>VLOOKUP(J31,'WAGES ESI (P)'!$D:$V,19,0)</f>
        <v>13338</v>
      </c>
      <c r="O31" s="14" t="s">
        <v>243</v>
      </c>
    </row>
    <row r="32" spans="1:15">
      <c r="A32" s="10">
        <v>29</v>
      </c>
      <c r="B32" s="11" t="str">
        <f>'DATA '!H31</f>
        <v/>
      </c>
      <c r="C32" s="11" t="str">
        <f>IFERROR(VLOOKUP(B32,'RJ ATTENDENCE SHEET'!$C:$R,14,0),"")</f>
        <v/>
      </c>
      <c r="D32" s="11" t="str">
        <f>IFERROR(VLOOKUP(B32,'RJ ATTENDENCE SHEET'!$C:$R,15,0),"")</f>
        <v/>
      </c>
      <c r="E32" s="12" t="str">
        <f>IFERROR(VLOOKUP(B32,'RJ ATTENDENCE SHEET'!$C:$R,16,0),"")</f>
        <v/>
      </c>
      <c r="F32" s="13">
        <f>VLOOKUP(B32,'SALARY ESI (P)'!$C:$T,18,0)</f>
        <v>0</v>
      </c>
      <c r="G32" s="14"/>
      <c r="I32" s="11">
        <v>29</v>
      </c>
      <c r="J32" s="11" t="str">
        <f>'DATA '!K31</f>
        <v>ALOK MONDAL</v>
      </c>
      <c r="K32" s="11" t="str">
        <f>IFERROR(VLOOKUP(J32,'RJ ATTENDENCE SHEET'!$C:$R,14,0),"")</f>
        <v>BANK OF BARODA</v>
      </c>
      <c r="L32" s="11" t="str">
        <f>IFERROR(VLOOKUP(J32,'RJ ATTENDENCE SHEET'!$C:$R,15,0),"")</f>
        <v>BARB0DBRAJR</v>
      </c>
      <c r="M32" s="12">
        <f>IFERROR(VLOOKUP(J32,'RJ ATTENDENCE SHEET'!$C:$R,16,0),"")</f>
        <v>80858100003185</v>
      </c>
      <c r="N32" s="13">
        <f>VLOOKUP(J32,'WAGES ESI (P)'!$D:$V,19,0)</f>
        <v>9171</v>
      </c>
      <c r="O32" s="14" t="s">
        <v>243</v>
      </c>
    </row>
    <row r="33" spans="1:15">
      <c r="A33" s="10">
        <v>30</v>
      </c>
      <c r="B33" s="11" t="str">
        <f>'DATA '!H32</f>
        <v/>
      </c>
      <c r="C33" s="11" t="str">
        <f>IFERROR(VLOOKUP(B33,'RJ ATTENDENCE SHEET'!$C:$R,14,0),"")</f>
        <v/>
      </c>
      <c r="D33" s="11" t="str">
        <f>IFERROR(VLOOKUP(B33,'RJ ATTENDENCE SHEET'!$C:$R,15,0),"")</f>
        <v/>
      </c>
      <c r="E33" s="12" t="str">
        <f>IFERROR(VLOOKUP(B33,'RJ ATTENDENCE SHEET'!$C:$R,16,0),"")</f>
        <v/>
      </c>
      <c r="F33" s="13">
        <f>VLOOKUP(B33,'SALARY ESI (P)'!$C:$T,18,0)</f>
        <v>0</v>
      </c>
      <c r="G33" s="14"/>
      <c r="I33" s="11">
        <v>30</v>
      </c>
      <c r="J33" s="11" t="str">
        <f>'DATA '!K32</f>
        <v>RAJESH BAR</v>
      </c>
      <c r="K33" s="11" t="str">
        <f>IFERROR(VLOOKUP(J33,'RJ ATTENDENCE SHEET'!$C:$R,14,0),"")</f>
        <v>PUNJAB NATIONAL BANK</v>
      </c>
      <c r="L33" s="11" t="str">
        <f>IFERROR(VLOOKUP(J33,'RJ ATTENDENCE SHEET'!$C:$R,15,0),"")</f>
        <v>PUNB0182310</v>
      </c>
      <c r="M33" s="12">
        <f>IFERROR(VLOOKUP(J33,'RJ ATTENDENCE SHEET'!$C:$R,16,0),"")</f>
        <v>18232282000362</v>
      </c>
      <c r="N33" s="13">
        <f>VLOOKUP(J33,'WAGES ESI (P)'!$D:$V,19,0)</f>
        <v>12838.806451612903</v>
      </c>
      <c r="O33" s="14" t="s">
        <v>243</v>
      </c>
    </row>
    <row r="34" spans="1:15">
      <c r="A34" s="10">
        <v>31</v>
      </c>
      <c r="B34" s="11" t="str">
        <f>'DATA '!H33</f>
        <v/>
      </c>
      <c r="C34" s="11" t="str">
        <f>IFERROR(VLOOKUP(B34,'RJ ATTENDENCE SHEET'!$C:$R,14,0),"")</f>
        <v/>
      </c>
      <c r="D34" s="11" t="str">
        <f>IFERROR(VLOOKUP(B34,'RJ ATTENDENCE SHEET'!$C:$R,15,0),"")</f>
        <v/>
      </c>
      <c r="E34" s="12" t="str">
        <f>IFERROR(VLOOKUP(B34,'RJ ATTENDENCE SHEET'!$C:$R,16,0),"")</f>
        <v/>
      </c>
      <c r="F34" s="13">
        <f>VLOOKUP(B34,'SALARY ESI (P)'!$C:$T,18,0)</f>
        <v>0</v>
      </c>
      <c r="G34" s="14"/>
      <c r="I34" s="11">
        <v>31</v>
      </c>
      <c r="J34" s="11" t="str">
        <f>'DATA '!K33</f>
        <v>BIKRAM ROY</v>
      </c>
      <c r="K34" s="11" t="str">
        <f>IFERROR(VLOOKUP(J34,'RJ ATTENDENCE SHEET'!$C:$R,14,0),"")</f>
        <v>STATE BANK OF INDIA</v>
      </c>
      <c r="L34" s="11" t="str">
        <f>IFERROR(VLOOKUP(J34,'RJ ATTENDENCE SHEET'!$C:$R,15,0),"")</f>
        <v>SBIN0006853</v>
      </c>
      <c r="M34" s="12">
        <f>IFERROR(VLOOKUP(J34,'RJ ATTENDENCE SHEET'!$C:$R,16,0),"")</f>
        <v>40569447216</v>
      </c>
      <c r="N34" s="13">
        <f>VLOOKUP(J34,'WAGES ESI (P)'!$D:$V,19,0)</f>
        <v>13898.290322580644</v>
      </c>
      <c r="O34" s="14" t="s">
        <v>243</v>
      </c>
    </row>
    <row r="35" spans="1:15">
      <c r="A35" s="10">
        <v>32</v>
      </c>
      <c r="B35" s="11" t="str">
        <f>'DATA '!H34</f>
        <v/>
      </c>
      <c r="C35" s="11" t="str">
        <f>IFERROR(VLOOKUP(B35,'RJ ATTENDENCE SHEET'!$C:$R,14,0),"")</f>
        <v/>
      </c>
      <c r="D35" s="11" t="str">
        <f>IFERROR(VLOOKUP(B35,'RJ ATTENDENCE SHEET'!$C:$R,15,0),"")</f>
        <v/>
      </c>
      <c r="E35" s="12" t="str">
        <f>IFERROR(VLOOKUP(B35,'RJ ATTENDENCE SHEET'!$C:$R,16,0),"")</f>
        <v/>
      </c>
      <c r="F35" s="13">
        <f>VLOOKUP(B35,'SALARY ESI (P)'!$C:$T,18,0)</f>
        <v>0</v>
      </c>
      <c r="G35" s="14"/>
      <c r="I35" s="11">
        <v>32</v>
      </c>
      <c r="J35" s="11" t="str">
        <f>'DATA '!K34</f>
        <v>JITU MAHALI</v>
      </c>
      <c r="K35" s="11" t="str">
        <f>IFERROR(VLOOKUP(J35,'RJ ATTENDENCE SHEET'!$C:$R,14,0),"")</f>
        <v>BANK OF INDIA</v>
      </c>
      <c r="L35" s="11" t="str">
        <f>IFERROR(VLOOKUP(J35,'RJ ATTENDENCE SHEET'!$C:$R,15,0),"")</f>
        <v>BKID0004382</v>
      </c>
      <c r="M35" s="12">
        <f>IFERROR(VLOOKUP(J35,'RJ ATTENDENCE SHEET'!$C:$R,16,0),"")</f>
        <v>438210110001543</v>
      </c>
      <c r="N35" s="13">
        <f>VLOOKUP(J35,'WAGES ESI (P)'!$D:$V,19,0)</f>
        <v>13268</v>
      </c>
      <c r="O35" s="14" t="s">
        <v>243</v>
      </c>
    </row>
    <row r="36" spans="1:15">
      <c r="A36" s="10">
        <v>33</v>
      </c>
      <c r="B36" s="11" t="str">
        <f>'DATA '!H35</f>
        <v/>
      </c>
      <c r="C36" s="11" t="str">
        <f>IFERROR(VLOOKUP(B36,'RJ ATTENDENCE SHEET'!$C:$R,14,0),"")</f>
        <v/>
      </c>
      <c r="D36" s="11" t="str">
        <f>IFERROR(VLOOKUP(B36,'RJ ATTENDENCE SHEET'!$C:$R,15,0),"")</f>
        <v/>
      </c>
      <c r="E36" s="12" t="str">
        <f>IFERROR(VLOOKUP(B36,'RJ ATTENDENCE SHEET'!$C:$R,16,0),"")</f>
        <v/>
      </c>
      <c r="F36" s="13">
        <f>VLOOKUP(B36,'SALARY ESI (P)'!$C:$T,18,0)</f>
        <v>0</v>
      </c>
      <c r="G36" s="14"/>
      <c r="I36" s="11">
        <v>33</v>
      </c>
      <c r="J36" s="11" t="str">
        <f>'DATA '!K35</f>
        <v>MILAN RUIDAS</v>
      </c>
      <c r="K36" s="11" t="str">
        <f>IFERROR(VLOOKUP(J36,'RJ ATTENDENCE SHEET'!$C:$R,14,0),"")</f>
        <v>BANK OF BARODA</v>
      </c>
      <c r="L36" s="11" t="str">
        <f>IFERROR(VLOOKUP(J36,'RJ ATTENDENCE SHEET'!$C:$R,15,0),"")</f>
        <v>BARB0GHATAL</v>
      </c>
      <c r="M36" s="12">
        <f>IFERROR(VLOOKUP(J36,'RJ ATTENDENCE SHEET'!$C:$R,16,0),"")</f>
        <v>59290100005279</v>
      </c>
      <c r="N36" s="13">
        <f>VLOOKUP(J36,'WAGES ESI (P)'!$D:$V,19,0)</f>
        <v>10846.548387096776</v>
      </c>
      <c r="O36" s="14" t="s">
        <v>243</v>
      </c>
    </row>
    <row r="37" spans="1:15">
      <c r="A37" s="10">
        <v>34</v>
      </c>
      <c r="B37" s="11" t="str">
        <f>'DATA '!H36</f>
        <v/>
      </c>
      <c r="C37" s="11" t="str">
        <f>IFERROR(VLOOKUP(B37,'RJ ATTENDENCE SHEET'!$C:$R,14,0),"")</f>
        <v/>
      </c>
      <c r="D37" s="11" t="str">
        <f>IFERROR(VLOOKUP(B37,'RJ ATTENDENCE SHEET'!$C:$R,15,0),"")</f>
        <v/>
      </c>
      <c r="E37" s="12" t="str">
        <f>IFERROR(VLOOKUP(B37,'RJ ATTENDENCE SHEET'!$C:$R,16,0),"")</f>
        <v/>
      </c>
      <c r="F37" s="13">
        <f>VLOOKUP(B37,'SALARY ESI (P)'!$C:$T,18,0)</f>
        <v>0</v>
      </c>
      <c r="G37" s="14"/>
      <c r="I37" s="11">
        <v>34</v>
      </c>
      <c r="J37" s="11" t="str">
        <f>'DATA '!K36</f>
        <v>BABLU MONDAL</v>
      </c>
      <c r="K37" s="11" t="str">
        <f>IFERROR(VLOOKUP(J37,'RJ ATTENDENCE SHEET'!$C:$R,14,0),"")</f>
        <v>BANK OF INDIA</v>
      </c>
      <c r="L37" s="11" t="str">
        <f>IFERROR(VLOOKUP(J37,'RJ ATTENDENCE SHEET'!$C:$R,15,0),"")</f>
        <v>BKID0004382</v>
      </c>
      <c r="M37" s="12">
        <f>IFERROR(VLOOKUP(J37,'RJ ATTENDENCE SHEET'!$C:$R,16,0),"")</f>
        <v>438210110009816</v>
      </c>
      <c r="N37" s="13">
        <f>VLOOKUP(J37,'WAGES ESI (P)'!$D:$V,19,0)</f>
        <v>13662.354838709676</v>
      </c>
      <c r="O37" s="14" t="s">
        <v>243</v>
      </c>
    </row>
    <row r="38" spans="1:15">
      <c r="A38" s="10">
        <v>35</v>
      </c>
      <c r="B38" s="11" t="str">
        <f>'DATA '!H37</f>
        <v/>
      </c>
      <c r="C38" s="11" t="str">
        <f>IFERROR(VLOOKUP(B38,'RJ ATTENDENCE SHEET'!$C:$R,14,0),"")</f>
        <v/>
      </c>
      <c r="D38" s="11" t="str">
        <f>IFERROR(VLOOKUP(B38,'RJ ATTENDENCE SHEET'!$C:$R,15,0),"")</f>
        <v/>
      </c>
      <c r="E38" s="12" t="str">
        <f>IFERROR(VLOOKUP(B38,'RJ ATTENDENCE SHEET'!$C:$R,16,0),"")</f>
        <v/>
      </c>
      <c r="F38" s="13">
        <f>VLOOKUP(B38,'SALARY ESI (P)'!$C:$T,18,0)</f>
        <v>0</v>
      </c>
      <c r="G38" s="14"/>
      <c r="I38" s="11">
        <v>35</v>
      </c>
      <c r="J38" s="11" t="str">
        <f>'DATA '!K37</f>
        <v/>
      </c>
      <c r="K38" s="11" t="str">
        <f>IFERROR(VLOOKUP(J38,'RJ ATTENDENCE SHEET'!$C:$R,14,0),"")</f>
        <v/>
      </c>
      <c r="L38" s="11" t="str">
        <f>IFERROR(VLOOKUP(J38,'RJ ATTENDENCE SHEET'!$C:$R,15,0),"")</f>
        <v/>
      </c>
      <c r="M38" s="12" t="str">
        <f>IFERROR(VLOOKUP(J38,'RJ ATTENDENCE SHEET'!$C:$R,16,0),"")</f>
        <v/>
      </c>
      <c r="N38" s="13">
        <f>VLOOKUP(J38,'WAGES ESI (P)'!$D:$V,19,0)</f>
        <v>0</v>
      </c>
      <c r="O38" s="14"/>
    </row>
    <row r="39" spans="1:15">
      <c r="A39" s="10">
        <v>36</v>
      </c>
      <c r="B39" s="11" t="str">
        <f>'DATA '!H38</f>
        <v/>
      </c>
      <c r="C39" s="11" t="str">
        <f>IFERROR(VLOOKUP(B39,'RJ ATTENDENCE SHEET'!$C:$R,14,0),"")</f>
        <v/>
      </c>
      <c r="D39" s="11" t="str">
        <f>IFERROR(VLOOKUP(B39,'RJ ATTENDENCE SHEET'!$C:$R,15,0),"")</f>
        <v/>
      </c>
      <c r="E39" s="12" t="str">
        <f>IFERROR(VLOOKUP(B39,'RJ ATTENDENCE SHEET'!$C:$R,16,0),"")</f>
        <v/>
      </c>
      <c r="F39" s="13">
        <f>VLOOKUP(B39,'SALARY ESI (P)'!$C:$T,18,0)</f>
        <v>0</v>
      </c>
      <c r="G39" s="14"/>
      <c r="I39" s="11">
        <v>36</v>
      </c>
      <c r="J39" s="11" t="str">
        <f>'DATA '!K38</f>
        <v/>
      </c>
      <c r="K39" s="11" t="str">
        <f>IFERROR(VLOOKUP(J39,'RJ ATTENDENCE SHEET'!$C:$R,14,0),"")</f>
        <v/>
      </c>
      <c r="L39" s="11" t="str">
        <f>IFERROR(VLOOKUP(J39,'RJ ATTENDENCE SHEET'!$C:$R,15,0),"")</f>
        <v/>
      </c>
      <c r="M39" s="12" t="str">
        <f>IFERROR(VLOOKUP(J39,'RJ ATTENDENCE SHEET'!$C:$R,16,0),"")</f>
        <v/>
      </c>
      <c r="N39" s="13">
        <f>VLOOKUP(J39,'WAGES ESI (P)'!$D:$V,19,0)</f>
        <v>0</v>
      </c>
      <c r="O39" s="14"/>
    </row>
    <row r="40" spans="1:15">
      <c r="A40" s="10">
        <v>37</v>
      </c>
      <c r="B40" s="11" t="str">
        <f>'DATA '!H39</f>
        <v/>
      </c>
      <c r="C40" s="11" t="str">
        <f>IFERROR(VLOOKUP(B40,'RJ ATTENDENCE SHEET'!$C:$R,14,0),"")</f>
        <v/>
      </c>
      <c r="D40" s="11" t="str">
        <f>IFERROR(VLOOKUP(B40,'RJ ATTENDENCE SHEET'!$C:$R,15,0),"")</f>
        <v/>
      </c>
      <c r="E40" s="12" t="str">
        <f>IFERROR(VLOOKUP(B40,'RJ ATTENDENCE SHEET'!$C:$R,16,0),"")</f>
        <v/>
      </c>
      <c r="F40" s="13">
        <f>VLOOKUP(B40,'SALARY ESI (P)'!$C:$T,18,0)</f>
        <v>0</v>
      </c>
      <c r="G40" s="14"/>
      <c r="I40" s="11">
        <v>37</v>
      </c>
      <c r="J40" s="11" t="str">
        <f>'DATA '!K39</f>
        <v/>
      </c>
      <c r="K40" s="11" t="str">
        <f>IFERROR(VLOOKUP(J40,'RJ ATTENDENCE SHEET'!$C:$R,14,0),"")</f>
        <v/>
      </c>
      <c r="L40" s="11" t="str">
        <f>IFERROR(VLOOKUP(J40,'RJ ATTENDENCE SHEET'!$C:$R,15,0),"")</f>
        <v/>
      </c>
      <c r="M40" s="12" t="str">
        <f>IFERROR(VLOOKUP(J40,'RJ ATTENDENCE SHEET'!$C:$R,16,0),"")</f>
        <v/>
      </c>
      <c r="N40" s="13">
        <f>VLOOKUP(J40,'WAGES ESI (P)'!$D:$V,19,0)</f>
        <v>0</v>
      </c>
      <c r="O40" s="14"/>
    </row>
    <row r="41" spans="1:15">
      <c r="A41" s="10">
        <v>38</v>
      </c>
      <c r="B41" s="11" t="str">
        <f>'DATA '!H40</f>
        <v/>
      </c>
      <c r="C41" s="11" t="str">
        <f>IFERROR(VLOOKUP(B41,'RJ ATTENDENCE SHEET'!$C:$R,14,0),"")</f>
        <v/>
      </c>
      <c r="D41" s="11" t="str">
        <f>IFERROR(VLOOKUP(B41,'RJ ATTENDENCE SHEET'!$C:$R,15,0),"")</f>
        <v/>
      </c>
      <c r="E41" s="12" t="str">
        <f>IFERROR(VLOOKUP(B41,'RJ ATTENDENCE SHEET'!$C:$R,16,0),"")</f>
        <v/>
      </c>
      <c r="F41" s="13">
        <f>VLOOKUP(B41,'SALARY ESI (P)'!$C:$T,18,0)</f>
        <v>0</v>
      </c>
      <c r="G41" s="14"/>
      <c r="I41" s="11">
        <v>38</v>
      </c>
      <c r="J41" s="11" t="str">
        <f>'DATA '!K40</f>
        <v/>
      </c>
      <c r="K41" s="11" t="str">
        <f>IFERROR(VLOOKUP(J41,'RJ ATTENDENCE SHEET'!$C:$R,14,0),"")</f>
        <v/>
      </c>
      <c r="L41" s="11" t="str">
        <f>IFERROR(VLOOKUP(J41,'RJ ATTENDENCE SHEET'!$C:$R,15,0),"")</f>
        <v/>
      </c>
      <c r="M41" s="12" t="str">
        <f>IFERROR(VLOOKUP(J41,'RJ ATTENDENCE SHEET'!$C:$R,16,0),"")</f>
        <v/>
      </c>
      <c r="N41" s="13">
        <f>VLOOKUP(J41,'WAGES ESI (P)'!$D:$V,19,0)</f>
        <v>0</v>
      </c>
      <c r="O41" s="14"/>
    </row>
    <row r="42" spans="1:15">
      <c r="A42" s="10">
        <v>39</v>
      </c>
      <c r="B42" s="11" t="str">
        <f>'DATA '!H41</f>
        <v/>
      </c>
      <c r="C42" s="11" t="str">
        <f>IFERROR(VLOOKUP(B42,'RJ ATTENDENCE SHEET'!$C:$R,14,0),"")</f>
        <v/>
      </c>
      <c r="D42" s="11" t="str">
        <f>IFERROR(VLOOKUP(B42,'RJ ATTENDENCE SHEET'!$C:$R,15,0),"")</f>
        <v/>
      </c>
      <c r="E42" s="12" t="str">
        <f>IFERROR(VLOOKUP(B42,'RJ ATTENDENCE SHEET'!$C:$R,16,0),"")</f>
        <v/>
      </c>
      <c r="F42" s="13">
        <f>VLOOKUP(B42,'SALARY ESI (P)'!$C:$T,18,0)</f>
        <v>0</v>
      </c>
      <c r="G42" s="14"/>
      <c r="I42" s="11">
        <v>39</v>
      </c>
      <c r="J42" s="11" t="str">
        <f>'DATA '!K41</f>
        <v/>
      </c>
      <c r="K42" s="11" t="str">
        <f>IFERROR(VLOOKUP(J42,'RJ ATTENDENCE SHEET'!$C:$R,14,0),"")</f>
        <v/>
      </c>
      <c r="L42" s="11" t="str">
        <f>IFERROR(VLOOKUP(J42,'RJ ATTENDENCE SHEET'!$C:$R,15,0),"")</f>
        <v/>
      </c>
      <c r="M42" s="12" t="str">
        <f>IFERROR(VLOOKUP(J42,'RJ ATTENDENCE SHEET'!$C:$R,16,0),"")</f>
        <v/>
      </c>
      <c r="N42" s="13">
        <f>VLOOKUP(J42,'WAGES ESI (P)'!$D:$V,19,0)</f>
        <v>0</v>
      </c>
      <c r="O42" s="14"/>
    </row>
    <row r="43" spans="1:15">
      <c r="A43" s="10">
        <v>40</v>
      </c>
      <c r="B43" s="11" t="str">
        <f>'DATA '!H42</f>
        <v/>
      </c>
      <c r="C43" s="11" t="str">
        <f>IFERROR(VLOOKUP(B43,'RJ ATTENDENCE SHEET'!$C:$R,14,0),"")</f>
        <v/>
      </c>
      <c r="D43" s="11" t="str">
        <f>IFERROR(VLOOKUP(B43,'RJ ATTENDENCE SHEET'!$C:$R,15,0),"")</f>
        <v/>
      </c>
      <c r="E43" s="12" t="str">
        <f>IFERROR(VLOOKUP(B43,'RJ ATTENDENCE SHEET'!$C:$R,16,0),"")</f>
        <v/>
      </c>
      <c r="F43" s="13">
        <f>VLOOKUP(B43,'SALARY ESI (P)'!$C:$T,18,0)</f>
        <v>0</v>
      </c>
      <c r="G43" s="14"/>
      <c r="I43" s="11">
        <v>40</v>
      </c>
      <c r="J43" s="11" t="str">
        <f>'DATA '!K42</f>
        <v/>
      </c>
      <c r="K43" s="11" t="str">
        <f>IFERROR(VLOOKUP(J43,'RJ ATTENDENCE SHEET'!$C:$R,14,0),"")</f>
        <v/>
      </c>
      <c r="L43" s="11" t="str">
        <f>IFERROR(VLOOKUP(J43,'RJ ATTENDENCE SHEET'!$C:$R,15,0),"")</f>
        <v/>
      </c>
      <c r="M43" s="12" t="str">
        <f>IFERROR(VLOOKUP(J43,'RJ ATTENDENCE SHEET'!$C:$R,16,0),"")</f>
        <v/>
      </c>
      <c r="N43" s="13">
        <f>VLOOKUP(J43,'WAGES ESI (P)'!$D:$V,19,0)</f>
        <v>0</v>
      </c>
      <c r="O43" s="14"/>
    </row>
    <row r="44" spans="1:15">
      <c r="A44" s="10">
        <v>41</v>
      </c>
      <c r="B44" s="11" t="str">
        <f>'DATA '!H43</f>
        <v/>
      </c>
      <c r="C44" s="11" t="str">
        <f>IFERROR(VLOOKUP(B44,'RJ ATTENDENCE SHEET'!$C:$R,14,0),"")</f>
        <v/>
      </c>
      <c r="D44" s="11" t="str">
        <f>IFERROR(VLOOKUP(B44,'RJ ATTENDENCE SHEET'!$C:$R,15,0),"")</f>
        <v/>
      </c>
      <c r="E44" s="12" t="str">
        <f>IFERROR(VLOOKUP(B44,'RJ ATTENDENCE SHEET'!$C:$R,16,0),"")</f>
        <v/>
      </c>
      <c r="F44" s="13">
        <f>VLOOKUP(B44,'SALARY ESI (P)'!$C:$T,18,0)</f>
        <v>0</v>
      </c>
      <c r="G44" s="14"/>
      <c r="I44" s="11">
        <v>41</v>
      </c>
      <c r="J44" s="11" t="str">
        <f>'DATA '!K43</f>
        <v/>
      </c>
      <c r="K44" s="11" t="str">
        <f>IFERROR(VLOOKUP(J44,'RJ ATTENDENCE SHEET'!$C:$R,14,0),"")</f>
        <v/>
      </c>
      <c r="L44" s="11" t="str">
        <f>IFERROR(VLOOKUP(J44,'RJ ATTENDENCE SHEET'!$C:$R,15,0),"")</f>
        <v/>
      </c>
      <c r="M44" s="12" t="str">
        <f>IFERROR(VLOOKUP(J44,'RJ ATTENDENCE SHEET'!$C:$R,16,0),"")</f>
        <v/>
      </c>
      <c r="N44" s="13">
        <f>VLOOKUP(J44,'WAGES ESI (P)'!$D:$V,19,0)</f>
        <v>0</v>
      </c>
      <c r="O44" s="14"/>
    </row>
    <row r="45" spans="1:15">
      <c r="A45" s="10">
        <v>42</v>
      </c>
      <c r="B45" s="11" t="str">
        <f>'DATA '!H44</f>
        <v/>
      </c>
      <c r="C45" s="11" t="str">
        <f>IFERROR(VLOOKUP(B45,'RJ ATTENDENCE SHEET'!$C:$R,14,0),"")</f>
        <v/>
      </c>
      <c r="D45" s="11" t="str">
        <f>IFERROR(VLOOKUP(B45,'RJ ATTENDENCE SHEET'!$C:$R,15,0),"")</f>
        <v/>
      </c>
      <c r="E45" s="12" t="str">
        <f>IFERROR(VLOOKUP(B45,'RJ ATTENDENCE SHEET'!$C:$R,16,0),"")</f>
        <v/>
      </c>
      <c r="F45" s="13">
        <f>VLOOKUP(B45,'SALARY ESI (P)'!$C:$T,18,0)</f>
        <v>0</v>
      </c>
      <c r="G45" s="14"/>
      <c r="I45" s="11">
        <v>42</v>
      </c>
      <c r="J45" s="11" t="str">
        <f>'DATA '!K44</f>
        <v/>
      </c>
      <c r="K45" s="11" t="str">
        <f>IFERROR(VLOOKUP(J45,'RJ ATTENDENCE SHEET'!$C:$R,14,0),"")</f>
        <v/>
      </c>
      <c r="L45" s="11" t="str">
        <f>IFERROR(VLOOKUP(J45,'RJ ATTENDENCE SHEET'!$C:$R,15,0),"")</f>
        <v/>
      </c>
      <c r="M45" s="12" t="str">
        <f>IFERROR(VLOOKUP(J45,'RJ ATTENDENCE SHEET'!$C:$R,16,0),"")</f>
        <v/>
      </c>
      <c r="N45" s="13">
        <f>VLOOKUP(J45,'WAGES ESI (P)'!$D:$V,19,0)</f>
        <v>0</v>
      </c>
      <c r="O45" s="14"/>
    </row>
    <row r="46" spans="1:15">
      <c r="A46" s="10">
        <v>43</v>
      </c>
      <c r="B46" s="11" t="str">
        <f>'DATA '!H45</f>
        <v/>
      </c>
      <c r="C46" s="11" t="str">
        <f>IFERROR(VLOOKUP(B46,'RJ ATTENDENCE SHEET'!$C:$R,14,0),"")</f>
        <v/>
      </c>
      <c r="D46" s="11" t="str">
        <f>IFERROR(VLOOKUP(B46,'RJ ATTENDENCE SHEET'!$C:$R,15,0),"")</f>
        <v/>
      </c>
      <c r="E46" s="12" t="str">
        <f>IFERROR(VLOOKUP(B46,'RJ ATTENDENCE SHEET'!$C:$R,16,0),"")</f>
        <v/>
      </c>
      <c r="F46" s="13">
        <f>VLOOKUP(B46,'SALARY ESI (P)'!$C:$T,18,0)</f>
        <v>0</v>
      </c>
      <c r="G46" s="14"/>
      <c r="I46" s="11">
        <v>43</v>
      </c>
      <c r="J46" s="11" t="str">
        <f>'DATA '!K45</f>
        <v/>
      </c>
      <c r="K46" s="11" t="str">
        <f>IFERROR(VLOOKUP(J46,'RJ ATTENDENCE SHEET'!$C:$R,14,0),"")</f>
        <v/>
      </c>
      <c r="L46" s="11" t="str">
        <f>IFERROR(VLOOKUP(J46,'RJ ATTENDENCE SHEET'!$C:$R,15,0),"")</f>
        <v/>
      </c>
      <c r="M46" s="12" t="str">
        <f>IFERROR(VLOOKUP(J46,'RJ ATTENDENCE SHEET'!$C:$R,16,0),"")</f>
        <v/>
      </c>
      <c r="N46" s="13">
        <f>VLOOKUP(J46,'WAGES ESI (P)'!$D:$V,19,0)</f>
        <v>0</v>
      </c>
      <c r="O46" s="14"/>
    </row>
    <row r="47" spans="1:15">
      <c r="A47" s="10">
        <v>44</v>
      </c>
      <c r="B47" s="11" t="str">
        <f>'DATA '!H46</f>
        <v/>
      </c>
      <c r="C47" s="11" t="str">
        <f>IFERROR(VLOOKUP(B47,'RJ ATTENDENCE SHEET'!$C:$R,14,0),"")</f>
        <v/>
      </c>
      <c r="D47" s="11" t="str">
        <f>IFERROR(VLOOKUP(B47,'RJ ATTENDENCE SHEET'!$C:$R,15,0),"")</f>
        <v/>
      </c>
      <c r="E47" s="12" t="str">
        <f>IFERROR(VLOOKUP(B47,'RJ ATTENDENCE SHEET'!$C:$R,16,0),"")</f>
        <v/>
      </c>
      <c r="F47" s="13">
        <f>VLOOKUP(B47,'SALARY ESI (P)'!$C:$T,18,0)</f>
        <v>0</v>
      </c>
      <c r="G47" s="14"/>
      <c r="I47" s="11">
        <v>44</v>
      </c>
      <c r="J47" s="11" t="str">
        <f>'DATA '!K46</f>
        <v/>
      </c>
      <c r="K47" s="11" t="str">
        <f>IFERROR(VLOOKUP(J47,'RJ ATTENDENCE SHEET'!$C:$R,14,0),"")</f>
        <v/>
      </c>
      <c r="L47" s="11" t="str">
        <f>IFERROR(VLOOKUP(J47,'RJ ATTENDENCE SHEET'!$C:$R,15,0),"")</f>
        <v/>
      </c>
      <c r="M47" s="12" t="str">
        <f>IFERROR(VLOOKUP(J47,'RJ ATTENDENCE SHEET'!$C:$R,16,0),"")</f>
        <v/>
      </c>
      <c r="N47" s="13">
        <f>VLOOKUP(J47,'WAGES ESI (P)'!$D:$V,19,0)</f>
        <v>0</v>
      </c>
      <c r="O47" s="14"/>
    </row>
    <row r="48" spans="1:15">
      <c r="A48" s="10">
        <v>45</v>
      </c>
      <c r="B48" s="11" t="str">
        <f>'DATA '!H47</f>
        <v/>
      </c>
      <c r="C48" s="11" t="str">
        <f>IFERROR(VLOOKUP(B48,'RJ ATTENDENCE SHEET'!$C:$R,14,0),"")</f>
        <v/>
      </c>
      <c r="D48" s="11" t="str">
        <f>IFERROR(VLOOKUP(B48,'RJ ATTENDENCE SHEET'!$C:$R,15,0),"")</f>
        <v/>
      </c>
      <c r="E48" s="12" t="str">
        <f>IFERROR(VLOOKUP(B48,'RJ ATTENDENCE SHEET'!$C:$R,16,0),"")</f>
        <v/>
      </c>
      <c r="F48" s="13">
        <f>VLOOKUP(B48,'SALARY ESI (P)'!$C:$T,18,0)</f>
        <v>0</v>
      </c>
      <c r="G48" s="14"/>
      <c r="I48" s="11">
        <v>45</v>
      </c>
      <c r="J48" s="11" t="str">
        <f>'DATA '!K47</f>
        <v/>
      </c>
      <c r="K48" s="11" t="str">
        <f>IFERROR(VLOOKUP(J48,'RJ ATTENDENCE SHEET'!$C:$R,14,0),"")</f>
        <v/>
      </c>
      <c r="L48" s="11" t="str">
        <f>IFERROR(VLOOKUP(J48,'RJ ATTENDENCE SHEET'!$C:$R,15,0),"")</f>
        <v/>
      </c>
      <c r="M48" s="12" t="str">
        <f>IFERROR(VLOOKUP(J48,'RJ ATTENDENCE SHEET'!$C:$R,16,0),"")</f>
        <v/>
      </c>
      <c r="N48" s="13">
        <f>VLOOKUP(J48,'WAGES ESI (P)'!$D:$V,19,0)</f>
        <v>0</v>
      </c>
      <c r="O48" s="14"/>
    </row>
    <row r="49" spans="1:15">
      <c r="A49" s="10">
        <v>46</v>
      </c>
      <c r="B49" s="11" t="str">
        <f>'DATA '!H48</f>
        <v/>
      </c>
      <c r="C49" s="11" t="str">
        <f>IFERROR(VLOOKUP(B49,'RJ ATTENDENCE SHEET'!$C:$R,14,0),"")</f>
        <v/>
      </c>
      <c r="D49" s="11" t="str">
        <f>IFERROR(VLOOKUP(B49,'RJ ATTENDENCE SHEET'!$C:$R,15,0),"")</f>
        <v/>
      </c>
      <c r="E49" s="12" t="str">
        <f>IFERROR(VLOOKUP(B49,'RJ ATTENDENCE SHEET'!$C:$R,16,0),"")</f>
        <v/>
      </c>
      <c r="F49" s="13">
        <f>VLOOKUP(B49,'SALARY ESI (P)'!$C:$T,18,0)</f>
        <v>0</v>
      </c>
      <c r="G49" s="14"/>
      <c r="I49" s="11">
        <v>46</v>
      </c>
      <c r="J49" s="11" t="str">
        <f>'DATA '!K48</f>
        <v/>
      </c>
      <c r="K49" s="11" t="str">
        <f>IFERROR(VLOOKUP(J49,'RJ ATTENDENCE SHEET'!$C:$R,14,0),"")</f>
        <v/>
      </c>
      <c r="L49" s="11" t="str">
        <f>IFERROR(VLOOKUP(J49,'RJ ATTENDENCE SHEET'!$C:$R,15,0),"")</f>
        <v/>
      </c>
      <c r="M49" s="12" t="str">
        <f>IFERROR(VLOOKUP(J49,'RJ ATTENDENCE SHEET'!$C:$R,16,0),"")</f>
        <v/>
      </c>
      <c r="N49" s="13">
        <f>VLOOKUP(J49,'WAGES ESI (P)'!$D:$V,19,0)</f>
        <v>0</v>
      </c>
      <c r="O49" s="14"/>
    </row>
    <row r="50" spans="1:15">
      <c r="A50" s="10">
        <v>47</v>
      </c>
      <c r="B50" s="11" t="str">
        <f>'DATA '!H49</f>
        <v/>
      </c>
      <c r="C50" s="11" t="str">
        <f>IFERROR(VLOOKUP(B50,'RJ ATTENDENCE SHEET'!$C:$R,14,0),"")</f>
        <v/>
      </c>
      <c r="D50" s="11" t="str">
        <f>IFERROR(VLOOKUP(B50,'RJ ATTENDENCE SHEET'!$C:$R,15,0),"")</f>
        <v/>
      </c>
      <c r="E50" s="12" t="str">
        <f>IFERROR(VLOOKUP(B50,'RJ ATTENDENCE SHEET'!$C:$R,16,0),"")</f>
        <v/>
      </c>
      <c r="F50" s="13">
        <f>VLOOKUP(B50,'SALARY ESI (P)'!$C:$T,18,0)</f>
        <v>0</v>
      </c>
      <c r="G50" s="14"/>
      <c r="I50" s="11">
        <v>47</v>
      </c>
      <c r="J50" s="11" t="str">
        <f>'DATA '!K49</f>
        <v/>
      </c>
      <c r="K50" s="11" t="str">
        <f>IFERROR(VLOOKUP(J50,'RJ ATTENDENCE SHEET'!$C:$R,14,0),"")</f>
        <v/>
      </c>
      <c r="L50" s="11" t="str">
        <f>IFERROR(VLOOKUP(J50,'RJ ATTENDENCE SHEET'!$C:$R,15,0),"")</f>
        <v/>
      </c>
      <c r="M50" s="12" t="str">
        <f>IFERROR(VLOOKUP(J50,'RJ ATTENDENCE SHEET'!$C:$R,16,0),"")</f>
        <v/>
      </c>
      <c r="N50" s="13">
        <f>VLOOKUP(J50,'WAGES ESI (P)'!$D:$V,19,0)</f>
        <v>0</v>
      </c>
      <c r="O50" s="14"/>
    </row>
    <row r="51" spans="1:15">
      <c r="A51" s="10">
        <v>48</v>
      </c>
      <c r="B51" s="11" t="str">
        <f>'DATA '!H50</f>
        <v/>
      </c>
      <c r="C51" s="11" t="str">
        <f>IFERROR(VLOOKUP(B51,'RJ ATTENDENCE SHEET'!$C:$R,14,0),"")</f>
        <v/>
      </c>
      <c r="D51" s="11" t="str">
        <f>IFERROR(VLOOKUP(B51,'RJ ATTENDENCE SHEET'!$C:$R,15,0),"")</f>
        <v/>
      </c>
      <c r="E51" s="12" t="str">
        <f>IFERROR(VLOOKUP(B51,'RJ ATTENDENCE SHEET'!$C:$R,16,0),"")</f>
        <v/>
      </c>
      <c r="F51" s="13">
        <f>VLOOKUP(B51,'SALARY ESI (P)'!$C:$T,18,0)</f>
        <v>0</v>
      </c>
      <c r="G51" s="14"/>
      <c r="I51" s="11">
        <v>48</v>
      </c>
      <c r="J51" s="11" t="str">
        <f>'DATA '!K50</f>
        <v/>
      </c>
      <c r="K51" s="11" t="str">
        <f>IFERROR(VLOOKUP(J51,'RJ ATTENDENCE SHEET'!$C:$R,14,0),"")</f>
        <v/>
      </c>
      <c r="L51" s="11" t="str">
        <f>IFERROR(VLOOKUP(J51,'RJ ATTENDENCE SHEET'!$C:$R,15,0),"")</f>
        <v/>
      </c>
      <c r="M51" s="12" t="str">
        <f>IFERROR(VLOOKUP(J51,'RJ ATTENDENCE SHEET'!$C:$R,16,0),"")</f>
        <v/>
      </c>
      <c r="N51" s="13">
        <f>VLOOKUP(J51,'WAGES ESI (P)'!$D:$V,19,0)</f>
        <v>0</v>
      </c>
      <c r="O51" s="14"/>
    </row>
    <row r="52" spans="1:15">
      <c r="A52" s="10">
        <v>49</v>
      </c>
      <c r="B52" s="11" t="str">
        <f>'DATA '!H51</f>
        <v/>
      </c>
      <c r="C52" s="11" t="str">
        <f>IFERROR(VLOOKUP(B52,'RJ ATTENDENCE SHEET'!$C:$R,14,0),"")</f>
        <v/>
      </c>
      <c r="D52" s="11" t="str">
        <f>IFERROR(VLOOKUP(B52,'RJ ATTENDENCE SHEET'!$C:$R,15,0),"")</f>
        <v/>
      </c>
      <c r="E52" s="12" t="str">
        <f>IFERROR(VLOOKUP(B52,'RJ ATTENDENCE SHEET'!$C:$R,16,0),"")</f>
        <v/>
      </c>
      <c r="F52" s="13">
        <f>VLOOKUP(B52,'SALARY ESI (P)'!$C:$T,18,0)</f>
        <v>0</v>
      </c>
      <c r="G52" s="14"/>
      <c r="I52" s="11">
        <v>49</v>
      </c>
      <c r="J52" s="11" t="str">
        <f>'DATA '!K51</f>
        <v/>
      </c>
      <c r="K52" s="11" t="str">
        <f>IFERROR(VLOOKUP(J52,'RJ ATTENDENCE SHEET'!$C:$R,14,0),"")</f>
        <v/>
      </c>
      <c r="L52" s="11" t="str">
        <f>IFERROR(VLOOKUP(J52,'RJ ATTENDENCE SHEET'!$C:$R,15,0),"")</f>
        <v/>
      </c>
      <c r="M52" s="12" t="str">
        <f>IFERROR(VLOOKUP(J52,'RJ ATTENDENCE SHEET'!$C:$R,16,0),"")</f>
        <v/>
      </c>
      <c r="N52" s="13">
        <f>VLOOKUP(J52,'WAGES ESI (P)'!$D:$V,19,0)</f>
        <v>0</v>
      </c>
      <c r="O52" s="14"/>
    </row>
    <row r="53" spans="1:15">
      <c r="A53" s="10">
        <v>50</v>
      </c>
      <c r="B53" s="11" t="str">
        <f>'DATA '!H52</f>
        <v/>
      </c>
      <c r="C53" s="11" t="str">
        <f>IFERROR(VLOOKUP(B53,'RJ ATTENDENCE SHEET'!$C:$R,14,0),"")</f>
        <v/>
      </c>
      <c r="D53" s="11" t="str">
        <f>IFERROR(VLOOKUP(B53,'RJ ATTENDENCE SHEET'!$C:$R,15,0),"")</f>
        <v/>
      </c>
      <c r="E53" s="12" t="str">
        <f>IFERROR(VLOOKUP(B53,'RJ ATTENDENCE SHEET'!$C:$R,16,0),"")</f>
        <v/>
      </c>
      <c r="F53" s="13">
        <f>VLOOKUP(B53,'SALARY ESI (P)'!$C:$T,18,0)</f>
        <v>0</v>
      </c>
      <c r="G53" s="14"/>
      <c r="I53" s="11">
        <v>50</v>
      </c>
      <c r="J53" s="11" t="str">
        <f>'DATA '!K52</f>
        <v/>
      </c>
      <c r="K53" s="11" t="str">
        <f>IFERROR(VLOOKUP(J53,'RJ ATTENDENCE SHEET'!$C:$R,14,0),"")</f>
        <v/>
      </c>
      <c r="L53" s="11" t="str">
        <f>IFERROR(VLOOKUP(J53,'RJ ATTENDENCE SHEET'!$C:$R,15,0),"")</f>
        <v/>
      </c>
      <c r="M53" s="12" t="str">
        <f>IFERROR(VLOOKUP(J53,'RJ ATTENDENCE SHEET'!$C:$R,16,0),"")</f>
        <v/>
      </c>
      <c r="N53" s="13">
        <f>VLOOKUP(J53,'WAGES ESI (P)'!$D:$V,19,0)</f>
        <v>0</v>
      </c>
      <c r="O53" s="14"/>
    </row>
    <row r="54" spans="1:15">
      <c r="A54" s="10">
        <v>51</v>
      </c>
      <c r="B54" s="11" t="str">
        <f>'DATA '!H53</f>
        <v/>
      </c>
      <c r="C54" s="11" t="str">
        <f>IFERROR(VLOOKUP(B54,'RJ ATTENDENCE SHEET'!$C:$R,14,0),"")</f>
        <v/>
      </c>
      <c r="D54" s="11" t="str">
        <f>IFERROR(VLOOKUP(B54,'RJ ATTENDENCE SHEET'!$C:$R,15,0),"")</f>
        <v/>
      </c>
      <c r="E54" s="12" t="str">
        <f>IFERROR(VLOOKUP(B54,'RJ ATTENDENCE SHEET'!$C:$R,16,0),"")</f>
        <v/>
      </c>
      <c r="F54" s="13">
        <f>VLOOKUP(B54,'SALARY ESI (P)'!$C:$T,18,0)</f>
        <v>0</v>
      </c>
      <c r="G54" s="14"/>
      <c r="I54" s="11">
        <v>51</v>
      </c>
      <c r="J54" s="11" t="str">
        <f>'DATA '!K53</f>
        <v/>
      </c>
      <c r="K54" s="11" t="str">
        <f>IFERROR(VLOOKUP(J54,'RJ ATTENDENCE SHEET'!$C:$R,14,0),"")</f>
        <v/>
      </c>
      <c r="L54" s="11" t="str">
        <f>IFERROR(VLOOKUP(J54,'RJ ATTENDENCE SHEET'!$C:$R,15,0),"")</f>
        <v/>
      </c>
      <c r="M54" s="12" t="str">
        <f>IFERROR(VLOOKUP(J54,'RJ ATTENDENCE SHEET'!$C:$R,16,0),"")</f>
        <v/>
      </c>
      <c r="N54" s="13">
        <f>VLOOKUP(J54,'WAGES ESI (P)'!$D:$V,19,0)</f>
        <v>0</v>
      </c>
      <c r="O54" s="14"/>
    </row>
  </sheetData>
  <sheetProtection algorithmName="SHA-512" hashValue="Y9eZcAZitaLrSu/Ach9jSMksT/06u6Ycov52z1vBcNpOhVZNmUhJqcRwGtFrDsZZIoaV7HiJh7UjX+/eFlUo3A==" saltValue="rGbVn1okWuO3qv1jFV9dEg==" spinCount="100000" sheet="1" objects="1" scenarios="1"/>
  <mergeCells count="6">
    <mergeCell ref="A1:G1"/>
    <mergeCell ref="I1:O1"/>
    <mergeCell ref="A2:D2"/>
    <mergeCell ref="E2:G2"/>
    <mergeCell ref="I2:L2"/>
    <mergeCell ref="M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OTHER PLANT ATTN.</vt:lpstr>
      <vt:lpstr>DATA </vt:lpstr>
      <vt:lpstr>WHATSAPP</vt:lpstr>
      <vt:lpstr>RJ ATTENDENCE SHEET</vt:lpstr>
      <vt:lpstr>SALARY</vt:lpstr>
      <vt:lpstr>WAGES</vt:lpstr>
      <vt:lpstr>SALARY ESI (P)</vt:lpstr>
      <vt:lpstr>WAGES ESI (P)</vt:lpstr>
      <vt:lpstr>CONTRACT TOTAL (P)</vt:lpstr>
      <vt:lpstr>BANK TRANSFER</vt:lpstr>
      <vt:lpstr>DRIVER</vt:lpstr>
      <vt:lpstr>PLANT</vt:lpstr>
      <vt:lpstr>'RJ ATTENDENCE SHEET'!Print_Area</vt:lpstr>
      <vt:lpstr>'SALARY ESI (P)'!Print_Area</vt:lpstr>
      <vt:lpstr>'WAGES ESI (P)'!Print_Area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Kedia</dc:creator>
  <cp:lastModifiedBy>Windows User</cp:lastModifiedBy>
  <cp:lastPrinted>2026-08-18T05:02:30Z</cp:lastPrinted>
  <dcterms:created xsi:type="dcterms:W3CDTF">2018-07-16T21:30:00Z</dcterms:created>
  <dcterms:modified xsi:type="dcterms:W3CDTF">2026-08-18T06:22:34Z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CD352F7EDC70406D84C6265C9C7BC615</vt:lpwstr>
  </property>
  <property fmtid="{D5CDD505-2E9C-101B-9397-08002B2CF9AE}" pid="3" name="KSOProductBuildVer">
    <vt:lpwstr>1033-11.2.0.11537</vt:lpwstr>
  </property>
</Properties>
</file>