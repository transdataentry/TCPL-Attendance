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1E43313-1D08-4E2C-94DC-8E6CCDDCCA9F}" xr6:coauthVersionLast="47" xr6:coauthVersionMax="47" xr10:uidLastSave="{00000000-0000-0000-0000-000000000000}"/>
  <bookViews>
    <workbookView xWindow="-120" yWindow="-120" windowWidth="20730" windowHeight="11040" tabRatio="899" firstSheet="1" activeTab="2" xr2:uid="{00000000-000D-0000-FFFF-FFFF00000000}"/>
  </bookViews>
  <sheets>
    <sheet name="Dashboard" sheetId="1" r:id="rId1"/>
    <sheet name="Compliance Summary" sheetId="2" r:id="rId2"/>
    <sheet name="Salary Sheet - WB Compliant" sheetId="5" r:id="rId3"/>
    <sheet name="PF Capping Comparison" sheetId="3" r:id="rId4"/>
    <sheet name="ESI Impact Comparison" sheetId="4" r:id="rId5"/>
    <sheet name="Skill Mapping" sheetId="6" r:id="rId6"/>
    <sheet name="Min Wages (WB Zone A)" sheetId="7" r:id="rId7"/>
  </sheets>
  <definedNames>
    <definedName name="MinWageTable">'Min Wages (WB Zone A)'!$B$6:$C$9</definedName>
    <definedName name="SkillMap">'Skill Mapping'!$B$4:$C$10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26" i="5" l="1"/>
  <c r="L126" i="5"/>
  <c r="K126" i="5"/>
  <c r="J126" i="5"/>
  <c r="I126" i="5"/>
  <c r="H126" i="5"/>
  <c r="AE125" i="5"/>
  <c r="AD125" i="5"/>
  <c r="S125" i="5"/>
  <c r="M125" i="5"/>
  <c r="O125" i="5" s="1"/>
  <c r="P125" i="5" s="1"/>
  <c r="Q125" i="5" s="1"/>
  <c r="F125" i="5"/>
  <c r="G125" i="5" s="1"/>
  <c r="S124" i="5"/>
  <c r="M124" i="5"/>
  <c r="O124" i="5" s="1"/>
  <c r="P124" i="5" s="1"/>
  <c r="Q124" i="5" s="1"/>
  <c r="F124" i="5"/>
  <c r="G124" i="5" s="1"/>
  <c r="S123" i="5"/>
  <c r="M123" i="5"/>
  <c r="O123" i="5" s="1"/>
  <c r="P123" i="5" s="1"/>
  <c r="Q123" i="5" s="1"/>
  <c r="G123" i="5"/>
  <c r="F123" i="5"/>
  <c r="S122" i="5"/>
  <c r="M122" i="5"/>
  <c r="O122" i="5" s="1"/>
  <c r="P122" i="5" s="1"/>
  <c r="Q122" i="5" s="1"/>
  <c r="G122" i="5"/>
  <c r="F122" i="5"/>
  <c r="S121" i="5"/>
  <c r="O121" i="5"/>
  <c r="M121" i="5"/>
  <c r="G121" i="5"/>
  <c r="F121" i="5"/>
  <c r="S120" i="5"/>
  <c r="O120" i="5"/>
  <c r="P120" i="5" s="1"/>
  <c r="Q120" i="5" s="1"/>
  <c r="M120" i="5"/>
  <c r="G120" i="5"/>
  <c r="F120" i="5"/>
  <c r="S119" i="5"/>
  <c r="M119" i="5"/>
  <c r="O119" i="5" s="1"/>
  <c r="P119" i="5" s="1"/>
  <c r="Q119" i="5" s="1"/>
  <c r="G119" i="5"/>
  <c r="F119" i="5"/>
  <c r="S118" i="5"/>
  <c r="O118" i="5"/>
  <c r="M118" i="5"/>
  <c r="G118" i="5"/>
  <c r="P118" i="5" s="1"/>
  <c r="Q118" i="5" s="1"/>
  <c r="F118" i="5"/>
  <c r="AE117" i="5"/>
  <c r="AD117" i="5"/>
  <c r="S117" i="5"/>
  <c r="O117" i="5"/>
  <c r="P117" i="5" s="1"/>
  <c r="Q117" i="5" s="1"/>
  <c r="M117" i="5"/>
  <c r="F117" i="5"/>
  <c r="G117" i="5" s="1"/>
  <c r="AE116" i="5"/>
  <c r="AD116" i="5"/>
  <c r="S116" i="5"/>
  <c r="O116" i="5"/>
  <c r="M116" i="5"/>
  <c r="F116" i="5"/>
  <c r="G116" i="5" s="1"/>
  <c r="P116" i="5" s="1"/>
  <c r="Q116" i="5" s="1"/>
  <c r="AE115" i="5"/>
  <c r="AD115" i="5"/>
  <c r="AC115" i="5"/>
  <c r="S115" i="5"/>
  <c r="M115" i="5"/>
  <c r="O115" i="5" s="1"/>
  <c r="F115" i="5"/>
  <c r="G115" i="5" s="1"/>
  <c r="P115" i="5" s="1"/>
  <c r="Q115" i="5" s="1"/>
  <c r="AE114" i="5"/>
  <c r="AD114" i="5"/>
  <c r="S114" i="5"/>
  <c r="M114" i="5"/>
  <c r="O114" i="5" s="1"/>
  <c r="F114" i="5"/>
  <c r="G114" i="5" s="1"/>
  <c r="S113" i="5"/>
  <c r="O113" i="5"/>
  <c r="P113" i="5" s="1"/>
  <c r="Q113" i="5" s="1"/>
  <c r="M113" i="5"/>
  <c r="G113" i="5"/>
  <c r="F113" i="5"/>
  <c r="AE112" i="5"/>
  <c r="AD112" i="5"/>
  <c r="S112" i="5"/>
  <c r="O112" i="5"/>
  <c r="M112" i="5"/>
  <c r="G112" i="5"/>
  <c r="P112" i="5" s="1"/>
  <c r="Q112" i="5" s="1"/>
  <c r="F112" i="5"/>
  <c r="S111" i="5"/>
  <c r="M111" i="5"/>
  <c r="O111" i="5" s="1"/>
  <c r="P111" i="5" s="1"/>
  <c r="Q111" i="5" s="1"/>
  <c r="F111" i="5"/>
  <c r="G111" i="5" s="1"/>
  <c r="AE110" i="5"/>
  <c r="AD110" i="5"/>
  <c r="S110" i="5"/>
  <c r="R110" i="5"/>
  <c r="O110" i="5"/>
  <c r="M110" i="5"/>
  <c r="G110" i="5"/>
  <c r="P110" i="5" s="1"/>
  <c r="Q110" i="5" s="1"/>
  <c r="F110" i="5"/>
  <c r="S109" i="5"/>
  <c r="M109" i="5"/>
  <c r="O109" i="5" s="1"/>
  <c r="P109" i="5" s="1"/>
  <c r="Q109" i="5" s="1"/>
  <c r="F109" i="5"/>
  <c r="G109" i="5" s="1"/>
  <c r="W108" i="5"/>
  <c r="S108" i="5"/>
  <c r="R108" i="5"/>
  <c r="T108" i="5" s="1"/>
  <c r="O108" i="5"/>
  <c r="M108" i="5"/>
  <c r="F108" i="5"/>
  <c r="G108" i="5" s="1"/>
  <c r="P108" i="5" s="1"/>
  <c r="Q108" i="5" s="1"/>
  <c r="AC108" i="5" s="1"/>
  <c r="AE107" i="5"/>
  <c r="AD107" i="5"/>
  <c r="S107" i="5"/>
  <c r="M107" i="5"/>
  <c r="O107" i="5" s="1"/>
  <c r="F107" i="5"/>
  <c r="G107" i="5" s="1"/>
  <c r="S106" i="5"/>
  <c r="M106" i="5"/>
  <c r="O106" i="5" s="1"/>
  <c r="F106" i="5"/>
  <c r="G106" i="5" s="1"/>
  <c r="S105" i="5"/>
  <c r="O105" i="5"/>
  <c r="P105" i="5" s="1"/>
  <c r="Q105" i="5" s="1"/>
  <c r="M105" i="5"/>
  <c r="F105" i="5"/>
  <c r="G105" i="5" s="1"/>
  <c r="S104" i="5"/>
  <c r="O104" i="5"/>
  <c r="M104" i="5"/>
  <c r="G104" i="5"/>
  <c r="F104" i="5"/>
  <c r="AE103" i="5"/>
  <c r="AD103" i="5"/>
  <c r="W103" i="5"/>
  <c r="V103" i="5"/>
  <c r="U103" i="5"/>
  <c r="T103" i="5"/>
  <c r="S103" i="5"/>
  <c r="Q103" i="5"/>
  <c r="AC103" i="5" s="1"/>
  <c r="M103" i="5"/>
  <c r="O103" i="5" s="1"/>
  <c r="P103" i="5" s="1"/>
  <c r="G103" i="5"/>
  <c r="F103" i="5"/>
  <c r="AE102" i="5"/>
  <c r="AD102" i="5"/>
  <c r="W102" i="5"/>
  <c r="V102" i="5"/>
  <c r="U102" i="5"/>
  <c r="S102" i="5"/>
  <c r="T102" i="5" s="1"/>
  <c r="O102" i="5"/>
  <c r="M102" i="5"/>
  <c r="G102" i="5"/>
  <c r="F102" i="5"/>
  <c r="AE101" i="5"/>
  <c r="AD101" i="5"/>
  <c r="V101" i="5"/>
  <c r="S101" i="5"/>
  <c r="W101" i="5" s="1"/>
  <c r="O101" i="5"/>
  <c r="P101" i="5" s="1"/>
  <c r="Q101" i="5" s="1"/>
  <c r="M101" i="5"/>
  <c r="F101" i="5"/>
  <c r="G101" i="5" s="1"/>
  <c r="AE100" i="5"/>
  <c r="AD100" i="5"/>
  <c r="W100" i="5"/>
  <c r="T100" i="5"/>
  <c r="S100" i="5"/>
  <c r="O100" i="5"/>
  <c r="M100" i="5"/>
  <c r="F100" i="5"/>
  <c r="G100" i="5" s="1"/>
  <c r="P100" i="5" s="1"/>
  <c r="Q100" i="5" s="1"/>
  <c r="S99" i="5"/>
  <c r="Q99" i="5"/>
  <c r="M99" i="5"/>
  <c r="O99" i="5" s="1"/>
  <c r="G99" i="5"/>
  <c r="P99" i="5" s="1"/>
  <c r="F99" i="5"/>
  <c r="AE98" i="5"/>
  <c r="AD98" i="5"/>
  <c r="U98" i="5"/>
  <c r="T98" i="5"/>
  <c r="S98" i="5"/>
  <c r="W98" i="5" s="1"/>
  <c r="R98" i="5"/>
  <c r="M98" i="5"/>
  <c r="O98" i="5" s="1"/>
  <c r="P98" i="5" s="1"/>
  <c r="Q98" i="5" s="1"/>
  <c r="AC98" i="5" s="1"/>
  <c r="G98" i="5"/>
  <c r="F98" i="5"/>
  <c r="AE97" i="5"/>
  <c r="AD97" i="5"/>
  <c r="U97" i="5"/>
  <c r="S97" i="5"/>
  <c r="M97" i="5"/>
  <c r="O97" i="5" s="1"/>
  <c r="P97" i="5" s="1"/>
  <c r="Q97" i="5" s="1"/>
  <c r="G97" i="5"/>
  <c r="F97" i="5"/>
  <c r="S96" i="5"/>
  <c r="M96" i="5"/>
  <c r="O96" i="5" s="1"/>
  <c r="P96" i="5" s="1"/>
  <c r="Q96" i="5" s="1"/>
  <c r="F96" i="5"/>
  <c r="G96" i="5" s="1"/>
  <c r="AE95" i="5"/>
  <c r="AD95" i="5"/>
  <c r="W95" i="5"/>
  <c r="V95" i="5"/>
  <c r="U95" i="5"/>
  <c r="T95" i="5"/>
  <c r="S95" i="5"/>
  <c r="P95" i="5"/>
  <c r="Q95" i="5" s="1"/>
  <c r="O95" i="5"/>
  <c r="M95" i="5"/>
  <c r="G95" i="5"/>
  <c r="F95" i="5"/>
  <c r="AE94" i="5"/>
  <c r="AD94" i="5"/>
  <c r="S94" i="5"/>
  <c r="M94" i="5"/>
  <c r="O94" i="5" s="1"/>
  <c r="F94" i="5"/>
  <c r="G94" i="5" s="1"/>
  <c r="AE93" i="5"/>
  <c r="AD93" i="5"/>
  <c r="W93" i="5"/>
  <c r="T93" i="5"/>
  <c r="S93" i="5"/>
  <c r="V93" i="5" s="1"/>
  <c r="O93" i="5"/>
  <c r="M93" i="5"/>
  <c r="F93" i="5"/>
  <c r="G93" i="5" s="1"/>
  <c r="AE92" i="5"/>
  <c r="AD92" i="5"/>
  <c r="S92" i="5"/>
  <c r="M92" i="5"/>
  <c r="O92" i="5" s="1"/>
  <c r="P92" i="5" s="1"/>
  <c r="Q92" i="5" s="1"/>
  <c r="G92" i="5"/>
  <c r="F92" i="5"/>
  <c r="S91" i="5"/>
  <c r="M91" i="5"/>
  <c r="O91" i="5" s="1"/>
  <c r="F91" i="5"/>
  <c r="G91" i="5" s="1"/>
  <c r="S90" i="5"/>
  <c r="O90" i="5"/>
  <c r="M90" i="5"/>
  <c r="G90" i="5"/>
  <c r="F90" i="5"/>
  <c r="AE89" i="5"/>
  <c r="AD89" i="5"/>
  <c r="V89" i="5"/>
  <c r="S89" i="5"/>
  <c r="P89" i="5"/>
  <c r="Q89" i="5" s="1"/>
  <c r="M89" i="5"/>
  <c r="O89" i="5" s="1"/>
  <c r="G89" i="5"/>
  <c r="F89" i="5"/>
  <c r="AE88" i="5"/>
  <c r="AD88" i="5"/>
  <c r="W88" i="5"/>
  <c r="V88" i="5"/>
  <c r="U88" i="5"/>
  <c r="T88" i="5"/>
  <c r="S88" i="5"/>
  <c r="Q88" i="5"/>
  <c r="O88" i="5"/>
  <c r="P88" i="5" s="1"/>
  <c r="M88" i="5"/>
  <c r="F88" i="5"/>
  <c r="G88" i="5" s="1"/>
  <c r="S87" i="5"/>
  <c r="P87" i="5"/>
  <c r="Q87" i="5" s="1"/>
  <c r="O87" i="5"/>
  <c r="M87" i="5"/>
  <c r="G87" i="5"/>
  <c r="F87" i="5"/>
  <c r="AE86" i="5"/>
  <c r="AD86" i="5"/>
  <c r="S86" i="5"/>
  <c r="P86" i="5"/>
  <c r="Q86" i="5" s="1"/>
  <c r="M86" i="5"/>
  <c r="O86" i="5" s="1"/>
  <c r="G86" i="5"/>
  <c r="F86" i="5"/>
  <c r="S85" i="5"/>
  <c r="O85" i="5"/>
  <c r="M85" i="5"/>
  <c r="F85" i="5"/>
  <c r="G85" i="5" s="1"/>
  <c r="P85" i="5" s="1"/>
  <c r="Q85" i="5" s="1"/>
  <c r="S84" i="5"/>
  <c r="O84" i="5"/>
  <c r="M84" i="5"/>
  <c r="F84" i="5"/>
  <c r="G84" i="5" s="1"/>
  <c r="P84" i="5" s="1"/>
  <c r="Q84" i="5" s="1"/>
  <c r="AE83" i="5"/>
  <c r="AD83" i="5"/>
  <c r="S83" i="5"/>
  <c r="M83" i="5"/>
  <c r="O83" i="5" s="1"/>
  <c r="G83" i="5"/>
  <c r="F83" i="5"/>
  <c r="S82" i="5"/>
  <c r="O82" i="5"/>
  <c r="M82" i="5"/>
  <c r="F82" i="5"/>
  <c r="G82" i="5" s="1"/>
  <c r="S81" i="5"/>
  <c r="P81" i="5"/>
  <c r="Q81" i="5" s="1"/>
  <c r="M81" i="5"/>
  <c r="O81" i="5" s="1"/>
  <c r="F81" i="5"/>
  <c r="G81" i="5" s="1"/>
  <c r="S80" i="5"/>
  <c r="P80" i="5"/>
  <c r="Q80" i="5" s="1"/>
  <c r="M80" i="5"/>
  <c r="O80" i="5" s="1"/>
  <c r="F80" i="5"/>
  <c r="G80" i="5" s="1"/>
  <c r="AE79" i="5"/>
  <c r="AD79" i="5"/>
  <c r="W79" i="5"/>
  <c r="U79" i="5"/>
  <c r="T79" i="5"/>
  <c r="S79" i="5"/>
  <c r="V79" i="5" s="1"/>
  <c r="O79" i="5"/>
  <c r="M79" i="5"/>
  <c r="F79" i="5"/>
  <c r="G79" i="5" s="1"/>
  <c r="S78" i="5"/>
  <c r="M78" i="5"/>
  <c r="O78" i="5" s="1"/>
  <c r="G78" i="5"/>
  <c r="P78" i="5" s="1"/>
  <c r="Q78" i="5" s="1"/>
  <c r="F78" i="5"/>
  <c r="S77" i="5"/>
  <c r="M77" i="5"/>
  <c r="O77" i="5" s="1"/>
  <c r="P77" i="5" s="1"/>
  <c r="Q77" i="5" s="1"/>
  <c r="F77" i="5"/>
  <c r="G77" i="5" s="1"/>
  <c r="S76" i="5"/>
  <c r="O76" i="5"/>
  <c r="M76" i="5"/>
  <c r="F76" i="5"/>
  <c r="G76" i="5" s="1"/>
  <c r="S75" i="5"/>
  <c r="P75" i="5"/>
  <c r="Q75" i="5" s="1"/>
  <c r="M75" i="5"/>
  <c r="O75" i="5" s="1"/>
  <c r="G75" i="5"/>
  <c r="F75" i="5"/>
  <c r="S74" i="5"/>
  <c r="O74" i="5"/>
  <c r="M74" i="5"/>
  <c r="F74" i="5"/>
  <c r="G74" i="5" s="1"/>
  <c r="AE73" i="5"/>
  <c r="AD73" i="5"/>
  <c r="S73" i="5"/>
  <c r="O73" i="5"/>
  <c r="M73" i="5"/>
  <c r="G73" i="5"/>
  <c r="P73" i="5" s="1"/>
  <c r="Q73" i="5" s="1"/>
  <c r="F73" i="5"/>
  <c r="V72" i="5"/>
  <c r="S72" i="5"/>
  <c r="P72" i="5"/>
  <c r="Q72" i="5" s="1"/>
  <c r="R72" i="5" s="1"/>
  <c r="M72" i="5"/>
  <c r="O72" i="5" s="1"/>
  <c r="F72" i="5"/>
  <c r="G72" i="5" s="1"/>
  <c r="AE71" i="5"/>
  <c r="AD71" i="5"/>
  <c r="W71" i="5"/>
  <c r="U71" i="5"/>
  <c r="T71" i="5"/>
  <c r="S71" i="5"/>
  <c r="V71" i="5" s="1"/>
  <c r="O71" i="5"/>
  <c r="M71" i="5"/>
  <c r="G71" i="5"/>
  <c r="F71" i="5"/>
  <c r="AE70" i="5"/>
  <c r="AD70" i="5"/>
  <c r="S70" i="5"/>
  <c r="M70" i="5"/>
  <c r="O70" i="5" s="1"/>
  <c r="G70" i="5"/>
  <c r="F70" i="5"/>
  <c r="AE69" i="5"/>
  <c r="AD69" i="5"/>
  <c r="V69" i="5"/>
  <c r="S69" i="5"/>
  <c r="M69" i="5"/>
  <c r="O69" i="5" s="1"/>
  <c r="F69" i="5"/>
  <c r="G69" i="5" s="1"/>
  <c r="AE68" i="5"/>
  <c r="AD68" i="5"/>
  <c r="W68" i="5"/>
  <c r="V68" i="5"/>
  <c r="U68" i="5"/>
  <c r="T68" i="5"/>
  <c r="S68" i="5"/>
  <c r="P68" i="5"/>
  <c r="Q68" i="5" s="1"/>
  <c r="O68" i="5"/>
  <c r="M68" i="5"/>
  <c r="G68" i="5"/>
  <c r="F68" i="5"/>
  <c r="AE67" i="5"/>
  <c r="AD67" i="5"/>
  <c r="S67" i="5"/>
  <c r="O67" i="5"/>
  <c r="P67" i="5" s="1"/>
  <c r="Q67" i="5" s="1"/>
  <c r="M67" i="5"/>
  <c r="G67" i="5"/>
  <c r="F67" i="5"/>
  <c r="S66" i="5"/>
  <c r="O66" i="5"/>
  <c r="P66" i="5" s="1"/>
  <c r="Q66" i="5" s="1"/>
  <c r="M66" i="5"/>
  <c r="F66" i="5"/>
  <c r="G66" i="5" s="1"/>
  <c r="S65" i="5"/>
  <c r="O65" i="5"/>
  <c r="P65" i="5" s="1"/>
  <c r="Q65" i="5" s="1"/>
  <c r="M65" i="5"/>
  <c r="G65" i="5"/>
  <c r="F65" i="5"/>
  <c r="S64" i="5"/>
  <c r="P64" i="5"/>
  <c r="Q64" i="5" s="1"/>
  <c r="M64" i="5"/>
  <c r="O64" i="5" s="1"/>
  <c r="F64" i="5"/>
  <c r="G64" i="5" s="1"/>
  <c r="S63" i="5"/>
  <c r="O63" i="5"/>
  <c r="M63" i="5"/>
  <c r="F63" i="5"/>
  <c r="G63" i="5" s="1"/>
  <c r="S62" i="5"/>
  <c r="P62" i="5"/>
  <c r="Q62" i="5" s="1"/>
  <c r="M62" i="5"/>
  <c r="O62" i="5" s="1"/>
  <c r="G62" i="5"/>
  <c r="F62" i="5"/>
  <c r="S61" i="5"/>
  <c r="M61" i="5"/>
  <c r="O61" i="5" s="1"/>
  <c r="P61" i="5" s="1"/>
  <c r="Q61" i="5" s="1"/>
  <c r="F61" i="5"/>
  <c r="G61" i="5" s="1"/>
  <c r="AE60" i="5"/>
  <c r="AD60" i="5"/>
  <c r="S60" i="5"/>
  <c r="O60" i="5"/>
  <c r="P60" i="5" s="1"/>
  <c r="Q60" i="5" s="1"/>
  <c r="M60" i="5"/>
  <c r="G60" i="5"/>
  <c r="F60" i="5"/>
  <c r="S59" i="5"/>
  <c r="M59" i="5"/>
  <c r="O59" i="5" s="1"/>
  <c r="P59" i="5" s="1"/>
  <c r="Q59" i="5" s="1"/>
  <c r="F59" i="5"/>
  <c r="G59" i="5" s="1"/>
  <c r="S58" i="5"/>
  <c r="O58" i="5"/>
  <c r="M58" i="5"/>
  <c r="F58" i="5"/>
  <c r="G58" i="5" s="1"/>
  <c r="S57" i="5"/>
  <c r="M57" i="5"/>
  <c r="O57" i="5" s="1"/>
  <c r="F57" i="5"/>
  <c r="G57" i="5" s="1"/>
  <c r="P57" i="5" s="1"/>
  <c r="Q57" i="5" s="1"/>
  <c r="S56" i="5"/>
  <c r="O56" i="5"/>
  <c r="M56" i="5"/>
  <c r="G56" i="5"/>
  <c r="F56" i="5"/>
  <c r="AE55" i="5"/>
  <c r="AD55" i="5"/>
  <c r="W55" i="5"/>
  <c r="V55" i="5"/>
  <c r="U55" i="5"/>
  <c r="T55" i="5"/>
  <c r="S55" i="5"/>
  <c r="M55" i="5"/>
  <c r="O55" i="5" s="1"/>
  <c r="F55" i="5"/>
  <c r="G55" i="5" s="1"/>
  <c r="S54" i="5"/>
  <c r="M54" i="5"/>
  <c r="O54" i="5" s="1"/>
  <c r="P54" i="5" s="1"/>
  <c r="Q54" i="5" s="1"/>
  <c r="G54" i="5"/>
  <c r="F54" i="5"/>
  <c r="S53" i="5"/>
  <c r="M53" i="5"/>
  <c r="O53" i="5" s="1"/>
  <c r="P53" i="5" s="1"/>
  <c r="Q53" i="5" s="1"/>
  <c r="F53" i="5"/>
  <c r="G53" i="5" s="1"/>
  <c r="S52" i="5"/>
  <c r="O52" i="5"/>
  <c r="P52" i="5" s="1"/>
  <c r="Q52" i="5" s="1"/>
  <c r="M52" i="5"/>
  <c r="G52" i="5"/>
  <c r="F52" i="5"/>
  <c r="AE51" i="5"/>
  <c r="AD51" i="5"/>
  <c r="AC51" i="5"/>
  <c r="V51" i="5"/>
  <c r="T51" i="5"/>
  <c r="S51" i="5"/>
  <c r="M51" i="5"/>
  <c r="O51" i="5" s="1"/>
  <c r="P51" i="5" s="1"/>
  <c r="Q51" i="5" s="1"/>
  <c r="F51" i="5"/>
  <c r="G51" i="5" s="1"/>
  <c r="S50" i="5"/>
  <c r="O50" i="5"/>
  <c r="M50" i="5"/>
  <c r="F50" i="5"/>
  <c r="G50" i="5" s="1"/>
  <c r="AE49" i="5"/>
  <c r="AD49" i="5"/>
  <c r="W49" i="5"/>
  <c r="U49" i="5"/>
  <c r="T49" i="5"/>
  <c r="S49" i="5"/>
  <c r="V49" i="5" s="1"/>
  <c r="M49" i="5"/>
  <c r="O49" i="5" s="1"/>
  <c r="P49" i="5" s="1"/>
  <c r="Q49" i="5" s="1"/>
  <c r="F49" i="5"/>
  <c r="G49" i="5" s="1"/>
  <c r="S48" i="5"/>
  <c r="O48" i="5"/>
  <c r="M48" i="5"/>
  <c r="F48" i="5"/>
  <c r="G48" i="5" s="1"/>
  <c r="S47" i="5"/>
  <c r="M47" i="5"/>
  <c r="O47" i="5" s="1"/>
  <c r="P47" i="5" s="1"/>
  <c r="Q47" i="5" s="1"/>
  <c r="G47" i="5"/>
  <c r="F47" i="5"/>
  <c r="AE46" i="5"/>
  <c r="AD46" i="5"/>
  <c r="W46" i="5"/>
  <c r="V46" i="5"/>
  <c r="U46" i="5"/>
  <c r="T46" i="5"/>
  <c r="S46" i="5"/>
  <c r="O46" i="5"/>
  <c r="M46" i="5"/>
  <c r="F46" i="5"/>
  <c r="G46" i="5" s="1"/>
  <c r="AE45" i="5"/>
  <c r="AD45" i="5"/>
  <c r="W45" i="5"/>
  <c r="V45" i="5"/>
  <c r="U45" i="5"/>
  <c r="S45" i="5"/>
  <c r="T45" i="5" s="1"/>
  <c r="X45" i="5" s="1"/>
  <c r="Y45" i="5" s="1"/>
  <c r="P45" i="5"/>
  <c r="Q45" i="5" s="1"/>
  <c r="O45" i="5"/>
  <c r="M45" i="5"/>
  <c r="G45" i="5"/>
  <c r="F45" i="5"/>
  <c r="S44" i="5"/>
  <c r="M44" i="5"/>
  <c r="O44" i="5" s="1"/>
  <c r="F44" i="5"/>
  <c r="G44" i="5" s="1"/>
  <c r="S43" i="5"/>
  <c r="O43" i="5"/>
  <c r="P43" i="5" s="1"/>
  <c r="Q43" i="5" s="1"/>
  <c r="M43" i="5"/>
  <c r="F43" i="5"/>
  <c r="G43" i="5" s="1"/>
  <c r="AE42" i="5"/>
  <c r="AD42" i="5"/>
  <c r="S42" i="5"/>
  <c r="M42" i="5"/>
  <c r="O42" i="5" s="1"/>
  <c r="P42" i="5" s="1"/>
  <c r="Q42" i="5" s="1"/>
  <c r="G42" i="5"/>
  <c r="F42" i="5"/>
  <c r="AE41" i="5"/>
  <c r="AD41" i="5"/>
  <c r="T41" i="5"/>
  <c r="S41" i="5"/>
  <c r="W41" i="5" s="1"/>
  <c r="M41" i="5"/>
  <c r="O41" i="5" s="1"/>
  <c r="F41" i="5"/>
  <c r="G41" i="5" s="1"/>
  <c r="AE40" i="5"/>
  <c r="AD40" i="5"/>
  <c r="W40" i="5"/>
  <c r="U40" i="5"/>
  <c r="T40" i="5"/>
  <c r="S40" i="5"/>
  <c r="V40" i="5" s="1"/>
  <c r="O40" i="5"/>
  <c r="M40" i="5"/>
  <c r="G40" i="5"/>
  <c r="F40" i="5"/>
  <c r="S39" i="5"/>
  <c r="M39" i="5"/>
  <c r="O39" i="5" s="1"/>
  <c r="P39" i="5" s="1"/>
  <c r="Q39" i="5" s="1"/>
  <c r="G39" i="5"/>
  <c r="F39" i="5"/>
  <c r="S38" i="5"/>
  <c r="O38" i="5"/>
  <c r="M38" i="5"/>
  <c r="F38" i="5"/>
  <c r="G38" i="5" s="1"/>
  <c r="S37" i="5"/>
  <c r="P37" i="5"/>
  <c r="Q37" i="5" s="1"/>
  <c r="O37" i="5"/>
  <c r="M37" i="5"/>
  <c r="G37" i="5"/>
  <c r="F37" i="5"/>
  <c r="S36" i="5"/>
  <c r="M36" i="5"/>
  <c r="O36" i="5" s="1"/>
  <c r="F36" i="5"/>
  <c r="G36" i="5" s="1"/>
  <c r="S35" i="5"/>
  <c r="O35" i="5"/>
  <c r="P35" i="5" s="1"/>
  <c r="Q35" i="5" s="1"/>
  <c r="M35" i="5"/>
  <c r="F35" i="5"/>
  <c r="G35" i="5" s="1"/>
  <c r="AE34" i="5"/>
  <c r="AD34" i="5"/>
  <c r="S34" i="5"/>
  <c r="M34" i="5"/>
  <c r="O34" i="5" s="1"/>
  <c r="P34" i="5" s="1"/>
  <c r="Q34" i="5" s="1"/>
  <c r="G34" i="5"/>
  <c r="F34" i="5"/>
  <c r="AE33" i="5"/>
  <c r="AD33" i="5"/>
  <c r="T33" i="5"/>
  <c r="S33" i="5"/>
  <c r="W33" i="5" s="1"/>
  <c r="M33" i="5"/>
  <c r="O33" i="5" s="1"/>
  <c r="F33" i="5"/>
  <c r="G33" i="5" s="1"/>
  <c r="AE32" i="5"/>
  <c r="AD32" i="5"/>
  <c r="W32" i="5"/>
  <c r="U32" i="5"/>
  <c r="T32" i="5"/>
  <c r="S32" i="5"/>
  <c r="V32" i="5" s="1"/>
  <c r="O32" i="5"/>
  <c r="M32" i="5"/>
  <c r="F32" i="5"/>
  <c r="G32" i="5" s="1"/>
  <c r="S31" i="5"/>
  <c r="P31" i="5"/>
  <c r="Q31" i="5" s="1"/>
  <c r="M31" i="5"/>
  <c r="O31" i="5" s="1"/>
  <c r="G31" i="5"/>
  <c r="F31" i="5"/>
  <c r="S30" i="5"/>
  <c r="M30" i="5"/>
  <c r="O30" i="5" s="1"/>
  <c r="F30" i="5"/>
  <c r="G30" i="5" s="1"/>
  <c r="S29" i="5"/>
  <c r="M29" i="5"/>
  <c r="O29" i="5" s="1"/>
  <c r="P29" i="5" s="1"/>
  <c r="Q29" i="5" s="1"/>
  <c r="G29" i="5"/>
  <c r="F29" i="5"/>
  <c r="S28" i="5"/>
  <c r="M28" i="5"/>
  <c r="O28" i="5" s="1"/>
  <c r="P28" i="5" s="1"/>
  <c r="Q28" i="5" s="1"/>
  <c r="F28" i="5"/>
  <c r="G28" i="5" s="1"/>
  <c r="S27" i="5"/>
  <c r="O27" i="5"/>
  <c r="P27" i="5" s="1"/>
  <c r="Q27" i="5" s="1"/>
  <c r="M27" i="5"/>
  <c r="G27" i="5"/>
  <c r="F27" i="5"/>
  <c r="S26" i="5"/>
  <c r="M26" i="5"/>
  <c r="O26" i="5" s="1"/>
  <c r="P26" i="5" s="1"/>
  <c r="Q26" i="5" s="1"/>
  <c r="G26" i="5"/>
  <c r="F26" i="5"/>
  <c r="S25" i="5"/>
  <c r="Q25" i="5"/>
  <c r="M25" i="5"/>
  <c r="O25" i="5" s="1"/>
  <c r="P25" i="5" s="1"/>
  <c r="F25" i="5"/>
  <c r="G25" i="5" s="1"/>
  <c r="S24" i="5"/>
  <c r="O24" i="5"/>
  <c r="M24" i="5"/>
  <c r="F24" i="5"/>
  <c r="G24" i="5" s="1"/>
  <c r="P24" i="5" s="1"/>
  <c r="Q24" i="5" s="1"/>
  <c r="AE23" i="5"/>
  <c r="AD23" i="5"/>
  <c r="V23" i="5"/>
  <c r="U23" i="5"/>
  <c r="T23" i="5"/>
  <c r="S23" i="5"/>
  <c r="W23" i="5" s="1"/>
  <c r="M23" i="5"/>
  <c r="O23" i="5" s="1"/>
  <c r="F23" i="5"/>
  <c r="G23" i="5" s="1"/>
  <c r="W22" i="5"/>
  <c r="V22" i="5"/>
  <c r="U22" i="5"/>
  <c r="T22" i="5"/>
  <c r="S22" i="5"/>
  <c r="O22" i="5"/>
  <c r="P22" i="5" s="1"/>
  <c r="Q22" i="5" s="1"/>
  <c r="M22" i="5"/>
  <c r="F22" i="5"/>
  <c r="G22" i="5" s="1"/>
  <c r="S21" i="5"/>
  <c r="M21" i="5"/>
  <c r="O21" i="5" s="1"/>
  <c r="G21" i="5"/>
  <c r="F21" i="5"/>
  <c r="S20" i="5"/>
  <c r="M20" i="5"/>
  <c r="O20" i="5" s="1"/>
  <c r="P20" i="5" s="1"/>
  <c r="Q20" i="5" s="1"/>
  <c r="F20" i="5"/>
  <c r="G20" i="5" s="1"/>
  <c r="W19" i="5"/>
  <c r="V19" i="5"/>
  <c r="U19" i="5"/>
  <c r="T19" i="5"/>
  <c r="S19" i="5"/>
  <c r="O19" i="5"/>
  <c r="M19" i="5"/>
  <c r="F19" i="5"/>
  <c r="G19" i="5" s="1"/>
  <c r="S18" i="5"/>
  <c r="M18" i="5"/>
  <c r="O18" i="5" s="1"/>
  <c r="P18" i="5" s="1"/>
  <c r="Q18" i="5" s="1"/>
  <c r="G18" i="5"/>
  <c r="F18" i="5"/>
  <c r="S17" i="5"/>
  <c r="M17" i="5"/>
  <c r="O17" i="5" s="1"/>
  <c r="F17" i="5"/>
  <c r="G17" i="5" s="1"/>
  <c r="S16" i="5"/>
  <c r="O16" i="5"/>
  <c r="M16" i="5"/>
  <c r="G16" i="5"/>
  <c r="P16" i="5" s="1"/>
  <c r="Q16" i="5" s="1"/>
  <c r="F16" i="5"/>
  <c r="S15" i="5"/>
  <c r="Q15" i="5"/>
  <c r="P15" i="5"/>
  <c r="M15" i="5"/>
  <c r="O15" i="5" s="1"/>
  <c r="F15" i="5"/>
  <c r="G15" i="5" s="1"/>
  <c r="S14" i="5"/>
  <c r="O14" i="5"/>
  <c r="M14" i="5"/>
  <c r="F14" i="5"/>
  <c r="G14" i="5" s="1"/>
  <c r="S13" i="5"/>
  <c r="O13" i="5"/>
  <c r="P13" i="5" s="1"/>
  <c r="Q13" i="5" s="1"/>
  <c r="M13" i="5"/>
  <c r="G13" i="5"/>
  <c r="F13" i="5"/>
  <c r="S12" i="5"/>
  <c r="M12" i="5"/>
  <c r="O12" i="5" s="1"/>
  <c r="P12" i="5" s="1"/>
  <c r="Q12" i="5" s="1"/>
  <c r="F12" i="5"/>
  <c r="G12" i="5" s="1"/>
  <c r="AC11" i="5"/>
  <c r="S11" i="5"/>
  <c r="O11" i="5"/>
  <c r="P11" i="5" s="1"/>
  <c r="Q11" i="5" s="1"/>
  <c r="M11" i="5"/>
  <c r="F11" i="5"/>
  <c r="G11" i="5" s="1"/>
  <c r="S10" i="5"/>
  <c r="M10" i="5"/>
  <c r="O10" i="5" s="1"/>
  <c r="P10" i="5" s="1"/>
  <c r="Q10" i="5" s="1"/>
  <c r="R10" i="5" s="1"/>
  <c r="G10" i="5"/>
  <c r="F10" i="5"/>
  <c r="S9" i="5"/>
  <c r="M9" i="5"/>
  <c r="O9" i="5" s="1"/>
  <c r="P9" i="5" s="1"/>
  <c r="Q9" i="5" s="1"/>
  <c r="F9" i="5"/>
  <c r="G9" i="5" s="1"/>
  <c r="U8" i="5"/>
  <c r="S8" i="5"/>
  <c r="R8" i="5"/>
  <c r="W8" i="5" s="1"/>
  <c r="P8" i="5"/>
  <c r="Q8" i="5" s="1"/>
  <c r="O8" i="5"/>
  <c r="M8" i="5"/>
  <c r="F8" i="5"/>
  <c r="G8" i="5" s="1"/>
  <c r="S7" i="5"/>
  <c r="M7" i="5"/>
  <c r="F7" i="5"/>
  <c r="G7" i="5" s="1"/>
  <c r="F125" i="4"/>
  <c r="E125" i="4"/>
  <c r="D125" i="4"/>
  <c r="C125" i="4"/>
  <c r="B125" i="4"/>
  <c r="A125" i="4"/>
  <c r="F124" i="4"/>
  <c r="D124" i="4"/>
  <c r="E124" i="4" s="1"/>
  <c r="C124" i="4"/>
  <c r="B124" i="4"/>
  <c r="A124" i="4"/>
  <c r="D123" i="4"/>
  <c r="E123" i="4" s="1"/>
  <c r="C123" i="4"/>
  <c r="B123" i="4"/>
  <c r="A123" i="4"/>
  <c r="D122" i="4"/>
  <c r="E122" i="4" s="1"/>
  <c r="C122" i="4"/>
  <c r="B122" i="4"/>
  <c r="A122" i="4"/>
  <c r="E121" i="4"/>
  <c r="D121" i="4"/>
  <c r="C121" i="4"/>
  <c r="B121" i="4"/>
  <c r="A121" i="4"/>
  <c r="F120" i="4"/>
  <c r="D120" i="4"/>
  <c r="E120" i="4" s="1"/>
  <c r="C120" i="4"/>
  <c r="B120" i="4"/>
  <c r="A120" i="4"/>
  <c r="D119" i="4"/>
  <c r="E119" i="4" s="1"/>
  <c r="C119" i="4"/>
  <c r="B119" i="4"/>
  <c r="A119" i="4"/>
  <c r="D118" i="4"/>
  <c r="E118" i="4" s="1"/>
  <c r="C118" i="4"/>
  <c r="B118" i="4"/>
  <c r="A118" i="4"/>
  <c r="E117" i="4"/>
  <c r="D117" i="4"/>
  <c r="C117" i="4"/>
  <c r="B117" i="4"/>
  <c r="A117" i="4"/>
  <c r="G116" i="4"/>
  <c r="F116" i="4"/>
  <c r="D116" i="4"/>
  <c r="E116" i="4" s="1"/>
  <c r="C116" i="4"/>
  <c r="B116" i="4"/>
  <c r="A116" i="4"/>
  <c r="E115" i="4"/>
  <c r="D115" i="4"/>
  <c r="C115" i="4"/>
  <c r="B115" i="4"/>
  <c r="A115" i="4"/>
  <c r="D114" i="4"/>
  <c r="E114" i="4" s="1"/>
  <c r="C114" i="4"/>
  <c r="B114" i="4"/>
  <c r="A114" i="4"/>
  <c r="G113" i="4"/>
  <c r="F113" i="4"/>
  <c r="E113" i="4"/>
  <c r="D113" i="4"/>
  <c r="C113" i="4"/>
  <c r="B113" i="4"/>
  <c r="A113" i="4"/>
  <c r="D112" i="4"/>
  <c r="E112" i="4" s="1"/>
  <c r="G112" i="4" s="1"/>
  <c r="C112" i="4"/>
  <c r="B112" i="4"/>
  <c r="A112" i="4"/>
  <c r="G111" i="4"/>
  <c r="D111" i="4"/>
  <c r="E111" i="4" s="1"/>
  <c r="F111" i="4" s="1"/>
  <c r="C111" i="4"/>
  <c r="B111" i="4"/>
  <c r="A111" i="4"/>
  <c r="E110" i="4"/>
  <c r="D110" i="4"/>
  <c r="C110" i="4"/>
  <c r="B110" i="4"/>
  <c r="A110" i="4"/>
  <c r="F109" i="4"/>
  <c r="E109" i="4"/>
  <c r="D109" i="4"/>
  <c r="C109" i="4"/>
  <c r="B109" i="4"/>
  <c r="A109" i="4"/>
  <c r="E108" i="4"/>
  <c r="F108" i="4" s="1"/>
  <c r="D108" i="4"/>
  <c r="C108" i="4"/>
  <c r="B108" i="4"/>
  <c r="A108" i="4"/>
  <c r="D107" i="4"/>
  <c r="E107" i="4" s="1"/>
  <c r="C107" i="4"/>
  <c r="B107" i="4"/>
  <c r="A107" i="4"/>
  <c r="G106" i="4"/>
  <c r="E106" i="4"/>
  <c r="F106" i="4" s="1"/>
  <c r="D106" i="4"/>
  <c r="C106" i="4"/>
  <c r="B106" i="4"/>
  <c r="A106" i="4"/>
  <c r="E105" i="4"/>
  <c r="G105" i="4" s="1"/>
  <c r="D105" i="4"/>
  <c r="C105" i="4"/>
  <c r="B105" i="4"/>
  <c r="A105" i="4"/>
  <c r="D104" i="4"/>
  <c r="E104" i="4" s="1"/>
  <c r="C104" i="4"/>
  <c r="B104" i="4"/>
  <c r="A104" i="4"/>
  <c r="F103" i="4"/>
  <c r="E103" i="4"/>
  <c r="G103" i="4" s="1"/>
  <c r="D103" i="4"/>
  <c r="C103" i="4"/>
  <c r="B103" i="4"/>
  <c r="A103" i="4"/>
  <c r="F102" i="4"/>
  <c r="D102" i="4"/>
  <c r="E102" i="4" s="1"/>
  <c r="C102" i="4"/>
  <c r="B102" i="4"/>
  <c r="A102" i="4"/>
  <c r="F101" i="4"/>
  <c r="E101" i="4"/>
  <c r="D101" i="4"/>
  <c r="C101" i="4"/>
  <c r="B101" i="4"/>
  <c r="A101" i="4"/>
  <c r="D100" i="4"/>
  <c r="E100" i="4" s="1"/>
  <c r="C100" i="4"/>
  <c r="B100" i="4"/>
  <c r="A100" i="4"/>
  <c r="G99" i="4"/>
  <c r="E99" i="4"/>
  <c r="F99" i="4" s="1"/>
  <c r="D99" i="4"/>
  <c r="C99" i="4"/>
  <c r="B99" i="4"/>
  <c r="A99" i="4"/>
  <c r="F98" i="4"/>
  <c r="D98" i="4"/>
  <c r="E98" i="4" s="1"/>
  <c r="G98" i="4" s="1"/>
  <c r="C98" i="4"/>
  <c r="B98" i="4"/>
  <c r="A98" i="4"/>
  <c r="D97" i="4"/>
  <c r="E97" i="4" s="1"/>
  <c r="C97" i="4"/>
  <c r="B97" i="4"/>
  <c r="A97" i="4"/>
  <c r="G96" i="4"/>
  <c r="F96" i="4"/>
  <c r="D96" i="4"/>
  <c r="E96" i="4" s="1"/>
  <c r="C96" i="4"/>
  <c r="B96" i="4"/>
  <c r="A96" i="4"/>
  <c r="G95" i="4"/>
  <c r="E95" i="4"/>
  <c r="F95" i="4" s="1"/>
  <c r="D95" i="4"/>
  <c r="C95" i="4"/>
  <c r="B95" i="4"/>
  <c r="A95" i="4"/>
  <c r="E94" i="4"/>
  <c r="G94" i="4" s="1"/>
  <c r="D94" i="4"/>
  <c r="C94" i="4"/>
  <c r="B94" i="4"/>
  <c r="A94" i="4"/>
  <c r="G93" i="4"/>
  <c r="E93" i="4"/>
  <c r="D93" i="4"/>
  <c r="C93" i="4"/>
  <c r="B93" i="4"/>
  <c r="A93" i="4"/>
  <c r="G92" i="4"/>
  <c r="F92" i="4"/>
  <c r="E92" i="4"/>
  <c r="D92" i="4"/>
  <c r="C92" i="4"/>
  <c r="B92" i="4"/>
  <c r="A92" i="4"/>
  <c r="D91" i="4"/>
  <c r="E91" i="4" s="1"/>
  <c r="C91" i="4"/>
  <c r="B91" i="4"/>
  <c r="A91" i="4"/>
  <c r="G90" i="4"/>
  <c r="E90" i="4"/>
  <c r="D90" i="4"/>
  <c r="C90" i="4"/>
  <c r="B90" i="4"/>
  <c r="A90" i="4"/>
  <c r="E89" i="4"/>
  <c r="G89" i="4" s="1"/>
  <c r="D89" i="4"/>
  <c r="C89" i="4"/>
  <c r="B89" i="4"/>
  <c r="A89" i="4"/>
  <c r="E88" i="4"/>
  <c r="F88" i="4" s="1"/>
  <c r="D88" i="4"/>
  <c r="C88" i="4"/>
  <c r="B88" i="4"/>
  <c r="A88" i="4"/>
  <c r="G87" i="4"/>
  <c r="F87" i="4"/>
  <c r="D87" i="4"/>
  <c r="E87" i="4" s="1"/>
  <c r="C87" i="4"/>
  <c r="B87" i="4"/>
  <c r="A87" i="4"/>
  <c r="E86" i="4"/>
  <c r="G86" i="4" s="1"/>
  <c r="D86" i="4"/>
  <c r="C86" i="4"/>
  <c r="B86" i="4"/>
  <c r="A86" i="4"/>
  <c r="D85" i="4"/>
  <c r="E85" i="4" s="1"/>
  <c r="G85" i="4" s="1"/>
  <c r="C85" i="4"/>
  <c r="B85" i="4"/>
  <c r="A85" i="4"/>
  <c r="G84" i="4"/>
  <c r="F84" i="4"/>
  <c r="E84" i="4"/>
  <c r="D84" i="4"/>
  <c r="C84" i="4"/>
  <c r="B84" i="4"/>
  <c r="A84" i="4"/>
  <c r="E83" i="4"/>
  <c r="G83" i="4" s="1"/>
  <c r="D83" i="4"/>
  <c r="C83" i="4"/>
  <c r="B83" i="4"/>
  <c r="A83" i="4"/>
  <c r="E82" i="4"/>
  <c r="G82" i="4" s="1"/>
  <c r="D82" i="4"/>
  <c r="C82" i="4"/>
  <c r="B82" i="4"/>
  <c r="A82" i="4"/>
  <c r="G81" i="4"/>
  <c r="F81" i="4"/>
  <c r="E81" i="4"/>
  <c r="D81" i="4"/>
  <c r="C81" i="4"/>
  <c r="B81" i="4"/>
  <c r="A81" i="4"/>
  <c r="G80" i="4"/>
  <c r="E80" i="4"/>
  <c r="F80" i="4" s="1"/>
  <c r="D80" i="4"/>
  <c r="C80" i="4"/>
  <c r="B80" i="4"/>
  <c r="A80" i="4"/>
  <c r="F79" i="4"/>
  <c r="D79" i="4"/>
  <c r="E79" i="4" s="1"/>
  <c r="C79" i="4"/>
  <c r="B79" i="4"/>
  <c r="A79" i="4"/>
  <c r="G78" i="4"/>
  <c r="F78" i="4"/>
  <c r="E78" i="4"/>
  <c r="D78" i="4"/>
  <c r="C78" i="4"/>
  <c r="B78" i="4"/>
  <c r="A78" i="4"/>
  <c r="F77" i="4"/>
  <c r="D77" i="4"/>
  <c r="E77" i="4" s="1"/>
  <c r="G77" i="4" s="1"/>
  <c r="C77" i="4"/>
  <c r="B77" i="4"/>
  <c r="A77" i="4"/>
  <c r="E76" i="4"/>
  <c r="G76" i="4" s="1"/>
  <c r="D76" i="4"/>
  <c r="C76" i="4"/>
  <c r="B76" i="4"/>
  <c r="A76" i="4"/>
  <c r="F75" i="4"/>
  <c r="E75" i="4"/>
  <c r="G75" i="4" s="1"/>
  <c r="D75" i="4"/>
  <c r="C75" i="4"/>
  <c r="B75" i="4"/>
  <c r="A75" i="4"/>
  <c r="E74" i="4"/>
  <c r="D74" i="4"/>
  <c r="C74" i="4"/>
  <c r="B74" i="4"/>
  <c r="A74" i="4"/>
  <c r="F73" i="4"/>
  <c r="E73" i="4"/>
  <c r="D73" i="4"/>
  <c r="C73" i="4"/>
  <c r="B73" i="4"/>
  <c r="A73" i="4"/>
  <c r="D72" i="4"/>
  <c r="E72" i="4" s="1"/>
  <c r="C72" i="4"/>
  <c r="B72" i="4"/>
  <c r="A72" i="4"/>
  <c r="G71" i="4"/>
  <c r="F71" i="4"/>
  <c r="D71" i="4"/>
  <c r="E71" i="4" s="1"/>
  <c r="C71" i="4"/>
  <c r="B71" i="4"/>
  <c r="A71" i="4"/>
  <c r="F70" i="4"/>
  <c r="E70" i="4"/>
  <c r="D70" i="4"/>
  <c r="C70" i="4"/>
  <c r="B70" i="4"/>
  <c r="A70" i="4"/>
  <c r="F69" i="4"/>
  <c r="D69" i="4"/>
  <c r="E69" i="4" s="1"/>
  <c r="G69" i="4" s="1"/>
  <c r="C69" i="4"/>
  <c r="B69" i="4"/>
  <c r="A69" i="4"/>
  <c r="E68" i="4"/>
  <c r="D68" i="4"/>
  <c r="C68" i="4"/>
  <c r="B68" i="4"/>
  <c r="A68" i="4"/>
  <c r="F67" i="4"/>
  <c r="E67" i="4"/>
  <c r="G67" i="4" s="1"/>
  <c r="D67" i="4"/>
  <c r="C67" i="4"/>
  <c r="B67" i="4"/>
  <c r="A67" i="4"/>
  <c r="G66" i="4"/>
  <c r="E66" i="4"/>
  <c r="D66" i="4"/>
  <c r="C66" i="4"/>
  <c r="B66" i="4"/>
  <c r="A66" i="4"/>
  <c r="D65" i="4"/>
  <c r="E65" i="4" s="1"/>
  <c r="C65" i="4"/>
  <c r="B65" i="4"/>
  <c r="A65" i="4"/>
  <c r="G64" i="4"/>
  <c r="E64" i="4"/>
  <c r="F64" i="4" s="1"/>
  <c r="D64" i="4"/>
  <c r="C64" i="4"/>
  <c r="B64" i="4"/>
  <c r="A64" i="4"/>
  <c r="D63" i="4"/>
  <c r="E63" i="4" s="1"/>
  <c r="G63" i="4" s="1"/>
  <c r="C63" i="4"/>
  <c r="B63" i="4"/>
  <c r="A63" i="4"/>
  <c r="D62" i="4"/>
  <c r="E62" i="4" s="1"/>
  <c r="C62" i="4"/>
  <c r="B62" i="4"/>
  <c r="A62" i="4"/>
  <c r="F61" i="4"/>
  <c r="D61" i="4"/>
  <c r="E61" i="4" s="1"/>
  <c r="G61" i="4" s="1"/>
  <c r="C61" i="4"/>
  <c r="B61" i="4"/>
  <c r="A61" i="4"/>
  <c r="G60" i="4"/>
  <c r="F60" i="4"/>
  <c r="E60" i="4"/>
  <c r="D60" i="4"/>
  <c r="C60" i="4"/>
  <c r="B60" i="4"/>
  <c r="A60" i="4"/>
  <c r="D59" i="4"/>
  <c r="E59" i="4" s="1"/>
  <c r="C59" i="4"/>
  <c r="B59" i="4"/>
  <c r="A59" i="4"/>
  <c r="G58" i="4"/>
  <c r="E58" i="4"/>
  <c r="D58" i="4"/>
  <c r="C58" i="4"/>
  <c r="B58" i="4"/>
  <c r="A58" i="4"/>
  <c r="D57" i="4"/>
  <c r="E57" i="4" s="1"/>
  <c r="C57" i="4"/>
  <c r="B57" i="4"/>
  <c r="A57" i="4"/>
  <c r="E56" i="4"/>
  <c r="F56" i="4" s="1"/>
  <c r="D56" i="4"/>
  <c r="C56" i="4"/>
  <c r="B56" i="4"/>
  <c r="A56" i="4"/>
  <c r="G55" i="4"/>
  <c r="F55" i="4"/>
  <c r="D55" i="4"/>
  <c r="E55" i="4" s="1"/>
  <c r="C55" i="4"/>
  <c r="B55" i="4"/>
  <c r="A55" i="4"/>
  <c r="D54" i="4"/>
  <c r="E54" i="4" s="1"/>
  <c r="C54" i="4"/>
  <c r="B54" i="4"/>
  <c r="A54" i="4"/>
  <c r="D53" i="4"/>
  <c r="E53" i="4" s="1"/>
  <c r="C53" i="4"/>
  <c r="B53" i="4"/>
  <c r="A53" i="4"/>
  <c r="G52" i="4"/>
  <c r="F52" i="4"/>
  <c r="E52" i="4"/>
  <c r="D52" i="4"/>
  <c r="C52" i="4"/>
  <c r="B52" i="4"/>
  <c r="A52" i="4"/>
  <c r="D51" i="4"/>
  <c r="E51" i="4" s="1"/>
  <c r="C51" i="4"/>
  <c r="B51" i="4"/>
  <c r="A51" i="4"/>
  <c r="E50" i="4"/>
  <c r="D50" i="4"/>
  <c r="C50" i="4"/>
  <c r="B50" i="4"/>
  <c r="A50" i="4"/>
  <c r="G49" i="4"/>
  <c r="F49" i="4"/>
  <c r="E49" i="4"/>
  <c r="D49" i="4"/>
  <c r="C49" i="4"/>
  <c r="B49" i="4"/>
  <c r="A49" i="4"/>
  <c r="E48" i="4"/>
  <c r="D48" i="4"/>
  <c r="C48" i="4"/>
  <c r="B48" i="4"/>
  <c r="A48" i="4"/>
  <c r="G47" i="4"/>
  <c r="F47" i="4"/>
  <c r="E47" i="4"/>
  <c r="D47" i="4"/>
  <c r="C47" i="4"/>
  <c r="B47" i="4"/>
  <c r="A47" i="4"/>
  <c r="D46" i="4"/>
  <c r="E46" i="4" s="1"/>
  <c r="C46" i="4"/>
  <c r="B46" i="4"/>
  <c r="A46" i="4"/>
  <c r="H45" i="4"/>
  <c r="D45" i="4"/>
  <c r="E45" i="4" s="1"/>
  <c r="C45" i="4"/>
  <c r="B45" i="4"/>
  <c r="A45" i="4"/>
  <c r="G44" i="4"/>
  <c r="F44" i="4"/>
  <c r="E44" i="4"/>
  <c r="D44" i="4"/>
  <c r="C44" i="4"/>
  <c r="B44" i="4"/>
  <c r="A44" i="4"/>
  <c r="D43" i="4"/>
  <c r="E43" i="4" s="1"/>
  <c r="G43" i="4" s="1"/>
  <c r="C43" i="4"/>
  <c r="B43" i="4"/>
  <c r="A43" i="4"/>
  <c r="D42" i="4"/>
  <c r="E42" i="4" s="1"/>
  <c r="F42" i="4" s="1"/>
  <c r="C42" i="4"/>
  <c r="B42" i="4"/>
  <c r="A42" i="4"/>
  <c r="E41" i="4"/>
  <c r="G41" i="4" s="1"/>
  <c r="D41" i="4"/>
  <c r="C41" i="4"/>
  <c r="B41" i="4"/>
  <c r="A41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D38" i="4"/>
  <c r="E38" i="4" s="1"/>
  <c r="C38" i="4"/>
  <c r="B38" i="4"/>
  <c r="A38" i="4"/>
  <c r="E37" i="4"/>
  <c r="D37" i="4"/>
  <c r="C37" i="4"/>
  <c r="B37" i="4"/>
  <c r="A37" i="4"/>
  <c r="G36" i="4"/>
  <c r="F36" i="4"/>
  <c r="E36" i="4"/>
  <c r="D36" i="4"/>
  <c r="C36" i="4"/>
  <c r="B36" i="4"/>
  <c r="A36" i="4"/>
  <c r="D35" i="4"/>
  <c r="E35" i="4" s="1"/>
  <c r="C35" i="4"/>
  <c r="B35" i="4"/>
  <c r="A35" i="4"/>
  <c r="G34" i="4"/>
  <c r="D34" i="4"/>
  <c r="E34" i="4" s="1"/>
  <c r="F34" i="4" s="1"/>
  <c r="C34" i="4"/>
  <c r="B34" i="4"/>
  <c r="A34" i="4"/>
  <c r="D33" i="4"/>
  <c r="E33" i="4" s="1"/>
  <c r="C33" i="4"/>
  <c r="B33" i="4"/>
  <c r="A33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E30" i="4"/>
  <c r="F30" i="4" s="1"/>
  <c r="D30" i="4"/>
  <c r="C30" i="4"/>
  <c r="B30" i="4"/>
  <c r="A30" i="4"/>
  <c r="D29" i="4"/>
  <c r="E29" i="4" s="1"/>
  <c r="C29" i="4"/>
  <c r="B29" i="4"/>
  <c r="A29" i="4"/>
  <c r="D28" i="4"/>
  <c r="E28" i="4" s="1"/>
  <c r="C28" i="4"/>
  <c r="B28" i="4"/>
  <c r="A28" i="4"/>
  <c r="F27" i="4"/>
  <c r="D27" i="4"/>
  <c r="E27" i="4" s="1"/>
  <c r="G27" i="4" s="1"/>
  <c r="C27" i="4"/>
  <c r="B27" i="4"/>
  <c r="A27" i="4"/>
  <c r="G26" i="4"/>
  <c r="D26" i="4"/>
  <c r="E26" i="4" s="1"/>
  <c r="F26" i="4" s="1"/>
  <c r="C26" i="4"/>
  <c r="B26" i="4"/>
  <c r="A26" i="4"/>
  <c r="D25" i="4"/>
  <c r="E25" i="4" s="1"/>
  <c r="C25" i="4"/>
  <c r="B25" i="4"/>
  <c r="A25" i="4"/>
  <c r="E24" i="4"/>
  <c r="D24" i="4"/>
  <c r="C24" i="4"/>
  <c r="B24" i="4"/>
  <c r="A24" i="4"/>
  <c r="G23" i="4"/>
  <c r="E23" i="4"/>
  <c r="D23" i="4"/>
  <c r="C23" i="4"/>
  <c r="B23" i="4"/>
  <c r="A23" i="4"/>
  <c r="D22" i="4"/>
  <c r="E22" i="4" s="1"/>
  <c r="C22" i="4"/>
  <c r="B22" i="4"/>
  <c r="A22" i="4"/>
  <c r="G21" i="4"/>
  <c r="E21" i="4"/>
  <c r="F21" i="4" s="1"/>
  <c r="D21" i="4"/>
  <c r="C21" i="4"/>
  <c r="B21" i="4"/>
  <c r="A21" i="4"/>
  <c r="E20" i="4"/>
  <c r="D20" i="4"/>
  <c r="C20" i="4"/>
  <c r="B20" i="4"/>
  <c r="A20" i="4"/>
  <c r="D19" i="4"/>
  <c r="E19" i="4" s="1"/>
  <c r="F19" i="4" s="1"/>
  <c r="C19" i="4"/>
  <c r="B19" i="4"/>
  <c r="A19" i="4"/>
  <c r="D18" i="4"/>
  <c r="E18" i="4" s="1"/>
  <c r="G18" i="4" s="1"/>
  <c r="C18" i="4"/>
  <c r="B18" i="4"/>
  <c r="A18" i="4"/>
  <c r="D17" i="4"/>
  <c r="E17" i="4" s="1"/>
  <c r="C17" i="4"/>
  <c r="B17" i="4"/>
  <c r="A17" i="4"/>
  <c r="E16" i="4"/>
  <c r="F16" i="4" s="1"/>
  <c r="D16" i="4"/>
  <c r="C16" i="4"/>
  <c r="B16" i="4"/>
  <c r="A16" i="4"/>
  <c r="E15" i="4"/>
  <c r="D15" i="4"/>
  <c r="C15" i="4"/>
  <c r="B15" i="4"/>
  <c r="A15" i="4"/>
  <c r="E14" i="4"/>
  <c r="F14" i="4" s="1"/>
  <c r="D14" i="4"/>
  <c r="C14" i="4"/>
  <c r="B14" i="4"/>
  <c r="A14" i="4"/>
  <c r="D13" i="4"/>
  <c r="E13" i="4" s="1"/>
  <c r="C13" i="4"/>
  <c r="B13" i="4"/>
  <c r="A13" i="4"/>
  <c r="D12" i="4"/>
  <c r="E12" i="4" s="1"/>
  <c r="C12" i="4"/>
  <c r="B12" i="4"/>
  <c r="A12" i="4"/>
  <c r="G11" i="4"/>
  <c r="F11" i="4"/>
  <c r="D11" i="4"/>
  <c r="E11" i="4" s="1"/>
  <c r="C11" i="4"/>
  <c r="B11" i="4"/>
  <c r="A11" i="4"/>
  <c r="D10" i="4"/>
  <c r="E10" i="4" s="1"/>
  <c r="F10" i="4" s="1"/>
  <c r="C10" i="4"/>
  <c r="B10" i="4"/>
  <c r="A10" i="4"/>
  <c r="E9" i="4"/>
  <c r="G9" i="4" s="1"/>
  <c r="D9" i="4"/>
  <c r="C9" i="4"/>
  <c r="B9" i="4"/>
  <c r="A9" i="4"/>
  <c r="E8" i="4"/>
  <c r="D8" i="4"/>
  <c r="C8" i="4"/>
  <c r="B8" i="4"/>
  <c r="A8" i="4"/>
  <c r="C7" i="4"/>
  <c r="B7" i="4"/>
  <c r="A7" i="4"/>
  <c r="I125" i="3"/>
  <c r="H125" i="3"/>
  <c r="G125" i="3"/>
  <c r="E125" i="3"/>
  <c r="D125" i="3"/>
  <c r="F125" i="3" s="1"/>
  <c r="C125" i="3"/>
  <c r="B125" i="3"/>
  <c r="A125" i="3"/>
  <c r="G124" i="3"/>
  <c r="I124" i="3" s="1"/>
  <c r="E124" i="3"/>
  <c r="D124" i="3"/>
  <c r="J124" i="3" s="1"/>
  <c r="C124" i="3"/>
  <c r="B124" i="3"/>
  <c r="A124" i="3"/>
  <c r="G123" i="3"/>
  <c r="I123" i="3" s="1"/>
  <c r="F123" i="3"/>
  <c r="E123" i="3"/>
  <c r="D123" i="3"/>
  <c r="J123" i="3" s="1"/>
  <c r="M123" i="3" s="1"/>
  <c r="C123" i="3"/>
  <c r="B123" i="3"/>
  <c r="A123" i="3"/>
  <c r="I122" i="3"/>
  <c r="G122" i="3"/>
  <c r="F122" i="3"/>
  <c r="E122" i="3"/>
  <c r="D122" i="3"/>
  <c r="C122" i="3"/>
  <c r="B122" i="3"/>
  <c r="A122" i="3"/>
  <c r="E121" i="3"/>
  <c r="D121" i="3"/>
  <c r="C121" i="3"/>
  <c r="B121" i="3"/>
  <c r="A121" i="3"/>
  <c r="I120" i="3"/>
  <c r="J120" i="3" s="1"/>
  <c r="M120" i="3" s="1"/>
  <c r="G120" i="3"/>
  <c r="E120" i="3"/>
  <c r="F120" i="3" s="1"/>
  <c r="D120" i="3"/>
  <c r="C120" i="3"/>
  <c r="B120" i="3"/>
  <c r="A120" i="3"/>
  <c r="G119" i="3"/>
  <c r="I119" i="3" s="1"/>
  <c r="J119" i="3" s="1"/>
  <c r="E119" i="3"/>
  <c r="F119" i="3" s="1"/>
  <c r="D119" i="3"/>
  <c r="C119" i="3"/>
  <c r="B119" i="3"/>
  <c r="A119" i="3"/>
  <c r="G118" i="3"/>
  <c r="I118" i="3" s="1"/>
  <c r="J118" i="3" s="1"/>
  <c r="E118" i="3"/>
  <c r="D118" i="3"/>
  <c r="C118" i="3"/>
  <c r="B118" i="3"/>
  <c r="A118" i="3"/>
  <c r="L117" i="3"/>
  <c r="J117" i="3"/>
  <c r="M117" i="3" s="1"/>
  <c r="I117" i="3"/>
  <c r="H117" i="3"/>
  <c r="G117" i="3"/>
  <c r="E117" i="3"/>
  <c r="D117" i="3"/>
  <c r="F117" i="3" s="1"/>
  <c r="C117" i="3"/>
  <c r="B117" i="3"/>
  <c r="A117" i="3"/>
  <c r="I116" i="3"/>
  <c r="H116" i="3"/>
  <c r="G116" i="3"/>
  <c r="E116" i="3"/>
  <c r="D116" i="3"/>
  <c r="F116" i="3" s="1"/>
  <c r="L116" i="3" s="1"/>
  <c r="C116" i="3"/>
  <c r="B116" i="3"/>
  <c r="A116" i="3"/>
  <c r="J115" i="3"/>
  <c r="M115" i="3" s="1"/>
  <c r="I115" i="3"/>
  <c r="H115" i="3"/>
  <c r="G115" i="3"/>
  <c r="F115" i="3"/>
  <c r="L115" i="3" s="1"/>
  <c r="E115" i="3"/>
  <c r="D115" i="3"/>
  <c r="C115" i="3"/>
  <c r="B115" i="3"/>
  <c r="A115" i="3"/>
  <c r="H114" i="3"/>
  <c r="E114" i="3"/>
  <c r="D114" i="3"/>
  <c r="J114" i="3" s="1"/>
  <c r="C114" i="3"/>
  <c r="B114" i="3"/>
  <c r="A114" i="3"/>
  <c r="I113" i="3"/>
  <c r="G113" i="3"/>
  <c r="E113" i="3"/>
  <c r="D113" i="3"/>
  <c r="J113" i="3" s="1"/>
  <c r="C113" i="3"/>
  <c r="B113" i="3"/>
  <c r="A113" i="3"/>
  <c r="M112" i="3"/>
  <c r="J112" i="3"/>
  <c r="I112" i="3"/>
  <c r="H112" i="3"/>
  <c r="L112" i="3" s="1"/>
  <c r="G112" i="3"/>
  <c r="F112" i="3"/>
  <c r="E112" i="3"/>
  <c r="D112" i="3"/>
  <c r="C112" i="3"/>
  <c r="B112" i="3"/>
  <c r="A112" i="3"/>
  <c r="G111" i="3"/>
  <c r="I111" i="3" s="1"/>
  <c r="J111" i="3" s="1"/>
  <c r="M111" i="3" s="1"/>
  <c r="F111" i="3"/>
  <c r="E111" i="3"/>
  <c r="D111" i="3"/>
  <c r="C111" i="3"/>
  <c r="B111" i="3"/>
  <c r="A111" i="3"/>
  <c r="L110" i="3"/>
  <c r="H110" i="3"/>
  <c r="G110" i="3"/>
  <c r="I110" i="3" s="1"/>
  <c r="E110" i="3"/>
  <c r="D110" i="3"/>
  <c r="F110" i="3" s="1"/>
  <c r="C110" i="3"/>
  <c r="B110" i="3"/>
  <c r="A110" i="3"/>
  <c r="G109" i="3"/>
  <c r="I109" i="3" s="1"/>
  <c r="J109" i="3" s="1"/>
  <c r="E109" i="3"/>
  <c r="D109" i="3"/>
  <c r="C109" i="3"/>
  <c r="B109" i="3"/>
  <c r="A109" i="3"/>
  <c r="I108" i="3"/>
  <c r="G108" i="3"/>
  <c r="E108" i="3"/>
  <c r="D108" i="3"/>
  <c r="J108" i="3" s="1"/>
  <c r="C108" i="3"/>
  <c r="B108" i="3"/>
  <c r="A108" i="3"/>
  <c r="H107" i="3"/>
  <c r="E107" i="3"/>
  <c r="D107" i="3"/>
  <c r="F107" i="3" s="1"/>
  <c r="L107" i="3" s="1"/>
  <c r="C107" i="3"/>
  <c r="B107" i="3"/>
  <c r="A107" i="3"/>
  <c r="F106" i="3"/>
  <c r="E106" i="3"/>
  <c r="D106" i="3"/>
  <c r="C106" i="3"/>
  <c r="B106" i="3"/>
  <c r="A106" i="3"/>
  <c r="I105" i="3"/>
  <c r="G105" i="3"/>
  <c r="E105" i="3"/>
  <c r="D105" i="3"/>
  <c r="J105" i="3" s="1"/>
  <c r="C105" i="3"/>
  <c r="B105" i="3"/>
  <c r="A105" i="3"/>
  <c r="F104" i="3"/>
  <c r="E104" i="3"/>
  <c r="D104" i="3"/>
  <c r="C104" i="3"/>
  <c r="B104" i="3"/>
  <c r="A104" i="3"/>
  <c r="J103" i="3"/>
  <c r="M103" i="3" s="1"/>
  <c r="H103" i="3"/>
  <c r="L103" i="3" s="1"/>
  <c r="G103" i="3"/>
  <c r="I103" i="3" s="1"/>
  <c r="F103" i="3"/>
  <c r="E103" i="3"/>
  <c r="D103" i="3"/>
  <c r="C103" i="3"/>
  <c r="B103" i="3"/>
  <c r="A103" i="3"/>
  <c r="J102" i="3"/>
  <c r="M102" i="3" s="1"/>
  <c r="H102" i="3"/>
  <c r="L102" i="3" s="1"/>
  <c r="E102" i="3"/>
  <c r="D102" i="3"/>
  <c r="F102" i="3" s="1"/>
  <c r="C102" i="3"/>
  <c r="B102" i="3"/>
  <c r="A102" i="3"/>
  <c r="H101" i="3"/>
  <c r="L101" i="3" s="1"/>
  <c r="G101" i="3"/>
  <c r="I101" i="3" s="1"/>
  <c r="E101" i="3"/>
  <c r="D101" i="3"/>
  <c r="F101" i="3" s="1"/>
  <c r="C101" i="3"/>
  <c r="B101" i="3"/>
  <c r="A101" i="3"/>
  <c r="J100" i="3"/>
  <c r="H100" i="3"/>
  <c r="G100" i="3"/>
  <c r="I100" i="3" s="1"/>
  <c r="E100" i="3"/>
  <c r="D100" i="3"/>
  <c r="F100" i="3" s="1"/>
  <c r="L100" i="3" s="1"/>
  <c r="C100" i="3"/>
  <c r="B100" i="3"/>
  <c r="A100" i="3"/>
  <c r="G99" i="3"/>
  <c r="I99" i="3" s="1"/>
  <c r="F99" i="3"/>
  <c r="E99" i="3"/>
  <c r="D99" i="3"/>
  <c r="J99" i="3" s="1"/>
  <c r="M99" i="3" s="1"/>
  <c r="C99" i="3"/>
  <c r="B99" i="3"/>
  <c r="A99" i="3"/>
  <c r="I98" i="3"/>
  <c r="H98" i="3"/>
  <c r="L98" i="3" s="1"/>
  <c r="G98" i="3"/>
  <c r="F98" i="3"/>
  <c r="E98" i="3"/>
  <c r="D98" i="3"/>
  <c r="J98" i="3" s="1"/>
  <c r="C98" i="3"/>
  <c r="B98" i="3"/>
  <c r="A98" i="3"/>
  <c r="I97" i="3"/>
  <c r="H97" i="3"/>
  <c r="G97" i="3"/>
  <c r="E97" i="3"/>
  <c r="D97" i="3"/>
  <c r="J97" i="3" s="1"/>
  <c r="C97" i="3"/>
  <c r="B97" i="3"/>
  <c r="A97" i="3"/>
  <c r="I96" i="3"/>
  <c r="J96" i="3" s="1"/>
  <c r="M96" i="3" s="1"/>
  <c r="G96" i="3"/>
  <c r="E96" i="3"/>
  <c r="F96" i="3" s="1"/>
  <c r="D96" i="3"/>
  <c r="C96" i="3"/>
  <c r="B96" i="3"/>
  <c r="A96" i="3"/>
  <c r="M95" i="3"/>
  <c r="J95" i="3"/>
  <c r="H95" i="3"/>
  <c r="L95" i="3" s="1"/>
  <c r="G95" i="3"/>
  <c r="I95" i="3" s="1"/>
  <c r="F95" i="3"/>
  <c r="E95" i="3"/>
  <c r="D95" i="3"/>
  <c r="C95" i="3"/>
  <c r="B95" i="3"/>
  <c r="A95" i="3"/>
  <c r="M94" i="3"/>
  <c r="J94" i="3"/>
  <c r="H94" i="3"/>
  <c r="K94" i="3" s="1"/>
  <c r="E94" i="3"/>
  <c r="D94" i="3"/>
  <c r="F94" i="3" s="1"/>
  <c r="C94" i="3"/>
  <c r="B94" i="3"/>
  <c r="A94" i="3"/>
  <c r="L93" i="3"/>
  <c r="J93" i="3"/>
  <c r="M93" i="3" s="1"/>
  <c r="H93" i="3"/>
  <c r="E93" i="3"/>
  <c r="D93" i="3"/>
  <c r="F93" i="3" s="1"/>
  <c r="C93" i="3"/>
  <c r="B93" i="3"/>
  <c r="A93" i="3"/>
  <c r="J92" i="3"/>
  <c r="M92" i="3" s="1"/>
  <c r="H92" i="3"/>
  <c r="G92" i="3"/>
  <c r="I92" i="3" s="1"/>
  <c r="F92" i="3"/>
  <c r="L92" i="3" s="1"/>
  <c r="E92" i="3"/>
  <c r="D92" i="3"/>
  <c r="C92" i="3"/>
  <c r="B92" i="3"/>
  <c r="A92" i="3"/>
  <c r="F91" i="3"/>
  <c r="E91" i="3"/>
  <c r="D91" i="3"/>
  <c r="C91" i="3"/>
  <c r="B91" i="3"/>
  <c r="A91" i="3"/>
  <c r="E90" i="3"/>
  <c r="D90" i="3"/>
  <c r="C90" i="3"/>
  <c r="B90" i="3"/>
  <c r="A90" i="3"/>
  <c r="I89" i="3"/>
  <c r="H89" i="3"/>
  <c r="K89" i="3" s="1"/>
  <c r="G89" i="3"/>
  <c r="E89" i="3"/>
  <c r="D89" i="3"/>
  <c r="J89" i="3" s="1"/>
  <c r="C89" i="3"/>
  <c r="B89" i="3"/>
  <c r="A89" i="3"/>
  <c r="M88" i="3"/>
  <c r="J88" i="3"/>
  <c r="I88" i="3"/>
  <c r="H88" i="3"/>
  <c r="L88" i="3" s="1"/>
  <c r="G88" i="3"/>
  <c r="F88" i="3"/>
  <c r="E88" i="3"/>
  <c r="D88" i="3"/>
  <c r="C88" i="3"/>
  <c r="B88" i="3"/>
  <c r="A88" i="3"/>
  <c r="G87" i="3"/>
  <c r="I87" i="3" s="1"/>
  <c r="J87" i="3" s="1"/>
  <c r="M87" i="3" s="1"/>
  <c r="F87" i="3"/>
  <c r="E87" i="3"/>
  <c r="D87" i="3"/>
  <c r="C87" i="3"/>
  <c r="B87" i="3"/>
  <c r="A87" i="3"/>
  <c r="L86" i="3"/>
  <c r="H86" i="3"/>
  <c r="G86" i="3"/>
  <c r="I86" i="3" s="1"/>
  <c r="E86" i="3"/>
  <c r="D86" i="3"/>
  <c r="F86" i="3" s="1"/>
  <c r="C86" i="3"/>
  <c r="B86" i="3"/>
  <c r="A86" i="3"/>
  <c r="G85" i="3"/>
  <c r="I85" i="3" s="1"/>
  <c r="J85" i="3" s="1"/>
  <c r="E85" i="3"/>
  <c r="D85" i="3"/>
  <c r="C85" i="3"/>
  <c r="B85" i="3"/>
  <c r="A85" i="3"/>
  <c r="I84" i="3"/>
  <c r="G84" i="3"/>
  <c r="E84" i="3"/>
  <c r="D84" i="3"/>
  <c r="J84" i="3" s="1"/>
  <c r="C84" i="3"/>
  <c r="B84" i="3"/>
  <c r="A84" i="3"/>
  <c r="H83" i="3"/>
  <c r="E83" i="3"/>
  <c r="D83" i="3"/>
  <c r="F83" i="3" s="1"/>
  <c r="L83" i="3" s="1"/>
  <c r="C83" i="3"/>
  <c r="B83" i="3"/>
  <c r="A83" i="3"/>
  <c r="F82" i="3"/>
  <c r="E82" i="3"/>
  <c r="D82" i="3"/>
  <c r="C82" i="3"/>
  <c r="B82" i="3"/>
  <c r="A82" i="3"/>
  <c r="I81" i="3"/>
  <c r="G81" i="3"/>
  <c r="E81" i="3"/>
  <c r="D81" i="3"/>
  <c r="J81" i="3" s="1"/>
  <c r="C81" i="3"/>
  <c r="B81" i="3"/>
  <c r="A81" i="3"/>
  <c r="I80" i="3"/>
  <c r="J80" i="3" s="1"/>
  <c r="M80" i="3" s="1"/>
  <c r="G80" i="3"/>
  <c r="F80" i="3"/>
  <c r="E80" i="3"/>
  <c r="D80" i="3"/>
  <c r="C80" i="3"/>
  <c r="B80" i="3"/>
  <c r="A80" i="3"/>
  <c r="K79" i="3"/>
  <c r="J79" i="3"/>
  <c r="M79" i="3" s="1"/>
  <c r="H79" i="3"/>
  <c r="F79" i="3"/>
  <c r="E79" i="3"/>
  <c r="D79" i="3"/>
  <c r="C79" i="3"/>
  <c r="B79" i="3"/>
  <c r="A79" i="3"/>
  <c r="G78" i="3"/>
  <c r="I78" i="3" s="1"/>
  <c r="E78" i="3"/>
  <c r="D78" i="3"/>
  <c r="J78" i="3" s="1"/>
  <c r="C78" i="3"/>
  <c r="B78" i="3"/>
  <c r="A78" i="3"/>
  <c r="J77" i="3"/>
  <c r="M77" i="3" s="1"/>
  <c r="I77" i="3"/>
  <c r="G77" i="3"/>
  <c r="E77" i="3"/>
  <c r="D77" i="3"/>
  <c r="F77" i="3" s="1"/>
  <c r="C77" i="3"/>
  <c r="B77" i="3"/>
  <c r="A77" i="3"/>
  <c r="E76" i="3"/>
  <c r="D76" i="3"/>
  <c r="C76" i="3"/>
  <c r="B76" i="3"/>
  <c r="A76" i="3"/>
  <c r="G75" i="3"/>
  <c r="I75" i="3" s="1"/>
  <c r="F75" i="3"/>
  <c r="E75" i="3"/>
  <c r="D75" i="3"/>
  <c r="C75" i="3"/>
  <c r="B75" i="3"/>
  <c r="A75" i="3"/>
  <c r="F74" i="3"/>
  <c r="E74" i="3"/>
  <c r="D74" i="3"/>
  <c r="C74" i="3"/>
  <c r="B74" i="3"/>
  <c r="A74" i="3"/>
  <c r="I73" i="3"/>
  <c r="H73" i="3"/>
  <c r="G73" i="3"/>
  <c r="F73" i="3"/>
  <c r="E73" i="3"/>
  <c r="D73" i="3"/>
  <c r="J73" i="3" s="1"/>
  <c r="M73" i="3" s="1"/>
  <c r="C73" i="3"/>
  <c r="B73" i="3"/>
  <c r="A73" i="3"/>
  <c r="J72" i="3"/>
  <c r="I72" i="3"/>
  <c r="G72" i="3"/>
  <c r="E72" i="3"/>
  <c r="F72" i="3" s="1"/>
  <c r="D72" i="3"/>
  <c r="C72" i="3"/>
  <c r="B72" i="3"/>
  <c r="A72" i="3"/>
  <c r="M71" i="3"/>
  <c r="J71" i="3"/>
  <c r="H71" i="3"/>
  <c r="L71" i="3" s="1"/>
  <c r="F71" i="3"/>
  <c r="E71" i="3"/>
  <c r="D71" i="3"/>
  <c r="C71" i="3"/>
  <c r="B71" i="3"/>
  <c r="A71" i="3"/>
  <c r="J70" i="3"/>
  <c r="M70" i="3" s="1"/>
  <c r="H70" i="3"/>
  <c r="E70" i="3"/>
  <c r="D70" i="3"/>
  <c r="F70" i="3" s="1"/>
  <c r="C70" i="3"/>
  <c r="B70" i="3"/>
  <c r="A70" i="3"/>
  <c r="M69" i="3"/>
  <c r="L69" i="3"/>
  <c r="J69" i="3"/>
  <c r="H69" i="3"/>
  <c r="E69" i="3"/>
  <c r="D69" i="3"/>
  <c r="F69" i="3" s="1"/>
  <c r="C69" i="3"/>
  <c r="B69" i="3"/>
  <c r="A69" i="3"/>
  <c r="J68" i="3"/>
  <c r="M68" i="3" s="1"/>
  <c r="H68" i="3"/>
  <c r="G68" i="3"/>
  <c r="I68" i="3" s="1"/>
  <c r="F68" i="3"/>
  <c r="L68" i="3" s="1"/>
  <c r="E68" i="3"/>
  <c r="D68" i="3"/>
  <c r="C68" i="3"/>
  <c r="B68" i="3"/>
  <c r="A68" i="3"/>
  <c r="K67" i="3"/>
  <c r="J67" i="3"/>
  <c r="I67" i="3"/>
  <c r="H67" i="3"/>
  <c r="G67" i="3"/>
  <c r="F67" i="3"/>
  <c r="L67" i="3" s="1"/>
  <c r="E67" i="3"/>
  <c r="D67" i="3"/>
  <c r="C67" i="3"/>
  <c r="B67" i="3"/>
  <c r="A67" i="3"/>
  <c r="I66" i="3"/>
  <c r="G66" i="3"/>
  <c r="F66" i="3"/>
  <c r="E66" i="3"/>
  <c r="D66" i="3"/>
  <c r="C66" i="3"/>
  <c r="B66" i="3"/>
  <c r="A66" i="3"/>
  <c r="I65" i="3"/>
  <c r="G65" i="3"/>
  <c r="E65" i="3"/>
  <c r="F65" i="3" s="1"/>
  <c r="D65" i="3"/>
  <c r="C65" i="3"/>
  <c r="B65" i="3"/>
  <c r="A65" i="3"/>
  <c r="I64" i="3"/>
  <c r="J64" i="3" s="1"/>
  <c r="G64" i="3"/>
  <c r="F64" i="3"/>
  <c r="E64" i="3"/>
  <c r="D64" i="3"/>
  <c r="C64" i="3"/>
  <c r="B64" i="3"/>
  <c r="A64" i="3"/>
  <c r="E63" i="3"/>
  <c r="F63" i="3" s="1"/>
  <c r="D63" i="3"/>
  <c r="C63" i="3"/>
  <c r="B63" i="3"/>
  <c r="A63" i="3"/>
  <c r="G62" i="3"/>
  <c r="I62" i="3" s="1"/>
  <c r="E62" i="3"/>
  <c r="D62" i="3"/>
  <c r="C62" i="3"/>
  <c r="B62" i="3"/>
  <c r="A62" i="3"/>
  <c r="G61" i="3"/>
  <c r="I61" i="3" s="1"/>
  <c r="E61" i="3"/>
  <c r="D61" i="3"/>
  <c r="J61" i="3" s="1"/>
  <c r="C61" i="3"/>
  <c r="B61" i="3"/>
  <c r="A61" i="3"/>
  <c r="L60" i="3"/>
  <c r="J60" i="3"/>
  <c r="M60" i="3" s="1"/>
  <c r="I60" i="3"/>
  <c r="H60" i="3"/>
  <c r="G60" i="3"/>
  <c r="F60" i="3"/>
  <c r="E60" i="3"/>
  <c r="D60" i="3"/>
  <c r="C60" i="3"/>
  <c r="B60" i="3"/>
  <c r="A60" i="3"/>
  <c r="G59" i="3"/>
  <c r="I59" i="3" s="1"/>
  <c r="J59" i="3" s="1"/>
  <c r="M59" i="3" s="1"/>
  <c r="F59" i="3"/>
  <c r="E59" i="3"/>
  <c r="D59" i="3"/>
  <c r="C59" i="3"/>
  <c r="B59" i="3"/>
  <c r="A59" i="3"/>
  <c r="E58" i="3"/>
  <c r="D58" i="3"/>
  <c r="C58" i="3"/>
  <c r="B58" i="3"/>
  <c r="A58" i="3"/>
  <c r="I57" i="3"/>
  <c r="G57" i="3"/>
  <c r="F57" i="3"/>
  <c r="E57" i="3"/>
  <c r="D57" i="3"/>
  <c r="J57" i="3" s="1"/>
  <c r="M57" i="3" s="1"/>
  <c r="C57" i="3"/>
  <c r="B57" i="3"/>
  <c r="A57" i="3"/>
  <c r="F56" i="3"/>
  <c r="E56" i="3"/>
  <c r="D56" i="3"/>
  <c r="C56" i="3"/>
  <c r="B56" i="3"/>
  <c r="A56" i="3"/>
  <c r="H55" i="3"/>
  <c r="F55" i="3"/>
  <c r="E55" i="3"/>
  <c r="D55" i="3"/>
  <c r="J55" i="3" s="1"/>
  <c r="M55" i="3" s="1"/>
  <c r="C55" i="3"/>
  <c r="B55" i="3"/>
  <c r="A55" i="3"/>
  <c r="I54" i="3"/>
  <c r="G54" i="3"/>
  <c r="E54" i="3"/>
  <c r="D54" i="3"/>
  <c r="C54" i="3"/>
  <c r="B54" i="3"/>
  <c r="A54" i="3"/>
  <c r="J53" i="3"/>
  <c r="I53" i="3"/>
  <c r="G53" i="3"/>
  <c r="E53" i="3"/>
  <c r="F53" i="3" s="1"/>
  <c r="D53" i="3"/>
  <c r="C53" i="3"/>
  <c r="B53" i="3"/>
  <c r="A53" i="3"/>
  <c r="G52" i="3"/>
  <c r="I52" i="3" s="1"/>
  <c r="J52" i="3" s="1"/>
  <c r="M52" i="3" s="1"/>
  <c r="E52" i="3"/>
  <c r="F52" i="3" s="1"/>
  <c r="D52" i="3"/>
  <c r="C52" i="3"/>
  <c r="B52" i="3"/>
  <c r="A52" i="3"/>
  <c r="H51" i="3"/>
  <c r="G51" i="3"/>
  <c r="I51" i="3" s="1"/>
  <c r="E51" i="3"/>
  <c r="D51" i="3"/>
  <c r="C51" i="3"/>
  <c r="B51" i="3"/>
  <c r="A51" i="3"/>
  <c r="E50" i="3"/>
  <c r="D50" i="3"/>
  <c r="C50" i="3"/>
  <c r="B50" i="3"/>
  <c r="A50" i="3"/>
  <c r="I49" i="3"/>
  <c r="H49" i="3"/>
  <c r="K49" i="3" s="1"/>
  <c r="G49" i="3"/>
  <c r="F49" i="3"/>
  <c r="L49" i="3" s="1"/>
  <c r="E49" i="3"/>
  <c r="D49" i="3"/>
  <c r="J49" i="3" s="1"/>
  <c r="M49" i="3" s="1"/>
  <c r="C49" i="3"/>
  <c r="B49" i="3"/>
  <c r="A49" i="3"/>
  <c r="F48" i="3"/>
  <c r="E48" i="3"/>
  <c r="D48" i="3"/>
  <c r="C48" i="3"/>
  <c r="B48" i="3"/>
  <c r="A48" i="3"/>
  <c r="G47" i="3"/>
  <c r="I47" i="3" s="1"/>
  <c r="F47" i="3"/>
  <c r="E47" i="3"/>
  <c r="D47" i="3"/>
  <c r="C47" i="3"/>
  <c r="B47" i="3"/>
  <c r="A47" i="3"/>
  <c r="H46" i="3"/>
  <c r="L46" i="3" s="1"/>
  <c r="E46" i="3"/>
  <c r="D46" i="3"/>
  <c r="F46" i="3" s="1"/>
  <c r="C46" i="3"/>
  <c r="B46" i="3"/>
  <c r="A46" i="3"/>
  <c r="J45" i="3"/>
  <c r="M45" i="3" s="1"/>
  <c r="I45" i="3"/>
  <c r="H45" i="3"/>
  <c r="K45" i="3" s="1"/>
  <c r="G45" i="3"/>
  <c r="F45" i="3"/>
  <c r="E45" i="3"/>
  <c r="D45" i="3"/>
  <c r="C45" i="3"/>
  <c r="B45" i="3"/>
  <c r="A45" i="3"/>
  <c r="E44" i="3"/>
  <c r="F44" i="3" s="1"/>
  <c r="D44" i="3"/>
  <c r="C44" i="3"/>
  <c r="B44" i="3"/>
  <c r="A44" i="3"/>
  <c r="G43" i="3"/>
  <c r="I43" i="3" s="1"/>
  <c r="E43" i="3"/>
  <c r="D43" i="3"/>
  <c r="C43" i="3"/>
  <c r="B43" i="3"/>
  <c r="A43" i="3"/>
  <c r="I42" i="3"/>
  <c r="H42" i="3"/>
  <c r="K42" i="3" s="1"/>
  <c r="G42" i="3"/>
  <c r="E42" i="3"/>
  <c r="D42" i="3"/>
  <c r="J42" i="3" s="1"/>
  <c r="C42" i="3"/>
  <c r="B42" i="3"/>
  <c r="A42" i="3"/>
  <c r="H41" i="3"/>
  <c r="F41" i="3"/>
  <c r="L41" i="3" s="1"/>
  <c r="E41" i="3"/>
  <c r="D41" i="3"/>
  <c r="J41" i="3" s="1"/>
  <c r="M41" i="3" s="1"/>
  <c r="C41" i="3"/>
  <c r="B41" i="3"/>
  <c r="A41" i="3"/>
  <c r="K40" i="3"/>
  <c r="J40" i="3"/>
  <c r="M40" i="3" s="1"/>
  <c r="H40" i="3"/>
  <c r="F40" i="3"/>
  <c r="L40" i="3" s="1"/>
  <c r="E40" i="3"/>
  <c r="D40" i="3"/>
  <c r="C40" i="3"/>
  <c r="B40" i="3"/>
  <c r="A40" i="3"/>
  <c r="G39" i="3"/>
  <c r="I39" i="3" s="1"/>
  <c r="F39" i="3"/>
  <c r="E39" i="3"/>
  <c r="D39" i="3"/>
  <c r="C39" i="3"/>
  <c r="B39" i="3"/>
  <c r="A39" i="3"/>
  <c r="E38" i="3"/>
  <c r="D38" i="3"/>
  <c r="C38" i="3"/>
  <c r="B38" i="3"/>
  <c r="A38" i="3"/>
  <c r="J37" i="3"/>
  <c r="I37" i="3"/>
  <c r="G37" i="3"/>
  <c r="E37" i="3"/>
  <c r="F37" i="3" s="1"/>
  <c r="D37" i="3"/>
  <c r="C37" i="3"/>
  <c r="B37" i="3"/>
  <c r="A37" i="3"/>
  <c r="E36" i="3"/>
  <c r="F36" i="3" s="1"/>
  <c r="D36" i="3"/>
  <c r="C36" i="3"/>
  <c r="B36" i="3"/>
  <c r="A36" i="3"/>
  <c r="G35" i="3"/>
  <c r="I35" i="3" s="1"/>
  <c r="E35" i="3"/>
  <c r="D35" i="3"/>
  <c r="C35" i="3"/>
  <c r="B35" i="3"/>
  <c r="A35" i="3"/>
  <c r="I34" i="3"/>
  <c r="H34" i="3"/>
  <c r="G34" i="3"/>
  <c r="E34" i="3"/>
  <c r="D34" i="3"/>
  <c r="C34" i="3"/>
  <c r="B34" i="3"/>
  <c r="A34" i="3"/>
  <c r="H33" i="3"/>
  <c r="F33" i="3"/>
  <c r="L33" i="3" s="1"/>
  <c r="E33" i="3"/>
  <c r="D33" i="3"/>
  <c r="J33" i="3" s="1"/>
  <c r="C33" i="3"/>
  <c r="B33" i="3"/>
  <c r="A33" i="3"/>
  <c r="K32" i="3"/>
  <c r="J32" i="3"/>
  <c r="H32" i="3"/>
  <c r="F32" i="3"/>
  <c r="L32" i="3" s="1"/>
  <c r="E32" i="3"/>
  <c r="D32" i="3"/>
  <c r="C32" i="3"/>
  <c r="B32" i="3"/>
  <c r="A32" i="3"/>
  <c r="G31" i="3"/>
  <c r="I31" i="3" s="1"/>
  <c r="F31" i="3"/>
  <c r="E31" i="3"/>
  <c r="D31" i="3"/>
  <c r="J31" i="3" s="1"/>
  <c r="M31" i="3" s="1"/>
  <c r="C31" i="3"/>
  <c r="B31" i="3"/>
  <c r="A31" i="3"/>
  <c r="E30" i="3"/>
  <c r="D30" i="3"/>
  <c r="F30" i="3" s="1"/>
  <c r="C30" i="3"/>
  <c r="B30" i="3"/>
  <c r="A30" i="3"/>
  <c r="J29" i="3"/>
  <c r="M29" i="3" s="1"/>
  <c r="I29" i="3"/>
  <c r="G29" i="3"/>
  <c r="E29" i="3"/>
  <c r="F29" i="3" s="1"/>
  <c r="D29" i="3"/>
  <c r="C29" i="3"/>
  <c r="B29" i="3"/>
  <c r="A29" i="3"/>
  <c r="J28" i="3"/>
  <c r="M28" i="3" s="1"/>
  <c r="G28" i="3"/>
  <c r="I28" i="3" s="1"/>
  <c r="E28" i="3"/>
  <c r="F28" i="3" s="1"/>
  <c r="D28" i="3"/>
  <c r="C28" i="3"/>
  <c r="B28" i="3"/>
  <c r="A28" i="3"/>
  <c r="G27" i="3"/>
  <c r="I27" i="3" s="1"/>
  <c r="E27" i="3"/>
  <c r="D27" i="3"/>
  <c r="C27" i="3"/>
  <c r="B27" i="3"/>
  <c r="A27" i="3"/>
  <c r="I26" i="3"/>
  <c r="G26" i="3"/>
  <c r="E26" i="3"/>
  <c r="D26" i="3"/>
  <c r="C26" i="3"/>
  <c r="B26" i="3"/>
  <c r="A26" i="3"/>
  <c r="I25" i="3"/>
  <c r="G25" i="3"/>
  <c r="F25" i="3"/>
  <c r="E25" i="3"/>
  <c r="D25" i="3"/>
  <c r="C25" i="3"/>
  <c r="B25" i="3"/>
  <c r="A25" i="3"/>
  <c r="I24" i="3"/>
  <c r="J24" i="3" s="1"/>
  <c r="G24" i="3"/>
  <c r="F24" i="3"/>
  <c r="E24" i="3"/>
  <c r="D24" i="3"/>
  <c r="C24" i="3"/>
  <c r="B24" i="3"/>
  <c r="A24" i="3"/>
  <c r="H23" i="3"/>
  <c r="L23" i="3" s="1"/>
  <c r="F23" i="3"/>
  <c r="E23" i="3"/>
  <c r="D23" i="3"/>
  <c r="J23" i="3" s="1"/>
  <c r="M23" i="3" s="1"/>
  <c r="C23" i="3"/>
  <c r="B23" i="3"/>
  <c r="A23" i="3"/>
  <c r="I22" i="3"/>
  <c r="G22" i="3"/>
  <c r="E22" i="3"/>
  <c r="D22" i="3"/>
  <c r="C22" i="3"/>
  <c r="B22" i="3"/>
  <c r="A22" i="3"/>
  <c r="E21" i="3"/>
  <c r="F21" i="3" s="1"/>
  <c r="D21" i="3"/>
  <c r="C21" i="3"/>
  <c r="B21" i="3"/>
  <c r="A21" i="3"/>
  <c r="G20" i="3"/>
  <c r="I20" i="3" s="1"/>
  <c r="J20" i="3" s="1"/>
  <c r="M20" i="3" s="1"/>
  <c r="E20" i="3"/>
  <c r="F20" i="3" s="1"/>
  <c r="D20" i="3"/>
  <c r="C20" i="3"/>
  <c r="B20" i="3"/>
  <c r="A20" i="3"/>
  <c r="E19" i="3"/>
  <c r="D19" i="3"/>
  <c r="C19" i="3"/>
  <c r="B19" i="3"/>
  <c r="A19" i="3"/>
  <c r="I18" i="3"/>
  <c r="G18" i="3"/>
  <c r="E18" i="3"/>
  <c r="D18" i="3"/>
  <c r="C18" i="3"/>
  <c r="B18" i="3"/>
  <c r="A18" i="3"/>
  <c r="F17" i="3"/>
  <c r="E17" i="3"/>
  <c r="D17" i="3"/>
  <c r="C17" i="3"/>
  <c r="B17" i="3"/>
  <c r="A17" i="3"/>
  <c r="I16" i="3"/>
  <c r="J16" i="3" s="1"/>
  <c r="M16" i="3" s="1"/>
  <c r="G16" i="3"/>
  <c r="F16" i="3"/>
  <c r="E16" i="3"/>
  <c r="D16" i="3"/>
  <c r="C16" i="3"/>
  <c r="B16" i="3"/>
  <c r="A16" i="3"/>
  <c r="G15" i="3"/>
  <c r="I15" i="3" s="1"/>
  <c r="F15" i="3"/>
  <c r="E15" i="3"/>
  <c r="D15" i="3"/>
  <c r="C15" i="3"/>
  <c r="B15" i="3"/>
  <c r="A15" i="3"/>
  <c r="E14" i="3"/>
  <c r="D14" i="3"/>
  <c r="C14" i="3"/>
  <c r="B14" i="3"/>
  <c r="A14" i="3"/>
  <c r="M13" i="3"/>
  <c r="J13" i="3"/>
  <c r="I13" i="3"/>
  <c r="G13" i="3"/>
  <c r="E13" i="3"/>
  <c r="F13" i="3" s="1"/>
  <c r="D13" i="3"/>
  <c r="C13" i="3"/>
  <c r="B13" i="3"/>
  <c r="A13" i="3"/>
  <c r="J12" i="3"/>
  <c r="M12" i="3" s="1"/>
  <c r="G12" i="3"/>
  <c r="I12" i="3" s="1"/>
  <c r="E12" i="3"/>
  <c r="F12" i="3" s="1"/>
  <c r="D12" i="3"/>
  <c r="C12" i="3"/>
  <c r="B12" i="3"/>
  <c r="A12" i="3"/>
  <c r="G11" i="3"/>
  <c r="I11" i="3" s="1"/>
  <c r="E11" i="3"/>
  <c r="D11" i="3"/>
  <c r="C11" i="3"/>
  <c r="B11" i="3"/>
  <c r="A11" i="3"/>
  <c r="I10" i="3"/>
  <c r="G10" i="3"/>
  <c r="E10" i="3"/>
  <c r="D10" i="3"/>
  <c r="C10" i="3"/>
  <c r="B10" i="3"/>
  <c r="A10" i="3"/>
  <c r="I9" i="3"/>
  <c r="G9" i="3"/>
  <c r="F9" i="3"/>
  <c r="E9" i="3"/>
  <c r="D9" i="3"/>
  <c r="J9" i="3" s="1"/>
  <c r="C9" i="3"/>
  <c r="B9" i="3"/>
  <c r="A9" i="3"/>
  <c r="I8" i="3"/>
  <c r="J8" i="3" s="1"/>
  <c r="M8" i="3" s="1"/>
  <c r="G8" i="3"/>
  <c r="F8" i="3"/>
  <c r="E8" i="3"/>
  <c r="D8" i="3"/>
  <c r="C8" i="3"/>
  <c r="B8" i="3"/>
  <c r="A8" i="3"/>
  <c r="F7" i="3"/>
  <c r="E7" i="3"/>
  <c r="D7" i="3"/>
  <c r="C7" i="3"/>
  <c r="B7" i="3"/>
  <c r="A7" i="3"/>
  <c r="C22" i="2"/>
  <c r="C5" i="2"/>
  <c r="D21" i="1"/>
  <c r="C21" i="1"/>
  <c r="D20" i="1"/>
  <c r="C20" i="1"/>
  <c r="D19" i="1"/>
  <c r="C19" i="1"/>
  <c r="C18" i="1"/>
  <c r="C22" i="1" s="1"/>
  <c r="B5" i="1"/>
  <c r="G25" i="4" l="1"/>
  <c r="F25" i="4"/>
  <c r="J15" i="3"/>
  <c r="M15" i="3" s="1"/>
  <c r="J25" i="3"/>
  <c r="M25" i="3" s="1"/>
  <c r="J26" i="3"/>
  <c r="M26" i="3" s="1"/>
  <c r="F26" i="3"/>
  <c r="J27" i="3"/>
  <c r="F27" i="3"/>
  <c r="M33" i="3"/>
  <c r="J34" i="3"/>
  <c r="F34" i="3"/>
  <c r="L34" i="3" s="1"/>
  <c r="K41" i="3"/>
  <c r="J51" i="3"/>
  <c r="F51" i="3"/>
  <c r="L51" i="3" s="1"/>
  <c r="M72" i="3"/>
  <c r="L73" i="3"/>
  <c r="F22" i="4"/>
  <c r="G22" i="4"/>
  <c r="F38" i="4"/>
  <c r="G38" i="4"/>
  <c r="G33" i="4"/>
  <c r="F33" i="4"/>
  <c r="F14" i="3"/>
  <c r="J18" i="3"/>
  <c r="F18" i="3"/>
  <c r="F19" i="3"/>
  <c r="J35" i="3"/>
  <c r="F35" i="3"/>
  <c r="L55" i="3"/>
  <c r="K55" i="3"/>
  <c r="G17" i="4"/>
  <c r="F17" i="4"/>
  <c r="F29" i="4"/>
  <c r="G29" i="4"/>
  <c r="M9" i="3"/>
  <c r="J10" i="3"/>
  <c r="F10" i="3"/>
  <c r="F126" i="3" s="1"/>
  <c r="F129" i="3" s="1"/>
  <c r="J11" i="3"/>
  <c r="F11" i="3"/>
  <c r="M37" i="3"/>
  <c r="J47" i="3"/>
  <c r="M47" i="3" s="1"/>
  <c r="M53" i="3"/>
  <c r="M100" i="3"/>
  <c r="G12" i="4"/>
  <c r="F12" i="4"/>
  <c r="F46" i="4"/>
  <c r="G46" i="4"/>
  <c r="K23" i="3"/>
  <c r="M24" i="3"/>
  <c r="M32" i="3"/>
  <c r="K33" i="3"/>
  <c r="K34" i="3"/>
  <c r="F62" i="3"/>
  <c r="J62" i="3"/>
  <c r="M62" i="3" s="1"/>
  <c r="M64" i="3"/>
  <c r="F76" i="3"/>
  <c r="M105" i="3"/>
  <c r="J39" i="3"/>
  <c r="M39" i="3" s="1"/>
  <c r="J43" i="3"/>
  <c r="F43" i="3"/>
  <c r="J75" i="3"/>
  <c r="M75" i="3" s="1"/>
  <c r="G28" i="4"/>
  <c r="F28" i="4"/>
  <c r="F22" i="3"/>
  <c r="F38" i="3"/>
  <c r="F54" i="3"/>
  <c r="K70" i="3"/>
  <c r="M119" i="3"/>
  <c r="F13" i="4"/>
  <c r="G13" i="4"/>
  <c r="L45" i="3"/>
  <c r="J65" i="3"/>
  <c r="M65" i="3" s="1"/>
  <c r="L70" i="3"/>
  <c r="F81" i="3"/>
  <c r="M81" i="3" s="1"/>
  <c r="L94" i="3"/>
  <c r="M98" i="3"/>
  <c r="F105" i="3"/>
  <c r="J122" i="3"/>
  <c r="M122" i="3" s="1"/>
  <c r="F124" i="3"/>
  <c r="M124" i="3" s="1"/>
  <c r="G10" i="4"/>
  <c r="G19" i="4"/>
  <c r="F43" i="4"/>
  <c r="F50" i="4"/>
  <c r="G50" i="4"/>
  <c r="F107" i="4"/>
  <c r="G107" i="4"/>
  <c r="G118" i="4"/>
  <c r="F118" i="4"/>
  <c r="G8" i="4"/>
  <c r="F48" i="4"/>
  <c r="G48" i="4"/>
  <c r="G53" i="4"/>
  <c r="F53" i="4"/>
  <c r="K69" i="3"/>
  <c r="K73" i="3"/>
  <c r="K93" i="3"/>
  <c r="K97" i="3"/>
  <c r="K100" i="3"/>
  <c r="K102" i="3"/>
  <c r="J116" i="3"/>
  <c r="M116" i="3" s="1"/>
  <c r="F8" i="4"/>
  <c r="G14" i="4"/>
  <c r="F20" i="4"/>
  <c r="F35" i="4"/>
  <c r="AC16" i="5"/>
  <c r="R16" i="5"/>
  <c r="J22" i="3"/>
  <c r="M22" i="3" s="1"/>
  <c r="F42" i="3"/>
  <c r="L42" i="3" s="1"/>
  <c r="J46" i="3"/>
  <c r="M46" i="3" s="1"/>
  <c r="F50" i="3"/>
  <c r="J54" i="3"/>
  <c r="M54" i="3" s="1"/>
  <c r="F58" i="3"/>
  <c r="K60" i="3"/>
  <c r="F61" i="3"/>
  <c r="M61" i="3" s="1"/>
  <c r="K71" i="3"/>
  <c r="L79" i="3"/>
  <c r="J83" i="3"/>
  <c r="F84" i="3"/>
  <c r="M84" i="3" s="1"/>
  <c r="J86" i="3"/>
  <c r="F89" i="3"/>
  <c r="M89" i="3" s="1"/>
  <c r="K95" i="3"/>
  <c r="J107" i="3"/>
  <c r="F108" i="3"/>
  <c r="M108" i="3" s="1"/>
  <c r="J110" i="3"/>
  <c r="F113" i="3"/>
  <c r="M113" i="3" s="1"/>
  <c r="K114" i="3"/>
  <c r="K117" i="3"/>
  <c r="F118" i="3"/>
  <c r="M118" i="3" s="1"/>
  <c r="G20" i="4"/>
  <c r="F23" i="4"/>
  <c r="G32" i="4"/>
  <c r="G35" i="4"/>
  <c r="G40" i="4"/>
  <c r="F72" i="4"/>
  <c r="G72" i="4"/>
  <c r="G91" i="4"/>
  <c r="F91" i="4"/>
  <c r="J66" i="3"/>
  <c r="M66" i="3" s="1"/>
  <c r="F78" i="3"/>
  <c r="M78" i="3" s="1"/>
  <c r="F85" i="3"/>
  <c r="M85" i="3" s="1"/>
  <c r="K88" i="3"/>
  <c r="F109" i="3"/>
  <c r="M109" i="3" s="1"/>
  <c r="K112" i="3"/>
  <c r="G51" i="4"/>
  <c r="F51" i="4"/>
  <c r="G114" i="4"/>
  <c r="F114" i="4"/>
  <c r="M67" i="3"/>
  <c r="K101" i="3"/>
  <c r="M114" i="3"/>
  <c r="F9" i="4"/>
  <c r="F15" i="4"/>
  <c r="F18" i="4"/>
  <c r="G24" i="4"/>
  <c r="G37" i="4"/>
  <c r="F37" i="4"/>
  <c r="G54" i="4"/>
  <c r="F54" i="4"/>
  <c r="G57" i="4"/>
  <c r="F57" i="4"/>
  <c r="G65" i="4"/>
  <c r="F65" i="4"/>
  <c r="G97" i="4"/>
  <c r="F97" i="4"/>
  <c r="F97" i="3"/>
  <c r="M97" i="3" s="1"/>
  <c r="K98" i="3"/>
  <c r="K103" i="3"/>
  <c r="J125" i="3"/>
  <c r="M125" i="3" s="1"/>
  <c r="G15" i="4"/>
  <c r="F24" i="4"/>
  <c r="G30" i="4"/>
  <c r="F41" i="4"/>
  <c r="K68" i="3"/>
  <c r="F90" i="3"/>
  <c r="K92" i="3"/>
  <c r="J101" i="3"/>
  <c r="M101" i="3" s="1"/>
  <c r="F114" i="3"/>
  <c r="L114" i="3" s="1"/>
  <c r="K115" i="3"/>
  <c r="F121" i="3"/>
  <c r="L125" i="3"/>
  <c r="G16" i="4"/>
  <c r="G42" i="4"/>
  <c r="G45" i="4"/>
  <c r="F45" i="4"/>
  <c r="G59" i="4"/>
  <c r="F59" i="4"/>
  <c r="G62" i="4"/>
  <c r="F62" i="4"/>
  <c r="G56" i="4"/>
  <c r="G70" i="4"/>
  <c r="G73" i="4"/>
  <c r="F76" i="4"/>
  <c r="G79" i="4"/>
  <c r="F85" i="4"/>
  <c r="G88" i="4"/>
  <c r="F94" i="4"/>
  <c r="F112" i="4"/>
  <c r="F115" i="4"/>
  <c r="G115" i="4"/>
  <c r="G122" i="4"/>
  <c r="F122" i="4"/>
  <c r="P17" i="5"/>
  <c r="Q17" i="5" s="1"/>
  <c r="P19" i="5"/>
  <c r="Q19" i="5" s="1"/>
  <c r="F74" i="4"/>
  <c r="G121" i="4"/>
  <c r="F121" i="4"/>
  <c r="AC9" i="5"/>
  <c r="R20" i="5"/>
  <c r="W20" i="5" s="1"/>
  <c r="AC20" i="5"/>
  <c r="F68" i="4"/>
  <c r="G74" i="4"/>
  <c r="F104" i="4"/>
  <c r="G117" i="4"/>
  <c r="F119" i="4"/>
  <c r="G119" i="4"/>
  <c r="R9" i="5"/>
  <c r="W9" i="5" s="1"/>
  <c r="X22" i="5"/>
  <c r="Y22" i="5" s="1"/>
  <c r="AC22" i="5"/>
  <c r="R22" i="5"/>
  <c r="F63" i="4"/>
  <c r="F66" i="4"/>
  <c r="G68" i="4"/>
  <c r="F83" i="4"/>
  <c r="F86" i="4"/>
  <c r="F89" i="4"/>
  <c r="F100" i="4"/>
  <c r="G104" i="4"/>
  <c r="G108" i="4"/>
  <c r="F117" i="4"/>
  <c r="G100" i="4"/>
  <c r="AC8" i="5"/>
  <c r="R15" i="5"/>
  <c r="W15" i="5" s="1"/>
  <c r="AC15" i="5"/>
  <c r="AC18" i="5"/>
  <c r="X18" i="5"/>
  <c r="Y18" i="5" s="1"/>
  <c r="R18" i="5"/>
  <c r="F58" i="4"/>
  <c r="F90" i="4"/>
  <c r="F93" i="4"/>
  <c r="G101" i="4"/>
  <c r="F105" i="4"/>
  <c r="R11" i="5"/>
  <c r="P30" i="5"/>
  <c r="Q30" i="5" s="1"/>
  <c r="G102" i="4"/>
  <c r="G109" i="4"/>
  <c r="G110" i="4"/>
  <c r="F110" i="4"/>
  <c r="F82" i="4"/>
  <c r="F123" i="4"/>
  <c r="G123" i="4"/>
  <c r="AC10" i="5"/>
  <c r="AE11" i="5"/>
  <c r="AD11" i="5"/>
  <c r="H11" i="3" s="1"/>
  <c r="G124" i="4"/>
  <c r="G125" i="4"/>
  <c r="U12" i="5"/>
  <c r="V12" i="5"/>
  <c r="P23" i="5"/>
  <c r="Q23" i="5" s="1"/>
  <c r="AF45" i="5"/>
  <c r="AA45" i="5"/>
  <c r="AI45" i="5"/>
  <c r="Z45" i="5"/>
  <c r="AC13" i="5"/>
  <c r="R13" i="5"/>
  <c r="P14" i="5"/>
  <c r="Q14" i="5" s="1"/>
  <c r="AC24" i="5"/>
  <c r="R24" i="5"/>
  <c r="AC25" i="5"/>
  <c r="R25" i="5"/>
  <c r="G120" i="4"/>
  <c r="T13" i="5"/>
  <c r="W13" i="5"/>
  <c r="V13" i="5"/>
  <c r="U13" i="5"/>
  <c r="AC29" i="5"/>
  <c r="R29" i="5"/>
  <c r="W29" i="5" s="1"/>
  <c r="AC53" i="5"/>
  <c r="R53" i="5"/>
  <c r="U53" i="5" s="1"/>
  <c r="AC27" i="5"/>
  <c r="R27" i="5"/>
  <c r="R34" i="5"/>
  <c r="AC34" i="5"/>
  <c r="AC26" i="5"/>
  <c r="R26" i="5"/>
  <c r="V26" i="5" s="1"/>
  <c r="R28" i="5"/>
  <c r="W28" i="5" s="1"/>
  <c r="AC28" i="5"/>
  <c r="W10" i="5"/>
  <c r="T10" i="5"/>
  <c r="X10" i="5" s="1"/>
  <c r="Y10" i="5" s="1"/>
  <c r="V10" i="5"/>
  <c r="U10" i="5"/>
  <c r="R12" i="5"/>
  <c r="T12" i="5" s="1"/>
  <c r="AC12" i="5"/>
  <c r="P21" i="5"/>
  <c r="Q21" i="5" s="1"/>
  <c r="P32" i="5"/>
  <c r="Q32" i="5" s="1"/>
  <c r="AC47" i="5"/>
  <c r="R47" i="5"/>
  <c r="V47" i="5" s="1"/>
  <c r="AC61" i="5"/>
  <c r="R123" i="5"/>
  <c r="AC123" i="5"/>
  <c r="V8" i="5"/>
  <c r="W26" i="5"/>
  <c r="T26" i="5"/>
  <c r="P44" i="5"/>
  <c r="Q44" i="5" s="1"/>
  <c r="U47" i="5"/>
  <c r="AC54" i="5"/>
  <c r="R54" i="5"/>
  <c r="V57" i="5"/>
  <c r="R61" i="5"/>
  <c r="M126" i="5"/>
  <c r="O7" i="5"/>
  <c r="T8" i="5"/>
  <c r="X8" i="5" s="1"/>
  <c r="Y8" i="5" s="1"/>
  <c r="T15" i="5"/>
  <c r="V24" i="5"/>
  <c r="P40" i="5"/>
  <c r="Q40" i="5" s="1"/>
  <c r="P41" i="5"/>
  <c r="Q41" i="5" s="1"/>
  <c r="AC45" i="5"/>
  <c r="R45" i="5"/>
  <c r="AC60" i="5"/>
  <c r="R60" i="5"/>
  <c r="AC67" i="5"/>
  <c r="R67" i="5"/>
  <c r="AC31" i="5"/>
  <c r="R31" i="5"/>
  <c r="W34" i="5"/>
  <c r="V34" i="5"/>
  <c r="U34" i="5"/>
  <c r="T34" i="5"/>
  <c r="X34" i="5" s="1"/>
  <c r="Y34" i="5" s="1"/>
  <c r="AC39" i="5"/>
  <c r="R39" i="5"/>
  <c r="V39" i="5" s="1"/>
  <c r="R42" i="5"/>
  <c r="AC42" i="5"/>
  <c r="AC43" i="5"/>
  <c r="X49" i="5"/>
  <c r="Y49" i="5" s="1"/>
  <c r="AC49" i="5"/>
  <c r="R59" i="5"/>
  <c r="AC59" i="5"/>
  <c r="V60" i="5"/>
  <c r="T60" i="5"/>
  <c r="X60" i="5" s="1"/>
  <c r="Y60" i="5" s="1"/>
  <c r="W60" i="5"/>
  <c r="U60" i="5"/>
  <c r="AC68" i="5"/>
  <c r="R68" i="5"/>
  <c r="X68" i="5"/>
  <c r="Y68" i="5" s="1"/>
  <c r="AC78" i="5"/>
  <c r="R78" i="5"/>
  <c r="W18" i="5"/>
  <c r="T18" i="5"/>
  <c r="U20" i="5"/>
  <c r="T31" i="5"/>
  <c r="W31" i="5"/>
  <c r="X31" i="5" s="1"/>
  <c r="Y31" i="5" s="1"/>
  <c r="AC35" i="5"/>
  <c r="P36" i="5"/>
  <c r="Q36" i="5" s="1"/>
  <c r="U39" i="5"/>
  <c r="W42" i="5"/>
  <c r="V42" i="5"/>
  <c r="U42" i="5"/>
  <c r="T42" i="5"/>
  <c r="X42" i="5" s="1"/>
  <c r="Y42" i="5" s="1"/>
  <c r="R43" i="5"/>
  <c r="R49" i="5"/>
  <c r="R51" i="5"/>
  <c r="AC66" i="5"/>
  <c r="R66" i="5"/>
  <c r="S126" i="5"/>
  <c r="V16" i="5"/>
  <c r="U18" i="5"/>
  <c r="T20" i="5"/>
  <c r="X20" i="5" s="1"/>
  <c r="Y20" i="5" s="1"/>
  <c r="U25" i="5"/>
  <c r="U31" i="5"/>
  <c r="P33" i="5"/>
  <c r="Q33" i="5" s="1"/>
  <c r="R35" i="5"/>
  <c r="P38" i="5"/>
  <c r="Q38" i="5" s="1"/>
  <c r="P46" i="5"/>
  <c r="Q46" i="5" s="1"/>
  <c r="V73" i="5"/>
  <c r="T73" i="5"/>
  <c r="X73" i="5" s="1"/>
  <c r="Y73" i="5" s="1"/>
  <c r="W73" i="5"/>
  <c r="U73" i="5"/>
  <c r="T16" i="5"/>
  <c r="V18" i="5"/>
  <c r="V20" i="5"/>
  <c r="T25" i="5"/>
  <c r="V31" i="5"/>
  <c r="P48" i="5"/>
  <c r="Q48" i="5" s="1"/>
  <c r="AC52" i="5"/>
  <c r="R52" i="5"/>
  <c r="U52" i="5" s="1"/>
  <c r="P55" i="5"/>
  <c r="Q55" i="5" s="1"/>
  <c r="P58" i="5"/>
  <c r="Q58" i="5" s="1"/>
  <c r="AC37" i="5"/>
  <c r="R37" i="5"/>
  <c r="T37" i="5" s="1"/>
  <c r="AC57" i="5"/>
  <c r="R57" i="5"/>
  <c r="T57" i="5" s="1"/>
  <c r="AC62" i="5"/>
  <c r="R62" i="5"/>
  <c r="T62" i="5" s="1"/>
  <c r="AC65" i="5"/>
  <c r="R65" i="5"/>
  <c r="V65" i="5" s="1"/>
  <c r="AC75" i="5"/>
  <c r="R75" i="5"/>
  <c r="U33" i="5"/>
  <c r="W39" i="5"/>
  <c r="U41" i="5"/>
  <c r="W47" i="5"/>
  <c r="W51" i="5"/>
  <c r="X51" i="5" s="1"/>
  <c r="Y51" i="5" s="1"/>
  <c r="U51" i="5"/>
  <c r="U57" i="5"/>
  <c r="X57" i="5" s="1"/>
  <c r="Y57" i="5" s="1"/>
  <c r="U61" i="5"/>
  <c r="AC72" i="5"/>
  <c r="P79" i="5"/>
  <c r="Q79" i="5" s="1"/>
  <c r="W83" i="5"/>
  <c r="U83" i="5"/>
  <c r="T83" i="5"/>
  <c r="V83" i="5"/>
  <c r="AC85" i="5"/>
  <c r="R86" i="5"/>
  <c r="AC86" i="5"/>
  <c r="V33" i="5"/>
  <c r="V41" i="5"/>
  <c r="P56" i="5"/>
  <c r="Q56" i="5" s="1"/>
  <c r="P63" i="5"/>
  <c r="Q63" i="5" s="1"/>
  <c r="R77" i="5"/>
  <c r="AC77" i="5"/>
  <c r="P50" i="5"/>
  <c r="Q50" i="5" s="1"/>
  <c r="P76" i="5"/>
  <c r="Q76" i="5" s="1"/>
  <c r="AC81" i="5"/>
  <c r="R81" i="5"/>
  <c r="P69" i="5"/>
  <c r="Q69" i="5" s="1"/>
  <c r="R80" i="5"/>
  <c r="W80" i="5" s="1"/>
  <c r="AC80" i="5"/>
  <c r="R84" i="5"/>
  <c r="T84" i="5" s="1"/>
  <c r="AC84" i="5"/>
  <c r="R85" i="5"/>
  <c r="AC92" i="5"/>
  <c r="R92" i="5"/>
  <c r="AC64" i="5"/>
  <c r="R64" i="5"/>
  <c r="U65" i="5"/>
  <c r="T67" i="5"/>
  <c r="X67" i="5" s="1"/>
  <c r="Y67" i="5" s="1"/>
  <c r="W67" i="5"/>
  <c r="V67" i="5"/>
  <c r="AC73" i="5"/>
  <c r="R73" i="5"/>
  <c r="U80" i="5"/>
  <c r="T39" i="5"/>
  <c r="X39" i="5" s="1"/>
  <c r="Y39" i="5" s="1"/>
  <c r="T47" i="5"/>
  <c r="X47" i="5" s="1"/>
  <c r="Y47" i="5" s="1"/>
  <c r="T54" i="5"/>
  <c r="U59" i="5"/>
  <c r="U67" i="5"/>
  <c r="W69" i="5"/>
  <c r="U69" i="5"/>
  <c r="T69" i="5"/>
  <c r="P70" i="5"/>
  <c r="Q70" i="5" s="1"/>
  <c r="V52" i="5"/>
  <c r="W57" i="5"/>
  <c r="W70" i="5"/>
  <c r="T70" i="5"/>
  <c r="V70" i="5"/>
  <c r="U70" i="5"/>
  <c r="W62" i="5"/>
  <c r="P71" i="5"/>
  <c r="Q71" i="5" s="1"/>
  <c r="T75" i="5"/>
  <c r="T92" i="5"/>
  <c r="X92" i="5" s="1"/>
  <c r="Y92" i="5" s="1"/>
  <c r="W92" i="5"/>
  <c r="V92" i="5"/>
  <c r="U92" i="5"/>
  <c r="AC89" i="5"/>
  <c r="R89" i="5"/>
  <c r="R95" i="5"/>
  <c r="AC95" i="5"/>
  <c r="X95" i="5"/>
  <c r="Y95" i="5" s="1"/>
  <c r="P104" i="5"/>
  <c r="Q104" i="5" s="1"/>
  <c r="AC100" i="5"/>
  <c r="W78" i="5"/>
  <c r="V81" i="5"/>
  <c r="W86" i="5"/>
  <c r="U86" i="5"/>
  <c r="T86" i="5"/>
  <c r="X86" i="5" s="1"/>
  <c r="Y86" i="5" s="1"/>
  <c r="V86" i="5"/>
  <c r="P90" i="5"/>
  <c r="Q90" i="5" s="1"/>
  <c r="R96" i="5"/>
  <c r="V96" i="5" s="1"/>
  <c r="AC96" i="5"/>
  <c r="R112" i="5"/>
  <c r="AC112" i="5"/>
  <c r="W72" i="5"/>
  <c r="U72" i="5"/>
  <c r="P74" i="5"/>
  <c r="Q74" i="5" s="1"/>
  <c r="AC87" i="5"/>
  <c r="R87" i="5"/>
  <c r="X88" i="5"/>
  <c r="Y88" i="5" s="1"/>
  <c r="R88" i="5"/>
  <c r="AC88" i="5"/>
  <c r="AC109" i="5"/>
  <c r="R109" i="5"/>
  <c r="V109" i="5" s="1"/>
  <c r="T72" i="5"/>
  <c r="U77" i="5"/>
  <c r="T77" i="5"/>
  <c r="P82" i="5"/>
  <c r="Q82" i="5" s="1"/>
  <c r="R100" i="5"/>
  <c r="AE108" i="5"/>
  <c r="AD108" i="5"/>
  <c r="H108" i="3" s="1"/>
  <c r="AC119" i="5"/>
  <c r="R119" i="5"/>
  <c r="T94" i="5"/>
  <c r="V94" i="5"/>
  <c r="U94" i="5"/>
  <c r="T96" i="5"/>
  <c r="AC97" i="5"/>
  <c r="R97" i="5"/>
  <c r="AC99" i="5"/>
  <c r="R99" i="5"/>
  <c r="T99" i="5" s="1"/>
  <c r="AC101" i="5"/>
  <c r="AC105" i="5"/>
  <c r="R105" i="5"/>
  <c r="U105" i="5" s="1"/>
  <c r="P107" i="5"/>
  <c r="Q107" i="5" s="1"/>
  <c r="T78" i="5"/>
  <c r="P91" i="5"/>
  <c r="Q91" i="5" s="1"/>
  <c r="P93" i="5"/>
  <c r="Q93" i="5" s="1"/>
  <c r="W94" i="5"/>
  <c r="T97" i="5"/>
  <c r="W97" i="5"/>
  <c r="X97" i="5" s="1"/>
  <c r="Y97" i="5" s="1"/>
  <c r="V97" i="5"/>
  <c r="R101" i="5"/>
  <c r="AC113" i="5"/>
  <c r="R113" i="5"/>
  <c r="U113" i="5" s="1"/>
  <c r="R103" i="5"/>
  <c r="X103" i="5"/>
  <c r="Y103" i="5" s="1"/>
  <c r="AC110" i="5"/>
  <c r="R111" i="5"/>
  <c r="AC111" i="5"/>
  <c r="V112" i="5"/>
  <c r="AC116" i="5"/>
  <c r="R116" i="5"/>
  <c r="W116" i="5" s="1"/>
  <c r="AC120" i="5"/>
  <c r="R120" i="5"/>
  <c r="AC118" i="5"/>
  <c r="P83" i="5"/>
  <c r="Q83" i="5" s="1"/>
  <c r="W89" i="5"/>
  <c r="U89" i="5"/>
  <c r="X89" i="5" s="1"/>
  <c r="Y89" i="5" s="1"/>
  <c r="T89" i="5"/>
  <c r="P102" i="5"/>
  <c r="Q102" i="5" s="1"/>
  <c r="AC117" i="5"/>
  <c r="R117" i="5"/>
  <c r="T117" i="5" s="1"/>
  <c r="W110" i="5"/>
  <c r="V110" i="5"/>
  <c r="U110" i="5"/>
  <c r="R115" i="5"/>
  <c r="P94" i="5"/>
  <c r="Q94" i="5" s="1"/>
  <c r="R118" i="5"/>
  <c r="T118" i="5" s="1"/>
  <c r="U93" i="5"/>
  <c r="V100" i="5"/>
  <c r="U100" i="5"/>
  <c r="X100" i="5" s="1"/>
  <c r="Y100" i="5" s="1"/>
  <c r="V108" i="5"/>
  <c r="X108" i="5" s="1"/>
  <c r="Y108" i="5" s="1"/>
  <c r="U108" i="5"/>
  <c r="T110" i="5"/>
  <c r="X110" i="5" s="1"/>
  <c r="Y110" i="5" s="1"/>
  <c r="U112" i="5"/>
  <c r="W115" i="5"/>
  <c r="V115" i="5"/>
  <c r="W123" i="5"/>
  <c r="P114" i="5"/>
  <c r="Q114" i="5" s="1"/>
  <c r="P121" i="5"/>
  <c r="Q121" i="5" s="1"/>
  <c r="R122" i="5"/>
  <c r="T122" i="5" s="1"/>
  <c r="AC122" i="5"/>
  <c r="AC124" i="5"/>
  <c r="R124" i="5"/>
  <c r="U124" i="5" s="1"/>
  <c r="V98" i="5"/>
  <c r="X98" i="5" s="1"/>
  <c r="Y98" i="5" s="1"/>
  <c r="U117" i="5"/>
  <c r="W99" i="5"/>
  <c r="P106" i="5"/>
  <c r="Q106" i="5" s="1"/>
  <c r="U109" i="5"/>
  <c r="AC125" i="5"/>
  <c r="R125" i="5"/>
  <c r="U125" i="5" s="1"/>
  <c r="X125" i="5" s="1"/>
  <c r="Y125" i="5" s="1"/>
  <c r="U101" i="5"/>
  <c r="T101" i="5"/>
  <c r="X101" i="5" s="1"/>
  <c r="Y101" i="5" s="1"/>
  <c r="T116" i="5"/>
  <c r="W125" i="5"/>
  <c r="T123" i="5"/>
  <c r="T124" i="5"/>
  <c r="T125" i="5"/>
  <c r="V124" i="5"/>
  <c r="V125" i="5"/>
  <c r="AA39" i="5" l="1"/>
  <c r="AI39" i="5"/>
  <c r="Z39" i="5"/>
  <c r="AF39" i="5"/>
  <c r="H39" i="4"/>
  <c r="AF125" i="5"/>
  <c r="AA125" i="5"/>
  <c r="AI125" i="5"/>
  <c r="Z125" i="5"/>
  <c r="H125" i="4"/>
  <c r="AF89" i="5"/>
  <c r="AI89" i="5"/>
  <c r="Z89" i="5"/>
  <c r="AA89" i="5"/>
  <c r="H89" i="4"/>
  <c r="X96" i="5"/>
  <c r="Y96" i="5" s="1"/>
  <c r="AI34" i="5"/>
  <c r="Z34" i="5"/>
  <c r="AF34" i="5"/>
  <c r="AA34" i="5"/>
  <c r="H34" i="4"/>
  <c r="Z8" i="5"/>
  <c r="AI8" i="5"/>
  <c r="AF8" i="5"/>
  <c r="AA8" i="5"/>
  <c r="H8" i="4"/>
  <c r="AF10" i="5"/>
  <c r="AA10" i="5"/>
  <c r="Z10" i="5"/>
  <c r="AI10" i="5"/>
  <c r="H10" i="4"/>
  <c r="AA110" i="5"/>
  <c r="Z110" i="5"/>
  <c r="AI110" i="5"/>
  <c r="AF110" i="5"/>
  <c r="H110" i="4"/>
  <c r="AA73" i="5"/>
  <c r="AI73" i="5"/>
  <c r="AF73" i="5"/>
  <c r="Z73" i="5"/>
  <c r="H73" i="4"/>
  <c r="AI20" i="5"/>
  <c r="Z20" i="5"/>
  <c r="AF20" i="5"/>
  <c r="AA20" i="5"/>
  <c r="H20" i="4"/>
  <c r="AI31" i="5"/>
  <c r="Z31" i="5"/>
  <c r="AF31" i="5"/>
  <c r="AA31" i="5"/>
  <c r="H31" i="4"/>
  <c r="AA97" i="5"/>
  <c r="AI97" i="5"/>
  <c r="AF97" i="5"/>
  <c r="Z97" i="5"/>
  <c r="H97" i="4"/>
  <c r="AA100" i="5"/>
  <c r="AI100" i="5"/>
  <c r="AF100" i="5"/>
  <c r="Z100" i="5"/>
  <c r="H100" i="4"/>
  <c r="AI92" i="5"/>
  <c r="Z92" i="5"/>
  <c r="AF92" i="5"/>
  <c r="AA92" i="5"/>
  <c r="H92" i="4"/>
  <c r="AI67" i="5"/>
  <c r="Z67" i="5"/>
  <c r="AF67" i="5"/>
  <c r="AA67" i="5"/>
  <c r="H67" i="4"/>
  <c r="AF57" i="5"/>
  <c r="AA57" i="5"/>
  <c r="Z57" i="5"/>
  <c r="AI57" i="5"/>
  <c r="H57" i="4"/>
  <c r="AF51" i="5"/>
  <c r="AA51" i="5"/>
  <c r="Z51" i="5"/>
  <c r="AI51" i="5"/>
  <c r="H51" i="4"/>
  <c r="AA108" i="5"/>
  <c r="Z108" i="5"/>
  <c r="AI108" i="5"/>
  <c r="AF108" i="5"/>
  <c r="H108" i="4"/>
  <c r="AI42" i="5"/>
  <c r="Z42" i="5"/>
  <c r="AF42" i="5"/>
  <c r="AA42" i="5"/>
  <c r="H42" i="4"/>
  <c r="AA101" i="5"/>
  <c r="Z101" i="5"/>
  <c r="AI101" i="5"/>
  <c r="AF101" i="5"/>
  <c r="H101" i="4"/>
  <c r="AF98" i="5"/>
  <c r="AA98" i="5"/>
  <c r="AI98" i="5"/>
  <c r="Z98" i="5"/>
  <c r="H98" i="4"/>
  <c r="AI86" i="5"/>
  <c r="Z86" i="5"/>
  <c r="AF86" i="5"/>
  <c r="AA86" i="5"/>
  <c r="H86" i="4"/>
  <c r="AA47" i="5"/>
  <c r="Z47" i="5"/>
  <c r="AI47" i="5"/>
  <c r="AF47" i="5"/>
  <c r="H47" i="4"/>
  <c r="AA60" i="5"/>
  <c r="Z60" i="5"/>
  <c r="AI60" i="5"/>
  <c r="AF60" i="5"/>
  <c r="H60" i="4"/>
  <c r="AC114" i="5"/>
  <c r="R114" i="5"/>
  <c r="G114" i="3"/>
  <c r="I114" i="3" s="1"/>
  <c r="AE113" i="5"/>
  <c r="AD113" i="5"/>
  <c r="H113" i="3" s="1"/>
  <c r="W124" i="5"/>
  <c r="X124" i="5" s="1"/>
  <c r="Y124" i="5" s="1"/>
  <c r="AC102" i="5"/>
  <c r="X102" i="5"/>
  <c r="Y102" i="5" s="1"/>
  <c r="R102" i="5"/>
  <c r="G102" i="3"/>
  <c r="I102" i="3" s="1"/>
  <c r="U96" i="5"/>
  <c r="AD119" i="5"/>
  <c r="H119" i="3" s="1"/>
  <c r="AE119" i="5"/>
  <c r="X72" i="5"/>
  <c r="Y72" i="5" s="1"/>
  <c r="AA88" i="5"/>
  <c r="AI88" i="5"/>
  <c r="Z88" i="5"/>
  <c r="AF88" i="5"/>
  <c r="H88" i="4"/>
  <c r="T80" i="5"/>
  <c r="X80" i="5" s="1"/>
  <c r="Y80" i="5" s="1"/>
  <c r="AD64" i="5"/>
  <c r="H64" i="3" s="1"/>
  <c r="AE64" i="5"/>
  <c r="AC50" i="5"/>
  <c r="R50" i="5"/>
  <c r="G50" i="3"/>
  <c r="I50" i="3" s="1"/>
  <c r="J50" i="3" s="1"/>
  <c r="M50" i="3" s="1"/>
  <c r="U75" i="5"/>
  <c r="V75" i="5"/>
  <c r="AE78" i="5"/>
  <c r="AD78" i="5"/>
  <c r="H78" i="3" s="1"/>
  <c r="V28" i="5"/>
  <c r="V27" i="5"/>
  <c r="U27" i="5"/>
  <c r="T27" i="5"/>
  <c r="W27" i="5"/>
  <c r="AE18" i="5"/>
  <c r="AD18" i="5"/>
  <c r="H18" i="3" s="1"/>
  <c r="K46" i="3"/>
  <c r="AC94" i="5"/>
  <c r="R94" i="5"/>
  <c r="X94" i="5"/>
  <c r="Y94" i="5" s="1"/>
  <c r="G94" i="3"/>
  <c r="I94" i="3" s="1"/>
  <c r="T64" i="5"/>
  <c r="V64" i="5"/>
  <c r="AE85" i="5"/>
  <c r="AD85" i="5"/>
  <c r="H85" i="3" s="1"/>
  <c r="AC40" i="5"/>
  <c r="R40" i="5"/>
  <c r="X40" i="5"/>
  <c r="Y40" i="5" s="1"/>
  <c r="G40" i="3"/>
  <c r="I40" i="3" s="1"/>
  <c r="AD61" i="5"/>
  <c r="H61" i="3" s="1"/>
  <c r="AE61" i="5"/>
  <c r="AE29" i="5"/>
  <c r="AD29" i="5"/>
  <c r="H29" i="3" s="1"/>
  <c r="AD25" i="5"/>
  <c r="H25" i="3" s="1"/>
  <c r="AE25" i="5"/>
  <c r="AE10" i="5"/>
  <c r="AD10" i="5"/>
  <c r="H10" i="3" s="1"/>
  <c r="V11" i="5"/>
  <c r="U11" i="5"/>
  <c r="T11" i="5"/>
  <c r="X11" i="5" s="1"/>
  <c r="Y11" i="5" s="1"/>
  <c r="W11" i="5"/>
  <c r="AF18" i="5"/>
  <c r="AI18" i="5"/>
  <c r="AA18" i="5"/>
  <c r="Z18" i="5"/>
  <c r="H18" i="4"/>
  <c r="M107" i="3"/>
  <c r="K107" i="3"/>
  <c r="U116" i="5"/>
  <c r="X116" i="5" s="1"/>
  <c r="Y116" i="5" s="1"/>
  <c r="W105" i="5"/>
  <c r="U84" i="5"/>
  <c r="X84" i="5" s="1"/>
  <c r="Y84" i="5" s="1"/>
  <c r="AD118" i="5"/>
  <c r="H118" i="3" s="1"/>
  <c r="AE118" i="5"/>
  <c r="X93" i="5"/>
  <c r="Y93" i="5" s="1"/>
  <c r="R93" i="5"/>
  <c r="AC93" i="5"/>
  <c r="G93" i="3"/>
  <c r="I93" i="3" s="1"/>
  <c r="W109" i="5"/>
  <c r="V116" i="5"/>
  <c r="U115" i="5"/>
  <c r="T115" i="5"/>
  <c r="X115" i="5" s="1"/>
  <c r="Y115" i="5" s="1"/>
  <c r="R91" i="5"/>
  <c r="AC91" i="5"/>
  <c r="G91" i="3"/>
  <c r="I91" i="3" s="1"/>
  <c r="J91" i="3" s="1"/>
  <c r="M91" i="3" s="1"/>
  <c r="W96" i="5"/>
  <c r="K108" i="3"/>
  <c r="L108" i="3"/>
  <c r="U64" i="5"/>
  <c r="W112" i="5"/>
  <c r="T112" i="5"/>
  <c r="W75" i="5"/>
  <c r="V80" i="5"/>
  <c r="AD80" i="5"/>
  <c r="H80" i="3" s="1"/>
  <c r="AE80" i="5"/>
  <c r="AE75" i="5"/>
  <c r="AD75" i="5"/>
  <c r="H75" i="3" s="1"/>
  <c r="AC58" i="5"/>
  <c r="R58" i="5"/>
  <c r="G58" i="3"/>
  <c r="I58" i="3" s="1"/>
  <c r="J58" i="3" s="1"/>
  <c r="M58" i="3" s="1"/>
  <c r="V29" i="5"/>
  <c r="U29" i="5"/>
  <c r="T29" i="5"/>
  <c r="AA68" i="5"/>
  <c r="AI68" i="5"/>
  <c r="Z68" i="5"/>
  <c r="AF68" i="5"/>
  <c r="H68" i="4"/>
  <c r="AD59" i="5"/>
  <c r="H59" i="3" s="1"/>
  <c r="AE59" i="5"/>
  <c r="U26" i="5"/>
  <c r="X26" i="5" s="1"/>
  <c r="Y26" i="5" s="1"/>
  <c r="AE27" i="5"/>
  <c r="AD27" i="5"/>
  <c r="H27" i="3" s="1"/>
  <c r="W24" i="5"/>
  <c r="U24" i="5"/>
  <c r="T24" i="5"/>
  <c r="AE15" i="5"/>
  <c r="AD15" i="5"/>
  <c r="H15" i="3" s="1"/>
  <c r="K125" i="3"/>
  <c r="L89" i="3"/>
  <c r="M11" i="3"/>
  <c r="M35" i="3"/>
  <c r="M34" i="3"/>
  <c r="AE124" i="5"/>
  <c r="AD124" i="5"/>
  <c r="H124" i="3" s="1"/>
  <c r="AE62" i="5"/>
  <c r="AD62" i="5"/>
  <c r="H62" i="3" s="1"/>
  <c r="AD12" i="5"/>
  <c r="H12" i="3" s="1"/>
  <c r="AE12" i="5"/>
  <c r="U81" i="5"/>
  <c r="T81" i="5"/>
  <c r="X81" i="5" s="1"/>
  <c r="Y81" i="5" s="1"/>
  <c r="W81" i="5"/>
  <c r="AD57" i="5"/>
  <c r="H57" i="3" s="1"/>
  <c r="AE57" i="5"/>
  <c r="W53" i="5"/>
  <c r="V53" i="5"/>
  <c r="T53" i="5"/>
  <c r="AE24" i="5"/>
  <c r="AD24" i="5"/>
  <c r="H24" i="3" s="1"/>
  <c r="AD20" i="5"/>
  <c r="H20" i="3" s="1"/>
  <c r="AE20" i="5"/>
  <c r="M86" i="3"/>
  <c r="K86" i="3"/>
  <c r="AA95" i="5"/>
  <c r="Z95" i="5"/>
  <c r="AI95" i="5"/>
  <c r="AF95" i="5"/>
  <c r="H95" i="4"/>
  <c r="R56" i="5"/>
  <c r="AC56" i="5"/>
  <c r="G56" i="3"/>
  <c r="I56" i="3" s="1"/>
  <c r="J56" i="3" s="1"/>
  <c r="M56" i="3" s="1"/>
  <c r="R33" i="5"/>
  <c r="X33" i="5"/>
  <c r="Y33" i="5" s="1"/>
  <c r="AC33" i="5"/>
  <c r="G33" i="3"/>
  <c r="I33" i="3" s="1"/>
  <c r="T61" i="5"/>
  <c r="X61" i="5" s="1"/>
  <c r="Y61" i="5" s="1"/>
  <c r="W61" i="5"/>
  <c r="V61" i="5"/>
  <c r="AD122" i="5"/>
  <c r="H122" i="3" s="1"/>
  <c r="AE122" i="5"/>
  <c r="X55" i="5"/>
  <c r="Y55" i="5" s="1"/>
  <c r="R55" i="5"/>
  <c r="AC55" i="5"/>
  <c r="G55" i="3"/>
  <c r="I55" i="3" s="1"/>
  <c r="U66" i="5"/>
  <c r="W66" i="5"/>
  <c r="V66" i="5"/>
  <c r="T66" i="5"/>
  <c r="X66" i="5" s="1"/>
  <c r="Y66" i="5" s="1"/>
  <c r="T59" i="5"/>
  <c r="X59" i="5" s="1"/>
  <c r="Y59" i="5" s="1"/>
  <c r="V59" i="5"/>
  <c r="U54" i="5"/>
  <c r="X54" i="5" s="1"/>
  <c r="Y54" i="5" s="1"/>
  <c r="V54" i="5"/>
  <c r="AE47" i="5"/>
  <c r="AD47" i="5"/>
  <c r="H47" i="3" s="1"/>
  <c r="AE26" i="5"/>
  <c r="AD26" i="5"/>
  <c r="H26" i="3" s="1"/>
  <c r="T109" i="5"/>
  <c r="X109" i="5" s="1"/>
  <c r="Y109" i="5" s="1"/>
  <c r="U120" i="5"/>
  <c r="T120" i="5"/>
  <c r="W120" i="5"/>
  <c r="V120" i="5"/>
  <c r="AE111" i="5"/>
  <c r="AD111" i="5"/>
  <c r="H111" i="3" s="1"/>
  <c r="AA103" i="5"/>
  <c r="AI103" i="5"/>
  <c r="Z103" i="5"/>
  <c r="AF103" i="5"/>
  <c r="H103" i="4"/>
  <c r="AC107" i="5"/>
  <c r="R107" i="5"/>
  <c r="G107" i="3"/>
  <c r="I107" i="3" s="1"/>
  <c r="AE99" i="5"/>
  <c r="AD99" i="5"/>
  <c r="H99" i="3" s="1"/>
  <c r="AE87" i="5"/>
  <c r="AD87" i="5"/>
  <c r="H87" i="3" s="1"/>
  <c r="AE96" i="5"/>
  <c r="AD96" i="5"/>
  <c r="H96" i="3" s="1"/>
  <c r="X71" i="5"/>
  <c r="Y71" i="5" s="1"/>
  <c r="AC71" i="5"/>
  <c r="R71" i="5"/>
  <c r="G71" i="3"/>
  <c r="I71" i="3" s="1"/>
  <c r="T52" i="5"/>
  <c r="W59" i="5"/>
  <c r="W65" i="5"/>
  <c r="R69" i="5"/>
  <c r="X69" i="5"/>
  <c r="Y69" i="5" s="1"/>
  <c r="AC69" i="5"/>
  <c r="G69" i="3"/>
  <c r="I69" i="3" s="1"/>
  <c r="AD81" i="5"/>
  <c r="H81" i="3" s="1"/>
  <c r="AE81" i="5"/>
  <c r="AD77" i="5"/>
  <c r="H77" i="3" s="1"/>
  <c r="AE77" i="5"/>
  <c r="W52" i="5"/>
  <c r="AD66" i="5"/>
  <c r="H66" i="3" s="1"/>
  <c r="AE66" i="5"/>
  <c r="W54" i="5"/>
  <c r="AE54" i="5"/>
  <c r="AD54" i="5"/>
  <c r="H54" i="3" s="1"/>
  <c r="AE123" i="5"/>
  <c r="AD123" i="5"/>
  <c r="H123" i="3" s="1"/>
  <c r="AD53" i="5"/>
  <c r="H53" i="3" s="1"/>
  <c r="AE53" i="5"/>
  <c r="X13" i="5"/>
  <c r="Y13" i="5" s="1"/>
  <c r="V15" i="5"/>
  <c r="U15" i="5"/>
  <c r="X15" i="5" s="1"/>
  <c r="Y15" i="5" s="1"/>
  <c r="W16" i="5"/>
  <c r="U16" i="5"/>
  <c r="M10" i="3"/>
  <c r="AE43" i="5"/>
  <c r="AD43" i="5"/>
  <c r="H43" i="3" s="1"/>
  <c r="AC74" i="5"/>
  <c r="R74" i="5"/>
  <c r="G74" i="3"/>
  <c r="I74" i="3" s="1"/>
  <c r="J74" i="3" s="1"/>
  <c r="M74" i="3" s="1"/>
  <c r="T65" i="5"/>
  <c r="X65" i="5" s="1"/>
  <c r="Y65" i="5" s="1"/>
  <c r="AC46" i="5"/>
  <c r="R46" i="5"/>
  <c r="X46" i="5"/>
  <c r="Y46" i="5" s="1"/>
  <c r="G46" i="3"/>
  <c r="I46" i="3" s="1"/>
  <c r="AC36" i="5"/>
  <c r="R36" i="5"/>
  <c r="G36" i="3"/>
  <c r="I36" i="3" s="1"/>
  <c r="J36" i="3" s="1"/>
  <c r="M36" i="3" s="1"/>
  <c r="AE31" i="5"/>
  <c r="AD31" i="5"/>
  <c r="H31" i="3" s="1"/>
  <c r="X32" i="5"/>
  <c r="Y32" i="5" s="1"/>
  <c r="AC32" i="5"/>
  <c r="R32" i="5"/>
  <c r="G32" i="3"/>
  <c r="I32" i="3" s="1"/>
  <c r="AC14" i="5"/>
  <c r="R14" i="5"/>
  <c r="G14" i="3"/>
  <c r="I14" i="3" s="1"/>
  <c r="J14" i="3" s="1"/>
  <c r="M14" i="3" s="1"/>
  <c r="AH45" i="5"/>
  <c r="AG45" i="5"/>
  <c r="I45" i="4"/>
  <c r="L45" i="4" s="1"/>
  <c r="K11" i="3"/>
  <c r="L11" i="3"/>
  <c r="AE8" i="5"/>
  <c r="AD8" i="5"/>
  <c r="H8" i="3" s="1"/>
  <c r="AD9" i="5"/>
  <c r="H9" i="3" s="1"/>
  <c r="AE9" i="5"/>
  <c r="R19" i="5"/>
  <c r="X19" i="5"/>
  <c r="Y19" i="5" s="1"/>
  <c r="AC19" i="5"/>
  <c r="G19" i="3"/>
  <c r="I19" i="3" s="1"/>
  <c r="J19" i="3" s="1"/>
  <c r="M19" i="3" s="1"/>
  <c r="M83" i="3"/>
  <c r="K83" i="3"/>
  <c r="AE16" i="5"/>
  <c r="AD16" i="5"/>
  <c r="H16" i="3" s="1"/>
  <c r="M43" i="3"/>
  <c r="L97" i="3"/>
  <c r="M27" i="3"/>
  <c r="W64" i="5"/>
  <c r="U99" i="5"/>
  <c r="X99" i="5" s="1"/>
  <c r="Y99" i="5" s="1"/>
  <c r="W122" i="5"/>
  <c r="U122" i="5"/>
  <c r="X122" i="5" s="1"/>
  <c r="Y122" i="5" s="1"/>
  <c r="V122" i="5"/>
  <c r="V111" i="5"/>
  <c r="U111" i="5"/>
  <c r="T111" i="5"/>
  <c r="W111" i="5"/>
  <c r="T105" i="5"/>
  <c r="V105" i="5"/>
  <c r="W85" i="5"/>
  <c r="T85" i="5"/>
  <c r="AE65" i="5"/>
  <c r="AD65" i="5"/>
  <c r="H65" i="3" s="1"/>
  <c r="AC106" i="5"/>
  <c r="R106" i="5"/>
  <c r="G106" i="3"/>
  <c r="I106" i="3" s="1"/>
  <c r="J106" i="3" s="1"/>
  <c r="M106" i="3" s="1"/>
  <c r="AC121" i="5"/>
  <c r="R121" i="5"/>
  <c r="G121" i="3"/>
  <c r="I121" i="3" s="1"/>
  <c r="J121" i="3" s="1"/>
  <c r="M121" i="3" s="1"/>
  <c r="U85" i="5"/>
  <c r="W117" i="5"/>
  <c r="V117" i="5"/>
  <c r="X117" i="5" s="1"/>
  <c r="Y117" i="5" s="1"/>
  <c r="W84" i="5"/>
  <c r="AD105" i="5"/>
  <c r="H105" i="3" s="1"/>
  <c r="AE105" i="5"/>
  <c r="V85" i="5"/>
  <c r="AC82" i="5"/>
  <c r="R82" i="5"/>
  <c r="G82" i="3"/>
  <c r="I82" i="3" s="1"/>
  <c r="J82" i="3" s="1"/>
  <c r="M82" i="3" s="1"/>
  <c r="AD109" i="5"/>
  <c r="H109" i="3" s="1"/>
  <c r="AE109" i="5"/>
  <c r="AC90" i="5"/>
  <c r="R90" i="5"/>
  <c r="G90" i="3"/>
  <c r="I90" i="3" s="1"/>
  <c r="J90" i="3" s="1"/>
  <c r="M90" i="3" s="1"/>
  <c r="AC70" i="5"/>
  <c r="X70" i="5"/>
  <c r="Y70" i="5" s="1"/>
  <c r="R70" i="5"/>
  <c r="G70" i="3"/>
  <c r="I70" i="3" s="1"/>
  <c r="AC76" i="5"/>
  <c r="R76" i="5"/>
  <c r="G76" i="3"/>
  <c r="I76" i="3" s="1"/>
  <c r="J76" i="3" s="1"/>
  <c r="M76" i="3" s="1"/>
  <c r="W77" i="5"/>
  <c r="V77" i="5"/>
  <c r="X77" i="5" s="1"/>
  <c r="Y77" i="5" s="1"/>
  <c r="X79" i="5"/>
  <c r="Y79" i="5" s="1"/>
  <c r="R79" i="5"/>
  <c r="AC79" i="5"/>
  <c r="G79" i="3"/>
  <c r="I79" i="3" s="1"/>
  <c r="AE52" i="5"/>
  <c r="AD52" i="5"/>
  <c r="H52" i="3" s="1"/>
  <c r="AC38" i="5"/>
  <c r="R38" i="5"/>
  <c r="G38" i="3"/>
  <c r="I38" i="3" s="1"/>
  <c r="J38" i="3" s="1"/>
  <c r="M38" i="3" s="1"/>
  <c r="AE35" i="5"/>
  <c r="AD35" i="5"/>
  <c r="H35" i="3" s="1"/>
  <c r="U9" i="5"/>
  <c r="AF49" i="5"/>
  <c r="Z49" i="5"/>
  <c r="AI49" i="5"/>
  <c r="AA49" i="5"/>
  <c r="H49" i="4"/>
  <c r="O126" i="5"/>
  <c r="P7" i="5"/>
  <c r="Q7" i="5" s="1"/>
  <c r="D7" i="4"/>
  <c r="E7" i="4" s="1"/>
  <c r="C10" i="2"/>
  <c r="B8" i="1" s="1"/>
  <c r="D18" i="1"/>
  <c r="D22" i="1" s="1"/>
  <c r="AC44" i="5"/>
  <c r="R44" i="5"/>
  <c r="G44" i="3"/>
  <c r="I44" i="3" s="1"/>
  <c r="J44" i="3" s="1"/>
  <c r="M44" i="3" s="1"/>
  <c r="V123" i="5"/>
  <c r="U123" i="5"/>
  <c r="X123" i="5" s="1"/>
  <c r="Y123" i="5" s="1"/>
  <c r="U28" i="5"/>
  <c r="R23" i="5"/>
  <c r="AC23" i="5"/>
  <c r="X23" i="5"/>
  <c r="Y23" i="5" s="1"/>
  <c r="G23" i="3"/>
  <c r="I23" i="3" s="1"/>
  <c r="W12" i="5"/>
  <c r="X12" i="5" s="1"/>
  <c r="Y12" i="5" s="1"/>
  <c r="R30" i="5"/>
  <c r="AC30" i="5"/>
  <c r="G30" i="3"/>
  <c r="I30" i="3" s="1"/>
  <c r="J30" i="3" s="1"/>
  <c r="M30" i="3" s="1"/>
  <c r="AE22" i="5"/>
  <c r="AD22" i="5"/>
  <c r="H22" i="3" s="1"/>
  <c r="AC17" i="5"/>
  <c r="R17" i="5"/>
  <c r="G17" i="3"/>
  <c r="I17" i="3" s="1"/>
  <c r="J17" i="3" s="1"/>
  <c r="M17" i="3" s="1"/>
  <c r="M110" i="3"/>
  <c r="K110" i="3"/>
  <c r="K116" i="3"/>
  <c r="M42" i="3"/>
  <c r="M18" i="3"/>
  <c r="U119" i="5"/>
  <c r="W119" i="5"/>
  <c r="V119" i="5"/>
  <c r="AE37" i="5"/>
  <c r="AD37" i="5"/>
  <c r="H37" i="3" s="1"/>
  <c r="V87" i="5"/>
  <c r="W87" i="5"/>
  <c r="U87" i="5"/>
  <c r="V84" i="5"/>
  <c r="AD120" i="5"/>
  <c r="H120" i="3" s="1"/>
  <c r="AE120" i="5"/>
  <c r="T87" i="5"/>
  <c r="V99" i="5"/>
  <c r="T119" i="5"/>
  <c r="U118" i="5"/>
  <c r="X118" i="5" s="1"/>
  <c r="Y118" i="5" s="1"/>
  <c r="W118" i="5"/>
  <c r="V118" i="5"/>
  <c r="X83" i="5"/>
  <c r="Y83" i="5" s="1"/>
  <c r="AC83" i="5"/>
  <c r="R83" i="5"/>
  <c r="G83" i="3"/>
  <c r="I83" i="3" s="1"/>
  <c r="W113" i="5"/>
  <c r="V113" i="5"/>
  <c r="T113" i="5"/>
  <c r="X113" i="5" s="1"/>
  <c r="Y113" i="5" s="1"/>
  <c r="R104" i="5"/>
  <c r="AC104" i="5"/>
  <c r="G104" i="3"/>
  <c r="I104" i="3" s="1"/>
  <c r="J104" i="3" s="1"/>
  <c r="M104" i="3" s="1"/>
  <c r="AE84" i="5"/>
  <c r="AD84" i="5"/>
  <c r="H84" i="3" s="1"/>
  <c r="AC63" i="5"/>
  <c r="R63" i="5"/>
  <c r="G63" i="3"/>
  <c r="I63" i="3" s="1"/>
  <c r="J63" i="3" s="1"/>
  <c r="M63" i="3" s="1"/>
  <c r="AD72" i="5"/>
  <c r="H72" i="3" s="1"/>
  <c r="AE72" i="5"/>
  <c r="V62" i="5"/>
  <c r="U62" i="5"/>
  <c r="X62" i="5" s="1"/>
  <c r="Y62" i="5" s="1"/>
  <c r="W37" i="5"/>
  <c r="V37" i="5"/>
  <c r="U37" i="5"/>
  <c r="X37" i="5" s="1"/>
  <c r="Y37" i="5" s="1"/>
  <c r="R48" i="5"/>
  <c r="AC48" i="5"/>
  <c r="G48" i="3"/>
  <c r="I48" i="3" s="1"/>
  <c r="J48" i="3" s="1"/>
  <c r="M48" i="3" s="1"/>
  <c r="V9" i="5"/>
  <c r="V35" i="5"/>
  <c r="U35" i="5"/>
  <c r="T35" i="5"/>
  <c r="X35" i="5" s="1"/>
  <c r="Y35" i="5" s="1"/>
  <c r="W35" i="5"/>
  <c r="T9" i="5"/>
  <c r="W43" i="5"/>
  <c r="V43" i="5"/>
  <c r="U43" i="5"/>
  <c r="T43" i="5"/>
  <c r="V78" i="5"/>
  <c r="U78" i="5"/>
  <c r="X78" i="5" s="1"/>
  <c r="Y78" i="5" s="1"/>
  <c r="AD39" i="5"/>
  <c r="H39" i="3" s="1"/>
  <c r="AE39" i="5"/>
  <c r="R41" i="5"/>
  <c r="X41" i="5"/>
  <c r="Y41" i="5" s="1"/>
  <c r="AC41" i="5"/>
  <c r="G41" i="3"/>
  <c r="I41" i="3" s="1"/>
  <c r="T28" i="5"/>
  <c r="X28" i="5" s="1"/>
  <c r="Y28" i="5" s="1"/>
  <c r="AC21" i="5"/>
  <c r="R21" i="5"/>
  <c r="G21" i="3"/>
  <c r="I21" i="3" s="1"/>
  <c r="J21" i="3" s="1"/>
  <c r="M21" i="3" s="1"/>
  <c r="AD28" i="5"/>
  <c r="H28" i="3" s="1"/>
  <c r="AE28" i="5"/>
  <c r="V25" i="5"/>
  <c r="X25" i="5" s="1"/>
  <c r="Y25" i="5" s="1"/>
  <c r="W25" i="5"/>
  <c r="AD13" i="5"/>
  <c r="H13" i="3" s="1"/>
  <c r="AE13" i="5"/>
  <c r="AA22" i="5"/>
  <c r="AI22" i="5"/>
  <c r="AF22" i="5"/>
  <c r="Z22" i="5"/>
  <c r="H22" i="4"/>
  <c r="M51" i="3"/>
  <c r="K51" i="3"/>
  <c r="AF117" i="5" l="1"/>
  <c r="AA117" i="5"/>
  <c r="Z117" i="5"/>
  <c r="AI117" i="5"/>
  <c r="H117" i="4"/>
  <c r="AK20" i="5"/>
  <c r="AI12" i="5"/>
  <c r="Z12" i="5"/>
  <c r="AA12" i="5"/>
  <c r="AF12" i="5"/>
  <c r="H12" i="4"/>
  <c r="AK18" i="5"/>
  <c r="AF62" i="5"/>
  <c r="AA62" i="5"/>
  <c r="Z62" i="5"/>
  <c r="AI62" i="5"/>
  <c r="H62" i="4"/>
  <c r="AI77" i="5"/>
  <c r="Z77" i="5"/>
  <c r="AF77" i="5"/>
  <c r="AA77" i="5"/>
  <c r="H77" i="4"/>
  <c r="AI54" i="5"/>
  <c r="Z54" i="5"/>
  <c r="AF54" i="5"/>
  <c r="AA54" i="5"/>
  <c r="H54" i="4"/>
  <c r="AA122" i="5"/>
  <c r="AI122" i="5"/>
  <c r="Z122" i="5"/>
  <c r="AF122" i="5"/>
  <c r="H122" i="4"/>
  <c r="AF25" i="5"/>
  <c r="Z25" i="5"/>
  <c r="AI25" i="5"/>
  <c r="AA25" i="5"/>
  <c r="H25" i="4"/>
  <c r="AI123" i="5"/>
  <c r="Z123" i="5"/>
  <c r="AF123" i="5"/>
  <c r="AA123" i="5"/>
  <c r="H123" i="4"/>
  <c r="AF37" i="5"/>
  <c r="AA37" i="5"/>
  <c r="AI37" i="5"/>
  <c r="Z37" i="5"/>
  <c r="H37" i="4"/>
  <c r="AA118" i="5"/>
  <c r="Z118" i="5"/>
  <c r="AI118" i="5"/>
  <c r="AF118" i="5"/>
  <c r="H118" i="4"/>
  <c r="AF99" i="5"/>
  <c r="Z99" i="5"/>
  <c r="AI99" i="5"/>
  <c r="AA99" i="5"/>
  <c r="H99" i="4"/>
  <c r="AF84" i="5"/>
  <c r="Z84" i="5"/>
  <c r="AI84" i="5"/>
  <c r="AA84" i="5"/>
  <c r="H84" i="4"/>
  <c r="AF26" i="5"/>
  <c r="AA26" i="5"/>
  <c r="Z26" i="5"/>
  <c r="AI26" i="5"/>
  <c r="H26" i="4"/>
  <c r="AF124" i="5"/>
  <c r="AA124" i="5"/>
  <c r="AI124" i="5"/>
  <c r="Z124" i="5"/>
  <c r="H124" i="4"/>
  <c r="AK57" i="5"/>
  <c r="AA116" i="5"/>
  <c r="AI116" i="5"/>
  <c r="Z116" i="5"/>
  <c r="AF116" i="5"/>
  <c r="H116" i="4"/>
  <c r="AD21" i="5"/>
  <c r="H21" i="3" s="1"/>
  <c r="AE21" i="5"/>
  <c r="W63" i="5"/>
  <c r="U63" i="5"/>
  <c r="T63" i="5"/>
  <c r="X63" i="5" s="1"/>
  <c r="Y63" i="5" s="1"/>
  <c r="V63" i="5"/>
  <c r="L99" i="3"/>
  <c r="K99" i="3"/>
  <c r="L62" i="3"/>
  <c r="K62" i="3"/>
  <c r="T91" i="5"/>
  <c r="V91" i="5"/>
  <c r="W91" i="5"/>
  <c r="U91" i="5"/>
  <c r="AH97" i="5"/>
  <c r="AG97" i="5"/>
  <c r="I97" i="4"/>
  <c r="L97" i="4" s="1"/>
  <c r="J45" i="4"/>
  <c r="AJ45" i="5"/>
  <c r="X120" i="5"/>
  <c r="Y120" i="5" s="1"/>
  <c r="L75" i="3"/>
  <c r="K75" i="3"/>
  <c r="AF115" i="5"/>
  <c r="AA115" i="5"/>
  <c r="Z115" i="5"/>
  <c r="AI115" i="5"/>
  <c r="H115" i="4"/>
  <c r="AI80" i="5"/>
  <c r="AF80" i="5"/>
  <c r="Z80" i="5"/>
  <c r="AA80" i="5"/>
  <c r="H80" i="4"/>
  <c r="AF72" i="5"/>
  <c r="AI72" i="5"/>
  <c r="Z72" i="5"/>
  <c r="AA72" i="5"/>
  <c r="H72" i="4"/>
  <c r="AH60" i="5"/>
  <c r="AG60" i="5"/>
  <c r="I60" i="4"/>
  <c r="L60" i="4" s="1"/>
  <c r="AH51" i="5"/>
  <c r="AG51" i="5"/>
  <c r="I51" i="4"/>
  <c r="L51" i="4" s="1"/>
  <c r="AH57" i="5"/>
  <c r="K57" i="4" s="1"/>
  <c r="M57" i="4" s="1"/>
  <c r="AG57" i="5"/>
  <c r="J57" i="4" s="1"/>
  <c r="I57" i="4"/>
  <c r="L57" i="4" s="1"/>
  <c r="AH10" i="5"/>
  <c r="AG10" i="5"/>
  <c r="J10" i="4" s="1"/>
  <c r="I10" i="4"/>
  <c r="L10" i="4" s="1"/>
  <c r="AI96" i="5"/>
  <c r="Z96" i="5"/>
  <c r="AF96" i="5"/>
  <c r="AA96" i="5"/>
  <c r="H96" i="4"/>
  <c r="AH39" i="5"/>
  <c r="K39" i="4" s="1"/>
  <c r="M39" i="4" s="1"/>
  <c r="AG39" i="5"/>
  <c r="J39" i="4" s="1"/>
  <c r="I39" i="4"/>
  <c r="L39" i="4" s="1"/>
  <c r="X43" i="5"/>
  <c r="Y43" i="5" s="1"/>
  <c r="L22" i="3"/>
  <c r="K22" i="3"/>
  <c r="AI23" i="5"/>
  <c r="Z23" i="5"/>
  <c r="AF23" i="5"/>
  <c r="AA23" i="5"/>
  <c r="H23" i="4"/>
  <c r="AE44" i="5"/>
  <c r="AD44" i="5"/>
  <c r="H44" i="3" s="1"/>
  <c r="AE76" i="5"/>
  <c r="AD76" i="5"/>
  <c r="H76" i="3" s="1"/>
  <c r="AE90" i="5"/>
  <c r="AD90" i="5"/>
  <c r="H90" i="3" s="1"/>
  <c r="T121" i="5"/>
  <c r="U121" i="5"/>
  <c r="W121" i="5"/>
  <c r="V121" i="5"/>
  <c r="X85" i="5"/>
  <c r="Y85" i="5" s="1"/>
  <c r="L16" i="3"/>
  <c r="K16" i="3"/>
  <c r="K45" i="4"/>
  <c r="M45" i="4" s="1"/>
  <c r="AK45" i="5"/>
  <c r="AA32" i="5"/>
  <c r="AF32" i="5"/>
  <c r="Z32" i="5"/>
  <c r="AI32" i="5"/>
  <c r="H32" i="4"/>
  <c r="AA46" i="5"/>
  <c r="AI46" i="5"/>
  <c r="Z46" i="5"/>
  <c r="AF46" i="5"/>
  <c r="H46" i="4"/>
  <c r="AI13" i="5"/>
  <c r="AF13" i="5"/>
  <c r="AA13" i="5"/>
  <c r="Z13" i="5"/>
  <c r="H13" i="4"/>
  <c r="AG95" i="5"/>
  <c r="AH95" i="5"/>
  <c r="I95" i="4"/>
  <c r="L95" i="4" s="1"/>
  <c r="L57" i="3"/>
  <c r="K57" i="3"/>
  <c r="K124" i="3"/>
  <c r="L124" i="3"/>
  <c r="L59" i="3"/>
  <c r="K59" i="3"/>
  <c r="X29" i="5"/>
  <c r="Y29" i="5" s="1"/>
  <c r="L118" i="3"/>
  <c r="K118" i="3"/>
  <c r="K61" i="3"/>
  <c r="L61" i="3"/>
  <c r="X64" i="5"/>
  <c r="Y64" i="5" s="1"/>
  <c r="X75" i="5"/>
  <c r="Y75" i="5" s="1"/>
  <c r="K113" i="3"/>
  <c r="L113" i="3"/>
  <c r="AG86" i="5"/>
  <c r="AH86" i="5"/>
  <c r="I86" i="4"/>
  <c r="L86" i="4" s="1"/>
  <c r="AA35" i="5"/>
  <c r="AI35" i="5"/>
  <c r="AF35" i="5"/>
  <c r="Z35" i="5"/>
  <c r="H35" i="4"/>
  <c r="AD17" i="5"/>
  <c r="H17" i="3" s="1"/>
  <c r="AE17" i="5"/>
  <c r="AA11" i="5"/>
  <c r="AF11" i="5"/>
  <c r="Z11" i="5"/>
  <c r="H11" i="4"/>
  <c r="AI11" i="5"/>
  <c r="AH47" i="5"/>
  <c r="K47" i="4" s="1"/>
  <c r="M47" i="4" s="1"/>
  <c r="AG47" i="5"/>
  <c r="J47" i="4" s="1"/>
  <c r="I47" i="4"/>
  <c r="L47" i="4" s="1"/>
  <c r="K84" i="3"/>
  <c r="L84" i="3"/>
  <c r="X119" i="5"/>
  <c r="Y119" i="5" s="1"/>
  <c r="L105" i="3"/>
  <c r="K105" i="3"/>
  <c r="AD121" i="5"/>
  <c r="H121" i="3" s="1"/>
  <c r="AE121" i="5"/>
  <c r="L9" i="3"/>
  <c r="K9" i="3"/>
  <c r="L31" i="3"/>
  <c r="K31" i="3"/>
  <c r="K43" i="3"/>
  <c r="L43" i="3"/>
  <c r="L66" i="3"/>
  <c r="K66" i="3"/>
  <c r="AI69" i="5"/>
  <c r="Z69" i="5"/>
  <c r="AA69" i="5"/>
  <c r="AF69" i="5"/>
  <c r="H69" i="4"/>
  <c r="AA71" i="5"/>
  <c r="AF71" i="5"/>
  <c r="Z71" i="5"/>
  <c r="AI71" i="5"/>
  <c r="H71" i="4"/>
  <c r="T107" i="5"/>
  <c r="U107" i="5"/>
  <c r="W107" i="5"/>
  <c r="V107" i="5"/>
  <c r="AF109" i="5"/>
  <c r="Z109" i="5"/>
  <c r="AI109" i="5"/>
  <c r="AA109" i="5"/>
  <c r="H109" i="4"/>
  <c r="AF59" i="5"/>
  <c r="AI59" i="5"/>
  <c r="Z59" i="5"/>
  <c r="AA59" i="5"/>
  <c r="H59" i="4"/>
  <c r="AA55" i="5"/>
  <c r="Z55" i="5"/>
  <c r="AI55" i="5"/>
  <c r="AF55" i="5"/>
  <c r="H55" i="4"/>
  <c r="AA33" i="5"/>
  <c r="AI33" i="5"/>
  <c r="Z33" i="5"/>
  <c r="AF33" i="5"/>
  <c r="H33" i="4"/>
  <c r="L20" i="3"/>
  <c r="K20" i="3"/>
  <c r="X24" i="5"/>
  <c r="Y24" i="5" s="1"/>
  <c r="K10" i="3"/>
  <c r="L10" i="3"/>
  <c r="X27" i="5"/>
  <c r="Y27" i="5" s="1"/>
  <c r="AG88" i="5"/>
  <c r="AH88" i="5"/>
  <c r="I88" i="4"/>
  <c r="L88" i="4" s="1"/>
  <c r="L119" i="3"/>
  <c r="K119" i="3"/>
  <c r="AG98" i="5"/>
  <c r="AH98" i="5"/>
  <c r="I98" i="4"/>
  <c r="L98" i="4" s="1"/>
  <c r="AF78" i="5"/>
  <c r="AA78" i="5"/>
  <c r="AI78" i="5"/>
  <c r="Z78" i="5"/>
  <c r="H78" i="4"/>
  <c r="V104" i="5"/>
  <c r="W104" i="5"/>
  <c r="T104" i="5"/>
  <c r="X104" i="5" s="1"/>
  <c r="Y104" i="5" s="1"/>
  <c r="U104" i="5"/>
  <c r="L65" i="3"/>
  <c r="K65" i="3"/>
  <c r="AA19" i="5"/>
  <c r="Z19" i="5"/>
  <c r="AI19" i="5"/>
  <c r="AF19" i="5"/>
  <c r="H19" i="4"/>
  <c r="AD74" i="5"/>
  <c r="H74" i="3" s="1"/>
  <c r="AE74" i="5"/>
  <c r="AA61" i="5"/>
  <c r="AF61" i="5"/>
  <c r="Z61" i="5"/>
  <c r="AI61" i="5"/>
  <c r="H61" i="4"/>
  <c r="AH100" i="5"/>
  <c r="AG100" i="5"/>
  <c r="I100" i="4"/>
  <c r="L100" i="4" s="1"/>
  <c r="AH89" i="5"/>
  <c r="AG89" i="5"/>
  <c r="I89" i="4"/>
  <c r="L89" i="4" s="1"/>
  <c r="AI28" i="5"/>
  <c r="Z28" i="5"/>
  <c r="AA28" i="5"/>
  <c r="AF28" i="5"/>
  <c r="H28" i="4"/>
  <c r="L28" i="3"/>
  <c r="K28" i="3"/>
  <c r="K37" i="3"/>
  <c r="L37" i="3"/>
  <c r="AA79" i="5"/>
  <c r="AI79" i="5"/>
  <c r="Z79" i="5"/>
  <c r="AF79" i="5"/>
  <c r="H79" i="4"/>
  <c r="K109" i="3"/>
  <c r="L109" i="3"/>
  <c r="L8" i="3"/>
  <c r="K8" i="3"/>
  <c r="W14" i="5"/>
  <c r="V14" i="5"/>
  <c r="U14" i="5"/>
  <c r="T14" i="5"/>
  <c r="K53" i="3"/>
  <c r="L53" i="3"/>
  <c r="L96" i="3"/>
  <c r="K96" i="3"/>
  <c r="K26" i="3"/>
  <c r="L26" i="3"/>
  <c r="AA66" i="5"/>
  <c r="Z66" i="5"/>
  <c r="AI66" i="5"/>
  <c r="AF66" i="5"/>
  <c r="H66" i="4"/>
  <c r="L24" i="3"/>
  <c r="K24" i="3"/>
  <c r="AI81" i="5"/>
  <c r="Z81" i="5"/>
  <c r="AF81" i="5"/>
  <c r="AA81" i="5"/>
  <c r="H81" i="4"/>
  <c r="AH68" i="5"/>
  <c r="AG68" i="5"/>
  <c r="I68" i="4"/>
  <c r="L68" i="4" s="1"/>
  <c r="L80" i="3"/>
  <c r="K80" i="3"/>
  <c r="AA40" i="5"/>
  <c r="AI40" i="5"/>
  <c r="Z40" i="5"/>
  <c r="AF40" i="5"/>
  <c r="H40" i="4"/>
  <c r="AA94" i="5"/>
  <c r="AI94" i="5"/>
  <c r="AF94" i="5"/>
  <c r="Z94" i="5"/>
  <c r="H94" i="4"/>
  <c r="T50" i="5"/>
  <c r="U50" i="5"/>
  <c r="V50" i="5"/>
  <c r="W50" i="5"/>
  <c r="AG108" i="5"/>
  <c r="AH108" i="5"/>
  <c r="I108" i="4"/>
  <c r="L108" i="4" s="1"/>
  <c r="V90" i="5"/>
  <c r="T90" i="5"/>
  <c r="U90" i="5"/>
  <c r="W90" i="5"/>
  <c r="K18" i="3"/>
  <c r="L18" i="3"/>
  <c r="Z113" i="5"/>
  <c r="AI113" i="5"/>
  <c r="AF113" i="5"/>
  <c r="AA113" i="5"/>
  <c r="H113" i="4"/>
  <c r="W44" i="5"/>
  <c r="V44" i="5"/>
  <c r="U44" i="5"/>
  <c r="T44" i="5"/>
  <c r="AG22" i="5"/>
  <c r="AH22" i="5"/>
  <c r="I22" i="4"/>
  <c r="L22" i="4" s="1"/>
  <c r="AA41" i="5"/>
  <c r="AI41" i="5"/>
  <c r="Z41" i="5"/>
  <c r="AF41" i="5"/>
  <c r="H41" i="4"/>
  <c r="X87" i="5"/>
  <c r="Y87" i="5" s="1"/>
  <c r="AD30" i="5"/>
  <c r="H30" i="3" s="1"/>
  <c r="AE30" i="5"/>
  <c r="V38" i="5"/>
  <c r="U38" i="5"/>
  <c r="T38" i="5"/>
  <c r="W38" i="5"/>
  <c r="AF70" i="5"/>
  <c r="AI70" i="5"/>
  <c r="AA70" i="5"/>
  <c r="Z70" i="5"/>
  <c r="H70" i="4"/>
  <c r="V106" i="5"/>
  <c r="W106" i="5"/>
  <c r="U106" i="5"/>
  <c r="T106" i="5"/>
  <c r="X106" i="5" s="1"/>
  <c r="Y106" i="5" s="1"/>
  <c r="X105" i="5"/>
  <c r="Y105" i="5" s="1"/>
  <c r="AD14" i="5"/>
  <c r="H14" i="3" s="1"/>
  <c r="AE14" i="5"/>
  <c r="AI65" i="5"/>
  <c r="AA65" i="5"/>
  <c r="Z65" i="5"/>
  <c r="AF65" i="5"/>
  <c r="H65" i="4"/>
  <c r="L123" i="3"/>
  <c r="K123" i="3"/>
  <c r="L111" i="3"/>
  <c r="K111" i="3"/>
  <c r="L122" i="3"/>
  <c r="K122" i="3"/>
  <c r="AE50" i="5"/>
  <c r="AD50" i="5"/>
  <c r="H50" i="3" s="1"/>
  <c r="T114" i="5"/>
  <c r="V114" i="5"/>
  <c r="W114" i="5"/>
  <c r="U114" i="5"/>
  <c r="AJ47" i="5"/>
  <c r="AH101" i="5"/>
  <c r="AG101" i="5"/>
  <c r="I101" i="4"/>
  <c r="L101" i="4" s="1"/>
  <c r="AJ57" i="5"/>
  <c r="AH67" i="5"/>
  <c r="AG67" i="5"/>
  <c r="I67" i="4"/>
  <c r="L67" i="4" s="1"/>
  <c r="AH73" i="5"/>
  <c r="AG73" i="5"/>
  <c r="I73" i="4"/>
  <c r="L73" i="4" s="1"/>
  <c r="AH110" i="5"/>
  <c r="AG110" i="5"/>
  <c r="I110" i="4"/>
  <c r="L110" i="4" s="1"/>
  <c r="AJ10" i="5"/>
  <c r="AH8" i="5"/>
  <c r="AG8" i="5"/>
  <c r="J8" i="4" s="1"/>
  <c r="I8" i="4"/>
  <c r="L8" i="4" s="1"/>
  <c r="AJ39" i="5"/>
  <c r="K13" i="3"/>
  <c r="L13" i="3"/>
  <c r="V76" i="5"/>
  <c r="U76" i="5"/>
  <c r="W76" i="5"/>
  <c r="T76" i="5"/>
  <c r="X76" i="5" s="1"/>
  <c r="Y76" i="5" s="1"/>
  <c r="AI15" i="5"/>
  <c r="Z15" i="5"/>
  <c r="AF15" i="5"/>
  <c r="AA15" i="5"/>
  <c r="H15" i="4"/>
  <c r="V56" i="5"/>
  <c r="U56" i="5"/>
  <c r="T56" i="5"/>
  <c r="X56" i="5" s="1"/>
  <c r="Y56" i="5" s="1"/>
  <c r="W56" i="5"/>
  <c r="L64" i="3"/>
  <c r="K64" i="3"/>
  <c r="AH42" i="5"/>
  <c r="AG42" i="5"/>
  <c r="I42" i="4"/>
  <c r="L42" i="4" s="1"/>
  <c r="AH20" i="5"/>
  <c r="K20" i="4" s="1"/>
  <c r="M20" i="4" s="1"/>
  <c r="AG20" i="5"/>
  <c r="J20" i="4" s="1"/>
  <c r="I20" i="4"/>
  <c r="L20" i="4" s="1"/>
  <c r="X9" i="5"/>
  <c r="Y9" i="5" s="1"/>
  <c r="AE48" i="5"/>
  <c r="AD48" i="5"/>
  <c r="H48" i="3" s="1"/>
  <c r="L72" i="3"/>
  <c r="K72" i="3"/>
  <c r="AD104" i="5"/>
  <c r="H104" i="3" s="1"/>
  <c r="AE104" i="5"/>
  <c r="G21" i="1" s="1"/>
  <c r="F7" i="4"/>
  <c r="F126" i="4" s="1"/>
  <c r="G7" i="4"/>
  <c r="G126" i="4" s="1"/>
  <c r="F130" i="4" s="1"/>
  <c r="AE38" i="5"/>
  <c r="AD38" i="5"/>
  <c r="H38" i="3" s="1"/>
  <c r="W82" i="5"/>
  <c r="V82" i="5"/>
  <c r="T82" i="5"/>
  <c r="X82" i="5" s="1"/>
  <c r="Y82" i="5" s="1"/>
  <c r="U82" i="5"/>
  <c r="AE106" i="5"/>
  <c r="AD106" i="5"/>
  <c r="H106" i="3" s="1"/>
  <c r="V36" i="5"/>
  <c r="W36" i="5"/>
  <c r="T36" i="5"/>
  <c r="U36" i="5"/>
  <c r="X16" i="5"/>
  <c r="Y16" i="5" s="1"/>
  <c r="K77" i="3"/>
  <c r="L77" i="3"/>
  <c r="L87" i="3"/>
  <c r="K87" i="3"/>
  <c r="L47" i="3"/>
  <c r="K47" i="3"/>
  <c r="AE56" i="5"/>
  <c r="AD56" i="5"/>
  <c r="H56" i="3" s="1"/>
  <c r="X53" i="5"/>
  <c r="Y53" i="5" s="1"/>
  <c r="K27" i="3"/>
  <c r="L27" i="3"/>
  <c r="W58" i="5"/>
  <c r="U58" i="5"/>
  <c r="V58" i="5"/>
  <c r="T58" i="5"/>
  <c r="X58" i="5" s="1"/>
  <c r="Y58" i="5" s="1"/>
  <c r="AD91" i="5"/>
  <c r="H91" i="3" s="1"/>
  <c r="AE91" i="5"/>
  <c r="AH18" i="5"/>
  <c r="K18" i="4" s="1"/>
  <c r="M18" i="4" s="1"/>
  <c r="AG18" i="5"/>
  <c r="J18" i="4" s="1"/>
  <c r="I18" i="4"/>
  <c r="L18" i="4" s="1"/>
  <c r="L25" i="3"/>
  <c r="K25" i="3"/>
  <c r="AH92" i="5"/>
  <c r="AG92" i="5"/>
  <c r="I92" i="4"/>
  <c r="L92" i="4" s="1"/>
  <c r="AH34" i="5"/>
  <c r="AG34" i="5"/>
  <c r="I34" i="4"/>
  <c r="L34" i="4" s="1"/>
  <c r="L81" i="3"/>
  <c r="K81" i="3"/>
  <c r="AA93" i="5"/>
  <c r="Z93" i="5"/>
  <c r="AF93" i="5"/>
  <c r="AI93" i="5"/>
  <c r="H93" i="4"/>
  <c r="AH31" i="5"/>
  <c r="K31" i="4" s="1"/>
  <c r="M31" i="4" s="1"/>
  <c r="AG31" i="5"/>
  <c r="J31" i="4" s="1"/>
  <c r="I31" i="4"/>
  <c r="L31" i="4" s="1"/>
  <c r="AE63" i="5"/>
  <c r="AD63" i="5"/>
  <c r="H63" i="3" s="1"/>
  <c r="K35" i="3"/>
  <c r="L35" i="3"/>
  <c r="L15" i="3"/>
  <c r="K15" i="3"/>
  <c r="W21" i="5"/>
  <c r="U21" i="5"/>
  <c r="V21" i="5"/>
  <c r="T21" i="5"/>
  <c r="L39" i="3"/>
  <c r="K39" i="3"/>
  <c r="W48" i="5"/>
  <c r="V48" i="5"/>
  <c r="U48" i="5"/>
  <c r="T48" i="5"/>
  <c r="X48" i="5" s="1"/>
  <c r="Y48" i="5" s="1"/>
  <c r="AF83" i="5"/>
  <c r="Z83" i="5"/>
  <c r="AA83" i="5"/>
  <c r="AI83" i="5"/>
  <c r="H83" i="4"/>
  <c r="L120" i="3"/>
  <c r="K120" i="3"/>
  <c r="W17" i="5"/>
  <c r="U17" i="5"/>
  <c r="V17" i="5"/>
  <c r="T17" i="5"/>
  <c r="U30" i="5"/>
  <c r="T30" i="5"/>
  <c r="W30" i="5"/>
  <c r="V30" i="5"/>
  <c r="R7" i="5"/>
  <c r="AC7" i="5"/>
  <c r="G7" i="3"/>
  <c r="I7" i="3" s="1"/>
  <c r="J7" i="3" s="1"/>
  <c r="AH49" i="5"/>
  <c r="AG49" i="5"/>
  <c r="I49" i="4"/>
  <c r="L49" i="4" s="1"/>
  <c r="L52" i="3"/>
  <c r="K52" i="3"/>
  <c r="AD82" i="5"/>
  <c r="H82" i="3" s="1"/>
  <c r="AE82" i="5"/>
  <c r="G20" i="1" s="1"/>
  <c r="X111" i="5"/>
  <c r="Y111" i="5" s="1"/>
  <c r="AE19" i="5"/>
  <c r="AD19" i="5"/>
  <c r="H19" i="3" s="1"/>
  <c r="AD36" i="5"/>
  <c r="H36" i="3" s="1"/>
  <c r="AE36" i="5"/>
  <c r="V74" i="5"/>
  <c r="T74" i="5"/>
  <c r="W74" i="5"/>
  <c r="U74" i="5"/>
  <c r="L54" i="3"/>
  <c r="K54" i="3"/>
  <c r="X52" i="5"/>
  <c r="Y52" i="5" s="1"/>
  <c r="AG103" i="5"/>
  <c r="AH103" i="5"/>
  <c r="I103" i="4"/>
  <c r="L103" i="4" s="1"/>
  <c r="L12" i="3"/>
  <c r="K12" i="3"/>
  <c r="AE58" i="5"/>
  <c r="G19" i="1" s="1"/>
  <c r="AD58" i="5"/>
  <c r="H58" i="3" s="1"/>
  <c r="X112" i="5"/>
  <c r="Y112" i="5" s="1"/>
  <c r="K29" i="3"/>
  <c r="L29" i="3"/>
  <c r="K85" i="3"/>
  <c r="L85" i="3"/>
  <c r="L78" i="3"/>
  <c r="K78" i="3"/>
  <c r="AA102" i="5"/>
  <c r="AF102" i="5"/>
  <c r="Z102" i="5"/>
  <c r="AI102" i="5"/>
  <c r="H102" i="4"/>
  <c r="AJ8" i="5"/>
  <c r="AG125" i="5"/>
  <c r="AH125" i="5"/>
  <c r="I125" i="4"/>
  <c r="L125" i="4" s="1"/>
  <c r="L56" i="3" l="1"/>
  <c r="K56" i="3"/>
  <c r="AI56" i="5"/>
  <c r="Z56" i="5"/>
  <c r="AF56" i="5"/>
  <c r="AA56" i="5"/>
  <c r="H56" i="4"/>
  <c r="K19" i="3"/>
  <c r="L19" i="3"/>
  <c r="K92" i="4"/>
  <c r="M92" i="4" s="1"/>
  <c r="AK92" i="5"/>
  <c r="AI58" i="5"/>
  <c r="AF58" i="5"/>
  <c r="AA58" i="5"/>
  <c r="Z58" i="5"/>
  <c r="H58" i="4"/>
  <c r="L104" i="3"/>
  <c r="K104" i="3"/>
  <c r="J73" i="4"/>
  <c r="AJ73" i="5"/>
  <c r="J101" i="4"/>
  <c r="AJ101" i="5"/>
  <c r="AH65" i="5"/>
  <c r="AG65" i="5"/>
  <c r="I65" i="4"/>
  <c r="L65" i="4" s="1"/>
  <c r="AF105" i="5"/>
  <c r="Z105" i="5"/>
  <c r="AI105" i="5"/>
  <c r="AA105" i="5"/>
  <c r="H105" i="4"/>
  <c r="J108" i="4"/>
  <c r="AJ108" i="5"/>
  <c r="AH94" i="5"/>
  <c r="AG94" i="5"/>
  <c r="I94" i="4"/>
  <c r="L94" i="4" s="1"/>
  <c r="AH19" i="5"/>
  <c r="K19" i="4" s="1"/>
  <c r="M19" i="4" s="1"/>
  <c r="AG19" i="5"/>
  <c r="J19" i="4" s="1"/>
  <c r="I19" i="4"/>
  <c r="L19" i="4" s="1"/>
  <c r="AF64" i="5"/>
  <c r="AA64" i="5"/>
  <c r="AI64" i="5"/>
  <c r="Z64" i="5"/>
  <c r="H64" i="4"/>
  <c r="AA85" i="5"/>
  <c r="AF85" i="5"/>
  <c r="Z85" i="5"/>
  <c r="AI85" i="5"/>
  <c r="H85" i="4"/>
  <c r="AH80" i="5"/>
  <c r="AG80" i="5"/>
  <c r="I80" i="4"/>
  <c r="L80" i="4" s="1"/>
  <c r="J97" i="4"/>
  <c r="AJ97" i="5"/>
  <c r="AG25" i="5"/>
  <c r="AH25" i="5"/>
  <c r="I25" i="4"/>
  <c r="L25" i="4" s="1"/>
  <c r="L14" i="3"/>
  <c r="K14" i="3"/>
  <c r="Z24" i="5"/>
  <c r="AI24" i="5"/>
  <c r="AA24" i="5"/>
  <c r="AF24" i="5"/>
  <c r="H24" i="4"/>
  <c r="AI75" i="5"/>
  <c r="Z75" i="5"/>
  <c r="AF75" i="5"/>
  <c r="AA75" i="5"/>
  <c r="H75" i="4"/>
  <c r="J49" i="4"/>
  <c r="AJ49" i="5"/>
  <c r="X36" i="5"/>
  <c r="Y36" i="5" s="1"/>
  <c r="AA76" i="5"/>
  <c r="AF76" i="5"/>
  <c r="Z76" i="5"/>
  <c r="AI76" i="5"/>
  <c r="H76" i="4"/>
  <c r="K101" i="4"/>
  <c r="M101" i="4" s="1"/>
  <c r="AK101" i="5"/>
  <c r="AF106" i="5"/>
  <c r="Z106" i="5"/>
  <c r="AI106" i="5"/>
  <c r="AA106" i="5"/>
  <c r="H106" i="4"/>
  <c r="J89" i="4"/>
  <c r="AJ89" i="5"/>
  <c r="AG61" i="5"/>
  <c r="AH61" i="5"/>
  <c r="I61" i="4"/>
  <c r="L61" i="4" s="1"/>
  <c r="AI104" i="5"/>
  <c r="Z104" i="5"/>
  <c r="AF104" i="5"/>
  <c r="AA104" i="5"/>
  <c r="H104" i="4"/>
  <c r="K88" i="4"/>
  <c r="M88" i="4" s="1"/>
  <c r="AK88" i="5"/>
  <c r="X107" i="5"/>
  <c r="Y107" i="5" s="1"/>
  <c r="L121" i="3"/>
  <c r="K121" i="3"/>
  <c r="AH32" i="5"/>
  <c r="AG32" i="5"/>
  <c r="I32" i="4"/>
  <c r="L32" i="4" s="1"/>
  <c r="L44" i="3"/>
  <c r="K44" i="3"/>
  <c r="K10" i="4"/>
  <c r="M10" i="4" s="1"/>
  <c r="AK10" i="5"/>
  <c r="J60" i="4"/>
  <c r="AJ60" i="5"/>
  <c r="AH72" i="5"/>
  <c r="AG72" i="5"/>
  <c r="I72" i="4"/>
  <c r="L72" i="4" s="1"/>
  <c r="AH115" i="5"/>
  <c r="AG115" i="5"/>
  <c r="I115" i="4"/>
  <c r="L115" i="4" s="1"/>
  <c r="K97" i="4"/>
  <c r="M97" i="4" s="1"/>
  <c r="AK97" i="5"/>
  <c r="AH116" i="5"/>
  <c r="AG116" i="5"/>
  <c r="I116" i="4"/>
  <c r="L116" i="4" s="1"/>
  <c r="AH37" i="5"/>
  <c r="AG37" i="5"/>
  <c r="I37" i="4"/>
  <c r="L37" i="4" s="1"/>
  <c r="AK39" i="5"/>
  <c r="AK47" i="5"/>
  <c r="AH12" i="5"/>
  <c r="AG12" i="5"/>
  <c r="I12" i="4"/>
  <c r="L12" i="4" s="1"/>
  <c r="AI112" i="5"/>
  <c r="Z112" i="5"/>
  <c r="AA112" i="5"/>
  <c r="AF112" i="5"/>
  <c r="H112" i="4"/>
  <c r="AI48" i="5"/>
  <c r="Z48" i="5"/>
  <c r="AF48" i="5"/>
  <c r="AA48" i="5"/>
  <c r="H48" i="4"/>
  <c r="K108" i="4"/>
  <c r="M108" i="4" s="1"/>
  <c r="AK108" i="5"/>
  <c r="K76" i="3"/>
  <c r="L76" i="3"/>
  <c r="K51" i="4"/>
  <c r="M51" i="4" s="1"/>
  <c r="AK51" i="5"/>
  <c r="X30" i="5"/>
  <c r="Y30" i="5" s="1"/>
  <c r="AJ31" i="5"/>
  <c r="AA111" i="5"/>
  <c r="AI111" i="5"/>
  <c r="Z111" i="5"/>
  <c r="AF111" i="5"/>
  <c r="H111" i="4"/>
  <c r="M7" i="3"/>
  <c r="M126" i="3" s="1"/>
  <c r="J126" i="3"/>
  <c r="X17" i="5"/>
  <c r="Y17" i="5" s="1"/>
  <c r="L38" i="3"/>
  <c r="K38" i="3"/>
  <c r="J42" i="4"/>
  <c r="AJ42" i="5"/>
  <c r="K8" i="4"/>
  <c r="M8" i="4" s="1"/>
  <c r="AK8" i="5"/>
  <c r="AJ20" i="5"/>
  <c r="AA87" i="5"/>
  <c r="Z87" i="5"/>
  <c r="AI87" i="5"/>
  <c r="AF87" i="5"/>
  <c r="H87" i="4"/>
  <c r="AH66" i="5"/>
  <c r="AG66" i="5"/>
  <c r="I66" i="4"/>
  <c r="L66" i="4" s="1"/>
  <c r="AH28" i="5"/>
  <c r="AG28" i="5"/>
  <c r="I28" i="4"/>
  <c r="L28" i="4" s="1"/>
  <c r="K89" i="4"/>
  <c r="M89" i="4" s="1"/>
  <c r="AK89" i="5"/>
  <c r="AH78" i="5"/>
  <c r="AG78" i="5"/>
  <c r="I78" i="4"/>
  <c r="L78" i="4" s="1"/>
  <c r="J88" i="4"/>
  <c r="AJ88" i="5"/>
  <c r="AH55" i="5"/>
  <c r="AG55" i="5"/>
  <c r="I55" i="4"/>
  <c r="L55" i="4" s="1"/>
  <c r="AG69" i="5"/>
  <c r="AH69" i="5"/>
  <c r="I69" i="4"/>
  <c r="L69" i="4" s="1"/>
  <c r="L17" i="3"/>
  <c r="K17" i="3"/>
  <c r="K60" i="4"/>
  <c r="M60" i="4" s="1"/>
  <c r="AK60" i="5"/>
  <c r="AJ18" i="5"/>
  <c r="AK31" i="5"/>
  <c r="J125" i="4"/>
  <c r="AJ125" i="5"/>
  <c r="L91" i="3"/>
  <c r="K91" i="3"/>
  <c r="AG79" i="5"/>
  <c r="AH79" i="5"/>
  <c r="I79" i="4"/>
  <c r="L79" i="4" s="1"/>
  <c r="L48" i="3"/>
  <c r="K48" i="3"/>
  <c r="K42" i="4"/>
  <c r="M42" i="4" s="1"/>
  <c r="AK42" i="5"/>
  <c r="AH70" i="5"/>
  <c r="AG70" i="5"/>
  <c r="I70" i="4"/>
  <c r="L70" i="4" s="1"/>
  <c r="K22" i="4"/>
  <c r="M22" i="4" s="1"/>
  <c r="AK22" i="5"/>
  <c r="AH113" i="5"/>
  <c r="AG113" i="5"/>
  <c r="I113" i="4"/>
  <c r="L113" i="4" s="1"/>
  <c r="AH81" i="5"/>
  <c r="AG81" i="5"/>
  <c r="I81" i="4"/>
  <c r="L81" i="4" s="1"/>
  <c r="AA27" i="5"/>
  <c r="AF27" i="5"/>
  <c r="Z27" i="5"/>
  <c r="AI27" i="5"/>
  <c r="H27" i="4"/>
  <c r="K86" i="4"/>
  <c r="M86" i="4" s="1"/>
  <c r="AK86" i="5"/>
  <c r="AH13" i="5"/>
  <c r="AG13" i="5"/>
  <c r="I13" i="4"/>
  <c r="L13" i="4" s="1"/>
  <c r="AH96" i="5"/>
  <c r="AG96" i="5"/>
  <c r="I96" i="4"/>
  <c r="L96" i="4" s="1"/>
  <c r="AI63" i="5"/>
  <c r="AF63" i="5"/>
  <c r="AA63" i="5"/>
  <c r="Z63" i="5"/>
  <c r="H63" i="4"/>
  <c r="AH99" i="5"/>
  <c r="AG99" i="5"/>
  <c r="I99" i="4"/>
  <c r="L99" i="4" s="1"/>
  <c r="AG77" i="5"/>
  <c r="AH77" i="5"/>
  <c r="I77" i="4"/>
  <c r="L77" i="4" s="1"/>
  <c r="L36" i="3"/>
  <c r="K36" i="3"/>
  <c r="K68" i="4"/>
  <c r="M68" i="4" s="1"/>
  <c r="AK68" i="5"/>
  <c r="AH23" i="5"/>
  <c r="AG23" i="5"/>
  <c r="I23" i="4"/>
  <c r="L23" i="4" s="1"/>
  <c r="K49" i="4"/>
  <c r="M49" i="4" s="1"/>
  <c r="AK49" i="5"/>
  <c r="K73" i="4"/>
  <c r="M73" i="4" s="1"/>
  <c r="AK73" i="5"/>
  <c r="L30" i="3"/>
  <c r="K30" i="3"/>
  <c r="X74" i="5"/>
  <c r="Y74" i="5" s="1"/>
  <c r="E19" i="1" s="1"/>
  <c r="F19" i="1" s="1"/>
  <c r="L82" i="3"/>
  <c r="K82" i="3"/>
  <c r="AC126" i="5"/>
  <c r="AE7" i="5"/>
  <c r="AD7" i="5"/>
  <c r="AH93" i="5"/>
  <c r="AG93" i="5"/>
  <c r="I93" i="4"/>
  <c r="L93" i="4" s="1"/>
  <c r="J34" i="4"/>
  <c r="AJ34" i="5"/>
  <c r="L106" i="3"/>
  <c r="K106" i="3"/>
  <c r="J67" i="4"/>
  <c r="AJ67" i="5"/>
  <c r="J22" i="4"/>
  <c r="AJ22" i="5"/>
  <c r="X90" i="5"/>
  <c r="Y90" i="5" s="1"/>
  <c r="X50" i="5"/>
  <c r="Y50" i="5" s="1"/>
  <c r="J100" i="4"/>
  <c r="AJ100" i="5"/>
  <c r="K98" i="4"/>
  <c r="M98" i="4" s="1"/>
  <c r="AK98" i="5"/>
  <c r="AG33" i="5"/>
  <c r="AH33" i="5"/>
  <c r="I33" i="4"/>
  <c r="L33" i="4" s="1"/>
  <c r="AH109" i="5"/>
  <c r="AG109" i="5"/>
  <c r="I109" i="4"/>
  <c r="L109" i="4" s="1"/>
  <c r="AA119" i="5"/>
  <c r="AI119" i="5"/>
  <c r="Z119" i="5"/>
  <c r="AF119" i="5"/>
  <c r="H119" i="4"/>
  <c r="J86" i="4"/>
  <c r="AJ86" i="5"/>
  <c r="X121" i="5"/>
  <c r="Y121" i="5" s="1"/>
  <c r="AF43" i="5"/>
  <c r="AA43" i="5"/>
  <c r="AI43" i="5"/>
  <c r="Z43" i="5"/>
  <c r="H43" i="4"/>
  <c r="AA120" i="5"/>
  <c r="AI120" i="5"/>
  <c r="Z120" i="5"/>
  <c r="AF120" i="5"/>
  <c r="H120" i="4"/>
  <c r="AH84" i="5"/>
  <c r="AG84" i="5"/>
  <c r="I84" i="4"/>
  <c r="L84" i="4" s="1"/>
  <c r="AF82" i="5"/>
  <c r="Z82" i="5"/>
  <c r="AI82" i="5"/>
  <c r="AA82" i="5"/>
  <c r="H82" i="4"/>
  <c r="L50" i="3"/>
  <c r="K50" i="3"/>
  <c r="AH102" i="5"/>
  <c r="AG102" i="5"/>
  <c r="I102" i="4"/>
  <c r="L102" i="4" s="1"/>
  <c r="V7" i="5"/>
  <c r="U7" i="5"/>
  <c r="C6" i="2"/>
  <c r="E5" i="1" s="1"/>
  <c r="W7" i="5"/>
  <c r="T7" i="5"/>
  <c r="X21" i="5"/>
  <c r="Y21" i="5" s="1"/>
  <c r="L63" i="3"/>
  <c r="K63" i="3"/>
  <c r="K34" i="4"/>
  <c r="M34" i="4" s="1"/>
  <c r="AK34" i="5"/>
  <c r="AF9" i="5"/>
  <c r="AA9" i="5"/>
  <c r="Z9" i="5"/>
  <c r="AI9" i="5"/>
  <c r="H9" i="4"/>
  <c r="J110" i="4"/>
  <c r="AJ110" i="5"/>
  <c r="K67" i="4"/>
  <c r="M67" i="4" s="1"/>
  <c r="AK67" i="5"/>
  <c r="X38" i="5"/>
  <c r="Y38" i="5" s="1"/>
  <c r="AH41" i="5"/>
  <c r="AG41" i="5"/>
  <c r="I41" i="4"/>
  <c r="L41" i="4" s="1"/>
  <c r="X44" i="5"/>
  <c r="Y44" i="5" s="1"/>
  <c r="AH40" i="5"/>
  <c r="AG40" i="5"/>
  <c r="I40" i="4"/>
  <c r="L40" i="4" s="1"/>
  <c r="K100" i="4"/>
  <c r="M100" i="4" s="1"/>
  <c r="AK100" i="5"/>
  <c r="AJ19" i="5"/>
  <c r="J98" i="4"/>
  <c r="AJ98" i="5"/>
  <c r="AH35" i="5"/>
  <c r="AG35" i="5"/>
  <c r="I35" i="4"/>
  <c r="L35" i="4" s="1"/>
  <c r="AI29" i="5"/>
  <c r="AF29" i="5"/>
  <c r="AA29" i="5"/>
  <c r="Z29" i="5"/>
  <c r="H29" i="4"/>
  <c r="K95" i="4"/>
  <c r="M95" i="4" s="1"/>
  <c r="AK95" i="5"/>
  <c r="L90" i="3"/>
  <c r="K90" i="3"/>
  <c r="X91" i="5"/>
  <c r="Y91" i="5" s="1"/>
  <c r="AH26" i="5"/>
  <c r="AG26" i="5"/>
  <c r="I26" i="4"/>
  <c r="L26" i="4" s="1"/>
  <c r="AH118" i="5"/>
  <c r="AG118" i="5"/>
  <c r="I118" i="4"/>
  <c r="L118" i="4" s="1"/>
  <c r="AH122" i="5"/>
  <c r="AG122" i="5"/>
  <c r="I122" i="4"/>
  <c r="L122" i="4" s="1"/>
  <c r="AH54" i="5"/>
  <c r="AG54" i="5"/>
  <c r="I54" i="4"/>
  <c r="L54" i="4" s="1"/>
  <c r="AH117" i="5"/>
  <c r="AG117" i="5"/>
  <c r="I117" i="4"/>
  <c r="L117" i="4" s="1"/>
  <c r="AF52" i="5"/>
  <c r="AA52" i="5"/>
  <c r="Z52" i="5"/>
  <c r="AI52" i="5"/>
  <c r="H52" i="4"/>
  <c r="J92" i="4"/>
  <c r="AJ92" i="5"/>
  <c r="AF16" i="5"/>
  <c r="Z16" i="5"/>
  <c r="AA16" i="5"/>
  <c r="AI16" i="5"/>
  <c r="H16" i="4"/>
  <c r="AH46" i="5"/>
  <c r="AG46" i="5"/>
  <c r="I46" i="4"/>
  <c r="L46" i="4" s="1"/>
  <c r="K21" i="3"/>
  <c r="L21" i="3"/>
  <c r="K58" i="3"/>
  <c r="L58" i="3"/>
  <c r="K103" i="4"/>
  <c r="M103" i="4" s="1"/>
  <c r="AK103" i="5"/>
  <c r="K125" i="4"/>
  <c r="M125" i="4" s="1"/>
  <c r="AK125" i="5"/>
  <c r="J103" i="4"/>
  <c r="AJ103" i="5"/>
  <c r="AG83" i="5"/>
  <c r="AH83" i="5"/>
  <c r="I83" i="4"/>
  <c r="L83" i="4" s="1"/>
  <c r="AA53" i="5"/>
  <c r="AI53" i="5"/>
  <c r="AF53" i="5"/>
  <c r="Z53" i="5"/>
  <c r="H53" i="4"/>
  <c r="AH15" i="5"/>
  <c r="AG15" i="5"/>
  <c r="I15" i="4"/>
  <c r="L15" i="4" s="1"/>
  <c r="K110" i="4"/>
  <c r="M110" i="4" s="1"/>
  <c r="AK110" i="5"/>
  <c r="X114" i="5"/>
  <c r="Y114" i="5" s="1"/>
  <c r="J68" i="4"/>
  <c r="AJ68" i="5"/>
  <c r="X14" i="5"/>
  <c r="Y14" i="5" s="1"/>
  <c r="L74" i="3"/>
  <c r="K74" i="3"/>
  <c r="AH59" i="5"/>
  <c r="AG59" i="5"/>
  <c r="I59" i="4"/>
  <c r="L59" i="4" s="1"/>
  <c r="AG71" i="5"/>
  <c r="AH71" i="5"/>
  <c r="I71" i="4"/>
  <c r="L71" i="4" s="1"/>
  <c r="AG11" i="5"/>
  <c r="AH11" i="5"/>
  <c r="I11" i="4"/>
  <c r="L11" i="4" s="1"/>
  <c r="J95" i="4"/>
  <c r="AJ95" i="5"/>
  <c r="J51" i="4"/>
  <c r="AJ51" i="5"/>
  <c r="AH124" i="5"/>
  <c r="AG124" i="5"/>
  <c r="I124" i="4"/>
  <c r="L124" i="4" s="1"/>
  <c r="AH123" i="5"/>
  <c r="AG123" i="5"/>
  <c r="I123" i="4"/>
  <c r="L123" i="4" s="1"/>
  <c r="AH62" i="5"/>
  <c r="AG62" i="5"/>
  <c r="I62" i="4"/>
  <c r="L62" i="4" s="1"/>
  <c r="J124" i="4" l="1"/>
  <c r="AJ124" i="5"/>
  <c r="J41" i="4"/>
  <c r="AJ41" i="5"/>
  <c r="K96" i="4"/>
  <c r="M96" i="4" s="1"/>
  <c r="AK96" i="5"/>
  <c r="K28" i="4"/>
  <c r="M28" i="4" s="1"/>
  <c r="AK28" i="5"/>
  <c r="AG48" i="5"/>
  <c r="AH48" i="5"/>
  <c r="I48" i="4"/>
  <c r="L48" i="4" s="1"/>
  <c r="J62" i="4"/>
  <c r="AJ62" i="5"/>
  <c r="K83" i="4"/>
  <c r="M83" i="4" s="1"/>
  <c r="AK83" i="5"/>
  <c r="J117" i="4"/>
  <c r="AJ117" i="5"/>
  <c r="K41" i="4"/>
  <c r="M41" i="4" s="1"/>
  <c r="AK41" i="5"/>
  <c r="J102" i="4"/>
  <c r="AJ102" i="5"/>
  <c r="AH119" i="5"/>
  <c r="AG119" i="5"/>
  <c r="I119" i="4"/>
  <c r="L119" i="4" s="1"/>
  <c r="K109" i="4"/>
  <c r="M109" i="4" s="1"/>
  <c r="AK109" i="5"/>
  <c r="AF50" i="5"/>
  <c r="AA50" i="5"/>
  <c r="Z50" i="5"/>
  <c r="AI50" i="5"/>
  <c r="H50" i="4"/>
  <c r="J113" i="4"/>
  <c r="AJ113" i="5"/>
  <c r="K37" i="4"/>
  <c r="M37" i="4" s="1"/>
  <c r="AK37" i="5"/>
  <c r="K115" i="4"/>
  <c r="M115" i="4" s="1"/>
  <c r="AK115" i="5"/>
  <c r="J80" i="4"/>
  <c r="AJ80" i="5"/>
  <c r="J65" i="4"/>
  <c r="AJ65" i="5"/>
  <c r="AG56" i="5"/>
  <c r="AH56" i="5"/>
  <c r="I56" i="4"/>
  <c r="L56" i="4" s="1"/>
  <c r="K124" i="4"/>
  <c r="M124" i="4" s="1"/>
  <c r="AK124" i="5"/>
  <c r="AH29" i="5"/>
  <c r="AG29" i="5"/>
  <c r="I29" i="4"/>
  <c r="L29" i="4" s="1"/>
  <c r="J109" i="4"/>
  <c r="AJ109" i="5"/>
  <c r="AH64" i="5"/>
  <c r="AG64" i="5"/>
  <c r="I64" i="4"/>
  <c r="L64" i="4" s="1"/>
  <c r="J71" i="4"/>
  <c r="AJ71" i="5"/>
  <c r="J83" i="4"/>
  <c r="AJ83" i="5"/>
  <c r="K117" i="4"/>
  <c r="M117" i="4" s="1"/>
  <c r="AK117" i="5"/>
  <c r="J118" i="4"/>
  <c r="AJ118" i="5"/>
  <c r="AA38" i="5"/>
  <c r="AI38" i="5"/>
  <c r="Z38" i="5"/>
  <c r="AF38" i="5"/>
  <c r="H38" i="4"/>
  <c r="AA21" i="5"/>
  <c r="Z21" i="5"/>
  <c r="AF21" i="5"/>
  <c r="AI21" i="5"/>
  <c r="H21" i="4"/>
  <c r="K102" i="4"/>
  <c r="M102" i="4" s="1"/>
  <c r="AK102" i="5"/>
  <c r="AA90" i="5"/>
  <c r="AF90" i="5"/>
  <c r="Z90" i="5"/>
  <c r="AI90" i="5"/>
  <c r="H90" i="4"/>
  <c r="K77" i="4"/>
  <c r="M77" i="4" s="1"/>
  <c r="AK77" i="5"/>
  <c r="J13" i="4"/>
  <c r="AJ13" i="5"/>
  <c r="AG27" i="5"/>
  <c r="AH27" i="5"/>
  <c r="I27" i="4"/>
  <c r="L27" i="4" s="1"/>
  <c r="K113" i="4"/>
  <c r="M113" i="4" s="1"/>
  <c r="AK113" i="5"/>
  <c r="K69" i="4"/>
  <c r="M69" i="4" s="1"/>
  <c r="AK69" i="5"/>
  <c r="J78" i="4"/>
  <c r="AJ78" i="5"/>
  <c r="J66" i="4"/>
  <c r="AJ66" i="5"/>
  <c r="AA17" i="5"/>
  <c r="Z17" i="5"/>
  <c r="AF17" i="5"/>
  <c r="AI17" i="5"/>
  <c r="H17" i="4"/>
  <c r="K80" i="4"/>
  <c r="M80" i="4" s="1"/>
  <c r="AK80" i="5"/>
  <c r="K65" i="4"/>
  <c r="M65" i="4" s="1"/>
  <c r="AK65" i="5"/>
  <c r="AA14" i="5"/>
  <c r="Z14" i="5"/>
  <c r="AI14" i="5"/>
  <c r="AF14" i="5"/>
  <c r="H14" i="4"/>
  <c r="AH120" i="5"/>
  <c r="AG120" i="5"/>
  <c r="I120" i="4"/>
  <c r="L120" i="4" s="1"/>
  <c r="AF107" i="5"/>
  <c r="AA107" i="5"/>
  <c r="Z107" i="5"/>
  <c r="AI107" i="5"/>
  <c r="H107" i="4"/>
  <c r="K71" i="4"/>
  <c r="M71" i="4" s="1"/>
  <c r="AK71" i="5"/>
  <c r="AA74" i="5"/>
  <c r="Z74" i="5"/>
  <c r="AI74" i="5"/>
  <c r="AF74" i="5"/>
  <c r="H74" i="4"/>
  <c r="J77" i="4"/>
  <c r="AJ77" i="5"/>
  <c r="K13" i="4"/>
  <c r="M13" i="4" s="1"/>
  <c r="AK13" i="5"/>
  <c r="K78" i="4"/>
  <c r="M78" i="4" s="1"/>
  <c r="AK78" i="5"/>
  <c r="K66" i="4"/>
  <c r="M66" i="4" s="1"/>
  <c r="AK66" i="5"/>
  <c r="F131" i="3"/>
  <c r="F133" i="3"/>
  <c r="J12" i="4"/>
  <c r="AJ12" i="5"/>
  <c r="J116" i="4"/>
  <c r="AJ116" i="5"/>
  <c r="J72" i="4"/>
  <c r="AJ72" i="5"/>
  <c r="E21" i="1"/>
  <c r="F21" i="1" s="1"/>
  <c r="AH24" i="5"/>
  <c r="AG24" i="5"/>
  <c r="I24" i="4"/>
  <c r="L24" i="4" s="1"/>
  <c r="J115" i="4"/>
  <c r="AJ115" i="5"/>
  <c r="AF36" i="5"/>
  <c r="AA36" i="5"/>
  <c r="AI36" i="5"/>
  <c r="Z36" i="5"/>
  <c r="H36" i="4"/>
  <c r="K62" i="4"/>
  <c r="M62" i="4" s="1"/>
  <c r="AK62" i="5"/>
  <c r="AF114" i="5"/>
  <c r="AA114" i="5"/>
  <c r="Z114" i="5"/>
  <c r="AI114" i="5"/>
  <c r="H114" i="4"/>
  <c r="X7" i="5"/>
  <c r="K33" i="4"/>
  <c r="M33" i="4" s="1"/>
  <c r="AK33" i="5"/>
  <c r="J23" i="4"/>
  <c r="AJ23" i="5"/>
  <c r="J54" i="4"/>
  <c r="AJ54" i="5"/>
  <c r="J35" i="4"/>
  <c r="AJ35" i="5"/>
  <c r="J40" i="4"/>
  <c r="AJ40" i="5"/>
  <c r="AH43" i="5"/>
  <c r="AG43" i="5"/>
  <c r="I43" i="4"/>
  <c r="L43" i="4" s="1"/>
  <c r="J33" i="4"/>
  <c r="AJ33" i="5"/>
  <c r="J93" i="4"/>
  <c r="AJ93" i="5"/>
  <c r="K23" i="4"/>
  <c r="M23" i="4" s="1"/>
  <c r="AK23" i="5"/>
  <c r="AG63" i="5"/>
  <c r="AH63" i="5"/>
  <c r="I63" i="4"/>
  <c r="L63" i="4" s="1"/>
  <c r="AH112" i="5"/>
  <c r="AG112" i="5"/>
  <c r="I112" i="4"/>
  <c r="L112" i="4" s="1"/>
  <c r="K12" i="4"/>
  <c r="M12" i="4" s="1"/>
  <c r="AK12" i="5"/>
  <c r="K116" i="4"/>
  <c r="M116" i="4" s="1"/>
  <c r="AK116" i="5"/>
  <c r="K72" i="4"/>
  <c r="M72" i="4" s="1"/>
  <c r="AK72" i="5"/>
  <c r="J32" i="4"/>
  <c r="AJ32" i="5"/>
  <c r="K61" i="4"/>
  <c r="M61" i="4" s="1"/>
  <c r="AK61" i="5"/>
  <c r="K25" i="4"/>
  <c r="M25" i="4" s="1"/>
  <c r="AK25" i="5"/>
  <c r="AH53" i="5"/>
  <c r="AG53" i="5"/>
  <c r="I53" i="4"/>
  <c r="L53" i="4" s="1"/>
  <c r="J69" i="4"/>
  <c r="AJ69" i="5"/>
  <c r="K123" i="4"/>
  <c r="M123" i="4" s="1"/>
  <c r="AK123" i="5"/>
  <c r="K54" i="4"/>
  <c r="M54" i="4" s="1"/>
  <c r="AK54" i="5"/>
  <c r="J84" i="4"/>
  <c r="AJ84" i="5"/>
  <c r="AA121" i="5"/>
  <c r="AI121" i="5"/>
  <c r="Z121" i="5"/>
  <c r="AF121" i="5"/>
  <c r="H121" i="4"/>
  <c r="K93" i="4"/>
  <c r="M93" i="4" s="1"/>
  <c r="AK93" i="5"/>
  <c r="J99" i="4"/>
  <c r="AJ99" i="5"/>
  <c r="K79" i="4"/>
  <c r="M79" i="4" s="1"/>
  <c r="AK79" i="5"/>
  <c r="J55" i="4"/>
  <c r="AJ55" i="5"/>
  <c r="AH87" i="5"/>
  <c r="AG87" i="5"/>
  <c r="I87" i="4"/>
  <c r="L87" i="4" s="1"/>
  <c r="AA30" i="5"/>
  <c r="AI30" i="5"/>
  <c r="Z30" i="5"/>
  <c r="AF30" i="5"/>
  <c r="H30" i="4"/>
  <c r="K32" i="4"/>
  <c r="M32" i="4" s="1"/>
  <c r="AK32" i="5"/>
  <c r="J61" i="4"/>
  <c r="AJ61" i="5"/>
  <c r="AH76" i="5"/>
  <c r="AG76" i="5"/>
  <c r="I76" i="4"/>
  <c r="L76" i="4" s="1"/>
  <c r="J25" i="4"/>
  <c r="AJ25" i="5"/>
  <c r="J94" i="4"/>
  <c r="AJ94" i="5"/>
  <c r="K15" i="4"/>
  <c r="M15" i="4" s="1"/>
  <c r="AK15" i="5"/>
  <c r="K122" i="4"/>
  <c r="M122" i="4" s="1"/>
  <c r="AK122" i="5"/>
  <c r="J37" i="4"/>
  <c r="AJ37" i="5"/>
  <c r="K118" i="4"/>
  <c r="M118" i="4" s="1"/>
  <c r="AK118" i="5"/>
  <c r="AH82" i="5"/>
  <c r="AG82" i="5"/>
  <c r="I82" i="4"/>
  <c r="L82" i="4" s="1"/>
  <c r="J123" i="4"/>
  <c r="AJ123" i="5"/>
  <c r="J59" i="4"/>
  <c r="AJ59" i="5"/>
  <c r="K59" i="4"/>
  <c r="M59" i="4" s="1"/>
  <c r="AK59" i="5"/>
  <c r="J26" i="4"/>
  <c r="AJ26" i="5"/>
  <c r="K35" i="4"/>
  <c r="M35" i="4" s="1"/>
  <c r="AK35" i="5"/>
  <c r="K40" i="4"/>
  <c r="M40" i="4" s="1"/>
  <c r="AK40" i="5"/>
  <c r="AG9" i="5"/>
  <c r="AH9" i="5"/>
  <c r="I9" i="4"/>
  <c r="L9" i="4" s="1"/>
  <c r="K11" i="4"/>
  <c r="M11" i="4" s="1"/>
  <c r="AK11" i="5"/>
  <c r="J46" i="4"/>
  <c r="AJ46" i="5"/>
  <c r="AH16" i="5"/>
  <c r="AG16" i="5"/>
  <c r="I16" i="4"/>
  <c r="L16" i="4" s="1"/>
  <c r="AH52" i="5"/>
  <c r="AG52" i="5"/>
  <c r="I52" i="4"/>
  <c r="L52" i="4" s="1"/>
  <c r="K26" i="4"/>
  <c r="M26" i="4" s="1"/>
  <c r="AK26" i="5"/>
  <c r="AF44" i="5"/>
  <c r="AA44" i="5"/>
  <c r="AI44" i="5"/>
  <c r="Z44" i="5"/>
  <c r="H44" i="4"/>
  <c r="K84" i="4"/>
  <c r="M84" i="4" s="1"/>
  <c r="AK84" i="5"/>
  <c r="AD126" i="5"/>
  <c r="H7" i="3"/>
  <c r="C19" i="2"/>
  <c r="K99" i="4"/>
  <c r="M99" i="4" s="1"/>
  <c r="AK99" i="5"/>
  <c r="J81" i="4"/>
  <c r="AJ81" i="5"/>
  <c r="J70" i="4"/>
  <c r="AJ70" i="5"/>
  <c r="J79" i="4"/>
  <c r="AJ79" i="5"/>
  <c r="K55" i="4"/>
  <c r="M55" i="4" s="1"/>
  <c r="AK55" i="5"/>
  <c r="AG106" i="5"/>
  <c r="AH106" i="5"/>
  <c r="I106" i="4"/>
  <c r="L106" i="4" s="1"/>
  <c r="AH75" i="5"/>
  <c r="AG75" i="5"/>
  <c r="I75" i="4"/>
  <c r="L75" i="4" s="1"/>
  <c r="K94" i="4"/>
  <c r="M94" i="4" s="1"/>
  <c r="AK94" i="5"/>
  <c r="AG58" i="5"/>
  <c r="AH58" i="5"/>
  <c r="I58" i="4"/>
  <c r="L58" i="4" s="1"/>
  <c r="AK19" i="5"/>
  <c r="J11" i="4"/>
  <c r="AJ11" i="5"/>
  <c r="J15" i="4"/>
  <c r="AJ15" i="5"/>
  <c r="K46" i="4"/>
  <c r="M46" i="4" s="1"/>
  <c r="AK46" i="5"/>
  <c r="J122" i="4"/>
  <c r="AJ122" i="5"/>
  <c r="AA91" i="5"/>
  <c r="AI91" i="5"/>
  <c r="Z91" i="5"/>
  <c r="AF91" i="5"/>
  <c r="H91" i="4"/>
  <c r="AE126" i="5"/>
  <c r="G18" i="1"/>
  <c r="G22" i="1" s="1"/>
  <c r="C14" i="2"/>
  <c r="J96" i="4"/>
  <c r="AJ96" i="5"/>
  <c r="K81" i="4"/>
  <c r="M81" i="4" s="1"/>
  <c r="AK81" i="5"/>
  <c r="K70" i="4"/>
  <c r="M70" i="4" s="1"/>
  <c r="AK70" i="5"/>
  <c r="J28" i="4"/>
  <c r="AJ28" i="5"/>
  <c r="AG111" i="5"/>
  <c r="AH111" i="5"/>
  <c r="I111" i="4"/>
  <c r="L111" i="4" s="1"/>
  <c r="AH104" i="5"/>
  <c r="AG104" i="5"/>
  <c r="I104" i="4"/>
  <c r="L104" i="4" s="1"/>
  <c r="AG85" i="5"/>
  <c r="AH85" i="5"/>
  <c r="I85" i="4"/>
  <c r="L85" i="4" s="1"/>
  <c r="AH105" i="5"/>
  <c r="AG105" i="5"/>
  <c r="I105" i="4"/>
  <c r="L105" i="4" s="1"/>
  <c r="E20" i="1"/>
  <c r="F20" i="1" s="1"/>
  <c r="AH121" i="5" l="1"/>
  <c r="AG121" i="5"/>
  <c r="I121" i="4"/>
  <c r="L121" i="4" s="1"/>
  <c r="J48" i="4"/>
  <c r="AJ48" i="5"/>
  <c r="K76" i="4"/>
  <c r="M76" i="4" s="1"/>
  <c r="AK76" i="5"/>
  <c r="J85" i="4"/>
  <c r="AJ85" i="5"/>
  <c r="K9" i="4"/>
  <c r="M9" i="4" s="1"/>
  <c r="AK9" i="5"/>
  <c r="J16" i="4"/>
  <c r="AJ16" i="5"/>
  <c r="J9" i="4"/>
  <c r="AJ9" i="5"/>
  <c r="J63" i="4"/>
  <c r="AJ63" i="5"/>
  <c r="AG14" i="5"/>
  <c r="AH14" i="5"/>
  <c r="I14" i="4"/>
  <c r="L14" i="4" s="1"/>
  <c r="J64" i="4"/>
  <c r="AJ64" i="5"/>
  <c r="J119" i="4"/>
  <c r="AJ119" i="5"/>
  <c r="K52" i="4"/>
  <c r="M52" i="4" s="1"/>
  <c r="AK52" i="5"/>
  <c r="J82" i="4"/>
  <c r="AJ82" i="5"/>
  <c r="J75" i="4"/>
  <c r="AJ75" i="5"/>
  <c r="K75" i="4"/>
  <c r="M75" i="4" s="1"/>
  <c r="AK75" i="5"/>
  <c r="J43" i="4"/>
  <c r="AJ43" i="5"/>
  <c r="J24" i="4"/>
  <c r="AJ24" i="5"/>
  <c r="J104" i="4"/>
  <c r="AJ104" i="5"/>
  <c r="AG44" i="5"/>
  <c r="AH44" i="5"/>
  <c r="I44" i="4"/>
  <c r="L44" i="4" s="1"/>
  <c r="K16" i="4"/>
  <c r="M16" i="4" s="1"/>
  <c r="AK16" i="5"/>
  <c r="K43" i="4"/>
  <c r="M43" i="4" s="1"/>
  <c r="AK43" i="5"/>
  <c r="K24" i="4"/>
  <c r="M24" i="4" s="1"/>
  <c r="AK24" i="5"/>
  <c r="AH38" i="5"/>
  <c r="AG38" i="5"/>
  <c r="I38" i="4"/>
  <c r="L38" i="4" s="1"/>
  <c r="K64" i="4"/>
  <c r="M64" i="4" s="1"/>
  <c r="AK64" i="5"/>
  <c r="K119" i="4"/>
  <c r="M119" i="4" s="1"/>
  <c r="AK119" i="5"/>
  <c r="L7" i="3"/>
  <c r="L126" i="3" s="1"/>
  <c r="H126" i="3"/>
  <c r="K7" i="3"/>
  <c r="K126" i="3" s="1"/>
  <c r="K27" i="4"/>
  <c r="M27" i="4" s="1"/>
  <c r="AK27" i="5"/>
  <c r="K56" i="4"/>
  <c r="M56" i="4" s="1"/>
  <c r="AK56" i="5"/>
  <c r="K85" i="4"/>
  <c r="M85" i="4" s="1"/>
  <c r="AK85" i="5"/>
  <c r="K53" i="4"/>
  <c r="M53" i="4" s="1"/>
  <c r="AK53" i="5"/>
  <c r="K29" i="4"/>
  <c r="M29" i="4" s="1"/>
  <c r="AK29" i="5"/>
  <c r="K82" i="4"/>
  <c r="M82" i="4" s="1"/>
  <c r="AK82" i="5"/>
  <c r="K63" i="4"/>
  <c r="M63" i="4" s="1"/>
  <c r="AK63" i="5"/>
  <c r="K58" i="4"/>
  <c r="M58" i="4" s="1"/>
  <c r="H19" i="1"/>
  <c r="AK58" i="5"/>
  <c r="J105" i="4"/>
  <c r="AJ105" i="5"/>
  <c r="J27" i="4"/>
  <c r="AJ27" i="5"/>
  <c r="AH90" i="5"/>
  <c r="AG90" i="5"/>
  <c r="I90" i="4"/>
  <c r="L90" i="4" s="1"/>
  <c r="AH21" i="5"/>
  <c r="AG21" i="5"/>
  <c r="I21" i="4"/>
  <c r="L21" i="4" s="1"/>
  <c r="J56" i="4"/>
  <c r="AJ56" i="5"/>
  <c r="J58" i="4"/>
  <c r="AJ58" i="5"/>
  <c r="J87" i="4"/>
  <c r="AJ87" i="5"/>
  <c r="K111" i="4"/>
  <c r="M111" i="4" s="1"/>
  <c r="AK111" i="5"/>
  <c r="AG30" i="5"/>
  <c r="AH30" i="5"/>
  <c r="I30" i="4"/>
  <c r="L30" i="4" s="1"/>
  <c r="K87" i="4"/>
  <c r="M87" i="4" s="1"/>
  <c r="AK87" i="5"/>
  <c r="J112" i="4"/>
  <c r="AJ112" i="5"/>
  <c r="X126" i="5"/>
  <c r="Y7" i="5"/>
  <c r="AG36" i="5"/>
  <c r="AH36" i="5"/>
  <c r="I36" i="4"/>
  <c r="L36" i="4" s="1"/>
  <c r="AG74" i="5"/>
  <c r="AH74" i="5"/>
  <c r="I74" i="4"/>
  <c r="L74" i="4" s="1"/>
  <c r="J120" i="4"/>
  <c r="AJ120" i="5"/>
  <c r="AG17" i="5"/>
  <c r="AH17" i="5"/>
  <c r="I17" i="4"/>
  <c r="L17" i="4" s="1"/>
  <c r="AG50" i="5"/>
  <c r="AH50" i="5"/>
  <c r="I50" i="4"/>
  <c r="L50" i="4" s="1"/>
  <c r="K104" i="4"/>
  <c r="M104" i="4" s="1"/>
  <c r="AK104" i="5"/>
  <c r="K106" i="4"/>
  <c r="M106" i="4" s="1"/>
  <c r="AK106" i="5"/>
  <c r="AH107" i="5"/>
  <c r="H21" i="1" s="1"/>
  <c r="AG107" i="5"/>
  <c r="I107" i="4"/>
  <c r="L107" i="4" s="1"/>
  <c r="AG91" i="5"/>
  <c r="AH91" i="5"/>
  <c r="I91" i="4"/>
  <c r="L91" i="4" s="1"/>
  <c r="J106" i="4"/>
  <c r="AJ106" i="5"/>
  <c r="AG114" i="5"/>
  <c r="AH114" i="5"/>
  <c r="I114" i="4"/>
  <c r="L114" i="4" s="1"/>
  <c r="K105" i="4"/>
  <c r="M105" i="4" s="1"/>
  <c r="AK105" i="5"/>
  <c r="J111" i="4"/>
  <c r="AJ111" i="5"/>
  <c r="J52" i="4"/>
  <c r="AJ52" i="5"/>
  <c r="J76" i="4"/>
  <c r="AJ76" i="5"/>
  <c r="J53" i="4"/>
  <c r="AJ53" i="5"/>
  <c r="K112" i="4"/>
  <c r="M112" i="4" s="1"/>
  <c r="AK112" i="5"/>
  <c r="K120" i="4"/>
  <c r="M120" i="4" s="1"/>
  <c r="AK120" i="5"/>
  <c r="J29" i="4"/>
  <c r="AJ29" i="5"/>
  <c r="K48" i="4"/>
  <c r="M48" i="4" s="1"/>
  <c r="AK48" i="5"/>
  <c r="J17" i="4" l="1"/>
  <c r="AJ17" i="5"/>
  <c r="J36" i="4"/>
  <c r="AJ36" i="5"/>
  <c r="K30" i="4"/>
  <c r="M30" i="4" s="1"/>
  <c r="AK30" i="5"/>
  <c r="J44" i="4"/>
  <c r="AJ44" i="5"/>
  <c r="K91" i="4"/>
  <c r="M91" i="4" s="1"/>
  <c r="AK91" i="5"/>
  <c r="Y126" i="5"/>
  <c r="AI7" i="5"/>
  <c r="Z7" i="5"/>
  <c r="C7" i="2" s="1"/>
  <c r="H5" i="1" s="1"/>
  <c r="AF7" i="5"/>
  <c r="AA7" i="5"/>
  <c r="AA126" i="5" s="1"/>
  <c r="C11" i="2"/>
  <c r="H7" i="4"/>
  <c r="E18" i="1"/>
  <c r="J30" i="4"/>
  <c r="AJ30" i="5"/>
  <c r="K90" i="4"/>
  <c r="M90" i="4" s="1"/>
  <c r="AK90" i="5"/>
  <c r="J91" i="4"/>
  <c r="AJ91" i="5"/>
  <c r="J21" i="4"/>
  <c r="AJ21" i="5"/>
  <c r="K14" i="4"/>
  <c r="M14" i="4" s="1"/>
  <c r="AK14" i="5"/>
  <c r="K114" i="4"/>
  <c r="M114" i="4" s="1"/>
  <c r="AK114" i="5"/>
  <c r="J107" i="4"/>
  <c r="AJ107" i="5"/>
  <c r="K50" i="4"/>
  <c r="M50" i="4" s="1"/>
  <c r="AK50" i="5"/>
  <c r="K74" i="4"/>
  <c r="M74" i="4" s="1"/>
  <c r="AK74" i="5"/>
  <c r="K21" i="4"/>
  <c r="M21" i="4" s="1"/>
  <c r="AK21" i="5"/>
  <c r="J14" i="4"/>
  <c r="AJ14" i="5"/>
  <c r="J121" i="4"/>
  <c r="AJ121" i="5"/>
  <c r="K17" i="4"/>
  <c r="M17" i="4" s="1"/>
  <c r="AK17" i="5"/>
  <c r="K107" i="4"/>
  <c r="M107" i="4" s="1"/>
  <c r="AK107" i="5"/>
  <c r="J38" i="4"/>
  <c r="AJ38" i="5"/>
  <c r="K121" i="4"/>
  <c r="M121" i="4" s="1"/>
  <c r="AK121" i="5"/>
  <c r="K36" i="4"/>
  <c r="M36" i="4" s="1"/>
  <c r="AK36" i="5"/>
  <c r="J114" i="4"/>
  <c r="AJ114" i="5"/>
  <c r="J50" i="4"/>
  <c r="AJ50" i="5"/>
  <c r="J74" i="4"/>
  <c r="AJ74" i="5"/>
  <c r="J90" i="4"/>
  <c r="AJ90" i="5"/>
  <c r="F132" i="3"/>
  <c r="F130" i="3"/>
  <c r="F135" i="3"/>
  <c r="F134" i="3"/>
  <c r="K38" i="4"/>
  <c r="M38" i="4" s="1"/>
  <c r="AK38" i="5"/>
  <c r="K44" i="4"/>
  <c r="M44" i="4" s="1"/>
  <c r="AK44" i="5"/>
  <c r="H20" i="1"/>
  <c r="C40" i="1" l="1"/>
  <c r="B11" i="1"/>
  <c r="E22" i="1"/>
  <c r="F18" i="1"/>
  <c r="F22" i="1" s="1"/>
  <c r="AI126" i="5"/>
  <c r="C21" i="2"/>
  <c r="C24" i="2"/>
  <c r="H14" i="1" s="1"/>
  <c r="AH7" i="5"/>
  <c r="AG7" i="5"/>
  <c r="I7" i="4"/>
  <c r="L7" i="4" s="1"/>
  <c r="F129" i="4" s="1"/>
  <c r="C23" i="2"/>
  <c r="C12" i="2"/>
  <c r="E8" i="1"/>
  <c r="AH126" i="5" l="1"/>
  <c r="C15" i="2"/>
  <c r="K7" i="4"/>
  <c r="H18" i="1"/>
  <c r="H22" i="1" s="1"/>
  <c r="AK7" i="5"/>
  <c r="H8" i="1"/>
  <c r="C13" i="2"/>
  <c r="AG126" i="5"/>
  <c r="J7" i="4"/>
  <c r="J126" i="4" s="1"/>
  <c r="C20" i="2"/>
  <c r="AJ7" i="5"/>
  <c r="AJ126" i="5" s="1"/>
  <c r="AK126" i="5" l="1"/>
  <c r="C16" i="2"/>
  <c r="E14" i="1" s="1"/>
  <c r="C39" i="1"/>
  <c r="K126" i="4"/>
  <c r="M7" i="4"/>
  <c r="M126" i="4" s="1"/>
  <c r="F132" i="4" l="1"/>
  <c r="F131" i="4"/>
  <c r="F133" i="4"/>
  <c r="C41" i="1" l="1"/>
  <c r="E11" i="1"/>
  <c r="B14" i="1" l="1"/>
  <c r="H11" i="1"/>
</calcChain>
</file>

<file path=xl/sharedStrings.xml><?xml version="1.0" encoding="utf-8"?>
<sst xmlns="http://schemas.openxmlformats.org/spreadsheetml/2006/main" count="782" uniqueCount="410">
  <si>
    <t>DASHBOARD — TCPL All-Staff WB Compliance &amp; Cost Impact (July 2026)</t>
  </si>
  <si>
    <t>Key Metrics</t>
  </si>
  <si>
    <t>Total Employees (All Locations)</t>
  </si>
  <si>
    <t>Employees whose Basic was Raised</t>
  </si>
  <si>
    <t>Employees whose Gross Increased</t>
  </si>
  <si>
    <t>Total Monthly Gross — Before</t>
  </si>
  <si>
    <t>Total Monthly Gross — After</t>
  </si>
  <si>
    <t>Extra Monthly Cost — Gross only</t>
  </si>
  <si>
    <t>Extra Employer PF (Monthly)</t>
  </si>
  <si>
    <t>Extra Employer ESI (Monthly)</t>
  </si>
  <si>
    <t>TOTAL Extra Cost to Company (Monthly)</t>
  </si>
  <si>
    <t>TOTAL Extra Cost to Company (ANNUAL)</t>
  </si>
  <si>
    <t>Total Monthly Cost to Company — After</t>
  </si>
  <si>
    <t>Employees Paying Professional Tax</t>
  </si>
  <si>
    <t>By-Location Breakdown</t>
  </si>
  <si>
    <t>Location</t>
  </si>
  <si>
    <t>Headcount</t>
  </si>
  <si>
    <t>Old Gross
(Monthly)</t>
  </si>
  <si>
    <t>New Gross
(Monthly)</t>
  </si>
  <si>
    <t>Extra Gross
Cost</t>
  </si>
  <si>
    <t>Employer PF
(New)</t>
  </si>
  <si>
    <t>Employer ESI
(New)</t>
  </si>
  <si>
    <t>RAJARHAT</t>
  </si>
  <si>
    <t>JALAN</t>
  </si>
  <si>
    <t>TARATALA</t>
  </si>
  <si>
    <t>HEAD OFFICE</t>
  </si>
  <si>
    <t>TOTAL</t>
  </si>
  <si>
    <t>Component</t>
  </si>
  <si>
    <t>Amount</t>
  </si>
  <si>
    <t>Extra Gross Cost</t>
  </si>
  <si>
    <t>Extra Employer PF</t>
  </si>
  <si>
    <t>Extra Employer ESI</t>
  </si>
  <si>
    <t>COMPLIANCE SUMMARY — Trans Concrete Pvt Ltd (All Locations)</t>
  </si>
  <si>
    <t>Headcount &amp; Basic-Wage Compliance</t>
  </si>
  <si>
    <t>Employees whose Basic was below Min Wage / 50%-rule (raised)</t>
  </si>
  <si>
    <t>Employees whose Gross had to increase</t>
  </si>
  <si>
    <t>Monthly Cost Impact</t>
  </si>
  <si>
    <t>Total Original Monthly Gross (all employees)</t>
  </si>
  <si>
    <t>Total Revised Monthly Gross (all employees)</t>
  </si>
  <si>
    <t>Net Additional Monthly Cost (Gross only)</t>
  </si>
  <si>
    <t>Net Additional ANNUAL Cost (Gross only)</t>
  </si>
  <si>
    <t>Total Employer PF Contribution (Monthly)</t>
  </si>
  <si>
    <t>Total Employer ESI Contribution (Monthly)</t>
  </si>
  <si>
    <t>Total Monthly Cost to Company (Gross + Employer PF + ESI)</t>
  </si>
  <si>
    <t>Statutory Deductions (Monthly)</t>
  </si>
  <si>
    <t>Total Employee PF Deduction</t>
  </si>
  <si>
    <t>Total Employee ESI Deduction</t>
  </si>
  <si>
    <t>Total Employee Professional Tax Deduction</t>
  </si>
  <si>
    <t>Employees Covered under PF</t>
  </si>
  <si>
    <t>Employees Covered under ESI</t>
  </si>
  <si>
    <t>Employees Paying Professional Tax (&gt;0)</t>
  </si>
  <si>
    <t>Legal Basis (verify with your labour consultant/CA)</t>
  </si>
  <si>
    <t>1. Minimum Wages: WB Zone A rates — Basic floored at the mapped skill level's rate.</t>
  </si>
  <si>
    <t>2. 'Wages' definition (Code on Wages 2019, in force 21-Nov-2025): Basic ≥ 50% of Gross — implemented by</t>
  </si>
  <si>
    <t xml:space="preserve">   flooring Basic at 50% of Gross, reallocating from HRA/Food/Edu/Conv first.</t>
  </si>
  <si>
    <t>3. EPF mandatory-coverage wage ceiling remains ₹15,000/month; this sheet follows the plant's existing practice</t>
  </si>
  <si>
    <t xml:space="preserve">   of contributing on full/actual Basic, except employees flagged 'N' (pre-existing PF-excluded) — review with consultant.</t>
  </si>
  <si>
    <t>4. ESI wage ceiling remains ₹21,000/month gross, unchanged. Rates: Employee 0.75%, Employer 3.25% of gross.</t>
  </si>
  <si>
    <t>5. Professional Tax (West Bengal, FY 2026-27 slabs): ≤10,000 Nil; 10,001-15,000 ₹110; 15,001-25,000 ₹130;</t>
  </si>
  <si>
    <t xml:space="preserve">   25,001-40,000 ₹150; above 40,000 ₹200 per month — based on monthly Gross Salary.</t>
  </si>
  <si>
    <t>6. WB state rules under the 4 Labour Codes were NOT YET notified as of Aug 2026 (Central Codes/rules apply);</t>
  </si>
  <si>
    <t xml:space="preserve">   confirm current status before finalising.</t>
  </si>
  <si>
    <t>DISCLAIMER: This is a calculation tool, not legal advice. Skill mapping, minimum-wage rates, and the PF-exclusion list are assumptions to be verified against current gazette notifications by a qualified labour-law consultant / CA before running live payroll.</t>
  </si>
  <si>
    <t>PF CAPPING COMPARISON — Old vs New (Uncapped) vs New (Capped at ₹15,000 ceiling)</t>
  </si>
  <si>
    <t>PF amounts shown are PER SIDE (Employee = Employer, both 12% of same wage base in this model). 'Capped' = PF calculated only on first ₹15,000 of Basic (statutory MANDATORY minimum) instead of full Basic.</t>
  </si>
  <si>
    <t>SL
NO</t>
  </si>
  <si>
    <t>NAME</t>
  </si>
  <si>
    <t>CATEGORY</t>
  </si>
  <si>
    <t>PF
Applic.</t>
  </si>
  <si>
    <t>Old
Basic</t>
  </si>
  <si>
    <t>Old PF
(per side)</t>
  </si>
  <si>
    <t>New Basic
(Uncapped)</t>
  </si>
  <si>
    <t>New PF
Uncapped (per side)</t>
  </si>
  <si>
    <t>New Basic
Capped @15K</t>
  </si>
  <si>
    <t>New PF
Capped (per side)</t>
  </si>
  <si>
    <t>Savings if Capped
vs Uncapped (per side)</t>
  </si>
  <si>
    <t>Extra vs OLD
if Uncapped (per side)</t>
  </si>
  <si>
    <t>Extra vs OLD
if Capped (per side)</t>
  </si>
  <si>
    <t>TOTAL (per side)</t>
  </si>
  <si>
    <t>Company-wide PF Impact Summary</t>
  </si>
  <si>
    <t>Total Monthly PF — OLD sheet (per side)</t>
  </si>
  <si>
    <t>Total Monthly PF — NEW, Uncapped (per side)</t>
  </si>
  <si>
    <t>Total Monthly PF — NEW, Capped @ ₹15,000 (per side)</t>
  </si>
  <si>
    <t>Extra Employer PF Cost — Uncapped vs OLD (monthly)</t>
  </si>
  <si>
    <t>Extra Employer PF Cost — Capped vs OLD (monthly)</t>
  </si>
  <si>
    <t>Cost SAVED by Capping (vs staying Uncapped), monthly</t>
  </si>
  <si>
    <t>Cost SAVED by Capping (vs staying Uncapped), ANNUAL</t>
  </si>
  <si>
    <t>Note: Capping reduces the EMPLOYEE's own PF build-up too. For existing higher-wage PF members, reducing the base unilaterally may not be permitted — this option is realistically only clean for employees newly adjusted here.</t>
  </si>
  <si>
    <t>ESI IMPACT COMPARISON — Old Coverage/Cost vs New Coverage/Cost (₹21,000 gross ceiling, unchanged)</t>
  </si>
  <si>
    <t>ESI is all-or-nothing based on Gross ≤ ₹21,000/month. Where the revised Gross moves an employee across this line, coverage status changes — this sheet flags exactly who, and the resulting cost shift.</t>
  </si>
  <si>
    <t>Old
Gross</t>
  </si>
  <si>
    <t>Old ESI
Applic.</t>
  </si>
  <si>
    <t>Old ESI
Employee</t>
  </si>
  <si>
    <t>Old ESI
Employer</t>
  </si>
  <si>
    <t>New
Gross</t>
  </si>
  <si>
    <t>New ESI
Applic.</t>
  </si>
  <si>
    <t>New ESI
Employee</t>
  </si>
  <si>
    <t>New ESI
Employer</t>
  </si>
  <si>
    <t>Coverage
Changed?</t>
  </si>
  <si>
    <t>Extra Employer
ESI Cost</t>
  </si>
  <si>
    <t>Company-wide ESI Impact Summary</t>
  </si>
  <si>
    <t>Employees whose ESI coverage status changed</t>
  </si>
  <si>
    <t>Total Monthly ESI Employer Cost — OLD</t>
  </si>
  <si>
    <t>Total Monthly ESI Employer Cost — NEW</t>
  </si>
  <si>
    <t>Extra Employer ESI Cost (monthly)</t>
  </si>
  <si>
    <t>Extra Employer ESI Cost (ANNUAL)</t>
  </si>
  <si>
    <t>TRANS CONCRETE PVT LTD — ALL STAFF — WB LABOUR-CODE COMPLIANT SALARY SHEET (July 2026)</t>
  </si>
  <si>
    <t>Logic: (1) Basic raised to at least WB minimum wage for mapped skill level. (2) Basic raised to at least 50% of Gross (Code on Wages 'wage' definition, in force since 21-Nov-2025) by re-allocating from HRA/Food/Edu/Conv first; Gross rises only if these cannot fully absorb it. (3) PF, ESI &amp; Professional Tax recomputed on revised figures. Yellow cells are editable.</t>
  </si>
  <si>
    <t>EMP
CODE</t>
  </si>
  <si>
    <t>LOCATION</t>
  </si>
  <si>
    <t>SKILL
LEVEL</t>
  </si>
  <si>
    <t>MIN WAGE
(₹/mo)</t>
  </si>
  <si>
    <t>Orig
Basic</t>
  </si>
  <si>
    <t>Orig
HRA</t>
  </si>
  <si>
    <t>Orig
Food</t>
  </si>
  <si>
    <t>Orig
Edu</t>
  </si>
  <si>
    <t>Orig
Conv</t>
  </si>
  <si>
    <t>Orig
Total</t>
  </si>
  <si>
    <t>Perf.
Bonus</t>
  </si>
  <si>
    <t>Orig
Gross</t>
  </si>
  <si>
    <t>Required
Basic</t>
  </si>
  <si>
    <t>NEW
BASIC</t>
  </si>
  <si>
    <t>Basic
Shortfall</t>
  </si>
  <si>
    <t>Allow.
Available</t>
  </si>
  <si>
    <t>NEW
HRA</t>
  </si>
  <si>
    <t>NEW
Food</t>
  </si>
  <si>
    <t>NEW
Edu</t>
  </si>
  <si>
    <t>NEW
Conv</t>
  </si>
  <si>
    <t>NEW
Total</t>
  </si>
  <si>
    <t>NEW
GROSS</t>
  </si>
  <si>
    <t>Gross
Increased?</t>
  </si>
  <si>
    <t>Increase
Amount</t>
  </si>
  <si>
    <t>PF Wage
Base</t>
  </si>
  <si>
    <t>PF
Employee(12%)</t>
  </si>
  <si>
    <t>PF
Employer(12%)</t>
  </si>
  <si>
    <t>ESI
Applic.</t>
  </si>
  <si>
    <t>ESI
Employee(0.75%)</t>
  </si>
  <si>
    <t>ESI
Employer(3.25%)</t>
  </si>
  <si>
    <t>Professional
Tax (WB slab)</t>
  </si>
  <si>
    <t>NET PAY
(Employee)</t>
  </si>
  <si>
    <t>TOTAL COST
TO COMPANY</t>
  </si>
  <si>
    <t>TC 0005</t>
  </si>
  <si>
    <t>OFFICE STAFF</t>
  </si>
  <si>
    <t>ABED ALI</t>
  </si>
  <si>
    <t>Y</t>
  </si>
  <si>
    <t>TC 0003</t>
  </si>
  <si>
    <t>ABHI MUKHERJEE</t>
  </si>
  <si>
    <t>TC 0001</t>
  </si>
  <si>
    <t>ACHIN GUPTA</t>
  </si>
  <si>
    <t>TC 0006</t>
  </si>
  <si>
    <t>AMIN YADAV (BADRI)</t>
  </si>
  <si>
    <t>TC 0185</t>
  </si>
  <si>
    <t>ANOWAR MOLLA</t>
  </si>
  <si>
    <t>TC 0260</t>
  </si>
  <si>
    <t>DIBAKAR MONDAL</t>
  </si>
  <si>
    <t>TC 0122</t>
  </si>
  <si>
    <t xml:space="preserve">GOLAM SARWAR </t>
  </si>
  <si>
    <t>TC 0205</t>
  </si>
  <si>
    <t>IMAN ALI MOLLA</t>
  </si>
  <si>
    <t>TC 0024</t>
  </si>
  <si>
    <t>PULIN MONDAL</t>
  </si>
  <si>
    <t>TC 0040</t>
  </si>
  <si>
    <t>RAJU PAL</t>
  </si>
  <si>
    <t>TC 0032</t>
  </si>
  <si>
    <t>UJJAL MUKHERJEE</t>
  </si>
  <si>
    <t>TC 0271</t>
  </si>
  <si>
    <t>PROBIR GHOSH (O)</t>
  </si>
  <si>
    <t>TC 0367</t>
  </si>
  <si>
    <t>NABA KUMAR  BISWAS</t>
  </si>
  <si>
    <t>TC 0213</t>
  </si>
  <si>
    <t>ASIM KHUNTIA</t>
  </si>
  <si>
    <t>TC 0398</t>
  </si>
  <si>
    <t>MANABINDU BISWAS</t>
  </si>
  <si>
    <t>TC 0411</t>
  </si>
  <si>
    <t>SUVANKAR SAMADDAR</t>
  </si>
  <si>
    <t>TC 0179</t>
  </si>
  <si>
    <t>DRIVER</t>
  </si>
  <si>
    <t xml:space="preserve">ANISUR </t>
  </si>
  <si>
    <t>N</t>
  </si>
  <si>
    <t>TC 0047</t>
  </si>
  <si>
    <t>ARJUN KR. RAI</t>
  </si>
  <si>
    <t>TC 0074</t>
  </si>
  <si>
    <t xml:space="preserve">ARMAN ALI MONDAL </t>
  </si>
  <si>
    <t>TC 0187</t>
  </si>
  <si>
    <t>HELPER</t>
  </si>
  <si>
    <t>ASUTOSH SARDAR</t>
  </si>
  <si>
    <t>TC 0222</t>
  </si>
  <si>
    <t>LAB TECHNICIAN</t>
  </si>
  <si>
    <t>BUDDHADEV SEAL</t>
  </si>
  <si>
    <t>TC 0361</t>
  </si>
  <si>
    <t xml:space="preserve">FARUK ALI </t>
  </si>
  <si>
    <t>TC 0219</t>
  </si>
  <si>
    <t>HOPPER</t>
  </si>
  <si>
    <t>KUTUBUDDIN MOLLA</t>
  </si>
  <si>
    <t>TC 0391</t>
  </si>
  <si>
    <t>OTHERS</t>
  </si>
  <si>
    <t>MD. SAMIM AKRAM (JCB DEIVER)</t>
  </si>
  <si>
    <t>TC 0051</t>
  </si>
  <si>
    <t>MOTIAR RAHAMAN</t>
  </si>
  <si>
    <t>TC 0431</t>
  </si>
  <si>
    <t>MOKSHED ALI</t>
  </si>
  <si>
    <t>TC 0143</t>
  </si>
  <si>
    <t xml:space="preserve">SAMSER ALI </t>
  </si>
  <si>
    <t>TC 0412</t>
  </si>
  <si>
    <t>SHANTI  MONDAL</t>
  </si>
  <si>
    <t>TC 0072</t>
  </si>
  <si>
    <t xml:space="preserve">SIRAJUL  MOLLA  </t>
  </si>
  <si>
    <t>TC 0076</t>
  </si>
  <si>
    <t>SK. ANARUL ISLAM</t>
  </si>
  <si>
    <t>TC 0014</t>
  </si>
  <si>
    <t>SRISTI DHAR MONDAL</t>
  </si>
  <si>
    <t>TC 0109</t>
  </si>
  <si>
    <t>SUDHAN MONDAL</t>
  </si>
  <si>
    <t>TC 0023</t>
  </si>
  <si>
    <t>SWAPAN MONDAL</t>
  </si>
  <si>
    <t>TC 0432</t>
  </si>
  <si>
    <t>MOSIAR MOLLA</t>
  </si>
  <si>
    <t>TC 0427</t>
  </si>
  <si>
    <t>ISRAFIL DHALI</t>
  </si>
  <si>
    <t>TC 0420</t>
  </si>
  <si>
    <t>ROUF MONDAL</t>
  </si>
  <si>
    <t>TC 0390</t>
  </si>
  <si>
    <t>KANAK JANA</t>
  </si>
  <si>
    <t>TC 0362</t>
  </si>
  <si>
    <t>SOUMEN GARAI</t>
  </si>
  <si>
    <t>TC 0428</t>
  </si>
  <si>
    <t>ASHOK MONDAL</t>
  </si>
  <si>
    <t>TC 0395</t>
  </si>
  <si>
    <t>ANSWAR ALI MOLLA</t>
  </si>
  <si>
    <t>TC 0421</t>
  </si>
  <si>
    <t>MOMINUL HAQUE</t>
  </si>
  <si>
    <t>TC 0422</t>
  </si>
  <si>
    <t>EKRAMUL ALI</t>
  </si>
  <si>
    <t>TC 0433</t>
  </si>
  <si>
    <t>JULFIKAR DHALI</t>
  </si>
  <si>
    <t>TC 0413</t>
  </si>
  <si>
    <t>SUPRAKASH SAMANTO</t>
  </si>
  <si>
    <t>TC 0434</t>
  </si>
  <si>
    <t>TANMOY MONDAL</t>
  </si>
  <si>
    <t>TC 0414</t>
  </si>
  <si>
    <t>ALOK MONDAL</t>
  </si>
  <si>
    <t>TC 0415</t>
  </si>
  <si>
    <t>RAJESH BAR</t>
  </si>
  <si>
    <t>TC 0429</t>
  </si>
  <si>
    <t>BIKRAM ROY</t>
  </si>
  <si>
    <t>TC 0435</t>
  </si>
  <si>
    <t>JITU MAHALI</t>
  </si>
  <si>
    <t>TC 0430</t>
  </si>
  <si>
    <t>MILAN RUIDAS</t>
  </si>
  <si>
    <t>TC 0227</t>
  </si>
  <si>
    <t>BABLU MONDAL (L)</t>
  </si>
  <si>
    <t>TC 0200</t>
  </si>
  <si>
    <t>BISWAJIT GUCHHAIT(TM)</t>
  </si>
  <si>
    <t>TC 0092</t>
  </si>
  <si>
    <t>DEBASIS DAS</t>
  </si>
  <si>
    <t>TC 0290</t>
  </si>
  <si>
    <t>SUSANTA ROY (LAB)</t>
  </si>
  <si>
    <t>TC 0004</t>
  </si>
  <si>
    <t>KUNDAN KUMAR</t>
  </si>
  <si>
    <t>TC 0181</t>
  </si>
  <si>
    <t>SANTOSH KUMAR MAHALI</t>
  </si>
  <si>
    <t>TC 0194</t>
  </si>
  <si>
    <t>KOUSHIK JANA</t>
  </si>
  <si>
    <t>TC 0317</t>
  </si>
  <si>
    <t>MILON SADHUKAN (STORE)</t>
  </si>
  <si>
    <t>TC 0389</t>
  </si>
  <si>
    <t>KOUSHIK POREL</t>
  </si>
  <si>
    <t>TC 0346</t>
  </si>
  <si>
    <t>AMIT MAITY(LAB)</t>
  </si>
  <si>
    <t>TC 0314</t>
  </si>
  <si>
    <t>AMIYO KUMAR ROY (D)</t>
  </si>
  <si>
    <t>TC 0136</t>
  </si>
  <si>
    <t>ARUN KUMAR SINGH  (D)</t>
  </si>
  <si>
    <t>TC 0403</t>
  </si>
  <si>
    <t>DESHBANDHU MANDOL (D)</t>
  </si>
  <si>
    <t>TC 0218</t>
  </si>
  <si>
    <t>BIKASH SOREN (D)</t>
  </si>
  <si>
    <t>TC 0138</t>
  </si>
  <si>
    <t>GOUTAM PATRA (D)</t>
  </si>
  <si>
    <t>TC 0344</t>
  </si>
  <si>
    <t>LAXMIKANTA MAHALI(H)</t>
  </si>
  <si>
    <t>TC 0157</t>
  </si>
  <si>
    <t>PRADIP ROY (D)</t>
  </si>
  <si>
    <t>TC 0356</t>
  </si>
  <si>
    <t>RAGHUNATH MAHALI (H)</t>
  </si>
  <si>
    <t>TC 0238</t>
  </si>
  <si>
    <t>RAJDOT ROY(H)</t>
  </si>
  <si>
    <t>TC 0326</t>
  </si>
  <si>
    <t>SAJAL MONDAL (H)</t>
  </si>
  <si>
    <t>TC 0268</t>
  </si>
  <si>
    <t>SUMAN MAITY(LAB)</t>
  </si>
  <si>
    <t>TC 0360</t>
  </si>
  <si>
    <t>JAYDEB MONDAL (L)</t>
  </si>
  <si>
    <t>TC 0402</t>
  </si>
  <si>
    <t>GOUTAM BAURI (D)</t>
  </si>
  <si>
    <t>TC 0301</t>
  </si>
  <si>
    <t>ARJUN KR. PRASAD</t>
  </si>
  <si>
    <t>TC 0175</t>
  </si>
  <si>
    <t>TARAPADA BERA</t>
  </si>
  <si>
    <t>TC 0375</t>
  </si>
  <si>
    <t>SOMNATH NASKAR</t>
  </si>
  <si>
    <t>TC 0410</t>
  </si>
  <si>
    <t xml:space="preserve">GOUTAM DHAR </t>
  </si>
  <si>
    <t>TC 0319</t>
  </si>
  <si>
    <t>JAYANTA KUNDU</t>
  </si>
  <si>
    <t>TC 0408</t>
  </si>
  <si>
    <t>RAHUL BHALLA</t>
  </si>
  <si>
    <t>TC 0285</t>
  </si>
  <si>
    <t>JOYDEB DUTTA</t>
  </si>
  <si>
    <t>TC 0251</t>
  </si>
  <si>
    <t>SHYAMAL BUXI (WELDER)</t>
  </si>
  <si>
    <t>TC 0376</t>
  </si>
  <si>
    <t>PINTU KUMAR RAY</t>
  </si>
  <si>
    <t>TC 0416</t>
  </si>
  <si>
    <t>RANJIT SAH</t>
  </si>
  <si>
    <t>TC 0335</t>
  </si>
  <si>
    <t>CHANDAN ROY</t>
  </si>
  <si>
    <t>TC 0377</t>
  </si>
  <si>
    <t>KAUSHAL KUMAR</t>
  </si>
  <si>
    <t>TC 0417</t>
  </si>
  <si>
    <t>SAMIR (K)</t>
  </si>
  <si>
    <t>TC 0369</t>
  </si>
  <si>
    <t>SAMIR ROY</t>
  </si>
  <si>
    <t>TC 0381</t>
  </si>
  <si>
    <t>SANJAY SINGH</t>
  </si>
  <si>
    <t>TC 0373</t>
  </si>
  <si>
    <t>SRIKANTA BOURI</t>
  </si>
  <si>
    <t>TC 0407</t>
  </si>
  <si>
    <t>SUBRATA NANDY</t>
  </si>
  <si>
    <t>TC 0177</t>
  </si>
  <si>
    <t>SURENDAR PASWAN</t>
  </si>
  <si>
    <t>TC 0425</t>
  </si>
  <si>
    <t>TAPAS KUMAR MAJHI</t>
  </si>
  <si>
    <t>TC 0409</t>
  </si>
  <si>
    <t>SADHAN BAURI</t>
  </si>
  <si>
    <t>TC 0418</t>
  </si>
  <si>
    <t>ANIL KR SAH</t>
  </si>
  <si>
    <t>TC 0405</t>
  </si>
  <si>
    <t>UJJWAL SINGHA</t>
  </si>
  <si>
    <t>TC 0426</t>
  </si>
  <si>
    <t>RAJIB GHARUI</t>
  </si>
  <si>
    <t>TC 0370</t>
  </si>
  <si>
    <t>RAMBHAJAN</t>
  </si>
  <si>
    <t>TC 0012</t>
  </si>
  <si>
    <t>HO OFFICE STAFF</t>
  </si>
  <si>
    <t>KRISHNA CH. DAS</t>
  </si>
  <si>
    <t>TC 0013</t>
  </si>
  <si>
    <t>VIVEK GOSSAIN</t>
  </si>
  <si>
    <t>TC 0081</t>
  </si>
  <si>
    <t>ALOKE KUNDU</t>
  </si>
  <si>
    <t>TC 0085</t>
  </si>
  <si>
    <t>GOUTAM DHARA</t>
  </si>
  <si>
    <t>TC 0089</t>
  </si>
  <si>
    <t>RABINDRA NATH BASU</t>
  </si>
  <si>
    <t>TC 0090</t>
  </si>
  <si>
    <t>SOUMEN DAS</t>
  </si>
  <si>
    <t>TC 0082</t>
  </si>
  <si>
    <t>LOKENATH KUNDU</t>
  </si>
  <si>
    <t>TC 0186</t>
  </si>
  <si>
    <t>AMAL KRISHNA DEB</t>
  </si>
  <si>
    <t>TC 0214</t>
  </si>
  <si>
    <t>SYED JAWED AHMED</t>
  </si>
  <si>
    <t>TC 0289</t>
  </si>
  <si>
    <t>SIBASISH DHAR</t>
  </si>
  <si>
    <t>TC 0232</t>
  </si>
  <si>
    <t>MOHENDRA DAN</t>
  </si>
  <si>
    <t>TC 0124</t>
  </si>
  <si>
    <t>PRADIP DAS</t>
  </si>
  <si>
    <t>TC 0366</t>
  </si>
  <si>
    <t>DEBANGSU KUMAR DAS</t>
  </si>
  <si>
    <t>TC 0278</t>
  </si>
  <si>
    <t>ANUJ KUMAR</t>
  </si>
  <si>
    <t>TC 0384</t>
  </si>
  <si>
    <t>RAJU DAS</t>
  </si>
  <si>
    <t>TC 0146</t>
  </si>
  <si>
    <t>RAGHAB CHANDRA DAS</t>
  </si>
  <si>
    <t>TC 0147</t>
  </si>
  <si>
    <t>SANKAR  YADAV</t>
  </si>
  <si>
    <t>TC 0148</t>
  </si>
  <si>
    <t>RAJESH VARMA</t>
  </si>
  <si>
    <t>TC 0149</t>
  </si>
  <si>
    <t>YOGENDRA YADAV</t>
  </si>
  <si>
    <t>TC 0399</t>
  </si>
  <si>
    <t>ANUSHMITA MONDAL</t>
  </si>
  <si>
    <t>TC 0400</t>
  </si>
  <si>
    <t>SASWATI KAR</t>
  </si>
  <si>
    <t>TC 0404</t>
  </si>
  <si>
    <t>PRALAY SAHA</t>
  </si>
  <si>
    <t>SKILL-LEVEL MAPPING — Category to Minimum-Wage Skill Level (editable, confirm with labour consultant)</t>
  </si>
  <si>
    <t>Job Category</t>
  </si>
  <si>
    <t>Mapped Skill Level</t>
  </si>
  <si>
    <t>Basis / Note</t>
  </si>
  <si>
    <t>Skilled</t>
  </si>
  <si>
    <t>General clerical/admin work; senior roles may warrant Highly Skilled — review individually</t>
  </si>
  <si>
    <t>Head Office admin/accounts staff; senior/managerial roles may warrant Highly Skilled</t>
  </si>
  <si>
    <t>Semi-Skilled</t>
  </si>
  <si>
    <t>Light/medium commercial vehicle driving — heavy-vehicle drivers may be Skilled in some schedules</t>
  </si>
  <si>
    <t>Unskilled</t>
  </si>
  <si>
    <t>General manual/helper work</t>
  </si>
  <si>
    <t>Requires technical/testing knowledge</t>
  </si>
  <si>
    <t>Machine/material-feeding operator role</t>
  </si>
  <si>
    <t>e.g. JCB/excavator operator — specialised equipment operation</t>
  </si>
  <si>
    <t>IMPORTANT: this mapping is an editable ASSUMPTION based on job-title alone. Confirm actual skill classification against the WB scheduled-employment notification applicable to your industry, and each employee's actual qualification/duties.</t>
  </si>
  <si>
    <t>WEST BENGAL MINIMUM WAGES — Zone A</t>
  </si>
  <si>
    <t>Zone A = Municipal Corporations / Municipalities / Notified Areas / Development Authorities / Thermal Power Plant-Township areas</t>
  </si>
  <si>
    <t>Skill Level</t>
  </si>
  <si>
    <t>Monthly Rate (₹)</t>
  </si>
  <si>
    <t>Daily Rate (₹)</t>
  </si>
  <si>
    <t>Highly Skilled</t>
  </si>
  <si>
    <t>Note: verify against the latest WB Labour Dept gazette before running payroll.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</si>
</sst>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;&quot;(₹&quot;#,##0\)"/>
  </numFmts>
  <fonts count="15" x14ac:knownFonts="1">
    <font>
      <sz val="11"/>
      <color theme="1"/>
      <name val="Calibri"/>
      <family val="2"/>
      <charset val="1"/>
    </font>
    <font>
      <b/>
      <sz val="15"/>
      <color rgb="FFFFFFFF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3"/>
      <color rgb="FF1F3864"/>
      <name val="Calibri"/>
      <charset val="1"/>
    </font>
    <font>
      <b/>
      <sz val="8"/>
      <color rgb="FFFFFFFF"/>
      <name val="Calibri"/>
      <charset val="1"/>
    </font>
    <font>
      <sz val="9"/>
      <name val="Calibri"/>
      <charset val="1"/>
    </font>
    <font>
      <b/>
      <sz val="9"/>
      <name val="Calibri"/>
      <charset val="1"/>
    </font>
    <font>
      <b/>
      <sz val="9"/>
      <color rgb="FF1F3864"/>
      <name val="Calibri"/>
      <charset val="1"/>
    </font>
    <font>
      <b/>
      <sz val="11"/>
      <color rgb="FF1F3864"/>
      <name val="Calibri"/>
      <charset val="1"/>
    </font>
    <font>
      <i/>
      <sz val="9"/>
      <color rgb="FF808080"/>
      <name val="Calibri"/>
      <charset val="1"/>
    </font>
    <font>
      <i/>
      <sz val="9"/>
      <color rgb="FFC00000"/>
      <name val="Calibri"/>
      <charset val="1"/>
    </font>
    <font>
      <b/>
      <sz val="7.5"/>
      <color rgb="FFFFFFFF"/>
      <name val="Calibri"/>
      <charset val="1"/>
    </font>
    <font>
      <b/>
      <sz val="7"/>
      <color rgb="FFFFFFFF"/>
      <name val="Calibri"/>
      <charset val="1"/>
    </font>
    <font>
      <b/>
      <sz val="10"/>
      <color rgb="FF0000FF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2E5395"/>
        <bgColor rgb="FF1F3864"/>
      </patternFill>
    </fill>
    <fill>
      <patternFill patternType="solid">
        <fgColor rgb="FFD9E1F2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FFF2CC"/>
        <bgColor rgb="FFF9F9F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9F9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1" xfId="0" applyFont="1" applyFill="1" applyBorder="1" applyAlignment="1">
      <alignment vertical="center" wrapText="1"/>
    </xf>
    <xf numFmtId="1" fontId="4" fillId="5" borderId="1" xfId="0" applyNumberFormat="1" applyFont="1" applyFill="1" applyBorder="1"/>
    <xf numFmtId="164" fontId="4" fillId="5" borderId="1" xfId="0" applyNumberFormat="1" applyFont="1" applyFill="1" applyBorder="1"/>
    <xf numFmtId="0" fontId="5" fillId="3" borderId="0" xfId="0" applyFont="1" applyFill="1" applyAlignment="1">
      <alignment horizont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/>
    <xf numFmtId="1" fontId="8" fillId="0" borderId="0" xfId="0" applyNumberFormat="1" applyFont="1"/>
    <xf numFmtId="164" fontId="8" fillId="0" borderId="0" xfId="0" applyNumberFormat="1" applyFont="1"/>
    <xf numFmtId="0" fontId="6" fillId="0" borderId="0" xfId="0" applyFont="1"/>
    <xf numFmtId="164" fontId="6" fillId="0" borderId="0" xfId="0" applyNumberFormat="1" applyFont="1"/>
    <xf numFmtId="0" fontId="3" fillId="0" borderId="0" xfId="0" applyFont="1"/>
    <xf numFmtId="1" fontId="9" fillId="0" borderId="0" xfId="0" applyNumberFormat="1" applyFont="1"/>
    <xf numFmtId="164" fontId="9" fillId="0" borderId="0" xfId="0" applyNumberFormat="1" applyFont="1"/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14" fillId="6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1" xfId="0" applyFont="1" applyBorder="1"/>
    <xf numFmtId="0" fontId="14" fillId="6" borderId="1" xfId="0" applyFont="1" applyFill="1" applyBorder="1"/>
    <xf numFmtId="0" fontId="10" fillId="0" borderId="0" xfId="0" applyFont="1"/>
    <xf numFmtId="164" fontId="14" fillId="6" borderId="1" xfId="0" applyNumberFormat="1" applyFont="1" applyFill="1" applyBorder="1"/>
    <xf numFmtId="0" fontId="1" fillId="2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11" fillId="0" borderId="0" xfId="0" applyFont="1" applyBorder="1"/>
    <xf numFmtId="0" fontId="10" fillId="0" borderId="0" xfId="0" applyFont="1" applyBorder="1"/>
    <xf numFmtId="0" fontId="2" fillId="3" borderId="0" xfId="0" applyFont="1" applyFill="1" applyBorder="1"/>
    <xf numFmtId="0" fontId="3" fillId="0" borderId="0" xfId="0" applyFont="1" applyBorder="1"/>
    <xf numFmtId="1" fontId="6" fillId="7" borderId="0" xfId="0" applyNumberFormat="1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 applyAlignment="1">
      <alignment horizontal="left"/>
    </xf>
    <xf numFmtId="164" fontId="6" fillId="7" borderId="0" xfId="0" applyNumberFormat="1" applyFont="1" applyFill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0" fillId="7" borderId="0" xfId="0" applyFill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BBB59"/>
      <rgbColor rgb="FFFFCC00"/>
      <rgbColor rgb="FFBF8F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C0504D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Old vs New Monthly Gross,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Dashboard!$D$17</c:f>
              <c:strCache>
                <c:ptCount val="1"/>
                <c:pt idx="0">
                  <c:v>Old Gross
(Monthly)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Dashboard!$B$18:$B$21</c:f>
              <c:strCache>
                <c:ptCount val="4"/>
                <c:pt idx="0">
                  <c:v>RAJARHAT</c:v>
                </c:pt>
                <c:pt idx="1">
                  <c:v>JALAN</c:v>
                </c:pt>
                <c:pt idx="2">
                  <c:v>TARATALA</c:v>
                </c:pt>
                <c:pt idx="3">
                  <c:v>HEAD OFFICE</c:v>
                </c:pt>
              </c:strCache>
            </c:strRef>
          </c:cat>
          <c:val>
            <c:numRef>
              <c:f>Dashboard!$D$18:$D$21</c:f>
              <c:numCache>
                <c:formatCode>\₹#,##0;"(₹"#,##0\)</c:formatCode>
                <c:ptCount val="4"/>
                <c:pt idx="0">
                  <c:v>928275</c:v>
                </c:pt>
                <c:pt idx="1">
                  <c:v>410075</c:v>
                </c:pt>
                <c:pt idx="2">
                  <c:v>490900</c:v>
                </c:pt>
                <c:pt idx="3">
                  <c:v>622612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E-4CDA-8AE1-0F139420FA84}"/>
            </c:ext>
          </c:extLst>
        </c:ser>
        <c:ser>
          <c:idx val="1"/>
          <c:order val="1"/>
          <c:tx>
            <c:strRef>
              <c:f>Dashboard!$E$17</c:f>
              <c:strCache>
                <c:ptCount val="1"/>
                <c:pt idx="0">
                  <c:v>New Gross
(Monthly)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Dashboard!$B$18:$B$21</c:f>
              <c:strCache>
                <c:ptCount val="4"/>
                <c:pt idx="0">
                  <c:v>RAJARHAT</c:v>
                </c:pt>
                <c:pt idx="1">
                  <c:v>JALAN</c:v>
                </c:pt>
                <c:pt idx="2">
                  <c:v>TARATALA</c:v>
                </c:pt>
                <c:pt idx="3">
                  <c:v>HEAD OFFICE</c:v>
                </c:pt>
              </c:strCache>
            </c:strRef>
          </c:cat>
          <c:val>
            <c:numRef>
              <c:f>Dashboard!$E$18:$E$21</c:f>
              <c:numCache>
                <c:formatCode>\₹#,##0;"(₹"#,##0\)</c:formatCode>
                <c:ptCount val="4"/>
                <c:pt idx="0">
                  <c:v>929729</c:v>
                </c:pt>
                <c:pt idx="1">
                  <c:v>410075</c:v>
                </c:pt>
                <c:pt idx="2">
                  <c:v>490900</c:v>
                </c:pt>
                <c:pt idx="3">
                  <c:v>623466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4E-4CDA-8AE1-0F139420F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885454"/>
        <c:axId val="63302621"/>
      </c:barChart>
      <c:catAx>
        <c:axId val="5988545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Location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302621"/>
        <c:crosses val="autoZero"/>
        <c:auto val="1"/>
        <c:lblAlgn val="ctr"/>
        <c:lblOffset val="100"/>
        <c:noMultiLvlLbl val="0"/>
      </c:catAx>
      <c:valAx>
        <c:axId val="633026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&quot;(₹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8854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Extra Monthly Cost to Company — by Component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Dashboard!$C$38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1B52-45F5-B5BA-01D8EA76950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B52-45F5-B5BA-01D8EA76950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B52-45F5-B5BA-01D8EA76950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52-45F5-B5BA-01D8EA76950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B52-45F5-B5BA-01D8EA76950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52-45F5-B5BA-01D8EA7695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Dashboard!$B$39:$B$41</c:f>
              <c:strCache>
                <c:ptCount val="3"/>
                <c:pt idx="0">
                  <c:v>Extra Gross Cost</c:v>
                </c:pt>
                <c:pt idx="1">
                  <c:v>Extra Employer PF</c:v>
                </c:pt>
                <c:pt idx="2">
                  <c:v>Extra Employer ESI</c:v>
                </c:pt>
              </c:strCache>
            </c:strRef>
          </c:cat>
          <c:val>
            <c:numRef>
              <c:f>Dashboard!$C$39:$C$41</c:f>
              <c:numCache>
                <c:formatCode>\₹#,##0;"(₹"#,##0\)</c:formatCode>
                <c:ptCount val="3"/>
                <c:pt idx="0">
                  <c:v>2308</c:v>
                </c:pt>
                <c:pt idx="1">
                  <c:v>34797</c:v>
                </c:pt>
                <c:pt idx="2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B52-45F5-B5BA-01D8EA769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Headcount by Location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Dashboard!$C$17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Dashboard!$B$18:$B$21</c:f>
              <c:strCache>
                <c:ptCount val="4"/>
                <c:pt idx="0">
                  <c:v>RAJARHAT</c:v>
                </c:pt>
                <c:pt idx="1">
                  <c:v>JALAN</c:v>
                </c:pt>
                <c:pt idx="2">
                  <c:v>TARATALA</c:v>
                </c:pt>
                <c:pt idx="3">
                  <c:v>HEAD OFFICE</c:v>
                </c:pt>
              </c:strCache>
            </c:strRef>
          </c:cat>
          <c:val>
            <c:numRef>
              <c:f>Dashboard!$C$18:$C$21</c:f>
              <c:numCache>
                <c:formatCode>0</c:formatCode>
                <c:ptCount val="4"/>
                <c:pt idx="0">
                  <c:v>51</c:v>
                </c:pt>
                <c:pt idx="1">
                  <c:v>22</c:v>
                </c:pt>
                <c:pt idx="2">
                  <c:v>24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5-4A52-90DC-28F5B64AF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72935"/>
        <c:axId val="23103289"/>
      </c:barChart>
      <c:catAx>
        <c:axId val="34172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103289"/>
        <c:crosses val="autoZero"/>
        <c:auto val="1"/>
        <c:lblAlgn val="ctr"/>
        <c:lblOffset val="100"/>
        <c:noMultiLvlLbl val="0"/>
      </c:catAx>
      <c:valAx>
        <c:axId val="231032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1729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5</xdr:col>
      <xdr:colOff>747360</xdr:colOff>
      <xdr:row>38</xdr:row>
      <xdr:rowOff>22320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23</xdr:row>
      <xdr:rowOff>0</xdr:rowOff>
    </xdr:from>
    <xdr:to>
      <xdr:col>17</xdr:col>
      <xdr:colOff>38880</xdr:colOff>
      <xdr:row>38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39</xdr:row>
      <xdr:rowOff>0</xdr:rowOff>
    </xdr:from>
    <xdr:to>
      <xdr:col>4</xdr:col>
      <xdr:colOff>1359000</xdr:colOff>
      <xdr:row>54</xdr:row>
      <xdr:rowOff>21960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I41"/>
  <sheetViews>
    <sheetView showGridLines="0" zoomScaleNormal="100" workbookViewId="0">
      <selection sqref="A1:I1"/>
    </sheetView>
  </sheetViews>
  <sheetFormatPr defaultColWidth="8.7109375" defaultRowHeight="15" x14ac:dyDescent="0.25"/>
  <cols>
    <col min="1" max="1" width="3" customWidth="1"/>
    <col min="2" max="2" width="24" customWidth="1"/>
    <col min="3" max="3" width="15" customWidth="1"/>
    <col min="4" max="4" width="3" customWidth="1"/>
    <col min="5" max="5" width="24" customWidth="1"/>
    <col min="6" max="6" width="15" customWidth="1"/>
    <col min="7" max="7" width="3" customWidth="1"/>
    <col min="8" max="8" width="24" customWidth="1"/>
    <col min="9" max="9" width="15" customWidth="1"/>
    <col min="10" max="10" width="3" customWidth="1"/>
  </cols>
  <sheetData>
    <row r="1" spans="1:9" ht="24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3" spans="1:9" ht="19.5" customHeight="1" x14ac:dyDescent="0.25">
      <c r="B3" s="26" t="s">
        <v>1</v>
      </c>
      <c r="C3" s="26"/>
      <c r="D3" s="26"/>
      <c r="E3" s="26"/>
      <c r="F3" s="26"/>
      <c r="G3" s="26"/>
      <c r="H3" s="26"/>
      <c r="I3" s="26"/>
    </row>
    <row r="4" spans="1:9" ht="25.5" customHeight="1" x14ac:dyDescent="0.25">
      <c r="B4" s="1" t="s">
        <v>2</v>
      </c>
      <c r="E4" s="1" t="s">
        <v>3</v>
      </c>
      <c r="H4" s="1" t="s">
        <v>4</v>
      </c>
    </row>
    <row r="5" spans="1:9" ht="21.75" customHeight="1" x14ac:dyDescent="0.3">
      <c r="B5" s="2">
        <f>'Compliance Summary'!C5</f>
        <v>119</v>
      </c>
      <c r="E5" s="2">
        <f>'Compliance Summary'!C6</f>
        <v>69</v>
      </c>
      <c r="H5" s="2">
        <f>'Compliance Summary'!C7</f>
        <v>4</v>
      </c>
    </row>
    <row r="7" spans="1:9" ht="25.5" customHeight="1" x14ac:dyDescent="0.25">
      <c r="B7" s="1" t="s">
        <v>5</v>
      </c>
      <c r="E7" s="1" t="s">
        <v>6</v>
      </c>
      <c r="H7" s="1" t="s">
        <v>7</v>
      </c>
    </row>
    <row r="8" spans="1:9" ht="21.75" customHeight="1" x14ac:dyDescent="0.3">
      <c r="B8" s="3">
        <f>'Compliance Summary'!C10</f>
        <v>2451862</v>
      </c>
      <c r="E8" s="3">
        <f>'Compliance Summary'!C11</f>
        <v>2454170</v>
      </c>
      <c r="H8" s="3">
        <f>'Compliance Summary'!C12</f>
        <v>2308</v>
      </c>
    </row>
    <row r="10" spans="1:9" ht="25.5" customHeight="1" x14ac:dyDescent="0.25">
      <c r="B10" s="1" t="s">
        <v>8</v>
      </c>
      <c r="E10" s="1" t="s">
        <v>9</v>
      </c>
      <c r="H10" s="1" t="s">
        <v>10</v>
      </c>
    </row>
    <row r="11" spans="1:9" ht="21.75" customHeight="1" x14ac:dyDescent="0.3">
      <c r="B11" s="3">
        <f>'PF Capping Comparison'!F132</f>
        <v>34797</v>
      </c>
      <c r="E11" s="3">
        <f>'ESI Impact Comparison'!F132</f>
        <v>74</v>
      </c>
      <c r="H11" s="3">
        <f>H8+B11+E11</f>
        <v>37179</v>
      </c>
    </row>
    <row r="13" spans="1:9" ht="25.5" customHeight="1" x14ac:dyDescent="0.25">
      <c r="B13" s="1" t="s">
        <v>11</v>
      </c>
      <c r="E13" s="1" t="s">
        <v>12</v>
      </c>
      <c r="H13" s="1" t="s">
        <v>13</v>
      </c>
    </row>
    <row r="14" spans="1:9" ht="21.75" customHeight="1" x14ac:dyDescent="0.3">
      <c r="B14" s="3">
        <f>(H8+B11+E11)*12</f>
        <v>446148</v>
      </c>
      <c r="E14" s="3">
        <f>'Compliance Summary'!C16</f>
        <v>2619976</v>
      </c>
      <c r="H14" s="2">
        <f>'Compliance Summary'!C24</f>
        <v>119</v>
      </c>
    </row>
    <row r="16" spans="1:9" ht="19.5" customHeight="1" x14ac:dyDescent="0.25">
      <c r="B16" s="26" t="s">
        <v>14</v>
      </c>
      <c r="C16" s="26"/>
      <c r="D16" s="26"/>
      <c r="E16" s="26"/>
      <c r="F16" s="26"/>
      <c r="G16" s="26"/>
      <c r="H16" s="26"/>
      <c r="I16" s="26"/>
    </row>
    <row r="17" spans="2:8" ht="27.75" customHeight="1" x14ac:dyDescent="0.25">
      <c r="B17" s="4" t="s">
        <v>15</v>
      </c>
      <c r="C17" s="4" t="s">
        <v>16</v>
      </c>
      <c r="D17" s="4" t="s">
        <v>17</v>
      </c>
      <c r="E17" s="4" t="s">
        <v>18</v>
      </c>
      <c r="F17" s="4" t="s">
        <v>19</v>
      </c>
      <c r="G17" s="4" t="s">
        <v>20</v>
      </c>
      <c r="H17" s="4" t="s">
        <v>21</v>
      </c>
    </row>
    <row r="18" spans="2:8" x14ac:dyDescent="0.25">
      <c r="B18" s="5" t="s">
        <v>22</v>
      </c>
      <c r="C18" s="6">
        <f>COUNTIF('Salary Sheet - WB Compliant'!C7:C125,B18)</f>
        <v>51</v>
      </c>
      <c r="D18" s="7">
        <f>SUMIF('Salary Sheet - WB Compliant'!C7:C125,B18,'Salary Sheet - WB Compliant'!O7:O125)</f>
        <v>928275</v>
      </c>
      <c r="E18" s="7">
        <f>SUMIF('Salary Sheet - WB Compliant'!C7:C125,B18,'Salary Sheet - WB Compliant'!Y7:Y125)</f>
        <v>929729</v>
      </c>
      <c r="F18" s="7">
        <f>E18-D18</f>
        <v>1454</v>
      </c>
      <c r="G18" s="7">
        <f>SUMIF('Salary Sheet - WB Compliant'!C7:C125,B18,'Salary Sheet - WB Compliant'!AE7:AE125)</f>
        <v>64496</v>
      </c>
      <c r="H18" s="7">
        <f>SUMIF('Salary Sheet - WB Compliant'!C7:C125,B18,'Salary Sheet - WB Compliant'!AH7:AH125)</f>
        <v>24067</v>
      </c>
    </row>
    <row r="19" spans="2:8" x14ac:dyDescent="0.25">
      <c r="B19" s="5" t="s">
        <v>23</v>
      </c>
      <c r="C19" s="6">
        <f>COUNTIF('Salary Sheet - WB Compliant'!C7:C125,B19)</f>
        <v>22</v>
      </c>
      <c r="D19" s="7">
        <f>SUMIF('Salary Sheet - WB Compliant'!C7:C125,B19,'Salary Sheet - WB Compliant'!O7:O125)</f>
        <v>410075</v>
      </c>
      <c r="E19" s="7">
        <f>SUMIF('Salary Sheet - WB Compliant'!C7:C125,B19,'Salary Sheet - WB Compliant'!Y7:Y125)</f>
        <v>410075</v>
      </c>
      <c r="F19" s="7">
        <f>E19-D19</f>
        <v>0</v>
      </c>
      <c r="G19" s="7">
        <f>SUMIF('Salary Sheet - WB Compliant'!C7:C125,B19,'Salary Sheet - WB Compliant'!AE7:AE125)</f>
        <v>20398</v>
      </c>
      <c r="H19" s="7">
        <f>SUMIF('Salary Sheet - WB Compliant'!C7:C125,B19,'Salary Sheet - WB Compliant'!AH7:AH125)</f>
        <v>10439</v>
      </c>
    </row>
    <row r="20" spans="2:8" x14ac:dyDescent="0.25">
      <c r="B20" s="5" t="s">
        <v>24</v>
      </c>
      <c r="C20" s="6">
        <f>COUNTIF('Salary Sheet - WB Compliant'!C7:C125,B20)</f>
        <v>24</v>
      </c>
      <c r="D20" s="7">
        <f>SUMIF('Salary Sheet - WB Compliant'!C7:C125,B20,'Salary Sheet - WB Compliant'!O7:O125)</f>
        <v>490900</v>
      </c>
      <c r="E20" s="7">
        <f>SUMIF('Salary Sheet - WB Compliant'!C7:C125,B20,'Salary Sheet - WB Compliant'!Y7:Y125)</f>
        <v>490900</v>
      </c>
      <c r="F20" s="7">
        <f>E20-D20</f>
        <v>0</v>
      </c>
      <c r="G20" s="7">
        <f>SUMIF('Salary Sheet - WB Compliant'!C7:C125,B20,'Salary Sheet - WB Compliant'!AE7:AE125)</f>
        <v>14532</v>
      </c>
      <c r="H20" s="7">
        <f>SUMIF('Salary Sheet - WB Compliant'!C7:C125,B20,'Salary Sheet - WB Compliant'!AH7:AH125)</f>
        <v>5613</v>
      </c>
    </row>
    <row r="21" spans="2:8" x14ac:dyDescent="0.25">
      <c r="B21" s="5" t="s">
        <v>25</v>
      </c>
      <c r="C21" s="6">
        <f>COUNTIF('Salary Sheet - WB Compliant'!C7:C125,B21)</f>
        <v>22</v>
      </c>
      <c r="D21" s="7">
        <f>SUMIF('Salary Sheet - WB Compliant'!C7:C125,B21,'Salary Sheet - WB Compliant'!O7:O125)</f>
        <v>622612</v>
      </c>
      <c r="E21" s="7">
        <f>SUMIF('Salary Sheet - WB Compliant'!C7:C125,B21,'Salary Sheet - WB Compliant'!Y7:Y125)</f>
        <v>623466</v>
      </c>
      <c r="F21" s="7">
        <f>E21-D21</f>
        <v>854</v>
      </c>
      <c r="G21" s="7">
        <f>SUMIF('Salary Sheet - WB Compliant'!C7:C125,B21,'Salary Sheet - WB Compliant'!AE7:AE125)</f>
        <v>23238</v>
      </c>
      <c r="H21" s="7">
        <f>SUMIF('Salary Sheet - WB Compliant'!C7:C125,B21,'Salary Sheet - WB Compliant'!AH7:AH125)</f>
        <v>3023</v>
      </c>
    </row>
    <row r="22" spans="2:8" x14ac:dyDescent="0.25">
      <c r="B22" s="8" t="s">
        <v>26</v>
      </c>
      <c r="C22" s="9">
        <f t="shared" ref="C22:H22" si="0">SUM(C18:C21)</f>
        <v>119</v>
      </c>
      <c r="D22" s="10">
        <f t="shared" si="0"/>
        <v>2451862</v>
      </c>
      <c r="E22" s="10">
        <f t="shared" si="0"/>
        <v>2454170</v>
      </c>
      <c r="F22" s="10">
        <f t="shared" si="0"/>
        <v>2308</v>
      </c>
      <c r="G22" s="10">
        <f t="shared" si="0"/>
        <v>122664</v>
      </c>
      <c r="H22" s="10">
        <f t="shared" si="0"/>
        <v>43142</v>
      </c>
    </row>
    <row r="38" spans="2:3" x14ac:dyDescent="0.25">
      <c r="B38" t="s">
        <v>27</v>
      </c>
      <c r="C38" t="s">
        <v>28</v>
      </c>
    </row>
    <row r="39" spans="2:3" x14ac:dyDescent="0.25">
      <c r="B39" s="11" t="s">
        <v>29</v>
      </c>
      <c r="C39" s="12">
        <f>H8</f>
        <v>2308</v>
      </c>
    </row>
    <row r="40" spans="2:3" x14ac:dyDescent="0.25">
      <c r="B40" s="11" t="s">
        <v>30</v>
      </c>
      <c r="C40" s="12">
        <f>'PF Capping Comparison'!F132</f>
        <v>34797</v>
      </c>
    </row>
    <row r="41" spans="2:3" x14ac:dyDescent="0.25">
      <c r="B41" s="11" t="s">
        <v>31</v>
      </c>
      <c r="C41" s="12">
        <f>'ESI Impact Comparison'!F132</f>
        <v>74</v>
      </c>
    </row>
  </sheetData>
  <mergeCells count="3">
    <mergeCell ref="A1:I1"/>
    <mergeCell ref="B3:I3"/>
    <mergeCell ref="B16:I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D40"/>
  <sheetViews>
    <sheetView showGridLines="0" zoomScaleNormal="100" workbookViewId="0">
      <selection sqref="A1:D1"/>
    </sheetView>
  </sheetViews>
  <sheetFormatPr defaultColWidth="8.7109375" defaultRowHeight="15" x14ac:dyDescent="0.25"/>
  <cols>
    <col min="1" max="1" width="3" customWidth="1"/>
    <col min="2" max="2" width="46" customWidth="1"/>
    <col min="3" max="3" width="18" customWidth="1"/>
    <col min="4" max="4" width="3" customWidth="1"/>
  </cols>
  <sheetData>
    <row r="1" spans="1:4" ht="24" customHeight="1" x14ac:dyDescent="0.25">
      <c r="A1" s="25" t="s">
        <v>32</v>
      </c>
      <c r="B1" s="25"/>
      <c r="C1" s="25"/>
      <c r="D1" s="25"/>
    </row>
    <row r="4" spans="1:4" x14ac:dyDescent="0.25">
      <c r="B4" s="29" t="s">
        <v>33</v>
      </c>
      <c r="C4" s="29"/>
    </row>
    <row r="5" spans="1:4" ht="18" customHeight="1" x14ac:dyDescent="0.25">
      <c r="B5" s="13" t="s">
        <v>2</v>
      </c>
      <c r="C5" s="14">
        <f>COUNTA('Salary Sheet - WB Compliant'!E7:E125)</f>
        <v>119</v>
      </c>
    </row>
    <row r="6" spans="1:4" ht="18" customHeight="1" x14ac:dyDescent="0.25">
      <c r="B6" s="13" t="s">
        <v>34</v>
      </c>
      <c r="C6" s="14">
        <f>COUNTIF('Salary Sheet - WB Compliant'!R7:R125,"&gt;0")</f>
        <v>69</v>
      </c>
    </row>
    <row r="7" spans="1:4" ht="18" customHeight="1" x14ac:dyDescent="0.25">
      <c r="B7" s="13" t="s">
        <v>35</v>
      </c>
      <c r="C7" s="14">
        <f>COUNTIF('Salary Sheet - WB Compliant'!Z7:Z125,"YES")</f>
        <v>4</v>
      </c>
    </row>
    <row r="9" spans="1:4" x14ac:dyDescent="0.25">
      <c r="B9" s="29" t="s">
        <v>36</v>
      </c>
      <c r="C9" s="29"/>
    </row>
    <row r="10" spans="1:4" ht="18" customHeight="1" x14ac:dyDescent="0.25">
      <c r="B10" s="13" t="s">
        <v>37</v>
      </c>
      <c r="C10" s="15">
        <f>SUM('Salary Sheet - WB Compliant'!O7:O125)</f>
        <v>2451862</v>
      </c>
    </row>
    <row r="11" spans="1:4" ht="18" customHeight="1" x14ac:dyDescent="0.25">
      <c r="B11" s="13" t="s">
        <v>38</v>
      </c>
      <c r="C11" s="15">
        <f>SUM('Salary Sheet - WB Compliant'!Y7:Y125)</f>
        <v>2454170</v>
      </c>
    </row>
    <row r="12" spans="1:4" ht="18" customHeight="1" x14ac:dyDescent="0.25">
      <c r="B12" s="13" t="s">
        <v>39</v>
      </c>
      <c r="C12" s="15">
        <f>C11-C10</f>
        <v>2308</v>
      </c>
    </row>
    <row r="13" spans="1:4" ht="18" customHeight="1" x14ac:dyDescent="0.25">
      <c r="B13" s="13" t="s">
        <v>40</v>
      </c>
      <c r="C13" s="15">
        <f>C12*12</f>
        <v>27696</v>
      </c>
    </row>
    <row r="14" spans="1:4" ht="18" customHeight="1" x14ac:dyDescent="0.25">
      <c r="B14" s="13" t="s">
        <v>41</v>
      </c>
      <c r="C14" s="15">
        <f>SUM('Salary Sheet - WB Compliant'!AE7:AE125)</f>
        <v>122664</v>
      </c>
    </row>
    <row r="15" spans="1:4" ht="18" customHeight="1" x14ac:dyDescent="0.25">
      <c r="B15" s="13" t="s">
        <v>42</v>
      </c>
      <c r="C15" s="15">
        <f>SUM('Salary Sheet - WB Compliant'!AH7:AH125)</f>
        <v>43142</v>
      </c>
    </row>
    <row r="16" spans="1:4" ht="18" customHeight="1" x14ac:dyDescent="0.25">
      <c r="B16" s="13" t="s">
        <v>43</v>
      </c>
      <c r="C16" s="15">
        <f>SUM('Salary Sheet - WB Compliant'!AK7:AK125)</f>
        <v>2619976</v>
      </c>
    </row>
    <row r="18" spans="2:3" x14ac:dyDescent="0.25">
      <c r="B18" s="29" t="s">
        <v>44</v>
      </c>
      <c r="C18" s="29"/>
    </row>
    <row r="19" spans="2:3" ht="18" customHeight="1" x14ac:dyDescent="0.25">
      <c r="B19" s="13" t="s">
        <v>45</v>
      </c>
      <c r="C19" s="15">
        <f>SUM('Salary Sheet - WB Compliant'!AD7:AD125)</f>
        <v>122664</v>
      </c>
    </row>
    <row r="20" spans="2:3" ht="18" customHeight="1" x14ac:dyDescent="0.25">
      <c r="B20" s="13" t="s">
        <v>46</v>
      </c>
      <c r="C20" s="15">
        <f>SUM('Salary Sheet - WB Compliant'!AG7:AG125)</f>
        <v>9968</v>
      </c>
    </row>
    <row r="21" spans="2:3" ht="18" customHeight="1" x14ac:dyDescent="0.25">
      <c r="B21" s="13" t="s">
        <v>47</v>
      </c>
      <c r="C21" s="15">
        <f>SUM('Salary Sheet - WB Compliant'!AI7:AI125)</f>
        <v>15500</v>
      </c>
    </row>
    <row r="22" spans="2:3" ht="18" customHeight="1" x14ac:dyDescent="0.25">
      <c r="B22" s="13" t="s">
        <v>48</v>
      </c>
      <c r="C22" s="14">
        <f>COUNTIF('Salary Sheet - WB Compliant'!AB7:AB125,"Y")</f>
        <v>77</v>
      </c>
    </row>
    <row r="23" spans="2:3" ht="18" customHeight="1" x14ac:dyDescent="0.25">
      <c r="B23" s="13" t="s">
        <v>49</v>
      </c>
      <c r="C23" s="14">
        <f>COUNTIF('Salary Sheet - WB Compliant'!AF7:AF125,"Y")</f>
        <v>80</v>
      </c>
    </row>
    <row r="24" spans="2:3" ht="18" customHeight="1" x14ac:dyDescent="0.25">
      <c r="B24" s="13" t="s">
        <v>50</v>
      </c>
      <c r="C24" s="14">
        <f>COUNTIF('Salary Sheet - WB Compliant'!AI7:AI125,"&gt;0")</f>
        <v>119</v>
      </c>
    </row>
    <row r="26" spans="2:3" x14ac:dyDescent="0.25">
      <c r="B26" s="29" t="s">
        <v>51</v>
      </c>
      <c r="C26" s="29"/>
    </row>
    <row r="27" spans="2:3" x14ac:dyDescent="0.25">
      <c r="B27" s="28" t="s">
        <v>52</v>
      </c>
      <c r="C27" s="28"/>
    </row>
    <row r="28" spans="2:3" x14ac:dyDescent="0.25">
      <c r="B28" s="28" t="s">
        <v>53</v>
      </c>
      <c r="C28" s="28"/>
    </row>
    <row r="29" spans="2:3" x14ac:dyDescent="0.25">
      <c r="B29" s="28" t="s">
        <v>54</v>
      </c>
      <c r="C29" s="28"/>
    </row>
    <row r="30" spans="2:3" x14ac:dyDescent="0.25">
      <c r="B30" s="28" t="s">
        <v>55</v>
      </c>
      <c r="C30" s="28"/>
    </row>
    <row r="31" spans="2:3" x14ac:dyDescent="0.25">
      <c r="B31" s="28" t="s">
        <v>56</v>
      </c>
      <c r="C31" s="28"/>
    </row>
    <row r="32" spans="2:3" x14ac:dyDescent="0.25">
      <c r="B32" s="28" t="s">
        <v>57</v>
      </c>
      <c r="C32" s="28"/>
    </row>
    <row r="33" spans="2:3" x14ac:dyDescent="0.25">
      <c r="B33" s="28" t="s">
        <v>58</v>
      </c>
      <c r="C33" s="28"/>
    </row>
    <row r="34" spans="2:3" x14ac:dyDescent="0.25">
      <c r="B34" s="28" t="s">
        <v>59</v>
      </c>
      <c r="C34" s="28"/>
    </row>
    <row r="35" spans="2:3" x14ac:dyDescent="0.25">
      <c r="B35" s="28" t="s">
        <v>60</v>
      </c>
      <c r="C35" s="28"/>
    </row>
    <row r="36" spans="2:3" x14ac:dyDescent="0.25">
      <c r="B36" s="28" t="s">
        <v>61</v>
      </c>
      <c r="C36" s="28"/>
    </row>
    <row r="38" spans="2:3" x14ac:dyDescent="0.25">
      <c r="B38" s="27" t="s">
        <v>62</v>
      </c>
      <c r="C38" s="27"/>
    </row>
    <row r="39" spans="2:3" x14ac:dyDescent="0.25">
      <c r="B39" s="27"/>
      <c r="C39" s="27"/>
    </row>
    <row r="40" spans="2:3" x14ac:dyDescent="0.25">
      <c r="B40" s="27"/>
      <c r="C40" s="27"/>
    </row>
  </sheetData>
  <mergeCells count="16">
    <mergeCell ref="A1:D1"/>
    <mergeCell ref="B4:C4"/>
    <mergeCell ref="B9:C9"/>
    <mergeCell ref="B18:C18"/>
    <mergeCell ref="B26:C26"/>
    <mergeCell ref="B27:C27"/>
    <mergeCell ref="B28:C28"/>
    <mergeCell ref="B29:C29"/>
    <mergeCell ref="B30:C30"/>
    <mergeCell ref="B31:C31"/>
    <mergeCell ref="B38:C40"/>
    <mergeCell ref="B32:C32"/>
    <mergeCell ref="B33:C33"/>
    <mergeCell ref="B34:C34"/>
    <mergeCell ref="B35:C35"/>
    <mergeCell ref="B36:C3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A1:AK126"/>
  <sheetViews>
    <sheetView showGridLines="0" tabSelected="1" zoomScaleNormal="100" workbookViewId="0">
      <pane xSplit="5" ySplit="6" topLeftCell="U16" activePane="bottomRight" state="frozen"/>
      <selection pane="topRight" activeCell="F1" sqref="F1"/>
      <selection pane="bottomLeft" activeCell="A7" sqref="A7"/>
      <selection pane="bottomRight" activeCell="AA26" sqref="AA26"/>
    </sheetView>
  </sheetViews>
  <sheetFormatPr defaultColWidth="8.7109375" defaultRowHeight="15" x14ac:dyDescent="0.25"/>
  <cols>
    <col min="1" max="1" width="5" customWidth="1"/>
    <col min="2" max="2" width="7" customWidth="1"/>
    <col min="3" max="3" width="10" customWidth="1"/>
    <col min="4" max="4" width="13" customWidth="1"/>
    <col min="5" max="5" width="20" customWidth="1"/>
    <col min="6" max="6" width="10" customWidth="1"/>
    <col min="7" max="8" width="8" customWidth="1"/>
    <col min="9" max="12" width="7" customWidth="1"/>
    <col min="13" max="13" width="8" customWidth="1"/>
    <col min="14" max="14" width="7" customWidth="1"/>
    <col min="15" max="15" width="8" customWidth="1"/>
    <col min="16" max="17" width="9" customWidth="1"/>
    <col min="18" max="24" width="8" customWidth="1"/>
    <col min="25" max="25" width="9" customWidth="1"/>
    <col min="26" max="26" width="7" customWidth="1"/>
    <col min="27" max="27" width="8" customWidth="1"/>
    <col min="28" max="28" width="7" customWidth="1"/>
    <col min="29" max="31" width="8" customWidth="1"/>
    <col min="32" max="32" width="7" customWidth="1"/>
    <col min="33" max="34" width="8" customWidth="1"/>
    <col min="35" max="36" width="9" customWidth="1"/>
    <col min="37" max="37" width="10" customWidth="1"/>
  </cols>
  <sheetData>
    <row r="1" spans="1:37" ht="24" customHeight="1" x14ac:dyDescent="0.25">
      <c r="A1" s="25" t="s">
        <v>106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</row>
    <row r="3" spans="1:37" ht="13.5" customHeight="1" x14ac:dyDescent="0.25">
      <c r="A3" s="28" t="s">
        <v>107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</row>
    <row r="4" spans="1:37" ht="13.5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</row>
    <row r="6" spans="1:37" ht="42" customHeight="1" x14ac:dyDescent="0.25">
      <c r="A6" s="17" t="s">
        <v>65</v>
      </c>
      <c r="B6" s="17" t="s">
        <v>108</v>
      </c>
      <c r="C6" s="17" t="s">
        <v>109</v>
      </c>
      <c r="D6" s="17" t="s">
        <v>67</v>
      </c>
      <c r="E6" s="17" t="s">
        <v>66</v>
      </c>
      <c r="F6" s="17" t="s">
        <v>110</v>
      </c>
      <c r="G6" s="17" t="s">
        <v>111</v>
      </c>
      <c r="H6" s="17" t="s">
        <v>112</v>
      </c>
      <c r="I6" s="17" t="s">
        <v>113</v>
      </c>
      <c r="J6" s="17" t="s">
        <v>114</v>
      </c>
      <c r="K6" s="17" t="s">
        <v>115</v>
      </c>
      <c r="L6" s="17" t="s">
        <v>116</v>
      </c>
      <c r="M6" s="17" t="s">
        <v>117</v>
      </c>
      <c r="N6" s="17" t="s">
        <v>118</v>
      </c>
      <c r="O6" s="17" t="s">
        <v>119</v>
      </c>
      <c r="P6" s="17" t="s">
        <v>120</v>
      </c>
      <c r="Q6" s="17" t="s">
        <v>121</v>
      </c>
      <c r="R6" s="17" t="s">
        <v>122</v>
      </c>
      <c r="S6" s="17" t="s">
        <v>123</v>
      </c>
      <c r="T6" s="17" t="s">
        <v>124</v>
      </c>
      <c r="U6" s="17" t="s">
        <v>125</v>
      </c>
      <c r="V6" s="17" t="s">
        <v>126</v>
      </c>
      <c r="W6" s="17" t="s">
        <v>127</v>
      </c>
      <c r="X6" s="17" t="s">
        <v>128</v>
      </c>
      <c r="Y6" s="17" t="s">
        <v>129</v>
      </c>
      <c r="Z6" s="17" t="s">
        <v>130</v>
      </c>
      <c r="AA6" s="17" t="s">
        <v>131</v>
      </c>
      <c r="AB6" s="17" t="s">
        <v>68</v>
      </c>
      <c r="AC6" s="17" t="s">
        <v>132</v>
      </c>
      <c r="AD6" s="17" t="s">
        <v>133</v>
      </c>
      <c r="AE6" s="17" t="s">
        <v>134</v>
      </c>
      <c r="AF6" s="17" t="s">
        <v>135</v>
      </c>
      <c r="AG6" s="17" t="s">
        <v>136</v>
      </c>
      <c r="AH6" s="17" t="s">
        <v>137</v>
      </c>
      <c r="AI6" s="17" t="s">
        <v>138</v>
      </c>
      <c r="AJ6" s="17" t="s">
        <v>139</v>
      </c>
      <c r="AK6" s="17" t="s">
        <v>140</v>
      </c>
    </row>
    <row r="7" spans="1:37" x14ac:dyDescent="0.25">
      <c r="A7" s="6">
        <v>1</v>
      </c>
      <c r="B7" s="5" t="s">
        <v>141</v>
      </c>
      <c r="C7" s="5" t="s">
        <v>22</v>
      </c>
      <c r="D7" s="5" t="s">
        <v>142</v>
      </c>
      <c r="E7" s="18" t="s">
        <v>143</v>
      </c>
      <c r="F7" s="5" t="str">
        <f t="shared" ref="F7:F38" si="0">VLOOKUP(D7,SkillMap,2,0)</f>
        <v>Skilled</v>
      </c>
      <c r="G7" s="7">
        <f t="shared" ref="G7:G38" si="1">VLOOKUP(F7,MinWageTable,2,0)</f>
        <v>12777</v>
      </c>
      <c r="H7" s="7">
        <v>9125</v>
      </c>
      <c r="I7" s="7">
        <v>6325</v>
      </c>
      <c r="J7" s="7">
        <v>4550</v>
      </c>
      <c r="K7" s="7">
        <v>0</v>
      </c>
      <c r="L7" s="7">
        <v>0</v>
      </c>
      <c r="M7" s="7">
        <f t="shared" ref="M7:M38" si="2">SUM(H7:L7)</f>
        <v>20000</v>
      </c>
      <c r="N7" s="7">
        <v>0</v>
      </c>
      <c r="O7" s="7">
        <f t="shared" ref="O7:O38" si="3">M7+N7</f>
        <v>20000</v>
      </c>
      <c r="P7" s="7">
        <f t="shared" ref="P7:P38" si="4">MAX(G7,0.5*O7)</f>
        <v>12777</v>
      </c>
      <c r="Q7" s="7">
        <f t="shared" ref="Q7:Q38" si="5">MAX(H7,P7)</f>
        <v>12777</v>
      </c>
      <c r="R7" s="7">
        <f t="shared" ref="R7:R38" si="6">Q7-H7</f>
        <v>3652</v>
      </c>
      <c r="S7" s="7">
        <f t="shared" ref="S7:S38" si="7">SUM(I7:L7)</f>
        <v>10875</v>
      </c>
      <c r="T7" s="7">
        <f t="shared" ref="T7:T38" si="8">IF(S7=0,I7,I7-MIN(R7,S7)*(I7/S7))</f>
        <v>4200.9632183908052</v>
      </c>
      <c r="U7" s="7">
        <f t="shared" ref="U7:U38" si="9">IF(S7=0,J7,J7-MIN(R7,S7)*(J7/S7))</f>
        <v>3022.0367816091953</v>
      </c>
      <c r="V7" s="7">
        <f t="shared" ref="V7:V38" si="10">IF(S7=0,K7,K7-MIN(R7,S7)*(K7/S7))</f>
        <v>0</v>
      </c>
      <c r="W7" s="7">
        <f t="shared" ref="W7:W38" si="11">IF(S7=0,L7,L7-MIN(R7,S7)*(L7/S7))</f>
        <v>0</v>
      </c>
      <c r="X7" s="7">
        <f t="shared" ref="X7:X38" si="12">Q7+SUM(T7:W7)</f>
        <v>20000</v>
      </c>
      <c r="Y7" s="7">
        <f t="shared" ref="Y7:Y38" si="13">X7+N7</f>
        <v>20000</v>
      </c>
      <c r="Z7" s="5" t="str">
        <f t="shared" ref="Z7:Z38" si="14">IF(Y7&gt;O7,"YES","No")</f>
        <v>No</v>
      </c>
      <c r="AA7" s="7">
        <f t="shared" ref="AA7:AA38" si="15">MAX(Y7-O7,0)</f>
        <v>0</v>
      </c>
      <c r="AB7" s="19" t="s">
        <v>144</v>
      </c>
      <c r="AC7" s="7">
        <f t="shared" ref="AC7:AC38" si="16">Q7</f>
        <v>12777</v>
      </c>
      <c r="AD7" s="7">
        <f t="shared" ref="AD7:AD38" si="17">IF(AB7="Y",ROUND(AC7*12%,0),0)</f>
        <v>1533</v>
      </c>
      <c r="AE7" s="7">
        <f t="shared" ref="AE7:AE38" si="18">IF(AB7="Y",ROUND(AC7*12%,0),0)</f>
        <v>1533</v>
      </c>
      <c r="AF7" s="5" t="str">
        <f t="shared" ref="AF7:AF38" si="19">IF(Y7&lt;=21000,"Y","N")</f>
        <v>Y</v>
      </c>
      <c r="AG7" s="7">
        <f t="shared" ref="AG7:AG38" si="20">IF(AF7="Y",ROUND(Y7*0.75%,0),0)</f>
        <v>150</v>
      </c>
      <c r="AH7" s="7">
        <f t="shared" ref="AH7:AH38" si="21">IF(AF7="Y",ROUND(Y7*3.25%,0),0)</f>
        <v>650</v>
      </c>
      <c r="AI7" s="7">
        <f t="shared" ref="AI7:AI38" si="22">IF(Y7&lt;=10000,0,IF(Y7&lt;=15000,110,IF(Y7&lt;=25000,130,IF(Y7&lt;=40000,150,200))))</f>
        <v>130</v>
      </c>
      <c r="AJ7" s="7">
        <f t="shared" ref="AJ7:AJ38" si="23">Y7-AD7-AG7-AI7</f>
        <v>18187</v>
      </c>
      <c r="AK7" s="7">
        <f t="shared" ref="AK7:AK38" si="24">Y7+AE7+AH7</f>
        <v>22183</v>
      </c>
    </row>
    <row r="8" spans="1:37" x14ac:dyDescent="0.25">
      <c r="A8" s="6">
        <v>2</v>
      </c>
      <c r="B8" s="5" t="s">
        <v>145</v>
      </c>
      <c r="C8" s="5" t="s">
        <v>22</v>
      </c>
      <c r="D8" s="5" t="s">
        <v>142</v>
      </c>
      <c r="E8" s="18" t="s">
        <v>146</v>
      </c>
      <c r="F8" s="5" t="str">
        <f t="shared" si="0"/>
        <v>Skilled</v>
      </c>
      <c r="G8" s="7">
        <f t="shared" si="1"/>
        <v>12777</v>
      </c>
      <c r="H8" s="7">
        <v>11100</v>
      </c>
      <c r="I8" s="7">
        <v>8500</v>
      </c>
      <c r="J8" s="7">
        <v>8900</v>
      </c>
      <c r="K8" s="7">
        <v>0</v>
      </c>
      <c r="L8" s="7">
        <v>0</v>
      </c>
      <c r="M8" s="7">
        <f t="shared" si="2"/>
        <v>28500</v>
      </c>
      <c r="N8" s="7">
        <v>0</v>
      </c>
      <c r="O8" s="7">
        <f t="shared" si="3"/>
        <v>28500</v>
      </c>
      <c r="P8" s="7">
        <f t="shared" si="4"/>
        <v>14250</v>
      </c>
      <c r="Q8" s="7">
        <f t="shared" si="5"/>
        <v>14250</v>
      </c>
      <c r="R8" s="7">
        <f t="shared" si="6"/>
        <v>3150</v>
      </c>
      <c r="S8" s="7">
        <f t="shared" si="7"/>
        <v>17400</v>
      </c>
      <c r="T8" s="7">
        <f t="shared" si="8"/>
        <v>6961.2068965517246</v>
      </c>
      <c r="U8" s="7">
        <f t="shared" si="9"/>
        <v>7288.7931034482754</v>
      </c>
      <c r="V8" s="7">
        <f t="shared" si="10"/>
        <v>0</v>
      </c>
      <c r="W8" s="7">
        <f t="shared" si="11"/>
        <v>0</v>
      </c>
      <c r="X8" s="7">
        <f t="shared" si="12"/>
        <v>28500</v>
      </c>
      <c r="Y8" s="7">
        <f t="shared" si="13"/>
        <v>28500</v>
      </c>
      <c r="Z8" s="5" t="str">
        <f t="shared" si="14"/>
        <v>No</v>
      </c>
      <c r="AA8" s="7">
        <f t="shared" si="15"/>
        <v>0</v>
      </c>
      <c r="AB8" s="19" t="s">
        <v>144</v>
      </c>
      <c r="AC8" s="7">
        <f t="shared" si="16"/>
        <v>14250</v>
      </c>
      <c r="AD8" s="7">
        <f t="shared" si="17"/>
        <v>1710</v>
      </c>
      <c r="AE8" s="7">
        <f t="shared" si="18"/>
        <v>1710</v>
      </c>
      <c r="AF8" s="5" t="str">
        <f t="shared" si="19"/>
        <v>N</v>
      </c>
      <c r="AG8" s="7">
        <f t="shared" si="20"/>
        <v>0</v>
      </c>
      <c r="AH8" s="7">
        <f t="shared" si="21"/>
        <v>0</v>
      </c>
      <c r="AI8" s="7">
        <f t="shared" si="22"/>
        <v>150</v>
      </c>
      <c r="AJ8" s="7">
        <f t="shared" si="23"/>
        <v>26640</v>
      </c>
      <c r="AK8" s="7">
        <f t="shared" si="24"/>
        <v>30210</v>
      </c>
    </row>
    <row r="9" spans="1:37" x14ac:dyDescent="0.25">
      <c r="A9" s="6">
        <v>3</v>
      </c>
      <c r="B9" s="5" t="s">
        <v>147</v>
      </c>
      <c r="C9" s="5" t="s">
        <v>22</v>
      </c>
      <c r="D9" s="5" t="s">
        <v>142</v>
      </c>
      <c r="E9" s="18" t="s">
        <v>148</v>
      </c>
      <c r="F9" s="5" t="str">
        <f t="shared" si="0"/>
        <v>Skilled</v>
      </c>
      <c r="G9" s="7">
        <f t="shared" si="1"/>
        <v>12777</v>
      </c>
      <c r="H9" s="7">
        <v>11700</v>
      </c>
      <c r="I9" s="7">
        <v>6200</v>
      </c>
      <c r="J9" s="7">
        <v>4600</v>
      </c>
      <c r="K9" s="7">
        <v>0</v>
      </c>
      <c r="L9" s="7">
        <v>0</v>
      </c>
      <c r="M9" s="7">
        <f t="shared" si="2"/>
        <v>22500</v>
      </c>
      <c r="N9" s="7">
        <v>0</v>
      </c>
      <c r="O9" s="7">
        <f t="shared" si="3"/>
        <v>22500</v>
      </c>
      <c r="P9" s="7">
        <f t="shared" si="4"/>
        <v>12777</v>
      </c>
      <c r="Q9" s="7">
        <f t="shared" si="5"/>
        <v>12777</v>
      </c>
      <c r="R9" s="7">
        <f t="shared" si="6"/>
        <v>1077</v>
      </c>
      <c r="S9" s="7">
        <f t="shared" si="7"/>
        <v>10800</v>
      </c>
      <c r="T9" s="7">
        <f t="shared" si="8"/>
        <v>5581.7222222222226</v>
      </c>
      <c r="U9" s="7">
        <f t="shared" si="9"/>
        <v>4141.2777777777774</v>
      </c>
      <c r="V9" s="7">
        <f t="shared" si="10"/>
        <v>0</v>
      </c>
      <c r="W9" s="7">
        <f t="shared" si="11"/>
        <v>0</v>
      </c>
      <c r="X9" s="7">
        <f t="shared" si="12"/>
        <v>22500</v>
      </c>
      <c r="Y9" s="7">
        <f t="shared" si="13"/>
        <v>22500</v>
      </c>
      <c r="Z9" s="5" t="str">
        <f t="shared" si="14"/>
        <v>No</v>
      </c>
      <c r="AA9" s="7">
        <f t="shared" si="15"/>
        <v>0</v>
      </c>
      <c r="AB9" s="19" t="s">
        <v>144</v>
      </c>
      <c r="AC9" s="7">
        <f t="shared" si="16"/>
        <v>12777</v>
      </c>
      <c r="AD9" s="7">
        <f t="shared" si="17"/>
        <v>1533</v>
      </c>
      <c r="AE9" s="7">
        <f t="shared" si="18"/>
        <v>1533</v>
      </c>
      <c r="AF9" s="5" t="str">
        <f t="shared" si="19"/>
        <v>N</v>
      </c>
      <c r="AG9" s="7">
        <f t="shared" si="20"/>
        <v>0</v>
      </c>
      <c r="AH9" s="7">
        <f t="shared" si="21"/>
        <v>0</v>
      </c>
      <c r="AI9" s="7">
        <f t="shared" si="22"/>
        <v>130</v>
      </c>
      <c r="AJ9" s="7">
        <f t="shared" si="23"/>
        <v>20837</v>
      </c>
      <c r="AK9" s="7">
        <f t="shared" si="24"/>
        <v>24033</v>
      </c>
    </row>
    <row r="10" spans="1:37" x14ac:dyDescent="0.25">
      <c r="A10" s="6">
        <v>4</v>
      </c>
      <c r="B10" s="5" t="s">
        <v>149</v>
      </c>
      <c r="C10" s="5" t="s">
        <v>22</v>
      </c>
      <c r="D10" s="5" t="s">
        <v>142</v>
      </c>
      <c r="E10" s="18" t="s">
        <v>150</v>
      </c>
      <c r="F10" s="5" t="str">
        <f t="shared" si="0"/>
        <v>Skilled</v>
      </c>
      <c r="G10" s="7">
        <f t="shared" si="1"/>
        <v>12777</v>
      </c>
      <c r="H10" s="7">
        <v>8200</v>
      </c>
      <c r="I10" s="7">
        <v>8150</v>
      </c>
      <c r="J10" s="7">
        <v>8150</v>
      </c>
      <c r="K10" s="7">
        <v>0</v>
      </c>
      <c r="L10" s="7">
        <v>0</v>
      </c>
      <c r="M10" s="7">
        <f t="shared" si="2"/>
        <v>24500</v>
      </c>
      <c r="N10" s="7">
        <v>0</v>
      </c>
      <c r="O10" s="7">
        <f t="shared" si="3"/>
        <v>24500</v>
      </c>
      <c r="P10" s="7">
        <f t="shared" si="4"/>
        <v>12777</v>
      </c>
      <c r="Q10" s="7">
        <f t="shared" si="5"/>
        <v>12777</v>
      </c>
      <c r="R10" s="7">
        <f t="shared" si="6"/>
        <v>4577</v>
      </c>
      <c r="S10" s="7">
        <f t="shared" si="7"/>
        <v>16300</v>
      </c>
      <c r="T10" s="7">
        <f t="shared" si="8"/>
        <v>5861.5</v>
      </c>
      <c r="U10" s="7">
        <f t="shared" si="9"/>
        <v>5861.5</v>
      </c>
      <c r="V10" s="7">
        <f t="shared" si="10"/>
        <v>0</v>
      </c>
      <c r="W10" s="7">
        <f t="shared" si="11"/>
        <v>0</v>
      </c>
      <c r="X10" s="7">
        <f t="shared" si="12"/>
        <v>24500</v>
      </c>
      <c r="Y10" s="7">
        <f t="shared" si="13"/>
        <v>24500</v>
      </c>
      <c r="Z10" s="5" t="str">
        <f t="shared" si="14"/>
        <v>No</v>
      </c>
      <c r="AA10" s="7">
        <f t="shared" si="15"/>
        <v>0</v>
      </c>
      <c r="AB10" s="19" t="s">
        <v>144</v>
      </c>
      <c r="AC10" s="7">
        <f t="shared" si="16"/>
        <v>12777</v>
      </c>
      <c r="AD10" s="7">
        <f t="shared" si="17"/>
        <v>1533</v>
      </c>
      <c r="AE10" s="7">
        <f t="shared" si="18"/>
        <v>1533</v>
      </c>
      <c r="AF10" s="5" t="str">
        <f t="shared" si="19"/>
        <v>N</v>
      </c>
      <c r="AG10" s="7">
        <f t="shared" si="20"/>
        <v>0</v>
      </c>
      <c r="AH10" s="7">
        <f t="shared" si="21"/>
        <v>0</v>
      </c>
      <c r="AI10" s="7">
        <f t="shared" si="22"/>
        <v>130</v>
      </c>
      <c r="AJ10" s="7">
        <f t="shared" si="23"/>
        <v>22837</v>
      </c>
      <c r="AK10" s="7">
        <f t="shared" si="24"/>
        <v>26033</v>
      </c>
    </row>
    <row r="11" spans="1:37" x14ac:dyDescent="0.25">
      <c r="A11" s="6">
        <v>5</v>
      </c>
      <c r="B11" s="5" t="s">
        <v>151</v>
      </c>
      <c r="C11" s="5" t="s">
        <v>22</v>
      </c>
      <c r="D11" s="5" t="s">
        <v>142</v>
      </c>
      <c r="E11" s="18" t="s">
        <v>152</v>
      </c>
      <c r="F11" s="5" t="str">
        <f t="shared" si="0"/>
        <v>Skilled</v>
      </c>
      <c r="G11" s="7">
        <f t="shared" si="1"/>
        <v>12777</v>
      </c>
      <c r="H11" s="7">
        <v>7100</v>
      </c>
      <c r="I11" s="7">
        <v>3400</v>
      </c>
      <c r="J11" s="7">
        <v>3500</v>
      </c>
      <c r="K11" s="7">
        <v>0</v>
      </c>
      <c r="L11" s="7">
        <v>0</v>
      </c>
      <c r="M11" s="7">
        <f t="shared" si="2"/>
        <v>14000</v>
      </c>
      <c r="N11" s="7">
        <v>0</v>
      </c>
      <c r="O11" s="7">
        <f t="shared" si="3"/>
        <v>14000</v>
      </c>
      <c r="P11" s="7">
        <f t="shared" si="4"/>
        <v>12777</v>
      </c>
      <c r="Q11" s="7">
        <f t="shared" si="5"/>
        <v>12777</v>
      </c>
      <c r="R11" s="7">
        <f t="shared" si="6"/>
        <v>5677</v>
      </c>
      <c r="S11" s="7">
        <f t="shared" si="7"/>
        <v>6900</v>
      </c>
      <c r="T11" s="7">
        <f t="shared" si="8"/>
        <v>602.63768115942003</v>
      </c>
      <c r="U11" s="7">
        <f t="shared" si="9"/>
        <v>620.36231884057952</v>
      </c>
      <c r="V11" s="7">
        <f t="shared" si="10"/>
        <v>0</v>
      </c>
      <c r="W11" s="7">
        <f t="shared" si="11"/>
        <v>0</v>
      </c>
      <c r="X11" s="7">
        <f t="shared" si="12"/>
        <v>14000</v>
      </c>
      <c r="Y11" s="7">
        <f t="shared" si="13"/>
        <v>14000</v>
      </c>
      <c r="Z11" s="5" t="str">
        <f t="shared" si="14"/>
        <v>No</v>
      </c>
      <c r="AA11" s="7">
        <f t="shared" si="15"/>
        <v>0</v>
      </c>
      <c r="AB11" s="19" t="s">
        <v>144</v>
      </c>
      <c r="AC11" s="7">
        <f t="shared" si="16"/>
        <v>12777</v>
      </c>
      <c r="AD11" s="7">
        <f t="shared" si="17"/>
        <v>1533</v>
      </c>
      <c r="AE11" s="7">
        <f t="shared" si="18"/>
        <v>1533</v>
      </c>
      <c r="AF11" s="5" t="str">
        <f t="shared" si="19"/>
        <v>Y</v>
      </c>
      <c r="AG11" s="7">
        <f t="shared" si="20"/>
        <v>105</v>
      </c>
      <c r="AH11" s="7">
        <f t="shared" si="21"/>
        <v>455</v>
      </c>
      <c r="AI11" s="7">
        <f t="shared" si="22"/>
        <v>110</v>
      </c>
      <c r="AJ11" s="7">
        <f t="shared" si="23"/>
        <v>12252</v>
      </c>
      <c r="AK11" s="7">
        <f t="shared" si="24"/>
        <v>15988</v>
      </c>
    </row>
    <row r="12" spans="1:37" x14ac:dyDescent="0.25">
      <c r="A12" s="6">
        <v>6</v>
      </c>
      <c r="B12" s="5" t="s">
        <v>153</v>
      </c>
      <c r="C12" s="5" t="s">
        <v>22</v>
      </c>
      <c r="D12" s="5" t="s">
        <v>142</v>
      </c>
      <c r="E12" s="18" t="s">
        <v>154</v>
      </c>
      <c r="F12" s="5" t="str">
        <f t="shared" si="0"/>
        <v>Skilled</v>
      </c>
      <c r="G12" s="7">
        <f t="shared" si="1"/>
        <v>12777</v>
      </c>
      <c r="H12" s="7">
        <v>8600</v>
      </c>
      <c r="I12" s="7">
        <v>4950</v>
      </c>
      <c r="J12" s="7">
        <v>4450</v>
      </c>
      <c r="K12" s="7">
        <v>0</v>
      </c>
      <c r="L12" s="7">
        <v>0</v>
      </c>
      <c r="M12" s="7">
        <f t="shared" si="2"/>
        <v>18000</v>
      </c>
      <c r="N12" s="7">
        <v>0</v>
      </c>
      <c r="O12" s="7">
        <f t="shared" si="3"/>
        <v>18000</v>
      </c>
      <c r="P12" s="7">
        <f t="shared" si="4"/>
        <v>12777</v>
      </c>
      <c r="Q12" s="7">
        <f t="shared" si="5"/>
        <v>12777</v>
      </c>
      <c r="R12" s="7">
        <f t="shared" si="6"/>
        <v>4177</v>
      </c>
      <c r="S12" s="7">
        <f t="shared" si="7"/>
        <v>9400</v>
      </c>
      <c r="T12" s="7">
        <f t="shared" si="8"/>
        <v>2750.4095744680853</v>
      </c>
      <c r="U12" s="7">
        <f t="shared" si="9"/>
        <v>2472.5904255319147</v>
      </c>
      <c r="V12" s="7">
        <f t="shared" si="10"/>
        <v>0</v>
      </c>
      <c r="W12" s="7">
        <f t="shared" si="11"/>
        <v>0</v>
      </c>
      <c r="X12" s="7">
        <f t="shared" si="12"/>
        <v>18000</v>
      </c>
      <c r="Y12" s="7">
        <f t="shared" si="13"/>
        <v>18000</v>
      </c>
      <c r="Z12" s="5" t="str">
        <f t="shared" si="14"/>
        <v>No</v>
      </c>
      <c r="AA12" s="7">
        <f t="shared" si="15"/>
        <v>0</v>
      </c>
      <c r="AB12" s="19" t="s">
        <v>144</v>
      </c>
      <c r="AC12" s="7">
        <f t="shared" si="16"/>
        <v>12777</v>
      </c>
      <c r="AD12" s="7">
        <f t="shared" si="17"/>
        <v>1533</v>
      </c>
      <c r="AE12" s="7">
        <f t="shared" si="18"/>
        <v>1533</v>
      </c>
      <c r="AF12" s="5" t="str">
        <f t="shared" si="19"/>
        <v>Y</v>
      </c>
      <c r="AG12" s="7">
        <f t="shared" si="20"/>
        <v>135</v>
      </c>
      <c r="AH12" s="7">
        <f t="shared" si="21"/>
        <v>585</v>
      </c>
      <c r="AI12" s="7">
        <f t="shared" si="22"/>
        <v>130</v>
      </c>
      <c r="AJ12" s="7">
        <f t="shared" si="23"/>
        <v>16202</v>
      </c>
      <c r="AK12" s="7">
        <f t="shared" si="24"/>
        <v>20118</v>
      </c>
    </row>
    <row r="13" spans="1:37" s="36" customFormat="1" x14ac:dyDescent="0.25">
      <c r="A13" s="31">
        <v>7</v>
      </c>
      <c r="B13" s="32" t="s">
        <v>155</v>
      </c>
      <c r="C13" s="32" t="s">
        <v>22</v>
      </c>
      <c r="D13" s="32" t="s">
        <v>142</v>
      </c>
      <c r="E13" s="33" t="s">
        <v>156</v>
      </c>
      <c r="F13" s="32" t="str">
        <f t="shared" si="0"/>
        <v>Skilled</v>
      </c>
      <c r="G13" s="34">
        <f t="shared" si="1"/>
        <v>12777</v>
      </c>
      <c r="H13" s="34">
        <v>26000</v>
      </c>
      <c r="I13" s="34">
        <v>0</v>
      </c>
      <c r="J13" s="34">
        <v>0</v>
      </c>
      <c r="K13" s="34">
        <v>0</v>
      </c>
      <c r="L13" s="34">
        <v>0</v>
      </c>
      <c r="M13" s="34">
        <f t="shared" si="2"/>
        <v>26000</v>
      </c>
      <c r="N13" s="34">
        <v>0</v>
      </c>
      <c r="O13" s="34">
        <f t="shared" si="3"/>
        <v>26000</v>
      </c>
      <c r="P13" s="34">
        <f t="shared" si="4"/>
        <v>13000</v>
      </c>
      <c r="Q13" s="34">
        <f t="shared" si="5"/>
        <v>26000</v>
      </c>
      <c r="R13" s="34">
        <f t="shared" si="6"/>
        <v>0</v>
      </c>
      <c r="S13" s="34">
        <f t="shared" si="7"/>
        <v>0</v>
      </c>
      <c r="T13" s="34">
        <f t="shared" si="8"/>
        <v>0</v>
      </c>
      <c r="U13" s="34">
        <f t="shared" si="9"/>
        <v>0</v>
      </c>
      <c r="V13" s="34">
        <f t="shared" si="10"/>
        <v>0</v>
      </c>
      <c r="W13" s="34">
        <f t="shared" si="11"/>
        <v>0</v>
      </c>
      <c r="X13" s="34">
        <f t="shared" si="12"/>
        <v>26000</v>
      </c>
      <c r="Y13" s="34">
        <f t="shared" si="13"/>
        <v>26000</v>
      </c>
      <c r="Z13" s="32" t="str">
        <f t="shared" si="14"/>
        <v>No</v>
      </c>
      <c r="AA13" s="34">
        <f t="shared" si="15"/>
        <v>0</v>
      </c>
      <c r="AB13" s="35" t="s">
        <v>144</v>
      </c>
      <c r="AC13" s="34">
        <f t="shared" si="16"/>
        <v>26000</v>
      </c>
      <c r="AD13" s="34">
        <f t="shared" si="17"/>
        <v>3120</v>
      </c>
      <c r="AE13" s="34">
        <f t="shared" si="18"/>
        <v>3120</v>
      </c>
      <c r="AF13" s="32" t="str">
        <f t="shared" si="19"/>
        <v>N</v>
      </c>
      <c r="AG13" s="34">
        <f t="shared" si="20"/>
        <v>0</v>
      </c>
      <c r="AH13" s="34">
        <f t="shared" si="21"/>
        <v>0</v>
      </c>
      <c r="AI13" s="34">
        <f t="shared" si="22"/>
        <v>150</v>
      </c>
      <c r="AJ13" s="34">
        <f t="shared" si="23"/>
        <v>22730</v>
      </c>
      <c r="AK13" s="34">
        <f t="shared" si="24"/>
        <v>29120</v>
      </c>
    </row>
    <row r="14" spans="1:37" x14ac:dyDescent="0.25">
      <c r="A14" s="6">
        <v>8</v>
      </c>
      <c r="B14" s="5" t="s">
        <v>157</v>
      </c>
      <c r="C14" s="5" t="s">
        <v>22</v>
      </c>
      <c r="D14" s="5" t="s">
        <v>142</v>
      </c>
      <c r="E14" s="18" t="s">
        <v>158</v>
      </c>
      <c r="F14" s="5" t="str">
        <f t="shared" si="0"/>
        <v>Skilled</v>
      </c>
      <c r="G14" s="7">
        <f t="shared" si="1"/>
        <v>12777</v>
      </c>
      <c r="H14" s="7">
        <v>8010</v>
      </c>
      <c r="I14" s="7">
        <v>5030</v>
      </c>
      <c r="J14" s="7">
        <v>3960</v>
      </c>
      <c r="K14" s="7">
        <v>0</v>
      </c>
      <c r="L14" s="7">
        <v>0</v>
      </c>
      <c r="M14" s="7">
        <f t="shared" si="2"/>
        <v>17000</v>
      </c>
      <c r="N14" s="7">
        <v>0</v>
      </c>
      <c r="O14" s="7">
        <f t="shared" si="3"/>
        <v>17000</v>
      </c>
      <c r="P14" s="7">
        <f t="shared" si="4"/>
        <v>12777</v>
      </c>
      <c r="Q14" s="7">
        <f t="shared" si="5"/>
        <v>12777</v>
      </c>
      <c r="R14" s="7">
        <f t="shared" si="6"/>
        <v>4767</v>
      </c>
      <c r="S14" s="7">
        <f t="shared" si="7"/>
        <v>8990</v>
      </c>
      <c r="T14" s="7">
        <f t="shared" si="8"/>
        <v>2362.813125695217</v>
      </c>
      <c r="U14" s="7">
        <f t="shared" si="9"/>
        <v>1860.186874304783</v>
      </c>
      <c r="V14" s="7">
        <f t="shared" si="10"/>
        <v>0</v>
      </c>
      <c r="W14" s="7">
        <f t="shared" si="11"/>
        <v>0</v>
      </c>
      <c r="X14" s="7">
        <f t="shared" si="12"/>
        <v>17000</v>
      </c>
      <c r="Y14" s="7">
        <f t="shared" si="13"/>
        <v>17000</v>
      </c>
      <c r="Z14" s="5" t="str">
        <f t="shared" si="14"/>
        <v>No</v>
      </c>
      <c r="AA14" s="7">
        <f t="shared" si="15"/>
        <v>0</v>
      </c>
      <c r="AB14" s="19" t="s">
        <v>144</v>
      </c>
      <c r="AC14" s="7">
        <f t="shared" si="16"/>
        <v>12777</v>
      </c>
      <c r="AD14" s="7">
        <f t="shared" si="17"/>
        <v>1533</v>
      </c>
      <c r="AE14" s="7">
        <f t="shared" si="18"/>
        <v>1533</v>
      </c>
      <c r="AF14" s="5" t="str">
        <f t="shared" si="19"/>
        <v>Y</v>
      </c>
      <c r="AG14" s="7">
        <f t="shared" si="20"/>
        <v>128</v>
      </c>
      <c r="AH14" s="7">
        <f t="shared" si="21"/>
        <v>553</v>
      </c>
      <c r="AI14" s="7">
        <f t="shared" si="22"/>
        <v>130</v>
      </c>
      <c r="AJ14" s="7">
        <f t="shared" si="23"/>
        <v>15209</v>
      </c>
      <c r="AK14" s="7">
        <f t="shared" si="24"/>
        <v>19086</v>
      </c>
    </row>
    <row r="15" spans="1:37" x14ac:dyDescent="0.25">
      <c r="A15" s="6">
        <v>9</v>
      </c>
      <c r="B15" s="5" t="s">
        <v>159</v>
      </c>
      <c r="C15" s="5" t="s">
        <v>22</v>
      </c>
      <c r="D15" s="5" t="s">
        <v>142</v>
      </c>
      <c r="E15" s="18" t="s">
        <v>160</v>
      </c>
      <c r="F15" s="5" t="str">
        <f t="shared" si="0"/>
        <v>Skilled</v>
      </c>
      <c r="G15" s="7">
        <f t="shared" si="1"/>
        <v>12777</v>
      </c>
      <c r="H15" s="7">
        <v>5200</v>
      </c>
      <c r="I15" s="7">
        <v>3400</v>
      </c>
      <c r="J15" s="7">
        <v>2900</v>
      </c>
      <c r="K15" s="7">
        <v>0</v>
      </c>
      <c r="L15" s="7">
        <v>0</v>
      </c>
      <c r="M15" s="7">
        <f t="shared" si="2"/>
        <v>11500</v>
      </c>
      <c r="N15" s="7">
        <v>0</v>
      </c>
      <c r="O15" s="7">
        <f t="shared" si="3"/>
        <v>11500</v>
      </c>
      <c r="P15" s="7">
        <f t="shared" si="4"/>
        <v>12777</v>
      </c>
      <c r="Q15" s="7">
        <f t="shared" si="5"/>
        <v>12777</v>
      </c>
      <c r="R15" s="7">
        <f t="shared" si="6"/>
        <v>7577</v>
      </c>
      <c r="S15" s="7">
        <f t="shared" si="7"/>
        <v>6300</v>
      </c>
      <c r="T15" s="7">
        <f t="shared" si="8"/>
        <v>0</v>
      </c>
      <c r="U15" s="7">
        <f t="shared" si="9"/>
        <v>0</v>
      </c>
      <c r="V15" s="7">
        <f t="shared" si="10"/>
        <v>0</v>
      </c>
      <c r="W15" s="7">
        <f t="shared" si="11"/>
        <v>0</v>
      </c>
      <c r="X15" s="7">
        <f t="shared" si="12"/>
        <v>12777</v>
      </c>
      <c r="Y15" s="7">
        <f t="shared" si="13"/>
        <v>12777</v>
      </c>
      <c r="Z15" s="5" t="str">
        <f t="shared" si="14"/>
        <v>YES</v>
      </c>
      <c r="AA15" s="7">
        <f t="shared" si="15"/>
        <v>1277</v>
      </c>
      <c r="AB15" s="19" t="s">
        <v>144</v>
      </c>
      <c r="AC15" s="7">
        <f t="shared" si="16"/>
        <v>12777</v>
      </c>
      <c r="AD15" s="7">
        <f t="shared" si="17"/>
        <v>1533</v>
      </c>
      <c r="AE15" s="7">
        <f t="shared" si="18"/>
        <v>1533</v>
      </c>
      <c r="AF15" s="5" t="str">
        <f t="shared" si="19"/>
        <v>Y</v>
      </c>
      <c r="AG15" s="7">
        <f t="shared" si="20"/>
        <v>96</v>
      </c>
      <c r="AH15" s="7">
        <f t="shared" si="21"/>
        <v>415</v>
      </c>
      <c r="AI15" s="7">
        <f t="shared" si="22"/>
        <v>110</v>
      </c>
      <c r="AJ15" s="7">
        <f t="shared" si="23"/>
        <v>11038</v>
      </c>
      <c r="AK15" s="7">
        <f t="shared" si="24"/>
        <v>14725</v>
      </c>
    </row>
    <row r="16" spans="1:37" x14ac:dyDescent="0.25">
      <c r="A16" s="6">
        <v>10</v>
      </c>
      <c r="B16" s="5" t="s">
        <v>161</v>
      </c>
      <c r="C16" s="5" t="s">
        <v>22</v>
      </c>
      <c r="D16" s="5" t="s">
        <v>142</v>
      </c>
      <c r="E16" s="18" t="s">
        <v>162</v>
      </c>
      <c r="F16" s="5" t="str">
        <f t="shared" si="0"/>
        <v>Skilled</v>
      </c>
      <c r="G16" s="7">
        <f t="shared" si="1"/>
        <v>12777</v>
      </c>
      <c r="H16" s="7">
        <v>7700</v>
      </c>
      <c r="I16" s="7">
        <v>6600</v>
      </c>
      <c r="J16" s="7">
        <v>5700</v>
      </c>
      <c r="K16" s="7">
        <v>0</v>
      </c>
      <c r="L16" s="7">
        <v>0</v>
      </c>
      <c r="M16" s="7">
        <f t="shared" si="2"/>
        <v>20000</v>
      </c>
      <c r="N16" s="7">
        <v>0</v>
      </c>
      <c r="O16" s="7">
        <f t="shared" si="3"/>
        <v>20000</v>
      </c>
      <c r="P16" s="7">
        <f t="shared" si="4"/>
        <v>12777</v>
      </c>
      <c r="Q16" s="7">
        <f t="shared" si="5"/>
        <v>12777</v>
      </c>
      <c r="R16" s="7">
        <f t="shared" si="6"/>
        <v>5077</v>
      </c>
      <c r="S16" s="7">
        <f t="shared" si="7"/>
        <v>12300</v>
      </c>
      <c r="T16" s="7">
        <f t="shared" si="8"/>
        <v>3875.7560975609754</v>
      </c>
      <c r="U16" s="7">
        <f t="shared" si="9"/>
        <v>3347.2439024390242</v>
      </c>
      <c r="V16" s="7">
        <f t="shared" si="10"/>
        <v>0</v>
      </c>
      <c r="W16" s="7">
        <f t="shared" si="11"/>
        <v>0</v>
      </c>
      <c r="X16" s="7">
        <f t="shared" si="12"/>
        <v>20000</v>
      </c>
      <c r="Y16" s="7">
        <f t="shared" si="13"/>
        <v>20000</v>
      </c>
      <c r="Z16" s="5" t="str">
        <f t="shared" si="14"/>
        <v>No</v>
      </c>
      <c r="AA16" s="7">
        <f t="shared" si="15"/>
        <v>0</v>
      </c>
      <c r="AB16" s="19" t="s">
        <v>144</v>
      </c>
      <c r="AC16" s="7">
        <f t="shared" si="16"/>
        <v>12777</v>
      </c>
      <c r="AD16" s="7">
        <f t="shared" si="17"/>
        <v>1533</v>
      </c>
      <c r="AE16" s="7">
        <f t="shared" si="18"/>
        <v>1533</v>
      </c>
      <c r="AF16" s="5" t="str">
        <f t="shared" si="19"/>
        <v>Y</v>
      </c>
      <c r="AG16" s="7">
        <f t="shared" si="20"/>
        <v>150</v>
      </c>
      <c r="AH16" s="7">
        <f t="shared" si="21"/>
        <v>650</v>
      </c>
      <c r="AI16" s="7">
        <f t="shared" si="22"/>
        <v>130</v>
      </c>
      <c r="AJ16" s="7">
        <f t="shared" si="23"/>
        <v>18187</v>
      </c>
      <c r="AK16" s="7">
        <f t="shared" si="24"/>
        <v>22183</v>
      </c>
    </row>
    <row r="17" spans="1:37" x14ac:dyDescent="0.25">
      <c r="A17" s="6">
        <v>11</v>
      </c>
      <c r="B17" s="5" t="s">
        <v>163</v>
      </c>
      <c r="C17" s="5" t="s">
        <v>22</v>
      </c>
      <c r="D17" s="5" t="s">
        <v>142</v>
      </c>
      <c r="E17" s="18" t="s">
        <v>164</v>
      </c>
      <c r="F17" s="5" t="str">
        <f t="shared" si="0"/>
        <v>Skilled</v>
      </c>
      <c r="G17" s="7">
        <f t="shared" si="1"/>
        <v>12777</v>
      </c>
      <c r="H17" s="7">
        <v>7600</v>
      </c>
      <c r="I17" s="7">
        <v>6700</v>
      </c>
      <c r="J17" s="7">
        <v>5700</v>
      </c>
      <c r="K17" s="7">
        <v>0</v>
      </c>
      <c r="L17" s="7">
        <v>0</v>
      </c>
      <c r="M17" s="7">
        <f t="shared" si="2"/>
        <v>20000</v>
      </c>
      <c r="N17" s="7">
        <v>0</v>
      </c>
      <c r="O17" s="7">
        <f t="shared" si="3"/>
        <v>20000</v>
      </c>
      <c r="P17" s="7">
        <f t="shared" si="4"/>
        <v>12777</v>
      </c>
      <c r="Q17" s="7">
        <f t="shared" si="5"/>
        <v>12777</v>
      </c>
      <c r="R17" s="7">
        <f t="shared" si="6"/>
        <v>5177</v>
      </c>
      <c r="S17" s="7">
        <f t="shared" si="7"/>
        <v>12400</v>
      </c>
      <c r="T17" s="7">
        <f t="shared" si="8"/>
        <v>3902.75</v>
      </c>
      <c r="U17" s="7">
        <f t="shared" si="9"/>
        <v>3320.25</v>
      </c>
      <c r="V17" s="7">
        <f t="shared" si="10"/>
        <v>0</v>
      </c>
      <c r="W17" s="7">
        <f t="shared" si="11"/>
        <v>0</v>
      </c>
      <c r="X17" s="7">
        <f t="shared" si="12"/>
        <v>20000</v>
      </c>
      <c r="Y17" s="7">
        <f t="shared" si="13"/>
        <v>20000</v>
      </c>
      <c r="Z17" s="5" t="str">
        <f t="shared" si="14"/>
        <v>No</v>
      </c>
      <c r="AA17" s="7">
        <f t="shared" si="15"/>
        <v>0</v>
      </c>
      <c r="AB17" s="19" t="s">
        <v>144</v>
      </c>
      <c r="AC17" s="7">
        <f t="shared" si="16"/>
        <v>12777</v>
      </c>
      <c r="AD17" s="7">
        <f t="shared" si="17"/>
        <v>1533</v>
      </c>
      <c r="AE17" s="7">
        <f t="shared" si="18"/>
        <v>1533</v>
      </c>
      <c r="AF17" s="5" t="str">
        <f t="shared" si="19"/>
        <v>Y</v>
      </c>
      <c r="AG17" s="7">
        <f t="shared" si="20"/>
        <v>150</v>
      </c>
      <c r="AH17" s="7">
        <f t="shared" si="21"/>
        <v>650</v>
      </c>
      <c r="AI17" s="7">
        <f t="shared" si="22"/>
        <v>130</v>
      </c>
      <c r="AJ17" s="7">
        <f t="shared" si="23"/>
        <v>18187</v>
      </c>
      <c r="AK17" s="7">
        <f t="shared" si="24"/>
        <v>22183</v>
      </c>
    </row>
    <row r="18" spans="1:37" x14ac:dyDescent="0.25">
      <c r="A18" s="6">
        <v>12</v>
      </c>
      <c r="B18" s="5" t="s">
        <v>165</v>
      </c>
      <c r="C18" s="5" t="s">
        <v>22</v>
      </c>
      <c r="D18" s="5" t="s">
        <v>142</v>
      </c>
      <c r="E18" s="18" t="s">
        <v>166</v>
      </c>
      <c r="F18" s="5" t="str">
        <f t="shared" si="0"/>
        <v>Skilled</v>
      </c>
      <c r="G18" s="7">
        <f t="shared" si="1"/>
        <v>12777</v>
      </c>
      <c r="H18" s="7">
        <v>7560</v>
      </c>
      <c r="I18" s="7">
        <v>4920</v>
      </c>
      <c r="J18" s="7">
        <v>4020</v>
      </c>
      <c r="K18" s="7">
        <v>0</v>
      </c>
      <c r="L18" s="7">
        <v>0</v>
      </c>
      <c r="M18" s="7">
        <f t="shared" si="2"/>
        <v>16500</v>
      </c>
      <c r="N18" s="7">
        <v>0</v>
      </c>
      <c r="O18" s="7">
        <f t="shared" si="3"/>
        <v>16500</v>
      </c>
      <c r="P18" s="7">
        <f t="shared" si="4"/>
        <v>12777</v>
      </c>
      <c r="Q18" s="7">
        <f t="shared" si="5"/>
        <v>12777</v>
      </c>
      <c r="R18" s="7">
        <f t="shared" si="6"/>
        <v>5217</v>
      </c>
      <c r="S18" s="7">
        <f t="shared" si="7"/>
        <v>8940</v>
      </c>
      <c r="T18" s="7">
        <f t="shared" si="8"/>
        <v>2048.8993288590605</v>
      </c>
      <c r="U18" s="7">
        <f t="shared" si="9"/>
        <v>1674.1006711409395</v>
      </c>
      <c r="V18" s="7">
        <f t="shared" si="10"/>
        <v>0</v>
      </c>
      <c r="W18" s="7">
        <f t="shared" si="11"/>
        <v>0</v>
      </c>
      <c r="X18" s="7">
        <f t="shared" si="12"/>
        <v>16500</v>
      </c>
      <c r="Y18" s="7">
        <f t="shared" si="13"/>
        <v>16500</v>
      </c>
      <c r="Z18" s="5" t="str">
        <f t="shared" si="14"/>
        <v>No</v>
      </c>
      <c r="AA18" s="7">
        <f t="shared" si="15"/>
        <v>0</v>
      </c>
      <c r="AB18" s="19" t="s">
        <v>144</v>
      </c>
      <c r="AC18" s="7">
        <f t="shared" si="16"/>
        <v>12777</v>
      </c>
      <c r="AD18" s="7">
        <f t="shared" si="17"/>
        <v>1533</v>
      </c>
      <c r="AE18" s="7">
        <f t="shared" si="18"/>
        <v>1533</v>
      </c>
      <c r="AF18" s="5" t="str">
        <f t="shared" si="19"/>
        <v>Y</v>
      </c>
      <c r="AG18" s="7">
        <f t="shared" si="20"/>
        <v>124</v>
      </c>
      <c r="AH18" s="7">
        <f t="shared" si="21"/>
        <v>536</v>
      </c>
      <c r="AI18" s="7">
        <f t="shared" si="22"/>
        <v>130</v>
      </c>
      <c r="AJ18" s="7">
        <f t="shared" si="23"/>
        <v>14713</v>
      </c>
      <c r="AK18" s="7">
        <f t="shared" si="24"/>
        <v>18569</v>
      </c>
    </row>
    <row r="19" spans="1:37" x14ac:dyDescent="0.25">
      <c r="A19" s="6">
        <v>13</v>
      </c>
      <c r="B19" s="5" t="s">
        <v>167</v>
      </c>
      <c r="C19" s="5" t="s">
        <v>22</v>
      </c>
      <c r="D19" s="5" t="s">
        <v>142</v>
      </c>
      <c r="E19" s="18" t="s">
        <v>168</v>
      </c>
      <c r="F19" s="5" t="str">
        <f t="shared" si="0"/>
        <v>Skilled</v>
      </c>
      <c r="G19" s="7">
        <f t="shared" si="1"/>
        <v>12777</v>
      </c>
      <c r="H19" s="7">
        <v>25000</v>
      </c>
      <c r="I19" s="7">
        <v>0</v>
      </c>
      <c r="J19" s="7">
        <v>0</v>
      </c>
      <c r="K19" s="7">
        <v>0</v>
      </c>
      <c r="L19" s="7">
        <v>0</v>
      </c>
      <c r="M19" s="7">
        <f t="shared" si="2"/>
        <v>25000</v>
      </c>
      <c r="N19" s="7">
        <v>0</v>
      </c>
      <c r="O19" s="7">
        <f t="shared" si="3"/>
        <v>25000</v>
      </c>
      <c r="P19" s="7">
        <f t="shared" si="4"/>
        <v>12777</v>
      </c>
      <c r="Q19" s="7">
        <f t="shared" si="5"/>
        <v>25000</v>
      </c>
      <c r="R19" s="7">
        <f t="shared" si="6"/>
        <v>0</v>
      </c>
      <c r="S19" s="7">
        <f t="shared" si="7"/>
        <v>0</v>
      </c>
      <c r="T19" s="7">
        <f t="shared" si="8"/>
        <v>0</v>
      </c>
      <c r="U19" s="7">
        <f t="shared" si="9"/>
        <v>0</v>
      </c>
      <c r="V19" s="7">
        <f t="shared" si="10"/>
        <v>0</v>
      </c>
      <c r="W19" s="7">
        <f t="shared" si="11"/>
        <v>0</v>
      </c>
      <c r="X19" s="7">
        <f t="shared" si="12"/>
        <v>25000</v>
      </c>
      <c r="Y19" s="7">
        <f t="shared" si="13"/>
        <v>25000</v>
      </c>
      <c r="Z19" s="5" t="str">
        <f t="shared" si="14"/>
        <v>No</v>
      </c>
      <c r="AA19" s="7">
        <f t="shared" si="15"/>
        <v>0</v>
      </c>
      <c r="AB19" s="19" t="s">
        <v>144</v>
      </c>
      <c r="AC19" s="7">
        <f t="shared" si="16"/>
        <v>25000</v>
      </c>
      <c r="AD19" s="7">
        <f t="shared" si="17"/>
        <v>3000</v>
      </c>
      <c r="AE19" s="7">
        <f t="shared" si="18"/>
        <v>3000</v>
      </c>
      <c r="AF19" s="5" t="str">
        <f t="shared" si="19"/>
        <v>N</v>
      </c>
      <c r="AG19" s="7">
        <f t="shared" si="20"/>
        <v>0</v>
      </c>
      <c r="AH19" s="7">
        <f t="shared" si="21"/>
        <v>0</v>
      </c>
      <c r="AI19" s="7">
        <f t="shared" si="22"/>
        <v>130</v>
      </c>
      <c r="AJ19" s="7">
        <f t="shared" si="23"/>
        <v>21870</v>
      </c>
      <c r="AK19" s="7">
        <f t="shared" si="24"/>
        <v>28000</v>
      </c>
    </row>
    <row r="20" spans="1:37" x14ac:dyDescent="0.25">
      <c r="A20" s="6">
        <v>14</v>
      </c>
      <c r="B20" s="5" t="s">
        <v>169</v>
      </c>
      <c r="C20" s="5" t="s">
        <v>22</v>
      </c>
      <c r="D20" s="5" t="s">
        <v>142</v>
      </c>
      <c r="E20" s="18" t="s">
        <v>170</v>
      </c>
      <c r="F20" s="5" t="str">
        <f t="shared" si="0"/>
        <v>Skilled</v>
      </c>
      <c r="G20" s="7">
        <f t="shared" si="1"/>
        <v>12777</v>
      </c>
      <c r="H20" s="7">
        <v>33000</v>
      </c>
      <c r="I20" s="7">
        <v>7000</v>
      </c>
      <c r="J20" s="7">
        <v>0</v>
      </c>
      <c r="K20" s="7">
        <v>0</v>
      </c>
      <c r="L20" s="7">
        <v>0</v>
      </c>
      <c r="M20" s="7">
        <f t="shared" si="2"/>
        <v>40000</v>
      </c>
      <c r="N20" s="7">
        <v>0</v>
      </c>
      <c r="O20" s="7">
        <f t="shared" si="3"/>
        <v>40000</v>
      </c>
      <c r="P20" s="7">
        <f t="shared" si="4"/>
        <v>20000</v>
      </c>
      <c r="Q20" s="7">
        <f t="shared" si="5"/>
        <v>33000</v>
      </c>
      <c r="R20" s="7">
        <f t="shared" si="6"/>
        <v>0</v>
      </c>
      <c r="S20" s="7">
        <f t="shared" si="7"/>
        <v>7000</v>
      </c>
      <c r="T20" s="7">
        <f t="shared" si="8"/>
        <v>7000</v>
      </c>
      <c r="U20" s="7">
        <f t="shared" si="9"/>
        <v>0</v>
      </c>
      <c r="V20" s="7">
        <f t="shared" si="10"/>
        <v>0</v>
      </c>
      <c r="W20" s="7">
        <f t="shared" si="11"/>
        <v>0</v>
      </c>
      <c r="X20" s="7">
        <f t="shared" si="12"/>
        <v>40000</v>
      </c>
      <c r="Y20" s="7">
        <f t="shared" si="13"/>
        <v>40000</v>
      </c>
      <c r="Z20" s="5" t="str">
        <f t="shared" si="14"/>
        <v>No</v>
      </c>
      <c r="AA20" s="7">
        <f t="shared" si="15"/>
        <v>0</v>
      </c>
      <c r="AB20" s="19" t="s">
        <v>144</v>
      </c>
      <c r="AC20" s="7">
        <f t="shared" si="16"/>
        <v>33000</v>
      </c>
      <c r="AD20" s="7">
        <f t="shared" si="17"/>
        <v>3960</v>
      </c>
      <c r="AE20" s="7">
        <f t="shared" si="18"/>
        <v>3960</v>
      </c>
      <c r="AF20" s="5" t="str">
        <f t="shared" si="19"/>
        <v>N</v>
      </c>
      <c r="AG20" s="7">
        <f t="shared" si="20"/>
        <v>0</v>
      </c>
      <c r="AH20" s="7">
        <f t="shared" si="21"/>
        <v>0</v>
      </c>
      <c r="AI20" s="7">
        <f t="shared" si="22"/>
        <v>150</v>
      </c>
      <c r="AJ20" s="7">
        <f t="shared" si="23"/>
        <v>35890</v>
      </c>
      <c r="AK20" s="7">
        <f t="shared" si="24"/>
        <v>43960</v>
      </c>
    </row>
    <row r="21" spans="1:37" x14ac:dyDescent="0.25">
      <c r="A21" s="6">
        <v>15</v>
      </c>
      <c r="B21" s="5" t="s">
        <v>171</v>
      </c>
      <c r="C21" s="5" t="s">
        <v>22</v>
      </c>
      <c r="D21" s="5" t="s">
        <v>142</v>
      </c>
      <c r="E21" s="18" t="s">
        <v>172</v>
      </c>
      <c r="F21" s="5" t="str">
        <f t="shared" si="0"/>
        <v>Skilled</v>
      </c>
      <c r="G21" s="7">
        <f t="shared" si="1"/>
        <v>12777</v>
      </c>
      <c r="H21" s="7">
        <v>8200</v>
      </c>
      <c r="I21" s="7">
        <v>4400</v>
      </c>
      <c r="J21" s="7">
        <v>3900</v>
      </c>
      <c r="K21" s="7">
        <v>0</v>
      </c>
      <c r="L21" s="7">
        <v>0</v>
      </c>
      <c r="M21" s="7">
        <f t="shared" si="2"/>
        <v>16500</v>
      </c>
      <c r="N21" s="7">
        <v>0</v>
      </c>
      <c r="O21" s="7">
        <f t="shared" si="3"/>
        <v>16500</v>
      </c>
      <c r="P21" s="7">
        <f t="shared" si="4"/>
        <v>12777</v>
      </c>
      <c r="Q21" s="7">
        <f t="shared" si="5"/>
        <v>12777</v>
      </c>
      <c r="R21" s="7">
        <f t="shared" si="6"/>
        <v>4577</v>
      </c>
      <c r="S21" s="7">
        <f t="shared" si="7"/>
        <v>8300</v>
      </c>
      <c r="T21" s="7">
        <f t="shared" si="8"/>
        <v>1973.6385542168673</v>
      </c>
      <c r="U21" s="7">
        <f t="shared" si="9"/>
        <v>1749.3614457831322</v>
      </c>
      <c r="V21" s="7">
        <f t="shared" si="10"/>
        <v>0</v>
      </c>
      <c r="W21" s="7">
        <f t="shared" si="11"/>
        <v>0</v>
      </c>
      <c r="X21" s="7">
        <f t="shared" si="12"/>
        <v>16500</v>
      </c>
      <c r="Y21" s="7">
        <f t="shared" si="13"/>
        <v>16500</v>
      </c>
      <c r="Z21" s="5" t="str">
        <f t="shared" si="14"/>
        <v>No</v>
      </c>
      <c r="AA21" s="7">
        <f t="shared" si="15"/>
        <v>0</v>
      </c>
      <c r="AB21" s="19" t="s">
        <v>144</v>
      </c>
      <c r="AC21" s="7">
        <f t="shared" si="16"/>
        <v>12777</v>
      </c>
      <c r="AD21" s="7">
        <f t="shared" si="17"/>
        <v>1533</v>
      </c>
      <c r="AE21" s="7">
        <f t="shared" si="18"/>
        <v>1533</v>
      </c>
      <c r="AF21" s="5" t="str">
        <f t="shared" si="19"/>
        <v>Y</v>
      </c>
      <c r="AG21" s="7">
        <f t="shared" si="20"/>
        <v>124</v>
      </c>
      <c r="AH21" s="7">
        <f t="shared" si="21"/>
        <v>536</v>
      </c>
      <c r="AI21" s="7">
        <f t="shared" si="22"/>
        <v>130</v>
      </c>
      <c r="AJ21" s="7">
        <f t="shared" si="23"/>
        <v>14713</v>
      </c>
      <c r="AK21" s="7">
        <f t="shared" si="24"/>
        <v>18569</v>
      </c>
    </row>
    <row r="22" spans="1:37" x14ac:dyDescent="0.25">
      <c r="A22" s="6">
        <v>16</v>
      </c>
      <c r="B22" s="5" t="s">
        <v>173</v>
      </c>
      <c r="C22" s="5" t="s">
        <v>22</v>
      </c>
      <c r="D22" s="5" t="s">
        <v>142</v>
      </c>
      <c r="E22" s="18" t="s">
        <v>174</v>
      </c>
      <c r="F22" s="5" t="str">
        <f t="shared" si="0"/>
        <v>Skilled</v>
      </c>
      <c r="G22" s="7">
        <f t="shared" si="1"/>
        <v>12777</v>
      </c>
      <c r="H22" s="7">
        <v>23000</v>
      </c>
      <c r="I22" s="7">
        <v>0</v>
      </c>
      <c r="J22" s="7">
        <v>0</v>
      </c>
      <c r="K22" s="7">
        <v>0</v>
      </c>
      <c r="L22" s="7">
        <v>0</v>
      </c>
      <c r="M22" s="7">
        <f t="shared" si="2"/>
        <v>23000</v>
      </c>
      <c r="N22" s="7">
        <v>0</v>
      </c>
      <c r="O22" s="7">
        <f t="shared" si="3"/>
        <v>23000</v>
      </c>
      <c r="P22" s="7">
        <f t="shared" si="4"/>
        <v>12777</v>
      </c>
      <c r="Q22" s="7">
        <f t="shared" si="5"/>
        <v>23000</v>
      </c>
      <c r="R22" s="7">
        <f t="shared" si="6"/>
        <v>0</v>
      </c>
      <c r="S22" s="7">
        <f t="shared" si="7"/>
        <v>0</v>
      </c>
      <c r="T22" s="7">
        <f t="shared" si="8"/>
        <v>0</v>
      </c>
      <c r="U22" s="7">
        <f t="shared" si="9"/>
        <v>0</v>
      </c>
      <c r="V22" s="7">
        <f t="shared" si="10"/>
        <v>0</v>
      </c>
      <c r="W22" s="7">
        <f t="shared" si="11"/>
        <v>0</v>
      </c>
      <c r="X22" s="7">
        <f t="shared" si="12"/>
        <v>23000</v>
      </c>
      <c r="Y22" s="7">
        <f t="shared" si="13"/>
        <v>23000</v>
      </c>
      <c r="Z22" s="5" t="str">
        <f t="shared" si="14"/>
        <v>No</v>
      </c>
      <c r="AA22" s="7">
        <f t="shared" si="15"/>
        <v>0</v>
      </c>
      <c r="AB22" s="19" t="s">
        <v>144</v>
      </c>
      <c r="AC22" s="7">
        <f t="shared" si="16"/>
        <v>23000</v>
      </c>
      <c r="AD22" s="7">
        <f t="shared" si="17"/>
        <v>2760</v>
      </c>
      <c r="AE22" s="7">
        <f t="shared" si="18"/>
        <v>2760</v>
      </c>
      <c r="AF22" s="5" t="str">
        <f t="shared" si="19"/>
        <v>N</v>
      </c>
      <c r="AG22" s="7">
        <f t="shared" si="20"/>
        <v>0</v>
      </c>
      <c r="AH22" s="7">
        <f t="shared" si="21"/>
        <v>0</v>
      </c>
      <c r="AI22" s="7">
        <f t="shared" si="22"/>
        <v>130</v>
      </c>
      <c r="AJ22" s="7">
        <f t="shared" si="23"/>
        <v>20110</v>
      </c>
      <c r="AK22" s="7">
        <f t="shared" si="24"/>
        <v>25760</v>
      </c>
    </row>
    <row r="23" spans="1:37" s="36" customFormat="1" x14ac:dyDescent="0.25">
      <c r="A23" s="31">
        <v>17</v>
      </c>
      <c r="B23" s="32" t="s">
        <v>175</v>
      </c>
      <c r="C23" s="32" t="s">
        <v>22</v>
      </c>
      <c r="D23" s="32" t="s">
        <v>176</v>
      </c>
      <c r="E23" s="33" t="s">
        <v>177</v>
      </c>
      <c r="F23" s="32" t="str">
        <f t="shared" si="0"/>
        <v>Semi-Skilled</v>
      </c>
      <c r="G23" s="34">
        <f t="shared" si="1"/>
        <v>11615</v>
      </c>
      <c r="H23" s="34">
        <v>20200</v>
      </c>
      <c r="I23" s="34">
        <v>0</v>
      </c>
      <c r="J23" s="34">
        <v>0</v>
      </c>
      <c r="K23" s="34">
        <v>0</v>
      </c>
      <c r="L23" s="34">
        <v>0</v>
      </c>
      <c r="M23" s="34">
        <f t="shared" si="2"/>
        <v>20200</v>
      </c>
      <c r="N23" s="34">
        <v>0</v>
      </c>
      <c r="O23" s="34">
        <f t="shared" si="3"/>
        <v>20200</v>
      </c>
      <c r="P23" s="34">
        <f t="shared" si="4"/>
        <v>11615</v>
      </c>
      <c r="Q23" s="34">
        <f t="shared" si="5"/>
        <v>20200</v>
      </c>
      <c r="R23" s="34">
        <f t="shared" si="6"/>
        <v>0</v>
      </c>
      <c r="S23" s="34">
        <f t="shared" si="7"/>
        <v>0</v>
      </c>
      <c r="T23" s="34">
        <f t="shared" si="8"/>
        <v>0</v>
      </c>
      <c r="U23" s="34">
        <f t="shared" si="9"/>
        <v>0</v>
      </c>
      <c r="V23" s="34">
        <f t="shared" si="10"/>
        <v>0</v>
      </c>
      <c r="W23" s="34">
        <f t="shared" si="11"/>
        <v>0</v>
      </c>
      <c r="X23" s="34">
        <f t="shared" si="12"/>
        <v>20200</v>
      </c>
      <c r="Y23" s="34">
        <f t="shared" si="13"/>
        <v>20200</v>
      </c>
      <c r="Z23" s="32" t="str">
        <f t="shared" si="14"/>
        <v>No</v>
      </c>
      <c r="AA23" s="34">
        <f t="shared" si="15"/>
        <v>0</v>
      </c>
      <c r="AB23" s="35" t="s">
        <v>178</v>
      </c>
      <c r="AC23" s="34">
        <f t="shared" si="16"/>
        <v>20200</v>
      </c>
      <c r="AD23" s="34">
        <f t="shared" si="17"/>
        <v>0</v>
      </c>
      <c r="AE23" s="34">
        <f t="shared" si="18"/>
        <v>0</v>
      </c>
      <c r="AF23" s="32" t="str">
        <f t="shared" si="19"/>
        <v>Y</v>
      </c>
      <c r="AG23" s="34">
        <f t="shared" si="20"/>
        <v>152</v>
      </c>
      <c r="AH23" s="34">
        <f t="shared" si="21"/>
        <v>657</v>
      </c>
      <c r="AI23" s="34">
        <f t="shared" si="22"/>
        <v>130</v>
      </c>
      <c r="AJ23" s="34">
        <f t="shared" si="23"/>
        <v>19918</v>
      </c>
      <c r="AK23" s="34">
        <f t="shared" si="24"/>
        <v>20857</v>
      </c>
    </row>
    <row r="24" spans="1:37" x14ac:dyDescent="0.25">
      <c r="A24" s="6">
        <v>18</v>
      </c>
      <c r="B24" s="5" t="s">
        <v>179</v>
      </c>
      <c r="C24" s="5" t="s">
        <v>22</v>
      </c>
      <c r="D24" s="5" t="s">
        <v>176</v>
      </c>
      <c r="E24" s="18" t="s">
        <v>180</v>
      </c>
      <c r="F24" s="5" t="str">
        <f t="shared" si="0"/>
        <v>Semi-Skilled</v>
      </c>
      <c r="G24" s="7">
        <f t="shared" si="1"/>
        <v>11615</v>
      </c>
      <c r="H24" s="7">
        <v>8400</v>
      </c>
      <c r="I24" s="7">
        <v>4900</v>
      </c>
      <c r="J24" s="7">
        <v>4000</v>
      </c>
      <c r="K24" s="7">
        <v>0</v>
      </c>
      <c r="L24" s="7">
        <v>0</v>
      </c>
      <c r="M24" s="7">
        <f t="shared" si="2"/>
        <v>17300</v>
      </c>
      <c r="N24" s="7">
        <v>0</v>
      </c>
      <c r="O24" s="7">
        <f t="shared" si="3"/>
        <v>17300</v>
      </c>
      <c r="P24" s="7">
        <f t="shared" si="4"/>
        <v>11615</v>
      </c>
      <c r="Q24" s="7">
        <f t="shared" si="5"/>
        <v>11615</v>
      </c>
      <c r="R24" s="7">
        <f t="shared" si="6"/>
        <v>3215</v>
      </c>
      <c r="S24" s="7">
        <f t="shared" si="7"/>
        <v>8900</v>
      </c>
      <c r="T24" s="7">
        <f t="shared" si="8"/>
        <v>3129.9438202247193</v>
      </c>
      <c r="U24" s="7">
        <f t="shared" si="9"/>
        <v>2555.0561797752807</v>
      </c>
      <c r="V24" s="7">
        <f t="shared" si="10"/>
        <v>0</v>
      </c>
      <c r="W24" s="7">
        <f t="shared" si="11"/>
        <v>0</v>
      </c>
      <c r="X24" s="7">
        <f t="shared" si="12"/>
        <v>17300</v>
      </c>
      <c r="Y24" s="7">
        <f t="shared" si="13"/>
        <v>17300</v>
      </c>
      <c r="Z24" s="5" t="str">
        <f t="shared" si="14"/>
        <v>No</v>
      </c>
      <c r="AA24" s="7">
        <f t="shared" si="15"/>
        <v>0</v>
      </c>
      <c r="AB24" s="19" t="s">
        <v>144</v>
      </c>
      <c r="AC24" s="7">
        <f t="shared" si="16"/>
        <v>11615</v>
      </c>
      <c r="AD24" s="7">
        <f t="shared" si="17"/>
        <v>1394</v>
      </c>
      <c r="AE24" s="7">
        <f t="shared" si="18"/>
        <v>1394</v>
      </c>
      <c r="AF24" s="5" t="str">
        <f t="shared" si="19"/>
        <v>Y</v>
      </c>
      <c r="AG24" s="7">
        <f t="shared" si="20"/>
        <v>130</v>
      </c>
      <c r="AH24" s="7">
        <f t="shared" si="21"/>
        <v>562</v>
      </c>
      <c r="AI24" s="7">
        <f t="shared" si="22"/>
        <v>130</v>
      </c>
      <c r="AJ24" s="7">
        <f t="shared" si="23"/>
        <v>15646</v>
      </c>
      <c r="AK24" s="7">
        <f t="shared" si="24"/>
        <v>19256</v>
      </c>
    </row>
    <row r="25" spans="1:37" x14ac:dyDescent="0.25">
      <c r="A25" s="6">
        <v>19</v>
      </c>
      <c r="B25" s="5" t="s">
        <v>181</v>
      </c>
      <c r="C25" s="5" t="s">
        <v>22</v>
      </c>
      <c r="D25" s="5" t="s">
        <v>176</v>
      </c>
      <c r="E25" s="18" t="s">
        <v>182</v>
      </c>
      <c r="F25" s="5" t="str">
        <f t="shared" si="0"/>
        <v>Semi-Skilled</v>
      </c>
      <c r="G25" s="7">
        <f t="shared" si="1"/>
        <v>11615</v>
      </c>
      <c r="H25" s="7">
        <v>7950</v>
      </c>
      <c r="I25" s="7">
        <v>4150</v>
      </c>
      <c r="J25" s="7">
        <v>3800</v>
      </c>
      <c r="K25" s="7">
        <v>0</v>
      </c>
      <c r="L25" s="7">
        <v>0</v>
      </c>
      <c r="M25" s="7">
        <f t="shared" si="2"/>
        <v>15900</v>
      </c>
      <c r="N25" s="7">
        <v>0</v>
      </c>
      <c r="O25" s="7">
        <f t="shared" si="3"/>
        <v>15900</v>
      </c>
      <c r="P25" s="7">
        <f t="shared" si="4"/>
        <v>11615</v>
      </c>
      <c r="Q25" s="7">
        <f t="shared" si="5"/>
        <v>11615</v>
      </c>
      <c r="R25" s="7">
        <f t="shared" si="6"/>
        <v>3665</v>
      </c>
      <c r="S25" s="7">
        <f t="shared" si="7"/>
        <v>7950</v>
      </c>
      <c r="T25" s="7">
        <f t="shared" si="8"/>
        <v>2236.8238993710693</v>
      </c>
      <c r="U25" s="7">
        <f t="shared" si="9"/>
        <v>2048.1761006289307</v>
      </c>
      <c r="V25" s="7">
        <f t="shared" si="10"/>
        <v>0</v>
      </c>
      <c r="W25" s="7">
        <f t="shared" si="11"/>
        <v>0</v>
      </c>
      <c r="X25" s="7">
        <f t="shared" si="12"/>
        <v>15900</v>
      </c>
      <c r="Y25" s="7">
        <f t="shared" si="13"/>
        <v>15900</v>
      </c>
      <c r="Z25" s="5" t="str">
        <f t="shared" si="14"/>
        <v>No</v>
      </c>
      <c r="AA25" s="7">
        <f t="shared" si="15"/>
        <v>0</v>
      </c>
      <c r="AB25" s="19" t="s">
        <v>144</v>
      </c>
      <c r="AC25" s="7">
        <f t="shared" si="16"/>
        <v>11615</v>
      </c>
      <c r="AD25" s="7">
        <f t="shared" si="17"/>
        <v>1394</v>
      </c>
      <c r="AE25" s="7">
        <f t="shared" si="18"/>
        <v>1394</v>
      </c>
      <c r="AF25" s="5" t="str">
        <f t="shared" si="19"/>
        <v>Y</v>
      </c>
      <c r="AG25" s="7">
        <f t="shared" si="20"/>
        <v>119</v>
      </c>
      <c r="AH25" s="7">
        <f t="shared" si="21"/>
        <v>517</v>
      </c>
      <c r="AI25" s="7">
        <f t="shared" si="22"/>
        <v>130</v>
      </c>
      <c r="AJ25" s="7">
        <f t="shared" si="23"/>
        <v>14257</v>
      </c>
      <c r="AK25" s="7">
        <f t="shared" si="24"/>
        <v>17811</v>
      </c>
    </row>
    <row r="26" spans="1:37" x14ac:dyDescent="0.25">
      <c r="A26" s="6">
        <v>20</v>
      </c>
      <c r="B26" s="5" t="s">
        <v>183</v>
      </c>
      <c r="C26" s="5" t="s">
        <v>22</v>
      </c>
      <c r="D26" s="5" t="s">
        <v>184</v>
      </c>
      <c r="E26" s="18" t="s">
        <v>185</v>
      </c>
      <c r="F26" s="5" t="str">
        <f t="shared" si="0"/>
        <v>Unskilled</v>
      </c>
      <c r="G26" s="7">
        <f t="shared" si="1"/>
        <v>10558</v>
      </c>
      <c r="H26" s="7">
        <v>6400</v>
      </c>
      <c r="I26" s="7">
        <v>3250</v>
      </c>
      <c r="J26" s="7">
        <v>2550</v>
      </c>
      <c r="K26" s="7">
        <v>0</v>
      </c>
      <c r="L26" s="7">
        <v>0</v>
      </c>
      <c r="M26" s="7">
        <f t="shared" si="2"/>
        <v>12200</v>
      </c>
      <c r="N26" s="7">
        <v>0</v>
      </c>
      <c r="O26" s="7">
        <f t="shared" si="3"/>
        <v>12200</v>
      </c>
      <c r="P26" s="7">
        <f t="shared" si="4"/>
        <v>10558</v>
      </c>
      <c r="Q26" s="7">
        <f t="shared" si="5"/>
        <v>10558</v>
      </c>
      <c r="R26" s="7">
        <f t="shared" si="6"/>
        <v>4158</v>
      </c>
      <c r="S26" s="7">
        <f t="shared" si="7"/>
        <v>5800</v>
      </c>
      <c r="T26" s="7">
        <f t="shared" si="8"/>
        <v>920.08620689655208</v>
      </c>
      <c r="U26" s="7">
        <f t="shared" si="9"/>
        <v>721.91379310344837</v>
      </c>
      <c r="V26" s="7">
        <f t="shared" si="10"/>
        <v>0</v>
      </c>
      <c r="W26" s="7">
        <f t="shared" si="11"/>
        <v>0</v>
      </c>
      <c r="X26" s="7">
        <f t="shared" si="12"/>
        <v>12200</v>
      </c>
      <c r="Y26" s="7">
        <f t="shared" si="13"/>
        <v>12200</v>
      </c>
      <c r="Z26" s="5" t="str">
        <f t="shared" si="14"/>
        <v>No</v>
      </c>
      <c r="AA26" s="7">
        <f t="shared" si="15"/>
        <v>0</v>
      </c>
      <c r="AB26" s="19" t="s">
        <v>144</v>
      </c>
      <c r="AC26" s="7">
        <f t="shared" si="16"/>
        <v>10558</v>
      </c>
      <c r="AD26" s="7">
        <f t="shared" si="17"/>
        <v>1267</v>
      </c>
      <c r="AE26" s="7">
        <f t="shared" si="18"/>
        <v>1267</v>
      </c>
      <c r="AF26" s="5" t="str">
        <f t="shared" si="19"/>
        <v>Y</v>
      </c>
      <c r="AG26" s="7">
        <f t="shared" si="20"/>
        <v>92</v>
      </c>
      <c r="AH26" s="7">
        <f t="shared" si="21"/>
        <v>397</v>
      </c>
      <c r="AI26" s="7">
        <f t="shared" si="22"/>
        <v>110</v>
      </c>
      <c r="AJ26" s="7">
        <f t="shared" si="23"/>
        <v>10731</v>
      </c>
      <c r="AK26" s="7">
        <f t="shared" si="24"/>
        <v>13864</v>
      </c>
    </row>
    <row r="27" spans="1:37" x14ac:dyDescent="0.25">
      <c r="A27" s="6">
        <v>21</v>
      </c>
      <c r="B27" s="5" t="s">
        <v>186</v>
      </c>
      <c r="C27" s="5" t="s">
        <v>22</v>
      </c>
      <c r="D27" s="5" t="s">
        <v>187</v>
      </c>
      <c r="E27" s="18" t="s">
        <v>188</v>
      </c>
      <c r="F27" s="5" t="str">
        <f t="shared" si="0"/>
        <v>Skilled</v>
      </c>
      <c r="G27" s="7">
        <f t="shared" si="1"/>
        <v>12777</v>
      </c>
      <c r="H27" s="7">
        <v>6645</v>
      </c>
      <c r="I27" s="7">
        <v>4490</v>
      </c>
      <c r="J27" s="7">
        <v>4090</v>
      </c>
      <c r="K27" s="7">
        <v>0</v>
      </c>
      <c r="L27" s="7">
        <v>0</v>
      </c>
      <c r="M27" s="7">
        <f t="shared" si="2"/>
        <v>15225</v>
      </c>
      <c r="N27" s="7">
        <v>0</v>
      </c>
      <c r="O27" s="7">
        <f t="shared" si="3"/>
        <v>15225</v>
      </c>
      <c r="P27" s="7">
        <f t="shared" si="4"/>
        <v>12777</v>
      </c>
      <c r="Q27" s="7">
        <f t="shared" si="5"/>
        <v>12777</v>
      </c>
      <c r="R27" s="7">
        <f t="shared" si="6"/>
        <v>6132</v>
      </c>
      <c r="S27" s="7">
        <f t="shared" si="7"/>
        <v>8580</v>
      </c>
      <c r="T27" s="7">
        <f t="shared" si="8"/>
        <v>1281.0629370629372</v>
      </c>
      <c r="U27" s="7">
        <f t="shared" si="9"/>
        <v>1166.9370629370628</v>
      </c>
      <c r="V27" s="7">
        <f t="shared" si="10"/>
        <v>0</v>
      </c>
      <c r="W27" s="7">
        <f t="shared" si="11"/>
        <v>0</v>
      </c>
      <c r="X27" s="7">
        <f t="shared" si="12"/>
        <v>15225</v>
      </c>
      <c r="Y27" s="7">
        <f t="shared" si="13"/>
        <v>15225</v>
      </c>
      <c r="Z27" s="5" t="str">
        <f t="shared" si="14"/>
        <v>No</v>
      </c>
      <c r="AA27" s="7">
        <f t="shared" si="15"/>
        <v>0</v>
      </c>
      <c r="AB27" s="19" t="s">
        <v>144</v>
      </c>
      <c r="AC27" s="7">
        <f t="shared" si="16"/>
        <v>12777</v>
      </c>
      <c r="AD27" s="7">
        <f t="shared" si="17"/>
        <v>1533</v>
      </c>
      <c r="AE27" s="7">
        <f t="shared" si="18"/>
        <v>1533</v>
      </c>
      <c r="AF27" s="5" t="str">
        <f t="shared" si="19"/>
        <v>Y</v>
      </c>
      <c r="AG27" s="7">
        <f t="shared" si="20"/>
        <v>114</v>
      </c>
      <c r="AH27" s="7">
        <f t="shared" si="21"/>
        <v>495</v>
      </c>
      <c r="AI27" s="7">
        <f t="shared" si="22"/>
        <v>130</v>
      </c>
      <c r="AJ27" s="7">
        <f t="shared" si="23"/>
        <v>13448</v>
      </c>
      <c r="AK27" s="7">
        <f t="shared" si="24"/>
        <v>17253</v>
      </c>
    </row>
    <row r="28" spans="1:37" x14ac:dyDescent="0.25">
      <c r="A28" s="6">
        <v>22</v>
      </c>
      <c r="B28" s="5" t="s">
        <v>189</v>
      </c>
      <c r="C28" s="5" t="s">
        <v>22</v>
      </c>
      <c r="D28" s="5" t="s">
        <v>176</v>
      </c>
      <c r="E28" s="18" t="s">
        <v>190</v>
      </c>
      <c r="F28" s="5" t="str">
        <f t="shared" si="0"/>
        <v>Semi-Skilled</v>
      </c>
      <c r="G28" s="7">
        <f t="shared" si="1"/>
        <v>11615</v>
      </c>
      <c r="H28" s="7">
        <v>7900</v>
      </c>
      <c r="I28" s="7">
        <v>4100</v>
      </c>
      <c r="J28" s="7">
        <v>3800</v>
      </c>
      <c r="K28" s="7">
        <v>0</v>
      </c>
      <c r="L28" s="7">
        <v>0</v>
      </c>
      <c r="M28" s="7">
        <f t="shared" si="2"/>
        <v>15800</v>
      </c>
      <c r="N28" s="7">
        <v>0</v>
      </c>
      <c r="O28" s="7">
        <f t="shared" si="3"/>
        <v>15800</v>
      </c>
      <c r="P28" s="7">
        <f t="shared" si="4"/>
        <v>11615</v>
      </c>
      <c r="Q28" s="7">
        <f t="shared" si="5"/>
        <v>11615</v>
      </c>
      <c r="R28" s="7">
        <f t="shared" si="6"/>
        <v>3715</v>
      </c>
      <c r="S28" s="7">
        <f t="shared" si="7"/>
        <v>7900</v>
      </c>
      <c r="T28" s="7">
        <f t="shared" si="8"/>
        <v>2171.9620253164558</v>
      </c>
      <c r="U28" s="7">
        <f t="shared" si="9"/>
        <v>2013.0379746835442</v>
      </c>
      <c r="V28" s="7">
        <f t="shared" si="10"/>
        <v>0</v>
      </c>
      <c r="W28" s="7">
        <f t="shared" si="11"/>
        <v>0</v>
      </c>
      <c r="X28" s="7">
        <f t="shared" si="12"/>
        <v>15800</v>
      </c>
      <c r="Y28" s="7">
        <f t="shared" si="13"/>
        <v>15800</v>
      </c>
      <c r="Z28" s="5" t="str">
        <f t="shared" si="14"/>
        <v>No</v>
      </c>
      <c r="AA28" s="7">
        <f t="shared" si="15"/>
        <v>0</v>
      </c>
      <c r="AB28" s="19" t="s">
        <v>144</v>
      </c>
      <c r="AC28" s="7">
        <f t="shared" si="16"/>
        <v>11615</v>
      </c>
      <c r="AD28" s="7">
        <f t="shared" si="17"/>
        <v>1394</v>
      </c>
      <c r="AE28" s="7">
        <f t="shared" si="18"/>
        <v>1394</v>
      </c>
      <c r="AF28" s="5" t="str">
        <f t="shared" si="19"/>
        <v>Y</v>
      </c>
      <c r="AG28" s="7">
        <f t="shared" si="20"/>
        <v>119</v>
      </c>
      <c r="AH28" s="7">
        <f t="shared" si="21"/>
        <v>514</v>
      </c>
      <c r="AI28" s="7">
        <f t="shared" si="22"/>
        <v>130</v>
      </c>
      <c r="AJ28" s="7">
        <f t="shared" si="23"/>
        <v>14157</v>
      </c>
      <c r="AK28" s="7">
        <f t="shared" si="24"/>
        <v>17708</v>
      </c>
    </row>
    <row r="29" spans="1:37" x14ac:dyDescent="0.25">
      <c r="A29" s="6">
        <v>23</v>
      </c>
      <c r="B29" s="5" t="s">
        <v>191</v>
      </c>
      <c r="C29" s="5" t="s">
        <v>22</v>
      </c>
      <c r="D29" s="5" t="s">
        <v>192</v>
      </c>
      <c r="E29" s="18" t="s">
        <v>193</v>
      </c>
      <c r="F29" s="5" t="str">
        <f t="shared" si="0"/>
        <v>Semi-Skilled</v>
      </c>
      <c r="G29" s="7">
        <f t="shared" si="1"/>
        <v>11615</v>
      </c>
      <c r="H29" s="7">
        <v>7980</v>
      </c>
      <c r="I29" s="7">
        <v>3660</v>
      </c>
      <c r="J29" s="7">
        <v>3360</v>
      </c>
      <c r="K29" s="7">
        <v>0</v>
      </c>
      <c r="L29" s="7">
        <v>0</v>
      </c>
      <c r="M29" s="7">
        <f t="shared" si="2"/>
        <v>15000</v>
      </c>
      <c r="N29" s="7">
        <v>0</v>
      </c>
      <c r="O29" s="7">
        <f t="shared" si="3"/>
        <v>15000</v>
      </c>
      <c r="P29" s="7">
        <f t="shared" si="4"/>
        <v>11615</v>
      </c>
      <c r="Q29" s="7">
        <f t="shared" si="5"/>
        <v>11615</v>
      </c>
      <c r="R29" s="7">
        <f t="shared" si="6"/>
        <v>3635</v>
      </c>
      <c r="S29" s="7">
        <f t="shared" si="7"/>
        <v>7020</v>
      </c>
      <c r="T29" s="7">
        <f t="shared" si="8"/>
        <v>1764.8290598290596</v>
      </c>
      <c r="U29" s="7">
        <f t="shared" si="9"/>
        <v>1620.1709401709402</v>
      </c>
      <c r="V29" s="7">
        <f t="shared" si="10"/>
        <v>0</v>
      </c>
      <c r="W29" s="7">
        <f t="shared" si="11"/>
        <v>0</v>
      </c>
      <c r="X29" s="7">
        <f t="shared" si="12"/>
        <v>15000</v>
      </c>
      <c r="Y29" s="7">
        <f t="shared" si="13"/>
        <v>15000</v>
      </c>
      <c r="Z29" s="5" t="str">
        <f t="shared" si="14"/>
        <v>No</v>
      </c>
      <c r="AA29" s="7">
        <f t="shared" si="15"/>
        <v>0</v>
      </c>
      <c r="AB29" s="19" t="s">
        <v>144</v>
      </c>
      <c r="AC29" s="7">
        <f t="shared" si="16"/>
        <v>11615</v>
      </c>
      <c r="AD29" s="7">
        <f t="shared" si="17"/>
        <v>1394</v>
      </c>
      <c r="AE29" s="7">
        <f t="shared" si="18"/>
        <v>1394</v>
      </c>
      <c r="AF29" s="5" t="str">
        <f t="shared" si="19"/>
        <v>Y</v>
      </c>
      <c r="AG29" s="7">
        <f t="shared" si="20"/>
        <v>113</v>
      </c>
      <c r="AH29" s="7">
        <f t="shared" si="21"/>
        <v>488</v>
      </c>
      <c r="AI29" s="7">
        <f t="shared" si="22"/>
        <v>110</v>
      </c>
      <c r="AJ29" s="7">
        <f t="shared" si="23"/>
        <v>13383</v>
      </c>
      <c r="AK29" s="7">
        <f t="shared" si="24"/>
        <v>16882</v>
      </c>
    </row>
    <row r="30" spans="1:37" x14ac:dyDescent="0.25">
      <c r="A30" s="6">
        <v>24</v>
      </c>
      <c r="B30" s="5" t="s">
        <v>194</v>
      </c>
      <c r="C30" s="5" t="s">
        <v>22</v>
      </c>
      <c r="D30" s="5" t="s">
        <v>195</v>
      </c>
      <c r="E30" s="18" t="s">
        <v>196</v>
      </c>
      <c r="F30" s="5" t="str">
        <f t="shared" si="0"/>
        <v>Skilled</v>
      </c>
      <c r="G30" s="7">
        <f t="shared" si="1"/>
        <v>12777</v>
      </c>
      <c r="H30" s="7">
        <v>8500</v>
      </c>
      <c r="I30" s="7">
        <v>4000</v>
      </c>
      <c r="J30" s="7">
        <v>3000</v>
      </c>
      <c r="K30" s="7">
        <v>0</v>
      </c>
      <c r="L30" s="7">
        <v>0</v>
      </c>
      <c r="M30" s="7">
        <f t="shared" si="2"/>
        <v>15500</v>
      </c>
      <c r="N30" s="7">
        <v>0</v>
      </c>
      <c r="O30" s="7">
        <f t="shared" si="3"/>
        <v>15500</v>
      </c>
      <c r="P30" s="7">
        <f t="shared" si="4"/>
        <v>12777</v>
      </c>
      <c r="Q30" s="7">
        <f t="shared" si="5"/>
        <v>12777</v>
      </c>
      <c r="R30" s="7">
        <f t="shared" si="6"/>
        <v>4277</v>
      </c>
      <c r="S30" s="7">
        <f t="shared" si="7"/>
        <v>7000</v>
      </c>
      <c r="T30" s="7">
        <f t="shared" si="8"/>
        <v>1556</v>
      </c>
      <c r="U30" s="7">
        <f t="shared" si="9"/>
        <v>1167</v>
      </c>
      <c r="V30" s="7">
        <f t="shared" si="10"/>
        <v>0</v>
      </c>
      <c r="W30" s="7">
        <f t="shared" si="11"/>
        <v>0</v>
      </c>
      <c r="X30" s="7">
        <f t="shared" si="12"/>
        <v>15500</v>
      </c>
      <c r="Y30" s="7">
        <f t="shared" si="13"/>
        <v>15500</v>
      </c>
      <c r="Z30" s="5" t="str">
        <f t="shared" si="14"/>
        <v>No</v>
      </c>
      <c r="AA30" s="7">
        <f t="shared" si="15"/>
        <v>0</v>
      </c>
      <c r="AB30" s="19" t="s">
        <v>144</v>
      </c>
      <c r="AC30" s="7">
        <f t="shared" si="16"/>
        <v>12777</v>
      </c>
      <c r="AD30" s="7">
        <f t="shared" si="17"/>
        <v>1533</v>
      </c>
      <c r="AE30" s="7">
        <f t="shared" si="18"/>
        <v>1533</v>
      </c>
      <c r="AF30" s="5" t="str">
        <f t="shared" si="19"/>
        <v>Y</v>
      </c>
      <c r="AG30" s="7">
        <f t="shared" si="20"/>
        <v>116</v>
      </c>
      <c r="AH30" s="7">
        <f t="shared" si="21"/>
        <v>504</v>
      </c>
      <c r="AI30" s="7">
        <f t="shared" si="22"/>
        <v>130</v>
      </c>
      <c r="AJ30" s="7">
        <f t="shared" si="23"/>
        <v>13721</v>
      </c>
      <c r="AK30" s="7">
        <f t="shared" si="24"/>
        <v>17537</v>
      </c>
    </row>
    <row r="31" spans="1:37" x14ac:dyDescent="0.25">
      <c r="A31" s="6">
        <v>25</v>
      </c>
      <c r="B31" s="5" t="s">
        <v>197</v>
      </c>
      <c r="C31" s="5" t="s">
        <v>22</v>
      </c>
      <c r="D31" s="5" t="s">
        <v>176</v>
      </c>
      <c r="E31" s="18" t="s">
        <v>198</v>
      </c>
      <c r="F31" s="5" t="str">
        <f t="shared" si="0"/>
        <v>Semi-Skilled</v>
      </c>
      <c r="G31" s="7">
        <f t="shared" si="1"/>
        <v>11615</v>
      </c>
      <c r="H31" s="7">
        <v>8400</v>
      </c>
      <c r="I31" s="7">
        <v>4900</v>
      </c>
      <c r="J31" s="7">
        <v>4000</v>
      </c>
      <c r="K31" s="7">
        <v>0</v>
      </c>
      <c r="L31" s="7">
        <v>0</v>
      </c>
      <c r="M31" s="7">
        <f t="shared" si="2"/>
        <v>17300</v>
      </c>
      <c r="N31" s="7">
        <v>0</v>
      </c>
      <c r="O31" s="7">
        <f t="shared" si="3"/>
        <v>17300</v>
      </c>
      <c r="P31" s="7">
        <f t="shared" si="4"/>
        <v>11615</v>
      </c>
      <c r="Q31" s="7">
        <f t="shared" si="5"/>
        <v>11615</v>
      </c>
      <c r="R31" s="7">
        <f t="shared" si="6"/>
        <v>3215</v>
      </c>
      <c r="S31" s="7">
        <f t="shared" si="7"/>
        <v>8900</v>
      </c>
      <c r="T31" s="7">
        <f t="shared" si="8"/>
        <v>3129.9438202247193</v>
      </c>
      <c r="U31" s="7">
        <f t="shared" si="9"/>
        <v>2555.0561797752807</v>
      </c>
      <c r="V31" s="7">
        <f t="shared" si="10"/>
        <v>0</v>
      </c>
      <c r="W31" s="7">
        <f t="shared" si="11"/>
        <v>0</v>
      </c>
      <c r="X31" s="7">
        <f t="shared" si="12"/>
        <v>17300</v>
      </c>
      <c r="Y31" s="7">
        <f t="shared" si="13"/>
        <v>17300</v>
      </c>
      <c r="Z31" s="5" t="str">
        <f t="shared" si="14"/>
        <v>No</v>
      </c>
      <c r="AA31" s="7">
        <f t="shared" si="15"/>
        <v>0</v>
      </c>
      <c r="AB31" s="19" t="s">
        <v>144</v>
      </c>
      <c r="AC31" s="7">
        <f t="shared" si="16"/>
        <v>11615</v>
      </c>
      <c r="AD31" s="7">
        <f t="shared" si="17"/>
        <v>1394</v>
      </c>
      <c r="AE31" s="7">
        <f t="shared" si="18"/>
        <v>1394</v>
      </c>
      <c r="AF31" s="5" t="str">
        <f t="shared" si="19"/>
        <v>Y</v>
      </c>
      <c r="AG31" s="7">
        <f t="shared" si="20"/>
        <v>130</v>
      </c>
      <c r="AH31" s="7">
        <f t="shared" si="21"/>
        <v>562</v>
      </c>
      <c r="AI31" s="7">
        <f t="shared" si="22"/>
        <v>130</v>
      </c>
      <c r="AJ31" s="7">
        <f t="shared" si="23"/>
        <v>15646</v>
      </c>
      <c r="AK31" s="7">
        <f t="shared" si="24"/>
        <v>19256</v>
      </c>
    </row>
    <row r="32" spans="1:37" x14ac:dyDescent="0.25">
      <c r="A32" s="6">
        <v>26</v>
      </c>
      <c r="B32" s="5" t="s">
        <v>199</v>
      </c>
      <c r="C32" s="5" t="s">
        <v>22</v>
      </c>
      <c r="D32" s="5" t="s">
        <v>176</v>
      </c>
      <c r="E32" s="18" t="s">
        <v>200</v>
      </c>
      <c r="F32" s="5" t="str">
        <f t="shared" si="0"/>
        <v>Semi-Skilled</v>
      </c>
      <c r="G32" s="7">
        <f t="shared" si="1"/>
        <v>11615</v>
      </c>
      <c r="H32" s="7">
        <v>19000</v>
      </c>
      <c r="I32" s="7">
        <v>0</v>
      </c>
      <c r="J32" s="7">
        <v>0</v>
      </c>
      <c r="K32" s="7">
        <v>0</v>
      </c>
      <c r="L32" s="7">
        <v>0</v>
      </c>
      <c r="M32" s="7">
        <f t="shared" si="2"/>
        <v>19000</v>
      </c>
      <c r="N32" s="7">
        <v>0</v>
      </c>
      <c r="O32" s="7">
        <f t="shared" si="3"/>
        <v>19000</v>
      </c>
      <c r="P32" s="7">
        <f t="shared" si="4"/>
        <v>11615</v>
      </c>
      <c r="Q32" s="7">
        <f t="shared" si="5"/>
        <v>19000</v>
      </c>
      <c r="R32" s="7">
        <f t="shared" si="6"/>
        <v>0</v>
      </c>
      <c r="S32" s="7">
        <f t="shared" si="7"/>
        <v>0</v>
      </c>
      <c r="T32" s="7">
        <f t="shared" si="8"/>
        <v>0</v>
      </c>
      <c r="U32" s="7">
        <f t="shared" si="9"/>
        <v>0</v>
      </c>
      <c r="V32" s="7">
        <f t="shared" si="10"/>
        <v>0</v>
      </c>
      <c r="W32" s="7">
        <f t="shared" si="11"/>
        <v>0</v>
      </c>
      <c r="X32" s="7">
        <f t="shared" si="12"/>
        <v>19000</v>
      </c>
      <c r="Y32" s="7">
        <f t="shared" si="13"/>
        <v>19000</v>
      </c>
      <c r="Z32" s="5" t="str">
        <f t="shared" si="14"/>
        <v>No</v>
      </c>
      <c r="AA32" s="7">
        <f t="shared" si="15"/>
        <v>0</v>
      </c>
      <c r="AB32" s="19" t="s">
        <v>178</v>
      </c>
      <c r="AC32" s="7">
        <f t="shared" si="16"/>
        <v>19000</v>
      </c>
      <c r="AD32" s="7">
        <f t="shared" si="17"/>
        <v>0</v>
      </c>
      <c r="AE32" s="7">
        <f t="shared" si="18"/>
        <v>0</v>
      </c>
      <c r="AF32" s="5" t="str">
        <f t="shared" si="19"/>
        <v>Y</v>
      </c>
      <c r="AG32" s="7">
        <f t="shared" si="20"/>
        <v>143</v>
      </c>
      <c r="AH32" s="7">
        <f t="shared" si="21"/>
        <v>618</v>
      </c>
      <c r="AI32" s="7">
        <f t="shared" si="22"/>
        <v>130</v>
      </c>
      <c r="AJ32" s="7">
        <f t="shared" si="23"/>
        <v>18727</v>
      </c>
      <c r="AK32" s="7">
        <f t="shared" si="24"/>
        <v>19618</v>
      </c>
    </row>
    <row r="33" spans="1:37" x14ac:dyDescent="0.25">
      <c r="A33" s="6">
        <v>27</v>
      </c>
      <c r="B33" s="5" t="s">
        <v>201</v>
      </c>
      <c r="C33" s="5" t="s">
        <v>22</v>
      </c>
      <c r="D33" s="5" t="s">
        <v>176</v>
      </c>
      <c r="E33" s="18" t="s">
        <v>202</v>
      </c>
      <c r="F33" s="5" t="str">
        <f t="shared" si="0"/>
        <v>Semi-Skilled</v>
      </c>
      <c r="G33" s="7">
        <f t="shared" si="1"/>
        <v>11615</v>
      </c>
      <c r="H33" s="7">
        <v>20600</v>
      </c>
      <c r="I33" s="7">
        <v>0</v>
      </c>
      <c r="J33" s="7">
        <v>0</v>
      </c>
      <c r="K33" s="7">
        <v>0</v>
      </c>
      <c r="L33" s="7">
        <v>0</v>
      </c>
      <c r="M33" s="7">
        <f t="shared" si="2"/>
        <v>20600</v>
      </c>
      <c r="N33" s="7">
        <v>0</v>
      </c>
      <c r="O33" s="7">
        <f t="shared" si="3"/>
        <v>20600</v>
      </c>
      <c r="P33" s="7">
        <f t="shared" si="4"/>
        <v>11615</v>
      </c>
      <c r="Q33" s="7">
        <f t="shared" si="5"/>
        <v>20600</v>
      </c>
      <c r="R33" s="7">
        <f t="shared" si="6"/>
        <v>0</v>
      </c>
      <c r="S33" s="7">
        <f t="shared" si="7"/>
        <v>0</v>
      </c>
      <c r="T33" s="7">
        <f t="shared" si="8"/>
        <v>0</v>
      </c>
      <c r="U33" s="7">
        <f t="shared" si="9"/>
        <v>0</v>
      </c>
      <c r="V33" s="7">
        <f t="shared" si="10"/>
        <v>0</v>
      </c>
      <c r="W33" s="7">
        <f t="shared" si="11"/>
        <v>0</v>
      </c>
      <c r="X33" s="7">
        <f t="shared" si="12"/>
        <v>20600</v>
      </c>
      <c r="Y33" s="7">
        <f t="shared" si="13"/>
        <v>20600</v>
      </c>
      <c r="Z33" s="5" t="str">
        <f t="shared" si="14"/>
        <v>No</v>
      </c>
      <c r="AA33" s="7">
        <f t="shared" si="15"/>
        <v>0</v>
      </c>
      <c r="AB33" s="19" t="s">
        <v>178</v>
      </c>
      <c r="AC33" s="7">
        <f t="shared" si="16"/>
        <v>20600</v>
      </c>
      <c r="AD33" s="7">
        <f t="shared" si="17"/>
        <v>0</v>
      </c>
      <c r="AE33" s="7">
        <f t="shared" si="18"/>
        <v>0</v>
      </c>
      <c r="AF33" s="5" t="str">
        <f t="shared" si="19"/>
        <v>Y</v>
      </c>
      <c r="AG33" s="7">
        <f t="shared" si="20"/>
        <v>155</v>
      </c>
      <c r="AH33" s="7">
        <f t="shared" si="21"/>
        <v>670</v>
      </c>
      <c r="AI33" s="7">
        <f t="shared" si="22"/>
        <v>130</v>
      </c>
      <c r="AJ33" s="7">
        <f t="shared" si="23"/>
        <v>20315</v>
      </c>
      <c r="AK33" s="7">
        <f t="shared" si="24"/>
        <v>21270</v>
      </c>
    </row>
    <row r="34" spans="1:37" x14ac:dyDescent="0.25">
      <c r="A34" s="6">
        <v>28</v>
      </c>
      <c r="B34" s="5" t="s">
        <v>203</v>
      </c>
      <c r="C34" s="5" t="s">
        <v>22</v>
      </c>
      <c r="D34" s="5" t="s">
        <v>176</v>
      </c>
      <c r="E34" s="18" t="s">
        <v>204</v>
      </c>
      <c r="F34" s="5" t="str">
        <f t="shared" si="0"/>
        <v>Semi-Skilled</v>
      </c>
      <c r="G34" s="7">
        <f t="shared" si="1"/>
        <v>11615</v>
      </c>
      <c r="H34" s="7">
        <v>20000</v>
      </c>
      <c r="I34" s="7">
        <v>0</v>
      </c>
      <c r="J34" s="7">
        <v>0</v>
      </c>
      <c r="K34" s="7">
        <v>0</v>
      </c>
      <c r="L34" s="7">
        <v>0</v>
      </c>
      <c r="M34" s="7">
        <f t="shared" si="2"/>
        <v>20000</v>
      </c>
      <c r="N34" s="7">
        <v>0</v>
      </c>
      <c r="O34" s="7">
        <f t="shared" si="3"/>
        <v>20000</v>
      </c>
      <c r="P34" s="7">
        <f t="shared" si="4"/>
        <v>11615</v>
      </c>
      <c r="Q34" s="7">
        <f t="shared" si="5"/>
        <v>20000</v>
      </c>
      <c r="R34" s="7">
        <f t="shared" si="6"/>
        <v>0</v>
      </c>
      <c r="S34" s="7">
        <f t="shared" si="7"/>
        <v>0</v>
      </c>
      <c r="T34" s="7">
        <f t="shared" si="8"/>
        <v>0</v>
      </c>
      <c r="U34" s="7">
        <f t="shared" si="9"/>
        <v>0</v>
      </c>
      <c r="V34" s="7">
        <f t="shared" si="10"/>
        <v>0</v>
      </c>
      <c r="W34" s="7">
        <f t="shared" si="11"/>
        <v>0</v>
      </c>
      <c r="X34" s="7">
        <f t="shared" si="12"/>
        <v>20000</v>
      </c>
      <c r="Y34" s="7">
        <f t="shared" si="13"/>
        <v>20000</v>
      </c>
      <c r="Z34" s="5" t="str">
        <f t="shared" si="14"/>
        <v>No</v>
      </c>
      <c r="AA34" s="7">
        <f t="shared" si="15"/>
        <v>0</v>
      </c>
      <c r="AB34" s="19" t="s">
        <v>178</v>
      </c>
      <c r="AC34" s="7">
        <f t="shared" si="16"/>
        <v>20000</v>
      </c>
      <c r="AD34" s="7">
        <f t="shared" si="17"/>
        <v>0</v>
      </c>
      <c r="AE34" s="7">
        <f t="shared" si="18"/>
        <v>0</v>
      </c>
      <c r="AF34" s="5" t="str">
        <f t="shared" si="19"/>
        <v>Y</v>
      </c>
      <c r="AG34" s="7">
        <f t="shared" si="20"/>
        <v>150</v>
      </c>
      <c r="AH34" s="7">
        <f t="shared" si="21"/>
        <v>650</v>
      </c>
      <c r="AI34" s="7">
        <f t="shared" si="22"/>
        <v>130</v>
      </c>
      <c r="AJ34" s="7">
        <f t="shared" si="23"/>
        <v>19720</v>
      </c>
      <c r="AK34" s="7">
        <f t="shared" si="24"/>
        <v>20650</v>
      </c>
    </row>
    <row r="35" spans="1:37" x14ac:dyDescent="0.25">
      <c r="A35" s="6">
        <v>29</v>
      </c>
      <c r="B35" s="5" t="s">
        <v>205</v>
      </c>
      <c r="C35" s="5" t="s">
        <v>22</v>
      </c>
      <c r="D35" s="5" t="s">
        <v>176</v>
      </c>
      <c r="E35" s="18" t="s">
        <v>206</v>
      </c>
      <c r="F35" s="5" t="str">
        <f t="shared" si="0"/>
        <v>Semi-Skilled</v>
      </c>
      <c r="G35" s="7">
        <f t="shared" si="1"/>
        <v>11615</v>
      </c>
      <c r="H35" s="7">
        <v>7850</v>
      </c>
      <c r="I35" s="7">
        <v>4150</v>
      </c>
      <c r="J35" s="7">
        <v>3700</v>
      </c>
      <c r="K35" s="7">
        <v>0</v>
      </c>
      <c r="L35" s="7">
        <v>0</v>
      </c>
      <c r="M35" s="7">
        <f t="shared" si="2"/>
        <v>15700</v>
      </c>
      <c r="N35" s="7">
        <v>0</v>
      </c>
      <c r="O35" s="7">
        <f t="shared" si="3"/>
        <v>15700</v>
      </c>
      <c r="P35" s="7">
        <f t="shared" si="4"/>
        <v>11615</v>
      </c>
      <c r="Q35" s="7">
        <f t="shared" si="5"/>
        <v>11615</v>
      </c>
      <c r="R35" s="7">
        <f t="shared" si="6"/>
        <v>3765</v>
      </c>
      <c r="S35" s="7">
        <f t="shared" si="7"/>
        <v>7850</v>
      </c>
      <c r="T35" s="7">
        <f t="shared" si="8"/>
        <v>2159.5859872611463</v>
      </c>
      <c r="U35" s="7">
        <f t="shared" si="9"/>
        <v>1925.4140127388534</v>
      </c>
      <c r="V35" s="7">
        <f t="shared" si="10"/>
        <v>0</v>
      </c>
      <c r="W35" s="7">
        <f t="shared" si="11"/>
        <v>0</v>
      </c>
      <c r="X35" s="7">
        <f t="shared" si="12"/>
        <v>15700</v>
      </c>
      <c r="Y35" s="7">
        <f t="shared" si="13"/>
        <v>15700</v>
      </c>
      <c r="Z35" s="5" t="str">
        <f t="shared" si="14"/>
        <v>No</v>
      </c>
      <c r="AA35" s="7">
        <f t="shared" si="15"/>
        <v>0</v>
      </c>
      <c r="AB35" s="19" t="s">
        <v>144</v>
      </c>
      <c r="AC35" s="7">
        <f t="shared" si="16"/>
        <v>11615</v>
      </c>
      <c r="AD35" s="7">
        <f t="shared" si="17"/>
        <v>1394</v>
      </c>
      <c r="AE35" s="7">
        <f t="shared" si="18"/>
        <v>1394</v>
      </c>
      <c r="AF35" s="5" t="str">
        <f t="shared" si="19"/>
        <v>Y</v>
      </c>
      <c r="AG35" s="7">
        <f t="shared" si="20"/>
        <v>118</v>
      </c>
      <c r="AH35" s="7">
        <f t="shared" si="21"/>
        <v>510</v>
      </c>
      <c r="AI35" s="7">
        <f t="shared" si="22"/>
        <v>130</v>
      </c>
      <c r="AJ35" s="7">
        <f t="shared" si="23"/>
        <v>14058</v>
      </c>
      <c r="AK35" s="7">
        <f t="shared" si="24"/>
        <v>17604</v>
      </c>
    </row>
    <row r="36" spans="1:37" x14ac:dyDescent="0.25">
      <c r="A36" s="6">
        <v>30</v>
      </c>
      <c r="B36" s="5" t="s">
        <v>207</v>
      </c>
      <c r="C36" s="5" t="s">
        <v>22</v>
      </c>
      <c r="D36" s="5" t="s">
        <v>184</v>
      </c>
      <c r="E36" s="18" t="s">
        <v>208</v>
      </c>
      <c r="F36" s="5" t="str">
        <f t="shared" si="0"/>
        <v>Unskilled</v>
      </c>
      <c r="G36" s="7">
        <f t="shared" si="1"/>
        <v>10558</v>
      </c>
      <c r="H36" s="7">
        <v>6420</v>
      </c>
      <c r="I36" s="7">
        <v>3440</v>
      </c>
      <c r="J36" s="7">
        <v>2740</v>
      </c>
      <c r="K36" s="7">
        <v>0</v>
      </c>
      <c r="L36" s="7">
        <v>0</v>
      </c>
      <c r="M36" s="7">
        <f t="shared" si="2"/>
        <v>12600</v>
      </c>
      <c r="N36" s="7">
        <v>0</v>
      </c>
      <c r="O36" s="7">
        <f t="shared" si="3"/>
        <v>12600</v>
      </c>
      <c r="P36" s="7">
        <f t="shared" si="4"/>
        <v>10558</v>
      </c>
      <c r="Q36" s="7">
        <f t="shared" si="5"/>
        <v>10558</v>
      </c>
      <c r="R36" s="7">
        <f t="shared" si="6"/>
        <v>4138</v>
      </c>
      <c r="S36" s="7">
        <f t="shared" si="7"/>
        <v>6180</v>
      </c>
      <c r="T36" s="7">
        <f t="shared" si="8"/>
        <v>1136.6472491909385</v>
      </c>
      <c r="U36" s="7">
        <f t="shared" si="9"/>
        <v>905.35275080906149</v>
      </c>
      <c r="V36" s="7">
        <f t="shared" si="10"/>
        <v>0</v>
      </c>
      <c r="W36" s="7">
        <f t="shared" si="11"/>
        <v>0</v>
      </c>
      <c r="X36" s="7">
        <f t="shared" si="12"/>
        <v>12600</v>
      </c>
      <c r="Y36" s="7">
        <f t="shared" si="13"/>
        <v>12600</v>
      </c>
      <c r="Z36" s="5" t="str">
        <f t="shared" si="14"/>
        <v>No</v>
      </c>
      <c r="AA36" s="7">
        <f t="shared" si="15"/>
        <v>0</v>
      </c>
      <c r="AB36" s="19" t="s">
        <v>144</v>
      </c>
      <c r="AC36" s="7">
        <f t="shared" si="16"/>
        <v>10558</v>
      </c>
      <c r="AD36" s="7">
        <f t="shared" si="17"/>
        <v>1267</v>
      </c>
      <c r="AE36" s="7">
        <f t="shared" si="18"/>
        <v>1267</v>
      </c>
      <c r="AF36" s="5" t="str">
        <f t="shared" si="19"/>
        <v>Y</v>
      </c>
      <c r="AG36" s="7">
        <f t="shared" si="20"/>
        <v>95</v>
      </c>
      <c r="AH36" s="7">
        <f t="shared" si="21"/>
        <v>410</v>
      </c>
      <c r="AI36" s="7">
        <f t="shared" si="22"/>
        <v>110</v>
      </c>
      <c r="AJ36" s="7">
        <f t="shared" si="23"/>
        <v>11128</v>
      </c>
      <c r="AK36" s="7">
        <f t="shared" si="24"/>
        <v>14277</v>
      </c>
    </row>
    <row r="37" spans="1:37" x14ac:dyDescent="0.25">
      <c r="A37" s="6">
        <v>31</v>
      </c>
      <c r="B37" s="5" t="s">
        <v>209</v>
      </c>
      <c r="C37" s="5" t="s">
        <v>22</v>
      </c>
      <c r="D37" s="5" t="s">
        <v>192</v>
      </c>
      <c r="E37" s="18" t="s">
        <v>210</v>
      </c>
      <c r="F37" s="5" t="str">
        <f t="shared" si="0"/>
        <v>Semi-Skilled</v>
      </c>
      <c r="G37" s="7">
        <f t="shared" si="1"/>
        <v>11615</v>
      </c>
      <c r="H37" s="7">
        <v>6590</v>
      </c>
      <c r="I37" s="7">
        <v>4280</v>
      </c>
      <c r="J37" s="7">
        <v>3130</v>
      </c>
      <c r="K37" s="7">
        <v>0</v>
      </c>
      <c r="L37" s="7">
        <v>0</v>
      </c>
      <c r="M37" s="7">
        <f t="shared" si="2"/>
        <v>14000</v>
      </c>
      <c r="N37" s="7">
        <v>0</v>
      </c>
      <c r="O37" s="7">
        <f t="shared" si="3"/>
        <v>14000</v>
      </c>
      <c r="P37" s="7">
        <f t="shared" si="4"/>
        <v>11615</v>
      </c>
      <c r="Q37" s="7">
        <f t="shared" si="5"/>
        <v>11615</v>
      </c>
      <c r="R37" s="7">
        <f t="shared" si="6"/>
        <v>5025</v>
      </c>
      <c r="S37" s="7">
        <f t="shared" si="7"/>
        <v>7410</v>
      </c>
      <c r="T37" s="7">
        <f t="shared" si="8"/>
        <v>1377.570850202429</v>
      </c>
      <c r="U37" s="7">
        <f t="shared" si="9"/>
        <v>1007.429149797571</v>
      </c>
      <c r="V37" s="7">
        <f t="shared" si="10"/>
        <v>0</v>
      </c>
      <c r="W37" s="7">
        <f t="shared" si="11"/>
        <v>0</v>
      </c>
      <c r="X37" s="7">
        <f t="shared" si="12"/>
        <v>14000</v>
      </c>
      <c r="Y37" s="7">
        <f t="shared" si="13"/>
        <v>14000</v>
      </c>
      <c r="Z37" s="5" t="str">
        <f t="shared" si="14"/>
        <v>No</v>
      </c>
      <c r="AA37" s="7">
        <f t="shared" si="15"/>
        <v>0</v>
      </c>
      <c r="AB37" s="19" t="s">
        <v>144</v>
      </c>
      <c r="AC37" s="7">
        <f t="shared" si="16"/>
        <v>11615</v>
      </c>
      <c r="AD37" s="7">
        <f t="shared" si="17"/>
        <v>1394</v>
      </c>
      <c r="AE37" s="7">
        <f t="shared" si="18"/>
        <v>1394</v>
      </c>
      <c r="AF37" s="5" t="str">
        <f t="shared" si="19"/>
        <v>Y</v>
      </c>
      <c r="AG37" s="7">
        <f t="shared" si="20"/>
        <v>105</v>
      </c>
      <c r="AH37" s="7">
        <f t="shared" si="21"/>
        <v>455</v>
      </c>
      <c r="AI37" s="7">
        <f t="shared" si="22"/>
        <v>110</v>
      </c>
      <c r="AJ37" s="7">
        <f t="shared" si="23"/>
        <v>12391</v>
      </c>
      <c r="AK37" s="7">
        <f t="shared" si="24"/>
        <v>15849</v>
      </c>
    </row>
    <row r="38" spans="1:37" x14ac:dyDescent="0.25">
      <c r="A38" s="6">
        <v>32</v>
      </c>
      <c r="B38" s="5" t="s">
        <v>211</v>
      </c>
      <c r="C38" s="5" t="s">
        <v>22</v>
      </c>
      <c r="D38" s="5" t="s">
        <v>192</v>
      </c>
      <c r="E38" s="18" t="s">
        <v>212</v>
      </c>
      <c r="F38" s="5" t="str">
        <f t="shared" si="0"/>
        <v>Semi-Skilled</v>
      </c>
      <c r="G38" s="7">
        <f t="shared" si="1"/>
        <v>11615</v>
      </c>
      <c r="H38" s="7">
        <v>7290</v>
      </c>
      <c r="I38" s="7">
        <v>4180</v>
      </c>
      <c r="J38" s="7">
        <v>3730</v>
      </c>
      <c r="K38" s="7">
        <v>0</v>
      </c>
      <c r="L38" s="7">
        <v>0</v>
      </c>
      <c r="M38" s="7">
        <f t="shared" si="2"/>
        <v>15200</v>
      </c>
      <c r="N38" s="7">
        <v>0</v>
      </c>
      <c r="O38" s="7">
        <f t="shared" si="3"/>
        <v>15200</v>
      </c>
      <c r="P38" s="7">
        <f t="shared" si="4"/>
        <v>11615</v>
      </c>
      <c r="Q38" s="7">
        <f t="shared" si="5"/>
        <v>11615</v>
      </c>
      <c r="R38" s="7">
        <f t="shared" si="6"/>
        <v>4325</v>
      </c>
      <c r="S38" s="7">
        <f t="shared" si="7"/>
        <v>7910</v>
      </c>
      <c r="T38" s="7">
        <f t="shared" si="8"/>
        <v>1894.4753476611886</v>
      </c>
      <c r="U38" s="7">
        <f t="shared" si="9"/>
        <v>1690.5246523388116</v>
      </c>
      <c r="V38" s="7">
        <f t="shared" si="10"/>
        <v>0</v>
      </c>
      <c r="W38" s="7">
        <f t="shared" si="11"/>
        <v>0</v>
      </c>
      <c r="X38" s="7">
        <f t="shared" si="12"/>
        <v>15200</v>
      </c>
      <c r="Y38" s="7">
        <f t="shared" si="13"/>
        <v>15200</v>
      </c>
      <c r="Z38" s="5" t="str">
        <f t="shared" si="14"/>
        <v>No</v>
      </c>
      <c r="AA38" s="7">
        <f t="shared" si="15"/>
        <v>0</v>
      </c>
      <c r="AB38" s="19" t="s">
        <v>144</v>
      </c>
      <c r="AC38" s="7">
        <f t="shared" si="16"/>
        <v>11615</v>
      </c>
      <c r="AD38" s="7">
        <f t="shared" si="17"/>
        <v>1394</v>
      </c>
      <c r="AE38" s="7">
        <f t="shared" si="18"/>
        <v>1394</v>
      </c>
      <c r="AF38" s="5" t="str">
        <f t="shared" si="19"/>
        <v>Y</v>
      </c>
      <c r="AG38" s="7">
        <f t="shared" si="20"/>
        <v>114</v>
      </c>
      <c r="AH38" s="7">
        <f t="shared" si="21"/>
        <v>494</v>
      </c>
      <c r="AI38" s="7">
        <f t="shared" si="22"/>
        <v>130</v>
      </c>
      <c r="AJ38" s="7">
        <f t="shared" si="23"/>
        <v>13562</v>
      </c>
      <c r="AK38" s="7">
        <f t="shared" si="24"/>
        <v>17088</v>
      </c>
    </row>
    <row r="39" spans="1:37" x14ac:dyDescent="0.25">
      <c r="A39" s="6">
        <v>33</v>
      </c>
      <c r="B39" s="5" t="s">
        <v>213</v>
      </c>
      <c r="C39" s="5" t="s">
        <v>22</v>
      </c>
      <c r="D39" s="5" t="s">
        <v>187</v>
      </c>
      <c r="E39" s="18" t="s">
        <v>214</v>
      </c>
      <c r="F39" s="5" t="str">
        <f t="shared" ref="F39:F70" si="25">VLOOKUP(D39,SkillMap,2,0)</f>
        <v>Skilled</v>
      </c>
      <c r="G39" s="7">
        <f t="shared" ref="G39:G70" si="26">VLOOKUP(F39,MinWageTable,2,0)</f>
        <v>12777</v>
      </c>
      <c r="H39" s="7">
        <v>6750</v>
      </c>
      <c r="I39" s="7">
        <v>5710</v>
      </c>
      <c r="J39" s="7">
        <v>4340</v>
      </c>
      <c r="K39" s="7">
        <v>0</v>
      </c>
      <c r="L39" s="7">
        <v>0</v>
      </c>
      <c r="M39" s="7">
        <f t="shared" ref="M39:M70" si="27">SUM(H39:L39)</f>
        <v>16800</v>
      </c>
      <c r="N39" s="7">
        <v>0</v>
      </c>
      <c r="O39" s="7">
        <f t="shared" ref="O39:O70" si="28">M39+N39</f>
        <v>16800</v>
      </c>
      <c r="P39" s="7">
        <f t="shared" ref="P39:P70" si="29">MAX(G39,0.5*O39)</f>
        <v>12777</v>
      </c>
      <c r="Q39" s="7">
        <f t="shared" ref="Q39:Q70" si="30">MAX(H39,P39)</f>
        <v>12777</v>
      </c>
      <c r="R39" s="7">
        <f t="shared" ref="R39:R70" si="31">Q39-H39</f>
        <v>6027</v>
      </c>
      <c r="S39" s="7">
        <f t="shared" ref="S39:S70" si="32">SUM(I39:L39)</f>
        <v>10050</v>
      </c>
      <c r="T39" s="7">
        <f t="shared" ref="T39:T70" si="33">IF(S39=0,I39,I39-MIN(R39,S39)*(I39/S39))</f>
        <v>2285.7044776119405</v>
      </c>
      <c r="U39" s="7">
        <f t="shared" ref="U39:U70" si="34">IF(S39=0,J39,J39-MIN(R39,S39)*(J39/S39))</f>
        <v>1737.2955223880599</v>
      </c>
      <c r="V39" s="7">
        <f t="shared" ref="V39:V70" si="35">IF(S39=0,K39,K39-MIN(R39,S39)*(K39/S39))</f>
        <v>0</v>
      </c>
      <c r="W39" s="7">
        <f t="shared" ref="W39:W70" si="36">IF(S39=0,L39,L39-MIN(R39,S39)*(L39/S39))</f>
        <v>0</v>
      </c>
      <c r="X39" s="7">
        <f t="shared" ref="X39:X70" si="37">Q39+SUM(T39:W39)</f>
        <v>16800</v>
      </c>
      <c r="Y39" s="7">
        <f t="shared" ref="Y39:Y70" si="38">X39+N39</f>
        <v>16800</v>
      </c>
      <c r="Z39" s="5" t="str">
        <f t="shared" ref="Z39:Z70" si="39">IF(Y39&gt;O39,"YES","No")</f>
        <v>No</v>
      </c>
      <c r="AA39" s="7">
        <f t="shared" ref="AA39:AA70" si="40">MAX(Y39-O39,0)</f>
        <v>0</v>
      </c>
      <c r="AB39" s="19" t="s">
        <v>144</v>
      </c>
      <c r="AC39" s="7">
        <f t="shared" ref="AC39:AC70" si="41">Q39</f>
        <v>12777</v>
      </c>
      <c r="AD39" s="7">
        <f t="shared" ref="AD39:AD70" si="42">IF(AB39="Y",ROUND(AC39*12%,0),0)</f>
        <v>1533</v>
      </c>
      <c r="AE39" s="7">
        <f t="shared" ref="AE39:AE70" si="43">IF(AB39="Y",ROUND(AC39*12%,0),0)</f>
        <v>1533</v>
      </c>
      <c r="AF39" s="5" t="str">
        <f t="shared" ref="AF39:AF70" si="44">IF(Y39&lt;=21000,"Y","N")</f>
        <v>Y</v>
      </c>
      <c r="AG39" s="7">
        <f t="shared" ref="AG39:AG70" si="45">IF(AF39="Y",ROUND(Y39*0.75%,0),0)</f>
        <v>126</v>
      </c>
      <c r="AH39" s="7">
        <f t="shared" ref="AH39:AH70" si="46">IF(AF39="Y",ROUND(Y39*3.25%,0),0)</f>
        <v>546</v>
      </c>
      <c r="AI39" s="7">
        <f t="shared" ref="AI39:AI70" si="47">IF(Y39&lt;=10000,0,IF(Y39&lt;=15000,110,IF(Y39&lt;=25000,130,IF(Y39&lt;=40000,150,200))))</f>
        <v>130</v>
      </c>
      <c r="AJ39" s="7">
        <f t="shared" ref="AJ39:AJ70" si="48">Y39-AD39-AG39-AI39</f>
        <v>15011</v>
      </c>
      <c r="AK39" s="7">
        <f t="shared" ref="AK39:AK70" si="49">Y39+AE39+AH39</f>
        <v>18879</v>
      </c>
    </row>
    <row r="40" spans="1:37" x14ac:dyDescent="0.25">
      <c r="A40" s="6">
        <v>34</v>
      </c>
      <c r="B40" s="5" t="s">
        <v>215</v>
      </c>
      <c r="C40" s="5" t="s">
        <v>22</v>
      </c>
      <c r="D40" s="5" t="s">
        <v>176</v>
      </c>
      <c r="E40" s="18" t="s">
        <v>216</v>
      </c>
      <c r="F40" s="5" t="str">
        <f t="shared" si="25"/>
        <v>Semi-Skilled</v>
      </c>
      <c r="G40" s="7">
        <f t="shared" si="26"/>
        <v>11615</v>
      </c>
      <c r="H40" s="7">
        <v>19000</v>
      </c>
      <c r="I40" s="7">
        <v>0</v>
      </c>
      <c r="J40" s="7">
        <v>0</v>
      </c>
      <c r="K40" s="7">
        <v>0</v>
      </c>
      <c r="L40" s="7">
        <v>0</v>
      </c>
      <c r="M40" s="7">
        <f t="shared" si="27"/>
        <v>19000</v>
      </c>
      <c r="N40" s="7">
        <v>0</v>
      </c>
      <c r="O40" s="7">
        <f t="shared" si="28"/>
        <v>19000</v>
      </c>
      <c r="P40" s="7">
        <f t="shared" si="29"/>
        <v>11615</v>
      </c>
      <c r="Q40" s="7">
        <f t="shared" si="30"/>
        <v>19000</v>
      </c>
      <c r="R40" s="7">
        <f t="shared" si="31"/>
        <v>0</v>
      </c>
      <c r="S40" s="7">
        <f t="shared" si="32"/>
        <v>0</v>
      </c>
      <c r="T40" s="7">
        <f t="shared" si="33"/>
        <v>0</v>
      </c>
      <c r="U40" s="7">
        <f t="shared" si="34"/>
        <v>0</v>
      </c>
      <c r="V40" s="7">
        <f t="shared" si="35"/>
        <v>0</v>
      </c>
      <c r="W40" s="7">
        <f t="shared" si="36"/>
        <v>0</v>
      </c>
      <c r="X40" s="7">
        <f t="shared" si="37"/>
        <v>19000</v>
      </c>
      <c r="Y40" s="7">
        <f t="shared" si="38"/>
        <v>19000</v>
      </c>
      <c r="Z40" s="5" t="str">
        <f t="shared" si="39"/>
        <v>No</v>
      </c>
      <c r="AA40" s="7">
        <f t="shared" si="40"/>
        <v>0</v>
      </c>
      <c r="AB40" s="19" t="s">
        <v>178</v>
      </c>
      <c r="AC40" s="7">
        <f t="shared" si="41"/>
        <v>19000</v>
      </c>
      <c r="AD40" s="7">
        <f t="shared" si="42"/>
        <v>0</v>
      </c>
      <c r="AE40" s="7">
        <f t="shared" si="43"/>
        <v>0</v>
      </c>
      <c r="AF40" s="5" t="str">
        <f t="shared" si="44"/>
        <v>Y</v>
      </c>
      <c r="AG40" s="7">
        <f t="shared" si="45"/>
        <v>143</v>
      </c>
      <c r="AH40" s="7">
        <f t="shared" si="46"/>
        <v>618</v>
      </c>
      <c r="AI40" s="7">
        <f t="shared" si="47"/>
        <v>130</v>
      </c>
      <c r="AJ40" s="7">
        <f t="shared" si="48"/>
        <v>18727</v>
      </c>
      <c r="AK40" s="7">
        <f t="shared" si="49"/>
        <v>19618</v>
      </c>
    </row>
    <row r="41" spans="1:37" x14ac:dyDescent="0.25">
      <c r="A41" s="6">
        <v>35</v>
      </c>
      <c r="B41" s="5" t="s">
        <v>217</v>
      </c>
      <c r="C41" s="5" t="s">
        <v>22</v>
      </c>
      <c r="D41" s="5" t="s">
        <v>176</v>
      </c>
      <c r="E41" s="18" t="s">
        <v>218</v>
      </c>
      <c r="F41" s="5" t="str">
        <f t="shared" si="25"/>
        <v>Semi-Skilled</v>
      </c>
      <c r="G41" s="7">
        <f t="shared" si="26"/>
        <v>11615</v>
      </c>
      <c r="H41" s="7">
        <v>21000</v>
      </c>
      <c r="I41" s="7">
        <v>0</v>
      </c>
      <c r="J41" s="7">
        <v>0</v>
      </c>
      <c r="K41" s="7">
        <v>0</v>
      </c>
      <c r="L41" s="7">
        <v>0</v>
      </c>
      <c r="M41" s="7">
        <f t="shared" si="27"/>
        <v>21000</v>
      </c>
      <c r="N41" s="7">
        <v>0</v>
      </c>
      <c r="O41" s="7">
        <f t="shared" si="28"/>
        <v>21000</v>
      </c>
      <c r="P41" s="7">
        <f t="shared" si="29"/>
        <v>11615</v>
      </c>
      <c r="Q41" s="7">
        <f t="shared" si="30"/>
        <v>21000</v>
      </c>
      <c r="R41" s="7">
        <f t="shared" si="31"/>
        <v>0</v>
      </c>
      <c r="S41" s="7">
        <f t="shared" si="32"/>
        <v>0</v>
      </c>
      <c r="T41" s="7">
        <f t="shared" si="33"/>
        <v>0</v>
      </c>
      <c r="U41" s="7">
        <f t="shared" si="34"/>
        <v>0</v>
      </c>
      <c r="V41" s="7">
        <f t="shared" si="35"/>
        <v>0</v>
      </c>
      <c r="W41" s="7">
        <f t="shared" si="36"/>
        <v>0</v>
      </c>
      <c r="X41" s="7">
        <f t="shared" si="37"/>
        <v>21000</v>
      </c>
      <c r="Y41" s="7">
        <f t="shared" si="38"/>
        <v>21000</v>
      </c>
      <c r="Z41" s="5" t="str">
        <f t="shared" si="39"/>
        <v>No</v>
      </c>
      <c r="AA41" s="7">
        <f t="shared" si="40"/>
        <v>0</v>
      </c>
      <c r="AB41" s="19" t="s">
        <v>178</v>
      </c>
      <c r="AC41" s="7">
        <f t="shared" si="41"/>
        <v>21000</v>
      </c>
      <c r="AD41" s="7">
        <f t="shared" si="42"/>
        <v>0</v>
      </c>
      <c r="AE41" s="7">
        <f t="shared" si="43"/>
        <v>0</v>
      </c>
      <c r="AF41" s="5" t="str">
        <f t="shared" si="44"/>
        <v>Y</v>
      </c>
      <c r="AG41" s="7">
        <f t="shared" si="45"/>
        <v>158</v>
      </c>
      <c r="AH41" s="7">
        <f t="shared" si="46"/>
        <v>683</v>
      </c>
      <c r="AI41" s="7">
        <f t="shared" si="47"/>
        <v>130</v>
      </c>
      <c r="AJ41" s="7">
        <f t="shared" si="48"/>
        <v>20712</v>
      </c>
      <c r="AK41" s="7">
        <f t="shared" si="49"/>
        <v>21683</v>
      </c>
    </row>
    <row r="42" spans="1:37" x14ac:dyDescent="0.25">
      <c r="A42" s="6">
        <v>36</v>
      </c>
      <c r="B42" s="5" t="s">
        <v>219</v>
      </c>
      <c r="C42" s="5" t="s">
        <v>22</v>
      </c>
      <c r="D42" s="5" t="s">
        <v>176</v>
      </c>
      <c r="E42" s="18" t="s">
        <v>220</v>
      </c>
      <c r="F42" s="5" t="str">
        <f t="shared" si="25"/>
        <v>Semi-Skilled</v>
      </c>
      <c r="G42" s="7">
        <f t="shared" si="26"/>
        <v>11615</v>
      </c>
      <c r="H42" s="7">
        <v>21000</v>
      </c>
      <c r="I42" s="7">
        <v>0</v>
      </c>
      <c r="J42" s="7">
        <v>0</v>
      </c>
      <c r="K42" s="7">
        <v>0</v>
      </c>
      <c r="L42" s="7">
        <v>0</v>
      </c>
      <c r="M42" s="7">
        <f t="shared" si="27"/>
        <v>21000</v>
      </c>
      <c r="N42" s="7">
        <v>0</v>
      </c>
      <c r="O42" s="7">
        <f t="shared" si="28"/>
        <v>21000</v>
      </c>
      <c r="P42" s="7">
        <f t="shared" si="29"/>
        <v>11615</v>
      </c>
      <c r="Q42" s="7">
        <f t="shared" si="30"/>
        <v>21000</v>
      </c>
      <c r="R42" s="7">
        <f t="shared" si="31"/>
        <v>0</v>
      </c>
      <c r="S42" s="7">
        <f t="shared" si="32"/>
        <v>0</v>
      </c>
      <c r="T42" s="7">
        <f t="shared" si="33"/>
        <v>0</v>
      </c>
      <c r="U42" s="7">
        <f t="shared" si="34"/>
        <v>0</v>
      </c>
      <c r="V42" s="7">
        <f t="shared" si="35"/>
        <v>0</v>
      </c>
      <c r="W42" s="7">
        <f t="shared" si="36"/>
        <v>0</v>
      </c>
      <c r="X42" s="7">
        <f t="shared" si="37"/>
        <v>21000</v>
      </c>
      <c r="Y42" s="7">
        <f t="shared" si="38"/>
        <v>21000</v>
      </c>
      <c r="Z42" s="5" t="str">
        <f t="shared" si="39"/>
        <v>No</v>
      </c>
      <c r="AA42" s="7">
        <f t="shared" si="40"/>
        <v>0</v>
      </c>
      <c r="AB42" s="19" t="s">
        <v>178</v>
      </c>
      <c r="AC42" s="7">
        <f t="shared" si="41"/>
        <v>21000</v>
      </c>
      <c r="AD42" s="7">
        <f t="shared" si="42"/>
        <v>0</v>
      </c>
      <c r="AE42" s="7">
        <f t="shared" si="43"/>
        <v>0</v>
      </c>
      <c r="AF42" s="5" t="str">
        <f t="shared" si="44"/>
        <v>Y</v>
      </c>
      <c r="AG42" s="7">
        <f t="shared" si="45"/>
        <v>158</v>
      </c>
      <c r="AH42" s="7">
        <f t="shared" si="46"/>
        <v>683</v>
      </c>
      <c r="AI42" s="7">
        <f t="shared" si="47"/>
        <v>130</v>
      </c>
      <c r="AJ42" s="7">
        <f t="shared" si="48"/>
        <v>20712</v>
      </c>
      <c r="AK42" s="7">
        <f t="shared" si="49"/>
        <v>21683</v>
      </c>
    </row>
    <row r="43" spans="1:37" x14ac:dyDescent="0.25">
      <c r="A43" s="6">
        <v>37</v>
      </c>
      <c r="B43" s="5" t="s">
        <v>221</v>
      </c>
      <c r="C43" s="5" t="s">
        <v>22</v>
      </c>
      <c r="D43" s="5" t="s">
        <v>187</v>
      </c>
      <c r="E43" s="18" t="s">
        <v>222</v>
      </c>
      <c r="F43" s="5" t="str">
        <f t="shared" si="25"/>
        <v>Skilled</v>
      </c>
      <c r="G43" s="7">
        <f t="shared" si="26"/>
        <v>12777</v>
      </c>
      <c r="H43" s="7">
        <v>9300</v>
      </c>
      <c r="I43" s="7">
        <v>5600</v>
      </c>
      <c r="J43" s="7">
        <v>4600</v>
      </c>
      <c r="K43" s="7">
        <v>0</v>
      </c>
      <c r="L43" s="7">
        <v>0</v>
      </c>
      <c r="M43" s="7">
        <f t="shared" si="27"/>
        <v>19500</v>
      </c>
      <c r="N43" s="7">
        <v>0</v>
      </c>
      <c r="O43" s="7">
        <f t="shared" si="28"/>
        <v>19500</v>
      </c>
      <c r="P43" s="7">
        <f t="shared" si="29"/>
        <v>12777</v>
      </c>
      <c r="Q43" s="7">
        <f t="shared" si="30"/>
        <v>12777</v>
      </c>
      <c r="R43" s="7">
        <f t="shared" si="31"/>
        <v>3477</v>
      </c>
      <c r="S43" s="7">
        <f t="shared" si="32"/>
        <v>10200</v>
      </c>
      <c r="T43" s="7">
        <f t="shared" si="33"/>
        <v>3691.0588235294117</v>
      </c>
      <c r="U43" s="7">
        <f t="shared" si="34"/>
        <v>3031.9411764705883</v>
      </c>
      <c r="V43" s="7">
        <f t="shared" si="35"/>
        <v>0</v>
      </c>
      <c r="W43" s="7">
        <f t="shared" si="36"/>
        <v>0</v>
      </c>
      <c r="X43" s="7">
        <f t="shared" si="37"/>
        <v>19500</v>
      </c>
      <c r="Y43" s="7">
        <f t="shared" si="38"/>
        <v>19500</v>
      </c>
      <c r="Z43" s="5" t="str">
        <f t="shared" si="39"/>
        <v>No</v>
      </c>
      <c r="AA43" s="7">
        <f t="shared" si="40"/>
        <v>0</v>
      </c>
      <c r="AB43" s="19" t="s">
        <v>144</v>
      </c>
      <c r="AC43" s="7">
        <f t="shared" si="41"/>
        <v>12777</v>
      </c>
      <c r="AD43" s="7">
        <f t="shared" si="42"/>
        <v>1533</v>
      </c>
      <c r="AE43" s="7">
        <f t="shared" si="43"/>
        <v>1533</v>
      </c>
      <c r="AF43" s="5" t="str">
        <f t="shared" si="44"/>
        <v>Y</v>
      </c>
      <c r="AG43" s="7">
        <f t="shared" si="45"/>
        <v>146</v>
      </c>
      <c r="AH43" s="7">
        <f t="shared" si="46"/>
        <v>634</v>
      </c>
      <c r="AI43" s="7">
        <f t="shared" si="47"/>
        <v>130</v>
      </c>
      <c r="AJ43" s="7">
        <f t="shared" si="48"/>
        <v>17691</v>
      </c>
      <c r="AK43" s="7">
        <f t="shared" si="49"/>
        <v>21667</v>
      </c>
    </row>
    <row r="44" spans="1:37" x14ac:dyDescent="0.25">
      <c r="A44" s="6">
        <v>38</v>
      </c>
      <c r="B44" s="5" t="s">
        <v>223</v>
      </c>
      <c r="C44" s="5" t="s">
        <v>22</v>
      </c>
      <c r="D44" s="5" t="s">
        <v>195</v>
      </c>
      <c r="E44" s="18" t="s">
        <v>224</v>
      </c>
      <c r="F44" s="5" t="str">
        <f t="shared" si="25"/>
        <v>Skilled</v>
      </c>
      <c r="G44" s="7">
        <f t="shared" si="26"/>
        <v>12777</v>
      </c>
      <c r="H44" s="7">
        <v>7980</v>
      </c>
      <c r="I44" s="7">
        <v>3560</v>
      </c>
      <c r="J44" s="7">
        <v>3460</v>
      </c>
      <c r="K44" s="7">
        <v>0</v>
      </c>
      <c r="L44" s="7">
        <v>0</v>
      </c>
      <c r="M44" s="7">
        <f t="shared" si="27"/>
        <v>15000</v>
      </c>
      <c r="N44" s="7">
        <v>0</v>
      </c>
      <c r="O44" s="7">
        <f t="shared" si="28"/>
        <v>15000</v>
      </c>
      <c r="P44" s="7">
        <f t="shared" si="29"/>
        <v>12777</v>
      </c>
      <c r="Q44" s="7">
        <f t="shared" si="30"/>
        <v>12777</v>
      </c>
      <c r="R44" s="7">
        <f t="shared" si="31"/>
        <v>4797</v>
      </c>
      <c r="S44" s="7">
        <f t="shared" si="32"/>
        <v>7020</v>
      </c>
      <c r="T44" s="7">
        <f t="shared" si="33"/>
        <v>1127.333333333333</v>
      </c>
      <c r="U44" s="7">
        <f t="shared" si="34"/>
        <v>1095.6666666666665</v>
      </c>
      <c r="V44" s="7">
        <f t="shared" si="35"/>
        <v>0</v>
      </c>
      <c r="W44" s="7">
        <f t="shared" si="36"/>
        <v>0</v>
      </c>
      <c r="X44" s="7">
        <f t="shared" si="37"/>
        <v>15000</v>
      </c>
      <c r="Y44" s="7">
        <f t="shared" si="38"/>
        <v>15000</v>
      </c>
      <c r="Z44" s="5" t="str">
        <f t="shared" si="39"/>
        <v>No</v>
      </c>
      <c r="AA44" s="7">
        <f t="shared" si="40"/>
        <v>0</v>
      </c>
      <c r="AB44" s="19" t="s">
        <v>144</v>
      </c>
      <c r="AC44" s="7">
        <f t="shared" si="41"/>
        <v>12777</v>
      </c>
      <c r="AD44" s="7">
        <f t="shared" si="42"/>
        <v>1533</v>
      </c>
      <c r="AE44" s="7">
        <f t="shared" si="43"/>
        <v>1533</v>
      </c>
      <c r="AF44" s="5" t="str">
        <f t="shared" si="44"/>
        <v>Y</v>
      </c>
      <c r="AG44" s="7">
        <f t="shared" si="45"/>
        <v>113</v>
      </c>
      <c r="AH44" s="7">
        <f t="shared" si="46"/>
        <v>488</v>
      </c>
      <c r="AI44" s="7">
        <f t="shared" si="47"/>
        <v>110</v>
      </c>
      <c r="AJ44" s="7">
        <f t="shared" si="48"/>
        <v>13244</v>
      </c>
      <c r="AK44" s="7">
        <f t="shared" si="49"/>
        <v>17021</v>
      </c>
    </row>
    <row r="45" spans="1:37" x14ac:dyDescent="0.25">
      <c r="A45" s="6">
        <v>39</v>
      </c>
      <c r="B45" s="5" t="s">
        <v>225</v>
      </c>
      <c r="C45" s="5" t="s">
        <v>22</v>
      </c>
      <c r="D45" s="5" t="s">
        <v>176</v>
      </c>
      <c r="E45" s="18" t="s">
        <v>226</v>
      </c>
      <c r="F45" s="5" t="str">
        <f t="shared" si="25"/>
        <v>Semi-Skilled</v>
      </c>
      <c r="G45" s="7">
        <f t="shared" si="26"/>
        <v>11615</v>
      </c>
      <c r="H45" s="7">
        <v>21000</v>
      </c>
      <c r="I45" s="7">
        <v>0</v>
      </c>
      <c r="J45" s="7">
        <v>0</v>
      </c>
      <c r="K45" s="7">
        <v>0</v>
      </c>
      <c r="L45" s="7">
        <v>0</v>
      </c>
      <c r="M45" s="7">
        <f t="shared" si="27"/>
        <v>21000</v>
      </c>
      <c r="N45" s="7">
        <v>0</v>
      </c>
      <c r="O45" s="7">
        <f t="shared" si="28"/>
        <v>21000</v>
      </c>
      <c r="P45" s="7">
        <f t="shared" si="29"/>
        <v>11615</v>
      </c>
      <c r="Q45" s="7">
        <f t="shared" si="30"/>
        <v>21000</v>
      </c>
      <c r="R45" s="7">
        <f t="shared" si="31"/>
        <v>0</v>
      </c>
      <c r="S45" s="7">
        <f t="shared" si="32"/>
        <v>0</v>
      </c>
      <c r="T45" s="7">
        <f t="shared" si="33"/>
        <v>0</v>
      </c>
      <c r="U45" s="7">
        <f t="shared" si="34"/>
        <v>0</v>
      </c>
      <c r="V45" s="7">
        <f t="shared" si="35"/>
        <v>0</v>
      </c>
      <c r="W45" s="7">
        <f t="shared" si="36"/>
        <v>0</v>
      </c>
      <c r="X45" s="7">
        <f t="shared" si="37"/>
        <v>21000</v>
      </c>
      <c r="Y45" s="7">
        <f t="shared" si="38"/>
        <v>21000</v>
      </c>
      <c r="Z45" s="5" t="str">
        <f t="shared" si="39"/>
        <v>No</v>
      </c>
      <c r="AA45" s="7">
        <f t="shared" si="40"/>
        <v>0</v>
      </c>
      <c r="AB45" s="19" t="s">
        <v>178</v>
      </c>
      <c r="AC45" s="7">
        <f t="shared" si="41"/>
        <v>21000</v>
      </c>
      <c r="AD45" s="7">
        <f t="shared" si="42"/>
        <v>0</v>
      </c>
      <c r="AE45" s="7">
        <f t="shared" si="43"/>
        <v>0</v>
      </c>
      <c r="AF45" s="5" t="str">
        <f t="shared" si="44"/>
        <v>Y</v>
      </c>
      <c r="AG45" s="7">
        <f t="shared" si="45"/>
        <v>158</v>
      </c>
      <c r="AH45" s="7">
        <f t="shared" si="46"/>
        <v>683</v>
      </c>
      <c r="AI45" s="7">
        <f t="shared" si="47"/>
        <v>130</v>
      </c>
      <c r="AJ45" s="7">
        <f t="shared" si="48"/>
        <v>20712</v>
      </c>
      <c r="AK45" s="7">
        <f t="shared" si="49"/>
        <v>21683</v>
      </c>
    </row>
    <row r="46" spans="1:37" x14ac:dyDescent="0.25">
      <c r="A46" s="6">
        <v>40</v>
      </c>
      <c r="B46" s="5" t="s">
        <v>227</v>
      </c>
      <c r="C46" s="5" t="s">
        <v>22</v>
      </c>
      <c r="D46" s="5" t="s">
        <v>176</v>
      </c>
      <c r="E46" s="18" t="s">
        <v>228</v>
      </c>
      <c r="F46" s="5" t="str">
        <f t="shared" si="25"/>
        <v>Semi-Skilled</v>
      </c>
      <c r="G46" s="7">
        <f t="shared" si="26"/>
        <v>11615</v>
      </c>
      <c r="H46" s="7">
        <v>21000</v>
      </c>
      <c r="I46" s="7">
        <v>0</v>
      </c>
      <c r="J46" s="7">
        <v>0</v>
      </c>
      <c r="K46" s="7">
        <v>0</v>
      </c>
      <c r="L46" s="7">
        <v>0</v>
      </c>
      <c r="M46" s="7">
        <f t="shared" si="27"/>
        <v>21000</v>
      </c>
      <c r="N46" s="7">
        <v>0</v>
      </c>
      <c r="O46" s="7">
        <f t="shared" si="28"/>
        <v>21000</v>
      </c>
      <c r="P46" s="7">
        <f t="shared" si="29"/>
        <v>11615</v>
      </c>
      <c r="Q46" s="7">
        <f t="shared" si="30"/>
        <v>21000</v>
      </c>
      <c r="R46" s="7">
        <f t="shared" si="31"/>
        <v>0</v>
      </c>
      <c r="S46" s="7">
        <f t="shared" si="32"/>
        <v>0</v>
      </c>
      <c r="T46" s="7">
        <f t="shared" si="33"/>
        <v>0</v>
      </c>
      <c r="U46" s="7">
        <f t="shared" si="34"/>
        <v>0</v>
      </c>
      <c r="V46" s="7">
        <f t="shared" si="35"/>
        <v>0</v>
      </c>
      <c r="W46" s="7">
        <f t="shared" si="36"/>
        <v>0</v>
      </c>
      <c r="X46" s="7">
        <f t="shared" si="37"/>
        <v>21000</v>
      </c>
      <c r="Y46" s="7">
        <f t="shared" si="38"/>
        <v>21000</v>
      </c>
      <c r="Z46" s="5" t="str">
        <f t="shared" si="39"/>
        <v>No</v>
      </c>
      <c r="AA46" s="7">
        <f t="shared" si="40"/>
        <v>0</v>
      </c>
      <c r="AB46" s="19" t="s">
        <v>178</v>
      </c>
      <c r="AC46" s="7">
        <f t="shared" si="41"/>
        <v>21000</v>
      </c>
      <c r="AD46" s="7">
        <f t="shared" si="42"/>
        <v>0</v>
      </c>
      <c r="AE46" s="7">
        <f t="shared" si="43"/>
        <v>0</v>
      </c>
      <c r="AF46" s="5" t="str">
        <f t="shared" si="44"/>
        <v>Y</v>
      </c>
      <c r="AG46" s="7">
        <f t="shared" si="45"/>
        <v>158</v>
      </c>
      <c r="AH46" s="7">
        <f t="shared" si="46"/>
        <v>683</v>
      </c>
      <c r="AI46" s="7">
        <f t="shared" si="47"/>
        <v>130</v>
      </c>
      <c r="AJ46" s="7">
        <f t="shared" si="48"/>
        <v>20712</v>
      </c>
      <c r="AK46" s="7">
        <f t="shared" si="49"/>
        <v>21683</v>
      </c>
    </row>
    <row r="47" spans="1:37" x14ac:dyDescent="0.25">
      <c r="A47" s="6">
        <v>41</v>
      </c>
      <c r="B47" s="5" t="s">
        <v>229</v>
      </c>
      <c r="C47" s="5" t="s">
        <v>22</v>
      </c>
      <c r="D47" s="5" t="s">
        <v>187</v>
      </c>
      <c r="E47" s="18" t="s">
        <v>230</v>
      </c>
      <c r="F47" s="5" t="str">
        <f t="shared" si="25"/>
        <v>Skilled</v>
      </c>
      <c r="G47" s="7">
        <f t="shared" si="26"/>
        <v>12777</v>
      </c>
      <c r="H47" s="7">
        <v>7640</v>
      </c>
      <c r="I47" s="7">
        <v>4280</v>
      </c>
      <c r="J47" s="7">
        <v>2780</v>
      </c>
      <c r="K47" s="7">
        <v>0</v>
      </c>
      <c r="L47" s="7">
        <v>0</v>
      </c>
      <c r="M47" s="7">
        <f t="shared" si="27"/>
        <v>14700</v>
      </c>
      <c r="N47" s="7">
        <v>0</v>
      </c>
      <c r="O47" s="7">
        <f t="shared" si="28"/>
        <v>14700</v>
      </c>
      <c r="P47" s="7">
        <f t="shared" si="29"/>
        <v>12777</v>
      </c>
      <c r="Q47" s="7">
        <f t="shared" si="30"/>
        <v>12777</v>
      </c>
      <c r="R47" s="7">
        <f t="shared" si="31"/>
        <v>5137</v>
      </c>
      <c r="S47" s="7">
        <f t="shared" si="32"/>
        <v>7060</v>
      </c>
      <c r="T47" s="7">
        <f t="shared" si="33"/>
        <v>1165.7847025495748</v>
      </c>
      <c r="U47" s="7">
        <f t="shared" si="34"/>
        <v>757.21529745042494</v>
      </c>
      <c r="V47" s="7">
        <f t="shared" si="35"/>
        <v>0</v>
      </c>
      <c r="W47" s="7">
        <f t="shared" si="36"/>
        <v>0</v>
      </c>
      <c r="X47" s="7">
        <f t="shared" si="37"/>
        <v>14700</v>
      </c>
      <c r="Y47" s="7">
        <f t="shared" si="38"/>
        <v>14700</v>
      </c>
      <c r="Z47" s="5" t="str">
        <f t="shared" si="39"/>
        <v>No</v>
      </c>
      <c r="AA47" s="7">
        <f t="shared" si="40"/>
        <v>0</v>
      </c>
      <c r="AB47" s="19" t="s">
        <v>144</v>
      </c>
      <c r="AC47" s="7">
        <f t="shared" si="41"/>
        <v>12777</v>
      </c>
      <c r="AD47" s="7">
        <f t="shared" si="42"/>
        <v>1533</v>
      </c>
      <c r="AE47" s="7">
        <f t="shared" si="43"/>
        <v>1533</v>
      </c>
      <c r="AF47" s="5" t="str">
        <f t="shared" si="44"/>
        <v>Y</v>
      </c>
      <c r="AG47" s="7">
        <f t="shared" si="45"/>
        <v>110</v>
      </c>
      <c r="AH47" s="7">
        <f t="shared" si="46"/>
        <v>478</v>
      </c>
      <c r="AI47" s="7">
        <f t="shared" si="47"/>
        <v>110</v>
      </c>
      <c r="AJ47" s="7">
        <f t="shared" si="48"/>
        <v>12947</v>
      </c>
      <c r="AK47" s="7">
        <f t="shared" si="49"/>
        <v>16711</v>
      </c>
    </row>
    <row r="48" spans="1:37" x14ac:dyDescent="0.25">
      <c r="A48" s="6">
        <v>42</v>
      </c>
      <c r="B48" s="5" t="s">
        <v>231</v>
      </c>
      <c r="C48" s="5" t="s">
        <v>22</v>
      </c>
      <c r="D48" s="5" t="s">
        <v>184</v>
      </c>
      <c r="E48" s="18" t="s">
        <v>232</v>
      </c>
      <c r="F48" s="5" t="str">
        <f t="shared" si="25"/>
        <v>Unskilled</v>
      </c>
      <c r="G48" s="7">
        <f t="shared" si="26"/>
        <v>10558</v>
      </c>
      <c r="H48" s="7">
        <v>7700</v>
      </c>
      <c r="I48" s="7">
        <v>2300</v>
      </c>
      <c r="J48" s="7">
        <v>1800</v>
      </c>
      <c r="K48" s="7">
        <v>0</v>
      </c>
      <c r="L48" s="7">
        <v>0</v>
      </c>
      <c r="M48" s="7">
        <f t="shared" si="27"/>
        <v>11800</v>
      </c>
      <c r="N48" s="7">
        <v>0</v>
      </c>
      <c r="O48" s="7">
        <f t="shared" si="28"/>
        <v>11800</v>
      </c>
      <c r="P48" s="7">
        <f t="shared" si="29"/>
        <v>10558</v>
      </c>
      <c r="Q48" s="7">
        <f t="shared" si="30"/>
        <v>10558</v>
      </c>
      <c r="R48" s="7">
        <f t="shared" si="31"/>
        <v>2858</v>
      </c>
      <c r="S48" s="7">
        <f t="shared" si="32"/>
        <v>4100</v>
      </c>
      <c r="T48" s="7">
        <f t="shared" si="33"/>
        <v>696.73170731707296</v>
      </c>
      <c r="U48" s="7">
        <f t="shared" si="34"/>
        <v>545.26829268292681</v>
      </c>
      <c r="V48" s="7">
        <f t="shared" si="35"/>
        <v>0</v>
      </c>
      <c r="W48" s="7">
        <f t="shared" si="36"/>
        <v>0</v>
      </c>
      <c r="X48" s="7">
        <f t="shared" si="37"/>
        <v>11800</v>
      </c>
      <c r="Y48" s="7">
        <f t="shared" si="38"/>
        <v>11800</v>
      </c>
      <c r="Z48" s="5" t="str">
        <f t="shared" si="39"/>
        <v>No</v>
      </c>
      <c r="AA48" s="7">
        <f t="shared" si="40"/>
        <v>0</v>
      </c>
      <c r="AB48" s="19" t="s">
        <v>144</v>
      </c>
      <c r="AC48" s="7">
        <f t="shared" si="41"/>
        <v>10558</v>
      </c>
      <c r="AD48" s="7">
        <f t="shared" si="42"/>
        <v>1267</v>
      </c>
      <c r="AE48" s="7">
        <f t="shared" si="43"/>
        <v>1267</v>
      </c>
      <c r="AF48" s="5" t="str">
        <f t="shared" si="44"/>
        <v>Y</v>
      </c>
      <c r="AG48" s="7">
        <f t="shared" si="45"/>
        <v>89</v>
      </c>
      <c r="AH48" s="7">
        <f t="shared" si="46"/>
        <v>384</v>
      </c>
      <c r="AI48" s="7">
        <f t="shared" si="47"/>
        <v>110</v>
      </c>
      <c r="AJ48" s="7">
        <f t="shared" si="48"/>
        <v>10334</v>
      </c>
      <c r="AK48" s="7">
        <f t="shared" si="49"/>
        <v>13451</v>
      </c>
    </row>
    <row r="49" spans="1:37" x14ac:dyDescent="0.25">
      <c r="A49" s="6">
        <v>43</v>
      </c>
      <c r="B49" s="5" t="s">
        <v>233</v>
      </c>
      <c r="C49" s="5" t="s">
        <v>22</v>
      </c>
      <c r="D49" s="5" t="s">
        <v>176</v>
      </c>
      <c r="E49" s="18" t="s">
        <v>234</v>
      </c>
      <c r="F49" s="5" t="str">
        <f t="shared" si="25"/>
        <v>Semi-Skilled</v>
      </c>
      <c r="G49" s="7">
        <f t="shared" si="26"/>
        <v>11615</v>
      </c>
      <c r="H49" s="7">
        <v>19000</v>
      </c>
      <c r="I49" s="7">
        <v>0</v>
      </c>
      <c r="J49" s="7">
        <v>0</v>
      </c>
      <c r="K49" s="7">
        <v>0</v>
      </c>
      <c r="L49" s="7">
        <v>0</v>
      </c>
      <c r="M49" s="7">
        <f t="shared" si="27"/>
        <v>19000</v>
      </c>
      <c r="N49" s="7">
        <v>0</v>
      </c>
      <c r="O49" s="7">
        <f t="shared" si="28"/>
        <v>19000</v>
      </c>
      <c r="P49" s="7">
        <f t="shared" si="29"/>
        <v>11615</v>
      </c>
      <c r="Q49" s="7">
        <f t="shared" si="30"/>
        <v>19000</v>
      </c>
      <c r="R49" s="7">
        <f t="shared" si="31"/>
        <v>0</v>
      </c>
      <c r="S49" s="7">
        <f t="shared" si="32"/>
        <v>0</v>
      </c>
      <c r="T49" s="7">
        <f t="shared" si="33"/>
        <v>0</v>
      </c>
      <c r="U49" s="7">
        <f t="shared" si="34"/>
        <v>0</v>
      </c>
      <c r="V49" s="7">
        <f t="shared" si="35"/>
        <v>0</v>
      </c>
      <c r="W49" s="7">
        <f t="shared" si="36"/>
        <v>0</v>
      </c>
      <c r="X49" s="7">
        <f t="shared" si="37"/>
        <v>19000</v>
      </c>
      <c r="Y49" s="7">
        <f t="shared" si="38"/>
        <v>19000</v>
      </c>
      <c r="Z49" s="5" t="str">
        <f t="shared" si="39"/>
        <v>No</v>
      </c>
      <c r="AA49" s="7">
        <f t="shared" si="40"/>
        <v>0</v>
      </c>
      <c r="AB49" s="19" t="s">
        <v>178</v>
      </c>
      <c r="AC49" s="7">
        <f t="shared" si="41"/>
        <v>19000</v>
      </c>
      <c r="AD49" s="7">
        <f t="shared" si="42"/>
        <v>0</v>
      </c>
      <c r="AE49" s="7">
        <f t="shared" si="43"/>
        <v>0</v>
      </c>
      <c r="AF49" s="5" t="str">
        <f t="shared" si="44"/>
        <v>Y</v>
      </c>
      <c r="AG49" s="7">
        <f t="shared" si="45"/>
        <v>143</v>
      </c>
      <c r="AH49" s="7">
        <f t="shared" si="46"/>
        <v>618</v>
      </c>
      <c r="AI49" s="7">
        <f t="shared" si="47"/>
        <v>130</v>
      </c>
      <c r="AJ49" s="7">
        <f t="shared" si="48"/>
        <v>18727</v>
      </c>
      <c r="AK49" s="7">
        <f t="shared" si="49"/>
        <v>19618</v>
      </c>
    </row>
    <row r="50" spans="1:37" x14ac:dyDescent="0.25">
      <c r="A50" s="6">
        <v>44</v>
      </c>
      <c r="B50" s="5" t="s">
        <v>235</v>
      </c>
      <c r="C50" s="5" t="s">
        <v>22</v>
      </c>
      <c r="D50" s="5" t="s">
        <v>187</v>
      </c>
      <c r="E50" s="18" t="s">
        <v>236</v>
      </c>
      <c r="F50" s="5" t="str">
        <f t="shared" si="25"/>
        <v>Skilled</v>
      </c>
      <c r="G50" s="7">
        <f t="shared" si="26"/>
        <v>12777</v>
      </c>
      <c r="H50" s="7">
        <v>7630</v>
      </c>
      <c r="I50" s="7">
        <v>3260</v>
      </c>
      <c r="J50" s="7">
        <v>2760</v>
      </c>
      <c r="K50" s="7">
        <v>0</v>
      </c>
      <c r="L50" s="7">
        <v>0</v>
      </c>
      <c r="M50" s="7">
        <f t="shared" si="27"/>
        <v>13650</v>
      </c>
      <c r="N50" s="7">
        <v>0</v>
      </c>
      <c r="O50" s="7">
        <f t="shared" si="28"/>
        <v>13650</v>
      </c>
      <c r="P50" s="7">
        <f t="shared" si="29"/>
        <v>12777</v>
      </c>
      <c r="Q50" s="7">
        <f t="shared" si="30"/>
        <v>12777</v>
      </c>
      <c r="R50" s="7">
        <f t="shared" si="31"/>
        <v>5147</v>
      </c>
      <c r="S50" s="7">
        <f t="shared" si="32"/>
        <v>6020</v>
      </c>
      <c r="T50" s="7">
        <f t="shared" si="33"/>
        <v>472.75415282392032</v>
      </c>
      <c r="U50" s="7">
        <f t="shared" si="34"/>
        <v>400.24584717607968</v>
      </c>
      <c r="V50" s="7">
        <f t="shared" si="35"/>
        <v>0</v>
      </c>
      <c r="W50" s="7">
        <f t="shared" si="36"/>
        <v>0</v>
      </c>
      <c r="X50" s="7">
        <f t="shared" si="37"/>
        <v>13650</v>
      </c>
      <c r="Y50" s="7">
        <f t="shared" si="38"/>
        <v>13650</v>
      </c>
      <c r="Z50" s="5" t="str">
        <f t="shared" si="39"/>
        <v>No</v>
      </c>
      <c r="AA50" s="7">
        <f t="shared" si="40"/>
        <v>0</v>
      </c>
      <c r="AB50" s="19" t="s">
        <v>144</v>
      </c>
      <c r="AC50" s="7">
        <f t="shared" si="41"/>
        <v>12777</v>
      </c>
      <c r="AD50" s="7">
        <f t="shared" si="42"/>
        <v>1533</v>
      </c>
      <c r="AE50" s="7">
        <f t="shared" si="43"/>
        <v>1533</v>
      </c>
      <c r="AF50" s="5" t="str">
        <f t="shared" si="44"/>
        <v>Y</v>
      </c>
      <c r="AG50" s="7">
        <f t="shared" si="45"/>
        <v>102</v>
      </c>
      <c r="AH50" s="7">
        <f t="shared" si="46"/>
        <v>444</v>
      </c>
      <c r="AI50" s="7">
        <f t="shared" si="47"/>
        <v>110</v>
      </c>
      <c r="AJ50" s="7">
        <f t="shared" si="48"/>
        <v>11905</v>
      </c>
      <c r="AK50" s="7">
        <f t="shared" si="49"/>
        <v>15627</v>
      </c>
    </row>
    <row r="51" spans="1:37" x14ac:dyDescent="0.25">
      <c r="A51" s="6">
        <v>45</v>
      </c>
      <c r="B51" s="5" t="s">
        <v>237</v>
      </c>
      <c r="C51" s="5" t="s">
        <v>22</v>
      </c>
      <c r="D51" s="5" t="s">
        <v>176</v>
      </c>
      <c r="E51" s="18" t="s">
        <v>238</v>
      </c>
      <c r="F51" s="5" t="str">
        <f t="shared" si="25"/>
        <v>Semi-Skilled</v>
      </c>
      <c r="G51" s="7">
        <f t="shared" si="26"/>
        <v>11615</v>
      </c>
      <c r="H51" s="7">
        <v>19000</v>
      </c>
      <c r="I51" s="7">
        <v>0</v>
      </c>
      <c r="J51" s="7">
        <v>0</v>
      </c>
      <c r="K51" s="7">
        <v>0</v>
      </c>
      <c r="L51" s="7">
        <v>0</v>
      </c>
      <c r="M51" s="7">
        <f t="shared" si="27"/>
        <v>19000</v>
      </c>
      <c r="N51" s="7">
        <v>0</v>
      </c>
      <c r="O51" s="7">
        <f t="shared" si="28"/>
        <v>19000</v>
      </c>
      <c r="P51" s="7">
        <f t="shared" si="29"/>
        <v>11615</v>
      </c>
      <c r="Q51" s="7">
        <f t="shared" si="30"/>
        <v>19000</v>
      </c>
      <c r="R51" s="7">
        <f t="shared" si="31"/>
        <v>0</v>
      </c>
      <c r="S51" s="7">
        <f t="shared" si="32"/>
        <v>0</v>
      </c>
      <c r="T51" s="7">
        <f t="shared" si="33"/>
        <v>0</v>
      </c>
      <c r="U51" s="7">
        <f t="shared" si="34"/>
        <v>0</v>
      </c>
      <c r="V51" s="7">
        <f t="shared" si="35"/>
        <v>0</v>
      </c>
      <c r="W51" s="7">
        <f t="shared" si="36"/>
        <v>0</v>
      </c>
      <c r="X51" s="7">
        <f t="shared" si="37"/>
        <v>19000</v>
      </c>
      <c r="Y51" s="7">
        <f t="shared" si="38"/>
        <v>19000</v>
      </c>
      <c r="Z51" s="5" t="str">
        <f t="shared" si="39"/>
        <v>No</v>
      </c>
      <c r="AA51" s="7">
        <f t="shared" si="40"/>
        <v>0</v>
      </c>
      <c r="AB51" s="19" t="s">
        <v>178</v>
      </c>
      <c r="AC51" s="7">
        <f t="shared" si="41"/>
        <v>19000</v>
      </c>
      <c r="AD51" s="7">
        <f t="shared" si="42"/>
        <v>0</v>
      </c>
      <c r="AE51" s="7">
        <f t="shared" si="43"/>
        <v>0</v>
      </c>
      <c r="AF51" s="5" t="str">
        <f t="shared" si="44"/>
        <v>Y</v>
      </c>
      <c r="AG51" s="7">
        <f t="shared" si="45"/>
        <v>143</v>
      </c>
      <c r="AH51" s="7">
        <f t="shared" si="46"/>
        <v>618</v>
      </c>
      <c r="AI51" s="7">
        <f t="shared" si="47"/>
        <v>130</v>
      </c>
      <c r="AJ51" s="7">
        <f t="shared" si="48"/>
        <v>18727</v>
      </c>
      <c r="AK51" s="7">
        <f t="shared" si="49"/>
        <v>19618</v>
      </c>
    </row>
    <row r="52" spans="1:37" x14ac:dyDescent="0.25">
      <c r="A52" s="6">
        <v>46</v>
      </c>
      <c r="B52" s="5" t="s">
        <v>239</v>
      </c>
      <c r="C52" s="5" t="s">
        <v>22</v>
      </c>
      <c r="D52" s="5" t="s">
        <v>184</v>
      </c>
      <c r="E52" s="18" t="s">
        <v>240</v>
      </c>
      <c r="F52" s="5" t="str">
        <f t="shared" si="25"/>
        <v>Unskilled</v>
      </c>
      <c r="G52" s="7">
        <f t="shared" si="26"/>
        <v>10558</v>
      </c>
      <c r="H52" s="7">
        <v>7700</v>
      </c>
      <c r="I52" s="7">
        <v>2300</v>
      </c>
      <c r="J52" s="7">
        <v>1800</v>
      </c>
      <c r="K52" s="7">
        <v>0</v>
      </c>
      <c r="L52" s="7">
        <v>0</v>
      </c>
      <c r="M52" s="7">
        <f t="shared" si="27"/>
        <v>11800</v>
      </c>
      <c r="N52" s="7">
        <v>0</v>
      </c>
      <c r="O52" s="7">
        <f t="shared" si="28"/>
        <v>11800</v>
      </c>
      <c r="P52" s="7">
        <f t="shared" si="29"/>
        <v>10558</v>
      </c>
      <c r="Q52" s="7">
        <f t="shared" si="30"/>
        <v>10558</v>
      </c>
      <c r="R52" s="7">
        <f t="shared" si="31"/>
        <v>2858</v>
      </c>
      <c r="S52" s="7">
        <f t="shared" si="32"/>
        <v>4100</v>
      </c>
      <c r="T52" s="7">
        <f t="shared" si="33"/>
        <v>696.73170731707296</v>
      </c>
      <c r="U52" s="7">
        <f t="shared" si="34"/>
        <v>545.26829268292681</v>
      </c>
      <c r="V52" s="7">
        <f t="shared" si="35"/>
        <v>0</v>
      </c>
      <c r="W52" s="7">
        <f t="shared" si="36"/>
        <v>0</v>
      </c>
      <c r="X52" s="7">
        <f t="shared" si="37"/>
        <v>11800</v>
      </c>
      <c r="Y52" s="7">
        <f t="shared" si="38"/>
        <v>11800</v>
      </c>
      <c r="Z52" s="5" t="str">
        <f t="shared" si="39"/>
        <v>No</v>
      </c>
      <c r="AA52" s="7">
        <f t="shared" si="40"/>
        <v>0</v>
      </c>
      <c r="AB52" s="19" t="s">
        <v>144</v>
      </c>
      <c r="AC52" s="7">
        <f t="shared" si="41"/>
        <v>10558</v>
      </c>
      <c r="AD52" s="7">
        <f t="shared" si="42"/>
        <v>1267</v>
      </c>
      <c r="AE52" s="7">
        <f t="shared" si="43"/>
        <v>1267</v>
      </c>
      <c r="AF52" s="5" t="str">
        <f t="shared" si="44"/>
        <v>Y</v>
      </c>
      <c r="AG52" s="7">
        <f t="shared" si="45"/>
        <v>89</v>
      </c>
      <c r="AH52" s="7">
        <f t="shared" si="46"/>
        <v>384</v>
      </c>
      <c r="AI52" s="7">
        <f t="shared" si="47"/>
        <v>110</v>
      </c>
      <c r="AJ52" s="7">
        <f t="shared" si="48"/>
        <v>10334</v>
      </c>
      <c r="AK52" s="7">
        <f t="shared" si="49"/>
        <v>13451</v>
      </c>
    </row>
    <row r="53" spans="1:37" x14ac:dyDescent="0.25">
      <c r="A53" s="6">
        <v>47</v>
      </c>
      <c r="B53" s="5" t="s">
        <v>241</v>
      </c>
      <c r="C53" s="5" t="s">
        <v>22</v>
      </c>
      <c r="D53" s="5" t="s">
        <v>187</v>
      </c>
      <c r="E53" s="18" t="s">
        <v>242</v>
      </c>
      <c r="F53" s="5" t="str">
        <f t="shared" si="25"/>
        <v>Skilled</v>
      </c>
      <c r="G53" s="7">
        <f t="shared" si="26"/>
        <v>12777</v>
      </c>
      <c r="H53" s="7">
        <v>7650</v>
      </c>
      <c r="I53" s="7">
        <v>4300</v>
      </c>
      <c r="J53" s="7">
        <v>3800</v>
      </c>
      <c r="K53" s="7">
        <v>0</v>
      </c>
      <c r="L53" s="7">
        <v>0</v>
      </c>
      <c r="M53" s="7">
        <f t="shared" si="27"/>
        <v>15750</v>
      </c>
      <c r="N53" s="7">
        <v>0</v>
      </c>
      <c r="O53" s="7">
        <f t="shared" si="28"/>
        <v>15750</v>
      </c>
      <c r="P53" s="7">
        <f t="shared" si="29"/>
        <v>12777</v>
      </c>
      <c r="Q53" s="7">
        <f t="shared" si="30"/>
        <v>12777</v>
      </c>
      <c r="R53" s="7">
        <f t="shared" si="31"/>
        <v>5127</v>
      </c>
      <c r="S53" s="7">
        <f t="shared" si="32"/>
        <v>8100</v>
      </c>
      <c r="T53" s="7">
        <f t="shared" si="33"/>
        <v>1578.2592592592591</v>
      </c>
      <c r="U53" s="7">
        <f t="shared" si="34"/>
        <v>1394.7407407407409</v>
      </c>
      <c r="V53" s="7">
        <f t="shared" si="35"/>
        <v>0</v>
      </c>
      <c r="W53" s="7">
        <f t="shared" si="36"/>
        <v>0</v>
      </c>
      <c r="X53" s="7">
        <f t="shared" si="37"/>
        <v>15750</v>
      </c>
      <c r="Y53" s="7">
        <f t="shared" si="38"/>
        <v>15750</v>
      </c>
      <c r="Z53" s="5" t="str">
        <f t="shared" si="39"/>
        <v>No</v>
      </c>
      <c r="AA53" s="7">
        <f t="shared" si="40"/>
        <v>0</v>
      </c>
      <c r="AB53" s="19" t="s">
        <v>144</v>
      </c>
      <c r="AC53" s="7">
        <f t="shared" si="41"/>
        <v>12777</v>
      </c>
      <c r="AD53" s="7">
        <f t="shared" si="42"/>
        <v>1533</v>
      </c>
      <c r="AE53" s="7">
        <f t="shared" si="43"/>
        <v>1533</v>
      </c>
      <c r="AF53" s="5" t="str">
        <f t="shared" si="44"/>
        <v>Y</v>
      </c>
      <c r="AG53" s="7">
        <f t="shared" si="45"/>
        <v>118</v>
      </c>
      <c r="AH53" s="7">
        <f t="shared" si="46"/>
        <v>512</v>
      </c>
      <c r="AI53" s="7">
        <f t="shared" si="47"/>
        <v>130</v>
      </c>
      <c r="AJ53" s="7">
        <f t="shared" si="48"/>
        <v>13969</v>
      </c>
      <c r="AK53" s="7">
        <f t="shared" si="49"/>
        <v>17795</v>
      </c>
    </row>
    <row r="54" spans="1:37" x14ac:dyDescent="0.25">
      <c r="A54" s="6">
        <v>48</v>
      </c>
      <c r="B54" s="5" t="s">
        <v>243</v>
      </c>
      <c r="C54" s="5" t="s">
        <v>22</v>
      </c>
      <c r="D54" s="5" t="s">
        <v>187</v>
      </c>
      <c r="E54" s="18" t="s">
        <v>244</v>
      </c>
      <c r="F54" s="5" t="str">
        <f t="shared" si="25"/>
        <v>Skilled</v>
      </c>
      <c r="G54" s="7">
        <f t="shared" si="26"/>
        <v>12777</v>
      </c>
      <c r="H54" s="7">
        <v>7630</v>
      </c>
      <c r="I54" s="7">
        <v>3260</v>
      </c>
      <c r="J54" s="7">
        <v>2760</v>
      </c>
      <c r="K54" s="7">
        <v>0</v>
      </c>
      <c r="L54" s="7">
        <v>0</v>
      </c>
      <c r="M54" s="7">
        <f t="shared" si="27"/>
        <v>13650</v>
      </c>
      <c r="N54" s="7">
        <v>0</v>
      </c>
      <c r="O54" s="7">
        <f t="shared" si="28"/>
        <v>13650</v>
      </c>
      <c r="P54" s="7">
        <f t="shared" si="29"/>
        <v>12777</v>
      </c>
      <c r="Q54" s="7">
        <f t="shared" si="30"/>
        <v>12777</v>
      </c>
      <c r="R54" s="7">
        <f t="shared" si="31"/>
        <v>5147</v>
      </c>
      <c r="S54" s="7">
        <f t="shared" si="32"/>
        <v>6020</v>
      </c>
      <c r="T54" s="7">
        <f t="shared" si="33"/>
        <v>472.75415282392032</v>
      </c>
      <c r="U54" s="7">
        <f t="shared" si="34"/>
        <v>400.24584717607968</v>
      </c>
      <c r="V54" s="7">
        <f t="shared" si="35"/>
        <v>0</v>
      </c>
      <c r="W54" s="7">
        <f t="shared" si="36"/>
        <v>0</v>
      </c>
      <c r="X54" s="7">
        <f t="shared" si="37"/>
        <v>13650</v>
      </c>
      <c r="Y54" s="7">
        <f t="shared" si="38"/>
        <v>13650</v>
      </c>
      <c r="Z54" s="5" t="str">
        <f t="shared" si="39"/>
        <v>No</v>
      </c>
      <c r="AA54" s="7">
        <f t="shared" si="40"/>
        <v>0</v>
      </c>
      <c r="AB54" s="19" t="s">
        <v>144</v>
      </c>
      <c r="AC54" s="7">
        <f t="shared" si="41"/>
        <v>12777</v>
      </c>
      <c r="AD54" s="7">
        <f t="shared" si="42"/>
        <v>1533</v>
      </c>
      <c r="AE54" s="7">
        <f t="shared" si="43"/>
        <v>1533</v>
      </c>
      <c r="AF54" s="5" t="str">
        <f t="shared" si="44"/>
        <v>Y</v>
      </c>
      <c r="AG54" s="7">
        <f t="shared" si="45"/>
        <v>102</v>
      </c>
      <c r="AH54" s="7">
        <f t="shared" si="46"/>
        <v>444</v>
      </c>
      <c r="AI54" s="7">
        <f t="shared" si="47"/>
        <v>110</v>
      </c>
      <c r="AJ54" s="7">
        <f t="shared" si="48"/>
        <v>11905</v>
      </c>
      <c r="AK54" s="7">
        <f t="shared" si="49"/>
        <v>15627</v>
      </c>
    </row>
    <row r="55" spans="1:37" x14ac:dyDescent="0.25">
      <c r="A55" s="6">
        <v>49</v>
      </c>
      <c r="B55" s="5" t="s">
        <v>245</v>
      </c>
      <c r="C55" s="5" t="s">
        <v>22</v>
      </c>
      <c r="D55" s="5" t="s">
        <v>176</v>
      </c>
      <c r="E55" s="18" t="s">
        <v>246</v>
      </c>
      <c r="F55" s="5" t="str">
        <f t="shared" si="25"/>
        <v>Semi-Skilled</v>
      </c>
      <c r="G55" s="7">
        <f t="shared" si="26"/>
        <v>11615</v>
      </c>
      <c r="H55" s="7">
        <v>19000</v>
      </c>
      <c r="I55" s="7">
        <v>0</v>
      </c>
      <c r="J55" s="7">
        <v>0</v>
      </c>
      <c r="K55" s="7">
        <v>0</v>
      </c>
      <c r="L55" s="7">
        <v>0</v>
      </c>
      <c r="M55" s="7">
        <f t="shared" si="27"/>
        <v>19000</v>
      </c>
      <c r="N55" s="7">
        <v>0</v>
      </c>
      <c r="O55" s="7">
        <f t="shared" si="28"/>
        <v>19000</v>
      </c>
      <c r="P55" s="7">
        <f t="shared" si="29"/>
        <v>11615</v>
      </c>
      <c r="Q55" s="7">
        <f t="shared" si="30"/>
        <v>19000</v>
      </c>
      <c r="R55" s="7">
        <f t="shared" si="31"/>
        <v>0</v>
      </c>
      <c r="S55" s="7">
        <f t="shared" si="32"/>
        <v>0</v>
      </c>
      <c r="T55" s="7">
        <f t="shared" si="33"/>
        <v>0</v>
      </c>
      <c r="U55" s="7">
        <f t="shared" si="34"/>
        <v>0</v>
      </c>
      <c r="V55" s="7">
        <f t="shared" si="35"/>
        <v>0</v>
      </c>
      <c r="W55" s="7">
        <f t="shared" si="36"/>
        <v>0</v>
      </c>
      <c r="X55" s="7">
        <f t="shared" si="37"/>
        <v>19000</v>
      </c>
      <c r="Y55" s="7">
        <f t="shared" si="38"/>
        <v>19000</v>
      </c>
      <c r="Z55" s="5" t="str">
        <f t="shared" si="39"/>
        <v>No</v>
      </c>
      <c r="AA55" s="7">
        <f t="shared" si="40"/>
        <v>0</v>
      </c>
      <c r="AB55" s="19" t="s">
        <v>178</v>
      </c>
      <c r="AC55" s="7">
        <f t="shared" si="41"/>
        <v>19000</v>
      </c>
      <c r="AD55" s="7">
        <f t="shared" si="42"/>
        <v>0</v>
      </c>
      <c r="AE55" s="7">
        <f t="shared" si="43"/>
        <v>0</v>
      </c>
      <c r="AF55" s="5" t="str">
        <f t="shared" si="44"/>
        <v>Y</v>
      </c>
      <c r="AG55" s="7">
        <f t="shared" si="45"/>
        <v>143</v>
      </c>
      <c r="AH55" s="7">
        <f t="shared" si="46"/>
        <v>618</v>
      </c>
      <c r="AI55" s="7">
        <f t="shared" si="47"/>
        <v>130</v>
      </c>
      <c r="AJ55" s="7">
        <f t="shared" si="48"/>
        <v>18727</v>
      </c>
      <c r="AK55" s="7">
        <f t="shared" si="49"/>
        <v>19618</v>
      </c>
    </row>
    <row r="56" spans="1:37" x14ac:dyDescent="0.25">
      <c r="A56" s="6">
        <v>50</v>
      </c>
      <c r="B56" s="5" t="s">
        <v>247</v>
      </c>
      <c r="C56" s="5" t="s">
        <v>22</v>
      </c>
      <c r="D56" s="5" t="s">
        <v>187</v>
      </c>
      <c r="E56" s="18" t="s">
        <v>248</v>
      </c>
      <c r="F56" s="5" t="str">
        <f t="shared" si="25"/>
        <v>Skilled</v>
      </c>
      <c r="G56" s="7">
        <f t="shared" si="26"/>
        <v>12777</v>
      </c>
      <c r="H56" s="7">
        <v>7620</v>
      </c>
      <c r="I56" s="7">
        <v>2740</v>
      </c>
      <c r="J56" s="7">
        <v>2240</v>
      </c>
      <c r="K56" s="7">
        <v>0</v>
      </c>
      <c r="L56" s="7">
        <v>0</v>
      </c>
      <c r="M56" s="7">
        <f t="shared" si="27"/>
        <v>12600</v>
      </c>
      <c r="N56" s="7">
        <v>0</v>
      </c>
      <c r="O56" s="7">
        <f t="shared" si="28"/>
        <v>12600</v>
      </c>
      <c r="P56" s="7">
        <f t="shared" si="29"/>
        <v>12777</v>
      </c>
      <c r="Q56" s="7">
        <f t="shared" si="30"/>
        <v>12777</v>
      </c>
      <c r="R56" s="7">
        <f t="shared" si="31"/>
        <v>5157</v>
      </c>
      <c r="S56" s="7">
        <f t="shared" si="32"/>
        <v>4980</v>
      </c>
      <c r="T56" s="7">
        <f t="shared" si="33"/>
        <v>0</v>
      </c>
      <c r="U56" s="7">
        <f t="shared" si="34"/>
        <v>0</v>
      </c>
      <c r="V56" s="7">
        <f t="shared" si="35"/>
        <v>0</v>
      </c>
      <c r="W56" s="7">
        <f t="shared" si="36"/>
        <v>0</v>
      </c>
      <c r="X56" s="7">
        <f t="shared" si="37"/>
        <v>12777</v>
      </c>
      <c r="Y56" s="7">
        <f t="shared" si="38"/>
        <v>12777</v>
      </c>
      <c r="Z56" s="5" t="str">
        <f t="shared" si="39"/>
        <v>YES</v>
      </c>
      <c r="AA56" s="7">
        <f t="shared" si="40"/>
        <v>177</v>
      </c>
      <c r="AB56" s="19" t="s">
        <v>144</v>
      </c>
      <c r="AC56" s="7">
        <f t="shared" si="41"/>
        <v>12777</v>
      </c>
      <c r="AD56" s="7">
        <f t="shared" si="42"/>
        <v>1533</v>
      </c>
      <c r="AE56" s="7">
        <f t="shared" si="43"/>
        <v>1533</v>
      </c>
      <c r="AF56" s="5" t="str">
        <f t="shared" si="44"/>
        <v>Y</v>
      </c>
      <c r="AG56" s="7">
        <f t="shared" si="45"/>
        <v>96</v>
      </c>
      <c r="AH56" s="7">
        <f t="shared" si="46"/>
        <v>415</v>
      </c>
      <c r="AI56" s="7">
        <f t="shared" si="47"/>
        <v>110</v>
      </c>
      <c r="AJ56" s="7">
        <f t="shared" si="48"/>
        <v>11038</v>
      </c>
      <c r="AK56" s="7">
        <f t="shared" si="49"/>
        <v>14725</v>
      </c>
    </row>
    <row r="57" spans="1:37" x14ac:dyDescent="0.25">
      <c r="A57" s="6">
        <v>51</v>
      </c>
      <c r="B57" s="5" t="s">
        <v>249</v>
      </c>
      <c r="C57" s="5" t="s">
        <v>22</v>
      </c>
      <c r="D57" s="5" t="s">
        <v>187</v>
      </c>
      <c r="E57" s="18" t="s">
        <v>250</v>
      </c>
      <c r="F57" s="5" t="str">
        <f t="shared" si="25"/>
        <v>Skilled</v>
      </c>
      <c r="G57" s="7">
        <f t="shared" si="26"/>
        <v>12777</v>
      </c>
      <c r="H57" s="7">
        <v>8400</v>
      </c>
      <c r="I57" s="7">
        <v>5300</v>
      </c>
      <c r="J57" s="7">
        <v>4800</v>
      </c>
      <c r="K57" s="7">
        <v>0</v>
      </c>
      <c r="L57" s="7">
        <v>0</v>
      </c>
      <c r="M57" s="7">
        <f t="shared" si="27"/>
        <v>18500</v>
      </c>
      <c r="N57" s="7">
        <v>0</v>
      </c>
      <c r="O57" s="7">
        <f t="shared" si="28"/>
        <v>18500</v>
      </c>
      <c r="P57" s="7">
        <f t="shared" si="29"/>
        <v>12777</v>
      </c>
      <c r="Q57" s="7">
        <f t="shared" si="30"/>
        <v>12777</v>
      </c>
      <c r="R57" s="7">
        <f t="shared" si="31"/>
        <v>4377</v>
      </c>
      <c r="S57" s="7">
        <f t="shared" si="32"/>
        <v>10100</v>
      </c>
      <c r="T57" s="7">
        <f t="shared" si="33"/>
        <v>3003.158415841584</v>
      </c>
      <c r="U57" s="7">
        <f t="shared" si="34"/>
        <v>2719.841584158416</v>
      </c>
      <c r="V57" s="7">
        <f t="shared" si="35"/>
        <v>0</v>
      </c>
      <c r="W57" s="7">
        <f t="shared" si="36"/>
        <v>0</v>
      </c>
      <c r="X57" s="7">
        <f t="shared" si="37"/>
        <v>18500</v>
      </c>
      <c r="Y57" s="7">
        <f t="shared" si="38"/>
        <v>18500</v>
      </c>
      <c r="Z57" s="5" t="str">
        <f t="shared" si="39"/>
        <v>No</v>
      </c>
      <c r="AA57" s="7">
        <f t="shared" si="40"/>
        <v>0</v>
      </c>
      <c r="AB57" s="19" t="s">
        <v>144</v>
      </c>
      <c r="AC57" s="7">
        <f t="shared" si="41"/>
        <v>12777</v>
      </c>
      <c r="AD57" s="7">
        <f t="shared" si="42"/>
        <v>1533</v>
      </c>
      <c r="AE57" s="7">
        <f t="shared" si="43"/>
        <v>1533</v>
      </c>
      <c r="AF57" s="5" t="str">
        <f t="shared" si="44"/>
        <v>Y</v>
      </c>
      <c r="AG57" s="7">
        <f t="shared" si="45"/>
        <v>139</v>
      </c>
      <c r="AH57" s="7">
        <f t="shared" si="46"/>
        <v>601</v>
      </c>
      <c r="AI57" s="7">
        <f t="shared" si="47"/>
        <v>130</v>
      </c>
      <c r="AJ57" s="7">
        <f t="shared" si="48"/>
        <v>16698</v>
      </c>
      <c r="AK57" s="7">
        <f t="shared" si="49"/>
        <v>20634</v>
      </c>
    </row>
    <row r="58" spans="1:37" x14ac:dyDescent="0.25">
      <c r="A58" s="6">
        <v>52</v>
      </c>
      <c r="B58" s="5" t="s">
        <v>251</v>
      </c>
      <c r="C58" s="5" t="s">
        <v>23</v>
      </c>
      <c r="D58" s="5" t="s">
        <v>142</v>
      </c>
      <c r="E58" s="18" t="s">
        <v>252</v>
      </c>
      <c r="F58" s="5" t="str">
        <f t="shared" si="25"/>
        <v>Skilled</v>
      </c>
      <c r="G58" s="7">
        <f t="shared" si="26"/>
        <v>12777</v>
      </c>
      <c r="H58" s="7">
        <v>9300</v>
      </c>
      <c r="I58" s="7">
        <v>4600</v>
      </c>
      <c r="J58" s="7">
        <v>3600</v>
      </c>
      <c r="K58" s="7">
        <v>0</v>
      </c>
      <c r="L58" s="7">
        <v>0</v>
      </c>
      <c r="M58" s="7">
        <f t="shared" si="27"/>
        <v>17500</v>
      </c>
      <c r="N58" s="7">
        <v>0</v>
      </c>
      <c r="O58" s="7">
        <f t="shared" si="28"/>
        <v>17500</v>
      </c>
      <c r="P58" s="7">
        <f t="shared" si="29"/>
        <v>12777</v>
      </c>
      <c r="Q58" s="7">
        <f t="shared" si="30"/>
        <v>12777</v>
      </c>
      <c r="R58" s="7">
        <f t="shared" si="31"/>
        <v>3477</v>
      </c>
      <c r="S58" s="7">
        <f t="shared" si="32"/>
        <v>8200</v>
      </c>
      <c r="T58" s="7">
        <f t="shared" si="33"/>
        <v>2649.4878048780483</v>
      </c>
      <c r="U58" s="7">
        <f t="shared" si="34"/>
        <v>2073.5121951219512</v>
      </c>
      <c r="V58" s="7">
        <f t="shared" si="35"/>
        <v>0</v>
      </c>
      <c r="W58" s="7">
        <f t="shared" si="36"/>
        <v>0</v>
      </c>
      <c r="X58" s="7">
        <f t="shared" si="37"/>
        <v>17500</v>
      </c>
      <c r="Y58" s="7">
        <f t="shared" si="38"/>
        <v>17500</v>
      </c>
      <c r="Z58" s="5" t="str">
        <f t="shared" si="39"/>
        <v>No</v>
      </c>
      <c r="AA58" s="7">
        <f t="shared" si="40"/>
        <v>0</v>
      </c>
      <c r="AB58" s="19" t="s">
        <v>144</v>
      </c>
      <c r="AC58" s="7">
        <f t="shared" si="41"/>
        <v>12777</v>
      </c>
      <c r="AD58" s="7">
        <f t="shared" si="42"/>
        <v>1533</v>
      </c>
      <c r="AE58" s="7">
        <f t="shared" si="43"/>
        <v>1533</v>
      </c>
      <c r="AF58" s="5" t="str">
        <f t="shared" si="44"/>
        <v>Y</v>
      </c>
      <c r="AG58" s="7">
        <f t="shared" si="45"/>
        <v>131</v>
      </c>
      <c r="AH58" s="7">
        <f t="shared" si="46"/>
        <v>569</v>
      </c>
      <c r="AI58" s="7">
        <f t="shared" si="47"/>
        <v>130</v>
      </c>
      <c r="AJ58" s="7">
        <f t="shared" si="48"/>
        <v>15706</v>
      </c>
      <c r="AK58" s="7">
        <f t="shared" si="49"/>
        <v>19602</v>
      </c>
    </row>
    <row r="59" spans="1:37" x14ac:dyDescent="0.25">
      <c r="A59" s="6">
        <v>53</v>
      </c>
      <c r="B59" s="5" t="s">
        <v>253</v>
      </c>
      <c r="C59" s="5" t="s">
        <v>23</v>
      </c>
      <c r="D59" s="5" t="s">
        <v>142</v>
      </c>
      <c r="E59" s="18" t="s">
        <v>254</v>
      </c>
      <c r="F59" s="5" t="str">
        <f t="shared" si="25"/>
        <v>Skilled</v>
      </c>
      <c r="G59" s="7">
        <f t="shared" si="26"/>
        <v>12777</v>
      </c>
      <c r="H59" s="7">
        <v>11000</v>
      </c>
      <c r="I59" s="7">
        <v>7500</v>
      </c>
      <c r="J59" s="7">
        <v>6500</v>
      </c>
      <c r="K59" s="7">
        <v>0</v>
      </c>
      <c r="L59" s="7">
        <v>0</v>
      </c>
      <c r="M59" s="7">
        <f t="shared" si="27"/>
        <v>25000</v>
      </c>
      <c r="N59" s="7">
        <v>0</v>
      </c>
      <c r="O59" s="7">
        <f t="shared" si="28"/>
        <v>25000</v>
      </c>
      <c r="P59" s="7">
        <f t="shared" si="29"/>
        <v>12777</v>
      </c>
      <c r="Q59" s="7">
        <f t="shared" si="30"/>
        <v>12777</v>
      </c>
      <c r="R59" s="7">
        <f t="shared" si="31"/>
        <v>1777</v>
      </c>
      <c r="S59" s="7">
        <f t="shared" si="32"/>
        <v>14000</v>
      </c>
      <c r="T59" s="7">
        <f t="shared" si="33"/>
        <v>6548.0357142857147</v>
      </c>
      <c r="U59" s="7">
        <f t="shared" si="34"/>
        <v>5674.9642857142853</v>
      </c>
      <c r="V59" s="7">
        <f t="shared" si="35"/>
        <v>0</v>
      </c>
      <c r="W59" s="7">
        <f t="shared" si="36"/>
        <v>0</v>
      </c>
      <c r="X59" s="7">
        <f t="shared" si="37"/>
        <v>25000</v>
      </c>
      <c r="Y59" s="7">
        <f t="shared" si="38"/>
        <v>25000</v>
      </c>
      <c r="Z59" s="5" t="str">
        <f t="shared" si="39"/>
        <v>No</v>
      </c>
      <c r="AA59" s="7">
        <f t="shared" si="40"/>
        <v>0</v>
      </c>
      <c r="AB59" s="19" t="s">
        <v>144</v>
      </c>
      <c r="AC59" s="7">
        <f t="shared" si="41"/>
        <v>12777</v>
      </c>
      <c r="AD59" s="7">
        <f t="shared" si="42"/>
        <v>1533</v>
      </c>
      <c r="AE59" s="7">
        <f t="shared" si="43"/>
        <v>1533</v>
      </c>
      <c r="AF59" s="5" t="str">
        <f t="shared" si="44"/>
        <v>N</v>
      </c>
      <c r="AG59" s="7">
        <f t="shared" si="45"/>
        <v>0</v>
      </c>
      <c r="AH59" s="7">
        <f t="shared" si="46"/>
        <v>0</v>
      </c>
      <c r="AI59" s="7">
        <f t="shared" si="47"/>
        <v>130</v>
      </c>
      <c r="AJ59" s="7">
        <f t="shared" si="48"/>
        <v>23337</v>
      </c>
      <c r="AK59" s="7">
        <f t="shared" si="49"/>
        <v>26533</v>
      </c>
    </row>
    <row r="60" spans="1:37" x14ac:dyDescent="0.25">
      <c r="A60" s="6">
        <v>54</v>
      </c>
      <c r="B60" s="5" t="s">
        <v>255</v>
      </c>
      <c r="C60" s="5" t="s">
        <v>23</v>
      </c>
      <c r="D60" s="5" t="s">
        <v>142</v>
      </c>
      <c r="E60" s="18" t="s">
        <v>256</v>
      </c>
      <c r="F60" s="5" t="str">
        <f t="shared" si="25"/>
        <v>Skilled</v>
      </c>
      <c r="G60" s="7">
        <f t="shared" si="26"/>
        <v>12777</v>
      </c>
      <c r="H60" s="7">
        <v>42000</v>
      </c>
      <c r="I60" s="7">
        <v>0</v>
      </c>
      <c r="J60" s="7">
        <v>0</v>
      </c>
      <c r="K60" s="7">
        <v>0</v>
      </c>
      <c r="L60" s="7">
        <v>0</v>
      </c>
      <c r="M60" s="7">
        <f t="shared" si="27"/>
        <v>42000</v>
      </c>
      <c r="N60" s="7">
        <v>0</v>
      </c>
      <c r="O60" s="7">
        <f t="shared" si="28"/>
        <v>42000</v>
      </c>
      <c r="P60" s="7">
        <f t="shared" si="29"/>
        <v>21000</v>
      </c>
      <c r="Q60" s="7">
        <f t="shared" si="30"/>
        <v>42000</v>
      </c>
      <c r="R60" s="7">
        <f t="shared" si="31"/>
        <v>0</v>
      </c>
      <c r="S60" s="7">
        <f t="shared" si="32"/>
        <v>0</v>
      </c>
      <c r="T60" s="7">
        <f t="shared" si="33"/>
        <v>0</v>
      </c>
      <c r="U60" s="7">
        <f t="shared" si="34"/>
        <v>0</v>
      </c>
      <c r="V60" s="7">
        <f t="shared" si="35"/>
        <v>0</v>
      </c>
      <c r="W60" s="7">
        <f t="shared" si="36"/>
        <v>0</v>
      </c>
      <c r="X60" s="7">
        <f t="shared" si="37"/>
        <v>42000</v>
      </c>
      <c r="Y60" s="7">
        <f t="shared" si="38"/>
        <v>42000</v>
      </c>
      <c r="Z60" s="5" t="str">
        <f t="shared" si="39"/>
        <v>No</v>
      </c>
      <c r="AA60" s="7">
        <f t="shared" si="40"/>
        <v>0</v>
      </c>
      <c r="AB60" s="19" t="s">
        <v>178</v>
      </c>
      <c r="AC60" s="7">
        <f t="shared" si="41"/>
        <v>42000</v>
      </c>
      <c r="AD60" s="7">
        <f t="shared" si="42"/>
        <v>0</v>
      </c>
      <c r="AE60" s="7">
        <f t="shared" si="43"/>
        <v>0</v>
      </c>
      <c r="AF60" s="5" t="str">
        <f t="shared" si="44"/>
        <v>N</v>
      </c>
      <c r="AG60" s="7">
        <f t="shared" si="45"/>
        <v>0</v>
      </c>
      <c r="AH60" s="7">
        <f t="shared" si="46"/>
        <v>0</v>
      </c>
      <c r="AI60" s="7">
        <f t="shared" si="47"/>
        <v>200</v>
      </c>
      <c r="AJ60" s="7">
        <f t="shared" si="48"/>
        <v>41800</v>
      </c>
      <c r="AK60" s="7">
        <f t="shared" si="49"/>
        <v>42000</v>
      </c>
    </row>
    <row r="61" spans="1:37" x14ac:dyDescent="0.25">
      <c r="A61" s="6">
        <v>55</v>
      </c>
      <c r="B61" s="5" t="s">
        <v>257</v>
      </c>
      <c r="C61" s="5" t="s">
        <v>23</v>
      </c>
      <c r="D61" s="5" t="s">
        <v>142</v>
      </c>
      <c r="E61" s="18" t="s">
        <v>258</v>
      </c>
      <c r="F61" s="5" t="str">
        <f t="shared" si="25"/>
        <v>Skilled</v>
      </c>
      <c r="G61" s="7">
        <f t="shared" si="26"/>
        <v>12777</v>
      </c>
      <c r="H61" s="7">
        <v>8400</v>
      </c>
      <c r="I61" s="7">
        <v>7300</v>
      </c>
      <c r="J61" s="7">
        <v>6300</v>
      </c>
      <c r="K61" s="7">
        <v>0</v>
      </c>
      <c r="L61" s="7">
        <v>0</v>
      </c>
      <c r="M61" s="7">
        <f t="shared" si="27"/>
        <v>22000</v>
      </c>
      <c r="N61" s="7">
        <v>0</v>
      </c>
      <c r="O61" s="7">
        <f t="shared" si="28"/>
        <v>22000</v>
      </c>
      <c r="P61" s="7">
        <f t="shared" si="29"/>
        <v>12777</v>
      </c>
      <c r="Q61" s="7">
        <f t="shared" si="30"/>
        <v>12777</v>
      </c>
      <c r="R61" s="7">
        <f t="shared" si="31"/>
        <v>4377</v>
      </c>
      <c r="S61" s="7">
        <f t="shared" si="32"/>
        <v>13600</v>
      </c>
      <c r="T61" s="7">
        <f t="shared" si="33"/>
        <v>4950.5808823529414</v>
      </c>
      <c r="U61" s="7">
        <f t="shared" si="34"/>
        <v>4272.4191176470586</v>
      </c>
      <c r="V61" s="7">
        <f t="shared" si="35"/>
        <v>0</v>
      </c>
      <c r="W61" s="7">
        <f t="shared" si="36"/>
        <v>0</v>
      </c>
      <c r="X61" s="7">
        <f t="shared" si="37"/>
        <v>22000</v>
      </c>
      <c r="Y61" s="7">
        <f t="shared" si="38"/>
        <v>22000</v>
      </c>
      <c r="Z61" s="5" t="str">
        <f t="shared" si="39"/>
        <v>No</v>
      </c>
      <c r="AA61" s="7">
        <f t="shared" si="40"/>
        <v>0</v>
      </c>
      <c r="AB61" s="19" t="s">
        <v>144</v>
      </c>
      <c r="AC61" s="7">
        <f t="shared" si="41"/>
        <v>12777</v>
      </c>
      <c r="AD61" s="7">
        <f t="shared" si="42"/>
        <v>1533</v>
      </c>
      <c r="AE61" s="7">
        <f t="shared" si="43"/>
        <v>1533</v>
      </c>
      <c r="AF61" s="5" t="str">
        <f t="shared" si="44"/>
        <v>N</v>
      </c>
      <c r="AG61" s="7">
        <f t="shared" si="45"/>
        <v>0</v>
      </c>
      <c r="AH61" s="7">
        <f t="shared" si="46"/>
        <v>0</v>
      </c>
      <c r="AI61" s="7">
        <f t="shared" si="47"/>
        <v>130</v>
      </c>
      <c r="AJ61" s="7">
        <f t="shared" si="48"/>
        <v>20337</v>
      </c>
      <c r="AK61" s="7">
        <f t="shared" si="49"/>
        <v>23533</v>
      </c>
    </row>
    <row r="62" spans="1:37" x14ac:dyDescent="0.25">
      <c r="A62" s="6">
        <v>56</v>
      </c>
      <c r="B62" s="5" t="s">
        <v>259</v>
      </c>
      <c r="C62" s="5" t="s">
        <v>23</v>
      </c>
      <c r="D62" s="5" t="s">
        <v>142</v>
      </c>
      <c r="E62" s="18" t="s">
        <v>260</v>
      </c>
      <c r="F62" s="5" t="str">
        <f t="shared" si="25"/>
        <v>Skilled</v>
      </c>
      <c r="G62" s="7">
        <f t="shared" si="26"/>
        <v>12777</v>
      </c>
      <c r="H62" s="7">
        <v>8000</v>
      </c>
      <c r="I62" s="7">
        <v>4600</v>
      </c>
      <c r="J62" s="7">
        <v>3900</v>
      </c>
      <c r="K62" s="7">
        <v>0</v>
      </c>
      <c r="L62" s="7">
        <v>0</v>
      </c>
      <c r="M62" s="7">
        <f t="shared" si="27"/>
        <v>16500</v>
      </c>
      <c r="N62" s="7">
        <v>0</v>
      </c>
      <c r="O62" s="7">
        <f t="shared" si="28"/>
        <v>16500</v>
      </c>
      <c r="P62" s="7">
        <f t="shared" si="29"/>
        <v>12777</v>
      </c>
      <c r="Q62" s="7">
        <f t="shared" si="30"/>
        <v>12777</v>
      </c>
      <c r="R62" s="7">
        <f t="shared" si="31"/>
        <v>4777</v>
      </c>
      <c r="S62" s="7">
        <f t="shared" si="32"/>
        <v>8500</v>
      </c>
      <c r="T62" s="7">
        <f t="shared" si="33"/>
        <v>2014.8000000000002</v>
      </c>
      <c r="U62" s="7">
        <f t="shared" si="34"/>
        <v>1708.2000000000003</v>
      </c>
      <c r="V62" s="7">
        <f t="shared" si="35"/>
        <v>0</v>
      </c>
      <c r="W62" s="7">
        <f t="shared" si="36"/>
        <v>0</v>
      </c>
      <c r="X62" s="7">
        <f t="shared" si="37"/>
        <v>16500</v>
      </c>
      <c r="Y62" s="7">
        <f t="shared" si="38"/>
        <v>16500</v>
      </c>
      <c r="Z62" s="5" t="str">
        <f t="shared" si="39"/>
        <v>No</v>
      </c>
      <c r="AA62" s="7">
        <f t="shared" si="40"/>
        <v>0</v>
      </c>
      <c r="AB62" s="19" t="s">
        <v>144</v>
      </c>
      <c r="AC62" s="7">
        <f t="shared" si="41"/>
        <v>12777</v>
      </c>
      <c r="AD62" s="7">
        <f t="shared" si="42"/>
        <v>1533</v>
      </c>
      <c r="AE62" s="7">
        <f t="shared" si="43"/>
        <v>1533</v>
      </c>
      <c r="AF62" s="5" t="str">
        <f t="shared" si="44"/>
        <v>Y</v>
      </c>
      <c r="AG62" s="7">
        <f t="shared" si="45"/>
        <v>124</v>
      </c>
      <c r="AH62" s="7">
        <f t="shared" si="46"/>
        <v>536</v>
      </c>
      <c r="AI62" s="7">
        <f t="shared" si="47"/>
        <v>130</v>
      </c>
      <c r="AJ62" s="7">
        <f t="shared" si="48"/>
        <v>14713</v>
      </c>
      <c r="AK62" s="7">
        <f t="shared" si="49"/>
        <v>18569</v>
      </c>
    </row>
    <row r="63" spans="1:37" x14ac:dyDescent="0.25">
      <c r="A63" s="6">
        <v>57</v>
      </c>
      <c r="B63" s="5" t="s">
        <v>261</v>
      </c>
      <c r="C63" s="5" t="s">
        <v>23</v>
      </c>
      <c r="D63" s="5" t="s">
        <v>142</v>
      </c>
      <c r="E63" s="18" t="s">
        <v>262</v>
      </c>
      <c r="F63" s="5" t="str">
        <f t="shared" si="25"/>
        <v>Skilled</v>
      </c>
      <c r="G63" s="7">
        <f t="shared" si="26"/>
        <v>12777</v>
      </c>
      <c r="H63" s="7">
        <v>7500</v>
      </c>
      <c r="I63" s="7">
        <v>4600</v>
      </c>
      <c r="J63" s="7">
        <v>3900</v>
      </c>
      <c r="K63" s="7">
        <v>0</v>
      </c>
      <c r="L63" s="7">
        <v>0</v>
      </c>
      <c r="M63" s="7">
        <f t="shared" si="27"/>
        <v>16000</v>
      </c>
      <c r="N63" s="7">
        <v>0</v>
      </c>
      <c r="O63" s="7">
        <f t="shared" si="28"/>
        <v>16000</v>
      </c>
      <c r="P63" s="7">
        <f t="shared" si="29"/>
        <v>12777</v>
      </c>
      <c r="Q63" s="7">
        <f t="shared" si="30"/>
        <v>12777</v>
      </c>
      <c r="R63" s="7">
        <f t="shared" si="31"/>
        <v>5277</v>
      </c>
      <c r="S63" s="7">
        <f t="shared" si="32"/>
        <v>8500</v>
      </c>
      <c r="T63" s="7">
        <f t="shared" si="33"/>
        <v>1744.2117647058826</v>
      </c>
      <c r="U63" s="7">
        <f t="shared" si="34"/>
        <v>1478.7882352941178</v>
      </c>
      <c r="V63" s="7">
        <f t="shared" si="35"/>
        <v>0</v>
      </c>
      <c r="W63" s="7">
        <f t="shared" si="36"/>
        <v>0</v>
      </c>
      <c r="X63" s="7">
        <f t="shared" si="37"/>
        <v>16000</v>
      </c>
      <c r="Y63" s="7">
        <f t="shared" si="38"/>
        <v>16000</v>
      </c>
      <c r="Z63" s="5" t="str">
        <f t="shared" si="39"/>
        <v>No</v>
      </c>
      <c r="AA63" s="7">
        <f t="shared" si="40"/>
        <v>0</v>
      </c>
      <c r="AB63" s="19" t="s">
        <v>144</v>
      </c>
      <c r="AC63" s="7">
        <f t="shared" si="41"/>
        <v>12777</v>
      </c>
      <c r="AD63" s="7">
        <f t="shared" si="42"/>
        <v>1533</v>
      </c>
      <c r="AE63" s="7">
        <f t="shared" si="43"/>
        <v>1533</v>
      </c>
      <c r="AF63" s="5" t="str">
        <f t="shared" si="44"/>
        <v>Y</v>
      </c>
      <c r="AG63" s="7">
        <f t="shared" si="45"/>
        <v>120</v>
      </c>
      <c r="AH63" s="7">
        <f t="shared" si="46"/>
        <v>520</v>
      </c>
      <c r="AI63" s="7">
        <f t="shared" si="47"/>
        <v>130</v>
      </c>
      <c r="AJ63" s="7">
        <f t="shared" si="48"/>
        <v>14217</v>
      </c>
      <c r="AK63" s="7">
        <f t="shared" si="49"/>
        <v>18053</v>
      </c>
    </row>
    <row r="64" spans="1:37" x14ac:dyDescent="0.25">
      <c r="A64" s="6">
        <v>58</v>
      </c>
      <c r="B64" s="5" t="s">
        <v>263</v>
      </c>
      <c r="C64" s="5" t="s">
        <v>23</v>
      </c>
      <c r="D64" s="5" t="s">
        <v>142</v>
      </c>
      <c r="E64" s="18" t="s">
        <v>264</v>
      </c>
      <c r="F64" s="5" t="str">
        <f t="shared" si="25"/>
        <v>Skilled</v>
      </c>
      <c r="G64" s="7">
        <f t="shared" si="26"/>
        <v>12777</v>
      </c>
      <c r="H64" s="7">
        <v>8300</v>
      </c>
      <c r="I64" s="7">
        <v>5100</v>
      </c>
      <c r="J64" s="7">
        <v>4100</v>
      </c>
      <c r="K64" s="7">
        <v>0</v>
      </c>
      <c r="L64" s="7">
        <v>0</v>
      </c>
      <c r="M64" s="7">
        <f t="shared" si="27"/>
        <v>17500</v>
      </c>
      <c r="N64" s="7">
        <v>0</v>
      </c>
      <c r="O64" s="7">
        <f t="shared" si="28"/>
        <v>17500</v>
      </c>
      <c r="P64" s="7">
        <f t="shared" si="29"/>
        <v>12777</v>
      </c>
      <c r="Q64" s="7">
        <f t="shared" si="30"/>
        <v>12777</v>
      </c>
      <c r="R64" s="7">
        <f t="shared" si="31"/>
        <v>4477</v>
      </c>
      <c r="S64" s="7">
        <f t="shared" si="32"/>
        <v>9200</v>
      </c>
      <c r="T64" s="7">
        <f t="shared" si="33"/>
        <v>2618.1847826086955</v>
      </c>
      <c r="U64" s="7">
        <f t="shared" si="34"/>
        <v>2104.8152173913045</v>
      </c>
      <c r="V64" s="7">
        <f t="shared" si="35"/>
        <v>0</v>
      </c>
      <c r="W64" s="7">
        <f t="shared" si="36"/>
        <v>0</v>
      </c>
      <c r="X64" s="7">
        <f t="shared" si="37"/>
        <v>17500</v>
      </c>
      <c r="Y64" s="7">
        <f t="shared" si="38"/>
        <v>17500</v>
      </c>
      <c r="Z64" s="5" t="str">
        <f t="shared" si="39"/>
        <v>No</v>
      </c>
      <c r="AA64" s="7">
        <f t="shared" si="40"/>
        <v>0</v>
      </c>
      <c r="AB64" s="19" t="s">
        <v>144</v>
      </c>
      <c r="AC64" s="7">
        <f t="shared" si="41"/>
        <v>12777</v>
      </c>
      <c r="AD64" s="7">
        <f t="shared" si="42"/>
        <v>1533</v>
      </c>
      <c r="AE64" s="7">
        <f t="shared" si="43"/>
        <v>1533</v>
      </c>
      <c r="AF64" s="5" t="str">
        <f t="shared" si="44"/>
        <v>Y</v>
      </c>
      <c r="AG64" s="7">
        <f t="shared" si="45"/>
        <v>131</v>
      </c>
      <c r="AH64" s="7">
        <f t="shared" si="46"/>
        <v>569</v>
      </c>
      <c r="AI64" s="7">
        <f t="shared" si="47"/>
        <v>130</v>
      </c>
      <c r="AJ64" s="7">
        <f t="shared" si="48"/>
        <v>15706</v>
      </c>
      <c r="AK64" s="7">
        <f t="shared" si="49"/>
        <v>19602</v>
      </c>
    </row>
    <row r="65" spans="1:37" x14ac:dyDescent="0.25">
      <c r="A65" s="6">
        <v>59</v>
      </c>
      <c r="B65" s="5" t="s">
        <v>265</v>
      </c>
      <c r="C65" s="5" t="s">
        <v>23</v>
      </c>
      <c r="D65" s="5" t="s">
        <v>142</v>
      </c>
      <c r="E65" s="18" t="s">
        <v>266</v>
      </c>
      <c r="F65" s="5" t="str">
        <f t="shared" si="25"/>
        <v>Skilled</v>
      </c>
      <c r="G65" s="7">
        <f t="shared" si="26"/>
        <v>12777</v>
      </c>
      <c r="H65" s="7">
        <v>7800</v>
      </c>
      <c r="I65" s="7">
        <v>4100</v>
      </c>
      <c r="J65" s="7">
        <v>3600</v>
      </c>
      <c r="K65" s="7">
        <v>0</v>
      </c>
      <c r="L65" s="7">
        <v>0</v>
      </c>
      <c r="M65" s="7">
        <f t="shared" si="27"/>
        <v>15500</v>
      </c>
      <c r="N65" s="7">
        <v>0</v>
      </c>
      <c r="O65" s="7">
        <f t="shared" si="28"/>
        <v>15500</v>
      </c>
      <c r="P65" s="7">
        <f t="shared" si="29"/>
        <v>12777</v>
      </c>
      <c r="Q65" s="7">
        <f t="shared" si="30"/>
        <v>12777</v>
      </c>
      <c r="R65" s="7">
        <f t="shared" si="31"/>
        <v>4977</v>
      </c>
      <c r="S65" s="7">
        <f t="shared" si="32"/>
        <v>7700</v>
      </c>
      <c r="T65" s="7">
        <f t="shared" si="33"/>
        <v>1449.909090909091</v>
      </c>
      <c r="U65" s="7">
        <f t="shared" si="34"/>
        <v>1273.090909090909</v>
      </c>
      <c r="V65" s="7">
        <f t="shared" si="35"/>
        <v>0</v>
      </c>
      <c r="W65" s="7">
        <f t="shared" si="36"/>
        <v>0</v>
      </c>
      <c r="X65" s="7">
        <f t="shared" si="37"/>
        <v>15500</v>
      </c>
      <c r="Y65" s="7">
        <f t="shared" si="38"/>
        <v>15500</v>
      </c>
      <c r="Z65" s="5" t="str">
        <f t="shared" si="39"/>
        <v>No</v>
      </c>
      <c r="AA65" s="7">
        <f t="shared" si="40"/>
        <v>0</v>
      </c>
      <c r="AB65" s="19" t="s">
        <v>144</v>
      </c>
      <c r="AC65" s="7">
        <f t="shared" si="41"/>
        <v>12777</v>
      </c>
      <c r="AD65" s="7">
        <f t="shared" si="42"/>
        <v>1533</v>
      </c>
      <c r="AE65" s="7">
        <f t="shared" si="43"/>
        <v>1533</v>
      </c>
      <c r="AF65" s="5" t="str">
        <f t="shared" si="44"/>
        <v>Y</v>
      </c>
      <c r="AG65" s="7">
        <f t="shared" si="45"/>
        <v>116</v>
      </c>
      <c r="AH65" s="7">
        <f t="shared" si="46"/>
        <v>504</v>
      </c>
      <c r="AI65" s="7">
        <f t="shared" si="47"/>
        <v>130</v>
      </c>
      <c r="AJ65" s="7">
        <f t="shared" si="48"/>
        <v>13721</v>
      </c>
      <c r="AK65" s="7">
        <f t="shared" si="49"/>
        <v>17537</v>
      </c>
    </row>
    <row r="66" spans="1:37" x14ac:dyDescent="0.25">
      <c r="A66" s="6">
        <v>60</v>
      </c>
      <c r="B66" s="5" t="s">
        <v>267</v>
      </c>
      <c r="C66" s="5" t="s">
        <v>23</v>
      </c>
      <c r="D66" s="5" t="s">
        <v>187</v>
      </c>
      <c r="E66" s="18" t="s">
        <v>268</v>
      </c>
      <c r="F66" s="5" t="str">
        <f t="shared" si="25"/>
        <v>Skilled</v>
      </c>
      <c r="G66" s="7">
        <f t="shared" si="26"/>
        <v>12777</v>
      </c>
      <c r="H66" s="7">
        <v>8150</v>
      </c>
      <c r="I66" s="7">
        <v>3800</v>
      </c>
      <c r="J66" s="7">
        <v>3800</v>
      </c>
      <c r="K66" s="7">
        <v>0</v>
      </c>
      <c r="L66" s="7">
        <v>0</v>
      </c>
      <c r="M66" s="7">
        <f t="shared" si="27"/>
        <v>15750</v>
      </c>
      <c r="N66" s="7">
        <v>0</v>
      </c>
      <c r="O66" s="7">
        <f t="shared" si="28"/>
        <v>15750</v>
      </c>
      <c r="P66" s="7">
        <f t="shared" si="29"/>
        <v>12777</v>
      </c>
      <c r="Q66" s="7">
        <f t="shared" si="30"/>
        <v>12777</v>
      </c>
      <c r="R66" s="7">
        <f t="shared" si="31"/>
        <v>4627</v>
      </c>
      <c r="S66" s="7">
        <f t="shared" si="32"/>
        <v>7600</v>
      </c>
      <c r="T66" s="7">
        <f t="shared" si="33"/>
        <v>1486.5</v>
      </c>
      <c r="U66" s="7">
        <f t="shared" si="34"/>
        <v>1486.5</v>
      </c>
      <c r="V66" s="7">
        <f t="shared" si="35"/>
        <v>0</v>
      </c>
      <c r="W66" s="7">
        <f t="shared" si="36"/>
        <v>0</v>
      </c>
      <c r="X66" s="7">
        <f t="shared" si="37"/>
        <v>15750</v>
      </c>
      <c r="Y66" s="7">
        <f t="shared" si="38"/>
        <v>15750</v>
      </c>
      <c r="Z66" s="5" t="str">
        <f t="shared" si="39"/>
        <v>No</v>
      </c>
      <c r="AA66" s="7">
        <f t="shared" si="40"/>
        <v>0</v>
      </c>
      <c r="AB66" s="19" t="s">
        <v>144</v>
      </c>
      <c r="AC66" s="7">
        <f t="shared" si="41"/>
        <v>12777</v>
      </c>
      <c r="AD66" s="7">
        <f t="shared" si="42"/>
        <v>1533</v>
      </c>
      <c r="AE66" s="7">
        <f t="shared" si="43"/>
        <v>1533</v>
      </c>
      <c r="AF66" s="5" t="str">
        <f t="shared" si="44"/>
        <v>Y</v>
      </c>
      <c r="AG66" s="7">
        <f t="shared" si="45"/>
        <v>118</v>
      </c>
      <c r="AH66" s="7">
        <f t="shared" si="46"/>
        <v>512</v>
      </c>
      <c r="AI66" s="7">
        <f t="shared" si="47"/>
        <v>130</v>
      </c>
      <c r="AJ66" s="7">
        <f t="shared" si="48"/>
        <v>13969</v>
      </c>
      <c r="AK66" s="7">
        <f t="shared" si="49"/>
        <v>17795</v>
      </c>
    </row>
    <row r="67" spans="1:37" x14ac:dyDescent="0.25">
      <c r="A67" s="6">
        <v>61</v>
      </c>
      <c r="B67" s="5" t="s">
        <v>269</v>
      </c>
      <c r="C67" s="5" t="s">
        <v>23</v>
      </c>
      <c r="D67" s="5" t="s">
        <v>176</v>
      </c>
      <c r="E67" s="18" t="s">
        <v>270</v>
      </c>
      <c r="F67" s="5" t="str">
        <f t="shared" si="25"/>
        <v>Semi-Skilled</v>
      </c>
      <c r="G67" s="7">
        <f t="shared" si="26"/>
        <v>11615</v>
      </c>
      <c r="H67" s="7">
        <v>20000</v>
      </c>
      <c r="I67" s="7">
        <v>0</v>
      </c>
      <c r="J67" s="7">
        <v>0</v>
      </c>
      <c r="K67" s="7">
        <v>0</v>
      </c>
      <c r="L67" s="7">
        <v>0</v>
      </c>
      <c r="M67" s="7">
        <f t="shared" si="27"/>
        <v>20000</v>
      </c>
      <c r="N67" s="7">
        <v>0</v>
      </c>
      <c r="O67" s="7">
        <f t="shared" si="28"/>
        <v>20000</v>
      </c>
      <c r="P67" s="7">
        <f t="shared" si="29"/>
        <v>11615</v>
      </c>
      <c r="Q67" s="7">
        <f t="shared" si="30"/>
        <v>20000</v>
      </c>
      <c r="R67" s="7">
        <f t="shared" si="31"/>
        <v>0</v>
      </c>
      <c r="S67" s="7">
        <f t="shared" si="32"/>
        <v>0</v>
      </c>
      <c r="T67" s="7">
        <f t="shared" si="33"/>
        <v>0</v>
      </c>
      <c r="U67" s="7">
        <f t="shared" si="34"/>
        <v>0</v>
      </c>
      <c r="V67" s="7">
        <f t="shared" si="35"/>
        <v>0</v>
      </c>
      <c r="W67" s="7">
        <f t="shared" si="36"/>
        <v>0</v>
      </c>
      <c r="X67" s="7">
        <f t="shared" si="37"/>
        <v>20000</v>
      </c>
      <c r="Y67" s="7">
        <f t="shared" si="38"/>
        <v>20000</v>
      </c>
      <c r="Z67" s="5" t="str">
        <f t="shared" si="39"/>
        <v>No</v>
      </c>
      <c r="AA67" s="7">
        <f t="shared" si="40"/>
        <v>0</v>
      </c>
      <c r="AB67" s="19" t="s">
        <v>178</v>
      </c>
      <c r="AC67" s="7">
        <f t="shared" si="41"/>
        <v>20000</v>
      </c>
      <c r="AD67" s="7">
        <f t="shared" si="42"/>
        <v>0</v>
      </c>
      <c r="AE67" s="7">
        <f t="shared" si="43"/>
        <v>0</v>
      </c>
      <c r="AF67" s="5" t="str">
        <f t="shared" si="44"/>
        <v>Y</v>
      </c>
      <c r="AG67" s="7">
        <f t="shared" si="45"/>
        <v>150</v>
      </c>
      <c r="AH67" s="7">
        <f t="shared" si="46"/>
        <v>650</v>
      </c>
      <c r="AI67" s="7">
        <f t="shared" si="47"/>
        <v>130</v>
      </c>
      <c r="AJ67" s="7">
        <f t="shared" si="48"/>
        <v>19720</v>
      </c>
      <c r="AK67" s="7">
        <f t="shared" si="49"/>
        <v>20650</v>
      </c>
    </row>
    <row r="68" spans="1:37" x14ac:dyDescent="0.25">
      <c r="A68" s="6">
        <v>62</v>
      </c>
      <c r="B68" s="5" t="s">
        <v>271</v>
      </c>
      <c r="C68" s="5" t="s">
        <v>23</v>
      </c>
      <c r="D68" s="5" t="s">
        <v>176</v>
      </c>
      <c r="E68" s="18" t="s">
        <v>272</v>
      </c>
      <c r="F68" s="5" t="str">
        <f t="shared" si="25"/>
        <v>Semi-Skilled</v>
      </c>
      <c r="G68" s="7">
        <f t="shared" si="26"/>
        <v>11615</v>
      </c>
      <c r="H68" s="7">
        <v>20000</v>
      </c>
      <c r="I68" s="7">
        <v>0</v>
      </c>
      <c r="J68" s="7">
        <v>0</v>
      </c>
      <c r="K68" s="7">
        <v>0</v>
      </c>
      <c r="L68" s="7">
        <v>0</v>
      </c>
      <c r="M68" s="7">
        <f t="shared" si="27"/>
        <v>20000</v>
      </c>
      <c r="N68" s="7">
        <v>0</v>
      </c>
      <c r="O68" s="7">
        <f t="shared" si="28"/>
        <v>20000</v>
      </c>
      <c r="P68" s="7">
        <f t="shared" si="29"/>
        <v>11615</v>
      </c>
      <c r="Q68" s="7">
        <f t="shared" si="30"/>
        <v>20000</v>
      </c>
      <c r="R68" s="7">
        <f t="shared" si="31"/>
        <v>0</v>
      </c>
      <c r="S68" s="7">
        <f t="shared" si="32"/>
        <v>0</v>
      </c>
      <c r="T68" s="7">
        <f t="shared" si="33"/>
        <v>0</v>
      </c>
      <c r="U68" s="7">
        <f t="shared" si="34"/>
        <v>0</v>
      </c>
      <c r="V68" s="7">
        <f t="shared" si="35"/>
        <v>0</v>
      </c>
      <c r="W68" s="7">
        <f t="shared" si="36"/>
        <v>0</v>
      </c>
      <c r="X68" s="7">
        <f t="shared" si="37"/>
        <v>20000</v>
      </c>
      <c r="Y68" s="7">
        <f t="shared" si="38"/>
        <v>20000</v>
      </c>
      <c r="Z68" s="5" t="str">
        <f t="shared" si="39"/>
        <v>No</v>
      </c>
      <c r="AA68" s="7">
        <f t="shared" si="40"/>
        <v>0</v>
      </c>
      <c r="AB68" s="19" t="s">
        <v>178</v>
      </c>
      <c r="AC68" s="7">
        <f t="shared" si="41"/>
        <v>20000</v>
      </c>
      <c r="AD68" s="7">
        <f t="shared" si="42"/>
        <v>0</v>
      </c>
      <c r="AE68" s="7">
        <f t="shared" si="43"/>
        <v>0</v>
      </c>
      <c r="AF68" s="5" t="str">
        <f t="shared" si="44"/>
        <v>Y</v>
      </c>
      <c r="AG68" s="7">
        <f t="shared" si="45"/>
        <v>150</v>
      </c>
      <c r="AH68" s="7">
        <f t="shared" si="46"/>
        <v>650</v>
      </c>
      <c r="AI68" s="7">
        <f t="shared" si="47"/>
        <v>130</v>
      </c>
      <c r="AJ68" s="7">
        <f t="shared" si="48"/>
        <v>19720</v>
      </c>
      <c r="AK68" s="7">
        <f t="shared" si="49"/>
        <v>20650</v>
      </c>
    </row>
    <row r="69" spans="1:37" x14ac:dyDescent="0.25">
      <c r="A69" s="6">
        <v>63</v>
      </c>
      <c r="B69" s="5" t="s">
        <v>273</v>
      </c>
      <c r="C69" s="5" t="s">
        <v>23</v>
      </c>
      <c r="D69" s="5" t="s">
        <v>176</v>
      </c>
      <c r="E69" s="18" t="s">
        <v>274</v>
      </c>
      <c r="F69" s="5" t="str">
        <f t="shared" si="25"/>
        <v>Semi-Skilled</v>
      </c>
      <c r="G69" s="7">
        <f t="shared" si="26"/>
        <v>11615</v>
      </c>
      <c r="H69" s="7">
        <v>21000</v>
      </c>
      <c r="I69" s="7">
        <v>0</v>
      </c>
      <c r="J69" s="7">
        <v>0</v>
      </c>
      <c r="K69" s="7">
        <v>0</v>
      </c>
      <c r="L69" s="7">
        <v>0</v>
      </c>
      <c r="M69" s="7">
        <f t="shared" si="27"/>
        <v>21000</v>
      </c>
      <c r="N69" s="7">
        <v>0</v>
      </c>
      <c r="O69" s="7">
        <f t="shared" si="28"/>
        <v>21000</v>
      </c>
      <c r="P69" s="7">
        <f t="shared" si="29"/>
        <v>11615</v>
      </c>
      <c r="Q69" s="7">
        <f t="shared" si="30"/>
        <v>21000</v>
      </c>
      <c r="R69" s="7">
        <f t="shared" si="31"/>
        <v>0</v>
      </c>
      <c r="S69" s="7">
        <f t="shared" si="32"/>
        <v>0</v>
      </c>
      <c r="T69" s="7">
        <f t="shared" si="33"/>
        <v>0</v>
      </c>
      <c r="U69" s="7">
        <f t="shared" si="34"/>
        <v>0</v>
      </c>
      <c r="V69" s="7">
        <f t="shared" si="35"/>
        <v>0</v>
      </c>
      <c r="W69" s="7">
        <f t="shared" si="36"/>
        <v>0</v>
      </c>
      <c r="X69" s="7">
        <f t="shared" si="37"/>
        <v>21000</v>
      </c>
      <c r="Y69" s="7">
        <f t="shared" si="38"/>
        <v>21000</v>
      </c>
      <c r="Z69" s="5" t="str">
        <f t="shared" si="39"/>
        <v>No</v>
      </c>
      <c r="AA69" s="7">
        <f t="shared" si="40"/>
        <v>0</v>
      </c>
      <c r="AB69" s="19" t="s">
        <v>178</v>
      </c>
      <c r="AC69" s="7">
        <f t="shared" si="41"/>
        <v>21000</v>
      </c>
      <c r="AD69" s="7">
        <f t="shared" si="42"/>
        <v>0</v>
      </c>
      <c r="AE69" s="7">
        <f t="shared" si="43"/>
        <v>0</v>
      </c>
      <c r="AF69" s="5" t="str">
        <f t="shared" si="44"/>
        <v>Y</v>
      </c>
      <c r="AG69" s="7">
        <f t="shared" si="45"/>
        <v>158</v>
      </c>
      <c r="AH69" s="7">
        <f t="shared" si="46"/>
        <v>683</v>
      </c>
      <c r="AI69" s="7">
        <f t="shared" si="47"/>
        <v>130</v>
      </c>
      <c r="AJ69" s="7">
        <f t="shared" si="48"/>
        <v>20712</v>
      </c>
      <c r="AK69" s="7">
        <f t="shared" si="49"/>
        <v>21683</v>
      </c>
    </row>
    <row r="70" spans="1:37" x14ac:dyDescent="0.25">
      <c r="A70" s="6">
        <v>64</v>
      </c>
      <c r="B70" s="5" t="s">
        <v>275</v>
      </c>
      <c r="C70" s="5" t="s">
        <v>23</v>
      </c>
      <c r="D70" s="5" t="s">
        <v>176</v>
      </c>
      <c r="E70" s="18" t="s">
        <v>276</v>
      </c>
      <c r="F70" s="5" t="str">
        <f t="shared" si="25"/>
        <v>Semi-Skilled</v>
      </c>
      <c r="G70" s="7">
        <f t="shared" si="26"/>
        <v>11615</v>
      </c>
      <c r="H70" s="7">
        <v>20000</v>
      </c>
      <c r="I70" s="7">
        <v>0</v>
      </c>
      <c r="J70" s="7">
        <v>0</v>
      </c>
      <c r="K70" s="7">
        <v>0</v>
      </c>
      <c r="L70" s="7">
        <v>0</v>
      </c>
      <c r="M70" s="7">
        <f t="shared" si="27"/>
        <v>20000</v>
      </c>
      <c r="N70" s="7">
        <v>0</v>
      </c>
      <c r="O70" s="7">
        <f t="shared" si="28"/>
        <v>20000</v>
      </c>
      <c r="P70" s="7">
        <f t="shared" si="29"/>
        <v>11615</v>
      </c>
      <c r="Q70" s="7">
        <f t="shared" si="30"/>
        <v>20000</v>
      </c>
      <c r="R70" s="7">
        <f t="shared" si="31"/>
        <v>0</v>
      </c>
      <c r="S70" s="7">
        <f t="shared" si="32"/>
        <v>0</v>
      </c>
      <c r="T70" s="7">
        <f t="shared" si="33"/>
        <v>0</v>
      </c>
      <c r="U70" s="7">
        <f t="shared" si="34"/>
        <v>0</v>
      </c>
      <c r="V70" s="7">
        <f t="shared" si="35"/>
        <v>0</v>
      </c>
      <c r="W70" s="7">
        <f t="shared" si="36"/>
        <v>0</v>
      </c>
      <c r="X70" s="7">
        <f t="shared" si="37"/>
        <v>20000</v>
      </c>
      <c r="Y70" s="7">
        <f t="shared" si="38"/>
        <v>20000</v>
      </c>
      <c r="Z70" s="5" t="str">
        <f t="shared" si="39"/>
        <v>No</v>
      </c>
      <c r="AA70" s="7">
        <f t="shared" si="40"/>
        <v>0</v>
      </c>
      <c r="AB70" s="19" t="s">
        <v>178</v>
      </c>
      <c r="AC70" s="7">
        <f t="shared" si="41"/>
        <v>20000</v>
      </c>
      <c r="AD70" s="7">
        <f t="shared" si="42"/>
        <v>0</v>
      </c>
      <c r="AE70" s="7">
        <f t="shared" si="43"/>
        <v>0</v>
      </c>
      <c r="AF70" s="5" t="str">
        <f t="shared" si="44"/>
        <v>Y</v>
      </c>
      <c r="AG70" s="7">
        <f t="shared" si="45"/>
        <v>150</v>
      </c>
      <c r="AH70" s="7">
        <f t="shared" si="46"/>
        <v>650</v>
      </c>
      <c r="AI70" s="7">
        <f t="shared" si="47"/>
        <v>130</v>
      </c>
      <c r="AJ70" s="7">
        <f t="shared" si="48"/>
        <v>19720</v>
      </c>
      <c r="AK70" s="7">
        <f t="shared" si="49"/>
        <v>20650</v>
      </c>
    </row>
    <row r="71" spans="1:37" x14ac:dyDescent="0.25">
      <c r="A71" s="6">
        <v>65</v>
      </c>
      <c r="B71" s="5" t="s">
        <v>277</v>
      </c>
      <c r="C71" s="5" t="s">
        <v>23</v>
      </c>
      <c r="D71" s="5" t="s">
        <v>176</v>
      </c>
      <c r="E71" s="18" t="s">
        <v>278</v>
      </c>
      <c r="F71" s="5" t="str">
        <f t="shared" ref="F71:F102" si="50">VLOOKUP(D71,SkillMap,2,0)</f>
        <v>Semi-Skilled</v>
      </c>
      <c r="G71" s="7">
        <f t="shared" ref="G71:G102" si="51">VLOOKUP(F71,MinWageTable,2,0)</f>
        <v>11615</v>
      </c>
      <c r="H71" s="7">
        <v>20000</v>
      </c>
      <c r="I71" s="7">
        <v>0</v>
      </c>
      <c r="J71" s="7">
        <v>0</v>
      </c>
      <c r="K71" s="7">
        <v>0</v>
      </c>
      <c r="L71" s="7">
        <v>0</v>
      </c>
      <c r="M71" s="7">
        <f t="shared" ref="M71:M102" si="52">SUM(H71:L71)</f>
        <v>20000</v>
      </c>
      <c r="N71" s="7">
        <v>0</v>
      </c>
      <c r="O71" s="7">
        <f t="shared" ref="O71:O102" si="53">M71+N71</f>
        <v>20000</v>
      </c>
      <c r="P71" s="7">
        <f t="shared" ref="P71:P102" si="54">MAX(G71,0.5*O71)</f>
        <v>11615</v>
      </c>
      <c r="Q71" s="7">
        <f t="shared" ref="Q71:Q102" si="55">MAX(H71,P71)</f>
        <v>20000</v>
      </c>
      <c r="R71" s="7">
        <f t="shared" ref="R71:R102" si="56">Q71-H71</f>
        <v>0</v>
      </c>
      <c r="S71" s="7">
        <f t="shared" ref="S71:S102" si="57">SUM(I71:L71)</f>
        <v>0</v>
      </c>
      <c r="T71" s="7">
        <f t="shared" ref="T71:T102" si="58">IF(S71=0,I71,I71-MIN(R71,S71)*(I71/S71))</f>
        <v>0</v>
      </c>
      <c r="U71" s="7">
        <f t="shared" ref="U71:U102" si="59">IF(S71=0,J71,J71-MIN(R71,S71)*(J71/S71))</f>
        <v>0</v>
      </c>
      <c r="V71" s="7">
        <f t="shared" ref="V71:V102" si="60">IF(S71=0,K71,K71-MIN(R71,S71)*(K71/S71))</f>
        <v>0</v>
      </c>
      <c r="W71" s="7">
        <f t="shared" ref="W71:W102" si="61">IF(S71=0,L71,L71-MIN(R71,S71)*(L71/S71))</f>
        <v>0</v>
      </c>
      <c r="X71" s="7">
        <f t="shared" ref="X71:X102" si="62">Q71+SUM(T71:W71)</f>
        <v>20000</v>
      </c>
      <c r="Y71" s="7">
        <f t="shared" ref="Y71:Y102" si="63">X71+N71</f>
        <v>20000</v>
      </c>
      <c r="Z71" s="5" t="str">
        <f t="shared" ref="Z71:Z102" si="64">IF(Y71&gt;O71,"YES","No")</f>
        <v>No</v>
      </c>
      <c r="AA71" s="7">
        <f t="shared" ref="AA71:AA102" si="65">MAX(Y71-O71,0)</f>
        <v>0</v>
      </c>
      <c r="AB71" s="19" t="s">
        <v>178</v>
      </c>
      <c r="AC71" s="7">
        <f t="shared" ref="AC71:AC102" si="66">Q71</f>
        <v>20000</v>
      </c>
      <c r="AD71" s="7">
        <f t="shared" ref="AD71:AD102" si="67">IF(AB71="Y",ROUND(AC71*12%,0),0)</f>
        <v>0</v>
      </c>
      <c r="AE71" s="7">
        <f t="shared" ref="AE71:AE102" si="68">IF(AB71="Y",ROUND(AC71*12%,0),0)</f>
        <v>0</v>
      </c>
      <c r="AF71" s="5" t="str">
        <f t="shared" ref="AF71:AF102" si="69">IF(Y71&lt;=21000,"Y","N")</f>
        <v>Y</v>
      </c>
      <c r="AG71" s="7">
        <f t="shared" ref="AG71:AG102" si="70">IF(AF71="Y",ROUND(Y71*0.75%,0),0)</f>
        <v>150</v>
      </c>
      <c r="AH71" s="7">
        <f t="shared" ref="AH71:AH102" si="71">IF(AF71="Y",ROUND(Y71*3.25%,0),0)</f>
        <v>650</v>
      </c>
      <c r="AI71" s="7">
        <f t="shared" ref="AI71:AI102" si="72">IF(Y71&lt;=10000,0,IF(Y71&lt;=15000,110,IF(Y71&lt;=25000,130,IF(Y71&lt;=40000,150,200))))</f>
        <v>130</v>
      </c>
      <c r="AJ71" s="7">
        <f t="shared" ref="AJ71:AJ102" si="73">Y71-AD71-AG71-AI71</f>
        <v>19720</v>
      </c>
      <c r="AK71" s="7">
        <f t="shared" ref="AK71:AK102" si="74">Y71+AE71+AH71</f>
        <v>20650</v>
      </c>
    </row>
    <row r="72" spans="1:37" x14ac:dyDescent="0.25">
      <c r="A72" s="6">
        <v>66</v>
      </c>
      <c r="B72" s="5" t="s">
        <v>279</v>
      </c>
      <c r="C72" s="5" t="s">
        <v>23</v>
      </c>
      <c r="D72" s="5" t="s">
        <v>184</v>
      </c>
      <c r="E72" s="18" t="s">
        <v>280</v>
      </c>
      <c r="F72" s="5" t="str">
        <f t="shared" si="50"/>
        <v>Unskilled</v>
      </c>
      <c r="G72" s="7">
        <f t="shared" si="51"/>
        <v>10558</v>
      </c>
      <c r="H72" s="7">
        <v>7500</v>
      </c>
      <c r="I72" s="7">
        <v>2700</v>
      </c>
      <c r="J72" s="7">
        <v>2400</v>
      </c>
      <c r="K72" s="7">
        <v>0</v>
      </c>
      <c r="L72" s="7">
        <v>0</v>
      </c>
      <c r="M72" s="7">
        <f t="shared" si="52"/>
        <v>12600</v>
      </c>
      <c r="N72" s="7">
        <v>0</v>
      </c>
      <c r="O72" s="7">
        <f t="shared" si="53"/>
        <v>12600</v>
      </c>
      <c r="P72" s="7">
        <f t="shared" si="54"/>
        <v>10558</v>
      </c>
      <c r="Q72" s="7">
        <f t="shared" si="55"/>
        <v>10558</v>
      </c>
      <c r="R72" s="7">
        <f t="shared" si="56"/>
        <v>3058</v>
      </c>
      <c r="S72" s="7">
        <f t="shared" si="57"/>
        <v>5100</v>
      </c>
      <c r="T72" s="7">
        <f t="shared" si="58"/>
        <v>1081.0588235294117</v>
      </c>
      <c r="U72" s="7">
        <f t="shared" si="59"/>
        <v>960.94117647058829</v>
      </c>
      <c r="V72" s="7">
        <f t="shared" si="60"/>
        <v>0</v>
      </c>
      <c r="W72" s="7">
        <f t="shared" si="61"/>
        <v>0</v>
      </c>
      <c r="X72" s="7">
        <f t="shared" si="62"/>
        <v>12600</v>
      </c>
      <c r="Y72" s="7">
        <f t="shared" si="63"/>
        <v>12600</v>
      </c>
      <c r="Z72" s="5" t="str">
        <f t="shared" si="64"/>
        <v>No</v>
      </c>
      <c r="AA72" s="7">
        <f t="shared" si="65"/>
        <v>0</v>
      </c>
      <c r="AB72" s="19" t="s">
        <v>144</v>
      </c>
      <c r="AC72" s="7">
        <f t="shared" si="66"/>
        <v>10558</v>
      </c>
      <c r="AD72" s="7">
        <f t="shared" si="67"/>
        <v>1267</v>
      </c>
      <c r="AE72" s="7">
        <f t="shared" si="68"/>
        <v>1267</v>
      </c>
      <c r="AF72" s="5" t="str">
        <f t="shared" si="69"/>
        <v>Y</v>
      </c>
      <c r="AG72" s="7">
        <f t="shared" si="70"/>
        <v>95</v>
      </c>
      <c r="AH72" s="7">
        <f t="shared" si="71"/>
        <v>410</v>
      </c>
      <c r="AI72" s="7">
        <f t="shared" si="72"/>
        <v>110</v>
      </c>
      <c r="AJ72" s="7">
        <f t="shared" si="73"/>
        <v>11128</v>
      </c>
      <c r="AK72" s="7">
        <f t="shared" si="74"/>
        <v>14277</v>
      </c>
    </row>
    <row r="73" spans="1:37" x14ac:dyDescent="0.25">
      <c r="A73" s="6">
        <v>67</v>
      </c>
      <c r="B73" s="5" t="s">
        <v>281</v>
      </c>
      <c r="C73" s="5" t="s">
        <v>23</v>
      </c>
      <c r="D73" s="5" t="s">
        <v>176</v>
      </c>
      <c r="E73" s="18" t="s">
        <v>282</v>
      </c>
      <c r="F73" s="5" t="str">
        <f t="shared" si="50"/>
        <v>Semi-Skilled</v>
      </c>
      <c r="G73" s="7">
        <f t="shared" si="51"/>
        <v>11615</v>
      </c>
      <c r="H73" s="7">
        <v>20000</v>
      </c>
      <c r="I73" s="7">
        <v>0</v>
      </c>
      <c r="J73" s="7">
        <v>0</v>
      </c>
      <c r="K73" s="7">
        <v>0</v>
      </c>
      <c r="L73" s="7">
        <v>0</v>
      </c>
      <c r="M73" s="7">
        <f t="shared" si="52"/>
        <v>20000</v>
      </c>
      <c r="N73" s="7">
        <v>0</v>
      </c>
      <c r="O73" s="7">
        <f t="shared" si="53"/>
        <v>20000</v>
      </c>
      <c r="P73" s="7">
        <f t="shared" si="54"/>
        <v>11615</v>
      </c>
      <c r="Q73" s="7">
        <f t="shared" si="55"/>
        <v>20000</v>
      </c>
      <c r="R73" s="7">
        <f t="shared" si="56"/>
        <v>0</v>
      </c>
      <c r="S73" s="7">
        <f t="shared" si="57"/>
        <v>0</v>
      </c>
      <c r="T73" s="7">
        <f t="shared" si="58"/>
        <v>0</v>
      </c>
      <c r="U73" s="7">
        <f t="shared" si="59"/>
        <v>0</v>
      </c>
      <c r="V73" s="7">
        <f t="shared" si="60"/>
        <v>0</v>
      </c>
      <c r="W73" s="7">
        <f t="shared" si="61"/>
        <v>0</v>
      </c>
      <c r="X73" s="7">
        <f t="shared" si="62"/>
        <v>20000</v>
      </c>
      <c r="Y73" s="7">
        <f t="shared" si="63"/>
        <v>20000</v>
      </c>
      <c r="Z73" s="5" t="str">
        <f t="shared" si="64"/>
        <v>No</v>
      </c>
      <c r="AA73" s="7">
        <f t="shared" si="65"/>
        <v>0</v>
      </c>
      <c r="AB73" s="19" t="s">
        <v>178</v>
      </c>
      <c r="AC73" s="7">
        <f t="shared" si="66"/>
        <v>20000</v>
      </c>
      <c r="AD73" s="7">
        <f t="shared" si="67"/>
        <v>0</v>
      </c>
      <c r="AE73" s="7">
        <f t="shared" si="68"/>
        <v>0</v>
      </c>
      <c r="AF73" s="5" t="str">
        <f t="shared" si="69"/>
        <v>Y</v>
      </c>
      <c r="AG73" s="7">
        <f t="shared" si="70"/>
        <v>150</v>
      </c>
      <c r="AH73" s="7">
        <f t="shared" si="71"/>
        <v>650</v>
      </c>
      <c r="AI73" s="7">
        <f t="shared" si="72"/>
        <v>130</v>
      </c>
      <c r="AJ73" s="7">
        <f t="shared" si="73"/>
        <v>19720</v>
      </c>
      <c r="AK73" s="7">
        <f t="shared" si="74"/>
        <v>20650</v>
      </c>
    </row>
    <row r="74" spans="1:37" x14ac:dyDescent="0.25">
      <c r="A74" s="6">
        <v>68</v>
      </c>
      <c r="B74" s="5" t="s">
        <v>283</v>
      </c>
      <c r="C74" s="5" t="s">
        <v>23</v>
      </c>
      <c r="D74" s="5" t="s">
        <v>184</v>
      </c>
      <c r="E74" s="18" t="s">
        <v>284</v>
      </c>
      <c r="F74" s="5" t="str">
        <f t="shared" si="50"/>
        <v>Unskilled</v>
      </c>
      <c r="G74" s="7">
        <f t="shared" si="51"/>
        <v>10558</v>
      </c>
      <c r="H74" s="7">
        <v>7500</v>
      </c>
      <c r="I74" s="7">
        <v>2700</v>
      </c>
      <c r="J74" s="7">
        <v>2400</v>
      </c>
      <c r="K74" s="7">
        <v>0</v>
      </c>
      <c r="L74" s="7">
        <v>0</v>
      </c>
      <c r="M74" s="7">
        <f t="shared" si="52"/>
        <v>12600</v>
      </c>
      <c r="N74" s="7">
        <v>0</v>
      </c>
      <c r="O74" s="7">
        <f t="shared" si="53"/>
        <v>12600</v>
      </c>
      <c r="P74" s="7">
        <f t="shared" si="54"/>
        <v>10558</v>
      </c>
      <c r="Q74" s="7">
        <f t="shared" si="55"/>
        <v>10558</v>
      </c>
      <c r="R74" s="7">
        <f t="shared" si="56"/>
        <v>3058</v>
      </c>
      <c r="S74" s="7">
        <f t="shared" si="57"/>
        <v>5100</v>
      </c>
      <c r="T74" s="7">
        <f t="shared" si="58"/>
        <v>1081.0588235294117</v>
      </c>
      <c r="U74" s="7">
        <f t="shared" si="59"/>
        <v>960.94117647058829</v>
      </c>
      <c r="V74" s="7">
        <f t="shared" si="60"/>
        <v>0</v>
      </c>
      <c r="W74" s="7">
        <f t="shared" si="61"/>
        <v>0</v>
      </c>
      <c r="X74" s="7">
        <f t="shared" si="62"/>
        <v>12600</v>
      </c>
      <c r="Y74" s="7">
        <f t="shared" si="63"/>
        <v>12600</v>
      </c>
      <c r="Z74" s="5" t="str">
        <f t="shared" si="64"/>
        <v>No</v>
      </c>
      <c r="AA74" s="7">
        <f t="shared" si="65"/>
        <v>0</v>
      </c>
      <c r="AB74" s="19" t="s">
        <v>144</v>
      </c>
      <c r="AC74" s="7">
        <f t="shared" si="66"/>
        <v>10558</v>
      </c>
      <c r="AD74" s="7">
        <f t="shared" si="67"/>
        <v>1267</v>
      </c>
      <c r="AE74" s="7">
        <f t="shared" si="68"/>
        <v>1267</v>
      </c>
      <c r="AF74" s="5" t="str">
        <f t="shared" si="69"/>
        <v>Y</v>
      </c>
      <c r="AG74" s="7">
        <f t="shared" si="70"/>
        <v>95</v>
      </c>
      <c r="AH74" s="7">
        <f t="shared" si="71"/>
        <v>410</v>
      </c>
      <c r="AI74" s="7">
        <f t="shared" si="72"/>
        <v>110</v>
      </c>
      <c r="AJ74" s="7">
        <f t="shared" si="73"/>
        <v>11128</v>
      </c>
      <c r="AK74" s="7">
        <f t="shared" si="74"/>
        <v>14277</v>
      </c>
    </row>
    <row r="75" spans="1:37" x14ac:dyDescent="0.25">
      <c r="A75" s="6">
        <v>69</v>
      </c>
      <c r="B75" s="5" t="s">
        <v>285</v>
      </c>
      <c r="C75" s="5" t="s">
        <v>23</v>
      </c>
      <c r="D75" s="5" t="s">
        <v>184</v>
      </c>
      <c r="E75" s="18" t="s">
        <v>286</v>
      </c>
      <c r="F75" s="5" t="str">
        <f t="shared" si="50"/>
        <v>Unskilled</v>
      </c>
      <c r="G75" s="7">
        <f t="shared" si="51"/>
        <v>10558</v>
      </c>
      <c r="H75" s="7">
        <v>7500</v>
      </c>
      <c r="I75" s="7">
        <v>2700</v>
      </c>
      <c r="J75" s="7">
        <v>2400</v>
      </c>
      <c r="K75" s="7">
        <v>0</v>
      </c>
      <c r="L75" s="7">
        <v>0</v>
      </c>
      <c r="M75" s="7">
        <f t="shared" si="52"/>
        <v>12600</v>
      </c>
      <c r="N75" s="7">
        <v>0</v>
      </c>
      <c r="O75" s="7">
        <f t="shared" si="53"/>
        <v>12600</v>
      </c>
      <c r="P75" s="7">
        <f t="shared" si="54"/>
        <v>10558</v>
      </c>
      <c r="Q75" s="7">
        <f t="shared" si="55"/>
        <v>10558</v>
      </c>
      <c r="R75" s="7">
        <f t="shared" si="56"/>
        <v>3058</v>
      </c>
      <c r="S75" s="7">
        <f t="shared" si="57"/>
        <v>5100</v>
      </c>
      <c r="T75" s="7">
        <f t="shared" si="58"/>
        <v>1081.0588235294117</v>
      </c>
      <c r="U75" s="7">
        <f t="shared" si="59"/>
        <v>960.94117647058829</v>
      </c>
      <c r="V75" s="7">
        <f t="shared" si="60"/>
        <v>0</v>
      </c>
      <c r="W75" s="7">
        <f t="shared" si="61"/>
        <v>0</v>
      </c>
      <c r="X75" s="7">
        <f t="shared" si="62"/>
        <v>12600</v>
      </c>
      <c r="Y75" s="7">
        <f t="shared" si="63"/>
        <v>12600</v>
      </c>
      <c r="Z75" s="5" t="str">
        <f t="shared" si="64"/>
        <v>No</v>
      </c>
      <c r="AA75" s="7">
        <f t="shared" si="65"/>
        <v>0</v>
      </c>
      <c r="AB75" s="19" t="s">
        <v>144</v>
      </c>
      <c r="AC75" s="7">
        <f t="shared" si="66"/>
        <v>10558</v>
      </c>
      <c r="AD75" s="7">
        <f t="shared" si="67"/>
        <v>1267</v>
      </c>
      <c r="AE75" s="7">
        <f t="shared" si="68"/>
        <v>1267</v>
      </c>
      <c r="AF75" s="5" t="str">
        <f t="shared" si="69"/>
        <v>Y</v>
      </c>
      <c r="AG75" s="7">
        <f t="shared" si="70"/>
        <v>95</v>
      </c>
      <c r="AH75" s="7">
        <f t="shared" si="71"/>
        <v>410</v>
      </c>
      <c r="AI75" s="7">
        <f t="shared" si="72"/>
        <v>110</v>
      </c>
      <c r="AJ75" s="7">
        <f t="shared" si="73"/>
        <v>11128</v>
      </c>
      <c r="AK75" s="7">
        <f t="shared" si="74"/>
        <v>14277</v>
      </c>
    </row>
    <row r="76" spans="1:37" x14ac:dyDescent="0.25">
      <c r="A76" s="6">
        <v>70</v>
      </c>
      <c r="B76" s="5" t="s">
        <v>287</v>
      </c>
      <c r="C76" s="5" t="s">
        <v>23</v>
      </c>
      <c r="D76" s="5" t="s">
        <v>184</v>
      </c>
      <c r="E76" s="18" t="s">
        <v>288</v>
      </c>
      <c r="F76" s="5" t="str">
        <f t="shared" si="50"/>
        <v>Unskilled</v>
      </c>
      <c r="G76" s="7">
        <f t="shared" si="51"/>
        <v>10558</v>
      </c>
      <c r="H76" s="7">
        <v>7500</v>
      </c>
      <c r="I76" s="7">
        <v>2700</v>
      </c>
      <c r="J76" s="7">
        <v>2400</v>
      </c>
      <c r="K76" s="7">
        <v>0</v>
      </c>
      <c r="L76" s="7">
        <v>0</v>
      </c>
      <c r="M76" s="7">
        <f t="shared" si="52"/>
        <v>12600</v>
      </c>
      <c r="N76" s="7">
        <v>0</v>
      </c>
      <c r="O76" s="7">
        <f t="shared" si="53"/>
        <v>12600</v>
      </c>
      <c r="P76" s="7">
        <f t="shared" si="54"/>
        <v>10558</v>
      </c>
      <c r="Q76" s="7">
        <f t="shared" si="55"/>
        <v>10558</v>
      </c>
      <c r="R76" s="7">
        <f t="shared" si="56"/>
        <v>3058</v>
      </c>
      <c r="S76" s="7">
        <f t="shared" si="57"/>
        <v>5100</v>
      </c>
      <c r="T76" s="7">
        <f t="shared" si="58"/>
        <v>1081.0588235294117</v>
      </c>
      <c r="U76" s="7">
        <f t="shared" si="59"/>
        <v>960.94117647058829</v>
      </c>
      <c r="V76" s="7">
        <f t="shared" si="60"/>
        <v>0</v>
      </c>
      <c r="W76" s="7">
        <f t="shared" si="61"/>
        <v>0</v>
      </c>
      <c r="X76" s="7">
        <f t="shared" si="62"/>
        <v>12600</v>
      </c>
      <c r="Y76" s="7">
        <f t="shared" si="63"/>
        <v>12600</v>
      </c>
      <c r="Z76" s="5" t="str">
        <f t="shared" si="64"/>
        <v>No</v>
      </c>
      <c r="AA76" s="7">
        <f t="shared" si="65"/>
        <v>0</v>
      </c>
      <c r="AB76" s="19" t="s">
        <v>144</v>
      </c>
      <c r="AC76" s="7">
        <f t="shared" si="66"/>
        <v>10558</v>
      </c>
      <c r="AD76" s="7">
        <f t="shared" si="67"/>
        <v>1267</v>
      </c>
      <c r="AE76" s="7">
        <f t="shared" si="68"/>
        <v>1267</v>
      </c>
      <c r="AF76" s="5" t="str">
        <f t="shared" si="69"/>
        <v>Y</v>
      </c>
      <c r="AG76" s="7">
        <f t="shared" si="70"/>
        <v>95</v>
      </c>
      <c r="AH76" s="7">
        <f t="shared" si="71"/>
        <v>410</v>
      </c>
      <c r="AI76" s="7">
        <f t="shared" si="72"/>
        <v>110</v>
      </c>
      <c r="AJ76" s="7">
        <f t="shared" si="73"/>
        <v>11128</v>
      </c>
      <c r="AK76" s="7">
        <f t="shared" si="74"/>
        <v>14277</v>
      </c>
    </row>
    <row r="77" spans="1:37" x14ac:dyDescent="0.25">
      <c r="A77" s="6">
        <v>71</v>
      </c>
      <c r="B77" s="5" t="s">
        <v>289</v>
      </c>
      <c r="C77" s="5" t="s">
        <v>23</v>
      </c>
      <c r="D77" s="5" t="s">
        <v>187</v>
      </c>
      <c r="E77" s="18" t="s">
        <v>290</v>
      </c>
      <c r="F77" s="5" t="str">
        <f t="shared" si="50"/>
        <v>Skilled</v>
      </c>
      <c r="G77" s="7">
        <f t="shared" si="51"/>
        <v>12777</v>
      </c>
      <c r="H77" s="7">
        <v>8700</v>
      </c>
      <c r="I77" s="7">
        <v>4000</v>
      </c>
      <c r="J77" s="7">
        <v>3575</v>
      </c>
      <c r="K77" s="7">
        <v>0</v>
      </c>
      <c r="L77" s="7">
        <v>0</v>
      </c>
      <c r="M77" s="7">
        <f t="shared" si="52"/>
        <v>16275</v>
      </c>
      <c r="N77" s="7">
        <v>0</v>
      </c>
      <c r="O77" s="7">
        <f t="shared" si="53"/>
        <v>16275</v>
      </c>
      <c r="P77" s="7">
        <f t="shared" si="54"/>
        <v>12777</v>
      </c>
      <c r="Q77" s="7">
        <f t="shared" si="55"/>
        <v>12777</v>
      </c>
      <c r="R77" s="7">
        <f t="shared" si="56"/>
        <v>4077</v>
      </c>
      <c r="S77" s="7">
        <f t="shared" si="57"/>
        <v>7575</v>
      </c>
      <c r="T77" s="7">
        <f t="shared" si="58"/>
        <v>1847.1287128712875</v>
      </c>
      <c r="U77" s="7">
        <f t="shared" si="59"/>
        <v>1650.871287128713</v>
      </c>
      <c r="V77" s="7">
        <f t="shared" si="60"/>
        <v>0</v>
      </c>
      <c r="W77" s="7">
        <f t="shared" si="61"/>
        <v>0</v>
      </c>
      <c r="X77" s="7">
        <f t="shared" si="62"/>
        <v>16275</v>
      </c>
      <c r="Y77" s="7">
        <f t="shared" si="63"/>
        <v>16275</v>
      </c>
      <c r="Z77" s="5" t="str">
        <f t="shared" si="64"/>
        <v>No</v>
      </c>
      <c r="AA77" s="7">
        <f t="shared" si="65"/>
        <v>0</v>
      </c>
      <c r="AB77" s="19" t="s">
        <v>144</v>
      </c>
      <c r="AC77" s="7">
        <f t="shared" si="66"/>
        <v>12777</v>
      </c>
      <c r="AD77" s="7">
        <f t="shared" si="67"/>
        <v>1533</v>
      </c>
      <c r="AE77" s="7">
        <f t="shared" si="68"/>
        <v>1533</v>
      </c>
      <c r="AF77" s="5" t="str">
        <f t="shared" si="69"/>
        <v>Y</v>
      </c>
      <c r="AG77" s="7">
        <f t="shared" si="70"/>
        <v>122</v>
      </c>
      <c r="AH77" s="7">
        <f t="shared" si="71"/>
        <v>529</v>
      </c>
      <c r="AI77" s="7">
        <f t="shared" si="72"/>
        <v>130</v>
      </c>
      <c r="AJ77" s="7">
        <f t="shared" si="73"/>
        <v>14490</v>
      </c>
      <c r="AK77" s="7">
        <f t="shared" si="74"/>
        <v>18337</v>
      </c>
    </row>
    <row r="78" spans="1:37" x14ac:dyDescent="0.25">
      <c r="A78" s="6">
        <v>72</v>
      </c>
      <c r="B78" s="5" t="s">
        <v>291</v>
      </c>
      <c r="C78" s="5" t="s">
        <v>23</v>
      </c>
      <c r="D78" s="5" t="s">
        <v>187</v>
      </c>
      <c r="E78" s="18" t="s">
        <v>292</v>
      </c>
      <c r="F78" s="5" t="str">
        <f t="shared" si="50"/>
        <v>Skilled</v>
      </c>
      <c r="G78" s="7">
        <f t="shared" si="51"/>
        <v>12777</v>
      </c>
      <c r="H78" s="7">
        <v>8150</v>
      </c>
      <c r="I78" s="7">
        <v>2850</v>
      </c>
      <c r="J78" s="7">
        <v>2650</v>
      </c>
      <c r="K78" s="7">
        <v>0</v>
      </c>
      <c r="L78" s="7">
        <v>0</v>
      </c>
      <c r="M78" s="7">
        <f t="shared" si="52"/>
        <v>13650</v>
      </c>
      <c r="N78" s="7">
        <v>0</v>
      </c>
      <c r="O78" s="7">
        <f t="shared" si="53"/>
        <v>13650</v>
      </c>
      <c r="P78" s="7">
        <f t="shared" si="54"/>
        <v>12777</v>
      </c>
      <c r="Q78" s="7">
        <f t="shared" si="55"/>
        <v>12777</v>
      </c>
      <c r="R78" s="7">
        <f t="shared" si="56"/>
        <v>4627</v>
      </c>
      <c r="S78" s="7">
        <f t="shared" si="57"/>
        <v>5500</v>
      </c>
      <c r="T78" s="7">
        <f t="shared" si="58"/>
        <v>452.37272727272739</v>
      </c>
      <c r="U78" s="7">
        <f t="shared" si="59"/>
        <v>420.62727272727261</v>
      </c>
      <c r="V78" s="7">
        <f t="shared" si="60"/>
        <v>0</v>
      </c>
      <c r="W78" s="7">
        <f t="shared" si="61"/>
        <v>0</v>
      </c>
      <c r="X78" s="7">
        <f t="shared" si="62"/>
        <v>13650</v>
      </c>
      <c r="Y78" s="7">
        <f t="shared" si="63"/>
        <v>13650</v>
      </c>
      <c r="Z78" s="5" t="str">
        <f t="shared" si="64"/>
        <v>No</v>
      </c>
      <c r="AA78" s="7">
        <f t="shared" si="65"/>
        <v>0</v>
      </c>
      <c r="AB78" s="19" t="s">
        <v>144</v>
      </c>
      <c r="AC78" s="7">
        <f t="shared" si="66"/>
        <v>12777</v>
      </c>
      <c r="AD78" s="7">
        <f t="shared" si="67"/>
        <v>1533</v>
      </c>
      <c r="AE78" s="7">
        <f t="shared" si="68"/>
        <v>1533</v>
      </c>
      <c r="AF78" s="5" t="str">
        <f t="shared" si="69"/>
        <v>Y</v>
      </c>
      <c r="AG78" s="7">
        <f t="shared" si="70"/>
        <v>102</v>
      </c>
      <c r="AH78" s="7">
        <f t="shared" si="71"/>
        <v>444</v>
      </c>
      <c r="AI78" s="7">
        <f t="shared" si="72"/>
        <v>110</v>
      </c>
      <c r="AJ78" s="7">
        <f t="shared" si="73"/>
        <v>11905</v>
      </c>
      <c r="AK78" s="7">
        <f t="shared" si="74"/>
        <v>15627</v>
      </c>
    </row>
    <row r="79" spans="1:37" x14ac:dyDescent="0.25">
      <c r="A79" s="6">
        <v>73</v>
      </c>
      <c r="B79" s="5" t="s">
        <v>293</v>
      </c>
      <c r="C79" s="5" t="s">
        <v>23</v>
      </c>
      <c r="D79" s="5" t="s">
        <v>176</v>
      </c>
      <c r="E79" s="18" t="s">
        <v>294</v>
      </c>
      <c r="F79" s="5" t="str">
        <f t="shared" si="50"/>
        <v>Semi-Skilled</v>
      </c>
      <c r="G79" s="7">
        <f t="shared" si="51"/>
        <v>11615</v>
      </c>
      <c r="H79" s="7">
        <v>21000</v>
      </c>
      <c r="I79" s="7">
        <v>0</v>
      </c>
      <c r="J79" s="7">
        <v>0</v>
      </c>
      <c r="K79" s="7">
        <v>0</v>
      </c>
      <c r="L79" s="7">
        <v>0</v>
      </c>
      <c r="M79" s="7">
        <f t="shared" si="52"/>
        <v>21000</v>
      </c>
      <c r="N79" s="7">
        <v>0</v>
      </c>
      <c r="O79" s="7">
        <f t="shared" si="53"/>
        <v>21000</v>
      </c>
      <c r="P79" s="7">
        <f t="shared" si="54"/>
        <v>11615</v>
      </c>
      <c r="Q79" s="7">
        <f t="shared" si="55"/>
        <v>21000</v>
      </c>
      <c r="R79" s="7">
        <f t="shared" si="56"/>
        <v>0</v>
      </c>
      <c r="S79" s="7">
        <f t="shared" si="57"/>
        <v>0</v>
      </c>
      <c r="T79" s="7">
        <f t="shared" si="58"/>
        <v>0</v>
      </c>
      <c r="U79" s="7">
        <f t="shared" si="59"/>
        <v>0</v>
      </c>
      <c r="V79" s="7">
        <f t="shared" si="60"/>
        <v>0</v>
      </c>
      <c r="W79" s="7">
        <f t="shared" si="61"/>
        <v>0</v>
      </c>
      <c r="X79" s="7">
        <f t="shared" si="62"/>
        <v>21000</v>
      </c>
      <c r="Y79" s="7">
        <f t="shared" si="63"/>
        <v>21000</v>
      </c>
      <c r="Z79" s="5" t="str">
        <f t="shared" si="64"/>
        <v>No</v>
      </c>
      <c r="AA79" s="7">
        <f t="shared" si="65"/>
        <v>0</v>
      </c>
      <c r="AB79" s="19" t="s">
        <v>178</v>
      </c>
      <c r="AC79" s="7">
        <f t="shared" si="66"/>
        <v>21000</v>
      </c>
      <c r="AD79" s="7">
        <f t="shared" si="67"/>
        <v>0</v>
      </c>
      <c r="AE79" s="7">
        <f t="shared" si="68"/>
        <v>0</v>
      </c>
      <c r="AF79" s="5" t="str">
        <f t="shared" si="69"/>
        <v>Y</v>
      </c>
      <c r="AG79" s="7">
        <f t="shared" si="70"/>
        <v>158</v>
      </c>
      <c r="AH79" s="7">
        <f t="shared" si="71"/>
        <v>683</v>
      </c>
      <c r="AI79" s="7">
        <f t="shared" si="72"/>
        <v>130</v>
      </c>
      <c r="AJ79" s="7">
        <f t="shared" si="73"/>
        <v>20712</v>
      </c>
      <c r="AK79" s="7">
        <f t="shared" si="74"/>
        <v>21683</v>
      </c>
    </row>
    <row r="80" spans="1:37" x14ac:dyDescent="0.25">
      <c r="A80" s="6">
        <v>74</v>
      </c>
      <c r="B80" s="5" t="s">
        <v>295</v>
      </c>
      <c r="C80" s="5" t="s">
        <v>24</v>
      </c>
      <c r="D80" s="5" t="s">
        <v>142</v>
      </c>
      <c r="E80" s="18" t="s">
        <v>296</v>
      </c>
      <c r="F80" s="5" t="str">
        <f t="shared" si="50"/>
        <v>Skilled</v>
      </c>
      <c r="G80" s="7">
        <f t="shared" si="51"/>
        <v>12777</v>
      </c>
      <c r="H80" s="7">
        <v>9500</v>
      </c>
      <c r="I80" s="7">
        <v>5400</v>
      </c>
      <c r="J80" s="7">
        <v>5100</v>
      </c>
      <c r="K80" s="7">
        <v>0</v>
      </c>
      <c r="L80" s="7">
        <v>0</v>
      </c>
      <c r="M80" s="7">
        <f t="shared" si="52"/>
        <v>20000</v>
      </c>
      <c r="N80" s="7">
        <v>0</v>
      </c>
      <c r="O80" s="7">
        <f t="shared" si="53"/>
        <v>20000</v>
      </c>
      <c r="P80" s="7">
        <f t="shared" si="54"/>
        <v>12777</v>
      </c>
      <c r="Q80" s="7">
        <f t="shared" si="55"/>
        <v>12777</v>
      </c>
      <c r="R80" s="7">
        <f t="shared" si="56"/>
        <v>3277</v>
      </c>
      <c r="S80" s="7">
        <f t="shared" si="57"/>
        <v>10500</v>
      </c>
      <c r="T80" s="7">
        <f t="shared" si="58"/>
        <v>3714.6857142857143</v>
      </c>
      <c r="U80" s="7">
        <f t="shared" si="59"/>
        <v>3508.3142857142857</v>
      </c>
      <c r="V80" s="7">
        <f t="shared" si="60"/>
        <v>0</v>
      </c>
      <c r="W80" s="7">
        <f t="shared" si="61"/>
        <v>0</v>
      </c>
      <c r="X80" s="7">
        <f t="shared" si="62"/>
        <v>20000</v>
      </c>
      <c r="Y80" s="7">
        <f t="shared" si="63"/>
        <v>20000</v>
      </c>
      <c r="Z80" s="5" t="str">
        <f t="shared" si="64"/>
        <v>No</v>
      </c>
      <c r="AA80" s="7">
        <f t="shared" si="65"/>
        <v>0</v>
      </c>
      <c r="AB80" s="19" t="s">
        <v>144</v>
      </c>
      <c r="AC80" s="7">
        <f t="shared" si="66"/>
        <v>12777</v>
      </c>
      <c r="AD80" s="7">
        <f t="shared" si="67"/>
        <v>1533</v>
      </c>
      <c r="AE80" s="7">
        <f t="shared" si="68"/>
        <v>1533</v>
      </c>
      <c r="AF80" s="5" t="str">
        <f t="shared" si="69"/>
        <v>Y</v>
      </c>
      <c r="AG80" s="7">
        <f t="shared" si="70"/>
        <v>150</v>
      </c>
      <c r="AH80" s="7">
        <f t="shared" si="71"/>
        <v>650</v>
      </c>
      <c r="AI80" s="7">
        <f t="shared" si="72"/>
        <v>130</v>
      </c>
      <c r="AJ80" s="7">
        <f t="shared" si="73"/>
        <v>18187</v>
      </c>
      <c r="AK80" s="7">
        <f t="shared" si="74"/>
        <v>22183</v>
      </c>
    </row>
    <row r="81" spans="1:37" x14ac:dyDescent="0.25">
      <c r="A81" s="6">
        <v>75</v>
      </c>
      <c r="B81" s="5" t="s">
        <v>297</v>
      </c>
      <c r="C81" s="5" t="s">
        <v>24</v>
      </c>
      <c r="D81" s="5" t="s">
        <v>142</v>
      </c>
      <c r="E81" s="18" t="s">
        <v>298</v>
      </c>
      <c r="F81" s="5" t="str">
        <f t="shared" si="50"/>
        <v>Skilled</v>
      </c>
      <c r="G81" s="7">
        <f t="shared" si="51"/>
        <v>12777</v>
      </c>
      <c r="H81" s="7">
        <v>9700</v>
      </c>
      <c r="I81" s="7">
        <v>5800</v>
      </c>
      <c r="J81" s="7">
        <v>5500</v>
      </c>
      <c r="K81" s="7">
        <v>0</v>
      </c>
      <c r="L81" s="7">
        <v>0</v>
      </c>
      <c r="M81" s="7">
        <f t="shared" si="52"/>
        <v>21000</v>
      </c>
      <c r="N81" s="7">
        <v>0</v>
      </c>
      <c r="O81" s="7">
        <f t="shared" si="53"/>
        <v>21000</v>
      </c>
      <c r="P81" s="7">
        <f t="shared" si="54"/>
        <v>12777</v>
      </c>
      <c r="Q81" s="7">
        <f t="shared" si="55"/>
        <v>12777</v>
      </c>
      <c r="R81" s="7">
        <f t="shared" si="56"/>
        <v>3077</v>
      </c>
      <c r="S81" s="7">
        <f t="shared" si="57"/>
        <v>11300</v>
      </c>
      <c r="T81" s="7">
        <f t="shared" si="58"/>
        <v>4220.6548672566369</v>
      </c>
      <c r="U81" s="7">
        <f t="shared" si="59"/>
        <v>4002.3451327433631</v>
      </c>
      <c r="V81" s="7">
        <f t="shared" si="60"/>
        <v>0</v>
      </c>
      <c r="W81" s="7">
        <f t="shared" si="61"/>
        <v>0</v>
      </c>
      <c r="X81" s="7">
        <f t="shared" si="62"/>
        <v>21000</v>
      </c>
      <c r="Y81" s="7">
        <f t="shared" si="63"/>
        <v>21000</v>
      </c>
      <c r="Z81" s="5" t="str">
        <f t="shared" si="64"/>
        <v>No</v>
      </c>
      <c r="AA81" s="7">
        <f t="shared" si="65"/>
        <v>0</v>
      </c>
      <c r="AB81" s="19" t="s">
        <v>144</v>
      </c>
      <c r="AC81" s="7">
        <f t="shared" si="66"/>
        <v>12777</v>
      </c>
      <c r="AD81" s="7">
        <f t="shared" si="67"/>
        <v>1533</v>
      </c>
      <c r="AE81" s="7">
        <f t="shared" si="68"/>
        <v>1533</v>
      </c>
      <c r="AF81" s="5" t="str">
        <f t="shared" si="69"/>
        <v>Y</v>
      </c>
      <c r="AG81" s="7">
        <f t="shared" si="70"/>
        <v>158</v>
      </c>
      <c r="AH81" s="7">
        <f t="shared" si="71"/>
        <v>683</v>
      </c>
      <c r="AI81" s="7">
        <f t="shared" si="72"/>
        <v>130</v>
      </c>
      <c r="AJ81" s="7">
        <f t="shared" si="73"/>
        <v>19179</v>
      </c>
      <c r="AK81" s="7">
        <f t="shared" si="74"/>
        <v>23216</v>
      </c>
    </row>
    <row r="82" spans="1:37" x14ac:dyDescent="0.25">
      <c r="A82" s="6">
        <v>76</v>
      </c>
      <c r="B82" s="5" t="s">
        <v>299</v>
      </c>
      <c r="C82" s="5" t="s">
        <v>24</v>
      </c>
      <c r="D82" s="5" t="s">
        <v>142</v>
      </c>
      <c r="E82" s="18" t="s">
        <v>300</v>
      </c>
      <c r="F82" s="5" t="str">
        <f t="shared" si="50"/>
        <v>Skilled</v>
      </c>
      <c r="G82" s="7">
        <f t="shared" si="51"/>
        <v>12777</v>
      </c>
      <c r="H82" s="7">
        <v>7600</v>
      </c>
      <c r="I82" s="7">
        <v>5200</v>
      </c>
      <c r="J82" s="7">
        <v>4200</v>
      </c>
      <c r="K82" s="7">
        <v>0</v>
      </c>
      <c r="L82" s="7">
        <v>0</v>
      </c>
      <c r="M82" s="7">
        <f t="shared" si="52"/>
        <v>17000</v>
      </c>
      <c r="N82" s="7">
        <v>0</v>
      </c>
      <c r="O82" s="7">
        <f t="shared" si="53"/>
        <v>17000</v>
      </c>
      <c r="P82" s="7">
        <f t="shared" si="54"/>
        <v>12777</v>
      </c>
      <c r="Q82" s="7">
        <f t="shared" si="55"/>
        <v>12777</v>
      </c>
      <c r="R82" s="7">
        <f t="shared" si="56"/>
        <v>5177</v>
      </c>
      <c r="S82" s="7">
        <f t="shared" si="57"/>
        <v>9400</v>
      </c>
      <c r="T82" s="7">
        <f t="shared" si="58"/>
        <v>2336.127659574468</v>
      </c>
      <c r="U82" s="7">
        <f t="shared" si="59"/>
        <v>1886.872340425532</v>
      </c>
      <c r="V82" s="7">
        <f t="shared" si="60"/>
        <v>0</v>
      </c>
      <c r="W82" s="7">
        <f t="shared" si="61"/>
        <v>0</v>
      </c>
      <c r="X82" s="7">
        <f t="shared" si="62"/>
        <v>17000</v>
      </c>
      <c r="Y82" s="7">
        <f t="shared" si="63"/>
        <v>17000</v>
      </c>
      <c r="Z82" s="5" t="str">
        <f t="shared" si="64"/>
        <v>No</v>
      </c>
      <c r="AA82" s="7">
        <f t="shared" si="65"/>
        <v>0</v>
      </c>
      <c r="AB82" s="19" t="s">
        <v>144</v>
      </c>
      <c r="AC82" s="7">
        <f t="shared" si="66"/>
        <v>12777</v>
      </c>
      <c r="AD82" s="7">
        <f t="shared" si="67"/>
        <v>1533</v>
      </c>
      <c r="AE82" s="7">
        <f t="shared" si="68"/>
        <v>1533</v>
      </c>
      <c r="AF82" s="5" t="str">
        <f t="shared" si="69"/>
        <v>Y</v>
      </c>
      <c r="AG82" s="7">
        <f t="shared" si="70"/>
        <v>128</v>
      </c>
      <c r="AH82" s="7">
        <f t="shared" si="71"/>
        <v>553</v>
      </c>
      <c r="AI82" s="7">
        <f t="shared" si="72"/>
        <v>130</v>
      </c>
      <c r="AJ82" s="7">
        <f t="shared" si="73"/>
        <v>15209</v>
      </c>
      <c r="AK82" s="7">
        <f t="shared" si="74"/>
        <v>19086</v>
      </c>
    </row>
    <row r="83" spans="1:37" x14ac:dyDescent="0.25">
      <c r="A83" s="6">
        <v>77</v>
      </c>
      <c r="B83" s="5" t="s">
        <v>301</v>
      </c>
      <c r="C83" s="5" t="s">
        <v>24</v>
      </c>
      <c r="D83" s="5" t="s">
        <v>142</v>
      </c>
      <c r="E83" s="18" t="s">
        <v>302</v>
      </c>
      <c r="F83" s="5" t="str">
        <f t="shared" si="50"/>
        <v>Skilled</v>
      </c>
      <c r="G83" s="7">
        <f t="shared" si="51"/>
        <v>12777</v>
      </c>
      <c r="H83" s="7">
        <v>36500</v>
      </c>
      <c r="I83" s="7">
        <v>0</v>
      </c>
      <c r="J83" s="7">
        <v>0</v>
      </c>
      <c r="K83" s="7">
        <v>0</v>
      </c>
      <c r="L83" s="7">
        <v>0</v>
      </c>
      <c r="M83" s="7">
        <f t="shared" si="52"/>
        <v>36500</v>
      </c>
      <c r="N83" s="7">
        <v>0</v>
      </c>
      <c r="O83" s="7">
        <f t="shared" si="53"/>
        <v>36500</v>
      </c>
      <c r="P83" s="7">
        <f t="shared" si="54"/>
        <v>18250</v>
      </c>
      <c r="Q83" s="7">
        <f t="shared" si="55"/>
        <v>36500</v>
      </c>
      <c r="R83" s="7">
        <f t="shared" si="56"/>
        <v>0</v>
      </c>
      <c r="S83" s="7">
        <f t="shared" si="57"/>
        <v>0</v>
      </c>
      <c r="T83" s="7">
        <f t="shared" si="58"/>
        <v>0</v>
      </c>
      <c r="U83" s="7">
        <f t="shared" si="59"/>
        <v>0</v>
      </c>
      <c r="V83" s="7">
        <f t="shared" si="60"/>
        <v>0</v>
      </c>
      <c r="W83" s="7">
        <f t="shared" si="61"/>
        <v>0</v>
      </c>
      <c r="X83" s="7">
        <f t="shared" si="62"/>
        <v>36500</v>
      </c>
      <c r="Y83" s="7">
        <f t="shared" si="63"/>
        <v>36500</v>
      </c>
      <c r="Z83" s="5" t="str">
        <f t="shared" si="64"/>
        <v>No</v>
      </c>
      <c r="AA83" s="7">
        <f t="shared" si="65"/>
        <v>0</v>
      </c>
      <c r="AB83" s="19" t="s">
        <v>178</v>
      </c>
      <c r="AC83" s="7">
        <f t="shared" si="66"/>
        <v>36500</v>
      </c>
      <c r="AD83" s="7">
        <f t="shared" si="67"/>
        <v>0</v>
      </c>
      <c r="AE83" s="7">
        <f t="shared" si="68"/>
        <v>0</v>
      </c>
      <c r="AF83" s="5" t="str">
        <f t="shared" si="69"/>
        <v>N</v>
      </c>
      <c r="AG83" s="7">
        <f t="shared" si="70"/>
        <v>0</v>
      </c>
      <c r="AH83" s="7">
        <f t="shared" si="71"/>
        <v>0</v>
      </c>
      <c r="AI83" s="7">
        <f t="shared" si="72"/>
        <v>150</v>
      </c>
      <c r="AJ83" s="7">
        <f t="shared" si="73"/>
        <v>36350</v>
      </c>
      <c r="AK83" s="7">
        <f t="shared" si="74"/>
        <v>36500</v>
      </c>
    </row>
    <row r="84" spans="1:37" x14ac:dyDescent="0.25">
      <c r="A84" s="6">
        <v>78</v>
      </c>
      <c r="B84" s="5" t="s">
        <v>303</v>
      </c>
      <c r="C84" s="5" t="s">
        <v>24</v>
      </c>
      <c r="D84" s="5" t="s">
        <v>187</v>
      </c>
      <c r="E84" s="18" t="s">
        <v>304</v>
      </c>
      <c r="F84" s="5" t="str">
        <f t="shared" si="50"/>
        <v>Skilled</v>
      </c>
      <c r="G84" s="7">
        <f t="shared" si="51"/>
        <v>12777</v>
      </c>
      <c r="H84" s="7">
        <v>9200</v>
      </c>
      <c r="I84" s="7">
        <v>7400</v>
      </c>
      <c r="J84" s="7">
        <v>6400</v>
      </c>
      <c r="K84" s="7">
        <v>0</v>
      </c>
      <c r="L84" s="7">
        <v>0</v>
      </c>
      <c r="M84" s="7">
        <f t="shared" si="52"/>
        <v>23000</v>
      </c>
      <c r="N84" s="7">
        <v>0</v>
      </c>
      <c r="O84" s="7">
        <f t="shared" si="53"/>
        <v>23000</v>
      </c>
      <c r="P84" s="7">
        <f t="shared" si="54"/>
        <v>12777</v>
      </c>
      <c r="Q84" s="7">
        <f t="shared" si="55"/>
        <v>12777</v>
      </c>
      <c r="R84" s="7">
        <f t="shared" si="56"/>
        <v>3577</v>
      </c>
      <c r="S84" s="7">
        <f t="shared" si="57"/>
        <v>13800</v>
      </c>
      <c r="T84" s="7">
        <f t="shared" si="58"/>
        <v>5481.898550724638</v>
      </c>
      <c r="U84" s="7">
        <f t="shared" si="59"/>
        <v>4741.101449275362</v>
      </c>
      <c r="V84" s="7">
        <f t="shared" si="60"/>
        <v>0</v>
      </c>
      <c r="W84" s="7">
        <f t="shared" si="61"/>
        <v>0</v>
      </c>
      <c r="X84" s="7">
        <f t="shared" si="62"/>
        <v>23000</v>
      </c>
      <c r="Y84" s="7">
        <f t="shared" si="63"/>
        <v>23000</v>
      </c>
      <c r="Z84" s="5" t="str">
        <f t="shared" si="64"/>
        <v>No</v>
      </c>
      <c r="AA84" s="7">
        <f t="shared" si="65"/>
        <v>0</v>
      </c>
      <c r="AB84" s="19" t="s">
        <v>144</v>
      </c>
      <c r="AC84" s="7">
        <f t="shared" si="66"/>
        <v>12777</v>
      </c>
      <c r="AD84" s="7">
        <f t="shared" si="67"/>
        <v>1533</v>
      </c>
      <c r="AE84" s="7">
        <f t="shared" si="68"/>
        <v>1533</v>
      </c>
      <c r="AF84" s="5" t="str">
        <f t="shared" si="69"/>
        <v>N</v>
      </c>
      <c r="AG84" s="7">
        <f t="shared" si="70"/>
        <v>0</v>
      </c>
      <c r="AH84" s="7">
        <f t="shared" si="71"/>
        <v>0</v>
      </c>
      <c r="AI84" s="7">
        <f t="shared" si="72"/>
        <v>130</v>
      </c>
      <c r="AJ84" s="7">
        <f t="shared" si="73"/>
        <v>21337</v>
      </c>
      <c r="AK84" s="7">
        <f t="shared" si="74"/>
        <v>24533</v>
      </c>
    </row>
    <row r="85" spans="1:37" x14ac:dyDescent="0.25">
      <c r="A85" s="6">
        <v>79</v>
      </c>
      <c r="B85" s="5" t="s">
        <v>305</v>
      </c>
      <c r="C85" s="5" t="s">
        <v>24</v>
      </c>
      <c r="D85" s="5" t="s">
        <v>187</v>
      </c>
      <c r="E85" s="18" t="s">
        <v>306</v>
      </c>
      <c r="F85" s="5" t="str">
        <f t="shared" si="50"/>
        <v>Skilled</v>
      </c>
      <c r="G85" s="7">
        <f t="shared" si="51"/>
        <v>12777</v>
      </c>
      <c r="H85" s="7">
        <v>7900</v>
      </c>
      <c r="I85" s="7">
        <v>6300</v>
      </c>
      <c r="J85" s="7">
        <v>4800</v>
      </c>
      <c r="K85" s="7">
        <v>0</v>
      </c>
      <c r="L85" s="7">
        <v>0</v>
      </c>
      <c r="M85" s="7">
        <f t="shared" si="52"/>
        <v>19000</v>
      </c>
      <c r="N85" s="7">
        <v>0</v>
      </c>
      <c r="O85" s="7">
        <f t="shared" si="53"/>
        <v>19000</v>
      </c>
      <c r="P85" s="7">
        <f t="shared" si="54"/>
        <v>12777</v>
      </c>
      <c r="Q85" s="7">
        <f t="shared" si="55"/>
        <v>12777</v>
      </c>
      <c r="R85" s="7">
        <f t="shared" si="56"/>
        <v>4877</v>
      </c>
      <c r="S85" s="7">
        <f t="shared" si="57"/>
        <v>11100</v>
      </c>
      <c r="T85" s="7">
        <f t="shared" si="58"/>
        <v>3531.9729729729729</v>
      </c>
      <c r="U85" s="7">
        <f t="shared" si="59"/>
        <v>2691.0270270270271</v>
      </c>
      <c r="V85" s="7">
        <f t="shared" si="60"/>
        <v>0</v>
      </c>
      <c r="W85" s="7">
        <f t="shared" si="61"/>
        <v>0</v>
      </c>
      <c r="X85" s="7">
        <f t="shared" si="62"/>
        <v>19000</v>
      </c>
      <c r="Y85" s="7">
        <f t="shared" si="63"/>
        <v>19000</v>
      </c>
      <c r="Z85" s="5" t="str">
        <f t="shared" si="64"/>
        <v>No</v>
      </c>
      <c r="AA85" s="7">
        <f t="shared" si="65"/>
        <v>0</v>
      </c>
      <c r="AB85" s="19" t="s">
        <v>144</v>
      </c>
      <c r="AC85" s="7">
        <f t="shared" si="66"/>
        <v>12777</v>
      </c>
      <c r="AD85" s="7">
        <f t="shared" si="67"/>
        <v>1533</v>
      </c>
      <c r="AE85" s="7">
        <f t="shared" si="68"/>
        <v>1533</v>
      </c>
      <c r="AF85" s="5" t="str">
        <f t="shared" si="69"/>
        <v>Y</v>
      </c>
      <c r="AG85" s="7">
        <f t="shared" si="70"/>
        <v>143</v>
      </c>
      <c r="AH85" s="7">
        <f t="shared" si="71"/>
        <v>618</v>
      </c>
      <c r="AI85" s="7">
        <f t="shared" si="72"/>
        <v>130</v>
      </c>
      <c r="AJ85" s="7">
        <f t="shared" si="73"/>
        <v>17194</v>
      </c>
      <c r="AK85" s="7">
        <f t="shared" si="74"/>
        <v>21151</v>
      </c>
    </row>
    <row r="86" spans="1:37" x14ac:dyDescent="0.25">
      <c r="A86" s="6">
        <v>80</v>
      </c>
      <c r="B86" s="5" t="s">
        <v>307</v>
      </c>
      <c r="C86" s="5" t="s">
        <v>24</v>
      </c>
      <c r="D86" s="5" t="s">
        <v>176</v>
      </c>
      <c r="E86" s="18" t="s">
        <v>308</v>
      </c>
      <c r="F86" s="5" t="str">
        <f t="shared" si="50"/>
        <v>Semi-Skilled</v>
      </c>
      <c r="G86" s="7">
        <f t="shared" si="51"/>
        <v>11615</v>
      </c>
      <c r="H86" s="7">
        <v>23400</v>
      </c>
      <c r="I86" s="7">
        <v>0</v>
      </c>
      <c r="J86" s="7">
        <v>0</v>
      </c>
      <c r="K86" s="7">
        <v>0</v>
      </c>
      <c r="L86" s="7">
        <v>0</v>
      </c>
      <c r="M86" s="7">
        <f t="shared" si="52"/>
        <v>23400</v>
      </c>
      <c r="N86" s="7">
        <v>0</v>
      </c>
      <c r="O86" s="7">
        <f t="shared" si="53"/>
        <v>23400</v>
      </c>
      <c r="P86" s="7">
        <f t="shared" si="54"/>
        <v>11700</v>
      </c>
      <c r="Q86" s="7">
        <f t="shared" si="55"/>
        <v>23400</v>
      </c>
      <c r="R86" s="7">
        <f t="shared" si="56"/>
        <v>0</v>
      </c>
      <c r="S86" s="7">
        <f t="shared" si="57"/>
        <v>0</v>
      </c>
      <c r="T86" s="7">
        <f t="shared" si="58"/>
        <v>0</v>
      </c>
      <c r="U86" s="7">
        <f t="shared" si="59"/>
        <v>0</v>
      </c>
      <c r="V86" s="7">
        <f t="shared" si="60"/>
        <v>0</v>
      </c>
      <c r="W86" s="7">
        <f t="shared" si="61"/>
        <v>0</v>
      </c>
      <c r="X86" s="7">
        <f t="shared" si="62"/>
        <v>23400</v>
      </c>
      <c r="Y86" s="7">
        <f t="shared" si="63"/>
        <v>23400</v>
      </c>
      <c r="Z86" s="5" t="str">
        <f t="shared" si="64"/>
        <v>No</v>
      </c>
      <c r="AA86" s="7">
        <f t="shared" si="65"/>
        <v>0</v>
      </c>
      <c r="AB86" s="19" t="s">
        <v>178</v>
      </c>
      <c r="AC86" s="7">
        <f t="shared" si="66"/>
        <v>23400</v>
      </c>
      <c r="AD86" s="7">
        <f t="shared" si="67"/>
        <v>0</v>
      </c>
      <c r="AE86" s="7">
        <f t="shared" si="68"/>
        <v>0</v>
      </c>
      <c r="AF86" s="5" t="str">
        <f t="shared" si="69"/>
        <v>N</v>
      </c>
      <c r="AG86" s="7">
        <f t="shared" si="70"/>
        <v>0</v>
      </c>
      <c r="AH86" s="7">
        <f t="shared" si="71"/>
        <v>0</v>
      </c>
      <c r="AI86" s="7">
        <f t="shared" si="72"/>
        <v>130</v>
      </c>
      <c r="AJ86" s="7">
        <f t="shared" si="73"/>
        <v>23270</v>
      </c>
      <c r="AK86" s="7">
        <f t="shared" si="74"/>
        <v>23400</v>
      </c>
    </row>
    <row r="87" spans="1:37" x14ac:dyDescent="0.25">
      <c r="A87" s="6">
        <v>81</v>
      </c>
      <c r="B87" s="5" t="s">
        <v>309</v>
      </c>
      <c r="C87" s="5" t="s">
        <v>24</v>
      </c>
      <c r="D87" s="5" t="s">
        <v>195</v>
      </c>
      <c r="E87" s="18" t="s">
        <v>310</v>
      </c>
      <c r="F87" s="5" t="str">
        <f t="shared" si="50"/>
        <v>Skilled</v>
      </c>
      <c r="G87" s="7">
        <f t="shared" si="51"/>
        <v>12777</v>
      </c>
      <c r="H87" s="7">
        <v>8500</v>
      </c>
      <c r="I87" s="7">
        <v>4800</v>
      </c>
      <c r="J87" s="7">
        <v>3700</v>
      </c>
      <c r="K87" s="7">
        <v>0</v>
      </c>
      <c r="L87" s="7">
        <v>0</v>
      </c>
      <c r="M87" s="7">
        <f t="shared" si="52"/>
        <v>17000</v>
      </c>
      <c r="N87" s="7">
        <v>0</v>
      </c>
      <c r="O87" s="7">
        <f t="shared" si="53"/>
        <v>17000</v>
      </c>
      <c r="P87" s="7">
        <f t="shared" si="54"/>
        <v>12777</v>
      </c>
      <c r="Q87" s="7">
        <f t="shared" si="55"/>
        <v>12777</v>
      </c>
      <c r="R87" s="7">
        <f t="shared" si="56"/>
        <v>4277</v>
      </c>
      <c r="S87" s="7">
        <f t="shared" si="57"/>
        <v>8500</v>
      </c>
      <c r="T87" s="7">
        <f t="shared" si="58"/>
        <v>2384.7529411764708</v>
      </c>
      <c r="U87" s="7">
        <f t="shared" si="59"/>
        <v>1838.2470588235294</v>
      </c>
      <c r="V87" s="7">
        <f t="shared" si="60"/>
        <v>0</v>
      </c>
      <c r="W87" s="7">
        <f t="shared" si="61"/>
        <v>0</v>
      </c>
      <c r="X87" s="7">
        <f t="shared" si="62"/>
        <v>17000</v>
      </c>
      <c r="Y87" s="7">
        <f t="shared" si="63"/>
        <v>17000</v>
      </c>
      <c r="Z87" s="5" t="str">
        <f t="shared" si="64"/>
        <v>No</v>
      </c>
      <c r="AA87" s="7">
        <f t="shared" si="65"/>
        <v>0</v>
      </c>
      <c r="AB87" s="19" t="s">
        <v>144</v>
      </c>
      <c r="AC87" s="7">
        <f t="shared" si="66"/>
        <v>12777</v>
      </c>
      <c r="AD87" s="7">
        <f t="shared" si="67"/>
        <v>1533</v>
      </c>
      <c r="AE87" s="7">
        <f t="shared" si="68"/>
        <v>1533</v>
      </c>
      <c r="AF87" s="5" t="str">
        <f t="shared" si="69"/>
        <v>Y</v>
      </c>
      <c r="AG87" s="7">
        <f t="shared" si="70"/>
        <v>128</v>
      </c>
      <c r="AH87" s="7">
        <f t="shared" si="71"/>
        <v>553</v>
      </c>
      <c r="AI87" s="7">
        <f t="shared" si="72"/>
        <v>130</v>
      </c>
      <c r="AJ87" s="7">
        <f t="shared" si="73"/>
        <v>15209</v>
      </c>
      <c r="AK87" s="7">
        <f t="shared" si="74"/>
        <v>19086</v>
      </c>
    </row>
    <row r="88" spans="1:37" x14ac:dyDescent="0.25">
      <c r="A88" s="6">
        <v>82</v>
      </c>
      <c r="B88" s="5" t="s">
        <v>311</v>
      </c>
      <c r="C88" s="5" t="s">
        <v>24</v>
      </c>
      <c r="D88" s="5" t="s">
        <v>176</v>
      </c>
      <c r="E88" s="18" t="s">
        <v>312</v>
      </c>
      <c r="F88" s="5" t="str">
        <f t="shared" si="50"/>
        <v>Semi-Skilled</v>
      </c>
      <c r="G88" s="7">
        <f t="shared" si="51"/>
        <v>11615</v>
      </c>
      <c r="H88" s="7">
        <v>21200</v>
      </c>
      <c r="I88" s="7">
        <v>0</v>
      </c>
      <c r="J88" s="7">
        <v>0</v>
      </c>
      <c r="K88" s="7">
        <v>0</v>
      </c>
      <c r="L88" s="7">
        <v>0</v>
      </c>
      <c r="M88" s="7">
        <f t="shared" si="52"/>
        <v>21200</v>
      </c>
      <c r="N88" s="7">
        <v>0</v>
      </c>
      <c r="O88" s="7">
        <f t="shared" si="53"/>
        <v>21200</v>
      </c>
      <c r="P88" s="7">
        <f t="shared" si="54"/>
        <v>11615</v>
      </c>
      <c r="Q88" s="7">
        <f t="shared" si="55"/>
        <v>21200</v>
      </c>
      <c r="R88" s="7">
        <f t="shared" si="56"/>
        <v>0</v>
      </c>
      <c r="S88" s="7">
        <f t="shared" si="57"/>
        <v>0</v>
      </c>
      <c r="T88" s="7">
        <f t="shared" si="58"/>
        <v>0</v>
      </c>
      <c r="U88" s="7">
        <f t="shared" si="59"/>
        <v>0</v>
      </c>
      <c r="V88" s="7">
        <f t="shared" si="60"/>
        <v>0</v>
      </c>
      <c r="W88" s="7">
        <f t="shared" si="61"/>
        <v>0</v>
      </c>
      <c r="X88" s="7">
        <f t="shared" si="62"/>
        <v>21200</v>
      </c>
      <c r="Y88" s="7">
        <f t="shared" si="63"/>
        <v>21200</v>
      </c>
      <c r="Z88" s="5" t="str">
        <f t="shared" si="64"/>
        <v>No</v>
      </c>
      <c r="AA88" s="7">
        <f t="shared" si="65"/>
        <v>0</v>
      </c>
      <c r="AB88" s="19" t="s">
        <v>178</v>
      </c>
      <c r="AC88" s="7">
        <f t="shared" si="66"/>
        <v>21200</v>
      </c>
      <c r="AD88" s="7">
        <f t="shared" si="67"/>
        <v>0</v>
      </c>
      <c r="AE88" s="7">
        <f t="shared" si="68"/>
        <v>0</v>
      </c>
      <c r="AF88" s="5" t="str">
        <f t="shared" si="69"/>
        <v>N</v>
      </c>
      <c r="AG88" s="7">
        <f t="shared" si="70"/>
        <v>0</v>
      </c>
      <c r="AH88" s="7">
        <f t="shared" si="71"/>
        <v>0</v>
      </c>
      <c r="AI88" s="7">
        <f t="shared" si="72"/>
        <v>130</v>
      </c>
      <c r="AJ88" s="7">
        <f t="shared" si="73"/>
        <v>21070</v>
      </c>
      <c r="AK88" s="7">
        <f t="shared" si="74"/>
        <v>21200</v>
      </c>
    </row>
    <row r="89" spans="1:37" x14ac:dyDescent="0.25">
      <c r="A89" s="6">
        <v>83</v>
      </c>
      <c r="B89" s="5" t="s">
        <v>313</v>
      </c>
      <c r="C89" s="5" t="s">
        <v>24</v>
      </c>
      <c r="D89" s="5" t="s">
        <v>176</v>
      </c>
      <c r="E89" s="18" t="s">
        <v>314</v>
      </c>
      <c r="F89" s="5" t="str">
        <f t="shared" si="50"/>
        <v>Semi-Skilled</v>
      </c>
      <c r="G89" s="7">
        <f t="shared" si="51"/>
        <v>11615</v>
      </c>
      <c r="H89" s="7">
        <v>21000</v>
      </c>
      <c r="I89" s="7">
        <v>0</v>
      </c>
      <c r="J89" s="7">
        <v>0</v>
      </c>
      <c r="K89" s="7">
        <v>0</v>
      </c>
      <c r="L89" s="7">
        <v>0</v>
      </c>
      <c r="M89" s="7">
        <f t="shared" si="52"/>
        <v>21000</v>
      </c>
      <c r="N89" s="7">
        <v>0</v>
      </c>
      <c r="O89" s="7">
        <f t="shared" si="53"/>
        <v>21000</v>
      </c>
      <c r="P89" s="7">
        <f t="shared" si="54"/>
        <v>11615</v>
      </c>
      <c r="Q89" s="7">
        <f t="shared" si="55"/>
        <v>21000</v>
      </c>
      <c r="R89" s="7">
        <f t="shared" si="56"/>
        <v>0</v>
      </c>
      <c r="S89" s="7">
        <f t="shared" si="57"/>
        <v>0</v>
      </c>
      <c r="T89" s="7">
        <f t="shared" si="58"/>
        <v>0</v>
      </c>
      <c r="U89" s="7">
        <f t="shared" si="59"/>
        <v>0</v>
      </c>
      <c r="V89" s="7">
        <f t="shared" si="60"/>
        <v>0</v>
      </c>
      <c r="W89" s="7">
        <f t="shared" si="61"/>
        <v>0</v>
      </c>
      <c r="X89" s="7">
        <f t="shared" si="62"/>
        <v>21000</v>
      </c>
      <c r="Y89" s="7">
        <f t="shared" si="63"/>
        <v>21000</v>
      </c>
      <c r="Z89" s="5" t="str">
        <f t="shared" si="64"/>
        <v>No</v>
      </c>
      <c r="AA89" s="7">
        <f t="shared" si="65"/>
        <v>0</v>
      </c>
      <c r="AB89" s="19" t="s">
        <v>178</v>
      </c>
      <c r="AC89" s="7">
        <f t="shared" si="66"/>
        <v>21000</v>
      </c>
      <c r="AD89" s="7">
        <f t="shared" si="67"/>
        <v>0</v>
      </c>
      <c r="AE89" s="7">
        <f t="shared" si="68"/>
        <v>0</v>
      </c>
      <c r="AF89" s="5" t="str">
        <f t="shared" si="69"/>
        <v>Y</v>
      </c>
      <c r="AG89" s="7">
        <f t="shared" si="70"/>
        <v>158</v>
      </c>
      <c r="AH89" s="7">
        <f t="shared" si="71"/>
        <v>683</v>
      </c>
      <c r="AI89" s="7">
        <f t="shared" si="72"/>
        <v>130</v>
      </c>
      <c r="AJ89" s="7">
        <f t="shared" si="73"/>
        <v>20712</v>
      </c>
      <c r="AK89" s="7">
        <f t="shared" si="74"/>
        <v>21683</v>
      </c>
    </row>
    <row r="90" spans="1:37" x14ac:dyDescent="0.25">
      <c r="A90" s="6">
        <v>84</v>
      </c>
      <c r="B90" s="5" t="s">
        <v>315</v>
      </c>
      <c r="C90" s="5" t="s">
        <v>24</v>
      </c>
      <c r="D90" s="5" t="s">
        <v>184</v>
      </c>
      <c r="E90" s="18" t="s">
        <v>316</v>
      </c>
      <c r="F90" s="5" t="str">
        <f t="shared" si="50"/>
        <v>Unskilled</v>
      </c>
      <c r="G90" s="7">
        <f t="shared" si="51"/>
        <v>10558</v>
      </c>
      <c r="H90" s="7">
        <v>7400</v>
      </c>
      <c r="I90" s="7">
        <v>3300</v>
      </c>
      <c r="J90" s="7">
        <v>2300</v>
      </c>
      <c r="K90" s="7">
        <v>0</v>
      </c>
      <c r="L90" s="7">
        <v>0</v>
      </c>
      <c r="M90" s="7">
        <f t="shared" si="52"/>
        <v>13000</v>
      </c>
      <c r="N90" s="7">
        <v>0</v>
      </c>
      <c r="O90" s="7">
        <f t="shared" si="53"/>
        <v>13000</v>
      </c>
      <c r="P90" s="7">
        <f t="shared" si="54"/>
        <v>10558</v>
      </c>
      <c r="Q90" s="7">
        <f t="shared" si="55"/>
        <v>10558</v>
      </c>
      <c r="R90" s="7">
        <f t="shared" si="56"/>
        <v>3158</v>
      </c>
      <c r="S90" s="7">
        <f t="shared" si="57"/>
        <v>5600</v>
      </c>
      <c r="T90" s="7">
        <f t="shared" si="58"/>
        <v>1439.0357142857142</v>
      </c>
      <c r="U90" s="7">
        <f t="shared" si="59"/>
        <v>1002.9642857142858</v>
      </c>
      <c r="V90" s="7">
        <f t="shared" si="60"/>
        <v>0</v>
      </c>
      <c r="W90" s="7">
        <f t="shared" si="61"/>
        <v>0</v>
      </c>
      <c r="X90" s="7">
        <f t="shared" si="62"/>
        <v>13000</v>
      </c>
      <c r="Y90" s="7">
        <f t="shared" si="63"/>
        <v>13000</v>
      </c>
      <c r="Z90" s="5" t="str">
        <f t="shared" si="64"/>
        <v>No</v>
      </c>
      <c r="AA90" s="7">
        <f t="shared" si="65"/>
        <v>0</v>
      </c>
      <c r="AB90" s="19" t="s">
        <v>144</v>
      </c>
      <c r="AC90" s="7">
        <f t="shared" si="66"/>
        <v>10558</v>
      </c>
      <c r="AD90" s="7">
        <f t="shared" si="67"/>
        <v>1267</v>
      </c>
      <c r="AE90" s="7">
        <f t="shared" si="68"/>
        <v>1267</v>
      </c>
      <c r="AF90" s="5" t="str">
        <f t="shared" si="69"/>
        <v>Y</v>
      </c>
      <c r="AG90" s="7">
        <f t="shared" si="70"/>
        <v>98</v>
      </c>
      <c r="AH90" s="7">
        <f t="shared" si="71"/>
        <v>423</v>
      </c>
      <c r="AI90" s="7">
        <f t="shared" si="72"/>
        <v>110</v>
      </c>
      <c r="AJ90" s="7">
        <f t="shared" si="73"/>
        <v>11525</v>
      </c>
      <c r="AK90" s="7">
        <f t="shared" si="74"/>
        <v>14690</v>
      </c>
    </row>
    <row r="91" spans="1:37" x14ac:dyDescent="0.25">
      <c r="A91" s="6">
        <v>85</v>
      </c>
      <c r="B91" s="5" t="s">
        <v>317</v>
      </c>
      <c r="C91" s="5" t="s">
        <v>24</v>
      </c>
      <c r="D91" s="5" t="s">
        <v>184</v>
      </c>
      <c r="E91" s="18" t="s">
        <v>318</v>
      </c>
      <c r="F91" s="5" t="str">
        <f t="shared" si="50"/>
        <v>Unskilled</v>
      </c>
      <c r="G91" s="7">
        <f t="shared" si="51"/>
        <v>10558</v>
      </c>
      <c r="H91" s="7">
        <v>7400</v>
      </c>
      <c r="I91" s="7">
        <v>3300</v>
      </c>
      <c r="J91" s="7">
        <v>2300</v>
      </c>
      <c r="K91" s="7">
        <v>0</v>
      </c>
      <c r="L91" s="7">
        <v>0</v>
      </c>
      <c r="M91" s="7">
        <f t="shared" si="52"/>
        <v>13000</v>
      </c>
      <c r="N91" s="7">
        <v>0</v>
      </c>
      <c r="O91" s="7">
        <f t="shared" si="53"/>
        <v>13000</v>
      </c>
      <c r="P91" s="7">
        <f t="shared" si="54"/>
        <v>10558</v>
      </c>
      <c r="Q91" s="7">
        <f t="shared" si="55"/>
        <v>10558</v>
      </c>
      <c r="R91" s="7">
        <f t="shared" si="56"/>
        <v>3158</v>
      </c>
      <c r="S91" s="7">
        <f t="shared" si="57"/>
        <v>5600</v>
      </c>
      <c r="T91" s="7">
        <f t="shared" si="58"/>
        <v>1439.0357142857142</v>
      </c>
      <c r="U91" s="7">
        <f t="shared" si="59"/>
        <v>1002.9642857142858</v>
      </c>
      <c r="V91" s="7">
        <f t="shared" si="60"/>
        <v>0</v>
      </c>
      <c r="W91" s="7">
        <f t="shared" si="61"/>
        <v>0</v>
      </c>
      <c r="X91" s="7">
        <f t="shared" si="62"/>
        <v>13000</v>
      </c>
      <c r="Y91" s="7">
        <f t="shared" si="63"/>
        <v>13000</v>
      </c>
      <c r="Z91" s="5" t="str">
        <f t="shared" si="64"/>
        <v>No</v>
      </c>
      <c r="AA91" s="7">
        <f t="shared" si="65"/>
        <v>0</v>
      </c>
      <c r="AB91" s="19" t="s">
        <v>144</v>
      </c>
      <c r="AC91" s="7">
        <f t="shared" si="66"/>
        <v>10558</v>
      </c>
      <c r="AD91" s="7">
        <f t="shared" si="67"/>
        <v>1267</v>
      </c>
      <c r="AE91" s="7">
        <f t="shared" si="68"/>
        <v>1267</v>
      </c>
      <c r="AF91" s="5" t="str">
        <f t="shared" si="69"/>
        <v>Y</v>
      </c>
      <c r="AG91" s="7">
        <f t="shared" si="70"/>
        <v>98</v>
      </c>
      <c r="AH91" s="7">
        <f t="shared" si="71"/>
        <v>423</v>
      </c>
      <c r="AI91" s="7">
        <f t="shared" si="72"/>
        <v>110</v>
      </c>
      <c r="AJ91" s="7">
        <f t="shared" si="73"/>
        <v>11525</v>
      </c>
      <c r="AK91" s="7">
        <f t="shared" si="74"/>
        <v>14690</v>
      </c>
    </row>
    <row r="92" spans="1:37" x14ac:dyDescent="0.25">
      <c r="A92" s="6">
        <v>86</v>
      </c>
      <c r="B92" s="5" t="s">
        <v>319</v>
      </c>
      <c r="C92" s="5" t="s">
        <v>24</v>
      </c>
      <c r="D92" s="5" t="s">
        <v>176</v>
      </c>
      <c r="E92" s="18" t="s">
        <v>320</v>
      </c>
      <c r="F92" s="5" t="str">
        <f t="shared" si="50"/>
        <v>Semi-Skilled</v>
      </c>
      <c r="G92" s="7">
        <f t="shared" si="51"/>
        <v>11615</v>
      </c>
      <c r="H92" s="7">
        <v>21200</v>
      </c>
      <c r="I92" s="7">
        <v>0</v>
      </c>
      <c r="J92" s="7">
        <v>0</v>
      </c>
      <c r="K92" s="7">
        <v>0</v>
      </c>
      <c r="L92" s="7">
        <v>0</v>
      </c>
      <c r="M92" s="7">
        <f t="shared" si="52"/>
        <v>21200</v>
      </c>
      <c r="N92" s="7">
        <v>0</v>
      </c>
      <c r="O92" s="7">
        <f t="shared" si="53"/>
        <v>21200</v>
      </c>
      <c r="P92" s="7">
        <f t="shared" si="54"/>
        <v>11615</v>
      </c>
      <c r="Q92" s="7">
        <f t="shared" si="55"/>
        <v>21200</v>
      </c>
      <c r="R92" s="7">
        <f t="shared" si="56"/>
        <v>0</v>
      </c>
      <c r="S92" s="7">
        <f t="shared" si="57"/>
        <v>0</v>
      </c>
      <c r="T92" s="7">
        <f t="shared" si="58"/>
        <v>0</v>
      </c>
      <c r="U92" s="7">
        <f t="shared" si="59"/>
        <v>0</v>
      </c>
      <c r="V92" s="7">
        <f t="shared" si="60"/>
        <v>0</v>
      </c>
      <c r="W92" s="7">
        <f t="shared" si="61"/>
        <v>0</v>
      </c>
      <c r="X92" s="7">
        <f t="shared" si="62"/>
        <v>21200</v>
      </c>
      <c r="Y92" s="7">
        <f t="shared" si="63"/>
        <v>21200</v>
      </c>
      <c r="Z92" s="5" t="str">
        <f t="shared" si="64"/>
        <v>No</v>
      </c>
      <c r="AA92" s="7">
        <f t="shared" si="65"/>
        <v>0</v>
      </c>
      <c r="AB92" s="19" t="s">
        <v>178</v>
      </c>
      <c r="AC92" s="7">
        <f t="shared" si="66"/>
        <v>21200</v>
      </c>
      <c r="AD92" s="7">
        <f t="shared" si="67"/>
        <v>0</v>
      </c>
      <c r="AE92" s="7">
        <f t="shared" si="68"/>
        <v>0</v>
      </c>
      <c r="AF92" s="5" t="str">
        <f t="shared" si="69"/>
        <v>N</v>
      </c>
      <c r="AG92" s="7">
        <f t="shared" si="70"/>
        <v>0</v>
      </c>
      <c r="AH92" s="7">
        <f t="shared" si="71"/>
        <v>0</v>
      </c>
      <c r="AI92" s="7">
        <f t="shared" si="72"/>
        <v>130</v>
      </c>
      <c r="AJ92" s="7">
        <f t="shared" si="73"/>
        <v>21070</v>
      </c>
      <c r="AK92" s="7">
        <f t="shared" si="74"/>
        <v>21200</v>
      </c>
    </row>
    <row r="93" spans="1:37" x14ac:dyDescent="0.25">
      <c r="A93" s="6">
        <v>87</v>
      </c>
      <c r="B93" s="5" t="s">
        <v>321</v>
      </c>
      <c r="C93" s="5" t="s">
        <v>24</v>
      </c>
      <c r="D93" s="5" t="s">
        <v>176</v>
      </c>
      <c r="E93" s="18" t="s">
        <v>322</v>
      </c>
      <c r="F93" s="5" t="str">
        <f t="shared" si="50"/>
        <v>Semi-Skilled</v>
      </c>
      <c r="G93" s="7">
        <f t="shared" si="51"/>
        <v>11615</v>
      </c>
      <c r="H93" s="7">
        <v>21200</v>
      </c>
      <c r="I93" s="7">
        <v>0</v>
      </c>
      <c r="J93" s="7">
        <v>0</v>
      </c>
      <c r="K93" s="7">
        <v>0</v>
      </c>
      <c r="L93" s="7">
        <v>0</v>
      </c>
      <c r="M93" s="7">
        <f t="shared" si="52"/>
        <v>21200</v>
      </c>
      <c r="N93" s="7">
        <v>0</v>
      </c>
      <c r="O93" s="7">
        <f t="shared" si="53"/>
        <v>21200</v>
      </c>
      <c r="P93" s="7">
        <f t="shared" si="54"/>
        <v>11615</v>
      </c>
      <c r="Q93" s="7">
        <f t="shared" si="55"/>
        <v>21200</v>
      </c>
      <c r="R93" s="7">
        <f t="shared" si="56"/>
        <v>0</v>
      </c>
      <c r="S93" s="7">
        <f t="shared" si="57"/>
        <v>0</v>
      </c>
      <c r="T93" s="7">
        <f t="shared" si="58"/>
        <v>0</v>
      </c>
      <c r="U93" s="7">
        <f t="shared" si="59"/>
        <v>0</v>
      </c>
      <c r="V93" s="7">
        <f t="shared" si="60"/>
        <v>0</v>
      </c>
      <c r="W93" s="7">
        <f t="shared" si="61"/>
        <v>0</v>
      </c>
      <c r="X93" s="7">
        <f t="shared" si="62"/>
        <v>21200</v>
      </c>
      <c r="Y93" s="7">
        <f t="shared" si="63"/>
        <v>21200</v>
      </c>
      <c r="Z93" s="5" t="str">
        <f t="shared" si="64"/>
        <v>No</v>
      </c>
      <c r="AA93" s="7">
        <f t="shared" si="65"/>
        <v>0</v>
      </c>
      <c r="AB93" s="19" t="s">
        <v>178</v>
      </c>
      <c r="AC93" s="7">
        <f t="shared" si="66"/>
        <v>21200</v>
      </c>
      <c r="AD93" s="7">
        <f t="shared" si="67"/>
        <v>0</v>
      </c>
      <c r="AE93" s="7">
        <f t="shared" si="68"/>
        <v>0</v>
      </c>
      <c r="AF93" s="5" t="str">
        <f t="shared" si="69"/>
        <v>N</v>
      </c>
      <c r="AG93" s="7">
        <f t="shared" si="70"/>
        <v>0</v>
      </c>
      <c r="AH93" s="7">
        <f t="shared" si="71"/>
        <v>0</v>
      </c>
      <c r="AI93" s="7">
        <f t="shared" si="72"/>
        <v>130</v>
      </c>
      <c r="AJ93" s="7">
        <f t="shared" si="73"/>
        <v>21070</v>
      </c>
      <c r="AK93" s="7">
        <f t="shared" si="74"/>
        <v>21200</v>
      </c>
    </row>
    <row r="94" spans="1:37" x14ac:dyDescent="0.25">
      <c r="A94" s="6">
        <v>88</v>
      </c>
      <c r="B94" s="5" t="s">
        <v>323</v>
      </c>
      <c r="C94" s="5" t="s">
        <v>24</v>
      </c>
      <c r="D94" s="5" t="s">
        <v>176</v>
      </c>
      <c r="E94" s="18" t="s">
        <v>324</v>
      </c>
      <c r="F94" s="5" t="str">
        <f t="shared" si="50"/>
        <v>Semi-Skilled</v>
      </c>
      <c r="G94" s="7">
        <f t="shared" si="51"/>
        <v>11615</v>
      </c>
      <c r="H94" s="7">
        <v>21200</v>
      </c>
      <c r="I94" s="7">
        <v>0</v>
      </c>
      <c r="J94" s="7">
        <v>0</v>
      </c>
      <c r="K94" s="7">
        <v>0</v>
      </c>
      <c r="L94" s="7">
        <v>0</v>
      </c>
      <c r="M94" s="7">
        <f t="shared" si="52"/>
        <v>21200</v>
      </c>
      <c r="N94" s="7">
        <v>0</v>
      </c>
      <c r="O94" s="7">
        <f t="shared" si="53"/>
        <v>21200</v>
      </c>
      <c r="P94" s="7">
        <f t="shared" si="54"/>
        <v>11615</v>
      </c>
      <c r="Q94" s="7">
        <f t="shared" si="55"/>
        <v>21200</v>
      </c>
      <c r="R94" s="7">
        <f t="shared" si="56"/>
        <v>0</v>
      </c>
      <c r="S94" s="7">
        <f t="shared" si="57"/>
        <v>0</v>
      </c>
      <c r="T94" s="7">
        <f t="shared" si="58"/>
        <v>0</v>
      </c>
      <c r="U94" s="7">
        <f t="shared" si="59"/>
        <v>0</v>
      </c>
      <c r="V94" s="7">
        <f t="shared" si="60"/>
        <v>0</v>
      </c>
      <c r="W94" s="7">
        <f t="shared" si="61"/>
        <v>0</v>
      </c>
      <c r="X94" s="7">
        <f t="shared" si="62"/>
        <v>21200</v>
      </c>
      <c r="Y94" s="7">
        <f t="shared" si="63"/>
        <v>21200</v>
      </c>
      <c r="Z94" s="5" t="str">
        <f t="shared" si="64"/>
        <v>No</v>
      </c>
      <c r="AA94" s="7">
        <f t="shared" si="65"/>
        <v>0</v>
      </c>
      <c r="AB94" s="19" t="s">
        <v>178</v>
      </c>
      <c r="AC94" s="7">
        <f t="shared" si="66"/>
        <v>21200</v>
      </c>
      <c r="AD94" s="7">
        <f t="shared" si="67"/>
        <v>0</v>
      </c>
      <c r="AE94" s="7">
        <f t="shared" si="68"/>
        <v>0</v>
      </c>
      <c r="AF94" s="5" t="str">
        <f t="shared" si="69"/>
        <v>N</v>
      </c>
      <c r="AG94" s="7">
        <f t="shared" si="70"/>
        <v>0</v>
      </c>
      <c r="AH94" s="7">
        <f t="shared" si="71"/>
        <v>0</v>
      </c>
      <c r="AI94" s="7">
        <f t="shared" si="72"/>
        <v>130</v>
      </c>
      <c r="AJ94" s="7">
        <f t="shared" si="73"/>
        <v>21070</v>
      </c>
      <c r="AK94" s="7">
        <f t="shared" si="74"/>
        <v>21200</v>
      </c>
    </row>
    <row r="95" spans="1:37" x14ac:dyDescent="0.25">
      <c r="A95" s="6">
        <v>89</v>
      </c>
      <c r="B95" s="5" t="s">
        <v>325</v>
      </c>
      <c r="C95" s="5" t="s">
        <v>24</v>
      </c>
      <c r="D95" s="5" t="s">
        <v>176</v>
      </c>
      <c r="E95" s="18" t="s">
        <v>326</v>
      </c>
      <c r="F95" s="5" t="str">
        <f t="shared" si="50"/>
        <v>Semi-Skilled</v>
      </c>
      <c r="G95" s="7">
        <f t="shared" si="51"/>
        <v>11615</v>
      </c>
      <c r="H95" s="7">
        <v>21200</v>
      </c>
      <c r="I95" s="7">
        <v>0</v>
      </c>
      <c r="J95" s="7">
        <v>0</v>
      </c>
      <c r="K95" s="7">
        <v>0</v>
      </c>
      <c r="L95" s="7">
        <v>0</v>
      </c>
      <c r="M95" s="7">
        <f t="shared" si="52"/>
        <v>21200</v>
      </c>
      <c r="N95" s="7">
        <v>0</v>
      </c>
      <c r="O95" s="7">
        <f t="shared" si="53"/>
        <v>21200</v>
      </c>
      <c r="P95" s="7">
        <f t="shared" si="54"/>
        <v>11615</v>
      </c>
      <c r="Q95" s="7">
        <f t="shared" si="55"/>
        <v>21200</v>
      </c>
      <c r="R95" s="7">
        <f t="shared" si="56"/>
        <v>0</v>
      </c>
      <c r="S95" s="7">
        <f t="shared" si="57"/>
        <v>0</v>
      </c>
      <c r="T95" s="7">
        <f t="shared" si="58"/>
        <v>0</v>
      </c>
      <c r="U95" s="7">
        <f t="shared" si="59"/>
        <v>0</v>
      </c>
      <c r="V95" s="7">
        <f t="shared" si="60"/>
        <v>0</v>
      </c>
      <c r="W95" s="7">
        <f t="shared" si="61"/>
        <v>0</v>
      </c>
      <c r="X95" s="7">
        <f t="shared" si="62"/>
        <v>21200</v>
      </c>
      <c r="Y95" s="7">
        <f t="shared" si="63"/>
        <v>21200</v>
      </c>
      <c r="Z95" s="5" t="str">
        <f t="shared" si="64"/>
        <v>No</v>
      </c>
      <c r="AA95" s="7">
        <f t="shared" si="65"/>
        <v>0</v>
      </c>
      <c r="AB95" s="19" t="s">
        <v>178</v>
      </c>
      <c r="AC95" s="7">
        <f t="shared" si="66"/>
        <v>21200</v>
      </c>
      <c r="AD95" s="7">
        <f t="shared" si="67"/>
        <v>0</v>
      </c>
      <c r="AE95" s="7">
        <f t="shared" si="68"/>
        <v>0</v>
      </c>
      <c r="AF95" s="5" t="str">
        <f t="shared" si="69"/>
        <v>N</v>
      </c>
      <c r="AG95" s="7">
        <f t="shared" si="70"/>
        <v>0</v>
      </c>
      <c r="AH95" s="7">
        <f t="shared" si="71"/>
        <v>0</v>
      </c>
      <c r="AI95" s="7">
        <f t="shared" si="72"/>
        <v>130</v>
      </c>
      <c r="AJ95" s="7">
        <f t="shared" si="73"/>
        <v>21070</v>
      </c>
      <c r="AK95" s="7">
        <f t="shared" si="74"/>
        <v>21200</v>
      </c>
    </row>
    <row r="96" spans="1:37" x14ac:dyDescent="0.25">
      <c r="A96" s="6">
        <v>90</v>
      </c>
      <c r="B96" s="5" t="s">
        <v>327</v>
      </c>
      <c r="C96" s="5" t="s">
        <v>24</v>
      </c>
      <c r="D96" s="5" t="s">
        <v>187</v>
      </c>
      <c r="E96" s="18" t="s">
        <v>328</v>
      </c>
      <c r="F96" s="5" t="str">
        <f t="shared" si="50"/>
        <v>Skilled</v>
      </c>
      <c r="G96" s="7">
        <f t="shared" si="51"/>
        <v>12777</v>
      </c>
      <c r="H96" s="7">
        <v>8000</v>
      </c>
      <c r="I96" s="7">
        <v>5300</v>
      </c>
      <c r="J96" s="7">
        <v>4700</v>
      </c>
      <c r="K96" s="7">
        <v>0</v>
      </c>
      <c r="L96" s="7">
        <v>0</v>
      </c>
      <c r="M96" s="7">
        <f t="shared" si="52"/>
        <v>18000</v>
      </c>
      <c r="N96" s="7">
        <v>0</v>
      </c>
      <c r="O96" s="7">
        <f t="shared" si="53"/>
        <v>18000</v>
      </c>
      <c r="P96" s="7">
        <f t="shared" si="54"/>
        <v>12777</v>
      </c>
      <c r="Q96" s="7">
        <f t="shared" si="55"/>
        <v>12777</v>
      </c>
      <c r="R96" s="7">
        <f t="shared" si="56"/>
        <v>4777</v>
      </c>
      <c r="S96" s="7">
        <f t="shared" si="57"/>
        <v>10000</v>
      </c>
      <c r="T96" s="7">
        <f t="shared" si="58"/>
        <v>2768.19</v>
      </c>
      <c r="U96" s="7">
        <f t="shared" si="59"/>
        <v>2454.81</v>
      </c>
      <c r="V96" s="7">
        <f t="shared" si="60"/>
        <v>0</v>
      </c>
      <c r="W96" s="7">
        <f t="shared" si="61"/>
        <v>0</v>
      </c>
      <c r="X96" s="7">
        <f t="shared" si="62"/>
        <v>18000</v>
      </c>
      <c r="Y96" s="7">
        <f t="shared" si="63"/>
        <v>18000</v>
      </c>
      <c r="Z96" s="5" t="str">
        <f t="shared" si="64"/>
        <v>No</v>
      </c>
      <c r="AA96" s="7">
        <f t="shared" si="65"/>
        <v>0</v>
      </c>
      <c r="AB96" s="19" t="s">
        <v>144</v>
      </c>
      <c r="AC96" s="7">
        <f t="shared" si="66"/>
        <v>12777</v>
      </c>
      <c r="AD96" s="7">
        <f t="shared" si="67"/>
        <v>1533</v>
      </c>
      <c r="AE96" s="7">
        <f t="shared" si="68"/>
        <v>1533</v>
      </c>
      <c r="AF96" s="5" t="str">
        <f t="shared" si="69"/>
        <v>Y</v>
      </c>
      <c r="AG96" s="7">
        <f t="shared" si="70"/>
        <v>135</v>
      </c>
      <c r="AH96" s="7">
        <f t="shared" si="71"/>
        <v>585</v>
      </c>
      <c r="AI96" s="7">
        <f t="shared" si="72"/>
        <v>130</v>
      </c>
      <c r="AJ96" s="7">
        <f t="shared" si="73"/>
        <v>16202</v>
      </c>
      <c r="AK96" s="7">
        <f t="shared" si="74"/>
        <v>20118</v>
      </c>
    </row>
    <row r="97" spans="1:37" x14ac:dyDescent="0.25">
      <c r="A97" s="6">
        <v>91</v>
      </c>
      <c r="B97" s="5" t="s">
        <v>329</v>
      </c>
      <c r="C97" s="5" t="s">
        <v>24</v>
      </c>
      <c r="D97" s="5" t="s">
        <v>176</v>
      </c>
      <c r="E97" s="18" t="s">
        <v>330</v>
      </c>
      <c r="F97" s="5" t="str">
        <f t="shared" si="50"/>
        <v>Semi-Skilled</v>
      </c>
      <c r="G97" s="7">
        <f t="shared" si="51"/>
        <v>11615</v>
      </c>
      <c r="H97" s="7">
        <v>23400</v>
      </c>
      <c r="I97" s="7">
        <v>0</v>
      </c>
      <c r="J97" s="7">
        <v>0</v>
      </c>
      <c r="K97" s="7">
        <v>0</v>
      </c>
      <c r="L97" s="7">
        <v>0</v>
      </c>
      <c r="M97" s="7">
        <f t="shared" si="52"/>
        <v>23400</v>
      </c>
      <c r="N97" s="7">
        <v>0</v>
      </c>
      <c r="O97" s="7">
        <f t="shared" si="53"/>
        <v>23400</v>
      </c>
      <c r="P97" s="7">
        <f t="shared" si="54"/>
        <v>11700</v>
      </c>
      <c r="Q97" s="7">
        <f t="shared" si="55"/>
        <v>23400</v>
      </c>
      <c r="R97" s="7">
        <f t="shared" si="56"/>
        <v>0</v>
      </c>
      <c r="S97" s="7">
        <f t="shared" si="57"/>
        <v>0</v>
      </c>
      <c r="T97" s="7">
        <f t="shared" si="58"/>
        <v>0</v>
      </c>
      <c r="U97" s="7">
        <f t="shared" si="59"/>
        <v>0</v>
      </c>
      <c r="V97" s="7">
        <f t="shared" si="60"/>
        <v>0</v>
      </c>
      <c r="W97" s="7">
        <f t="shared" si="61"/>
        <v>0</v>
      </c>
      <c r="X97" s="7">
        <f t="shared" si="62"/>
        <v>23400</v>
      </c>
      <c r="Y97" s="7">
        <f t="shared" si="63"/>
        <v>23400</v>
      </c>
      <c r="Z97" s="5" t="str">
        <f t="shared" si="64"/>
        <v>No</v>
      </c>
      <c r="AA97" s="7">
        <f t="shared" si="65"/>
        <v>0</v>
      </c>
      <c r="AB97" s="19" t="s">
        <v>178</v>
      </c>
      <c r="AC97" s="7">
        <f t="shared" si="66"/>
        <v>23400</v>
      </c>
      <c r="AD97" s="7">
        <f t="shared" si="67"/>
        <v>0</v>
      </c>
      <c r="AE97" s="7">
        <f t="shared" si="68"/>
        <v>0</v>
      </c>
      <c r="AF97" s="5" t="str">
        <f t="shared" si="69"/>
        <v>N</v>
      </c>
      <c r="AG97" s="7">
        <f t="shared" si="70"/>
        <v>0</v>
      </c>
      <c r="AH97" s="7">
        <f t="shared" si="71"/>
        <v>0</v>
      </c>
      <c r="AI97" s="7">
        <f t="shared" si="72"/>
        <v>130</v>
      </c>
      <c r="AJ97" s="7">
        <f t="shared" si="73"/>
        <v>23270</v>
      </c>
      <c r="AK97" s="7">
        <f t="shared" si="74"/>
        <v>23400</v>
      </c>
    </row>
    <row r="98" spans="1:37" x14ac:dyDescent="0.25">
      <c r="A98" s="6">
        <v>92</v>
      </c>
      <c r="B98" s="5" t="s">
        <v>331</v>
      </c>
      <c r="C98" s="5" t="s">
        <v>24</v>
      </c>
      <c r="D98" s="5" t="s">
        <v>176</v>
      </c>
      <c r="E98" s="18" t="s">
        <v>332</v>
      </c>
      <c r="F98" s="5" t="str">
        <f t="shared" si="50"/>
        <v>Semi-Skilled</v>
      </c>
      <c r="G98" s="7">
        <f t="shared" si="51"/>
        <v>11615</v>
      </c>
      <c r="H98" s="7">
        <v>21200</v>
      </c>
      <c r="I98" s="7">
        <v>0</v>
      </c>
      <c r="J98" s="7">
        <v>0</v>
      </c>
      <c r="K98" s="7">
        <v>0</v>
      </c>
      <c r="L98" s="7">
        <v>0</v>
      </c>
      <c r="M98" s="7">
        <f t="shared" si="52"/>
        <v>21200</v>
      </c>
      <c r="N98" s="7">
        <v>0</v>
      </c>
      <c r="O98" s="7">
        <f t="shared" si="53"/>
        <v>21200</v>
      </c>
      <c r="P98" s="7">
        <f t="shared" si="54"/>
        <v>11615</v>
      </c>
      <c r="Q98" s="7">
        <f t="shared" si="55"/>
        <v>21200</v>
      </c>
      <c r="R98" s="7">
        <f t="shared" si="56"/>
        <v>0</v>
      </c>
      <c r="S98" s="7">
        <f t="shared" si="57"/>
        <v>0</v>
      </c>
      <c r="T98" s="7">
        <f t="shared" si="58"/>
        <v>0</v>
      </c>
      <c r="U98" s="7">
        <f t="shared" si="59"/>
        <v>0</v>
      </c>
      <c r="V98" s="7">
        <f t="shared" si="60"/>
        <v>0</v>
      </c>
      <c r="W98" s="7">
        <f t="shared" si="61"/>
        <v>0</v>
      </c>
      <c r="X98" s="7">
        <f t="shared" si="62"/>
        <v>21200</v>
      </c>
      <c r="Y98" s="7">
        <f t="shared" si="63"/>
        <v>21200</v>
      </c>
      <c r="Z98" s="5" t="str">
        <f t="shared" si="64"/>
        <v>No</v>
      </c>
      <c r="AA98" s="7">
        <f t="shared" si="65"/>
        <v>0</v>
      </c>
      <c r="AB98" s="19" t="s">
        <v>178</v>
      </c>
      <c r="AC98" s="7">
        <f t="shared" si="66"/>
        <v>21200</v>
      </c>
      <c r="AD98" s="7">
        <f t="shared" si="67"/>
        <v>0</v>
      </c>
      <c r="AE98" s="7">
        <f t="shared" si="68"/>
        <v>0</v>
      </c>
      <c r="AF98" s="5" t="str">
        <f t="shared" si="69"/>
        <v>N</v>
      </c>
      <c r="AG98" s="7">
        <f t="shared" si="70"/>
        <v>0</v>
      </c>
      <c r="AH98" s="7">
        <f t="shared" si="71"/>
        <v>0</v>
      </c>
      <c r="AI98" s="7">
        <f t="shared" si="72"/>
        <v>130</v>
      </c>
      <c r="AJ98" s="7">
        <f t="shared" si="73"/>
        <v>21070</v>
      </c>
      <c r="AK98" s="7">
        <f t="shared" si="74"/>
        <v>21200</v>
      </c>
    </row>
    <row r="99" spans="1:37" x14ac:dyDescent="0.25">
      <c r="A99" s="6">
        <v>93</v>
      </c>
      <c r="B99" s="5" t="s">
        <v>333</v>
      </c>
      <c r="C99" s="5" t="s">
        <v>24</v>
      </c>
      <c r="D99" s="5" t="s">
        <v>184</v>
      </c>
      <c r="E99" s="18" t="s">
        <v>334</v>
      </c>
      <c r="F99" s="5" t="str">
        <f t="shared" si="50"/>
        <v>Unskilled</v>
      </c>
      <c r="G99" s="7">
        <f t="shared" si="51"/>
        <v>10558</v>
      </c>
      <c r="H99" s="7">
        <v>7700</v>
      </c>
      <c r="I99" s="7">
        <v>3500</v>
      </c>
      <c r="J99" s="7">
        <v>2400</v>
      </c>
      <c r="K99" s="7">
        <v>0</v>
      </c>
      <c r="L99" s="7">
        <v>0</v>
      </c>
      <c r="M99" s="7">
        <f t="shared" si="52"/>
        <v>13600</v>
      </c>
      <c r="N99" s="7">
        <v>0</v>
      </c>
      <c r="O99" s="7">
        <f t="shared" si="53"/>
        <v>13600</v>
      </c>
      <c r="P99" s="7">
        <f t="shared" si="54"/>
        <v>10558</v>
      </c>
      <c r="Q99" s="7">
        <f t="shared" si="55"/>
        <v>10558</v>
      </c>
      <c r="R99" s="7">
        <f t="shared" si="56"/>
        <v>2858</v>
      </c>
      <c r="S99" s="7">
        <f t="shared" si="57"/>
        <v>5900</v>
      </c>
      <c r="T99" s="7">
        <f t="shared" si="58"/>
        <v>1804.5762711864409</v>
      </c>
      <c r="U99" s="7">
        <f t="shared" si="59"/>
        <v>1237.4237288135591</v>
      </c>
      <c r="V99" s="7">
        <f t="shared" si="60"/>
        <v>0</v>
      </c>
      <c r="W99" s="7">
        <f t="shared" si="61"/>
        <v>0</v>
      </c>
      <c r="X99" s="7">
        <f t="shared" si="62"/>
        <v>13600</v>
      </c>
      <c r="Y99" s="7">
        <f t="shared" si="63"/>
        <v>13600</v>
      </c>
      <c r="Z99" s="5" t="str">
        <f t="shared" si="64"/>
        <v>No</v>
      </c>
      <c r="AA99" s="7">
        <f t="shared" si="65"/>
        <v>0</v>
      </c>
      <c r="AB99" s="19" t="s">
        <v>144</v>
      </c>
      <c r="AC99" s="7">
        <f t="shared" si="66"/>
        <v>10558</v>
      </c>
      <c r="AD99" s="7">
        <f t="shared" si="67"/>
        <v>1267</v>
      </c>
      <c r="AE99" s="7">
        <f t="shared" si="68"/>
        <v>1267</v>
      </c>
      <c r="AF99" s="5" t="str">
        <f t="shared" si="69"/>
        <v>Y</v>
      </c>
      <c r="AG99" s="7">
        <f t="shared" si="70"/>
        <v>102</v>
      </c>
      <c r="AH99" s="7">
        <f t="shared" si="71"/>
        <v>442</v>
      </c>
      <c r="AI99" s="7">
        <f t="shared" si="72"/>
        <v>110</v>
      </c>
      <c r="AJ99" s="7">
        <f t="shared" si="73"/>
        <v>12121</v>
      </c>
      <c r="AK99" s="7">
        <f t="shared" si="74"/>
        <v>15309</v>
      </c>
    </row>
    <row r="100" spans="1:37" x14ac:dyDescent="0.25">
      <c r="A100" s="6">
        <v>94</v>
      </c>
      <c r="B100" s="5" t="s">
        <v>335</v>
      </c>
      <c r="C100" s="5" t="s">
        <v>24</v>
      </c>
      <c r="D100" s="5" t="s">
        <v>176</v>
      </c>
      <c r="E100" s="18" t="s">
        <v>336</v>
      </c>
      <c r="F100" s="5" t="str">
        <f t="shared" si="50"/>
        <v>Semi-Skilled</v>
      </c>
      <c r="G100" s="7">
        <f t="shared" si="51"/>
        <v>11615</v>
      </c>
      <c r="H100" s="7">
        <v>21200</v>
      </c>
      <c r="I100" s="7">
        <v>0</v>
      </c>
      <c r="J100" s="7">
        <v>0</v>
      </c>
      <c r="K100" s="7">
        <v>0</v>
      </c>
      <c r="L100" s="7">
        <v>0</v>
      </c>
      <c r="M100" s="7">
        <f t="shared" si="52"/>
        <v>21200</v>
      </c>
      <c r="N100" s="7">
        <v>0</v>
      </c>
      <c r="O100" s="7">
        <f t="shared" si="53"/>
        <v>21200</v>
      </c>
      <c r="P100" s="7">
        <f t="shared" si="54"/>
        <v>11615</v>
      </c>
      <c r="Q100" s="7">
        <f t="shared" si="55"/>
        <v>21200</v>
      </c>
      <c r="R100" s="7">
        <f t="shared" si="56"/>
        <v>0</v>
      </c>
      <c r="S100" s="7">
        <f t="shared" si="57"/>
        <v>0</v>
      </c>
      <c r="T100" s="7">
        <f t="shared" si="58"/>
        <v>0</v>
      </c>
      <c r="U100" s="7">
        <f t="shared" si="59"/>
        <v>0</v>
      </c>
      <c r="V100" s="7">
        <f t="shared" si="60"/>
        <v>0</v>
      </c>
      <c r="W100" s="7">
        <f t="shared" si="61"/>
        <v>0</v>
      </c>
      <c r="X100" s="7">
        <f t="shared" si="62"/>
        <v>21200</v>
      </c>
      <c r="Y100" s="7">
        <f t="shared" si="63"/>
        <v>21200</v>
      </c>
      <c r="Z100" s="5" t="str">
        <f t="shared" si="64"/>
        <v>No</v>
      </c>
      <c r="AA100" s="7">
        <f t="shared" si="65"/>
        <v>0</v>
      </c>
      <c r="AB100" s="19" t="s">
        <v>178</v>
      </c>
      <c r="AC100" s="7">
        <f t="shared" si="66"/>
        <v>21200</v>
      </c>
      <c r="AD100" s="7">
        <f t="shared" si="67"/>
        <v>0</v>
      </c>
      <c r="AE100" s="7">
        <f t="shared" si="68"/>
        <v>0</v>
      </c>
      <c r="AF100" s="5" t="str">
        <f t="shared" si="69"/>
        <v>N</v>
      </c>
      <c r="AG100" s="7">
        <f t="shared" si="70"/>
        <v>0</v>
      </c>
      <c r="AH100" s="7">
        <f t="shared" si="71"/>
        <v>0</v>
      </c>
      <c r="AI100" s="7">
        <f t="shared" si="72"/>
        <v>130</v>
      </c>
      <c r="AJ100" s="7">
        <f t="shared" si="73"/>
        <v>21070</v>
      </c>
      <c r="AK100" s="7">
        <f t="shared" si="74"/>
        <v>21200</v>
      </c>
    </row>
    <row r="101" spans="1:37" x14ac:dyDescent="0.25">
      <c r="A101" s="6">
        <v>95</v>
      </c>
      <c r="B101" s="5" t="s">
        <v>337</v>
      </c>
      <c r="C101" s="5" t="s">
        <v>24</v>
      </c>
      <c r="D101" s="5" t="s">
        <v>176</v>
      </c>
      <c r="E101" s="18" t="s">
        <v>338</v>
      </c>
      <c r="F101" s="5" t="str">
        <f t="shared" si="50"/>
        <v>Semi-Skilled</v>
      </c>
      <c r="G101" s="7">
        <f t="shared" si="51"/>
        <v>11615</v>
      </c>
      <c r="H101" s="7">
        <v>21200</v>
      </c>
      <c r="I101" s="7">
        <v>0</v>
      </c>
      <c r="J101" s="7">
        <v>0</v>
      </c>
      <c r="K101" s="7">
        <v>0</v>
      </c>
      <c r="L101" s="7">
        <v>0</v>
      </c>
      <c r="M101" s="7">
        <f t="shared" si="52"/>
        <v>21200</v>
      </c>
      <c r="N101" s="7">
        <v>0</v>
      </c>
      <c r="O101" s="7">
        <f t="shared" si="53"/>
        <v>21200</v>
      </c>
      <c r="P101" s="7">
        <f t="shared" si="54"/>
        <v>11615</v>
      </c>
      <c r="Q101" s="7">
        <f t="shared" si="55"/>
        <v>21200</v>
      </c>
      <c r="R101" s="7">
        <f t="shared" si="56"/>
        <v>0</v>
      </c>
      <c r="S101" s="7">
        <f t="shared" si="57"/>
        <v>0</v>
      </c>
      <c r="T101" s="7">
        <f t="shared" si="58"/>
        <v>0</v>
      </c>
      <c r="U101" s="7">
        <f t="shared" si="59"/>
        <v>0</v>
      </c>
      <c r="V101" s="7">
        <f t="shared" si="60"/>
        <v>0</v>
      </c>
      <c r="W101" s="7">
        <f t="shared" si="61"/>
        <v>0</v>
      </c>
      <c r="X101" s="7">
        <f t="shared" si="62"/>
        <v>21200</v>
      </c>
      <c r="Y101" s="7">
        <f t="shared" si="63"/>
        <v>21200</v>
      </c>
      <c r="Z101" s="5" t="str">
        <f t="shared" si="64"/>
        <v>No</v>
      </c>
      <c r="AA101" s="7">
        <f t="shared" si="65"/>
        <v>0</v>
      </c>
      <c r="AB101" s="19" t="s">
        <v>178</v>
      </c>
      <c r="AC101" s="7">
        <f t="shared" si="66"/>
        <v>21200</v>
      </c>
      <c r="AD101" s="7">
        <f t="shared" si="67"/>
        <v>0</v>
      </c>
      <c r="AE101" s="7">
        <f t="shared" si="68"/>
        <v>0</v>
      </c>
      <c r="AF101" s="5" t="str">
        <f t="shared" si="69"/>
        <v>N</v>
      </c>
      <c r="AG101" s="7">
        <f t="shared" si="70"/>
        <v>0</v>
      </c>
      <c r="AH101" s="7">
        <f t="shared" si="71"/>
        <v>0</v>
      </c>
      <c r="AI101" s="7">
        <f t="shared" si="72"/>
        <v>130</v>
      </c>
      <c r="AJ101" s="7">
        <f t="shared" si="73"/>
        <v>21070</v>
      </c>
      <c r="AK101" s="7">
        <f t="shared" si="74"/>
        <v>21200</v>
      </c>
    </row>
    <row r="102" spans="1:37" x14ac:dyDescent="0.25">
      <c r="A102" s="6">
        <v>96</v>
      </c>
      <c r="B102" s="5" t="s">
        <v>339</v>
      </c>
      <c r="C102" s="5" t="s">
        <v>24</v>
      </c>
      <c r="D102" s="5" t="s">
        <v>176</v>
      </c>
      <c r="E102" s="18" t="s">
        <v>340</v>
      </c>
      <c r="F102" s="5" t="str">
        <f t="shared" si="50"/>
        <v>Semi-Skilled</v>
      </c>
      <c r="G102" s="7">
        <f t="shared" si="51"/>
        <v>11615</v>
      </c>
      <c r="H102" s="7">
        <v>21200</v>
      </c>
      <c r="I102" s="7">
        <v>0</v>
      </c>
      <c r="J102" s="7">
        <v>0</v>
      </c>
      <c r="K102" s="7">
        <v>0</v>
      </c>
      <c r="L102" s="7">
        <v>0</v>
      </c>
      <c r="M102" s="7">
        <f t="shared" si="52"/>
        <v>21200</v>
      </c>
      <c r="N102" s="7">
        <v>0</v>
      </c>
      <c r="O102" s="7">
        <f t="shared" si="53"/>
        <v>21200</v>
      </c>
      <c r="P102" s="7">
        <f t="shared" si="54"/>
        <v>11615</v>
      </c>
      <c r="Q102" s="7">
        <f t="shared" si="55"/>
        <v>21200</v>
      </c>
      <c r="R102" s="7">
        <f t="shared" si="56"/>
        <v>0</v>
      </c>
      <c r="S102" s="7">
        <f t="shared" si="57"/>
        <v>0</v>
      </c>
      <c r="T102" s="7">
        <f t="shared" si="58"/>
        <v>0</v>
      </c>
      <c r="U102" s="7">
        <f t="shared" si="59"/>
        <v>0</v>
      </c>
      <c r="V102" s="7">
        <f t="shared" si="60"/>
        <v>0</v>
      </c>
      <c r="W102" s="7">
        <f t="shared" si="61"/>
        <v>0</v>
      </c>
      <c r="X102" s="7">
        <f t="shared" si="62"/>
        <v>21200</v>
      </c>
      <c r="Y102" s="7">
        <f t="shared" si="63"/>
        <v>21200</v>
      </c>
      <c r="Z102" s="5" t="str">
        <f t="shared" si="64"/>
        <v>No</v>
      </c>
      <c r="AA102" s="7">
        <f t="shared" si="65"/>
        <v>0</v>
      </c>
      <c r="AB102" s="19" t="s">
        <v>178</v>
      </c>
      <c r="AC102" s="7">
        <f t="shared" si="66"/>
        <v>21200</v>
      </c>
      <c r="AD102" s="7">
        <f t="shared" si="67"/>
        <v>0</v>
      </c>
      <c r="AE102" s="7">
        <f t="shared" si="68"/>
        <v>0</v>
      </c>
      <c r="AF102" s="5" t="str">
        <f t="shared" si="69"/>
        <v>N</v>
      </c>
      <c r="AG102" s="7">
        <f t="shared" si="70"/>
        <v>0</v>
      </c>
      <c r="AH102" s="7">
        <f t="shared" si="71"/>
        <v>0</v>
      </c>
      <c r="AI102" s="7">
        <f t="shared" si="72"/>
        <v>130</v>
      </c>
      <c r="AJ102" s="7">
        <f t="shared" si="73"/>
        <v>21070</v>
      </c>
      <c r="AK102" s="7">
        <f t="shared" si="74"/>
        <v>21200</v>
      </c>
    </row>
    <row r="103" spans="1:37" x14ac:dyDescent="0.25">
      <c r="A103" s="6">
        <v>97</v>
      </c>
      <c r="B103" s="5" t="s">
        <v>341</v>
      </c>
      <c r="C103" s="5" t="s">
        <v>24</v>
      </c>
      <c r="D103" s="5" t="s">
        <v>176</v>
      </c>
      <c r="E103" s="18" t="s">
        <v>342</v>
      </c>
      <c r="F103" s="5" t="str">
        <f t="shared" ref="F103:F125" si="75">VLOOKUP(D103,SkillMap,2,0)</f>
        <v>Semi-Skilled</v>
      </c>
      <c r="G103" s="7">
        <f t="shared" ref="G103:G125" si="76">VLOOKUP(F103,MinWageTable,2,0)</f>
        <v>11615</v>
      </c>
      <c r="H103" s="7">
        <v>21200</v>
      </c>
      <c r="I103" s="7">
        <v>0</v>
      </c>
      <c r="J103" s="7">
        <v>0</v>
      </c>
      <c r="K103" s="7">
        <v>0</v>
      </c>
      <c r="L103" s="7">
        <v>0</v>
      </c>
      <c r="M103" s="7">
        <f t="shared" ref="M103:M125" si="77">SUM(H103:L103)</f>
        <v>21200</v>
      </c>
      <c r="N103" s="7">
        <v>0</v>
      </c>
      <c r="O103" s="7">
        <f t="shared" ref="O103:O125" si="78">M103+N103</f>
        <v>21200</v>
      </c>
      <c r="P103" s="7">
        <f t="shared" ref="P103:P125" si="79">MAX(G103,0.5*O103)</f>
        <v>11615</v>
      </c>
      <c r="Q103" s="7">
        <f t="shared" ref="Q103:Q125" si="80">MAX(H103,P103)</f>
        <v>21200</v>
      </c>
      <c r="R103" s="7">
        <f t="shared" ref="R103:R125" si="81">Q103-H103</f>
        <v>0</v>
      </c>
      <c r="S103" s="7">
        <f t="shared" ref="S103:S125" si="82">SUM(I103:L103)</f>
        <v>0</v>
      </c>
      <c r="T103" s="7">
        <f t="shared" ref="T103:T125" si="83">IF(S103=0,I103,I103-MIN(R103,S103)*(I103/S103))</f>
        <v>0</v>
      </c>
      <c r="U103" s="7">
        <f t="shared" ref="U103:U125" si="84">IF(S103=0,J103,J103-MIN(R103,S103)*(J103/S103))</f>
        <v>0</v>
      </c>
      <c r="V103" s="7">
        <f t="shared" ref="V103:V125" si="85">IF(S103=0,K103,K103-MIN(R103,S103)*(K103/S103))</f>
        <v>0</v>
      </c>
      <c r="W103" s="7">
        <f t="shared" ref="W103:W125" si="86">IF(S103=0,L103,L103-MIN(R103,S103)*(L103/S103))</f>
        <v>0</v>
      </c>
      <c r="X103" s="7">
        <f t="shared" ref="X103:X125" si="87">Q103+SUM(T103:W103)</f>
        <v>21200</v>
      </c>
      <c r="Y103" s="7">
        <f t="shared" ref="Y103:Y125" si="88">X103+N103</f>
        <v>21200</v>
      </c>
      <c r="Z103" s="5" t="str">
        <f t="shared" ref="Z103:Z125" si="89">IF(Y103&gt;O103,"YES","No")</f>
        <v>No</v>
      </c>
      <c r="AA103" s="7">
        <f t="shared" ref="AA103:AA125" si="90">MAX(Y103-O103,0)</f>
        <v>0</v>
      </c>
      <c r="AB103" s="19" t="s">
        <v>178</v>
      </c>
      <c r="AC103" s="7">
        <f t="shared" ref="AC103:AC125" si="91">Q103</f>
        <v>21200</v>
      </c>
      <c r="AD103" s="7">
        <f t="shared" ref="AD103:AD125" si="92">IF(AB103="Y",ROUND(AC103*12%,0),0)</f>
        <v>0</v>
      </c>
      <c r="AE103" s="7">
        <f t="shared" ref="AE103:AE125" si="93">IF(AB103="Y",ROUND(AC103*12%,0),0)</f>
        <v>0</v>
      </c>
      <c r="AF103" s="5" t="str">
        <f t="shared" ref="AF103:AF125" si="94">IF(Y103&lt;=21000,"Y","N")</f>
        <v>N</v>
      </c>
      <c r="AG103" s="7">
        <f t="shared" ref="AG103:AG125" si="95">IF(AF103="Y",ROUND(Y103*0.75%,0),0)</f>
        <v>0</v>
      </c>
      <c r="AH103" s="7">
        <f t="shared" ref="AH103:AH125" si="96">IF(AF103="Y",ROUND(Y103*3.25%,0),0)</f>
        <v>0</v>
      </c>
      <c r="AI103" s="7">
        <f t="shared" ref="AI103:AI125" si="97">IF(Y103&lt;=10000,0,IF(Y103&lt;=15000,110,IF(Y103&lt;=25000,130,IF(Y103&lt;=40000,150,200))))</f>
        <v>130</v>
      </c>
      <c r="AJ103" s="7">
        <f t="shared" ref="AJ103:AJ125" si="98">Y103-AD103-AG103-AI103</f>
        <v>21070</v>
      </c>
      <c r="AK103" s="7">
        <f t="shared" ref="AK103:AK125" si="99">Y103+AE103+AH103</f>
        <v>21200</v>
      </c>
    </row>
    <row r="104" spans="1:37" x14ac:dyDescent="0.25">
      <c r="A104" s="6">
        <v>98</v>
      </c>
      <c r="B104" s="5" t="s">
        <v>343</v>
      </c>
      <c r="C104" s="5" t="s">
        <v>25</v>
      </c>
      <c r="D104" s="5" t="s">
        <v>344</v>
      </c>
      <c r="E104" s="18" t="s">
        <v>345</v>
      </c>
      <c r="F104" s="5" t="str">
        <f t="shared" si="75"/>
        <v>Skilled</v>
      </c>
      <c r="G104" s="7">
        <f t="shared" si="76"/>
        <v>12777</v>
      </c>
      <c r="H104" s="7">
        <v>17700</v>
      </c>
      <c r="I104" s="7">
        <v>6000</v>
      </c>
      <c r="J104" s="7">
        <v>0</v>
      </c>
      <c r="K104" s="7">
        <v>6000</v>
      </c>
      <c r="L104" s="7">
        <v>5200</v>
      </c>
      <c r="M104" s="7">
        <f t="shared" si="77"/>
        <v>34900</v>
      </c>
      <c r="N104" s="7">
        <v>0</v>
      </c>
      <c r="O104" s="7">
        <f t="shared" si="78"/>
        <v>34900</v>
      </c>
      <c r="P104" s="7">
        <f t="shared" si="79"/>
        <v>17450</v>
      </c>
      <c r="Q104" s="7">
        <f t="shared" si="80"/>
        <v>17700</v>
      </c>
      <c r="R104" s="7">
        <f t="shared" si="81"/>
        <v>0</v>
      </c>
      <c r="S104" s="7">
        <f t="shared" si="82"/>
        <v>17200</v>
      </c>
      <c r="T104" s="7">
        <f t="shared" si="83"/>
        <v>6000</v>
      </c>
      <c r="U104" s="7">
        <f t="shared" si="84"/>
        <v>0</v>
      </c>
      <c r="V104" s="7">
        <f t="shared" si="85"/>
        <v>6000</v>
      </c>
      <c r="W104" s="7">
        <f t="shared" si="86"/>
        <v>5200</v>
      </c>
      <c r="X104" s="7">
        <f t="shared" si="87"/>
        <v>34900</v>
      </c>
      <c r="Y104" s="7">
        <f t="shared" si="88"/>
        <v>34900</v>
      </c>
      <c r="Z104" s="5" t="str">
        <f t="shared" si="89"/>
        <v>No</v>
      </c>
      <c r="AA104" s="7">
        <f t="shared" si="90"/>
        <v>0</v>
      </c>
      <c r="AB104" s="19" t="s">
        <v>144</v>
      </c>
      <c r="AC104" s="7">
        <f t="shared" si="91"/>
        <v>17700</v>
      </c>
      <c r="AD104" s="7">
        <f t="shared" si="92"/>
        <v>2124</v>
      </c>
      <c r="AE104" s="7">
        <f t="shared" si="93"/>
        <v>2124</v>
      </c>
      <c r="AF104" s="5" t="str">
        <f t="shared" si="94"/>
        <v>N</v>
      </c>
      <c r="AG104" s="7">
        <f t="shared" si="95"/>
        <v>0</v>
      </c>
      <c r="AH104" s="7">
        <f t="shared" si="96"/>
        <v>0</v>
      </c>
      <c r="AI104" s="7">
        <f t="shared" si="97"/>
        <v>150</v>
      </c>
      <c r="AJ104" s="7">
        <f t="shared" si="98"/>
        <v>32626</v>
      </c>
      <c r="AK104" s="7">
        <f t="shared" si="99"/>
        <v>37024</v>
      </c>
    </row>
    <row r="105" spans="1:37" x14ac:dyDescent="0.25">
      <c r="A105" s="6">
        <v>99</v>
      </c>
      <c r="B105" s="5" t="s">
        <v>346</v>
      </c>
      <c r="C105" s="5" t="s">
        <v>25</v>
      </c>
      <c r="D105" s="5" t="s">
        <v>344</v>
      </c>
      <c r="E105" s="18" t="s">
        <v>347</v>
      </c>
      <c r="F105" s="5" t="str">
        <f t="shared" si="75"/>
        <v>Skilled</v>
      </c>
      <c r="G105" s="7">
        <f t="shared" si="76"/>
        <v>12777</v>
      </c>
      <c r="H105" s="7">
        <v>17700</v>
      </c>
      <c r="I105" s="7">
        <v>6000</v>
      </c>
      <c r="J105" s="7">
        <v>0</v>
      </c>
      <c r="K105" s="7">
        <v>6000</v>
      </c>
      <c r="L105" s="7">
        <v>5200</v>
      </c>
      <c r="M105" s="7">
        <f t="shared" si="77"/>
        <v>34900</v>
      </c>
      <c r="N105" s="7">
        <v>0</v>
      </c>
      <c r="O105" s="7">
        <f t="shared" si="78"/>
        <v>34900</v>
      </c>
      <c r="P105" s="7">
        <f t="shared" si="79"/>
        <v>17450</v>
      </c>
      <c r="Q105" s="7">
        <f t="shared" si="80"/>
        <v>17700</v>
      </c>
      <c r="R105" s="7">
        <f t="shared" si="81"/>
        <v>0</v>
      </c>
      <c r="S105" s="7">
        <f t="shared" si="82"/>
        <v>17200</v>
      </c>
      <c r="T105" s="7">
        <f t="shared" si="83"/>
        <v>6000</v>
      </c>
      <c r="U105" s="7">
        <f t="shared" si="84"/>
        <v>0</v>
      </c>
      <c r="V105" s="7">
        <f t="shared" si="85"/>
        <v>6000</v>
      </c>
      <c r="W105" s="7">
        <f t="shared" si="86"/>
        <v>5200</v>
      </c>
      <c r="X105" s="7">
        <f t="shared" si="87"/>
        <v>34900</v>
      </c>
      <c r="Y105" s="7">
        <f t="shared" si="88"/>
        <v>34900</v>
      </c>
      <c r="Z105" s="5" t="str">
        <f t="shared" si="89"/>
        <v>No</v>
      </c>
      <c r="AA105" s="7">
        <f t="shared" si="90"/>
        <v>0</v>
      </c>
      <c r="AB105" s="19" t="s">
        <v>144</v>
      </c>
      <c r="AC105" s="7">
        <f t="shared" si="91"/>
        <v>17700</v>
      </c>
      <c r="AD105" s="7">
        <f t="shared" si="92"/>
        <v>2124</v>
      </c>
      <c r="AE105" s="7">
        <f t="shared" si="93"/>
        <v>2124</v>
      </c>
      <c r="AF105" s="5" t="str">
        <f t="shared" si="94"/>
        <v>N</v>
      </c>
      <c r="AG105" s="7">
        <f t="shared" si="95"/>
        <v>0</v>
      </c>
      <c r="AH105" s="7">
        <f t="shared" si="96"/>
        <v>0</v>
      </c>
      <c r="AI105" s="7">
        <f t="shared" si="97"/>
        <v>150</v>
      </c>
      <c r="AJ105" s="7">
        <f t="shared" si="98"/>
        <v>32626</v>
      </c>
      <c r="AK105" s="7">
        <f t="shared" si="99"/>
        <v>37024</v>
      </c>
    </row>
    <row r="106" spans="1:37" x14ac:dyDescent="0.25">
      <c r="A106" s="6">
        <v>100</v>
      </c>
      <c r="B106" s="5" t="s">
        <v>348</v>
      </c>
      <c r="C106" s="5" t="s">
        <v>25</v>
      </c>
      <c r="D106" s="5" t="s">
        <v>344</v>
      </c>
      <c r="E106" s="18" t="s">
        <v>349</v>
      </c>
      <c r="F106" s="5" t="str">
        <f t="shared" si="75"/>
        <v>Skilled</v>
      </c>
      <c r="G106" s="7">
        <f t="shared" si="76"/>
        <v>12777</v>
      </c>
      <c r="H106" s="7">
        <v>14000</v>
      </c>
      <c r="I106" s="7">
        <v>4000</v>
      </c>
      <c r="J106" s="7">
        <v>0</v>
      </c>
      <c r="K106" s="7">
        <v>5000</v>
      </c>
      <c r="L106" s="7">
        <v>4850</v>
      </c>
      <c r="M106" s="7">
        <f t="shared" si="77"/>
        <v>27850</v>
      </c>
      <c r="N106" s="7">
        <v>0</v>
      </c>
      <c r="O106" s="7">
        <f t="shared" si="78"/>
        <v>27850</v>
      </c>
      <c r="P106" s="7">
        <f t="shared" si="79"/>
        <v>13925</v>
      </c>
      <c r="Q106" s="7">
        <f t="shared" si="80"/>
        <v>14000</v>
      </c>
      <c r="R106" s="7">
        <f t="shared" si="81"/>
        <v>0</v>
      </c>
      <c r="S106" s="7">
        <f t="shared" si="82"/>
        <v>13850</v>
      </c>
      <c r="T106" s="7">
        <f t="shared" si="83"/>
        <v>4000</v>
      </c>
      <c r="U106" s="7">
        <f t="shared" si="84"/>
        <v>0</v>
      </c>
      <c r="V106" s="7">
        <f t="shared" si="85"/>
        <v>5000</v>
      </c>
      <c r="W106" s="7">
        <f t="shared" si="86"/>
        <v>4850</v>
      </c>
      <c r="X106" s="7">
        <f t="shared" si="87"/>
        <v>27850</v>
      </c>
      <c r="Y106" s="7">
        <f t="shared" si="88"/>
        <v>27850</v>
      </c>
      <c r="Z106" s="5" t="str">
        <f t="shared" si="89"/>
        <v>No</v>
      </c>
      <c r="AA106" s="7">
        <f t="shared" si="90"/>
        <v>0</v>
      </c>
      <c r="AB106" s="19" t="s">
        <v>144</v>
      </c>
      <c r="AC106" s="7">
        <f t="shared" si="91"/>
        <v>14000</v>
      </c>
      <c r="AD106" s="7">
        <f t="shared" si="92"/>
        <v>1680</v>
      </c>
      <c r="AE106" s="7">
        <f t="shared" si="93"/>
        <v>1680</v>
      </c>
      <c r="AF106" s="5" t="str">
        <f t="shared" si="94"/>
        <v>N</v>
      </c>
      <c r="AG106" s="7">
        <f t="shared" si="95"/>
        <v>0</v>
      </c>
      <c r="AH106" s="7">
        <f t="shared" si="96"/>
        <v>0</v>
      </c>
      <c r="AI106" s="7">
        <f t="shared" si="97"/>
        <v>150</v>
      </c>
      <c r="AJ106" s="7">
        <f t="shared" si="98"/>
        <v>26020</v>
      </c>
      <c r="AK106" s="7">
        <f t="shared" si="99"/>
        <v>29530</v>
      </c>
    </row>
    <row r="107" spans="1:37" x14ac:dyDescent="0.25">
      <c r="A107" s="6">
        <v>101</v>
      </c>
      <c r="B107" s="5" t="s">
        <v>350</v>
      </c>
      <c r="C107" s="5" t="s">
        <v>25</v>
      </c>
      <c r="D107" s="5" t="s">
        <v>344</v>
      </c>
      <c r="E107" s="18" t="s">
        <v>351</v>
      </c>
      <c r="F107" s="5" t="str">
        <f t="shared" si="75"/>
        <v>Skilled</v>
      </c>
      <c r="G107" s="7">
        <f t="shared" si="76"/>
        <v>12777</v>
      </c>
      <c r="H107" s="7">
        <v>21000</v>
      </c>
      <c r="I107" s="7">
        <v>5000</v>
      </c>
      <c r="J107" s="7">
        <v>0</v>
      </c>
      <c r="K107" s="7">
        <v>4000</v>
      </c>
      <c r="L107" s="7">
        <v>5200</v>
      </c>
      <c r="M107" s="7">
        <f t="shared" si="77"/>
        <v>35200</v>
      </c>
      <c r="N107" s="7">
        <v>0</v>
      </c>
      <c r="O107" s="7">
        <f t="shared" si="78"/>
        <v>35200</v>
      </c>
      <c r="P107" s="7">
        <f t="shared" si="79"/>
        <v>17600</v>
      </c>
      <c r="Q107" s="7">
        <f t="shared" si="80"/>
        <v>21000</v>
      </c>
      <c r="R107" s="7">
        <f t="shared" si="81"/>
        <v>0</v>
      </c>
      <c r="S107" s="7">
        <f t="shared" si="82"/>
        <v>14200</v>
      </c>
      <c r="T107" s="7">
        <f t="shared" si="83"/>
        <v>5000</v>
      </c>
      <c r="U107" s="7">
        <f t="shared" si="84"/>
        <v>0</v>
      </c>
      <c r="V107" s="7">
        <f t="shared" si="85"/>
        <v>4000</v>
      </c>
      <c r="W107" s="7">
        <f t="shared" si="86"/>
        <v>5200</v>
      </c>
      <c r="X107" s="7">
        <f t="shared" si="87"/>
        <v>35200</v>
      </c>
      <c r="Y107" s="7">
        <f t="shared" si="88"/>
        <v>35200</v>
      </c>
      <c r="Z107" s="5" t="str">
        <f t="shared" si="89"/>
        <v>No</v>
      </c>
      <c r="AA107" s="7">
        <f t="shared" si="90"/>
        <v>0</v>
      </c>
      <c r="AB107" s="19" t="s">
        <v>178</v>
      </c>
      <c r="AC107" s="7">
        <f t="shared" si="91"/>
        <v>21000</v>
      </c>
      <c r="AD107" s="7">
        <f t="shared" si="92"/>
        <v>0</v>
      </c>
      <c r="AE107" s="7">
        <f t="shared" si="93"/>
        <v>0</v>
      </c>
      <c r="AF107" s="5" t="str">
        <f t="shared" si="94"/>
        <v>N</v>
      </c>
      <c r="AG107" s="7">
        <f t="shared" si="95"/>
        <v>0</v>
      </c>
      <c r="AH107" s="7">
        <f t="shared" si="96"/>
        <v>0</v>
      </c>
      <c r="AI107" s="7">
        <f t="shared" si="97"/>
        <v>150</v>
      </c>
      <c r="AJ107" s="7">
        <f t="shared" si="98"/>
        <v>35050</v>
      </c>
      <c r="AK107" s="7">
        <f t="shared" si="99"/>
        <v>35200</v>
      </c>
    </row>
    <row r="108" spans="1:37" x14ac:dyDescent="0.25">
      <c r="A108" s="6">
        <v>102</v>
      </c>
      <c r="B108" s="5" t="s">
        <v>352</v>
      </c>
      <c r="C108" s="5" t="s">
        <v>25</v>
      </c>
      <c r="D108" s="5" t="s">
        <v>344</v>
      </c>
      <c r="E108" s="18" t="s">
        <v>353</v>
      </c>
      <c r="F108" s="5" t="str">
        <f t="shared" si="75"/>
        <v>Skilled</v>
      </c>
      <c r="G108" s="7">
        <f t="shared" si="76"/>
        <v>12777</v>
      </c>
      <c r="H108" s="7">
        <v>12700</v>
      </c>
      <c r="I108" s="7">
        <v>4500</v>
      </c>
      <c r="J108" s="7">
        <v>0</v>
      </c>
      <c r="K108" s="7">
        <v>3550</v>
      </c>
      <c r="L108" s="7">
        <v>4031</v>
      </c>
      <c r="M108" s="7">
        <f t="shared" si="77"/>
        <v>24781</v>
      </c>
      <c r="N108" s="7">
        <v>0</v>
      </c>
      <c r="O108" s="7">
        <f t="shared" si="78"/>
        <v>24781</v>
      </c>
      <c r="P108" s="7">
        <f t="shared" si="79"/>
        <v>12777</v>
      </c>
      <c r="Q108" s="7">
        <f t="shared" si="80"/>
        <v>12777</v>
      </c>
      <c r="R108" s="7">
        <f t="shared" si="81"/>
        <v>77</v>
      </c>
      <c r="S108" s="7">
        <f t="shared" si="82"/>
        <v>12081</v>
      </c>
      <c r="T108" s="7">
        <f t="shared" si="83"/>
        <v>4471.318599453688</v>
      </c>
      <c r="U108" s="7">
        <f t="shared" si="84"/>
        <v>0</v>
      </c>
      <c r="V108" s="7">
        <f t="shared" si="85"/>
        <v>3527.3735617912425</v>
      </c>
      <c r="W108" s="7">
        <f t="shared" si="86"/>
        <v>4005.30783875507</v>
      </c>
      <c r="X108" s="7">
        <f t="shared" si="87"/>
        <v>24781</v>
      </c>
      <c r="Y108" s="7">
        <f t="shared" si="88"/>
        <v>24781</v>
      </c>
      <c r="Z108" s="5" t="str">
        <f t="shared" si="89"/>
        <v>No</v>
      </c>
      <c r="AA108" s="7">
        <f t="shared" si="90"/>
        <v>0</v>
      </c>
      <c r="AB108" s="19" t="s">
        <v>144</v>
      </c>
      <c r="AC108" s="7">
        <f t="shared" si="91"/>
        <v>12777</v>
      </c>
      <c r="AD108" s="7">
        <f t="shared" si="92"/>
        <v>1533</v>
      </c>
      <c r="AE108" s="7">
        <f t="shared" si="93"/>
        <v>1533</v>
      </c>
      <c r="AF108" s="5" t="str">
        <f t="shared" si="94"/>
        <v>N</v>
      </c>
      <c r="AG108" s="7">
        <f t="shared" si="95"/>
        <v>0</v>
      </c>
      <c r="AH108" s="7">
        <f t="shared" si="96"/>
        <v>0</v>
      </c>
      <c r="AI108" s="7">
        <f t="shared" si="97"/>
        <v>130</v>
      </c>
      <c r="AJ108" s="7">
        <f t="shared" si="98"/>
        <v>23118</v>
      </c>
      <c r="AK108" s="7">
        <f t="shared" si="99"/>
        <v>26314</v>
      </c>
    </row>
    <row r="109" spans="1:37" x14ac:dyDescent="0.25">
      <c r="A109" s="6">
        <v>103</v>
      </c>
      <c r="B109" s="5" t="s">
        <v>354</v>
      </c>
      <c r="C109" s="5" t="s">
        <v>25</v>
      </c>
      <c r="D109" s="5" t="s">
        <v>344</v>
      </c>
      <c r="E109" s="18" t="s">
        <v>355</v>
      </c>
      <c r="F109" s="5" t="str">
        <f t="shared" si="75"/>
        <v>Skilled</v>
      </c>
      <c r="G109" s="7">
        <f t="shared" si="76"/>
        <v>12777</v>
      </c>
      <c r="H109" s="7">
        <v>16500</v>
      </c>
      <c r="I109" s="7">
        <v>6000</v>
      </c>
      <c r="J109" s="7">
        <v>0</v>
      </c>
      <c r="K109" s="7">
        <v>5000</v>
      </c>
      <c r="L109" s="7">
        <v>4700</v>
      </c>
      <c r="M109" s="7">
        <f t="shared" si="77"/>
        <v>32200</v>
      </c>
      <c r="N109" s="7">
        <v>0</v>
      </c>
      <c r="O109" s="7">
        <f t="shared" si="78"/>
        <v>32200</v>
      </c>
      <c r="P109" s="7">
        <f t="shared" si="79"/>
        <v>16100</v>
      </c>
      <c r="Q109" s="7">
        <f t="shared" si="80"/>
        <v>16500</v>
      </c>
      <c r="R109" s="7">
        <f t="shared" si="81"/>
        <v>0</v>
      </c>
      <c r="S109" s="7">
        <f t="shared" si="82"/>
        <v>15700</v>
      </c>
      <c r="T109" s="7">
        <f t="shared" si="83"/>
        <v>6000</v>
      </c>
      <c r="U109" s="7">
        <f t="shared" si="84"/>
        <v>0</v>
      </c>
      <c r="V109" s="7">
        <f t="shared" si="85"/>
        <v>5000</v>
      </c>
      <c r="W109" s="7">
        <f t="shared" si="86"/>
        <v>4700</v>
      </c>
      <c r="X109" s="7">
        <f t="shared" si="87"/>
        <v>32200</v>
      </c>
      <c r="Y109" s="7">
        <f t="shared" si="88"/>
        <v>32200</v>
      </c>
      <c r="Z109" s="5" t="str">
        <f t="shared" si="89"/>
        <v>No</v>
      </c>
      <c r="AA109" s="7">
        <f t="shared" si="90"/>
        <v>0</v>
      </c>
      <c r="AB109" s="19" t="s">
        <v>144</v>
      </c>
      <c r="AC109" s="7">
        <f t="shared" si="91"/>
        <v>16500</v>
      </c>
      <c r="AD109" s="7">
        <f t="shared" si="92"/>
        <v>1980</v>
      </c>
      <c r="AE109" s="7">
        <f t="shared" si="93"/>
        <v>1980</v>
      </c>
      <c r="AF109" s="5" t="str">
        <f t="shared" si="94"/>
        <v>N</v>
      </c>
      <c r="AG109" s="7">
        <f t="shared" si="95"/>
        <v>0</v>
      </c>
      <c r="AH109" s="7">
        <f t="shared" si="96"/>
        <v>0</v>
      </c>
      <c r="AI109" s="7">
        <f t="shared" si="97"/>
        <v>150</v>
      </c>
      <c r="AJ109" s="7">
        <f t="shared" si="98"/>
        <v>30070</v>
      </c>
      <c r="AK109" s="7">
        <f t="shared" si="99"/>
        <v>34180</v>
      </c>
    </row>
    <row r="110" spans="1:37" x14ac:dyDescent="0.25">
      <c r="A110" s="6">
        <v>104</v>
      </c>
      <c r="B110" s="5" t="s">
        <v>356</v>
      </c>
      <c r="C110" s="5" t="s">
        <v>25</v>
      </c>
      <c r="D110" s="5" t="s">
        <v>344</v>
      </c>
      <c r="E110" s="18" t="s">
        <v>357</v>
      </c>
      <c r="F110" s="5" t="str">
        <f t="shared" si="75"/>
        <v>Skilled</v>
      </c>
      <c r="G110" s="7">
        <f t="shared" si="76"/>
        <v>12777</v>
      </c>
      <c r="H110" s="7">
        <v>29000</v>
      </c>
      <c r="I110" s="7">
        <v>8000</v>
      </c>
      <c r="J110" s="7">
        <v>0</v>
      </c>
      <c r="K110" s="7">
        <v>7000</v>
      </c>
      <c r="L110" s="7">
        <v>5500</v>
      </c>
      <c r="M110" s="7">
        <f t="shared" si="77"/>
        <v>49500</v>
      </c>
      <c r="N110" s="7">
        <v>0</v>
      </c>
      <c r="O110" s="7">
        <f t="shared" si="78"/>
        <v>49500</v>
      </c>
      <c r="P110" s="7">
        <f t="shared" si="79"/>
        <v>24750</v>
      </c>
      <c r="Q110" s="7">
        <f t="shared" si="80"/>
        <v>29000</v>
      </c>
      <c r="R110" s="7">
        <f t="shared" si="81"/>
        <v>0</v>
      </c>
      <c r="S110" s="7">
        <f t="shared" si="82"/>
        <v>20500</v>
      </c>
      <c r="T110" s="7">
        <f t="shared" si="83"/>
        <v>8000</v>
      </c>
      <c r="U110" s="7">
        <f t="shared" si="84"/>
        <v>0</v>
      </c>
      <c r="V110" s="7">
        <f t="shared" si="85"/>
        <v>7000</v>
      </c>
      <c r="W110" s="7">
        <f t="shared" si="86"/>
        <v>5500</v>
      </c>
      <c r="X110" s="7">
        <f t="shared" si="87"/>
        <v>49500</v>
      </c>
      <c r="Y110" s="7">
        <f t="shared" si="88"/>
        <v>49500</v>
      </c>
      <c r="Z110" s="5" t="str">
        <f t="shared" si="89"/>
        <v>No</v>
      </c>
      <c r="AA110" s="7">
        <f t="shared" si="90"/>
        <v>0</v>
      </c>
      <c r="AB110" s="19" t="s">
        <v>178</v>
      </c>
      <c r="AC110" s="7">
        <f t="shared" si="91"/>
        <v>29000</v>
      </c>
      <c r="AD110" s="7">
        <f t="shared" si="92"/>
        <v>0</v>
      </c>
      <c r="AE110" s="7">
        <f t="shared" si="93"/>
        <v>0</v>
      </c>
      <c r="AF110" s="5" t="str">
        <f t="shared" si="94"/>
        <v>N</v>
      </c>
      <c r="AG110" s="7">
        <f t="shared" si="95"/>
        <v>0</v>
      </c>
      <c r="AH110" s="7">
        <f t="shared" si="96"/>
        <v>0</v>
      </c>
      <c r="AI110" s="7">
        <f t="shared" si="97"/>
        <v>200</v>
      </c>
      <c r="AJ110" s="7">
        <f t="shared" si="98"/>
        <v>49300</v>
      </c>
      <c r="AK110" s="7">
        <f t="shared" si="99"/>
        <v>49500</v>
      </c>
    </row>
    <row r="111" spans="1:37" x14ac:dyDescent="0.25">
      <c r="A111" s="6">
        <v>105</v>
      </c>
      <c r="B111" s="5" t="s">
        <v>358</v>
      </c>
      <c r="C111" s="5" t="s">
        <v>25</v>
      </c>
      <c r="D111" s="5" t="s">
        <v>344</v>
      </c>
      <c r="E111" s="18" t="s">
        <v>359</v>
      </c>
      <c r="F111" s="5" t="str">
        <f t="shared" si="75"/>
        <v>Skilled</v>
      </c>
      <c r="G111" s="7">
        <f t="shared" si="76"/>
        <v>12777</v>
      </c>
      <c r="H111" s="7">
        <v>12700</v>
      </c>
      <c r="I111" s="7">
        <v>4500</v>
      </c>
      <c r="J111" s="7">
        <v>0</v>
      </c>
      <c r="K111" s="7">
        <v>3550</v>
      </c>
      <c r="L111" s="7">
        <v>4031</v>
      </c>
      <c r="M111" s="7">
        <f t="shared" si="77"/>
        <v>24781</v>
      </c>
      <c r="N111" s="7">
        <v>0</v>
      </c>
      <c r="O111" s="7">
        <f t="shared" si="78"/>
        <v>24781</v>
      </c>
      <c r="P111" s="7">
        <f t="shared" si="79"/>
        <v>12777</v>
      </c>
      <c r="Q111" s="7">
        <f t="shared" si="80"/>
        <v>12777</v>
      </c>
      <c r="R111" s="7">
        <f t="shared" si="81"/>
        <v>77</v>
      </c>
      <c r="S111" s="7">
        <f t="shared" si="82"/>
        <v>12081</v>
      </c>
      <c r="T111" s="7">
        <f t="shared" si="83"/>
        <v>4471.318599453688</v>
      </c>
      <c r="U111" s="7">
        <f t="shared" si="84"/>
        <v>0</v>
      </c>
      <c r="V111" s="7">
        <f t="shared" si="85"/>
        <v>3527.3735617912425</v>
      </c>
      <c r="W111" s="7">
        <f t="shared" si="86"/>
        <v>4005.30783875507</v>
      </c>
      <c r="X111" s="7">
        <f t="shared" si="87"/>
        <v>24781</v>
      </c>
      <c r="Y111" s="7">
        <f t="shared" si="88"/>
        <v>24781</v>
      </c>
      <c r="Z111" s="5" t="str">
        <f t="shared" si="89"/>
        <v>No</v>
      </c>
      <c r="AA111" s="7">
        <f t="shared" si="90"/>
        <v>0</v>
      </c>
      <c r="AB111" s="19" t="s">
        <v>144</v>
      </c>
      <c r="AC111" s="7">
        <f t="shared" si="91"/>
        <v>12777</v>
      </c>
      <c r="AD111" s="7">
        <f t="shared" si="92"/>
        <v>1533</v>
      </c>
      <c r="AE111" s="7">
        <f t="shared" si="93"/>
        <v>1533</v>
      </c>
      <c r="AF111" s="5" t="str">
        <f t="shared" si="94"/>
        <v>N</v>
      </c>
      <c r="AG111" s="7">
        <f t="shared" si="95"/>
        <v>0</v>
      </c>
      <c r="AH111" s="7">
        <f t="shared" si="96"/>
        <v>0</v>
      </c>
      <c r="AI111" s="7">
        <f t="shared" si="97"/>
        <v>130</v>
      </c>
      <c r="AJ111" s="7">
        <f t="shared" si="98"/>
        <v>23118</v>
      </c>
      <c r="AK111" s="7">
        <f t="shared" si="99"/>
        <v>26314</v>
      </c>
    </row>
    <row r="112" spans="1:37" x14ac:dyDescent="0.25">
      <c r="A112" s="6">
        <v>106</v>
      </c>
      <c r="B112" s="5" t="s">
        <v>360</v>
      </c>
      <c r="C112" s="5" t="s">
        <v>25</v>
      </c>
      <c r="D112" s="5" t="s">
        <v>344</v>
      </c>
      <c r="E112" s="18" t="s">
        <v>361</v>
      </c>
      <c r="F112" s="5" t="str">
        <f t="shared" si="75"/>
        <v>Skilled</v>
      </c>
      <c r="G112" s="7">
        <f t="shared" si="76"/>
        <v>12777</v>
      </c>
      <c r="H112" s="7">
        <v>39000</v>
      </c>
      <c r="I112" s="7">
        <v>8000</v>
      </c>
      <c r="J112" s="7">
        <v>0</v>
      </c>
      <c r="K112" s="7">
        <v>8000</v>
      </c>
      <c r="L112" s="7">
        <v>7000</v>
      </c>
      <c r="M112" s="7">
        <f t="shared" si="77"/>
        <v>62000</v>
      </c>
      <c r="N112" s="7">
        <v>0</v>
      </c>
      <c r="O112" s="7">
        <f t="shared" si="78"/>
        <v>62000</v>
      </c>
      <c r="P112" s="7">
        <f t="shared" si="79"/>
        <v>31000</v>
      </c>
      <c r="Q112" s="7">
        <f t="shared" si="80"/>
        <v>39000</v>
      </c>
      <c r="R112" s="7">
        <f t="shared" si="81"/>
        <v>0</v>
      </c>
      <c r="S112" s="7">
        <f t="shared" si="82"/>
        <v>23000</v>
      </c>
      <c r="T112" s="7">
        <f t="shared" si="83"/>
        <v>8000</v>
      </c>
      <c r="U112" s="7">
        <f t="shared" si="84"/>
        <v>0</v>
      </c>
      <c r="V112" s="7">
        <f t="shared" si="85"/>
        <v>8000</v>
      </c>
      <c r="W112" s="7">
        <f t="shared" si="86"/>
        <v>7000</v>
      </c>
      <c r="X112" s="7">
        <f t="shared" si="87"/>
        <v>62000</v>
      </c>
      <c r="Y112" s="7">
        <f t="shared" si="88"/>
        <v>62000</v>
      </c>
      <c r="Z112" s="5" t="str">
        <f t="shared" si="89"/>
        <v>No</v>
      </c>
      <c r="AA112" s="7">
        <f t="shared" si="90"/>
        <v>0</v>
      </c>
      <c r="AB112" s="19" t="s">
        <v>178</v>
      </c>
      <c r="AC112" s="7">
        <f t="shared" si="91"/>
        <v>39000</v>
      </c>
      <c r="AD112" s="7">
        <f t="shared" si="92"/>
        <v>0</v>
      </c>
      <c r="AE112" s="7">
        <f t="shared" si="93"/>
        <v>0</v>
      </c>
      <c r="AF112" s="5" t="str">
        <f t="shared" si="94"/>
        <v>N</v>
      </c>
      <c r="AG112" s="7">
        <f t="shared" si="95"/>
        <v>0</v>
      </c>
      <c r="AH112" s="7">
        <f t="shared" si="96"/>
        <v>0</v>
      </c>
      <c r="AI112" s="7">
        <f t="shared" si="97"/>
        <v>200</v>
      </c>
      <c r="AJ112" s="7">
        <f t="shared" si="98"/>
        <v>61800</v>
      </c>
      <c r="AK112" s="7">
        <f t="shared" si="99"/>
        <v>62000</v>
      </c>
    </row>
    <row r="113" spans="1:37" x14ac:dyDescent="0.25">
      <c r="A113" s="6">
        <v>107</v>
      </c>
      <c r="B113" s="5" t="s">
        <v>362</v>
      </c>
      <c r="C113" s="5" t="s">
        <v>25</v>
      </c>
      <c r="D113" s="5" t="s">
        <v>344</v>
      </c>
      <c r="E113" s="18" t="s">
        <v>363</v>
      </c>
      <c r="F113" s="5" t="str">
        <f t="shared" si="75"/>
        <v>Skilled</v>
      </c>
      <c r="G113" s="7">
        <f t="shared" si="76"/>
        <v>12777</v>
      </c>
      <c r="H113" s="7">
        <v>12000</v>
      </c>
      <c r="I113" s="7">
        <v>6350</v>
      </c>
      <c r="J113" s="7">
        <v>0</v>
      </c>
      <c r="K113" s="7">
        <v>3000</v>
      </c>
      <c r="L113" s="7">
        <v>0</v>
      </c>
      <c r="M113" s="7">
        <f t="shared" si="77"/>
        <v>21350</v>
      </c>
      <c r="N113" s="7">
        <v>0</v>
      </c>
      <c r="O113" s="7">
        <f t="shared" si="78"/>
        <v>21350</v>
      </c>
      <c r="P113" s="7">
        <f t="shared" si="79"/>
        <v>12777</v>
      </c>
      <c r="Q113" s="7">
        <f t="shared" si="80"/>
        <v>12777</v>
      </c>
      <c r="R113" s="7">
        <f t="shared" si="81"/>
        <v>777</v>
      </c>
      <c r="S113" s="7">
        <f t="shared" si="82"/>
        <v>9350</v>
      </c>
      <c r="T113" s="7">
        <f t="shared" si="83"/>
        <v>5822.3048128342243</v>
      </c>
      <c r="U113" s="7">
        <f t="shared" si="84"/>
        <v>0</v>
      </c>
      <c r="V113" s="7">
        <f t="shared" si="85"/>
        <v>2750.6951871657752</v>
      </c>
      <c r="W113" s="7">
        <f t="shared" si="86"/>
        <v>0</v>
      </c>
      <c r="X113" s="7">
        <f t="shared" si="87"/>
        <v>21350</v>
      </c>
      <c r="Y113" s="7">
        <f t="shared" si="88"/>
        <v>21350</v>
      </c>
      <c r="Z113" s="5" t="str">
        <f t="shared" si="89"/>
        <v>No</v>
      </c>
      <c r="AA113" s="7">
        <f t="shared" si="90"/>
        <v>0</v>
      </c>
      <c r="AB113" s="19" t="s">
        <v>144</v>
      </c>
      <c r="AC113" s="7">
        <f t="shared" si="91"/>
        <v>12777</v>
      </c>
      <c r="AD113" s="7">
        <f t="shared" si="92"/>
        <v>1533</v>
      </c>
      <c r="AE113" s="7">
        <f t="shared" si="93"/>
        <v>1533</v>
      </c>
      <c r="AF113" s="5" t="str">
        <f t="shared" si="94"/>
        <v>N</v>
      </c>
      <c r="AG113" s="7">
        <f t="shared" si="95"/>
        <v>0</v>
      </c>
      <c r="AH113" s="7">
        <f t="shared" si="96"/>
        <v>0</v>
      </c>
      <c r="AI113" s="7">
        <f t="shared" si="97"/>
        <v>130</v>
      </c>
      <c r="AJ113" s="7">
        <f t="shared" si="98"/>
        <v>19687</v>
      </c>
      <c r="AK113" s="7">
        <f t="shared" si="99"/>
        <v>22883</v>
      </c>
    </row>
    <row r="114" spans="1:37" x14ac:dyDescent="0.25">
      <c r="A114" s="6">
        <v>108</v>
      </c>
      <c r="B114" s="5" t="s">
        <v>364</v>
      </c>
      <c r="C114" s="5" t="s">
        <v>25</v>
      </c>
      <c r="D114" s="5" t="s">
        <v>344</v>
      </c>
      <c r="E114" s="18" t="s">
        <v>365</v>
      </c>
      <c r="F114" s="5" t="str">
        <f t="shared" si="75"/>
        <v>Skilled</v>
      </c>
      <c r="G114" s="7">
        <f t="shared" si="76"/>
        <v>12777</v>
      </c>
      <c r="H114" s="7">
        <v>27000</v>
      </c>
      <c r="I114" s="7">
        <v>6000</v>
      </c>
      <c r="J114" s="7">
        <v>0</v>
      </c>
      <c r="K114" s="7">
        <v>5500</v>
      </c>
      <c r="L114" s="7">
        <v>6500</v>
      </c>
      <c r="M114" s="7">
        <f t="shared" si="77"/>
        <v>45000</v>
      </c>
      <c r="N114" s="7">
        <v>0</v>
      </c>
      <c r="O114" s="7">
        <f t="shared" si="78"/>
        <v>45000</v>
      </c>
      <c r="P114" s="7">
        <f t="shared" si="79"/>
        <v>22500</v>
      </c>
      <c r="Q114" s="7">
        <f t="shared" si="80"/>
        <v>27000</v>
      </c>
      <c r="R114" s="7">
        <f t="shared" si="81"/>
        <v>0</v>
      </c>
      <c r="S114" s="7">
        <f t="shared" si="82"/>
        <v>18000</v>
      </c>
      <c r="T114" s="7">
        <f t="shared" si="83"/>
        <v>6000</v>
      </c>
      <c r="U114" s="7">
        <f t="shared" si="84"/>
        <v>0</v>
      </c>
      <c r="V114" s="7">
        <f t="shared" si="85"/>
        <v>5500</v>
      </c>
      <c r="W114" s="7">
        <f t="shared" si="86"/>
        <v>6500</v>
      </c>
      <c r="X114" s="7">
        <f t="shared" si="87"/>
        <v>45000</v>
      </c>
      <c r="Y114" s="7">
        <f t="shared" si="88"/>
        <v>45000</v>
      </c>
      <c r="Z114" s="5" t="str">
        <f t="shared" si="89"/>
        <v>No</v>
      </c>
      <c r="AA114" s="7">
        <f t="shared" si="90"/>
        <v>0</v>
      </c>
      <c r="AB114" s="19" t="s">
        <v>178</v>
      </c>
      <c r="AC114" s="7">
        <f t="shared" si="91"/>
        <v>27000</v>
      </c>
      <c r="AD114" s="7">
        <f t="shared" si="92"/>
        <v>0</v>
      </c>
      <c r="AE114" s="7">
        <f t="shared" si="93"/>
        <v>0</v>
      </c>
      <c r="AF114" s="5" t="str">
        <f t="shared" si="94"/>
        <v>N</v>
      </c>
      <c r="AG114" s="7">
        <f t="shared" si="95"/>
        <v>0</v>
      </c>
      <c r="AH114" s="7">
        <f t="shared" si="96"/>
        <v>0</v>
      </c>
      <c r="AI114" s="7">
        <f t="shared" si="97"/>
        <v>200</v>
      </c>
      <c r="AJ114" s="7">
        <f t="shared" si="98"/>
        <v>44800</v>
      </c>
      <c r="AK114" s="7">
        <f t="shared" si="99"/>
        <v>45000</v>
      </c>
    </row>
    <row r="115" spans="1:37" x14ac:dyDescent="0.25">
      <c r="A115" s="6">
        <v>109</v>
      </c>
      <c r="B115" s="5" t="s">
        <v>366</v>
      </c>
      <c r="C115" s="5" t="s">
        <v>25</v>
      </c>
      <c r="D115" s="5" t="s">
        <v>344</v>
      </c>
      <c r="E115" s="18" t="s">
        <v>367</v>
      </c>
      <c r="F115" s="5" t="str">
        <f t="shared" si="75"/>
        <v>Skilled</v>
      </c>
      <c r="G115" s="7">
        <f t="shared" si="76"/>
        <v>12777</v>
      </c>
      <c r="H115" s="7">
        <v>31300</v>
      </c>
      <c r="I115" s="7">
        <v>5000</v>
      </c>
      <c r="J115" s="7">
        <v>0</v>
      </c>
      <c r="K115" s="7">
        <v>3000</v>
      </c>
      <c r="L115" s="7">
        <v>2300</v>
      </c>
      <c r="M115" s="7">
        <f t="shared" si="77"/>
        <v>41600</v>
      </c>
      <c r="N115" s="7">
        <v>0</v>
      </c>
      <c r="O115" s="7">
        <f t="shared" si="78"/>
        <v>41600</v>
      </c>
      <c r="P115" s="7">
        <f t="shared" si="79"/>
        <v>20800</v>
      </c>
      <c r="Q115" s="7">
        <f t="shared" si="80"/>
        <v>31300</v>
      </c>
      <c r="R115" s="7">
        <f t="shared" si="81"/>
        <v>0</v>
      </c>
      <c r="S115" s="7">
        <f t="shared" si="82"/>
        <v>10300</v>
      </c>
      <c r="T115" s="7">
        <f t="shared" si="83"/>
        <v>5000</v>
      </c>
      <c r="U115" s="7">
        <f t="shared" si="84"/>
        <v>0</v>
      </c>
      <c r="V115" s="7">
        <f t="shared" si="85"/>
        <v>3000</v>
      </c>
      <c r="W115" s="7">
        <f t="shared" si="86"/>
        <v>2300</v>
      </c>
      <c r="X115" s="7">
        <f t="shared" si="87"/>
        <v>41600</v>
      </c>
      <c r="Y115" s="7">
        <f t="shared" si="88"/>
        <v>41600</v>
      </c>
      <c r="Z115" s="5" t="str">
        <f t="shared" si="89"/>
        <v>No</v>
      </c>
      <c r="AA115" s="7">
        <f t="shared" si="90"/>
        <v>0</v>
      </c>
      <c r="AB115" s="19" t="s">
        <v>178</v>
      </c>
      <c r="AC115" s="7">
        <f t="shared" si="91"/>
        <v>31300</v>
      </c>
      <c r="AD115" s="7">
        <f t="shared" si="92"/>
        <v>0</v>
      </c>
      <c r="AE115" s="7">
        <f t="shared" si="93"/>
        <v>0</v>
      </c>
      <c r="AF115" s="5" t="str">
        <f t="shared" si="94"/>
        <v>N</v>
      </c>
      <c r="AG115" s="7">
        <f t="shared" si="95"/>
        <v>0</v>
      </c>
      <c r="AH115" s="7">
        <f t="shared" si="96"/>
        <v>0</v>
      </c>
      <c r="AI115" s="7">
        <f t="shared" si="97"/>
        <v>200</v>
      </c>
      <c r="AJ115" s="7">
        <f t="shared" si="98"/>
        <v>41400</v>
      </c>
      <c r="AK115" s="7">
        <f t="shared" si="99"/>
        <v>41600</v>
      </c>
    </row>
    <row r="116" spans="1:37" x14ac:dyDescent="0.25">
      <c r="A116" s="6">
        <v>110</v>
      </c>
      <c r="B116" s="5" t="s">
        <v>368</v>
      </c>
      <c r="C116" s="5" t="s">
        <v>25</v>
      </c>
      <c r="D116" s="5" t="s">
        <v>344</v>
      </c>
      <c r="E116" s="18" t="s">
        <v>369</v>
      </c>
      <c r="F116" s="5" t="str">
        <f t="shared" si="75"/>
        <v>Skilled</v>
      </c>
      <c r="G116" s="7">
        <f t="shared" si="76"/>
        <v>12777</v>
      </c>
      <c r="H116" s="7">
        <v>20000</v>
      </c>
      <c r="I116" s="7">
        <v>4000</v>
      </c>
      <c r="J116" s="7">
        <v>0</v>
      </c>
      <c r="K116" s="7">
        <v>5000</v>
      </c>
      <c r="L116" s="7">
        <v>3200</v>
      </c>
      <c r="M116" s="7">
        <f t="shared" si="77"/>
        <v>32200</v>
      </c>
      <c r="N116" s="7">
        <v>0</v>
      </c>
      <c r="O116" s="7">
        <f t="shared" si="78"/>
        <v>32200</v>
      </c>
      <c r="P116" s="7">
        <f t="shared" si="79"/>
        <v>16100</v>
      </c>
      <c r="Q116" s="7">
        <f t="shared" si="80"/>
        <v>20000</v>
      </c>
      <c r="R116" s="7">
        <f t="shared" si="81"/>
        <v>0</v>
      </c>
      <c r="S116" s="7">
        <f t="shared" si="82"/>
        <v>12200</v>
      </c>
      <c r="T116" s="7">
        <f t="shared" si="83"/>
        <v>4000</v>
      </c>
      <c r="U116" s="7">
        <f t="shared" si="84"/>
        <v>0</v>
      </c>
      <c r="V116" s="7">
        <f t="shared" si="85"/>
        <v>5000</v>
      </c>
      <c r="W116" s="7">
        <f t="shared" si="86"/>
        <v>3200</v>
      </c>
      <c r="X116" s="7">
        <f t="shared" si="87"/>
        <v>32200</v>
      </c>
      <c r="Y116" s="7">
        <f t="shared" si="88"/>
        <v>32200</v>
      </c>
      <c r="Z116" s="5" t="str">
        <f t="shared" si="89"/>
        <v>No</v>
      </c>
      <c r="AA116" s="7">
        <f t="shared" si="90"/>
        <v>0</v>
      </c>
      <c r="AB116" s="19" t="s">
        <v>178</v>
      </c>
      <c r="AC116" s="7">
        <f t="shared" si="91"/>
        <v>20000</v>
      </c>
      <c r="AD116" s="7">
        <f t="shared" si="92"/>
        <v>0</v>
      </c>
      <c r="AE116" s="7">
        <f t="shared" si="93"/>
        <v>0</v>
      </c>
      <c r="AF116" s="5" t="str">
        <f t="shared" si="94"/>
        <v>N</v>
      </c>
      <c r="AG116" s="7">
        <f t="shared" si="95"/>
        <v>0</v>
      </c>
      <c r="AH116" s="7">
        <f t="shared" si="96"/>
        <v>0</v>
      </c>
      <c r="AI116" s="7">
        <f t="shared" si="97"/>
        <v>150</v>
      </c>
      <c r="AJ116" s="7">
        <f t="shared" si="98"/>
        <v>32050</v>
      </c>
      <c r="AK116" s="7">
        <f t="shared" si="99"/>
        <v>32200</v>
      </c>
    </row>
    <row r="117" spans="1:37" x14ac:dyDescent="0.25">
      <c r="A117" s="6">
        <v>111</v>
      </c>
      <c r="B117" s="5" t="s">
        <v>370</v>
      </c>
      <c r="C117" s="5" t="s">
        <v>25</v>
      </c>
      <c r="D117" s="5" t="s">
        <v>344</v>
      </c>
      <c r="E117" s="18" t="s">
        <v>371</v>
      </c>
      <c r="F117" s="5" t="str">
        <f t="shared" si="75"/>
        <v>Skilled</v>
      </c>
      <c r="G117" s="7">
        <f t="shared" si="76"/>
        <v>12777</v>
      </c>
      <c r="H117" s="7">
        <v>16000</v>
      </c>
      <c r="I117" s="7">
        <v>4500</v>
      </c>
      <c r="J117" s="7">
        <v>0</v>
      </c>
      <c r="K117" s="7">
        <v>4000</v>
      </c>
      <c r="L117" s="7">
        <v>3700</v>
      </c>
      <c r="M117" s="7">
        <f t="shared" si="77"/>
        <v>28200</v>
      </c>
      <c r="N117" s="7">
        <v>0</v>
      </c>
      <c r="O117" s="7">
        <f t="shared" si="78"/>
        <v>28200</v>
      </c>
      <c r="P117" s="7">
        <f t="shared" si="79"/>
        <v>14100</v>
      </c>
      <c r="Q117" s="7">
        <f t="shared" si="80"/>
        <v>16000</v>
      </c>
      <c r="R117" s="7">
        <f t="shared" si="81"/>
        <v>0</v>
      </c>
      <c r="S117" s="7">
        <f t="shared" si="82"/>
        <v>12200</v>
      </c>
      <c r="T117" s="7">
        <f t="shared" si="83"/>
        <v>4500</v>
      </c>
      <c r="U117" s="7">
        <f t="shared" si="84"/>
        <v>0</v>
      </c>
      <c r="V117" s="7">
        <f t="shared" si="85"/>
        <v>4000</v>
      </c>
      <c r="W117" s="7">
        <f t="shared" si="86"/>
        <v>3700</v>
      </c>
      <c r="X117" s="7">
        <f t="shared" si="87"/>
        <v>28200</v>
      </c>
      <c r="Y117" s="7">
        <f t="shared" si="88"/>
        <v>28200</v>
      </c>
      <c r="Z117" s="5" t="str">
        <f t="shared" si="89"/>
        <v>No</v>
      </c>
      <c r="AA117" s="7">
        <f t="shared" si="90"/>
        <v>0</v>
      </c>
      <c r="AB117" s="19" t="s">
        <v>178</v>
      </c>
      <c r="AC117" s="7">
        <f t="shared" si="91"/>
        <v>16000</v>
      </c>
      <c r="AD117" s="7">
        <f t="shared" si="92"/>
        <v>0</v>
      </c>
      <c r="AE117" s="7">
        <f t="shared" si="93"/>
        <v>0</v>
      </c>
      <c r="AF117" s="5" t="str">
        <f t="shared" si="94"/>
        <v>N</v>
      </c>
      <c r="AG117" s="7">
        <f t="shared" si="95"/>
        <v>0</v>
      </c>
      <c r="AH117" s="7">
        <f t="shared" si="96"/>
        <v>0</v>
      </c>
      <c r="AI117" s="7">
        <f t="shared" si="97"/>
        <v>150</v>
      </c>
      <c r="AJ117" s="7">
        <f t="shared" si="98"/>
        <v>28050</v>
      </c>
      <c r="AK117" s="7">
        <f t="shared" si="99"/>
        <v>28200</v>
      </c>
    </row>
    <row r="118" spans="1:37" x14ac:dyDescent="0.25">
      <c r="A118" s="6">
        <v>112</v>
      </c>
      <c r="B118" s="5" t="s">
        <v>372</v>
      </c>
      <c r="C118" s="5" t="s">
        <v>25</v>
      </c>
      <c r="D118" s="5" t="s">
        <v>344</v>
      </c>
      <c r="E118" s="18" t="s">
        <v>373</v>
      </c>
      <c r="F118" s="5" t="str">
        <f t="shared" si="75"/>
        <v>Skilled</v>
      </c>
      <c r="G118" s="7">
        <f t="shared" si="76"/>
        <v>12777</v>
      </c>
      <c r="H118" s="7">
        <v>7100</v>
      </c>
      <c r="I118" s="7">
        <v>3500</v>
      </c>
      <c r="J118" s="7">
        <v>0</v>
      </c>
      <c r="K118" s="7">
        <v>2000</v>
      </c>
      <c r="L118" s="7">
        <v>1450</v>
      </c>
      <c r="M118" s="7">
        <f t="shared" si="77"/>
        <v>14050</v>
      </c>
      <c r="N118" s="7">
        <v>0</v>
      </c>
      <c r="O118" s="7">
        <f t="shared" si="78"/>
        <v>14050</v>
      </c>
      <c r="P118" s="7">
        <f t="shared" si="79"/>
        <v>12777</v>
      </c>
      <c r="Q118" s="7">
        <f t="shared" si="80"/>
        <v>12777</v>
      </c>
      <c r="R118" s="7">
        <f t="shared" si="81"/>
        <v>5677</v>
      </c>
      <c r="S118" s="7">
        <f t="shared" si="82"/>
        <v>6950</v>
      </c>
      <c r="T118" s="7">
        <f t="shared" si="83"/>
        <v>641.07913669064783</v>
      </c>
      <c r="U118" s="7">
        <f t="shared" si="84"/>
        <v>0</v>
      </c>
      <c r="V118" s="7">
        <f t="shared" si="85"/>
        <v>366.33093525179856</v>
      </c>
      <c r="W118" s="7">
        <f t="shared" si="86"/>
        <v>265.58992805755383</v>
      </c>
      <c r="X118" s="7">
        <f t="shared" si="87"/>
        <v>14050</v>
      </c>
      <c r="Y118" s="7">
        <f t="shared" si="88"/>
        <v>14050</v>
      </c>
      <c r="Z118" s="5" t="str">
        <f t="shared" si="89"/>
        <v>No</v>
      </c>
      <c r="AA118" s="7">
        <f t="shared" si="90"/>
        <v>0</v>
      </c>
      <c r="AB118" s="19" t="s">
        <v>144</v>
      </c>
      <c r="AC118" s="7">
        <f t="shared" si="91"/>
        <v>12777</v>
      </c>
      <c r="AD118" s="7">
        <f t="shared" si="92"/>
        <v>1533</v>
      </c>
      <c r="AE118" s="7">
        <f t="shared" si="93"/>
        <v>1533</v>
      </c>
      <c r="AF118" s="5" t="str">
        <f t="shared" si="94"/>
        <v>Y</v>
      </c>
      <c r="AG118" s="7">
        <f t="shared" si="95"/>
        <v>105</v>
      </c>
      <c r="AH118" s="7">
        <f t="shared" si="96"/>
        <v>457</v>
      </c>
      <c r="AI118" s="7">
        <f t="shared" si="97"/>
        <v>110</v>
      </c>
      <c r="AJ118" s="7">
        <f t="shared" si="98"/>
        <v>12302</v>
      </c>
      <c r="AK118" s="7">
        <f t="shared" si="99"/>
        <v>16040</v>
      </c>
    </row>
    <row r="119" spans="1:37" x14ac:dyDescent="0.25">
      <c r="A119" s="6">
        <v>113</v>
      </c>
      <c r="B119" s="5" t="s">
        <v>374</v>
      </c>
      <c r="C119" s="5" t="s">
        <v>25</v>
      </c>
      <c r="D119" s="5" t="s">
        <v>344</v>
      </c>
      <c r="E119" s="18" t="s">
        <v>375</v>
      </c>
      <c r="F119" s="5" t="str">
        <f t="shared" si="75"/>
        <v>Skilled</v>
      </c>
      <c r="G119" s="7">
        <f t="shared" si="76"/>
        <v>12777</v>
      </c>
      <c r="H119" s="7">
        <v>6600</v>
      </c>
      <c r="I119" s="7">
        <v>3500</v>
      </c>
      <c r="J119" s="7">
        <v>0</v>
      </c>
      <c r="K119" s="7">
        <v>2000</v>
      </c>
      <c r="L119" s="7">
        <v>1600</v>
      </c>
      <c r="M119" s="7">
        <f t="shared" si="77"/>
        <v>13700</v>
      </c>
      <c r="N119" s="7">
        <v>0</v>
      </c>
      <c r="O119" s="7">
        <f t="shared" si="78"/>
        <v>13700</v>
      </c>
      <c r="P119" s="7">
        <f t="shared" si="79"/>
        <v>12777</v>
      </c>
      <c r="Q119" s="7">
        <f t="shared" si="80"/>
        <v>12777</v>
      </c>
      <c r="R119" s="7">
        <f t="shared" si="81"/>
        <v>6177</v>
      </c>
      <c r="S119" s="7">
        <f t="shared" si="82"/>
        <v>7100</v>
      </c>
      <c r="T119" s="7">
        <f t="shared" si="83"/>
        <v>455</v>
      </c>
      <c r="U119" s="7">
        <f t="shared" si="84"/>
        <v>0</v>
      </c>
      <c r="V119" s="7">
        <f t="shared" si="85"/>
        <v>260</v>
      </c>
      <c r="W119" s="7">
        <f t="shared" si="86"/>
        <v>208</v>
      </c>
      <c r="X119" s="7">
        <f t="shared" si="87"/>
        <v>13700</v>
      </c>
      <c r="Y119" s="7">
        <f t="shared" si="88"/>
        <v>13700</v>
      </c>
      <c r="Z119" s="5" t="str">
        <f t="shared" si="89"/>
        <v>No</v>
      </c>
      <c r="AA119" s="7">
        <f t="shared" si="90"/>
        <v>0</v>
      </c>
      <c r="AB119" s="19" t="s">
        <v>144</v>
      </c>
      <c r="AC119" s="7">
        <f t="shared" si="91"/>
        <v>12777</v>
      </c>
      <c r="AD119" s="7">
        <f t="shared" si="92"/>
        <v>1533</v>
      </c>
      <c r="AE119" s="7">
        <f t="shared" si="93"/>
        <v>1533</v>
      </c>
      <c r="AF119" s="5" t="str">
        <f t="shared" si="94"/>
        <v>Y</v>
      </c>
      <c r="AG119" s="7">
        <f t="shared" si="95"/>
        <v>103</v>
      </c>
      <c r="AH119" s="7">
        <f t="shared" si="96"/>
        <v>445</v>
      </c>
      <c r="AI119" s="7">
        <f t="shared" si="97"/>
        <v>110</v>
      </c>
      <c r="AJ119" s="7">
        <f t="shared" si="98"/>
        <v>11954</v>
      </c>
      <c r="AK119" s="7">
        <f t="shared" si="99"/>
        <v>15678</v>
      </c>
    </row>
    <row r="120" spans="1:37" x14ac:dyDescent="0.25">
      <c r="A120" s="6">
        <v>114</v>
      </c>
      <c r="B120" s="5" t="s">
        <v>376</v>
      </c>
      <c r="C120" s="5" t="s">
        <v>25</v>
      </c>
      <c r="D120" s="5" t="s">
        <v>344</v>
      </c>
      <c r="E120" s="18" t="s">
        <v>377</v>
      </c>
      <c r="F120" s="5" t="str">
        <f t="shared" si="75"/>
        <v>Skilled</v>
      </c>
      <c r="G120" s="7">
        <f t="shared" si="76"/>
        <v>12777</v>
      </c>
      <c r="H120" s="7">
        <v>6000</v>
      </c>
      <c r="I120" s="7">
        <v>3500</v>
      </c>
      <c r="J120" s="7">
        <v>0</v>
      </c>
      <c r="K120" s="7">
        <v>2000</v>
      </c>
      <c r="L120" s="7">
        <v>850</v>
      </c>
      <c r="M120" s="7">
        <f t="shared" si="77"/>
        <v>12350</v>
      </c>
      <c r="N120" s="7">
        <v>0</v>
      </c>
      <c r="O120" s="7">
        <f t="shared" si="78"/>
        <v>12350</v>
      </c>
      <c r="P120" s="7">
        <f t="shared" si="79"/>
        <v>12777</v>
      </c>
      <c r="Q120" s="7">
        <f t="shared" si="80"/>
        <v>12777</v>
      </c>
      <c r="R120" s="7">
        <f t="shared" si="81"/>
        <v>6777</v>
      </c>
      <c r="S120" s="7">
        <f t="shared" si="82"/>
        <v>6350</v>
      </c>
      <c r="T120" s="7">
        <f t="shared" si="83"/>
        <v>0</v>
      </c>
      <c r="U120" s="7">
        <f t="shared" si="84"/>
        <v>0</v>
      </c>
      <c r="V120" s="7">
        <f t="shared" si="85"/>
        <v>0</v>
      </c>
      <c r="W120" s="7">
        <f t="shared" si="86"/>
        <v>-1.1368683772161603E-13</v>
      </c>
      <c r="X120" s="7">
        <f t="shared" si="87"/>
        <v>12777</v>
      </c>
      <c r="Y120" s="7">
        <f t="shared" si="88"/>
        <v>12777</v>
      </c>
      <c r="Z120" s="5" t="str">
        <f t="shared" si="89"/>
        <v>YES</v>
      </c>
      <c r="AA120" s="7">
        <f t="shared" si="90"/>
        <v>427</v>
      </c>
      <c r="AB120" s="19" t="s">
        <v>144</v>
      </c>
      <c r="AC120" s="7">
        <f t="shared" si="91"/>
        <v>12777</v>
      </c>
      <c r="AD120" s="7">
        <f t="shared" si="92"/>
        <v>1533</v>
      </c>
      <c r="AE120" s="7">
        <f t="shared" si="93"/>
        <v>1533</v>
      </c>
      <c r="AF120" s="5" t="str">
        <f t="shared" si="94"/>
        <v>Y</v>
      </c>
      <c r="AG120" s="7">
        <f t="shared" si="95"/>
        <v>96</v>
      </c>
      <c r="AH120" s="7">
        <f t="shared" si="96"/>
        <v>415</v>
      </c>
      <c r="AI120" s="7">
        <f t="shared" si="97"/>
        <v>110</v>
      </c>
      <c r="AJ120" s="7">
        <f t="shared" si="98"/>
        <v>11038</v>
      </c>
      <c r="AK120" s="7">
        <f t="shared" si="99"/>
        <v>14725</v>
      </c>
    </row>
    <row r="121" spans="1:37" x14ac:dyDescent="0.25">
      <c r="A121" s="6">
        <v>115</v>
      </c>
      <c r="B121" s="5" t="s">
        <v>378</v>
      </c>
      <c r="C121" s="5" t="s">
        <v>25</v>
      </c>
      <c r="D121" s="5" t="s">
        <v>344</v>
      </c>
      <c r="E121" s="18" t="s">
        <v>379</v>
      </c>
      <c r="F121" s="5" t="str">
        <f t="shared" si="75"/>
        <v>Skilled</v>
      </c>
      <c r="G121" s="7">
        <f t="shared" si="76"/>
        <v>12777</v>
      </c>
      <c r="H121" s="7">
        <v>6000</v>
      </c>
      <c r="I121" s="7">
        <v>3500</v>
      </c>
      <c r="J121" s="7">
        <v>0</v>
      </c>
      <c r="K121" s="7">
        <v>2000</v>
      </c>
      <c r="L121" s="7">
        <v>850</v>
      </c>
      <c r="M121" s="7">
        <f t="shared" si="77"/>
        <v>12350</v>
      </c>
      <c r="N121" s="7">
        <v>0</v>
      </c>
      <c r="O121" s="7">
        <f t="shared" si="78"/>
        <v>12350</v>
      </c>
      <c r="P121" s="7">
        <f t="shared" si="79"/>
        <v>12777</v>
      </c>
      <c r="Q121" s="7">
        <f t="shared" si="80"/>
        <v>12777</v>
      </c>
      <c r="R121" s="7">
        <f t="shared" si="81"/>
        <v>6777</v>
      </c>
      <c r="S121" s="7">
        <f t="shared" si="82"/>
        <v>6350</v>
      </c>
      <c r="T121" s="7">
        <f t="shared" si="83"/>
        <v>0</v>
      </c>
      <c r="U121" s="7">
        <f t="shared" si="84"/>
        <v>0</v>
      </c>
      <c r="V121" s="7">
        <f t="shared" si="85"/>
        <v>0</v>
      </c>
      <c r="W121" s="7">
        <f t="shared" si="86"/>
        <v>-1.1368683772161603E-13</v>
      </c>
      <c r="X121" s="7">
        <f t="shared" si="87"/>
        <v>12777</v>
      </c>
      <c r="Y121" s="7">
        <f t="shared" si="88"/>
        <v>12777</v>
      </c>
      <c r="Z121" s="5" t="str">
        <f t="shared" si="89"/>
        <v>YES</v>
      </c>
      <c r="AA121" s="7">
        <f t="shared" si="90"/>
        <v>427</v>
      </c>
      <c r="AB121" s="19" t="s">
        <v>144</v>
      </c>
      <c r="AC121" s="7">
        <f t="shared" si="91"/>
        <v>12777</v>
      </c>
      <c r="AD121" s="7">
        <f t="shared" si="92"/>
        <v>1533</v>
      </c>
      <c r="AE121" s="7">
        <f t="shared" si="93"/>
        <v>1533</v>
      </c>
      <c r="AF121" s="5" t="str">
        <f t="shared" si="94"/>
        <v>Y</v>
      </c>
      <c r="AG121" s="7">
        <f t="shared" si="95"/>
        <v>96</v>
      </c>
      <c r="AH121" s="7">
        <f t="shared" si="96"/>
        <v>415</v>
      </c>
      <c r="AI121" s="7">
        <f t="shared" si="97"/>
        <v>110</v>
      </c>
      <c r="AJ121" s="7">
        <f t="shared" si="98"/>
        <v>11038</v>
      </c>
      <c r="AK121" s="7">
        <f t="shared" si="99"/>
        <v>14725</v>
      </c>
    </row>
    <row r="122" spans="1:37" x14ac:dyDescent="0.25">
      <c r="A122" s="6">
        <v>116</v>
      </c>
      <c r="B122" s="5" t="s">
        <v>380</v>
      </c>
      <c r="C122" s="5" t="s">
        <v>25</v>
      </c>
      <c r="D122" s="5" t="s">
        <v>344</v>
      </c>
      <c r="E122" s="18" t="s">
        <v>381</v>
      </c>
      <c r="F122" s="5" t="str">
        <f t="shared" si="75"/>
        <v>Skilled</v>
      </c>
      <c r="G122" s="7">
        <f t="shared" si="76"/>
        <v>12777</v>
      </c>
      <c r="H122" s="7">
        <v>6600</v>
      </c>
      <c r="I122" s="7">
        <v>3500</v>
      </c>
      <c r="J122" s="7">
        <v>0</v>
      </c>
      <c r="K122" s="7">
        <v>2000</v>
      </c>
      <c r="L122" s="7">
        <v>1600</v>
      </c>
      <c r="M122" s="7">
        <f t="shared" si="77"/>
        <v>13700</v>
      </c>
      <c r="N122" s="7">
        <v>0</v>
      </c>
      <c r="O122" s="7">
        <f t="shared" si="78"/>
        <v>13700</v>
      </c>
      <c r="P122" s="7">
        <f t="shared" si="79"/>
        <v>12777</v>
      </c>
      <c r="Q122" s="7">
        <f t="shared" si="80"/>
        <v>12777</v>
      </c>
      <c r="R122" s="7">
        <f t="shared" si="81"/>
        <v>6177</v>
      </c>
      <c r="S122" s="7">
        <f t="shared" si="82"/>
        <v>7100</v>
      </c>
      <c r="T122" s="7">
        <f t="shared" si="83"/>
        <v>455</v>
      </c>
      <c r="U122" s="7">
        <f t="shared" si="84"/>
        <v>0</v>
      </c>
      <c r="V122" s="7">
        <f t="shared" si="85"/>
        <v>260</v>
      </c>
      <c r="W122" s="7">
        <f t="shared" si="86"/>
        <v>208</v>
      </c>
      <c r="X122" s="7">
        <f t="shared" si="87"/>
        <v>13700</v>
      </c>
      <c r="Y122" s="7">
        <f t="shared" si="88"/>
        <v>13700</v>
      </c>
      <c r="Z122" s="5" t="str">
        <f t="shared" si="89"/>
        <v>No</v>
      </c>
      <c r="AA122" s="7">
        <f t="shared" si="90"/>
        <v>0</v>
      </c>
      <c r="AB122" s="19" t="s">
        <v>144</v>
      </c>
      <c r="AC122" s="7">
        <f t="shared" si="91"/>
        <v>12777</v>
      </c>
      <c r="AD122" s="7">
        <f t="shared" si="92"/>
        <v>1533</v>
      </c>
      <c r="AE122" s="7">
        <f t="shared" si="93"/>
        <v>1533</v>
      </c>
      <c r="AF122" s="5" t="str">
        <f t="shared" si="94"/>
        <v>Y</v>
      </c>
      <c r="AG122" s="7">
        <f t="shared" si="95"/>
        <v>103</v>
      </c>
      <c r="AH122" s="7">
        <f t="shared" si="96"/>
        <v>445</v>
      </c>
      <c r="AI122" s="7">
        <f t="shared" si="97"/>
        <v>110</v>
      </c>
      <c r="AJ122" s="7">
        <f t="shared" si="98"/>
        <v>11954</v>
      </c>
      <c r="AK122" s="7">
        <f t="shared" si="99"/>
        <v>15678</v>
      </c>
    </row>
    <row r="123" spans="1:37" x14ac:dyDescent="0.25">
      <c r="A123" s="6">
        <v>117</v>
      </c>
      <c r="B123" s="5" t="s">
        <v>382</v>
      </c>
      <c r="C123" s="5" t="s">
        <v>25</v>
      </c>
      <c r="D123" s="5" t="s">
        <v>344</v>
      </c>
      <c r="E123" s="18" t="s">
        <v>383</v>
      </c>
      <c r="F123" s="5" t="str">
        <f t="shared" si="75"/>
        <v>Skilled</v>
      </c>
      <c r="G123" s="7">
        <f t="shared" si="76"/>
        <v>12777</v>
      </c>
      <c r="H123" s="7">
        <v>7500</v>
      </c>
      <c r="I123" s="7">
        <v>2000</v>
      </c>
      <c r="J123" s="7">
        <v>0</v>
      </c>
      <c r="K123" s="7">
        <v>1500</v>
      </c>
      <c r="L123" s="7">
        <v>2000</v>
      </c>
      <c r="M123" s="7">
        <f t="shared" si="77"/>
        <v>13000</v>
      </c>
      <c r="N123" s="7">
        <v>0</v>
      </c>
      <c r="O123" s="7">
        <f t="shared" si="78"/>
        <v>13000</v>
      </c>
      <c r="P123" s="7">
        <f t="shared" si="79"/>
        <v>12777</v>
      </c>
      <c r="Q123" s="7">
        <f t="shared" si="80"/>
        <v>12777</v>
      </c>
      <c r="R123" s="7">
        <f t="shared" si="81"/>
        <v>5277</v>
      </c>
      <c r="S123" s="7">
        <f t="shared" si="82"/>
        <v>5500</v>
      </c>
      <c r="T123" s="7">
        <f t="shared" si="83"/>
        <v>81.090909090909008</v>
      </c>
      <c r="U123" s="7">
        <f t="shared" si="84"/>
        <v>0</v>
      </c>
      <c r="V123" s="7">
        <f t="shared" si="85"/>
        <v>60.818181818181984</v>
      </c>
      <c r="W123" s="7">
        <f t="shared" si="86"/>
        <v>81.090909090909008</v>
      </c>
      <c r="X123" s="7">
        <f t="shared" si="87"/>
        <v>13000</v>
      </c>
      <c r="Y123" s="7">
        <f t="shared" si="88"/>
        <v>13000</v>
      </c>
      <c r="Z123" s="5" t="str">
        <f t="shared" si="89"/>
        <v>No</v>
      </c>
      <c r="AA123" s="7">
        <f t="shared" si="90"/>
        <v>0</v>
      </c>
      <c r="AB123" s="19" t="s">
        <v>144</v>
      </c>
      <c r="AC123" s="7">
        <f t="shared" si="91"/>
        <v>12777</v>
      </c>
      <c r="AD123" s="7">
        <f t="shared" si="92"/>
        <v>1533</v>
      </c>
      <c r="AE123" s="7">
        <f t="shared" si="93"/>
        <v>1533</v>
      </c>
      <c r="AF123" s="5" t="str">
        <f t="shared" si="94"/>
        <v>Y</v>
      </c>
      <c r="AG123" s="7">
        <f t="shared" si="95"/>
        <v>98</v>
      </c>
      <c r="AH123" s="7">
        <f t="shared" si="96"/>
        <v>423</v>
      </c>
      <c r="AI123" s="7">
        <f t="shared" si="97"/>
        <v>110</v>
      </c>
      <c r="AJ123" s="7">
        <f t="shared" si="98"/>
        <v>11259</v>
      </c>
      <c r="AK123" s="7">
        <f t="shared" si="99"/>
        <v>14956</v>
      </c>
    </row>
    <row r="124" spans="1:37" x14ac:dyDescent="0.25">
      <c r="A124" s="6">
        <v>118</v>
      </c>
      <c r="B124" s="5" t="s">
        <v>384</v>
      </c>
      <c r="C124" s="5" t="s">
        <v>25</v>
      </c>
      <c r="D124" s="5" t="s">
        <v>344</v>
      </c>
      <c r="E124" s="18" t="s">
        <v>385</v>
      </c>
      <c r="F124" s="5" t="str">
        <f t="shared" si="75"/>
        <v>Skilled</v>
      </c>
      <c r="G124" s="7">
        <f t="shared" si="76"/>
        <v>12777</v>
      </c>
      <c r="H124" s="7">
        <v>7500</v>
      </c>
      <c r="I124" s="7">
        <v>2000</v>
      </c>
      <c r="J124" s="7">
        <v>0</v>
      </c>
      <c r="K124" s="7">
        <v>1500</v>
      </c>
      <c r="L124" s="7">
        <v>2000</v>
      </c>
      <c r="M124" s="7">
        <f t="shared" si="77"/>
        <v>13000</v>
      </c>
      <c r="N124" s="7">
        <v>0</v>
      </c>
      <c r="O124" s="7">
        <f t="shared" si="78"/>
        <v>13000</v>
      </c>
      <c r="P124" s="7">
        <f t="shared" si="79"/>
        <v>12777</v>
      </c>
      <c r="Q124" s="7">
        <f t="shared" si="80"/>
        <v>12777</v>
      </c>
      <c r="R124" s="7">
        <f t="shared" si="81"/>
        <v>5277</v>
      </c>
      <c r="S124" s="7">
        <f t="shared" si="82"/>
        <v>5500</v>
      </c>
      <c r="T124" s="7">
        <f t="shared" si="83"/>
        <v>81.090909090909008</v>
      </c>
      <c r="U124" s="7">
        <f t="shared" si="84"/>
        <v>0</v>
      </c>
      <c r="V124" s="7">
        <f t="shared" si="85"/>
        <v>60.818181818181984</v>
      </c>
      <c r="W124" s="7">
        <f t="shared" si="86"/>
        <v>81.090909090909008</v>
      </c>
      <c r="X124" s="7">
        <f t="shared" si="87"/>
        <v>13000</v>
      </c>
      <c r="Y124" s="7">
        <f t="shared" si="88"/>
        <v>13000</v>
      </c>
      <c r="Z124" s="5" t="str">
        <f t="shared" si="89"/>
        <v>No</v>
      </c>
      <c r="AA124" s="7">
        <f t="shared" si="90"/>
        <v>0</v>
      </c>
      <c r="AB124" s="19" t="s">
        <v>144</v>
      </c>
      <c r="AC124" s="7">
        <f t="shared" si="91"/>
        <v>12777</v>
      </c>
      <c r="AD124" s="7">
        <f t="shared" si="92"/>
        <v>1533</v>
      </c>
      <c r="AE124" s="7">
        <f t="shared" si="93"/>
        <v>1533</v>
      </c>
      <c r="AF124" s="5" t="str">
        <f t="shared" si="94"/>
        <v>Y</v>
      </c>
      <c r="AG124" s="7">
        <f t="shared" si="95"/>
        <v>98</v>
      </c>
      <c r="AH124" s="7">
        <f t="shared" si="96"/>
        <v>423</v>
      </c>
      <c r="AI124" s="7">
        <f t="shared" si="97"/>
        <v>110</v>
      </c>
      <c r="AJ124" s="7">
        <f t="shared" si="98"/>
        <v>11259</v>
      </c>
      <c r="AK124" s="7">
        <f t="shared" si="99"/>
        <v>14956</v>
      </c>
    </row>
    <row r="125" spans="1:37" x14ac:dyDescent="0.25">
      <c r="A125" s="6">
        <v>119</v>
      </c>
      <c r="B125" s="5" t="s">
        <v>386</v>
      </c>
      <c r="C125" s="5" t="s">
        <v>25</v>
      </c>
      <c r="D125" s="5" t="s">
        <v>344</v>
      </c>
      <c r="E125" s="18" t="s">
        <v>387</v>
      </c>
      <c r="F125" s="5" t="str">
        <f t="shared" si="75"/>
        <v>Skilled</v>
      </c>
      <c r="G125" s="7">
        <f t="shared" si="76"/>
        <v>12777</v>
      </c>
      <c r="H125" s="7">
        <v>26000</v>
      </c>
      <c r="I125" s="7">
        <v>4000</v>
      </c>
      <c r="J125" s="7">
        <v>0</v>
      </c>
      <c r="K125" s="7">
        <v>3000</v>
      </c>
      <c r="L125" s="7">
        <v>3000</v>
      </c>
      <c r="M125" s="7">
        <f t="shared" si="77"/>
        <v>36000</v>
      </c>
      <c r="N125" s="7">
        <v>0</v>
      </c>
      <c r="O125" s="7">
        <f t="shared" si="78"/>
        <v>36000</v>
      </c>
      <c r="P125" s="7">
        <f t="shared" si="79"/>
        <v>18000</v>
      </c>
      <c r="Q125" s="7">
        <f t="shared" si="80"/>
        <v>26000</v>
      </c>
      <c r="R125" s="7">
        <f t="shared" si="81"/>
        <v>0</v>
      </c>
      <c r="S125" s="7">
        <f t="shared" si="82"/>
        <v>10000</v>
      </c>
      <c r="T125" s="7">
        <f t="shared" si="83"/>
        <v>4000</v>
      </c>
      <c r="U125" s="7">
        <f t="shared" si="84"/>
        <v>0</v>
      </c>
      <c r="V125" s="7">
        <f t="shared" si="85"/>
        <v>3000</v>
      </c>
      <c r="W125" s="7">
        <f t="shared" si="86"/>
        <v>3000</v>
      </c>
      <c r="X125" s="7">
        <f t="shared" si="87"/>
        <v>36000</v>
      </c>
      <c r="Y125" s="7">
        <f t="shared" si="88"/>
        <v>36000</v>
      </c>
      <c r="Z125" s="5" t="str">
        <f t="shared" si="89"/>
        <v>No</v>
      </c>
      <c r="AA125" s="7">
        <f t="shared" si="90"/>
        <v>0</v>
      </c>
      <c r="AB125" s="19" t="s">
        <v>178</v>
      </c>
      <c r="AC125" s="7">
        <f t="shared" si="91"/>
        <v>26000</v>
      </c>
      <c r="AD125" s="7">
        <f t="shared" si="92"/>
        <v>0</v>
      </c>
      <c r="AE125" s="7">
        <f t="shared" si="93"/>
        <v>0</v>
      </c>
      <c r="AF125" s="5" t="str">
        <f t="shared" si="94"/>
        <v>N</v>
      </c>
      <c r="AG125" s="7">
        <f t="shared" si="95"/>
        <v>0</v>
      </c>
      <c r="AH125" s="7">
        <f t="shared" si="96"/>
        <v>0</v>
      </c>
      <c r="AI125" s="7">
        <f t="shared" si="97"/>
        <v>150</v>
      </c>
      <c r="AJ125" s="7">
        <f t="shared" si="98"/>
        <v>35850</v>
      </c>
      <c r="AK125" s="7">
        <f t="shared" si="99"/>
        <v>36000</v>
      </c>
    </row>
    <row r="126" spans="1:37" x14ac:dyDescent="0.25">
      <c r="E126" s="8" t="s">
        <v>26</v>
      </c>
      <c r="H126" s="10">
        <f t="shared" ref="H126:O126" si="100">SUM(H7:H125)</f>
        <v>1681620</v>
      </c>
      <c r="I126" s="10">
        <f t="shared" si="100"/>
        <v>380585</v>
      </c>
      <c r="J126" s="10">
        <f t="shared" si="100"/>
        <v>230295</v>
      </c>
      <c r="K126" s="10">
        <f t="shared" si="100"/>
        <v>84600</v>
      </c>
      <c r="L126" s="10">
        <f t="shared" si="100"/>
        <v>74762</v>
      </c>
      <c r="M126" s="10">
        <f t="shared" si="100"/>
        <v>2451862</v>
      </c>
      <c r="N126" s="10">
        <f t="shared" si="100"/>
        <v>0</v>
      </c>
      <c r="O126" s="10">
        <f t="shared" si="100"/>
        <v>2451862</v>
      </c>
      <c r="S126" s="10">
        <f>SUM(S7:S125)</f>
        <v>770242</v>
      </c>
      <c r="X126" s="10">
        <f>SUM(X7:X125)</f>
        <v>2454170</v>
      </c>
      <c r="Y126" s="10">
        <f>SUM(Y7:Y125)</f>
        <v>2454170</v>
      </c>
      <c r="AA126" s="10">
        <f>SUM(AA7:AA125)</f>
        <v>2308</v>
      </c>
      <c r="AC126" s="10">
        <f>SUM(AC7:AC125)</f>
        <v>1971681</v>
      </c>
      <c r="AD126" s="10">
        <f>SUM(AD7:AD125)</f>
        <v>122664</v>
      </c>
      <c r="AE126" s="10">
        <f>SUM(AE7:AE125)</f>
        <v>122664</v>
      </c>
      <c r="AG126" s="10">
        <f>SUM(AG7:AG125)</f>
        <v>9968</v>
      </c>
      <c r="AH126" s="10">
        <f>SUM(AH7:AH125)</f>
        <v>43142</v>
      </c>
      <c r="AI126" s="10">
        <f>SUM(AI7:AI125)</f>
        <v>15500</v>
      </c>
      <c r="AJ126" s="10">
        <f>SUM(AJ7:AJ125)</f>
        <v>2306038</v>
      </c>
      <c r="AK126" s="10">
        <f>SUM(AK7:AK125)</f>
        <v>2619976</v>
      </c>
    </row>
  </sheetData>
  <mergeCells count="2">
    <mergeCell ref="A1:AK1"/>
    <mergeCell ref="A3:AK4"/>
  </mergeCells>
  <conditionalFormatting sqref="R7:R125">
    <cfRule type="cellIs" dxfId="2" priority="3" operator="greaterThan">
      <formula>0</formula>
    </cfRule>
  </conditionalFormatting>
  <conditionalFormatting sqref="Z7:Z125">
    <cfRule type="cellIs" dxfId="1" priority="2" operator="equal">
      <formula>"YES"</formula>
    </cfRule>
  </conditionalFormatting>
  <dataValidations count="1">
    <dataValidation type="list" sqref="AB7:AB125" xr:uid="{00000000-0002-0000-04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M139"/>
  <sheetViews>
    <sheetView showGridLines="0" zoomScaleNormal="100" workbookViewId="0">
      <pane xSplit="4" ySplit="6" topLeftCell="E121" activePane="bottomRight" state="frozen"/>
      <selection pane="topRight" activeCell="E1" sqref="E1"/>
      <selection pane="bottomLeft" activeCell="A7" sqref="A7"/>
      <selection pane="bottomRight" sqref="A1:M1"/>
    </sheetView>
  </sheetViews>
  <sheetFormatPr defaultColWidth="8.7109375" defaultRowHeight="15" x14ac:dyDescent="0.25"/>
  <cols>
    <col min="1" max="1" width="5" customWidth="1"/>
    <col min="2" max="2" width="20" customWidth="1"/>
    <col min="3" max="3" width="13" customWidth="1"/>
    <col min="4" max="4" width="10" customWidth="1"/>
    <col min="5" max="5" width="11" customWidth="1"/>
    <col min="6" max="6" width="10" customWidth="1"/>
    <col min="7" max="7" width="11" customWidth="1"/>
    <col min="8" max="8" width="10" customWidth="1"/>
    <col min="9" max="9" width="11" customWidth="1"/>
    <col min="10" max="10" width="10" customWidth="1"/>
    <col min="11" max="13" width="11" customWidth="1"/>
  </cols>
  <sheetData>
    <row r="1" spans="1:13" ht="24" customHeight="1" x14ac:dyDescent="0.25">
      <c r="A1" s="25" t="s">
        <v>63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3" spans="1:13" ht="13.5" customHeight="1" x14ac:dyDescent="0.25">
      <c r="A3" s="28" t="s">
        <v>64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 ht="13.5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6" spans="1:13" ht="39.75" customHeight="1" x14ac:dyDescent="0.25">
      <c r="A6" s="16" t="s">
        <v>65</v>
      </c>
      <c r="B6" s="16" t="s">
        <v>66</v>
      </c>
      <c r="C6" s="16" t="s">
        <v>67</v>
      </c>
      <c r="D6" s="16" t="s">
        <v>68</v>
      </c>
      <c r="E6" s="16" t="s">
        <v>69</v>
      </c>
      <c r="F6" s="16" t="s">
        <v>70</v>
      </c>
      <c r="G6" s="16" t="s">
        <v>71</v>
      </c>
      <c r="H6" s="16" t="s">
        <v>72</v>
      </c>
      <c r="I6" s="16" t="s">
        <v>73</v>
      </c>
      <c r="J6" s="16" t="s">
        <v>74</v>
      </c>
      <c r="K6" s="16" t="s">
        <v>75</v>
      </c>
      <c r="L6" s="16" t="s">
        <v>76</v>
      </c>
      <c r="M6" s="16" t="s">
        <v>77</v>
      </c>
    </row>
    <row r="7" spans="1:13" x14ac:dyDescent="0.25">
      <c r="A7" s="6">
        <f>'Salary Sheet - WB Compliant'!A7</f>
        <v>1</v>
      </c>
      <c r="B7" s="5" t="str">
        <f>'Salary Sheet - WB Compliant'!E7</f>
        <v>ABED ALI</v>
      </c>
      <c r="C7" s="5" t="str">
        <f>'Salary Sheet - WB Compliant'!D7</f>
        <v>OFFICE STAFF</v>
      </c>
      <c r="D7" s="5" t="str">
        <f>'Salary Sheet - WB Compliant'!AB7</f>
        <v>Y</v>
      </c>
      <c r="E7" s="7">
        <f>'Salary Sheet - WB Compliant'!H7</f>
        <v>9125</v>
      </c>
      <c r="F7" s="7">
        <f t="shared" ref="F7:F38" si="0">IF(D7="Y",ROUND(E7*12%,0),0)</f>
        <v>1095</v>
      </c>
      <c r="G7" s="7">
        <f>'Salary Sheet - WB Compliant'!Q7</f>
        <v>12777</v>
      </c>
      <c r="H7" s="7">
        <f>'Salary Sheet - WB Compliant'!AD7</f>
        <v>1533</v>
      </c>
      <c r="I7" s="7">
        <f t="shared" ref="I7:I38" si="1">MIN(G7,15000)</f>
        <v>12777</v>
      </c>
      <c r="J7" s="7">
        <f t="shared" ref="J7:J38" si="2">IF(D7="Y",ROUND(I7*12%,0),0)</f>
        <v>1533</v>
      </c>
      <c r="K7" s="7">
        <f t="shared" ref="K7:K38" si="3">H7-J7</f>
        <v>0</v>
      </c>
      <c r="L7" s="7">
        <f t="shared" ref="L7:L38" si="4">H7-F7</f>
        <v>438</v>
      </c>
      <c r="M7" s="7">
        <f t="shared" ref="M7:M38" si="5">J7-F7</f>
        <v>438</v>
      </c>
    </row>
    <row r="8" spans="1:13" x14ac:dyDescent="0.25">
      <c r="A8" s="6">
        <f>'Salary Sheet - WB Compliant'!A8</f>
        <v>2</v>
      </c>
      <c r="B8" s="5" t="str">
        <f>'Salary Sheet - WB Compliant'!E8</f>
        <v>ABHI MUKHERJEE</v>
      </c>
      <c r="C8" s="5" t="str">
        <f>'Salary Sheet - WB Compliant'!D8</f>
        <v>OFFICE STAFF</v>
      </c>
      <c r="D8" s="5" t="str">
        <f>'Salary Sheet - WB Compliant'!AB8</f>
        <v>Y</v>
      </c>
      <c r="E8" s="7">
        <f>'Salary Sheet - WB Compliant'!H8</f>
        <v>11100</v>
      </c>
      <c r="F8" s="7">
        <f t="shared" si="0"/>
        <v>1332</v>
      </c>
      <c r="G8" s="7">
        <f>'Salary Sheet - WB Compliant'!Q8</f>
        <v>14250</v>
      </c>
      <c r="H8" s="7">
        <f>'Salary Sheet - WB Compliant'!AD8</f>
        <v>1710</v>
      </c>
      <c r="I8" s="7">
        <f t="shared" si="1"/>
        <v>14250</v>
      </c>
      <c r="J8" s="7">
        <f t="shared" si="2"/>
        <v>1710</v>
      </c>
      <c r="K8" s="7">
        <f t="shared" si="3"/>
        <v>0</v>
      </c>
      <c r="L8" s="7">
        <f t="shared" si="4"/>
        <v>378</v>
      </c>
      <c r="M8" s="7">
        <f t="shared" si="5"/>
        <v>378</v>
      </c>
    </row>
    <row r="9" spans="1:13" x14ac:dyDescent="0.25">
      <c r="A9" s="6">
        <f>'Salary Sheet - WB Compliant'!A9</f>
        <v>3</v>
      </c>
      <c r="B9" s="5" t="str">
        <f>'Salary Sheet - WB Compliant'!E9</f>
        <v>ACHIN GUPTA</v>
      </c>
      <c r="C9" s="5" t="str">
        <f>'Salary Sheet - WB Compliant'!D9</f>
        <v>OFFICE STAFF</v>
      </c>
      <c r="D9" s="5" t="str">
        <f>'Salary Sheet - WB Compliant'!AB9</f>
        <v>Y</v>
      </c>
      <c r="E9" s="7">
        <f>'Salary Sheet - WB Compliant'!H9</f>
        <v>11700</v>
      </c>
      <c r="F9" s="7">
        <f t="shared" si="0"/>
        <v>1404</v>
      </c>
      <c r="G9" s="7">
        <f>'Salary Sheet - WB Compliant'!Q9</f>
        <v>12777</v>
      </c>
      <c r="H9" s="7">
        <f>'Salary Sheet - WB Compliant'!AD9</f>
        <v>1533</v>
      </c>
      <c r="I9" s="7">
        <f t="shared" si="1"/>
        <v>12777</v>
      </c>
      <c r="J9" s="7">
        <f t="shared" si="2"/>
        <v>1533</v>
      </c>
      <c r="K9" s="7">
        <f t="shared" si="3"/>
        <v>0</v>
      </c>
      <c r="L9" s="7">
        <f t="shared" si="4"/>
        <v>129</v>
      </c>
      <c r="M9" s="7">
        <f t="shared" si="5"/>
        <v>129</v>
      </c>
    </row>
    <row r="10" spans="1:13" x14ac:dyDescent="0.25">
      <c r="A10" s="6">
        <f>'Salary Sheet - WB Compliant'!A10</f>
        <v>4</v>
      </c>
      <c r="B10" s="5" t="str">
        <f>'Salary Sheet - WB Compliant'!E10</f>
        <v>AMIN YADAV (BADRI)</v>
      </c>
      <c r="C10" s="5" t="str">
        <f>'Salary Sheet - WB Compliant'!D10</f>
        <v>OFFICE STAFF</v>
      </c>
      <c r="D10" s="5" t="str">
        <f>'Salary Sheet - WB Compliant'!AB10</f>
        <v>Y</v>
      </c>
      <c r="E10" s="7">
        <f>'Salary Sheet - WB Compliant'!H10</f>
        <v>8200</v>
      </c>
      <c r="F10" s="7">
        <f t="shared" si="0"/>
        <v>984</v>
      </c>
      <c r="G10" s="7">
        <f>'Salary Sheet - WB Compliant'!Q10</f>
        <v>12777</v>
      </c>
      <c r="H10" s="7">
        <f>'Salary Sheet - WB Compliant'!AD10</f>
        <v>1533</v>
      </c>
      <c r="I10" s="7">
        <f t="shared" si="1"/>
        <v>12777</v>
      </c>
      <c r="J10" s="7">
        <f t="shared" si="2"/>
        <v>1533</v>
      </c>
      <c r="K10" s="7">
        <f t="shared" si="3"/>
        <v>0</v>
      </c>
      <c r="L10" s="7">
        <f t="shared" si="4"/>
        <v>549</v>
      </c>
      <c r="M10" s="7">
        <f t="shared" si="5"/>
        <v>549</v>
      </c>
    </row>
    <row r="11" spans="1:13" x14ac:dyDescent="0.25">
      <c r="A11" s="6">
        <f>'Salary Sheet - WB Compliant'!A11</f>
        <v>5</v>
      </c>
      <c r="B11" s="5" t="str">
        <f>'Salary Sheet - WB Compliant'!E11</f>
        <v>ANOWAR MOLLA</v>
      </c>
      <c r="C11" s="5" t="str">
        <f>'Salary Sheet - WB Compliant'!D11</f>
        <v>OFFICE STAFF</v>
      </c>
      <c r="D11" s="5" t="str">
        <f>'Salary Sheet - WB Compliant'!AB11</f>
        <v>Y</v>
      </c>
      <c r="E11" s="7">
        <f>'Salary Sheet - WB Compliant'!H11</f>
        <v>7100</v>
      </c>
      <c r="F11" s="7">
        <f t="shared" si="0"/>
        <v>852</v>
      </c>
      <c r="G11" s="7">
        <f>'Salary Sheet - WB Compliant'!Q11</f>
        <v>12777</v>
      </c>
      <c r="H11" s="7">
        <f>'Salary Sheet - WB Compliant'!AD11</f>
        <v>1533</v>
      </c>
      <c r="I11" s="7">
        <f t="shared" si="1"/>
        <v>12777</v>
      </c>
      <c r="J11" s="7">
        <f t="shared" si="2"/>
        <v>1533</v>
      </c>
      <c r="K11" s="7">
        <f t="shared" si="3"/>
        <v>0</v>
      </c>
      <c r="L11" s="7">
        <f t="shared" si="4"/>
        <v>681</v>
      </c>
      <c r="M11" s="7">
        <f t="shared" si="5"/>
        <v>681</v>
      </c>
    </row>
    <row r="12" spans="1:13" x14ac:dyDescent="0.25">
      <c r="A12" s="6">
        <f>'Salary Sheet - WB Compliant'!A12</f>
        <v>6</v>
      </c>
      <c r="B12" s="5" t="str">
        <f>'Salary Sheet - WB Compliant'!E12</f>
        <v>DIBAKAR MONDAL</v>
      </c>
      <c r="C12" s="5" t="str">
        <f>'Salary Sheet - WB Compliant'!D12</f>
        <v>OFFICE STAFF</v>
      </c>
      <c r="D12" s="5" t="str">
        <f>'Salary Sheet - WB Compliant'!AB12</f>
        <v>Y</v>
      </c>
      <c r="E12" s="7">
        <f>'Salary Sheet - WB Compliant'!H12</f>
        <v>8600</v>
      </c>
      <c r="F12" s="7">
        <f t="shared" si="0"/>
        <v>1032</v>
      </c>
      <c r="G12" s="7">
        <f>'Salary Sheet - WB Compliant'!Q12</f>
        <v>12777</v>
      </c>
      <c r="H12" s="7">
        <f>'Salary Sheet - WB Compliant'!AD12</f>
        <v>1533</v>
      </c>
      <c r="I12" s="7">
        <f t="shared" si="1"/>
        <v>12777</v>
      </c>
      <c r="J12" s="7">
        <f t="shared" si="2"/>
        <v>1533</v>
      </c>
      <c r="K12" s="7">
        <f t="shared" si="3"/>
        <v>0</v>
      </c>
      <c r="L12" s="7">
        <f t="shared" si="4"/>
        <v>501</v>
      </c>
      <c r="M12" s="7">
        <f t="shared" si="5"/>
        <v>501</v>
      </c>
    </row>
    <row r="13" spans="1:13" x14ac:dyDescent="0.25">
      <c r="A13" s="6">
        <f>'Salary Sheet - WB Compliant'!A13</f>
        <v>7</v>
      </c>
      <c r="B13" s="5" t="str">
        <f>'Salary Sheet - WB Compliant'!E13</f>
        <v xml:space="preserve">GOLAM SARWAR </v>
      </c>
      <c r="C13" s="5" t="str">
        <f>'Salary Sheet - WB Compliant'!D13</f>
        <v>OFFICE STAFF</v>
      </c>
      <c r="D13" s="5" t="str">
        <f>'Salary Sheet - WB Compliant'!AB13</f>
        <v>Y</v>
      </c>
      <c r="E13" s="7">
        <f>'Salary Sheet - WB Compliant'!H13</f>
        <v>26000</v>
      </c>
      <c r="F13" s="7">
        <f t="shared" si="0"/>
        <v>3120</v>
      </c>
      <c r="G13" s="7">
        <f>'Salary Sheet - WB Compliant'!Q13</f>
        <v>26000</v>
      </c>
      <c r="H13" s="7">
        <f>'Salary Sheet - WB Compliant'!AD13</f>
        <v>3120</v>
      </c>
      <c r="I13" s="7">
        <f t="shared" si="1"/>
        <v>15000</v>
      </c>
      <c r="J13" s="7">
        <f t="shared" si="2"/>
        <v>1800</v>
      </c>
      <c r="K13" s="7">
        <f t="shared" si="3"/>
        <v>1320</v>
      </c>
      <c r="L13" s="7">
        <f t="shared" si="4"/>
        <v>0</v>
      </c>
      <c r="M13" s="7">
        <f t="shared" si="5"/>
        <v>-1320</v>
      </c>
    </row>
    <row r="14" spans="1:13" x14ac:dyDescent="0.25">
      <c r="A14" s="6">
        <f>'Salary Sheet - WB Compliant'!A14</f>
        <v>8</v>
      </c>
      <c r="B14" s="5" t="str">
        <f>'Salary Sheet - WB Compliant'!E14</f>
        <v>IMAN ALI MOLLA</v>
      </c>
      <c r="C14" s="5" t="str">
        <f>'Salary Sheet - WB Compliant'!D14</f>
        <v>OFFICE STAFF</v>
      </c>
      <c r="D14" s="5" t="str">
        <f>'Salary Sheet - WB Compliant'!AB14</f>
        <v>Y</v>
      </c>
      <c r="E14" s="7">
        <f>'Salary Sheet - WB Compliant'!H14</f>
        <v>8010</v>
      </c>
      <c r="F14" s="7">
        <f t="shared" si="0"/>
        <v>961</v>
      </c>
      <c r="G14" s="7">
        <f>'Salary Sheet - WB Compliant'!Q14</f>
        <v>12777</v>
      </c>
      <c r="H14" s="7">
        <f>'Salary Sheet - WB Compliant'!AD14</f>
        <v>1533</v>
      </c>
      <c r="I14" s="7">
        <f t="shared" si="1"/>
        <v>12777</v>
      </c>
      <c r="J14" s="7">
        <f t="shared" si="2"/>
        <v>1533</v>
      </c>
      <c r="K14" s="7">
        <f t="shared" si="3"/>
        <v>0</v>
      </c>
      <c r="L14" s="7">
        <f t="shared" si="4"/>
        <v>572</v>
      </c>
      <c r="M14" s="7">
        <f t="shared" si="5"/>
        <v>572</v>
      </c>
    </row>
    <row r="15" spans="1:13" x14ac:dyDescent="0.25">
      <c r="A15" s="6">
        <f>'Salary Sheet - WB Compliant'!A15</f>
        <v>9</v>
      </c>
      <c r="B15" s="5" t="str">
        <f>'Salary Sheet - WB Compliant'!E15</f>
        <v>PULIN MONDAL</v>
      </c>
      <c r="C15" s="5" t="str">
        <f>'Salary Sheet - WB Compliant'!D15</f>
        <v>OFFICE STAFF</v>
      </c>
      <c r="D15" s="5" t="str">
        <f>'Salary Sheet - WB Compliant'!AB15</f>
        <v>Y</v>
      </c>
      <c r="E15" s="7">
        <f>'Salary Sheet - WB Compliant'!H15</f>
        <v>5200</v>
      </c>
      <c r="F15" s="7">
        <f t="shared" si="0"/>
        <v>624</v>
      </c>
      <c r="G15" s="7">
        <f>'Salary Sheet - WB Compliant'!Q15</f>
        <v>12777</v>
      </c>
      <c r="H15" s="7">
        <f>'Salary Sheet - WB Compliant'!AD15</f>
        <v>1533</v>
      </c>
      <c r="I15" s="7">
        <f t="shared" si="1"/>
        <v>12777</v>
      </c>
      <c r="J15" s="7">
        <f t="shared" si="2"/>
        <v>1533</v>
      </c>
      <c r="K15" s="7">
        <f t="shared" si="3"/>
        <v>0</v>
      </c>
      <c r="L15" s="7">
        <f t="shared" si="4"/>
        <v>909</v>
      </c>
      <c r="M15" s="7">
        <f t="shared" si="5"/>
        <v>909</v>
      </c>
    </row>
    <row r="16" spans="1:13" x14ac:dyDescent="0.25">
      <c r="A16" s="6">
        <f>'Salary Sheet - WB Compliant'!A16</f>
        <v>10</v>
      </c>
      <c r="B16" s="5" t="str">
        <f>'Salary Sheet - WB Compliant'!E16</f>
        <v>RAJU PAL</v>
      </c>
      <c r="C16" s="5" t="str">
        <f>'Salary Sheet - WB Compliant'!D16</f>
        <v>OFFICE STAFF</v>
      </c>
      <c r="D16" s="5" t="str">
        <f>'Salary Sheet - WB Compliant'!AB16</f>
        <v>Y</v>
      </c>
      <c r="E16" s="7">
        <f>'Salary Sheet - WB Compliant'!H16</f>
        <v>7700</v>
      </c>
      <c r="F16" s="7">
        <f t="shared" si="0"/>
        <v>924</v>
      </c>
      <c r="G16" s="7">
        <f>'Salary Sheet - WB Compliant'!Q16</f>
        <v>12777</v>
      </c>
      <c r="H16" s="7">
        <f>'Salary Sheet - WB Compliant'!AD16</f>
        <v>1533</v>
      </c>
      <c r="I16" s="7">
        <f t="shared" si="1"/>
        <v>12777</v>
      </c>
      <c r="J16" s="7">
        <f t="shared" si="2"/>
        <v>1533</v>
      </c>
      <c r="K16" s="7">
        <f t="shared" si="3"/>
        <v>0</v>
      </c>
      <c r="L16" s="7">
        <f t="shared" si="4"/>
        <v>609</v>
      </c>
      <c r="M16" s="7">
        <f t="shared" si="5"/>
        <v>609</v>
      </c>
    </row>
    <row r="17" spans="1:13" x14ac:dyDescent="0.25">
      <c r="A17" s="6">
        <f>'Salary Sheet - WB Compliant'!A17</f>
        <v>11</v>
      </c>
      <c r="B17" s="5" t="str">
        <f>'Salary Sheet - WB Compliant'!E17</f>
        <v>UJJAL MUKHERJEE</v>
      </c>
      <c r="C17" s="5" t="str">
        <f>'Salary Sheet - WB Compliant'!D17</f>
        <v>OFFICE STAFF</v>
      </c>
      <c r="D17" s="5" t="str">
        <f>'Salary Sheet - WB Compliant'!AB17</f>
        <v>Y</v>
      </c>
      <c r="E17" s="7">
        <f>'Salary Sheet - WB Compliant'!H17</f>
        <v>7600</v>
      </c>
      <c r="F17" s="7">
        <f t="shared" si="0"/>
        <v>912</v>
      </c>
      <c r="G17" s="7">
        <f>'Salary Sheet - WB Compliant'!Q17</f>
        <v>12777</v>
      </c>
      <c r="H17" s="7">
        <f>'Salary Sheet - WB Compliant'!AD17</f>
        <v>1533</v>
      </c>
      <c r="I17" s="7">
        <f t="shared" si="1"/>
        <v>12777</v>
      </c>
      <c r="J17" s="7">
        <f t="shared" si="2"/>
        <v>1533</v>
      </c>
      <c r="K17" s="7">
        <f t="shared" si="3"/>
        <v>0</v>
      </c>
      <c r="L17" s="7">
        <f t="shared" si="4"/>
        <v>621</v>
      </c>
      <c r="M17" s="7">
        <f t="shared" si="5"/>
        <v>621</v>
      </c>
    </row>
    <row r="18" spans="1:13" x14ac:dyDescent="0.25">
      <c r="A18" s="6">
        <f>'Salary Sheet - WB Compliant'!A18</f>
        <v>12</v>
      </c>
      <c r="B18" s="5" t="str">
        <f>'Salary Sheet - WB Compliant'!E18</f>
        <v>PROBIR GHOSH (O)</v>
      </c>
      <c r="C18" s="5" t="str">
        <f>'Salary Sheet - WB Compliant'!D18</f>
        <v>OFFICE STAFF</v>
      </c>
      <c r="D18" s="5" t="str">
        <f>'Salary Sheet - WB Compliant'!AB18</f>
        <v>Y</v>
      </c>
      <c r="E18" s="7">
        <f>'Salary Sheet - WB Compliant'!H18</f>
        <v>7560</v>
      </c>
      <c r="F18" s="7">
        <f t="shared" si="0"/>
        <v>907</v>
      </c>
      <c r="G18" s="7">
        <f>'Salary Sheet - WB Compliant'!Q18</f>
        <v>12777</v>
      </c>
      <c r="H18" s="7">
        <f>'Salary Sheet - WB Compliant'!AD18</f>
        <v>1533</v>
      </c>
      <c r="I18" s="7">
        <f t="shared" si="1"/>
        <v>12777</v>
      </c>
      <c r="J18" s="7">
        <f t="shared" si="2"/>
        <v>1533</v>
      </c>
      <c r="K18" s="7">
        <f t="shared" si="3"/>
        <v>0</v>
      </c>
      <c r="L18" s="7">
        <f t="shared" si="4"/>
        <v>626</v>
      </c>
      <c r="M18" s="7">
        <f t="shared" si="5"/>
        <v>626</v>
      </c>
    </row>
    <row r="19" spans="1:13" x14ac:dyDescent="0.25">
      <c r="A19" s="6">
        <f>'Salary Sheet - WB Compliant'!A19</f>
        <v>13</v>
      </c>
      <c r="B19" s="5" t="str">
        <f>'Salary Sheet - WB Compliant'!E19</f>
        <v>NABA KUMAR  BISWAS</v>
      </c>
      <c r="C19" s="5" t="str">
        <f>'Salary Sheet - WB Compliant'!D19</f>
        <v>OFFICE STAFF</v>
      </c>
      <c r="D19" s="5" t="str">
        <f>'Salary Sheet - WB Compliant'!AB19</f>
        <v>Y</v>
      </c>
      <c r="E19" s="7">
        <f>'Salary Sheet - WB Compliant'!H19</f>
        <v>25000</v>
      </c>
      <c r="F19" s="7">
        <f t="shared" si="0"/>
        <v>3000</v>
      </c>
      <c r="G19" s="7">
        <f>'Salary Sheet - WB Compliant'!Q19</f>
        <v>25000</v>
      </c>
      <c r="H19" s="7">
        <f>'Salary Sheet - WB Compliant'!AD19</f>
        <v>3000</v>
      </c>
      <c r="I19" s="7">
        <f t="shared" si="1"/>
        <v>15000</v>
      </c>
      <c r="J19" s="7">
        <f t="shared" si="2"/>
        <v>1800</v>
      </c>
      <c r="K19" s="7">
        <f t="shared" si="3"/>
        <v>1200</v>
      </c>
      <c r="L19" s="7">
        <f t="shared" si="4"/>
        <v>0</v>
      </c>
      <c r="M19" s="7">
        <f t="shared" si="5"/>
        <v>-1200</v>
      </c>
    </row>
    <row r="20" spans="1:13" x14ac:dyDescent="0.25">
      <c r="A20" s="6">
        <f>'Salary Sheet - WB Compliant'!A20</f>
        <v>14</v>
      </c>
      <c r="B20" s="5" t="str">
        <f>'Salary Sheet - WB Compliant'!E20</f>
        <v>ASIM KHUNTIA</v>
      </c>
      <c r="C20" s="5" t="str">
        <f>'Salary Sheet - WB Compliant'!D20</f>
        <v>OFFICE STAFF</v>
      </c>
      <c r="D20" s="5" t="str">
        <f>'Salary Sheet - WB Compliant'!AB20</f>
        <v>Y</v>
      </c>
      <c r="E20" s="7">
        <f>'Salary Sheet - WB Compliant'!H20</f>
        <v>33000</v>
      </c>
      <c r="F20" s="7">
        <f t="shared" si="0"/>
        <v>3960</v>
      </c>
      <c r="G20" s="7">
        <f>'Salary Sheet - WB Compliant'!Q20</f>
        <v>33000</v>
      </c>
      <c r="H20" s="7">
        <f>'Salary Sheet - WB Compliant'!AD20</f>
        <v>3960</v>
      </c>
      <c r="I20" s="7">
        <f t="shared" si="1"/>
        <v>15000</v>
      </c>
      <c r="J20" s="7">
        <f t="shared" si="2"/>
        <v>1800</v>
      </c>
      <c r="K20" s="7">
        <f t="shared" si="3"/>
        <v>2160</v>
      </c>
      <c r="L20" s="7">
        <f t="shared" si="4"/>
        <v>0</v>
      </c>
      <c r="M20" s="7">
        <f t="shared" si="5"/>
        <v>-2160</v>
      </c>
    </row>
    <row r="21" spans="1:13" x14ac:dyDescent="0.25">
      <c r="A21" s="6">
        <f>'Salary Sheet - WB Compliant'!A21</f>
        <v>15</v>
      </c>
      <c r="B21" s="5" t="str">
        <f>'Salary Sheet - WB Compliant'!E21</f>
        <v>MANABINDU BISWAS</v>
      </c>
      <c r="C21" s="5" t="str">
        <f>'Salary Sheet - WB Compliant'!D21</f>
        <v>OFFICE STAFF</v>
      </c>
      <c r="D21" s="5" t="str">
        <f>'Salary Sheet - WB Compliant'!AB21</f>
        <v>Y</v>
      </c>
      <c r="E21" s="7">
        <f>'Salary Sheet - WB Compliant'!H21</f>
        <v>8200</v>
      </c>
      <c r="F21" s="7">
        <f t="shared" si="0"/>
        <v>984</v>
      </c>
      <c r="G21" s="7">
        <f>'Salary Sheet - WB Compliant'!Q21</f>
        <v>12777</v>
      </c>
      <c r="H21" s="7">
        <f>'Salary Sheet - WB Compliant'!AD21</f>
        <v>1533</v>
      </c>
      <c r="I21" s="7">
        <f t="shared" si="1"/>
        <v>12777</v>
      </c>
      <c r="J21" s="7">
        <f t="shared" si="2"/>
        <v>1533</v>
      </c>
      <c r="K21" s="7">
        <f t="shared" si="3"/>
        <v>0</v>
      </c>
      <c r="L21" s="7">
        <f t="shared" si="4"/>
        <v>549</v>
      </c>
      <c r="M21" s="7">
        <f t="shared" si="5"/>
        <v>549</v>
      </c>
    </row>
    <row r="22" spans="1:13" x14ac:dyDescent="0.25">
      <c r="A22" s="6">
        <f>'Salary Sheet - WB Compliant'!A22</f>
        <v>16</v>
      </c>
      <c r="B22" s="5" t="str">
        <f>'Salary Sheet - WB Compliant'!E22</f>
        <v>SUVANKAR SAMADDAR</v>
      </c>
      <c r="C22" s="5" t="str">
        <f>'Salary Sheet - WB Compliant'!D22</f>
        <v>OFFICE STAFF</v>
      </c>
      <c r="D22" s="5" t="str">
        <f>'Salary Sheet - WB Compliant'!AB22</f>
        <v>Y</v>
      </c>
      <c r="E22" s="7">
        <f>'Salary Sheet - WB Compliant'!H22</f>
        <v>23000</v>
      </c>
      <c r="F22" s="7">
        <f t="shared" si="0"/>
        <v>2760</v>
      </c>
      <c r="G22" s="7">
        <f>'Salary Sheet - WB Compliant'!Q22</f>
        <v>23000</v>
      </c>
      <c r="H22" s="7">
        <f>'Salary Sheet - WB Compliant'!AD22</f>
        <v>2760</v>
      </c>
      <c r="I22" s="7">
        <f t="shared" si="1"/>
        <v>15000</v>
      </c>
      <c r="J22" s="7">
        <f t="shared" si="2"/>
        <v>1800</v>
      </c>
      <c r="K22" s="7">
        <f t="shared" si="3"/>
        <v>960</v>
      </c>
      <c r="L22" s="7">
        <f t="shared" si="4"/>
        <v>0</v>
      </c>
      <c r="M22" s="7">
        <f t="shared" si="5"/>
        <v>-960</v>
      </c>
    </row>
    <row r="23" spans="1:13" x14ac:dyDescent="0.25">
      <c r="A23" s="6">
        <f>'Salary Sheet - WB Compliant'!A23</f>
        <v>17</v>
      </c>
      <c r="B23" s="5" t="str">
        <f>'Salary Sheet - WB Compliant'!E23</f>
        <v xml:space="preserve">ANISUR </v>
      </c>
      <c r="C23" s="5" t="str">
        <f>'Salary Sheet - WB Compliant'!D23</f>
        <v>DRIVER</v>
      </c>
      <c r="D23" s="5" t="str">
        <f>'Salary Sheet - WB Compliant'!AB23</f>
        <v>N</v>
      </c>
      <c r="E23" s="7">
        <f>'Salary Sheet - WB Compliant'!H23</f>
        <v>20200</v>
      </c>
      <c r="F23" s="7">
        <f t="shared" si="0"/>
        <v>0</v>
      </c>
      <c r="G23" s="7">
        <f>'Salary Sheet - WB Compliant'!Q23</f>
        <v>20200</v>
      </c>
      <c r="H23" s="7">
        <f>'Salary Sheet - WB Compliant'!AD23</f>
        <v>0</v>
      </c>
      <c r="I23" s="7">
        <f t="shared" si="1"/>
        <v>15000</v>
      </c>
      <c r="J23" s="7">
        <f t="shared" si="2"/>
        <v>0</v>
      </c>
      <c r="K23" s="7">
        <f t="shared" si="3"/>
        <v>0</v>
      </c>
      <c r="L23" s="7">
        <f t="shared" si="4"/>
        <v>0</v>
      </c>
      <c r="M23" s="7">
        <f t="shared" si="5"/>
        <v>0</v>
      </c>
    </row>
    <row r="24" spans="1:13" x14ac:dyDescent="0.25">
      <c r="A24" s="6">
        <f>'Salary Sheet - WB Compliant'!A24</f>
        <v>18</v>
      </c>
      <c r="B24" s="5" t="str">
        <f>'Salary Sheet - WB Compliant'!E24</f>
        <v>ARJUN KR. RAI</v>
      </c>
      <c r="C24" s="5" t="str">
        <f>'Salary Sheet - WB Compliant'!D24</f>
        <v>DRIVER</v>
      </c>
      <c r="D24" s="5" t="str">
        <f>'Salary Sheet - WB Compliant'!AB24</f>
        <v>Y</v>
      </c>
      <c r="E24" s="7">
        <f>'Salary Sheet - WB Compliant'!H24</f>
        <v>8400</v>
      </c>
      <c r="F24" s="7">
        <f t="shared" si="0"/>
        <v>1008</v>
      </c>
      <c r="G24" s="7">
        <f>'Salary Sheet - WB Compliant'!Q24</f>
        <v>11615</v>
      </c>
      <c r="H24" s="7">
        <f>'Salary Sheet - WB Compliant'!AD24</f>
        <v>1394</v>
      </c>
      <c r="I24" s="7">
        <f t="shared" si="1"/>
        <v>11615</v>
      </c>
      <c r="J24" s="7">
        <f t="shared" si="2"/>
        <v>1394</v>
      </c>
      <c r="K24" s="7">
        <f t="shared" si="3"/>
        <v>0</v>
      </c>
      <c r="L24" s="7">
        <f t="shared" si="4"/>
        <v>386</v>
      </c>
      <c r="M24" s="7">
        <f t="shared" si="5"/>
        <v>386</v>
      </c>
    </row>
    <row r="25" spans="1:13" x14ac:dyDescent="0.25">
      <c r="A25" s="6">
        <f>'Salary Sheet - WB Compliant'!A25</f>
        <v>19</v>
      </c>
      <c r="B25" s="5" t="str">
        <f>'Salary Sheet - WB Compliant'!E25</f>
        <v xml:space="preserve">ARMAN ALI MONDAL </v>
      </c>
      <c r="C25" s="5" t="str">
        <f>'Salary Sheet - WB Compliant'!D25</f>
        <v>DRIVER</v>
      </c>
      <c r="D25" s="5" t="str">
        <f>'Salary Sheet - WB Compliant'!AB25</f>
        <v>Y</v>
      </c>
      <c r="E25" s="7">
        <f>'Salary Sheet - WB Compliant'!H25</f>
        <v>7950</v>
      </c>
      <c r="F25" s="7">
        <f t="shared" si="0"/>
        <v>954</v>
      </c>
      <c r="G25" s="7">
        <f>'Salary Sheet - WB Compliant'!Q25</f>
        <v>11615</v>
      </c>
      <c r="H25" s="7">
        <f>'Salary Sheet - WB Compliant'!AD25</f>
        <v>1394</v>
      </c>
      <c r="I25" s="7">
        <f t="shared" si="1"/>
        <v>11615</v>
      </c>
      <c r="J25" s="7">
        <f t="shared" si="2"/>
        <v>1394</v>
      </c>
      <c r="K25" s="7">
        <f t="shared" si="3"/>
        <v>0</v>
      </c>
      <c r="L25" s="7">
        <f t="shared" si="4"/>
        <v>440</v>
      </c>
      <c r="M25" s="7">
        <f t="shared" si="5"/>
        <v>440</v>
      </c>
    </row>
    <row r="26" spans="1:13" x14ac:dyDescent="0.25">
      <c r="A26" s="6">
        <f>'Salary Sheet - WB Compliant'!A26</f>
        <v>20</v>
      </c>
      <c r="B26" s="5" t="str">
        <f>'Salary Sheet - WB Compliant'!E26</f>
        <v>ASUTOSH SARDAR</v>
      </c>
      <c r="C26" s="5" t="str">
        <f>'Salary Sheet - WB Compliant'!D26</f>
        <v>HELPER</v>
      </c>
      <c r="D26" s="5" t="str">
        <f>'Salary Sheet - WB Compliant'!AB26</f>
        <v>Y</v>
      </c>
      <c r="E26" s="7">
        <f>'Salary Sheet - WB Compliant'!H26</f>
        <v>6400</v>
      </c>
      <c r="F26" s="7">
        <f t="shared" si="0"/>
        <v>768</v>
      </c>
      <c r="G26" s="7">
        <f>'Salary Sheet - WB Compliant'!Q26</f>
        <v>10558</v>
      </c>
      <c r="H26" s="7">
        <f>'Salary Sheet - WB Compliant'!AD26</f>
        <v>1267</v>
      </c>
      <c r="I26" s="7">
        <f t="shared" si="1"/>
        <v>10558</v>
      </c>
      <c r="J26" s="7">
        <f t="shared" si="2"/>
        <v>1267</v>
      </c>
      <c r="K26" s="7">
        <f t="shared" si="3"/>
        <v>0</v>
      </c>
      <c r="L26" s="7">
        <f t="shared" si="4"/>
        <v>499</v>
      </c>
      <c r="M26" s="7">
        <f t="shared" si="5"/>
        <v>499</v>
      </c>
    </row>
    <row r="27" spans="1:13" x14ac:dyDescent="0.25">
      <c r="A27" s="6">
        <f>'Salary Sheet - WB Compliant'!A27</f>
        <v>21</v>
      </c>
      <c r="B27" s="5" t="str">
        <f>'Salary Sheet - WB Compliant'!E27</f>
        <v>BUDDHADEV SEAL</v>
      </c>
      <c r="C27" s="5" t="str">
        <f>'Salary Sheet - WB Compliant'!D27</f>
        <v>LAB TECHNICIAN</v>
      </c>
      <c r="D27" s="5" t="str">
        <f>'Salary Sheet - WB Compliant'!AB27</f>
        <v>Y</v>
      </c>
      <c r="E27" s="7">
        <f>'Salary Sheet - WB Compliant'!H27</f>
        <v>6645</v>
      </c>
      <c r="F27" s="7">
        <f t="shared" si="0"/>
        <v>797</v>
      </c>
      <c r="G27" s="7">
        <f>'Salary Sheet - WB Compliant'!Q27</f>
        <v>12777</v>
      </c>
      <c r="H27" s="7">
        <f>'Salary Sheet - WB Compliant'!AD27</f>
        <v>1533</v>
      </c>
      <c r="I27" s="7">
        <f t="shared" si="1"/>
        <v>12777</v>
      </c>
      <c r="J27" s="7">
        <f t="shared" si="2"/>
        <v>1533</v>
      </c>
      <c r="K27" s="7">
        <f t="shared" si="3"/>
        <v>0</v>
      </c>
      <c r="L27" s="7">
        <f t="shared" si="4"/>
        <v>736</v>
      </c>
      <c r="M27" s="7">
        <f t="shared" si="5"/>
        <v>736</v>
      </c>
    </row>
    <row r="28" spans="1:13" x14ac:dyDescent="0.25">
      <c r="A28" s="6">
        <f>'Salary Sheet - WB Compliant'!A28</f>
        <v>22</v>
      </c>
      <c r="B28" s="5" t="str">
        <f>'Salary Sheet - WB Compliant'!E28</f>
        <v xml:space="preserve">FARUK ALI </v>
      </c>
      <c r="C28" s="5" t="str">
        <f>'Salary Sheet - WB Compliant'!D28</f>
        <v>DRIVER</v>
      </c>
      <c r="D28" s="5" t="str">
        <f>'Salary Sheet - WB Compliant'!AB28</f>
        <v>Y</v>
      </c>
      <c r="E28" s="7">
        <f>'Salary Sheet - WB Compliant'!H28</f>
        <v>7900</v>
      </c>
      <c r="F28" s="7">
        <f t="shared" si="0"/>
        <v>948</v>
      </c>
      <c r="G28" s="7">
        <f>'Salary Sheet - WB Compliant'!Q28</f>
        <v>11615</v>
      </c>
      <c r="H28" s="7">
        <f>'Salary Sheet - WB Compliant'!AD28</f>
        <v>1394</v>
      </c>
      <c r="I28" s="7">
        <f t="shared" si="1"/>
        <v>11615</v>
      </c>
      <c r="J28" s="7">
        <f t="shared" si="2"/>
        <v>1394</v>
      </c>
      <c r="K28" s="7">
        <f t="shared" si="3"/>
        <v>0</v>
      </c>
      <c r="L28" s="7">
        <f t="shared" si="4"/>
        <v>446</v>
      </c>
      <c r="M28" s="7">
        <f t="shared" si="5"/>
        <v>446</v>
      </c>
    </row>
    <row r="29" spans="1:13" x14ac:dyDescent="0.25">
      <c r="A29" s="6">
        <f>'Salary Sheet - WB Compliant'!A29</f>
        <v>23</v>
      </c>
      <c r="B29" s="5" t="str">
        <f>'Salary Sheet - WB Compliant'!E29</f>
        <v>KUTUBUDDIN MOLLA</v>
      </c>
      <c r="C29" s="5" t="str">
        <f>'Salary Sheet - WB Compliant'!D29</f>
        <v>HOPPER</v>
      </c>
      <c r="D29" s="5" t="str">
        <f>'Salary Sheet - WB Compliant'!AB29</f>
        <v>Y</v>
      </c>
      <c r="E29" s="7">
        <f>'Salary Sheet - WB Compliant'!H29</f>
        <v>7980</v>
      </c>
      <c r="F29" s="7">
        <f t="shared" si="0"/>
        <v>958</v>
      </c>
      <c r="G29" s="7">
        <f>'Salary Sheet - WB Compliant'!Q29</f>
        <v>11615</v>
      </c>
      <c r="H29" s="7">
        <f>'Salary Sheet - WB Compliant'!AD29</f>
        <v>1394</v>
      </c>
      <c r="I29" s="7">
        <f t="shared" si="1"/>
        <v>11615</v>
      </c>
      <c r="J29" s="7">
        <f t="shared" si="2"/>
        <v>1394</v>
      </c>
      <c r="K29" s="7">
        <f t="shared" si="3"/>
        <v>0</v>
      </c>
      <c r="L29" s="7">
        <f t="shared" si="4"/>
        <v>436</v>
      </c>
      <c r="M29" s="7">
        <f t="shared" si="5"/>
        <v>436</v>
      </c>
    </row>
    <row r="30" spans="1:13" x14ac:dyDescent="0.25">
      <c r="A30" s="6">
        <f>'Salary Sheet - WB Compliant'!A30</f>
        <v>24</v>
      </c>
      <c r="B30" s="5" t="str">
        <f>'Salary Sheet - WB Compliant'!E30</f>
        <v>MD. SAMIM AKRAM (JCB DEIVER)</v>
      </c>
      <c r="C30" s="5" t="str">
        <f>'Salary Sheet - WB Compliant'!D30</f>
        <v>OTHERS</v>
      </c>
      <c r="D30" s="5" t="str">
        <f>'Salary Sheet - WB Compliant'!AB30</f>
        <v>Y</v>
      </c>
      <c r="E30" s="7">
        <f>'Salary Sheet - WB Compliant'!H30</f>
        <v>8500</v>
      </c>
      <c r="F30" s="7">
        <f t="shared" si="0"/>
        <v>1020</v>
      </c>
      <c r="G30" s="7">
        <f>'Salary Sheet - WB Compliant'!Q30</f>
        <v>12777</v>
      </c>
      <c r="H30" s="7">
        <f>'Salary Sheet - WB Compliant'!AD30</f>
        <v>1533</v>
      </c>
      <c r="I30" s="7">
        <f t="shared" si="1"/>
        <v>12777</v>
      </c>
      <c r="J30" s="7">
        <f t="shared" si="2"/>
        <v>1533</v>
      </c>
      <c r="K30" s="7">
        <f t="shared" si="3"/>
        <v>0</v>
      </c>
      <c r="L30" s="7">
        <f t="shared" si="4"/>
        <v>513</v>
      </c>
      <c r="M30" s="7">
        <f t="shared" si="5"/>
        <v>513</v>
      </c>
    </row>
    <row r="31" spans="1:13" x14ac:dyDescent="0.25">
      <c r="A31" s="6">
        <f>'Salary Sheet - WB Compliant'!A31</f>
        <v>25</v>
      </c>
      <c r="B31" s="5" t="str">
        <f>'Salary Sheet - WB Compliant'!E31</f>
        <v>MOTIAR RAHAMAN</v>
      </c>
      <c r="C31" s="5" t="str">
        <f>'Salary Sheet - WB Compliant'!D31</f>
        <v>DRIVER</v>
      </c>
      <c r="D31" s="5" t="str">
        <f>'Salary Sheet - WB Compliant'!AB31</f>
        <v>Y</v>
      </c>
      <c r="E31" s="7">
        <f>'Salary Sheet - WB Compliant'!H31</f>
        <v>8400</v>
      </c>
      <c r="F31" s="7">
        <f t="shared" si="0"/>
        <v>1008</v>
      </c>
      <c r="G31" s="7">
        <f>'Salary Sheet - WB Compliant'!Q31</f>
        <v>11615</v>
      </c>
      <c r="H31" s="7">
        <f>'Salary Sheet - WB Compliant'!AD31</f>
        <v>1394</v>
      </c>
      <c r="I31" s="7">
        <f t="shared" si="1"/>
        <v>11615</v>
      </c>
      <c r="J31" s="7">
        <f t="shared" si="2"/>
        <v>1394</v>
      </c>
      <c r="K31" s="7">
        <f t="shared" si="3"/>
        <v>0</v>
      </c>
      <c r="L31" s="7">
        <f t="shared" si="4"/>
        <v>386</v>
      </c>
      <c r="M31" s="7">
        <f t="shared" si="5"/>
        <v>386</v>
      </c>
    </row>
    <row r="32" spans="1:13" x14ac:dyDescent="0.25">
      <c r="A32" s="6">
        <f>'Salary Sheet - WB Compliant'!A32</f>
        <v>26</v>
      </c>
      <c r="B32" s="5" t="str">
        <f>'Salary Sheet - WB Compliant'!E32</f>
        <v>MOKSHED ALI</v>
      </c>
      <c r="C32" s="5" t="str">
        <f>'Salary Sheet - WB Compliant'!D32</f>
        <v>DRIVER</v>
      </c>
      <c r="D32" s="5" t="str">
        <f>'Salary Sheet - WB Compliant'!AB32</f>
        <v>N</v>
      </c>
      <c r="E32" s="7">
        <f>'Salary Sheet - WB Compliant'!H32</f>
        <v>19000</v>
      </c>
      <c r="F32" s="7">
        <f t="shared" si="0"/>
        <v>0</v>
      </c>
      <c r="G32" s="7">
        <f>'Salary Sheet - WB Compliant'!Q32</f>
        <v>19000</v>
      </c>
      <c r="H32" s="7">
        <f>'Salary Sheet - WB Compliant'!AD32</f>
        <v>0</v>
      </c>
      <c r="I32" s="7">
        <f t="shared" si="1"/>
        <v>15000</v>
      </c>
      <c r="J32" s="7">
        <f t="shared" si="2"/>
        <v>0</v>
      </c>
      <c r="K32" s="7">
        <f t="shared" si="3"/>
        <v>0</v>
      </c>
      <c r="L32" s="7">
        <f t="shared" si="4"/>
        <v>0</v>
      </c>
      <c r="M32" s="7">
        <f t="shared" si="5"/>
        <v>0</v>
      </c>
    </row>
    <row r="33" spans="1:13" x14ac:dyDescent="0.25">
      <c r="A33" s="6">
        <f>'Salary Sheet - WB Compliant'!A33</f>
        <v>27</v>
      </c>
      <c r="B33" s="5" t="str">
        <f>'Salary Sheet - WB Compliant'!E33</f>
        <v xml:space="preserve">SAMSER ALI </v>
      </c>
      <c r="C33" s="5" t="str">
        <f>'Salary Sheet - WB Compliant'!D33</f>
        <v>DRIVER</v>
      </c>
      <c r="D33" s="5" t="str">
        <f>'Salary Sheet - WB Compliant'!AB33</f>
        <v>N</v>
      </c>
      <c r="E33" s="7">
        <f>'Salary Sheet - WB Compliant'!H33</f>
        <v>20600</v>
      </c>
      <c r="F33" s="7">
        <f t="shared" si="0"/>
        <v>0</v>
      </c>
      <c r="G33" s="7">
        <f>'Salary Sheet - WB Compliant'!Q33</f>
        <v>20600</v>
      </c>
      <c r="H33" s="7">
        <f>'Salary Sheet - WB Compliant'!AD33</f>
        <v>0</v>
      </c>
      <c r="I33" s="7">
        <f t="shared" si="1"/>
        <v>15000</v>
      </c>
      <c r="J33" s="7">
        <f t="shared" si="2"/>
        <v>0</v>
      </c>
      <c r="K33" s="7">
        <f t="shared" si="3"/>
        <v>0</v>
      </c>
      <c r="L33" s="7">
        <f t="shared" si="4"/>
        <v>0</v>
      </c>
      <c r="M33" s="7">
        <f t="shared" si="5"/>
        <v>0</v>
      </c>
    </row>
    <row r="34" spans="1:13" x14ac:dyDescent="0.25">
      <c r="A34" s="6">
        <f>'Salary Sheet - WB Compliant'!A34</f>
        <v>28</v>
      </c>
      <c r="B34" s="5" t="str">
        <f>'Salary Sheet - WB Compliant'!E34</f>
        <v>SHANTI  MONDAL</v>
      </c>
      <c r="C34" s="5" t="str">
        <f>'Salary Sheet - WB Compliant'!D34</f>
        <v>DRIVER</v>
      </c>
      <c r="D34" s="5" t="str">
        <f>'Salary Sheet - WB Compliant'!AB34</f>
        <v>N</v>
      </c>
      <c r="E34" s="7">
        <f>'Salary Sheet - WB Compliant'!H34</f>
        <v>20000</v>
      </c>
      <c r="F34" s="7">
        <f t="shared" si="0"/>
        <v>0</v>
      </c>
      <c r="G34" s="7">
        <f>'Salary Sheet - WB Compliant'!Q34</f>
        <v>20000</v>
      </c>
      <c r="H34" s="7">
        <f>'Salary Sheet - WB Compliant'!AD34</f>
        <v>0</v>
      </c>
      <c r="I34" s="7">
        <f t="shared" si="1"/>
        <v>15000</v>
      </c>
      <c r="J34" s="7">
        <f t="shared" si="2"/>
        <v>0</v>
      </c>
      <c r="K34" s="7">
        <f t="shared" si="3"/>
        <v>0</v>
      </c>
      <c r="L34" s="7">
        <f t="shared" si="4"/>
        <v>0</v>
      </c>
      <c r="M34" s="7">
        <f t="shared" si="5"/>
        <v>0</v>
      </c>
    </row>
    <row r="35" spans="1:13" x14ac:dyDescent="0.25">
      <c r="A35" s="6">
        <f>'Salary Sheet - WB Compliant'!A35</f>
        <v>29</v>
      </c>
      <c r="B35" s="5" t="str">
        <f>'Salary Sheet - WB Compliant'!E35</f>
        <v xml:space="preserve">SIRAJUL  MOLLA  </v>
      </c>
      <c r="C35" s="5" t="str">
        <f>'Salary Sheet - WB Compliant'!D35</f>
        <v>DRIVER</v>
      </c>
      <c r="D35" s="5" t="str">
        <f>'Salary Sheet - WB Compliant'!AB35</f>
        <v>Y</v>
      </c>
      <c r="E35" s="7">
        <f>'Salary Sheet - WB Compliant'!H35</f>
        <v>7850</v>
      </c>
      <c r="F35" s="7">
        <f t="shared" si="0"/>
        <v>942</v>
      </c>
      <c r="G35" s="7">
        <f>'Salary Sheet - WB Compliant'!Q35</f>
        <v>11615</v>
      </c>
      <c r="H35" s="7">
        <f>'Salary Sheet - WB Compliant'!AD35</f>
        <v>1394</v>
      </c>
      <c r="I35" s="7">
        <f t="shared" si="1"/>
        <v>11615</v>
      </c>
      <c r="J35" s="7">
        <f t="shared" si="2"/>
        <v>1394</v>
      </c>
      <c r="K35" s="7">
        <f t="shared" si="3"/>
        <v>0</v>
      </c>
      <c r="L35" s="7">
        <f t="shared" si="4"/>
        <v>452</v>
      </c>
      <c r="M35" s="7">
        <f t="shared" si="5"/>
        <v>452</v>
      </c>
    </row>
    <row r="36" spans="1:13" x14ac:dyDescent="0.25">
      <c r="A36" s="6">
        <f>'Salary Sheet - WB Compliant'!A36</f>
        <v>30</v>
      </c>
      <c r="B36" s="5" t="str">
        <f>'Salary Sheet - WB Compliant'!E36</f>
        <v>SK. ANARUL ISLAM</v>
      </c>
      <c r="C36" s="5" t="str">
        <f>'Salary Sheet - WB Compliant'!D36</f>
        <v>HELPER</v>
      </c>
      <c r="D36" s="5" t="str">
        <f>'Salary Sheet - WB Compliant'!AB36</f>
        <v>Y</v>
      </c>
      <c r="E36" s="7">
        <f>'Salary Sheet - WB Compliant'!H36</f>
        <v>6420</v>
      </c>
      <c r="F36" s="7">
        <f t="shared" si="0"/>
        <v>770</v>
      </c>
      <c r="G36" s="7">
        <f>'Salary Sheet - WB Compliant'!Q36</f>
        <v>10558</v>
      </c>
      <c r="H36" s="7">
        <f>'Salary Sheet - WB Compliant'!AD36</f>
        <v>1267</v>
      </c>
      <c r="I36" s="7">
        <f t="shared" si="1"/>
        <v>10558</v>
      </c>
      <c r="J36" s="7">
        <f t="shared" si="2"/>
        <v>1267</v>
      </c>
      <c r="K36" s="7">
        <f t="shared" si="3"/>
        <v>0</v>
      </c>
      <c r="L36" s="7">
        <f t="shared" si="4"/>
        <v>497</v>
      </c>
      <c r="M36" s="7">
        <f t="shared" si="5"/>
        <v>497</v>
      </c>
    </row>
    <row r="37" spans="1:13" x14ac:dyDescent="0.25">
      <c r="A37" s="6">
        <f>'Salary Sheet - WB Compliant'!A37</f>
        <v>31</v>
      </c>
      <c r="B37" s="5" t="str">
        <f>'Salary Sheet - WB Compliant'!E37</f>
        <v>SRISTI DHAR MONDAL</v>
      </c>
      <c r="C37" s="5" t="str">
        <f>'Salary Sheet - WB Compliant'!D37</f>
        <v>HOPPER</v>
      </c>
      <c r="D37" s="5" t="str">
        <f>'Salary Sheet - WB Compliant'!AB37</f>
        <v>Y</v>
      </c>
      <c r="E37" s="7">
        <f>'Salary Sheet - WB Compliant'!H37</f>
        <v>6590</v>
      </c>
      <c r="F37" s="7">
        <f t="shared" si="0"/>
        <v>791</v>
      </c>
      <c r="G37" s="7">
        <f>'Salary Sheet - WB Compliant'!Q37</f>
        <v>11615</v>
      </c>
      <c r="H37" s="7">
        <f>'Salary Sheet - WB Compliant'!AD37</f>
        <v>1394</v>
      </c>
      <c r="I37" s="7">
        <f t="shared" si="1"/>
        <v>11615</v>
      </c>
      <c r="J37" s="7">
        <f t="shared" si="2"/>
        <v>1394</v>
      </c>
      <c r="K37" s="7">
        <f t="shared" si="3"/>
        <v>0</v>
      </c>
      <c r="L37" s="7">
        <f t="shared" si="4"/>
        <v>603</v>
      </c>
      <c r="M37" s="7">
        <f t="shared" si="5"/>
        <v>603</v>
      </c>
    </row>
    <row r="38" spans="1:13" x14ac:dyDescent="0.25">
      <c r="A38" s="6">
        <f>'Salary Sheet - WB Compliant'!A38</f>
        <v>32</v>
      </c>
      <c r="B38" s="5" t="str">
        <f>'Salary Sheet - WB Compliant'!E38</f>
        <v>SUDHAN MONDAL</v>
      </c>
      <c r="C38" s="5" t="str">
        <f>'Salary Sheet - WB Compliant'!D38</f>
        <v>HOPPER</v>
      </c>
      <c r="D38" s="5" t="str">
        <f>'Salary Sheet - WB Compliant'!AB38</f>
        <v>Y</v>
      </c>
      <c r="E38" s="7">
        <f>'Salary Sheet - WB Compliant'!H38</f>
        <v>7290</v>
      </c>
      <c r="F38" s="7">
        <f t="shared" si="0"/>
        <v>875</v>
      </c>
      <c r="G38" s="7">
        <f>'Salary Sheet - WB Compliant'!Q38</f>
        <v>11615</v>
      </c>
      <c r="H38" s="7">
        <f>'Salary Sheet - WB Compliant'!AD38</f>
        <v>1394</v>
      </c>
      <c r="I38" s="7">
        <f t="shared" si="1"/>
        <v>11615</v>
      </c>
      <c r="J38" s="7">
        <f t="shared" si="2"/>
        <v>1394</v>
      </c>
      <c r="K38" s="7">
        <f t="shared" si="3"/>
        <v>0</v>
      </c>
      <c r="L38" s="7">
        <f t="shared" si="4"/>
        <v>519</v>
      </c>
      <c r="M38" s="7">
        <f t="shared" si="5"/>
        <v>519</v>
      </c>
    </row>
    <row r="39" spans="1:13" x14ac:dyDescent="0.25">
      <c r="A39" s="6">
        <f>'Salary Sheet - WB Compliant'!A39</f>
        <v>33</v>
      </c>
      <c r="B39" s="5" t="str">
        <f>'Salary Sheet - WB Compliant'!E39</f>
        <v>SWAPAN MONDAL</v>
      </c>
      <c r="C39" s="5" t="str">
        <f>'Salary Sheet - WB Compliant'!D39</f>
        <v>LAB TECHNICIAN</v>
      </c>
      <c r="D39" s="5" t="str">
        <f>'Salary Sheet - WB Compliant'!AB39</f>
        <v>Y</v>
      </c>
      <c r="E39" s="7">
        <f>'Salary Sheet - WB Compliant'!H39</f>
        <v>6750</v>
      </c>
      <c r="F39" s="7">
        <f t="shared" ref="F39:F70" si="6">IF(D39="Y",ROUND(E39*12%,0),0)</f>
        <v>810</v>
      </c>
      <c r="G39" s="7">
        <f>'Salary Sheet - WB Compliant'!Q39</f>
        <v>12777</v>
      </c>
      <c r="H39" s="7">
        <f>'Salary Sheet - WB Compliant'!AD39</f>
        <v>1533</v>
      </c>
      <c r="I39" s="7">
        <f t="shared" ref="I39:I70" si="7">MIN(G39,15000)</f>
        <v>12777</v>
      </c>
      <c r="J39" s="7">
        <f t="shared" ref="J39:J70" si="8">IF(D39="Y",ROUND(I39*12%,0),0)</f>
        <v>1533</v>
      </c>
      <c r="K39" s="7">
        <f t="shared" ref="K39:K70" si="9">H39-J39</f>
        <v>0</v>
      </c>
      <c r="L39" s="7">
        <f t="shared" ref="L39:L70" si="10">H39-F39</f>
        <v>723</v>
      </c>
      <c r="M39" s="7">
        <f t="shared" ref="M39:M70" si="11">J39-F39</f>
        <v>723</v>
      </c>
    </row>
    <row r="40" spans="1:13" x14ac:dyDescent="0.25">
      <c r="A40" s="6">
        <f>'Salary Sheet - WB Compliant'!A40</f>
        <v>34</v>
      </c>
      <c r="B40" s="5" t="str">
        <f>'Salary Sheet - WB Compliant'!E40</f>
        <v>MOSIAR MOLLA</v>
      </c>
      <c r="C40" s="5" t="str">
        <f>'Salary Sheet - WB Compliant'!D40</f>
        <v>DRIVER</v>
      </c>
      <c r="D40" s="5" t="str">
        <f>'Salary Sheet - WB Compliant'!AB40</f>
        <v>N</v>
      </c>
      <c r="E40" s="7">
        <f>'Salary Sheet - WB Compliant'!H40</f>
        <v>19000</v>
      </c>
      <c r="F40" s="7">
        <f t="shared" si="6"/>
        <v>0</v>
      </c>
      <c r="G40" s="7">
        <f>'Salary Sheet - WB Compliant'!Q40</f>
        <v>19000</v>
      </c>
      <c r="H40" s="7">
        <f>'Salary Sheet - WB Compliant'!AD40</f>
        <v>0</v>
      </c>
      <c r="I40" s="7">
        <f t="shared" si="7"/>
        <v>15000</v>
      </c>
      <c r="J40" s="7">
        <f t="shared" si="8"/>
        <v>0</v>
      </c>
      <c r="K40" s="7">
        <f t="shared" si="9"/>
        <v>0</v>
      </c>
      <c r="L40" s="7">
        <f t="shared" si="10"/>
        <v>0</v>
      </c>
      <c r="M40" s="7">
        <f t="shared" si="11"/>
        <v>0</v>
      </c>
    </row>
    <row r="41" spans="1:13" x14ac:dyDescent="0.25">
      <c r="A41" s="6">
        <f>'Salary Sheet - WB Compliant'!A41</f>
        <v>35</v>
      </c>
      <c r="B41" s="5" t="str">
        <f>'Salary Sheet - WB Compliant'!E41</f>
        <v>ISRAFIL DHALI</v>
      </c>
      <c r="C41" s="5" t="str">
        <f>'Salary Sheet - WB Compliant'!D41</f>
        <v>DRIVER</v>
      </c>
      <c r="D41" s="5" t="str">
        <f>'Salary Sheet - WB Compliant'!AB41</f>
        <v>N</v>
      </c>
      <c r="E41" s="7">
        <f>'Salary Sheet - WB Compliant'!H41</f>
        <v>21000</v>
      </c>
      <c r="F41" s="7">
        <f t="shared" si="6"/>
        <v>0</v>
      </c>
      <c r="G41" s="7">
        <f>'Salary Sheet - WB Compliant'!Q41</f>
        <v>21000</v>
      </c>
      <c r="H41" s="7">
        <f>'Salary Sheet - WB Compliant'!AD41</f>
        <v>0</v>
      </c>
      <c r="I41" s="7">
        <f t="shared" si="7"/>
        <v>15000</v>
      </c>
      <c r="J41" s="7">
        <f t="shared" si="8"/>
        <v>0</v>
      </c>
      <c r="K41" s="7">
        <f t="shared" si="9"/>
        <v>0</v>
      </c>
      <c r="L41" s="7">
        <f t="shared" si="10"/>
        <v>0</v>
      </c>
      <c r="M41" s="7">
        <f t="shared" si="11"/>
        <v>0</v>
      </c>
    </row>
    <row r="42" spans="1:13" x14ac:dyDescent="0.25">
      <c r="A42" s="6">
        <f>'Salary Sheet - WB Compliant'!A42</f>
        <v>36</v>
      </c>
      <c r="B42" s="5" t="str">
        <f>'Salary Sheet - WB Compliant'!E42</f>
        <v>ROUF MONDAL</v>
      </c>
      <c r="C42" s="5" t="str">
        <f>'Salary Sheet - WB Compliant'!D42</f>
        <v>DRIVER</v>
      </c>
      <c r="D42" s="5" t="str">
        <f>'Salary Sheet - WB Compliant'!AB42</f>
        <v>N</v>
      </c>
      <c r="E42" s="7">
        <f>'Salary Sheet - WB Compliant'!H42</f>
        <v>21000</v>
      </c>
      <c r="F42" s="7">
        <f t="shared" si="6"/>
        <v>0</v>
      </c>
      <c r="G42" s="7">
        <f>'Salary Sheet - WB Compliant'!Q42</f>
        <v>21000</v>
      </c>
      <c r="H42" s="7">
        <f>'Salary Sheet - WB Compliant'!AD42</f>
        <v>0</v>
      </c>
      <c r="I42" s="7">
        <f t="shared" si="7"/>
        <v>15000</v>
      </c>
      <c r="J42" s="7">
        <f t="shared" si="8"/>
        <v>0</v>
      </c>
      <c r="K42" s="7">
        <f t="shared" si="9"/>
        <v>0</v>
      </c>
      <c r="L42" s="7">
        <f t="shared" si="10"/>
        <v>0</v>
      </c>
      <c r="M42" s="7">
        <f t="shared" si="11"/>
        <v>0</v>
      </c>
    </row>
    <row r="43" spans="1:13" x14ac:dyDescent="0.25">
      <c r="A43" s="6">
        <f>'Salary Sheet - WB Compliant'!A43</f>
        <v>37</v>
      </c>
      <c r="B43" s="5" t="str">
        <f>'Salary Sheet - WB Compliant'!E43</f>
        <v>KANAK JANA</v>
      </c>
      <c r="C43" s="5" t="str">
        <f>'Salary Sheet - WB Compliant'!D43</f>
        <v>LAB TECHNICIAN</v>
      </c>
      <c r="D43" s="5" t="str">
        <f>'Salary Sheet - WB Compliant'!AB43</f>
        <v>Y</v>
      </c>
      <c r="E43" s="7">
        <f>'Salary Sheet - WB Compliant'!H43</f>
        <v>9300</v>
      </c>
      <c r="F43" s="7">
        <f t="shared" si="6"/>
        <v>1116</v>
      </c>
      <c r="G43" s="7">
        <f>'Salary Sheet - WB Compliant'!Q43</f>
        <v>12777</v>
      </c>
      <c r="H43" s="7">
        <f>'Salary Sheet - WB Compliant'!AD43</f>
        <v>1533</v>
      </c>
      <c r="I43" s="7">
        <f t="shared" si="7"/>
        <v>12777</v>
      </c>
      <c r="J43" s="7">
        <f t="shared" si="8"/>
        <v>1533</v>
      </c>
      <c r="K43" s="7">
        <f t="shared" si="9"/>
        <v>0</v>
      </c>
      <c r="L43" s="7">
        <f t="shared" si="10"/>
        <v>417</v>
      </c>
      <c r="M43" s="7">
        <f t="shared" si="11"/>
        <v>417</v>
      </c>
    </row>
    <row r="44" spans="1:13" x14ac:dyDescent="0.25">
      <c r="A44" s="6">
        <f>'Salary Sheet - WB Compliant'!A44</f>
        <v>38</v>
      </c>
      <c r="B44" s="5" t="str">
        <f>'Salary Sheet - WB Compliant'!E44</f>
        <v>SOUMEN GARAI</v>
      </c>
      <c r="C44" s="5" t="str">
        <f>'Salary Sheet - WB Compliant'!D44</f>
        <v>OTHERS</v>
      </c>
      <c r="D44" s="5" t="str">
        <f>'Salary Sheet - WB Compliant'!AB44</f>
        <v>Y</v>
      </c>
      <c r="E44" s="7">
        <f>'Salary Sheet - WB Compliant'!H44</f>
        <v>7980</v>
      </c>
      <c r="F44" s="7">
        <f t="shared" si="6"/>
        <v>958</v>
      </c>
      <c r="G44" s="7">
        <f>'Salary Sheet - WB Compliant'!Q44</f>
        <v>12777</v>
      </c>
      <c r="H44" s="7">
        <f>'Salary Sheet - WB Compliant'!AD44</f>
        <v>1533</v>
      </c>
      <c r="I44" s="7">
        <f t="shared" si="7"/>
        <v>12777</v>
      </c>
      <c r="J44" s="7">
        <f t="shared" si="8"/>
        <v>1533</v>
      </c>
      <c r="K44" s="7">
        <f t="shared" si="9"/>
        <v>0</v>
      </c>
      <c r="L44" s="7">
        <f t="shared" si="10"/>
        <v>575</v>
      </c>
      <c r="M44" s="7">
        <f t="shared" si="11"/>
        <v>575</v>
      </c>
    </row>
    <row r="45" spans="1:13" x14ac:dyDescent="0.25">
      <c r="A45" s="6">
        <f>'Salary Sheet - WB Compliant'!A45</f>
        <v>39</v>
      </c>
      <c r="B45" s="5" t="str">
        <f>'Salary Sheet - WB Compliant'!E45</f>
        <v>ASHOK MONDAL</v>
      </c>
      <c r="C45" s="5" t="str">
        <f>'Salary Sheet - WB Compliant'!D45</f>
        <v>DRIVER</v>
      </c>
      <c r="D45" s="5" t="str">
        <f>'Salary Sheet - WB Compliant'!AB45</f>
        <v>N</v>
      </c>
      <c r="E45" s="7">
        <f>'Salary Sheet - WB Compliant'!H45</f>
        <v>21000</v>
      </c>
      <c r="F45" s="7">
        <f t="shared" si="6"/>
        <v>0</v>
      </c>
      <c r="G45" s="7">
        <f>'Salary Sheet - WB Compliant'!Q45</f>
        <v>21000</v>
      </c>
      <c r="H45" s="7">
        <f>'Salary Sheet - WB Compliant'!AD45</f>
        <v>0</v>
      </c>
      <c r="I45" s="7">
        <f t="shared" si="7"/>
        <v>15000</v>
      </c>
      <c r="J45" s="7">
        <f t="shared" si="8"/>
        <v>0</v>
      </c>
      <c r="K45" s="7">
        <f t="shared" si="9"/>
        <v>0</v>
      </c>
      <c r="L45" s="7">
        <f t="shared" si="10"/>
        <v>0</v>
      </c>
      <c r="M45" s="7">
        <f t="shared" si="11"/>
        <v>0</v>
      </c>
    </row>
    <row r="46" spans="1:13" x14ac:dyDescent="0.25">
      <c r="A46" s="6">
        <f>'Salary Sheet - WB Compliant'!A46</f>
        <v>40</v>
      </c>
      <c r="B46" s="5" t="str">
        <f>'Salary Sheet - WB Compliant'!E46</f>
        <v>ANSWAR ALI MOLLA</v>
      </c>
      <c r="C46" s="5" t="str">
        <f>'Salary Sheet - WB Compliant'!D46</f>
        <v>DRIVER</v>
      </c>
      <c r="D46" s="5" t="str">
        <f>'Salary Sheet - WB Compliant'!AB46</f>
        <v>N</v>
      </c>
      <c r="E46" s="7">
        <f>'Salary Sheet - WB Compliant'!H46</f>
        <v>21000</v>
      </c>
      <c r="F46" s="7">
        <f t="shared" si="6"/>
        <v>0</v>
      </c>
      <c r="G46" s="7">
        <f>'Salary Sheet - WB Compliant'!Q46</f>
        <v>21000</v>
      </c>
      <c r="H46" s="7">
        <f>'Salary Sheet - WB Compliant'!AD46</f>
        <v>0</v>
      </c>
      <c r="I46" s="7">
        <f t="shared" si="7"/>
        <v>15000</v>
      </c>
      <c r="J46" s="7">
        <f t="shared" si="8"/>
        <v>0</v>
      </c>
      <c r="K46" s="7">
        <f t="shared" si="9"/>
        <v>0</v>
      </c>
      <c r="L46" s="7">
        <f t="shared" si="10"/>
        <v>0</v>
      </c>
      <c r="M46" s="7">
        <f t="shared" si="11"/>
        <v>0</v>
      </c>
    </row>
    <row r="47" spans="1:13" x14ac:dyDescent="0.25">
      <c r="A47" s="6">
        <f>'Salary Sheet - WB Compliant'!A47</f>
        <v>41</v>
      </c>
      <c r="B47" s="5" t="str">
        <f>'Salary Sheet - WB Compliant'!E47</f>
        <v>MOMINUL HAQUE</v>
      </c>
      <c r="C47" s="5" t="str">
        <f>'Salary Sheet - WB Compliant'!D47</f>
        <v>LAB TECHNICIAN</v>
      </c>
      <c r="D47" s="5" t="str">
        <f>'Salary Sheet - WB Compliant'!AB47</f>
        <v>Y</v>
      </c>
      <c r="E47" s="7">
        <f>'Salary Sheet - WB Compliant'!H47</f>
        <v>7640</v>
      </c>
      <c r="F47" s="7">
        <f t="shared" si="6"/>
        <v>917</v>
      </c>
      <c r="G47" s="7">
        <f>'Salary Sheet - WB Compliant'!Q47</f>
        <v>12777</v>
      </c>
      <c r="H47" s="7">
        <f>'Salary Sheet - WB Compliant'!AD47</f>
        <v>1533</v>
      </c>
      <c r="I47" s="7">
        <f t="shared" si="7"/>
        <v>12777</v>
      </c>
      <c r="J47" s="7">
        <f t="shared" si="8"/>
        <v>1533</v>
      </c>
      <c r="K47" s="7">
        <f t="shared" si="9"/>
        <v>0</v>
      </c>
      <c r="L47" s="7">
        <f t="shared" si="10"/>
        <v>616</v>
      </c>
      <c r="M47" s="7">
        <f t="shared" si="11"/>
        <v>616</v>
      </c>
    </row>
    <row r="48" spans="1:13" x14ac:dyDescent="0.25">
      <c r="A48" s="6">
        <f>'Salary Sheet - WB Compliant'!A48</f>
        <v>42</v>
      </c>
      <c r="B48" s="5" t="str">
        <f>'Salary Sheet - WB Compliant'!E48</f>
        <v>EKRAMUL ALI</v>
      </c>
      <c r="C48" s="5" t="str">
        <f>'Salary Sheet - WB Compliant'!D48</f>
        <v>HELPER</v>
      </c>
      <c r="D48" s="5" t="str">
        <f>'Salary Sheet - WB Compliant'!AB48</f>
        <v>Y</v>
      </c>
      <c r="E48" s="7">
        <f>'Salary Sheet - WB Compliant'!H48</f>
        <v>7700</v>
      </c>
      <c r="F48" s="7">
        <f t="shared" si="6"/>
        <v>924</v>
      </c>
      <c r="G48" s="7">
        <f>'Salary Sheet - WB Compliant'!Q48</f>
        <v>10558</v>
      </c>
      <c r="H48" s="7">
        <f>'Salary Sheet - WB Compliant'!AD48</f>
        <v>1267</v>
      </c>
      <c r="I48" s="7">
        <f t="shared" si="7"/>
        <v>10558</v>
      </c>
      <c r="J48" s="7">
        <f t="shared" si="8"/>
        <v>1267</v>
      </c>
      <c r="K48" s="7">
        <f t="shared" si="9"/>
        <v>0</v>
      </c>
      <c r="L48" s="7">
        <f t="shared" si="10"/>
        <v>343</v>
      </c>
      <c r="M48" s="7">
        <f t="shared" si="11"/>
        <v>343</v>
      </c>
    </row>
    <row r="49" spans="1:13" x14ac:dyDescent="0.25">
      <c r="A49" s="6">
        <f>'Salary Sheet - WB Compliant'!A49</f>
        <v>43</v>
      </c>
      <c r="B49" s="5" t="str">
        <f>'Salary Sheet - WB Compliant'!E49</f>
        <v>JULFIKAR DHALI</v>
      </c>
      <c r="C49" s="5" t="str">
        <f>'Salary Sheet - WB Compliant'!D49</f>
        <v>DRIVER</v>
      </c>
      <c r="D49" s="5" t="str">
        <f>'Salary Sheet - WB Compliant'!AB49</f>
        <v>N</v>
      </c>
      <c r="E49" s="7">
        <f>'Salary Sheet - WB Compliant'!H49</f>
        <v>19000</v>
      </c>
      <c r="F49" s="7">
        <f t="shared" si="6"/>
        <v>0</v>
      </c>
      <c r="G49" s="7">
        <f>'Salary Sheet - WB Compliant'!Q49</f>
        <v>19000</v>
      </c>
      <c r="H49" s="7">
        <f>'Salary Sheet - WB Compliant'!AD49</f>
        <v>0</v>
      </c>
      <c r="I49" s="7">
        <f t="shared" si="7"/>
        <v>15000</v>
      </c>
      <c r="J49" s="7">
        <f t="shared" si="8"/>
        <v>0</v>
      </c>
      <c r="K49" s="7">
        <f t="shared" si="9"/>
        <v>0</v>
      </c>
      <c r="L49" s="7">
        <f t="shared" si="10"/>
        <v>0</v>
      </c>
      <c r="M49" s="7">
        <f t="shared" si="11"/>
        <v>0</v>
      </c>
    </row>
    <row r="50" spans="1:13" x14ac:dyDescent="0.25">
      <c r="A50" s="6">
        <f>'Salary Sheet - WB Compliant'!A50</f>
        <v>44</v>
      </c>
      <c r="B50" s="5" t="str">
        <f>'Salary Sheet - WB Compliant'!E50</f>
        <v>SUPRAKASH SAMANTO</v>
      </c>
      <c r="C50" s="5" t="str">
        <f>'Salary Sheet - WB Compliant'!D50</f>
        <v>LAB TECHNICIAN</v>
      </c>
      <c r="D50" s="5" t="str">
        <f>'Salary Sheet - WB Compliant'!AB50</f>
        <v>Y</v>
      </c>
      <c r="E50" s="7">
        <f>'Salary Sheet - WB Compliant'!H50</f>
        <v>7630</v>
      </c>
      <c r="F50" s="7">
        <f t="shared" si="6"/>
        <v>916</v>
      </c>
      <c r="G50" s="7">
        <f>'Salary Sheet - WB Compliant'!Q50</f>
        <v>12777</v>
      </c>
      <c r="H50" s="7">
        <f>'Salary Sheet - WB Compliant'!AD50</f>
        <v>1533</v>
      </c>
      <c r="I50" s="7">
        <f t="shared" si="7"/>
        <v>12777</v>
      </c>
      <c r="J50" s="7">
        <f t="shared" si="8"/>
        <v>1533</v>
      </c>
      <c r="K50" s="7">
        <f t="shared" si="9"/>
        <v>0</v>
      </c>
      <c r="L50" s="7">
        <f t="shared" si="10"/>
        <v>617</v>
      </c>
      <c r="M50" s="7">
        <f t="shared" si="11"/>
        <v>617</v>
      </c>
    </row>
    <row r="51" spans="1:13" x14ac:dyDescent="0.25">
      <c r="A51" s="6">
        <f>'Salary Sheet - WB Compliant'!A51</f>
        <v>45</v>
      </c>
      <c r="B51" s="5" t="str">
        <f>'Salary Sheet - WB Compliant'!E51</f>
        <v>TANMOY MONDAL</v>
      </c>
      <c r="C51" s="5" t="str">
        <f>'Salary Sheet - WB Compliant'!D51</f>
        <v>DRIVER</v>
      </c>
      <c r="D51" s="5" t="str">
        <f>'Salary Sheet - WB Compliant'!AB51</f>
        <v>N</v>
      </c>
      <c r="E51" s="7">
        <f>'Salary Sheet - WB Compliant'!H51</f>
        <v>19000</v>
      </c>
      <c r="F51" s="7">
        <f t="shared" si="6"/>
        <v>0</v>
      </c>
      <c r="G51" s="7">
        <f>'Salary Sheet - WB Compliant'!Q51</f>
        <v>19000</v>
      </c>
      <c r="H51" s="7">
        <f>'Salary Sheet - WB Compliant'!AD51</f>
        <v>0</v>
      </c>
      <c r="I51" s="7">
        <f t="shared" si="7"/>
        <v>15000</v>
      </c>
      <c r="J51" s="7">
        <f t="shared" si="8"/>
        <v>0</v>
      </c>
      <c r="K51" s="7">
        <f t="shared" si="9"/>
        <v>0</v>
      </c>
      <c r="L51" s="7">
        <f t="shared" si="10"/>
        <v>0</v>
      </c>
      <c r="M51" s="7">
        <f t="shared" si="11"/>
        <v>0</v>
      </c>
    </row>
    <row r="52" spans="1:13" x14ac:dyDescent="0.25">
      <c r="A52" s="6">
        <f>'Salary Sheet - WB Compliant'!A52</f>
        <v>46</v>
      </c>
      <c r="B52" s="5" t="str">
        <f>'Salary Sheet - WB Compliant'!E52</f>
        <v>ALOK MONDAL</v>
      </c>
      <c r="C52" s="5" t="str">
        <f>'Salary Sheet - WB Compliant'!D52</f>
        <v>HELPER</v>
      </c>
      <c r="D52" s="5" t="str">
        <f>'Salary Sheet - WB Compliant'!AB52</f>
        <v>Y</v>
      </c>
      <c r="E52" s="7">
        <f>'Salary Sheet - WB Compliant'!H52</f>
        <v>7700</v>
      </c>
      <c r="F52" s="7">
        <f t="shared" si="6"/>
        <v>924</v>
      </c>
      <c r="G52" s="7">
        <f>'Salary Sheet - WB Compliant'!Q52</f>
        <v>10558</v>
      </c>
      <c r="H52" s="7">
        <f>'Salary Sheet - WB Compliant'!AD52</f>
        <v>1267</v>
      </c>
      <c r="I52" s="7">
        <f t="shared" si="7"/>
        <v>10558</v>
      </c>
      <c r="J52" s="7">
        <f t="shared" si="8"/>
        <v>1267</v>
      </c>
      <c r="K52" s="7">
        <f t="shared" si="9"/>
        <v>0</v>
      </c>
      <c r="L52" s="7">
        <f t="shared" si="10"/>
        <v>343</v>
      </c>
      <c r="M52" s="7">
        <f t="shared" si="11"/>
        <v>343</v>
      </c>
    </row>
    <row r="53" spans="1:13" x14ac:dyDescent="0.25">
      <c r="A53" s="6">
        <f>'Salary Sheet - WB Compliant'!A53</f>
        <v>47</v>
      </c>
      <c r="B53" s="5" t="str">
        <f>'Salary Sheet - WB Compliant'!E53</f>
        <v>RAJESH BAR</v>
      </c>
      <c r="C53" s="5" t="str">
        <f>'Salary Sheet - WB Compliant'!D53</f>
        <v>LAB TECHNICIAN</v>
      </c>
      <c r="D53" s="5" t="str">
        <f>'Salary Sheet - WB Compliant'!AB53</f>
        <v>Y</v>
      </c>
      <c r="E53" s="7">
        <f>'Salary Sheet - WB Compliant'!H53</f>
        <v>7650</v>
      </c>
      <c r="F53" s="7">
        <f t="shared" si="6"/>
        <v>918</v>
      </c>
      <c r="G53" s="7">
        <f>'Salary Sheet - WB Compliant'!Q53</f>
        <v>12777</v>
      </c>
      <c r="H53" s="7">
        <f>'Salary Sheet - WB Compliant'!AD53</f>
        <v>1533</v>
      </c>
      <c r="I53" s="7">
        <f t="shared" si="7"/>
        <v>12777</v>
      </c>
      <c r="J53" s="7">
        <f t="shared" si="8"/>
        <v>1533</v>
      </c>
      <c r="K53" s="7">
        <f t="shared" si="9"/>
        <v>0</v>
      </c>
      <c r="L53" s="7">
        <f t="shared" si="10"/>
        <v>615</v>
      </c>
      <c r="M53" s="7">
        <f t="shared" si="11"/>
        <v>615</v>
      </c>
    </row>
    <row r="54" spans="1:13" x14ac:dyDescent="0.25">
      <c r="A54" s="6">
        <f>'Salary Sheet - WB Compliant'!A54</f>
        <v>48</v>
      </c>
      <c r="B54" s="5" t="str">
        <f>'Salary Sheet - WB Compliant'!E54</f>
        <v>BIKRAM ROY</v>
      </c>
      <c r="C54" s="5" t="str">
        <f>'Salary Sheet - WB Compliant'!D54</f>
        <v>LAB TECHNICIAN</v>
      </c>
      <c r="D54" s="5" t="str">
        <f>'Salary Sheet - WB Compliant'!AB54</f>
        <v>Y</v>
      </c>
      <c r="E54" s="7">
        <f>'Salary Sheet - WB Compliant'!H54</f>
        <v>7630</v>
      </c>
      <c r="F54" s="7">
        <f t="shared" si="6"/>
        <v>916</v>
      </c>
      <c r="G54" s="7">
        <f>'Salary Sheet - WB Compliant'!Q54</f>
        <v>12777</v>
      </c>
      <c r="H54" s="7">
        <f>'Salary Sheet - WB Compliant'!AD54</f>
        <v>1533</v>
      </c>
      <c r="I54" s="7">
        <f t="shared" si="7"/>
        <v>12777</v>
      </c>
      <c r="J54" s="7">
        <f t="shared" si="8"/>
        <v>1533</v>
      </c>
      <c r="K54" s="7">
        <f t="shared" si="9"/>
        <v>0</v>
      </c>
      <c r="L54" s="7">
        <f t="shared" si="10"/>
        <v>617</v>
      </c>
      <c r="M54" s="7">
        <f t="shared" si="11"/>
        <v>617</v>
      </c>
    </row>
    <row r="55" spans="1:13" x14ac:dyDescent="0.25">
      <c r="A55" s="6">
        <f>'Salary Sheet - WB Compliant'!A55</f>
        <v>49</v>
      </c>
      <c r="B55" s="5" t="str">
        <f>'Salary Sheet - WB Compliant'!E55</f>
        <v>JITU MAHALI</v>
      </c>
      <c r="C55" s="5" t="str">
        <f>'Salary Sheet - WB Compliant'!D55</f>
        <v>DRIVER</v>
      </c>
      <c r="D55" s="5" t="str">
        <f>'Salary Sheet - WB Compliant'!AB55</f>
        <v>N</v>
      </c>
      <c r="E55" s="7">
        <f>'Salary Sheet - WB Compliant'!H55</f>
        <v>19000</v>
      </c>
      <c r="F55" s="7">
        <f t="shared" si="6"/>
        <v>0</v>
      </c>
      <c r="G55" s="7">
        <f>'Salary Sheet - WB Compliant'!Q55</f>
        <v>19000</v>
      </c>
      <c r="H55" s="7">
        <f>'Salary Sheet - WB Compliant'!AD55</f>
        <v>0</v>
      </c>
      <c r="I55" s="7">
        <f t="shared" si="7"/>
        <v>15000</v>
      </c>
      <c r="J55" s="7">
        <f t="shared" si="8"/>
        <v>0</v>
      </c>
      <c r="K55" s="7">
        <f t="shared" si="9"/>
        <v>0</v>
      </c>
      <c r="L55" s="7">
        <f t="shared" si="10"/>
        <v>0</v>
      </c>
      <c r="M55" s="7">
        <f t="shared" si="11"/>
        <v>0</v>
      </c>
    </row>
    <row r="56" spans="1:13" x14ac:dyDescent="0.25">
      <c r="A56" s="6">
        <f>'Salary Sheet - WB Compliant'!A56</f>
        <v>50</v>
      </c>
      <c r="B56" s="5" t="str">
        <f>'Salary Sheet - WB Compliant'!E56</f>
        <v>MILAN RUIDAS</v>
      </c>
      <c r="C56" s="5" t="str">
        <f>'Salary Sheet - WB Compliant'!D56</f>
        <v>LAB TECHNICIAN</v>
      </c>
      <c r="D56" s="5" t="str">
        <f>'Salary Sheet - WB Compliant'!AB56</f>
        <v>Y</v>
      </c>
      <c r="E56" s="7">
        <f>'Salary Sheet - WB Compliant'!H56</f>
        <v>7620</v>
      </c>
      <c r="F56" s="7">
        <f t="shared" si="6"/>
        <v>914</v>
      </c>
      <c r="G56" s="7">
        <f>'Salary Sheet - WB Compliant'!Q56</f>
        <v>12777</v>
      </c>
      <c r="H56" s="7">
        <f>'Salary Sheet - WB Compliant'!AD56</f>
        <v>1533</v>
      </c>
      <c r="I56" s="7">
        <f t="shared" si="7"/>
        <v>12777</v>
      </c>
      <c r="J56" s="7">
        <f t="shared" si="8"/>
        <v>1533</v>
      </c>
      <c r="K56" s="7">
        <f t="shared" si="9"/>
        <v>0</v>
      </c>
      <c r="L56" s="7">
        <f t="shared" si="10"/>
        <v>619</v>
      </c>
      <c r="M56" s="7">
        <f t="shared" si="11"/>
        <v>619</v>
      </c>
    </row>
    <row r="57" spans="1:13" x14ac:dyDescent="0.25">
      <c r="A57" s="6">
        <f>'Salary Sheet - WB Compliant'!A57</f>
        <v>51</v>
      </c>
      <c r="B57" s="5" t="str">
        <f>'Salary Sheet - WB Compliant'!E57</f>
        <v>BABLU MONDAL (L)</v>
      </c>
      <c r="C57" s="5" t="str">
        <f>'Salary Sheet - WB Compliant'!D57</f>
        <v>LAB TECHNICIAN</v>
      </c>
      <c r="D57" s="5" t="str">
        <f>'Salary Sheet - WB Compliant'!AB57</f>
        <v>Y</v>
      </c>
      <c r="E57" s="7">
        <f>'Salary Sheet - WB Compliant'!H57</f>
        <v>8400</v>
      </c>
      <c r="F57" s="7">
        <f t="shared" si="6"/>
        <v>1008</v>
      </c>
      <c r="G57" s="7">
        <f>'Salary Sheet - WB Compliant'!Q57</f>
        <v>12777</v>
      </c>
      <c r="H57" s="7">
        <f>'Salary Sheet - WB Compliant'!AD57</f>
        <v>1533</v>
      </c>
      <c r="I57" s="7">
        <f t="shared" si="7"/>
        <v>12777</v>
      </c>
      <c r="J57" s="7">
        <f t="shared" si="8"/>
        <v>1533</v>
      </c>
      <c r="K57" s="7">
        <f t="shared" si="9"/>
        <v>0</v>
      </c>
      <c r="L57" s="7">
        <f t="shared" si="10"/>
        <v>525</v>
      </c>
      <c r="M57" s="7">
        <f t="shared" si="11"/>
        <v>525</v>
      </c>
    </row>
    <row r="58" spans="1:13" x14ac:dyDescent="0.25">
      <c r="A58" s="6">
        <f>'Salary Sheet - WB Compliant'!A58</f>
        <v>52</v>
      </c>
      <c r="B58" s="5" t="str">
        <f>'Salary Sheet - WB Compliant'!E58</f>
        <v>BISWAJIT GUCHHAIT(TM)</v>
      </c>
      <c r="C58" s="5" t="str">
        <f>'Salary Sheet - WB Compliant'!D58</f>
        <v>OFFICE STAFF</v>
      </c>
      <c r="D58" s="5" t="str">
        <f>'Salary Sheet - WB Compliant'!AB58</f>
        <v>Y</v>
      </c>
      <c r="E58" s="7">
        <f>'Salary Sheet - WB Compliant'!H58</f>
        <v>9300</v>
      </c>
      <c r="F58" s="7">
        <f t="shared" si="6"/>
        <v>1116</v>
      </c>
      <c r="G58" s="7">
        <f>'Salary Sheet - WB Compliant'!Q58</f>
        <v>12777</v>
      </c>
      <c r="H58" s="7">
        <f>'Salary Sheet - WB Compliant'!AD58</f>
        <v>1533</v>
      </c>
      <c r="I58" s="7">
        <f t="shared" si="7"/>
        <v>12777</v>
      </c>
      <c r="J58" s="7">
        <f t="shared" si="8"/>
        <v>1533</v>
      </c>
      <c r="K58" s="7">
        <f t="shared" si="9"/>
        <v>0</v>
      </c>
      <c r="L58" s="7">
        <f t="shared" si="10"/>
        <v>417</v>
      </c>
      <c r="M58" s="7">
        <f t="shared" si="11"/>
        <v>417</v>
      </c>
    </row>
    <row r="59" spans="1:13" x14ac:dyDescent="0.25">
      <c r="A59" s="6">
        <f>'Salary Sheet - WB Compliant'!A59</f>
        <v>53</v>
      </c>
      <c r="B59" s="5" t="str">
        <f>'Salary Sheet - WB Compliant'!E59</f>
        <v>DEBASIS DAS</v>
      </c>
      <c r="C59" s="5" t="str">
        <f>'Salary Sheet - WB Compliant'!D59</f>
        <v>OFFICE STAFF</v>
      </c>
      <c r="D59" s="5" t="str">
        <f>'Salary Sheet - WB Compliant'!AB59</f>
        <v>Y</v>
      </c>
      <c r="E59" s="7">
        <f>'Salary Sheet - WB Compliant'!H59</f>
        <v>11000</v>
      </c>
      <c r="F59" s="7">
        <f t="shared" si="6"/>
        <v>1320</v>
      </c>
      <c r="G59" s="7">
        <f>'Salary Sheet - WB Compliant'!Q59</f>
        <v>12777</v>
      </c>
      <c r="H59" s="7">
        <f>'Salary Sheet - WB Compliant'!AD59</f>
        <v>1533</v>
      </c>
      <c r="I59" s="7">
        <f t="shared" si="7"/>
        <v>12777</v>
      </c>
      <c r="J59" s="7">
        <f t="shared" si="8"/>
        <v>1533</v>
      </c>
      <c r="K59" s="7">
        <f t="shared" si="9"/>
        <v>0</v>
      </c>
      <c r="L59" s="7">
        <f t="shared" si="10"/>
        <v>213</v>
      </c>
      <c r="M59" s="7">
        <f t="shared" si="11"/>
        <v>213</v>
      </c>
    </row>
    <row r="60" spans="1:13" x14ac:dyDescent="0.25">
      <c r="A60" s="6">
        <f>'Salary Sheet - WB Compliant'!A60</f>
        <v>54</v>
      </c>
      <c r="B60" s="5" t="str">
        <f>'Salary Sheet - WB Compliant'!E60</f>
        <v>SUSANTA ROY (LAB)</v>
      </c>
      <c r="C60" s="5" t="str">
        <f>'Salary Sheet - WB Compliant'!D60</f>
        <v>OFFICE STAFF</v>
      </c>
      <c r="D60" s="5" t="str">
        <f>'Salary Sheet - WB Compliant'!AB60</f>
        <v>N</v>
      </c>
      <c r="E60" s="7">
        <f>'Salary Sheet - WB Compliant'!H60</f>
        <v>42000</v>
      </c>
      <c r="F60" s="7">
        <f t="shared" si="6"/>
        <v>0</v>
      </c>
      <c r="G60" s="7">
        <f>'Salary Sheet - WB Compliant'!Q60</f>
        <v>42000</v>
      </c>
      <c r="H60" s="7">
        <f>'Salary Sheet - WB Compliant'!AD60</f>
        <v>0</v>
      </c>
      <c r="I60" s="7">
        <f t="shared" si="7"/>
        <v>15000</v>
      </c>
      <c r="J60" s="7">
        <f t="shared" si="8"/>
        <v>0</v>
      </c>
      <c r="K60" s="7">
        <f t="shared" si="9"/>
        <v>0</v>
      </c>
      <c r="L60" s="7">
        <f t="shared" si="10"/>
        <v>0</v>
      </c>
      <c r="M60" s="7">
        <f t="shared" si="11"/>
        <v>0</v>
      </c>
    </row>
    <row r="61" spans="1:13" x14ac:dyDescent="0.25">
      <c r="A61" s="6">
        <f>'Salary Sheet - WB Compliant'!A61</f>
        <v>55</v>
      </c>
      <c r="B61" s="5" t="str">
        <f>'Salary Sheet - WB Compliant'!E61</f>
        <v>KUNDAN KUMAR</v>
      </c>
      <c r="C61" s="5" t="str">
        <f>'Salary Sheet - WB Compliant'!D61</f>
        <v>OFFICE STAFF</v>
      </c>
      <c r="D61" s="5" t="str">
        <f>'Salary Sheet - WB Compliant'!AB61</f>
        <v>Y</v>
      </c>
      <c r="E61" s="7">
        <f>'Salary Sheet - WB Compliant'!H61</f>
        <v>8400</v>
      </c>
      <c r="F61" s="7">
        <f t="shared" si="6"/>
        <v>1008</v>
      </c>
      <c r="G61" s="7">
        <f>'Salary Sheet - WB Compliant'!Q61</f>
        <v>12777</v>
      </c>
      <c r="H61" s="7">
        <f>'Salary Sheet - WB Compliant'!AD61</f>
        <v>1533</v>
      </c>
      <c r="I61" s="7">
        <f t="shared" si="7"/>
        <v>12777</v>
      </c>
      <c r="J61" s="7">
        <f t="shared" si="8"/>
        <v>1533</v>
      </c>
      <c r="K61" s="7">
        <f t="shared" si="9"/>
        <v>0</v>
      </c>
      <c r="L61" s="7">
        <f t="shared" si="10"/>
        <v>525</v>
      </c>
      <c r="M61" s="7">
        <f t="shared" si="11"/>
        <v>525</v>
      </c>
    </row>
    <row r="62" spans="1:13" x14ac:dyDescent="0.25">
      <c r="A62" s="6">
        <f>'Salary Sheet - WB Compliant'!A62</f>
        <v>56</v>
      </c>
      <c r="B62" s="5" t="str">
        <f>'Salary Sheet - WB Compliant'!E62</f>
        <v>SANTOSH KUMAR MAHALI</v>
      </c>
      <c r="C62" s="5" t="str">
        <f>'Salary Sheet - WB Compliant'!D62</f>
        <v>OFFICE STAFF</v>
      </c>
      <c r="D62" s="5" t="str">
        <f>'Salary Sheet - WB Compliant'!AB62</f>
        <v>Y</v>
      </c>
      <c r="E62" s="7">
        <f>'Salary Sheet - WB Compliant'!H62</f>
        <v>8000</v>
      </c>
      <c r="F62" s="7">
        <f t="shared" si="6"/>
        <v>960</v>
      </c>
      <c r="G62" s="7">
        <f>'Salary Sheet - WB Compliant'!Q62</f>
        <v>12777</v>
      </c>
      <c r="H62" s="7">
        <f>'Salary Sheet - WB Compliant'!AD62</f>
        <v>1533</v>
      </c>
      <c r="I62" s="7">
        <f t="shared" si="7"/>
        <v>12777</v>
      </c>
      <c r="J62" s="7">
        <f t="shared" si="8"/>
        <v>1533</v>
      </c>
      <c r="K62" s="7">
        <f t="shared" si="9"/>
        <v>0</v>
      </c>
      <c r="L62" s="7">
        <f t="shared" si="10"/>
        <v>573</v>
      </c>
      <c r="M62" s="7">
        <f t="shared" si="11"/>
        <v>573</v>
      </c>
    </row>
    <row r="63" spans="1:13" x14ac:dyDescent="0.25">
      <c r="A63" s="6">
        <f>'Salary Sheet - WB Compliant'!A63</f>
        <v>57</v>
      </c>
      <c r="B63" s="5" t="str">
        <f>'Salary Sheet - WB Compliant'!E63</f>
        <v>KOUSHIK JANA</v>
      </c>
      <c r="C63" s="5" t="str">
        <f>'Salary Sheet - WB Compliant'!D63</f>
        <v>OFFICE STAFF</v>
      </c>
      <c r="D63" s="5" t="str">
        <f>'Salary Sheet - WB Compliant'!AB63</f>
        <v>Y</v>
      </c>
      <c r="E63" s="7">
        <f>'Salary Sheet - WB Compliant'!H63</f>
        <v>7500</v>
      </c>
      <c r="F63" s="7">
        <f t="shared" si="6"/>
        <v>900</v>
      </c>
      <c r="G63" s="7">
        <f>'Salary Sheet - WB Compliant'!Q63</f>
        <v>12777</v>
      </c>
      <c r="H63" s="7">
        <f>'Salary Sheet - WB Compliant'!AD63</f>
        <v>1533</v>
      </c>
      <c r="I63" s="7">
        <f t="shared" si="7"/>
        <v>12777</v>
      </c>
      <c r="J63" s="7">
        <f t="shared" si="8"/>
        <v>1533</v>
      </c>
      <c r="K63" s="7">
        <f t="shared" si="9"/>
        <v>0</v>
      </c>
      <c r="L63" s="7">
        <f t="shared" si="10"/>
        <v>633</v>
      </c>
      <c r="M63" s="7">
        <f t="shared" si="11"/>
        <v>633</v>
      </c>
    </row>
    <row r="64" spans="1:13" x14ac:dyDescent="0.25">
      <c r="A64" s="6">
        <f>'Salary Sheet - WB Compliant'!A64</f>
        <v>58</v>
      </c>
      <c r="B64" s="5" t="str">
        <f>'Salary Sheet - WB Compliant'!E64</f>
        <v>MILON SADHUKAN (STORE)</v>
      </c>
      <c r="C64" s="5" t="str">
        <f>'Salary Sheet - WB Compliant'!D64</f>
        <v>OFFICE STAFF</v>
      </c>
      <c r="D64" s="5" t="str">
        <f>'Salary Sheet - WB Compliant'!AB64</f>
        <v>Y</v>
      </c>
      <c r="E64" s="7">
        <f>'Salary Sheet - WB Compliant'!H64</f>
        <v>8300</v>
      </c>
      <c r="F64" s="7">
        <f t="shared" si="6"/>
        <v>996</v>
      </c>
      <c r="G64" s="7">
        <f>'Salary Sheet - WB Compliant'!Q64</f>
        <v>12777</v>
      </c>
      <c r="H64" s="7">
        <f>'Salary Sheet - WB Compliant'!AD64</f>
        <v>1533</v>
      </c>
      <c r="I64" s="7">
        <f t="shared" si="7"/>
        <v>12777</v>
      </c>
      <c r="J64" s="7">
        <f t="shared" si="8"/>
        <v>1533</v>
      </c>
      <c r="K64" s="7">
        <f t="shared" si="9"/>
        <v>0</v>
      </c>
      <c r="L64" s="7">
        <f t="shared" si="10"/>
        <v>537</v>
      </c>
      <c r="M64" s="7">
        <f t="shared" si="11"/>
        <v>537</v>
      </c>
    </row>
    <row r="65" spans="1:13" x14ac:dyDescent="0.25">
      <c r="A65" s="6">
        <f>'Salary Sheet - WB Compliant'!A65</f>
        <v>59</v>
      </c>
      <c r="B65" s="5" t="str">
        <f>'Salary Sheet - WB Compliant'!E65</f>
        <v>KOUSHIK POREL</v>
      </c>
      <c r="C65" s="5" t="str">
        <f>'Salary Sheet - WB Compliant'!D65</f>
        <v>OFFICE STAFF</v>
      </c>
      <c r="D65" s="5" t="str">
        <f>'Salary Sheet - WB Compliant'!AB65</f>
        <v>Y</v>
      </c>
      <c r="E65" s="7">
        <f>'Salary Sheet - WB Compliant'!H65</f>
        <v>7800</v>
      </c>
      <c r="F65" s="7">
        <f t="shared" si="6"/>
        <v>936</v>
      </c>
      <c r="G65" s="7">
        <f>'Salary Sheet - WB Compliant'!Q65</f>
        <v>12777</v>
      </c>
      <c r="H65" s="7">
        <f>'Salary Sheet - WB Compliant'!AD65</f>
        <v>1533</v>
      </c>
      <c r="I65" s="7">
        <f t="shared" si="7"/>
        <v>12777</v>
      </c>
      <c r="J65" s="7">
        <f t="shared" si="8"/>
        <v>1533</v>
      </c>
      <c r="K65" s="7">
        <f t="shared" si="9"/>
        <v>0</v>
      </c>
      <c r="L65" s="7">
        <f t="shared" si="10"/>
        <v>597</v>
      </c>
      <c r="M65" s="7">
        <f t="shared" si="11"/>
        <v>597</v>
      </c>
    </row>
    <row r="66" spans="1:13" x14ac:dyDescent="0.25">
      <c r="A66" s="6">
        <f>'Salary Sheet - WB Compliant'!A66</f>
        <v>60</v>
      </c>
      <c r="B66" s="5" t="str">
        <f>'Salary Sheet - WB Compliant'!E66</f>
        <v>AMIT MAITY(LAB)</v>
      </c>
      <c r="C66" s="5" t="str">
        <f>'Salary Sheet - WB Compliant'!D66</f>
        <v>LAB TECHNICIAN</v>
      </c>
      <c r="D66" s="5" t="str">
        <f>'Salary Sheet - WB Compliant'!AB66</f>
        <v>Y</v>
      </c>
      <c r="E66" s="7">
        <f>'Salary Sheet - WB Compliant'!H66</f>
        <v>8150</v>
      </c>
      <c r="F66" s="7">
        <f t="shared" si="6"/>
        <v>978</v>
      </c>
      <c r="G66" s="7">
        <f>'Salary Sheet - WB Compliant'!Q66</f>
        <v>12777</v>
      </c>
      <c r="H66" s="7">
        <f>'Salary Sheet - WB Compliant'!AD66</f>
        <v>1533</v>
      </c>
      <c r="I66" s="7">
        <f t="shared" si="7"/>
        <v>12777</v>
      </c>
      <c r="J66" s="7">
        <f t="shared" si="8"/>
        <v>1533</v>
      </c>
      <c r="K66" s="7">
        <f t="shared" si="9"/>
        <v>0</v>
      </c>
      <c r="L66" s="7">
        <f t="shared" si="10"/>
        <v>555</v>
      </c>
      <c r="M66" s="7">
        <f t="shared" si="11"/>
        <v>555</v>
      </c>
    </row>
    <row r="67" spans="1:13" x14ac:dyDescent="0.25">
      <c r="A67" s="6">
        <f>'Salary Sheet - WB Compliant'!A67</f>
        <v>61</v>
      </c>
      <c r="B67" s="5" t="str">
        <f>'Salary Sheet - WB Compliant'!E67</f>
        <v>AMIYO KUMAR ROY (D)</v>
      </c>
      <c r="C67" s="5" t="str">
        <f>'Salary Sheet - WB Compliant'!D67</f>
        <v>DRIVER</v>
      </c>
      <c r="D67" s="5" t="str">
        <f>'Salary Sheet - WB Compliant'!AB67</f>
        <v>N</v>
      </c>
      <c r="E67" s="7">
        <f>'Salary Sheet - WB Compliant'!H67</f>
        <v>20000</v>
      </c>
      <c r="F67" s="7">
        <f t="shared" si="6"/>
        <v>0</v>
      </c>
      <c r="G67" s="7">
        <f>'Salary Sheet - WB Compliant'!Q67</f>
        <v>20000</v>
      </c>
      <c r="H67" s="7">
        <f>'Salary Sheet - WB Compliant'!AD67</f>
        <v>0</v>
      </c>
      <c r="I67" s="7">
        <f t="shared" si="7"/>
        <v>15000</v>
      </c>
      <c r="J67" s="7">
        <f t="shared" si="8"/>
        <v>0</v>
      </c>
      <c r="K67" s="7">
        <f t="shared" si="9"/>
        <v>0</v>
      </c>
      <c r="L67" s="7">
        <f t="shared" si="10"/>
        <v>0</v>
      </c>
      <c r="M67" s="7">
        <f t="shared" si="11"/>
        <v>0</v>
      </c>
    </row>
    <row r="68" spans="1:13" x14ac:dyDescent="0.25">
      <c r="A68" s="6">
        <f>'Salary Sheet - WB Compliant'!A68</f>
        <v>62</v>
      </c>
      <c r="B68" s="5" t="str">
        <f>'Salary Sheet - WB Compliant'!E68</f>
        <v>ARUN KUMAR SINGH  (D)</v>
      </c>
      <c r="C68" s="5" t="str">
        <f>'Salary Sheet - WB Compliant'!D68</f>
        <v>DRIVER</v>
      </c>
      <c r="D68" s="5" t="str">
        <f>'Salary Sheet - WB Compliant'!AB68</f>
        <v>N</v>
      </c>
      <c r="E68" s="7">
        <f>'Salary Sheet - WB Compliant'!H68</f>
        <v>20000</v>
      </c>
      <c r="F68" s="7">
        <f t="shared" si="6"/>
        <v>0</v>
      </c>
      <c r="G68" s="7">
        <f>'Salary Sheet - WB Compliant'!Q68</f>
        <v>20000</v>
      </c>
      <c r="H68" s="7">
        <f>'Salary Sheet - WB Compliant'!AD68</f>
        <v>0</v>
      </c>
      <c r="I68" s="7">
        <f t="shared" si="7"/>
        <v>15000</v>
      </c>
      <c r="J68" s="7">
        <f t="shared" si="8"/>
        <v>0</v>
      </c>
      <c r="K68" s="7">
        <f t="shared" si="9"/>
        <v>0</v>
      </c>
      <c r="L68" s="7">
        <f t="shared" si="10"/>
        <v>0</v>
      </c>
      <c r="M68" s="7">
        <f t="shared" si="11"/>
        <v>0</v>
      </c>
    </row>
    <row r="69" spans="1:13" x14ac:dyDescent="0.25">
      <c r="A69" s="6">
        <f>'Salary Sheet - WB Compliant'!A69</f>
        <v>63</v>
      </c>
      <c r="B69" s="5" t="str">
        <f>'Salary Sheet - WB Compliant'!E69</f>
        <v>DESHBANDHU MANDOL (D)</v>
      </c>
      <c r="C69" s="5" t="str">
        <f>'Salary Sheet - WB Compliant'!D69</f>
        <v>DRIVER</v>
      </c>
      <c r="D69" s="5" t="str">
        <f>'Salary Sheet - WB Compliant'!AB69</f>
        <v>N</v>
      </c>
      <c r="E69" s="7">
        <f>'Salary Sheet - WB Compliant'!H69</f>
        <v>21000</v>
      </c>
      <c r="F69" s="7">
        <f t="shared" si="6"/>
        <v>0</v>
      </c>
      <c r="G69" s="7">
        <f>'Salary Sheet - WB Compliant'!Q69</f>
        <v>21000</v>
      </c>
      <c r="H69" s="7">
        <f>'Salary Sheet - WB Compliant'!AD69</f>
        <v>0</v>
      </c>
      <c r="I69" s="7">
        <f t="shared" si="7"/>
        <v>15000</v>
      </c>
      <c r="J69" s="7">
        <f t="shared" si="8"/>
        <v>0</v>
      </c>
      <c r="K69" s="7">
        <f t="shared" si="9"/>
        <v>0</v>
      </c>
      <c r="L69" s="7">
        <f t="shared" si="10"/>
        <v>0</v>
      </c>
      <c r="M69" s="7">
        <f t="shared" si="11"/>
        <v>0</v>
      </c>
    </row>
    <row r="70" spans="1:13" x14ac:dyDescent="0.25">
      <c r="A70" s="6">
        <f>'Salary Sheet - WB Compliant'!A70</f>
        <v>64</v>
      </c>
      <c r="B70" s="5" t="str">
        <f>'Salary Sheet - WB Compliant'!E70</f>
        <v>BIKASH SOREN (D)</v>
      </c>
      <c r="C70" s="5" t="str">
        <f>'Salary Sheet - WB Compliant'!D70</f>
        <v>DRIVER</v>
      </c>
      <c r="D70" s="5" t="str">
        <f>'Salary Sheet - WB Compliant'!AB70</f>
        <v>N</v>
      </c>
      <c r="E70" s="7">
        <f>'Salary Sheet - WB Compliant'!H70</f>
        <v>20000</v>
      </c>
      <c r="F70" s="7">
        <f t="shared" si="6"/>
        <v>0</v>
      </c>
      <c r="G70" s="7">
        <f>'Salary Sheet - WB Compliant'!Q70</f>
        <v>20000</v>
      </c>
      <c r="H70" s="7">
        <f>'Salary Sheet - WB Compliant'!AD70</f>
        <v>0</v>
      </c>
      <c r="I70" s="7">
        <f t="shared" si="7"/>
        <v>15000</v>
      </c>
      <c r="J70" s="7">
        <f t="shared" si="8"/>
        <v>0</v>
      </c>
      <c r="K70" s="7">
        <f t="shared" si="9"/>
        <v>0</v>
      </c>
      <c r="L70" s="7">
        <f t="shared" si="10"/>
        <v>0</v>
      </c>
      <c r="M70" s="7">
        <f t="shared" si="11"/>
        <v>0</v>
      </c>
    </row>
    <row r="71" spans="1:13" x14ac:dyDescent="0.25">
      <c r="A71" s="6">
        <f>'Salary Sheet - WB Compliant'!A71</f>
        <v>65</v>
      </c>
      <c r="B71" s="5" t="str">
        <f>'Salary Sheet - WB Compliant'!E71</f>
        <v>GOUTAM PATRA (D)</v>
      </c>
      <c r="C71" s="5" t="str">
        <f>'Salary Sheet - WB Compliant'!D71</f>
        <v>DRIVER</v>
      </c>
      <c r="D71" s="5" t="str">
        <f>'Salary Sheet - WB Compliant'!AB71</f>
        <v>N</v>
      </c>
      <c r="E71" s="7">
        <f>'Salary Sheet - WB Compliant'!H71</f>
        <v>20000</v>
      </c>
      <c r="F71" s="7">
        <f t="shared" ref="F71:F102" si="12">IF(D71="Y",ROUND(E71*12%,0),0)</f>
        <v>0</v>
      </c>
      <c r="G71" s="7">
        <f>'Salary Sheet - WB Compliant'!Q71</f>
        <v>20000</v>
      </c>
      <c r="H71" s="7">
        <f>'Salary Sheet - WB Compliant'!AD71</f>
        <v>0</v>
      </c>
      <c r="I71" s="7">
        <f t="shared" ref="I71:I102" si="13">MIN(G71,15000)</f>
        <v>15000</v>
      </c>
      <c r="J71" s="7">
        <f t="shared" ref="J71:J102" si="14">IF(D71="Y",ROUND(I71*12%,0),0)</f>
        <v>0</v>
      </c>
      <c r="K71" s="7">
        <f t="shared" ref="K71:K102" si="15">H71-J71</f>
        <v>0</v>
      </c>
      <c r="L71" s="7">
        <f t="shared" ref="L71:L102" si="16">H71-F71</f>
        <v>0</v>
      </c>
      <c r="M71" s="7">
        <f t="shared" ref="M71:M102" si="17">J71-F71</f>
        <v>0</v>
      </c>
    </row>
    <row r="72" spans="1:13" x14ac:dyDescent="0.25">
      <c r="A72" s="6">
        <f>'Salary Sheet - WB Compliant'!A72</f>
        <v>66</v>
      </c>
      <c r="B72" s="5" t="str">
        <f>'Salary Sheet - WB Compliant'!E72</f>
        <v>LAXMIKANTA MAHALI(H)</v>
      </c>
      <c r="C72" s="5" t="str">
        <f>'Salary Sheet - WB Compliant'!D72</f>
        <v>HELPER</v>
      </c>
      <c r="D72" s="5" t="str">
        <f>'Salary Sheet - WB Compliant'!AB72</f>
        <v>Y</v>
      </c>
      <c r="E72" s="7">
        <f>'Salary Sheet - WB Compliant'!H72</f>
        <v>7500</v>
      </c>
      <c r="F72" s="7">
        <f t="shared" si="12"/>
        <v>900</v>
      </c>
      <c r="G72" s="7">
        <f>'Salary Sheet - WB Compliant'!Q72</f>
        <v>10558</v>
      </c>
      <c r="H72" s="7">
        <f>'Salary Sheet - WB Compliant'!AD72</f>
        <v>1267</v>
      </c>
      <c r="I72" s="7">
        <f t="shared" si="13"/>
        <v>10558</v>
      </c>
      <c r="J72" s="7">
        <f t="shared" si="14"/>
        <v>1267</v>
      </c>
      <c r="K72" s="7">
        <f t="shared" si="15"/>
        <v>0</v>
      </c>
      <c r="L72" s="7">
        <f t="shared" si="16"/>
        <v>367</v>
      </c>
      <c r="M72" s="7">
        <f t="shared" si="17"/>
        <v>367</v>
      </c>
    </row>
    <row r="73" spans="1:13" x14ac:dyDescent="0.25">
      <c r="A73" s="6">
        <f>'Salary Sheet - WB Compliant'!A73</f>
        <v>67</v>
      </c>
      <c r="B73" s="5" t="str">
        <f>'Salary Sheet - WB Compliant'!E73</f>
        <v>PRADIP ROY (D)</v>
      </c>
      <c r="C73" s="5" t="str">
        <f>'Salary Sheet - WB Compliant'!D73</f>
        <v>DRIVER</v>
      </c>
      <c r="D73" s="5" t="str">
        <f>'Salary Sheet - WB Compliant'!AB73</f>
        <v>N</v>
      </c>
      <c r="E73" s="7">
        <f>'Salary Sheet - WB Compliant'!H73</f>
        <v>20000</v>
      </c>
      <c r="F73" s="7">
        <f t="shared" si="12"/>
        <v>0</v>
      </c>
      <c r="G73" s="7">
        <f>'Salary Sheet - WB Compliant'!Q73</f>
        <v>20000</v>
      </c>
      <c r="H73" s="7">
        <f>'Salary Sheet - WB Compliant'!AD73</f>
        <v>0</v>
      </c>
      <c r="I73" s="7">
        <f t="shared" si="13"/>
        <v>15000</v>
      </c>
      <c r="J73" s="7">
        <f t="shared" si="14"/>
        <v>0</v>
      </c>
      <c r="K73" s="7">
        <f t="shared" si="15"/>
        <v>0</v>
      </c>
      <c r="L73" s="7">
        <f t="shared" si="16"/>
        <v>0</v>
      </c>
      <c r="M73" s="7">
        <f t="shared" si="17"/>
        <v>0</v>
      </c>
    </row>
    <row r="74" spans="1:13" x14ac:dyDescent="0.25">
      <c r="A74" s="6">
        <f>'Salary Sheet - WB Compliant'!A74</f>
        <v>68</v>
      </c>
      <c r="B74" s="5" t="str">
        <f>'Salary Sheet - WB Compliant'!E74</f>
        <v>RAGHUNATH MAHALI (H)</v>
      </c>
      <c r="C74" s="5" t="str">
        <f>'Salary Sheet - WB Compliant'!D74</f>
        <v>HELPER</v>
      </c>
      <c r="D74" s="5" t="str">
        <f>'Salary Sheet - WB Compliant'!AB74</f>
        <v>Y</v>
      </c>
      <c r="E74" s="7">
        <f>'Salary Sheet - WB Compliant'!H74</f>
        <v>7500</v>
      </c>
      <c r="F74" s="7">
        <f t="shared" si="12"/>
        <v>900</v>
      </c>
      <c r="G74" s="7">
        <f>'Salary Sheet - WB Compliant'!Q74</f>
        <v>10558</v>
      </c>
      <c r="H74" s="7">
        <f>'Salary Sheet - WB Compliant'!AD74</f>
        <v>1267</v>
      </c>
      <c r="I74" s="7">
        <f t="shared" si="13"/>
        <v>10558</v>
      </c>
      <c r="J74" s="7">
        <f t="shared" si="14"/>
        <v>1267</v>
      </c>
      <c r="K74" s="7">
        <f t="shared" si="15"/>
        <v>0</v>
      </c>
      <c r="L74" s="7">
        <f t="shared" si="16"/>
        <v>367</v>
      </c>
      <c r="M74" s="7">
        <f t="shared" si="17"/>
        <v>367</v>
      </c>
    </row>
    <row r="75" spans="1:13" x14ac:dyDescent="0.25">
      <c r="A75" s="6">
        <f>'Salary Sheet - WB Compliant'!A75</f>
        <v>69</v>
      </c>
      <c r="B75" s="5" t="str">
        <f>'Salary Sheet - WB Compliant'!E75</f>
        <v>RAJDOT ROY(H)</v>
      </c>
      <c r="C75" s="5" t="str">
        <f>'Salary Sheet - WB Compliant'!D75</f>
        <v>HELPER</v>
      </c>
      <c r="D75" s="5" t="str">
        <f>'Salary Sheet - WB Compliant'!AB75</f>
        <v>Y</v>
      </c>
      <c r="E75" s="7">
        <f>'Salary Sheet - WB Compliant'!H75</f>
        <v>7500</v>
      </c>
      <c r="F75" s="7">
        <f t="shared" si="12"/>
        <v>900</v>
      </c>
      <c r="G75" s="7">
        <f>'Salary Sheet - WB Compliant'!Q75</f>
        <v>10558</v>
      </c>
      <c r="H75" s="7">
        <f>'Salary Sheet - WB Compliant'!AD75</f>
        <v>1267</v>
      </c>
      <c r="I75" s="7">
        <f t="shared" si="13"/>
        <v>10558</v>
      </c>
      <c r="J75" s="7">
        <f t="shared" si="14"/>
        <v>1267</v>
      </c>
      <c r="K75" s="7">
        <f t="shared" si="15"/>
        <v>0</v>
      </c>
      <c r="L75" s="7">
        <f t="shared" si="16"/>
        <v>367</v>
      </c>
      <c r="M75" s="7">
        <f t="shared" si="17"/>
        <v>367</v>
      </c>
    </row>
    <row r="76" spans="1:13" x14ac:dyDescent="0.25">
      <c r="A76" s="6">
        <f>'Salary Sheet - WB Compliant'!A76</f>
        <v>70</v>
      </c>
      <c r="B76" s="5" t="str">
        <f>'Salary Sheet - WB Compliant'!E76</f>
        <v>SAJAL MONDAL (H)</v>
      </c>
      <c r="C76" s="5" t="str">
        <f>'Salary Sheet - WB Compliant'!D76</f>
        <v>HELPER</v>
      </c>
      <c r="D76" s="5" t="str">
        <f>'Salary Sheet - WB Compliant'!AB76</f>
        <v>Y</v>
      </c>
      <c r="E76" s="7">
        <f>'Salary Sheet - WB Compliant'!H76</f>
        <v>7500</v>
      </c>
      <c r="F76" s="7">
        <f t="shared" si="12"/>
        <v>900</v>
      </c>
      <c r="G76" s="7">
        <f>'Salary Sheet - WB Compliant'!Q76</f>
        <v>10558</v>
      </c>
      <c r="H76" s="7">
        <f>'Salary Sheet - WB Compliant'!AD76</f>
        <v>1267</v>
      </c>
      <c r="I76" s="7">
        <f t="shared" si="13"/>
        <v>10558</v>
      </c>
      <c r="J76" s="7">
        <f t="shared" si="14"/>
        <v>1267</v>
      </c>
      <c r="K76" s="7">
        <f t="shared" si="15"/>
        <v>0</v>
      </c>
      <c r="L76" s="7">
        <f t="shared" si="16"/>
        <v>367</v>
      </c>
      <c r="M76" s="7">
        <f t="shared" si="17"/>
        <v>367</v>
      </c>
    </row>
    <row r="77" spans="1:13" x14ac:dyDescent="0.25">
      <c r="A77" s="6">
        <f>'Salary Sheet - WB Compliant'!A77</f>
        <v>71</v>
      </c>
      <c r="B77" s="5" t="str">
        <f>'Salary Sheet - WB Compliant'!E77</f>
        <v>SUMAN MAITY(LAB)</v>
      </c>
      <c r="C77" s="5" t="str">
        <f>'Salary Sheet - WB Compliant'!D77</f>
        <v>LAB TECHNICIAN</v>
      </c>
      <c r="D77" s="5" t="str">
        <f>'Salary Sheet - WB Compliant'!AB77</f>
        <v>Y</v>
      </c>
      <c r="E77" s="7">
        <f>'Salary Sheet - WB Compliant'!H77</f>
        <v>8700</v>
      </c>
      <c r="F77" s="7">
        <f t="shared" si="12"/>
        <v>1044</v>
      </c>
      <c r="G77" s="7">
        <f>'Salary Sheet - WB Compliant'!Q77</f>
        <v>12777</v>
      </c>
      <c r="H77" s="7">
        <f>'Salary Sheet - WB Compliant'!AD77</f>
        <v>1533</v>
      </c>
      <c r="I77" s="7">
        <f t="shared" si="13"/>
        <v>12777</v>
      </c>
      <c r="J77" s="7">
        <f t="shared" si="14"/>
        <v>1533</v>
      </c>
      <c r="K77" s="7">
        <f t="shared" si="15"/>
        <v>0</v>
      </c>
      <c r="L77" s="7">
        <f t="shared" si="16"/>
        <v>489</v>
      </c>
      <c r="M77" s="7">
        <f t="shared" si="17"/>
        <v>489</v>
      </c>
    </row>
    <row r="78" spans="1:13" x14ac:dyDescent="0.25">
      <c r="A78" s="6">
        <f>'Salary Sheet - WB Compliant'!A78</f>
        <v>72</v>
      </c>
      <c r="B78" s="5" t="str">
        <f>'Salary Sheet - WB Compliant'!E78</f>
        <v>JAYDEB MONDAL (L)</v>
      </c>
      <c r="C78" s="5" t="str">
        <f>'Salary Sheet - WB Compliant'!D78</f>
        <v>LAB TECHNICIAN</v>
      </c>
      <c r="D78" s="5" t="str">
        <f>'Salary Sheet - WB Compliant'!AB78</f>
        <v>Y</v>
      </c>
      <c r="E78" s="7">
        <f>'Salary Sheet - WB Compliant'!H78</f>
        <v>8150</v>
      </c>
      <c r="F78" s="7">
        <f t="shared" si="12"/>
        <v>978</v>
      </c>
      <c r="G78" s="7">
        <f>'Salary Sheet - WB Compliant'!Q78</f>
        <v>12777</v>
      </c>
      <c r="H78" s="7">
        <f>'Salary Sheet - WB Compliant'!AD78</f>
        <v>1533</v>
      </c>
      <c r="I78" s="7">
        <f t="shared" si="13"/>
        <v>12777</v>
      </c>
      <c r="J78" s="7">
        <f t="shared" si="14"/>
        <v>1533</v>
      </c>
      <c r="K78" s="7">
        <f t="shared" si="15"/>
        <v>0</v>
      </c>
      <c r="L78" s="7">
        <f t="shared" si="16"/>
        <v>555</v>
      </c>
      <c r="M78" s="7">
        <f t="shared" si="17"/>
        <v>555</v>
      </c>
    </row>
    <row r="79" spans="1:13" x14ac:dyDescent="0.25">
      <c r="A79" s="6">
        <f>'Salary Sheet - WB Compliant'!A79</f>
        <v>73</v>
      </c>
      <c r="B79" s="5" t="str">
        <f>'Salary Sheet - WB Compliant'!E79</f>
        <v>GOUTAM BAURI (D)</v>
      </c>
      <c r="C79" s="5" t="str">
        <f>'Salary Sheet - WB Compliant'!D79</f>
        <v>DRIVER</v>
      </c>
      <c r="D79" s="5" t="str">
        <f>'Salary Sheet - WB Compliant'!AB79</f>
        <v>N</v>
      </c>
      <c r="E79" s="7">
        <f>'Salary Sheet - WB Compliant'!H79</f>
        <v>21000</v>
      </c>
      <c r="F79" s="7">
        <f t="shared" si="12"/>
        <v>0</v>
      </c>
      <c r="G79" s="7">
        <f>'Salary Sheet - WB Compliant'!Q79</f>
        <v>21000</v>
      </c>
      <c r="H79" s="7">
        <f>'Salary Sheet - WB Compliant'!AD79</f>
        <v>0</v>
      </c>
      <c r="I79" s="7">
        <f t="shared" si="13"/>
        <v>15000</v>
      </c>
      <c r="J79" s="7">
        <f t="shared" si="14"/>
        <v>0</v>
      </c>
      <c r="K79" s="7">
        <f t="shared" si="15"/>
        <v>0</v>
      </c>
      <c r="L79" s="7">
        <f t="shared" si="16"/>
        <v>0</v>
      </c>
      <c r="M79" s="7">
        <f t="shared" si="17"/>
        <v>0</v>
      </c>
    </row>
    <row r="80" spans="1:13" x14ac:dyDescent="0.25">
      <c r="A80" s="6">
        <f>'Salary Sheet - WB Compliant'!A80</f>
        <v>74</v>
      </c>
      <c r="B80" s="5" t="str">
        <f>'Salary Sheet - WB Compliant'!E80</f>
        <v>ARJUN KR. PRASAD</v>
      </c>
      <c r="C80" s="5" t="str">
        <f>'Salary Sheet - WB Compliant'!D80</f>
        <v>OFFICE STAFF</v>
      </c>
      <c r="D80" s="5" t="str">
        <f>'Salary Sheet - WB Compliant'!AB80</f>
        <v>Y</v>
      </c>
      <c r="E80" s="7">
        <f>'Salary Sheet - WB Compliant'!H80</f>
        <v>9500</v>
      </c>
      <c r="F80" s="7">
        <f t="shared" si="12"/>
        <v>1140</v>
      </c>
      <c r="G80" s="7">
        <f>'Salary Sheet - WB Compliant'!Q80</f>
        <v>12777</v>
      </c>
      <c r="H80" s="7">
        <f>'Salary Sheet - WB Compliant'!AD80</f>
        <v>1533</v>
      </c>
      <c r="I80" s="7">
        <f t="shared" si="13"/>
        <v>12777</v>
      </c>
      <c r="J80" s="7">
        <f t="shared" si="14"/>
        <v>1533</v>
      </c>
      <c r="K80" s="7">
        <f t="shared" si="15"/>
        <v>0</v>
      </c>
      <c r="L80" s="7">
        <f t="shared" si="16"/>
        <v>393</v>
      </c>
      <c r="M80" s="7">
        <f t="shared" si="17"/>
        <v>393</v>
      </c>
    </row>
    <row r="81" spans="1:13" x14ac:dyDescent="0.25">
      <c r="A81" s="6">
        <f>'Salary Sheet - WB Compliant'!A81</f>
        <v>75</v>
      </c>
      <c r="B81" s="5" t="str">
        <f>'Salary Sheet - WB Compliant'!E81</f>
        <v>TARAPADA BERA</v>
      </c>
      <c r="C81" s="5" t="str">
        <f>'Salary Sheet - WB Compliant'!D81</f>
        <v>OFFICE STAFF</v>
      </c>
      <c r="D81" s="5" t="str">
        <f>'Salary Sheet - WB Compliant'!AB81</f>
        <v>Y</v>
      </c>
      <c r="E81" s="7">
        <f>'Salary Sheet - WB Compliant'!H81</f>
        <v>9700</v>
      </c>
      <c r="F81" s="7">
        <f t="shared" si="12"/>
        <v>1164</v>
      </c>
      <c r="G81" s="7">
        <f>'Salary Sheet - WB Compliant'!Q81</f>
        <v>12777</v>
      </c>
      <c r="H81" s="7">
        <f>'Salary Sheet - WB Compliant'!AD81</f>
        <v>1533</v>
      </c>
      <c r="I81" s="7">
        <f t="shared" si="13"/>
        <v>12777</v>
      </c>
      <c r="J81" s="7">
        <f t="shared" si="14"/>
        <v>1533</v>
      </c>
      <c r="K81" s="7">
        <f t="shared" si="15"/>
        <v>0</v>
      </c>
      <c r="L81" s="7">
        <f t="shared" si="16"/>
        <v>369</v>
      </c>
      <c r="M81" s="7">
        <f t="shared" si="17"/>
        <v>369</v>
      </c>
    </row>
    <row r="82" spans="1:13" x14ac:dyDescent="0.25">
      <c r="A82" s="6">
        <f>'Salary Sheet - WB Compliant'!A82</f>
        <v>76</v>
      </c>
      <c r="B82" s="5" t="str">
        <f>'Salary Sheet - WB Compliant'!E82</f>
        <v>SOMNATH NASKAR</v>
      </c>
      <c r="C82" s="5" t="str">
        <f>'Salary Sheet - WB Compliant'!D82</f>
        <v>OFFICE STAFF</v>
      </c>
      <c r="D82" s="5" t="str">
        <f>'Salary Sheet - WB Compliant'!AB82</f>
        <v>Y</v>
      </c>
      <c r="E82" s="7">
        <f>'Salary Sheet - WB Compliant'!H82</f>
        <v>7600</v>
      </c>
      <c r="F82" s="7">
        <f t="shared" si="12"/>
        <v>912</v>
      </c>
      <c r="G82" s="7">
        <f>'Salary Sheet - WB Compliant'!Q82</f>
        <v>12777</v>
      </c>
      <c r="H82" s="7">
        <f>'Salary Sheet - WB Compliant'!AD82</f>
        <v>1533</v>
      </c>
      <c r="I82" s="7">
        <f t="shared" si="13"/>
        <v>12777</v>
      </c>
      <c r="J82" s="7">
        <f t="shared" si="14"/>
        <v>1533</v>
      </c>
      <c r="K82" s="7">
        <f t="shared" si="15"/>
        <v>0</v>
      </c>
      <c r="L82" s="7">
        <f t="shared" si="16"/>
        <v>621</v>
      </c>
      <c r="M82" s="7">
        <f t="shared" si="17"/>
        <v>621</v>
      </c>
    </row>
    <row r="83" spans="1:13" x14ac:dyDescent="0.25">
      <c r="A83" s="6">
        <f>'Salary Sheet - WB Compliant'!A83</f>
        <v>77</v>
      </c>
      <c r="B83" s="5" t="str">
        <f>'Salary Sheet - WB Compliant'!E83</f>
        <v xml:space="preserve">GOUTAM DHAR </v>
      </c>
      <c r="C83" s="5" t="str">
        <f>'Salary Sheet - WB Compliant'!D83</f>
        <v>OFFICE STAFF</v>
      </c>
      <c r="D83" s="5" t="str">
        <f>'Salary Sheet - WB Compliant'!AB83</f>
        <v>N</v>
      </c>
      <c r="E83" s="7">
        <f>'Salary Sheet - WB Compliant'!H83</f>
        <v>36500</v>
      </c>
      <c r="F83" s="7">
        <f t="shared" si="12"/>
        <v>0</v>
      </c>
      <c r="G83" s="7">
        <f>'Salary Sheet - WB Compliant'!Q83</f>
        <v>36500</v>
      </c>
      <c r="H83" s="7">
        <f>'Salary Sheet - WB Compliant'!AD83</f>
        <v>0</v>
      </c>
      <c r="I83" s="7">
        <f t="shared" si="13"/>
        <v>15000</v>
      </c>
      <c r="J83" s="7">
        <f t="shared" si="14"/>
        <v>0</v>
      </c>
      <c r="K83" s="7">
        <f t="shared" si="15"/>
        <v>0</v>
      </c>
      <c r="L83" s="7">
        <f t="shared" si="16"/>
        <v>0</v>
      </c>
      <c r="M83" s="7">
        <f t="shared" si="17"/>
        <v>0</v>
      </c>
    </row>
    <row r="84" spans="1:13" x14ac:dyDescent="0.25">
      <c r="A84" s="6">
        <f>'Salary Sheet - WB Compliant'!A84</f>
        <v>78</v>
      </c>
      <c r="B84" s="5" t="str">
        <f>'Salary Sheet - WB Compliant'!E84</f>
        <v>JAYANTA KUNDU</v>
      </c>
      <c r="C84" s="5" t="str">
        <f>'Salary Sheet - WB Compliant'!D84</f>
        <v>LAB TECHNICIAN</v>
      </c>
      <c r="D84" s="5" t="str">
        <f>'Salary Sheet - WB Compliant'!AB84</f>
        <v>Y</v>
      </c>
      <c r="E84" s="7">
        <f>'Salary Sheet - WB Compliant'!H84</f>
        <v>9200</v>
      </c>
      <c r="F84" s="7">
        <f t="shared" si="12"/>
        <v>1104</v>
      </c>
      <c r="G84" s="7">
        <f>'Salary Sheet - WB Compliant'!Q84</f>
        <v>12777</v>
      </c>
      <c r="H84" s="7">
        <f>'Salary Sheet - WB Compliant'!AD84</f>
        <v>1533</v>
      </c>
      <c r="I84" s="7">
        <f t="shared" si="13"/>
        <v>12777</v>
      </c>
      <c r="J84" s="7">
        <f t="shared" si="14"/>
        <v>1533</v>
      </c>
      <c r="K84" s="7">
        <f t="shared" si="15"/>
        <v>0</v>
      </c>
      <c r="L84" s="7">
        <f t="shared" si="16"/>
        <v>429</v>
      </c>
      <c r="M84" s="7">
        <f t="shared" si="17"/>
        <v>429</v>
      </c>
    </row>
    <row r="85" spans="1:13" x14ac:dyDescent="0.25">
      <c r="A85" s="6">
        <f>'Salary Sheet - WB Compliant'!A85</f>
        <v>79</v>
      </c>
      <c r="B85" s="5" t="str">
        <f>'Salary Sheet - WB Compliant'!E85</f>
        <v>RAHUL BHALLA</v>
      </c>
      <c r="C85" s="5" t="str">
        <f>'Salary Sheet - WB Compliant'!D85</f>
        <v>LAB TECHNICIAN</v>
      </c>
      <c r="D85" s="5" t="str">
        <f>'Salary Sheet - WB Compliant'!AB85</f>
        <v>Y</v>
      </c>
      <c r="E85" s="7">
        <f>'Salary Sheet - WB Compliant'!H85</f>
        <v>7900</v>
      </c>
      <c r="F85" s="7">
        <f t="shared" si="12"/>
        <v>948</v>
      </c>
      <c r="G85" s="7">
        <f>'Salary Sheet - WB Compliant'!Q85</f>
        <v>12777</v>
      </c>
      <c r="H85" s="7">
        <f>'Salary Sheet - WB Compliant'!AD85</f>
        <v>1533</v>
      </c>
      <c r="I85" s="7">
        <f t="shared" si="13"/>
        <v>12777</v>
      </c>
      <c r="J85" s="7">
        <f t="shared" si="14"/>
        <v>1533</v>
      </c>
      <c r="K85" s="7">
        <f t="shared" si="15"/>
        <v>0</v>
      </c>
      <c r="L85" s="7">
        <f t="shared" si="16"/>
        <v>585</v>
      </c>
      <c r="M85" s="7">
        <f t="shared" si="17"/>
        <v>585</v>
      </c>
    </row>
    <row r="86" spans="1:13" x14ac:dyDescent="0.25">
      <c r="A86" s="6">
        <f>'Salary Sheet - WB Compliant'!A86</f>
        <v>80</v>
      </c>
      <c r="B86" s="5" t="str">
        <f>'Salary Sheet - WB Compliant'!E86</f>
        <v>JOYDEB DUTTA</v>
      </c>
      <c r="C86" s="5" t="str">
        <f>'Salary Sheet - WB Compliant'!D86</f>
        <v>DRIVER</v>
      </c>
      <c r="D86" s="5" t="str">
        <f>'Salary Sheet - WB Compliant'!AB86</f>
        <v>N</v>
      </c>
      <c r="E86" s="7">
        <f>'Salary Sheet - WB Compliant'!H86</f>
        <v>23400</v>
      </c>
      <c r="F86" s="7">
        <f t="shared" si="12"/>
        <v>0</v>
      </c>
      <c r="G86" s="7">
        <f>'Salary Sheet - WB Compliant'!Q86</f>
        <v>23400</v>
      </c>
      <c r="H86" s="7">
        <f>'Salary Sheet - WB Compliant'!AD86</f>
        <v>0</v>
      </c>
      <c r="I86" s="7">
        <f t="shared" si="13"/>
        <v>15000</v>
      </c>
      <c r="J86" s="7">
        <f t="shared" si="14"/>
        <v>0</v>
      </c>
      <c r="K86" s="7">
        <f t="shared" si="15"/>
        <v>0</v>
      </c>
      <c r="L86" s="7">
        <f t="shared" si="16"/>
        <v>0</v>
      </c>
      <c r="M86" s="7">
        <f t="shared" si="17"/>
        <v>0</v>
      </c>
    </row>
    <row r="87" spans="1:13" x14ac:dyDescent="0.25">
      <c r="A87" s="6">
        <f>'Salary Sheet - WB Compliant'!A87</f>
        <v>81</v>
      </c>
      <c r="B87" s="5" t="str">
        <f>'Salary Sheet - WB Compliant'!E87</f>
        <v>SHYAMAL BUXI (WELDER)</v>
      </c>
      <c r="C87" s="5" t="str">
        <f>'Salary Sheet - WB Compliant'!D87</f>
        <v>OTHERS</v>
      </c>
      <c r="D87" s="5" t="str">
        <f>'Salary Sheet - WB Compliant'!AB87</f>
        <v>Y</v>
      </c>
      <c r="E87" s="7">
        <f>'Salary Sheet - WB Compliant'!H87</f>
        <v>8500</v>
      </c>
      <c r="F87" s="7">
        <f t="shared" si="12"/>
        <v>1020</v>
      </c>
      <c r="G87" s="7">
        <f>'Salary Sheet - WB Compliant'!Q87</f>
        <v>12777</v>
      </c>
      <c r="H87" s="7">
        <f>'Salary Sheet - WB Compliant'!AD87</f>
        <v>1533</v>
      </c>
      <c r="I87" s="7">
        <f t="shared" si="13"/>
        <v>12777</v>
      </c>
      <c r="J87" s="7">
        <f t="shared" si="14"/>
        <v>1533</v>
      </c>
      <c r="K87" s="7">
        <f t="shared" si="15"/>
        <v>0</v>
      </c>
      <c r="L87" s="7">
        <f t="shared" si="16"/>
        <v>513</v>
      </c>
      <c r="M87" s="7">
        <f t="shared" si="17"/>
        <v>513</v>
      </c>
    </row>
    <row r="88" spans="1:13" x14ac:dyDescent="0.25">
      <c r="A88" s="6">
        <f>'Salary Sheet - WB Compliant'!A88</f>
        <v>82</v>
      </c>
      <c r="B88" s="5" t="str">
        <f>'Salary Sheet - WB Compliant'!E88</f>
        <v>PINTU KUMAR RAY</v>
      </c>
      <c r="C88" s="5" t="str">
        <f>'Salary Sheet - WB Compliant'!D88</f>
        <v>DRIVER</v>
      </c>
      <c r="D88" s="5" t="str">
        <f>'Salary Sheet - WB Compliant'!AB88</f>
        <v>N</v>
      </c>
      <c r="E88" s="7">
        <f>'Salary Sheet - WB Compliant'!H88</f>
        <v>21200</v>
      </c>
      <c r="F88" s="7">
        <f t="shared" si="12"/>
        <v>0</v>
      </c>
      <c r="G88" s="7">
        <f>'Salary Sheet - WB Compliant'!Q88</f>
        <v>21200</v>
      </c>
      <c r="H88" s="7">
        <f>'Salary Sheet - WB Compliant'!AD88</f>
        <v>0</v>
      </c>
      <c r="I88" s="7">
        <f t="shared" si="13"/>
        <v>15000</v>
      </c>
      <c r="J88" s="7">
        <f t="shared" si="14"/>
        <v>0</v>
      </c>
      <c r="K88" s="7">
        <f t="shared" si="15"/>
        <v>0</v>
      </c>
      <c r="L88" s="7">
        <f t="shared" si="16"/>
        <v>0</v>
      </c>
      <c r="M88" s="7">
        <f t="shared" si="17"/>
        <v>0</v>
      </c>
    </row>
    <row r="89" spans="1:13" x14ac:dyDescent="0.25">
      <c r="A89" s="6">
        <f>'Salary Sheet - WB Compliant'!A89</f>
        <v>83</v>
      </c>
      <c r="B89" s="5" t="str">
        <f>'Salary Sheet - WB Compliant'!E89</f>
        <v>RANJIT SAH</v>
      </c>
      <c r="C89" s="5" t="str">
        <f>'Salary Sheet - WB Compliant'!D89</f>
        <v>DRIVER</v>
      </c>
      <c r="D89" s="5" t="str">
        <f>'Salary Sheet - WB Compliant'!AB89</f>
        <v>N</v>
      </c>
      <c r="E89" s="7">
        <f>'Salary Sheet - WB Compliant'!H89</f>
        <v>21000</v>
      </c>
      <c r="F89" s="7">
        <f t="shared" si="12"/>
        <v>0</v>
      </c>
      <c r="G89" s="7">
        <f>'Salary Sheet - WB Compliant'!Q89</f>
        <v>21000</v>
      </c>
      <c r="H89" s="7">
        <f>'Salary Sheet - WB Compliant'!AD89</f>
        <v>0</v>
      </c>
      <c r="I89" s="7">
        <f t="shared" si="13"/>
        <v>15000</v>
      </c>
      <c r="J89" s="7">
        <f t="shared" si="14"/>
        <v>0</v>
      </c>
      <c r="K89" s="7">
        <f t="shared" si="15"/>
        <v>0</v>
      </c>
      <c r="L89" s="7">
        <f t="shared" si="16"/>
        <v>0</v>
      </c>
      <c r="M89" s="7">
        <f t="shared" si="17"/>
        <v>0</v>
      </c>
    </row>
    <row r="90" spans="1:13" x14ac:dyDescent="0.25">
      <c r="A90" s="6">
        <f>'Salary Sheet - WB Compliant'!A90</f>
        <v>84</v>
      </c>
      <c r="B90" s="5" t="str">
        <f>'Salary Sheet - WB Compliant'!E90</f>
        <v>CHANDAN ROY</v>
      </c>
      <c r="C90" s="5" t="str">
        <f>'Salary Sheet - WB Compliant'!D90</f>
        <v>HELPER</v>
      </c>
      <c r="D90" s="5" t="str">
        <f>'Salary Sheet - WB Compliant'!AB90</f>
        <v>Y</v>
      </c>
      <c r="E90" s="7">
        <f>'Salary Sheet - WB Compliant'!H90</f>
        <v>7400</v>
      </c>
      <c r="F90" s="7">
        <f t="shared" si="12"/>
        <v>888</v>
      </c>
      <c r="G90" s="7">
        <f>'Salary Sheet - WB Compliant'!Q90</f>
        <v>10558</v>
      </c>
      <c r="H90" s="7">
        <f>'Salary Sheet - WB Compliant'!AD90</f>
        <v>1267</v>
      </c>
      <c r="I90" s="7">
        <f t="shared" si="13"/>
        <v>10558</v>
      </c>
      <c r="J90" s="7">
        <f t="shared" si="14"/>
        <v>1267</v>
      </c>
      <c r="K90" s="7">
        <f t="shared" si="15"/>
        <v>0</v>
      </c>
      <c r="L90" s="7">
        <f t="shared" si="16"/>
        <v>379</v>
      </c>
      <c r="M90" s="7">
        <f t="shared" si="17"/>
        <v>379</v>
      </c>
    </row>
    <row r="91" spans="1:13" x14ac:dyDescent="0.25">
      <c r="A91" s="6">
        <f>'Salary Sheet - WB Compliant'!A91</f>
        <v>85</v>
      </c>
      <c r="B91" s="5" t="str">
        <f>'Salary Sheet - WB Compliant'!E91</f>
        <v>KAUSHAL KUMAR</v>
      </c>
      <c r="C91" s="5" t="str">
        <f>'Salary Sheet - WB Compliant'!D91</f>
        <v>HELPER</v>
      </c>
      <c r="D91" s="5" t="str">
        <f>'Salary Sheet - WB Compliant'!AB91</f>
        <v>Y</v>
      </c>
      <c r="E91" s="7">
        <f>'Salary Sheet - WB Compliant'!H91</f>
        <v>7400</v>
      </c>
      <c r="F91" s="7">
        <f t="shared" si="12"/>
        <v>888</v>
      </c>
      <c r="G91" s="7">
        <f>'Salary Sheet - WB Compliant'!Q91</f>
        <v>10558</v>
      </c>
      <c r="H91" s="7">
        <f>'Salary Sheet - WB Compliant'!AD91</f>
        <v>1267</v>
      </c>
      <c r="I91" s="7">
        <f t="shared" si="13"/>
        <v>10558</v>
      </c>
      <c r="J91" s="7">
        <f t="shared" si="14"/>
        <v>1267</v>
      </c>
      <c r="K91" s="7">
        <f t="shared" si="15"/>
        <v>0</v>
      </c>
      <c r="L91" s="7">
        <f t="shared" si="16"/>
        <v>379</v>
      </c>
      <c r="M91" s="7">
        <f t="shared" si="17"/>
        <v>379</v>
      </c>
    </row>
    <row r="92" spans="1:13" x14ac:dyDescent="0.25">
      <c r="A92" s="6">
        <f>'Salary Sheet - WB Compliant'!A92</f>
        <v>86</v>
      </c>
      <c r="B92" s="5" t="str">
        <f>'Salary Sheet - WB Compliant'!E92</f>
        <v>SAMIR (K)</v>
      </c>
      <c r="C92" s="5" t="str">
        <f>'Salary Sheet - WB Compliant'!D92</f>
        <v>DRIVER</v>
      </c>
      <c r="D92" s="5" t="str">
        <f>'Salary Sheet - WB Compliant'!AB92</f>
        <v>N</v>
      </c>
      <c r="E92" s="7">
        <f>'Salary Sheet - WB Compliant'!H92</f>
        <v>21200</v>
      </c>
      <c r="F92" s="7">
        <f t="shared" si="12"/>
        <v>0</v>
      </c>
      <c r="G92" s="7">
        <f>'Salary Sheet - WB Compliant'!Q92</f>
        <v>21200</v>
      </c>
      <c r="H92" s="7">
        <f>'Salary Sheet - WB Compliant'!AD92</f>
        <v>0</v>
      </c>
      <c r="I92" s="7">
        <f t="shared" si="13"/>
        <v>15000</v>
      </c>
      <c r="J92" s="7">
        <f t="shared" si="14"/>
        <v>0</v>
      </c>
      <c r="K92" s="7">
        <f t="shared" si="15"/>
        <v>0</v>
      </c>
      <c r="L92" s="7">
        <f t="shared" si="16"/>
        <v>0</v>
      </c>
      <c r="M92" s="7">
        <f t="shared" si="17"/>
        <v>0</v>
      </c>
    </row>
    <row r="93" spans="1:13" x14ac:dyDescent="0.25">
      <c r="A93" s="6">
        <f>'Salary Sheet - WB Compliant'!A93</f>
        <v>87</v>
      </c>
      <c r="B93" s="5" t="str">
        <f>'Salary Sheet - WB Compliant'!E93</f>
        <v>SAMIR ROY</v>
      </c>
      <c r="C93" s="5" t="str">
        <f>'Salary Sheet - WB Compliant'!D93</f>
        <v>DRIVER</v>
      </c>
      <c r="D93" s="5" t="str">
        <f>'Salary Sheet - WB Compliant'!AB93</f>
        <v>N</v>
      </c>
      <c r="E93" s="7">
        <f>'Salary Sheet - WB Compliant'!H93</f>
        <v>21200</v>
      </c>
      <c r="F93" s="7">
        <f t="shared" si="12"/>
        <v>0</v>
      </c>
      <c r="G93" s="7">
        <f>'Salary Sheet - WB Compliant'!Q93</f>
        <v>21200</v>
      </c>
      <c r="H93" s="7">
        <f>'Salary Sheet - WB Compliant'!AD93</f>
        <v>0</v>
      </c>
      <c r="I93" s="7">
        <f t="shared" si="13"/>
        <v>15000</v>
      </c>
      <c r="J93" s="7">
        <f t="shared" si="14"/>
        <v>0</v>
      </c>
      <c r="K93" s="7">
        <f t="shared" si="15"/>
        <v>0</v>
      </c>
      <c r="L93" s="7">
        <f t="shared" si="16"/>
        <v>0</v>
      </c>
      <c r="M93" s="7">
        <f t="shared" si="17"/>
        <v>0</v>
      </c>
    </row>
    <row r="94" spans="1:13" x14ac:dyDescent="0.25">
      <c r="A94" s="6">
        <f>'Salary Sheet - WB Compliant'!A94</f>
        <v>88</v>
      </c>
      <c r="B94" s="5" t="str">
        <f>'Salary Sheet - WB Compliant'!E94</f>
        <v>SANJAY SINGH</v>
      </c>
      <c r="C94" s="5" t="str">
        <f>'Salary Sheet - WB Compliant'!D94</f>
        <v>DRIVER</v>
      </c>
      <c r="D94" s="5" t="str">
        <f>'Salary Sheet - WB Compliant'!AB94</f>
        <v>N</v>
      </c>
      <c r="E94" s="7">
        <f>'Salary Sheet - WB Compliant'!H94</f>
        <v>21200</v>
      </c>
      <c r="F94" s="7">
        <f t="shared" si="12"/>
        <v>0</v>
      </c>
      <c r="G94" s="7">
        <f>'Salary Sheet - WB Compliant'!Q94</f>
        <v>21200</v>
      </c>
      <c r="H94" s="7">
        <f>'Salary Sheet - WB Compliant'!AD94</f>
        <v>0</v>
      </c>
      <c r="I94" s="7">
        <f t="shared" si="13"/>
        <v>15000</v>
      </c>
      <c r="J94" s="7">
        <f t="shared" si="14"/>
        <v>0</v>
      </c>
      <c r="K94" s="7">
        <f t="shared" si="15"/>
        <v>0</v>
      </c>
      <c r="L94" s="7">
        <f t="shared" si="16"/>
        <v>0</v>
      </c>
      <c r="M94" s="7">
        <f t="shared" si="17"/>
        <v>0</v>
      </c>
    </row>
    <row r="95" spans="1:13" x14ac:dyDescent="0.25">
      <c r="A95" s="6">
        <f>'Salary Sheet - WB Compliant'!A95</f>
        <v>89</v>
      </c>
      <c r="B95" s="5" t="str">
        <f>'Salary Sheet - WB Compliant'!E95</f>
        <v>SRIKANTA BOURI</v>
      </c>
      <c r="C95" s="5" t="str">
        <f>'Salary Sheet - WB Compliant'!D95</f>
        <v>DRIVER</v>
      </c>
      <c r="D95" s="5" t="str">
        <f>'Salary Sheet - WB Compliant'!AB95</f>
        <v>N</v>
      </c>
      <c r="E95" s="7">
        <f>'Salary Sheet - WB Compliant'!H95</f>
        <v>21200</v>
      </c>
      <c r="F95" s="7">
        <f t="shared" si="12"/>
        <v>0</v>
      </c>
      <c r="G95" s="7">
        <f>'Salary Sheet - WB Compliant'!Q95</f>
        <v>21200</v>
      </c>
      <c r="H95" s="7">
        <f>'Salary Sheet - WB Compliant'!AD95</f>
        <v>0</v>
      </c>
      <c r="I95" s="7">
        <f t="shared" si="13"/>
        <v>15000</v>
      </c>
      <c r="J95" s="7">
        <f t="shared" si="14"/>
        <v>0</v>
      </c>
      <c r="K95" s="7">
        <f t="shared" si="15"/>
        <v>0</v>
      </c>
      <c r="L95" s="7">
        <f t="shared" si="16"/>
        <v>0</v>
      </c>
      <c r="M95" s="7">
        <f t="shared" si="17"/>
        <v>0</v>
      </c>
    </row>
    <row r="96" spans="1:13" x14ac:dyDescent="0.25">
      <c r="A96" s="6">
        <f>'Salary Sheet - WB Compliant'!A96</f>
        <v>90</v>
      </c>
      <c r="B96" s="5" t="str">
        <f>'Salary Sheet - WB Compliant'!E96</f>
        <v>SUBRATA NANDY</v>
      </c>
      <c r="C96" s="5" t="str">
        <f>'Salary Sheet - WB Compliant'!D96</f>
        <v>LAB TECHNICIAN</v>
      </c>
      <c r="D96" s="5" t="str">
        <f>'Salary Sheet - WB Compliant'!AB96</f>
        <v>Y</v>
      </c>
      <c r="E96" s="7">
        <f>'Salary Sheet - WB Compliant'!H96</f>
        <v>8000</v>
      </c>
      <c r="F96" s="7">
        <f t="shared" si="12"/>
        <v>960</v>
      </c>
      <c r="G96" s="7">
        <f>'Salary Sheet - WB Compliant'!Q96</f>
        <v>12777</v>
      </c>
      <c r="H96" s="7">
        <f>'Salary Sheet - WB Compliant'!AD96</f>
        <v>1533</v>
      </c>
      <c r="I96" s="7">
        <f t="shared" si="13"/>
        <v>12777</v>
      </c>
      <c r="J96" s="7">
        <f t="shared" si="14"/>
        <v>1533</v>
      </c>
      <c r="K96" s="7">
        <f t="shared" si="15"/>
        <v>0</v>
      </c>
      <c r="L96" s="7">
        <f t="shared" si="16"/>
        <v>573</v>
      </c>
      <c r="M96" s="7">
        <f t="shared" si="17"/>
        <v>573</v>
      </c>
    </row>
    <row r="97" spans="1:13" x14ac:dyDescent="0.25">
      <c r="A97" s="6">
        <f>'Salary Sheet - WB Compliant'!A97</f>
        <v>91</v>
      </c>
      <c r="B97" s="5" t="str">
        <f>'Salary Sheet - WB Compliant'!E97</f>
        <v>SURENDAR PASWAN</v>
      </c>
      <c r="C97" s="5" t="str">
        <f>'Salary Sheet - WB Compliant'!D97</f>
        <v>DRIVER</v>
      </c>
      <c r="D97" s="5" t="str">
        <f>'Salary Sheet - WB Compliant'!AB97</f>
        <v>N</v>
      </c>
      <c r="E97" s="7">
        <f>'Salary Sheet - WB Compliant'!H97</f>
        <v>23400</v>
      </c>
      <c r="F97" s="7">
        <f t="shared" si="12"/>
        <v>0</v>
      </c>
      <c r="G97" s="7">
        <f>'Salary Sheet - WB Compliant'!Q97</f>
        <v>23400</v>
      </c>
      <c r="H97" s="7">
        <f>'Salary Sheet - WB Compliant'!AD97</f>
        <v>0</v>
      </c>
      <c r="I97" s="7">
        <f t="shared" si="13"/>
        <v>15000</v>
      </c>
      <c r="J97" s="7">
        <f t="shared" si="14"/>
        <v>0</v>
      </c>
      <c r="K97" s="7">
        <f t="shared" si="15"/>
        <v>0</v>
      </c>
      <c r="L97" s="7">
        <f t="shared" si="16"/>
        <v>0</v>
      </c>
      <c r="M97" s="7">
        <f t="shared" si="17"/>
        <v>0</v>
      </c>
    </row>
    <row r="98" spans="1:13" x14ac:dyDescent="0.25">
      <c r="A98" s="6">
        <f>'Salary Sheet - WB Compliant'!A98</f>
        <v>92</v>
      </c>
      <c r="B98" s="5" t="str">
        <f>'Salary Sheet - WB Compliant'!E98</f>
        <v>TAPAS KUMAR MAJHI</v>
      </c>
      <c r="C98" s="5" t="str">
        <f>'Salary Sheet - WB Compliant'!D98</f>
        <v>DRIVER</v>
      </c>
      <c r="D98" s="5" t="str">
        <f>'Salary Sheet - WB Compliant'!AB98</f>
        <v>N</v>
      </c>
      <c r="E98" s="7">
        <f>'Salary Sheet - WB Compliant'!H98</f>
        <v>21200</v>
      </c>
      <c r="F98" s="7">
        <f t="shared" si="12"/>
        <v>0</v>
      </c>
      <c r="G98" s="7">
        <f>'Salary Sheet - WB Compliant'!Q98</f>
        <v>21200</v>
      </c>
      <c r="H98" s="7">
        <f>'Salary Sheet - WB Compliant'!AD98</f>
        <v>0</v>
      </c>
      <c r="I98" s="7">
        <f t="shared" si="13"/>
        <v>15000</v>
      </c>
      <c r="J98" s="7">
        <f t="shared" si="14"/>
        <v>0</v>
      </c>
      <c r="K98" s="7">
        <f t="shared" si="15"/>
        <v>0</v>
      </c>
      <c r="L98" s="7">
        <f t="shared" si="16"/>
        <v>0</v>
      </c>
      <c r="M98" s="7">
        <f t="shared" si="17"/>
        <v>0</v>
      </c>
    </row>
    <row r="99" spans="1:13" x14ac:dyDescent="0.25">
      <c r="A99" s="6">
        <f>'Salary Sheet - WB Compliant'!A99</f>
        <v>93</v>
      </c>
      <c r="B99" s="5" t="str">
        <f>'Salary Sheet - WB Compliant'!E99</f>
        <v>SADHAN BAURI</v>
      </c>
      <c r="C99" s="5" t="str">
        <f>'Salary Sheet - WB Compliant'!D99</f>
        <v>HELPER</v>
      </c>
      <c r="D99" s="5" t="str">
        <f>'Salary Sheet - WB Compliant'!AB99</f>
        <v>Y</v>
      </c>
      <c r="E99" s="7">
        <f>'Salary Sheet - WB Compliant'!H99</f>
        <v>7700</v>
      </c>
      <c r="F99" s="7">
        <f t="shared" si="12"/>
        <v>924</v>
      </c>
      <c r="G99" s="7">
        <f>'Salary Sheet - WB Compliant'!Q99</f>
        <v>10558</v>
      </c>
      <c r="H99" s="7">
        <f>'Salary Sheet - WB Compliant'!AD99</f>
        <v>1267</v>
      </c>
      <c r="I99" s="7">
        <f t="shared" si="13"/>
        <v>10558</v>
      </c>
      <c r="J99" s="7">
        <f t="shared" si="14"/>
        <v>1267</v>
      </c>
      <c r="K99" s="7">
        <f t="shared" si="15"/>
        <v>0</v>
      </c>
      <c r="L99" s="7">
        <f t="shared" si="16"/>
        <v>343</v>
      </c>
      <c r="M99" s="7">
        <f t="shared" si="17"/>
        <v>343</v>
      </c>
    </row>
    <row r="100" spans="1:13" x14ac:dyDescent="0.25">
      <c r="A100" s="6">
        <f>'Salary Sheet - WB Compliant'!A100</f>
        <v>94</v>
      </c>
      <c r="B100" s="5" t="str">
        <f>'Salary Sheet - WB Compliant'!E100</f>
        <v>ANIL KR SAH</v>
      </c>
      <c r="C100" s="5" t="str">
        <f>'Salary Sheet - WB Compliant'!D100</f>
        <v>DRIVER</v>
      </c>
      <c r="D100" s="5" t="str">
        <f>'Salary Sheet - WB Compliant'!AB100</f>
        <v>N</v>
      </c>
      <c r="E100" s="7">
        <f>'Salary Sheet - WB Compliant'!H100</f>
        <v>21200</v>
      </c>
      <c r="F100" s="7">
        <f t="shared" si="12"/>
        <v>0</v>
      </c>
      <c r="G100" s="7">
        <f>'Salary Sheet - WB Compliant'!Q100</f>
        <v>21200</v>
      </c>
      <c r="H100" s="7">
        <f>'Salary Sheet - WB Compliant'!AD100</f>
        <v>0</v>
      </c>
      <c r="I100" s="7">
        <f t="shared" si="13"/>
        <v>15000</v>
      </c>
      <c r="J100" s="7">
        <f t="shared" si="14"/>
        <v>0</v>
      </c>
      <c r="K100" s="7">
        <f t="shared" si="15"/>
        <v>0</v>
      </c>
      <c r="L100" s="7">
        <f t="shared" si="16"/>
        <v>0</v>
      </c>
      <c r="M100" s="7">
        <f t="shared" si="17"/>
        <v>0</v>
      </c>
    </row>
    <row r="101" spans="1:13" x14ac:dyDescent="0.25">
      <c r="A101" s="6">
        <f>'Salary Sheet - WB Compliant'!A101</f>
        <v>95</v>
      </c>
      <c r="B101" s="5" t="str">
        <f>'Salary Sheet - WB Compliant'!E101</f>
        <v>UJJWAL SINGHA</v>
      </c>
      <c r="C101" s="5" t="str">
        <f>'Salary Sheet - WB Compliant'!D101</f>
        <v>DRIVER</v>
      </c>
      <c r="D101" s="5" t="str">
        <f>'Salary Sheet - WB Compliant'!AB101</f>
        <v>N</v>
      </c>
      <c r="E101" s="7">
        <f>'Salary Sheet - WB Compliant'!H101</f>
        <v>21200</v>
      </c>
      <c r="F101" s="7">
        <f t="shared" si="12"/>
        <v>0</v>
      </c>
      <c r="G101" s="7">
        <f>'Salary Sheet - WB Compliant'!Q101</f>
        <v>21200</v>
      </c>
      <c r="H101" s="7">
        <f>'Salary Sheet - WB Compliant'!AD101</f>
        <v>0</v>
      </c>
      <c r="I101" s="7">
        <f t="shared" si="13"/>
        <v>15000</v>
      </c>
      <c r="J101" s="7">
        <f t="shared" si="14"/>
        <v>0</v>
      </c>
      <c r="K101" s="7">
        <f t="shared" si="15"/>
        <v>0</v>
      </c>
      <c r="L101" s="7">
        <f t="shared" si="16"/>
        <v>0</v>
      </c>
      <c r="M101" s="7">
        <f t="shared" si="17"/>
        <v>0</v>
      </c>
    </row>
    <row r="102" spans="1:13" x14ac:dyDescent="0.25">
      <c r="A102" s="6">
        <f>'Salary Sheet - WB Compliant'!A102</f>
        <v>96</v>
      </c>
      <c r="B102" s="5" t="str">
        <f>'Salary Sheet - WB Compliant'!E102</f>
        <v>RAJIB GHARUI</v>
      </c>
      <c r="C102" s="5" t="str">
        <f>'Salary Sheet - WB Compliant'!D102</f>
        <v>DRIVER</v>
      </c>
      <c r="D102" s="5" t="str">
        <f>'Salary Sheet - WB Compliant'!AB102</f>
        <v>N</v>
      </c>
      <c r="E102" s="7">
        <f>'Salary Sheet - WB Compliant'!H102</f>
        <v>21200</v>
      </c>
      <c r="F102" s="7">
        <f t="shared" si="12"/>
        <v>0</v>
      </c>
      <c r="G102" s="7">
        <f>'Salary Sheet - WB Compliant'!Q102</f>
        <v>21200</v>
      </c>
      <c r="H102" s="7">
        <f>'Salary Sheet - WB Compliant'!AD102</f>
        <v>0</v>
      </c>
      <c r="I102" s="7">
        <f t="shared" si="13"/>
        <v>15000</v>
      </c>
      <c r="J102" s="7">
        <f t="shared" si="14"/>
        <v>0</v>
      </c>
      <c r="K102" s="7">
        <f t="shared" si="15"/>
        <v>0</v>
      </c>
      <c r="L102" s="7">
        <f t="shared" si="16"/>
        <v>0</v>
      </c>
      <c r="M102" s="7">
        <f t="shared" si="17"/>
        <v>0</v>
      </c>
    </row>
    <row r="103" spans="1:13" x14ac:dyDescent="0.25">
      <c r="A103" s="6">
        <f>'Salary Sheet - WB Compliant'!A103</f>
        <v>97</v>
      </c>
      <c r="B103" s="5" t="str">
        <f>'Salary Sheet - WB Compliant'!E103</f>
        <v>RAMBHAJAN</v>
      </c>
      <c r="C103" s="5" t="str">
        <f>'Salary Sheet - WB Compliant'!D103</f>
        <v>DRIVER</v>
      </c>
      <c r="D103" s="5" t="str">
        <f>'Salary Sheet - WB Compliant'!AB103</f>
        <v>N</v>
      </c>
      <c r="E103" s="7">
        <f>'Salary Sheet - WB Compliant'!H103</f>
        <v>21200</v>
      </c>
      <c r="F103" s="7">
        <f t="shared" ref="F103:F125" si="18">IF(D103="Y",ROUND(E103*12%,0),0)</f>
        <v>0</v>
      </c>
      <c r="G103" s="7">
        <f>'Salary Sheet - WB Compliant'!Q103</f>
        <v>21200</v>
      </c>
      <c r="H103" s="7">
        <f>'Salary Sheet - WB Compliant'!AD103</f>
        <v>0</v>
      </c>
      <c r="I103" s="7">
        <f t="shared" ref="I103:I125" si="19">MIN(G103,15000)</f>
        <v>15000</v>
      </c>
      <c r="J103" s="7">
        <f t="shared" ref="J103:J125" si="20">IF(D103="Y",ROUND(I103*12%,0),0)</f>
        <v>0</v>
      </c>
      <c r="K103" s="7">
        <f t="shared" ref="K103:K125" si="21">H103-J103</f>
        <v>0</v>
      </c>
      <c r="L103" s="7">
        <f t="shared" ref="L103:L125" si="22">H103-F103</f>
        <v>0</v>
      </c>
      <c r="M103" s="7">
        <f t="shared" ref="M103:M125" si="23">J103-F103</f>
        <v>0</v>
      </c>
    </row>
    <row r="104" spans="1:13" x14ac:dyDescent="0.25">
      <c r="A104" s="6">
        <f>'Salary Sheet - WB Compliant'!A104</f>
        <v>98</v>
      </c>
      <c r="B104" s="5" t="str">
        <f>'Salary Sheet - WB Compliant'!E104</f>
        <v>KRISHNA CH. DAS</v>
      </c>
      <c r="C104" s="5" t="str">
        <f>'Salary Sheet - WB Compliant'!D104</f>
        <v>HO OFFICE STAFF</v>
      </c>
      <c r="D104" s="5" t="str">
        <f>'Salary Sheet - WB Compliant'!AB104</f>
        <v>Y</v>
      </c>
      <c r="E104" s="7">
        <f>'Salary Sheet - WB Compliant'!H104</f>
        <v>17700</v>
      </c>
      <c r="F104" s="7">
        <f t="shared" si="18"/>
        <v>2124</v>
      </c>
      <c r="G104" s="7">
        <f>'Salary Sheet - WB Compliant'!Q104</f>
        <v>17700</v>
      </c>
      <c r="H104" s="7">
        <f>'Salary Sheet - WB Compliant'!AD104</f>
        <v>2124</v>
      </c>
      <c r="I104" s="7">
        <f t="shared" si="19"/>
        <v>15000</v>
      </c>
      <c r="J104" s="7">
        <f t="shared" si="20"/>
        <v>1800</v>
      </c>
      <c r="K104" s="7">
        <f t="shared" si="21"/>
        <v>324</v>
      </c>
      <c r="L104" s="7">
        <f t="shared" si="22"/>
        <v>0</v>
      </c>
      <c r="M104" s="7">
        <f t="shared" si="23"/>
        <v>-324</v>
      </c>
    </row>
    <row r="105" spans="1:13" x14ac:dyDescent="0.25">
      <c r="A105" s="6">
        <f>'Salary Sheet - WB Compliant'!A105</f>
        <v>99</v>
      </c>
      <c r="B105" s="5" t="str">
        <f>'Salary Sheet - WB Compliant'!E105</f>
        <v>VIVEK GOSSAIN</v>
      </c>
      <c r="C105" s="5" t="str">
        <f>'Salary Sheet - WB Compliant'!D105</f>
        <v>HO OFFICE STAFF</v>
      </c>
      <c r="D105" s="5" t="str">
        <f>'Salary Sheet - WB Compliant'!AB105</f>
        <v>Y</v>
      </c>
      <c r="E105" s="7">
        <f>'Salary Sheet - WB Compliant'!H105</f>
        <v>17700</v>
      </c>
      <c r="F105" s="7">
        <f t="shared" si="18"/>
        <v>2124</v>
      </c>
      <c r="G105" s="7">
        <f>'Salary Sheet - WB Compliant'!Q105</f>
        <v>17700</v>
      </c>
      <c r="H105" s="7">
        <f>'Salary Sheet - WB Compliant'!AD105</f>
        <v>2124</v>
      </c>
      <c r="I105" s="7">
        <f t="shared" si="19"/>
        <v>15000</v>
      </c>
      <c r="J105" s="7">
        <f t="shared" si="20"/>
        <v>1800</v>
      </c>
      <c r="K105" s="7">
        <f t="shared" si="21"/>
        <v>324</v>
      </c>
      <c r="L105" s="7">
        <f t="shared" si="22"/>
        <v>0</v>
      </c>
      <c r="M105" s="7">
        <f t="shared" si="23"/>
        <v>-324</v>
      </c>
    </row>
    <row r="106" spans="1:13" x14ac:dyDescent="0.25">
      <c r="A106" s="6">
        <f>'Salary Sheet - WB Compliant'!A106</f>
        <v>100</v>
      </c>
      <c r="B106" s="5" t="str">
        <f>'Salary Sheet - WB Compliant'!E106</f>
        <v>ALOKE KUNDU</v>
      </c>
      <c r="C106" s="5" t="str">
        <f>'Salary Sheet - WB Compliant'!D106</f>
        <v>HO OFFICE STAFF</v>
      </c>
      <c r="D106" s="5" t="str">
        <f>'Salary Sheet - WB Compliant'!AB106</f>
        <v>Y</v>
      </c>
      <c r="E106" s="7">
        <f>'Salary Sheet - WB Compliant'!H106</f>
        <v>14000</v>
      </c>
      <c r="F106" s="7">
        <f t="shared" si="18"/>
        <v>1680</v>
      </c>
      <c r="G106" s="7">
        <f>'Salary Sheet - WB Compliant'!Q106</f>
        <v>14000</v>
      </c>
      <c r="H106" s="7">
        <f>'Salary Sheet - WB Compliant'!AD106</f>
        <v>1680</v>
      </c>
      <c r="I106" s="7">
        <f t="shared" si="19"/>
        <v>14000</v>
      </c>
      <c r="J106" s="7">
        <f t="shared" si="20"/>
        <v>1680</v>
      </c>
      <c r="K106" s="7">
        <f t="shared" si="21"/>
        <v>0</v>
      </c>
      <c r="L106" s="7">
        <f t="shared" si="22"/>
        <v>0</v>
      </c>
      <c r="M106" s="7">
        <f t="shared" si="23"/>
        <v>0</v>
      </c>
    </row>
    <row r="107" spans="1:13" x14ac:dyDescent="0.25">
      <c r="A107" s="6">
        <f>'Salary Sheet - WB Compliant'!A107</f>
        <v>101</v>
      </c>
      <c r="B107" s="5" t="str">
        <f>'Salary Sheet - WB Compliant'!E107</f>
        <v>GOUTAM DHARA</v>
      </c>
      <c r="C107" s="5" t="str">
        <f>'Salary Sheet - WB Compliant'!D107</f>
        <v>HO OFFICE STAFF</v>
      </c>
      <c r="D107" s="5" t="str">
        <f>'Salary Sheet - WB Compliant'!AB107</f>
        <v>N</v>
      </c>
      <c r="E107" s="7">
        <f>'Salary Sheet - WB Compliant'!H107</f>
        <v>21000</v>
      </c>
      <c r="F107" s="7">
        <f t="shared" si="18"/>
        <v>0</v>
      </c>
      <c r="G107" s="7">
        <f>'Salary Sheet - WB Compliant'!Q107</f>
        <v>21000</v>
      </c>
      <c r="H107" s="7">
        <f>'Salary Sheet - WB Compliant'!AD107</f>
        <v>0</v>
      </c>
      <c r="I107" s="7">
        <f t="shared" si="19"/>
        <v>15000</v>
      </c>
      <c r="J107" s="7">
        <f t="shared" si="20"/>
        <v>0</v>
      </c>
      <c r="K107" s="7">
        <f t="shared" si="21"/>
        <v>0</v>
      </c>
      <c r="L107" s="7">
        <f t="shared" si="22"/>
        <v>0</v>
      </c>
      <c r="M107" s="7">
        <f t="shared" si="23"/>
        <v>0</v>
      </c>
    </row>
    <row r="108" spans="1:13" x14ac:dyDescent="0.25">
      <c r="A108" s="6">
        <f>'Salary Sheet - WB Compliant'!A108</f>
        <v>102</v>
      </c>
      <c r="B108" s="5" t="str">
        <f>'Salary Sheet - WB Compliant'!E108</f>
        <v>RABINDRA NATH BASU</v>
      </c>
      <c r="C108" s="5" t="str">
        <f>'Salary Sheet - WB Compliant'!D108</f>
        <v>HO OFFICE STAFF</v>
      </c>
      <c r="D108" s="5" t="str">
        <f>'Salary Sheet - WB Compliant'!AB108</f>
        <v>Y</v>
      </c>
      <c r="E108" s="7">
        <f>'Salary Sheet - WB Compliant'!H108</f>
        <v>12700</v>
      </c>
      <c r="F108" s="7">
        <f t="shared" si="18"/>
        <v>1524</v>
      </c>
      <c r="G108" s="7">
        <f>'Salary Sheet - WB Compliant'!Q108</f>
        <v>12777</v>
      </c>
      <c r="H108" s="7">
        <f>'Salary Sheet - WB Compliant'!AD108</f>
        <v>1533</v>
      </c>
      <c r="I108" s="7">
        <f t="shared" si="19"/>
        <v>12777</v>
      </c>
      <c r="J108" s="7">
        <f t="shared" si="20"/>
        <v>1533</v>
      </c>
      <c r="K108" s="7">
        <f t="shared" si="21"/>
        <v>0</v>
      </c>
      <c r="L108" s="7">
        <f t="shared" si="22"/>
        <v>9</v>
      </c>
      <c r="M108" s="7">
        <f t="shared" si="23"/>
        <v>9</v>
      </c>
    </row>
    <row r="109" spans="1:13" x14ac:dyDescent="0.25">
      <c r="A109" s="6">
        <f>'Salary Sheet - WB Compliant'!A109</f>
        <v>103</v>
      </c>
      <c r="B109" s="5" t="str">
        <f>'Salary Sheet - WB Compliant'!E109</f>
        <v>SOUMEN DAS</v>
      </c>
      <c r="C109" s="5" t="str">
        <f>'Salary Sheet - WB Compliant'!D109</f>
        <v>HO OFFICE STAFF</v>
      </c>
      <c r="D109" s="5" t="str">
        <f>'Salary Sheet - WB Compliant'!AB109</f>
        <v>Y</v>
      </c>
      <c r="E109" s="7">
        <f>'Salary Sheet - WB Compliant'!H109</f>
        <v>16500</v>
      </c>
      <c r="F109" s="7">
        <f t="shared" si="18"/>
        <v>1980</v>
      </c>
      <c r="G109" s="7">
        <f>'Salary Sheet - WB Compliant'!Q109</f>
        <v>16500</v>
      </c>
      <c r="H109" s="7">
        <f>'Salary Sheet - WB Compliant'!AD109</f>
        <v>1980</v>
      </c>
      <c r="I109" s="7">
        <f t="shared" si="19"/>
        <v>15000</v>
      </c>
      <c r="J109" s="7">
        <f t="shared" si="20"/>
        <v>1800</v>
      </c>
      <c r="K109" s="7">
        <f t="shared" si="21"/>
        <v>180</v>
      </c>
      <c r="L109" s="7">
        <f t="shared" si="22"/>
        <v>0</v>
      </c>
      <c r="M109" s="7">
        <f t="shared" si="23"/>
        <v>-180</v>
      </c>
    </row>
    <row r="110" spans="1:13" x14ac:dyDescent="0.25">
      <c r="A110" s="6">
        <f>'Salary Sheet - WB Compliant'!A110</f>
        <v>104</v>
      </c>
      <c r="B110" s="5" t="str">
        <f>'Salary Sheet - WB Compliant'!E110</f>
        <v>LOKENATH KUNDU</v>
      </c>
      <c r="C110" s="5" t="str">
        <f>'Salary Sheet - WB Compliant'!D110</f>
        <v>HO OFFICE STAFF</v>
      </c>
      <c r="D110" s="5" t="str">
        <f>'Salary Sheet - WB Compliant'!AB110</f>
        <v>N</v>
      </c>
      <c r="E110" s="7">
        <f>'Salary Sheet - WB Compliant'!H110</f>
        <v>29000</v>
      </c>
      <c r="F110" s="7">
        <f t="shared" si="18"/>
        <v>0</v>
      </c>
      <c r="G110" s="7">
        <f>'Salary Sheet - WB Compliant'!Q110</f>
        <v>29000</v>
      </c>
      <c r="H110" s="7">
        <f>'Salary Sheet - WB Compliant'!AD110</f>
        <v>0</v>
      </c>
      <c r="I110" s="7">
        <f t="shared" si="19"/>
        <v>15000</v>
      </c>
      <c r="J110" s="7">
        <f t="shared" si="20"/>
        <v>0</v>
      </c>
      <c r="K110" s="7">
        <f t="shared" si="21"/>
        <v>0</v>
      </c>
      <c r="L110" s="7">
        <f t="shared" si="22"/>
        <v>0</v>
      </c>
      <c r="M110" s="7">
        <f t="shared" si="23"/>
        <v>0</v>
      </c>
    </row>
    <row r="111" spans="1:13" x14ac:dyDescent="0.25">
      <c r="A111" s="6">
        <f>'Salary Sheet - WB Compliant'!A111</f>
        <v>105</v>
      </c>
      <c r="B111" s="5" t="str">
        <f>'Salary Sheet - WB Compliant'!E111</f>
        <v>AMAL KRISHNA DEB</v>
      </c>
      <c r="C111" s="5" t="str">
        <f>'Salary Sheet - WB Compliant'!D111</f>
        <v>HO OFFICE STAFF</v>
      </c>
      <c r="D111" s="5" t="str">
        <f>'Salary Sheet - WB Compliant'!AB111</f>
        <v>Y</v>
      </c>
      <c r="E111" s="7">
        <f>'Salary Sheet - WB Compliant'!H111</f>
        <v>12700</v>
      </c>
      <c r="F111" s="7">
        <f t="shared" si="18"/>
        <v>1524</v>
      </c>
      <c r="G111" s="7">
        <f>'Salary Sheet - WB Compliant'!Q111</f>
        <v>12777</v>
      </c>
      <c r="H111" s="7">
        <f>'Salary Sheet - WB Compliant'!AD111</f>
        <v>1533</v>
      </c>
      <c r="I111" s="7">
        <f t="shared" si="19"/>
        <v>12777</v>
      </c>
      <c r="J111" s="7">
        <f t="shared" si="20"/>
        <v>1533</v>
      </c>
      <c r="K111" s="7">
        <f t="shared" si="21"/>
        <v>0</v>
      </c>
      <c r="L111" s="7">
        <f t="shared" si="22"/>
        <v>9</v>
      </c>
      <c r="M111" s="7">
        <f t="shared" si="23"/>
        <v>9</v>
      </c>
    </row>
    <row r="112" spans="1:13" x14ac:dyDescent="0.25">
      <c r="A112" s="6">
        <f>'Salary Sheet - WB Compliant'!A112</f>
        <v>106</v>
      </c>
      <c r="B112" s="5" t="str">
        <f>'Salary Sheet - WB Compliant'!E112</f>
        <v>SYED JAWED AHMED</v>
      </c>
      <c r="C112" s="5" t="str">
        <f>'Salary Sheet - WB Compliant'!D112</f>
        <v>HO OFFICE STAFF</v>
      </c>
      <c r="D112" s="5" t="str">
        <f>'Salary Sheet - WB Compliant'!AB112</f>
        <v>N</v>
      </c>
      <c r="E112" s="7">
        <f>'Salary Sheet - WB Compliant'!H112</f>
        <v>39000</v>
      </c>
      <c r="F112" s="7">
        <f t="shared" si="18"/>
        <v>0</v>
      </c>
      <c r="G112" s="7">
        <f>'Salary Sheet - WB Compliant'!Q112</f>
        <v>39000</v>
      </c>
      <c r="H112" s="7">
        <f>'Salary Sheet - WB Compliant'!AD112</f>
        <v>0</v>
      </c>
      <c r="I112" s="7">
        <f t="shared" si="19"/>
        <v>15000</v>
      </c>
      <c r="J112" s="7">
        <f t="shared" si="20"/>
        <v>0</v>
      </c>
      <c r="K112" s="7">
        <f t="shared" si="21"/>
        <v>0</v>
      </c>
      <c r="L112" s="7">
        <f t="shared" si="22"/>
        <v>0</v>
      </c>
      <c r="M112" s="7">
        <f t="shared" si="23"/>
        <v>0</v>
      </c>
    </row>
    <row r="113" spans="1:13" x14ac:dyDescent="0.25">
      <c r="A113" s="6">
        <f>'Salary Sheet - WB Compliant'!A113</f>
        <v>107</v>
      </c>
      <c r="B113" s="5" t="str">
        <f>'Salary Sheet - WB Compliant'!E113</f>
        <v>SIBASISH DHAR</v>
      </c>
      <c r="C113" s="5" t="str">
        <f>'Salary Sheet - WB Compliant'!D113</f>
        <v>HO OFFICE STAFF</v>
      </c>
      <c r="D113" s="5" t="str">
        <f>'Salary Sheet - WB Compliant'!AB113</f>
        <v>Y</v>
      </c>
      <c r="E113" s="7">
        <f>'Salary Sheet - WB Compliant'!H113</f>
        <v>12000</v>
      </c>
      <c r="F113" s="7">
        <f t="shared" si="18"/>
        <v>1440</v>
      </c>
      <c r="G113" s="7">
        <f>'Salary Sheet - WB Compliant'!Q113</f>
        <v>12777</v>
      </c>
      <c r="H113" s="7">
        <f>'Salary Sheet - WB Compliant'!AD113</f>
        <v>1533</v>
      </c>
      <c r="I113" s="7">
        <f t="shared" si="19"/>
        <v>12777</v>
      </c>
      <c r="J113" s="7">
        <f t="shared" si="20"/>
        <v>1533</v>
      </c>
      <c r="K113" s="7">
        <f t="shared" si="21"/>
        <v>0</v>
      </c>
      <c r="L113" s="7">
        <f t="shared" si="22"/>
        <v>93</v>
      </c>
      <c r="M113" s="7">
        <f t="shared" si="23"/>
        <v>93</v>
      </c>
    </row>
    <row r="114" spans="1:13" x14ac:dyDescent="0.25">
      <c r="A114" s="6">
        <f>'Salary Sheet - WB Compliant'!A114</f>
        <v>108</v>
      </c>
      <c r="B114" s="5" t="str">
        <f>'Salary Sheet - WB Compliant'!E114</f>
        <v>MOHENDRA DAN</v>
      </c>
      <c r="C114" s="5" t="str">
        <f>'Salary Sheet - WB Compliant'!D114</f>
        <v>HO OFFICE STAFF</v>
      </c>
      <c r="D114" s="5" t="str">
        <f>'Salary Sheet - WB Compliant'!AB114</f>
        <v>N</v>
      </c>
      <c r="E114" s="7">
        <f>'Salary Sheet - WB Compliant'!H114</f>
        <v>27000</v>
      </c>
      <c r="F114" s="7">
        <f t="shared" si="18"/>
        <v>0</v>
      </c>
      <c r="G114" s="7">
        <f>'Salary Sheet - WB Compliant'!Q114</f>
        <v>27000</v>
      </c>
      <c r="H114" s="7">
        <f>'Salary Sheet - WB Compliant'!AD114</f>
        <v>0</v>
      </c>
      <c r="I114" s="7">
        <f t="shared" si="19"/>
        <v>15000</v>
      </c>
      <c r="J114" s="7">
        <f t="shared" si="20"/>
        <v>0</v>
      </c>
      <c r="K114" s="7">
        <f t="shared" si="21"/>
        <v>0</v>
      </c>
      <c r="L114" s="7">
        <f t="shared" si="22"/>
        <v>0</v>
      </c>
      <c r="M114" s="7">
        <f t="shared" si="23"/>
        <v>0</v>
      </c>
    </row>
    <row r="115" spans="1:13" x14ac:dyDescent="0.25">
      <c r="A115" s="6">
        <f>'Salary Sheet - WB Compliant'!A115</f>
        <v>109</v>
      </c>
      <c r="B115" s="5" t="str">
        <f>'Salary Sheet - WB Compliant'!E115</f>
        <v>PRADIP DAS</v>
      </c>
      <c r="C115" s="5" t="str">
        <f>'Salary Sheet - WB Compliant'!D115</f>
        <v>HO OFFICE STAFF</v>
      </c>
      <c r="D115" s="5" t="str">
        <f>'Salary Sheet - WB Compliant'!AB115</f>
        <v>N</v>
      </c>
      <c r="E115" s="7">
        <f>'Salary Sheet - WB Compliant'!H115</f>
        <v>31300</v>
      </c>
      <c r="F115" s="7">
        <f t="shared" si="18"/>
        <v>0</v>
      </c>
      <c r="G115" s="7">
        <f>'Salary Sheet - WB Compliant'!Q115</f>
        <v>31300</v>
      </c>
      <c r="H115" s="7">
        <f>'Salary Sheet - WB Compliant'!AD115</f>
        <v>0</v>
      </c>
      <c r="I115" s="7">
        <f t="shared" si="19"/>
        <v>15000</v>
      </c>
      <c r="J115" s="7">
        <f t="shared" si="20"/>
        <v>0</v>
      </c>
      <c r="K115" s="7">
        <f t="shared" si="21"/>
        <v>0</v>
      </c>
      <c r="L115" s="7">
        <f t="shared" si="22"/>
        <v>0</v>
      </c>
      <c r="M115" s="7">
        <f t="shared" si="23"/>
        <v>0</v>
      </c>
    </row>
    <row r="116" spans="1:13" x14ac:dyDescent="0.25">
      <c r="A116" s="6">
        <f>'Salary Sheet - WB Compliant'!A116</f>
        <v>110</v>
      </c>
      <c r="B116" s="5" t="str">
        <f>'Salary Sheet - WB Compliant'!E116</f>
        <v>DEBANGSU KUMAR DAS</v>
      </c>
      <c r="C116" s="5" t="str">
        <f>'Salary Sheet - WB Compliant'!D116</f>
        <v>HO OFFICE STAFF</v>
      </c>
      <c r="D116" s="5" t="str">
        <f>'Salary Sheet - WB Compliant'!AB116</f>
        <v>N</v>
      </c>
      <c r="E116" s="7">
        <f>'Salary Sheet - WB Compliant'!H116</f>
        <v>20000</v>
      </c>
      <c r="F116" s="7">
        <f t="shared" si="18"/>
        <v>0</v>
      </c>
      <c r="G116" s="7">
        <f>'Salary Sheet - WB Compliant'!Q116</f>
        <v>20000</v>
      </c>
      <c r="H116" s="7">
        <f>'Salary Sheet - WB Compliant'!AD116</f>
        <v>0</v>
      </c>
      <c r="I116" s="7">
        <f t="shared" si="19"/>
        <v>15000</v>
      </c>
      <c r="J116" s="7">
        <f t="shared" si="20"/>
        <v>0</v>
      </c>
      <c r="K116" s="7">
        <f t="shared" si="21"/>
        <v>0</v>
      </c>
      <c r="L116" s="7">
        <f t="shared" si="22"/>
        <v>0</v>
      </c>
      <c r="M116" s="7">
        <f t="shared" si="23"/>
        <v>0</v>
      </c>
    </row>
    <row r="117" spans="1:13" x14ac:dyDescent="0.25">
      <c r="A117" s="6">
        <f>'Salary Sheet - WB Compliant'!A117</f>
        <v>111</v>
      </c>
      <c r="B117" s="5" t="str">
        <f>'Salary Sheet - WB Compliant'!E117</f>
        <v>ANUJ KUMAR</v>
      </c>
      <c r="C117" s="5" t="str">
        <f>'Salary Sheet - WB Compliant'!D117</f>
        <v>HO OFFICE STAFF</v>
      </c>
      <c r="D117" s="5" t="str">
        <f>'Salary Sheet - WB Compliant'!AB117</f>
        <v>N</v>
      </c>
      <c r="E117" s="7">
        <f>'Salary Sheet - WB Compliant'!H117</f>
        <v>16000</v>
      </c>
      <c r="F117" s="7">
        <f t="shared" si="18"/>
        <v>0</v>
      </c>
      <c r="G117" s="7">
        <f>'Salary Sheet - WB Compliant'!Q117</f>
        <v>16000</v>
      </c>
      <c r="H117" s="7">
        <f>'Salary Sheet - WB Compliant'!AD117</f>
        <v>0</v>
      </c>
      <c r="I117" s="7">
        <f t="shared" si="19"/>
        <v>15000</v>
      </c>
      <c r="J117" s="7">
        <f t="shared" si="20"/>
        <v>0</v>
      </c>
      <c r="K117" s="7">
        <f t="shared" si="21"/>
        <v>0</v>
      </c>
      <c r="L117" s="7">
        <f t="shared" si="22"/>
        <v>0</v>
      </c>
      <c r="M117" s="7">
        <f t="shared" si="23"/>
        <v>0</v>
      </c>
    </row>
    <row r="118" spans="1:13" x14ac:dyDescent="0.25">
      <c r="A118" s="6">
        <f>'Salary Sheet - WB Compliant'!A118</f>
        <v>112</v>
      </c>
      <c r="B118" s="5" t="str">
        <f>'Salary Sheet - WB Compliant'!E118</f>
        <v>RAJU DAS</v>
      </c>
      <c r="C118" s="5" t="str">
        <f>'Salary Sheet - WB Compliant'!D118</f>
        <v>HO OFFICE STAFF</v>
      </c>
      <c r="D118" s="5" t="str">
        <f>'Salary Sheet - WB Compliant'!AB118</f>
        <v>Y</v>
      </c>
      <c r="E118" s="7">
        <f>'Salary Sheet - WB Compliant'!H118</f>
        <v>7100</v>
      </c>
      <c r="F118" s="7">
        <f t="shared" si="18"/>
        <v>852</v>
      </c>
      <c r="G118" s="7">
        <f>'Salary Sheet - WB Compliant'!Q118</f>
        <v>12777</v>
      </c>
      <c r="H118" s="7">
        <f>'Salary Sheet - WB Compliant'!AD118</f>
        <v>1533</v>
      </c>
      <c r="I118" s="7">
        <f t="shared" si="19"/>
        <v>12777</v>
      </c>
      <c r="J118" s="7">
        <f t="shared" si="20"/>
        <v>1533</v>
      </c>
      <c r="K118" s="7">
        <f t="shared" si="21"/>
        <v>0</v>
      </c>
      <c r="L118" s="7">
        <f t="shared" si="22"/>
        <v>681</v>
      </c>
      <c r="M118" s="7">
        <f t="shared" si="23"/>
        <v>681</v>
      </c>
    </row>
    <row r="119" spans="1:13" x14ac:dyDescent="0.25">
      <c r="A119" s="6">
        <f>'Salary Sheet - WB Compliant'!A119</f>
        <v>113</v>
      </c>
      <c r="B119" s="5" t="str">
        <f>'Salary Sheet - WB Compliant'!E119</f>
        <v>RAGHAB CHANDRA DAS</v>
      </c>
      <c r="C119" s="5" t="str">
        <f>'Salary Sheet - WB Compliant'!D119</f>
        <v>HO OFFICE STAFF</v>
      </c>
      <c r="D119" s="5" t="str">
        <f>'Salary Sheet - WB Compliant'!AB119</f>
        <v>Y</v>
      </c>
      <c r="E119" s="7">
        <f>'Salary Sheet - WB Compliant'!H119</f>
        <v>6600</v>
      </c>
      <c r="F119" s="7">
        <f t="shared" si="18"/>
        <v>792</v>
      </c>
      <c r="G119" s="7">
        <f>'Salary Sheet - WB Compliant'!Q119</f>
        <v>12777</v>
      </c>
      <c r="H119" s="7">
        <f>'Salary Sheet - WB Compliant'!AD119</f>
        <v>1533</v>
      </c>
      <c r="I119" s="7">
        <f t="shared" si="19"/>
        <v>12777</v>
      </c>
      <c r="J119" s="7">
        <f t="shared" si="20"/>
        <v>1533</v>
      </c>
      <c r="K119" s="7">
        <f t="shared" si="21"/>
        <v>0</v>
      </c>
      <c r="L119" s="7">
        <f t="shared" si="22"/>
        <v>741</v>
      </c>
      <c r="M119" s="7">
        <f t="shared" si="23"/>
        <v>741</v>
      </c>
    </row>
    <row r="120" spans="1:13" x14ac:dyDescent="0.25">
      <c r="A120" s="6">
        <f>'Salary Sheet - WB Compliant'!A120</f>
        <v>114</v>
      </c>
      <c r="B120" s="5" t="str">
        <f>'Salary Sheet - WB Compliant'!E120</f>
        <v>SANKAR  YADAV</v>
      </c>
      <c r="C120" s="5" t="str">
        <f>'Salary Sheet - WB Compliant'!D120</f>
        <v>HO OFFICE STAFF</v>
      </c>
      <c r="D120" s="5" t="str">
        <f>'Salary Sheet - WB Compliant'!AB120</f>
        <v>Y</v>
      </c>
      <c r="E120" s="7">
        <f>'Salary Sheet - WB Compliant'!H120</f>
        <v>6000</v>
      </c>
      <c r="F120" s="7">
        <f t="shared" si="18"/>
        <v>720</v>
      </c>
      <c r="G120" s="7">
        <f>'Salary Sheet - WB Compliant'!Q120</f>
        <v>12777</v>
      </c>
      <c r="H120" s="7">
        <f>'Salary Sheet - WB Compliant'!AD120</f>
        <v>1533</v>
      </c>
      <c r="I120" s="7">
        <f t="shared" si="19"/>
        <v>12777</v>
      </c>
      <c r="J120" s="7">
        <f t="shared" si="20"/>
        <v>1533</v>
      </c>
      <c r="K120" s="7">
        <f t="shared" si="21"/>
        <v>0</v>
      </c>
      <c r="L120" s="7">
        <f t="shared" si="22"/>
        <v>813</v>
      </c>
      <c r="M120" s="7">
        <f t="shared" si="23"/>
        <v>813</v>
      </c>
    </row>
    <row r="121" spans="1:13" x14ac:dyDescent="0.25">
      <c r="A121" s="6">
        <f>'Salary Sheet - WB Compliant'!A121</f>
        <v>115</v>
      </c>
      <c r="B121" s="5" t="str">
        <f>'Salary Sheet - WB Compliant'!E121</f>
        <v>RAJESH VARMA</v>
      </c>
      <c r="C121" s="5" t="str">
        <f>'Salary Sheet - WB Compliant'!D121</f>
        <v>HO OFFICE STAFF</v>
      </c>
      <c r="D121" s="5" t="str">
        <f>'Salary Sheet - WB Compliant'!AB121</f>
        <v>Y</v>
      </c>
      <c r="E121" s="7">
        <f>'Salary Sheet - WB Compliant'!H121</f>
        <v>6000</v>
      </c>
      <c r="F121" s="7">
        <f t="shared" si="18"/>
        <v>720</v>
      </c>
      <c r="G121" s="7">
        <f>'Salary Sheet - WB Compliant'!Q121</f>
        <v>12777</v>
      </c>
      <c r="H121" s="7">
        <f>'Salary Sheet - WB Compliant'!AD121</f>
        <v>1533</v>
      </c>
      <c r="I121" s="7">
        <f t="shared" si="19"/>
        <v>12777</v>
      </c>
      <c r="J121" s="7">
        <f t="shared" si="20"/>
        <v>1533</v>
      </c>
      <c r="K121" s="7">
        <f t="shared" si="21"/>
        <v>0</v>
      </c>
      <c r="L121" s="7">
        <f t="shared" si="22"/>
        <v>813</v>
      </c>
      <c r="M121" s="7">
        <f t="shared" si="23"/>
        <v>813</v>
      </c>
    </row>
    <row r="122" spans="1:13" x14ac:dyDescent="0.25">
      <c r="A122" s="6">
        <f>'Salary Sheet - WB Compliant'!A122</f>
        <v>116</v>
      </c>
      <c r="B122" s="5" t="str">
        <f>'Salary Sheet - WB Compliant'!E122</f>
        <v>YOGENDRA YADAV</v>
      </c>
      <c r="C122" s="5" t="str">
        <f>'Salary Sheet - WB Compliant'!D122</f>
        <v>HO OFFICE STAFF</v>
      </c>
      <c r="D122" s="5" t="str">
        <f>'Salary Sheet - WB Compliant'!AB122</f>
        <v>Y</v>
      </c>
      <c r="E122" s="7">
        <f>'Salary Sheet - WB Compliant'!H122</f>
        <v>6600</v>
      </c>
      <c r="F122" s="7">
        <f t="shared" si="18"/>
        <v>792</v>
      </c>
      <c r="G122" s="7">
        <f>'Salary Sheet - WB Compliant'!Q122</f>
        <v>12777</v>
      </c>
      <c r="H122" s="7">
        <f>'Salary Sheet - WB Compliant'!AD122</f>
        <v>1533</v>
      </c>
      <c r="I122" s="7">
        <f t="shared" si="19"/>
        <v>12777</v>
      </c>
      <c r="J122" s="7">
        <f t="shared" si="20"/>
        <v>1533</v>
      </c>
      <c r="K122" s="7">
        <f t="shared" si="21"/>
        <v>0</v>
      </c>
      <c r="L122" s="7">
        <f t="shared" si="22"/>
        <v>741</v>
      </c>
      <c r="M122" s="7">
        <f t="shared" si="23"/>
        <v>741</v>
      </c>
    </row>
    <row r="123" spans="1:13" x14ac:dyDescent="0.25">
      <c r="A123" s="6">
        <f>'Salary Sheet - WB Compliant'!A123</f>
        <v>117</v>
      </c>
      <c r="B123" s="5" t="str">
        <f>'Salary Sheet - WB Compliant'!E123</f>
        <v>ANUSHMITA MONDAL</v>
      </c>
      <c r="C123" s="5" t="str">
        <f>'Salary Sheet - WB Compliant'!D123</f>
        <v>HO OFFICE STAFF</v>
      </c>
      <c r="D123" s="5" t="str">
        <f>'Salary Sheet - WB Compliant'!AB123</f>
        <v>Y</v>
      </c>
      <c r="E123" s="7">
        <f>'Salary Sheet - WB Compliant'!H123</f>
        <v>7500</v>
      </c>
      <c r="F123" s="7">
        <f t="shared" si="18"/>
        <v>900</v>
      </c>
      <c r="G123" s="7">
        <f>'Salary Sheet - WB Compliant'!Q123</f>
        <v>12777</v>
      </c>
      <c r="H123" s="7">
        <f>'Salary Sheet - WB Compliant'!AD123</f>
        <v>1533</v>
      </c>
      <c r="I123" s="7">
        <f t="shared" si="19"/>
        <v>12777</v>
      </c>
      <c r="J123" s="7">
        <f t="shared" si="20"/>
        <v>1533</v>
      </c>
      <c r="K123" s="7">
        <f t="shared" si="21"/>
        <v>0</v>
      </c>
      <c r="L123" s="7">
        <f t="shared" si="22"/>
        <v>633</v>
      </c>
      <c r="M123" s="7">
        <f t="shared" si="23"/>
        <v>633</v>
      </c>
    </row>
    <row r="124" spans="1:13" x14ac:dyDescent="0.25">
      <c r="A124" s="6">
        <f>'Salary Sheet - WB Compliant'!A124</f>
        <v>118</v>
      </c>
      <c r="B124" s="5" t="str">
        <f>'Salary Sheet - WB Compliant'!E124</f>
        <v>SASWATI KAR</v>
      </c>
      <c r="C124" s="5" t="str">
        <f>'Salary Sheet - WB Compliant'!D124</f>
        <v>HO OFFICE STAFF</v>
      </c>
      <c r="D124" s="5" t="str">
        <f>'Salary Sheet - WB Compliant'!AB124</f>
        <v>Y</v>
      </c>
      <c r="E124" s="7">
        <f>'Salary Sheet - WB Compliant'!H124</f>
        <v>7500</v>
      </c>
      <c r="F124" s="7">
        <f t="shared" si="18"/>
        <v>900</v>
      </c>
      <c r="G124" s="7">
        <f>'Salary Sheet - WB Compliant'!Q124</f>
        <v>12777</v>
      </c>
      <c r="H124" s="7">
        <f>'Salary Sheet - WB Compliant'!AD124</f>
        <v>1533</v>
      </c>
      <c r="I124" s="7">
        <f t="shared" si="19"/>
        <v>12777</v>
      </c>
      <c r="J124" s="7">
        <f t="shared" si="20"/>
        <v>1533</v>
      </c>
      <c r="K124" s="7">
        <f t="shared" si="21"/>
        <v>0</v>
      </c>
      <c r="L124" s="7">
        <f t="shared" si="22"/>
        <v>633</v>
      </c>
      <c r="M124" s="7">
        <f t="shared" si="23"/>
        <v>633</v>
      </c>
    </row>
    <row r="125" spans="1:13" x14ac:dyDescent="0.25">
      <c r="A125" s="6">
        <f>'Salary Sheet - WB Compliant'!A125</f>
        <v>119</v>
      </c>
      <c r="B125" s="5" t="str">
        <f>'Salary Sheet - WB Compliant'!E125</f>
        <v>PRALAY SAHA</v>
      </c>
      <c r="C125" s="5" t="str">
        <f>'Salary Sheet - WB Compliant'!D125</f>
        <v>HO OFFICE STAFF</v>
      </c>
      <c r="D125" s="5" t="str">
        <f>'Salary Sheet - WB Compliant'!AB125</f>
        <v>N</v>
      </c>
      <c r="E125" s="7">
        <f>'Salary Sheet - WB Compliant'!H125</f>
        <v>26000</v>
      </c>
      <c r="F125" s="7">
        <f t="shared" si="18"/>
        <v>0</v>
      </c>
      <c r="G125" s="7">
        <f>'Salary Sheet - WB Compliant'!Q125</f>
        <v>26000</v>
      </c>
      <c r="H125" s="7">
        <f>'Salary Sheet - WB Compliant'!AD125</f>
        <v>0</v>
      </c>
      <c r="I125" s="7">
        <f t="shared" si="19"/>
        <v>15000</v>
      </c>
      <c r="J125" s="7">
        <f t="shared" si="20"/>
        <v>0</v>
      </c>
      <c r="K125" s="7">
        <f t="shared" si="21"/>
        <v>0</v>
      </c>
      <c r="L125" s="7">
        <f t="shared" si="22"/>
        <v>0</v>
      </c>
      <c r="M125" s="7">
        <f t="shared" si="23"/>
        <v>0</v>
      </c>
    </row>
    <row r="126" spans="1:13" x14ac:dyDescent="0.25">
      <c r="B126" s="8" t="s">
        <v>78</v>
      </c>
      <c r="F126" s="10">
        <f>SUM(F7:F125)</f>
        <v>87867</v>
      </c>
      <c r="H126" s="10">
        <f>SUM(H7:H125)</f>
        <v>122664</v>
      </c>
      <c r="J126" s="10">
        <f>SUM(J7:J125)</f>
        <v>116196</v>
      </c>
      <c r="K126" s="10">
        <f>SUM(K7:K125)</f>
        <v>6468</v>
      </c>
      <c r="L126" s="10">
        <f>SUM(L7:L125)</f>
        <v>34797</v>
      </c>
      <c r="M126" s="10">
        <f>SUM(M7:M125)</f>
        <v>28329</v>
      </c>
    </row>
    <row r="128" spans="1:13" x14ac:dyDescent="0.25">
      <c r="B128" s="29" t="s">
        <v>79</v>
      </c>
      <c r="C128" s="29"/>
      <c r="D128" s="29"/>
      <c r="E128" s="29"/>
      <c r="F128" s="29"/>
    </row>
    <row r="129" spans="2:13" x14ac:dyDescent="0.25">
      <c r="B129" s="30" t="s">
        <v>80</v>
      </c>
      <c r="C129" s="30"/>
      <c r="D129" s="30"/>
      <c r="E129" s="30"/>
      <c r="F129" s="15">
        <f>F126</f>
        <v>87867</v>
      </c>
    </row>
    <row r="130" spans="2:13" x14ac:dyDescent="0.25">
      <c r="B130" s="30" t="s">
        <v>81</v>
      </c>
      <c r="C130" s="30"/>
      <c r="D130" s="30"/>
      <c r="E130" s="30"/>
      <c r="F130" s="15">
        <f>H126</f>
        <v>122664</v>
      </c>
    </row>
    <row r="131" spans="2:13" x14ac:dyDescent="0.25">
      <c r="B131" s="30" t="s">
        <v>82</v>
      </c>
      <c r="C131" s="30"/>
      <c r="D131" s="30"/>
      <c r="E131" s="30"/>
      <c r="F131" s="15">
        <f>J126</f>
        <v>116196</v>
      </c>
    </row>
    <row r="132" spans="2:13" x14ac:dyDescent="0.25">
      <c r="B132" s="30" t="s">
        <v>83</v>
      </c>
      <c r="C132" s="30"/>
      <c r="D132" s="30"/>
      <c r="E132" s="30"/>
      <c r="F132" s="15">
        <f>H126-F126</f>
        <v>34797</v>
      </c>
    </row>
    <row r="133" spans="2:13" x14ac:dyDescent="0.25">
      <c r="B133" s="30" t="s">
        <v>84</v>
      </c>
      <c r="C133" s="30"/>
      <c r="D133" s="30"/>
      <c r="E133" s="30"/>
      <c r="F133" s="15">
        <f>J126-F126</f>
        <v>28329</v>
      </c>
    </row>
    <row r="134" spans="2:13" x14ac:dyDescent="0.25">
      <c r="B134" s="30" t="s">
        <v>85</v>
      </c>
      <c r="C134" s="30"/>
      <c r="D134" s="30"/>
      <c r="E134" s="30"/>
      <c r="F134" s="15">
        <f>H126-J126</f>
        <v>6468</v>
      </c>
    </row>
    <row r="135" spans="2:13" x14ac:dyDescent="0.25">
      <c r="B135" s="30" t="s">
        <v>86</v>
      </c>
      <c r="C135" s="30"/>
      <c r="D135" s="30"/>
      <c r="E135" s="30"/>
      <c r="F135" s="15">
        <f>(H126-J126)*12</f>
        <v>77616</v>
      </c>
    </row>
    <row r="137" spans="2:13" x14ac:dyDescent="0.25">
      <c r="B137" s="27" t="s">
        <v>87</v>
      </c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</row>
    <row r="138" spans="2:13" x14ac:dyDescent="0.25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</row>
    <row r="139" spans="2:13" x14ac:dyDescent="0.25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</row>
  </sheetData>
  <mergeCells count="11">
    <mergeCell ref="A1:M1"/>
    <mergeCell ref="A3:M4"/>
    <mergeCell ref="B128:F128"/>
    <mergeCell ref="B129:E129"/>
    <mergeCell ref="B130:E130"/>
    <mergeCell ref="B137:M139"/>
    <mergeCell ref="B131:E131"/>
    <mergeCell ref="B132:E132"/>
    <mergeCell ref="B133:E133"/>
    <mergeCell ref="B134:E134"/>
    <mergeCell ref="B135:E13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M133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M1"/>
    </sheetView>
  </sheetViews>
  <sheetFormatPr defaultColWidth="8.7109375" defaultRowHeight="15" x14ac:dyDescent="0.25"/>
  <cols>
    <col min="1" max="1" width="5" customWidth="1"/>
    <col min="2" max="2" width="20" customWidth="1"/>
    <col min="3" max="3" width="13" customWidth="1"/>
    <col min="4" max="4" width="11" customWidth="1"/>
    <col min="5" max="5" width="10" customWidth="1"/>
    <col min="6" max="7" width="11" customWidth="1"/>
    <col min="8" max="8" width="10" customWidth="1"/>
    <col min="9" max="13" width="11" customWidth="1"/>
  </cols>
  <sheetData>
    <row r="1" spans="1:13" ht="24" customHeight="1" x14ac:dyDescent="0.25">
      <c r="A1" s="25" t="s">
        <v>88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3" spans="1:13" ht="13.5" customHeight="1" x14ac:dyDescent="0.25">
      <c r="A3" s="28" t="s">
        <v>89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 ht="13.5" customHeight="1" x14ac:dyDescent="0.2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6" spans="1:13" ht="36" customHeight="1" x14ac:dyDescent="0.25">
      <c r="A6" s="16" t="s">
        <v>65</v>
      </c>
      <c r="B6" s="16" t="s">
        <v>66</v>
      </c>
      <c r="C6" s="16" t="s">
        <v>67</v>
      </c>
      <c r="D6" s="16" t="s">
        <v>90</v>
      </c>
      <c r="E6" s="16" t="s">
        <v>91</v>
      </c>
      <c r="F6" s="16" t="s">
        <v>92</v>
      </c>
      <c r="G6" s="16" t="s">
        <v>93</v>
      </c>
      <c r="H6" s="16" t="s">
        <v>94</v>
      </c>
      <c r="I6" s="16" t="s">
        <v>95</v>
      </c>
      <c r="J6" s="16" t="s">
        <v>96</v>
      </c>
      <c r="K6" s="16" t="s">
        <v>97</v>
      </c>
      <c r="L6" s="16" t="s">
        <v>98</v>
      </c>
      <c r="M6" s="16" t="s">
        <v>99</v>
      </c>
    </row>
    <row r="7" spans="1:13" x14ac:dyDescent="0.25">
      <c r="A7" s="6">
        <f>'Salary Sheet - WB Compliant'!A7</f>
        <v>1</v>
      </c>
      <c r="B7" s="5" t="str">
        <f>'Salary Sheet - WB Compliant'!E7</f>
        <v>ABED ALI</v>
      </c>
      <c r="C7" s="5" t="str">
        <f>'Salary Sheet - WB Compliant'!D7</f>
        <v>OFFICE STAFF</v>
      </c>
      <c r="D7" s="7">
        <f>'Salary Sheet - WB Compliant'!O7</f>
        <v>20000</v>
      </c>
      <c r="E7" s="5" t="str">
        <f t="shared" ref="E7:E38" si="0">IF(D7&lt;=21000,"Y","N")</f>
        <v>Y</v>
      </c>
      <c r="F7" s="7">
        <f t="shared" ref="F7:F38" si="1">IF(E7="Y",ROUND(D7*0.75%,0),0)</f>
        <v>150</v>
      </c>
      <c r="G7" s="7">
        <f t="shared" ref="G7:G38" si="2">IF(E7="Y",ROUND(D7*3.25%,0),0)</f>
        <v>650</v>
      </c>
      <c r="H7" s="7">
        <f>'Salary Sheet - WB Compliant'!Y7</f>
        <v>20000</v>
      </c>
      <c r="I7" s="5" t="str">
        <f>'Salary Sheet - WB Compliant'!AF7</f>
        <v>Y</v>
      </c>
      <c r="J7" s="7">
        <f>'Salary Sheet - WB Compliant'!AG7</f>
        <v>150</v>
      </c>
      <c r="K7" s="7">
        <f>'Salary Sheet - WB Compliant'!AH7</f>
        <v>650</v>
      </c>
      <c r="L7" s="5" t="str">
        <f t="shared" ref="L7:L38" si="3">IF(E7&lt;&gt;I7,"YES","No")</f>
        <v>No</v>
      </c>
      <c r="M7" s="7">
        <f t="shared" ref="M7:M38" si="4">K7-G7</f>
        <v>0</v>
      </c>
    </row>
    <row r="8" spans="1:13" x14ac:dyDescent="0.25">
      <c r="A8" s="6">
        <f>'Salary Sheet - WB Compliant'!A8</f>
        <v>2</v>
      </c>
      <c r="B8" s="5" t="str">
        <f>'Salary Sheet - WB Compliant'!E8</f>
        <v>ABHI MUKHERJEE</v>
      </c>
      <c r="C8" s="5" t="str">
        <f>'Salary Sheet - WB Compliant'!D8</f>
        <v>OFFICE STAFF</v>
      </c>
      <c r="D8" s="7">
        <f>'Salary Sheet - WB Compliant'!O8</f>
        <v>28500</v>
      </c>
      <c r="E8" s="5" t="str">
        <f t="shared" si="0"/>
        <v>N</v>
      </c>
      <c r="F8" s="7">
        <f t="shared" si="1"/>
        <v>0</v>
      </c>
      <c r="G8" s="7">
        <f t="shared" si="2"/>
        <v>0</v>
      </c>
      <c r="H8" s="7">
        <f>'Salary Sheet - WB Compliant'!Y8</f>
        <v>28500</v>
      </c>
      <c r="I8" s="5" t="str">
        <f>'Salary Sheet - WB Compliant'!AF8</f>
        <v>N</v>
      </c>
      <c r="J8" s="7">
        <f>'Salary Sheet - WB Compliant'!AG8</f>
        <v>0</v>
      </c>
      <c r="K8" s="7">
        <f>'Salary Sheet - WB Compliant'!AH8</f>
        <v>0</v>
      </c>
      <c r="L8" s="5" t="str">
        <f t="shared" si="3"/>
        <v>No</v>
      </c>
      <c r="M8" s="7">
        <f t="shared" si="4"/>
        <v>0</v>
      </c>
    </row>
    <row r="9" spans="1:13" x14ac:dyDescent="0.25">
      <c r="A9" s="6">
        <f>'Salary Sheet - WB Compliant'!A9</f>
        <v>3</v>
      </c>
      <c r="B9" s="5" t="str">
        <f>'Salary Sheet - WB Compliant'!E9</f>
        <v>ACHIN GUPTA</v>
      </c>
      <c r="C9" s="5" t="str">
        <f>'Salary Sheet - WB Compliant'!D9</f>
        <v>OFFICE STAFF</v>
      </c>
      <c r="D9" s="7">
        <f>'Salary Sheet - WB Compliant'!O9</f>
        <v>22500</v>
      </c>
      <c r="E9" s="5" t="str">
        <f t="shared" si="0"/>
        <v>N</v>
      </c>
      <c r="F9" s="7">
        <f t="shared" si="1"/>
        <v>0</v>
      </c>
      <c r="G9" s="7">
        <f t="shared" si="2"/>
        <v>0</v>
      </c>
      <c r="H9" s="7">
        <f>'Salary Sheet - WB Compliant'!Y9</f>
        <v>22500</v>
      </c>
      <c r="I9" s="5" t="str">
        <f>'Salary Sheet - WB Compliant'!AF9</f>
        <v>N</v>
      </c>
      <c r="J9" s="7">
        <f>'Salary Sheet - WB Compliant'!AG9</f>
        <v>0</v>
      </c>
      <c r="K9" s="7">
        <f>'Salary Sheet - WB Compliant'!AH9</f>
        <v>0</v>
      </c>
      <c r="L9" s="5" t="str">
        <f t="shared" si="3"/>
        <v>No</v>
      </c>
      <c r="M9" s="7">
        <f t="shared" si="4"/>
        <v>0</v>
      </c>
    </row>
    <row r="10" spans="1:13" x14ac:dyDescent="0.25">
      <c r="A10" s="6">
        <f>'Salary Sheet - WB Compliant'!A10</f>
        <v>4</v>
      </c>
      <c r="B10" s="5" t="str">
        <f>'Salary Sheet - WB Compliant'!E10</f>
        <v>AMIN YADAV (BADRI)</v>
      </c>
      <c r="C10" s="5" t="str">
        <f>'Salary Sheet - WB Compliant'!D10</f>
        <v>OFFICE STAFF</v>
      </c>
      <c r="D10" s="7">
        <f>'Salary Sheet - WB Compliant'!O10</f>
        <v>24500</v>
      </c>
      <c r="E10" s="5" t="str">
        <f t="shared" si="0"/>
        <v>N</v>
      </c>
      <c r="F10" s="7">
        <f t="shared" si="1"/>
        <v>0</v>
      </c>
      <c r="G10" s="7">
        <f t="shared" si="2"/>
        <v>0</v>
      </c>
      <c r="H10" s="7">
        <f>'Salary Sheet - WB Compliant'!Y10</f>
        <v>24500</v>
      </c>
      <c r="I10" s="5" t="str">
        <f>'Salary Sheet - WB Compliant'!AF10</f>
        <v>N</v>
      </c>
      <c r="J10" s="7">
        <f>'Salary Sheet - WB Compliant'!AG10</f>
        <v>0</v>
      </c>
      <c r="K10" s="7">
        <f>'Salary Sheet - WB Compliant'!AH10</f>
        <v>0</v>
      </c>
      <c r="L10" s="5" t="str">
        <f t="shared" si="3"/>
        <v>No</v>
      </c>
      <c r="M10" s="7">
        <f t="shared" si="4"/>
        <v>0</v>
      </c>
    </row>
    <row r="11" spans="1:13" x14ac:dyDescent="0.25">
      <c r="A11" s="6">
        <f>'Salary Sheet - WB Compliant'!A11</f>
        <v>5</v>
      </c>
      <c r="B11" s="5" t="str">
        <f>'Salary Sheet - WB Compliant'!E11</f>
        <v>ANOWAR MOLLA</v>
      </c>
      <c r="C11" s="5" t="str">
        <f>'Salary Sheet - WB Compliant'!D11</f>
        <v>OFFICE STAFF</v>
      </c>
      <c r="D11" s="7">
        <f>'Salary Sheet - WB Compliant'!O11</f>
        <v>14000</v>
      </c>
      <c r="E11" s="5" t="str">
        <f t="shared" si="0"/>
        <v>Y</v>
      </c>
      <c r="F11" s="7">
        <f t="shared" si="1"/>
        <v>105</v>
      </c>
      <c r="G11" s="7">
        <f t="shared" si="2"/>
        <v>455</v>
      </c>
      <c r="H11" s="7">
        <f>'Salary Sheet - WB Compliant'!Y11</f>
        <v>14000</v>
      </c>
      <c r="I11" s="5" t="str">
        <f>'Salary Sheet - WB Compliant'!AF11</f>
        <v>Y</v>
      </c>
      <c r="J11" s="7">
        <f>'Salary Sheet - WB Compliant'!AG11</f>
        <v>105</v>
      </c>
      <c r="K11" s="7">
        <f>'Salary Sheet - WB Compliant'!AH11</f>
        <v>455</v>
      </c>
      <c r="L11" s="5" t="str">
        <f t="shared" si="3"/>
        <v>No</v>
      </c>
      <c r="M11" s="7">
        <f t="shared" si="4"/>
        <v>0</v>
      </c>
    </row>
    <row r="12" spans="1:13" x14ac:dyDescent="0.25">
      <c r="A12" s="6">
        <f>'Salary Sheet - WB Compliant'!A12</f>
        <v>6</v>
      </c>
      <c r="B12" s="5" t="str">
        <f>'Salary Sheet - WB Compliant'!E12</f>
        <v>DIBAKAR MONDAL</v>
      </c>
      <c r="C12" s="5" t="str">
        <f>'Salary Sheet - WB Compliant'!D12</f>
        <v>OFFICE STAFF</v>
      </c>
      <c r="D12" s="7">
        <f>'Salary Sheet - WB Compliant'!O12</f>
        <v>18000</v>
      </c>
      <c r="E12" s="5" t="str">
        <f t="shared" si="0"/>
        <v>Y</v>
      </c>
      <c r="F12" s="7">
        <f t="shared" si="1"/>
        <v>135</v>
      </c>
      <c r="G12" s="7">
        <f t="shared" si="2"/>
        <v>585</v>
      </c>
      <c r="H12" s="7">
        <f>'Salary Sheet - WB Compliant'!Y12</f>
        <v>18000</v>
      </c>
      <c r="I12" s="5" t="str">
        <f>'Salary Sheet - WB Compliant'!AF12</f>
        <v>Y</v>
      </c>
      <c r="J12" s="7">
        <f>'Salary Sheet - WB Compliant'!AG12</f>
        <v>135</v>
      </c>
      <c r="K12" s="7">
        <f>'Salary Sheet - WB Compliant'!AH12</f>
        <v>585</v>
      </c>
      <c r="L12" s="5" t="str">
        <f t="shared" si="3"/>
        <v>No</v>
      </c>
      <c r="M12" s="7">
        <f t="shared" si="4"/>
        <v>0</v>
      </c>
    </row>
    <row r="13" spans="1:13" x14ac:dyDescent="0.25">
      <c r="A13" s="6">
        <f>'Salary Sheet - WB Compliant'!A13</f>
        <v>7</v>
      </c>
      <c r="B13" s="5" t="str">
        <f>'Salary Sheet - WB Compliant'!E13</f>
        <v xml:space="preserve">GOLAM SARWAR </v>
      </c>
      <c r="C13" s="5" t="str">
        <f>'Salary Sheet - WB Compliant'!D13</f>
        <v>OFFICE STAFF</v>
      </c>
      <c r="D13" s="7">
        <f>'Salary Sheet - WB Compliant'!O13</f>
        <v>26000</v>
      </c>
      <c r="E13" s="5" t="str">
        <f t="shared" si="0"/>
        <v>N</v>
      </c>
      <c r="F13" s="7">
        <f t="shared" si="1"/>
        <v>0</v>
      </c>
      <c r="G13" s="7">
        <f t="shared" si="2"/>
        <v>0</v>
      </c>
      <c r="H13" s="7">
        <f>'Salary Sheet - WB Compliant'!Y13</f>
        <v>26000</v>
      </c>
      <c r="I13" s="5" t="str">
        <f>'Salary Sheet - WB Compliant'!AF13</f>
        <v>N</v>
      </c>
      <c r="J13" s="7">
        <f>'Salary Sheet - WB Compliant'!AG13</f>
        <v>0</v>
      </c>
      <c r="K13" s="7">
        <f>'Salary Sheet - WB Compliant'!AH13</f>
        <v>0</v>
      </c>
      <c r="L13" s="5" t="str">
        <f t="shared" si="3"/>
        <v>No</v>
      </c>
      <c r="M13" s="7">
        <f t="shared" si="4"/>
        <v>0</v>
      </c>
    </row>
    <row r="14" spans="1:13" x14ac:dyDescent="0.25">
      <c r="A14" s="6">
        <f>'Salary Sheet - WB Compliant'!A14</f>
        <v>8</v>
      </c>
      <c r="B14" s="5" t="str">
        <f>'Salary Sheet - WB Compliant'!E14</f>
        <v>IMAN ALI MOLLA</v>
      </c>
      <c r="C14" s="5" t="str">
        <f>'Salary Sheet - WB Compliant'!D14</f>
        <v>OFFICE STAFF</v>
      </c>
      <c r="D14" s="7">
        <f>'Salary Sheet - WB Compliant'!O14</f>
        <v>17000</v>
      </c>
      <c r="E14" s="5" t="str">
        <f t="shared" si="0"/>
        <v>Y</v>
      </c>
      <c r="F14" s="7">
        <f t="shared" si="1"/>
        <v>128</v>
      </c>
      <c r="G14" s="7">
        <f t="shared" si="2"/>
        <v>553</v>
      </c>
      <c r="H14" s="7">
        <f>'Salary Sheet - WB Compliant'!Y14</f>
        <v>17000</v>
      </c>
      <c r="I14" s="5" t="str">
        <f>'Salary Sheet - WB Compliant'!AF14</f>
        <v>Y</v>
      </c>
      <c r="J14" s="7">
        <f>'Salary Sheet - WB Compliant'!AG14</f>
        <v>128</v>
      </c>
      <c r="K14" s="7">
        <f>'Salary Sheet - WB Compliant'!AH14</f>
        <v>553</v>
      </c>
      <c r="L14" s="5" t="str">
        <f t="shared" si="3"/>
        <v>No</v>
      </c>
      <c r="M14" s="7">
        <f t="shared" si="4"/>
        <v>0</v>
      </c>
    </row>
    <row r="15" spans="1:13" x14ac:dyDescent="0.25">
      <c r="A15" s="6">
        <f>'Salary Sheet - WB Compliant'!A15</f>
        <v>9</v>
      </c>
      <c r="B15" s="5" t="str">
        <f>'Salary Sheet - WB Compliant'!E15</f>
        <v>PULIN MONDAL</v>
      </c>
      <c r="C15" s="5" t="str">
        <f>'Salary Sheet - WB Compliant'!D15</f>
        <v>OFFICE STAFF</v>
      </c>
      <c r="D15" s="7">
        <f>'Salary Sheet - WB Compliant'!O15</f>
        <v>11500</v>
      </c>
      <c r="E15" s="5" t="str">
        <f t="shared" si="0"/>
        <v>Y</v>
      </c>
      <c r="F15" s="7">
        <f t="shared" si="1"/>
        <v>86</v>
      </c>
      <c r="G15" s="7">
        <f t="shared" si="2"/>
        <v>374</v>
      </c>
      <c r="H15" s="7">
        <f>'Salary Sheet - WB Compliant'!Y15</f>
        <v>12777</v>
      </c>
      <c r="I15" s="5" t="str">
        <f>'Salary Sheet - WB Compliant'!AF15</f>
        <v>Y</v>
      </c>
      <c r="J15" s="7">
        <f>'Salary Sheet - WB Compliant'!AG15</f>
        <v>96</v>
      </c>
      <c r="K15" s="7">
        <f>'Salary Sheet - WB Compliant'!AH15</f>
        <v>415</v>
      </c>
      <c r="L15" s="5" t="str">
        <f t="shared" si="3"/>
        <v>No</v>
      </c>
      <c r="M15" s="7">
        <f t="shared" si="4"/>
        <v>41</v>
      </c>
    </row>
    <row r="16" spans="1:13" x14ac:dyDescent="0.25">
      <c r="A16" s="6">
        <f>'Salary Sheet - WB Compliant'!A16</f>
        <v>10</v>
      </c>
      <c r="B16" s="5" t="str">
        <f>'Salary Sheet - WB Compliant'!E16</f>
        <v>RAJU PAL</v>
      </c>
      <c r="C16" s="5" t="str">
        <f>'Salary Sheet - WB Compliant'!D16</f>
        <v>OFFICE STAFF</v>
      </c>
      <c r="D16" s="7">
        <f>'Salary Sheet - WB Compliant'!O16</f>
        <v>20000</v>
      </c>
      <c r="E16" s="5" t="str">
        <f t="shared" si="0"/>
        <v>Y</v>
      </c>
      <c r="F16" s="7">
        <f t="shared" si="1"/>
        <v>150</v>
      </c>
      <c r="G16" s="7">
        <f t="shared" si="2"/>
        <v>650</v>
      </c>
      <c r="H16" s="7">
        <f>'Salary Sheet - WB Compliant'!Y16</f>
        <v>20000</v>
      </c>
      <c r="I16" s="5" t="str">
        <f>'Salary Sheet - WB Compliant'!AF16</f>
        <v>Y</v>
      </c>
      <c r="J16" s="7">
        <f>'Salary Sheet - WB Compliant'!AG16</f>
        <v>150</v>
      </c>
      <c r="K16" s="7">
        <f>'Salary Sheet - WB Compliant'!AH16</f>
        <v>650</v>
      </c>
      <c r="L16" s="5" t="str">
        <f t="shared" si="3"/>
        <v>No</v>
      </c>
      <c r="M16" s="7">
        <f t="shared" si="4"/>
        <v>0</v>
      </c>
    </row>
    <row r="17" spans="1:13" x14ac:dyDescent="0.25">
      <c r="A17" s="6">
        <f>'Salary Sheet - WB Compliant'!A17</f>
        <v>11</v>
      </c>
      <c r="B17" s="5" t="str">
        <f>'Salary Sheet - WB Compliant'!E17</f>
        <v>UJJAL MUKHERJEE</v>
      </c>
      <c r="C17" s="5" t="str">
        <f>'Salary Sheet - WB Compliant'!D17</f>
        <v>OFFICE STAFF</v>
      </c>
      <c r="D17" s="7">
        <f>'Salary Sheet - WB Compliant'!O17</f>
        <v>20000</v>
      </c>
      <c r="E17" s="5" t="str">
        <f t="shared" si="0"/>
        <v>Y</v>
      </c>
      <c r="F17" s="7">
        <f t="shared" si="1"/>
        <v>150</v>
      </c>
      <c r="G17" s="7">
        <f t="shared" si="2"/>
        <v>650</v>
      </c>
      <c r="H17" s="7">
        <f>'Salary Sheet - WB Compliant'!Y17</f>
        <v>20000</v>
      </c>
      <c r="I17" s="5" t="str">
        <f>'Salary Sheet - WB Compliant'!AF17</f>
        <v>Y</v>
      </c>
      <c r="J17" s="7">
        <f>'Salary Sheet - WB Compliant'!AG17</f>
        <v>150</v>
      </c>
      <c r="K17" s="7">
        <f>'Salary Sheet - WB Compliant'!AH17</f>
        <v>650</v>
      </c>
      <c r="L17" s="5" t="str">
        <f t="shared" si="3"/>
        <v>No</v>
      </c>
      <c r="M17" s="7">
        <f t="shared" si="4"/>
        <v>0</v>
      </c>
    </row>
    <row r="18" spans="1:13" x14ac:dyDescent="0.25">
      <c r="A18" s="6">
        <f>'Salary Sheet - WB Compliant'!A18</f>
        <v>12</v>
      </c>
      <c r="B18" s="5" t="str">
        <f>'Salary Sheet - WB Compliant'!E18</f>
        <v>PROBIR GHOSH (O)</v>
      </c>
      <c r="C18" s="5" t="str">
        <f>'Salary Sheet - WB Compliant'!D18</f>
        <v>OFFICE STAFF</v>
      </c>
      <c r="D18" s="7">
        <f>'Salary Sheet - WB Compliant'!O18</f>
        <v>16500</v>
      </c>
      <c r="E18" s="5" t="str">
        <f t="shared" si="0"/>
        <v>Y</v>
      </c>
      <c r="F18" s="7">
        <f t="shared" si="1"/>
        <v>124</v>
      </c>
      <c r="G18" s="7">
        <f t="shared" si="2"/>
        <v>536</v>
      </c>
      <c r="H18" s="7">
        <f>'Salary Sheet - WB Compliant'!Y18</f>
        <v>16500</v>
      </c>
      <c r="I18" s="5" t="str">
        <f>'Salary Sheet - WB Compliant'!AF18</f>
        <v>Y</v>
      </c>
      <c r="J18" s="7">
        <f>'Salary Sheet - WB Compliant'!AG18</f>
        <v>124</v>
      </c>
      <c r="K18" s="7">
        <f>'Salary Sheet - WB Compliant'!AH18</f>
        <v>536</v>
      </c>
      <c r="L18" s="5" t="str">
        <f t="shared" si="3"/>
        <v>No</v>
      </c>
      <c r="M18" s="7">
        <f t="shared" si="4"/>
        <v>0</v>
      </c>
    </row>
    <row r="19" spans="1:13" x14ac:dyDescent="0.25">
      <c r="A19" s="6">
        <f>'Salary Sheet - WB Compliant'!A19</f>
        <v>13</v>
      </c>
      <c r="B19" s="5" t="str">
        <f>'Salary Sheet - WB Compliant'!E19</f>
        <v>NABA KUMAR  BISWAS</v>
      </c>
      <c r="C19" s="5" t="str">
        <f>'Salary Sheet - WB Compliant'!D19</f>
        <v>OFFICE STAFF</v>
      </c>
      <c r="D19" s="7">
        <f>'Salary Sheet - WB Compliant'!O19</f>
        <v>25000</v>
      </c>
      <c r="E19" s="5" t="str">
        <f t="shared" si="0"/>
        <v>N</v>
      </c>
      <c r="F19" s="7">
        <f t="shared" si="1"/>
        <v>0</v>
      </c>
      <c r="G19" s="7">
        <f t="shared" si="2"/>
        <v>0</v>
      </c>
      <c r="H19" s="7">
        <f>'Salary Sheet - WB Compliant'!Y19</f>
        <v>25000</v>
      </c>
      <c r="I19" s="5" t="str">
        <f>'Salary Sheet - WB Compliant'!AF19</f>
        <v>N</v>
      </c>
      <c r="J19" s="7">
        <f>'Salary Sheet - WB Compliant'!AG19</f>
        <v>0</v>
      </c>
      <c r="K19" s="7">
        <f>'Salary Sheet - WB Compliant'!AH19</f>
        <v>0</v>
      </c>
      <c r="L19" s="5" t="str">
        <f t="shared" si="3"/>
        <v>No</v>
      </c>
      <c r="M19" s="7">
        <f t="shared" si="4"/>
        <v>0</v>
      </c>
    </row>
    <row r="20" spans="1:13" x14ac:dyDescent="0.25">
      <c r="A20" s="6">
        <f>'Salary Sheet - WB Compliant'!A20</f>
        <v>14</v>
      </c>
      <c r="B20" s="5" t="str">
        <f>'Salary Sheet - WB Compliant'!E20</f>
        <v>ASIM KHUNTIA</v>
      </c>
      <c r="C20" s="5" t="str">
        <f>'Salary Sheet - WB Compliant'!D20</f>
        <v>OFFICE STAFF</v>
      </c>
      <c r="D20" s="7">
        <f>'Salary Sheet - WB Compliant'!O20</f>
        <v>40000</v>
      </c>
      <c r="E20" s="5" t="str">
        <f t="shared" si="0"/>
        <v>N</v>
      </c>
      <c r="F20" s="7">
        <f t="shared" si="1"/>
        <v>0</v>
      </c>
      <c r="G20" s="7">
        <f t="shared" si="2"/>
        <v>0</v>
      </c>
      <c r="H20" s="7">
        <f>'Salary Sheet - WB Compliant'!Y20</f>
        <v>40000</v>
      </c>
      <c r="I20" s="5" t="str">
        <f>'Salary Sheet - WB Compliant'!AF20</f>
        <v>N</v>
      </c>
      <c r="J20" s="7">
        <f>'Salary Sheet - WB Compliant'!AG20</f>
        <v>0</v>
      </c>
      <c r="K20" s="7">
        <f>'Salary Sheet - WB Compliant'!AH20</f>
        <v>0</v>
      </c>
      <c r="L20" s="5" t="str">
        <f t="shared" si="3"/>
        <v>No</v>
      </c>
      <c r="M20" s="7">
        <f t="shared" si="4"/>
        <v>0</v>
      </c>
    </row>
    <row r="21" spans="1:13" x14ac:dyDescent="0.25">
      <c r="A21" s="6">
        <f>'Salary Sheet - WB Compliant'!A21</f>
        <v>15</v>
      </c>
      <c r="B21" s="5" t="str">
        <f>'Salary Sheet - WB Compliant'!E21</f>
        <v>MANABINDU BISWAS</v>
      </c>
      <c r="C21" s="5" t="str">
        <f>'Salary Sheet - WB Compliant'!D21</f>
        <v>OFFICE STAFF</v>
      </c>
      <c r="D21" s="7">
        <f>'Salary Sheet - WB Compliant'!O21</f>
        <v>16500</v>
      </c>
      <c r="E21" s="5" t="str">
        <f t="shared" si="0"/>
        <v>Y</v>
      </c>
      <c r="F21" s="7">
        <f t="shared" si="1"/>
        <v>124</v>
      </c>
      <c r="G21" s="7">
        <f t="shared" si="2"/>
        <v>536</v>
      </c>
      <c r="H21" s="7">
        <f>'Salary Sheet - WB Compliant'!Y21</f>
        <v>16500</v>
      </c>
      <c r="I21" s="5" t="str">
        <f>'Salary Sheet - WB Compliant'!AF21</f>
        <v>Y</v>
      </c>
      <c r="J21" s="7">
        <f>'Salary Sheet - WB Compliant'!AG21</f>
        <v>124</v>
      </c>
      <c r="K21" s="7">
        <f>'Salary Sheet - WB Compliant'!AH21</f>
        <v>536</v>
      </c>
      <c r="L21" s="5" t="str">
        <f t="shared" si="3"/>
        <v>No</v>
      </c>
      <c r="M21" s="7">
        <f t="shared" si="4"/>
        <v>0</v>
      </c>
    </row>
    <row r="22" spans="1:13" x14ac:dyDescent="0.25">
      <c r="A22" s="6">
        <f>'Salary Sheet - WB Compliant'!A22</f>
        <v>16</v>
      </c>
      <c r="B22" s="5" t="str">
        <f>'Salary Sheet - WB Compliant'!E22</f>
        <v>SUVANKAR SAMADDAR</v>
      </c>
      <c r="C22" s="5" t="str">
        <f>'Salary Sheet - WB Compliant'!D22</f>
        <v>OFFICE STAFF</v>
      </c>
      <c r="D22" s="7">
        <f>'Salary Sheet - WB Compliant'!O22</f>
        <v>23000</v>
      </c>
      <c r="E22" s="5" t="str">
        <f t="shared" si="0"/>
        <v>N</v>
      </c>
      <c r="F22" s="7">
        <f t="shared" si="1"/>
        <v>0</v>
      </c>
      <c r="G22" s="7">
        <f t="shared" si="2"/>
        <v>0</v>
      </c>
      <c r="H22" s="7">
        <f>'Salary Sheet - WB Compliant'!Y22</f>
        <v>23000</v>
      </c>
      <c r="I22" s="5" t="str">
        <f>'Salary Sheet - WB Compliant'!AF22</f>
        <v>N</v>
      </c>
      <c r="J22" s="7">
        <f>'Salary Sheet - WB Compliant'!AG22</f>
        <v>0</v>
      </c>
      <c r="K22" s="7">
        <f>'Salary Sheet - WB Compliant'!AH22</f>
        <v>0</v>
      </c>
      <c r="L22" s="5" t="str">
        <f t="shared" si="3"/>
        <v>No</v>
      </c>
      <c r="M22" s="7">
        <f t="shared" si="4"/>
        <v>0</v>
      </c>
    </row>
    <row r="23" spans="1:13" x14ac:dyDescent="0.25">
      <c r="A23" s="6">
        <f>'Salary Sheet - WB Compliant'!A23</f>
        <v>17</v>
      </c>
      <c r="B23" s="5" t="str">
        <f>'Salary Sheet - WB Compliant'!E23</f>
        <v xml:space="preserve">ANISUR </v>
      </c>
      <c r="C23" s="5" t="str">
        <f>'Salary Sheet - WB Compliant'!D23</f>
        <v>DRIVER</v>
      </c>
      <c r="D23" s="7">
        <f>'Salary Sheet - WB Compliant'!O23</f>
        <v>20200</v>
      </c>
      <c r="E23" s="5" t="str">
        <f t="shared" si="0"/>
        <v>Y</v>
      </c>
      <c r="F23" s="7">
        <f t="shared" si="1"/>
        <v>152</v>
      </c>
      <c r="G23" s="7">
        <f t="shared" si="2"/>
        <v>657</v>
      </c>
      <c r="H23" s="7">
        <f>'Salary Sheet - WB Compliant'!Y23</f>
        <v>20200</v>
      </c>
      <c r="I23" s="5" t="str">
        <f>'Salary Sheet - WB Compliant'!AF23</f>
        <v>Y</v>
      </c>
      <c r="J23" s="7">
        <f>'Salary Sheet - WB Compliant'!AG23</f>
        <v>152</v>
      </c>
      <c r="K23" s="7">
        <f>'Salary Sheet - WB Compliant'!AH23</f>
        <v>657</v>
      </c>
      <c r="L23" s="5" t="str">
        <f t="shared" si="3"/>
        <v>No</v>
      </c>
      <c r="M23" s="7">
        <f t="shared" si="4"/>
        <v>0</v>
      </c>
    </row>
    <row r="24" spans="1:13" x14ac:dyDescent="0.25">
      <c r="A24" s="6">
        <f>'Salary Sheet - WB Compliant'!A24</f>
        <v>18</v>
      </c>
      <c r="B24" s="5" t="str">
        <f>'Salary Sheet - WB Compliant'!E24</f>
        <v>ARJUN KR. RAI</v>
      </c>
      <c r="C24" s="5" t="str">
        <f>'Salary Sheet - WB Compliant'!D24</f>
        <v>DRIVER</v>
      </c>
      <c r="D24" s="7">
        <f>'Salary Sheet - WB Compliant'!O24</f>
        <v>17300</v>
      </c>
      <c r="E24" s="5" t="str">
        <f t="shared" si="0"/>
        <v>Y</v>
      </c>
      <c r="F24" s="7">
        <f t="shared" si="1"/>
        <v>130</v>
      </c>
      <c r="G24" s="7">
        <f t="shared" si="2"/>
        <v>562</v>
      </c>
      <c r="H24" s="7">
        <f>'Salary Sheet - WB Compliant'!Y24</f>
        <v>17300</v>
      </c>
      <c r="I24" s="5" t="str">
        <f>'Salary Sheet - WB Compliant'!AF24</f>
        <v>Y</v>
      </c>
      <c r="J24" s="7">
        <f>'Salary Sheet - WB Compliant'!AG24</f>
        <v>130</v>
      </c>
      <c r="K24" s="7">
        <f>'Salary Sheet - WB Compliant'!AH24</f>
        <v>562</v>
      </c>
      <c r="L24" s="5" t="str">
        <f t="shared" si="3"/>
        <v>No</v>
      </c>
      <c r="M24" s="7">
        <f t="shared" si="4"/>
        <v>0</v>
      </c>
    </row>
    <row r="25" spans="1:13" x14ac:dyDescent="0.25">
      <c r="A25" s="6">
        <f>'Salary Sheet - WB Compliant'!A25</f>
        <v>19</v>
      </c>
      <c r="B25" s="5" t="str">
        <f>'Salary Sheet - WB Compliant'!E25</f>
        <v xml:space="preserve">ARMAN ALI MONDAL </v>
      </c>
      <c r="C25" s="5" t="str">
        <f>'Salary Sheet - WB Compliant'!D25</f>
        <v>DRIVER</v>
      </c>
      <c r="D25" s="7">
        <f>'Salary Sheet - WB Compliant'!O25</f>
        <v>15900</v>
      </c>
      <c r="E25" s="5" t="str">
        <f t="shared" si="0"/>
        <v>Y</v>
      </c>
      <c r="F25" s="7">
        <f t="shared" si="1"/>
        <v>119</v>
      </c>
      <c r="G25" s="7">
        <f t="shared" si="2"/>
        <v>517</v>
      </c>
      <c r="H25" s="7">
        <f>'Salary Sheet - WB Compliant'!Y25</f>
        <v>15900</v>
      </c>
      <c r="I25" s="5" t="str">
        <f>'Salary Sheet - WB Compliant'!AF25</f>
        <v>Y</v>
      </c>
      <c r="J25" s="7">
        <f>'Salary Sheet - WB Compliant'!AG25</f>
        <v>119</v>
      </c>
      <c r="K25" s="7">
        <f>'Salary Sheet - WB Compliant'!AH25</f>
        <v>517</v>
      </c>
      <c r="L25" s="5" t="str">
        <f t="shared" si="3"/>
        <v>No</v>
      </c>
      <c r="M25" s="7">
        <f t="shared" si="4"/>
        <v>0</v>
      </c>
    </row>
    <row r="26" spans="1:13" x14ac:dyDescent="0.25">
      <c r="A26" s="6">
        <f>'Salary Sheet - WB Compliant'!A26</f>
        <v>20</v>
      </c>
      <c r="B26" s="5" t="str">
        <f>'Salary Sheet - WB Compliant'!E26</f>
        <v>ASUTOSH SARDAR</v>
      </c>
      <c r="C26" s="5" t="str">
        <f>'Salary Sheet - WB Compliant'!D26</f>
        <v>HELPER</v>
      </c>
      <c r="D26" s="7">
        <f>'Salary Sheet - WB Compliant'!O26</f>
        <v>12200</v>
      </c>
      <c r="E26" s="5" t="str">
        <f t="shared" si="0"/>
        <v>Y</v>
      </c>
      <c r="F26" s="7">
        <f t="shared" si="1"/>
        <v>92</v>
      </c>
      <c r="G26" s="7">
        <f t="shared" si="2"/>
        <v>397</v>
      </c>
      <c r="H26" s="7">
        <f>'Salary Sheet - WB Compliant'!Y26</f>
        <v>12200</v>
      </c>
      <c r="I26" s="5" t="str">
        <f>'Salary Sheet - WB Compliant'!AF26</f>
        <v>Y</v>
      </c>
      <c r="J26" s="7">
        <f>'Salary Sheet - WB Compliant'!AG26</f>
        <v>92</v>
      </c>
      <c r="K26" s="7">
        <f>'Salary Sheet - WB Compliant'!AH26</f>
        <v>397</v>
      </c>
      <c r="L26" s="5" t="str">
        <f t="shared" si="3"/>
        <v>No</v>
      </c>
      <c r="M26" s="7">
        <f t="shared" si="4"/>
        <v>0</v>
      </c>
    </row>
    <row r="27" spans="1:13" x14ac:dyDescent="0.25">
      <c r="A27" s="6">
        <f>'Salary Sheet - WB Compliant'!A27</f>
        <v>21</v>
      </c>
      <c r="B27" s="5" t="str">
        <f>'Salary Sheet - WB Compliant'!E27</f>
        <v>BUDDHADEV SEAL</v>
      </c>
      <c r="C27" s="5" t="str">
        <f>'Salary Sheet - WB Compliant'!D27</f>
        <v>LAB TECHNICIAN</v>
      </c>
      <c r="D27" s="7">
        <f>'Salary Sheet - WB Compliant'!O27</f>
        <v>15225</v>
      </c>
      <c r="E27" s="5" t="str">
        <f t="shared" si="0"/>
        <v>Y</v>
      </c>
      <c r="F27" s="7">
        <f t="shared" si="1"/>
        <v>114</v>
      </c>
      <c r="G27" s="7">
        <f t="shared" si="2"/>
        <v>495</v>
      </c>
      <c r="H27" s="7">
        <f>'Salary Sheet - WB Compliant'!Y27</f>
        <v>15225</v>
      </c>
      <c r="I27" s="5" t="str">
        <f>'Salary Sheet - WB Compliant'!AF27</f>
        <v>Y</v>
      </c>
      <c r="J27" s="7">
        <f>'Salary Sheet - WB Compliant'!AG27</f>
        <v>114</v>
      </c>
      <c r="K27" s="7">
        <f>'Salary Sheet - WB Compliant'!AH27</f>
        <v>495</v>
      </c>
      <c r="L27" s="5" t="str">
        <f t="shared" si="3"/>
        <v>No</v>
      </c>
      <c r="M27" s="7">
        <f t="shared" si="4"/>
        <v>0</v>
      </c>
    </row>
    <row r="28" spans="1:13" x14ac:dyDescent="0.25">
      <c r="A28" s="6">
        <f>'Salary Sheet - WB Compliant'!A28</f>
        <v>22</v>
      </c>
      <c r="B28" s="5" t="str">
        <f>'Salary Sheet - WB Compliant'!E28</f>
        <v xml:space="preserve">FARUK ALI </v>
      </c>
      <c r="C28" s="5" t="str">
        <f>'Salary Sheet - WB Compliant'!D28</f>
        <v>DRIVER</v>
      </c>
      <c r="D28" s="7">
        <f>'Salary Sheet - WB Compliant'!O28</f>
        <v>15800</v>
      </c>
      <c r="E28" s="5" t="str">
        <f t="shared" si="0"/>
        <v>Y</v>
      </c>
      <c r="F28" s="7">
        <f t="shared" si="1"/>
        <v>119</v>
      </c>
      <c r="G28" s="7">
        <f t="shared" si="2"/>
        <v>514</v>
      </c>
      <c r="H28" s="7">
        <f>'Salary Sheet - WB Compliant'!Y28</f>
        <v>15800</v>
      </c>
      <c r="I28" s="5" t="str">
        <f>'Salary Sheet - WB Compliant'!AF28</f>
        <v>Y</v>
      </c>
      <c r="J28" s="7">
        <f>'Salary Sheet - WB Compliant'!AG28</f>
        <v>119</v>
      </c>
      <c r="K28" s="7">
        <f>'Salary Sheet - WB Compliant'!AH28</f>
        <v>514</v>
      </c>
      <c r="L28" s="5" t="str">
        <f t="shared" si="3"/>
        <v>No</v>
      </c>
      <c r="M28" s="7">
        <f t="shared" si="4"/>
        <v>0</v>
      </c>
    </row>
    <row r="29" spans="1:13" x14ac:dyDescent="0.25">
      <c r="A29" s="6">
        <f>'Salary Sheet - WB Compliant'!A29</f>
        <v>23</v>
      </c>
      <c r="B29" s="5" t="str">
        <f>'Salary Sheet - WB Compliant'!E29</f>
        <v>KUTUBUDDIN MOLLA</v>
      </c>
      <c r="C29" s="5" t="str">
        <f>'Salary Sheet - WB Compliant'!D29</f>
        <v>HOPPER</v>
      </c>
      <c r="D29" s="7">
        <f>'Salary Sheet - WB Compliant'!O29</f>
        <v>15000</v>
      </c>
      <c r="E29" s="5" t="str">
        <f t="shared" si="0"/>
        <v>Y</v>
      </c>
      <c r="F29" s="7">
        <f t="shared" si="1"/>
        <v>113</v>
      </c>
      <c r="G29" s="7">
        <f t="shared" si="2"/>
        <v>488</v>
      </c>
      <c r="H29" s="7">
        <f>'Salary Sheet - WB Compliant'!Y29</f>
        <v>15000</v>
      </c>
      <c r="I29" s="5" t="str">
        <f>'Salary Sheet - WB Compliant'!AF29</f>
        <v>Y</v>
      </c>
      <c r="J29" s="7">
        <f>'Salary Sheet - WB Compliant'!AG29</f>
        <v>113</v>
      </c>
      <c r="K29" s="7">
        <f>'Salary Sheet - WB Compliant'!AH29</f>
        <v>488</v>
      </c>
      <c r="L29" s="5" t="str">
        <f t="shared" si="3"/>
        <v>No</v>
      </c>
      <c r="M29" s="7">
        <f t="shared" si="4"/>
        <v>0</v>
      </c>
    </row>
    <row r="30" spans="1:13" x14ac:dyDescent="0.25">
      <c r="A30" s="6">
        <f>'Salary Sheet - WB Compliant'!A30</f>
        <v>24</v>
      </c>
      <c r="B30" s="5" t="str">
        <f>'Salary Sheet - WB Compliant'!E30</f>
        <v>MD. SAMIM AKRAM (JCB DEIVER)</v>
      </c>
      <c r="C30" s="5" t="str">
        <f>'Salary Sheet - WB Compliant'!D30</f>
        <v>OTHERS</v>
      </c>
      <c r="D30" s="7">
        <f>'Salary Sheet - WB Compliant'!O30</f>
        <v>15500</v>
      </c>
      <c r="E30" s="5" t="str">
        <f t="shared" si="0"/>
        <v>Y</v>
      </c>
      <c r="F30" s="7">
        <f t="shared" si="1"/>
        <v>116</v>
      </c>
      <c r="G30" s="7">
        <f t="shared" si="2"/>
        <v>504</v>
      </c>
      <c r="H30" s="7">
        <f>'Salary Sheet - WB Compliant'!Y30</f>
        <v>15500</v>
      </c>
      <c r="I30" s="5" t="str">
        <f>'Salary Sheet - WB Compliant'!AF30</f>
        <v>Y</v>
      </c>
      <c r="J30" s="7">
        <f>'Salary Sheet - WB Compliant'!AG30</f>
        <v>116</v>
      </c>
      <c r="K30" s="7">
        <f>'Salary Sheet - WB Compliant'!AH30</f>
        <v>504</v>
      </c>
      <c r="L30" s="5" t="str">
        <f t="shared" si="3"/>
        <v>No</v>
      </c>
      <c r="M30" s="7">
        <f t="shared" si="4"/>
        <v>0</v>
      </c>
    </row>
    <row r="31" spans="1:13" x14ac:dyDescent="0.25">
      <c r="A31" s="6">
        <f>'Salary Sheet - WB Compliant'!A31</f>
        <v>25</v>
      </c>
      <c r="B31" s="5" t="str">
        <f>'Salary Sheet - WB Compliant'!E31</f>
        <v>MOTIAR RAHAMAN</v>
      </c>
      <c r="C31" s="5" t="str">
        <f>'Salary Sheet - WB Compliant'!D31</f>
        <v>DRIVER</v>
      </c>
      <c r="D31" s="7">
        <f>'Salary Sheet - WB Compliant'!O31</f>
        <v>17300</v>
      </c>
      <c r="E31" s="5" t="str">
        <f t="shared" si="0"/>
        <v>Y</v>
      </c>
      <c r="F31" s="7">
        <f t="shared" si="1"/>
        <v>130</v>
      </c>
      <c r="G31" s="7">
        <f t="shared" si="2"/>
        <v>562</v>
      </c>
      <c r="H31" s="7">
        <f>'Salary Sheet - WB Compliant'!Y31</f>
        <v>17300</v>
      </c>
      <c r="I31" s="5" t="str">
        <f>'Salary Sheet - WB Compliant'!AF31</f>
        <v>Y</v>
      </c>
      <c r="J31" s="7">
        <f>'Salary Sheet - WB Compliant'!AG31</f>
        <v>130</v>
      </c>
      <c r="K31" s="7">
        <f>'Salary Sheet - WB Compliant'!AH31</f>
        <v>562</v>
      </c>
      <c r="L31" s="5" t="str">
        <f t="shared" si="3"/>
        <v>No</v>
      </c>
      <c r="M31" s="7">
        <f t="shared" si="4"/>
        <v>0</v>
      </c>
    </row>
    <row r="32" spans="1:13" x14ac:dyDescent="0.25">
      <c r="A32" s="6">
        <f>'Salary Sheet - WB Compliant'!A32</f>
        <v>26</v>
      </c>
      <c r="B32" s="5" t="str">
        <f>'Salary Sheet - WB Compliant'!E32</f>
        <v>MOKSHED ALI</v>
      </c>
      <c r="C32" s="5" t="str">
        <f>'Salary Sheet - WB Compliant'!D32</f>
        <v>DRIVER</v>
      </c>
      <c r="D32" s="7">
        <f>'Salary Sheet - WB Compliant'!O32</f>
        <v>19000</v>
      </c>
      <c r="E32" s="5" t="str">
        <f t="shared" si="0"/>
        <v>Y</v>
      </c>
      <c r="F32" s="7">
        <f t="shared" si="1"/>
        <v>143</v>
      </c>
      <c r="G32" s="7">
        <f t="shared" si="2"/>
        <v>618</v>
      </c>
      <c r="H32" s="7">
        <f>'Salary Sheet - WB Compliant'!Y32</f>
        <v>19000</v>
      </c>
      <c r="I32" s="5" t="str">
        <f>'Salary Sheet - WB Compliant'!AF32</f>
        <v>Y</v>
      </c>
      <c r="J32" s="7">
        <f>'Salary Sheet - WB Compliant'!AG32</f>
        <v>143</v>
      </c>
      <c r="K32" s="7">
        <f>'Salary Sheet - WB Compliant'!AH32</f>
        <v>618</v>
      </c>
      <c r="L32" s="5" t="str">
        <f t="shared" si="3"/>
        <v>No</v>
      </c>
      <c r="M32" s="7">
        <f t="shared" si="4"/>
        <v>0</v>
      </c>
    </row>
    <row r="33" spans="1:13" x14ac:dyDescent="0.25">
      <c r="A33" s="6">
        <f>'Salary Sheet - WB Compliant'!A33</f>
        <v>27</v>
      </c>
      <c r="B33" s="5" t="str">
        <f>'Salary Sheet - WB Compliant'!E33</f>
        <v xml:space="preserve">SAMSER ALI </v>
      </c>
      <c r="C33" s="5" t="str">
        <f>'Salary Sheet - WB Compliant'!D33</f>
        <v>DRIVER</v>
      </c>
      <c r="D33" s="7">
        <f>'Salary Sheet - WB Compliant'!O33</f>
        <v>20600</v>
      </c>
      <c r="E33" s="5" t="str">
        <f t="shared" si="0"/>
        <v>Y</v>
      </c>
      <c r="F33" s="7">
        <f t="shared" si="1"/>
        <v>155</v>
      </c>
      <c r="G33" s="7">
        <f t="shared" si="2"/>
        <v>670</v>
      </c>
      <c r="H33" s="7">
        <f>'Salary Sheet - WB Compliant'!Y33</f>
        <v>20600</v>
      </c>
      <c r="I33" s="5" t="str">
        <f>'Salary Sheet - WB Compliant'!AF33</f>
        <v>Y</v>
      </c>
      <c r="J33" s="7">
        <f>'Salary Sheet - WB Compliant'!AG33</f>
        <v>155</v>
      </c>
      <c r="K33" s="7">
        <f>'Salary Sheet - WB Compliant'!AH33</f>
        <v>670</v>
      </c>
      <c r="L33" s="5" t="str">
        <f t="shared" si="3"/>
        <v>No</v>
      </c>
      <c r="M33" s="7">
        <f t="shared" si="4"/>
        <v>0</v>
      </c>
    </row>
    <row r="34" spans="1:13" x14ac:dyDescent="0.25">
      <c r="A34" s="6">
        <f>'Salary Sheet - WB Compliant'!A34</f>
        <v>28</v>
      </c>
      <c r="B34" s="5" t="str">
        <f>'Salary Sheet - WB Compliant'!E34</f>
        <v>SHANTI  MONDAL</v>
      </c>
      <c r="C34" s="5" t="str">
        <f>'Salary Sheet - WB Compliant'!D34</f>
        <v>DRIVER</v>
      </c>
      <c r="D34" s="7">
        <f>'Salary Sheet - WB Compliant'!O34</f>
        <v>20000</v>
      </c>
      <c r="E34" s="5" t="str">
        <f t="shared" si="0"/>
        <v>Y</v>
      </c>
      <c r="F34" s="7">
        <f t="shared" si="1"/>
        <v>150</v>
      </c>
      <c r="G34" s="7">
        <f t="shared" si="2"/>
        <v>650</v>
      </c>
      <c r="H34" s="7">
        <f>'Salary Sheet - WB Compliant'!Y34</f>
        <v>20000</v>
      </c>
      <c r="I34" s="5" t="str">
        <f>'Salary Sheet - WB Compliant'!AF34</f>
        <v>Y</v>
      </c>
      <c r="J34" s="7">
        <f>'Salary Sheet - WB Compliant'!AG34</f>
        <v>150</v>
      </c>
      <c r="K34" s="7">
        <f>'Salary Sheet - WB Compliant'!AH34</f>
        <v>650</v>
      </c>
      <c r="L34" s="5" t="str">
        <f t="shared" si="3"/>
        <v>No</v>
      </c>
      <c r="M34" s="7">
        <f t="shared" si="4"/>
        <v>0</v>
      </c>
    </row>
    <row r="35" spans="1:13" x14ac:dyDescent="0.25">
      <c r="A35" s="6">
        <f>'Salary Sheet - WB Compliant'!A35</f>
        <v>29</v>
      </c>
      <c r="B35" s="5" t="str">
        <f>'Salary Sheet - WB Compliant'!E35</f>
        <v xml:space="preserve">SIRAJUL  MOLLA  </v>
      </c>
      <c r="C35" s="5" t="str">
        <f>'Salary Sheet - WB Compliant'!D35</f>
        <v>DRIVER</v>
      </c>
      <c r="D35" s="7">
        <f>'Salary Sheet - WB Compliant'!O35</f>
        <v>15700</v>
      </c>
      <c r="E35" s="5" t="str">
        <f t="shared" si="0"/>
        <v>Y</v>
      </c>
      <c r="F35" s="7">
        <f t="shared" si="1"/>
        <v>118</v>
      </c>
      <c r="G35" s="7">
        <f t="shared" si="2"/>
        <v>510</v>
      </c>
      <c r="H35" s="7">
        <f>'Salary Sheet - WB Compliant'!Y35</f>
        <v>15700</v>
      </c>
      <c r="I35" s="5" t="str">
        <f>'Salary Sheet - WB Compliant'!AF35</f>
        <v>Y</v>
      </c>
      <c r="J35" s="7">
        <f>'Salary Sheet - WB Compliant'!AG35</f>
        <v>118</v>
      </c>
      <c r="K35" s="7">
        <f>'Salary Sheet - WB Compliant'!AH35</f>
        <v>510</v>
      </c>
      <c r="L35" s="5" t="str">
        <f t="shared" si="3"/>
        <v>No</v>
      </c>
      <c r="M35" s="7">
        <f t="shared" si="4"/>
        <v>0</v>
      </c>
    </row>
    <row r="36" spans="1:13" x14ac:dyDescent="0.25">
      <c r="A36" s="6">
        <f>'Salary Sheet - WB Compliant'!A36</f>
        <v>30</v>
      </c>
      <c r="B36" s="5" t="str">
        <f>'Salary Sheet - WB Compliant'!E36</f>
        <v>SK. ANARUL ISLAM</v>
      </c>
      <c r="C36" s="5" t="str">
        <f>'Salary Sheet - WB Compliant'!D36</f>
        <v>HELPER</v>
      </c>
      <c r="D36" s="7">
        <f>'Salary Sheet - WB Compliant'!O36</f>
        <v>12600</v>
      </c>
      <c r="E36" s="5" t="str">
        <f t="shared" si="0"/>
        <v>Y</v>
      </c>
      <c r="F36" s="7">
        <f t="shared" si="1"/>
        <v>95</v>
      </c>
      <c r="G36" s="7">
        <f t="shared" si="2"/>
        <v>410</v>
      </c>
      <c r="H36" s="7">
        <f>'Salary Sheet - WB Compliant'!Y36</f>
        <v>12600</v>
      </c>
      <c r="I36" s="5" t="str">
        <f>'Salary Sheet - WB Compliant'!AF36</f>
        <v>Y</v>
      </c>
      <c r="J36" s="7">
        <f>'Salary Sheet - WB Compliant'!AG36</f>
        <v>95</v>
      </c>
      <c r="K36" s="7">
        <f>'Salary Sheet - WB Compliant'!AH36</f>
        <v>410</v>
      </c>
      <c r="L36" s="5" t="str">
        <f t="shared" si="3"/>
        <v>No</v>
      </c>
      <c r="M36" s="7">
        <f t="shared" si="4"/>
        <v>0</v>
      </c>
    </row>
    <row r="37" spans="1:13" x14ac:dyDescent="0.25">
      <c r="A37" s="6">
        <f>'Salary Sheet - WB Compliant'!A37</f>
        <v>31</v>
      </c>
      <c r="B37" s="5" t="str">
        <f>'Salary Sheet - WB Compliant'!E37</f>
        <v>SRISTI DHAR MONDAL</v>
      </c>
      <c r="C37" s="5" t="str">
        <f>'Salary Sheet - WB Compliant'!D37</f>
        <v>HOPPER</v>
      </c>
      <c r="D37" s="7">
        <f>'Salary Sheet - WB Compliant'!O37</f>
        <v>14000</v>
      </c>
      <c r="E37" s="5" t="str">
        <f t="shared" si="0"/>
        <v>Y</v>
      </c>
      <c r="F37" s="7">
        <f t="shared" si="1"/>
        <v>105</v>
      </c>
      <c r="G37" s="7">
        <f t="shared" si="2"/>
        <v>455</v>
      </c>
      <c r="H37" s="7">
        <f>'Salary Sheet - WB Compliant'!Y37</f>
        <v>14000</v>
      </c>
      <c r="I37" s="5" t="str">
        <f>'Salary Sheet - WB Compliant'!AF37</f>
        <v>Y</v>
      </c>
      <c r="J37" s="7">
        <f>'Salary Sheet - WB Compliant'!AG37</f>
        <v>105</v>
      </c>
      <c r="K37" s="7">
        <f>'Salary Sheet - WB Compliant'!AH37</f>
        <v>455</v>
      </c>
      <c r="L37" s="5" t="str">
        <f t="shared" si="3"/>
        <v>No</v>
      </c>
      <c r="M37" s="7">
        <f t="shared" si="4"/>
        <v>0</v>
      </c>
    </row>
    <row r="38" spans="1:13" x14ac:dyDescent="0.25">
      <c r="A38" s="6">
        <f>'Salary Sheet - WB Compliant'!A38</f>
        <v>32</v>
      </c>
      <c r="B38" s="5" t="str">
        <f>'Salary Sheet - WB Compliant'!E38</f>
        <v>SUDHAN MONDAL</v>
      </c>
      <c r="C38" s="5" t="str">
        <f>'Salary Sheet - WB Compliant'!D38</f>
        <v>HOPPER</v>
      </c>
      <c r="D38" s="7">
        <f>'Salary Sheet - WB Compliant'!O38</f>
        <v>15200</v>
      </c>
      <c r="E38" s="5" t="str">
        <f t="shared" si="0"/>
        <v>Y</v>
      </c>
      <c r="F38" s="7">
        <f t="shared" si="1"/>
        <v>114</v>
      </c>
      <c r="G38" s="7">
        <f t="shared" si="2"/>
        <v>494</v>
      </c>
      <c r="H38" s="7">
        <f>'Salary Sheet - WB Compliant'!Y38</f>
        <v>15200</v>
      </c>
      <c r="I38" s="5" t="str">
        <f>'Salary Sheet - WB Compliant'!AF38</f>
        <v>Y</v>
      </c>
      <c r="J38" s="7">
        <f>'Salary Sheet - WB Compliant'!AG38</f>
        <v>114</v>
      </c>
      <c r="K38" s="7">
        <f>'Salary Sheet - WB Compliant'!AH38</f>
        <v>494</v>
      </c>
      <c r="L38" s="5" t="str">
        <f t="shared" si="3"/>
        <v>No</v>
      </c>
      <c r="M38" s="7">
        <f t="shared" si="4"/>
        <v>0</v>
      </c>
    </row>
    <row r="39" spans="1:13" x14ac:dyDescent="0.25">
      <c r="A39" s="6">
        <f>'Salary Sheet - WB Compliant'!A39</f>
        <v>33</v>
      </c>
      <c r="B39" s="5" t="str">
        <f>'Salary Sheet - WB Compliant'!E39</f>
        <v>SWAPAN MONDAL</v>
      </c>
      <c r="C39" s="5" t="str">
        <f>'Salary Sheet - WB Compliant'!D39</f>
        <v>LAB TECHNICIAN</v>
      </c>
      <c r="D39" s="7">
        <f>'Salary Sheet - WB Compliant'!O39</f>
        <v>16800</v>
      </c>
      <c r="E39" s="5" t="str">
        <f t="shared" ref="E39:E70" si="5">IF(D39&lt;=21000,"Y","N")</f>
        <v>Y</v>
      </c>
      <c r="F39" s="7">
        <f t="shared" ref="F39:F70" si="6">IF(E39="Y",ROUND(D39*0.75%,0),0)</f>
        <v>126</v>
      </c>
      <c r="G39" s="7">
        <f t="shared" ref="G39:G70" si="7">IF(E39="Y",ROUND(D39*3.25%,0),0)</f>
        <v>546</v>
      </c>
      <c r="H39" s="7">
        <f>'Salary Sheet - WB Compliant'!Y39</f>
        <v>16800</v>
      </c>
      <c r="I39" s="5" t="str">
        <f>'Salary Sheet - WB Compliant'!AF39</f>
        <v>Y</v>
      </c>
      <c r="J39" s="7">
        <f>'Salary Sheet - WB Compliant'!AG39</f>
        <v>126</v>
      </c>
      <c r="K39" s="7">
        <f>'Salary Sheet - WB Compliant'!AH39</f>
        <v>546</v>
      </c>
      <c r="L39" s="5" t="str">
        <f t="shared" ref="L39:L70" si="8">IF(E39&lt;&gt;I39,"YES","No")</f>
        <v>No</v>
      </c>
      <c r="M39" s="7">
        <f t="shared" ref="M39:M70" si="9">K39-G39</f>
        <v>0</v>
      </c>
    </row>
    <row r="40" spans="1:13" x14ac:dyDescent="0.25">
      <c r="A40" s="6">
        <f>'Salary Sheet - WB Compliant'!A40</f>
        <v>34</v>
      </c>
      <c r="B40" s="5" t="str">
        <f>'Salary Sheet - WB Compliant'!E40</f>
        <v>MOSIAR MOLLA</v>
      </c>
      <c r="C40" s="5" t="str">
        <f>'Salary Sheet - WB Compliant'!D40</f>
        <v>DRIVER</v>
      </c>
      <c r="D40" s="7">
        <f>'Salary Sheet - WB Compliant'!O40</f>
        <v>19000</v>
      </c>
      <c r="E40" s="5" t="str">
        <f t="shared" si="5"/>
        <v>Y</v>
      </c>
      <c r="F40" s="7">
        <f t="shared" si="6"/>
        <v>143</v>
      </c>
      <c r="G40" s="7">
        <f t="shared" si="7"/>
        <v>618</v>
      </c>
      <c r="H40" s="7">
        <f>'Salary Sheet - WB Compliant'!Y40</f>
        <v>19000</v>
      </c>
      <c r="I40" s="5" t="str">
        <f>'Salary Sheet - WB Compliant'!AF40</f>
        <v>Y</v>
      </c>
      <c r="J40" s="7">
        <f>'Salary Sheet - WB Compliant'!AG40</f>
        <v>143</v>
      </c>
      <c r="K40" s="7">
        <f>'Salary Sheet - WB Compliant'!AH40</f>
        <v>618</v>
      </c>
      <c r="L40" s="5" t="str">
        <f t="shared" si="8"/>
        <v>No</v>
      </c>
      <c r="M40" s="7">
        <f t="shared" si="9"/>
        <v>0</v>
      </c>
    </row>
    <row r="41" spans="1:13" x14ac:dyDescent="0.25">
      <c r="A41" s="6">
        <f>'Salary Sheet - WB Compliant'!A41</f>
        <v>35</v>
      </c>
      <c r="B41" s="5" t="str">
        <f>'Salary Sheet - WB Compliant'!E41</f>
        <v>ISRAFIL DHALI</v>
      </c>
      <c r="C41" s="5" t="str">
        <f>'Salary Sheet - WB Compliant'!D41</f>
        <v>DRIVER</v>
      </c>
      <c r="D41" s="7">
        <f>'Salary Sheet - WB Compliant'!O41</f>
        <v>21000</v>
      </c>
      <c r="E41" s="5" t="str">
        <f t="shared" si="5"/>
        <v>Y</v>
      </c>
      <c r="F41" s="7">
        <f t="shared" si="6"/>
        <v>158</v>
      </c>
      <c r="G41" s="7">
        <f t="shared" si="7"/>
        <v>683</v>
      </c>
      <c r="H41" s="7">
        <f>'Salary Sheet - WB Compliant'!Y41</f>
        <v>21000</v>
      </c>
      <c r="I41" s="5" t="str">
        <f>'Salary Sheet - WB Compliant'!AF41</f>
        <v>Y</v>
      </c>
      <c r="J41" s="7">
        <f>'Salary Sheet - WB Compliant'!AG41</f>
        <v>158</v>
      </c>
      <c r="K41" s="7">
        <f>'Salary Sheet - WB Compliant'!AH41</f>
        <v>683</v>
      </c>
      <c r="L41" s="5" t="str">
        <f t="shared" si="8"/>
        <v>No</v>
      </c>
      <c r="M41" s="7">
        <f t="shared" si="9"/>
        <v>0</v>
      </c>
    </row>
    <row r="42" spans="1:13" x14ac:dyDescent="0.25">
      <c r="A42" s="6">
        <f>'Salary Sheet - WB Compliant'!A42</f>
        <v>36</v>
      </c>
      <c r="B42" s="5" t="str">
        <f>'Salary Sheet - WB Compliant'!E42</f>
        <v>ROUF MONDAL</v>
      </c>
      <c r="C42" s="5" t="str">
        <f>'Salary Sheet - WB Compliant'!D42</f>
        <v>DRIVER</v>
      </c>
      <c r="D42" s="7">
        <f>'Salary Sheet - WB Compliant'!O42</f>
        <v>21000</v>
      </c>
      <c r="E42" s="5" t="str">
        <f t="shared" si="5"/>
        <v>Y</v>
      </c>
      <c r="F42" s="7">
        <f t="shared" si="6"/>
        <v>158</v>
      </c>
      <c r="G42" s="7">
        <f t="shared" si="7"/>
        <v>683</v>
      </c>
      <c r="H42" s="7">
        <f>'Salary Sheet - WB Compliant'!Y42</f>
        <v>21000</v>
      </c>
      <c r="I42" s="5" t="str">
        <f>'Salary Sheet - WB Compliant'!AF42</f>
        <v>Y</v>
      </c>
      <c r="J42" s="7">
        <f>'Salary Sheet - WB Compliant'!AG42</f>
        <v>158</v>
      </c>
      <c r="K42" s="7">
        <f>'Salary Sheet - WB Compliant'!AH42</f>
        <v>683</v>
      </c>
      <c r="L42" s="5" t="str">
        <f t="shared" si="8"/>
        <v>No</v>
      </c>
      <c r="M42" s="7">
        <f t="shared" si="9"/>
        <v>0</v>
      </c>
    </row>
    <row r="43" spans="1:13" x14ac:dyDescent="0.25">
      <c r="A43" s="6">
        <f>'Salary Sheet - WB Compliant'!A43</f>
        <v>37</v>
      </c>
      <c r="B43" s="5" t="str">
        <f>'Salary Sheet - WB Compliant'!E43</f>
        <v>KANAK JANA</v>
      </c>
      <c r="C43" s="5" t="str">
        <f>'Salary Sheet - WB Compliant'!D43</f>
        <v>LAB TECHNICIAN</v>
      </c>
      <c r="D43" s="7">
        <f>'Salary Sheet - WB Compliant'!O43</f>
        <v>19500</v>
      </c>
      <c r="E43" s="5" t="str">
        <f t="shared" si="5"/>
        <v>Y</v>
      </c>
      <c r="F43" s="7">
        <f t="shared" si="6"/>
        <v>146</v>
      </c>
      <c r="G43" s="7">
        <f t="shared" si="7"/>
        <v>634</v>
      </c>
      <c r="H43" s="7">
        <f>'Salary Sheet - WB Compliant'!Y43</f>
        <v>19500</v>
      </c>
      <c r="I43" s="5" t="str">
        <f>'Salary Sheet - WB Compliant'!AF43</f>
        <v>Y</v>
      </c>
      <c r="J43" s="7">
        <f>'Salary Sheet - WB Compliant'!AG43</f>
        <v>146</v>
      </c>
      <c r="K43" s="7">
        <f>'Salary Sheet - WB Compliant'!AH43</f>
        <v>634</v>
      </c>
      <c r="L43" s="5" t="str">
        <f t="shared" si="8"/>
        <v>No</v>
      </c>
      <c r="M43" s="7">
        <f t="shared" si="9"/>
        <v>0</v>
      </c>
    </row>
    <row r="44" spans="1:13" x14ac:dyDescent="0.25">
      <c r="A44" s="6">
        <f>'Salary Sheet - WB Compliant'!A44</f>
        <v>38</v>
      </c>
      <c r="B44" s="5" t="str">
        <f>'Salary Sheet - WB Compliant'!E44</f>
        <v>SOUMEN GARAI</v>
      </c>
      <c r="C44" s="5" t="str">
        <f>'Salary Sheet - WB Compliant'!D44</f>
        <v>OTHERS</v>
      </c>
      <c r="D44" s="7">
        <f>'Salary Sheet - WB Compliant'!O44</f>
        <v>15000</v>
      </c>
      <c r="E44" s="5" t="str">
        <f t="shared" si="5"/>
        <v>Y</v>
      </c>
      <c r="F44" s="7">
        <f t="shared" si="6"/>
        <v>113</v>
      </c>
      <c r="G44" s="7">
        <f t="shared" si="7"/>
        <v>488</v>
      </c>
      <c r="H44" s="7">
        <f>'Salary Sheet - WB Compliant'!Y44</f>
        <v>15000</v>
      </c>
      <c r="I44" s="5" t="str">
        <f>'Salary Sheet - WB Compliant'!AF44</f>
        <v>Y</v>
      </c>
      <c r="J44" s="7">
        <f>'Salary Sheet - WB Compliant'!AG44</f>
        <v>113</v>
      </c>
      <c r="K44" s="7">
        <f>'Salary Sheet - WB Compliant'!AH44</f>
        <v>488</v>
      </c>
      <c r="L44" s="5" t="str">
        <f t="shared" si="8"/>
        <v>No</v>
      </c>
      <c r="M44" s="7">
        <f t="shared" si="9"/>
        <v>0</v>
      </c>
    </row>
    <row r="45" spans="1:13" x14ac:dyDescent="0.25">
      <c r="A45" s="6">
        <f>'Salary Sheet - WB Compliant'!A45</f>
        <v>39</v>
      </c>
      <c r="B45" s="5" t="str">
        <f>'Salary Sheet - WB Compliant'!E45</f>
        <v>ASHOK MONDAL</v>
      </c>
      <c r="C45" s="5" t="str">
        <f>'Salary Sheet - WB Compliant'!D45</f>
        <v>DRIVER</v>
      </c>
      <c r="D45" s="7">
        <f>'Salary Sheet - WB Compliant'!O45</f>
        <v>21000</v>
      </c>
      <c r="E45" s="5" t="str">
        <f t="shared" si="5"/>
        <v>Y</v>
      </c>
      <c r="F45" s="7">
        <f t="shared" si="6"/>
        <v>158</v>
      </c>
      <c r="G45" s="7">
        <f t="shared" si="7"/>
        <v>683</v>
      </c>
      <c r="H45" s="7">
        <f>'Salary Sheet - WB Compliant'!Y45</f>
        <v>21000</v>
      </c>
      <c r="I45" s="5" t="str">
        <f>'Salary Sheet - WB Compliant'!AF45</f>
        <v>Y</v>
      </c>
      <c r="J45" s="7">
        <f>'Salary Sheet - WB Compliant'!AG45</f>
        <v>158</v>
      </c>
      <c r="K45" s="7">
        <f>'Salary Sheet - WB Compliant'!AH45</f>
        <v>683</v>
      </c>
      <c r="L45" s="5" t="str">
        <f t="shared" si="8"/>
        <v>No</v>
      </c>
      <c r="M45" s="7">
        <f t="shared" si="9"/>
        <v>0</v>
      </c>
    </row>
    <row r="46" spans="1:13" x14ac:dyDescent="0.25">
      <c r="A46" s="6">
        <f>'Salary Sheet - WB Compliant'!A46</f>
        <v>40</v>
      </c>
      <c r="B46" s="5" t="str">
        <f>'Salary Sheet - WB Compliant'!E46</f>
        <v>ANSWAR ALI MOLLA</v>
      </c>
      <c r="C46" s="5" t="str">
        <f>'Salary Sheet - WB Compliant'!D46</f>
        <v>DRIVER</v>
      </c>
      <c r="D46" s="7">
        <f>'Salary Sheet - WB Compliant'!O46</f>
        <v>21000</v>
      </c>
      <c r="E46" s="5" t="str">
        <f t="shared" si="5"/>
        <v>Y</v>
      </c>
      <c r="F46" s="7">
        <f t="shared" si="6"/>
        <v>158</v>
      </c>
      <c r="G46" s="7">
        <f t="shared" si="7"/>
        <v>683</v>
      </c>
      <c r="H46" s="7">
        <f>'Salary Sheet - WB Compliant'!Y46</f>
        <v>21000</v>
      </c>
      <c r="I46" s="5" t="str">
        <f>'Salary Sheet - WB Compliant'!AF46</f>
        <v>Y</v>
      </c>
      <c r="J46" s="7">
        <f>'Salary Sheet - WB Compliant'!AG46</f>
        <v>158</v>
      </c>
      <c r="K46" s="7">
        <f>'Salary Sheet - WB Compliant'!AH46</f>
        <v>683</v>
      </c>
      <c r="L46" s="5" t="str">
        <f t="shared" si="8"/>
        <v>No</v>
      </c>
      <c r="M46" s="7">
        <f t="shared" si="9"/>
        <v>0</v>
      </c>
    </row>
    <row r="47" spans="1:13" x14ac:dyDescent="0.25">
      <c r="A47" s="6">
        <f>'Salary Sheet - WB Compliant'!A47</f>
        <v>41</v>
      </c>
      <c r="B47" s="5" t="str">
        <f>'Salary Sheet - WB Compliant'!E47</f>
        <v>MOMINUL HAQUE</v>
      </c>
      <c r="C47" s="5" t="str">
        <f>'Salary Sheet - WB Compliant'!D47</f>
        <v>LAB TECHNICIAN</v>
      </c>
      <c r="D47" s="7">
        <f>'Salary Sheet - WB Compliant'!O47</f>
        <v>14700</v>
      </c>
      <c r="E47" s="5" t="str">
        <f t="shared" si="5"/>
        <v>Y</v>
      </c>
      <c r="F47" s="7">
        <f t="shared" si="6"/>
        <v>110</v>
      </c>
      <c r="G47" s="7">
        <f t="shared" si="7"/>
        <v>478</v>
      </c>
      <c r="H47" s="7">
        <f>'Salary Sheet - WB Compliant'!Y47</f>
        <v>14700</v>
      </c>
      <c r="I47" s="5" t="str">
        <f>'Salary Sheet - WB Compliant'!AF47</f>
        <v>Y</v>
      </c>
      <c r="J47" s="7">
        <f>'Salary Sheet - WB Compliant'!AG47</f>
        <v>110</v>
      </c>
      <c r="K47" s="7">
        <f>'Salary Sheet - WB Compliant'!AH47</f>
        <v>478</v>
      </c>
      <c r="L47" s="5" t="str">
        <f t="shared" si="8"/>
        <v>No</v>
      </c>
      <c r="M47" s="7">
        <f t="shared" si="9"/>
        <v>0</v>
      </c>
    </row>
    <row r="48" spans="1:13" x14ac:dyDescent="0.25">
      <c r="A48" s="6">
        <f>'Salary Sheet - WB Compliant'!A48</f>
        <v>42</v>
      </c>
      <c r="B48" s="5" t="str">
        <f>'Salary Sheet - WB Compliant'!E48</f>
        <v>EKRAMUL ALI</v>
      </c>
      <c r="C48" s="5" t="str">
        <f>'Salary Sheet - WB Compliant'!D48</f>
        <v>HELPER</v>
      </c>
      <c r="D48" s="7">
        <f>'Salary Sheet - WB Compliant'!O48</f>
        <v>11800</v>
      </c>
      <c r="E48" s="5" t="str">
        <f t="shared" si="5"/>
        <v>Y</v>
      </c>
      <c r="F48" s="7">
        <f t="shared" si="6"/>
        <v>89</v>
      </c>
      <c r="G48" s="7">
        <f t="shared" si="7"/>
        <v>384</v>
      </c>
      <c r="H48" s="7">
        <f>'Salary Sheet - WB Compliant'!Y48</f>
        <v>11800</v>
      </c>
      <c r="I48" s="5" t="str">
        <f>'Salary Sheet - WB Compliant'!AF48</f>
        <v>Y</v>
      </c>
      <c r="J48" s="7">
        <f>'Salary Sheet - WB Compliant'!AG48</f>
        <v>89</v>
      </c>
      <c r="K48" s="7">
        <f>'Salary Sheet - WB Compliant'!AH48</f>
        <v>384</v>
      </c>
      <c r="L48" s="5" t="str">
        <f t="shared" si="8"/>
        <v>No</v>
      </c>
      <c r="M48" s="7">
        <f t="shared" si="9"/>
        <v>0</v>
      </c>
    </row>
    <row r="49" spans="1:13" x14ac:dyDescent="0.25">
      <c r="A49" s="6">
        <f>'Salary Sheet - WB Compliant'!A49</f>
        <v>43</v>
      </c>
      <c r="B49" s="5" t="str">
        <f>'Salary Sheet - WB Compliant'!E49</f>
        <v>JULFIKAR DHALI</v>
      </c>
      <c r="C49" s="5" t="str">
        <f>'Salary Sheet - WB Compliant'!D49</f>
        <v>DRIVER</v>
      </c>
      <c r="D49" s="7">
        <f>'Salary Sheet - WB Compliant'!O49</f>
        <v>19000</v>
      </c>
      <c r="E49" s="5" t="str">
        <f t="shared" si="5"/>
        <v>Y</v>
      </c>
      <c r="F49" s="7">
        <f t="shared" si="6"/>
        <v>143</v>
      </c>
      <c r="G49" s="7">
        <f t="shared" si="7"/>
        <v>618</v>
      </c>
      <c r="H49" s="7">
        <f>'Salary Sheet - WB Compliant'!Y49</f>
        <v>19000</v>
      </c>
      <c r="I49" s="5" t="str">
        <f>'Salary Sheet - WB Compliant'!AF49</f>
        <v>Y</v>
      </c>
      <c r="J49" s="7">
        <f>'Salary Sheet - WB Compliant'!AG49</f>
        <v>143</v>
      </c>
      <c r="K49" s="7">
        <f>'Salary Sheet - WB Compliant'!AH49</f>
        <v>618</v>
      </c>
      <c r="L49" s="5" t="str">
        <f t="shared" si="8"/>
        <v>No</v>
      </c>
      <c r="M49" s="7">
        <f t="shared" si="9"/>
        <v>0</v>
      </c>
    </row>
    <row r="50" spans="1:13" x14ac:dyDescent="0.25">
      <c r="A50" s="6">
        <f>'Salary Sheet - WB Compliant'!A50</f>
        <v>44</v>
      </c>
      <c r="B50" s="5" t="str">
        <f>'Salary Sheet - WB Compliant'!E50</f>
        <v>SUPRAKASH SAMANTO</v>
      </c>
      <c r="C50" s="5" t="str">
        <f>'Salary Sheet - WB Compliant'!D50</f>
        <v>LAB TECHNICIAN</v>
      </c>
      <c r="D50" s="7">
        <f>'Salary Sheet - WB Compliant'!O50</f>
        <v>13650</v>
      </c>
      <c r="E50" s="5" t="str">
        <f t="shared" si="5"/>
        <v>Y</v>
      </c>
      <c r="F50" s="7">
        <f t="shared" si="6"/>
        <v>102</v>
      </c>
      <c r="G50" s="7">
        <f t="shared" si="7"/>
        <v>444</v>
      </c>
      <c r="H50" s="7">
        <f>'Salary Sheet - WB Compliant'!Y50</f>
        <v>13650</v>
      </c>
      <c r="I50" s="5" t="str">
        <f>'Salary Sheet - WB Compliant'!AF50</f>
        <v>Y</v>
      </c>
      <c r="J50" s="7">
        <f>'Salary Sheet - WB Compliant'!AG50</f>
        <v>102</v>
      </c>
      <c r="K50" s="7">
        <f>'Salary Sheet - WB Compliant'!AH50</f>
        <v>444</v>
      </c>
      <c r="L50" s="5" t="str">
        <f t="shared" si="8"/>
        <v>No</v>
      </c>
      <c r="M50" s="7">
        <f t="shared" si="9"/>
        <v>0</v>
      </c>
    </row>
    <row r="51" spans="1:13" x14ac:dyDescent="0.25">
      <c r="A51" s="6">
        <f>'Salary Sheet - WB Compliant'!A51</f>
        <v>45</v>
      </c>
      <c r="B51" s="5" t="str">
        <f>'Salary Sheet - WB Compliant'!E51</f>
        <v>TANMOY MONDAL</v>
      </c>
      <c r="C51" s="5" t="str">
        <f>'Salary Sheet - WB Compliant'!D51</f>
        <v>DRIVER</v>
      </c>
      <c r="D51" s="7">
        <f>'Salary Sheet - WB Compliant'!O51</f>
        <v>19000</v>
      </c>
      <c r="E51" s="5" t="str">
        <f t="shared" si="5"/>
        <v>Y</v>
      </c>
      <c r="F51" s="7">
        <f t="shared" si="6"/>
        <v>143</v>
      </c>
      <c r="G51" s="7">
        <f t="shared" si="7"/>
        <v>618</v>
      </c>
      <c r="H51" s="7">
        <f>'Salary Sheet - WB Compliant'!Y51</f>
        <v>19000</v>
      </c>
      <c r="I51" s="5" t="str">
        <f>'Salary Sheet - WB Compliant'!AF51</f>
        <v>Y</v>
      </c>
      <c r="J51" s="7">
        <f>'Salary Sheet - WB Compliant'!AG51</f>
        <v>143</v>
      </c>
      <c r="K51" s="7">
        <f>'Salary Sheet - WB Compliant'!AH51</f>
        <v>618</v>
      </c>
      <c r="L51" s="5" t="str">
        <f t="shared" si="8"/>
        <v>No</v>
      </c>
      <c r="M51" s="7">
        <f t="shared" si="9"/>
        <v>0</v>
      </c>
    </row>
    <row r="52" spans="1:13" x14ac:dyDescent="0.25">
      <c r="A52" s="6">
        <f>'Salary Sheet - WB Compliant'!A52</f>
        <v>46</v>
      </c>
      <c r="B52" s="5" t="str">
        <f>'Salary Sheet - WB Compliant'!E52</f>
        <v>ALOK MONDAL</v>
      </c>
      <c r="C52" s="5" t="str">
        <f>'Salary Sheet - WB Compliant'!D52</f>
        <v>HELPER</v>
      </c>
      <c r="D52" s="7">
        <f>'Salary Sheet - WB Compliant'!O52</f>
        <v>11800</v>
      </c>
      <c r="E52" s="5" t="str">
        <f t="shared" si="5"/>
        <v>Y</v>
      </c>
      <c r="F52" s="7">
        <f t="shared" si="6"/>
        <v>89</v>
      </c>
      <c r="G52" s="7">
        <f t="shared" si="7"/>
        <v>384</v>
      </c>
      <c r="H52" s="7">
        <f>'Salary Sheet - WB Compliant'!Y52</f>
        <v>11800</v>
      </c>
      <c r="I52" s="5" t="str">
        <f>'Salary Sheet - WB Compliant'!AF52</f>
        <v>Y</v>
      </c>
      <c r="J52" s="7">
        <f>'Salary Sheet - WB Compliant'!AG52</f>
        <v>89</v>
      </c>
      <c r="K52" s="7">
        <f>'Salary Sheet - WB Compliant'!AH52</f>
        <v>384</v>
      </c>
      <c r="L52" s="5" t="str">
        <f t="shared" si="8"/>
        <v>No</v>
      </c>
      <c r="M52" s="7">
        <f t="shared" si="9"/>
        <v>0</v>
      </c>
    </row>
    <row r="53" spans="1:13" x14ac:dyDescent="0.25">
      <c r="A53" s="6">
        <f>'Salary Sheet - WB Compliant'!A53</f>
        <v>47</v>
      </c>
      <c r="B53" s="5" t="str">
        <f>'Salary Sheet - WB Compliant'!E53</f>
        <v>RAJESH BAR</v>
      </c>
      <c r="C53" s="5" t="str">
        <f>'Salary Sheet - WB Compliant'!D53</f>
        <v>LAB TECHNICIAN</v>
      </c>
      <c r="D53" s="7">
        <f>'Salary Sheet - WB Compliant'!O53</f>
        <v>15750</v>
      </c>
      <c r="E53" s="5" t="str">
        <f t="shared" si="5"/>
        <v>Y</v>
      </c>
      <c r="F53" s="7">
        <f t="shared" si="6"/>
        <v>118</v>
      </c>
      <c r="G53" s="7">
        <f t="shared" si="7"/>
        <v>512</v>
      </c>
      <c r="H53" s="7">
        <f>'Salary Sheet - WB Compliant'!Y53</f>
        <v>15750</v>
      </c>
      <c r="I53" s="5" t="str">
        <f>'Salary Sheet - WB Compliant'!AF53</f>
        <v>Y</v>
      </c>
      <c r="J53" s="7">
        <f>'Salary Sheet - WB Compliant'!AG53</f>
        <v>118</v>
      </c>
      <c r="K53" s="7">
        <f>'Salary Sheet - WB Compliant'!AH53</f>
        <v>512</v>
      </c>
      <c r="L53" s="5" t="str">
        <f t="shared" si="8"/>
        <v>No</v>
      </c>
      <c r="M53" s="7">
        <f t="shared" si="9"/>
        <v>0</v>
      </c>
    </row>
    <row r="54" spans="1:13" x14ac:dyDescent="0.25">
      <c r="A54" s="6">
        <f>'Salary Sheet - WB Compliant'!A54</f>
        <v>48</v>
      </c>
      <c r="B54" s="5" t="str">
        <f>'Salary Sheet - WB Compliant'!E54</f>
        <v>BIKRAM ROY</v>
      </c>
      <c r="C54" s="5" t="str">
        <f>'Salary Sheet - WB Compliant'!D54</f>
        <v>LAB TECHNICIAN</v>
      </c>
      <c r="D54" s="7">
        <f>'Salary Sheet - WB Compliant'!O54</f>
        <v>13650</v>
      </c>
      <c r="E54" s="5" t="str">
        <f t="shared" si="5"/>
        <v>Y</v>
      </c>
      <c r="F54" s="7">
        <f t="shared" si="6"/>
        <v>102</v>
      </c>
      <c r="G54" s="7">
        <f t="shared" si="7"/>
        <v>444</v>
      </c>
      <c r="H54" s="7">
        <f>'Salary Sheet - WB Compliant'!Y54</f>
        <v>13650</v>
      </c>
      <c r="I54" s="5" t="str">
        <f>'Salary Sheet - WB Compliant'!AF54</f>
        <v>Y</v>
      </c>
      <c r="J54" s="7">
        <f>'Salary Sheet - WB Compliant'!AG54</f>
        <v>102</v>
      </c>
      <c r="K54" s="7">
        <f>'Salary Sheet - WB Compliant'!AH54</f>
        <v>444</v>
      </c>
      <c r="L54" s="5" t="str">
        <f t="shared" si="8"/>
        <v>No</v>
      </c>
      <c r="M54" s="7">
        <f t="shared" si="9"/>
        <v>0</v>
      </c>
    </row>
    <row r="55" spans="1:13" x14ac:dyDescent="0.25">
      <c r="A55" s="6">
        <f>'Salary Sheet - WB Compliant'!A55</f>
        <v>49</v>
      </c>
      <c r="B55" s="5" t="str">
        <f>'Salary Sheet - WB Compliant'!E55</f>
        <v>JITU MAHALI</v>
      </c>
      <c r="C55" s="5" t="str">
        <f>'Salary Sheet - WB Compliant'!D55</f>
        <v>DRIVER</v>
      </c>
      <c r="D55" s="7">
        <f>'Salary Sheet - WB Compliant'!O55</f>
        <v>19000</v>
      </c>
      <c r="E55" s="5" t="str">
        <f t="shared" si="5"/>
        <v>Y</v>
      </c>
      <c r="F55" s="7">
        <f t="shared" si="6"/>
        <v>143</v>
      </c>
      <c r="G55" s="7">
        <f t="shared" si="7"/>
        <v>618</v>
      </c>
      <c r="H55" s="7">
        <f>'Salary Sheet - WB Compliant'!Y55</f>
        <v>19000</v>
      </c>
      <c r="I55" s="5" t="str">
        <f>'Salary Sheet - WB Compliant'!AF55</f>
        <v>Y</v>
      </c>
      <c r="J55" s="7">
        <f>'Salary Sheet - WB Compliant'!AG55</f>
        <v>143</v>
      </c>
      <c r="K55" s="7">
        <f>'Salary Sheet - WB Compliant'!AH55</f>
        <v>618</v>
      </c>
      <c r="L55" s="5" t="str">
        <f t="shared" si="8"/>
        <v>No</v>
      </c>
      <c r="M55" s="7">
        <f t="shared" si="9"/>
        <v>0</v>
      </c>
    </row>
    <row r="56" spans="1:13" x14ac:dyDescent="0.25">
      <c r="A56" s="6">
        <f>'Salary Sheet - WB Compliant'!A56</f>
        <v>50</v>
      </c>
      <c r="B56" s="5" t="str">
        <f>'Salary Sheet - WB Compliant'!E56</f>
        <v>MILAN RUIDAS</v>
      </c>
      <c r="C56" s="5" t="str">
        <f>'Salary Sheet - WB Compliant'!D56</f>
        <v>LAB TECHNICIAN</v>
      </c>
      <c r="D56" s="7">
        <f>'Salary Sheet - WB Compliant'!O56</f>
        <v>12600</v>
      </c>
      <c r="E56" s="5" t="str">
        <f t="shared" si="5"/>
        <v>Y</v>
      </c>
      <c r="F56" s="7">
        <f t="shared" si="6"/>
        <v>95</v>
      </c>
      <c r="G56" s="7">
        <f t="shared" si="7"/>
        <v>410</v>
      </c>
      <c r="H56" s="7">
        <f>'Salary Sheet - WB Compliant'!Y56</f>
        <v>12777</v>
      </c>
      <c r="I56" s="5" t="str">
        <f>'Salary Sheet - WB Compliant'!AF56</f>
        <v>Y</v>
      </c>
      <c r="J56" s="7">
        <f>'Salary Sheet - WB Compliant'!AG56</f>
        <v>96</v>
      </c>
      <c r="K56" s="7">
        <f>'Salary Sheet - WB Compliant'!AH56</f>
        <v>415</v>
      </c>
      <c r="L56" s="5" t="str">
        <f t="shared" si="8"/>
        <v>No</v>
      </c>
      <c r="M56" s="7">
        <f t="shared" si="9"/>
        <v>5</v>
      </c>
    </row>
    <row r="57" spans="1:13" x14ac:dyDescent="0.25">
      <c r="A57" s="6">
        <f>'Salary Sheet - WB Compliant'!A57</f>
        <v>51</v>
      </c>
      <c r="B57" s="5" t="str">
        <f>'Salary Sheet - WB Compliant'!E57</f>
        <v>BABLU MONDAL (L)</v>
      </c>
      <c r="C57" s="5" t="str">
        <f>'Salary Sheet - WB Compliant'!D57</f>
        <v>LAB TECHNICIAN</v>
      </c>
      <c r="D57" s="7">
        <f>'Salary Sheet - WB Compliant'!O57</f>
        <v>18500</v>
      </c>
      <c r="E57" s="5" t="str">
        <f t="shared" si="5"/>
        <v>Y</v>
      </c>
      <c r="F57" s="7">
        <f t="shared" si="6"/>
        <v>139</v>
      </c>
      <c r="G57" s="7">
        <f t="shared" si="7"/>
        <v>601</v>
      </c>
      <c r="H57" s="7">
        <f>'Salary Sheet - WB Compliant'!Y57</f>
        <v>18500</v>
      </c>
      <c r="I57" s="5" t="str">
        <f>'Salary Sheet - WB Compliant'!AF57</f>
        <v>Y</v>
      </c>
      <c r="J57" s="7">
        <f>'Salary Sheet - WB Compliant'!AG57</f>
        <v>139</v>
      </c>
      <c r="K57" s="7">
        <f>'Salary Sheet - WB Compliant'!AH57</f>
        <v>601</v>
      </c>
      <c r="L57" s="5" t="str">
        <f t="shared" si="8"/>
        <v>No</v>
      </c>
      <c r="M57" s="7">
        <f t="shared" si="9"/>
        <v>0</v>
      </c>
    </row>
    <row r="58" spans="1:13" x14ac:dyDescent="0.25">
      <c r="A58" s="6">
        <f>'Salary Sheet - WB Compliant'!A58</f>
        <v>52</v>
      </c>
      <c r="B58" s="5" t="str">
        <f>'Salary Sheet - WB Compliant'!E58</f>
        <v>BISWAJIT GUCHHAIT(TM)</v>
      </c>
      <c r="C58" s="5" t="str">
        <f>'Salary Sheet - WB Compliant'!D58</f>
        <v>OFFICE STAFF</v>
      </c>
      <c r="D58" s="7">
        <f>'Salary Sheet - WB Compliant'!O58</f>
        <v>17500</v>
      </c>
      <c r="E58" s="5" t="str">
        <f t="shared" si="5"/>
        <v>Y</v>
      </c>
      <c r="F58" s="7">
        <f t="shared" si="6"/>
        <v>131</v>
      </c>
      <c r="G58" s="7">
        <f t="shared" si="7"/>
        <v>569</v>
      </c>
      <c r="H58" s="7">
        <f>'Salary Sheet - WB Compliant'!Y58</f>
        <v>17500</v>
      </c>
      <c r="I58" s="5" t="str">
        <f>'Salary Sheet - WB Compliant'!AF58</f>
        <v>Y</v>
      </c>
      <c r="J58" s="7">
        <f>'Salary Sheet - WB Compliant'!AG58</f>
        <v>131</v>
      </c>
      <c r="K58" s="7">
        <f>'Salary Sheet - WB Compliant'!AH58</f>
        <v>569</v>
      </c>
      <c r="L58" s="5" t="str">
        <f t="shared" si="8"/>
        <v>No</v>
      </c>
      <c r="M58" s="7">
        <f t="shared" si="9"/>
        <v>0</v>
      </c>
    </row>
    <row r="59" spans="1:13" x14ac:dyDescent="0.25">
      <c r="A59" s="6">
        <f>'Salary Sheet - WB Compliant'!A59</f>
        <v>53</v>
      </c>
      <c r="B59" s="5" t="str">
        <f>'Salary Sheet - WB Compliant'!E59</f>
        <v>DEBASIS DAS</v>
      </c>
      <c r="C59" s="5" t="str">
        <f>'Salary Sheet - WB Compliant'!D59</f>
        <v>OFFICE STAFF</v>
      </c>
      <c r="D59" s="7">
        <f>'Salary Sheet - WB Compliant'!O59</f>
        <v>25000</v>
      </c>
      <c r="E59" s="5" t="str">
        <f t="shared" si="5"/>
        <v>N</v>
      </c>
      <c r="F59" s="7">
        <f t="shared" si="6"/>
        <v>0</v>
      </c>
      <c r="G59" s="7">
        <f t="shared" si="7"/>
        <v>0</v>
      </c>
      <c r="H59" s="7">
        <f>'Salary Sheet - WB Compliant'!Y59</f>
        <v>25000</v>
      </c>
      <c r="I59" s="5" t="str">
        <f>'Salary Sheet - WB Compliant'!AF59</f>
        <v>N</v>
      </c>
      <c r="J59" s="7">
        <f>'Salary Sheet - WB Compliant'!AG59</f>
        <v>0</v>
      </c>
      <c r="K59" s="7">
        <f>'Salary Sheet - WB Compliant'!AH59</f>
        <v>0</v>
      </c>
      <c r="L59" s="5" t="str">
        <f t="shared" si="8"/>
        <v>No</v>
      </c>
      <c r="M59" s="7">
        <f t="shared" si="9"/>
        <v>0</v>
      </c>
    </row>
    <row r="60" spans="1:13" x14ac:dyDescent="0.25">
      <c r="A60" s="6">
        <f>'Salary Sheet - WB Compliant'!A60</f>
        <v>54</v>
      </c>
      <c r="B60" s="5" t="str">
        <f>'Salary Sheet - WB Compliant'!E60</f>
        <v>SUSANTA ROY (LAB)</v>
      </c>
      <c r="C60" s="5" t="str">
        <f>'Salary Sheet - WB Compliant'!D60</f>
        <v>OFFICE STAFF</v>
      </c>
      <c r="D60" s="7">
        <f>'Salary Sheet - WB Compliant'!O60</f>
        <v>42000</v>
      </c>
      <c r="E60" s="5" t="str">
        <f t="shared" si="5"/>
        <v>N</v>
      </c>
      <c r="F60" s="7">
        <f t="shared" si="6"/>
        <v>0</v>
      </c>
      <c r="G60" s="7">
        <f t="shared" si="7"/>
        <v>0</v>
      </c>
      <c r="H60" s="7">
        <f>'Salary Sheet - WB Compliant'!Y60</f>
        <v>42000</v>
      </c>
      <c r="I60" s="5" t="str">
        <f>'Salary Sheet - WB Compliant'!AF60</f>
        <v>N</v>
      </c>
      <c r="J60" s="7">
        <f>'Salary Sheet - WB Compliant'!AG60</f>
        <v>0</v>
      </c>
      <c r="K60" s="7">
        <f>'Salary Sheet - WB Compliant'!AH60</f>
        <v>0</v>
      </c>
      <c r="L60" s="5" t="str">
        <f t="shared" si="8"/>
        <v>No</v>
      </c>
      <c r="M60" s="7">
        <f t="shared" si="9"/>
        <v>0</v>
      </c>
    </row>
    <row r="61" spans="1:13" x14ac:dyDescent="0.25">
      <c r="A61" s="6">
        <f>'Salary Sheet - WB Compliant'!A61</f>
        <v>55</v>
      </c>
      <c r="B61" s="5" t="str">
        <f>'Salary Sheet - WB Compliant'!E61</f>
        <v>KUNDAN KUMAR</v>
      </c>
      <c r="C61" s="5" t="str">
        <f>'Salary Sheet - WB Compliant'!D61</f>
        <v>OFFICE STAFF</v>
      </c>
      <c r="D61" s="7">
        <f>'Salary Sheet - WB Compliant'!O61</f>
        <v>22000</v>
      </c>
      <c r="E61" s="5" t="str">
        <f t="shared" si="5"/>
        <v>N</v>
      </c>
      <c r="F61" s="7">
        <f t="shared" si="6"/>
        <v>0</v>
      </c>
      <c r="G61" s="7">
        <f t="shared" si="7"/>
        <v>0</v>
      </c>
      <c r="H61" s="7">
        <f>'Salary Sheet - WB Compliant'!Y61</f>
        <v>22000</v>
      </c>
      <c r="I61" s="5" t="str">
        <f>'Salary Sheet - WB Compliant'!AF61</f>
        <v>N</v>
      </c>
      <c r="J61" s="7">
        <f>'Salary Sheet - WB Compliant'!AG61</f>
        <v>0</v>
      </c>
      <c r="K61" s="7">
        <f>'Salary Sheet - WB Compliant'!AH61</f>
        <v>0</v>
      </c>
      <c r="L61" s="5" t="str">
        <f t="shared" si="8"/>
        <v>No</v>
      </c>
      <c r="M61" s="7">
        <f t="shared" si="9"/>
        <v>0</v>
      </c>
    </row>
    <row r="62" spans="1:13" x14ac:dyDescent="0.25">
      <c r="A62" s="6">
        <f>'Salary Sheet - WB Compliant'!A62</f>
        <v>56</v>
      </c>
      <c r="B62" s="5" t="str">
        <f>'Salary Sheet - WB Compliant'!E62</f>
        <v>SANTOSH KUMAR MAHALI</v>
      </c>
      <c r="C62" s="5" t="str">
        <f>'Salary Sheet - WB Compliant'!D62</f>
        <v>OFFICE STAFF</v>
      </c>
      <c r="D62" s="7">
        <f>'Salary Sheet - WB Compliant'!O62</f>
        <v>16500</v>
      </c>
      <c r="E62" s="5" t="str">
        <f t="shared" si="5"/>
        <v>Y</v>
      </c>
      <c r="F62" s="7">
        <f t="shared" si="6"/>
        <v>124</v>
      </c>
      <c r="G62" s="7">
        <f t="shared" si="7"/>
        <v>536</v>
      </c>
      <c r="H62" s="7">
        <f>'Salary Sheet - WB Compliant'!Y62</f>
        <v>16500</v>
      </c>
      <c r="I62" s="5" t="str">
        <f>'Salary Sheet - WB Compliant'!AF62</f>
        <v>Y</v>
      </c>
      <c r="J62" s="7">
        <f>'Salary Sheet - WB Compliant'!AG62</f>
        <v>124</v>
      </c>
      <c r="K62" s="7">
        <f>'Salary Sheet - WB Compliant'!AH62</f>
        <v>536</v>
      </c>
      <c r="L62" s="5" t="str">
        <f t="shared" si="8"/>
        <v>No</v>
      </c>
      <c r="M62" s="7">
        <f t="shared" si="9"/>
        <v>0</v>
      </c>
    </row>
    <row r="63" spans="1:13" x14ac:dyDescent="0.25">
      <c r="A63" s="6">
        <f>'Salary Sheet - WB Compliant'!A63</f>
        <v>57</v>
      </c>
      <c r="B63" s="5" t="str">
        <f>'Salary Sheet - WB Compliant'!E63</f>
        <v>KOUSHIK JANA</v>
      </c>
      <c r="C63" s="5" t="str">
        <f>'Salary Sheet - WB Compliant'!D63</f>
        <v>OFFICE STAFF</v>
      </c>
      <c r="D63" s="7">
        <f>'Salary Sheet - WB Compliant'!O63</f>
        <v>16000</v>
      </c>
      <c r="E63" s="5" t="str">
        <f t="shared" si="5"/>
        <v>Y</v>
      </c>
      <c r="F63" s="7">
        <f t="shared" si="6"/>
        <v>120</v>
      </c>
      <c r="G63" s="7">
        <f t="shared" si="7"/>
        <v>520</v>
      </c>
      <c r="H63" s="7">
        <f>'Salary Sheet - WB Compliant'!Y63</f>
        <v>16000</v>
      </c>
      <c r="I63" s="5" t="str">
        <f>'Salary Sheet - WB Compliant'!AF63</f>
        <v>Y</v>
      </c>
      <c r="J63" s="7">
        <f>'Salary Sheet - WB Compliant'!AG63</f>
        <v>120</v>
      </c>
      <c r="K63" s="7">
        <f>'Salary Sheet - WB Compliant'!AH63</f>
        <v>520</v>
      </c>
      <c r="L63" s="5" t="str">
        <f t="shared" si="8"/>
        <v>No</v>
      </c>
      <c r="M63" s="7">
        <f t="shared" si="9"/>
        <v>0</v>
      </c>
    </row>
    <row r="64" spans="1:13" x14ac:dyDescent="0.25">
      <c r="A64" s="6">
        <f>'Salary Sheet - WB Compliant'!A64</f>
        <v>58</v>
      </c>
      <c r="B64" s="5" t="str">
        <f>'Salary Sheet - WB Compliant'!E64</f>
        <v>MILON SADHUKAN (STORE)</v>
      </c>
      <c r="C64" s="5" t="str">
        <f>'Salary Sheet - WB Compliant'!D64</f>
        <v>OFFICE STAFF</v>
      </c>
      <c r="D64" s="7">
        <f>'Salary Sheet - WB Compliant'!O64</f>
        <v>17500</v>
      </c>
      <c r="E64" s="5" t="str">
        <f t="shared" si="5"/>
        <v>Y</v>
      </c>
      <c r="F64" s="7">
        <f t="shared" si="6"/>
        <v>131</v>
      </c>
      <c r="G64" s="7">
        <f t="shared" si="7"/>
        <v>569</v>
      </c>
      <c r="H64" s="7">
        <f>'Salary Sheet - WB Compliant'!Y64</f>
        <v>17500</v>
      </c>
      <c r="I64" s="5" t="str">
        <f>'Salary Sheet - WB Compliant'!AF64</f>
        <v>Y</v>
      </c>
      <c r="J64" s="7">
        <f>'Salary Sheet - WB Compliant'!AG64</f>
        <v>131</v>
      </c>
      <c r="K64" s="7">
        <f>'Salary Sheet - WB Compliant'!AH64</f>
        <v>569</v>
      </c>
      <c r="L64" s="5" t="str">
        <f t="shared" si="8"/>
        <v>No</v>
      </c>
      <c r="M64" s="7">
        <f t="shared" si="9"/>
        <v>0</v>
      </c>
    </row>
    <row r="65" spans="1:13" x14ac:dyDescent="0.25">
      <c r="A65" s="6">
        <f>'Salary Sheet - WB Compliant'!A65</f>
        <v>59</v>
      </c>
      <c r="B65" s="5" t="str">
        <f>'Salary Sheet - WB Compliant'!E65</f>
        <v>KOUSHIK POREL</v>
      </c>
      <c r="C65" s="5" t="str">
        <f>'Salary Sheet - WB Compliant'!D65</f>
        <v>OFFICE STAFF</v>
      </c>
      <c r="D65" s="7">
        <f>'Salary Sheet - WB Compliant'!O65</f>
        <v>15500</v>
      </c>
      <c r="E65" s="5" t="str">
        <f t="shared" si="5"/>
        <v>Y</v>
      </c>
      <c r="F65" s="7">
        <f t="shared" si="6"/>
        <v>116</v>
      </c>
      <c r="G65" s="7">
        <f t="shared" si="7"/>
        <v>504</v>
      </c>
      <c r="H65" s="7">
        <f>'Salary Sheet - WB Compliant'!Y65</f>
        <v>15500</v>
      </c>
      <c r="I65" s="5" t="str">
        <f>'Salary Sheet - WB Compliant'!AF65</f>
        <v>Y</v>
      </c>
      <c r="J65" s="7">
        <f>'Salary Sheet - WB Compliant'!AG65</f>
        <v>116</v>
      </c>
      <c r="K65" s="7">
        <f>'Salary Sheet - WB Compliant'!AH65</f>
        <v>504</v>
      </c>
      <c r="L65" s="5" t="str">
        <f t="shared" si="8"/>
        <v>No</v>
      </c>
      <c r="M65" s="7">
        <f t="shared" si="9"/>
        <v>0</v>
      </c>
    </row>
    <row r="66" spans="1:13" x14ac:dyDescent="0.25">
      <c r="A66" s="6">
        <f>'Salary Sheet - WB Compliant'!A66</f>
        <v>60</v>
      </c>
      <c r="B66" s="5" t="str">
        <f>'Salary Sheet - WB Compliant'!E66</f>
        <v>AMIT MAITY(LAB)</v>
      </c>
      <c r="C66" s="5" t="str">
        <f>'Salary Sheet - WB Compliant'!D66</f>
        <v>LAB TECHNICIAN</v>
      </c>
      <c r="D66" s="7">
        <f>'Salary Sheet - WB Compliant'!O66</f>
        <v>15750</v>
      </c>
      <c r="E66" s="5" t="str">
        <f t="shared" si="5"/>
        <v>Y</v>
      </c>
      <c r="F66" s="7">
        <f t="shared" si="6"/>
        <v>118</v>
      </c>
      <c r="G66" s="7">
        <f t="shared" si="7"/>
        <v>512</v>
      </c>
      <c r="H66" s="7">
        <f>'Salary Sheet - WB Compliant'!Y66</f>
        <v>15750</v>
      </c>
      <c r="I66" s="5" t="str">
        <f>'Salary Sheet - WB Compliant'!AF66</f>
        <v>Y</v>
      </c>
      <c r="J66" s="7">
        <f>'Salary Sheet - WB Compliant'!AG66</f>
        <v>118</v>
      </c>
      <c r="K66" s="7">
        <f>'Salary Sheet - WB Compliant'!AH66</f>
        <v>512</v>
      </c>
      <c r="L66" s="5" t="str">
        <f t="shared" si="8"/>
        <v>No</v>
      </c>
      <c r="M66" s="7">
        <f t="shared" si="9"/>
        <v>0</v>
      </c>
    </row>
    <row r="67" spans="1:13" x14ac:dyDescent="0.25">
      <c r="A67" s="6">
        <f>'Salary Sheet - WB Compliant'!A67</f>
        <v>61</v>
      </c>
      <c r="B67" s="5" t="str">
        <f>'Salary Sheet - WB Compliant'!E67</f>
        <v>AMIYO KUMAR ROY (D)</v>
      </c>
      <c r="C67" s="5" t="str">
        <f>'Salary Sheet - WB Compliant'!D67</f>
        <v>DRIVER</v>
      </c>
      <c r="D67" s="7">
        <f>'Salary Sheet - WB Compliant'!O67</f>
        <v>20000</v>
      </c>
      <c r="E67" s="5" t="str">
        <f t="shared" si="5"/>
        <v>Y</v>
      </c>
      <c r="F67" s="7">
        <f t="shared" si="6"/>
        <v>150</v>
      </c>
      <c r="G67" s="7">
        <f t="shared" si="7"/>
        <v>650</v>
      </c>
      <c r="H67" s="7">
        <f>'Salary Sheet - WB Compliant'!Y67</f>
        <v>20000</v>
      </c>
      <c r="I67" s="5" t="str">
        <f>'Salary Sheet - WB Compliant'!AF67</f>
        <v>Y</v>
      </c>
      <c r="J67" s="7">
        <f>'Salary Sheet - WB Compliant'!AG67</f>
        <v>150</v>
      </c>
      <c r="K67" s="7">
        <f>'Salary Sheet - WB Compliant'!AH67</f>
        <v>650</v>
      </c>
      <c r="L67" s="5" t="str">
        <f t="shared" si="8"/>
        <v>No</v>
      </c>
      <c r="M67" s="7">
        <f t="shared" si="9"/>
        <v>0</v>
      </c>
    </row>
    <row r="68" spans="1:13" x14ac:dyDescent="0.25">
      <c r="A68" s="6">
        <f>'Salary Sheet - WB Compliant'!A68</f>
        <v>62</v>
      </c>
      <c r="B68" s="5" t="str">
        <f>'Salary Sheet - WB Compliant'!E68</f>
        <v>ARUN KUMAR SINGH  (D)</v>
      </c>
      <c r="C68" s="5" t="str">
        <f>'Salary Sheet - WB Compliant'!D68</f>
        <v>DRIVER</v>
      </c>
      <c r="D68" s="7">
        <f>'Salary Sheet - WB Compliant'!O68</f>
        <v>20000</v>
      </c>
      <c r="E68" s="5" t="str">
        <f t="shared" si="5"/>
        <v>Y</v>
      </c>
      <c r="F68" s="7">
        <f t="shared" si="6"/>
        <v>150</v>
      </c>
      <c r="G68" s="7">
        <f t="shared" si="7"/>
        <v>650</v>
      </c>
      <c r="H68" s="7">
        <f>'Salary Sheet - WB Compliant'!Y68</f>
        <v>20000</v>
      </c>
      <c r="I68" s="5" t="str">
        <f>'Salary Sheet - WB Compliant'!AF68</f>
        <v>Y</v>
      </c>
      <c r="J68" s="7">
        <f>'Salary Sheet - WB Compliant'!AG68</f>
        <v>150</v>
      </c>
      <c r="K68" s="7">
        <f>'Salary Sheet - WB Compliant'!AH68</f>
        <v>650</v>
      </c>
      <c r="L68" s="5" t="str">
        <f t="shared" si="8"/>
        <v>No</v>
      </c>
      <c r="M68" s="7">
        <f t="shared" si="9"/>
        <v>0</v>
      </c>
    </row>
    <row r="69" spans="1:13" x14ac:dyDescent="0.25">
      <c r="A69" s="6">
        <f>'Salary Sheet - WB Compliant'!A69</f>
        <v>63</v>
      </c>
      <c r="B69" s="5" t="str">
        <f>'Salary Sheet - WB Compliant'!E69</f>
        <v>DESHBANDHU MANDOL (D)</v>
      </c>
      <c r="C69" s="5" t="str">
        <f>'Salary Sheet - WB Compliant'!D69</f>
        <v>DRIVER</v>
      </c>
      <c r="D69" s="7">
        <f>'Salary Sheet - WB Compliant'!O69</f>
        <v>21000</v>
      </c>
      <c r="E69" s="5" t="str">
        <f t="shared" si="5"/>
        <v>Y</v>
      </c>
      <c r="F69" s="7">
        <f t="shared" si="6"/>
        <v>158</v>
      </c>
      <c r="G69" s="7">
        <f t="shared" si="7"/>
        <v>683</v>
      </c>
      <c r="H69" s="7">
        <f>'Salary Sheet - WB Compliant'!Y69</f>
        <v>21000</v>
      </c>
      <c r="I69" s="5" t="str">
        <f>'Salary Sheet - WB Compliant'!AF69</f>
        <v>Y</v>
      </c>
      <c r="J69" s="7">
        <f>'Salary Sheet - WB Compliant'!AG69</f>
        <v>158</v>
      </c>
      <c r="K69" s="7">
        <f>'Salary Sheet - WB Compliant'!AH69</f>
        <v>683</v>
      </c>
      <c r="L69" s="5" t="str">
        <f t="shared" si="8"/>
        <v>No</v>
      </c>
      <c r="M69" s="7">
        <f t="shared" si="9"/>
        <v>0</v>
      </c>
    </row>
    <row r="70" spans="1:13" x14ac:dyDescent="0.25">
      <c r="A70" s="6">
        <f>'Salary Sheet - WB Compliant'!A70</f>
        <v>64</v>
      </c>
      <c r="B70" s="5" t="str">
        <f>'Salary Sheet - WB Compliant'!E70</f>
        <v>BIKASH SOREN (D)</v>
      </c>
      <c r="C70" s="5" t="str">
        <f>'Salary Sheet - WB Compliant'!D70</f>
        <v>DRIVER</v>
      </c>
      <c r="D70" s="7">
        <f>'Salary Sheet - WB Compliant'!O70</f>
        <v>20000</v>
      </c>
      <c r="E70" s="5" t="str">
        <f t="shared" si="5"/>
        <v>Y</v>
      </c>
      <c r="F70" s="7">
        <f t="shared" si="6"/>
        <v>150</v>
      </c>
      <c r="G70" s="7">
        <f t="shared" si="7"/>
        <v>650</v>
      </c>
      <c r="H70" s="7">
        <f>'Salary Sheet - WB Compliant'!Y70</f>
        <v>20000</v>
      </c>
      <c r="I70" s="5" t="str">
        <f>'Salary Sheet - WB Compliant'!AF70</f>
        <v>Y</v>
      </c>
      <c r="J70" s="7">
        <f>'Salary Sheet - WB Compliant'!AG70</f>
        <v>150</v>
      </c>
      <c r="K70" s="7">
        <f>'Salary Sheet - WB Compliant'!AH70</f>
        <v>650</v>
      </c>
      <c r="L70" s="5" t="str">
        <f t="shared" si="8"/>
        <v>No</v>
      </c>
      <c r="M70" s="7">
        <f t="shared" si="9"/>
        <v>0</v>
      </c>
    </row>
    <row r="71" spans="1:13" x14ac:dyDescent="0.25">
      <c r="A71" s="6">
        <f>'Salary Sheet - WB Compliant'!A71</f>
        <v>65</v>
      </c>
      <c r="B71" s="5" t="str">
        <f>'Salary Sheet - WB Compliant'!E71</f>
        <v>GOUTAM PATRA (D)</v>
      </c>
      <c r="C71" s="5" t="str">
        <f>'Salary Sheet - WB Compliant'!D71</f>
        <v>DRIVER</v>
      </c>
      <c r="D71" s="7">
        <f>'Salary Sheet - WB Compliant'!O71</f>
        <v>20000</v>
      </c>
      <c r="E71" s="5" t="str">
        <f t="shared" ref="E71:E102" si="10">IF(D71&lt;=21000,"Y","N")</f>
        <v>Y</v>
      </c>
      <c r="F71" s="7">
        <f t="shared" ref="F71:F102" si="11">IF(E71="Y",ROUND(D71*0.75%,0),0)</f>
        <v>150</v>
      </c>
      <c r="G71" s="7">
        <f t="shared" ref="G71:G102" si="12">IF(E71="Y",ROUND(D71*3.25%,0),0)</f>
        <v>650</v>
      </c>
      <c r="H71" s="7">
        <f>'Salary Sheet - WB Compliant'!Y71</f>
        <v>20000</v>
      </c>
      <c r="I71" s="5" t="str">
        <f>'Salary Sheet - WB Compliant'!AF71</f>
        <v>Y</v>
      </c>
      <c r="J71" s="7">
        <f>'Salary Sheet - WB Compliant'!AG71</f>
        <v>150</v>
      </c>
      <c r="K71" s="7">
        <f>'Salary Sheet - WB Compliant'!AH71</f>
        <v>650</v>
      </c>
      <c r="L71" s="5" t="str">
        <f t="shared" ref="L71:L102" si="13">IF(E71&lt;&gt;I71,"YES","No")</f>
        <v>No</v>
      </c>
      <c r="M71" s="7">
        <f t="shared" ref="M71:M102" si="14">K71-G71</f>
        <v>0</v>
      </c>
    </row>
    <row r="72" spans="1:13" x14ac:dyDescent="0.25">
      <c r="A72" s="6">
        <f>'Salary Sheet - WB Compliant'!A72</f>
        <v>66</v>
      </c>
      <c r="B72" s="5" t="str">
        <f>'Salary Sheet - WB Compliant'!E72</f>
        <v>LAXMIKANTA MAHALI(H)</v>
      </c>
      <c r="C72" s="5" t="str">
        <f>'Salary Sheet - WB Compliant'!D72</f>
        <v>HELPER</v>
      </c>
      <c r="D72" s="7">
        <f>'Salary Sheet - WB Compliant'!O72</f>
        <v>12600</v>
      </c>
      <c r="E72" s="5" t="str">
        <f t="shared" si="10"/>
        <v>Y</v>
      </c>
      <c r="F72" s="7">
        <f t="shared" si="11"/>
        <v>95</v>
      </c>
      <c r="G72" s="7">
        <f t="shared" si="12"/>
        <v>410</v>
      </c>
      <c r="H72" s="7">
        <f>'Salary Sheet - WB Compliant'!Y72</f>
        <v>12600</v>
      </c>
      <c r="I72" s="5" t="str">
        <f>'Salary Sheet - WB Compliant'!AF72</f>
        <v>Y</v>
      </c>
      <c r="J72" s="7">
        <f>'Salary Sheet - WB Compliant'!AG72</f>
        <v>95</v>
      </c>
      <c r="K72" s="7">
        <f>'Salary Sheet - WB Compliant'!AH72</f>
        <v>410</v>
      </c>
      <c r="L72" s="5" t="str">
        <f t="shared" si="13"/>
        <v>No</v>
      </c>
      <c r="M72" s="7">
        <f t="shared" si="14"/>
        <v>0</v>
      </c>
    </row>
    <row r="73" spans="1:13" x14ac:dyDescent="0.25">
      <c r="A73" s="6">
        <f>'Salary Sheet - WB Compliant'!A73</f>
        <v>67</v>
      </c>
      <c r="B73" s="5" t="str">
        <f>'Salary Sheet - WB Compliant'!E73</f>
        <v>PRADIP ROY (D)</v>
      </c>
      <c r="C73" s="5" t="str">
        <f>'Salary Sheet - WB Compliant'!D73</f>
        <v>DRIVER</v>
      </c>
      <c r="D73" s="7">
        <f>'Salary Sheet - WB Compliant'!O73</f>
        <v>20000</v>
      </c>
      <c r="E73" s="5" t="str">
        <f t="shared" si="10"/>
        <v>Y</v>
      </c>
      <c r="F73" s="7">
        <f t="shared" si="11"/>
        <v>150</v>
      </c>
      <c r="G73" s="7">
        <f t="shared" si="12"/>
        <v>650</v>
      </c>
      <c r="H73" s="7">
        <f>'Salary Sheet - WB Compliant'!Y73</f>
        <v>20000</v>
      </c>
      <c r="I73" s="5" t="str">
        <f>'Salary Sheet - WB Compliant'!AF73</f>
        <v>Y</v>
      </c>
      <c r="J73" s="7">
        <f>'Salary Sheet - WB Compliant'!AG73</f>
        <v>150</v>
      </c>
      <c r="K73" s="7">
        <f>'Salary Sheet - WB Compliant'!AH73</f>
        <v>650</v>
      </c>
      <c r="L73" s="5" t="str">
        <f t="shared" si="13"/>
        <v>No</v>
      </c>
      <c r="M73" s="7">
        <f t="shared" si="14"/>
        <v>0</v>
      </c>
    </row>
    <row r="74" spans="1:13" x14ac:dyDescent="0.25">
      <c r="A74" s="6">
        <f>'Salary Sheet - WB Compliant'!A74</f>
        <v>68</v>
      </c>
      <c r="B74" s="5" t="str">
        <f>'Salary Sheet - WB Compliant'!E74</f>
        <v>RAGHUNATH MAHALI (H)</v>
      </c>
      <c r="C74" s="5" t="str">
        <f>'Salary Sheet - WB Compliant'!D74</f>
        <v>HELPER</v>
      </c>
      <c r="D74" s="7">
        <f>'Salary Sheet - WB Compliant'!O74</f>
        <v>12600</v>
      </c>
      <c r="E74" s="5" t="str">
        <f t="shared" si="10"/>
        <v>Y</v>
      </c>
      <c r="F74" s="7">
        <f t="shared" si="11"/>
        <v>95</v>
      </c>
      <c r="G74" s="7">
        <f t="shared" si="12"/>
        <v>410</v>
      </c>
      <c r="H74" s="7">
        <f>'Salary Sheet - WB Compliant'!Y74</f>
        <v>12600</v>
      </c>
      <c r="I74" s="5" t="str">
        <f>'Salary Sheet - WB Compliant'!AF74</f>
        <v>Y</v>
      </c>
      <c r="J74" s="7">
        <f>'Salary Sheet - WB Compliant'!AG74</f>
        <v>95</v>
      </c>
      <c r="K74" s="7">
        <f>'Salary Sheet - WB Compliant'!AH74</f>
        <v>410</v>
      </c>
      <c r="L74" s="5" t="str">
        <f t="shared" si="13"/>
        <v>No</v>
      </c>
      <c r="M74" s="7">
        <f t="shared" si="14"/>
        <v>0</v>
      </c>
    </row>
    <row r="75" spans="1:13" x14ac:dyDescent="0.25">
      <c r="A75" s="6">
        <f>'Salary Sheet - WB Compliant'!A75</f>
        <v>69</v>
      </c>
      <c r="B75" s="5" t="str">
        <f>'Salary Sheet - WB Compliant'!E75</f>
        <v>RAJDOT ROY(H)</v>
      </c>
      <c r="C75" s="5" t="str">
        <f>'Salary Sheet - WB Compliant'!D75</f>
        <v>HELPER</v>
      </c>
      <c r="D75" s="7">
        <f>'Salary Sheet - WB Compliant'!O75</f>
        <v>12600</v>
      </c>
      <c r="E75" s="5" t="str">
        <f t="shared" si="10"/>
        <v>Y</v>
      </c>
      <c r="F75" s="7">
        <f t="shared" si="11"/>
        <v>95</v>
      </c>
      <c r="G75" s="7">
        <f t="shared" si="12"/>
        <v>410</v>
      </c>
      <c r="H75" s="7">
        <f>'Salary Sheet - WB Compliant'!Y75</f>
        <v>12600</v>
      </c>
      <c r="I75" s="5" t="str">
        <f>'Salary Sheet - WB Compliant'!AF75</f>
        <v>Y</v>
      </c>
      <c r="J75" s="7">
        <f>'Salary Sheet - WB Compliant'!AG75</f>
        <v>95</v>
      </c>
      <c r="K75" s="7">
        <f>'Salary Sheet - WB Compliant'!AH75</f>
        <v>410</v>
      </c>
      <c r="L75" s="5" t="str">
        <f t="shared" si="13"/>
        <v>No</v>
      </c>
      <c r="M75" s="7">
        <f t="shared" si="14"/>
        <v>0</v>
      </c>
    </row>
    <row r="76" spans="1:13" x14ac:dyDescent="0.25">
      <c r="A76" s="6">
        <f>'Salary Sheet - WB Compliant'!A76</f>
        <v>70</v>
      </c>
      <c r="B76" s="5" t="str">
        <f>'Salary Sheet - WB Compliant'!E76</f>
        <v>SAJAL MONDAL (H)</v>
      </c>
      <c r="C76" s="5" t="str">
        <f>'Salary Sheet - WB Compliant'!D76</f>
        <v>HELPER</v>
      </c>
      <c r="D76" s="7">
        <f>'Salary Sheet - WB Compliant'!O76</f>
        <v>12600</v>
      </c>
      <c r="E76" s="5" t="str">
        <f t="shared" si="10"/>
        <v>Y</v>
      </c>
      <c r="F76" s="7">
        <f t="shared" si="11"/>
        <v>95</v>
      </c>
      <c r="G76" s="7">
        <f t="shared" si="12"/>
        <v>410</v>
      </c>
      <c r="H76" s="7">
        <f>'Salary Sheet - WB Compliant'!Y76</f>
        <v>12600</v>
      </c>
      <c r="I76" s="5" t="str">
        <f>'Salary Sheet - WB Compliant'!AF76</f>
        <v>Y</v>
      </c>
      <c r="J76" s="7">
        <f>'Salary Sheet - WB Compliant'!AG76</f>
        <v>95</v>
      </c>
      <c r="K76" s="7">
        <f>'Salary Sheet - WB Compliant'!AH76</f>
        <v>410</v>
      </c>
      <c r="L76" s="5" t="str">
        <f t="shared" si="13"/>
        <v>No</v>
      </c>
      <c r="M76" s="7">
        <f t="shared" si="14"/>
        <v>0</v>
      </c>
    </row>
    <row r="77" spans="1:13" x14ac:dyDescent="0.25">
      <c r="A77" s="6">
        <f>'Salary Sheet - WB Compliant'!A77</f>
        <v>71</v>
      </c>
      <c r="B77" s="5" t="str">
        <f>'Salary Sheet - WB Compliant'!E77</f>
        <v>SUMAN MAITY(LAB)</v>
      </c>
      <c r="C77" s="5" t="str">
        <f>'Salary Sheet - WB Compliant'!D77</f>
        <v>LAB TECHNICIAN</v>
      </c>
      <c r="D77" s="7">
        <f>'Salary Sheet - WB Compliant'!O77</f>
        <v>16275</v>
      </c>
      <c r="E77" s="5" t="str">
        <f t="shared" si="10"/>
        <v>Y</v>
      </c>
      <c r="F77" s="7">
        <f t="shared" si="11"/>
        <v>122</v>
      </c>
      <c r="G77" s="7">
        <f t="shared" si="12"/>
        <v>529</v>
      </c>
      <c r="H77" s="7">
        <f>'Salary Sheet - WB Compliant'!Y77</f>
        <v>16275</v>
      </c>
      <c r="I77" s="5" t="str">
        <f>'Salary Sheet - WB Compliant'!AF77</f>
        <v>Y</v>
      </c>
      <c r="J77" s="7">
        <f>'Salary Sheet - WB Compliant'!AG77</f>
        <v>122</v>
      </c>
      <c r="K77" s="7">
        <f>'Salary Sheet - WB Compliant'!AH77</f>
        <v>529</v>
      </c>
      <c r="L77" s="5" t="str">
        <f t="shared" si="13"/>
        <v>No</v>
      </c>
      <c r="M77" s="7">
        <f t="shared" si="14"/>
        <v>0</v>
      </c>
    </row>
    <row r="78" spans="1:13" x14ac:dyDescent="0.25">
      <c r="A78" s="6">
        <f>'Salary Sheet - WB Compliant'!A78</f>
        <v>72</v>
      </c>
      <c r="B78" s="5" t="str">
        <f>'Salary Sheet - WB Compliant'!E78</f>
        <v>JAYDEB MONDAL (L)</v>
      </c>
      <c r="C78" s="5" t="str">
        <f>'Salary Sheet - WB Compliant'!D78</f>
        <v>LAB TECHNICIAN</v>
      </c>
      <c r="D78" s="7">
        <f>'Salary Sheet - WB Compliant'!O78</f>
        <v>13650</v>
      </c>
      <c r="E78" s="5" t="str">
        <f t="shared" si="10"/>
        <v>Y</v>
      </c>
      <c r="F78" s="7">
        <f t="shared" si="11"/>
        <v>102</v>
      </c>
      <c r="G78" s="7">
        <f t="shared" si="12"/>
        <v>444</v>
      </c>
      <c r="H78" s="7">
        <f>'Salary Sheet - WB Compliant'!Y78</f>
        <v>13650</v>
      </c>
      <c r="I78" s="5" t="str">
        <f>'Salary Sheet - WB Compliant'!AF78</f>
        <v>Y</v>
      </c>
      <c r="J78" s="7">
        <f>'Salary Sheet - WB Compliant'!AG78</f>
        <v>102</v>
      </c>
      <c r="K78" s="7">
        <f>'Salary Sheet - WB Compliant'!AH78</f>
        <v>444</v>
      </c>
      <c r="L78" s="5" t="str">
        <f t="shared" si="13"/>
        <v>No</v>
      </c>
      <c r="M78" s="7">
        <f t="shared" si="14"/>
        <v>0</v>
      </c>
    </row>
    <row r="79" spans="1:13" x14ac:dyDescent="0.25">
      <c r="A79" s="6">
        <f>'Salary Sheet - WB Compliant'!A79</f>
        <v>73</v>
      </c>
      <c r="B79" s="5" t="str">
        <f>'Salary Sheet - WB Compliant'!E79</f>
        <v>GOUTAM BAURI (D)</v>
      </c>
      <c r="C79" s="5" t="str">
        <f>'Salary Sheet - WB Compliant'!D79</f>
        <v>DRIVER</v>
      </c>
      <c r="D79" s="7">
        <f>'Salary Sheet - WB Compliant'!O79</f>
        <v>21000</v>
      </c>
      <c r="E79" s="5" t="str">
        <f t="shared" si="10"/>
        <v>Y</v>
      </c>
      <c r="F79" s="7">
        <f t="shared" si="11"/>
        <v>158</v>
      </c>
      <c r="G79" s="7">
        <f t="shared" si="12"/>
        <v>683</v>
      </c>
      <c r="H79" s="7">
        <f>'Salary Sheet - WB Compliant'!Y79</f>
        <v>21000</v>
      </c>
      <c r="I79" s="5" t="str">
        <f>'Salary Sheet - WB Compliant'!AF79</f>
        <v>Y</v>
      </c>
      <c r="J79" s="7">
        <f>'Salary Sheet - WB Compliant'!AG79</f>
        <v>158</v>
      </c>
      <c r="K79" s="7">
        <f>'Salary Sheet - WB Compliant'!AH79</f>
        <v>683</v>
      </c>
      <c r="L79" s="5" t="str">
        <f t="shared" si="13"/>
        <v>No</v>
      </c>
      <c r="M79" s="7">
        <f t="shared" si="14"/>
        <v>0</v>
      </c>
    </row>
    <row r="80" spans="1:13" x14ac:dyDescent="0.25">
      <c r="A80" s="6">
        <f>'Salary Sheet - WB Compliant'!A80</f>
        <v>74</v>
      </c>
      <c r="B80" s="5" t="str">
        <f>'Salary Sheet - WB Compliant'!E80</f>
        <v>ARJUN KR. PRASAD</v>
      </c>
      <c r="C80" s="5" t="str">
        <f>'Salary Sheet - WB Compliant'!D80</f>
        <v>OFFICE STAFF</v>
      </c>
      <c r="D80" s="7">
        <f>'Salary Sheet - WB Compliant'!O80</f>
        <v>20000</v>
      </c>
      <c r="E80" s="5" t="str">
        <f t="shared" si="10"/>
        <v>Y</v>
      </c>
      <c r="F80" s="7">
        <f t="shared" si="11"/>
        <v>150</v>
      </c>
      <c r="G80" s="7">
        <f t="shared" si="12"/>
        <v>650</v>
      </c>
      <c r="H80" s="7">
        <f>'Salary Sheet - WB Compliant'!Y80</f>
        <v>20000</v>
      </c>
      <c r="I80" s="5" t="str">
        <f>'Salary Sheet - WB Compliant'!AF80</f>
        <v>Y</v>
      </c>
      <c r="J80" s="7">
        <f>'Salary Sheet - WB Compliant'!AG80</f>
        <v>150</v>
      </c>
      <c r="K80" s="7">
        <f>'Salary Sheet - WB Compliant'!AH80</f>
        <v>650</v>
      </c>
      <c r="L80" s="5" t="str">
        <f t="shared" si="13"/>
        <v>No</v>
      </c>
      <c r="M80" s="7">
        <f t="shared" si="14"/>
        <v>0</v>
      </c>
    </row>
    <row r="81" spans="1:13" x14ac:dyDescent="0.25">
      <c r="A81" s="6">
        <f>'Salary Sheet - WB Compliant'!A81</f>
        <v>75</v>
      </c>
      <c r="B81" s="5" t="str">
        <f>'Salary Sheet - WB Compliant'!E81</f>
        <v>TARAPADA BERA</v>
      </c>
      <c r="C81" s="5" t="str">
        <f>'Salary Sheet - WB Compliant'!D81</f>
        <v>OFFICE STAFF</v>
      </c>
      <c r="D81" s="7">
        <f>'Salary Sheet - WB Compliant'!O81</f>
        <v>21000</v>
      </c>
      <c r="E81" s="5" t="str">
        <f t="shared" si="10"/>
        <v>Y</v>
      </c>
      <c r="F81" s="7">
        <f t="shared" si="11"/>
        <v>158</v>
      </c>
      <c r="G81" s="7">
        <f t="shared" si="12"/>
        <v>683</v>
      </c>
      <c r="H81" s="7">
        <f>'Salary Sheet - WB Compliant'!Y81</f>
        <v>21000</v>
      </c>
      <c r="I81" s="5" t="str">
        <f>'Salary Sheet - WB Compliant'!AF81</f>
        <v>Y</v>
      </c>
      <c r="J81" s="7">
        <f>'Salary Sheet - WB Compliant'!AG81</f>
        <v>158</v>
      </c>
      <c r="K81" s="7">
        <f>'Salary Sheet - WB Compliant'!AH81</f>
        <v>683</v>
      </c>
      <c r="L81" s="5" t="str">
        <f t="shared" si="13"/>
        <v>No</v>
      </c>
      <c r="M81" s="7">
        <f t="shared" si="14"/>
        <v>0</v>
      </c>
    </row>
    <row r="82" spans="1:13" x14ac:dyDescent="0.25">
      <c r="A82" s="6">
        <f>'Salary Sheet - WB Compliant'!A82</f>
        <v>76</v>
      </c>
      <c r="B82" s="5" t="str">
        <f>'Salary Sheet - WB Compliant'!E82</f>
        <v>SOMNATH NASKAR</v>
      </c>
      <c r="C82" s="5" t="str">
        <f>'Salary Sheet - WB Compliant'!D82</f>
        <v>OFFICE STAFF</v>
      </c>
      <c r="D82" s="7">
        <f>'Salary Sheet - WB Compliant'!O82</f>
        <v>17000</v>
      </c>
      <c r="E82" s="5" t="str">
        <f t="shared" si="10"/>
        <v>Y</v>
      </c>
      <c r="F82" s="7">
        <f t="shared" si="11"/>
        <v>128</v>
      </c>
      <c r="G82" s="7">
        <f t="shared" si="12"/>
        <v>553</v>
      </c>
      <c r="H82" s="7">
        <f>'Salary Sheet - WB Compliant'!Y82</f>
        <v>17000</v>
      </c>
      <c r="I82" s="5" t="str">
        <f>'Salary Sheet - WB Compliant'!AF82</f>
        <v>Y</v>
      </c>
      <c r="J82" s="7">
        <f>'Salary Sheet - WB Compliant'!AG82</f>
        <v>128</v>
      </c>
      <c r="K82" s="7">
        <f>'Salary Sheet - WB Compliant'!AH82</f>
        <v>553</v>
      </c>
      <c r="L82" s="5" t="str">
        <f t="shared" si="13"/>
        <v>No</v>
      </c>
      <c r="M82" s="7">
        <f t="shared" si="14"/>
        <v>0</v>
      </c>
    </row>
    <row r="83" spans="1:13" x14ac:dyDescent="0.25">
      <c r="A83" s="6">
        <f>'Salary Sheet - WB Compliant'!A83</f>
        <v>77</v>
      </c>
      <c r="B83" s="5" t="str">
        <f>'Salary Sheet - WB Compliant'!E83</f>
        <v xml:space="preserve">GOUTAM DHAR </v>
      </c>
      <c r="C83" s="5" t="str">
        <f>'Salary Sheet - WB Compliant'!D83</f>
        <v>OFFICE STAFF</v>
      </c>
      <c r="D83" s="7">
        <f>'Salary Sheet - WB Compliant'!O83</f>
        <v>36500</v>
      </c>
      <c r="E83" s="5" t="str">
        <f t="shared" si="10"/>
        <v>N</v>
      </c>
      <c r="F83" s="7">
        <f t="shared" si="11"/>
        <v>0</v>
      </c>
      <c r="G83" s="7">
        <f t="shared" si="12"/>
        <v>0</v>
      </c>
      <c r="H83" s="7">
        <f>'Salary Sheet - WB Compliant'!Y83</f>
        <v>36500</v>
      </c>
      <c r="I83" s="5" t="str">
        <f>'Salary Sheet - WB Compliant'!AF83</f>
        <v>N</v>
      </c>
      <c r="J83" s="7">
        <f>'Salary Sheet - WB Compliant'!AG83</f>
        <v>0</v>
      </c>
      <c r="K83" s="7">
        <f>'Salary Sheet - WB Compliant'!AH83</f>
        <v>0</v>
      </c>
      <c r="L83" s="5" t="str">
        <f t="shared" si="13"/>
        <v>No</v>
      </c>
      <c r="M83" s="7">
        <f t="shared" si="14"/>
        <v>0</v>
      </c>
    </row>
    <row r="84" spans="1:13" x14ac:dyDescent="0.25">
      <c r="A84" s="6">
        <f>'Salary Sheet - WB Compliant'!A84</f>
        <v>78</v>
      </c>
      <c r="B84" s="5" t="str">
        <f>'Salary Sheet - WB Compliant'!E84</f>
        <v>JAYANTA KUNDU</v>
      </c>
      <c r="C84" s="5" t="str">
        <f>'Salary Sheet - WB Compliant'!D84</f>
        <v>LAB TECHNICIAN</v>
      </c>
      <c r="D84" s="7">
        <f>'Salary Sheet - WB Compliant'!O84</f>
        <v>23000</v>
      </c>
      <c r="E84" s="5" t="str">
        <f t="shared" si="10"/>
        <v>N</v>
      </c>
      <c r="F84" s="7">
        <f t="shared" si="11"/>
        <v>0</v>
      </c>
      <c r="G84" s="7">
        <f t="shared" si="12"/>
        <v>0</v>
      </c>
      <c r="H84" s="7">
        <f>'Salary Sheet - WB Compliant'!Y84</f>
        <v>23000</v>
      </c>
      <c r="I84" s="5" t="str">
        <f>'Salary Sheet - WB Compliant'!AF84</f>
        <v>N</v>
      </c>
      <c r="J84" s="7">
        <f>'Salary Sheet - WB Compliant'!AG84</f>
        <v>0</v>
      </c>
      <c r="K84" s="7">
        <f>'Salary Sheet - WB Compliant'!AH84</f>
        <v>0</v>
      </c>
      <c r="L84" s="5" t="str">
        <f t="shared" si="13"/>
        <v>No</v>
      </c>
      <c r="M84" s="7">
        <f t="shared" si="14"/>
        <v>0</v>
      </c>
    </row>
    <row r="85" spans="1:13" x14ac:dyDescent="0.25">
      <c r="A85" s="6">
        <f>'Salary Sheet - WB Compliant'!A85</f>
        <v>79</v>
      </c>
      <c r="B85" s="5" t="str">
        <f>'Salary Sheet - WB Compliant'!E85</f>
        <v>RAHUL BHALLA</v>
      </c>
      <c r="C85" s="5" t="str">
        <f>'Salary Sheet - WB Compliant'!D85</f>
        <v>LAB TECHNICIAN</v>
      </c>
      <c r="D85" s="7">
        <f>'Salary Sheet - WB Compliant'!O85</f>
        <v>19000</v>
      </c>
      <c r="E85" s="5" t="str">
        <f t="shared" si="10"/>
        <v>Y</v>
      </c>
      <c r="F85" s="7">
        <f t="shared" si="11"/>
        <v>143</v>
      </c>
      <c r="G85" s="7">
        <f t="shared" si="12"/>
        <v>618</v>
      </c>
      <c r="H85" s="7">
        <f>'Salary Sheet - WB Compliant'!Y85</f>
        <v>19000</v>
      </c>
      <c r="I85" s="5" t="str">
        <f>'Salary Sheet - WB Compliant'!AF85</f>
        <v>Y</v>
      </c>
      <c r="J85" s="7">
        <f>'Salary Sheet - WB Compliant'!AG85</f>
        <v>143</v>
      </c>
      <c r="K85" s="7">
        <f>'Salary Sheet - WB Compliant'!AH85</f>
        <v>618</v>
      </c>
      <c r="L85" s="5" t="str">
        <f t="shared" si="13"/>
        <v>No</v>
      </c>
      <c r="M85" s="7">
        <f t="shared" si="14"/>
        <v>0</v>
      </c>
    </row>
    <row r="86" spans="1:13" x14ac:dyDescent="0.25">
      <c r="A86" s="6">
        <f>'Salary Sheet - WB Compliant'!A86</f>
        <v>80</v>
      </c>
      <c r="B86" s="5" t="str">
        <f>'Salary Sheet - WB Compliant'!E86</f>
        <v>JOYDEB DUTTA</v>
      </c>
      <c r="C86" s="5" t="str">
        <f>'Salary Sheet - WB Compliant'!D86</f>
        <v>DRIVER</v>
      </c>
      <c r="D86" s="7">
        <f>'Salary Sheet - WB Compliant'!O86</f>
        <v>23400</v>
      </c>
      <c r="E86" s="5" t="str">
        <f t="shared" si="10"/>
        <v>N</v>
      </c>
      <c r="F86" s="7">
        <f t="shared" si="11"/>
        <v>0</v>
      </c>
      <c r="G86" s="7">
        <f t="shared" si="12"/>
        <v>0</v>
      </c>
      <c r="H86" s="7">
        <f>'Salary Sheet - WB Compliant'!Y86</f>
        <v>23400</v>
      </c>
      <c r="I86" s="5" t="str">
        <f>'Salary Sheet - WB Compliant'!AF86</f>
        <v>N</v>
      </c>
      <c r="J86" s="7">
        <f>'Salary Sheet - WB Compliant'!AG86</f>
        <v>0</v>
      </c>
      <c r="K86" s="7">
        <f>'Salary Sheet - WB Compliant'!AH86</f>
        <v>0</v>
      </c>
      <c r="L86" s="5" t="str">
        <f t="shared" si="13"/>
        <v>No</v>
      </c>
      <c r="M86" s="7">
        <f t="shared" si="14"/>
        <v>0</v>
      </c>
    </row>
    <row r="87" spans="1:13" x14ac:dyDescent="0.25">
      <c r="A87" s="6">
        <f>'Salary Sheet - WB Compliant'!A87</f>
        <v>81</v>
      </c>
      <c r="B87" s="5" t="str">
        <f>'Salary Sheet - WB Compliant'!E87</f>
        <v>SHYAMAL BUXI (WELDER)</v>
      </c>
      <c r="C87" s="5" t="str">
        <f>'Salary Sheet - WB Compliant'!D87</f>
        <v>OTHERS</v>
      </c>
      <c r="D87" s="7">
        <f>'Salary Sheet - WB Compliant'!O87</f>
        <v>17000</v>
      </c>
      <c r="E87" s="5" t="str">
        <f t="shared" si="10"/>
        <v>Y</v>
      </c>
      <c r="F87" s="7">
        <f t="shared" si="11"/>
        <v>128</v>
      </c>
      <c r="G87" s="7">
        <f t="shared" si="12"/>
        <v>553</v>
      </c>
      <c r="H87" s="7">
        <f>'Salary Sheet - WB Compliant'!Y87</f>
        <v>17000</v>
      </c>
      <c r="I87" s="5" t="str">
        <f>'Salary Sheet - WB Compliant'!AF87</f>
        <v>Y</v>
      </c>
      <c r="J87" s="7">
        <f>'Salary Sheet - WB Compliant'!AG87</f>
        <v>128</v>
      </c>
      <c r="K87" s="7">
        <f>'Salary Sheet - WB Compliant'!AH87</f>
        <v>553</v>
      </c>
      <c r="L87" s="5" t="str">
        <f t="shared" si="13"/>
        <v>No</v>
      </c>
      <c r="M87" s="7">
        <f t="shared" si="14"/>
        <v>0</v>
      </c>
    </row>
    <row r="88" spans="1:13" x14ac:dyDescent="0.25">
      <c r="A88" s="6">
        <f>'Salary Sheet - WB Compliant'!A88</f>
        <v>82</v>
      </c>
      <c r="B88" s="5" t="str">
        <f>'Salary Sheet - WB Compliant'!E88</f>
        <v>PINTU KUMAR RAY</v>
      </c>
      <c r="C88" s="5" t="str">
        <f>'Salary Sheet - WB Compliant'!D88</f>
        <v>DRIVER</v>
      </c>
      <c r="D88" s="7">
        <f>'Salary Sheet - WB Compliant'!O88</f>
        <v>21200</v>
      </c>
      <c r="E88" s="5" t="str">
        <f t="shared" si="10"/>
        <v>N</v>
      </c>
      <c r="F88" s="7">
        <f t="shared" si="11"/>
        <v>0</v>
      </c>
      <c r="G88" s="7">
        <f t="shared" si="12"/>
        <v>0</v>
      </c>
      <c r="H88" s="7">
        <f>'Salary Sheet - WB Compliant'!Y88</f>
        <v>21200</v>
      </c>
      <c r="I88" s="5" t="str">
        <f>'Salary Sheet - WB Compliant'!AF88</f>
        <v>N</v>
      </c>
      <c r="J88" s="7">
        <f>'Salary Sheet - WB Compliant'!AG88</f>
        <v>0</v>
      </c>
      <c r="K88" s="7">
        <f>'Salary Sheet - WB Compliant'!AH88</f>
        <v>0</v>
      </c>
      <c r="L88" s="5" t="str">
        <f t="shared" si="13"/>
        <v>No</v>
      </c>
      <c r="M88" s="7">
        <f t="shared" si="14"/>
        <v>0</v>
      </c>
    </row>
    <row r="89" spans="1:13" x14ac:dyDescent="0.25">
      <c r="A89" s="6">
        <f>'Salary Sheet - WB Compliant'!A89</f>
        <v>83</v>
      </c>
      <c r="B89" s="5" t="str">
        <f>'Salary Sheet - WB Compliant'!E89</f>
        <v>RANJIT SAH</v>
      </c>
      <c r="C89" s="5" t="str">
        <f>'Salary Sheet - WB Compliant'!D89</f>
        <v>DRIVER</v>
      </c>
      <c r="D89" s="7">
        <f>'Salary Sheet - WB Compliant'!O89</f>
        <v>21000</v>
      </c>
      <c r="E89" s="5" t="str">
        <f t="shared" si="10"/>
        <v>Y</v>
      </c>
      <c r="F89" s="7">
        <f t="shared" si="11"/>
        <v>158</v>
      </c>
      <c r="G89" s="7">
        <f t="shared" si="12"/>
        <v>683</v>
      </c>
      <c r="H89" s="7">
        <f>'Salary Sheet - WB Compliant'!Y89</f>
        <v>21000</v>
      </c>
      <c r="I89" s="5" t="str">
        <f>'Salary Sheet - WB Compliant'!AF89</f>
        <v>Y</v>
      </c>
      <c r="J89" s="7">
        <f>'Salary Sheet - WB Compliant'!AG89</f>
        <v>158</v>
      </c>
      <c r="K89" s="7">
        <f>'Salary Sheet - WB Compliant'!AH89</f>
        <v>683</v>
      </c>
      <c r="L89" s="5" t="str">
        <f t="shared" si="13"/>
        <v>No</v>
      </c>
      <c r="M89" s="7">
        <f t="shared" si="14"/>
        <v>0</v>
      </c>
    </row>
    <row r="90" spans="1:13" x14ac:dyDescent="0.25">
      <c r="A90" s="6">
        <f>'Salary Sheet - WB Compliant'!A90</f>
        <v>84</v>
      </c>
      <c r="B90" s="5" t="str">
        <f>'Salary Sheet - WB Compliant'!E90</f>
        <v>CHANDAN ROY</v>
      </c>
      <c r="C90" s="5" t="str">
        <f>'Salary Sheet - WB Compliant'!D90</f>
        <v>HELPER</v>
      </c>
      <c r="D90" s="7">
        <f>'Salary Sheet - WB Compliant'!O90</f>
        <v>13000</v>
      </c>
      <c r="E90" s="5" t="str">
        <f t="shared" si="10"/>
        <v>Y</v>
      </c>
      <c r="F90" s="7">
        <f t="shared" si="11"/>
        <v>98</v>
      </c>
      <c r="G90" s="7">
        <f t="shared" si="12"/>
        <v>423</v>
      </c>
      <c r="H90" s="7">
        <f>'Salary Sheet - WB Compliant'!Y90</f>
        <v>13000</v>
      </c>
      <c r="I90" s="5" t="str">
        <f>'Salary Sheet - WB Compliant'!AF90</f>
        <v>Y</v>
      </c>
      <c r="J90" s="7">
        <f>'Salary Sheet - WB Compliant'!AG90</f>
        <v>98</v>
      </c>
      <c r="K90" s="7">
        <f>'Salary Sheet - WB Compliant'!AH90</f>
        <v>423</v>
      </c>
      <c r="L90" s="5" t="str">
        <f t="shared" si="13"/>
        <v>No</v>
      </c>
      <c r="M90" s="7">
        <f t="shared" si="14"/>
        <v>0</v>
      </c>
    </row>
    <row r="91" spans="1:13" x14ac:dyDescent="0.25">
      <c r="A91" s="6">
        <f>'Salary Sheet - WB Compliant'!A91</f>
        <v>85</v>
      </c>
      <c r="B91" s="5" t="str">
        <f>'Salary Sheet - WB Compliant'!E91</f>
        <v>KAUSHAL KUMAR</v>
      </c>
      <c r="C91" s="5" t="str">
        <f>'Salary Sheet - WB Compliant'!D91</f>
        <v>HELPER</v>
      </c>
      <c r="D91" s="7">
        <f>'Salary Sheet - WB Compliant'!O91</f>
        <v>13000</v>
      </c>
      <c r="E91" s="5" t="str">
        <f t="shared" si="10"/>
        <v>Y</v>
      </c>
      <c r="F91" s="7">
        <f t="shared" si="11"/>
        <v>98</v>
      </c>
      <c r="G91" s="7">
        <f t="shared" si="12"/>
        <v>423</v>
      </c>
      <c r="H91" s="7">
        <f>'Salary Sheet - WB Compliant'!Y91</f>
        <v>13000</v>
      </c>
      <c r="I91" s="5" t="str">
        <f>'Salary Sheet - WB Compliant'!AF91</f>
        <v>Y</v>
      </c>
      <c r="J91" s="7">
        <f>'Salary Sheet - WB Compliant'!AG91</f>
        <v>98</v>
      </c>
      <c r="K91" s="7">
        <f>'Salary Sheet - WB Compliant'!AH91</f>
        <v>423</v>
      </c>
      <c r="L91" s="5" t="str">
        <f t="shared" si="13"/>
        <v>No</v>
      </c>
      <c r="M91" s="7">
        <f t="shared" si="14"/>
        <v>0</v>
      </c>
    </row>
    <row r="92" spans="1:13" x14ac:dyDescent="0.25">
      <c r="A92" s="6">
        <f>'Salary Sheet - WB Compliant'!A92</f>
        <v>86</v>
      </c>
      <c r="B92" s="5" t="str">
        <f>'Salary Sheet - WB Compliant'!E92</f>
        <v>SAMIR (K)</v>
      </c>
      <c r="C92" s="5" t="str">
        <f>'Salary Sheet - WB Compliant'!D92</f>
        <v>DRIVER</v>
      </c>
      <c r="D92" s="7">
        <f>'Salary Sheet - WB Compliant'!O92</f>
        <v>21200</v>
      </c>
      <c r="E92" s="5" t="str">
        <f t="shared" si="10"/>
        <v>N</v>
      </c>
      <c r="F92" s="7">
        <f t="shared" si="11"/>
        <v>0</v>
      </c>
      <c r="G92" s="7">
        <f t="shared" si="12"/>
        <v>0</v>
      </c>
      <c r="H92" s="7">
        <f>'Salary Sheet - WB Compliant'!Y92</f>
        <v>21200</v>
      </c>
      <c r="I92" s="5" t="str">
        <f>'Salary Sheet - WB Compliant'!AF92</f>
        <v>N</v>
      </c>
      <c r="J92" s="7">
        <f>'Salary Sheet - WB Compliant'!AG92</f>
        <v>0</v>
      </c>
      <c r="K92" s="7">
        <f>'Salary Sheet - WB Compliant'!AH92</f>
        <v>0</v>
      </c>
      <c r="L92" s="5" t="str">
        <f t="shared" si="13"/>
        <v>No</v>
      </c>
      <c r="M92" s="7">
        <f t="shared" si="14"/>
        <v>0</v>
      </c>
    </row>
    <row r="93" spans="1:13" x14ac:dyDescent="0.25">
      <c r="A93" s="6">
        <f>'Salary Sheet - WB Compliant'!A93</f>
        <v>87</v>
      </c>
      <c r="B93" s="5" t="str">
        <f>'Salary Sheet - WB Compliant'!E93</f>
        <v>SAMIR ROY</v>
      </c>
      <c r="C93" s="5" t="str">
        <f>'Salary Sheet - WB Compliant'!D93</f>
        <v>DRIVER</v>
      </c>
      <c r="D93" s="7">
        <f>'Salary Sheet - WB Compliant'!O93</f>
        <v>21200</v>
      </c>
      <c r="E93" s="5" t="str">
        <f t="shared" si="10"/>
        <v>N</v>
      </c>
      <c r="F93" s="7">
        <f t="shared" si="11"/>
        <v>0</v>
      </c>
      <c r="G93" s="7">
        <f t="shared" si="12"/>
        <v>0</v>
      </c>
      <c r="H93" s="7">
        <f>'Salary Sheet - WB Compliant'!Y93</f>
        <v>21200</v>
      </c>
      <c r="I93" s="5" t="str">
        <f>'Salary Sheet - WB Compliant'!AF93</f>
        <v>N</v>
      </c>
      <c r="J93" s="7">
        <f>'Salary Sheet - WB Compliant'!AG93</f>
        <v>0</v>
      </c>
      <c r="K93" s="7">
        <f>'Salary Sheet - WB Compliant'!AH93</f>
        <v>0</v>
      </c>
      <c r="L93" s="5" t="str">
        <f t="shared" si="13"/>
        <v>No</v>
      </c>
      <c r="M93" s="7">
        <f t="shared" si="14"/>
        <v>0</v>
      </c>
    </row>
    <row r="94" spans="1:13" x14ac:dyDescent="0.25">
      <c r="A94" s="6">
        <f>'Salary Sheet - WB Compliant'!A94</f>
        <v>88</v>
      </c>
      <c r="B94" s="5" t="str">
        <f>'Salary Sheet - WB Compliant'!E94</f>
        <v>SANJAY SINGH</v>
      </c>
      <c r="C94" s="5" t="str">
        <f>'Salary Sheet - WB Compliant'!D94</f>
        <v>DRIVER</v>
      </c>
      <c r="D94" s="7">
        <f>'Salary Sheet - WB Compliant'!O94</f>
        <v>21200</v>
      </c>
      <c r="E94" s="5" t="str">
        <f t="shared" si="10"/>
        <v>N</v>
      </c>
      <c r="F94" s="7">
        <f t="shared" si="11"/>
        <v>0</v>
      </c>
      <c r="G94" s="7">
        <f t="shared" si="12"/>
        <v>0</v>
      </c>
      <c r="H94" s="7">
        <f>'Salary Sheet - WB Compliant'!Y94</f>
        <v>21200</v>
      </c>
      <c r="I94" s="5" t="str">
        <f>'Salary Sheet - WB Compliant'!AF94</f>
        <v>N</v>
      </c>
      <c r="J94" s="7">
        <f>'Salary Sheet - WB Compliant'!AG94</f>
        <v>0</v>
      </c>
      <c r="K94" s="7">
        <f>'Salary Sheet - WB Compliant'!AH94</f>
        <v>0</v>
      </c>
      <c r="L94" s="5" t="str">
        <f t="shared" si="13"/>
        <v>No</v>
      </c>
      <c r="M94" s="7">
        <f t="shared" si="14"/>
        <v>0</v>
      </c>
    </row>
    <row r="95" spans="1:13" x14ac:dyDescent="0.25">
      <c r="A95" s="6">
        <f>'Salary Sheet - WB Compliant'!A95</f>
        <v>89</v>
      </c>
      <c r="B95" s="5" t="str">
        <f>'Salary Sheet - WB Compliant'!E95</f>
        <v>SRIKANTA BOURI</v>
      </c>
      <c r="C95" s="5" t="str">
        <f>'Salary Sheet - WB Compliant'!D95</f>
        <v>DRIVER</v>
      </c>
      <c r="D95" s="7">
        <f>'Salary Sheet - WB Compliant'!O95</f>
        <v>21200</v>
      </c>
      <c r="E95" s="5" t="str">
        <f t="shared" si="10"/>
        <v>N</v>
      </c>
      <c r="F95" s="7">
        <f t="shared" si="11"/>
        <v>0</v>
      </c>
      <c r="G95" s="7">
        <f t="shared" si="12"/>
        <v>0</v>
      </c>
      <c r="H95" s="7">
        <f>'Salary Sheet - WB Compliant'!Y95</f>
        <v>21200</v>
      </c>
      <c r="I95" s="5" t="str">
        <f>'Salary Sheet - WB Compliant'!AF95</f>
        <v>N</v>
      </c>
      <c r="J95" s="7">
        <f>'Salary Sheet - WB Compliant'!AG95</f>
        <v>0</v>
      </c>
      <c r="K95" s="7">
        <f>'Salary Sheet - WB Compliant'!AH95</f>
        <v>0</v>
      </c>
      <c r="L95" s="5" t="str">
        <f t="shared" si="13"/>
        <v>No</v>
      </c>
      <c r="M95" s="7">
        <f t="shared" si="14"/>
        <v>0</v>
      </c>
    </row>
    <row r="96" spans="1:13" x14ac:dyDescent="0.25">
      <c r="A96" s="6">
        <f>'Salary Sheet - WB Compliant'!A96</f>
        <v>90</v>
      </c>
      <c r="B96" s="5" t="str">
        <f>'Salary Sheet - WB Compliant'!E96</f>
        <v>SUBRATA NANDY</v>
      </c>
      <c r="C96" s="5" t="str">
        <f>'Salary Sheet - WB Compliant'!D96</f>
        <v>LAB TECHNICIAN</v>
      </c>
      <c r="D96" s="7">
        <f>'Salary Sheet - WB Compliant'!O96</f>
        <v>18000</v>
      </c>
      <c r="E96" s="5" t="str">
        <f t="shared" si="10"/>
        <v>Y</v>
      </c>
      <c r="F96" s="7">
        <f t="shared" si="11"/>
        <v>135</v>
      </c>
      <c r="G96" s="7">
        <f t="shared" si="12"/>
        <v>585</v>
      </c>
      <c r="H96" s="7">
        <f>'Salary Sheet - WB Compliant'!Y96</f>
        <v>18000</v>
      </c>
      <c r="I96" s="5" t="str">
        <f>'Salary Sheet - WB Compliant'!AF96</f>
        <v>Y</v>
      </c>
      <c r="J96" s="7">
        <f>'Salary Sheet - WB Compliant'!AG96</f>
        <v>135</v>
      </c>
      <c r="K96" s="7">
        <f>'Salary Sheet - WB Compliant'!AH96</f>
        <v>585</v>
      </c>
      <c r="L96" s="5" t="str">
        <f t="shared" si="13"/>
        <v>No</v>
      </c>
      <c r="M96" s="7">
        <f t="shared" si="14"/>
        <v>0</v>
      </c>
    </row>
    <row r="97" spans="1:13" x14ac:dyDescent="0.25">
      <c r="A97" s="6">
        <f>'Salary Sheet - WB Compliant'!A97</f>
        <v>91</v>
      </c>
      <c r="B97" s="5" t="str">
        <f>'Salary Sheet - WB Compliant'!E97</f>
        <v>SURENDAR PASWAN</v>
      </c>
      <c r="C97" s="5" t="str">
        <f>'Salary Sheet - WB Compliant'!D97</f>
        <v>DRIVER</v>
      </c>
      <c r="D97" s="7">
        <f>'Salary Sheet - WB Compliant'!O97</f>
        <v>23400</v>
      </c>
      <c r="E97" s="5" t="str">
        <f t="shared" si="10"/>
        <v>N</v>
      </c>
      <c r="F97" s="7">
        <f t="shared" si="11"/>
        <v>0</v>
      </c>
      <c r="G97" s="7">
        <f t="shared" si="12"/>
        <v>0</v>
      </c>
      <c r="H97" s="7">
        <f>'Salary Sheet - WB Compliant'!Y97</f>
        <v>23400</v>
      </c>
      <c r="I97" s="5" t="str">
        <f>'Salary Sheet - WB Compliant'!AF97</f>
        <v>N</v>
      </c>
      <c r="J97" s="7">
        <f>'Salary Sheet - WB Compliant'!AG97</f>
        <v>0</v>
      </c>
      <c r="K97" s="7">
        <f>'Salary Sheet - WB Compliant'!AH97</f>
        <v>0</v>
      </c>
      <c r="L97" s="5" t="str">
        <f t="shared" si="13"/>
        <v>No</v>
      </c>
      <c r="M97" s="7">
        <f t="shared" si="14"/>
        <v>0</v>
      </c>
    </row>
    <row r="98" spans="1:13" x14ac:dyDescent="0.25">
      <c r="A98" s="6">
        <f>'Salary Sheet - WB Compliant'!A98</f>
        <v>92</v>
      </c>
      <c r="B98" s="5" t="str">
        <f>'Salary Sheet - WB Compliant'!E98</f>
        <v>TAPAS KUMAR MAJHI</v>
      </c>
      <c r="C98" s="5" t="str">
        <f>'Salary Sheet - WB Compliant'!D98</f>
        <v>DRIVER</v>
      </c>
      <c r="D98" s="7">
        <f>'Salary Sheet - WB Compliant'!O98</f>
        <v>21200</v>
      </c>
      <c r="E98" s="5" t="str">
        <f t="shared" si="10"/>
        <v>N</v>
      </c>
      <c r="F98" s="7">
        <f t="shared" si="11"/>
        <v>0</v>
      </c>
      <c r="G98" s="7">
        <f t="shared" si="12"/>
        <v>0</v>
      </c>
      <c r="H98" s="7">
        <f>'Salary Sheet - WB Compliant'!Y98</f>
        <v>21200</v>
      </c>
      <c r="I98" s="5" t="str">
        <f>'Salary Sheet - WB Compliant'!AF98</f>
        <v>N</v>
      </c>
      <c r="J98" s="7">
        <f>'Salary Sheet - WB Compliant'!AG98</f>
        <v>0</v>
      </c>
      <c r="K98" s="7">
        <f>'Salary Sheet - WB Compliant'!AH98</f>
        <v>0</v>
      </c>
      <c r="L98" s="5" t="str">
        <f t="shared" si="13"/>
        <v>No</v>
      </c>
      <c r="M98" s="7">
        <f t="shared" si="14"/>
        <v>0</v>
      </c>
    </row>
    <row r="99" spans="1:13" x14ac:dyDescent="0.25">
      <c r="A99" s="6">
        <f>'Salary Sheet - WB Compliant'!A99</f>
        <v>93</v>
      </c>
      <c r="B99" s="5" t="str">
        <f>'Salary Sheet - WB Compliant'!E99</f>
        <v>SADHAN BAURI</v>
      </c>
      <c r="C99" s="5" t="str">
        <f>'Salary Sheet - WB Compliant'!D99</f>
        <v>HELPER</v>
      </c>
      <c r="D99" s="7">
        <f>'Salary Sheet - WB Compliant'!O99</f>
        <v>13600</v>
      </c>
      <c r="E99" s="5" t="str">
        <f t="shared" si="10"/>
        <v>Y</v>
      </c>
      <c r="F99" s="7">
        <f t="shared" si="11"/>
        <v>102</v>
      </c>
      <c r="G99" s="7">
        <f t="shared" si="12"/>
        <v>442</v>
      </c>
      <c r="H99" s="7">
        <f>'Salary Sheet - WB Compliant'!Y99</f>
        <v>13600</v>
      </c>
      <c r="I99" s="5" t="str">
        <f>'Salary Sheet - WB Compliant'!AF99</f>
        <v>Y</v>
      </c>
      <c r="J99" s="7">
        <f>'Salary Sheet - WB Compliant'!AG99</f>
        <v>102</v>
      </c>
      <c r="K99" s="7">
        <f>'Salary Sheet - WB Compliant'!AH99</f>
        <v>442</v>
      </c>
      <c r="L99" s="5" t="str">
        <f t="shared" si="13"/>
        <v>No</v>
      </c>
      <c r="M99" s="7">
        <f t="shared" si="14"/>
        <v>0</v>
      </c>
    </row>
    <row r="100" spans="1:13" x14ac:dyDescent="0.25">
      <c r="A100" s="6">
        <f>'Salary Sheet - WB Compliant'!A100</f>
        <v>94</v>
      </c>
      <c r="B100" s="5" t="str">
        <f>'Salary Sheet - WB Compliant'!E100</f>
        <v>ANIL KR SAH</v>
      </c>
      <c r="C100" s="5" t="str">
        <f>'Salary Sheet - WB Compliant'!D100</f>
        <v>DRIVER</v>
      </c>
      <c r="D100" s="7">
        <f>'Salary Sheet - WB Compliant'!O100</f>
        <v>21200</v>
      </c>
      <c r="E100" s="5" t="str">
        <f t="shared" si="10"/>
        <v>N</v>
      </c>
      <c r="F100" s="7">
        <f t="shared" si="11"/>
        <v>0</v>
      </c>
      <c r="G100" s="7">
        <f t="shared" si="12"/>
        <v>0</v>
      </c>
      <c r="H100" s="7">
        <f>'Salary Sheet - WB Compliant'!Y100</f>
        <v>21200</v>
      </c>
      <c r="I100" s="5" t="str">
        <f>'Salary Sheet - WB Compliant'!AF100</f>
        <v>N</v>
      </c>
      <c r="J100" s="7">
        <f>'Salary Sheet - WB Compliant'!AG100</f>
        <v>0</v>
      </c>
      <c r="K100" s="7">
        <f>'Salary Sheet - WB Compliant'!AH100</f>
        <v>0</v>
      </c>
      <c r="L100" s="5" t="str">
        <f t="shared" si="13"/>
        <v>No</v>
      </c>
      <c r="M100" s="7">
        <f t="shared" si="14"/>
        <v>0</v>
      </c>
    </row>
    <row r="101" spans="1:13" x14ac:dyDescent="0.25">
      <c r="A101" s="6">
        <f>'Salary Sheet - WB Compliant'!A101</f>
        <v>95</v>
      </c>
      <c r="B101" s="5" t="str">
        <f>'Salary Sheet - WB Compliant'!E101</f>
        <v>UJJWAL SINGHA</v>
      </c>
      <c r="C101" s="5" t="str">
        <f>'Salary Sheet - WB Compliant'!D101</f>
        <v>DRIVER</v>
      </c>
      <c r="D101" s="7">
        <f>'Salary Sheet - WB Compliant'!O101</f>
        <v>21200</v>
      </c>
      <c r="E101" s="5" t="str">
        <f t="shared" si="10"/>
        <v>N</v>
      </c>
      <c r="F101" s="7">
        <f t="shared" si="11"/>
        <v>0</v>
      </c>
      <c r="G101" s="7">
        <f t="shared" si="12"/>
        <v>0</v>
      </c>
      <c r="H101" s="7">
        <f>'Salary Sheet - WB Compliant'!Y101</f>
        <v>21200</v>
      </c>
      <c r="I101" s="5" t="str">
        <f>'Salary Sheet - WB Compliant'!AF101</f>
        <v>N</v>
      </c>
      <c r="J101" s="7">
        <f>'Salary Sheet - WB Compliant'!AG101</f>
        <v>0</v>
      </c>
      <c r="K101" s="7">
        <f>'Salary Sheet - WB Compliant'!AH101</f>
        <v>0</v>
      </c>
      <c r="L101" s="5" t="str">
        <f t="shared" si="13"/>
        <v>No</v>
      </c>
      <c r="M101" s="7">
        <f t="shared" si="14"/>
        <v>0</v>
      </c>
    </row>
    <row r="102" spans="1:13" x14ac:dyDescent="0.25">
      <c r="A102" s="6">
        <f>'Salary Sheet - WB Compliant'!A102</f>
        <v>96</v>
      </c>
      <c r="B102" s="5" t="str">
        <f>'Salary Sheet - WB Compliant'!E102</f>
        <v>RAJIB GHARUI</v>
      </c>
      <c r="C102" s="5" t="str">
        <f>'Salary Sheet - WB Compliant'!D102</f>
        <v>DRIVER</v>
      </c>
      <c r="D102" s="7">
        <f>'Salary Sheet - WB Compliant'!O102</f>
        <v>21200</v>
      </c>
      <c r="E102" s="5" t="str">
        <f t="shared" si="10"/>
        <v>N</v>
      </c>
      <c r="F102" s="7">
        <f t="shared" si="11"/>
        <v>0</v>
      </c>
      <c r="G102" s="7">
        <f t="shared" si="12"/>
        <v>0</v>
      </c>
      <c r="H102" s="7">
        <f>'Salary Sheet - WB Compliant'!Y102</f>
        <v>21200</v>
      </c>
      <c r="I102" s="5" t="str">
        <f>'Salary Sheet - WB Compliant'!AF102</f>
        <v>N</v>
      </c>
      <c r="J102" s="7">
        <f>'Salary Sheet - WB Compliant'!AG102</f>
        <v>0</v>
      </c>
      <c r="K102" s="7">
        <f>'Salary Sheet - WB Compliant'!AH102</f>
        <v>0</v>
      </c>
      <c r="L102" s="5" t="str">
        <f t="shared" si="13"/>
        <v>No</v>
      </c>
      <c r="M102" s="7">
        <f t="shared" si="14"/>
        <v>0</v>
      </c>
    </row>
    <row r="103" spans="1:13" x14ac:dyDescent="0.25">
      <c r="A103" s="6">
        <f>'Salary Sheet - WB Compliant'!A103</f>
        <v>97</v>
      </c>
      <c r="B103" s="5" t="str">
        <f>'Salary Sheet - WB Compliant'!E103</f>
        <v>RAMBHAJAN</v>
      </c>
      <c r="C103" s="5" t="str">
        <f>'Salary Sheet - WB Compliant'!D103</f>
        <v>DRIVER</v>
      </c>
      <c r="D103" s="7">
        <f>'Salary Sheet - WB Compliant'!O103</f>
        <v>21200</v>
      </c>
      <c r="E103" s="5" t="str">
        <f t="shared" ref="E103:E125" si="15">IF(D103&lt;=21000,"Y","N")</f>
        <v>N</v>
      </c>
      <c r="F103" s="7">
        <f t="shared" ref="F103:F125" si="16">IF(E103="Y",ROUND(D103*0.75%,0),0)</f>
        <v>0</v>
      </c>
      <c r="G103" s="7">
        <f t="shared" ref="G103:G125" si="17">IF(E103="Y",ROUND(D103*3.25%,0),0)</f>
        <v>0</v>
      </c>
      <c r="H103" s="7">
        <f>'Salary Sheet - WB Compliant'!Y103</f>
        <v>21200</v>
      </c>
      <c r="I103" s="5" t="str">
        <f>'Salary Sheet - WB Compliant'!AF103</f>
        <v>N</v>
      </c>
      <c r="J103" s="7">
        <f>'Salary Sheet - WB Compliant'!AG103</f>
        <v>0</v>
      </c>
      <c r="K103" s="7">
        <f>'Salary Sheet - WB Compliant'!AH103</f>
        <v>0</v>
      </c>
      <c r="L103" s="5" t="str">
        <f t="shared" ref="L103:L125" si="18">IF(E103&lt;&gt;I103,"YES","No")</f>
        <v>No</v>
      </c>
      <c r="M103" s="7">
        <f t="shared" ref="M103:M125" si="19">K103-G103</f>
        <v>0</v>
      </c>
    </row>
    <row r="104" spans="1:13" x14ac:dyDescent="0.25">
      <c r="A104" s="6">
        <f>'Salary Sheet - WB Compliant'!A104</f>
        <v>98</v>
      </c>
      <c r="B104" s="5" t="str">
        <f>'Salary Sheet - WB Compliant'!E104</f>
        <v>KRISHNA CH. DAS</v>
      </c>
      <c r="C104" s="5" t="str">
        <f>'Salary Sheet - WB Compliant'!D104</f>
        <v>HO OFFICE STAFF</v>
      </c>
      <c r="D104" s="7">
        <f>'Salary Sheet - WB Compliant'!O104</f>
        <v>34900</v>
      </c>
      <c r="E104" s="5" t="str">
        <f t="shared" si="15"/>
        <v>N</v>
      </c>
      <c r="F104" s="7">
        <f t="shared" si="16"/>
        <v>0</v>
      </c>
      <c r="G104" s="7">
        <f t="shared" si="17"/>
        <v>0</v>
      </c>
      <c r="H104" s="7">
        <f>'Salary Sheet - WB Compliant'!Y104</f>
        <v>34900</v>
      </c>
      <c r="I104" s="5" t="str">
        <f>'Salary Sheet - WB Compliant'!AF104</f>
        <v>N</v>
      </c>
      <c r="J104" s="7">
        <f>'Salary Sheet - WB Compliant'!AG104</f>
        <v>0</v>
      </c>
      <c r="K104" s="7">
        <f>'Salary Sheet - WB Compliant'!AH104</f>
        <v>0</v>
      </c>
      <c r="L104" s="5" t="str">
        <f t="shared" si="18"/>
        <v>No</v>
      </c>
      <c r="M104" s="7">
        <f t="shared" si="19"/>
        <v>0</v>
      </c>
    </row>
    <row r="105" spans="1:13" x14ac:dyDescent="0.25">
      <c r="A105" s="6">
        <f>'Salary Sheet - WB Compliant'!A105</f>
        <v>99</v>
      </c>
      <c r="B105" s="5" t="str">
        <f>'Salary Sheet - WB Compliant'!E105</f>
        <v>VIVEK GOSSAIN</v>
      </c>
      <c r="C105" s="5" t="str">
        <f>'Salary Sheet - WB Compliant'!D105</f>
        <v>HO OFFICE STAFF</v>
      </c>
      <c r="D105" s="7">
        <f>'Salary Sheet - WB Compliant'!O105</f>
        <v>34900</v>
      </c>
      <c r="E105" s="5" t="str">
        <f t="shared" si="15"/>
        <v>N</v>
      </c>
      <c r="F105" s="7">
        <f t="shared" si="16"/>
        <v>0</v>
      </c>
      <c r="G105" s="7">
        <f t="shared" si="17"/>
        <v>0</v>
      </c>
      <c r="H105" s="7">
        <f>'Salary Sheet - WB Compliant'!Y105</f>
        <v>34900</v>
      </c>
      <c r="I105" s="5" t="str">
        <f>'Salary Sheet - WB Compliant'!AF105</f>
        <v>N</v>
      </c>
      <c r="J105" s="7">
        <f>'Salary Sheet - WB Compliant'!AG105</f>
        <v>0</v>
      </c>
      <c r="K105" s="7">
        <f>'Salary Sheet - WB Compliant'!AH105</f>
        <v>0</v>
      </c>
      <c r="L105" s="5" t="str">
        <f t="shared" si="18"/>
        <v>No</v>
      </c>
      <c r="M105" s="7">
        <f t="shared" si="19"/>
        <v>0</v>
      </c>
    </row>
    <row r="106" spans="1:13" x14ac:dyDescent="0.25">
      <c r="A106" s="6">
        <f>'Salary Sheet - WB Compliant'!A106</f>
        <v>100</v>
      </c>
      <c r="B106" s="5" t="str">
        <f>'Salary Sheet - WB Compliant'!E106</f>
        <v>ALOKE KUNDU</v>
      </c>
      <c r="C106" s="5" t="str">
        <f>'Salary Sheet - WB Compliant'!D106</f>
        <v>HO OFFICE STAFF</v>
      </c>
      <c r="D106" s="7">
        <f>'Salary Sheet - WB Compliant'!O106</f>
        <v>27850</v>
      </c>
      <c r="E106" s="5" t="str">
        <f t="shared" si="15"/>
        <v>N</v>
      </c>
      <c r="F106" s="7">
        <f t="shared" si="16"/>
        <v>0</v>
      </c>
      <c r="G106" s="7">
        <f t="shared" si="17"/>
        <v>0</v>
      </c>
      <c r="H106" s="7">
        <f>'Salary Sheet - WB Compliant'!Y106</f>
        <v>27850</v>
      </c>
      <c r="I106" s="5" t="str">
        <f>'Salary Sheet - WB Compliant'!AF106</f>
        <v>N</v>
      </c>
      <c r="J106" s="7">
        <f>'Salary Sheet - WB Compliant'!AG106</f>
        <v>0</v>
      </c>
      <c r="K106" s="7">
        <f>'Salary Sheet - WB Compliant'!AH106</f>
        <v>0</v>
      </c>
      <c r="L106" s="5" t="str">
        <f t="shared" si="18"/>
        <v>No</v>
      </c>
      <c r="M106" s="7">
        <f t="shared" si="19"/>
        <v>0</v>
      </c>
    </row>
    <row r="107" spans="1:13" x14ac:dyDescent="0.25">
      <c r="A107" s="6">
        <f>'Salary Sheet - WB Compliant'!A107</f>
        <v>101</v>
      </c>
      <c r="B107" s="5" t="str">
        <f>'Salary Sheet - WB Compliant'!E107</f>
        <v>GOUTAM DHARA</v>
      </c>
      <c r="C107" s="5" t="str">
        <f>'Salary Sheet - WB Compliant'!D107</f>
        <v>HO OFFICE STAFF</v>
      </c>
      <c r="D107" s="7">
        <f>'Salary Sheet - WB Compliant'!O107</f>
        <v>35200</v>
      </c>
      <c r="E107" s="5" t="str">
        <f t="shared" si="15"/>
        <v>N</v>
      </c>
      <c r="F107" s="7">
        <f t="shared" si="16"/>
        <v>0</v>
      </c>
      <c r="G107" s="7">
        <f t="shared" si="17"/>
        <v>0</v>
      </c>
      <c r="H107" s="7">
        <f>'Salary Sheet - WB Compliant'!Y107</f>
        <v>35200</v>
      </c>
      <c r="I107" s="5" t="str">
        <f>'Salary Sheet - WB Compliant'!AF107</f>
        <v>N</v>
      </c>
      <c r="J107" s="7">
        <f>'Salary Sheet - WB Compliant'!AG107</f>
        <v>0</v>
      </c>
      <c r="K107" s="7">
        <f>'Salary Sheet - WB Compliant'!AH107</f>
        <v>0</v>
      </c>
      <c r="L107" s="5" t="str">
        <f t="shared" si="18"/>
        <v>No</v>
      </c>
      <c r="M107" s="7">
        <f t="shared" si="19"/>
        <v>0</v>
      </c>
    </row>
    <row r="108" spans="1:13" x14ac:dyDescent="0.25">
      <c r="A108" s="6">
        <f>'Salary Sheet - WB Compliant'!A108</f>
        <v>102</v>
      </c>
      <c r="B108" s="5" t="str">
        <f>'Salary Sheet - WB Compliant'!E108</f>
        <v>RABINDRA NATH BASU</v>
      </c>
      <c r="C108" s="5" t="str">
        <f>'Salary Sheet - WB Compliant'!D108</f>
        <v>HO OFFICE STAFF</v>
      </c>
      <c r="D108" s="7">
        <f>'Salary Sheet - WB Compliant'!O108</f>
        <v>24781</v>
      </c>
      <c r="E108" s="5" t="str">
        <f t="shared" si="15"/>
        <v>N</v>
      </c>
      <c r="F108" s="7">
        <f t="shared" si="16"/>
        <v>0</v>
      </c>
      <c r="G108" s="7">
        <f t="shared" si="17"/>
        <v>0</v>
      </c>
      <c r="H108" s="7">
        <f>'Salary Sheet - WB Compliant'!Y108</f>
        <v>24781</v>
      </c>
      <c r="I108" s="5" t="str">
        <f>'Salary Sheet - WB Compliant'!AF108</f>
        <v>N</v>
      </c>
      <c r="J108" s="7">
        <f>'Salary Sheet - WB Compliant'!AG108</f>
        <v>0</v>
      </c>
      <c r="K108" s="7">
        <f>'Salary Sheet - WB Compliant'!AH108</f>
        <v>0</v>
      </c>
      <c r="L108" s="5" t="str">
        <f t="shared" si="18"/>
        <v>No</v>
      </c>
      <c r="M108" s="7">
        <f t="shared" si="19"/>
        <v>0</v>
      </c>
    </row>
    <row r="109" spans="1:13" x14ac:dyDescent="0.25">
      <c r="A109" s="6">
        <f>'Salary Sheet - WB Compliant'!A109</f>
        <v>103</v>
      </c>
      <c r="B109" s="5" t="str">
        <f>'Salary Sheet - WB Compliant'!E109</f>
        <v>SOUMEN DAS</v>
      </c>
      <c r="C109" s="5" t="str">
        <f>'Salary Sheet - WB Compliant'!D109</f>
        <v>HO OFFICE STAFF</v>
      </c>
      <c r="D109" s="7">
        <f>'Salary Sheet - WB Compliant'!O109</f>
        <v>32200</v>
      </c>
      <c r="E109" s="5" t="str">
        <f t="shared" si="15"/>
        <v>N</v>
      </c>
      <c r="F109" s="7">
        <f t="shared" si="16"/>
        <v>0</v>
      </c>
      <c r="G109" s="7">
        <f t="shared" si="17"/>
        <v>0</v>
      </c>
      <c r="H109" s="7">
        <f>'Salary Sheet - WB Compliant'!Y109</f>
        <v>32200</v>
      </c>
      <c r="I109" s="5" t="str">
        <f>'Salary Sheet - WB Compliant'!AF109</f>
        <v>N</v>
      </c>
      <c r="J109" s="7">
        <f>'Salary Sheet - WB Compliant'!AG109</f>
        <v>0</v>
      </c>
      <c r="K109" s="7">
        <f>'Salary Sheet - WB Compliant'!AH109</f>
        <v>0</v>
      </c>
      <c r="L109" s="5" t="str">
        <f t="shared" si="18"/>
        <v>No</v>
      </c>
      <c r="M109" s="7">
        <f t="shared" si="19"/>
        <v>0</v>
      </c>
    </row>
    <row r="110" spans="1:13" x14ac:dyDescent="0.25">
      <c r="A110" s="6">
        <f>'Salary Sheet - WB Compliant'!A110</f>
        <v>104</v>
      </c>
      <c r="B110" s="5" t="str">
        <f>'Salary Sheet - WB Compliant'!E110</f>
        <v>LOKENATH KUNDU</v>
      </c>
      <c r="C110" s="5" t="str">
        <f>'Salary Sheet - WB Compliant'!D110</f>
        <v>HO OFFICE STAFF</v>
      </c>
      <c r="D110" s="7">
        <f>'Salary Sheet - WB Compliant'!O110</f>
        <v>49500</v>
      </c>
      <c r="E110" s="5" t="str">
        <f t="shared" si="15"/>
        <v>N</v>
      </c>
      <c r="F110" s="7">
        <f t="shared" si="16"/>
        <v>0</v>
      </c>
      <c r="G110" s="7">
        <f t="shared" si="17"/>
        <v>0</v>
      </c>
      <c r="H110" s="7">
        <f>'Salary Sheet - WB Compliant'!Y110</f>
        <v>49500</v>
      </c>
      <c r="I110" s="5" t="str">
        <f>'Salary Sheet - WB Compliant'!AF110</f>
        <v>N</v>
      </c>
      <c r="J110" s="7">
        <f>'Salary Sheet - WB Compliant'!AG110</f>
        <v>0</v>
      </c>
      <c r="K110" s="7">
        <f>'Salary Sheet - WB Compliant'!AH110</f>
        <v>0</v>
      </c>
      <c r="L110" s="5" t="str">
        <f t="shared" si="18"/>
        <v>No</v>
      </c>
      <c r="M110" s="7">
        <f t="shared" si="19"/>
        <v>0</v>
      </c>
    </row>
    <row r="111" spans="1:13" x14ac:dyDescent="0.25">
      <c r="A111" s="6">
        <f>'Salary Sheet - WB Compliant'!A111</f>
        <v>105</v>
      </c>
      <c r="B111" s="5" t="str">
        <f>'Salary Sheet - WB Compliant'!E111</f>
        <v>AMAL KRISHNA DEB</v>
      </c>
      <c r="C111" s="5" t="str">
        <f>'Salary Sheet - WB Compliant'!D111</f>
        <v>HO OFFICE STAFF</v>
      </c>
      <c r="D111" s="7">
        <f>'Salary Sheet - WB Compliant'!O111</f>
        <v>24781</v>
      </c>
      <c r="E111" s="5" t="str">
        <f t="shared" si="15"/>
        <v>N</v>
      </c>
      <c r="F111" s="7">
        <f t="shared" si="16"/>
        <v>0</v>
      </c>
      <c r="G111" s="7">
        <f t="shared" si="17"/>
        <v>0</v>
      </c>
      <c r="H111" s="7">
        <f>'Salary Sheet - WB Compliant'!Y111</f>
        <v>24781</v>
      </c>
      <c r="I111" s="5" t="str">
        <f>'Salary Sheet - WB Compliant'!AF111</f>
        <v>N</v>
      </c>
      <c r="J111" s="7">
        <f>'Salary Sheet - WB Compliant'!AG111</f>
        <v>0</v>
      </c>
      <c r="K111" s="7">
        <f>'Salary Sheet - WB Compliant'!AH111</f>
        <v>0</v>
      </c>
      <c r="L111" s="5" t="str">
        <f t="shared" si="18"/>
        <v>No</v>
      </c>
      <c r="M111" s="7">
        <f t="shared" si="19"/>
        <v>0</v>
      </c>
    </row>
    <row r="112" spans="1:13" x14ac:dyDescent="0.25">
      <c r="A112" s="6">
        <f>'Salary Sheet - WB Compliant'!A112</f>
        <v>106</v>
      </c>
      <c r="B112" s="5" t="str">
        <f>'Salary Sheet - WB Compliant'!E112</f>
        <v>SYED JAWED AHMED</v>
      </c>
      <c r="C112" s="5" t="str">
        <f>'Salary Sheet - WB Compliant'!D112</f>
        <v>HO OFFICE STAFF</v>
      </c>
      <c r="D112" s="7">
        <f>'Salary Sheet - WB Compliant'!O112</f>
        <v>62000</v>
      </c>
      <c r="E112" s="5" t="str">
        <f t="shared" si="15"/>
        <v>N</v>
      </c>
      <c r="F112" s="7">
        <f t="shared" si="16"/>
        <v>0</v>
      </c>
      <c r="G112" s="7">
        <f t="shared" si="17"/>
        <v>0</v>
      </c>
      <c r="H112" s="7">
        <f>'Salary Sheet - WB Compliant'!Y112</f>
        <v>62000</v>
      </c>
      <c r="I112" s="5" t="str">
        <f>'Salary Sheet - WB Compliant'!AF112</f>
        <v>N</v>
      </c>
      <c r="J112" s="7">
        <f>'Salary Sheet - WB Compliant'!AG112</f>
        <v>0</v>
      </c>
      <c r="K112" s="7">
        <f>'Salary Sheet - WB Compliant'!AH112</f>
        <v>0</v>
      </c>
      <c r="L112" s="5" t="str">
        <f t="shared" si="18"/>
        <v>No</v>
      </c>
      <c r="M112" s="7">
        <f t="shared" si="19"/>
        <v>0</v>
      </c>
    </row>
    <row r="113" spans="1:13" x14ac:dyDescent="0.25">
      <c r="A113" s="6">
        <f>'Salary Sheet - WB Compliant'!A113</f>
        <v>107</v>
      </c>
      <c r="B113" s="5" t="str">
        <f>'Salary Sheet - WB Compliant'!E113</f>
        <v>SIBASISH DHAR</v>
      </c>
      <c r="C113" s="5" t="str">
        <f>'Salary Sheet - WB Compliant'!D113</f>
        <v>HO OFFICE STAFF</v>
      </c>
      <c r="D113" s="7">
        <f>'Salary Sheet - WB Compliant'!O113</f>
        <v>21350</v>
      </c>
      <c r="E113" s="5" t="str">
        <f t="shared" si="15"/>
        <v>N</v>
      </c>
      <c r="F113" s="7">
        <f t="shared" si="16"/>
        <v>0</v>
      </c>
      <c r="G113" s="7">
        <f t="shared" si="17"/>
        <v>0</v>
      </c>
      <c r="H113" s="7">
        <f>'Salary Sheet - WB Compliant'!Y113</f>
        <v>21350</v>
      </c>
      <c r="I113" s="5" t="str">
        <f>'Salary Sheet - WB Compliant'!AF113</f>
        <v>N</v>
      </c>
      <c r="J113" s="7">
        <f>'Salary Sheet - WB Compliant'!AG113</f>
        <v>0</v>
      </c>
      <c r="K113" s="7">
        <f>'Salary Sheet - WB Compliant'!AH113</f>
        <v>0</v>
      </c>
      <c r="L113" s="5" t="str">
        <f t="shared" si="18"/>
        <v>No</v>
      </c>
      <c r="M113" s="7">
        <f t="shared" si="19"/>
        <v>0</v>
      </c>
    </row>
    <row r="114" spans="1:13" x14ac:dyDescent="0.25">
      <c r="A114" s="6">
        <f>'Salary Sheet - WB Compliant'!A114</f>
        <v>108</v>
      </c>
      <c r="B114" s="5" t="str">
        <f>'Salary Sheet - WB Compliant'!E114</f>
        <v>MOHENDRA DAN</v>
      </c>
      <c r="C114" s="5" t="str">
        <f>'Salary Sheet - WB Compliant'!D114</f>
        <v>HO OFFICE STAFF</v>
      </c>
      <c r="D114" s="7">
        <f>'Salary Sheet - WB Compliant'!O114</f>
        <v>45000</v>
      </c>
      <c r="E114" s="5" t="str">
        <f t="shared" si="15"/>
        <v>N</v>
      </c>
      <c r="F114" s="7">
        <f t="shared" si="16"/>
        <v>0</v>
      </c>
      <c r="G114" s="7">
        <f t="shared" si="17"/>
        <v>0</v>
      </c>
      <c r="H114" s="7">
        <f>'Salary Sheet - WB Compliant'!Y114</f>
        <v>45000</v>
      </c>
      <c r="I114" s="5" t="str">
        <f>'Salary Sheet - WB Compliant'!AF114</f>
        <v>N</v>
      </c>
      <c r="J114" s="7">
        <f>'Salary Sheet - WB Compliant'!AG114</f>
        <v>0</v>
      </c>
      <c r="K114" s="7">
        <f>'Salary Sheet - WB Compliant'!AH114</f>
        <v>0</v>
      </c>
      <c r="L114" s="5" t="str">
        <f t="shared" si="18"/>
        <v>No</v>
      </c>
      <c r="M114" s="7">
        <f t="shared" si="19"/>
        <v>0</v>
      </c>
    </row>
    <row r="115" spans="1:13" x14ac:dyDescent="0.25">
      <c r="A115" s="6">
        <f>'Salary Sheet - WB Compliant'!A115</f>
        <v>109</v>
      </c>
      <c r="B115" s="5" t="str">
        <f>'Salary Sheet - WB Compliant'!E115</f>
        <v>PRADIP DAS</v>
      </c>
      <c r="C115" s="5" t="str">
        <f>'Salary Sheet - WB Compliant'!D115</f>
        <v>HO OFFICE STAFF</v>
      </c>
      <c r="D115" s="7">
        <f>'Salary Sheet - WB Compliant'!O115</f>
        <v>41600</v>
      </c>
      <c r="E115" s="5" t="str">
        <f t="shared" si="15"/>
        <v>N</v>
      </c>
      <c r="F115" s="7">
        <f t="shared" si="16"/>
        <v>0</v>
      </c>
      <c r="G115" s="7">
        <f t="shared" si="17"/>
        <v>0</v>
      </c>
      <c r="H115" s="7">
        <f>'Salary Sheet - WB Compliant'!Y115</f>
        <v>41600</v>
      </c>
      <c r="I115" s="5" t="str">
        <f>'Salary Sheet - WB Compliant'!AF115</f>
        <v>N</v>
      </c>
      <c r="J115" s="7">
        <f>'Salary Sheet - WB Compliant'!AG115</f>
        <v>0</v>
      </c>
      <c r="K115" s="7">
        <f>'Salary Sheet - WB Compliant'!AH115</f>
        <v>0</v>
      </c>
      <c r="L115" s="5" t="str">
        <f t="shared" si="18"/>
        <v>No</v>
      </c>
      <c r="M115" s="7">
        <f t="shared" si="19"/>
        <v>0</v>
      </c>
    </row>
    <row r="116" spans="1:13" x14ac:dyDescent="0.25">
      <c r="A116" s="6">
        <f>'Salary Sheet - WB Compliant'!A116</f>
        <v>110</v>
      </c>
      <c r="B116" s="5" t="str">
        <f>'Salary Sheet - WB Compliant'!E116</f>
        <v>DEBANGSU KUMAR DAS</v>
      </c>
      <c r="C116" s="5" t="str">
        <f>'Salary Sheet - WB Compliant'!D116</f>
        <v>HO OFFICE STAFF</v>
      </c>
      <c r="D116" s="7">
        <f>'Salary Sheet - WB Compliant'!O116</f>
        <v>32200</v>
      </c>
      <c r="E116" s="5" t="str">
        <f t="shared" si="15"/>
        <v>N</v>
      </c>
      <c r="F116" s="7">
        <f t="shared" si="16"/>
        <v>0</v>
      </c>
      <c r="G116" s="7">
        <f t="shared" si="17"/>
        <v>0</v>
      </c>
      <c r="H116" s="7">
        <f>'Salary Sheet - WB Compliant'!Y116</f>
        <v>32200</v>
      </c>
      <c r="I116" s="5" t="str">
        <f>'Salary Sheet - WB Compliant'!AF116</f>
        <v>N</v>
      </c>
      <c r="J116" s="7">
        <f>'Salary Sheet - WB Compliant'!AG116</f>
        <v>0</v>
      </c>
      <c r="K116" s="7">
        <f>'Salary Sheet - WB Compliant'!AH116</f>
        <v>0</v>
      </c>
      <c r="L116" s="5" t="str">
        <f t="shared" si="18"/>
        <v>No</v>
      </c>
      <c r="M116" s="7">
        <f t="shared" si="19"/>
        <v>0</v>
      </c>
    </row>
    <row r="117" spans="1:13" x14ac:dyDescent="0.25">
      <c r="A117" s="6">
        <f>'Salary Sheet - WB Compliant'!A117</f>
        <v>111</v>
      </c>
      <c r="B117" s="5" t="str">
        <f>'Salary Sheet - WB Compliant'!E117</f>
        <v>ANUJ KUMAR</v>
      </c>
      <c r="C117" s="5" t="str">
        <f>'Salary Sheet - WB Compliant'!D117</f>
        <v>HO OFFICE STAFF</v>
      </c>
      <c r="D117" s="7">
        <f>'Salary Sheet - WB Compliant'!O117</f>
        <v>28200</v>
      </c>
      <c r="E117" s="5" t="str">
        <f t="shared" si="15"/>
        <v>N</v>
      </c>
      <c r="F117" s="7">
        <f t="shared" si="16"/>
        <v>0</v>
      </c>
      <c r="G117" s="7">
        <f t="shared" si="17"/>
        <v>0</v>
      </c>
      <c r="H117" s="7">
        <f>'Salary Sheet - WB Compliant'!Y117</f>
        <v>28200</v>
      </c>
      <c r="I117" s="5" t="str">
        <f>'Salary Sheet - WB Compliant'!AF117</f>
        <v>N</v>
      </c>
      <c r="J117" s="7">
        <f>'Salary Sheet - WB Compliant'!AG117</f>
        <v>0</v>
      </c>
      <c r="K117" s="7">
        <f>'Salary Sheet - WB Compliant'!AH117</f>
        <v>0</v>
      </c>
      <c r="L117" s="5" t="str">
        <f t="shared" si="18"/>
        <v>No</v>
      </c>
      <c r="M117" s="7">
        <f t="shared" si="19"/>
        <v>0</v>
      </c>
    </row>
    <row r="118" spans="1:13" x14ac:dyDescent="0.25">
      <c r="A118" s="6">
        <f>'Salary Sheet - WB Compliant'!A118</f>
        <v>112</v>
      </c>
      <c r="B118" s="5" t="str">
        <f>'Salary Sheet - WB Compliant'!E118</f>
        <v>RAJU DAS</v>
      </c>
      <c r="C118" s="5" t="str">
        <f>'Salary Sheet - WB Compliant'!D118</f>
        <v>HO OFFICE STAFF</v>
      </c>
      <c r="D118" s="7">
        <f>'Salary Sheet - WB Compliant'!O118</f>
        <v>14050</v>
      </c>
      <c r="E118" s="5" t="str">
        <f t="shared" si="15"/>
        <v>Y</v>
      </c>
      <c r="F118" s="7">
        <f t="shared" si="16"/>
        <v>105</v>
      </c>
      <c r="G118" s="7">
        <f t="shared" si="17"/>
        <v>457</v>
      </c>
      <c r="H118" s="7">
        <f>'Salary Sheet - WB Compliant'!Y118</f>
        <v>14050</v>
      </c>
      <c r="I118" s="5" t="str">
        <f>'Salary Sheet - WB Compliant'!AF118</f>
        <v>Y</v>
      </c>
      <c r="J118" s="7">
        <f>'Salary Sheet - WB Compliant'!AG118</f>
        <v>105</v>
      </c>
      <c r="K118" s="7">
        <f>'Salary Sheet - WB Compliant'!AH118</f>
        <v>457</v>
      </c>
      <c r="L118" s="5" t="str">
        <f t="shared" si="18"/>
        <v>No</v>
      </c>
      <c r="M118" s="7">
        <f t="shared" si="19"/>
        <v>0</v>
      </c>
    </row>
    <row r="119" spans="1:13" x14ac:dyDescent="0.25">
      <c r="A119" s="6">
        <f>'Salary Sheet - WB Compliant'!A119</f>
        <v>113</v>
      </c>
      <c r="B119" s="5" t="str">
        <f>'Salary Sheet - WB Compliant'!E119</f>
        <v>RAGHAB CHANDRA DAS</v>
      </c>
      <c r="C119" s="5" t="str">
        <f>'Salary Sheet - WB Compliant'!D119</f>
        <v>HO OFFICE STAFF</v>
      </c>
      <c r="D119" s="7">
        <f>'Salary Sheet - WB Compliant'!O119</f>
        <v>13700</v>
      </c>
      <c r="E119" s="5" t="str">
        <f t="shared" si="15"/>
        <v>Y</v>
      </c>
      <c r="F119" s="7">
        <f t="shared" si="16"/>
        <v>103</v>
      </c>
      <c r="G119" s="7">
        <f t="shared" si="17"/>
        <v>445</v>
      </c>
      <c r="H119" s="7">
        <f>'Salary Sheet - WB Compliant'!Y119</f>
        <v>13700</v>
      </c>
      <c r="I119" s="5" t="str">
        <f>'Salary Sheet - WB Compliant'!AF119</f>
        <v>Y</v>
      </c>
      <c r="J119" s="7">
        <f>'Salary Sheet - WB Compliant'!AG119</f>
        <v>103</v>
      </c>
      <c r="K119" s="7">
        <f>'Salary Sheet - WB Compliant'!AH119</f>
        <v>445</v>
      </c>
      <c r="L119" s="5" t="str">
        <f t="shared" si="18"/>
        <v>No</v>
      </c>
      <c r="M119" s="7">
        <f t="shared" si="19"/>
        <v>0</v>
      </c>
    </row>
    <row r="120" spans="1:13" x14ac:dyDescent="0.25">
      <c r="A120" s="6">
        <f>'Salary Sheet - WB Compliant'!A120</f>
        <v>114</v>
      </c>
      <c r="B120" s="5" t="str">
        <f>'Salary Sheet - WB Compliant'!E120</f>
        <v>SANKAR  YADAV</v>
      </c>
      <c r="C120" s="5" t="str">
        <f>'Salary Sheet - WB Compliant'!D120</f>
        <v>HO OFFICE STAFF</v>
      </c>
      <c r="D120" s="7">
        <f>'Salary Sheet - WB Compliant'!O120</f>
        <v>12350</v>
      </c>
      <c r="E120" s="5" t="str">
        <f t="shared" si="15"/>
        <v>Y</v>
      </c>
      <c r="F120" s="7">
        <f t="shared" si="16"/>
        <v>93</v>
      </c>
      <c r="G120" s="7">
        <f t="shared" si="17"/>
        <v>401</v>
      </c>
      <c r="H120" s="7">
        <f>'Salary Sheet - WB Compliant'!Y120</f>
        <v>12777</v>
      </c>
      <c r="I120" s="5" t="str">
        <f>'Salary Sheet - WB Compliant'!AF120</f>
        <v>Y</v>
      </c>
      <c r="J120" s="7">
        <f>'Salary Sheet - WB Compliant'!AG120</f>
        <v>96</v>
      </c>
      <c r="K120" s="7">
        <f>'Salary Sheet - WB Compliant'!AH120</f>
        <v>415</v>
      </c>
      <c r="L120" s="5" t="str">
        <f t="shared" si="18"/>
        <v>No</v>
      </c>
      <c r="M120" s="7">
        <f t="shared" si="19"/>
        <v>14</v>
      </c>
    </row>
    <row r="121" spans="1:13" x14ac:dyDescent="0.25">
      <c r="A121" s="6">
        <f>'Salary Sheet - WB Compliant'!A121</f>
        <v>115</v>
      </c>
      <c r="B121" s="5" t="str">
        <f>'Salary Sheet - WB Compliant'!E121</f>
        <v>RAJESH VARMA</v>
      </c>
      <c r="C121" s="5" t="str">
        <f>'Salary Sheet - WB Compliant'!D121</f>
        <v>HO OFFICE STAFF</v>
      </c>
      <c r="D121" s="7">
        <f>'Salary Sheet - WB Compliant'!O121</f>
        <v>12350</v>
      </c>
      <c r="E121" s="5" t="str">
        <f t="shared" si="15"/>
        <v>Y</v>
      </c>
      <c r="F121" s="7">
        <f t="shared" si="16"/>
        <v>93</v>
      </c>
      <c r="G121" s="7">
        <f t="shared" si="17"/>
        <v>401</v>
      </c>
      <c r="H121" s="7">
        <f>'Salary Sheet - WB Compliant'!Y121</f>
        <v>12777</v>
      </c>
      <c r="I121" s="5" t="str">
        <f>'Salary Sheet - WB Compliant'!AF121</f>
        <v>Y</v>
      </c>
      <c r="J121" s="7">
        <f>'Salary Sheet - WB Compliant'!AG121</f>
        <v>96</v>
      </c>
      <c r="K121" s="7">
        <f>'Salary Sheet - WB Compliant'!AH121</f>
        <v>415</v>
      </c>
      <c r="L121" s="5" t="str">
        <f t="shared" si="18"/>
        <v>No</v>
      </c>
      <c r="M121" s="7">
        <f t="shared" si="19"/>
        <v>14</v>
      </c>
    </row>
    <row r="122" spans="1:13" x14ac:dyDescent="0.25">
      <c r="A122" s="6">
        <f>'Salary Sheet - WB Compliant'!A122</f>
        <v>116</v>
      </c>
      <c r="B122" s="5" t="str">
        <f>'Salary Sheet - WB Compliant'!E122</f>
        <v>YOGENDRA YADAV</v>
      </c>
      <c r="C122" s="5" t="str">
        <f>'Salary Sheet - WB Compliant'!D122</f>
        <v>HO OFFICE STAFF</v>
      </c>
      <c r="D122" s="7">
        <f>'Salary Sheet - WB Compliant'!O122</f>
        <v>13700</v>
      </c>
      <c r="E122" s="5" t="str">
        <f t="shared" si="15"/>
        <v>Y</v>
      </c>
      <c r="F122" s="7">
        <f t="shared" si="16"/>
        <v>103</v>
      </c>
      <c r="G122" s="7">
        <f t="shared" si="17"/>
        <v>445</v>
      </c>
      <c r="H122" s="7">
        <f>'Salary Sheet - WB Compliant'!Y122</f>
        <v>13700</v>
      </c>
      <c r="I122" s="5" t="str">
        <f>'Salary Sheet - WB Compliant'!AF122</f>
        <v>Y</v>
      </c>
      <c r="J122" s="7">
        <f>'Salary Sheet - WB Compliant'!AG122</f>
        <v>103</v>
      </c>
      <c r="K122" s="7">
        <f>'Salary Sheet - WB Compliant'!AH122</f>
        <v>445</v>
      </c>
      <c r="L122" s="5" t="str">
        <f t="shared" si="18"/>
        <v>No</v>
      </c>
      <c r="M122" s="7">
        <f t="shared" si="19"/>
        <v>0</v>
      </c>
    </row>
    <row r="123" spans="1:13" x14ac:dyDescent="0.25">
      <c r="A123" s="6">
        <f>'Salary Sheet - WB Compliant'!A123</f>
        <v>117</v>
      </c>
      <c r="B123" s="5" t="str">
        <f>'Salary Sheet - WB Compliant'!E123</f>
        <v>ANUSHMITA MONDAL</v>
      </c>
      <c r="C123" s="5" t="str">
        <f>'Salary Sheet - WB Compliant'!D123</f>
        <v>HO OFFICE STAFF</v>
      </c>
      <c r="D123" s="7">
        <f>'Salary Sheet - WB Compliant'!O123</f>
        <v>13000</v>
      </c>
      <c r="E123" s="5" t="str">
        <f t="shared" si="15"/>
        <v>Y</v>
      </c>
      <c r="F123" s="7">
        <f t="shared" si="16"/>
        <v>98</v>
      </c>
      <c r="G123" s="7">
        <f t="shared" si="17"/>
        <v>423</v>
      </c>
      <c r="H123" s="7">
        <f>'Salary Sheet - WB Compliant'!Y123</f>
        <v>13000</v>
      </c>
      <c r="I123" s="5" t="str">
        <f>'Salary Sheet - WB Compliant'!AF123</f>
        <v>Y</v>
      </c>
      <c r="J123" s="7">
        <f>'Salary Sheet - WB Compliant'!AG123</f>
        <v>98</v>
      </c>
      <c r="K123" s="7">
        <f>'Salary Sheet - WB Compliant'!AH123</f>
        <v>423</v>
      </c>
      <c r="L123" s="5" t="str">
        <f t="shared" si="18"/>
        <v>No</v>
      </c>
      <c r="M123" s="7">
        <f t="shared" si="19"/>
        <v>0</v>
      </c>
    </row>
    <row r="124" spans="1:13" x14ac:dyDescent="0.25">
      <c r="A124" s="6">
        <f>'Salary Sheet - WB Compliant'!A124</f>
        <v>118</v>
      </c>
      <c r="B124" s="5" t="str">
        <f>'Salary Sheet - WB Compliant'!E124</f>
        <v>SASWATI KAR</v>
      </c>
      <c r="C124" s="5" t="str">
        <f>'Salary Sheet - WB Compliant'!D124</f>
        <v>HO OFFICE STAFF</v>
      </c>
      <c r="D124" s="7">
        <f>'Salary Sheet - WB Compliant'!O124</f>
        <v>13000</v>
      </c>
      <c r="E124" s="5" t="str">
        <f t="shared" si="15"/>
        <v>Y</v>
      </c>
      <c r="F124" s="7">
        <f t="shared" si="16"/>
        <v>98</v>
      </c>
      <c r="G124" s="7">
        <f t="shared" si="17"/>
        <v>423</v>
      </c>
      <c r="H124" s="7">
        <f>'Salary Sheet - WB Compliant'!Y124</f>
        <v>13000</v>
      </c>
      <c r="I124" s="5" t="str">
        <f>'Salary Sheet - WB Compliant'!AF124</f>
        <v>Y</v>
      </c>
      <c r="J124" s="7">
        <f>'Salary Sheet - WB Compliant'!AG124</f>
        <v>98</v>
      </c>
      <c r="K124" s="7">
        <f>'Salary Sheet - WB Compliant'!AH124</f>
        <v>423</v>
      </c>
      <c r="L124" s="5" t="str">
        <f t="shared" si="18"/>
        <v>No</v>
      </c>
      <c r="M124" s="7">
        <f t="shared" si="19"/>
        <v>0</v>
      </c>
    </row>
    <row r="125" spans="1:13" x14ac:dyDescent="0.25">
      <c r="A125" s="6">
        <f>'Salary Sheet - WB Compliant'!A125</f>
        <v>119</v>
      </c>
      <c r="B125" s="5" t="str">
        <f>'Salary Sheet - WB Compliant'!E125</f>
        <v>PRALAY SAHA</v>
      </c>
      <c r="C125" s="5" t="str">
        <f>'Salary Sheet - WB Compliant'!D125</f>
        <v>HO OFFICE STAFF</v>
      </c>
      <c r="D125" s="7">
        <f>'Salary Sheet - WB Compliant'!O125</f>
        <v>36000</v>
      </c>
      <c r="E125" s="5" t="str">
        <f t="shared" si="15"/>
        <v>N</v>
      </c>
      <c r="F125" s="7">
        <f t="shared" si="16"/>
        <v>0</v>
      </c>
      <c r="G125" s="7">
        <f t="shared" si="17"/>
        <v>0</v>
      </c>
      <c r="H125" s="7">
        <f>'Salary Sheet - WB Compliant'!Y125</f>
        <v>36000</v>
      </c>
      <c r="I125" s="5" t="str">
        <f>'Salary Sheet - WB Compliant'!AF125</f>
        <v>N</v>
      </c>
      <c r="J125" s="7">
        <f>'Salary Sheet - WB Compliant'!AG125</f>
        <v>0</v>
      </c>
      <c r="K125" s="7">
        <f>'Salary Sheet - WB Compliant'!AH125</f>
        <v>0</v>
      </c>
      <c r="L125" s="5" t="str">
        <f t="shared" si="18"/>
        <v>No</v>
      </c>
      <c r="M125" s="7">
        <f t="shared" si="19"/>
        <v>0</v>
      </c>
    </row>
    <row r="126" spans="1:13" x14ac:dyDescent="0.25">
      <c r="B126" s="8" t="s">
        <v>26</v>
      </c>
      <c r="F126" s="10">
        <f>SUM(F7:F125)</f>
        <v>9951</v>
      </c>
      <c r="G126" s="10">
        <f>SUM(G7:G125)</f>
        <v>43068</v>
      </c>
      <c r="J126" s="10">
        <f>SUM(J7:J125)</f>
        <v>9968</v>
      </c>
      <c r="K126" s="10">
        <f>SUM(K7:K125)</f>
        <v>43142</v>
      </c>
      <c r="M126" s="10">
        <f>SUM(M7:M125)</f>
        <v>74</v>
      </c>
    </row>
    <row r="128" spans="1:13" x14ac:dyDescent="0.25">
      <c r="B128" s="29" t="s">
        <v>100</v>
      </c>
      <c r="C128" s="29"/>
      <c r="D128" s="29"/>
      <c r="E128" s="29"/>
      <c r="F128" s="29"/>
    </row>
    <row r="129" spans="2:6" x14ac:dyDescent="0.25">
      <c r="B129" s="30" t="s">
        <v>101</v>
      </c>
      <c r="C129" s="30"/>
      <c r="D129" s="30"/>
      <c r="E129" s="30"/>
      <c r="F129" s="14">
        <f>COUNTIF(L7:L125,"YES")</f>
        <v>0</v>
      </c>
    </row>
    <row r="130" spans="2:6" x14ac:dyDescent="0.25">
      <c r="B130" s="30" t="s">
        <v>102</v>
      </c>
      <c r="C130" s="30"/>
      <c r="D130" s="30"/>
      <c r="E130" s="30"/>
      <c r="F130" s="15">
        <f>G126</f>
        <v>43068</v>
      </c>
    </row>
    <row r="131" spans="2:6" x14ac:dyDescent="0.25">
      <c r="B131" s="30" t="s">
        <v>103</v>
      </c>
      <c r="C131" s="30"/>
      <c r="D131" s="30"/>
      <c r="E131" s="30"/>
      <c r="F131" s="15">
        <f>K126</f>
        <v>43142</v>
      </c>
    </row>
    <row r="132" spans="2:6" x14ac:dyDescent="0.25">
      <c r="B132" s="30" t="s">
        <v>104</v>
      </c>
      <c r="C132" s="30"/>
      <c r="D132" s="30"/>
      <c r="E132" s="30"/>
      <c r="F132" s="15">
        <f>K126-G126</f>
        <v>74</v>
      </c>
    </row>
    <row r="133" spans="2:6" x14ac:dyDescent="0.25">
      <c r="B133" s="30" t="s">
        <v>105</v>
      </c>
      <c r="C133" s="30"/>
      <c r="D133" s="30"/>
      <c r="E133" s="30"/>
      <c r="F133" s="15">
        <f>(K126-G126)*12</f>
        <v>888</v>
      </c>
    </row>
  </sheetData>
  <mergeCells count="8">
    <mergeCell ref="B131:E131"/>
    <mergeCell ref="B132:E132"/>
    <mergeCell ref="B133:E133"/>
    <mergeCell ref="A1:M1"/>
    <mergeCell ref="A3:M4"/>
    <mergeCell ref="B128:F128"/>
    <mergeCell ref="B129:E129"/>
    <mergeCell ref="B130:E130"/>
  </mergeCells>
  <conditionalFormatting sqref="L7:L125">
    <cfRule type="cellIs" dxfId="0" priority="2" operator="equal">
      <formula>"YES"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F8F00"/>
  </sheetPr>
  <dimension ref="A1:D15"/>
  <sheetViews>
    <sheetView showGridLines="0" topLeftCell="B1" zoomScaleNormal="100" workbookViewId="0">
      <selection sqref="A1:D1"/>
    </sheetView>
  </sheetViews>
  <sheetFormatPr defaultColWidth="8.7109375" defaultRowHeight="15" x14ac:dyDescent="0.25"/>
  <cols>
    <col min="1" max="1" width="4" customWidth="1"/>
    <col min="2" max="2" width="26" customWidth="1"/>
    <col min="3" max="3" width="20" customWidth="1"/>
    <col min="4" max="4" width="60" customWidth="1"/>
  </cols>
  <sheetData>
    <row r="1" spans="1:4" ht="24" customHeight="1" x14ac:dyDescent="0.25">
      <c r="A1" s="25" t="s">
        <v>388</v>
      </c>
      <c r="B1" s="25"/>
      <c r="C1" s="25"/>
      <c r="D1" s="25"/>
    </row>
    <row r="3" spans="1:4" x14ac:dyDescent="0.25">
      <c r="B3" s="20" t="s">
        <v>389</v>
      </c>
      <c r="C3" s="20" t="s">
        <v>390</v>
      </c>
      <c r="D3" s="20" t="s">
        <v>391</v>
      </c>
    </row>
    <row r="4" spans="1:4" x14ac:dyDescent="0.25">
      <c r="B4" s="21" t="s">
        <v>142</v>
      </c>
      <c r="C4" s="22" t="s">
        <v>392</v>
      </c>
      <c r="D4" s="23" t="s">
        <v>393</v>
      </c>
    </row>
    <row r="5" spans="1:4" x14ac:dyDescent="0.25">
      <c r="B5" s="21" t="s">
        <v>344</v>
      </c>
      <c r="C5" s="22" t="s">
        <v>392</v>
      </c>
      <c r="D5" s="23" t="s">
        <v>394</v>
      </c>
    </row>
    <row r="6" spans="1:4" x14ac:dyDescent="0.25">
      <c r="B6" s="21" t="s">
        <v>176</v>
      </c>
      <c r="C6" s="22" t="s">
        <v>395</v>
      </c>
      <c r="D6" s="23" t="s">
        <v>396</v>
      </c>
    </row>
    <row r="7" spans="1:4" x14ac:dyDescent="0.25">
      <c r="B7" s="21" t="s">
        <v>184</v>
      </c>
      <c r="C7" s="22" t="s">
        <v>397</v>
      </c>
      <c r="D7" s="23" t="s">
        <v>398</v>
      </c>
    </row>
    <row r="8" spans="1:4" x14ac:dyDescent="0.25">
      <c r="B8" s="21" t="s">
        <v>187</v>
      </c>
      <c r="C8" s="22" t="s">
        <v>392</v>
      </c>
      <c r="D8" s="23" t="s">
        <v>399</v>
      </c>
    </row>
    <row r="9" spans="1:4" x14ac:dyDescent="0.25">
      <c r="B9" s="21" t="s">
        <v>192</v>
      </c>
      <c r="C9" s="22" t="s">
        <v>395</v>
      </c>
      <c r="D9" s="23" t="s">
        <v>400</v>
      </c>
    </row>
    <row r="10" spans="1:4" x14ac:dyDescent="0.25">
      <c r="B10" s="21" t="s">
        <v>195</v>
      </c>
      <c r="C10" s="22" t="s">
        <v>392</v>
      </c>
      <c r="D10" s="23" t="s">
        <v>401</v>
      </c>
    </row>
    <row r="13" spans="1:4" x14ac:dyDescent="0.25">
      <c r="B13" s="27" t="s">
        <v>402</v>
      </c>
      <c r="C13" s="27"/>
      <c r="D13" s="27"/>
    </row>
    <row r="14" spans="1:4" x14ac:dyDescent="0.25">
      <c r="B14" s="27"/>
      <c r="C14" s="27"/>
      <c r="D14" s="27"/>
    </row>
    <row r="15" spans="1:4" x14ac:dyDescent="0.25">
      <c r="B15" s="27"/>
      <c r="C15" s="27"/>
      <c r="D15" s="27"/>
    </row>
  </sheetData>
  <mergeCells count="2">
    <mergeCell ref="A1:D1"/>
    <mergeCell ref="B13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8F00"/>
  </sheetPr>
  <dimension ref="A1:E12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4" customWidth="1"/>
    <col min="2" max="2" width="22" customWidth="1"/>
    <col min="3" max="4" width="16" customWidth="1"/>
    <col min="5" max="5" width="50" customWidth="1"/>
  </cols>
  <sheetData>
    <row r="1" spans="1:5" ht="24" customHeight="1" x14ac:dyDescent="0.25">
      <c r="A1" s="25" t="s">
        <v>403</v>
      </c>
      <c r="B1" s="25"/>
      <c r="C1" s="25"/>
      <c r="D1" s="25"/>
      <c r="E1" s="25"/>
    </row>
    <row r="3" spans="1:5" x14ac:dyDescent="0.25">
      <c r="B3" s="28" t="s">
        <v>404</v>
      </c>
      <c r="C3" s="28"/>
      <c r="D3" s="28"/>
      <c r="E3" s="28"/>
    </row>
    <row r="5" spans="1:5" x14ac:dyDescent="0.25">
      <c r="B5" s="20" t="s">
        <v>405</v>
      </c>
      <c r="C5" s="20" t="s">
        <v>406</v>
      </c>
      <c r="D5" s="20" t="s">
        <v>407</v>
      </c>
    </row>
    <row r="6" spans="1:5" x14ac:dyDescent="0.25">
      <c r="B6" s="21" t="s">
        <v>397</v>
      </c>
      <c r="C6" s="24">
        <v>10558</v>
      </c>
      <c r="D6" s="24">
        <v>406</v>
      </c>
    </row>
    <row r="7" spans="1:5" x14ac:dyDescent="0.25">
      <c r="B7" s="21" t="s">
        <v>395</v>
      </c>
      <c r="C7" s="24">
        <v>11615</v>
      </c>
      <c r="D7" s="24">
        <v>447</v>
      </c>
    </row>
    <row r="8" spans="1:5" x14ac:dyDescent="0.25">
      <c r="B8" s="21" t="s">
        <v>392</v>
      </c>
      <c r="C8" s="24">
        <v>12777</v>
      </c>
      <c r="D8" s="24">
        <v>491</v>
      </c>
    </row>
    <row r="9" spans="1:5" x14ac:dyDescent="0.25">
      <c r="B9" s="21" t="s">
        <v>408</v>
      </c>
      <c r="C9" s="24">
        <v>14054</v>
      </c>
      <c r="D9" s="24">
        <v>541</v>
      </c>
    </row>
    <row r="12" spans="1:5" x14ac:dyDescent="0.25">
      <c r="B12" s="28" t="s">
        <v>409</v>
      </c>
      <c r="C12" s="28"/>
      <c r="D12" s="28"/>
      <c r="E12" s="28"/>
    </row>
  </sheetData>
  <mergeCells count="3">
    <mergeCell ref="A1:E1"/>
    <mergeCell ref="B3:E3"/>
    <mergeCell ref="B12:E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Dashboard</vt:lpstr>
      <vt:lpstr>Compliance Summary</vt:lpstr>
      <vt:lpstr>Salary Sheet - WB Compliant</vt:lpstr>
      <vt:lpstr>PF Capping Comparison</vt:lpstr>
      <vt:lpstr>ESI Impact Comparison</vt:lpstr>
      <vt:lpstr>Skill Mapping</vt:lpstr>
      <vt:lpstr>Min Wages (WB Zone A)</vt:lpstr>
      <vt:lpstr>MinWageTable</vt:lpstr>
      <vt:lpstr>SkillMap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Manoj Kedia</cp:lastModifiedBy>
  <cp:revision>1</cp:revision>
  <dcterms:created xsi:type="dcterms:W3CDTF">2026-08-01T12:36:19Z</dcterms:created>
  <dcterms:modified xsi:type="dcterms:W3CDTF">2026-08-03T04:02:17Z</dcterms:modified>
  <dc:language>en-US</dc:language>
</cp:coreProperties>
</file>