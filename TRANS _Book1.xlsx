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0A59AFF0-B3A8-4C57-A6A8-08A15B3D21C5}" xr6:coauthVersionLast="47" xr6:coauthVersionMax="47" xr10:uidLastSave="{00000000-0000-0000-0000-000000000000}"/>
  <bookViews>
    <workbookView xWindow="-120" yWindow="-120" windowWidth="20730" windowHeight="11040" xr2:uid="{E1BBACCD-A8D8-4F72-A029-2BFC0C1E1A45}"/>
  </bookViews>
  <sheets>
    <sheet name="ALL" sheetId="1" r:id="rId1"/>
  </sheets>
  <definedNames>
    <definedName name="_xlnm._FilterDatabase" localSheetId="0" hidden="1">ALL!$A$3:$BC$124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C124" i="1" l="1"/>
  <c r="AW124" i="1"/>
  <c r="AO124" i="1"/>
  <c r="AN124" i="1"/>
  <c r="AK124" i="1"/>
  <c r="AH124" i="1"/>
  <c r="AG124" i="1"/>
  <c r="Z124" i="1"/>
  <c r="Y124" i="1"/>
  <c r="X124" i="1"/>
  <c r="R124" i="1"/>
  <c r="AA122" i="1"/>
  <c r="AB122" i="1" s="1"/>
  <c r="U122" i="1"/>
  <c r="AD122" i="1" s="1"/>
  <c r="T122" i="1"/>
  <c r="AA121" i="1"/>
  <c r="AB121" i="1" s="1"/>
  <c r="U121" i="1"/>
  <c r="AD121" i="1" s="1"/>
  <c r="T121" i="1"/>
  <c r="AA120" i="1"/>
  <c r="AB120" i="1" s="1"/>
  <c r="U120" i="1"/>
  <c r="AD120" i="1" s="1"/>
  <c r="T120" i="1"/>
  <c r="AA119" i="1"/>
  <c r="AB119" i="1" s="1"/>
  <c r="U119" i="1"/>
  <c r="AD119" i="1" s="1"/>
  <c r="T119" i="1"/>
  <c r="AA118" i="1"/>
  <c r="AB118" i="1" s="1"/>
  <c r="U118" i="1"/>
  <c r="AD118" i="1" s="1"/>
  <c r="T118" i="1"/>
  <c r="AA117" i="1"/>
  <c r="AB117" i="1" s="1"/>
  <c r="U117" i="1"/>
  <c r="AD117" i="1" s="1"/>
  <c r="T117" i="1"/>
  <c r="AA116" i="1"/>
  <c r="U116" i="1"/>
  <c r="AD116" i="1" s="1"/>
  <c r="S116" i="1"/>
  <c r="AA115" i="1"/>
  <c r="AB115" i="1" s="1"/>
  <c r="U115" i="1"/>
  <c r="AD115" i="1" s="1"/>
  <c r="T115" i="1"/>
  <c r="AA114" i="1"/>
  <c r="AB114" i="1" s="1"/>
  <c r="U114" i="1"/>
  <c r="AD114" i="1" s="1"/>
  <c r="T114" i="1"/>
  <c r="AA113" i="1"/>
  <c r="AB113" i="1" s="1"/>
  <c r="U113" i="1"/>
  <c r="AD113" i="1" s="1"/>
  <c r="T113" i="1"/>
  <c r="AA112" i="1"/>
  <c r="AB112" i="1" s="1"/>
  <c r="U112" i="1"/>
  <c r="AD112" i="1" s="1"/>
  <c r="T112" i="1"/>
  <c r="AA111" i="1"/>
  <c r="AB111" i="1" s="1"/>
  <c r="U111" i="1"/>
  <c r="AD111" i="1" s="1"/>
  <c r="T111" i="1"/>
  <c r="AA110" i="1"/>
  <c r="AB110" i="1" s="1"/>
  <c r="U110" i="1"/>
  <c r="AD110" i="1" s="1"/>
  <c r="T110" i="1"/>
  <c r="AA109" i="1"/>
  <c r="AB109" i="1" s="1"/>
  <c r="U109" i="1"/>
  <c r="AD109" i="1" s="1"/>
  <c r="T109" i="1"/>
  <c r="AA108" i="1"/>
  <c r="AB108" i="1" s="1"/>
  <c r="U108" i="1"/>
  <c r="AD108" i="1" s="1"/>
  <c r="T108" i="1"/>
  <c r="AA107" i="1"/>
  <c r="AB107" i="1" s="1"/>
  <c r="U107" i="1"/>
  <c r="AD107" i="1" s="1"/>
  <c r="T107" i="1"/>
  <c r="AA106" i="1"/>
  <c r="AB106" i="1" s="1"/>
  <c r="U106" i="1"/>
  <c r="AD106" i="1" s="1"/>
  <c r="T106" i="1"/>
  <c r="AA105" i="1"/>
  <c r="U105" i="1"/>
  <c r="AD105" i="1" s="1"/>
  <c r="S105" i="1"/>
  <c r="AA104" i="1"/>
  <c r="AB104" i="1" s="1"/>
  <c r="U104" i="1"/>
  <c r="AD104" i="1" s="1"/>
  <c r="T104" i="1"/>
  <c r="AA103" i="1"/>
  <c r="AB103" i="1" s="1"/>
  <c r="U103" i="1"/>
  <c r="AD103" i="1" s="1"/>
  <c r="T103" i="1"/>
  <c r="AA102" i="1"/>
  <c r="U102" i="1"/>
  <c r="AD102" i="1" s="1"/>
  <c r="S102" i="1"/>
  <c r="AA101" i="1"/>
  <c r="AB101" i="1" s="1"/>
  <c r="U101" i="1"/>
  <c r="AD101" i="1" s="1"/>
  <c r="T101" i="1"/>
  <c r="AA100" i="1"/>
  <c r="AB100" i="1" s="1"/>
  <c r="U100" i="1"/>
  <c r="AD100" i="1" s="1"/>
  <c r="T100" i="1"/>
  <c r="AA99" i="1"/>
  <c r="AB99" i="1" s="1"/>
  <c r="U99" i="1"/>
  <c r="AD99" i="1" s="1"/>
  <c r="T99" i="1"/>
  <c r="AA98" i="1"/>
  <c r="AB98" i="1" s="1"/>
  <c r="U98" i="1"/>
  <c r="AD98" i="1" s="1"/>
  <c r="T98" i="1"/>
  <c r="AA97" i="1"/>
  <c r="T97" i="1"/>
  <c r="AA96" i="1"/>
  <c r="AB96" i="1" s="1"/>
  <c r="U96" i="1"/>
  <c r="AD96" i="1" s="1"/>
  <c r="T96" i="1"/>
  <c r="AA95" i="1"/>
  <c r="AB95" i="1" s="1"/>
  <c r="U95" i="1"/>
  <c r="AD95" i="1" s="1"/>
  <c r="T95" i="1"/>
  <c r="AA94" i="1"/>
  <c r="AB94" i="1" s="1"/>
  <c r="U94" i="1"/>
  <c r="AD94" i="1" s="1"/>
  <c r="T94" i="1"/>
  <c r="AX93" i="1"/>
  <c r="AY93" i="1" s="1"/>
  <c r="AZ93" i="1" s="1"/>
  <c r="AA93" i="1"/>
  <c r="U93" i="1"/>
  <c r="AD93" i="1" s="1"/>
  <c r="T93" i="1"/>
  <c r="AA92" i="1"/>
  <c r="AB92" i="1" s="1"/>
  <c r="U92" i="1"/>
  <c r="AD92" i="1" s="1"/>
  <c r="T92" i="1"/>
  <c r="AA91" i="1"/>
  <c r="AB91" i="1" s="1"/>
  <c r="U91" i="1"/>
  <c r="AD91" i="1" s="1"/>
  <c r="T91" i="1"/>
  <c r="AA90" i="1"/>
  <c r="AB90" i="1" s="1"/>
  <c r="U90" i="1"/>
  <c r="AD90" i="1" s="1"/>
  <c r="T90" i="1"/>
  <c r="AX89" i="1"/>
  <c r="AY89" i="1" s="1"/>
  <c r="AZ89" i="1" s="1"/>
  <c r="AA89" i="1"/>
  <c r="U89" i="1"/>
  <c r="AD89" i="1" s="1"/>
  <c r="T89" i="1"/>
  <c r="AA88" i="1"/>
  <c r="AB88" i="1" s="1"/>
  <c r="U88" i="1"/>
  <c r="AD88" i="1" s="1"/>
  <c r="T88" i="1"/>
  <c r="AA87" i="1"/>
  <c r="AB87" i="1" s="1"/>
  <c r="U87" i="1"/>
  <c r="AD87" i="1" s="1"/>
  <c r="T87" i="1"/>
  <c r="AA86" i="1"/>
  <c r="AB86" i="1" s="1"/>
  <c r="U86" i="1"/>
  <c r="AD86" i="1" s="1"/>
  <c r="T86" i="1"/>
  <c r="AA85" i="1"/>
  <c r="AB85" i="1" s="1"/>
  <c r="U85" i="1"/>
  <c r="AD85" i="1" s="1"/>
  <c r="T85" i="1"/>
  <c r="AA84" i="1"/>
  <c r="AB84" i="1" s="1"/>
  <c r="U84" i="1"/>
  <c r="AD84" i="1" s="1"/>
  <c r="T84" i="1"/>
  <c r="AA83" i="1"/>
  <c r="AB83" i="1" s="1"/>
  <c r="U83" i="1"/>
  <c r="AD83" i="1" s="1"/>
  <c r="T83" i="1"/>
  <c r="AA82" i="1"/>
  <c r="AB82" i="1" s="1"/>
  <c r="U82" i="1"/>
  <c r="AD82" i="1" s="1"/>
  <c r="T82" i="1"/>
  <c r="AA81" i="1"/>
  <c r="AB81" i="1" s="1"/>
  <c r="U81" i="1"/>
  <c r="AD81" i="1" s="1"/>
  <c r="T81" i="1"/>
  <c r="AA80" i="1"/>
  <c r="AB80" i="1" s="1"/>
  <c r="U80" i="1"/>
  <c r="AD80" i="1" s="1"/>
  <c r="T80" i="1"/>
  <c r="AA79" i="1"/>
  <c r="AB79" i="1" s="1"/>
  <c r="U79" i="1"/>
  <c r="AD79" i="1" s="1"/>
  <c r="T79" i="1"/>
  <c r="AA78" i="1"/>
  <c r="AB78" i="1" s="1"/>
  <c r="U78" i="1"/>
  <c r="AD78" i="1" s="1"/>
  <c r="T78" i="1"/>
  <c r="AX77" i="1"/>
  <c r="AY77" i="1" s="1"/>
  <c r="AZ77" i="1" s="1"/>
  <c r="AA77" i="1"/>
  <c r="T77" i="1"/>
  <c r="AA76" i="1"/>
  <c r="AB76" i="1" s="1"/>
  <c r="U76" i="1"/>
  <c r="AD76" i="1" s="1"/>
  <c r="T76" i="1"/>
  <c r="AA75" i="1"/>
  <c r="AB75" i="1" s="1"/>
  <c r="U75" i="1"/>
  <c r="AD75" i="1" s="1"/>
  <c r="T75" i="1"/>
  <c r="AA74" i="1"/>
  <c r="AB74" i="1" s="1"/>
  <c r="U74" i="1"/>
  <c r="AD74" i="1" s="1"/>
  <c r="T74" i="1"/>
  <c r="AA73" i="1"/>
  <c r="AB73" i="1" s="1"/>
  <c r="U73" i="1"/>
  <c r="AD73" i="1" s="1"/>
  <c r="T73" i="1"/>
  <c r="AA72" i="1"/>
  <c r="AB72" i="1" s="1"/>
  <c r="U72" i="1"/>
  <c r="AD72" i="1" s="1"/>
  <c r="T72" i="1"/>
  <c r="AA71" i="1"/>
  <c r="AB71" i="1" s="1"/>
  <c r="U71" i="1"/>
  <c r="AD71" i="1" s="1"/>
  <c r="T71" i="1"/>
  <c r="AA70" i="1"/>
  <c r="AB70" i="1" s="1"/>
  <c r="U70" i="1"/>
  <c r="AD70" i="1" s="1"/>
  <c r="T70" i="1"/>
  <c r="AA69" i="1"/>
  <c r="AB69" i="1" s="1"/>
  <c r="U69" i="1"/>
  <c r="AD69" i="1" s="1"/>
  <c r="T69" i="1"/>
  <c r="AA68" i="1"/>
  <c r="AB68" i="1" s="1"/>
  <c r="U68" i="1"/>
  <c r="AD68" i="1" s="1"/>
  <c r="T68" i="1"/>
  <c r="AA67" i="1"/>
  <c r="AB67" i="1" s="1"/>
  <c r="U67" i="1"/>
  <c r="AD67" i="1" s="1"/>
  <c r="T67" i="1"/>
  <c r="AA66" i="1"/>
  <c r="AB66" i="1" s="1"/>
  <c r="V66" i="1"/>
  <c r="U66" i="1"/>
  <c r="AD66" i="1" s="1"/>
  <c r="T66" i="1"/>
  <c r="AX65" i="1"/>
  <c r="AY65" i="1" s="1"/>
  <c r="AZ65" i="1" s="1"/>
  <c r="AA65" i="1"/>
  <c r="U65" i="1"/>
  <c r="AD65" i="1" s="1"/>
  <c r="T65" i="1"/>
  <c r="AA64" i="1"/>
  <c r="AB64" i="1" s="1"/>
  <c r="U64" i="1"/>
  <c r="AD64" i="1" s="1"/>
  <c r="T64" i="1"/>
  <c r="AA63" i="1"/>
  <c r="U63" i="1"/>
  <c r="AD63" i="1" s="1"/>
  <c r="S63" i="1"/>
  <c r="AA62" i="1"/>
  <c r="AB62" i="1" s="1"/>
  <c r="U62" i="1"/>
  <c r="AD62" i="1" s="1"/>
  <c r="T62" i="1"/>
  <c r="AA61" i="1"/>
  <c r="AB61" i="1" s="1"/>
  <c r="U61" i="1"/>
  <c r="AD61" i="1" s="1"/>
  <c r="T61" i="1"/>
  <c r="AA60" i="1"/>
  <c r="AB60" i="1" s="1"/>
  <c r="U60" i="1"/>
  <c r="AD60" i="1" s="1"/>
  <c r="T60" i="1"/>
  <c r="AA59" i="1"/>
  <c r="AB59" i="1" s="1"/>
  <c r="U59" i="1"/>
  <c r="AD59" i="1" s="1"/>
  <c r="T59" i="1"/>
  <c r="AA58" i="1"/>
  <c r="AB58" i="1" s="1"/>
  <c r="U58" i="1"/>
  <c r="AD58" i="1" s="1"/>
  <c r="T58" i="1"/>
  <c r="AA57" i="1"/>
  <c r="AB57" i="1" s="1"/>
  <c r="U57" i="1"/>
  <c r="AD57" i="1" s="1"/>
  <c r="T57" i="1"/>
  <c r="AX56" i="1"/>
  <c r="AA56" i="1"/>
  <c r="AE56" i="1" s="1"/>
  <c r="W56" i="1"/>
  <c r="BA56" i="1" s="1"/>
  <c r="AA55" i="1"/>
  <c r="AB55" i="1" s="1"/>
  <c r="U55" i="1"/>
  <c r="AD55" i="1" s="1"/>
  <c r="T55" i="1"/>
  <c r="AA54" i="1"/>
  <c r="AB54" i="1" s="1"/>
  <c r="U54" i="1"/>
  <c r="AD54" i="1" s="1"/>
  <c r="T54" i="1"/>
  <c r="AA53" i="1"/>
  <c r="AB53" i="1" s="1"/>
  <c r="U53" i="1"/>
  <c r="AD53" i="1" s="1"/>
  <c r="T53" i="1"/>
  <c r="AA52" i="1"/>
  <c r="AB52" i="1" s="1"/>
  <c r="U52" i="1"/>
  <c r="AD52" i="1" s="1"/>
  <c r="T52" i="1"/>
  <c r="AA51" i="1"/>
  <c r="U51" i="1"/>
  <c r="AD51" i="1" s="1"/>
  <c r="S51" i="1"/>
  <c r="AA50" i="1"/>
  <c r="U50" i="1"/>
  <c r="AD50" i="1" s="1"/>
  <c r="S50" i="1"/>
  <c r="AA49" i="1"/>
  <c r="U49" i="1"/>
  <c r="AD49" i="1" s="1"/>
  <c r="S49" i="1"/>
  <c r="AA48" i="1"/>
  <c r="AB48" i="1" s="1"/>
  <c r="U48" i="1"/>
  <c r="AD48" i="1" s="1"/>
  <c r="T48" i="1"/>
  <c r="AA47" i="1"/>
  <c r="AB47" i="1" s="1"/>
  <c r="U47" i="1"/>
  <c r="AD47" i="1" s="1"/>
  <c r="T47" i="1"/>
  <c r="AA46" i="1"/>
  <c r="AB46" i="1" s="1"/>
  <c r="U46" i="1"/>
  <c r="AD46" i="1" s="1"/>
  <c r="T46" i="1"/>
  <c r="AA45" i="1"/>
  <c r="AB45" i="1" s="1"/>
  <c r="U45" i="1"/>
  <c r="AD45" i="1" s="1"/>
  <c r="T45" i="1"/>
  <c r="AA44" i="1"/>
  <c r="AB44" i="1" s="1"/>
  <c r="U44" i="1"/>
  <c r="AD44" i="1" s="1"/>
  <c r="T44" i="1"/>
  <c r="AA43" i="1"/>
  <c r="AB43" i="1" s="1"/>
  <c r="U43" i="1"/>
  <c r="AD43" i="1" s="1"/>
  <c r="T43" i="1"/>
  <c r="AA42" i="1"/>
  <c r="AB42" i="1" s="1"/>
  <c r="U42" i="1"/>
  <c r="AD42" i="1" s="1"/>
  <c r="T42" i="1"/>
  <c r="AA41" i="1"/>
  <c r="AB41" i="1" s="1"/>
  <c r="U41" i="1"/>
  <c r="AD41" i="1" s="1"/>
  <c r="T41" i="1"/>
  <c r="AA40" i="1"/>
  <c r="AB40" i="1" s="1"/>
  <c r="U40" i="1"/>
  <c r="AD40" i="1" s="1"/>
  <c r="T40" i="1"/>
  <c r="AA39" i="1"/>
  <c r="AB39" i="1" s="1"/>
  <c r="U39" i="1"/>
  <c r="AD39" i="1" s="1"/>
  <c r="T39" i="1"/>
  <c r="AA38" i="1"/>
  <c r="AB38" i="1" s="1"/>
  <c r="U38" i="1"/>
  <c r="AD38" i="1" s="1"/>
  <c r="T38" i="1"/>
  <c r="AA37" i="1"/>
  <c r="AB37" i="1" s="1"/>
  <c r="U37" i="1"/>
  <c r="AD37" i="1" s="1"/>
  <c r="T37" i="1"/>
  <c r="AA36" i="1"/>
  <c r="AB36" i="1" s="1"/>
  <c r="U36" i="1"/>
  <c r="AD36" i="1" s="1"/>
  <c r="T36" i="1"/>
  <c r="AA35" i="1"/>
  <c r="AB35" i="1" s="1"/>
  <c r="U35" i="1"/>
  <c r="AD35" i="1" s="1"/>
  <c r="T35" i="1"/>
  <c r="AA34" i="1"/>
  <c r="AB34" i="1" s="1"/>
  <c r="V34" i="1"/>
  <c r="U34" i="1"/>
  <c r="AD34" i="1" s="1"/>
  <c r="T34" i="1"/>
  <c r="AA33" i="1"/>
  <c r="AB33" i="1" s="1"/>
  <c r="V33" i="1"/>
  <c r="U33" i="1"/>
  <c r="AD33" i="1" s="1"/>
  <c r="T33" i="1"/>
  <c r="AA32" i="1"/>
  <c r="AB32" i="1" s="1"/>
  <c r="V32" i="1"/>
  <c r="U32" i="1"/>
  <c r="AD32" i="1" s="1"/>
  <c r="T32" i="1"/>
  <c r="AA31" i="1"/>
  <c r="AB31" i="1" s="1"/>
  <c r="V31" i="1"/>
  <c r="U31" i="1"/>
  <c r="AD31" i="1" s="1"/>
  <c r="T31" i="1"/>
  <c r="AA30" i="1"/>
  <c r="AB30" i="1" s="1"/>
  <c r="V30" i="1"/>
  <c r="U30" i="1"/>
  <c r="AD30" i="1" s="1"/>
  <c r="T30" i="1"/>
  <c r="AA29" i="1"/>
  <c r="U29" i="1"/>
  <c r="AD29" i="1" s="1"/>
  <c r="S29" i="1"/>
  <c r="AY28" i="1"/>
  <c r="AZ28" i="1" s="1"/>
  <c r="AS28" i="1"/>
  <c r="AT28" i="1" s="1"/>
  <c r="AR28" i="1"/>
  <c r="AA28" i="1"/>
  <c r="U28" i="1"/>
  <c r="AD28" i="1" s="1"/>
  <c r="S28" i="1"/>
  <c r="AA27" i="1"/>
  <c r="U27" i="1"/>
  <c r="AD27" i="1" s="1"/>
  <c r="S27" i="1"/>
  <c r="AA26" i="1"/>
  <c r="V26" i="1"/>
  <c r="T26" i="1"/>
  <c r="AY25" i="1"/>
  <c r="AZ25" i="1" s="1"/>
  <c r="AS25" i="1"/>
  <c r="AT25" i="1" s="1"/>
  <c r="AR25" i="1"/>
  <c r="AA25" i="1"/>
  <c r="U25" i="1"/>
  <c r="AD25" i="1" s="1"/>
  <c r="S25" i="1"/>
  <c r="AX24" i="1"/>
  <c r="AY24" i="1" s="1"/>
  <c r="AZ24" i="1" s="1"/>
  <c r="AA24" i="1"/>
  <c r="T24" i="1"/>
  <c r="AX23" i="1"/>
  <c r="AY23" i="1" s="1"/>
  <c r="AZ23" i="1" s="1"/>
  <c r="AA23" i="1"/>
  <c r="T23" i="1"/>
  <c r="AX22" i="1"/>
  <c r="AY22" i="1" s="1"/>
  <c r="AZ22" i="1" s="1"/>
  <c r="AA22" i="1"/>
  <c r="U22" i="1"/>
  <c r="T22" i="1"/>
  <c r="AX21" i="1"/>
  <c r="AY21" i="1" s="1"/>
  <c r="AZ21" i="1" s="1"/>
  <c r="AA21" i="1"/>
  <c r="T21" i="1"/>
  <c r="AX20" i="1"/>
  <c r="AY20" i="1" s="1"/>
  <c r="AZ20" i="1" s="1"/>
  <c r="AA20" i="1"/>
  <c r="T20" i="1"/>
  <c r="AA19" i="1"/>
  <c r="AB19" i="1" s="1"/>
  <c r="U19" i="1"/>
  <c r="AD19" i="1" s="1"/>
  <c r="T19" i="1"/>
  <c r="AX18" i="1"/>
  <c r="AY18" i="1" s="1"/>
  <c r="AZ18" i="1" s="1"/>
  <c r="AA18" i="1"/>
  <c r="U18" i="1"/>
  <c r="AD18" i="1" s="1"/>
  <c r="T18" i="1"/>
  <c r="AY17" i="1"/>
  <c r="AZ17" i="1" s="1"/>
  <c r="AS17" i="1"/>
  <c r="AT17" i="1" s="1"/>
  <c r="AR17" i="1"/>
  <c r="AA17" i="1"/>
  <c r="U17" i="1"/>
  <c r="AD17" i="1" s="1"/>
  <c r="S17" i="1"/>
  <c r="AS16" i="1"/>
  <c r="AT16" i="1" s="1"/>
  <c r="AR16" i="1"/>
  <c r="AA16" i="1"/>
  <c r="U16" i="1"/>
  <c r="AD16" i="1" s="1"/>
  <c r="S16" i="1"/>
  <c r="AY15" i="1"/>
  <c r="AZ15" i="1" s="1"/>
  <c r="AS15" i="1"/>
  <c r="AT15" i="1" s="1"/>
  <c r="AR15" i="1"/>
  <c r="AA15" i="1"/>
  <c r="U15" i="1"/>
  <c r="AD15" i="1" s="1"/>
  <c r="S15" i="1"/>
  <c r="AY14" i="1"/>
  <c r="AZ14" i="1" s="1"/>
  <c r="AS14" i="1"/>
  <c r="AT14" i="1" s="1"/>
  <c r="AR14" i="1"/>
  <c r="AA14" i="1"/>
  <c r="U14" i="1"/>
  <c r="AD14" i="1" s="1"/>
  <c r="S14" i="1"/>
  <c r="AA13" i="1"/>
  <c r="U13" i="1"/>
  <c r="AD13" i="1" s="1"/>
  <c r="S13" i="1"/>
  <c r="AY12" i="1"/>
  <c r="AZ12" i="1" s="1"/>
  <c r="AS12" i="1"/>
  <c r="AT12" i="1" s="1"/>
  <c r="AR12" i="1"/>
  <c r="AA12" i="1"/>
  <c r="U12" i="1"/>
  <c r="AD12" i="1" s="1"/>
  <c r="S12" i="1"/>
  <c r="AA11" i="1"/>
  <c r="U11" i="1"/>
  <c r="AD11" i="1" s="1"/>
  <c r="S11" i="1"/>
  <c r="AY10" i="1"/>
  <c r="AZ10" i="1" s="1"/>
  <c r="AS10" i="1"/>
  <c r="AT10" i="1" s="1"/>
  <c r="AR10" i="1"/>
  <c r="AA10" i="1"/>
  <c r="U10" i="1"/>
  <c r="AD10" i="1" s="1"/>
  <c r="S10" i="1"/>
  <c r="AA9" i="1"/>
  <c r="U9" i="1"/>
  <c r="AD9" i="1" s="1"/>
  <c r="S9" i="1"/>
  <c r="AA8" i="1"/>
  <c r="U8" i="1"/>
  <c r="AD8" i="1" s="1"/>
  <c r="S8" i="1"/>
  <c r="AS7" i="1"/>
  <c r="AT7" i="1" s="1"/>
  <c r="AR7" i="1"/>
  <c r="AA7" i="1"/>
  <c r="U7" i="1"/>
  <c r="AD7" i="1" s="1"/>
  <c r="S7" i="1"/>
  <c r="AA6" i="1"/>
  <c r="U6" i="1"/>
  <c r="AD6" i="1" s="1"/>
  <c r="S6" i="1"/>
  <c r="AA5" i="1"/>
  <c r="U5" i="1"/>
  <c r="AD5" i="1" s="1"/>
  <c r="S5" i="1"/>
  <c r="AA4" i="1"/>
  <c r="AA124" i="1" s="1"/>
  <c r="U4" i="1"/>
  <c r="S4" i="1"/>
  <c r="A4" i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C122" i="1" l="1"/>
  <c r="V122" i="1"/>
  <c r="W122" i="1" s="1"/>
  <c r="AC121" i="1"/>
  <c r="V121" i="1"/>
  <c r="W121" i="1" s="1"/>
  <c r="V120" i="1"/>
  <c r="W120" i="1" s="1"/>
  <c r="AC120" i="1"/>
  <c r="AC119" i="1"/>
  <c r="V119" i="1"/>
  <c r="W119" i="1" s="1"/>
  <c r="AC118" i="1"/>
  <c r="V118" i="1"/>
  <c r="W118" i="1" s="1"/>
  <c r="AC117" i="1"/>
  <c r="V117" i="1"/>
  <c r="W117" i="1" s="1"/>
  <c r="T116" i="1"/>
  <c r="AB116" i="1"/>
  <c r="AC115" i="1"/>
  <c r="V115" i="1"/>
  <c r="W115" i="1" s="1"/>
  <c r="AC114" i="1"/>
  <c r="V114" i="1"/>
  <c r="W114" i="1" s="1"/>
  <c r="V113" i="1"/>
  <c r="AC113" i="1"/>
  <c r="W113" i="1"/>
  <c r="V112" i="1"/>
  <c r="W112" i="1"/>
  <c r="AC112" i="1"/>
  <c r="AC111" i="1"/>
  <c r="V111" i="1"/>
  <c r="W111" i="1" s="1"/>
  <c r="AC110" i="1"/>
  <c r="V110" i="1"/>
  <c r="W110" i="1" s="1"/>
  <c r="AC109" i="1"/>
  <c r="V109" i="1"/>
  <c r="W109" i="1" s="1"/>
  <c r="AC108" i="1"/>
  <c r="V108" i="1"/>
  <c r="W108" i="1"/>
  <c r="V107" i="1"/>
  <c r="W107" i="1"/>
  <c r="AC107" i="1"/>
  <c r="AC106" i="1"/>
  <c r="V106" i="1"/>
  <c r="W106" i="1" s="1"/>
  <c r="T105" i="1"/>
  <c r="AC105" i="1" s="1"/>
  <c r="AB105" i="1"/>
  <c r="V105" i="1"/>
  <c r="AC104" i="1"/>
  <c r="V104" i="1"/>
  <c r="W104" i="1" s="1"/>
  <c r="AC103" i="1"/>
  <c r="V103" i="1"/>
  <c r="W103" i="1" s="1"/>
  <c r="AB102" i="1"/>
  <c r="T102" i="1"/>
  <c r="V101" i="1"/>
  <c r="AC101" i="1"/>
  <c r="W101" i="1"/>
  <c r="AC100" i="1"/>
  <c r="V100" i="1"/>
  <c r="W100" i="1" s="1"/>
  <c r="AC99" i="1"/>
  <c r="V99" i="1"/>
  <c r="W99" i="1" s="1"/>
  <c r="AC98" i="1"/>
  <c r="V98" i="1"/>
  <c r="W98" i="1" s="1"/>
  <c r="AD97" i="1"/>
  <c r="AB97" i="1"/>
  <c r="V97" i="1"/>
  <c r="AC97" i="1"/>
  <c r="W97" i="1"/>
  <c r="AC96" i="1"/>
  <c r="V96" i="1"/>
  <c r="W96" i="1" s="1"/>
  <c r="AC95" i="1"/>
  <c r="V95" i="1"/>
  <c r="W95" i="1" s="1"/>
  <c r="AC94" i="1"/>
  <c r="V94" i="1"/>
  <c r="W94" i="1" s="1"/>
  <c r="AE93" i="1"/>
  <c r="AB93" i="1"/>
  <c r="AC93" i="1"/>
  <c r="W93" i="1"/>
  <c r="V92" i="1"/>
  <c r="W92" i="1"/>
  <c r="AC92" i="1"/>
  <c r="AC91" i="1"/>
  <c r="V91" i="1"/>
  <c r="W91" i="1" s="1"/>
  <c r="AC90" i="1"/>
  <c r="V90" i="1"/>
  <c r="W90" i="1" s="1"/>
  <c r="AE89" i="1"/>
  <c r="AB89" i="1"/>
  <c r="W89" i="1"/>
  <c r="AC89" i="1"/>
  <c r="V88" i="1"/>
  <c r="W88" i="1"/>
  <c r="AC88" i="1"/>
  <c r="AC87" i="1"/>
  <c r="V87" i="1"/>
  <c r="W87" i="1" s="1"/>
  <c r="AC86" i="1"/>
  <c r="V86" i="1"/>
  <c r="W86" i="1" s="1"/>
  <c r="V85" i="1"/>
  <c r="AC85" i="1"/>
  <c r="W85" i="1"/>
  <c r="V84" i="1"/>
  <c r="W84" i="1"/>
  <c r="AC84" i="1"/>
  <c r="AC83" i="1"/>
  <c r="V83" i="1"/>
  <c r="W83" i="1" s="1"/>
  <c r="AC82" i="1"/>
  <c r="V82" i="1"/>
  <c r="W82" i="1" s="1"/>
  <c r="AC81" i="1"/>
  <c r="V81" i="1"/>
  <c r="W81" i="1" s="1"/>
  <c r="AC80" i="1"/>
  <c r="V80" i="1"/>
  <c r="W80" i="1" s="1"/>
  <c r="AC79" i="1"/>
  <c r="V79" i="1"/>
  <c r="W79" i="1" s="1"/>
  <c r="AC78" i="1"/>
  <c r="V78" i="1"/>
  <c r="W78" i="1" s="1"/>
  <c r="AB77" i="1"/>
  <c r="AE77" i="1"/>
  <c r="AD77" i="1"/>
  <c r="AC77" i="1"/>
  <c r="W77" i="1"/>
  <c r="AC76" i="1"/>
  <c r="V76" i="1"/>
  <c r="W76" i="1" s="1"/>
  <c r="AC75" i="1"/>
  <c r="V75" i="1"/>
  <c r="W75" i="1" s="1"/>
  <c r="AC74" i="1"/>
  <c r="V74" i="1"/>
  <c r="W74" i="1" s="1"/>
  <c r="V73" i="1"/>
  <c r="W73" i="1" s="1"/>
  <c r="AC73" i="1"/>
  <c r="AC72" i="1"/>
  <c r="V72" i="1"/>
  <c r="W72" i="1" s="1"/>
  <c r="AC71" i="1"/>
  <c r="V71" i="1"/>
  <c r="W71" i="1" s="1"/>
  <c r="AC70" i="1"/>
  <c r="V70" i="1"/>
  <c r="W70" i="1" s="1"/>
  <c r="V69" i="1"/>
  <c r="AC69" i="1"/>
  <c r="W69" i="1"/>
  <c r="AC68" i="1"/>
  <c r="V68" i="1"/>
  <c r="W68" i="1" s="1"/>
  <c r="AC67" i="1"/>
  <c r="V67" i="1"/>
  <c r="W67" i="1" s="1"/>
  <c r="AX66" i="1"/>
  <c r="AY66" i="1" s="1"/>
  <c r="AZ66" i="1" s="1"/>
  <c r="AE66" i="1"/>
  <c r="AJ66" i="1" s="1"/>
  <c r="AC66" i="1"/>
  <c r="AF66" i="1" s="1"/>
  <c r="AI66" i="1" s="1"/>
  <c r="W66" i="1"/>
  <c r="AE65" i="1"/>
  <c r="AB65" i="1"/>
  <c r="W65" i="1"/>
  <c r="AC65" i="1"/>
  <c r="V64" i="1"/>
  <c r="W64" i="1" s="1"/>
  <c r="AC64" i="1"/>
  <c r="AB63" i="1"/>
  <c r="T63" i="1"/>
  <c r="AC62" i="1"/>
  <c r="V62" i="1"/>
  <c r="W62" i="1" s="1"/>
  <c r="AC61" i="1"/>
  <c r="V61" i="1"/>
  <c r="W61" i="1" s="1"/>
  <c r="V60" i="1"/>
  <c r="W60" i="1" s="1"/>
  <c r="AC60" i="1"/>
  <c r="AC59" i="1"/>
  <c r="V59" i="1"/>
  <c r="W59" i="1" s="1"/>
  <c r="AC58" i="1"/>
  <c r="V58" i="1"/>
  <c r="W58" i="1" s="1"/>
  <c r="AC57" i="1"/>
  <c r="V57" i="1"/>
  <c r="W57" i="1" s="1"/>
  <c r="AY56" i="1"/>
  <c r="AB56" i="1"/>
  <c r="AC56" i="1"/>
  <c r="AD56" i="1"/>
  <c r="V55" i="1"/>
  <c r="W55" i="1" s="1"/>
  <c r="AC55" i="1"/>
  <c r="AC54" i="1"/>
  <c r="V54" i="1"/>
  <c r="W54" i="1" s="1"/>
  <c r="AC53" i="1"/>
  <c r="V53" i="1"/>
  <c r="W53" i="1" s="1"/>
  <c r="V52" i="1"/>
  <c r="AC52" i="1"/>
  <c r="W52" i="1"/>
  <c r="T51" i="1"/>
  <c r="AB51" i="1"/>
  <c r="T50" i="1"/>
  <c r="AB50" i="1"/>
  <c r="AB49" i="1"/>
  <c r="T49" i="1"/>
  <c r="AC48" i="1"/>
  <c r="V48" i="1"/>
  <c r="W48" i="1" s="1"/>
  <c r="V47" i="1"/>
  <c r="AC47" i="1"/>
  <c r="W47" i="1"/>
  <c r="AC46" i="1"/>
  <c r="V46" i="1"/>
  <c r="W46" i="1" s="1"/>
  <c r="AC45" i="1"/>
  <c r="V45" i="1"/>
  <c r="W45" i="1" s="1"/>
  <c r="V44" i="1"/>
  <c r="W44" i="1" s="1"/>
  <c r="AC44" i="1"/>
  <c r="AC43" i="1"/>
  <c r="V43" i="1"/>
  <c r="W43" i="1" s="1"/>
  <c r="AC42" i="1"/>
  <c r="V42" i="1"/>
  <c r="W42" i="1" s="1"/>
  <c r="AC41" i="1"/>
  <c r="V41" i="1"/>
  <c r="W41" i="1" s="1"/>
  <c r="AC40" i="1"/>
  <c r="V40" i="1"/>
  <c r="W40" i="1" s="1"/>
  <c r="AC39" i="1"/>
  <c r="V39" i="1"/>
  <c r="W39" i="1" s="1"/>
  <c r="V38" i="1"/>
  <c r="AC38" i="1"/>
  <c r="W38" i="1"/>
  <c r="AC37" i="1"/>
  <c r="V37" i="1"/>
  <c r="W37" i="1" s="1"/>
  <c r="AC36" i="1"/>
  <c r="V36" i="1"/>
  <c r="W36" i="1" s="1"/>
  <c r="V35" i="1"/>
  <c r="W35" i="1" s="1"/>
  <c r="AC35" i="1"/>
  <c r="AX34" i="1"/>
  <c r="AY34" i="1" s="1"/>
  <c r="AZ34" i="1" s="1"/>
  <c r="AE34" i="1"/>
  <c r="AJ34" i="1" s="1"/>
  <c r="AC34" i="1"/>
  <c r="AF34" i="1" s="1"/>
  <c r="AI34" i="1" s="1"/>
  <c r="W34" i="1"/>
  <c r="AX33" i="1"/>
  <c r="AY33" i="1" s="1"/>
  <c r="AZ33" i="1" s="1"/>
  <c r="AE33" i="1"/>
  <c r="AJ33" i="1" s="1"/>
  <c r="AC33" i="1"/>
  <c r="AF33" i="1" s="1"/>
  <c r="AI33" i="1" s="1"/>
  <c r="W33" i="1"/>
  <c r="AX32" i="1"/>
  <c r="AY32" i="1" s="1"/>
  <c r="AZ32" i="1" s="1"/>
  <c r="AE32" i="1"/>
  <c r="AJ32" i="1" s="1"/>
  <c r="W32" i="1"/>
  <c r="AC32" i="1"/>
  <c r="AF32" i="1" s="1"/>
  <c r="AI32" i="1" s="1"/>
  <c r="AX31" i="1"/>
  <c r="AY31" i="1" s="1"/>
  <c r="AZ31" i="1" s="1"/>
  <c r="AE31" i="1"/>
  <c r="AJ31" i="1" s="1"/>
  <c r="AC31" i="1"/>
  <c r="AF31" i="1" s="1"/>
  <c r="AI31" i="1" s="1"/>
  <c r="W31" i="1"/>
  <c r="AX30" i="1"/>
  <c r="AY30" i="1" s="1"/>
  <c r="AZ30" i="1" s="1"/>
  <c r="AE30" i="1"/>
  <c r="AJ30" i="1" s="1"/>
  <c r="AC30" i="1"/>
  <c r="AF30" i="1" s="1"/>
  <c r="AI30" i="1" s="1"/>
  <c r="W30" i="1"/>
  <c r="T29" i="1"/>
  <c r="AB29" i="1"/>
  <c r="AB28" i="1"/>
  <c r="T28" i="1"/>
  <c r="AB27" i="1"/>
  <c r="T27" i="1"/>
  <c r="AB26" i="1"/>
  <c r="AD26" i="1"/>
  <c r="AX26" i="1"/>
  <c r="AY26" i="1" s="1"/>
  <c r="AZ26" i="1" s="1"/>
  <c r="AE26" i="1"/>
  <c r="AC26" i="1"/>
  <c r="W26" i="1"/>
  <c r="AB25" i="1"/>
  <c r="T25" i="1"/>
  <c r="AE24" i="1"/>
  <c r="AD24" i="1"/>
  <c r="AB24" i="1"/>
  <c r="AC24" i="1"/>
  <c r="W24" i="1"/>
  <c r="AB23" i="1"/>
  <c r="AE23" i="1"/>
  <c r="AD23" i="1"/>
  <c r="W23" i="1"/>
  <c r="AC23" i="1"/>
  <c r="AE22" i="1"/>
  <c r="AB22" i="1"/>
  <c r="AC22" i="1"/>
  <c r="AD22" i="1"/>
  <c r="W22" i="1"/>
  <c r="AE21" i="1"/>
  <c r="AD21" i="1"/>
  <c r="AB21" i="1"/>
  <c r="AC21" i="1"/>
  <c r="W21" i="1"/>
  <c r="AE20" i="1"/>
  <c r="AD20" i="1"/>
  <c r="AB20" i="1"/>
  <c r="W20" i="1"/>
  <c r="AC20" i="1"/>
  <c r="V19" i="1"/>
  <c r="W19" i="1"/>
  <c r="AC19" i="1"/>
  <c r="AE18" i="1"/>
  <c r="AB18" i="1"/>
  <c r="AC18" i="1"/>
  <c r="W18" i="1"/>
  <c r="AB17" i="1"/>
  <c r="T17" i="1"/>
  <c r="T16" i="1"/>
  <c r="AC16" i="1" s="1"/>
  <c r="AB16" i="1"/>
  <c r="V16" i="1"/>
  <c r="AB15" i="1"/>
  <c r="T15" i="1"/>
  <c r="AB14" i="1"/>
  <c r="T14" i="1"/>
  <c r="T13" i="1"/>
  <c r="AB13" i="1"/>
  <c r="AB12" i="1"/>
  <c r="T12" i="1"/>
  <c r="AB11" i="1"/>
  <c r="T11" i="1"/>
  <c r="T10" i="1"/>
  <c r="AB10" i="1"/>
  <c r="T9" i="1"/>
  <c r="AB9" i="1"/>
  <c r="AB8" i="1"/>
  <c r="T8" i="1"/>
  <c r="AB7" i="1"/>
  <c r="T7" i="1"/>
  <c r="T6" i="1"/>
  <c r="AB6" i="1"/>
  <c r="T5" i="1"/>
  <c r="AB5" i="1"/>
  <c r="U124" i="1"/>
  <c r="AD4" i="1"/>
  <c r="S124" i="1"/>
  <c r="AB4" i="1"/>
  <c r="T4" i="1"/>
  <c r="AD124" i="1" l="1"/>
  <c r="AL122" i="1"/>
  <c r="AU122" i="1"/>
  <c r="BA122" i="1"/>
  <c r="AE122" i="1"/>
  <c r="AX122" i="1"/>
  <c r="AL121" i="1"/>
  <c r="AU121" i="1"/>
  <c r="BA121" i="1"/>
  <c r="AE121" i="1"/>
  <c r="AX121" i="1"/>
  <c r="AL120" i="1"/>
  <c r="AU120" i="1"/>
  <c r="BA120" i="1"/>
  <c r="AE120" i="1"/>
  <c r="AX120" i="1"/>
  <c r="AL119" i="1"/>
  <c r="AU119" i="1"/>
  <c r="BA119" i="1"/>
  <c r="AE119" i="1"/>
  <c r="AX119" i="1"/>
  <c r="BA118" i="1"/>
  <c r="AE118" i="1"/>
  <c r="AX118" i="1"/>
  <c r="AL117" i="1"/>
  <c r="AU117" i="1"/>
  <c r="BA117" i="1"/>
  <c r="AE117" i="1"/>
  <c r="AX117" i="1"/>
  <c r="BA115" i="1"/>
  <c r="AE115" i="1"/>
  <c r="AX115" i="1"/>
  <c r="AL114" i="1"/>
  <c r="AU114" i="1"/>
  <c r="BA114" i="1"/>
  <c r="AE114" i="1"/>
  <c r="AX114" i="1"/>
  <c r="AE113" i="1"/>
  <c r="AX113" i="1"/>
  <c r="AY113" i="1" s="1"/>
  <c r="AZ113" i="1" s="1"/>
  <c r="AL113" i="1"/>
  <c r="AU113" i="1"/>
  <c r="BA113" i="1"/>
  <c r="BB113" i="1"/>
  <c r="AE112" i="1"/>
  <c r="AX112" i="1"/>
  <c r="AY112" i="1" s="1"/>
  <c r="AZ112" i="1" s="1"/>
  <c r="AL112" i="1"/>
  <c r="AU112" i="1"/>
  <c r="BA112" i="1"/>
  <c r="BB112" i="1"/>
  <c r="AL111" i="1"/>
  <c r="AU111" i="1"/>
  <c r="BA111" i="1"/>
  <c r="AE111" i="1"/>
  <c r="AX111" i="1"/>
  <c r="BA110" i="1"/>
  <c r="AE110" i="1"/>
  <c r="AX110" i="1"/>
  <c r="BA109" i="1"/>
  <c r="AE109" i="1"/>
  <c r="AX109" i="1"/>
  <c r="AE108" i="1"/>
  <c r="AX108" i="1"/>
  <c r="AY108" i="1" s="1"/>
  <c r="AZ108" i="1" s="1"/>
  <c r="BA108" i="1"/>
  <c r="BB108" i="1"/>
  <c r="AE107" i="1"/>
  <c r="AX107" i="1"/>
  <c r="AY107" i="1" s="1"/>
  <c r="AZ107" i="1" s="1"/>
  <c r="AL107" i="1"/>
  <c r="AU107" i="1"/>
  <c r="BA107" i="1"/>
  <c r="BB107" i="1"/>
  <c r="BA106" i="1"/>
  <c r="AE106" i="1"/>
  <c r="AX106" i="1"/>
  <c r="AF105" i="1"/>
  <c r="AI105" i="1" s="1"/>
  <c r="AJ105" i="1"/>
  <c r="BA104" i="1"/>
  <c r="AE104" i="1"/>
  <c r="AX104" i="1"/>
  <c r="AL103" i="1"/>
  <c r="AU103" i="1"/>
  <c r="BA103" i="1"/>
  <c r="AE103" i="1"/>
  <c r="AX103" i="1"/>
  <c r="AE101" i="1"/>
  <c r="AX101" i="1"/>
  <c r="AY101" i="1" s="1"/>
  <c r="AZ101" i="1" s="1"/>
  <c r="BA101" i="1"/>
  <c r="BB101" i="1"/>
  <c r="BA100" i="1"/>
  <c r="AE100" i="1"/>
  <c r="AX100" i="1"/>
  <c r="BA99" i="1"/>
  <c r="AE99" i="1"/>
  <c r="AX99" i="1"/>
  <c r="BA98" i="1"/>
  <c r="AE98" i="1"/>
  <c r="AX98" i="1"/>
  <c r="AE97" i="1"/>
  <c r="AX97" i="1"/>
  <c r="AY97" i="1" s="1"/>
  <c r="AZ97" i="1" s="1"/>
  <c r="BA97" i="1"/>
  <c r="BB97" i="1"/>
  <c r="BA96" i="1"/>
  <c r="AE96" i="1"/>
  <c r="AX96" i="1"/>
  <c r="BA95" i="1"/>
  <c r="AE95" i="1"/>
  <c r="AX95" i="1"/>
  <c r="BA94" i="1"/>
  <c r="AE94" i="1"/>
  <c r="AX94" i="1"/>
  <c r="AF93" i="1"/>
  <c r="AI93" i="1" s="1"/>
  <c r="AJ93" i="1"/>
  <c r="AL93" i="1"/>
  <c r="AU93" i="1"/>
  <c r="BA93" i="1"/>
  <c r="BB93" i="1"/>
  <c r="AE92" i="1"/>
  <c r="AX92" i="1"/>
  <c r="AY92" i="1" s="1"/>
  <c r="AZ92" i="1" s="1"/>
  <c r="BA92" i="1"/>
  <c r="BB92" i="1"/>
  <c r="BA91" i="1"/>
  <c r="AE91" i="1"/>
  <c r="AX91" i="1"/>
  <c r="BA90" i="1"/>
  <c r="AE90" i="1"/>
  <c r="AX90" i="1"/>
  <c r="AF89" i="1"/>
  <c r="AI89" i="1" s="1"/>
  <c r="AJ89" i="1"/>
  <c r="AL89" i="1"/>
  <c r="AU89" i="1"/>
  <c r="BA89" i="1"/>
  <c r="BB89" i="1"/>
  <c r="AE88" i="1"/>
  <c r="AX88" i="1"/>
  <c r="AY88" i="1" s="1"/>
  <c r="AZ88" i="1" s="1"/>
  <c r="BA88" i="1"/>
  <c r="BB88" i="1"/>
  <c r="BA87" i="1"/>
  <c r="AE87" i="1"/>
  <c r="AX87" i="1"/>
  <c r="BA86" i="1"/>
  <c r="AE86" i="1"/>
  <c r="AX86" i="1"/>
  <c r="AE85" i="1"/>
  <c r="AX85" i="1"/>
  <c r="AY85" i="1" s="1"/>
  <c r="AZ85" i="1" s="1"/>
  <c r="BA85" i="1"/>
  <c r="BB85" i="1"/>
  <c r="AE84" i="1"/>
  <c r="AX84" i="1"/>
  <c r="AY84" i="1" s="1"/>
  <c r="AZ84" i="1" s="1"/>
  <c r="BA84" i="1"/>
  <c r="BB84" i="1"/>
  <c r="BA83" i="1"/>
  <c r="AE83" i="1"/>
  <c r="AX83" i="1"/>
  <c r="BA82" i="1"/>
  <c r="AE82" i="1"/>
  <c r="AX82" i="1"/>
  <c r="BA81" i="1"/>
  <c r="AE81" i="1"/>
  <c r="AX81" i="1"/>
  <c r="BA80" i="1"/>
  <c r="AE80" i="1"/>
  <c r="AX80" i="1"/>
  <c r="BA79" i="1"/>
  <c r="AE79" i="1"/>
  <c r="AX79" i="1"/>
  <c r="BA78" i="1"/>
  <c r="AE78" i="1"/>
  <c r="AX78" i="1"/>
  <c r="AF77" i="1"/>
  <c r="AI77" i="1" s="1"/>
  <c r="AJ77" i="1"/>
  <c r="AL77" i="1"/>
  <c r="AU77" i="1"/>
  <c r="BA77" i="1"/>
  <c r="BB77" i="1"/>
  <c r="BA76" i="1"/>
  <c r="AE76" i="1"/>
  <c r="AX76" i="1"/>
  <c r="BA75" i="1"/>
  <c r="AE75" i="1"/>
  <c r="AX75" i="1"/>
  <c r="BA74" i="1"/>
  <c r="AE74" i="1"/>
  <c r="AX74" i="1"/>
  <c r="BA73" i="1"/>
  <c r="AE73" i="1"/>
  <c r="AX73" i="1"/>
  <c r="BA72" i="1"/>
  <c r="AE72" i="1"/>
  <c r="AX72" i="1"/>
  <c r="BA71" i="1"/>
  <c r="AE71" i="1"/>
  <c r="AX71" i="1"/>
  <c r="BA70" i="1"/>
  <c r="AE70" i="1"/>
  <c r="AX70" i="1"/>
  <c r="AE69" i="1"/>
  <c r="AX69" i="1"/>
  <c r="AY69" i="1" s="1"/>
  <c r="AZ69" i="1" s="1"/>
  <c r="BA69" i="1"/>
  <c r="BB69" i="1"/>
  <c r="BA68" i="1"/>
  <c r="AE68" i="1"/>
  <c r="AX68" i="1"/>
  <c r="BA67" i="1"/>
  <c r="AE67" i="1"/>
  <c r="AX67" i="1"/>
  <c r="AM66" i="1"/>
  <c r="AR66" i="1"/>
  <c r="AS66" i="1"/>
  <c r="AT66" i="1" s="1"/>
  <c r="AL66" i="1"/>
  <c r="AP66" i="1" s="1"/>
  <c r="AQ66" i="1" s="1"/>
  <c r="AU66" i="1"/>
  <c r="BA66" i="1"/>
  <c r="BB66" i="1"/>
  <c r="AF65" i="1"/>
  <c r="AI65" i="1" s="1"/>
  <c r="AJ65" i="1"/>
  <c r="AL65" i="1"/>
  <c r="AU65" i="1"/>
  <c r="BA65" i="1"/>
  <c r="BB65" i="1"/>
  <c r="BA64" i="1"/>
  <c r="AE64" i="1"/>
  <c r="AX64" i="1"/>
  <c r="BA62" i="1"/>
  <c r="AE62" i="1"/>
  <c r="AX62" i="1"/>
  <c r="AL61" i="1"/>
  <c r="AU61" i="1"/>
  <c r="BA61" i="1"/>
  <c r="AE61" i="1"/>
  <c r="AX61" i="1"/>
  <c r="AL60" i="1"/>
  <c r="AU60" i="1"/>
  <c r="BA60" i="1"/>
  <c r="AE60" i="1"/>
  <c r="AX60" i="1"/>
  <c r="BA59" i="1"/>
  <c r="AE59" i="1"/>
  <c r="AX59" i="1"/>
  <c r="BA58" i="1"/>
  <c r="AE58" i="1"/>
  <c r="AX58" i="1"/>
  <c r="BA57" i="1"/>
  <c r="AE57" i="1"/>
  <c r="AX57" i="1"/>
  <c r="AF56" i="1"/>
  <c r="AJ56" i="1"/>
  <c r="BA55" i="1"/>
  <c r="AE55" i="1"/>
  <c r="AX55" i="1"/>
  <c r="AL54" i="1"/>
  <c r="AU54" i="1"/>
  <c r="BA54" i="1"/>
  <c r="AE54" i="1"/>
  <c r="AX54" i="1"/>
  <c r="BA53" i="1"/>
  <c r="AE53" i="1"/>
  <c r="AX53" i="1"/>
  <c r="AE52" i="1"/>
  <c r="AX52" i="1"/>
  <c r="AY52" i="1" s="1"/>
  <c r="AZ52" i="1" s="1"/>
  <c r="BA52" i="1"/>
  <c r="BB52" i="1"/>
  <c r="BA48" i="1"/>
  <c r="AE48" i="1"/>
  <c r="AX48" i="1"/>
  <c r="AE47" i="1"/>
  <c r="AX47" i="1"/>
  <c r="AY47" i="1" s="1"/>
  <c r="AZ47" i="1" s="1"/>
  <c r="BA47" i="1"/>
  <c r="BB47" i="1"/>
  <c r="BA46" i="1"/>
  <c r="AE46" i="1"/>
  <c r="AX46" i="1"/>
  <c r="BA45" i="1"/>
  <c r="AE45" i="1"/>
  <c r="AX45" i="1"/>
  <c r="BA44" i="1"/>
  <c r="AE44" i="1"/>
  <c r="AX44" i="1"/>
  <c r="BA43" i="1"/>
  <c r="AE43" i="1"/>
  <c r="AX43" i="1"/>
  <c r="BA42" i="1"/>
  <c r="AE42" i="1"/>
  <c r="AX42" i="1"/>
  <c r="BA41" i="1"/>
  <c r="AE41" i="1"/>
  <c r="AX41" i="1"/>
  <c r="BA40" i="1"/>
  <c r="AE40" i="1"/>
  <c r="AX40" i="1"/>
  <c r="BA39" i="1"/>
  <c r="AE39" i="1"/>
  <c r="AX39" i="1"/>
  <c r="AE38" i="1"/>
  <c r="AX38" i="1"/>
  <c r="AY38" i="1" s="1"/>
  <c r="AZ38" i="1" s="1"/>
  <c r="BA38" i="1"/>
  <c r="BB38" i="1"/>
  <c r="BA37" i="1"/>
  <c r="AE37" i="1"/>
  <c r="AX37" i="1"/>
  <c r="BA36" i="1"/>
  <c r="AE36" i="1"/>
  <c r="AX36" i="1"/>
  <c r="BA35" i="1"/>
  <c r="AE35" i="1"/>
  <c r="AX35" i="1"/>
  <c r="AM34" i="1"/>
  <c r="AR34" i="1"/>
  <c r="AS34" i="1"/>
  <c r="AT34" i="1" s="1"/>
  <c r="AL34" i="1"/>
  <c r="AP34" i="1" s="1"/>
  <c r="AQ34" i="1" s="1"/>
  <c r="AU34" i="1"/>
  <c r="BA34" i="1"/>
  <c r="BB34" i="1"/>
  <c r="AM33" i="1"/>
  <c r="AR33" i="1"/>
  <c r="AS33" i="1"/>
  <c r="AT33" i="1" s="1"/>
  <c r="AL33" i="1"/>
  <c r="AP33" i="1" s="1"/>
  <c r="AQ33" i="1" s="1"/>
  <c r="AU33" i="1"/>
  <c r="BA33" i="1"/>
  <c r="BB33" i="1"/>
  <c r="AM32" i="1"/>
  <c r="AR32" i="1"/>
  <c r="AS32" i="1"/>
  <c r="AT32" i="1" s="1"/>
  <c r="AL32" i="1"/>
  <c r="AP32" i="1" s="1"/>
  <c r="AQ32" i="1" s="1"/>
  <c r="AU32" i="1"/>
  <c r="BA32" i="1"/>
  <c r="BB32" i="1"/>
  <c r="AM31" i="1"/>
  <c r="AR31" i="1"/>
  <c r="AS31" i="1"/>
  <c r="AT31" i="1" s="1"/>
  <c r="AL31" i="1"/>
  <c r="AP31" i="1" s="1"/>
  <c r="AQ31" i="1" s="1"/>
  <c r="AU31" i="1"/>
  <c r="BA31" i="1"/>
  <c r="BB31" i="1"/>
  <c r="AM30" i="1"/>
  <c r="AR30" i="1"/>
  <c r="AS30" i="1"/>
  <c r="AT30" i="1" s="1"/>
  <c r="AL30" i="1"/>
  <c r="AP30" i="1" s="1"/>
  <c r="AQ30" i="1" s="1"/>
  <c r="AU30" i="1"/>
  <c r="BA30" i="1"/>
  <c r="BB30" i="1" s="1"/>
  <c r="AF26" i="1"/>
  <c r="AI26" i="1" s="1"/>
  <c r="AJ26" i="1"/>
  <c r="AL26" i="1"/>
  <c r="AU26" i="1"/>
  <c r="BA26" i="1"/>
  <c r="BB26" i="1" s="1"/>
  <c r="AF24" i="1"/>
  <c r="AI24" i="1" s="1"/>
  <c r="AJ24" i="1"/>
  <c r="AL24" i="1"/>
  <c r="AU24" i="1"/>
  <c r="BA24" i="1"/>
  <c r="BB24" i="1" s="1"/>
  <c r="AF23" i="1"/>
  <c r="AI23" i="1" s="1"/>
  <c r="AJ23" i="1"/>
  <c r="AL23" i="1"/>
  <c r="AU23" i="1"/>
  <c r="BA23" i="1"/>
  <c r="BB23" i="1" s="1"/>
  <c r="AF22" i="1"/>
  <c r="AI22" i="1" s="1"/>
  <c r="AJ22" i="1"/>
  <c r="AL22" i="1"/>
  <c r="AU22" i="1"/>
  <c r="BA22" i="1"/>
  <c r="BB22" i="1"/>
  <c r="AF21" i="1"/>
  <c r="AI21" i="1" s="1"/>
  <c r="AJ21" i="1"/>
  <c r="AL21" i="1"/>
  <c r="AU21" i="1"/>
  <c r="BA21" i="1"/>
  <c r="BB21" i="1"/>
  <c r="AF20" i="1"/>
  <c r="AI20" i="1" s="1"/>
  <c r="AJ20" i="1"/>
  <c r="AL20" i="1"/>
  <c r="AU20" i="1"/>
  <c r="BA20" i="1"/>
  <c r="BB20" i="1"/>
  <c r="AE19" i="1"/>
  <c r="AX19" i="1"/>
  <c r="AY19" i="1" s="1"/>
  <c r="AZ19" i="1" s="1"/>
  <c r="BA19" i="1"/>
  <c r="BB19" i="1" s="1"/>
  <c r="AF18" i="1"/>
  <c r="AI18" i="1" s="1"/>
  <c r="AJ18" i="1"/>
  <c r="AL18" i="1"/>
  <c r="AU18" i="1"/>
  <c r="BA18" i="1"/>
  <c r="BB18" i="1" s="1"/>
  <c r="AB124" i="1"/>
  <c r="AC4" i="1"/>
  <c r="T124" i="1"/>
  <c r="AC116" i="1"/>
  <c r="V116" i="1"/>
  <c r="AE105" i="1"/>
  <c r="AX105" i="1"/>
  <c r="AY105" i="1" s="1"/>
  <c r="AZ105" i="1" s="1"/>
  <c r="W105" i="1"/>
  <c r="AC102" i="1"/>
  <c r="V102" i="1"/>
  <c r="W102" i="1" s="1"/>
  <c r="AC63" i="1"/>
  <c r="V63" i="1"/>
  <c r="W63" i="1" s="1"/>
  <c r="AZ56" i="1"/>
  <c r="BB56" i="1" s="1"/>
  <c r="AC51" i="1"/>
  <c r="V51" i="1"/>
  <c r="AC50" i="1"/>
  <c r="V50" i="1"/>
  <c r="AC49" i="1"/>
  <c r="V49" i="1"/>
  <c r="W49" i="1" s="1"/>
  <c r="AC29" i="1"/>
  <c r="V29" i="1"/>
  <c r="AC28" i="1"/>
  <c r="V28" i="1"/>
  <c r="AC27" i="1"/>
  <c r="V27" i="1"/>
  <c r="W27" i="1" s="1"/>
  <c r="AC25" i="1"/>
  <c r="V25" i="1"/>
  <c r="AE25" i="1" s="1"/>
  <c r="W25" i="1"/>
  <c r="AC17" i="1"/>
  <c r="V17" i="1"/>
  <c r="AE17" i="1" s="1"/>
  <c r="W17" i="1"/>
  <c r="AE16" i="1"/>
  <c r="AF16" i="1" s="1"/>
  <c r="AI16" i="1" s="1"/>
  <c r="W16" i="1"/>
  <c r="AX16" i="1"/>
  <c r="AY16" i="1" s="1"/>
  <c r="AZ16" i="1" s="1"/>
  <c r="AC15" i="1"/>
  <c r="V15" i="1"/>
  <c r="AE15" i="1" s="1"/>
  <c r="W15" i="1"/>
  <c r="AC14" i="1"/>
  <c r="V14" i="1"/>
  <c r="AC13" i="1"/>
  <c r="V13" i="1"/>
  <c r="W13" i="1" s="1"/>
  <c r="AC12" i="1"/>
  <c r="V12" i="1"/>
  <c r="AE12" i="1" s="1"/>
  <c r="W12" i="1"/>
  <c r="AC11" i="1"/>
  <c r="V11" i="1"/>
  <c r="W11" i="1" s="1"/>
  <c r="AC10" i="1"/>
  <c r="V10" i="1"/>
  <c r="AC9" i="1"/>
  <c r="V9" i="1"/>
  <c r="W9" i="1" s="1"/>
  <c r="AC8" i="1"/>
  <c r="V8" i="1"/>
  <c r="W8" i="1"/>
  <c r="AC7" i="1"/>
  <c r="V7" i="1"/>
  <c r="W7" i="1" s="1"/>
  <c r="AC6" i="1"/>
  <c r="V6" i="1"/>
  <c r="AC5" i="1"/>
  <c r="V5" i="1"/>
  <c r="V4" i="1"/>
  <c r="W4" i="1" s="1"/>
  <c r="AV66" i="1" l="1"/>
  <c r="AV34" i="1"/>
  <c r="AV33" i="1"/>
  <c r="AV32" i="1"/>
  <c r="AV31" i="1"/>
  <c r="AV30" i="1"/>
  <c r="AE14" i="1"/>
  <c r="W14" i="1"/>
  <c r="AF122" i="1"/>
  <c r="AI122" i="1" s="1"/>
  <c r="AJ122" i="1"/>
  <c r="AF121" i="1"/>
  <c r="AI121" i="1" s="1"/>
  <c r="AJ121" i="1"/>
  <c r="AF120" i="1"/>
  <c r="AI120" i="1" s="1"/>
  <c r="AJ120" i="1"/>
  <c r="AF119" i="1"/>
  <c r="AI119" i="1" s="1"/>
  <c r="AJ119" i="1"/>
  <c r="AF118" i="1"/>
  <c r="AJ118" i="1"/>
  <c r="AF117" i="1"/>
  <c r="AI117" i="1" s="1"/>
  <c r="AJ117" i="1"/>
  <c r="AF115" i="1"/>
  <c r="AJ115" i="1"/>
  <c r="AF114" i="1"/>
  <c r="AI114" i="1" s="1"/>
  <c r="AJ114" i="1"/>
  <c r="AF113" i="1"/>
  <c r="AI113" i="1" s="1"/>
  <c r="AJ113" i="1"/>
  <c r="AF112" i="1"/>
  <c r="AI112" i="1" s="1"/>
  <c r="AJ112" i="1"/>
  <c r="AF111" i="1"/>
  <c r="AI111" i="1" s="1"/>
  <c r="AJ111" i="1"/>
  <c r="AF110" i="1"/>
  <c r="AJ110" i="1"/>
  <c r="AF109" i="1"/>
  <c r="AJ109" i="1"/>
  <c r="AF108" i="1"/>
  <c r="AJ108" i="1"/>
  <c r="AF107" i="1"/>
  <c r="AI107" i="1" s="1"/>
  <c r="AJ107" i="1"/>
  <c r="AF106" i="1"/>
  <c r="AJ106" i="1"/>
  <c r="AM105" i="1"/>
  <c r="AR105" i="1"/>
  <c r="AS105" i="1"/>
  <c r="AT105" i="1" s="1"/>
  <c r="AF104" i="1"/>
  <c r="AJ104" i="1"/>
  <c r="AF103" i="1"/>
  <c r="AI103" i="1" s="1"/>
  <c r="AJ103" i="1"/>
  <c r="AF101" i="1"/>
  <c r="AJ101" i="1"/>
  <c r="AF100" i="1"/>
  <c r="AJ100" i="1"/>
  <c r="AF99" i="1"/>
  <c r="AJ99" i="1"/>
  <c r="AF98" i="1"/>
  <c r="AJ98" i="1"/>
  <c r="AF96" i="1"/>
  <c r="AJ96" i="1"/>
  <c r="AF95" i="1"/>
  <c r="AJ95" i="1"/>
  <c r="AF94" i="1"/>
  <c r="AJ94" i="1"/>
  <c r="AM93" i="1"/>
  <c r="AP93" i="1" s="1"/>
  <c r="AQ93" i="1" s="1"/>
  <c r="AR93" i="1"/>
  <c r="AS93" i="1"/>
  <c r="AT93" i="1" s="1"/>
  <c r="AF92" i="1"/>
  <c r="AJ92" i="1"/>
  <c r="AF91" i="1"/>
  <c r="AJ91" i="1"/>
  <c r="AF90" i="1"/>
  <c r="AJ90" i="1"/>
  <c r="AM89" i="1"/>
  <c r="AP89" i="1" s="1"/>
  <c r="AQ89" i="1" s="1"/>
  <c r="AR89" i="1"/>
  <c r="AS89" i="1"/>
  <c r="AT89" i="1" s="1"/>
  <c r="AF88" i="1"/>
  <c r="AJ88" i="1"/>
  <c r="AF87" i="1"/>
  <c r="AJ87" i="1"/>
  <c r="AF86" i="1"/>
  <c r="AJ86" i="1"/>
  <c r="AF85" i="1"/>
  <c r="AJ85" i="1"/>
  <c r="AF84" i="1"/>
  <c r="AJ84" i="1"/>
  <c r="AF83" i="1"/>
  <c r="AJ83" i="1"/>
  <c r="AF82" i="1"/>
  <c r="AJ82" i="1"/>
  <c r="AF81" i="1"/>
  <c r="AJ81" i="1"/>
  <c r="AF80" i="1"/>
  <c r="AJ80" i="1"/>
  <c r="AF79" i="1"/>
  <c r="AJ79" i="1"/>
  <c r="AF78" i="1"/>
  <c r="AJ78" i="1"/>
  <c r="AM77" i="1"/>
  <c r="AP77" i="1"/>
  <c r="AQ77" i="1" s="1"/>
  <c r="AR77" i="1"/>
  <c r="AS77" i="1"/>
  <c r="AT77" i="1" s="1"/>
  <c r="AF76" i="1"/>
  <c r="AJ76" i="1"/>
  <c r="AF75" i="1"/>
  <c r="AJ75" i="1"/>
  <c r="AF74" i="1"/>
  <c r="AJ74" i="1"/>
  <c r="AF73" i="1"/>
  <c r="AJ73" i="1"/>
  <c r="AF72" i="1"/>
  <c r="AJ72" i="1"/>
  <c r="AF71" i="1"/>
  <c r="AJ71" i="1"/>
  <c r="AF70" i="1"/>
  <c r="AJ70" i="1"/>
  <c r="AF69" i="1"/>
  <c r="AJ69" i="1"/>
  <c r="AF68" i="1"/>
  <c r="AJ68" i="1"/>
  <c r="AF67" i="1"/>
  <c r="AJ67" i="1"/>
  <c r="AM65" i="1"/>
  <c r="AP65" i="1" s="1"/>
  <c r="AQ65" i="1" s="1"/>
  <c r="AR65" i="1"/>
  <c r="AS65" i="1"/>
  <c r="AT65" i="1" s="1"/>
  <c r="AF64" i="1"/>
  <c r="AJ64" i="1"/>
  <c r="AF62" i="1"/>
  <c r="AJ62" i="1"/>
  <c r="AF61" i="1"/>
  <c r="AI61" i="1" s="1"/>
  <c r="AJ61" i="1"/>
  <c r="AF60" i="1"/>
  <c r="AI60" i="1" s="1"/>
  <c r="AJ60" i="1"/>
  <c r="AF59" i="1"/>
  <c r="AJ59" i="1"/>
  <c r="AF58" i="1"/>
  <c r="AJ58" i="1"/>
  <c r="AF57" i="1"/>
  <c r="AJ57" i="1"/>
  <c r="AI56" i="1"/>
  <c r="AL56" i="1"/>
  <c r="AU56" i="1"/>
  <c r="AR56" i="1"/>
  <c r="AS56" i="1"/>
  <c r="AT56" i="1" s="1"/>
  <c r="AF55" i="1"/>
  <c r="AJ55" i="1"/>
  <c r="AF54" i="1"/>
  <c r="AI54" i="1" s="1"/>
  <c r="AJ54" i="1"/>
  <c r="AF53" i="1"/>
  <c r="AJ53" i="1"/>
  <c r="AF52" i="1"/>
  <c r="AJ52" i="1"/>
  <c r="AF48" i="1"/>
  <c r="AJ48" i="1"/>
  <c r="AF47" i="1"/>
  <c r="AJ47" i="1"/>
  <c r="AF46" i="1"/>
  <c r="AJ46" i="1"/>
  <c r="AF45" i="1"/>
  <c r="AJ45" i="1"/>
  <c r="AF44" i="1"/>
  <c r="AJ44" i="1"/>
  <c r="AF43" i="1"/>
  <c r="AJ43" i="1"/>
  <c r="AF42" i="1"/>
  <c r="AJ42" i="1"/>
  <c r="AF41" i="1"/>
  <c r="AJ41" i="1"/>
  <c r="AF40" i="1"/>
  <c r="AJ40" i="1"/>
  <c r="AF39" i="1"/>
  <c r="AJ39" i="1"/>
  <c r="AF38" i="1"/>
  <c r="AJ38" i="1"/>
  <c r="AF37" i="1"/>
  <c r="AJ37" i="1"/>
  <c r="AF36" i="1"/>
  <c r="AJ36" i="1"/>
  <c r="AF35" i="1"/>
  <c r="AJ35" i="1"/>
  <c r="AM26" i="1"/>
  <c r="AP26" i="1" s="1"/>
  <c r="AQ26" i="1" s="1"/>
  <c r="AR26" i="1"/>
  <c r="AS26" i="1"/>
  <c r="AT26" i="1" s="1"/>
  <c r="AM24" i="1"/>
  <c r="AP24" i="1" s="1"/>
  <c r="AQ24" i="1" s="1"/>
  <c r="AR24" i="1"/>
  <c r="AS24" i="1"/>
  <c r="AT24" i="1" s="1"/>
  <c r="AM23" i="1"/>
  <c r="AP23" i="1"/>
  <c r="AQ23" i="1" s="1"/>
  <c r="AR23" i="1"/>
  <c r="AS23" i="1"/>
  <c r="AT23" i="1" s="1"/>
  <c r="AM22" i="1"/>
  <c r="AP22" i="1"/>
  <c r="AQ22" i="1" s="1"/>
  <c r="AR22" i="1"/>
  <c r="AS22" i="1"/>
  <c r="AT22" i="1" s="1"/>
  <c r="AM21" i="1"/>
  <c r="AP21" i="1"/>
  <c r="AQ21" i="1" s="1"/>
  <c r="AR21" i="1"/>
  <c r="AS21" i="1"/>
  <c r="AT21" i="1" s="1"/>
  <c r="AM20" i="1"/>
  <c r="AP20" i="1" s="1"/>
  <c r="AQ20" i="1" s="1"/>
  <c r="AR20" i="1"/>
  <c r="AS20" i="1"/>
  <c r="AF19" i="1"/>
  <c r="AJ19" i="1"/>
  <c r="AM18" i="1"/>
  <c r="AP18" i="1"/>
  <c r="AQ18" i="1" s="1"/>
  <c r="AR18" i="1"/>
  <c r="AS18" i="1"/>
  <c r="AT18" i="1" s="1"/>
  <c r="AM16" i="1"/>
  <c r="W116" i="1"/>
  <c r="AX116" i="1"/>
  <c r="AY116" i="1" s="1"/>
  <c r="AZ116" i="1" s="1"/>
  <c r="AE116" i="1"/>
  <c r="BA105" i="1"/>
  <c r="BB105" i="1" s="1"/>
  <c r="AU105" i="1"/>
  <c r="AL105" i="1"/>
  <c r="BA102" i="1"/>
  <c r="AU102" i="1"/>
  <c r="AL102" i="1"/>
  <c r="AX102" i="1"/>
  <c r="AE102" i="1"/>
  <c r="AX63" i="1"/>
  <c r="AY63" i="1" s="1"/>
  <c r="AE63" i="1"/>
  <c r="BA63" i="1"/>
  <c r="AU63" i="1"/>
  <c r="AL63" i="1"/>
  <c r="W51" i="1"/>
  <c r="AX51" i="1"/>
  <c r="AY51" i="1" s="1"/>
  <c r="AZ51" i="1" s="1"/>
  <c r="AE51" i="1"/>
  <c r="AX50" i="1"/>
  <c r="AY50" i="1" s="1"/>
  <c r="AZ50" i="1" s="1"/>
  <c r="W50" i="1"/>
  <c r="AE50" i="1"/>
  <c r="BA49" i="1"/>
  <c r="AU49" i="1"/>
  <c r="AL49" i="1"/>
  <c r="AX49" i="1"/>
  <c r="AE49" i="1"/>
  <c r="W29" i="1"/>
  <c r="AX29" i="1"/>
  <c r="AY29" i="1" s="1"/>
  <c r="AZ29" i="1" s="1"/>
  <c r="AE29" i="1"/>
  <c r="BA27" i="1"/>
  <c r="AU27" i="1"/>
  <c r="AL27" i="1"/>
  <c r="AX27" i="1"/>
  <c r="AE27" i="1"/>
  <c r="BA25" i="1"/>
  <c r="BB25" i="1" s="1"/>
  <c r="AU25" i="1"/>
  <c r="AL25" i="1"/>
  <c r="BA17" i="1"/>
  <c r="BB17" i="1" s="1"/>
  <c r="AU17" i="1"/>
  <c r="AL17" i="1"/>
  <c r="BA16" i="1"/>
  <c r="BB16" i="1" s="1"/>
  <c r="AU16" i="1"/>
  <c r="AV16" i="1" s="1"/>
  <c r="AL16" i="1"/>
  <c r="AP16" i="1" s="1"/>
  <c r="AQ16" i="1" s="1"/>
  <c r="BA15" i="1"/>
  <c r="BB15" i="1" s="1"/>
  <c r="AU15" i="1"/>
  <c r="AL15" i="1"/>
  <c r="AL13" i="1"/>
  <c r="AX13" i="1"/>
  <c r="AE13" i="1"/>
  <c r="BA12" i="1"/>
  <c r="BB12" i="1" s="1"/>
  <c r="AU12" i="1"/>
  <c r="AL12" i="1"/>
  <c r="AX11" i="1"/>
  <c r="AE11" i="1"/>
  <c r="BA11" i="1"/>
  <c r="AU11" i="1"/>
  <c r="AL11" i="1"/>
  <c r="W10" i="1"/>
  <c r="W124" i="1" s="1"/>
  <c r="AE10" i="1"/>
  <c r="AF10" i="1" s="1"/>
  <c r="AI10" i="1" s="1"/>
  <c r="AX9" i="1"/>
  <c r="AY9" i="1" s="1"/>
  <c r="AE9" i="1"/>
  <c r="BA9" i="1"/>
  <c r="AU9" i="1"/>
  <c r="AL9" i="1"/>
  <c r="AX8" i="1"/>
  <c r="AE8" i="1"/>
  <c r="BA8" i="1"/>
  <c r="AU8" i="1"/>
  <c r="AL8" i="1"/>
  <c r="BA7" i="1"/>
  <c r="AU7" i="1"/>
  <c r="AL7" i="1"/>
  <c r="AX7" i="1"/>
  <c r="AE7" i="1"/>
  <c r="AF7" i="1" s="1"/>
  <c r="AI7" i="1" s="1"/>
  <c r="W6" i="1"/>
  <c r="AX6" i="1"/>
  <c r="AY6" i="1" s="1"/>
  <c r="AZ6" i="1" s="1"/>
  <c r="AE6" i="1"/>
  <c r="W5" i="1"/>
  <c r="AX5" i="1"/>
  <c r="AY5" i="1" s="1"/>
  <c r="AZ5" i="1" s="1"/>
  <c r="AE5" i="1"/>
  <c r="BA4" i="1"/>
  <c r="AU4" i="1"/>
  <c r="AL4" i="1"/>
  <c r="V124" i="1"/>
  <c r="AE4" i="1"/>
  <c r="AF4" i="1" s="1"/>
  <c r="AX4" i="1"/>
  <c r="AF17" i="1"/>
  <c r="AI17" i="1" s="1"/>
  <c r="AF15" i="1"/>
  <c r="AI15" i="1" s="1"/>
  <c r="AF14" i="1"/>
  <c r="AI14" i="1" s="1"/>
  <c r="AF12" i="1"/>
  <c r="AI12" i="1" s="1"/>
  <c r="AF25" i="1"/>
  <c r="AI25" i="1" s="1"/>
  <c r="AY122" i="1"/>
  <c r="AZ122" i="1" s="1"/>
  <c r="BB122" i="1"/>
  <c r="AY121" i="1"/>
  <c r="AZ121" i="1" s="1"/>
  <c r="BB121" i="1"/>
  <c r="AY120" i="1"/>
  <c r="AZ120" i="1" s="1"/>
  <c r="BB120" i="1"/>
  <c r="AY119" i="1"/>
  <c r="AZ119" i="1" s="1"/>
  <c r="BB119" i="1"/>
  <c r="AY118" i="1"/>
  <c r="AZ118" i="1" s="1"/>
  <c r="BB118" i="1"/>
  <c r="AY117" i="1"/>
  <c r="AZ117" i="1" s="1"/>
  <c r="BB117" i="1"/>
  <c r="AY115" i="1"/>
  <c r="AZ115" i="1" s="1"/>
  <c r="BB115" i="1"/>
  <c r="AY114" i="1"/>
  <c r="AZ114" i="1" s="1"/>
  <c r="BB114" i="1"/>
  <c r="AY111" i="1"/>
  <c r="AZ111" i="1" s="1"/>
  <c r="BB111" i="1"/>
  <c r="AY110" i="1"/>
  <c r="AZ110" i="1" s="1"/>
  <c r="BB110" i="1"/>
  <c r="AY109" i="1"/>
  <c r="AZ109" i="1" s="1"/>
  <c r="BB109" i="1"/>
  <c r="AY106" i="1"/>
  <c r="AZ106" i="1" s="1"/>
  <c r="BB106" i="1"/>
  <c r="AY104" i="1"/>
  <c r="AZ104" i="1" s="1"/>
  <c r="BB104" i="1"/>
  <c r="AY103" i="1"/>
  <c r="AZ103" i="1" s="1"/>
  <c r="BB103" i="1"/>
  <c r="AY100" i="1"/>
  <c r="AZ100" i="1" s="1"/>
  <c r="BB100" i="1"/>
  <c r="AY99" i="1"/>
  <c r="AZ99" i="1" s="1"/>
  <c r="BB99" i="1"/>
  <c r="AY98" i="1"/>
  <c r="AZ98" i="1" s="1"/>
  <c r="BB98" i="1"/>
  <c r="AF97" i="1"/>
  <c r="AJ97" i="1"/>
  <c r="AY96" i="1"/>
  <c r="AZ96" i="1" s="1"/>
  <c r="BB96" i="1"/>
  <c r="AY95" i="1"/>
  <c r="AZ95" i="1" s="1"/>
  <c r="BB95" i="1"/>
  <c r="AY94" i="1"/>
  <c r="AZ94" i="1" s="1"/>
  <c r="BB94" i="1"/>
  <c r="AY91" i="1"/>
  <c r="AZ91" i="1" s="1"/>
  <c r="BB91" i="1"/>
  <c r="AY90" i="1"/>
  <c r="AZ90" i="1" s="1"/>
  <c r="BB90" i="1"/>
  <c r="AY87" i="1"/>
  <c r="AY86" i="1"/>
  <c r="AZ86" i="1" s="1"/>
  <c r="BB86" i="1"/>
  <c r="AY83" i="1"/>
  <c r="AY82" i="1"/>
  <c r="AZ82" i="1" s="1"/>
  <c r="BB82" i="1"/>
  <c r="AY81" i="1"/>
  <c r="AZ81" i="1" s="1"/>
  <c r="BB81" i="1" s="1"/>
  <c r="AY80" i="1"/>
  <c r="AY79" i="1"/>
  <c r="AZ79" i="1" s="1"/>
  <c r="BB79" i="1" s="1"/>
  <c r="AY78" i="1"/>
  <c r="AY76" i="1"/>
  <c r="AZ76" i="1" s="1"/>
  <c r="BB76" i="1" s="1"/>
  <c r="AY75" i="1"/>
  <c r="AY74" i="1"/>
  <c r="AZ74" i="1" s="1"/>
  <c r="BB74" i="1" s="1"/>
  <c r="AY73" i="1"/>
  <c r="AY72" i="1"/>
  <c r="AZ72" i="1" s="1"/>
  <c r="BB72" i="1" s="1"/>
  <c r="AY71" i="1"/>
  <c r="AY70" i="1"/>
  <c r="AZ70" i="1" s="1"/>
  <c r="BB70" i="1" s="1"/>
  <c r="AY68" i="1"/>
  <c r="AY67" i="1"/>
  <c r="AY64" i="1"/>
  <c r="AZ64" i="1" s="1"/>
  <c r="BB64" i="1"/>
  <c r="AY62" i="1"/>
  <c r="AY61" i="1"/>
  <c r="AZ61" i="1" s="1"/>
  <c r="BB61" i="1" s="1"/>
  <c r="AY60" i="1"/>
  <c r="AZ60" i="1" s="1"/>
  <c r="BB60" i="1" s="1"/>
  <c r="AY59" i="1"/>
  <c r="AY58" i="1"/>
  <c r="AZ58" i="1" s="1"/>
  <c r="BB58" i="1" s="1"/>
  <c r="AY57" i="1"/>
  <c r="AY55" i="1"/>
  <c r="AZ55" i="1" s="1"/>
  <c r="BB55" i="1"/>
  <c r="AY54" i="1"/>
  <c r="AZ54" i="1" s="1"/>
  <c r="BB54" i="1"/>
  <c r="AY53" i="1"/>
  <c r="AZ53" i="1" s="1"/>
  <c r="BB53" i="1" s="1"/>
  <c r="AY48" i="1"/>
  <c r="AY46" i="1"/>
  <c r="AZ46" i="1" s="1"/>
  <c r="BB46" i="1"/>
  <c r="AY45" i="1"/>
  <c r="AY44" i="1"/>
  <c r="AZ44" i="1" s="1"/>
  <c r="BB44" i="1"/>
  <c r="AY43" i="1"/>
  <c r="AY42" i="1"/>
  <c r="AY41" i="1"/>
  <c r="AZ41" i="1" s="1"/>
  <c r="BB41" i="1" s="1"/>
  <c r="AY40" i="1"/>
  <c r="AY39" i="1"/>
  <c r="AY37" i="1"/>
  <c r="AZ37" i="1" s="1"/>
  <c r="BB37" i="1" s="1"/>
  <c r="AY36" i="1"/>
  <c r="AY35" i="1"/>
  <c r="AZ35" i="1" s="1"/>
  <c r="BB35" i="1"/>
  <c r="AC124" i="1"/>
  <c r="AE28" i="1"/>
  <c r="AF28" i="1" s="1"/>
  <c r="AI28" i="1" s="1"/>
  <c r="W28" i="1"/>
  <c r="AV89" i="1" l="1"/>
  <c r="AV77" i="1"/>
  <c r="AV65" i="1"/>
  <c r="AV26" i="1"/>
  <c r="AV24" i="1"/>
  <c r="AV23" i="1"/>
  <c r="AV22" i="1"/>
  <c r="AV21" i="1"/>
  <c r="AV18" i="1"/>
  <c r="AP105" i="1"/>
  <c r="AQ105" i="1" s="1"/>
  <c r="AV105" i="1"/>
  <c r="AV93" i="1"/>
  <c r="AL14" i="1"/>
  <c r="BA14" i="1"/>
  <c r="BB14" i="1" s="1"/>
  <c r="AU14" i="1"/>
  <c r="AV14" i="1" s="1"/>
  <c r="AZ87" i="1"/>
  <c r="BB87" i="1"/>
  <c r="AZ83" i="1"/>
  <c r="BB83" i="1"/>
  <c r="AZ80" i="1"/>
  <c r="BB80" i="1"/>
  <c r="AZ78" i="1"/>
  <c r="BB78" i="1"/>
  <c r="AZ75" i="1"/>
  <c r="BB75" i="1"/>
  <c r="AZ73" i="1"/>
  <c r="BB73" i="1"/>
  <c r="AZ71" i="1"/>
  <c r="BB71" i="1"/>
  <c r="AZ68" i="1"/>
  <c r="BB68" i="1"/>
  <c r="AZ67" i="1"/>
  <c r="BB67" i="1"/>
  <c r="AZ62" i="1"/>
  <c r="BB62" i="1"/>
  <c r="AZ59" i="1"/>
  <c r="BB59" i="1"/>
  <c r="AZ57" i="1"/>
  <c r="BB57" i="1"/>
  <c r="AZ48" i="1"/>
  <c r="BB48" i="1"/>
  <c r="AZ45" i="1"/>
  <c r="BB45" i="1"/>
  <c r="AZ43" i="1"/>
  <c r="BB43" i="1"/>
  <c r="AZ42" i="1"/>
  <c r="BB42" i="1"/>
  <c r="AZ40" i="1"/>
  <c r="BB40" i="1"/>
  <c r="AZ39" i="1"/>
  <c r="BB39" i="1"/>
  <c r="AZ36" i="1"/>
  <c r="BB36" i="1"/>
  <c r="AM122" i="1"/>
  <c r="AP122" i="1" s="1"/>
  <c r="AQ122" i="1" s="1"/>
  <c r="AS122" i="1"/>
  <c r="AT122" i="1" s="1"/>
  <c r="AR122" i="1"/>
  <c r="AM121" i="1"/>
  <c r="AP121" i="1" s="1"/>
  <c r="AQ121" i="1" s="1"/>
  <c r="AS121" i="1"/>
  <c r="AT121" i="1" s="1"/>
  <c r="AR121" i="1"/>
  <c r="AM120" i="1"/>
  <c r="AS120" i="1"/>
  <c r="AT120" i="1" s="1"/>
  <c r="AR120" i="1"/>
  <c r="AP120" i="1"/>
  <c r="AQ120" i="1" s="1"/>
  <c r="AM119" i="1"/>
  <c r="AS119" i="1"/>
  <c r="AT119" i="1" s="1"/>
  <c r="AR119" i="1"/>
  <c r="AP119" i="1"/>
  <c r="AQ119" i="1" s="1"/>
  <c r="AU118" i="1"/>
  <c r="AL118" i="1"/>
  <c r="AI118" i="1"/>
  <c r="AS118" i="1"/>
  <c r="AT118" i="1" s="1"/>
  <c r="AR118" i="1"/>
  <c r="AM117" i="1"/>
  <c r="AP117" i="1" s="1"/>
  <c r="AQ117" i="1" s="1"/>
  <c r="AS117" i="1"/>
  <c r="AT117" i="1" s="1"/>
  <c r="AR117" i="1"/>
  <c r="AU115" i="1"/>
  <c r="AL115" i="1"/>
  <c r="AI115" i="1"/>
  <c r="AS115" i="1"/>
  <c r="AT115" i="1" s="1"/>
  <c r="AR115" i="1"/>
  <c r="AM114" i="1"/>
  <c r="AP114" i="1" s="1"/>
  <c r="AQ114" i="1" s="1"/>
  <c r="AS114" i="1"/>
  <c r="AT114" i="1" s="1"/>
  <c r="AR114" i="1"/>
  <c r="AV114" i="1" s="1"/>
  <c r="AM113" i="1"/>
  <c r="AP113" i="1" s="1"/>
  <c r="AQ113" i="1" s="1"/>
  <c r="AS113" i="1"/>
  <c r="AT113" i="1" s="1"/>
  <c r="AR113" i="1"/>
  <c r="AV113" i="1" s="1"/>
  <c r="AM112" i="1"/>
  <c r="AP112" i="1" s="1"/>
  <c r="AQ112" i="1" s="1"/>
  <c r="AS112" i="1"/>
  <c r="AT112" i="1" s="1"/>
  <c r="AR112" i="1"/>
  <c r="AV112" i="1" s="1"/>
  <c r="AM111" i="1"/>
  <c r="AP111" i="1" s="1"/>
  <c r="AQ111" i="1" s="1"/>
  <c r="AS111" i="1"/>
  <c r="AT111" i="1" s="1"/>
  <c r="AR111" i="1"/>
  <c r="AV111" i="1" s="1"/>
  <c r="AU110" i="1"/>
  <c r="AL110" i="1"/>
  <c r="AI110" i="1"/>
  <c r="AS110" i="1"/>
  <c r="AT110" i="1" s="1"/>
  <c r="AR110" i="1"/>
  <c r="AU109" i="1"/>
  <c r="AL109" i="1"/>
  <c r="AI109" i="1"/>
  <c r="AS109" i="1"/>
  <c r="AT109" i="1" s="1"/>
  <c r="AR109" i="1"/>
  <c r="AU108" i="1"/>
  <c r="AL108" i="1"/>
  <c r="AI108" i="1"/>
  <c r="AS108" i="1"/>
  <c r="AT108" i="1" s="1"/>
  <c r="AR108" i="1"/>
  <c r="AM107" i="1"/>
  <c r="AS107" i="1"/>
  <c r="AT107" i="1" s="1"/>
  <c r="AR107" i="1"/>
  <c r="AV107" i="1" s="1"/>
  <c r="AP107" i="1"/>
  <c r="AQ107" i="1" s="1"/>
  <c r="AU106" i="1"/>
  <c r="AL106" i="1"/>
  <c r="AI106" i="1"/>
  <c r="AS106" i="1"/>
  <c r="AT106" i="1" s="1"/>
  <c r="AR106" i="1"/>
  <c r="AU104" i="1"/>
  <c r="AL104" i="1"/>
  <c r="AI104" i="1"/>
  <c r="AS104" i="1"/>
  <c r="AT104" i="1" s="1"/>
  <c r="AR104" i="1"/>
  <c r="AM103" i="1"/>
  <c r="AS103" i="1"/>
  <c r="AT103" i="1" s="1"/>
  <c r="AR103" i="1"/>
  <c r="AV103" i="1" s="1"/>
  <c r="AP103" i="1"/>
  <c r="AQ103" i="1" s="1"/>
  <c r="AU101" i="1"/>
  <c r="AL101" i="1"/>
  <c r="AI101" i="1"/>
  <c r="AS101" i="1"/>
  <c r="AT101" i="1" s="1"/>
  <c r="AR101" i="1"/>
  <c r="AU100" i="1"/>
  <c r="AL100" i="1"/>
  <c r="AI100" i="1"/>
  <c r="AS100" i="1"/>
  <c r="AT100" i="1" s="1"/>
  <c r="AR100" i="1"/>
  <c r="AU99" i="1"/>
  <c r="AL99" i="1"/>
  <c r="AI99" i="1"/>
  <c r="AS99" i="1"/>
  <c r="AT99" i="1" s="1"/>
  <c r="AR99" i="1"/>
  <c r="AU98" i="1"/>
  <c r="AL98" i="1"/>
  <c r="AI98" i="1"/>
  <c r="AS98" i="1"/>
  <c r="AT98" i="1" s="1"/>
  <c r="AR98" i="1"/>
  <c r="AU96" i="1"/>
  <c r="AL96" i="1"/>
  <c r="AI96" i="1"/>
  <c r="AS96" i="1"/>
  <c r="AT96" i="1" s="1"/>
  <c r="AR96" i="1"/>
  <c r="AU95" i="1"/>
  <c r="AL95" i="1"/>
  <c r="AI95" i="1"/>
  <c r="AS95" i="1"/>
  <c r="AT95" i="1" s="1"/>
  <c r="AR95" i="1"/>
  <c r="AU94" i="1"/>
  <c r="AL94" i="1"/>
  <c r="AI94" i="1"/>
  <c r="AS94" i="1"/>
  <c r="AT94" i="1" s="1"/>
  <c r="AR94" i="1"/>
  <c r="AU92" i="1"/>
  <c r="AL92" i="1"/>
  <c r="AI92" i="1"/>
  <c r="AS92" i="1"/>
  <c r="AT92" i="1" s="1"/>
  <c r="AR92" i="1"/>
  <c r="AU91" i="1"/>
  <c r="AL91" i="1"/>
  <c r="AI91" i="1"/>
  <c r="AS91" i="1"/>
  <c r="AT91" i="1" s="1"/>
  <c r="AR91" i="1"/>
  <c r="AU90" i="1"/>
  <c r="AL90" i="1"/>
  <c r="AI90" i="1"/>
  <c r="AS90" i="1"/>
  <c r="AT90" i="1" s="1"/>
  <c r="AR90" i="1"/>
  <c r="AU88" i="1"/>
  <c r="AL88" i="1"/>
  <c r="AI88" i="1"/>
  <c r="AS88" i="1"/>
  <c r="AT88" i="1" s="1"/>
  <c r="AR88" i="1"/>
  <c r="AU87" i="1"/>
  <c r="AL87" i="1"/>
  <c r="AI87" i="1"/>
  <c r="AS87" i="1"/>
  <c r="AT87" i="1" s="1"/>
  <c r="AR87" i="1"/>
  <c r="AU86" i="1"/>
  <c r="AL86" i="1"/>
  <c r="AI86" i="1"/>
  <c r="AS86" i="1"/>
  <c r="AT86" i="1" s="1"/>
  <c r="AR86" i="1"/>
  <c r="AU85" i="1"/>
  <c r="AL85" i="1"/>
  <c r="AI85" i="1"/>
  <c r="AS85" i="1"/>
  <c r="AT85" i="1" s="1"/>
  <c r="AR85" i="1"/>
  <c r="AU84" i="1"/>
  <c r="AL84" i="1"/>
  <c r="AI84" i="1"/>
  <c r="AS84" i="1"/>
  <c r="AT84" i="1" s="1"/>
  <c r="AR84" i="1"/>
  <c r="AU83" i="1"/>
  <c r="AL83" i="1"/>
  <c r="AI83" i="1"/>
  <c r="AS83" i="1"/>
  <c r="AT83" i="1" s="1"/>
  <c r="AR83" i="1"/>
  <c r="AU82" i="1"/>
  <c r="AL82" i="1"/>
  <c r="AI82" i="1"/>
  <c r="AS82" i="1"/>
  <c r="AT82" i="1" s="1"/>
  <c r="AR82" i="1"/>
  <c r="AU81" i="1"/>
  <c r="AL81" i="1"/>
  <c r="AI81" i="1"/>
  <c r="AS81" i="1"/>
  <c r="AT81" i="1" s="1"/>
  <c r="AR81" i="1"/>
  <c r="AU80" i="1"/>
  <c r="AL80" i="1"/>
  <c r="AI80" i="1"/>
  <c r="AS80" i="1"/>
  <c r="AT80" i="1" s="1"/>
  <c r="AR80" i="1"/>
  <c r="AU79" i="1"/>
  <c r="AL79" i="1"/>
  <c r="AI79" i="1"/>
  <c r="AS79" i="1"/>
  <c r="AT79" i="1" s="1"/>
  <c r="AR79" i="1"/>
  <c r="AU78" i="1"/>
  <c r="AL78" i="1"/>
  <c r="AI78" i="1"/>
  <c r="AS78" i="1"/>
  <c r="AT78" i="1" s="1"/>
  <c r="AR78" i="1"/>
  <c r="AU76" i="1"/>
  <c r="AL76" i="1"/>
  <c r="AI76" i="1"/>
  <c r="AS76" i="1"/>
  <c r="AT76" i="1" s="1"/>
  <c r="AR76" i="1"/>
  <c r="AU75" i="1"/>
  <c r="AL75" i="1"/>
  <c r="AI75" i="1"/>
  <c r="AS75" i="1"/>
  <c r="AT75" i="1" s="1"/>
  <c r="AR75" i="1"/>
  <c r="AU74" i="1"/>
  <c r="AL74" i="1"/>
  <c r="AI74" i="1"/>
  <c r="AS74" i="1"/>
  <c r="AT74" i="1" s="1"/>
  <c r="AR74" i="1"/>
  <c r="AU73" i="1"/>
  <c r="AL73" i="1"/>
  <c r="AI73" i="1"/>
  <c r="AS73" i="1"/>
  <c r="AT73" i="1" s="1"/>
  <c r="AR73" i="1"/>
  <c r="AU72" i="1"/>
  <c r="AL72" i="1"/>
  <c r="AI72" i="1"/>
  <c r="AS72" i="1"/>
  <c r="AT72" i="1" s="1"/>
  <c r="AR72" i="1"/>
  <c r="AU71" i="1"/>
  <c r="AL71" i="1"/>
  <c r="AI71" i="1"/>
  <c r="AS71" i="1"/>
  <c r="AT71" i="1" s="1"/>
  <c r="AR71" i="1"/>
  <c r="AU70" i="1"/>
  <c r="AL70" i="1"/>
  <c r="AI70" i="1"/>
  <c r="AS70" i="1"/>
  <c r="AT70" i="1" s="1"/>
  <c r="AR70" i="1"/>
  <c r="AU69" i="1"/>
  <c r="AL69" i="1"/>
  <c r="AI69" i="1"/>
  <c r="AS69" i="1"/>
  <c r="AT69" i="1" s="1"/>
  <c r="AR69" i="1"/>
  <c r="AU68" i="1"/>
  <c r="AL68" i="1"/>
  <c r="AI68" i="1"/>
  <c r="AS68" i="1"/>
  <c r="AT68" i="1" s="1"/>
  <c r="AR68" i="1"/>
  <c r="AU67" i="1"/>
  <c r="AL67" i="1"/>
  <c r="AI67" i="1"/>
  <c r="AS67" i="1"/>
  <c r="AT67" i="1" s="1"/>
  <c r="AR67" i="1"/>
  <c r="AU64" i="1"/>
  <c r="AL64" i="1"/>
  <c r="AI64" i="1"/>
  <c r="AS64" i="1"/>
  <c r="AT64" i="1" s="1"/>
  <c r="AR64" i="1"/>
  <c r="AU62" i="1"/>
  <c r="AL62" i="1"/>
  <c r="AI62" i="1"/>
  <c r="AS62" i="1"/>
  <c r="AT62" i="1" s="1"/>
  <c r="AR62" i="1"/>
  <c r="AM61" i="1"/>
  <c r="AP61" i="1" s="1"/>
  <c r="AQ61" i="1" s="1"/>
  <c r="AS61" i="1"/>
  <c r="AT61" i="1" s="1"/>
  <c r="AR61" i="1"/>
  <c r="AM60" i="1"/>
  <c r="AS60" i="1"/>
  <c r="AT60" i="1" s="1"/>
  <c r="AR60" i="1"/>
  <c r="AP60" i="1"/>
  <c r="AQ60" i="1" s="1"/>
  <c r="AU59" i="1"/>
  <c r="AL59" i="1"/>
  <c r="AI59" i="1"/>
  <c r="AS59" i="1"/>
  <c r="AT59" i="1" s="1"/>
  <c r="AR59" i="1"/>
  <c r="AU58" i="1"/>
  <c r="AL58" i="1"/>
  <c r="AI58" i="1"/>
  <c r="AS58" i="1"/>
  <c r="AT58" i="1" s="1"/>
  <c r="AR58" i="1"/>
  <c r="AU57" i="1"/>
  <c r="AL57" i="1"/>
  <c r="AI57" i="1"/>
  <c r="AS57" i="1"/>
  <c r="AT57" i="1" s="1"/>
  <c r="AR57" i="1"/>
  <c r="AM56" i="1"/>
  <c r="AP56" i="1" s="1"/>
  <c r="AQ56" i="1"/>
  <c r="AV56" i="1"/>
  <c r="AU55" i="1"/>
  <c r="AL55" i="1"/>
  <c r="AI55" i="1"/>
  <c r="AS55" i="1"/>
  <c r="AT55" i="1" s="1"/>
  <c r="AR55" i="1"/>
  <c r="AM54" i="1"/>
  <c r="AP54" i="1" s="1"/>
  <c r="AQ54" i="1" s="1"/>
  <c r="AS54" i="1"/>
  <c r="AT54" i="1" s="1"/>
  <c r="AR54" i="1"/>
  <c r="AU53" i="1"/>
  <c r="AL53" i="1"/>
  <c r="AI53" i="1"/>
  <c r="AS53" i="1"/>
  <c r="AT53" i="1" s="1"/>
  <c r="AR53" i="1"/>
  <c r="AU52" i="1"/>
  <c r="AL52" i="1"/>
  <c r="AI52" i="1"/>
  <c r="AS52" i="1"/>
  <c r="AT52" i="1" s="1"/>
  <c r="AR52" i="1"/>
  <c r="AU48" i="1"/>
  <c r="AL48" i="1"/>
  <c r="AI48" i="1"/>
  <c r="AS48" i="1"/>
  <c r="AT48" i="1" s="1"/>
  <c r="AR48" i="1"/>
  <c r="AU47" i="1"/>
  <c r="AL47" i="1"/>
  <c r="AI47" i="1"/>
  <c r="AS47" i="1"/>
  <c r="AT47" i="1" s="1"/>
  <c r="AR47" i="1"/>
  <c r="AU46" i="1"/>
  <c r="AL46" i="1"/>
  <c r="AI46" i="1"/>
  <c r="AS46" i="1"/>
  <c r="AT46" i="1" s="1"/>
  <c r="AR46" i="1"/>
  <c r="AU45" i="1"/>
  <c r="AL45" i="1"/>
  <c r="AI45" i="1"/>
  <c r="AS45" i="1"/>
  <c r="AT45" i="1" s="1"/>
  <c r="AR45" i="1"/>
  <c r="AU44" i="1"/>
  <c r="AL44" i="1"/>
  <c r="AI44" i="1"/>
  <c r="AS44" i="1"/>
  <c r="AT44" i="1" s="1"/>
  <c r="AR44" i="1"/>
  <c r="AU43" i="1"/>
  <c r="AL43" i="1"/>
  <c r="AI43" i="1"/>
  <c r="AS43" i="1"/>
  <c r="AT43" i="1" s="1"/>
  <c r="AR43" i="1"/>
  <c r="AU42" i="1"/>
  <c r="AL42" i="1"/>
  <c r="AI42" i="1"/>
  <c r="AS42" i="1"/>
  <c r="AT42" i="1" s="1"/>
  <c r="AR42" i="1"/>
  <c r="AU41" i="1"/>
  <c r="AL41" i="1"/>
  <c r="AI41" i="1"/>
  <c r="AS41" i="1"/>
  <c r="AT41" i="1" s="1"/>
  <c r="AR41" i="1"/>
  <c r="AU40" i="1"/>
  <c r="AL40" i="1"/>
  <c r="AI40" i="1"/>
  <c r="AS40" i="1"/>
  <c r="AT40" i="1" s="1"/>
  <c r="AR40" i="1"/>
  <c r="AU39" i="1"/>
  <c r="AL39" i="1"/>
  <c r="AI39" i="1"/>
  <c r="AS39" i="1"/>
  <c r="AT39" i="1" s="1"/>
  <c r="AR39" i="1"/>
  <c r="AU38" i="1"/>
  <c r="AL38" i="1"/>
  <c r="AI38" i="1"/>
  <c r="AS38" i="1"/>
  <c r="AT38" i="1" s="1"/>
  <c r="AR38" i="1"/>
  <c r="AU37" i="1"/>
  <c r="AL37" i="1"/>
  <c r="AI37" i="1"/>
  <c r="AS37" i="1"/>
  <c r="AT37" i="1" s="1"/>
  <c r="AR37" i="1"/>
  <c r="AU36" i="1"/>
  <c r="AL36" i="1"/>
  <c r="AI36" i="1"/>
  <c r="AS36" i="1"/>
  <c r="AT36" i="1" s="1"/>
  <c r="AR36" i="1"/>
  <c r="AU35" i="1"/>
  <c r="AL35" i="1"/>
  <c r="AI35" i="1"/>
  <c r="AS35" i="1"/>
  <c r="AT35" i="1" s="1"/>
  <c r="AR35" i="1"/>
  <c r="AL19" i="1"/>
  <c r="AU19" i="1"/>
  <c r="AI19" i="1"/>
  <c r="AS19" i="1"/>
  <c r="AT19" i="1" s="1"/>
  <c r="AR19" i="1"/>
  <c r="BA116" i="1"/>
  <c r="BB116" i="1" s="1"/>
  <c r="AU116" i="1"/>
  <c r="AL116" i="1"/>
  <c r="AJ116" i="1"/>
  <c r="AF116" i="1"/>
  <c r="AI116" i="1" s="1"/>
  <c r="AJ102" i="1"/>
  <c r="AF102" i="1"/>
  <c r="AI102" i="1" s="1"/>
  <c r="AJ63" i="1"/>
  <c r="AF63" i="1"/>
  <c r="AI63" i="1" s="1"/>
  <c r="BA51" i="1"/>
  <c r="BB51" i="1" s="1"/>
  <c r="AU51" i="1"/>
  <c r="AL51" i="1"/>
  <c r="AJ51" i="1"/>
  <c r="AF51" i="1"/>
  <c r="AI51" i="1" s="1"/>
  <c r="BA50" i="1"/>
  <c r="BB50" i="1" s="1"/>
  <c r="AU50" i="1"/>
  <c r="AL50" i="1"/>
  <c r="AJ50" i="1"/>
  <c r="AF50" i="1"/>
  <c r="AI50" i="1" s="1"/>
  <c r="AJ49" i="1"/>
  <c r="AF49" i="1"/>
  <c r="AI49" i="1" s="1"/>
  <c r="BA29" i="1"/>
  <c r="BB29" i="1" s="1"/>
  <c r="AU29" i="1"/>
  <c r="AL29" i="1"/>
  <c r="AF29" i="1"/>
  <c r="AJ29" i="1"/>
  <c r="AF27" i="1"/>
  <c r="AI27" i="1" s="1"/>
  <c r="AJ27" i="1"/>
  <c r="AF13" i="1"/>
  <c r="AI13" i="1" s="1"/>
  <c r="AJ13" i="1"/>
  <c r="AJ11" i="1"/>
  <c r="AF11" i="1"/>
  <c r="AI11" i="1" s="1"/>
  <c r="BA10" i="1"/>
  <c r="BB10" i="1" s="1"/>
  <c r="AU10" i="1"/>
  <c r="AL10" i="1"/>
  <c r="AM10" i="1"/>
  <c r="AV10" i="1"/>
  <c r="AF9" i="1"/>
  <c r="AI9" i="1" s="1"/>
  <c r="AJ9" i="1"/>
  <c r="AJ8" i="1"/>
  <c r="AF8" i="1"/>
  <c r="AI8" i="1" s="1"/>
  <c r="AM7" i="1"/>
  <c r="AP7" i="1" s="1"/>
  <c r="AQ7" i="1"/>
  <c r="AV7" i="1"/>
  <c r="BA6" i="1"/>
  <c r="BB6" i="1" s="1"/>
  <c r="AU6" i="1"/>
  <c r="AL6" i="1"/>
  <c r="AF6" i="1"/>
  <c r="AI6" i="1" s="1"/>
  <c r="AJ6" i="1"/>
  <c r="BA5" i="1"/>
  <c r="BB5" i="1" s="1"/>
  <c r="AU5" i="1"/>
  <c r="AL5" i="1"/>
  <c r="AJ5" i="1"/>
  <c r="AF5" i="1"/>
  <c r="AI5" i="1" s="1"/>
  <c r="AJ4" i="1"/>
  <c r="AE124" i="1"/>
  <c r="AX124" i="1"/>
  <c r="AY4" i="1"/>
  <c r="AM17" i="1"/>
  <c r="AP17" i="1" s="1"/>
  <c r="AQ17" i="1" s="1"/>
  <c r="AV17" i="1"/>
  <c r="AM15" i="1"/>
  <c r="AP15" i="1" s="1"/>
  <c r="AQ15" i="1" s="1"/>
  <c r="AV15" i="1"/>
  <c r="AM14" i="1"/>
  <c r="AM12" i="1"/>
  <c r="AP12" i="1" s="1"/>
  <c r="AQ12" i="1" s="1"/>
  <c r="AV12" i="1"/>
  <c r="AM25" i="1"/>
  <c r="AP25" i="1" s="1"/>
  <c r="AQ25" i="1" s="1"/>
  <c r="AV25" i="1"/>
  <c r="AU97" i="1"/>
  <c r="AL97" i="1"/>
  <c r="AI97" i="1"/>
  <c r="AS97" i="1"/>
  <c r="AT97" i="1" s="1"/>
  <c r="AR97" i="1"/>
  <c r="AI4" i="1"/>
  <c r="AM28" i="1"/>
  <c r="AL28" i="1"/>
  <c r="AP28" i="1" s="1"/>
  <c r="AQ28" i="1" s="1"/>
  <c r="AU28" i="1"/>
  <c r="AV28" i="1" s="1"/>
  <c r="BA28" i="1"/>
  <c r="BB28" i="1"/>
  <c r="AT20" i="1"/>
  <c r="AV20" i="1" s="1"/>
  <c r="AY102" i="1"/>
  <c r="AZ63" i="1"/>
  <c r="BB63" i="1"/>
  <c r="AY49" i="1"/>
  <c r="AY27" i="1"/>
  <c r="AZ27" i="1" s="1"/>
  <c r="BB27" i="1" s="1"/>
  <c r="AY13" i="1"/>
  <c r="AY11" i="1"/>
  <c r="AZ11" i="1" s="1"/>
  <c r="BB11" i="1"/>
  <c r="AZ9" i="1"/>
  <c r="BB9" i="1"/>
  <c r="AY8" i="1"/>
  <c r="AY7" i="1"/>
  <c r="AZ7" i="1" s="1"/>
  <c r="BB7" i="1" s="1"/>
  <c r="AV117" i="1" l="1"/>
  <c r="AV61" i="1"/>
  <c r="AV60" i="1"/>
  <c r="AV122" i="1"/>
  <c r="AV121" i="1"/>
  <c r="AP14" i="1"/>
  <c r="AQ14" i="1" s="1"/>
  <c r="AV54" i="1"/>
  <c r="AV120" i="1"/>
  <c r="AV119" i="1"/>
  <c r="AI29" i="1"/>
  <c r="AF124" i="1"/>
  <c r="AZ102" i="1"/>
  <c r="BB102" i="1"/>
  <c r="AZ49" i="1"/>
  <c r="BB49" i="1"/>
  <c r="AZ13" i="1"/>
  <c r="BB13" i="1"/>
  <c r="AZ8" i="1"/>
  <c r="BB8" i="1"/>
  <c r="AV118" i="1"/>
  <c r="AM118" i="1"/>
  <c r="AP118" i="1" s="1"/>
  <c r="AQ118" i="1" s="1"/>
  <c r="AV115" i="1"/>
  <c r="AM115" i="1"/>
  <c r="AP115" i="1" s="1"/>
  <c r="AQ115" i="1" s="1"/>
  <c r="AV110" i="1"/>
  <c r="AM110" i="1"/>
  <c r="AP110" i="1" s="1"/>
  <c r="AQ110" i="1" s="1"/>
  <c r="AV109" i="1"/>
  <c r="AM109" i="1"/>
  <c r="AP109" i="1" s="1"/>
  <c r="AQ109" i="1" s="1"/>
  <c r="AV108" i="1"/>
  <c r="AM108" i="1"/>
  <c r="AP108" i="1" s="1"/>
  <c r="AQ108" i="1" s="1"/>
  <c r="AV106" i="1"/>
  <c r="AM106" i="1"/>
  <c r="AP106" i="1" s="1"/>
  <c r="AQ106" i="1" s="1"/>
  <c r="AV104" i="1"/>
  <c r="AM104" i="1"/>
  <c r="AP104" i="1" s="1"/>
  <c r="AQ104" i="1" s="1"/>
  <c r="AV101" i="1"/>
  <c r="AM101" i="1"/>
  <c r="AP101" i="1" s="1"/>
  <c r="AQ101" i="1" s="1"/>
  <c r="AV100" i="1"/>
  <c r="AM100" i="1"/>
  <c r="AP100" i="1" s="1"/>
  <c r="AQ100" i="1" s="1"/>
  <c r="AV99" i="1"/>
  <c r="AM99" i="1"/>
  <c r="AP99" i="1" s="1"/>
  <c r="AQ99" i="1" s="1"/>
  <c r="AV98" i="1"/>
  <c r="AM98" i="1"/>
  <c r="AP98" i="1" s="1"/>
  <c r="AQ98" i="1" s="1"/>
  <c r="AV96" i="1"/>
  <c r="AM96" i="1"/>
  <c r="AP96" i="1" s="1"/>
  <c r="AQ96" i="1" s="1"/>
  <c r="AV95" i="1"/>
  <c r="AM95" i="1"/>
  <c r="AP95" i="1" s="1"/>
  <c r="AQ95" i="1" s="1"/>
  <c r="AV94" i="1"/>
  <c r="AM94" i="1"/>
  <c r="AP94" i="1" s="1"/>
  <c r="AQ94" i="1" s="1"/>
  <c r="AV92" i="1"/>
  <c r="AM92" i="1"/>
  <c r="AP92" i="1" s="1"/>
  <c r="AQ92" i="1" s="1"/>
  <c r="AV91" i="1"/>
  <c r="AM91" i="1"/>
  <c r="AP91" i="1" s="1"/>
  <c r="AQ91" i="1" s="1"/>
  <c r="AV90" i="1"/>
  <c r="AM90" i="1"/>
  <c r="AP90" i="1" s="1"/>
  <c r="AQ90" i="1" s="1"/>
  <c r="AV88" i="1"/>
  <c r="AM88" i="1"/>
  <c r="AP88" i="1" s="1"/>
  <c r="AQ88" i="1" s="1"/>
  <c r="AV87" i="1"/>
  <c r="AM87" i="1"/>
  <c r="AP87" i="1" s="1"/>
  <c r="AQ87" i="1" s="1"/>
  <c r="AV86" i="1"/>
  <c r="AM86" i="1"/>
  <c r="AP86" i="1" s="1"/>
  <c r="AQ86" i="1" s="1"/>
  <c r="AV85" i="1"/>
  <c r="AM85" i="1"/>
  <c r="AP85" i="1" s="1"/>
  <c r="AQ85" i="1" s="1"/>
  <c r="AV84" i="1"/>
  <c r="AM84" i="1"/>
  <c r="AP84" i="1" s="1"/>
  <c r="AQ84" i="1" s="1"/>
  <c r="AV83" i="1"/>
  <c r="AM83" i="1"/>
  <c r="AP83" i="1" s="1"/>
  <c r="AQ83" i="1" s="1"/>
  <c r="AV82" i="1"/>
  <c r="AM82" i="1"/>
  <c r="AP82" i="1" s="1"/>
  <c r="AQ82" i="1" s="1"/>
  <c r="AV81" i="1"/>
  <c r="AM81" i="1"/>
  <c r="AP81" i="1" s="1"/>
  <c r="AQ81" i="1" s="1"/>
  <c r="AV80" i="1"/>
  <c r="AM80" i="1"/>
  <c r="AP80" i="1" s="1"/>
  <c r="AQ80" i="1" s="1"/>
  <c r="AV79" i="1"/>
  <c r="AM79" i="1"/>
  <c r="AP79" i="1" s="1"/>
  <c r="AQ79" i="1" s="1"/>
  <c r="AV78" i="1"/>
  <c r="AM78" i="1"/>
  <c r="AP78" i="1" s="1"/>
  <c r="AQ78" i="1" s="1"/>
  <c r="AV76" i="1"/>
  <c r="AM76" i="1"/>
  <c r="AP76" i="1" s="1"/>
  <c r="AQ76" i="1" s="1"/>
  <c r="AV75" i="1"/>
  <c r="AM75" i="1"/>
  <c r="AP75" i="1" s="1"/>
  <c r="AQ75" i="1" s="1"/>
  <c r="AV74" i="1"/>
  <c r="AM74" i="1"/>
  <c r="AP74" i="1" s="1"/>
  <c r="AQ74" i="1" s="1"/>
  <c r="AV73" i="1"/>
  <c r="AM73" i="1"/>
  <c r="AP73" i="1" s="1"/>
  <c r="AQ73" i="1" s="1"/>
  <c r="AV72" i="1"/>
  <c r="AM72" i="1"/>
  <c r="AP72" i="1" s="1"/>
  <c r="AQ72" i="1" s="1"/>
  <c r="AV71" i="1"/>
  <c r="AM71" i="1"/>
  <c r="AP71" i="1" s="1"/>
  <c r="AQ71" i="1" s="1"/>
  <c r="AV70" i="1"/>
  <c r="AM70" i="1"/>
  <c r="AP70" i="1" s="1"/>
  <c r="AQ70" i="1" s="1"/>
  <c r="AV69" i="1"/>
  <c r="AM69" i="1"/>
  <c r="AP69" i="1" s="1"/>
  <c r="AQ69" i="1" s="1"/>
  <c r="AV68" i="1"/>
  <c r="AM68" i="1"/>
  <c r="AP68" i="1" s="1"/>
  <c r="AQ68" i="1" s="1"/>
  <c r="AV67" i="1"/>
  <c r="AM67" i="1"/>
  <c r="AP67" i="1" s="1"/>
  <c r="AQ67" i="1" s="1"/>
  <c r="AV64" i="1"/>
  <c r="AM64" i="1"/>
  <c r="AP64" i="1" s="1"/>
  <c r="AQ64" i="1" s="1"/>
  <c r="AV62" i="1"/>
  <c r="AM62" i="1"/>
  <c r="AP62" i="1" s="1"/>
  <c r="AQ62" i="1" s="1"/>
  <c r="AV59" i="1"/>
  <c r="AM59" i="1"/>
  <c r="AP59" i="1" s="1"/>
  <c r="AQ59" i="1" s="1"/>
  <c r="AV58" i="1"/>
  <c r="AM58" i="1"/>
  <c r="AP58" i="1" s="1"/>
  <c r="AQ58" i="1" s="1"/>
  <c r="AV57" i="1"/>
  <c r="AM57" i="1"/>
  <c r="AP57" i="1" s="1"/>
  <c r="AQ57" i="1" s="1"/>
  <c r="AV55" i="1"/>
  <c r="AM55" i="1"/>
  <c r="AP55" i="1" s="1"/>
  <c r="AQ55" i="1" s="1"/>
  <c r="AV53" i="1"/>
  <c r="AM53" i="1"/>
  <c r="AP53" i="1" s="1"/>
  <c r="AQ53" i="1" s="1"/>
  <c r="AV52" i="1"/>
  <c r="AM52" i="1"/>
  <c r="AP52" i="1" s="1"/>
  <c r="AQ52" i="1" s="1"/>
  <c r="AV48" i="1"/>
  <c r="AM48" i="1"/>
  <c r="AP48" i="1" s="1"/>
  <c r="AQ48" i="1" s="1"/>
  <c r="AV47" i="1"/>
  <c r="AM47" i="1"/>
  <c r="AP47" i="1" s="1"/>
  <c r="AQ47" i="1" s="1"/>
  <c r="AV46" i="1"/>
  <c r="AM46" i="1"/>
  <c r="AP46" i="1" s="1"/>
  <c r="AQ46" i="1" s="1"/>
  <c r="AV45" i="1"/>
  <c r="AM45" i="1"/>
  <c r="AP45" i="1" s="1"/>
  <c r="AQ45" i="1" s="1"/>
  <c r="AV44" i="1"/>
  <c r="AM44" i="1"/>
  <c r="AP44" i="1" s="1"/>
  <c r="AQ44" i="1" s="1"/>
  <c r="AV43" i="1"/>
  <c r="AM43" i="1"/>
  <c r="AP43" i="1" s="1"/>
  <c r="AQ43" i="1" s="1"/>
  <c r="AV42" i="1"/>
  <c r="AM42" i="1"/>
  <c r="AP42" i="1" s="1"/>
  <c r="AQ42" i="1" s="1"/>
  <c r="AV41" i="1"/>
  <c r="AM41" i="1"/>
  <c r="AP41" i="1" s="1"/>
  <c r="AQ41" i="1" s="1"/>
  <c r="AV40" i="1"/>
  <c r="AM40" i="1"/>
  <c r="AP40" i="1" s="1"/>
  <c r="AQ40" i="1" s="1"/>
  <c r="AV39" i="1"/>
  <c r="AM39" i="1"/>
  <c r="AP39" i="1" s="1"/>
  <c r="AQ39" i="1" s="1"/>
  <c r="AV38" i="1"/>
  <c r="AM38" i="1"/>
  <c r="AP38" i="1" s="1"/>
  <c r="AQ38" i="1" s="1"/>
  <c r="AV37" i="1"/>
  <c r="AM37" i="1"/>
  <c r="AP37" i="1" s="1"/>
  <c r="AQ37" i="1" s="1"/>
  <c r="AV36" i="1"/>
  <c r="AM36" i="1"/>
  <c r="AP36" i="1" s="1"/>
  <c r="AQ36" i="1" s="1"/>
  <c r="AV35" i="1"/>
  <c r="AM35" i="1"/>
  <c r="AP35" i="1" s="1"/>
  <c r="AQ35" i="1" s="1"/>
  <c r="AV19" i="1"/>
  <c r="AM19" i="1"/>
  <c r="AP19" i="1" s="1"/>
  <c r="AQ19" i="1" s="1"/>
  <c r="AS116" i="1"/>
  <c r="AT116" i="1" s="1"/>
  <c r="AR116" i="1"/>
  <c r="AV116" i="1"/>
  <c r="AM116" i="1"/>
  <c r="AP116" i="1" s="1"/>
  <c r="AQ116" i="1" s="1"/>
  <c r="AS102" i="1"/>
  <c r="AT102" i="1" s="1"/>
  <c r="AR102" i="1"/>
  <c r="AV102" i="1"/>
  <c r="AM102" i="1"/>
  <c r="AP102" i="1" s="1"/>
  <c r="AQ102" i="1" s="1"/>
  <c r="AS63" i="1"/>
  <c r="AT63" i="1" s="1"/>
  <c r="AR63" i="1"/>
  <c r="AV63" i="1"/>
  <c r="AM63" i="1"/>
  <c r="AP63" i="1" s="1"/>
  <c r="AQ63" i="1" s="1"/>
  <c r="AS51" i="1"/>
  <c r="AT51" i="1" s="1"/>
  <c r="AR51" i="1"/>
  <c r="AV51" i="1"/>
  <c r="AM51" i="1"/>
  <c r="AP51" i="1" s="1"/>
  <c r="AQ51" i="1" s="1"/>
  <c r="AS50" i="1"/>
  <c r="AT50" i="1" s="1"/>
  <c r="AR50" i="1"/>
  <c r="AV50" i="1"/>
  <c r="AM50" i="1"/>
  <c r="AP50" i="1" s="1"/>
  <c r="AQ50" i="1" s="1"/>
  <c r="AS49" i="1"/>
  <c r="AT49" i="1" s="1"/>
  <c r="AR49" i="1"/>
  <c r="AV49" i="1"/>
  <c r="AM49" i="1"/>
  <c r="AP49" i="1" s="1"/>
  <c r="AQ49" i="1" s="1"/>
  <c r="AM29" i="1"/>
  <c r="AS29" i="1"/>
  <c r="AT29" i="1" s="1"/>
  <c r="AR29" i="1"/>
  <c r="AV29" i="1" s="1"/>
  <c r="AP29" i="1"/>
  <c r="AQ29" i="1" s="1"/>
  <c r="AM27" i="1"/>
  <c r="AS27" i="1"/>
  <c r="AT27" i="1" s="1"/>
  <c r="AR27" i="1"/>
  <c r="AV27" i="1" s="1"/>
  <c r="AP27" i="1"/>
  <c r="AQ27" i="1" s="1"/>
  <c r="AM13" i="1"/>
  <c r="AS13" i="1"/>
  <c r="AT13" i="1" s="1"/>
  <c r="AR13" i="1"/>
  <c r="AV13" i="1" s="1"/>
  <c r="AP13" i="1"/>
  <c r="AQ13" i="1" s="1"/>
  <c r="AS11" i="1"/>
  <c r="AT11" i="1" s="1"/>
  <c r="AR11" i="1"/>
  <c r="AV11" i="1"/>
  <c r="AM11" i="1"/>
  <c r="AP11" i="1" s="1"/>
  <c r="AQ11" i="1" s="1"/>
  <c r="AM9" i="1"/>
  <c r="AS9" i="1"/>
  <c r="AT9" i="1" s="1"/>
  <c r="AR9" i="1"/>
  <c r="AV9" i="1" s="1"/>
  <c r="AP9" i="1"/>
  <c r="AQ9" i="1" s="1"/>
  <c r="AS8" i="1"/>
  <c r="AT8" i="1" s="1"/>
  <c r="AR8" i="1"/>
  <c r="AV8" i="1"/>
  <c r="AM8" i="1"/>
  <c r="AP8" i="1" s="1"/>
  <c r="AQ8" i="1" s="1"/>
  <c r="AM6" i="1"/>
  <c r="AS6" i="1"/>
  <c r="AT6" i="1" s="1"/>
  <c r="AR6" i="1"/>
  <c r="AV6" i="1" s="1"/>
  <c r="AP6" i="1"/>
  <c r="AQ6" i="1" s="1"/>
  <c r="AS5" i="1"/>
  <c r="AT5" i="1" s="1"/>
  <c r="AR5" i="1"/>
  <c r="AV5" i="1"/>
  <c r="AM5" i="1"/>
  <c r="AP5" i="1" s="1"/>
  <c r="AQ5" i="1" s="1"/>
  <c r="AJ124" i="1"/>
  <c r="AS4" i="1"/>
  <c r="AR4" i="1"/>
  <c r="AZ4" i="1"/>
  <c r="AY124" i="1"/>
  <c r="AV97" i="1"/>
  <c r="AM97" i="1"/>
  <c r="AP97" i="1" s="1"/>
  <c r="AQ97" i="1" s="1"/>
  <c r="AM4" i="1"/>
  <c r="AP4" i="1" s="1"/>
  <c r="AI124" i="1"/>
  <c r="AP10" i="1"/>
  <c r="AQ10" i="1" s="1"/>
  <c r="BA124" i="1"/>
  <c r="AU124" i="1"/>
  <c r="AL124" i="1"/>
  <c r="AR124" i="1" l="1"/>
  <c r="AT4" i="1"/>
  <c r="AS124" i="1"/>
  <c r="AM124" i="1"/>
  <c r="AM126" i="1" s="1"/>
  <c r="AZ124" i="1"/>
  <c r="BB4" i="1"/>
  <c r="BB124" i="1" s="1"/>
  <c r="AQ4" i="1"/>
  <c r="AQ124" i="1" s="1"/>
  <c r="AP124" i="1"/>
  <c r="AV4" i="1" l="1"/>
  <c r="AV124" i="1" s="1"/>
  <c r="AT124" i="1"/>
</calcChain>
</file>

<file path=xl/sharedStrings.xml><?xml version="1.0" encoding="utf-8"?>
<sst xmlns="http://schemas.openxmlformats.org/spreadsheetml/2006/main" count="532" uniqueCount="305">
  <si>
    <t>UNIFOOD DELIGHTS PRIVATE LIMITED          Salary sheet for the Month of July-2026</t>
  </si>
  <si>
    <t>Monthly Earned CTC</t>
  </si>
  <si>
    <t>Monthly Fixed CTC</t>
  </si>
  <si>
    <t>SI NO.</t>
  </si>
  <si>
    <t>EMP ID</t>
  </si>
  <si>
    <t>DEPARTMENT</t>
  </si>
  <si>
    <t>NAME</t>
  </si>
  <si>
    <t>Designation</t>
  </si>
  <si>
    <t>FATHER'S NAME</t>
  </si>
  <si>
    <t>DOJ</t>
  </si>
  <si>
    <t>DOB</t>
  </si>
  <si>
    <t>Bank Name</t>
  </si>
  <si>
    <t>Bank Acc. No</t>
  </si>
  <si>
    <t>IFSC Code</t>
  </si>
  <si>
    <t>Aadhar No.</t>
  </si>
  <si>
    <t>PAN No.</t>
  </si>
  <si>
    <t>UAN No.</t>
  </si>
  <si>
    <t>PF No.</t>
  </si>
  <si>
    <t>ESI No.</t>
  </si>
  <si>
    <t>SALARY</t>
  </si>
  <si>
    <t>BASIC@50%</t>
  </si>
  <si>
    <t>HRA@50% OF BASIC</t>
  </si>
  <si>
    <t>CONV ALLOWANCE</t>
  </si>
  <si>
    <t>Spl Allowance</t>
  </si>
  <si>
    <t>GROSS SALARY</t>
  </si>
  <si>
    <t>Working Days</t>
  </si>
  <si>
    <t>Leave</t>
  </si>
  <si>
    <t>Holiday</t>
  </si>
  <si>
    <t>Total Paid Days</t>
  </si>
  <si>
    <t>Earned Basic</t>
  </si>
  <si>
    <t>Earned HRA</t>
  </si>
  <si>
    <t>Earned Conv All</t>
  </si>
  <si>
    <t>Earned Spl Allowance</t>
  </si>
  <si>
    <t>Earned Gross</t>
  </si>
  <si>
    <t>Overtime</t>
  </si>
  <si>
    <t>Incentive</t>
  </si>
  <si>
    <t>Grand Total</t>
  </si>
  <si>
    <t>Employee_PF</t>
  </si>
  <si>
    <t>VPF</t>
  </si>
  <si>
    <t>Employee_ESI</t>
  </si>
  <si>
    <t>P TAX</t>
  </si>
  <si>
    <t>ADV AMT</t>
  </si>
  <si>
    <t>LWF</t>
  </si>
  <si>
    <t>DEDUCTION</t>
  </si>
  <si>
    <t>Net Payable</t>
  </si>
  <si>
    <t>Employer_PF</t>
  </si>
  <si>
    <t>Admin Charges@.5</t>
  </si>
  <si>
    <t>EDLI Charges@.5</t>
  </si>
  <si>
    <t>Employer_ESI</t>
  </si>
  <si>
    <t>CTC</t>
  </si>
  <si>
    <t>TC 0012</t>
  </si>
  <si>
    <t>HO</t>
  </si>
  <si>
    <t>KRISHNA CH. DAS</t>
  </si>
  <si>
    <t>ACCOUNTANT</t>
  </si>
  <si>
    <t>TC 0013</t>
  </si>
  <si>
    <t>VIVEK GOSSAIN</t>
  </si>
  <si>
    <t>TC 0081</t>
  </si>
  <si>
    <t>ALOKE KUNDU</t>
  </si>
  <si>
    <t>TC 0085</t>
  </si>
  <si>
    <t>GOUTAM DHARA</t>
  </si>
  <si>
    <t>TC 0089</t>
  </si>
  <si>
    <t>RABINDRA NATH BASU</t>
  </si>
  <si>
    <t>MR</t>
  </si>
  <si>
    <t>TC 0090</t>
  </si>
  <si>
    <t>SOUMEN DAS</t>
  </si>
  <si>
    <t>TC 0082</t>
  </si>
  <si>
    <t>LOKENATH KUNDU</t>
  </si>
  <si>
    <t>TC 0186</t>
  </si>
  <si>
    <t>AMAL KRISHNA DEB</t>
  </si>
  <si>
    <t>TC 0214</t>
  </si>
  <si>
    <t>SYED JAWED AHMED</t>
  </si>
  <si>
    <t>PLANT MANAGER</t>
  </si>
  <si>
    <t>TC 0289</t>
  </si>
  <si>
    <t>SIBASISH DHAR</t>
  </si>
  <si>
    <t>TC 0232</t>
  </si>
  <si>
    <t>MOHENDRA DAN</t>
  </si>
  <si>
    <t>ACCOUNTS HEAD</t>
  </si>
  <si>
    <t>TC 0124</t>
  </si>
  <si>
    <t>PRADIP DAS</t>
  </si>
  <si>
    <t>ENGINEER</t>
  </si>
  <si>
    <t>TC 0366</t>
  </si>
  <si>
    <t>DEBANGSU KUMAR DAS</t>
  </si>
  <si>
    <t>TC 0278</t>
  </si>
  <si>
    <t>ANUJ KUMAR</t>
  </si>
  <si>
    <t>OFFICE STAFF</t>
  </si>
  <si>
    <t>TC 0384</t>
  </si>
  <si>
    <t>RAJU DAS</t>
  </si>
  <si>
    <t>DRIVER</t>
  </si>
  <si>
    <t>TC 0146</t>
  </si>
  <si>
    <t>RAGHAB CHANDRA DAS</t>
  </si>
  <si>
    <t>TC 0147</t>
  </si>
  <si>
    <t>SANKAR  YADAV</t>
  </si>
  <si>
    <t>OTHERS</t>
  </si>
  <si>
    <t>TC 0148</t>
  </si>
  <si>
    <t>RAJESH VARMA</t>
  </si>
  <si>
    <t>TC 0149</t>
  </si>
  <si>
    <t>YOGENDRA YADAV</t>
  </si>
  <si>
    <t>TC 0399</t>
  </si>
  <si>
    <t>ANUSHMITA MONDAL</t>
  </si>
  <si>
    <t>TC 0400</t>
  </si>
  <si>
    <t>SASWATI KAR</t>
  </si>
  <si>
    <t>TC 0404</t>
  </si>
  <si>
    <t>PRALAY SAHA</t>
  </si>
  <si>
    <t>TC 0200</t>
  </si>
  <si>
    <t>JC</t>
  </si>
  <si>
    <t>BISWAJIT GUCHHAIT(TM)</t>
  </si>
  <si>
    <t>TC 0092</t>
  </si>
  <si>
    <t>DEBASIS DAS</t>
  </si>
  <si>
    <t>TC 0290</t>
  </si>
  <si>
    <t>SUSANTA ROY (LAB)</t>
  </si>
  <si>
    <t>TC 0004</t>
  </si>
  <si>
    <t>KUNDAN KUMAR</t>
  </si>
  <si>
    <t>TC 0181</t>
  </si>
  <si>
    <t>SANTOSH KUMAR MAHALI</t>
  </si>
  <si>
    <t>TC 0194</t>
  </si>
  <si>
    <t>KOUSHIK JANA</t>
  </si>
  <si>
    <t>TC 0317</t>
  </si>
  <si>
    <t>MILON SADHUKAN (STORE)</t>
  </si>
  <si>
    <t>TC 0389</t>
  </si>
  <si>
    <t>KOUSHIK POREL</t>
  </si>
  <si>
    <t>TC 0346</t>
  </si>
  <si>
    <t>AMIT MAITY(LAB)</t>
  </si>
  <si>
    <t>LAB</t>
  </si>
  <si>
    <t>TC 0314</t>
  </si>
  <si>
    <t>AMIYO KUMAR ROY (D)</t>
  </si>
  <si>
    <t>TC 0136</t>
  </si>
  <si>
    <t>ARUN KUMAR SINGH  (D)</t>
  </si>
  <si>
    <t>TC 0403</t>
  </si>
  <si>
    <t>DESHBANDHU MANDOL (D)</t>
  </si>
  <si>
    <t>TC 0218</t>
  </si>
  <si>
    <t>BIKASH SOREN (D)</t>
  </si>
  <si>
    <t>TC 0138</t>
  </si>
  <si>
    <t>GOUTAM PATRA (D)</t>
  </si>
  <si>
    <t>TC 0344</t>
  </si>
  <si>
    <t>LAXMIKANTA MAHALI(H)</t>
  </si>
  <si>
    <t>HELPER</t>
  </si>
  <si>
    <t>TC 0157</t>
  </si>
  <si>
    <t>PRADIP ROY (D)</t>
  </si>
  <si>
    <t>TC 0356</t>
  </si>
  <si>
    <t>RAGHUNATH MAHALI (H)</t>
  </si>
  <si>
    <t>TC 0238</t>
  </si>
  <si>
    <t>RAJDOT ROY(H)</t>
  </si>
  <si>
    <t>TC 0326</t>
  </si>
  <si>
    <t>SAJAL MONDAL (H)</t>
  </si>
  <si>
    <t>TC 0268</t>
  </si>
  <si>
    <t>SUMAN MAITY(LAB)</t>
  </si>
  <si>
    <t>TC 0360</t>
  </si>
  <si>
    <t>JAYDEB MONDAL (L)</t>
  </si>
  <si>
    <t>TC 0402</t>
  </si>
  <si>
    <t>GOUTAM BAURI (D)</t>
  </si>
  <si>
    <t>TC 0005</t>
  </si>
  <si>
    <t>RJ</t>
  </si>
  <si>
    <t>ABED ALI</t>
  </si>
  <si>
    <t>TC 0003</t>
  </si>
  <si>
    <t>ABHI MUKHERJEE</t>
  </si>
  <si>
    <t>TC 0001</t>
  </si>
  <si>
    <t>ACHIN GUPTA</t>
  </si>
  <si>
    <t>OFFICE HEAD</t>
  </si>
  <si>
    <t>TC 0006</t>
  </si>
  <si>
    <t>AMIN YADAV (BADRI)</t>
  </si>
  <si>
    <t>TC 0185</t>
  </si>
  <si>
    <t>ANOWAR MOLLA</t>
  </si>
  <si>
    <t>TC 0260</t>
  </si>
  <si>
    <t>DIBAKAR MONDAL</t>
  </si>
  <si>
    <t>TC 0122</t>
  </si>
  <si>
    <t xml:space="preserve">GOLAM SARWAR </t>
  </si>
  <si>
    <t>TC 0205</t>
  </si>
  <si>
    <t>IMAN ALI MOLLA</t>
  </si>
  <si>
    <t>TC 0024</t>
  </si>
  <si>
    <t>PULIN MONDAL</t>
  </si>
  <si>
    <t>TC 0040</t>
  </si>
  <si>
    <t>RAJU PAL</t>
  </si>
  <si>
    <t>TC 0032</t>
  </si>
  <si>
    <t>UJJAL MUKHERJEE</t>
  </si>
  <si>
    <t>TC 0271</t>
  </si>
  <si>
    <t>PROBIR GHOSH (O)</t>
  </si>
  <si>
    <t>TC 0367</t>
  </si>
  <si>
    <t>NABA KUMAR  BISWAS</t>
  </si>
  <si>
    <t>TC 0213</t>
  </si>
  <si>
    <t>ASIM KHUNTIA</t>
  </si>
  <si>
    <t>TC 0398</t>
  </si>
  <si>
    <t>MANABINDU BISWAS</t>
  </si>
  <si>
    <t>TC 0411</t>
  </si>
  <si>
    <t>SUVANKAR SAMADDAR</t>
  </si>
  <si>
    <t>TC 0179</t>
  </si>
  <si>
    <t xml:space="preserve">ANISUR </t>
  </si>
  <si>
    <t>TC 0047</t>
  </si>
  <si>
    <t>ARJUN KR. RAI</t>
  </si>
  <si>
    <t>TC 0074</t>
  </si>
  <si>
    <t xml:space="preserve">ARMAN ALI MONDAL </t>
  </si>
  <si>
    <t>TC 0187</t>
  </si>
  <si>
    <t>ASUTOSH SARDAR</t>
  </si>
  <si>
    <t>TC 0222</t>
  </si>
  <si>
    <t>BUDDHADEV SEAL</t>
  </si>
  <si>
    <t>TC 0361</t>
  </si>
  <si>
    <t xml:space="preserve">FARUK ALI </t>
  </si>
  <si>
    <t>TC 0219</t>
  </si>
  <si>
    <t>KUTUBUDDIN MOLLA</t>
  </si>
  <si>
    <t>HOPPER</t>
  </si>
  <si>
    <t>TC 0391</t>
  </si>
  <si>
    <t>MD. SAMIM AKRAM (JCB DEIVER)</t>
  </si>
  <si>
    <t>TC 0051</t>
  </si>
  <si>
    <t>MOTIAR RAHAMAN</t>
  </si>
  <si>
    <t>TC 0431</t>
  </si>
  <si>
    <t>MOKSHED ALI</t>
  </si>
  <si>
    <t>TC 0143</t>
  </si>
  <si>
    <t xml:space="preserve">SAMSER ALI </t>
  </si>
  <si>
    <t>TC 0412</t>
  </si>
  <si>
    <t>SHANTI  MONDAL</t>
  </si>
  <si>
    <t>TC 0072</t>
  </si>
  <si>
    <t xml:space="preserve">SIRAJUL  MOLLA  </t>
  </si>
  <si>
    <t>TC 0076</t>
  </si>
  <si>
    <t>SK. ANARUL ISLAM</t>
  </si>
  <si>
    <t>TC 0014</t>
  </si>
  <si>
    <t>SRISTI DHAR MONDAL</t>
  </si>
  <si>
    <t>TC 0109</t>
  </si>
  <si>
    <t>SUDHAN MONDAL</t>
  </si>
  <si>
    <t>TC 0023</t>
  </si>
  <si>
    <t>SWAPAN MONDAL</t>
  </si>
  <si>
    <t>TC 0432</t>
  </si>
  <si>
    <t>MOSIAR MOLLA</t>
  </si>
  <si>
    <t>TC 0427</t>
  </si>
  <si>
    <t>ISRAFIL DHALI</t>
  </si>
  <si>
    <t>TC 0420</t>
  </si>
  <si>
    <t>ROUF MONDAL</t>
  </si>
  <si>
    <t>TC 0390</t>
  </si>
  <si>
    <t>KANAK JANA</t>
  </si>
  <si>
    <t>TC 0362</t>
  </si>
  <si>
    <t>SOUMEN GARAI</t>
  </si>
  <si>
    <t>TC 0428</t>
  </si>
  <si>
    <t>ASHOK MONDAL</t>
  </si>
  <si>
    <t>TC 0395</t>
  </si>
  <si>
    <t>ANSWAR ALI MOLLA</t>
  </si>
  <si>
    <t>TC 0421</t>
  </si>
  <si>
    <t>MOMINUL HAQUE</t>
  </si>
  <si>
    <t>TC 0422</t>
  </si>
  <si>
    <t>EKRAMUL ALI</t>
  </si>
  <si>
    <t>TC 0433</t>
  </si>
  <si>
    <t>JULFIKAR DHALI</t>
  </si>
  <si>
    <t>TC 0413</t>
  </si>
  <si>
    <t>SUPRAKASH SAMANTO</t>
  </si>
  <si>
    <t>TC 0434</t>
  </si>
  <si>
    <t>TANMOY MONDAL</t>
  </si>
  <si>
    <t>TC 0414</t>
  </si>
  <si>
    <t>ALOK MONDAL</t>
  </si>
  <si>
    <t>TC 0415</t>
  </si>
  <si>
    <t>RAJESH BAR</t>
  </si>
  <si>
    <t>TC 0429</t>
  </si>
  <si>
    <t>BIKRAM ROY</t>
  </si>
  <si>
    <t>TC 0435</t>
  </si>
  <si>
    <t>JITU MAHALI</t>
  </si>
  <si>
    <t>TC 0430</t>
  </si>
  <si>
    <t>MILAN RUIDAS</t>
  </si>
  <si>
    <t>TC 0227</t>
  </si>
  <si>
    <t>BABLU MONDAL (L)</t>
  </si>
  <si>
    <t>TC 0301</t>
  </si>
  <si>
    <t>TT</t>
  </si>
  <si>
    <t>ARJUN KR. PRASAD</t>
  </si>
  <si>
    <t>TC 0175</t>
  </si>
  <si>
    <t>TARAPADA BERA</t>
  </si>
  <si>
    <t>TC 0375</t>
  </si>
  <si>
    <t>SOMNATH NASKAR</t>
  </si>
  <si>
    <t>TC 0410</t>
  </si>
  <si>
    <t xml:space="preserve">GOUTAM DHAR </t>
  </si>
  <si>
    <t>TC 0319</t>
  </si>
  <si>
    <t>JAYANTA KUNDU</t>
  </si>
  <si>
    <t>TC 0408</t>
  </si>
  <si>
    <t>RAHUL BHALLA</t>
  </si>
  <si>
    <t>TC 0285</t>
  </si>
  <si>
    <t>JOYDEB DUTTA</t>
  </si>
  <si>
    <t>TC 0251</t>
  </si>
  <si>
    <t>SHYAMAL BUXI (WELDER)</t>
  </si>
  <si>
    <t>TC 0376</t>
  </si>
  <si>
    <t>PINTU KUMAR RAY</t>
  </si>
  <si>
    <t>TC 0416</t>
  </si>
  <si>
    <t>RANJIT SAH</t>
  </si>
  <si>
    <t>TC 0335</t>
  </si>
  <si>
    <t>CHANDAN ROY</t>
  </si>
  <si>
    <t>TC 0377</t>
  </si>
  <si>
    <t>KAUSHAL KUMAR</t>
  </si>
  <si>
    <t>TC 0417</t>
  </si>
  <si>
    <t>SAMIR (K)</t>
  </si>
  <si>
    <t>TC 0369</t>
  </si>
  <si>
    <t>SAMIR ROY</t>
  </si>
  <si>
    <t>TC 0381</t>
  </si>
  <si>
    <t>SANJAY SINGH</t>
  </si>
  <si>
    <t>TC 0373</t>
  </si>
  <si>
    <t>SRIKANTA BOURI</t>
  </si>
  <si>
    <t>TC 0407</t>
  </si>
  <si>
    <t>SUBRATA NANDY</t>
  </si>
  <si>
    <t>TC 0177</t>
  </si>
  <si>
    <t>SURENDAR PASWAN</t>
  </si>
  <si>
    <t>TC 0425</t>
  </si>
  <si>
    <t>TAPAS KUMAR MAJHI</t>
  </si>
  <si>
    <t>TC 0409</t>
  </si>
  <si>
    <t>SADHAN BAURI</t>
  </si>
  <si>
    <t>TC 0418</t>
  </si>
  <si>
    <t>ANIL KR SAH</t>
  </si>
  <si>
    <t>TC 0405</t>
  </si>
  <si>
    <t>UJJWAL SINGHA</t>
  </si>
  <si>
    <t>TC 0426</t>
  </si>
  <si>
    <t>RAJIB GHARUI</t>
  </si>
  <si>
    <t>TC 0370</t>
  </si>
  <si>
    <t>RAMBHAJAN</t>
  </si>
  <si>
    <t>TOTAL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</si>
</sst>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* #,##0.00_-;\-* #,##0.00_-;_-* &quot;-&quot;??_-;_-@_-"/>
    <numFmt numFmtId="165" formatCode="[$]dd/mm/yyyy;@" x16r2:formatCode16="[$-en-BB,1]dd/mm/yyyy;@"/>
    <numFmt numFmtId="166" formatCode="d/mm/yyyy;@"/>
    <numFmt numFmtId="167" formatCode="_-* #,##0.00_-;\-* #,##0.00_-;_-* \-??_-;_-@_-"/>
    <numFmt numFmtId="168" formatCode="0;[Red]0"/>
    <numFmt numFmtId="169" formatCode="0_ ;\-0\ "/>
  </numFmts>
  <fonts count="15" x14ac:knownFonts="1">
    <font>
      <sz val="11"/>
      <color theme="1"/>
      <name val="Calibri"/>
      <family val="2"/>
      <charset val="1"/>
    </font>
    <font>
      <sz val="11"/>
      <color theme="1"/>
      <name val="Calibri"/>
      <family val="2"/>
      <charset val="1"/>
    </font>
    <font>
      <b/>
      <sz val="16"/>
      <color theme="1"/>
      <name val="Berlin Sans FB Demi"/>
      <family val="2"/>
    </font>
    <font>
      <b/>
      <sz val="11"/>
      <color theme="1"/>
      <name val="Calibri"/>
      <family val="2"/>
      <charset val="1"/>
    </font>
    <font>
      <b/>
      <sz val="12"/>
      <name val="Aptos Narrow"/>
      <family val="2"/>
    </font>
    <font>
      <u/>
      <sz val="11"/>
      <color theme="10"/>
      <name val="Calibri"/>
      <family val="2"/>
      <charset val="1"/>
    </font>
    <font>
      <sz val="12"/>
      <color theme="1"/>
      <name val="Calibri"/>
      <family val="2"/>
      <charset val="1"/>
    </font>
    <font>
      <b/>
      <sz val="9"/>
      <name val="Book Antiqua"/>
      <family val="1"/>
    </font>
    <font>
      <b/>
      <sz val="10"/>
      <name val="Book Antiqua"/>
      <family val="1"/>
    </font>
    <font>
      <sz val="9"/>
      <color theme="1"/>
      <name val="Calibri"/>
      <family val="2"/>
      <charset val="1"/>
    </font>
    <font>
      <b/>
      <sz val="10"/>
      <name val="Arial"/>
      <family val="2"/>
    </font>
    <font>
      <sz val="10"/>
      <name val="Arial"/>
      <family val="2"/>
    </font>
    <font>
      <sz val="9"/>
      <name val="Arial"/>
      <family val="2"/>
    </font>
    <font>
      <sz val="12"/>
      <name val="Arial"/>
      <family val="2"/>
    </font>
    <font>
      <sz val="9"/>
      <color indexed="8"/>
      <name val="Aptos Narrow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5"/>
        <bgColor rgb="FF993366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E9713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87182226020086"/>
        <bgColor rgb="FFD9D9D9"/>
      </patternFill>
    </fill>
  </fills>
  <borders count="12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 style="hair">
        <color rgb="FFF7C7AC"/>
      </bottom>
      <diagonal/>
    </border>
    <border>
      <left/>
      <right/>
      <top/>
      <bottom style="hair">
        <color rgb="FFF7C7AC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hair">
        <color rgb="FFF7C7AC"/>
      </right>
      <top style="hair">
        <color rgb="FFF7C7AC"/>
      </top>
      <bottom/>
      <diagonal/>
    </border>
    <border>
      <left style="hair">
        <color rgb="FFF7C7AC"/>
      </left>
      <right style="hair">
        <color rgb="FFF7C7AC"/>
      </right>
      <top style="hair">
        <color rgb="FFF7C7AC"/>
      </top>
      <bottom/>
      <diagonal/>
    </border>
    <border>
      <left style="thin">
        <color rgb="FFF7C7AC"/>
      </left>
      <right style="thin">
        <color rgb="FFF7C7AC"/>
      </right>
      <top style="thin">
        <color rgb="FFF7C7AC"/>
      </top>
      <bottom style="thin">
        <color rgb="FFF7C7AC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rgb="FFF7C7AC"/>
      </left>
      <right/>
      <top style="hair">
        <color rgb="FFF7C7AC"/>
      </top>
      <bottom style="hair">
        <color rgb="FFF7C7AC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5" fillId="0" borderId="0" applyNumberFormat="0" applyFill="0" applyBorder="0" applyAlignment="0" applyProtection="0"/>
  </cellStyleXfs>
  <cellXfs count="55">
    <xf numFmtId="0" fontId="0" fillId="0" borderId="0" xfId="0"/>
    <xf numFmtId="0" fontId="4" fillId="4" borderId="5" xfId="0" applyFont="1" applyFill="1" applyBorder="1" applyAlignment="1">
      <alignment horizontal="left" vertical="center" textRotation="180" wrapText="1"/>
    </xf>
    <xf numFmtId="17" fontId="4" fillId="4" borderId="5" xfId="0" applyNumberFormat="1" applyFont="1" applyFill="1" applyBorder="1" applyAlignment="1">
      <alignment horizontal="left" vertical="center" wrapText="1"/>
    </xf>
    <xf numFmtId="0" fontId="4" fillId="4" borderId="5" xfId="0" applyFont="1" applyFill="1" applyBorder="1" applyAlignment="1">
      <alignment horizontal="left" vertical="center"/>
    </xf>
    <xf numFmtId="0" fontId="4" fillId="4" borderId="5" xfId="0" applyFont="1" applyFill="1" applyBorder="1" applyAlignment="1">
      <alignment horizontal="center" vertical="center" textRotation="180" wrapText="1"/>
    </xf>
    <xf numFmtId="0" fontId="5" fillId="4" borderId="5" xfId="2" applyFill="1" applyBorder="1" applyAlignment="1">
      <alignment horizontal="center" vertical="center"/>
    </xf>
    <xf numFmtId="0" fontId="5" fillId="4" borderId="5" xfId="2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/>
    </xf>
    <xf numFmtId="0" fontId="4" fillId="5" borderId="7" xfId="0" applyFont="1" applyFill="1" applyBorder="1" applyAlignment="1">
      <alignment horizontal="center" vertical="center" textRotation="180" wrapText="1"/>
    </xf>
    <xf numFmtId="0" fontId="6" fillId="0" borderId="0" xfId="0" applyFont="1"/>
    <xf numFmtId="1" fontId="7" fillId="0" borderId="5" xfId="0" applyNumberFormat="1" applyFont="1" applyBorder="1" applyAlignment="1">
      <alignment horizontal="left" vertical="center"/>
    </xf>
    <xf numFmtId="0" fontId="0" fillId="0" borderId="5" xfId="0" applyBorder="1" applyAlignment="1">
      <alignment horizontal="center" vertical="center"/>
    </xf>
    <xf numFmtId="0" fontId="8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9" fillId="0" borderId="5" xfId="0" applyFont="1" applyBorder="1" applyAlignment="1">
      <alignment horizontal="left" vertical="center"/>
    </xf>
    <xf numFmtId="0" fontId="8" fillId="0" borderId="5" xfId="0" applyFont="1" applyBorder="1" applyAlignment="1">
      <alignment horizontal="left" vertical="center"/>
    </xf>
    <xf numFmtId="165" fontId="8" fillId="0" borderId="5" xfId="0" applyNumberFormat="1" applyFont="1" applyBorder="1" applyAlignment="1">
      <alignment horizontal="center" vertical="center"/>
    </xf>
    <xf numFmtId="166" fontId="8" fillId="0" borderId="5" xfId="0" applyNumberFormat="1" applyFont="1" applyBorder="1" applyAlignment="1">
      <alignment horizontal="center" vertical="center"/>
    </xf>
    <xf numFmtId="1" fontId="8" fillId="0" borderId="5" xfId="0" applyNumberFormat="1" applyFont="1" applyBorder="1" applyAlignment="1">
      <alignment horizontal="left" vertical="center"/>
    </xf>
    <xf numFmtId="0" fontId="8" fillId="0" borderId="5" xfId="0" applyFont="1" applyBorder="1" applyAlignment="1">
      <alignment horizontal="center" vertical="center"/>
    </xf>
    <xf numFmtId="1" fontId="8" fillId="0" borderId="5" xfId="0" applyNumberFormat="1" applyFont="1" applyBorder="1" applyAlignment="1">
      <alignment horizontal="center" vertical="center"/>
    </xf>
    <xf numFmtId="167" fontId="8" fillId="0" borderId="5" xfId="0" applyNumberFormat="1" applyFont="1" applyBorder="1" applyAlignment="1">
      <alignment horizontal="left" vertical="center"/>
    </xf>
    <xf numFmtId="167" fontId="8" fillId="0" borderId="5" xfId="0" applyNumberFormat="1" applyFont="1" applyBorder="1" applyAlignment="1">
      <alignment horizontal="center" vertical="center"/>
    </xf>
    <xf numFmtId="1" fontId="8" fillId="0" borderId="5" xfId="0" quotePrefix="1" applyNumberFormat="1" applyFont="1" applyBorder="1" applyAlignment="1">
      <alignment horizontal="left" vertical="center"/>
    </xf>
    <xf numFmtId="0" fontId="8" fillId="6" borderId="5" xfId="0" applyFont="1" applyFill="1" applyBorder="1" applyAlignment="1">
      <alignment horizontal="center" vertical="center"/>
    </xf>
    <xf numFmtId="0" fontId="10" fillId="0" borderId="5" xfId="0" applyFont="1" applyBorder="1" applyAlignment="1">
      <alignment horizontal="left" vertical="center"/>
    </xf>
    <xf numFmtId="0" fontId="9" fillId="0" borderId="5" xfId="0" applyFont="1" applyBorder="1" applyAlignment="1">
      <alignment horizontal="left" vertical="center" wrapText="1"/>
    </xf>
    <xf numFmtId="164" fontId="8" fillId="0" borderId="5" xfId="1" applyFont="1" applyFill="1" applyBorder="1" applyAlignment="1">
      <alignment horizontal="center" vertical="center"/>
    </xf>
    <xf numFmtId="164" fontId="8" fillId="0" borderId="5" xfId="1" applyFont="1" applyFill="1" applyBorder="1" applyAlignment="1">
      <alignment horizontal="left" vertical="center"/>
    </xf>
    <xf numFmtId="0" fontId="11" fillId="0" borderId="5" xfId="0" applyFont="1" applyBorder="1" applyAlignment="1">
      <alignment horizontal="center" vertical="center"/>
    </xf>
    <xf numFmtId="0" fontId="12" fillId="0" borderId="5" xfId="0" applyFont="1" applyBorder="1" applyAlignment="1">
      <alignment horizontal="left" vertical="center" wrapText="1"/>
    </xf>
    <xf numFmtId="0" fontId="12" fillId="0" borderId="5" xfId="0" applyFont="1" applyBorder="1" applyAlignment="1">
      <alignment horizontal="left" vertical="center"/>
    </xf>
    <xf numFmtId="168" fontId="11" fillId="0" borderId="5" xfId="1" applyNumberFormat="1" applyFont="1" applyFill="1" applyBorder="1" applyAlignment="1">
      <alignment horizontal="center" vertical="center"/>
    </xf>
    <xf numFmtId="168" fontId="12" fillId="0" borderId="5" xfId="1" applyNumberFormat="1" applyFont="1" applyFill="1" applyBorder="1" applyAlignment="1">
      <alignment horizontal="left" vertical="center"/>
    </xf>
    <xf numFmtId="0" fontId="13" fillId="0" borderId="5" xfId="0" applyFont="1" applyBorder="1" applyAlignment="1">
      <alignment horizontal="center" vertical="center"/>
    </xf>
    <xf numFmtId="165" fontId="4" fillId="0" borderId="8" xfId="0" applyNumberFormat="1" applyFont="1" applyBorder="1" applyAlignment="1">
      <alignment horizontal="left" vertical="center" wrapText="1"/>
    </xf>
    <xf numFmtId="0" fontId="12" fillId="0" borderId="9" xfId="0" applyFont="1" applyBorder="1" applyAlignment="1">
      <alignment horizontal="left" vertical="center"/>
    </xf>
    <xf numFmtId="169" fontId="8" fillId="0" borderId="5" xfId="0" applyNumberFormat="1" applyFont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164" fontId="7" fillId="0" borderId="5" xfId="1" applyFont="1" applyFill="1" applyBorder="1" applyAlignment="1">
      <alignment horizontal="left" vertical="center"/>
    </xf>
    <xf numFmtId="165" fontId="4" fillId="0" borderId="0" xfId="0" applyNumberFormat="1" applyFont="1" applyAlignment="1">
      <alignment horizontal="left" vertical="center" wrapText="1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14" fillId="0" borderId="10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7" fillId="0" borderId="5" xfId="0" applyFont="1" applyBorder="1" applyAlignment="1">
      <alignment horizontal="center" vertical="center"/>
    </xf>
    <xf numFmtId="0" fontId="3" fillId="7" borderId="11" xfId="0" applyFont="1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vertical="center"/>
    </xf>
    <xf numFmtId="0" fontId="3" fillId="2" borderId="2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B0AC6D33-CE5F-42B1-9E7D-4CE1C79A3EC1}">
  <we:reference id="wa200009404" version="1.0.0.8" store="en-US" storeType="OMEX"/>
  <we:alternateReferences>
    <we:reference id="wa200009404" version="1.0.0.8" store="wa200009404" storeType="OMEX"/>
  </we:alternateReferences>
  <we:properties>
    <we:property name="claude.fileId" value="&quot;30ac5f33-c9e7-40d8-b9cf-f5c785b0de1e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HRA@50%25%20OF%20BASIC" TargetMode="External"/><Relationship Id="rId1" Type="http://schemas.openxmlformats.org/officeDocument/2006/relationships/hyperlink" Target="mailto:BASIC@50%2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58AF0-651C-4D6B-836B-BDCF641DF8B5}">
  <dimension ref="A1:BC126"/>
  <sheetViews>
    <sheetView showGridLines="0" tabSelected="1" topLeftCell="A3" zoomScale="90" zoomScaleNormal="90" workbookViewId="0">
      <pane xSplit="5" ySplit="1" topLeftCell="F4" activePane="bottomRight" state="frozen"/>
      <selection activeCell="A3" sqref="A3"/>
      <selection pane="topRight" activeCell="F3" sqref="F3"/>
      <selection pane="bottomLeft" activeCell="A4" sqref="A4"/>
      <selection pane="bottomRight" activeCell="X6" sqref="X6"/>
    </sheetView>
  </sheetViews>
  <sheetFormatPr defaultColWidth="8.7109375" defaultRowHeight="15" x14ac:dyDescent="0.25"/>
  <cols>
    <col min="1" max="1" width="10.140625" style="42" customWidth="1"/>
    <col min="2" max="2" width="16.140625" style="42" customWidth="1"/>
    <col min="3" max="3" width="6.85546875" style="42" customWidth="1"/>
    <col min="4" max="4" width="13.140625" style="42" bestFit="1" customWidth="1"/>
    <col min="5" max="5" width="25.7109375" style="42" customWidth="1"/>
    <col min="6" max="6" width="15.5703125" style="42" customWidth="1"/>
    <col min="7" max="7" width="8.7109375" style="42" customWidth="1"/>
    <col min="8" max="8" width="8.7109375" customWidth="1"/>
    <col min="9" max="9" width="8.7109375" style="43" customWidth="1"/>
    <col min="10" max="10" width="6.28515625" style="42" customWidth="1"/>
    <col min="11" max="11" width="8.7109375" style="42" customWidth="1"/>
    <col min="12" max="13" width="6.28515625" style="42" customWidth="1"/>
    <col min="14" max="17" width="8.7109375" customWidth="1"/>
    <col min="18" max="18" width="20.42578125" customWidth="1"/>
    <col min="19" max="19" width="12.7109375" customWidth="1"/>
    <col min="20" max="20" width="15.140625" customWidth="1"/>
    <col min="21" max="21" width="16.7109375" customWidth="1"/>
    <col min="22" max="22" width="14" customWidth="1"/>
    <col min="23" max="23" width="18.28515625" style="42" customWidth="1"/>
    <col min="24" max="24" width="14.7109375" customWidth="1"/>
    <col min="25" max="25" width="10.140625" customWidth="1"/>
    <col min="26" max="26" width="9" customWidth="1"/>
    <col min="27" max="27" width="12.7109375" customWidth="1"/>
    <col min="28" max="28" width="15.42578125" customWidth="1"/>
    <col min="29" max="29" width="14.28515625" customWidth="1"/>
    <col min="30" max="30" width="11.7109375" customWidth="1"/>
    <col min="31" max="31" width="16.7109375" customWidth="1"/>
    <col min="32" max="32" width="16.28515625" customWidth="1"/>
    <col min="33" max="33" width="10" customWidth="1"/>
    <col min="34" max="34" width="10.7109375" style="43" customWidth="1"/>
    <col min="35" max="35" width="17.140625" bestFit="1" customWidth="1"/>
    <col min="36" max="36" width="13.7109375" customWidth="1"/>
    <col min="37" max="37" width="8.140625" customWidth="1"/>
    <col min="38" max="38" width="12" customWidth="1"/>
    <col min="39" max="39" width="16.140625" hidden="1" customWidth="1"/>
    <col min="40" max="40" width="13.42578125" hidden="1" customWidth="1"/>
    <col min="41" max="41" width="9" hidden="1" customWidth="1"/>
    <col min="42" max="42" width="15.42578125" hidden="1" customWidth="1"/>
    <col min="43" max="43" width="17.140625" bestFit="1" customWidth="1"/>
    <col min="44" max="44" width="16.42578125" customWidth="1"/>
    <col min="45" max="45" width="13.28515625" customWidth="1"/>
    <col min="46" max="46" width="17.140625" customWidth="1"/>
    <col min="47" max="47" width="13.42578125" customWidth="1"/>
    <col min="48" max="48" width="13.7109375" bestFit="1" customWidth="1"/>
    <col min="49" max="49" width="5" customWidth="1"/>
    <col min="50" max="50" width="17.7109375" customWidth="1"/>
    <col min="51" max="51" width="13.7109375" customWidth="1"/>
    <col min="52" max="52" width="15.42578125" customWidth="1"/>
    <col min="53" max="53" width="13.42578125" customWidth="1"/>
    <col min="54" max="54" width="13.7109375" bestFit="1" customWidth="1"/>
    <col min="55" max="55" width="8.7109375" customWidth="1"/>
  </cols>
  <sheetData>
    <row r="1" spans="1:54" x14ac:dyDescent="0.25">
      <c r="A1" s="49" t="s">
        <v>0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  <c r="W1" s="49"/>
      <c r="X1" s="49"/>
      <c r="Y1" s="49"/>
      <c r="Z1" s="49"/>
      <c r="AA1" s="49"/>
      <c r="AB1" s="49"/>
      <c r="AC1" s="49"/>
      <c r="AD1" s="49"/>
      <c r="AE1" s="49"/>
      <c r="AF1" s="49"/>
      <c r="AG1" s="49"/>
      <c r="AH1" s="49"/>
      <c r="AI1" s="49"/>
      <c r="AJ1" s="49"/>
      <c r="AK1" s="49"/>
      <c r="AL1" s="49"/>
      <c r="AM1" s="49"/>
      <c r="AN1" s="49"/>
      <c r="AO1" s="49"/>
      <c r="AP1" s="49"/>
      <c r="AQ1" s="49"/>
    </row>
    <row r="2" spans="1:54" ht="21" customHeight="1" x14ac:dyDescent="0.25">
      <c r="A2" s="50"/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0"/>
      <c r="AK2" s="50"/>
      <c r="AL2" s="50"/>
      <c r="AM2" s="50"/>
      <c r="AN2" s="50"/>
      <c r="AO2" s="50"/>
      <c r="AP2" s="50"/>
      <c r="AQ2" s="50"/>
      <c r="AR2" s="51" t="s">
        <v>1</v>
      </c>
      <c r="AS2" s="52"/>
      <c r="AT2" s="52"/>
      <c r="AU2" s="52"/>
      <c r="AV2" s="52"/>
      <c r="AX2" s="53" t="s">
        <v>2</v>
      </c>
      <c r="AY2" s="54"/>
      <c r="AZ2" s="54"/>
      <c r="BA2" s="54"/>
      <c r="BB2" s="54"/>
    </row>
    <row r="3" spans="1:54" s="10" customFormat="1" ht="78.400000000000006" customHeight="1" x14ac:dyDescent="0.25">
      <c r="A3" s="1" t="s">
        <v>3</v>
      </c>
      <c r="B3" s="1" t="s">
        <v>4</v>
      </c>
      <c r="C3" s="1" t="s">
        <v>5</v>
      </c>
      <c r="D3" s="2">
        <v>46204</v>
      </c>
      <c r="E3" s="3" t="s">
        <v>6</v>
      </c>
      <c r="F3" s="1" t="s">
        <v>7</v>
      </c>
      <c r="G3" s="1" t="s">
        <v>8</v>
      </c>
      <c r="H3" s="4" t="s">
        <v>9</v>
      </c>
      <c r="I3" s="4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4" t="s">
        <v>15</v>
      </c>
      <c r="O3" s="4" t="s">
        <v>16</v>
      </c>
      <c r="P3" s="4" t="s">
        <v>17</v>
      </c>
      <c r="Q3" s="4" t="s">
        <v>18</v>
      </c>
      <c r="R3" s="4" t="s">
        <v>19</v>
      </c>
      <c r="S3" s="5" t="s">
        <v>20</v>
      </c>
      <c r="T3" s="6" t="s">
        <v>21</v>
      </c>
      <c r="U3" s="7" t="s">
        <v>22</v>
      </c>
      <c r="V3" s="7" t="s">
        <v>23</v>
      </c>
      <c r="W3" s="4" t="s">
        <v>24</v>
      </c>
      <c r="X3" s="4" t="s">
        <v>25</v>
      </c>
      <c r="Y3" s="4" t="s">
        <v>26</v>
      </c>
      <c r="Z3" s="4" t="s">
        <v>27</v>
      </c>
      <c r="AA3" s="7" t="s">
        <v>28</v>
      </c>
      <c r="AB3" s="7" t="s">
        <v>29</v>
      </c>
      <c r="AC3" s="7" t="s">
        <v>30</v>
      </c>
      <c r="AD3" s="7" t="s">
        <v>31</v>
      </c>
      <c r="AE3" s="7" t="s">
        <v>32</v>
      </c>
      <c r="AF3" s="7" t="s">
        <v>33</v>
      </c>
      <c r="AG3" s="4" t="s">
        <v>34</v>
      </c>
      <c r="AH3" s="4" t="s">
        <v>35</v>
      </c>
      <c r="AI3" s="7" t="s">
        <v>36</v>
      </c>
      <c r="AJ3" s="4" t="s">
        <v>37</v>
      </c>
      <c r="AK3" s="4" t="s">
        <v>38</v>
      </c>
      <c r="AL3" s="4" t="s">
        <v>39</v>
      </c>
      <c r="AM3" s="4" t="s">
        <v>40</v>
      </c>
      <c r="AN3" s="4" t="s">
        <v>41</v>
      </c>
      <c r="AO3" s="4" t="s">
        <v>42</v>
      </c>
      <c r="AP3" s="4" t="s">
        <v>43</v>
      </c>
      <c r="AQ3" s="7" t="s">
        <v>44</v>
      </c>
      <c r="AR3" s="4" t="s">
        <v>45</v>
      </c>
      <c r="AS3" s="4" t="s">
        <v>46</v>
      </c>
      <c r="AT3" s="4" t="s">
        <v>47</v>
      </c>
      <c r="AU3" s="4" t="s">
        <v>48</v>
      </c>
      <c r="AV3" s="4" t="s">
        <v>49</v>
      </c>
      <c r="AW3" s="8"/>
      <c r="AX3" s="9" t="s">
        <v>45</v>
      </c>
      <c r="AY3" s="9" t="s">
        <v>46</v>
      </c>
      <c r="AZ3" s="9" t="s">
        <v>47</v>
      </c>
      <c r="BA3" s="9" t="s">
        <v>48</v>
      </c>
      <c r="BB3" s="9" t="s">
        <v>49</v>
      </c>
    </row>
    <row r="4" spans="1:54" ht="15" customHeight="1" x14ac:dyDescent="0.25">
      <c r="A4" s="11">
        <f>1</f>
        <v>1</v>
      </c>
      <c r="B4" s="12" t="s">
        <v>50</v>
      </c>
      <c r="C4" s="13" t="s">
        <v>51</v>
      </c>
      <c r="D4" s="13">
        <v>31</v>
      </c>
      <c r="E4" s="14" t="s">
        <v>52</v>
      </c>
      <c r="F4" s="15" t="s">
        <v>53</v>
      </c>
      <c r="G4" s="16"/>
      <c r="H4" s="17"/>
      <c r="I4" s="18"/>
      <c r="J4" s="16"/>
      <c r="K4" s="19"/>
      <c r="L4" s="16"/>
      <c r="M4" s="19"/>
      <c r="N4" s="20"/>
      <c r="O4" s="21"/>
      <c r="P4" s="20"/>
      <c r="Q4" s="20"/>
      <c r="R4" s="12">
        <v>34900</v>
      </c>
      <c r="S4" s="20">
        <f>ROUND(R4*50%,0)</f>
        <v>17450</v>
      </c>
      <c r="T4" s="20">
        <f>ROUND(S4*50%,0)</f>
        <v>8725</v>
      </c>
      <c r="U4" s="20">
        <f>IF(R4&gt;20000,1600,IF(R4&lt;=20000,1000,0))</f>
        <v>1600</v>
      </c>
      <c r="V4" s="20">
        <f>R4-S4-T4-U4</f>
        <v>7125</v>
      </c>
      <c r="W4" s="22">
        <f>S4+T4+U4+V4</f>
        <v>34900</v>
      </c>
      <c r="X4" s="20">
        <v>31</v>
      </c>
      <c r="Y4" s="20"/>
      <c r="Z4" s="20"/>
      <c r="AA4" s="20">
        <f t="shared" ref="AA4:AA67" si="0">X4+Y4+Z4</f>
        <v>31</v>
      </c>
      <c r="AB4" s="20">
        <f t="shared" ref="AB4:AB67" si="1">ROUND((S4/D4)*AA4,0)</f>
        <v>17450</v>
      </c>
      <c r="AC4" s="20">
        <f t="shared" ref="AC4:AC67" si="2">ROUND((T4/D4)*AA4,0)</f>
        <v>8725</v>
      </c>
      <c r="AD4" s="20">
        <f t="shared" ref="AD4:AD67" si="3">ROUND((U4/D4)*AA4,0)</f>
        <v>1600</v>
      </c>
      <c r="AE4" s="20">
        <f t="shared" ref="AE4:AE67" si="4">ROUND((V4/D4)*AA4,0)</f>
        <v>7125</v>
      </c>
      <c r="AF4" s="23">
        <f t="shared" ref="AF4:AF67" si="5">SUM(AB4:AE4)</f>
        <v>34900</v>
      </c>
      <c r="AG4" s="20"/>
      <c r="AH4" s="20"/>
      <c r="AI4" s="23">
        <f>AF4+AG4+AH4</f>
        <v>34900</v>
      </c>
      <c r="AJ4" s="20">
        <f>MIN(ROUND((AB4+AE4)*12%,0),1800)</f>
        <v>1800</v>
      </c>
      <c r="AK4" s="20"/>
      <c r="AL4" s="20">
        <f>ROUNDUP(IF(W4&gt;21000,0,IF(W4&lt;=21000,(AF4+AG4)*0.75%,0)),0)</f>
        <v>0</v>
      </c>
      <c r="AM4" s="20">
        <f t="shared" ref="AM4:AM35" si="6">IF(AI4&lt;10001,0,IF(AI4&lt;15001,110,IF(AI4&lt;25001,130,IF(AI4&lt;=40000,150,IF(AI4&gt;40000,200,0)))))</f>
        <v>150</v>
      </c>
      <c r="AN4" s="20"/>
      <c r="AO4" s="20"/>
      <c r="AP4" s="20">
        <f t="shared" ref="AP4:AP19" si="7">AJ4+AL4+AM4+AN4+AK4+AO4</f>
        <v>1950</v>
      </c>
      <c r="AQ4" s="23">
        <f>AI4-AP4</f>
        <v>32950</v>
      </c>
      <c r="AR4" s="20">
        <f>AJ4</f>
        <v>1800</v>
      </c>
      <c r="AS4" s="20">
        <f t="shared" ref="AS4:AS67" si="8">ROUND(ROUND((AJ4*100)/12,0)*0.5%,0)</f>
        <v>75</v>
      </c>
      <c r="AT4" s="20">
        <f t="shared" ref="AT4:AT67" si="9">MIN(AS4,75)</f>
        <v>75</v>
      </c>
      <c r="AU4" s="20">
        <f t="shared" ref="AU4:AU12" si="10">ROUNDUP(IF(W4&gt;21000,0,IF(W4&lt;=21000,(AF4+AG4)*3.25%,0)),0)</f>
        <v>0</v>
      </c>
      <c r="AV4" s="23">
        <f t="shared" ref="AV4:AV11" si="11">AI4+AR4+AS4+AT4+AU4</f>
        <v>36850</v>
      </c>
      <c r="AW4" s="20"/>
      <c r="AX4" s="20">
        <f>MIN(ROUND((S4+V4)*12%,0),1800)</f>
        <v>1800</v>
      </c>
      <c r="AY4" s="20">
        <f t="shared" ref="AY4:AY67" si="12">ROUND((AX4*100/12)*0.5%,0)</f>
        <v>75</v>
      </c>
      <c r="AZ4" s="20">
        <f t="shared" ref="AZ4:AZ67" si="13">MIN(AY4,75)</f>
        <v>75</v>
      </c>
      <c r="BA4" s="20">
        <f t="shared" ref="BA4:BA12" si="14">ROUNDUP(IF(W4&gt;21000,0,IF(W4&lt;=21000,(AF4+AG4)*3.25%,0)),0)</f>
        <v>0</v>
      </c>
      <c r="BB4" s="23">
        <f t="shared" ref="BB4:BB67" si="15">W4+AX4+AY4+AZ4+BA4</f>
        <v>36850</v>
      </c>
    </row>
    <row r="5" spans="1:54" ht="15" customHeight="1" x14ac:dyDescent="0.25">
      <c r="A5" s="11">
        <f t="shared" ref="A5:A68" si="16">A4+1</f>
        <v>2</v>
      </c>
      <c r="B5" s="12" t="s">
        <v>54</v>
      </c>
      <c r="C5" s="13" t="s">
        <v>51</v>
      </c>
      <c r="D5" s="13">
        <v>31</v>
      </c>
      <c r="E5" s="14" t="s">
        <v>55</v>
      </c>
      <c r="F5" s="15" t="s">
        <v>53</v>
      </c>
      <c r="G5" s="16"/>
      <c r="H5" s="17"/>
      <c r="I5" s="18"/>
      <c r="J5" s="16"/>
      <c r="K5" s="19"/>
      <c r="L5" s="16"/>
      <c r="M5" s="19"/>
      <c r="N5" s="20"/>
      <c r="O5" s="21"/>
      <c r="P5" s="20"/>
      <c r="Q5" s="20"/>
      <c r="R5" s="12">
        <v>34900</v>
      </c>
      <c r="S5" s="20">
        <f t="shared" ref="S5:T17" si="17">ROUND(R5*50%,0)</f>
        <v>17450</v>
      </c>
      <c r="T5" s="20">
        <f t="shared" si="17"/>
        <v>8725</v>
      </c>
      <c r="U5" s="20">
        <f t="shared" ref="U5:U68" si="18">IF(R5&gt;20000,1600,IF(R5&lt;=20000,1000,0))</f>
        <v>1600</v>
      </c>
      <c r="V5" s="20">
        <f t="shared" ref="V5:V68" si="19">R5-S5-T5-U5</f>
        <v>7125</v>
      </c>
      <c r="W5" s="22">
        <f t="shared" ref="W5:W68" si="20">S5+T5+U5+V5</f>
        <v>34900</v>
      </c>
      <c r="X5" s="20">
        <v>31</v>
      </c>
      <c r="Y5" s="20"/>
      <c r="Z5" s="20"/>
      <c r="AA5" s="20">
        <f t="shared" si="0"/>
        <v>31</v>
      </c>
      <c r="AB5" s="20">
        <f t="shared" si="1"/>
        <v>17450</v>
      </c>
      <c r="AC5" s="20">
        <f t="shared" si="2"/>
        <v>8725</v>
      </c>
      <c r="AD5" s="20">
        <f t="shared" si="3"/>
        <v>1600</v>
      </c>
      <c r="AE5" s="20">
        <f t="shared" si="4"/>
        <v>7125</v>
      </c>
      <c r="AF5" s="23">
        <f t="shared" si="5"/>
        <v>34900</v>
      </c>
      <c r="AG5" s="20"/>
      <c r="AH5" s="20"/>
      <c r="AI5" s="23">
        <f t="shared" ref="AI5:AI68" si="21">AF5+AG5+AH5</f>
        <v>34900</v>
      </c>
      <c r="AJ5" s="20">
        <f t="shared" ref="AJ5:AJ6" si="22">MIN(ROUND((AB5+AE5)*12%,0),1800)</f>
        <v>1800</v>
      </c>
      <c r="AK5" s="20"/>
      <c r="AL5" s="20">
        <f t="shared" ref="AL5:AL68" si="23">ROUNDUP(IF(W5&gt;21000,0,IF(W5&lt;=21000,(AF5+AG5)*0.75%,0)),0)</f>
        <v>0</v>
      </c>
      <c r="AM5" s="20">
        <f t="shared" si="6"/>
        <v>150</v>
      </c>
      <c r="AN5" s="20"/>
      <c r="AO5" s="20"/>
      <c r="AP5" s="20">
        <f t="shared" si="7"/>
        <v>1950</v>
      </c>
      <c r="AQ5" s="23">
        <f t="shared" ref="AQ5:AQ68" si="24">AI5-AP5</f>
        <v>32950</v>
      </c>
      <c r="AR5" s="20">
        <f t="shared" ref="AR5:AR68" si="25">AJ5</f>
        <v>1800</v>
      </c>
      <c r="AS5" s="20">
        <f t="shared" si="8"/>
        <v>75</v>
      </c>
      <c r="AT5" s="20">
        <f t="shared" si="9"/>
        <v>75</v>
      </c>
      <c r="AU5" s="20">
        <f t="shared" si="10"/>
        <v>0</v>
      </c>
      <c r="AV5" s="23">
        <f t="shared" si="11"/>
        <v>36850</v>
      </c>
      <c r="AW5" s="20"/>
      <c r="AX5" s="20">
        <f t="shared" ref="AX5:AX6" si="26">MIN(ROUND((S5+V5)*12%,0),1800)</f>
        <v>1800</v>
      </c>
      <c r="AY5" s="20">
        <f t="shared" si="12"/>
        <v>75</v>
      </c>
      <c r="AZ5" s="20">
        <f t="shared" si="13"/>
        <v>75</v>
      </c>
      <c r="BA5" s="20">
        <f t="shared" si="14"/>
        <v>0</v>
      </c>
      <c r="BB5" s="23">
        <f t="shared" si="15"/>
        <v>36850</v>
      </c>
    </row>
    <row r="6" spans="1:54" ht="15" customHeight="1" x14ac:dyDescent="0.25">
      <c r="A6" s="11">
        <f t="shared" si="16"/>
        <v>3</v>
      </c>
      <c r="B6" s="12" t="s">
        <v>56</v>
      </c>
      <c r="C6" s="13" t="s">
        <v>51</v>
      </c>
      <c r="D6" s="13">
        <v>31</v>
      </c>
      <c r="E6" s="14" t="s">
        <v>57</v>
      </c>
      <c r="F6" s="15" t="s">
        <v>53</v>
      </c>
      <c r="G6" s="16"/>
      <c r="H6" s="17"/>
      <c r="I6" s="18"/>
      <c r="J6" s="16"/>
      <c r="K6" s="19"/>
      <c r="L6" s="16"/>
      <c r="M6" s="19"/>
      <c r="N6" s="20"/>
      <c r="O6" s="21"/>
      <c r="P6" s="20"/>
      <c r="Q6" s="20"/>
      <c r="R6" s="12">
        <v>27850</v>
      </c>
      <c r="S6" s="20">
        <f t="shared" si="17"/>
        <v>13925</v>
      </c>
      <c r="T6" s="20">
        <f t="shared" si="17"/>
        <v>6963</v>
      </c>
      <c r="U6" s="20">
        <f t="shared" si="18"/>
        <v>1600</v>
      </c>
      <c r="V6" s="20">
        <f t="shared" si="19"/>
        <v>5362</v>
      </c>
      <c r="W6" s="22">
        <f t="shared" si="20"/>
        <v>27850</v>
      </c>
      <c r="X6" s="20">
        <v>31</v>
      </c>
      <c r="Y6" s="20"/>
      <c r="Z6" s="20"/>
      <c r="AA6" s="20">
        <f t="shared" si="0"/>
        <v>31</v>
      </c>
      <c r="AB6" s="20">
        <f t="shared" si="1"/>
        <v>13925</v>
      </c>
      <c r="AC6" s="20">
        <f t="shared" si="2"/>
        <v>6963</v>
      </c>
      <c r="AD6" s="20">
        <f t="shared" si="3"/>
        <v>1600</v>
      </c>
      <c r="AE6" s="20">
        <f t="shared" si="4"/>
        <v>5362</v>
      </c>
      <c r="AF6" s="23">
        <f t="shared" si="5"/>
        <v>27850</v>
      </c>
      <c r="AG6" s="20"/>
      <c r="AH6" s="20"/>
      <c r="AI6" s="23">
        <f t="shared" si="21"/>
        <v>27850</v>
      </c>
      <c r="AJ6" s="20">
        <f t="shared" si="22"/>
        <v>1800</v>
      </c>
      <c r="AK6" s="20"/>
      <c r="AL6" s="20">
        <f t="shared" si="23"/>
        <v>0</v>
      </c>
      <c r="AM6" s="20">
        <f t="shared" si="6"/>
        <v>150</v>
      </c>
      <c r="AN6" s="20"/>
      <c r="AO6" s="20"/>
      <c r="AP6" s="20">
        <f t="shared" si="7"/>
        <v>1950</v>
      </c>
      <c r="AQ6" s="23">
        <f t="shared" si="24"/>
        <v>25900</v>
      </c>
      <c r="AR6" s="20">
        <f t="shared" si="25"/>
        <v>1800</v>
      </c>
      <c r="AS6" s="20">
        <f t="shared" si="8"/>
        <v>75</v>
      </c>
      <c r="AT6" s="20">
        <f t="shared" si="9"/>
        <v>75</v>
      </c>
      <c r="AU6" s="20">
        <f t="shared" si="10"/>
        <v>0</v>
      </c>
      <c r="AV6" s="23">
        <f t="shared" si="11"/>
        <v>29800</v>
      </c>
      <c r="AW6" s="20"/>
      <c r="AX6" s="20">
        <f t="shared" si="26"/>
        <v>1800</v>
      </c>
      <c r="AY6" s="20">
        <f t="shared" si="12"/>
        <v>75</v>
      </c>
      <c r="AZ6" s="20">
        <f t="shared" si="13"/>
        <v>75</v>
      </c>
      <c r="BA6" s="20">
        <f t="shared" si="14"/>
        <v>0</v>
      </c>
      <c r="BB6" s="23">
        <f t="shared" si="15"/>
        <v>29800</v>
      </c>
    </row>
    <row r="7" spans="1:54" ht="15" customHeight="1" x14ac:dyDescent="0.25">
      <c r="A7" s="11">
        <f t="shared" si="16"/>
        <v>4</v>
      </c>
      <c r="B7" s="12" t="s">
        <v>58</v>
      </c>
      <c r="C7" s="13" t="s">
        <v>51</v>
      </c>
      <c r="D7" s="13">
        <v>31</v>
      </c>
      <c r="E7" s="14" t="s">
        <v>59</v>
      </c>
      <c r="F7" s="15" t="s">
        <v>53</v>
      </c>
      <c r="G7" s="16"/>
      <c r="H7" s="17"/>
      <c r="I7" s="18"/>
      <c r="J7" s="16"/>
      <c r="K7" s="24"/>
      <c r="L7" s="16"/>
      <c r="M7" s="19"/>
      <c r="N7" s="20"/>
      <c r="O7" s="20"/>
      <c r="P7" s="20"/>
      <c r="Q7" s="20"/>
      <c r="R7" s="12">
        <v>35200</v>
      </c>
      <c r="S7" s="20">
        <f t="shared" si="17"/>
        <v>17600</v>
      </c>
      <c r="T7" s="20">
        <f t="shared" si="17"/>
        <v>8800</v>
      </c>
      <c r="U7" s="20">
        <f t="shared" si="18"/>
        <v>1600</v>
      </c>
      <c r="V7" s="20">
        <f t="shared" si="19"/>
        <v>7200</v>
      </c>
      <c r="W7" s="22">
        <f t="shared" si="20"/>
        <v>35200</v>
      </c>
      <c r="X7" s="20">
        <v>31</v>
      </c>
      <c r="Y7" s="20"/>
      <c r="Z7" s="20"/>
      <c r="AA7" s="20">
        <f t="shared" si="0"/>
        <v>31</v>
      </c>
      <c r="AB7" s="20">
        <f t="shared" si="1"/>
        <v>17600</v>
      </c>
      <c r="AC7" s="20">
        <f t="shared" si="2"/>
        <v>8800</v>
      </c>
      <c r="AD7" s="20">
        <f t="shared" si="3"/>
        <v>1600</v>
      </c>
      <c r="AE7" s="20">
        <f t="shared" si="4"/>
        <v>7200</v>
      </c>
      <c r="AF7" s="23">
        <f t="shared" si="5"/>
        <v>35200</v>
      </c>
      <c r="AG7" s="20"/>
      <c r="AH7" s="20"/>
      <c r="AI7" s="23">
        <f t="shared" si="21"/>
        <v>35200</v>
      </c>
      <c r="AJ7" s="25">
        <v>0</v>
      </c>
      <c r="AK7" s="20"/>
      <c r="AL7" s="20">
        <f t="shared" si="23"/>
        <v>0</v>
      </c>
      <c r="AM7" s="20">
        <f t="shared" si="6"/>
        <v>150</v>
      </c>
      <c r="AN7" s="20"/>
      <c r="AO7" s="20"/>
      <c r="AP7" s="20">
        <f t="shared" si="7"/>
        <v>150</v>
      </c>
      <c r="AQ7" s="23">
        <f t="shared" si="24"/>
        <v>35050</v>
      </c>
      <c r="AR7" s="20">
        <f t="shared" si="25"/>
        <v>0</v>
      </c>
      <c r="AS7" s="20">
        <f t="shared" si="8"/>
        <v>0</v>
      </c>
      <c r="AT7" s="20">
        <f t="shared" si="9"/>
        <v>0</v>
      </c>
      <c r="AU7" s="20">
        <f t="shared" si="10"/>
        <v>0</v>
      </c>
      <c r="AV7" s="23">
        <f t="shared" si="11"/>
        <v>35200</v>
      </c>
      <c r="AW7" s="20"/>
      <c r="AX7" s="20">
        <f>MIN(ROUND((S7+V7)*12%,0),1800)</f>
        <v>1800</v>
      </c>
      <c r="AY7" s="20">
        <f t="shared" si="12"/>
        <v>75</v>
      </c>
      <c r="AZ7" s="20">
        <f t="shared" si="13"/>
        <v>75</v>
      </c>
      <c r="BA7" s="20">
        <f t="shared" si="14"/>
        <v>0</v>
      </c>
      <c r="BB7" s="23">
        <f t="shared" si="15"/>
        <v>37150</v>
      </c>
    </row>
    <row r="8" spans="1:54" ht="15" customHeight="1" x14ac:dyDescent="0.25">
      <c r="A8" s="11">
        <f t="shared" si="16"/>
        <v>5</v>
      </c>
      <c r="B8" s="12" t="s">
        <v>60</v>
      </c>
      <c r="C8" s="13" t="s">
        <v>51</v>
      </c>
      <c r="D8" s="13">
        <v>31</v>
      </c>
      <c r="E8" s="14" t="s">
        <v>61</v>
      </c>
      <c r="F8" s="15" t="s">
        <v>62</v>
      </c>
      <c r="G8" s="16"/>
      <c r="H8" s="17"/>
      <c r="I8" s="18"/>
      <c r="J8" s="16"/>
      <c r="K8" s="24"/>
      <c r="L8" s="16"/>
      <c r="M8" s="19"/>
      <c r="N8" s="20"/>
      <c r="O8" s="20"/>
      <c r="P8" s="20"/>
      <c r="Q8" s="20"/>
      <c r="R8" s="12">
        <v>24781</v>
      </c>
      <c r="S8" s="20">
        <f t="shared" si="17"/>
        <v>12391</v>
      </c>
      <c r="T8" s="20">
        <f t="shared" si="17"/>
        <v>6196</v>
      </c>
      <c r="U8" s="20">
        <f t="shared" si="18"/>
        <v>1600</v>
      </c>
      <c r="V8" s="20">
        <f t="shared" si="19"/>
        <v>4594</v>
      </c>
      <c r="W8" s="22">
        <f t="shared" si="20"/>
        <v>24781</v>
      </c>
      <c r="X8" s="20">
        <v>31</v>
      </c>
      <c r="Y8" s="20"/>
      <c r="Z8" s="20"/>
      <c r="AA8" s="20">
        <f t="shared" si="0"/>
        <v>31</v>
      </c>
      <c r="AB8" s="20">
        <f t="shared" si="1"/>
        <v>12391</v>
      </c>
      <c r="AC8" s="20">
        <f t="shared" si="2"/>
        <v>6196</v>
      </c>
      <c r="AD8" s="20">
        <f t="shared" si="3"/>
        <v>1600</v>
      </c>
      <c r="AE8" s="20">
        <f t="shared" si="4"/>
        <v>4594</v>
      </c>
      <c r="AF8" s="23">
        <f t="shared" si="5"/>
        <v>24781</v>
      </c>
      <c r="AG8" s="20"/>
      <c r="AH8" s="20"/>
      <c r="AI8" s="23">
        <f t="shared" si="21"/>
        <v>24781</v>
      </c>
      <c r="AJ8" s="20">
        <f t="shared" ref="AJ8:AJ9" si="27">MIN(ROUND((AB8+AE8)*12%,0),1800)</f>
        <v>1800</v>
      </c>
      <c r="AK8" s="20"/>
      <c r="AL8" s="20">
        <f t="shared" si="23"/>
        <v>0</v>
      </c>
      <c r="AM8" s="20">
        <f t="shared" si="6"/>
        <v>130</v>
      </c>
      <c r="AN8" s="20"/>
      <c r="AO8" s="20"/>
      <c r="AP8" s="20">
        <f t="shared" si="7"/>
        <v>1930</v>
      </c>
      <c r="AQ8" s="23">
        <f t="shared" si="24"/>
        <v>22851</v>
      </c>
      <c r="AR8" s="20">
        <f t="shared" si="25"/>
        <v>1800</v>
      </c>
      <c r="AS8" s="20">
        <f t="shared" si="8"/>
        <v>75</v>
      </c>
      <c r="AT8" s="20">
        <f t="shared" si="9"/>
        <v>75</v>
      </c>
      <c r="AU8" s="20">
        <f t="shared" si="10"/>
        <v>0</v>
      </c>
      <c r="AV8" s="23">
        <f t="shared" si="11"/>
        <v>26731</v>
      </c>
      <c r="AW8" s="20"/>
      <c r="AX8" s="20">
        <f t="shared" ref="AX8:AX9" si="28">MIN(ROUND((S8+V8)*12%,0),1800)</f>
        <v>1800</v>
      </c>
      <c r="AY8" s="20">
        <f t="shared" si="12"/>
        <v>75</v>
      </c>
      <c r="AZ8" s="20">
        <f t="shared" si="13"/>
        <v>75</v>
      </c>
      <c r="BA8" s="20">
        <f t="shared" si="14"/>
        <v>0</v>
      </c>
      <c r="BB8" s="23">
        <f t="shared" si="15"/>
        <v>26731</v>
      </c>
    </row>
    <row r="9" spans="1:54" ht="15" customHeight="1" x14ac:dyDescent="0.25">
      <c r="A9" s="11">
        <f t="shared" si="16"/>
        <v>6</v>
      </c>
      <c r="B9" s="12" t="s">
        <v>63</v>
      </c>
      <c r="C9" s="13" t="s">
        <v>51</v>
      </c>
      <c r="D9" s="13">
        <v>31</v>
      </c>
      <c r="E9" s="14" t="s">
        <v>64</v>
      </c>
      <c r="F9" s="15" t="s">
        <v>62</v>
      </c>
      <c r="G9" s="16"/>
      <c r="H9" s="17"/>
      <c r="I9" s="18"/>
      <c r="J9" s="16"/>
      <c r="K9" s="19"/>
      <c r="L9" s="16"/>
      <c r="M9" s="19"/>
      <c r="N9" s="20"/>
      <c r="O9" s="20"/>
      <c r="P9" s="20"/>
      <c r="Q9" s="20"/>
      <c r="R9" s="12">
        <v>32200</v>
      </c>
      <c r="S9" s="20">
        <f t="shared" si="17"/>
        <v>16100</v>
      </c>
      <c r="T9" s="20">
        <f t="shared" si="17"/>
        <v>8050</v>
      </c>
      <c r="U9" s="20">
        <f t="shared" si="18"/>
        <v>1600</v>
      </c>
      <c r="V9" s="20">
        <f t="shared" si="19"/>
        <v>6450</v>
      </c>
      <c r="W9" s="22">
        <f t="shared" si="20"/>
        <v>32200</v>
      </c>
      <c r="X9" s="20">
        <v>31</v>
      </c>
      <c r="Y9" s="20"/>
      <c r="Z9" s="20"/>
      <c r="AA9" s="20">
        <f t="shared" si="0"/>
        <v>31</v>
      </c>
      <c r="AB9" s="20">
        <f t="shared" si="1"/>
        <v>16100</v>
      </c>
      <c r="AC9" s="20">
        <f t="shared" si="2"/>
        <v>8050</v>
      </c>
      <c r="AD9" s="20">
        <f t="shared" si="3"/>
        <v>1600</v>
      </c>
      <c r="AE9" s="20">
        <f t="shared" si="4"/>
        <v>6450</v>
      </c>
      <c r="AF9" s="23">
        <f t="shared" si="5"/>
        <v>32200</v>
      </c>
      <c r="AG9" s="20"/>
      <c r="AH9" s="20"/>
      <c r="AI9" s="23">
        <f t="shared" si="21"/>
        <v>32200</v>
      </c>
      <c r="AJ9" s="20">
        <f t="shared" si="27"/>
        <v>1800</v>
      </c>
      <c r="AK9" s="20"/>
      <c r="AL9" s="20">
        <f t="shared" si="23"/>
        <v>0</v>
      </c>
      <c r="AM9" s="20">
        <f t="shared" si="6"/>
        <v>150</v>
      </c>
      <c r="AN9" s="20"/>
      <c r="AO9" s="20"/>
      <c r="AP9" s="20">
        <f t="shared" si="7"/>
        <v>1950</v>
      </c>
      <c r="AQ9" s="23">
        <f t="shared" si="24"/>
        <v>30250</v>
      </c>
      <c r="AR9" s="20">
        <f t="shared" si="25"/>
        <v>1800</v>
      </c>
      <c r="AS9" s="20">
        <f t="shared" si="8"/>
        <v>75</v>
      </c>
      <c r="AT9" s="20">
        <f t="shared" si="9"/>
        <v>75</v>
      </c>
      <c r="AU9" s="20">
        <f t="shared" si="10"/>
        <v>0</v>
      </c>
      <c r="AV9" s="23">
        <f t="shared" si="11"/>
        <v>34150</v>
      </c>
      <c r="AW9" s="20"/>
      <c r="AX9" s="20">
        <f t="shared" si="28"/>
        <v>1800</v>
      </c>
      <c r="AY9" s="20">
        <f t="shared" si="12"/>
        <v>75</v>
      </c>
      <c r="AZ9" s="20">
        <f t="shared" si="13"/>
        <v>75</v>
      </c>
      <c r="BA9" s="20">
        <f t="shared" si="14"/>
        <v>0</v>
      </c>
      <c r="BB9" s="23">
        <f t="shared" si="15"/>
        <v>34150</v>
      </c>
    </row>
    <row r="10" spans="1:54" ht="15" customHeight="1" x14ac:dyDescent="0.25">
      <c r="A10" s="11">
        <f t="shared" si="16"/>
        <v>7</v>
      </c>
      <c r="B10" s="12" t="s">
        <v>65</v>
      </c>
      <c r="C10" s="13" t="s">
        <v>51</v>
      </c>
      <c r="D10" s="13">
        <v>31</v>
      </c>
      <c r="E10" s="14" t="s">
        <v>66</v>
      </c>
      <c r="F10" s="15" t="s">
        <v>62</v>
      </c>
      <c r="G10" s="16"/>
      <c r="H10" s="17"/>
      <c r="I10" s="18"/>
      <c r="J10" s="16"/>
      <c r="K10" s="19"/>
      <c r="L10" s="16"/>
      <c r="M10" s="19"/>
      <c r="N10" s="20"/>
      <c r="O10" s="20"/>
      <c r="P10" s="20"/>
      <c r="Q10" s="20"/>
      <c r="R10" s="12">
        <v>49500</v>
      </c>
      <c r="S10" s="20">
        <f t="shared" si="17"/>
        <v>24750</v>
      </c>
      <c r="T10" s="20">
        <f t="shared" si="17"/>
        <v>12375</v>
      </c>
      <c r="U10" s="20">
        <f t="shared" si="18"/>
        <v>1600</v>
      </c>
      <c r="V10" s="20">
        <f t="shared" si="19"/>
        <v>10775</v>
      </c>
      <c r="W10" s="22">
        <f t="shared" si="20"/>
        <v>49500</v>
      </c>
      <c r="X10" s="20">
        <v>31</v>
      </c>
      <c r="Y10" s="20"/>
      <c r="Z10" s="20"/>
      <c r="AA10" s="20">
        <f t="shared" si="0"/>
        <v>31</v>
      </c>
      <c r="AB10" s="20">
        <f t="shared" si="1"/>
        <v>24750</v>
      </c>
      <c r="AC10" s="20">
        <f t="shared" si="2"/>
        <v>12375</v>
      </c>
      <c r="AD10" s="20">
        <f t="shared" si="3"/>
        <v>1600</v>
      </c>
      <c r="AE10" s="20">
        <f t="shared" si="4"/>
        <v>10775</v>
      </c>
      <c r="AF10" s="23">
        <f t="shared" si="5"/>
        <v>49500</v>
      </c>
      <c r="AG10" s="20"/>
      <c r="AH10" s="20"/>
      <c r="AI10" s="23">
        <f t="shared" si="21"/>
        <v>49500</v>
      </c>
      <c r="AJ10" s="25">
        <v>0</v>
      </c>
      <c r="AK10" s="20"/>
      <c r="AL10" s="20">
        <f t="shared" si="23"/>
        <v>0</v>
      </c>
      <c r="AM10" s="20">
        <f t="shared" si="6"/>
        <v>200</v>
      </c>
      <c r="AN10" s="20"/>
      <c r="AO10" s="20"/>
      <c r="AP10" s="20">
        <f t="shared" si="7"/>
        <v>200</v>
      </c>
      <c r="AQ10" s="23">
        <f t="shared" si="24"/>
        <v>49300</v>
      </c>
      <c r="AR10" s="20">
        <f t="shared" si="25"/>
        <v>0</v>
      </c>
      <c r="AS10" s="20">
        <f t="shared" si="8"/>
        <v>0</v>
      </c>
      <c r="AT10" s="20">
        <f t="shared" si="9"/>
        <v>0</v>
      </c>
      <c r="AU10" s="20">
        <f t="shared" si="10"/>
        <v>0</v>
      </c>
      <c r="AV10" s="23">
        <f t="shared" si="11"/>
        <v>49500</v>
      </c>
      <c r="AW10" s="20"/>
      <c r="AX10" s="20">
        <v>0</v>
      </c>
      <c r="AY10" s="20">
        <f t="shared" si="12"/>
        <v>0</v>
      </c>
      <c r="AZ10" s="20">
        <f t="shared" si="13"/>
        <v>0</v>
      </c>
      <c r="BA10" s="20">
        <f t="shared" si="14"/>
        <v>0</v>
      </c>
      <c r="BB10" s="23">
        <f t="shared" si="15"/>
        <v>49500</v>
      </c>
    </row>
    <row r="11" spans="1:54" ht="15" customHeight="1" x14ac:dyDescent="0.25">
      <c r="A11" s="11">
        <f t="shared" si="16"/>
        <v>8</v>
      </c>
      <c r="B11" s="12" t="s">
        <v>67</v>
      </c>
      <c r="C11" s="13" t="s">
        <v>51</v>
      </c>
      <c r="D11" s="13">
        <v>31</v>
      </c>
      <c r="E11" s="26" t="s">
        <v>68</v>
      </c>
      <c r="F11" s="15" t="s">
        <v>62</v>
      </c>
      <c r="G11" s="16"/>
      <c r="H11" s="17"/>
      <c r="I11" s="18"/>
      <c r="J11" s="16"/>
      <c r="K11" s="19"/>
      <c r="L11" s="16"/>
      <c r="M11" s="19"/>
      <c r="N11" s="20"/>
      <c r="O11" s="21"/>
      <c r="P11" s="20"/>
      <c r="Q11" s="20"/>
      <c r="R11" s="12">
        <v>24781</v>
      </c>
      <c r="S11" s="20">
        <f t="shared" si="17"/>
        <v>12391</v>
      </c>
      <c r="T11" s="20">
        <f t="shared" si="17"/>
        <v>6196</v>
      </c>
      <c r="U11" s="20">
        <f t="shared" si="18"/>
        <v>1600</v>
      </c>
      <c r="V11" s="20">
        <f t="shared" si="19"/>
        <v>4594</v>
      </c>
      <c r="W11" s="22">
        <f t="shared" si="20"/>
        <v>24781</v>
      </c>
      <c r="X11" s="20">
        <v>31</v>
      </c>
      <c r="Y11" s="20"/>
      <c r="Z11" s="20"/>
      <c r="AA11" s="20">
        <f t="shared" si="0"/>
        <v>31</v>
      </c>
      <c r="AB11" s="20">
        <f t="shared" si="1"/>
        <v>12391</v>
      </c>
      <c r="AC11" s="20">
        <f t="shared" si="2"/>
        <v>6196</v>
      </c>
      <c r="AD11" s="20">
        <f t="shared" si="3"/>
        <v>1600</v>
      </c>
      <c r="AE11" s="20">
        <f t="shared" si="4"/>
        <v>4594</v>
      </c>
      <c r="AF11" s="23">
        <f t="shared" si="5"/>
        <v>24781</v>
      </c>
      <c r="AG11" s="20"/>
      <c r="AH11" s="20"/>
      <c r="AI11" s="23">
        <f t="shared" si="21"/>
        <v>24781</v>
      </c>
      <c r="AJ11" s="20">
        <f>MIN(ROUND((AB11+AE11)*12%,0),1800)</f>
        <v>1800</v>
      </c>
      <c r="AK11" s="20"/>
      <c r="AL11" s="20">
        <f t="shared" si="23"/>
        <v>0</v>
      </c>
      <c r="AM11" s="20">
        <f t="shared" si="6"/>
        <v>130</v>
      </c>
      <c r="AN11" s="20"/>
      <c r="AO11" s="20"/>
      <c r="AP11" s="20">
        <f t="shared" si="7"/>
        <v>1930</v>
      </c>
      <c r="AQ11" s="23">
        <f t="shared" si="24"/>
        <v>22851</v>
      </c>
      <c r="AR11" s="20">
        <f t="shared" si="25"/>
        <v>1800</v>
      </c>
      <c r="AS11" s="20">
        <f t="shared" si="8"/>
        <v>75</v>
      </c>
      <c r="AT11" s="20">
        <f t="shared" si="9"/>
        <v>75</v>
      </c>
      <c r="AU11" s="20">
        <f t="shared" si="10"/>
        <v>0</v>
      </c>
      <c r="AV11" s="23">
        <f t="shared" si="11"/>
        <v>26731</v>
      </c>
      <c r="AW11" s="20"/>
      <c r="AX11" s="20">
        <f>MIN(ROUND((S11+V11)*12%,0),1800)</f>
        <v>1800</v>
      </c>
      <c r="AY11" s="20">
        <f t="shared" si="12"/>
        <v>75</v>
      </c>
      <c r="AZ11" s="20">
        <f t="shared" si="13"/>
        <v>75</v>
      </c>
      <c r="BA11" s="20">
        <f t="shared" si="14"/>
        <v>0</v>
      </c>
      <c r="BB11" s="23">
        <f t="shared" si="15"/>
        <v>26731</v>
      </c>
    </row>
    <row r="12" spans="1:54" ht="15" customHeight="1" x14ac:dyDescent="0.25">
      <c r="A12" s="11">
        <f t="shared" si="16"/>
        <v>9</v>
      </c>
      <c r="B12" s="12" t="s">
        <v>69</v>
      </c>
      <c r="C12" s="13" t="s">
        <v>51</v>
      </c>
      <c r="D12" s="13">
        <v>31</v>
      </c>
      <c r="E12" s="26" t="s">
        <v>70</v>
      </c>
      <c r="F12" s="27" t="s">
        <v>71</v>
      </c>
      <c r="G12" s="16"/>
      <c r="H12" s="17"/>
      <c r="I12" s="18"/>
      <c r="J12" s="16"/>
      <c r="K12" s="19"/>
      <c r="L12" s="16"/>
      <c r="M12" s="19"/>
      <c r="N12" s="28"/>
      <c r="O12" s="20"/>
      <c r="P12" s="20"/>
      <c r="Q12" s="20"/>
      <c r="R12" s="12">
        <v>62000</v>
      </c>
      <c r="S12" s="20">
        <f t="shared" si="17"/>
        <v>31000</v>
      </c>
      <c r="T12" s="20">
        <f t="shared" si="17"/>
        <v>15500</v>
      </c>
      <c r="U12" s="20">
        <f t="shared" si="18"/>
        <v>1600</v>
      </c>
      <c r="V12" s="20">
        <f t="shared" si="19"/>
        <v>13900</v>
      </c>
      <c r="W12" s="22">
        <f t="shared" si="20"/>
        <v>62000</v>
      </c>
      <c r="X12" s="20">
        <v>31</v>
      </c>
      <c r="Y12" s="20"/>
      <c r="Z12" s="20"/>
      <c r="AA12" s="20">
        <f t="shared" si="0"/>
        <v>31</v>
      </c>
      <c r="AB12" s="20">
        <f t="shared" si="1"/>
        <v>31000</v>
      </c>
      <c r="AC12" s="20">
        <f t="shared" si="2"/>
        <v>15500</v>
      </c>
      <c r="AD12" s="20">
        <f t="shared" si="3"/>
        <v>1600</v>
      </c>
      <c r="AE12" s="20">
        <f t="shared" si="4"/>
        <v>13900</v>
      </c>
      <c r="AF12" s="23">
        <f t="shared" si="5"/>
        <v>62000</v>
      </c>
      <c r="AG12" s="20"/>
      <c r="AH12" s="20"/>
      <c r="AI12" s="23">
        <f t="shared" si="21"/>
        <v>62000</v>
      </c>
      <c r="AJ12" s="25">
        <v>0</v>
      </c>
      <c r="AK12" s="20"/>
      <c r="AL12" s="20">
        <f t="shared" si="23"/>
        <v>0</v>
      </c>
      <c r="AM12" s="20">
        <f t="shared" si="6"/>
        <v>200</v>
      </c>
      <c r="AN12" s="20"/>
      <c r="AO12" s="20"/>
      <c r="AP12" s="20">
        <f t="shared" si="7"/>
        <v>200</v>
      </c>
      <c r="AQ12" s="23">
        <f t="shared" si="24"/>
        <v>61800</v>
      </c>
      <c r="AR12" s="20">
        <f t="shared" si="25"/>
        <v>0</v>
      </c>
      <c r="AS12" s="20">
        <f t="shared" si="8"/>
        <v>0</v>
      </c>
      <c r="AT12" s="20">
        <f t="shared" si="9"/>
        <v>0</v>
      </c>
      <c r="AU12" s="20">
        <f t="shared" si="10"/>
        <v>0</v>
      </c>
      <c r="AV12" s="23">
        <f t="shared" ref="AV12:AV75" si="29">AI12+AR12+AS12+AT12+AU12</f>
        <v>62000</v>
      </c>
      <c r="AW12" s="20"/>
      <c r="AX12" s="20">
        <v>0</v>
      </c>
      <c r="AY12" s="20">
        <f t="shared" si="12"/>
        <v>0</v>
      </c>
      <c r="AZ12" s="20">
        <f t="shared" si="13"/>
        <v>0</v>
      </c>
      <c r="BA12" s="20">
        <f t="shared" si="14"/>
        <v>0</v>
      </c>
      <c r="BB12" s="23">
        <f t="shared" si="15"/>
        <v>62000</v>
      </c>
    </row>
    <row r="13" spans="1:54" ht="15" customHeight="1" x14ac:dyDescent="0.25">
      <c r="A13" s="11">
        <f t="shared" si="16"/>
        <v>10</v>
      </c>
      <c r="B13" s="12" t="s">
        <v>72</v>
      </c>
      <c r="C13" s="13" t="s">
        <v>51</v>
      </c>
      <c r="D13" s="13">
        <v>31</v>
      </c>
      <c r="E13" s="26" t="s">
        <v>73</v>
      </c>
      <c r="F13" s="15" t="s">
        <v>53</v>
      </c>
      <c r="G13" s="29"/>
      <c r="H13" s="28"/>
      <c r="I13" s="28"/>
      <c r="J13" s="16"/>
      <c r="K13" s="29"/>
      <c r="L13" s="29"/>
      <c r="M13" s="29"/>
      <c r="N13" s="28"/>
      <c r="O13" s="20"/>
      <c r="P13" s="20"/>
      <c r="Q13" s="20"/>
      <c r="R13" s="12">
        <v>21350</v>
      </c>
      <c r="S13" s="20">
        <f t="shared" si="17"/>
        <v>10675</v>
      </c>
      <c r="T13" s="20">
        <f t="shared" si="17"/>
        <v>5338</v>
      </c>
      <c r="U13" s="20">
        <f t="shared" si="18"/>
        <v>1600</v>
      </c>
      <c r="V13" s="20">
        <f t="shared" si="19"/>
        <v>3737</v>
      </c>
      <c r="W13" s="22">
        <f t="shared" si="20"/>
        <v>21350</v>
      </c>
      <c r="X13" s="20">
        <v>31</v>
      </c>
      <c r="Y13" s="20"/>
      <c r="Z13" s="20"/>
      <c r="AA13" s="20">
        <f t="shared" si="0"/>
        <v>31</v>
      </c>
      <c r="AB13" s="20">
        <f t="shared" si="1"/>
        <v>10675</v>
      </c>
      <c r="AC13" s="20">
        <f t="shared" si="2"/>
        <v>5338</v>
      </c>
      <c r="AD13" s="20">
        <f t="shared" si="3"/>
        <v>1600</v>
      </c>
      <c r="AE13" s="20">
        <f t="shared" si="4"/>
        <v>3737</v>
      </c>
      <c r="AF13" s="23">
        <f t="shared" si="5"/>
        <v>21350</v>
      </c>
      <c r="AG13" s="20"/>
      <c r="AH13" s="20"/>
      <c r="AI13" s="23">
        <f t="shared" si="21"/>
        <v>21350</v>
      </c>
      <c r="AJ13" s="20">
        <f>MIN(ROUND((AB13+AE13)*12%,0),1800)</f>
        <v>1729</v>
      </c>
      <c r="AK13" s="20"/>
      <c r="AL13" s="20">
        <f t="shared" si="23"/>
        <v>0</v>
      </c>
      <c r="AM13" s="20">
        <f t="shared" si="6"/>
        <v>130</v>
      </c>
      <c r="AN13" s="20"/>
      <c r="AO13" s="20"/>
      <c r="AP13" s="20">
        <f t="shared" si="7"/>
        <v>1859</v>
      </c>
      <c r="AQ13" s="23">
        <f t="shared" si="24"/>
        <v>19491</v>
      </c>
      <c r="AR13" s="20">
        <f t="shared" si="25"/>
        <v>1729</v>
      </c>
      <c r="AS13" s="20">
        <f t="shared" si="8"/>
        <v>72</v>
      </c>
      <c r="AT13" s="20">
        <f t="shared" si="9"/>
        <v>72</v>
      </c>
      <c r="AU13" s="20">
        <v>0</v>
      </c>
      <c r="AV13" s="23">
        <f t="shared" si="29"/>
        <v>23223</v>
      </c>
      <c r="AW13" s="20"/>
      <c r="AX13" s="20">
        <f>MIN(ROUND((S13+V13)*12%,0),1800)</f>
        <v>1729</v>
      </c>
      <c r="AY13" s="20">
        <f t="shared" si="12"/>
        <v>72</v>
      </c>
      <c r="AZ13" s="20">
        <f t="shared" si="13"/>
        <v>72</v>
      </c>
      <c r="BA13" s="20">
        <v>0</v>
      </c>
      <c r="BB13" s="23">
        <f t="shared" si="15"/>
        <v>23223</v>
      </c>
    </row>
    <row r="14" spans="1:54" ht="15" customHeight="1" x14ac:dyDescent="0.25">
      <c r="A14" s="11">
        <f t="shared" si="16"/>
        <v>11</v>
      </c>
      <c r="B14" s="30" t="s">
        <v>74</v>
      </c>
      <c r="C14" s="13" t="s">
        <v>51</v>
      </c>
      <c r="D14" s="13">
        <v>31</v>
      </c>
      <c r="E14" s="26" t="s">
        <v>75</v>
      </c>
      <c r="F14" s="31" t="s">
        <v>76</v>
      </c>
      <c r="G14" s="16"/>
      <c r="H14" s="17"/>
      <c r="I14" s="18"/>
      <c r="J14" s="16"/>
      <c r="K14" s="19"/>
      <c r="L14" s="16"/>
      <c r="M14" s="19"/>
      <c r="N14" s="28"/>
      <c r="O14" s="20"/>
      <c r="P14" s="20"/>
      <c r="Q14" s="20"/>
      <c r="R14" s="12">
        <v>45000</v>
      </c>
      <c r="S14" s="20">
        <f t="shared" si="17"/>
        <v>22500</v>
      </c>
      <c r="T14" s="20">
        <f t="shared" si="17"/>
        <v>11250</v>
      </c>
      <c r="U14" s="20">
        <f t="shared" si="18"/>
        <v>1600</v>
      </c>
      <c r="V14" s="20">
        <f t="shared" si="19"/>
        <v>9650</v>
      </c>
      <c r="W14" s="22">
        <f t="shared" si="20"/>
        <v>45000</v>
      </c>
      <c r="X14" s="20">
        <v>31</v>
      </c>
      <c r="Y14" s="20"/>
      <c r="Z14" s="20"/>
      <c r="AA14" s="20">
        <f t="shared" si="0"/>
        <v>31</v>
      </c>
      <c r="AB14" s="20">
        <f t="shared" si="1"/>
        <v>22500</v>
      </c>
      <c r="AC14" s="20">
        <f t="shared" si="2"/>
        <v>11250</v>
      </c>
      <c r="AD14" s="20">
        <f t="shared" si="3"/>
        <v>1600</v>
      </c>
      <c r="AE14" s="20">
        <f t="shared" si="4"/>
        <v>9650</v>
      </c>
      <c r="AF14" s="23">
        <f t="shared" si="5"/>
        <v>45000</v>
      </c>
      <c r="AG14" s="20"/>
      <c r="AH14" s="23"/>
      <c r="AI14" s="23">
        <f t="shared" si="21"/>
        <v>45000</v>
      </c>
      <c r="AJ14" s="25">
        <v>0</v>
      </c>
      <c r="AK14" s="20"/>
      <c r="AL14" s="20">
        <f t="shared" si="23"/>
        <v>0</v>
      </c>
      <c r="AM14" s="20">
        <f t="shared" si="6"/>
        <v>200</v>
      </c>
      <c r="AN14" s="20"/>
      <c r="AO14" s="20"/>
      <c r="AP14" s="20">
        <f t="shared" si="7"/>
        <v>200</v>
      </c>
      <c r="AQ14" s="23">
        <f t="shared" si="24"/>
        <v>44800</v>
      </c>
      <c r="AR14" s="20">
        <f t="shared" si="25"/>
        <v>0</v>
      </c>
      <c r="AS14" s="20">
        <f t="shared" si="8"/>
        <v>0</v>
      </c>
      <c r="AT14" s="20">
        <f t="shared" si="9"/>
        <v>0</v>
      </c>
      <c r="AU14" s="20">
        <f t="shared" ref="AU14:AU19" si="30">ROUNDUP(IF(W14&gt;21000,0,IF(W14&lt;=21000,(AF14+AG14)*3.25%,0)),0)</f>
        <v>0</v>
      </c>
      <c r="AV14" s="23">
        <f t="shared" si="29"/>
        <v>45000</v>
      </c>
      <c r="AW14" s="20"/>
      <c r="AX14" s="20"/>
      <c r="AY14" s="20">
        <f t="shared" si="12"/>
        <v>0</v>
      </c>
      <c r="AZ14" s="20">
        <f t="shared" si="13"/>
        <v>0</v>
      </c>
      <c r="BA14" s="20">
        <f t="shared" ref="BA14:BA25" si="31">ROUNDUP(IF(W14&gt;21000,0,IF(W14&lt;=21000,(AF14+AG14)*3.25%,0)),0)</f>
        <v>0</v>
      </c>
      <c r="BB14" s="23">
        <f t="shared" si="15"/>
        <v>45000</v>
      </c>
    </row>
    <row r="15" spans="1:54" ht="15" customHeight="1" x14ac:dyDescent="0.25">
      <c r="A15" s="11">
        <f t="shared" si="16"/>
        <v>12</v>
      </c>
      <c r="B15" s="12" t="s">
        <v>77</v>
      </c>
      <c r="C15" s="13" t="s">
        <v>51</v>
      </c>
      <c r="D15" s="13">
        <v>31</v>
      </c>
      <c r="E15" s="14" t="s">
        <v>78</v>
      </c>
      <c r="F15" s="15" t="s">
        <v>79</v>
      </c>
      <c r="G15" s="16"/>
      <c r="H15" s="17"/>
      <c r="I15" s="18"/>
      <c r="J15" s="16"/>
      <c r="K15" s="19"/>
      <c r="L15" s="16"/>
      <c r="M15" s="19"/>
      <c r="N15" s="28"/>
      <c r="O15" s="20"/>
      <c r="P15" s="20"/>
      <c r="Q15" s="20"/>
      <c r="R15" s="12">
        <v>41600</v>
      </c>
      <c r="S15" s="20">
        <f t="shared" si="17"/>
        <v>20800</v>
      </c>
      <c r="T15" s="20">
        <f t="shared" si="17"/>
        <v>10400</v>
      </c>
      <c r="U15" s="20">
        <f t="shared" si="18"/>
        <v>1600</v>
      </c>
      <c r="V15" s="20">
        <f t="shared" si="19"/>
        <v>8800</v>
      </c>
      <c r="W15" s="22">
        <f t="shared" si="20"/>
        <v>41600</v>
      </c>
      <c r="X15" s="20">
        <v>31</v>
      </c>
      <c r="Y15" s="20"/>
      <c r="Z15" s="20"/>
      <c r="AA15" s="20">
        <f t="shared" si="0"/>
        <v>31</v>
      </c>
      <c r="AB15" s="20">
        <f t="shared" si="1"/>
        <v>20800</v>
      </c>
      <c r="AC15" s="20">
        <f t="shared" si="2"/>
        <v>10400</v>
      </c>
      <c r="AD15" s="20">
        <f t="shared" si="3"/>
        <v>1600</v>
      </c>
      <c r="AE15" s="20">
        <f t="shared" si="4"/>
        <v>8800</v>
      </c>
      <c r="AF15" s="23">
        <f t="shared" si="5"/>
        <v>41600</v>
      </c>
      <c r="AG15" s="20"/>
      <c r="AH15" s="23"/>
      <c r="AI15" s="23">
        <f t="shared" si="21"/>
        <v>41600</v>
      </c>
      <c r="AJ15" s="25">
        <v>0</v>
      </c>
      <c r="AK15" s="20"/>
      <c r="AL15" s="20">
        <f t="shared" si="23"/>
        <v>0</v>
      </c>
      <c r="AM15" s="20">
        <f t="shared" si="6"/>
        <v>200</v>
      </c>
      <c r="AN15" s="20"/>
      <c r="AO15" s="20"/>
      <c r="AP15" s="20">
        <f t="shared" si="7"/>
        <v>200</v>
      </c>
      <c r="AQ15" s="23">
        <f t="shared" si="24"/>
        <v>41400</v>
      </c>
      <c r="AR15" s="20">
        <f t="shared" si="25"/>
        <v>0</v>
      </c>
      <c r="AS15" s="20">
        <f t="shared" si="8"/>
        <v>0</v>
      </c>
      <c r="AT15" s="20">
        <f t="shared" si="9"/>
        <v>0</v>
      </c>
      <c r="AU15" s="20">
        <f t="shared" si="30"/>
        <v>0</v>
      </c>
      <c r="AV15" s="23">
        <f t="shared" si="29"/>
        <v>41600</v>
      </c>
      <c r="AW15" s="20"/>
      <c r="AX15" s="20"/>
      <c r="AY15" s="20">
        <f t="shared" si="12"/>
        <v>0</v>
      </c>
      <c r="AZ15" s="20">
        <f t="shared" si="13"/>
        <v>0</v>
      </c>
      <c r="BA15" s="20">
        <f t="shared" si="31"/>
        <v>0</v>
      </c>
      <c r="BB15" s="23">
        <f t="shared" si="15"/>
        <v>41600</v>
      </c>
    </row>
    <row r="16" spans="1:54" ht="15" customHeight="1" x14ac:dyDescent="0.25">
      <c r="A16" s="11">
        <f t="shared" si="16"/>
        <v>13</v>
      </c>
      <c r="B16" s="30" t="s">
        <v>80</v>
      </c>
      <c r="C16" s="13" t="s">
        <v>51</v>
      </c>
      <c r="D16" s="13">
        <v>31</v>
      </c>
      <c r="E16" s="26" t="s">
        <v>81</v>
      </c>
      <c r="F16" s="32" t="s">
        <v>79</v>
      </c>
      <c r="G16" s="16"/>
      <c r="H16" s="17"/>
      <c r="I16" s="18"/>
      <c r="J16" s="16"/>
      <c r="K16" s="19"/>
      <c r="L16" s="16"/>
      <c r="M16" s="19"/>
      <c r="N16" s="28"/>
      <c r="O16" s="21"/>
      <c r="P16" s="20"/>
      <c r="Q16" s="20"/>
      <c r="R16" s="12">
        <v>32200</v>
      </c>
      <c r="S16" s="20">
        <f t="shared" si="17"/>
        <v>16100</v>
      </c>
      <c r="T16" s="20">
        <f t="shared" si="17"/>
        <v>8050</v>
      </c>
      <c r="U16" s="20">
        <f t="shared" si="18"/>
        <v>1600</v>
      </c>
      <c r="V16" s="20">
        <f t="shared" si="19"/>
        <v>6450</v>
      </c>
      <c r="W16" s="22">
        <f t="shared" si="20"/>
        <v>32200</v>
      </c>
      <c r="X16" s="20">
        <v>31</v>
      </c>
      <c r="Y16" s="20"/>
      <c r="Z16" s="20"/>
      <c r="AA16" s="20">
        <f t="shared" si="0"/>
        <v>31</v>
      </c>
      <c r="AB16" s="20">
        <f t="shared" si="1"/>
        <v>16100</v>
      </c>
      <c r="AC16" s="20">
        <f t="shared" si="2"/>
        <v>8050</v>
      </c>
      <c r="AD16" s="20">
        <f t="shared" si="3"/>
        <v>1600</v>
      </c>
      <c r="AE16" s="20">
        <f t="shared" si="4"/>
        <v>6450</v>
      </c>
      <c r="AF16" s="23">
        <f t="shared" si="5"/>
        <v>32200</v>
      </c>
      <c r="AG16" s="20"/>
      <c r="AH16" s="23"/>
      <c r="AI16" s="23">
        <f t="shared" si="21"/>
        <v>32200</v>
      </c>
      <c r="AJ16" s="25">
        <v>0</v>
      </c>
      <c r="AK16" s="20"/>
      <c r="AL16" s="20">
        <f t="shared" si="23"/>
        <v>0</v>
      </c>
      <c r="AM16" s="20">
        <f t="shared" si="6"/>
        <v>150</v>
      </c>
      <c r="AN16" s="20"/>
      <c r="AO16" s="20"/>
      <c r="AP16" s="20">
        <f t="shared" si="7"/>
        <v>150</v>
      </c>
      <c r="AQ16" s="23">
        <f t="shared" si="24"/>
        <v>32050</v>
      </c>
      <c r="AR16" s="20">
        <f t="shared" si="25"/>
        <v>0</v>
      </c>
      <c r="AS16" s="20">
        <f t="shared" si="8"/>
        <v>0</v>
      </c>
      <c r="AT16" s="20">
        <f t="shared" si="9"/>
        <v>0</v>
      </c>
      <c r="AU16" s="20">
        <f t="shared" si="30"/>
        <v>0</v>
      </c>
      <c r="AV16" s="23">
        <f t="shared" si="29"/>
        <v>32200</v>
      </c>
      <c r="AW16" s="20"/>
      <c r="AX16" s="20">
        <f>MIN(ROUND((S16+V16)*12%,0),1800)</f>
        <v>1800</v>
      </c>
      <c r="AY16" s="20">
        <f t="shared" si="12"/>
        <v>75</v>
      </c>
      <c r="AZ16" s="20">
        <f t="shared" si="13"/>
        <v>75</v>
      </c>
      <c r="BA16" s="20">
        <f t="shared" si="31"/>
        <v>0</v>
      </c>
      <c r="BB16" s="23">
        <f t="shared" si="15"/>
        <v>34150</v>
      </c>
    </row>
    <row r="17" spans="1:54" ht="15" customHeight="1" x14ac:dyDescent="0.25">
      <c r="A17" s="11">
        <f t="shared" si="16"/>
        <v>14</v>
      </c>
      <c r="B17" s="30" t="s">
        <v>82</v>
      </c>
      <c r="C17" s="13" t="s">
        <v>51</v>
      </c>
      <c r="D17" s="13">
        <v>31</v>
      </c>
      <c r="E17" s="26" t="s">
        <v>83</v>
      </c>
      <c r="F17" s="32" t="s">
        <v>84</v>
      </c>
      <c r="G17" s="16"/>
      <c r="H17" s="17"/>
      <c r="I17" s="18"/>
      <c r="J17" s="16"/>
      <c r="K17" s="19"/>
      <c r="L17" s="16"/>
      <c r="M17" s="19"/>
      <c r="N17" s="20"/>
      <c r="O17" s="20"/>
      <c r="P17" s="20"/>
      <c r="Q17" s="20"/>
      <c r="R17" s="12">
        <v>28200</v>
      </c>
      <c r="S17" s="20">
        <f t="shared" si="17"/>
        <v>14100</v>
      </c>
      <c r="T17" s="20">
        <f t="shared" si="17"/>
        <v>7050</v>
      </c>
      <c r="U17" s="20">
        <f t="shared" si="18"/>
        <v>1600</v>
      </c>
      <c r="V17" s="20">
        <f t="shared" si="19"/>
        <v>5450</v>
      </c>
      <c r="W17" s="22">
        <f t="shared" si="20"/>
        <v>28200</v>
      </c>
      <c r="X17" s="20">
        <v>31</v>
      </c>
      <c r="Y17" s="20"/>
      <c r="Z17" s="20"/>
      <c r="AA17" s="20">
        <f t="shared" si="0"/>
        <v>31</v>
      </c>
      <c r="AB17" s="20">
        <f t="shared" si="1"/>
        <v>14100</v>
      </c>
      <c r="AC17" s="20">
        <f t="shared" si="2"/>
        <v>7050</v>
      </c>
      <c r="AD17" s="20">
        <f t="shared" si="3"/>
        <v>1600</v>
      </c>
      <c r="AE17" s="20">
        <f t="shared" si="4"/>
        <v>5450</v>
      </c>
      <c r="AF17" s="23">
        <f t="shared" si="5"/>
        <v>28200</v>
      </c>
      <c r="AG17" s="20"/>
      <c r="AH17" s="23"/>
      <c r="AI17" s="23">
        <f t="shared" si="21"/>
        <v>28200</v>
      </c>
      <c r="AJ17" s="25">
        <v>0</v>
      </c>
      <c r="AK17" s="20"/>
      <c r="AL17" s="20">
        <f t="shared" si="23"/>
        <v>0</v>
      </c>
      <c r="AM17" s="20">
        <f t="shared" si="6"/>
        <v>150</v>
      </c>
      <c r="AN17" s="20"/>
      <c r="AO17" s="20"/>
      <c r="AP17" s="20">
        <f t="shared" si="7"/>
        <v>150</v>
      </c>
      <c r="AQ17" s="23">
        <f t="shared" si="24"/>
        <v>28050</v>
      </c>
      <c r="AR17" s="20">
        <f t="shared" si="25"/>
        <v>0</v>
      </c>
      <c r="AS17" s="20">
        <f t="shared" si="8"/>
        <v>0</v>
      </c>
      <c r="AT17" s="20">
        <f t="shared" si="9"/>
        <v>0</v>
      </c>
      <c r="AU17" s="20">
        <f t="shared" si="30"/>
        <v>0</v>
      </c>
      <c r="AV17" s="23">
        <f t="shared" si="29"/>
        <v>28200</v>
      </c>
      <c r="AW17" s="20"/>
      <c r="AX17" s="20"/>
      <c r="AY17" s="20">
        <f t="shared" si="12"/>
        <v>0</v>
      </c>
      <c r="AZ17" s="20">
        <f t="shared" si="13"/>
        <v>0</v>
      </c>
      <c r="BA17" s="20">
        <f t="shared" si="31"/>
        <v>0</v>
      </c>
      <c r="BB17" s="23">
        <f t="shared" si="15"/>
        <v>28200</v>
      </c>
    </row>
    <row r="18" spans="1:54" ht="15" customHeight="1" x14ac:dyDescent="0.25">
      <c r="A18" s="11">
        <f t="shared" si="16"/>
        <v>15</v>
      </c>
      <c r="B18" s="33" t="s">
        <v>85</v>
      </c>
      <c r="C18" s="13" t="s">
        <v>51</v>
      </c>
      <c r="D18" s="13">
        <v>31</v>
      </c>
      <c r="E18" s="26" t="s">
        <v>86</v>
      </c>
      <c r="F18" s="34" t="s">
        <v>87</v>
      </c>
      <c r="G18" s="16"/>
      <c r="H18" s="17"/>
      <c r="I18" s="18"/>
      <c r="J18" s="16"/>
      <c r="K18" s="19"/>
      <c r="L18" s="16"/>
      <c r="M18" s="19"/>
      <c r="N18" s="28"/>
      <c r="O18" s="20"/>
      <c r="P18" s="20"/>
      <c r="Q18" s="20"/>
      <c r="R18" s="12">
        <v>14050</v>
      </c>
      <c r="S18" s="20">
        <v>11762</v>
      </c>
      <c r="T18" s="20">
        <f>ROUND(S18*5%,0)</f>
        <v>588</v>
      </c>
      <c r="U18" s="20">
        <f t="shared" si="18"/>
        <v>1000</v>
      </c>
      <c r="V18" s="20">
        <v>700</v>
      </c>
      <c r="W18" s="22">
        <f t="shared" si="20"/>
        <v>14050</v>
      </c>
      <c r="X18" s="20">
        <v>31</v>
      </c>
      <c r="Y18" s="20"/>
      <c r="Z18" s="20"/>
      <c r="AA18" s="20">
        <f t="shared" si="0"/>
        <v>31</v>
      </c>
      <c r="AB18" s="20">
        <f t="shared" si="1"/>
        <v>11762</v>
      </c>
      <c r="AC18" s="20">
        <f t="shared" si="2"/>
        <v>588</v>
      </c>
      <c r="AD18" s="20">
        <f t="shared" si="3"/>
        <v>1000</v>
      </c>
      <c r="AE18" s="20">
        <f t="shared" si="4"/>
        <v>700</v>
      </c>
      <c r="AF18" s="23">
        <f t="shared" si="5"/>
        <v>14050</v>
      </c>
      <c r="AG18" s="20"/>
      <c r="AH18" s="20"/>
      <c r="AI18" s="23">
        <f t="shared" si="21"/>
        <v>14050</v>
      </c>
      <c r="AJ18" s="20">
        <f t="shared" ref="AJ18:AJ24" si="32">MIN(ROUND((AB18+AE18)*12%,0),1800)</f>
        <v>1495</v>
      </c>
      <c r="AK18" s="20"/>
      <c r="AL18" s="20">
        <f t="shared" si="23"/>
        <v>106</v>
      </c>
      <c r="AM18" s="20">
        <f t="shared" si="6"/>
        <v>110</v>
      </c>
      <c r="AN18" s="20"/>
      <c r="AO18" s="20"/>
      <c r="AP18" s="20">
        <f t="shared" si="7"/>
        <v>1711</v>
      </c>
      <c r="AQ18" s="23">
        <f t="shared" si="24"/>
        <v>12339</v>
      </c>
      <c r="AR18" s="20">
        <f t="shared" si="25"/>
        <v>1495</v>
      </c>
      <c r="AS18" s="20">
        <f t="shared" si="8"/>
        <v>62</v>
      </c>
      <c r="AT18" s="20">
        <f t="shared" si="9"/>
        <v>62</v>
      </c>
      <c r="AU18" s="20">
        <f t="shared" si="30"/>
        <v>457</v>
      </c>
      <c r="AV18" s="23">
        <f t="shared" si="29"/>
        <v>16126</v>
      </c>
      <c r="AW18" s="20"/>
      <c r="AX18" s="20">
        <f t="shared" ref="AX18:AX24" si="33">MIN(ROUND((S18+V18)*12%,0),1800)</f>
        <v>1495</v>
      </c>
      <c r="AY18" s="20">
        <f t="shared" si="12"/>
        <v>62</v>
      </c>
      <c r="AZ18" s="20">
        <f t="shared" si="13"/>
        <v>62</v>
      </c>
      <c r="BA18" s="20">
        <f>ROUNDUP(IF(W18&gt;21000,0,IF(W18&lt;=21000,(W18)*3.25%,0)),0)</f>
        <v>457</v>
      </c>
      <c r="BB18" s="23">
        <f t="shared" si="15"/>
        <v>16126</v>
      </c>
    </row>
    <row r="19" spans="1:54" ht="15" customHeight="1" x14ac:dyDescent="0.25">
      <c r="A19" s="11">
        <f t="shared" si="16"/>
        <v>16</v>
      </c>
      <c r="B19" s="33" t="s">
        <v>88</v>
      </c>
      <c r="C19" s="13" t="s">
        <v>51</v>
      </c>
      <c r="D19" s="13">
        <v>31</v>
      </c>
      <c r="E19" s="26" t="s">
        <v>89</v>
      </c>
      <c r="F19" s="34" t="s">
        <v>87</v>
      </c>
      <c r="G19" s="16"/>
      <c r="H19" s="17"/>
      <c r="I19" s="18"/>
      <c r="J19" s="16"/>
      <c r="K19" s="19"/>
      <c r="L19" s="16"/>
      <c r="M19" s="19"/>
      <c r="N19" s="20"/>
      <c r="O19" s="20"/>
      <c r="P19" s="20"/>
      <c r="Q19" s="20"/>
      <c r="R19" s="12">
        <v>13700</v>
      </c>
      <c r="S19" s="20">
        <v>11762</v>
      </c>
      <c r="T19" s="20">
        <f t="shared" ref="T19:T26" si="34">ROUND(S19*5%,0)</f>
        <v>588</v>
      </c>
      <c r="U19" s="20">
        <f t="shared" si="18"/>
        <v>1000</v>
      </c>
      <c r="V19" s="20">
        <f t="shared" si="19"/>
        <v>350</v>
      </c>
      <c r="W19" s="22">
        <f t="shared" si="20"/>
        <v>13700</v>
      </c>
      <c r="X19" s="20">
        <v>31</v>
      </c>
      <c r="Y19" s="20"/>
      <c r="Z19" s="20"/>
      <c r="AA19" s="20">
        <f t="shared" si="0"/>
        <v>31</v>
      </c>
      <c r="AB19" s="20">
        <f t="shared" si="1"/>
        <v>11762</v>
      </c>
      <c r="AC19" s="20">
        <f t="shared" si="2"/>
        <v>588</v>
      </c>
      <c r="AD19" s="20">
        <f t="shared" si="3"/>
        <v>1000</v>
      </c>
      <c r="AE19" s="20">
        <f t="shared" si="4"/>
        <v>350</v>
      </c>
      <c r="AF19" s="23">
        <f t="shared" si="5"/>
        <v>13700</v>
      </c>
      <c r="AG19" s="20"/>
      <c r="AH19" s="20"/>
      <c r="AI19" s="23">
        <f t="shared" si="21"/>
        <v>13700</v>
      </c>
      <c r="AJ19" s="20">
        <f t="shared" si="32"/>
        <v>1453</v>
      </c>
      <c r="AK19" s="20"/>
      <c r="AL19" s="20">
        <f t="shared" si="23"/>
        <v>103</v>
      </c>
      <c r="AM19" s="20">
        <f t="shared" si="6"/>
        <v>110</v>
      </c>
      <c r="AN19" s="20"/>
      <c r="AO19" s="20"/>
      <c r="AP19" s="20">
        <f t="shared" si="7"/>
        <v>1666</v>
      </c>
      <c r="AQ19" s="23">
        <f t="shared" si="24"/>
        <v>12034</v>
      </c>
      <c r="AR19" s="20">
        <f t="shared" si="25"/>
        <v>1453</v>
      </c>
      <c r="AS19" s="20">
        <f t="shared" si="8"/>
        <v>61</v>
      </c>
      <c r="AT19" s="20">
        <f t="shared" si="9"/>
        <v>61</v>
      </c>
      <c r="AU19" s="20">
        <f t="shared" si="30"/>
        <v>446</v>
      </c>
      <c r="AV19" s="23">
        <f t="shared" si="29"/>
        <v>15721</v>
      </c>
      <c r="AW19" s="20"/>
      <c r="AX19" s="20">
        <f t="shared" si="33"/>
        <v>1453</v>
      </c>
      <c r="AY19" s="20">
        <f t="shared" si="12"/>
        <v>61</v>
      </c>
      <c r="AZ19" s="20">
        <f t="shared" si="13"/>
        <v>61</v>
      </c>
      <c r="BA19" s="20">
        <f t="shared" ref="BA19:BA24" si="35">ROUNDUP(IF(W19&gt;21000,0,IF(W19&lt;=21000,(W19)*3.25%,0)),0)</f>
        <v>446</v>
      </c>
      <c r="BB19" s="23">
        <f t="shared" si="15"/>
        <v>15721</v>
      </c>
    </row>
    <row r="20" spans="1:54" ht="15" customHeight="1" x14ac:dyDescent="0.25">
      <c r="A20" s="11">
        <f t="shared" si="16"/>
        <v>17</v>
      </c>
      <c r="B20" s="33" t="s">
        <v>90</v>
      </c>
      <c r="C20" s="13" t="s">
        <v>51</v>
      </c>
      <c r="D20" s="13">
        <v>31</v>
      </c>
      <c r="E20" s="26" t="s">
        <v>91</v>
      </c>
      <c r="F20" s="34" t="s">
        <v>92</v>
      </c>
      <c r="G20" s="16"/>
      <c r="H20" s="17"/>
      <c r="I20" s="18"/>
      <c r="J20" s="16"/>
      <c r="K20" s="19"/>
      <c r="L20" s="16"/>
      <c r="M20" s="19"/>
      <c r="N20" s="20"/>
      <c r="O20" s="20"/>
      <c r="P20" s="20"/>
      <c r="Q20" s="20"/>
      <c r="R20" s="12">
        <v>12350</v>
      </c>
      <c r="S20" s="20">
        <v>11762</v>
      </c>
      <c r="T20" s="20">
        <f t="shared" si="34"/>
        <v>588</v>
      </c>
      <c r="U20" s="20">
        <v>0</v>
      </c>
      <c r="V20" s="20">
        <v>0</v>
      </c>
      <c r="W20" s="22">
        <f t="shared" si="20"/>
        <v>12350</v>
      </c>
      <c r="X20" s="20">
        <v>31</v>
      </c>
      <c r="Y20" s="20"/>
      <c r="Z20" s="20"/>
      <c r="AA20" s="20">
        <f t="shared" si="0"/>
        <v>31</v>
      </c>
      <c r="AB20" s="20">
        <f t="shared" si="1"/>
        <v>11762</v>
      </c>
      <c r="AC20" s="20">
        <f t="shared" si="2"/>
        <v>588</v>
      </c>
      <c r="AD20" s="20">
        <f t="shared" si="3"/>
        <v>0</v>
      </c>
      <c r="AE20" s="20">
        <f t="shared" si="4"/>
        <v>0</v>
      </c>
      <c r="AF20" s="23">
        <f t="shared" si="5"/>
        <v>12350</v>
      </c>
      <c r="AG20" s="20"/>
      <c r="AH20" s="20"/>
      <c r="AI20" s="23">
        <f t="shared" si="21"/>
        <v>12350</v>
      </c>
      <c r="AJ20" s="20">
        <f t="shared" si="32"/>
        <v>1411</v>
      </c>
      <c r="AK20" s="20"/>
      <c r="AL20" s="20">
        <f t="shared" si="23"/>
        <v>93</v>
      </c>
      <c r="AM20" s="20">
        <f t="shared" si="6"/>
        <v>110</v>
      </c>
      <c r="AN20" s="20"/>
      <c r="AO20" s="20"/>
      <c r="AP20" s="20">
        <f t="shared" ref="AP20:AP83" si="36">AJ20+AL20+AM20+AN20+AK20+AO20</f>
        <v>1614</v>
      </c>
      <c r="AQ20" s="23">
        <f t="shared" si="24"/>
        <v>10736</v>
      </c>
      <c r="AR20" s="20">
        <f t="shared" si="25"/>
        <v>1411</v>
      </c>
      <c r="AS20" s="20">
        <f t="shared" si="8"/>
        <v>59</v>
      </c>
      <c r="AT20" s="20">
        <f t="shared" si="9"/>
        <v>59</v>
      </c>
      <c r="AU20" s="20">
        <f t="shared" ref="AU20:AU83" si="37">ROUNDUP(IF(W20&gt;21000,0,IF(W20&lt;=21000,(AF20+AG20)*3.25%,0)),0)</f>
        <v>402</v>
      </c>
      <c r="AV20" s="23">
        <f t="shared" si="29"/>
        <v>14281</v>
      </c>
      <c r="AW20" s="20"/>
      <c r="AX20" s="20">
        <f t="shared" si="33"/>
        <v>1411</v>
      </c>
      <c r="AY20" s="20">
        <f t="shared" si="12"/>
        <v>59</v>
      </c>
      <c r="AZ20" s="20">
        <f t="shared" si="13"/>
        <v>59</v>
      </c>
      <c r="BA20" s="20">
        <f t="shared" si="35"/>
        <v>402</v>
      </c>
      <c r="BB20" s="23">
        <f t="shared" si="15"/>
        <v>14281</v>
      </c>
    </row>
    <row r="21" spans="1:54" ht="15" customHeight="1" x14ac:dyDescent="0.25">
      <c r="A21" s="11">
        <f t="shared" si="16"/>
        <v>18</v>
      </c>
      <c r="B21" s="33" t="s">
        <v>93</v>
      </c>
      <c r="C21" s="13" t="s">
        <v>51</v>
      </c>
      <c r="D21" s="13">
        <v>31</v>
      </c>
      <c r="E21" s="26" t="s">
        <v>94</v>
      </c>
      <c r="F21" s="34" t="s">
        <v>92</v>
      </c>
      <c r="G21" s="16"/>
      <c r="H21" s="17"/>
      <c r="I21" s="18"/>
      <c r="J21" s="16"/>
      <c r="K21" s="19"/>
      <c r="L21" s="16"/>
      <c r="M21" s="19"/>
      <c r="N21" s="20"/>
      <c r="O21" s="20"/>
      <c r="P21" s="20"/>
      <c r="Q21" s="20"/>
      <c r="R21" s="12">
        <v>12350</v>
      </c>
      <c r="S21" s="20">
        <v>11762</v>
      </c>
      <c r="T21" s="20">
        <f t="shared" si="34"/>
        <v>588</v>
      </c>
      <c r="U21" s="20">
        <v>0</v>
      </c>
      <c r="V21" s="20">
        <v>0</v>
      </c>
      <c r="W21" s="22">
        <f t="shared" si="20"/>
        <v>12350</v>
      </c>
      <c r="X21" s="20">
        <v>31</v>
      </c>
      <c r="Y21" s="20"/>
      <c r="Z21" s="20"/>
      <c r="AA21" s="20">
        <f t="shared" si="0"/>
        <v>31</v>
      </c>
      <c r="AB21" s="20">
        <f t="shared" si="1"/>
        <v>11762</v>
      </c>
      <c r="AC21" s="20">
        <f t="shared" si="2"/>
        <v>588</v>
      </c>
      <c r="AD21" s="20">
        <f t="shared" si="3"/>
        <v>0</v>
      </c>
      <c r="AE21" s="20">
        <f t="shared" si="4"/>
        <v>0</v>
      </c>
      <c r="AF21" s="23">
        <f t="shared" si="5"/>
        <v>12350</v>
      </c>
      <c r="AG21" s="20"/>
      <c r="AH21" s="20"/>
      <c r="AI21" s="23">
        <f t="shared" si="21"/>
        <v>12350</v>
      </c>
      <c r="AJ21" s="20">
        <f t="shared" si="32"/>
        <v>1411</v>
      </c>
      <c r="AK21" s="20"/>
      <c r="AL21" s="20">
        <f t="shared" si="23"/>
        <v>93</v>
      </c>
      <c r="AM21" s="20">
        <f t="shared" si="6"/>
        <v>110</v>
      </c>
      <c r="AN21" s="20"/>
      <c r="AO21" s="20"/>
      <c r="AP21" s="20">
        <f t="shared" si="36"/>
        <v>1614</v>
      </c>
      <c r="AQ21" s="23">
        <f t="shared" si="24"/>
        <v>10736</v>
      </c>
      <c r="AR21" s="20">
        <f t="shared" si="25"/>
        <v>1411</v>
      </c>
      <c r="AS21" s="20">
        <f t="shared" si="8"/>
        <v>59</v>
      </c>
      <c r="AT21" s="20">
        <f t="shared" si="9"/>
        <v>59</v>
      </c>
      <c r="AU21" s="20">
        <f t="shared" si="37"/>
        <v>402</v>
      </c>
      <c r="AV21" s="23">
        <f t="shared" si="29"/>
        <v>14281</v>
      </c>
      <c r="AW21" s="20"/>
      <c r="AX21" s="20">
        <f t="shared" si="33"/>
        <v>1411</v>
      </c>
      <c r="AY21" s="20">
        <f t="shared" si="12"/>
        <v>59</v>
      </c>
      <c r="AZ21" s="20">
        <f t="shared" si="13"/>
        <v>59</v>
      </c>
      <c r="BA21" s="20">
        <f t="shared" si="35"/>
        <v>402</v>
      </c>
      <c r="BB21" s="23">
        <f t="shared" si="15"/>
        <v>14281</v>
      </c>
    </row>
    <row r="22" spans="1:54" ht="15" customHeight="1" x14ac:dyDescent="0.25">
      <c r="A22" s="11">
        <f t="shared" si="16"/>
        <v>19</v>
      </c>
      <c r="B22" s="33" t="s">
        <v>95</v>
      </c>
      <c r="C22" s="13" t="s">
        <v>51</v>
      </c>
      <c r="D22" s="13">
        <v>31</v>
      </c>
      <c r="E22" s="26" t="s">
        <v>96</v>
      </c>
      <c r="F22" s="34" t="s">
        <v>87</v>
      </c>
      <c r="G22" s="16"/>
      <c r="H22" s="17"/>
      <c r="I22" s="18"/>
      <c r="J22" s="16"/>
      <c r="K22" s="19"/>
      <c r="L22" s="16"/>
      <c r="M22" s="19"/>
      <c r="N22" s="20"/>
      <c r="O22" s="20"/>
      <c r="P22" s="20"/>
      <c r="Q22" s="20"/>
      <c r="R22" s="12">
        <v>13700</v>
      </c>
      <c r="S22" s="20">
        <v>11762</v>
      </c>
      <c r="T22" s="20">
        <f t="shared" si="34"/>
        <v>588</v>
      </c>
      <c r="U22" s="20">
        <f t="shared" si="18"/>
        <v>1000</v>
      </c>
      <c r="V22" s="20">
        <v>350</v>
      </c>
      <c r="W22" s="22">
        <f t="shared" si="20"/>
        <v>13700</v>
      </c>
      <c r="X22" s="20">
        <v>31</v>
      </c>
      <c r="Y22" s="20"/>
      <c r="Z22" s="20"/>
      <c r="AA22" s="20">
        <f t="shared" si="0"/>
        <v>31</v>
      </c>
      <c r="AB22" s="20">
        <f t="shared" si="1"/>
        <v>11762</v>
      </c>
      <c r="AC22" s="20">
        <f t="shared" si="2"/>
        <v>588</v>
      </c>
      <c r="AD22" s="20">
        <f t="shared" si="3"/>
        <v>1000</v>
      </c>
      <c r="AE22" s="20">
        <f t="shared" si="4"/>
        <v>350</v>
      </c>
      <c r="AF22" s="23">
        <f t="shared" si="5"/>
        <v>13700</v>
      </c>
      <c r="AG22" s="20"/>
      <c r="AH22" s="20"/>
      <c r="AI22" s="23">
        <f t="shared" si="21"/>
        <v>13700</v>
      </c>
      <c r="AJ22" s="20">
        <f t="shared" si="32"/>
        <v>1453</v>
      </c>
      <c r="AK22" s="20"/>
      <c r="AL22" s="20">
        <f t="shared" si="23"/>
        <v>103</v>
      </c>
      <c r="AM22" s="20">
        <f t="shared" si="6"/>
        <v>110</v>
      </c>
      <c r="AN22" s="20"/>
      <c r="AO22" s="20"/>
      <c r="AP22" s="20">
        <f t="shared" si="36"/>
        <v>1666</v>
      </c>
      <c r="AQ22" s="23">
        <f t="shared" si="24"/>
        <v>12034</v>
      </c>
      <c r="AR22" s="20">
        <f t="shared" si="25"/>
        <v>1453</v>
      </c>
      <c r="AS22" s="20">
        <f t="shared" si="8"/>
        <v>61</v>
      </c>
      <c r="AT22" s="20">
        <f t="shared" si="9"/>
        <v>61</v>
      </c>
      <c r="AU22" s="20">
        <f t="shared" si="37"/>
        <v>446</v>
      </c>
      <c r="AV22" s="23">
        <f t="shared" si="29"/>
        <v>15721</v>
      </c>
      <c r="AW22" s="20"/>
      <c r="AX22" s="20">
        <f t="shared" si="33"/>
        <v>1453</v>
      </c>
      <c r="AY22" s="20">
        <f t="shared" si="12"/>
        <v>61</v>
      </c>
      <c r="AZ22" s="20">
        <f t="shared" si="13"/>
        <v>61</v>
      </c>
      <c r="BA22" s="20">
        <f t="shared" si="35"/>
        <v>446</v>
      </c>
      <c r="BB22" s="23">
        <f t="shared" si="15"/>
        <v>15721</v>
      </c>
    </row>
    <row r="23" spans="1:54" ht="15" customHeight="1" x14ac:dyDescent="0.25">
      <c r="A23" s="11">
        <f t="shared" si="16"/>
        <v>20</v>
      </c>
      <c r="B23" s="33" t="s">
        <v>97</v>
      </c>
      <c r="C23" s="13" t="s">
        <v>51</v>
      </c>
      <c r="D23" s="13">
        <v>31</v>
      </c>
      <c r="E23" s="26" t="s">
        <v>98</v>
      </c>
      <c r="F23" s="34" t="s">
        <v>84</v>
      </c>
      <c r="G23" s="16"/>
      <c r="H23" s="17"/>
      <c r="I23" s="18"/>
      <c r="J23" s="16"/>
      <c r="K23" s="19"/>
      <c r="L23" s="16"/>
      <c r="M23" s="19"/>
      <c r="N23" s="20"/>
      <c r="O23" s="21"/>
      <c r="P23" s="20"/>
      <c r="Q23" s="20"/>
      <c r="R23" s="12">
        <v>13000</v>
      </c>
      <c r="S23" s="20">
        <v>11762</v>
      </c>
      <c r="T23" s="20">
        <f t="shared" si="34"/>
        <v>588</v>
      </c>
      <c r="U23" s="20">
        <v>0</v>
      </c>
      <c r="V23" s="20">
        <v>650</v>
      </c>
      <c r="W23" s="22">
        <f t="shared" si="20"/>
        <v>13000</v>
      </c>
      <c r="X23" s="20">
        <v>31</v>
      </c>
      <c r="Y23" s="20"/>
      <c r="Z23" s="20"/>
      <c r="AA23" s="20">
        <f t="shared" si="0"/>
        <v>31</v>
      </c>
      <c r="AB23" s="20">
        <f t="shared" si="1"/>
        <v>11762</v>
      </c>
      <c r="AC23" s="20">
        <f t="shared" si="2"/>
        <v>588</v>
      </c>
      <c r="AD23" s="20">
        <f t="shared" si="3"/>
        <v>0</v>
      </c>
      <c r="AE23" s="20">
        <f t="shared" si="4"/>
        <v>650</v>
      </c>
      <c r="AF23" s="23">
        <f t="shared" si="5"/>
        <v>13000</v>
      </c>
      <c r="AG23" s="20"/>
      <c r="AH23" s="20"/>
      <c r="AI23" s="23">
        <f t="shared" si="21"/>
        <v>13000</v>
      </c>
      <c r="AJ23" s="20">
        <f t="shared" si="32"/>
        <v>1489</v>
      </c>
      <c r="AK23" s="20"/>
      <c r="AL23" s="20">
        <f t="shared" si="23"/>
        <v>98</v>
      </c>
      <c r="AM23" s="20">
        <f t="shared" si="6"/>
        <v>110</v>
      </c>
      <c r="AN23" s="20"/>
      <c r="AO23" s="20"/>
      <c r="AP23" s="20">
        <f t="shared" si="36"/>
        <v>1697</v>
      </c>
      <c r="AQ23" s="23">
        <f t="shared" si="24"/>
        <v>11303</v>
      </c>
      <c r="AR23" s="20">
        <f t="shared" si="25"/>
        <v>1489</v>
      </c>
      <c r="AS23" s="20">
        <f t="shared" si="8"/>
        <v>62</v>
      </c>
      <c r="AT23" s="20">
        <f t="shared" si="9"/>
        <v>62</v>
      </c>
      <c r="AU23" s="20">
        <f t="shared" si="37"/>
        <v>423</v>
      </c>
      <c r="AV23" s="23">
        <f t="shared" si="29"/>
        <v>15036</v>
      </c>
      <c r="AW23" s="20"/>
      <c r="AX23" s="20">
        <f t="shared" si="33"/>
        <v>1489</v>
      </c>
      <c r="AY23" s="20">
        <f t="shared" si="12"/>
        <v>62</v>
      </c>
      <c r="AZ23" s="20">
        <f t="shared" si="13"/>
        <v>62</v>
      </c>
      <c r="BA23" s="20">
        <f t="shared" si="35"/>
        <v>423</v>
      </c>
      <c r="BB23" s="23">
        <f t="shared" si="15"/>
        <v>15036</v>
      </c>
    </row>
    <row r="24" spans="1:54" ht="15" customHeight="1" x14ac:dyDescent="0.25">
      <c r="A24" s="11">
        <f t="shared" si="16"/>
        <v>21</v>
      </c>
      <c r="B24" s="33" t="s">
        <v>99</v>
      </c>
      <c r="C24" s="13" t="s">
        <v>51</v>
      </c>
      <c r="D24" s="13">
        <v>31</v>
      </c>
      <c r="E24" s="26" t="s">
        <v>100</v>
      </c>
      <c r="F24" s="34" t="s">
        <v>84</v>
      </c>
      <c r="G24" s="16"/>
      <c r="H24" s="17"/>
      <c r="I24" s="18"/>
      <c r="J24" s="16"/>
      <c r="K24" s="24"/>
      <c r="L24" s="16"/>
      <c r="M24" s="19"/>
      <c r="N24" s="20"/>
      <c r="O24" s="20"/>
      <c r="P24" s="20"/>
      <c r="Q24" s="20"/>
      <c r="R24" s="12">
        <v>13000</v>
      </c>
      <c r="S24" s="20">
        <v>11762</v>
      </c>
      <c r="T24" s="20">
        <f t="shared" si="34"/>
        <v>588</v>
      </c>
      <c r="U24" s="20">
        <v>0</v>
      </c>
      <c r="V24" s="20">
        <v>650</v>
      </c>
      <c r="W24" s="22">
        <f t="shared" si="20"/>
        <v>13000</v>
      </c>
      <c r="X24" s="20">
        <v>31</v>
      </c>
      <c r="Y24" s="20"/>
      <c r="Z24" s="20"/>
      <c r="AA24" s="20">
        <f t="shared" si="0"/>
        <v>31</v>
      </c>
      <c r="AB24" s="20">
        <f t="shared" si="1"/>
        <v>11762</v>
      </c>
      <c r="AC24" s="20">
        <f t="shared" si="2"/>
        <v>588</v>
      </c>
      <c r="AD24" s="20">
        <f t="shared" si="3"/>
        <v>0</v>
      </c>
      <c r="AE24" s="20">
        <f t="shared" si="4"/>
        <v>650</v>
      </c>
      <c r="AF24" s="23">
        <f t="shared" si="5"/>
        <v>13000</v>
      </c>
      <c r="AG24" s="20"/>
      <c r="AH24" s="20"/>
      <c r="AI24" s="23">
        <f t="shared" si="21"/>
        <v>13000</v>
      </c>
      <c r="AJ24" s="20">
        <f t="shared" si="32"/>
        <v>1489</v>
      </c>
      <c r="AK24" s="20"/>
      <c r="AL24" s="20">
        <f t="shared" si="23"/>
        <v>98</v>
      </c>
      <c r="AM24" s="20">
        <f t="shared" si="6"/>
        <v>110</v>
      </c>
      <c r="AN24" s="20"/>
      <c r="AO24" s="20"/>
      <c r="AP24" s="20">
        <f t="shared" si="36"/>
        <v>1697</v>
      </c>
      <c r="AQ24" s="23">
        <f t="shared" si="24"/>
        <v>11303</v>
      </c>
      <c r="AR24" s="20">
        <f t="shared" si="25"/>
        <v>1489</v>
      </c>
      <c r="AS24" s="20">
        <f t="shared" si="8"/>
        <v>62</v>
      </c>
      <c r="AT24" s="20">
        <f t="shared" si="9"/>
        <v>62</v>
      </c>
      <c r="AU24" s="20">
        <f t="shared" si="37"/>
        <v>423</v>
      </c>
      <c r="AV24" s="23">
        <f t="shared" si="29"/>
        <v>15036</v>
      </c>
      <c r="AW24" s="20"/>
      <c r="AX24" s="20">
        <f t="shared" si="33"/>
        <v>1489</v>
      </c>
      <c r="AY24" s="20">
        <f t="shared" si="12"/>
        <v>62</v>
      </c>
      <c r="AZ24" s="20">
        <f t="shared" si="13"/>
        <v>62</v>
      </c>
      <c r="BA24" s="20">
        <f t="shared" si="35"/>
        <v>423</v>
      </c>
      <c r="BB24" s="23">
        <f t="shared" si="15"/>
        <v>15036</v>
      </c>
    </row>
    <row r="25" spans="1:54" ht="15" customHeight="1" x14ac:dyDescent="0.25">
      <c r="A25" s="11">
        <f t="shared" si="16"/>
        <v>22</v>
      </c>
      <c r="B25" s="33" t="s">
        <v>101</v>
      </c>
      <c r="C25" s="13" t="s">
        <v>51</v>
      </c>
      <c r="D25" s="13">
        <v>31</v>
      </c>
      <c r="E25" s="26" t="s">
        <v>102</v>
      </c>
      <c r="F25" s="34" t="s">
        <v>79</v>
      </c>
      <c r="G25" s="16"/>
      <c r="H25" s="17"/>
      <c r="I25" s="18"/>
      <c r="J25" s="16"/>
      <c r="K25" s="19"/>
      <c r="L25" s="16"/>
      <c r="M25" s="19"/>
      <c r="N25" s="20"/>
      <c r="O25" s="20"/>
      <c r="P25" s="20"/>
      <c r="Q25" s="20"/>
      <c r="R25" s="12">
        <v>36000</v>
      </c>
      <c r="S25" s="20">
        <f t="shared" ref="S25:T25" si="38">ROUND(R25*50%,0)</f>
        <v>18000</v>
      </c>
      <c r="T25" s="20">
        <f t="shared" si="38"/>
        <v>9000</v>
      </c>
      <c r="U25" s="20">
        <f t="shared" si="18"/>
        <v>1600</v>
      </c>
      <c r="V25" s="20">
        <f t="shared" si="19"/>
        <v>7400</v>
      </c>
      <c r="W25" s="22">
        <f t="shared" si="20"/>
        <v>36000</v>
      </c>
      <c r="X25" s="20">
        <v>31</v>
      </c>
      <c r="Y25" s="20"/>
      <c r="Z25" s="20"/>
      <c r="AA25" s="20">
        <f t="shared" si="0"/>
        <v>31</v>
      </c>
      <c r="AB25" s="20">
        <f t="shared" si="1"/>
        <v>18000</v>
      </c>
      <c r="AC25" s="20">
        <f t="shared" si="2"/>
        <v>9000</v>
      </c>
      <c r="AD25" s="20">
        <f t="shared" si="3"/>
        <v>1600</v>
      </c>
      <c r="AE25" s="20">
        <f t="shared" si="4"/>
        <v>7400</v>
      </c>
      <c r="AF25" s="23">
        <f t="shared" si="5"/>
        <v>36000</v>
      </c>
      <c r="AG25" s="20"/>
      <c r="AH25" s="20"/>
      <c r="AI25" s="23">
        <f t="shared" si="21"/>
        <v>36000</v>
      </c>
      <c r="AJ25" s="25">
        <v>0</v>
      </c>
      <c r="AK25" s="20"/>
      <c r="AL25" s="20">
        <f t="shared" si="23"/>
        <v>0</v>
      </c>
      <c r="AM25" s="20">
        <f t="shared" si="6"/>
        <v>150</v>
      </c>
      <c r="AN25" s="20"/>
      <c r="AO25" s="20"/>
      <c r="AP25" s="20">
        <f t="shared" si="36"/>
        <v>150</v>
      </c>
      <c r="AQ25" s="23">
        <f t="shared" si="24"/>
        <v>35850</v>
      </c>
      <c r="AR25" s="20">
        <f t="shared" si="25"/>
        <v>0</v>
      </c>
      <c r="AS25" s="20">
        <f t="shared" si="8"/>
        <v>0</v>
      </c>
      <c r="AT25" s="20">
        <f t="shared" si="9"/>
        <v>0</v>
      </c>
      <c r="AU25" s="20">
        <f t="shared" si="37"/>
        <v>0</v>
      </c>
      <c r="AV25" s="23">
        <f t="shared" si="29"/>
        <v>36000</v>
      </c>
      <c r="AW25" s="20"/>
      <c r="AX25" s="20"/>
      <c r="AY25" s="20">
        <f t="shared" si="12"/>
        <v>0</v>
      </c>
      <c r="AZ25" s="20">
        <f t="shared" si="13"/>
        <v>0</v>
      </c>
      <c r="BA25" s="20">
        <f t="shared" si="31"/>
        <v>0</v>
      </c>
      <c r="BB25" s="23">
        <f t="shared" si="15"/>
        <v>36000</v>
      </c>
    </row>
    <row r="26" spans="1:54" ht="15" customHeight="1" x14ac:dyDescent="0.25">
      <c r="A26" s="11">
        <f t="shared" si="16"/>
        <v>23</v>
      </c>
      <c r="B26" s="35" t="s">
        <v>103</v>
      </c>
      <c r="C26" s="13" t="s">
        <v>104</v>
      </c>
      <c r="D26" s="13">
        <v>31</v>
      </c>
      <c r="E26" s="36" t="s">
        <v>105</v>
      </c>
      <c r="F26" s="37" t="s">
        <v>84</v>
      </c>
      <c r="G26" s="16"/>
      <c r="H26" s="17"/>
      <c r="I26" s="18"/>
      <c r="J26" s="16"/>
      <c r="K26" s="19"/>
      <c r="L26" s="16"/>
      <c r="M26" s="19"/>
      <c r="N26" s="20"/>
      <c r="O26" s="20"/>
      <c r="P26" s="20"/>
      <c r="Q26" s="20"/>
      <c r="R26" s="20">
        <v>17500</v>
      </c>
      <c r="S26" s="20">
        <v>10738</v>
      </c>
      <c r="T26" s="20">
        <f t="shared" si="34"/>
        <v>537</v>
      </c>
      <c r="U26" s="20">
        <v>1000</v>
      </c>
      <c r="V26" s="20">
        <f>4150+1075</f>
        <v>5225</v>
      </c>
      <c r="W26" s="22">
        <f t="shared" si="20"/>
        <v>17500</v>
      </c>
      <c r="X26" s="20">
        <v>31</v>
      </c>
      <c r="Y26" s="20"/>
      <c r="Z26" s="20"/>
      <c r="AA26" s="20">
        <f t="shared" si="0"/>
        <v>31</v>
      </c>
      <c r="AB26" s="20">
        <f t="shared" si="1"/>
        <v>10738</v>
      </c>
      <c r="AC26" s="20">
        <f t="shared" si="2"/>
        <v>537</v>
      </c>
      <c r="AD26" s="20">
        <f t="shared" si="3"/>
        <v>1000</v>
      </c>
      <c r="AE26" s="20">
        <f t="shared" si="4"/>
        <v>5225</v>
      </c>
      <c r="AF26" s="23">
        <f t="shared" si="5"/>
        <v>17500</v>
      </c>
      <c r="AG26" s="20"/>
      <c r="AH26" s="23"/>
      <c r="AI26" s="23">
        <f t="shared" si="21"/>
        <v>17500</v>
      </c>
      <c r="AJ26" s="20">
        <f t="shared" ref="AJ26:AJ27" si="39">MIN(ROUND((AB26+AE26)*12%,0),1800)</f>
        <v>1800</v>
      </c>
      <c r="AK26" s="20"/>
      <c r="AL26" s="20">
        <f t="shared" si="23"/>
        <v>132</v>
      </c>
      <c r="AM26" s="20">
        <f t="shared" si="6"/>
        <v>130</v>
      </c>
      <c r="AN26" s="20"/>
      <c r="AO26" s="20"/>
      <c r="AP26" s="20">
        <f t="shared" si="36"/>
        <v>2062</v>
      </c>
      <c r="AQ26" s="23">
        <f t="shared" si="24"/>
        <v>15438</v>
      </c>
      <c r="AR26" s="20">
        <f t="shared" si="25"/>
        <v>1800</v>
      </c>
      <c r="AS26" s="20">
        <f t="shared" si="8"/>
        <v>75</v>
      </c>
      <c r="AT26" s="20">
        <f t="shared" si="9"/>
        <v>75</v>
      </c>
      <c r="AU26" s="20">
        <f t="shared" si="37"/>
        <v>569</v>
      </c>
      <c r="AV26" s="23">
        <f t="shared" si="29"/>
        <v>20019</v>
      </c>
      <c r="AW26" s="20"/>
      <c r="AX26" s="20">
        <f t="shared" ref="AX26:AX27" si="40">MIN(ROUND((S26+V26)*12%,0),1800)</f>
        <v>1800</v>
      </c>
      <c r="AY26" s="20">
        <f t="shared" si="12"/>
        <v>75</v>
      </c>
      <c r="AZ26" s="20">
        <f t="shared" si="13"/>
        <v>75</v>
      </c>
      <c r="BA26" s="20">
        <f>ROUNDUP(IF(W26&gt;21000,0,IF(W26&lt;=21000,(W26)*3.25%,0)),0)</f>
        <v>569</v>
      </c>
      <c r="BB26" s="23">
        <f t="shared" si="15"/>
        <v>20019</v>
      </c>
    </row>
    <row r="27" spans="1:54" ht="15" customHeight="1" x14ac:dyDescent="0.25">
      <c r="A27" s="11">
        <f t="shared" si="16"/>
        <v>24</v>
      </c>
      <c r="B27" s="35" t="s">
        <v>106</v>
      </c>
      <c r="C27" s="13" t="s">
        <v>104</v>
      </c>
      <c r="D27" s="13">
        <v>31</v>
      </c>
      <c r="E27" s="36" t="s">
        <v>107</v>
      </c>
      <c r="F27" s="37" t="s">
        <v>84</v>
      </c>
      <c r="G27" s="16"/>
      <c r="H27" s="17"/>
      <c r="I27" s="18"/>
      <c r="J27" s="16"/>
      <c r="K27" s="19"/>
      <c r="L27" s="16"/>
      <c r="M27" s="19"/>
      <c r="N27" s="20"/>
      <c r="O27" s="20"/>
      <c r="P27" s="20"/>
      <c r="Q27" s="20"/>
      <c r="R27" s="20">
        <v>25000</v>
      </c>
      <c r="S27" s="20">
        <f>ROUND(R27*50%,0)</f>
        <v>12500</v>
      </c>
      <c r="T27" s="20">
        <f t="shared" ref="T27:T29" si="41">ROUND(S27*50%,0)</f>
        <v>6250</v>
      </c>
      <c r="U27" s="20">
        <f t="shared" si="18"/>
        <v>1600</v>
      </c>
      <c r="V27" s="20">
        <f t="shared" si="19"/>
        <v>4650</v>
      </c>
      <c r="W27" s="22">
        <f t="shared" si="20"/>
        <v>25000</v>
      </c>
      <c r="X27" s="20">
        <v>31</v>
      </c>
      <c r="Y27" s="20"/>
      <c r="Z27" s="20"/>
      <c r="AA27" s="20">
        <f t="shared" si="0"/>
        <v>31</v>
      </c>
      <c r="AB27" s="20">
        <f t="shared" si="1"/>
        <v>12500</v>
      </c>
      <c r="AC27" s="20">
        <f t="shared" si="2"/>
        <v>6250</v>
      </c>
      <c r="AD27" s="20">
        <f t="shared" si="3"/>
        <v>1600</v>
      </c>
      <c r="AE27" s="20">
        <f t="shared" si="4"/>
        <v>4650</v>
      </c>
      <c r="AF27" s="23">
        <f t="shared" si="5"/>
        <v>25000</v>
      </c>
      <c r="AG27" s="20"/>
      <c r="AH27" s="23"/>
      <c r="AI27" s="23">
        <f t="shared" si="21"/>
        <v>25000</v>
      </c>
      <c r="AJ27" s="20">
        <f t="shared" si="39"/>
        <v>1800</v>
      </c>
      <c r="AK27" s="20"/>
      <c r="AL27" s="20">
        <f t="shared" si="23"/>
        <v>0</v>
      </c>
      <c r="AM27" s="20">
        <f t="shared" si="6"/>
        <v>130</v>
      </c>
      <c r="AN27" s="20"/>
      <c r="AO27" s="20"/>
      <c r="AP27" s="20">
        <f t="shared" si="36"/>
        <v>1930</v>
      </c>
      <c r="AQ27" s="23">
        <f t="shared" si="24"/>
        <v>23070</v>
      </c>
      <c r="AR27" s="20">
        <f t="shared" si="25"/>
        <v>1800</v>
      </c>
      <c r="AS27" s="20">
        <f t="shared" si="8"/>
        <v>75</v>
      </c>
      <c r="AT27" s="20">
        <f t="shared" si="9"/>
        <v>75</v>
      </c>
      <c r="AU27" s="20">
        <f t="shared" si="37"/>
        <v>0</v>
      </c>
      <c r="AV27" s="23">
        <f t="shared" si="29"/>
        <v>26950</v>
      </c>
      <c r="AW27" s="20"/>
      <c r="AX27" s="20">
        <f t="shared" si="40"/>
        <v>1800</v>
      </c>
      <c r="AY27" s="20">
        <f t="shared" si="12"/>
        <v>75</v>
      </c>
      <c r="AZ27" s="20">
        <f t="shared" si="13"/>
        <v>75</v>
      </c>
      <c r="BA27" s="20">
        <f t="shared" ref="BA27:BA90" si="42">ROUNDUP(IF(W27&gt;21000,0,IF(W27&lt;=21000,(W27)*3.25%,0)),0)</f>
        <v>0</v>
      </c>
      <c r="BB27" s="23">
        <f>W27+AX27+AY27+AZ27+BA27</f>
        <v>26950</v>
      </c>
    </row>
    <row r="28" spans="1:54" ht="15" customHeight="1" x14ac:dyDescent="0.25">
      <c r="A28" s="11">
        <f t="shared" si="16"/>
        <v>25</v>
      </c>
      <c r="B28" s="35" t="s">
        <v>108</v>
      </c>
      <c r="C28" s="13" t="s">
        <v>104</v>
      </c>
      <c r="D28" s="13">
        <v>31</v>
      </c>
      <c r="E28" s="36" t="s">
        <v>109</v>
      </c>
      <c r="F28" s="37" t="s">
        <v>79</v>
      </c>
      <c r="G28" s="16"/>
      <c r="H28" s="17"/>
      <c r="I28" s="18"/>
      <c r="J28" s="16"/>
      <c r="K28" s="19"/>
      <c r="L28" s="16"/>
      <c r="M28" s="19"/>
      <c r="N28" s="20"/>
      <c r="O28" s="20"/>
      <c r="P28" s="20"/>
      <c r="Q28" s="20"/>
      <c r="R28" s="20">
        <v>42000</v>
      </c>
      <c r="S28" s="20">
        <f>ROUND(R28*50%,0)</f>
        <v>21000</v>
      </c>
      <c r="T28" s="20">
        <f t="shared" si="41"/>
        <v>10500</v>
      </c>
      <c r="U28" s="20">
        <f t="shared" si="18"/>
        <v>1600</v>
      </c>
      <c r="V28" s="20">
        <f t="shared" si="19"/>
        <v>8900</v>
      </c>
      <c r="W28" s="22">
        <f t="shared" si="20"/>
        <v>42000</v>
      </c>
      <c r="X28" s="20">
        <v>31</v>
      </c>
      <c r="Y28" s="20"/>
      <c r="Z28" s="20"/>
      <c r="AA28" s="20">
        <f t="shared" si="0"/>
        <v>31</v>
      </c>
      <c r="AB28" s="20">
        <f t="shared" si="1"/>
        <v>21000</v>
      </c>
      <c r="AC28" s="20">
        <f t="shared" si="2"/>
        <v>10500</v>
      </c>
      <c r="AD28" s="20">
        <f t="shared" si="3"/>
        <v>1600</v>
      </c>
      <c r="AE28" s="20">
        <f t="shared" si="4"/>
        <v>8900</v>
      </c>
      <c r="AF28" s="23">
        <f t="shared" si="5"/>
        <v>42000</v>
      </c>
      <c r="AG28" s="20"/>
      <c r="AH28" s="23"/>
      <c r="AI28" s="23">
        <f t="shared" si="21"/>
        <v>42000</v>
      </c>
      <c r="AJ28" s="25">
        <v>0</v>
      </c>
      <c r="AK28" s="20"/>
      <c r="AL28" s="20">
        <f t="shared" si="23"/>
        <v>0</v>
      </c>
      <c r="AM28" s="20">
        <f t="shared" si="6"/>
        <v>200</v>
      </c>
      <c r="AN28" s="20"/>
      <c r="AO28" s="20"/>
      <c r="AP28" s="20">
        <f t="shared" si="36"/>
        <v>200</v>
      </c>
      <c r="AQ28" s="23">
        <f t="shared" si="24"/>
        <v>41800</v>
      </c>
      <c r="AR28" s="20">
        <f t="shared" si="25"/>
        <v>0</v>
      </c>
      <c r="AS28" s="20">
        <f t="shared" si="8"/>
        <v>0</v>
      </c>
      <c r="AT28" s="20">
        <f t="shared" si="9"/>
        <v>0</v>
      </c>
      <c r="AU28" s="20">
        <f t="shared" si="37"/>
        <v>0</v>
      </c>
      <c r="AV28" s="23">
        <f t="shared" si="29"/>
        <v>42000</v>
      </c>
      <c r="AW28" s="20"/>
      <c r="AX28" s="20"/>
      <c r="AY28" s="20">
        <f t="shared" si="12"/>
        <v>0</v>
      </c>
      <c r="AZ28" s="20">
        <f t="shared" si="13"/>
        <v>0</v>
      </c>
      <c r="BA28" s="20">
        <f t="shared" si="42"/>
        <v>0</v>
      </c>
      <c r="BB28" s="23">
        <f t="shared" si="15"/>
        <v>42000</v>
      </c>
    </row>
    <row r="29" spans="1:54" ht="15" customHeight="1" x14ac:dyDescent="0.25">
      <c r="A29" s="11">
        <f t="shared" si="16"/>
        <v>26</v>
      </c>
      <c r="B29" s="35" t="s">
        <v>110</v>
      </c>
      <c r="C29" s="13" t="s">
        <v>104</v>
      </c>
      <c r="D29" s="13">
        <v>31</v>
      </c>
      <c r="E29" s="36" t="s">
        <v>111</v>
      </c>
      <c r="F29" s="37" t="s">
        <v>84</v>
      </c>
      <c r="G29" s="29"/>
      <c r="H29" s="28"/>
      <c r="I29" s="28"/>
      <c r="J29" s="16"/>
      <c r="K29" s="29"/>
      <c r="L29" s="29"/>
      <c r="M29" s="29"/>
      <c r="N29" s="28"/>
      <c r="O29" s="20"/>
      <c r="P29" s="20"/>
      <c r="Q29" s="20"/>
      <c r="R29" s="20">
        <v>22000</v>
      </c>
      <c r="S29" s="20">
        <f>ROUND(R29*50%,0)</f>
        <v>11000</v>
      </c>
      <c r="T29" s="20">
        <f t="shared" si="41"/>
        <v>5500</v>
      </c>
      <c r="U29" s="20">
        <f t="shared" si="18"/>
        <v>1600</v>
      </c>
      <c r="V29" s="20">
        <f t="shared" si="19"/>
        <v>3900</v>
      </c>
      <c r="W29" s="22">
        <f t="shared" si="20"/>
        <v>22000</v>
      </c>
      <c r="X29" s="20">
        <v>31</v>
      </c>
      <c r="Y29" s="20"/>
      <c r="Z29" s="20"/>
      <c r="AA29" s="20">
        <f t="shared" si="0"/>
        <v>31</v>
      </c>
      <c r="AB29" s="20">
        <f t="shared" si="1"/>
        <v>11000</v>
      </c>
      <c r="AC29" s="20">
        <f t="shared" si="2"/>
        <v>5500</v>
      </c>
      <c r="AD29" s="20">
        <f t="shared" si="3"/>
        <v>1600</v>
      </c>
      <c r="AE29" s="20">
        <f t="shared" si="4"/>
        <v>3900</v>
      </c>
      <c r="AF29" s="23">
        <f t="shared" si="5"/>
        <v>22000</v>
      </c>
      <c r="AG29" s="20"/>
      <c r="AH29" s="20"/>
      <c r="AI29" s="23">
        <f t="shared" si="21"/>
        <v>22000</v>
      </c>
      <c r="AJ29" s="20">
        <f t="shared" ref="AJ29:AJ92" si="43">MIN(ROUND((AB29+AE29)*12%,0),1800)</f>
        <v>1788</v>
      </c>
      <c r="AK29" s="20"/>
      <c r="AL29" s="20">
        <f t="shared" si="23"/>
        <v>0</v>
      </c>
      <c r="AM29" s="20">
        <f t="shared" si="6"/>
        <v>130</v>
      </c>
      <c r="AN29" s="20"/>
      <c r="AO29" s="20"/>
      <c r="AP29" s="20">
        <f t="shared" si="36"/>
        <v>1918</v>
      </c>
      <c r="AQ29" s="23">
        <f t="shared" si="24"/>
        <v>20082</v>
      </c>
      <c r="AR29" s="20">
        <f t="shared" si="25"/>
        <v>1788</v>
      </c>
      <c r="AS29" s="20">
        <f t="shared" si="8"/>
        <v>75</v>
      </c>
      <c r="AT29" s="20">
        <f t="shared" si="9"/>
        <v>75</v>
      </c>
      <c r="AU29" s="20">
        <f t="shared" si="37"/>
        <v>0</v>
      </c>
      <c r="AV29" s="23">
        <f t="shared" si="29"/>
        <v>23938</v>
      </c>
      <c r="AW29" s="20"/>
      <c r="AX29" s="20">
        <f t="shared" ref="AX29:AX92" si="44">MIN(ROUND((S29+V29)*12%,0),1800)</f>
        <v>1788</v>
      </c>
      <c r="AY29" s="20">
        <f t="shared" si="12"/>
        <v>75</v>
      </c>
      <c r="AZ29" s="20">
        <f t="shared" si="13"/>
        <v>75</v>
      </c>
      <c r="BA29" s="20">
        <f t="shared" si="42"/>
        <v>0</v>
      </c>
      <c r="BB29" s="23">
        <f t="shared" si="15"/>
        <v>23938</v>
      </c>
    </row>
    <row r="30" spans="1:54" ht="15" customHeight="1" x14ac:dyDescent="0.25">
      <c r="A30" s="11">
        <f t="shared" si="16"/>
        <v>27</v>
      </c>
      <c r="B30" s="35" t="s">
        <v>112</v>
      </c>
      <c r="C30" s="13" t="s">
        <v>104</v>
      </c>
      <c r="D30" s="13">
        <v>31</v>
      </c>
      <c r="E30" s="36" t="s">
        <v>113</v>
      </c>
      <c r="F30" s="37" t="s">
        <v>84</v>
      </c>
      <c r="G30" s="16"/>
      <c r="H30" s="17"/>
      <c r="I30" s="18"/>
      <c r="J30" s="16"/>
      <c r="K30" s="24"/>
      <c r="L30" s="16"/>
      <c r="M30" s="19"/>
      <c r="N30" s="20"/>
      <c r="O30" s="20"/>
      <c r="P30" s="20"/>
      <c r="Q30" s="20"/>
      <c r="R30" s="20">
        <v>16500</v>
      </c>
      <c r="S30" s="20">
        <v>10738</v>
      </c>
      <c r="T30" s="20">
        <f t="shared" ref="T30:T34" si="45">ROUND(S30*5%,0)</f>
        <v>537</v>
      </c>
      <c r="U30" s="20">
        <f t="shared" si="18"/>
        <v>1000</v>
      </c>
      <c r="V30" s="20">
        <f>3150+1075</f>
        <v>4225</v>
      </c>
      <c r="W30" s="22">
        <f t="shared" si="20"/>
        <v>16500</v>
      </c>
      <c r="X30" s="20">
        <v>31</v>
      </c>
      <c r="Y30" s="20"/>
      <c r="Z30" s="20"/>
      <c r="AA30" s="20">
        <f t="shared" si="0"/>
        <v>31</v>
      </c>
      <c r="AB30" s="20">
        <f t="shared" si="1"/>
        <v>10738</v>
      </c>
      <c r="AC30" s="20">
        <f t="shared" si="2"/>
        <v>537</v>
      </c>
      <c r="AD30" s="20">
        <f t="shared" si="3"/>
        <v>1000</v>
      </c>
      <c r="AE30" s="20">
        <f t="shared" si="4"/>
        <v>4225</v>
      </c>
      <c r="AF30" s="23">
        <f t="shared" si="5"/>
        <v>16500</v>
      </c>
      <c r="AG30" s="20"/>
      <c r="AH30" s="20"/>
      <c r="AI30" s="23">
        <f t="shared" si="21"/>
        <v>16500</v>
      </c>
      <c r="AJ30" s="20">
        <f t="shared" si="43"/>
        <v>1796</v>
      </c>
      <c r="AK30" s="20"/>
      <c r="AL30" s="20">
        <f t="shared" si="23"/>
        <v>124</v>
      </c>
      <c r="AM30" s="20">
        <f t="shared" si="6"/>
        <v>130</v>
      </c>
      <c r="AN30" s="20"/>
      <c r="AO30" s="20"/>
      <c r="AP30" s="20">
        <f t="shared" si="36"/>
        <v>2050</v>
      </c>
      <c r="AQ30" s="23">
        <f t="shared" si="24"/>
        <v>14450</v>
      </c>
      <c r="AR30" s="20">
        <f t="shared" si="25"/>
        <v>1796</v>
      </c>
      <c r="AS30" s="20">
        <f t="shared" si="8"/>
        <v>75</v>
      </c>
      <c r="AT30" s="20">
        <f t="shared" si="9"/>
        <v>75</v>
      </c>
      <c r="AU30" s="20">
        <f t="shared" si="37"/>
        <v>537</v>
      </c>
      <c r="AV30" s="23">
        <f t="shared" si="29"/>
        <v>18983</v>
      </c>
      <c r="AW30" s="20"/>
      <c r="AX30" s="20">
        <f t="shared" si="44"/>
        <v>1796</v>
      </c>
      <c r="AY30" s="20">
        <f t="shared" si="12"/>
        <v>75</v>
      </c>
      <c r="AZ30" s="20">
        <f t="shared" si="13"/>
        <v>75</v>
      </c>
      <c r="BA30" s="20">
        <f t="shared" si="42"/>
        <v>537</v>
      </c>
      <c r="BB30" s="23">
        <f t="shared" si="15"/>
        <v>18983</v>
      </c>
    </row>
    <row r="31" spans="1:54" ht="15" customHeight="1" x14ac:dyDescent="0.25">
      <c r="A31" s="11">
        <f t="shared" si="16"/>
        <v>28</v>
      </c>
      <c r="B31" s="35" t="s">
        <v>114</v>
      </c>
      <c r="C31" s="13" t="s">
        <v>104</v>
      </c>
      <c r="D31" s="13">
        <v>31</v>
      </c>
      <c r="E31" s="36" t="s">
        <v>115</v>
      </c>
      <c r="F31" s="37" t="s">
        <v>84</v>
      </c>
      <c r="G31" s="16"/>
      <c r="H31" s="17"/>
      <c r="I31" s="18"/>
      <c r="J31" s="16"/>
      <c r="K31" s="24"/>
      <c r="L31" s="16"/>
      <c r="M31" s="19"/>
      <c r="N31" s="20"/>
      <c r="O31" s="20"/>
      <c r="P31" s="20"/>
      <c r="Q31" s="20"/>
      <c r="R31" s="20">
        <v>16000</v>
      </c>
      <c r="S31" s="20">
        <v>10738</v>
      </c>
      <c r="T31" s="20">
        <f t="shared" si="45"/>
        <v>537</v>
      </c>
      <c r="U31" s="20">
        <f t="shared" si="18"/>
        <v>1000</v>
      </c>
      <c r="V31" s="20">
        <f>2650+1075</f>
        <v>3725</v>
      </c>
      <c r="W31" s="22">
        <f t="shared" si="20"/>
        <v>16000</v>
      </c>
      <c r="X31" s="20">
        <v>31</v>
      </c>
      <c r="Y31" s="20"/>
      <c r="Z31" s="20"/>
      <c r="AA31" s="20">
        <f t="shared" si="0"/>
        <v>31</v>
      </c>
      <c r="AB31" s="20">
        <f t="shared" si="1"/>
        <v>10738</v>
      </c>
      <c r="AC31" s="20">
        <f t="shared" si="2"/>
        <v>537</v>
      </c>
      <c r="AD31" s="20">
        <f t="shared" si="3"/>
        <v>1000</v>
      </c>
      <c r="AE31" s="20">
        <f t="shared" si="4"/>
        <v>3725</v>
      </c>
      <c r="AF31" s="23">
        <f t="shared" si="5"/>
        <v>16000</v>
      </c>
      <c r="AG31" s="20"/>
      <c r="AH31" s="20"/>
      <c r="AI31" s="23">
        <f t="shared" si="21"/>
        <v>16000</v>
      </c>
      <c r="AJ31" s="20">
        <f t="shared" si="43"/>
        <v>1736</v>
      </c>
      <c r="AK31" s="20"/>
      <c r="AL31" s="20">
        <f t="shared" si="23"/>
        <v>120</v>
      </c>
      <c r="AM31" s="20">
        <f t="shared" si="6"/>
        <v>130</v>
      </c>
      <c r="AN31" s="20"/>
      <c r="AO31" s="20"/>
      <c r="AP31" s="20">
        <f t="shared" si="36"/>
        <v>1986</v>
      </c>
      <c r="AQ31" s="23">
        <f t="shared" si="24"/>
        <v>14014</v>
      </c>
      <c r="AR31" s="20">
        <f t="shared" si="25"/>
        <v>1736</v>
      </c>
      <c r="AS31" s="20">
        <f t="shared" si="8"/>
        <v>72</v>
      </c>
      <c r="AT31" s="20">
        <f t="shared" si="9"/>
        <v>72</v>
      </c>
      <c r="AU31" s="20">
        <f t="shared" si="37"/>
        <v>520</v>
      </c>
      <c r="AV31" s="23">
        <f t="shared" si="29"/>
        <v>18400</v>
      </c>
      <c r="AW31" s="20"/>
      <c r="AX31" s="20">
        <f t="shared" si="44"/>
        <v>1736</v>
      </c>
      <c r="AY31" s="20">
        <f t="shared" si="12"/>
        <v>72</v>
      </c>
      <c r="AZ31" s="20">
        <f t="shared" si="13"/>
        <v>72</v>
      </c>
      <c r="BA31" s="20">
        <f t="shared" si="42"/>
        <v>520</v>
      </c>
      <c r="BB31" s="23">
        <f t="shared" si="15"/>
        <v>18400</v>
      </c>
    </row>
    <row r="32" spans="1:54" ht="15" customHeight="1" x14ac:dyDescent="0.25">
      <c r="A32" s="11">
        <f t="shared" si="16"/>
        <v>29</v>
      </c>
      <c r="B32" s="35" t="s">
        <v>116</v>
      </c>
      <c r="C32" s="13" t="s">
        <v>104</v>
      </c>
      <c r="D32" s="13">
        <v>31</v>
      </c>
      <c r="E32" s="36" t="s">
        <v>117</v>
      </c>
      <c r="F32" s="37" t="s">
        <v>84</v>
      </c>
      <c r="G32" s="16"/>
      <c r="H32" s="17"/>
      <c r="I32" s="18"/>
      <c r="J32" s="16"/>
      <c r="K32" s="19"/>
      <c r="L32" s="16"/>
      <c r="M32" s="19"/>
      <c r="N32" s="20"/>
      <c r="O32" s="21"/>
      <c r="P32" s="20"/>
      <c r="Q32" s="20"/>
      <c r="R32" s="20">
        <v>17500</v>
      </c>
      <c r="S32" s="20">
        <v>10738</v>
      </c>
      <c r="T32" s="20">
        <f t="shared" si="45"/>
        <v>537</v>
      </c>
      <c r="U32" s="20">
        <f t="shared" si="18"/>
        <v>1000</v>
      </c>
      <c r="V32" s="20">
        <f>4150+1075</f>
        <v>5225</v>
      </c>
      <c r="W32" s="22">
        <f t="shared" si="20"/>
        <v>17500</v>
      </c>
      <c r="X32" s="20">
        <v>31</v>
      </c>
      <c r="Y32" s="20"/>
      <c r="Z32" s="20"/>
      <c r="AA32" s="20">
        <f t="shared" si="0"/>
        <v>31</v>
      </c>
      <c r="AB32" s="20">
        <f t="shared" si="1"/>
        <v>10738</v>
      </c>
      <c r="AC32" s="20">
        <f t="shared" si="2"/>
        <v>537</v>
      </c>
      <c r="AD32" s="20">
        <f t="shared" si="3"/>
        <v>1000</v>
      </c>
      <c r="AE32" s="20">
        <f t="shared" si="4"/>
        <v>5225</v>
      </c>
      <c r="AF32" s="23">
        <f t="shared" si="5"/>
        <v>17500</v>
      </c>
      <c r="AG32" s="20"/>
      <c r="AH32" s="38"/>
      <c r="AI32" s="23">
        <f t="shared" si="21"/>
        <v>17500</v>
      </c>
      <c r="AJ32" s="20">
        <f t="shared" si="43"/>
        <v>1800</v>
      </c>
      <c r="AK32" s="20"/>
      <c r="AL32" s="20">
        <f t="shared" si="23"/>
        <v>132</v>
      </c>
      <c r="AM32" s="20">
        <f t="shared" si="6"/>
        <v>130</v>
      </c>
      <c r="AN32" s="20"/>
      <c r="AO32" s="20"/>
      <c r="AP32" s="20">
        <f t="shared" si="36"/>
        <v>2062</v>
      </c>
      <c r="AQ32" s="23">
        <f t="shared" si="24"/>
        <v>15438</v>
      </c>
      <c r="AR32" s="20">
        <f t="shared" si="25"/>
        <v>1800</v>
      </c>
      <c r="AS32" s="20">
        <f t="shared" si="8"/>
        <v>75</v>
      </c>
      <c r="AT32" s="20">
        <f t="shared" si="9"/>
        <v>75</v>
      </c>
      <c r="AU32" s="20">
        <f t="shared" si="37"/>
        <v>569</v>
      </c>
      <c r="AV32" s="23">
        <f t="shared" si="29"/>
        <v>20019</v>
      </c>
      <c r="AW32" s="20"/>
      <c r="AX32" s="20">
        <f t="shared" si="44"/>
        <v>1800</v>
      </c>
      <c r="AY32" s="20">
        <f t="shared" si="12"/>
        <v>75</v>
      </c>
      <c r="AZ32" s="20">
        <f t="shared" si="13"/>
        <v>75</v>
      </c>
      <c r="BA32" s="20">
        <f t="shared" si="42"/>
        <v>569</v>
      </c>
      <c r="BB32" s="23">
        <f t="shared" si="15"/>
        <v>20019</v>
      </c>
    </row>
    <row r="33" spans="1:54" ht="15" customHeight="1" x14ac:dyDescent="0.25">
      <c r="A33" s="11">
        <f t="shared" si="16"/>
        <v>30</v>
      </c>
      <c r="B33" s="35" t="s">
        <v>118</v>
      </c>
      <c r="C33" s="13" t="s">
        <v>104</v>
      </c>
      <c r="D33" s="13">
        <v>31</v>
      </c>
      <c r="E33" s="36" t="s">
        <v>119</v>
      </c>
      <c r="F33" s="37" t="s">
        <v>84</v>
      </c>
      <c r="G33" s="16"/>
      <c r="H33" s="17"/>
      <c r="I33" s="18"/>
      <c r="J33" s="16"/>
      <c r="K33" s="19"/>
      <c r="L33" s="16"/>
      <c r="M33" s="19"/>
      <c r="N33" s="20"/>
      <c r="O33" s="20"/>
      <c r="P33" s="20"/>
      <c r="Q33" s="20"/>
      <c r="R33" s="20">
        <v>15500</v>
      </c>
      <c r="S33" s="20">
        <v>10738</v>
      </c>
      <c r="T33" s="20">
        <f t="shared" si="45"/>
        <v>537</v>
      </c>
      <c r="U33" s="20">
        <f t="shared" si="18"/>
        <v>1000</v>
      </c>
      <c r="V33" s="20">
        <f>2150+1075</f>
        <v>3225</v>
      </c>
      <c r="W33" s="22">
        <f t="shared" si="20"/>
        <v>15500</v>
      </c>
      <c r="X33" s="20">
        <v>31</v>
      </c>
      <c r="Y33" s="20"/>
      <c r="Z33" s="20"/>
      <c r="AA33" s="20">
        <f t="shared" si="0"/>
        <v>31</v>
      </c>
      <c r="AB33" s="20">
        <f t="shared" si="1"/>
        <v>10738</v>
      </c>
      <c r="AC33" s="20">
        <f t="shared" si="2"/>
        <v>537</v>
      </c>
      <c r="AD33" s="20">
        <f t="shared" si="3"/>
        <v>1000</v>
      </c>
      <c r="AE33" s="20">
        <f t="shared" si="4"/>
        <v>3225</v>
      </c>
      <c r="AF33" s="23">
        <f t="shared" si="5"/>
        <v>15500</v>
      </c>
      <c r="AG33" s="20"/>
      <c r="AH33" s="20"/>
      <c r="AI33" s="23">
        <f t="shared" si="21"/>
        <v>15500</v>
      </c>
      <c r="AJ33" s="20">
        <f t="shared" si="43"/>
        <v>1676</v>
      </c>
      <c r="AK33" s="20"/>
      <c r="AL33" s="20">
        <f t="shared" si="23"/>
        <v>117</v>
      </c>
      <c r="AM33" s="20">
        <f t="shared" si="6"/>
        <v>130</v>
      </c>
      <c r="AN33" s="20"/>
      <c r="AO33" s="20"/>
      <c r="AP33" s="20">
        <f t="shared" si="36"/>
        <v>1923</v>
      </c>
      <c r="AQ33" s="23">
        <f t="shared" si="24"/>
        <v>13577</v>
      </c>
      <c r="AR33" s="20">
        <f t="shared" si="25"/>
        <v>1676</v>
      </c>
      <c r="AS33" s="20">
        <f t="shared" si="8"/>
        <v>70</v>
      </c>
      <c r="AT33" s="20">
        <f t="shared" si="9"/>
        <v>70</v>
      </c>
      <c r="AU33" s="20">
        <f t="shared" si="37"/>
        <v>504</v>
      </c>
      <c r="AV33" s="23">
        <f t="shared" si="29"/>
        <v>17820</v>
      </c>
      <c r="AW33" s="20"/>
      <c r="AX33" s="20">
        <f t="shared" si="44"/>
        <v>1676</v>
      </c>
      <c r="AY33" s="20">
        <f t="shared" si="12"/>
        <v>70</v>
      </c>
      <c r="AZ33" s="20">
        <f t="shared" si="13"/>
        <v>70</v>
      </c>
      <c r="BA33" s="20">
        <f t="shared" si="42"/>
        <v>504</v>
      </c>
      <c r="BB33" s="23">
        <f t="shared" si="15"/>
        <v>17820</v>
      </c>
    </row>
    <row r="34" spans="1:54" ht="15" customHeight="1" x14ac:dyDescent="0.25">
      <c r="A34" s="11">
        <f t="shared" si="16"/>
        <v>31</v>
      </c>
      <c r="B34" s="39" t="s">
        <v>120</v>
      </c>
      <c r="C34" s="13" t="s">
        <v>104</v>
      </c>
      <c r="D34" s="13">
        <v>31</v>
      </c>
      <c r="E34" s="36" t="s">
        <v>121</v>
      </c>
      <c r="F34" s="40" t="s">
        <v>122</v>
      </c>
      <c r="G34" s="16"/>
      <c r="H34" s="17"/>
      <c r="I34" s="18"/>
      <c r="J34" s="16"/>
      <c r="K34" s="19"/>
      <c r="L34" s="16"/>
      <c r="M34" s="19"/>
      <c r="N34" s="20"/>
      <c r="O34" s="21"/>
      <c r="P34" s="20"/>
      <c r="Q34" s="20"/>
      <c r="R34" s="20">
        <v>15750</v>
      </c>
      <c r="S34" s="20">
        <v>10738</v>
      </c>
      <c r="T34" s="20">
        <f t="shared" si="45"/>
        <v>537</v>
      </c>
      <c r="U34" s="20">
        <f t="shared" si="18"/>
        <v>1000</v>
      </c>
      <c r="V34" s="20">
        <f>2400+1075</f>
        <v>3475</v>
      </c>
      <c r="W34" s="22">
        <f t="shared" si="20"/>
        <v>15750</v>
      </c>
      <c r="X34" s="20">
        <v>31</v>
      </c>
      <c r="Y34" s="20"/>
      <c r="Z34" s="20"/>
      <c r="AA34" s="20">
        <f t="shared" si="0"/>
        <v>31</v>
      </c>
      <c r="AB34" s="20">
        <f t="shared" si="1"/>
        <v>10738</v>
      </c>
      <c r="AC34" s="20">
        <f t="shared" si="2"/>
        <v>537</v>
      </c>
      <c r="AD34" s="20">
        <f t="shared" si="3"/>
        <v>1000</v>
      </c>
      <c r="AE34" s="20">
        <f t="shared" si="4"/>
        <v>3475</v>
      </c>
      <c r="AF34" s="23">
        <f t="shared" si="5"/>
        <v>15750</v>
      </c>
      <c r="AG34" s="20"/>
      <c r="AH34" s="20"/>
      <c r="AI34" s="23">
        <f t="shared" si="21"/>
        <v>15750</v>
      </c>
      <c r="AJ34" s="20">
        <f t="shared" si="43"/>
        <v>1706</v>
      </c>
      <c r="AK34" s="20"/>
      <c r="AL34" s="20">
        <f t="shared" si="23"/>
        <v>119</v>
      </c>
      <c r="AM34" s="20">
        <f t="shared" si="6"/>
        <v>130</v>
      </c>
      <c r="AN34" s="20"/>
      <c r="AO34" s="20"/>
      <c r="AP34" s="20">
        <f t="shared" si="36"/>
        <v>1955</v>
      </c>
      <c r="AQ34" s="23">
        <f t="shared" si="24"/>
        <v>13795</v>
      </c>
      <c r="AR34" s="20">
        <f t="shared" si="25"/>
        <v>1706</v>
      </c>
      <c r="AS34" s="20">
        <f t="shared" si="8"/>
        <v>71</v>
      </c>
      <c r="AT34" s="20">
        <f t="shared" si="9"/>
        <v>71</v>
      </c>
      <c r="AU34" s="20">
        <f t="shared" si="37"/>
        <v>512</v>
      </c>
      <c r="AV34" s="23">
        <f t="shared" si="29"/>
        <v>18110</v>
      </c>
      <c r="AW34" s="20"/>
      <c r="AX34" s="20">
        <f t="shared" si="44"/>
        <v>1706</v>
      </c>
      <c r="AY34" s="20">
        <f t="shared" si="12"/>
        <v>71</v>
      </c>
      <c r="AZ34" s="20">
        <f t="shared" si="13"/>
        <v>71</v>
      </c>
      <c r="BA34" s="20">
        <f t="shared" si="42"/>
        <v>512</v>
      </c>
      <c r="BB34" s="23">
        <f t="shared" si="15"/>
        <v>18110</v>
      </c>
    </row>
    <row r="35" spans="1:54" ht="15" customHeight="1" x14ac:dyDescent="0.25">
      <c r="A35" s="11">
        <f t="shared" si="16"/>
        <v>32</v>
      </c>
      <c r="B35" s="39" t="s">
        <v>123</v>
      </c>
      <c r="C35" s="13" t="s">
        <v>104</v>
      </c>
      <c r="D35" s="13">
        <v>31</v>
      </c>
      <c r="E35" s="36" t="s">
        <v>124</v>
      </c>
      <c r="F35" s="40" t="s">
        <v>87</v>
      </c>
      <c r="G35" s="16"/>
      <c r="H35" s="17"/>
      <c r="I35" s="18"/>
      <c r="J35" s="16"/>
      <c r="K35" s="19"/>
      <c r="L35" s="16"/>
      <c r="M35" s="19"/>
      <c r="N35" s="28"/>
      <c r="O35" s="20"/>
      <c r="P35" s="20"/>
      <c r="Q35" s="20"/>
      <c r="R35" s="20">
        <v>20000</v>
      </c>
      <c r="S35" s="20">
        <v>10738</v>
      </c>
      <c r="T35" s="20">
        <f t="shared" ref="T35:T39" si="46">ROUND(S35*50%,0)</f>
        <v>5369</v>
      </c>
      <c r="U35" s="20">
        <f t="shared" si="18"/>
        <v>1000</v>
      </c>
      <c r="V35" s="20">
        <f t="shared" si="19"/>
        <v>2893</v>
      </c>
      <c r="W35" s="22">
        <f t="shared" si="20"/>
        <v>20000</v>
      </c>
      <c r="X35" s="20">
        <v>31</v>
      </c>
      <c r="Y35" s="20"/>
      <c r="Z35" s="20"/>
      <c r="AA35" s="20">
        <f t="shared" si="0"/>
        <v>31</v>
      </c>
      <c r="AB35" s="20">
        <f t="shared" si="1"/>
        <v>10738</v>
      </c>
      <c r="AC35" s="20">
        <f t="shared" si="2"/>
        <v>5369</v>
      </c>
      <c r="AD35" s="20">
        <f t="shared" si="3"/>
        <v>1000</v>
      </c>
      <c r="AE35" s="20">
        <f t="shared" si="4"/>
        <v>2893</v>
      </c>
      <c r="AF35" s="23">
        <f t="shared" si="5"/>
        <v>20000</v>
      </c>
      <c r="AG35" s="20"/>
      <c r="AH35" s="20"/>
      <c r="AI35" s="23">
        <f t="shared" si="21"/>
        <v>20000</v>
      </c>
      <c r="AJ35" s="20">
        <f t="shared" si="43"/>
        <v>1636</v>
      </c>
      <c r="AK35" s="20"/>
      <c r="AL35" s="20">
        <f t="shared" si="23"/>
        <v>150</v>
      </c>
      <c r="AM35" s="20">
        <f t="shared" si="6"/>
        <v>130</v>
      </c>
      <c r="AN35" s="20"/>
      <c r="AO35" s="20"/>
      <c r="AP35" s="20">
        <f t="shared" si="36"/>
        <v>1916</v>
      </c>
      <c r="AQ35" s="23">
        <f t="shared" si="24"/>
        <v>18084</v>
      </c>
      <c r="AR35" s="20">
        <f t="shared" si="25"/>
        <v>1636</v>
      </c>
      <c r="AS35" s="20">
        <f t="shared" si="8"/>
        <v>68</v>
      </c>
      <c r="AT35" s="20">
        <f t="shared" si="9"/>
        <v>68</v>
      </c>
      <c r="AU35" s="20">
        <f t="shared" si="37"/>
        <v>650</v>
      </c>
      <c r="AV35" s="23">
        <f t="shared" si="29"/>
        <v>22422</v>
      </c>
      <c r="AW35" s="20"/>
      <c r="AX35" s="20">
        <f t="shared" si="44"/>
        <v>1636</v>
      </c>
      <c r="AY35" s="20">
        <f t="shared" si="12"/>
        <v>68</v>
      </c>
      <c r="AZ35" s="20">
        <f t="shared" si="13"/>
        <v>68</v>
      </c>
      <c r="BA35" s="20">
        <f t="shared" si="42"/>
        <v>650</v>
      </c>
      <c r="BB35" s="23">
        <f t="shared" si="15"/>
        <v>22422</v>
      </c>
    </row>
    <row r="36" spans="1:54" ht="15" customHeight="1" x14ac:dyDescent="0.25">
      <c r="A36" s="11">
        <f t="shared" si="16"/>
        <v>33</v>
      </c>
      <c r="B36" s="39" t="s">
        <v>125</v>
      </c>
      <c r="C36" s="13" t="s">
        <v>104</v>
      </c>
      <c r="D36" s="13">
        <v>31</v>
      </c>
      <c r="E36" s="36" t="s">
        <v>126</v>
      </c>
      <c r="F36" s="40" t="s">
        <v>87</v>
      </c>
      <c r="G36" s="16"/>
      <c r="H36" s="17"/>
      <c r="I36" s="18"/>
      <c r="J36" s="16"/>
      <c r="K36" s="19"/>
      <c r="L36" s="16"/>
      <c r="M36" s="19"/>
      <c r="N36" s="20"/>
      <c r="O36" s="20"/>
      <c r="P36" s="20"/>
      <c r="Q36" s="20"/>
      <c r="R36" s="20">
        <v>20000</v>
      </c>
      <c r="S36" s="20">
        <v>10738</v>
      </c>
      <c r="T36" s="20">
        <f t="shared" si="46"/>
        <v>5369</v>
      </c>
      <c r="U36" s="20">
        <f t="shared" si="18"/>
        <v>1000</v>
      </c>
      <c r="V36" s="20">
        <f t="shared" si="19"/>
        <v>2893</v>
      </c>
      <c r="W36" s="22">
        <f t="shared" si="20"/>
        <v>20000</v>
      </c>
      <c r="X36" s="20">
        <v>31</v>
      </c>
      <c r="Y36" s="20"/>
      <c r="Z36" s="20"/>
      <c r="AA36" s="20">
        <f t="shared" si="0"/>
        <v>31</v>
      </c>
      <c r="AB36" s="20">
        <f t="shared" si="1"/>
        <v>10738</v>
      </c>
      <c r="AC36" s="20">
        <f t="shared" si="2"/>
        <v>5369</v>
      </c>
      <c r="AD36" s="20">
        <f t="shared" si="3"/>
        <v>1000</v>
      </c>
      <c r="AE36" s="20">
        <f t="shared" si="4"/>
        <v>2893</v>
      </c>
      <c r="AF36" s="23">
        <f t="shared" si="5"/>
        <v>20000</v>
      </c>
      <c r="AG36" s="20"/>
      <c r="AH36" s="20"/>
      <c r="AI36" s="23">
        <f t="shared" si="21"/>
        <v>20000</v>
      </c>
      <c r="AJ36" s="20">
        <f t="shared" si="43"/>
        <v>1636</v>
      </c>
      <c r="AK36" s="20"/>
      <c r="AL36" s="20">
        <f t="shared" si="23"/>
        <v>150</v>
      </c>
      <c r="AM36" s="20">
        <f t="shared" ref="AM36:AM67" si="47">IF(AI36&lt;10001,0,IF(AI36&lt;15001,110,IF(AI36&lt;25001,130,IF(AI36&lt;=40000,150,IF(AI36&gt;40000,200,0)))))</f>
        <v>130</v>
      </c>
      <c r="AN36" s="20"/>
      <c r="AO36" s="20"/>
      <c r="AP36" s="20">
        <f t="shared" si="36"/>
        <v>1916</v>
      </c>
      <c r="AQ36" s="23">
        <f t="shared" si="24"/>
        <v>18084</v>
      </c>
      <c r="AR36" s="20">
        <f t="shared" si="25"/>
        <v>1636</v>
      </c>
      <c r="AS36" s="20">
        <f t="shared" si="8"/>
        <v>68</v>
      </c>
      <c r="AT36" s="20">
        <f t="shared" si="9"/>
        <v>68</v>
      </c>
      <c r="AU36" s="20">
        <f t="shared" si="37"/>
        <v>650</v>
      </c>
      <c r="AV36" s="23">
        <f t="shared" si="29"/>
        <v>22422</v>
      </c>
      <c r="AW36" s="20"/>
      <c r="AX36" s="20">
        <f t="shared" si="44"/>
        <v>1636</v>
      </c>
      <c r="AY36" s="20">
        <f t="shared" si="12"/>
        <v>68</v>
      </c>
      <c r="AZ36" s="20">
        <f t="shared" si="13"/>
        <v>68</v>
      </c>
      <c r="BA36" s="20">
        <f t="shared" si="42"/>
        <v>650</v>
      </c>
      <c r="BB36" s="23">
        <f t="shared" si="15"/>
        <v>22422</v>
      </c>
    </row>
    <row r="37" spans="1:54" ht="15" customHeight="1" x14ac:dyDescent="0.25">
      <c r="A37" s="11">
        <f t="shared" si="16"/>
        <v>34</v>
      </c>
      <c r="B37" s="39" t="s">
        <v>127</v>
      </c>
      <c r="C37" s="13" t="s">
        <v>104</v>
      </c>
      <c r="D37" s="13">
        <v>31</v>
      </c>
      <c r="E37" s="36" t="s">
        <v>128</v>
      </c>
      <c r="F37" s="40" t="s">
        <v>87</v>
      </c>
      <c r="G37" s="16"/>
      <c r="H37" s="17"/>
      <c r="I37" s="18"/>
      <c r="J37" s="16"/>
      <c r="K37" s="19"/>
      <c r="L37" s="16"/>
      <c r="M37" s="19"/>
      <c r="N37" s="20"/>
      <c r="O37" s="20"/>
      <c r="P37" s="20"/>
      <c r="Q37" s="20"/>
      <c r="R37" s="20">
        <v>21000</v>
      </c>
      <c r="S37" s="20">
        <v>10738</v>
      </c>
      <c r="T37" s="20">
        <f t="shared" si="46"/>
        <v>5369</v>
      </c>
      <c r="U37" s="20">
        <f t="shared" si="18"/>
        <v>1600</v>
      </c>
      <c r="V37" s="20">
        <f t="shared" si="19"/>
        <v>3293</v>
      </c>
      <c r="W37" s="22">
        <f t="shared" si="20"/>
        <v>21000</v>
      </c>
      <c r="X37" s="20">
        <v>31</v>
      </c>
      <c r="Y37" s="20"/>
      <c r="Z37" s="20"/>
      <c r="AA37" s="20">
        <f t="shared" si="0"/>
        <v>31</v>
      </c>
      <c r="AB37" s="20">
        <f t="shared" si="1"/>
        <v>10738</v>
      </c>
      <c r="AC37" s="20">
        <f t="shared" si="2"/>
        <v>5369</v>
      </c>
      <c r="AD37" s="20">
        <f t="shared" si="3"/>
        <v>1600</v>
      </c>
      <c r="AE37" s="20">
        <f t="shared" si="4"/>
        <v>3293</v>
      </c>
      <c r="AF37" s="23">
        <f t="shared" si="5"/>
        <v>21000</v>
      </c>
      <c r="AG37" s="20"/>
      <c r="AH37" s="20"/>
      <c r="AI37" s="23">
        <f t="shared" si="21"/>
        <v>21000</v>
      </c>
      <c r="AJ37" s="20">
        <f t="shared" si="43"/>
        <v>1684</v>
      </c>
      <c r="AK37" s="20"/>
      <c r="AL37" s="20">
        <f t="shared" si="23"/>
        <v>158</v>
      </c>
      <c r="AM37" s="20">
        <f t="shared" si="47"/>
        <v>130</v>
      </c>
      <c r="AN37" s="20"/>
      <c r="AO37" s="20"/>
      <c r="AP37" s="20">
        <f t="shared" si="36"/>
        <v>1972</v>
      </c>
      <c r="AQ37" s="23">
        <f t="shared" si="24"/>
        <v>19028</v>
      </c>
      <c r="AR37" s="20">
        <f t="shared" si="25"/>
        <v>1684</v>
      </c>
      <c r="AS37" s="20">
        <f t="shared" si="8"/>
        <v>70</v>
      </c>
      <c r="AT37" s="20">
        <f t="shared" si="9"/>
        <v>70</v>
      </c>
      <c r="AU37" s="20">
        <f t="shared" si="37"/>
        <v>683</v>
      </c>
      <c r="AV37" s="23">
        <f t="shared" si="29"/>
        <v>23507</v>
      </c>
      <c r="AW37" s="20"/>
      <c r="AX37" s="20">
        <f t="shared" si="44"/>
        <v>1684</v>
      </c>
      <c r="AY37" s="20">
        <f t="shared" si="12"/>
        <v>70</v>
      </c>
      <c r="AZ37" s="20">
        <f t="shared" si="13"/>
        <v>70</v>
      </c>
      <c r="BA37" s="20">
        <f t="shared" si="42"/>
        <v>683</v>
      </c>
      <c r="BB37" s="23">
        <f t="shared" si="15"/>
        <v>23507</v>
      </c>
    </row>
    <row r="38" spans="1:54" ht="15" customHeight="1" x14ac:dyDescent="0.25">
      <c r="A38" s="11">
        <f t="shared" si="16"/>
        <v>35</v>
      </c>
      <c r="B38" s="39" t="s">
        <v>129</v>
      </c>
      <c r="C38" s="13" t="s">
        <v>104</v>
      </c>
      <c r="D38" s="13">
        <v>31</v>
      </c>
      <c r="E38" s="36" t="s">
        <v>130</v>
      </c>
      <c r="F38" s="40" t="s">
        <v>87</v>
      </c>
      <c r="G38" s="16"/>
      <c r="H38" s="17"/>
      <c r="I38" s="18"/>
      <c r="J38" s="16"/>
      <c r="K38" s="19"/>
      <c r="L38" s="16"/>
      <c r="M38" s="19"/>
      <c r="N38" s="20"/>
      <c r="O38" s="20"/>
      <c r="P38" s="20"/>
      <c r="Q38" s="20"/>
      <c r="R38" s="20">
        <v>20000</v>
      </c>
      <c r="S38" s="20">
        <v>10738</v>
      </c>
      <c r="T38" s="20">
        <f t="shared" si="46"/>
        <v>5369</v>
      </c>
      <c r="U38" s="20">
        <f t="shared" si="18"/>
        <v>1000</v>
      </c>
      <c r="V38" s="20">
        <f t="shared" si="19"/>
        <v>2893</v>
      </c>
      <c r="W38" s="22">
        <f t="shared" si="20"/>
        <v>20000</v>
      </c>
      <c r="X38" s="20">
        <v>31</v>
      </c>
      <c r="Y38" s="20"/>
      <c r="Z38" s="20"/>
      <c r="AA38" s="20">
        <f t="shared" si="0"/>
        <v>31</v>
      </c>
      <c r="AB38" s="20">
        <f t="shared" si="1"/>
        <v>10738</v>
      </c>
      <c r="AC38" s="20">
        <f t="shared" si="2"/>
        <v>5369</v>
      </c>
      <c r="AD38" s="20">
        <f t="shared" si="3"/>
        <v>1000</v>
      </c>
      <c r="AE38" s="20">
        <f t="shared" si="4"/>
        <v>2893</v>
      </c>
      <c r="AF38" s="23">
        <f t="shared" si="5"/>
        <v>20000</v>
      </c>
      <c r="AG38" s="20"/>
      <c r="AH38" s="20"/>
      <c r="AI38" s="23">
        <f t="shared" si="21"/>
        <v>20000</v>
      </c>
      <c r="AJ38" s="20">
        <f t="shared" si="43"/>
        <v>1636</v>
      </c>
      <c r="AK38" s="20"/>
      <c r="AL38" s="20">
        <f t="shared" si="23"/>
        <v>150</v>
      </c>
      <c r="AM38" s="20">
        <f t="shared" si="47"/>
        <v>130</v>
      </c>
      <c r="AN38" s="20"/>
      <c r="AO38" s="20"/>
      <c r="AP38" s="20">
        <f t="shared" si="36"/>
        <v>1916</v>
      </c>
      <c r="AQ38" s="23">
        <f t="shared" si="24"/>
        <v>18084</v>
      </c>
      <c r="AR38" s="20">
        <f t="shared" si="25"/>
        <v>1636</v>
      </c>
      <c r="AS38" s="20">
        <f t="shared" si="8"/>
        <v>68</v>
      </c>
      <c r="AT38" s="20">
        <f t="shared" si="9"/>
        <v>68</v>
      </c>
      <c r="AU38" s="20">
        <f t="shared" si="37"/>
        <v>650</v>
      </c>
      <c r="AV38" s="23">
        <f t="shared" si="29"/>
        <v>22422</v>
      </c>
      <c r="AW38" s="20"/>
      <c r="AX38" s="20">
        <f t="shared" si="44"/>
        <v>1636</v>
      </c>
      <c r="AY38" s="20">
        <f t="shared" si="12"/>
        <v>68</v>
      </c>
      <c r="AZ38" s="20">
        <f t="shared" si="13"/>
        <v>68</v>
      </c>
      <c r="BA38" s="20">
        <f t="shared" si="42"/>
        <v>650</v>
      </c>
      <c r="BB38" s="23">
        <f t="shared" si="15"/>
        <v>22422</v>
      </c>
    </row>
    <row r="39" spans="1:54" ht="15" customHeight="1" x14ac:dyDescent="0.25">
      <c r="A39" s="11">
        <f t="shared" si="16"/>
        <v>36</v>
      </c>
      <c r="B39" s="39" t="s">
        <v>131</v>
      </c>
      <c r="C39" s="13" t="s">
        <v>104</v>
      </c>
      <c r="D39" s="13">
        <v>31</v>
      </c>
      <c r="E39" s="36" t="s">
        <v>132</v>
      </c>
      <c r="F39" s="40" t="s">
        <v>87</v>
      </c>
      <c r="G39" s="16"/>
      <c r="H39" s="17"/>
      <c r="I39" s="18"/>
      <c r="J39" s="16"/>
      <c r="K39" s="19"/>
      <c r="L39" s="16"/>
      <c r="M39" s="19"/>
      <c r="N39" s="20"/>
      <c r="O39" s="20"/>
      <c r="P39" s="20"/>
      <c r="Q39" s="20"/>
      <c r="R39" s="20">
        <v>20000</v>
      </c>
      <c r="S39" s="20">
        <v>10738</v>
      </c>
      <c r="T39" s="20">
        <f t="shared" si="46"/>
        <v>5369</v>
      </c>
      <c r="U39" s="20">
        <f t="shared" si="18"/>
        <v>1000</v>
      </c>
      <c r="V39" s="20">
        <f t="shared" si="19"/>
        <v>2893</v>
      </c>
      <c r="W39" s="22">
        <f t="shared" si="20"/>
        <v>20000</v>
      </c>
      <c r="X39" s="20">
        <v>31</v>
      </c>
      <c r="Y39" s="20"/>
      <c r="Z39" s="20"/>
      <c r="AA39" s="20">
        <f t="shared" si="0"/>
        <v>31</v>
      </c>
      <c r="AB39" s="20">
        <f t="shared" si="1"/>
        <v>10738</v>
      </c>
      <c r="AC39" s="20">
        <f t="shared" si="2"/>
        <v>5369</v>
      </c>
      <c r="AD39" s="20">
        <f t="shared" si="3"/>
        <v>1000</v>
      </c>
      <c r="AE39" s="20">
        <f t="shared" si="4"/>
        <v>2893</v>
      </c>
      <c r="AF39" s="23">
        <f t="shared" si="5"/>
        <v>20000</v>
      </c>
      <c r="AG39" s="20"/>
      <c r="AH39" s="20"/>
      <c r="AI39" s="23">
        <f t="shared" si="21"/>
        <v>20000</v>
      </c>
      <c r="AJ39" s="20">
        <f t="shared" si="43"/>
        <v>1636</v>
      </c>
      <c r="AK39" s="20"/>
      <c r="AL39" s="20">
        <f t="shared" si="23"/>
        <v>150</v>
      </c>
      <c r="AM39" s="20">
        <f t="shared" si="47"/>
        <v>130</v>
      </c>
      <c r="AN39" s="20"/>
      <c r="AO39" s="20"/>
      <c r="AP39" s="20">
        <f t="shared" si="36"/>
        <v>1916</v>
      </c>
      <c r="AQ39" s="23">
        <f t="shared" si="24"/>
        <v>18084</v>
      </c>
      <c r="AR39" s="20">
        <f t="shared" si="25"/>
        <v>1636</v>
      </c>
      <c r="AS39" s="20">
        <f t="shared" si="8"/>
        <v>68</v>
      </c>
      <c r="AT39" s="20">
        <f t="shared" si="9"/>
        <v>68</v>
      </c>
      <c r="AU39" s="20">
        <f t="shared" si="37"/>
        <v>650</v>
      </c>
      <c r="AV39" s="23">
        <f t="shared" si="29"/>
        <v>22422</v>
      </c>
      <c r="AW39" s="20"/>
      <c r="AX39" s="20">
        <f t="shared" si="44"/>
        <v>1636</v>
      </c>
      <c r="AY39" s="20">
        <f t="shared" si="12"/>
        <v>68</v>
      </c>
      <c r="AZ39" s="20">
        <f t="shared" si="13"/>
        <v>68</v>
      </c>
      <c r="BA39" s="20">
        <f t="shared" si="42"/>
        <v>650</v>
      </c>
      <c r="BB39" s="23">
        <f t="shared" si="15"/>
        <v>22422</v>
      </c>
    </row>
    <row r="40" spans="1:54" ht="15" customHeight="1" x14ac:dyDescent="0.25">
      <c r="A40" s="11">
        <f t="shared" si="16"/>
        <v>37</v>
      </c>
      <c r="B40" s="39" t="s">
        <v>133</v>
      </c>
      <c r="C40" s="13" t="s">
        <v>104</v>
      </c>
      <c r="D40" s="13">
        <v>31</v>
      </c>
      <c r="E40" s="36" t="s">
        <v>134</v>
      </c>
      <c r="F40" s="40" t="s">
        <v>135</v>
      </c>
      <c r="G40" s="16"/>
      <c r="H40" s="17"/>
      <c r="I40" s="18"/>
      <c r="J40" s="16"/>
      <c r="K40" s="19"/>
      <c r="L40" s="16"/>
      <c r="M40" s="19"/>
      <c r="N40" s="20"/>
      <c r="O40" s="20"/>
      <c r="P40" s="20"/>
      <c r="Q40" s="20"/>
      <c r="R40" s="20">
        <v>12600</v>
      </c>
      <c r="S40" s="20">
        <v>10738</v>
      </c>
      <c r="T40" s="20">
        <f t="shared" ref="T40" si="48">ROUND(S40*5%,0)</f>
        <v>537</v>
      </c>
      <c r="U40" s="20">
        <f t="shared" si="18"/>
        <v>1000</v>
      </c>
      <c r="V40" s="20">
        <f t="shared" si="19"/>
        <v>325</v>
      </c>
      <c r="W40" s="22">
        <f t="shared" si="20"/>
        <v>12600</v>
      </c>
      <c r="X40" s="20">
        <v>31</v>
      </c>
      <c r="Y40" s="20"/>
      <c r="Z40" s="20"/>
      <c r="AA40" s="20">
        <f t="shared" si="0"/>
        <v>31</v>
      </c>
      <c r="AB40" s="20">
        <f t="shared" si="1"/>
        <v>10738</v>
      </c>
      <c r="AC40" s="20">
        <f t="shared" si="2"/>
        <v>537</v>
      </c>
      <c r="AD40" s="20">
        <f t="shared" si="3"/>
        <v>1000</v>
      </c>
      <c r="AE40" s="20">
        <f t="shared" si="4"/>
        <v>325</v>
      </c>
      <c r="AF40" s="23">
        <f t="shared" si="5"/>
        <v>12600</v>
      </c>
      <c r="AG40" s="20"/>
      <c r="AH40" s="20"/>
      <c r="AI40" s="23">
        <f t="shared" si="21"/>
        <v>12600</v>
      </c>
      <c r="AJ40" s="20">
        <f t="shared" si="43"/>
        <v>1328</v>
      </c>
      <c r="AK40" s="20"/>
      <c r="AL40" s="20">
        <f t="shared" si="23"/>
        <v>95</v>
      </c>
      <c r="AM40" s="20">
        <f t="shared" si="47"/>
        <v>110</v>
      </c>
      <c r="AN40" s="20"/>
      <c r="AO40" s="20"/>
      <c r="AP40" s="20">
        <f t="shared" si="36"/>
        <v>1533</v>
      </c>
      <c r="AQ40" s="23">
        <f t="shared" si="24"/>
        <v>11067</v>
      </c>
      <c r="AR40" s="20">
        <f t="shared" si="25"/>
        <v>1328</v>
      </c>
      <c r="AS40" s="20">
        <f t="shared" si="8"/>
        <v>55</v>
      </c>
      <c r="AT40" s="20">
        <f t="shared" si="9"/>
        <v>55</v>
      </c>
      <c r="AU40" s="20">
        <f t="shared" si="37"/>
        <v>410</v>
      </c>
      <c r="AV40" s="23">
        <f t="shared" si="29"/>
        <v>14448</v>
      </c>
      <c r="AW40" s="20"/>
      <c r="AX40" s="20">
        <f t="shared" si="44"/>
        <v>1328</v>
      </c>
      <c r="AY40" s="20">
        <f t="shared" si="12"/>
        <v>55</v>
      </c>
      <c r="AZ40" s="20">
        <f t="shared" si="13"/>
        <v>55</v>
      </c>
      <c r="BA40" s="20">
        <f t="shared" si="42"/>
        <v>410</v>
      </c>
      <c r="BB40" s="23">
        <f t="shared" si="15"/>
        <v>14448</v>
      </c>
    </row>
    <row r="41" spans="1:54" ht="15" customHeight="1" x14ac:dyDescent="0.25">
      <c r="A41" s="11">
        <f t="shared" si="16"/>
        <v>38</v>
      </c>
      <c r="B41" s="39" t="s">
        <v>136</v>
      </c>
      <c r="C41" s="13" t="s">
        <v>104</v>
      </c>
      <c r="D41" s="13">
        <v>31</v>
      </c>
      <c r="E41" s="36" t="s">
        <v>137</v>
      </c>
      <c r="F41" s="40" t="s">
        <v>87</v>
      </c>
      <c r="G41" s="16"/>
      <c r="H41" s="17"/>
      <c r="I41" s="18"/>
      <c r="J41" s="16"/>
      <c r="K41" s="19"/>
      <c r="L41" s="16"/>
      <c r="M41" s="19"/>
      <c r="N41" s="20"/>
      <c r="O41" s="20"/>
      <c r="P41" s="20"/>
      <c r="Q41" s="20"/>
      <c r="R41" s="20">
        <v>20000</v>
      </c>
      <c r="S41" s="20">
        <v>10738</v>
      </c>
      <c r="T41" s="20">
        <f t="shared" ref="T41" si="49">ROUND(S41*50%,0)</f>
        <v>5369</v>
      </c>
      <c r="U41" s="20">
        <f t="shared" si="18"/>
        <v>1000</v>
      </c>
      <c r="V41" s="20">
        <f t="shared" si="19"/>
        <v>2893</v>
      </c>
      <c r="W41" s="22">
        <f t="shared" si="20"/>
        <v>20000</v>
      </c>
      <c r="X41" s="20">
        <v>31</v>
      </c>
      <c r="Y41" s="20"/>
      <c r="Z41" s="20"/>
      <c r="AA41" s="20">
        <f t="shared" si="0"/>
        <v>31</v>
      </c>
      <c r="AB41" s="20">
        <f t="shared" si="1"/>
        <v>10738</v>
      </c>
      <c r="AC41" s="20">
        <f t="shared" si="2"/>
        <v>5369</v>
      </c>
      <c r="AD41" s="20">
        <f t="shared" si="3"/>
        <v>1000</v>
      </c>
      <c r="AE41" s="20">
        <f t="shared" si="4"/>
        <v>2893</v>
      </c>
      <c r="AF41" s="23">
        <f t="shared" si="5"/>
        <v>20000</v>
      </c>
      <c r="AG41" s="20"/>
      <c r="AH41" s="20"/>
      <c r="AI41" s="23">
        <f t="shared" si="21"/>
        <v>20000</v>
      </c>
      <c r="AJ41" s="20">
        <f t="shared" si="43"/>
        <v>1636</v>
      </c>
      <c r="AK41" s="20"/>
      <c r="AL41" s="20">
        <f t="shared" si="23"/>
        <v>150</v>
      </c>
      <c r="AM41" s="20">
        <f t="shared" si="47"/>
        <v>130</v>
      </c>
      <c r="AN41" s="20"/>
      <c r="AO41" s="20"/>
      <c r="AP41" s="20">
        <f t="shared" si="36"/>
        <v>1916</v>
      </c>
      <c r="AQ41" s="23">
        <f t="shared" si="24"/>
        <v>18084</v>
      </c>
      <c r="AR41" s="20">
        <f t="shared" si="25"/>
        <v>1636</v>
      </c>
      <c r="AS41" s="20">
        <f t="shared" si="8"/>
        <v>68</v>
      </c>
      <c r="AT41" s="20">
        <f t="shared" si="9"/>
        <v>68</v>
      </c>
      <c r="AU41" s="20">
        <f t="shared" si="37"/>
        <v>650</v>
      </c>
      <c r="AV41" s="23">
        <f t="shared" si="29"/>
        <v>22422</v>
      </c>
      <c r="AW41" s="20"/>
      <c r="AX41" s="20">
        <f t="shared" si="44"/>
        <v>1636</v>
      </c>
      <c r="AY41" s="20">
        <f t="shared" si="12"/>
        <v>68</v>
      </c>
      <c r="AZ41" s="20">
        <f t="shared" si="13"/>
        <v>68</v>
      </c>
      <c r="BA41" s="20">
        <f t="shared" si="42"/>
        <v>650</v>
      </c>
      <c r="BB41" s="23">
        <f t="shared" si="15"/>
        <v>22422</v>
      </c>
    </row>
    <row r="42" spans="1:54" ht="15" customHeight="1" x14ac:dyDescent="0.25">
      <c r="A42" s="11">
        <f t="shared" si="16"/>
        <v>39</v>
      </c>
      <c r="B42" s="39" t="s">
        <v>138</v>
      </c>
      <c r="C42" s="13" t="s">
        <v>104</v>
      </c>
      <c r="D42" s="13">
        <v>31</v>
      </c>
      <c r="E42" s="36" t="s">
        <v>139</v>
      </c>
      <c r="F42" s="40" t="s">
        <v>135</v>
      </c>
      <c r="G42" s="29"/>
      <c r="H42" s="28"/>
      <c r="I42" s="28"/>
      <c r="J42" s="16"/>
      <c r="K42" s="29"/>
      <c r="L42" s="29"/>
      <c r="M42" s="29"/>
      <c r="N42" s="28"/>
      <c r="O42" s="21"/>
      <c r="P42" s="20"/>
      <c r="Q42" s="20"/>
      <c r="R42" s="20">
        <v>12600</v>
      </c>
      <c r="S42" s="20">
        <v>10738</v>
      </c>
      <c r="T42" s="20">
        <f t="shared" ref="T42:T46" si="50">ROUND(S42*5%,0)</f>
        <v>537</v>
      </c>
      <c r="U42" s="20">
        <f t="shared" si="18"/>
        <v>1000</v>
      </c>
      <c r="V42" s="20">
        <f t="shared" si="19"/>
        <v>325</v>
      </c>
      <c r="W42" s="22">
        <f t="shared" si="20"/>
        <v>12600</v>
      </c>
      <c r="X42" s="20">
        <v>31</v>
      </c>
      <c r="Y42" s="20"/>
      <c r="Z42" s="20"/>
      <c r="AA42" s="20">
        <f t="shared" si="0"/>
        <v>31</v>
      </c>
      <c r="AB42" s="20">
        <f t="shared" si="1"/>
        <v>10738</v>
      </c>
      <c r="AC42" s="20">
        <f t="shared" si="2"/>
        <v>537</v>
      </c>
      <c r="AD42" s="20">
        <f t="shared" si="3"/>
        <v>1000</v>
      </c>
      <c r="AE42" s="20">
        <f t="shared" si="4"/>
        <v>325</v>
      </c>
      <c r="AF42" s="23">
        <f t="shared" si="5"/>
        <v>12600</v>
      </c>
      <c r="AG42" s="20"/>
      <c r="AH42" s="20"/>
      <c r="AI42" s="23">
        <f t="shared" si="21"/>
        <v>12600</v>
      </c>
      <c r="AJ42" s="20">
        <f t="shared" si="43"/>
        <v>1328</v>
      </c>
      <c r="AK42" s="20"/>
      <c r="AL42" s="20">
        <f t="shared" si="23"/>
        <v>95</v>
      </c>
      <c r="AM42" s="20">
        <f t="shared" si="47"/>
        <v>110</v>
      </c>
      <c r="AN42" s="20"/>
      <c r="AO42" s="20"/>
      <c r="AP42" s="20">
        <f t="shared" si="36"/>
        <v>1533</v>
      </c>
      <c r="AQ42" s="23">
        <f t="shared" si="24"/>
        <v>11067</v>
      </c>
      <c r="AR42" s="20">
        <f t="shared" si="25"/>
        <v>1328</v>
      </c>
      <c r="AS42" s="20">
        <f t="shared" si="8"/>
        <v>55</v>
      </c>
      <c r="AT42" s="20">
        <f t="shared" si="9"/>
        <v>55</v>
      </c>
      <c r="AU42" s="20">
        <f t="shared" si="37"/>
        <v>410</v>
      </c>
      <c r="AV42" s="23">
        <f t="shared" si="29"/>
        <v>14448</v>
      </c>
      <c r="AW42" s="20"/>
      <c r="AX42" s="20">
        <f t="shared" si="44"/>
        <v>1328</v>
      </c>
      <c r="AY42" s="20">
        <f t="shared" si="12"/>
        <v>55</v>
      </c>
      <c r="AZ42" s="20">
        <f t="shared" si="13"/>
        <v>55</v>
      </c>
      <c r="BA42" s="20">
        <f t="shared" si="42"/>
        <v>410</v>
      </c>
      <c r="BB42" s="23">
        <f t="shared" si="15"/>
        <v>14448</v>
      </c>
    </row>
    <row r="43" spans="1:54" ht="15" customHeight="1" x14ac:dyDescent="0.25">
      <c r="A43" s="11">
        <f t="shared" si="16"/>
        <v>40</v>
      </c>
      <c r="B43" s="39" t="s">
        <v>140</v>
      </c>
      <c r="C43" s="13" t="s">
        <v>104</v>
      </c>
      <c r="D43" s="13">
        <v>31</v>
      </c>
      <c r="E43" s="36" t="s">
        <v>141</v>
      </c>
      <c r="F43" s="40" t="s">
        <v>135</v>
      </c>
      <c r="G43" s="16"/>
      <c r="H43" s="17"/>
      <c r="I43" s="18"/>
      <c r="J43" s="16"/>
      <c r="K43" s="24"/>
      <c r="L43" s="16"/>
      <c r="M43" s="19"/>
      <c r="N43" s="20"/>
      <c r="O43" s="20"/>
      <c r="P43" s="20"/>
      <c r="Q43" s="20"/>
      <c r="R43" s="20">
        <v>12600</v>
      </c>
      <c r="S43" s="20">
        <v>10738</v>
      </c>
      <c r="T43" s="20">
        <f t="shared" si="50"/>
        <v>537</v>
      </c>
      <c r="U43" s="20">
        <f t="shared" si="18"/>
        <v>1000</v>
      </c>
      <c r="V43" s="20">
        <f t="shared" si="19"/>
        <v>325</v>
      </c>
      <c r="W43" s="22">
        <f t="shared" si="20"/>
        <v>12600</v>
      </c>
      <c r="X43" s="20">
        <v>31</v>
      </c>
      <c r="Y43" s="20"/>
      <c r="Z43" s="20"/>
      <c r="AA43" s="20">
        <f t="shared" si="0"/>
        <v>31</v>
      </c>
      <c r="AB43" s="20">
        <f t="shared" si="1"/>
        <v>10738</v>
      </c>
      <c r="AC43" s="20">
        <f t="shared" si="2"/>
        <v>537</v>
      </c>
      <c r="AD43" s="20">
        <f t="shared" si="3"/>
        <v>1000</v>
      </c>
      <c r="AE43" s="20">
        <f t="shared" si="4"/>
        <v>325</v>
      </c>
      <c r="AF43" s="23">
        <f t="shared" si="5"/>
        <v>12600</v>
      </c>
      <c r="AG43" s="20"/>
      <c r="AH43" s="20"/>
      <c r="AI43" s="23">
        <f t="shared" si="21"/>
        <v>12600</v>
      </c>
      <c r="AJ43" s="20">
        <f t="shared" si="43"/>
        <v>1328</v>
      </c>
      <c r="AK43" s="20"/>
      <c r="AL43" s="20">
        <f t="shared" si="23"/>
        <v>95</v>
      </c>
      <c r="AM43" s="20">
        <f t="shared" si="47"/>
        <v>110</v>
      </c>
      <c r="AN43" s="20"/>
      <c r="AO43" s="20"/>
      <c r="AP43" s="20">
        <f t="shared" si="36"/>
        <v>1533</v>
      </c>
      <c r="AQ43" s="23">
        <f t="shared" si="24"/>
        <v>11067</v>
      </c>
      <c r="AR43" s="20">
        <f t="shared" si="25"/>
        <v>1328</v>
      </c>
      <c r="AS43" s="20">
        <f t="shared" si="8"/>
        <v>55</v>
      </c>
      <c r="AT43" s="20">
        <f t="shared" si="9"/>
        <v>55</v>
      </c>
      <c r="AU43" s="20">
        <f t="shared" si="37"/>
        <v>410</v>
      </c>
      <c r="AV43" s="23">
        <f t="shared" si="29"/>
        <v>14448</v>
      </c>
      <c r="AW43" s="20"/>
      <c r="AX43" s="20">
        <f t="shared" si="44"/>
        <v>1328</v>
      </c>
      <c r="AY43" s="20">
        <f t="shared" si="12"/>
        <v>55</v>
      </c>
      <c r="AZ43" s="20">
        <f t="shared" si="13"/>
        <v>55</v>
      </c>
      <c r="BA43" s="20">
        <f t="shared" si="42"/>
        <v>410</v>
      </c>
      <c r="BB43" s="23">
        <f t="shared" si="15"/>
        <v>14448</v>
      </c>
    </row>
    <row r="44" spans="1:54" ht="15" customHeight="1" x14ac:dyDescent="0.25">
      <c r="A44" s="11">
        <f t="shared" si="16"/>
        <v>41</v>
      </c>
      <c r="B44" s="39" t="s">
        <v>142</v>
      </c>
      <c r="C44" s="13" t="s">
        <v>104</v>
      </c>
      <c r="D44" s="13">
        <v>31</v>
      </c>
      <c r="E44" s="36" t="s">
        <v>143</v>
      </c>
      <c r="F44" s="40" t="s">
        <v>135</v>
      </c>
      <c r="G44" s="29"/>
      <c r="H44" s="28"/>
      <c r="I44" s="28"/>
      <c r="J44" s="16"/>
      <c r="K44" s="29"/>
      <c r="L44" s="29"/>
      <c r="M44" s="29"/>
      <c r="N44" s="28"/>
      <c r="O44" s="20"/>
      <c r="P44" s="20"/>
      <c r="Q44" s="20"/>
      <c r="R44" s="20">
        <v>12600</v>
      </c>
      <c r="S44" s="20">
        <v>10738</v>
      </c>
      <c r="T44" s="20">
        <f t="shared" si="50"/>
        <v>537</v>
      </c>
      <c r="U44" s="20">
        <f t="shared" si="18"/>
        <v>1000</v>
      </c>
      <c r="V44" s="20">
        <f t="shared" si="19"/>
        <v>325</v>
      </c>
      <c r="W44" s="22">
        <f t="shared" si="20"/>
        <v>12600</v>
      </c>
      <c r="X44" s="20">
        <v>31</v>
      </c>
      <c r="Y44" s="20"/>
      <c r="Z44" s="20"/>
      <c r="AA44" s="20">
        <f t="shared" si="0"/>
        <v>31</v>
      </c>
      <c r="AB44" s="20">
        <f t="shared" si="1"/>
        <v>10738</v>
      </c>
      <c r="AC44" s="20">
        <f t="shared" si="2"/>
        <v>537</v>
      </c>
      <c r="AD44" s="20">
        <f t="shared" si="3"/>
        <v>1000</v>
      </c>
      <c r="AE44" s="20">
        <f t="shared" si="4"/>
        <v>325</v>
      </c>
      <c r="AF44" s="23">
        <f t="shared" si="5"/>
        <v>12600</v>
      </c>
      <c r="AG44" s="20"/>
      <c r="AH44" s="20"/>
      <c r="AI44" s="23">
        <f t="shared" si="21"/>
        <v>12600</v>
      </c>
      <c r="AJ44" s="20">
        <f t="shared" si="43"/>
        <v>1328</v>
      </c>
      <c r="AK44" s="20"/>
      <c r="AL44" s="20">
        <f t="shared" si="23"/>
        <v>95</v>
      </c>
      <c r="AM44" s="20">
        <f t="shared" si="47"/>
        <v>110</v>
      </c>
      <c r="AN44" s="20"/>
      <c r="AO44" s="20"/>
      <c r="AP44" s="20">
        <f t="shared" si="36"/>
        <v>1533</v>
      </c>
      <c r="AQ44" s="23">
        <f t="shared" si="24"/>
        <v>11067</v>
      </c>
      <c r="AR44" s="20">
        <f t="shared" si="25"/>
        <v>1328</v>
      </c>
      <c r="AS44" s="20">
        <f t="shared" si="8"/>
        <v>55</v>
      </c>
      <c r="AT44" s="20">
        <f t="shared" si="9"/>
        <v>55</v>
      </c>
      <c r="AU44" s="20">
        <f t="shared" si="37"/>
        <v>410</v>
      </c>
      <c r="AV44" s="23">
        <f t="shared" si="29"/>
        <v>14448</v>
      </c>
      <c r="AW44" s="20"/>
      <c r="AX44" s="20">
        <f t="shared" si="44"/>
        <v>1328</v>
      </c>
      <c r="AY44" s="20">
        <f t="shared" si="12"/>
        <v>55</v>
      </c>
      <c r="AZ44" s="20">
        <f t="shared" si="13"/>
        <v>55</v>
      </c>
      <c r="BA44" s="20">
        <f t="shared" si="42"/>
        <v>410</v>
      </c>
      <c r="BB44" s="23">
        <f t="shared" si="15"/>
        <v>14448</v>
      </c>
    </row>
    <row r="45" spans="1:54" ht="15" customHeight="1" x14ac:dyDescent="0.25">
      <c r="A45" s="11">
        <f t="shared" si="16"/>
        <v>42</v>
      </c>
      <c r="B45" s="39" t="s">
        <v>144</v>
      </c>
      <c r="C45" s="13" t="s">
        <v>104</v>
      </c>
      <c r="D45" s="13">
        <v>31</v>
      </c>
      <c r="E45" s="36" t="s">
        <v>145</v>
      </c>
      <c r="F45" s="40" t="s">
        <v>122</v>
      </c>
      <c r="G45" s="16"/>
      <c r="H45" s="17"/>
      <c r="I45" s="18"/>
      <c r="J45" s="16"/>
      <c r="K45" s="19"/>
      <c r="L45" s="16"/>
      <c r="M45" s="19"/>
      <c r="N45" s="20"/>
      <c r="O45" s="20"/>
      <c r="P45" s="20"/>
      <c r="Q45" s="20"/>
      <c r="R45" s="20">
        <v>16275</v>
      </c>
      <c r="S45" s="20">
        <v>10738</v>
      </c>
      <c r="T45" s="20">
        <f t="shared" si="50"/>
        <v>537</v>
      </c>
      <c r="U45" s="20">
        <f t="shared" si="18"/>
        <v>1000</v>
      </c>
      <c r="V45" s="20">
        <f t="shared" si="19"/>
        <v>4000</v>
      </c>
      <c r="W45" s="22">
        <f t="shared" si="20"/>
        <v>16275</v>
      </c>
      <c r="X45" s="20">
        <v>31</v>
      </c>
      <c r="Y45" s="20"/>
      <c r="Z45" s="20"/>
      <c r="AA45" s="20">
        <f t="shared" si="0"/>
        <v>31</v>
      </c>
      <c r="AB45" s="20">
        <f t="shared" si="1"/>
        <v>10738</v>
      </c>
      <c r="AC45" s="20">
        <f t="shared" si="2"/>
        <v>537</v>
      </c>
      <c r="AD45" s="20">
        <f t="shared" si="3"/>
        <v>1000</v>
      </c>
      <c r="AE45" s="20">
        <f t="shared" si="4"/>
        <v>4000</v>
      </c>
      <c r="AF45" s="23">
        <f t="shared" si="5"/>
        <v>16275</v>
      </c>
      <c r="AG45" s="20"/>
      <c r="AH45" s="20"/>
      <c r="AI45" s="23">
        <f t="shared" si="21"/>
        <v>16275</v>
      </c>
      <c r="AJ45" s="20">
        <f t="shared" si="43"/>
        <v>1769</v>
      </c>
      <c r="AK45" s="20"/>
      <c r="AL45" s="20">
        <f t="shared" si="23"/>
        <v>123</v>
      </c>
      <c r="AM45" s="20">
        <f t="shared" si="47"/>
        <v>130</v>
      </c>
      <c r="AN45" s="20"/>
      <c r="AO45" s="20"/>
      <c r="AP45" s="20">
        <f t="shared" si="36"/>
        <v>2022</v>
      </c>
      <c r="AQ45" s="23">
        <f t="shared" si="24"/>
        <v>14253</v>
      </c>
      <c r="AR45" s="20">
        <f t="shared" si="25"/>
        <v>1769</v>
      </c>
      <c r="AS45" s="20">
        <f t="shared" si="8"/>
        <v>74</v>
      </c>
      <c r="AT45" s="20">
        <f t="shared" si="9"/>
        <v>74</v>
      </c>
      <c r="AU45" s="20">
        <f t="shared" si="37"/>
        <v>529</v>
      </c>
      <c r="AV45" s="23">
        <f t="shared" si="29"/>
        <v>18721</v>
      </c>
      <c r="AW45" s="20"/>
      <c r="AX45" s="20">
        <f t="shared" si="44"/>
        <v>1769</v>
      </c>
      <c r="AY45" s="20">
        <f t="shared" si="12"/>
        <v>74</v>
      </c>
      <c r="AZ45" s="20">
        <f t="shared" si="13"/>
        <v>74</v>
      </c>
      <c r="BA45" s="20">
        <f t="shared" si="42"/>
        <v>529</v>
      </c>
      <c r="BB45" s="23">
        <f t="shared" si="15"/>
        <v>18721</v>
      </c>
    </row>
    <row r="46" spans="1:54" ht="15" customHeight="1" x14ac:dyDescent="0.25">
      <c r="A46" s="11">
        <f t="shared" si="16"/>
        <v>43</v>
      </c>
      <c r="B46" s="39" t="s">
        <v>146</v>
      </c>
      <c r="C46" s="13" t="s">
        <v>104</v>
      </c>
      <c r="D46" s="13">
        <v>31</v>
      </c>
      <c r="E46" s="36" t="s">
        <v>147</v>
      </c>
      <c r="F46" s="40" t="s">
        <v>122</v>
      </c>
      <c r="G46" s="29"/>
      <c r="H46" s="28"/>
      <c r="I46" s="28"/>
      <c r="J46" s="16"/>
      <c r="K46" s="29"/>
      <c r="L46" s="29"/>
      <c r="M46" s="29"/>
      <c r="N46" s="28"/>
      <c r="O46" s="20"/>
      <c r="P46" s="20"/>
      <c r="Q46" s="20"/>
      <c r="R46" s="20">
        <v>13650</v>
      </c>
      <c r="S46" s="20">
        <v>10738</v>
      </c>
      <c r="T46" s="20">
        <f t="shared" si="50"/>
        <v>537</v>
      </c>
      <c r="U46" s="20">
        <f t="shared" si="18"/>
        <v>1000</v>
      </c>
      <c r="V46" s="20">
        <f t="shared" si="19"/>
        <v>1375</v>
      </c>
      <c r="W46" s="22">
        <f t="shared" si="20"/>
        <v>13650</v>
      </c>
      <c r="X46" s="20">
        <v>31</v>
      </c>
      <c r="Y46" s="20"/>
      <c r="Z46" s="20"/>
      <c r="AA46" s="20">
        <f t="shared" si="0"/>
        <v>31</v>
      </c>
      <c r="AB46" s="20">
        <f t="shared" si="1"/>
        <v>10738</v>
      </c>
      <c r="AC46" s="20">
        <f t="shared" si="2"/>
        <v>537</v>
      </c>
      <c r="AD46" s="20">
        <f t="shared" si="3"/>
        <v>1000</v>
      </c>
      <c r="AE46" s="20">
        <f t="shared" si="4"/>
        <v>1375</v>
      </c>
      <c r="AF46" s="23">
        <f t="shared" si="5"/>
        <v>13650</v>
      </c>
      <c r="AG46" s="20"/>
      <c r="AH46" s="20"/>
      <c r="AI46" s="23">
        <f t="shared" si="21"/>
        <v>13650</v>
      </c>
      <c r="AJ46" s="20">
        <f t="shared" si="43"/>
        <v>1454</v>
      </c>
      <c r="AK46" s="20"/>
      <c r="AL46" s="20">
        <f t="shared" si="23"/>
        <v>103</v>
      </c>
      <c r="AM46" s="20">
        <f t="shared" si="47"/>
        <v>110</v>
      </c>
      <c r="AN46" s="20"/>
      <c r="AO46" s="20"/>
      <c r="AP46" s="20">
        <f t="shared" si="36"/>
        <v>1667</v>
      </c>
      <c r="AQ46" s="23">
        <f t="shared" si="24"/>
        <v>11983</v>
      </c>
      <c r="AR46" s="20">
        <f t="shared" si="25"/>
        <v>1454</v>
      </c>
      <c r="AS46" s="20">
        <f t="shared" si="8"/>
        <v>61</v>
      </c>
      <c r="AT46" s="20">
        <f t="shared" si="9"/>
        <v>61</v>
      </c>
      <c r="AU46" s="20">
        <f t="shared" si="37"/>
        <v>444</v>
      </c>
      <c r="AV46" s="23">
        <f t="shared" si="29"/>
        <v>15670</v>
      </c>
      <c r="AW46" s="20"/>
      <c r="AX46" s="20">
        <f t="shared" si="44"/>
        <v>1454</v>
      </c>
      <c r="AY46" s="20">
        <f t="shared" si="12"/>
        <v>61</v>
      </c>
      <c r="AZ46" s="20">
        <f t="shared" si="13"/>
        <v>61</v>
      </c>
      <c r="BA46" s="20">
        <f t="shared" si="42"/>
        <v>444</v>
      </c>
      <c r="BB46" s="23">
        <f t="shared" si="15"/>
        <v>15670</v>
      </c>
    </row>
    <row r="47" spans="1:54" ht="15" customHeight="1" x14ac:dyDescent="0.25">
      <c r="A47" s="11">
        <f t="shared" si="16"/>
        <v>44</v>
      </c>
      <c r="B47" s="39" t="s">
        <v>148</v>
      </c>
      <c r="C47" s="13" t="s">
        <v>104</v>
      </c>
      <c r="D47" s="13">
        <v>31</v>
      </c>
      <c r="E47" s="36" t="s">
        <v>149</v>
      </c>
      <c r="F47" s="40" t="s">
        <v>87</v>
      </c>
      <c r="G47" s="16"/>
      <c r="H47" s="17"/>
      <c r="I47" s="18"/>
      <c r="J47" s="16"/>
      <c r="K47" s="19"/>
      <c r="L47" s="16"/>
      <c r="M47" s="19"/>
      <c r="N47" s="20"/>
      <c r="O47" s="20"/>
      <c r="P47" s="20"/>
      <c r="Q47" s="20"/>
      <c r="R47" s="20">
        <v>21000</v>
      </c>
      <c r="S47" s="20">
        <v>10738</v>
      </c>
      <c r="T47" s="20">
        <f t="shared" ref="T47:T48" si="51">ROUND(S47*50%,0)</f>
        <v>5369</v>
      </c>
      <c r="U47" s="20">
        <f t="shared" si="18"/>
        <v>1600</v>
      </c>
      <c r="V47" s="20">
        <f t="shared" si="19"/>
        <v>3293</v>
      </c>
      <c r="W47" s="22">
        <f t="shared" si="20"/>
        <v>21000</v>
      </c>
      <c r="X47" s="20">
        <v>31</v>
      </c>
      <c r="Y47" s="20"/>
      <c r="Z47" s="20"/>
      <c r="AA47" s="20">
        <f t="shared" si="0"/>
        <v>31</v>
      </c>
      <c r="AB47" s="20">
        <f t="shared" si="1"/>
        <v>10738</v>
      </c>
      <c r="AC47" s="20">
        <f t="shared" si="2"/>
        <v>5369</v>
      </c>
      <c r="AD47" s="20">
        <f t="shared" si="3"/>
        <v>1600</v>
      </c>
      <c r="AE47" s="20">
        <f t="shared" si="4"/>
        <v>3293</v>
      </c>
      <c r="AF47" s="23">
        <f t="shared" si="5"/>
        <v>21000</v>
      </c>
      <c r="AG47" s="20"/>
      <c r="AH47" s="20"/>
      <c r="AI47" s="23">
        <f t="shared" si="21"/>
        <v>21000</v>
      </c>
      <c r="AJ47" s="20">
        <f t="shared" si="43"/>
        <v>1684</v>
      </c>
      <c r="AK47" s="20"/>
      <c r="AL47" s="20">
        <f t="shared" si="23"/>
        <v>158</v>
      </c>
      <c r="AM47" s="20">
        <f t="shared" si="47"/>
        <v>130</v>
      </c>
      <c r="AN47" s="20"/>
      <c r="AO47" s="20"/>
      <c r="AP47" s="20">
        <f t="shared" si="36"/>
        <v>1972</v>
      </c>
      <c r="AQ47" s="23">
        <f t="shared" si="24"/>
        <v>19028</v>
      </c>
      <c r="AR47" s="20">
        <f t="shared" si="25"/>
        <v>1684</v>
      </c>
      <c r="AS47" s="20">
        <f t="shared" si="8"/>
        <v>70</v>
      </c>
      <c r="AT47" s="20">
        <f t="shared" si="9"/>
        <v>70</v>
      </c>
      <c r="AU47" s="20">
        <f t="shared" si="37"/>
        <v>683</v>
      </c>
      <c r="AV47" s="23">
        <f t="shared" si="29"/>
        <v>23507</v>
      </c>
      <c r="AW47" s="20"/>
      <c r="AX47" s="20">
        <f t="shared" si="44"/>
        <v>1684</v>
      </c>
      <c r="AY47" s="20">
        <f t="shared" si="12"/>
        <v>70</v>
      </c>
      <c r="AZ47" s="20">
        <f t="shared" si="13"/>
        <v>70</v>
      </c>
      <c r="BA47" s="20">
        <f t="shared" si="42"/>
        <v>683</v>
      </c>
      <c r="BB47" s="23">
        <f t="shared" si="15"/>
        <v>23507</v>
      </c>
    </row>
    <row r="48" spans="1:54" ht="15" customHeight="1" x14ac:dyDescent="0.25">
      <c r="A48" s="11">
        <f t="shared" si="16"/>
        <v>45</v>
      </c>
      <c r="B48" s="39" t="s">
        <v>150</v>
      </c>
      <c r="C48" s="13" t="s">
        <v>151</v>
      </c>
      <c r="D48" s="13">
        <v>31</v>
      </c>
      <c r="E48" s="36" t="s">
        <v>152</v>
      </c>
      <c r="F48" s="40" t="s">
        <v>84</v>
      </c>
      <c r="G48" s="29"/>
      <c r="H48" s="28"/>
      <c r="I48" s="28"/>
      <c r="J48" s="16"/>
      <c r="K48" s="29"/>
      <c r="L48" s="29"/>
      <c r="M48" s="29"/>
      <c r="N48" s="28"/>
      <c r="O48" s="20"/>
      <c r="P48" s="20"/>
      <c r="Q48" s="20"/>
      <c r="R48" s="20">
        <v>20000</v>
      </c>
      <c r="S48" s="20">
        <v>11622</v>
      </c>
      <c r="T48" s="20">
        <f t="shared" si="51"/>
        <v>5811</v>
      </c>
      <c r="U48" s="20">
        <f t="shared" si="18"/>
        <v>1000</v>
      </c>
      <c r="V48" s="20">
        <f t="shared" si="19"/>
        <v>1567</v>
      </c>
      <c r="W48" s="22">
        <f t="shared" si="20"/>
        <v>20000</v>
      </c>
      <c r="X48" s="20">
        <v>31</v>
      </c>
      <c r="Y48" s="20"/>
      <c r="Z48" s="20"/>
      <c r="AA48" s="20">
        <f t="shared" si="0"/>
        <v>31</v>
      </c>
      <c r="AB48" s="20">
        <f t="shared" si="1"/>
        <v>11622</v>
      </c>
      <c r="AC48" s="20">
        <f t="shared" si="2"/>
        <v>5811</v>
      </c>
      <c r="AD48" s="20">
        <f t="shared" si="3"/>
        <v>1000</v>
      </c>
      <c r="AE48" s="20">
        <f t="shared" si="4"/>
        <v>1567</v>
      </c>
      <c r="AF48" s="23">
        <f t="shared" si="5"/>
        <v>20000</v>
      </c>
      <c r="AG48" s="20"/>
      <c r="AH48" s="20"/>
      <c r="AI48" s="23">
        <f t="shared" si="21"/>
        <v>20000</v>
      </c>
      <c r="AJ48" s="20">
        <f t="shared" si="43"/>
        <v>1583</v>
      </c>
      <c r="AK48" s="20"/>
      <c r="AL48" s="20">
        <f t="shared" si="23"/>
        <v>150</v>
      </c>
      <c r="AM48" s="20">
        <f t="shared" si="47"/>
        <v>130</v>
      </c>
      <c r="AN48" s="20"/>
      <c r="AO48" s="20"/>
      <c r="AP48" s="20">
        <f t="shared" si="36"/>
        <v>1863</v>
      </c>
      <c r="AQ48" s="23">
        <f t="shared" si="24"/>
        <v>18137</v>
      </c>
      <c r="AR48" s="20">
        <f t="shared" si="25"/>
        <v>1583</v>
      </c>
      <c r="AS48" s="20">
        <f t="shared" si="8"/>
        <v>66</v>
      </c>
      <c r="AT48" s="20">
        <f t="shared" si="9"/>
        <v>66</v>
      </c>
      <c r="AU48" s="20">
        <f t="shared" si="37"/>
        <v>650</v>
      </c>
      <c r="AV48" s="23">
        <f t="shared" si="29"/>
        <v>22365</v>
      </c>
      <c r="AW48" s="20"/>
      <c r="AX48" s="20">
        <f t="shared" si="44"/>
        <v>1583</v>
      </c>
      <c r="AY48" s="20">
        <f t="shared" si="12"/>
        <v>66</v>
      </c>
      <c r="AZ48" s="20">
        <f t="shared" si="13"/>
        <v>66</v>
      </c>
      <c r="BA48" s="20">
        <f t="shared" si="42"/>
        <v>650</v>
      </c>
      <c r="BB48" s="23">
        <f t="shared" si="15"/>
        <v>22365</v>
      </c>
    </row>
    <row r="49" spans="1:54" ht="15" customHeight="1" x14ac:dyDescent="0.25">
      <c r="A49" s="11">
        <f t="shared" si="16"/>
        <v>46</v>
      </c>
      <c r="B49" s="39" t="s">
        <v>153</v>
      </c>
      <c r="C49" s="13" t="s">
        <v>151</v>
      </c>
      <c r="D49" s="13">
        <v>31</v>
      </c>
      <c r="E49" s="36" t="s">
        <v>154</v>
      </c>
      <c r="F49" s="40" t="s">
        <v>84</v>
      </c>
      <c r="G49" s="29"/>
      <c r="H49" s="28"/>
      <c r="I49" s="28"/>
      <c r="J49" s="16"/>
      <c r="K49" s="29"/>
      <c r="L49" s="29"/>
      <c r="M49" s="29"/>
      <c r="N49" s="28"/>
      <c r="O49" s="20"/>
      <c r="P49" s="20"/>
      <c r="Q49" s="20"/>
      <c r="R49" s="20">
        <v>28500</v>
      </c>
      <c r="S49" s="20">
        <f t="shared" ref="S49:T51" si="52">ROUND(R49*50%,0)</f>
        <v>14250</v>
      </c>
      <c r="T49" s="20">
        <f t="shared" si="52"/>
        <v>7125</v>
      </c>
      <c r="U49" s="20">
        <f t="shared" si="18"/>
        <v>1600</v>
      </c>
      <c r="V49" s="20">
        <f t="shared" si="19"/>
        <v>5525</v>
      </c>
      <c r="W49" s="22">
        <f t="shared" si="20"/>
        <v>28500</v>
      </c>
      <c r="X49" s="20">
        <v>31</v>
      </c>
      <c r="Y49" s="20"/>
      <c r="Z49" s="20"/>
      <c r="AA49" s="20">
        <f t="shared" si="0"/>
        <v>31</v>
      </c>
      <c r="AB49" s="20">
        <f t="shared" si="1"/>
        <v>14250</v>
      </c>
      <c r="AC49" s="20">
        <f t="shared" si="2"/>
        <v>7125</v>
      </c>
      <c r="AD49" s="20">
        <f t="shared" si="3"/>
        <v>1600</v>
      </c>
      <c r="AE49" s="20">
        <f t="shared" si="4"/>
        <v>5525</v>
      </c>
      <c r="AF49" s="23">
        <f t="shared" si="5"/>
        <v>28500</v>
      </c>
      <c r="AG49" s="20"/>
      <c r="AH49" s="20"/>
      <c r="AI49" s="23">
        <f t="shared" si="21"/>
        <v>28500</v>
      </c>
      <c r="AJ49" s="20">
        <f t="shared" si="43"/>
        <v>1800</v>
      </c>
      <c r="AK49" s="20"/>
      <c r="AL49" s="20">
        <f t="shared" si="23"/>
        <v>0</v>
      </c>
      <c r="AM49" s="20">
        <f t="shared" si="47"/>
        <v>150</v>
      </c>
      <c r="AN49" s="20"/>
      <c r="AO49" s="20"/>
      <c r="AP49" s="20">
        <f t="shared" si="36"/>
        <v>1950</v>
      </c>
      <c r="AQ49" s="23">
        <f t="shared" si="24"/>
        <v>26550</v>
      </c>
      <c r="AR49" s="20">
        <f t="shared" si="25"/>
        <v>1800</v>
      </c>
      <c r="AS49" s="20">
        <f t="shared" si="8"/>
        <v>75</v>
      </c>
      <c r="AT49" s="20">
        <f t="shared" si="9"/>
        <v>75</v>
      </c>
      <c r="AU49" s="20">
        <f t="shared" si="37"/>
        <v>0</v>
      </c>
      <c r="AV49" s="23">
        <f t="shared" si="29"/>
        <v>30450</v>
      </c>
      <c r="AW49" s="20"/>
      <c r="AX49" s="20">
        <f t="shared" si="44"/>
        <v>1800</v>
      </c>
      <c r="AY49" s="20">
        <f t="shared" si="12"/>
        <v>75</v>
      </c>
      <c r="AZ49" s="20">
        <f t="shared" si="13"/>
        <v>75</v>
      </c>
      <c r="BA49" s="20">
        <f t="shared" si="42"/>
        <v>0</v>
      </c>
      <c r="BB49" s="23">
        <f t="shared" si="15"/>
        <v>30450</v>
      </c>
    </row>
    <row r="50" spans="1:54" ht="15" customHeight="1" x14ac:dyDescent="0.25">
      <c r="A50" s="11">
        <f t="shared" si="16"/>
        <v>47</v>
      </c>
      <c r="B50" s="39" t="s">
        <v>155</v>
      </c>
      <c r="C50" s="13" t="s">
        <v>151</v>
      </c>
      <c r="D50" s="13">
        <v>31</v>
      </c>
      <c r="E50" s="36" t="s">
        <v>156</v>
      </c>
      <c r="F50" s="40" t="s">
        <v>157</v>
      </c>
      <c r="G50" s="29"/>
      <c r="H50" s="28"/>
      <c r="I50" s="28"/>
      <c r="J50" s="16"/>
      <c r="K50" s="29"/>
      <c r="L50" s="29"/>
      <c r="M50" s="29"/>
      <c r="N50" s="28"/>
      <c r="O50" s="20"/>
      <c r="P50" s="20"/>
      <c r="Q50" s="20"/>
      <c r="R50" s="20">
        <v>22500</v>
      </c>
      <c r="S50" s="20">
        <f t="shared" si="52"/>
        <v>11250</v>
      </c>
      <c r="T50" s="20">
        <f t="shared" si="52"/>
        <v>5625</v>
      </c>
      <c r="U50" s="20">
        <f t="shared" si="18"/>
        <v>1600</v>
      </c>
      <c r="V50" s="20">
        <f t="shared" si="19"/>
        <v>4025</v>
      </c>
      <c r="W50" s="22">
        <f t="shared" si="20"/>
        <v>22500</v>
      </c>
      <c r="X50" s="20">
        <v>31</v>
      </c>
      <c r="Y50" s="20"/>
      <c r="Z50" s="20"/>
      <c r="AA50" s="20">
        <f t="shared" si="0"/>
        <v>31</v>
      </c>
      <c r="AB50" s="20">
        <f t="shared" si="1"/>
        <v>11250</v>
      </c>
      <c r="AC50" s="20">
        <f t="shared" si="2"/>
        <v>5625</v>
      </c>
      <c r="AD50" s="20">
        <f t="shared" si="3"/>
        <v>1600</v>
      </c>
      <c r="AE50" s="20">
        <f t="shared" si="4"/>
        <v>4025</v>
      </c>
      <c r="AF50" s="23">
        <f t="shared" si="5"/>
        <v>22500</v>
      </c>
      <c r="AG50" s="20"/>
      <c r="AH50" s="20"/>
      <c r="AI50" s="23">
        <f t="shared" si="21"/>
        <v>22500</v>
      </c>
      <c r="AJ50" s="20">
        <f t="shared" si="43"/>
        <v>1800</v>
      </c>
      <c r="AK50" s="20"/>
      <c r="AL50" s="20">
        <f t="shared" si="23"/>
        <v>0</v>
      </c>
      <c r="AM50" s="20">
        <f t="shared" si="47"/>
        <v>130</v>
      </c>
      <c r="AN50" s="20"/>
      <c r="AO50" s="20"/>
      <c r="AP50" s="20">
        <f t="shared" si="36"/>
        <v>1930</v>
      </c>
      <c r="AQ50" s="23">
        <f t="shared" si="24"/>
        <v>20570</v>
      </c>
      <c r="AR50" s="20">
        <f t="shared" si="25"/>
        <v>1800</v>
      </c>
      <c r="AS50" s="20">
        <f t="shared" si="8"/>
        <v>75</v>
      </c>
      <c r="AT50" s="20">
        <f t="shared" si="9"/>
        <v>75</v>
      </c>
      <c r="AU50" s="20">
        <f t="shared" si="37"/>
        <v>0</v>
      </c>
      <c r="AV50" s="23">
        <f t="shared" si="29"/>
        <v>24450</v>
      </c>
      <c r="AW50" s="20"/>
      <c r="AX50" s="20">
        <f t="shared" si="44"/>
        <v>1800</v>
      </c>
      <c r="AY50" s="20">
        <f t="shared" si="12"/>
        <v>75</v>
      </c>
      <c r="AZ50" s="20">
        <f t="shared" si="13"/>
        <v>75</v>
      </c>
      <c r="BA50" s="20">
        <f t="shared" si="42"/>
        <v>0</v>
      </c>
      <c r="BB50" s="23">
        <f t="shared" si="15"/>
        <v>24450</v>
      </c>
    </row>
    <row r="51" spans="1:54" ht="15" customHeight="1" x14ac:dyDescent="0.25">
      <c r="A51" s="11">
        <f t="shared" si="16"/>
        <v>48</v>
      </c>
      <c r="B51" s="39" t="s">
        <v>158</v>
      </c>
      <c r="C51" s="13" t="s">
        <v>151</v>
      </c>
      <c r="D51" s="13">
        <v>31</v>
      </c>
      <c r="E51" s="36" t="s">
        <v>159</v>
      </c>
      <c r="F51" s="40" t="s">
        <v>84</v>
      </c>
      <c r="G51" s="16"/>
      <c r="H51" s="17"/>
      <c r="I51" s="18"/>
      <c r="J51" s="16"/>
      <c r="K51" s="19"/>
      <c r="L51" s="16"/>
      <c r="M51" s="19"/>
      <c r="N51" s="20"/>
      <c r="O51" s="20"/>
      <c r="P51" s="20"/>
      <c r="Q51" s="20"/>
      <c r="R51" s="20">
        <v>24500</v>
      </c>
      <c r="S51" s="20">
        <f t="shared" si="52"/>
        <v>12250</v>
      </c>
      <c r="T51" s="20">
        <f t="shared" si="52"/>
        <v>6125</v>
      </c>
      <c r="U51" s="20">
        <f t="shared" si="18"/>
        <v>1600</v>
      </c>
      <c r="V51" s="20">
        <f t="shared" si="19"/>
        <v>4525</v>
      </c>
      <c r="W51" s="22">
        <f t="shared" si="20"/>
        <v>24500</v>
      </c>
      <c r="X51" s="20">
        <v>31</v>
      </c>
      <c r="Y51" s="20"/>
      <c r="Z51" s="20"/>
      <c r="AA51" s="20">
        <f t="shared" si="0"/>
        <v>31</v>
      </c>
      <c r="AB51" s="20">
        <f t="shared" si="1"/>
        <v>12250</v>
      </c>
      <c r="AC51" s="20">
        <f t="shared" si="2"/>
        <v>6125</v>
      </c>
      <c r="AD51" s="20">
        <f t="shared" si="3"/>
        <v>1600</v>
      </c>
      <c r="AE51" s="20">
        <f t="shared" si="4"/>
        <v>4525</v>
      </c>
      <c r="AF51" s="23">
        <f t="shared" si="5"/>
        <v>24500</v>
      </c>
      <c r="AG51" s="20"/>
      <c r="AH51" s="20"/>
      <c r="AI51" s="23">
        <f t="shared" si="21"/>
        <v>24500</v>
      </c>
      <c r="AJ51" s="20">
        <f t="shared" si="43"/>
        <v>1800</v>
      </c>
      <c r="AK51" s="20"/>
      <c r="AL51" s="20">
        <f t="shared" si="23"/>
        <v>0</v>
      </c>
      <c r="AM51" s="20">
        <f t="shared" si="47"/>
        <v>130</v>
      </c>
      <c r="AN51" s="20"/>
      <c r="AO51" s="20"/>
      <c r="AP51" s="20">
        <f t="shared" si="36"/>
        <v>1930</v>
      </c>
      <c r="AQ51" s="23">
        <f t="shared" si="24"/>
        <v>22570</v>
      </c>
      <c r="AR51" s="20">
        <f t="shared" si="25"/>
        <v>1800</v>
      </c>
      <c r="AS51" s="20">
        <f t="shared" si="8"/>
        <v>75</v>
      </c>
      <c r="AT51" s="20">
        <f t="shared" si="9"/>
        <v>75</v>
      </c>
      <c r="AU51" s="20">
        <f t="shared" si="37"/>
        <v>0</v>
      </c>
      <c r="AV51" s="23">
        <f t="shared" si="29"/>
        <v>26450</v>
      </c>
      <c r="AW51" s="20"/>
      <c r="AX51" s="20">
        <f t="shared" si="44"/>
        <v>1800</v>
      </c>
      <c r="AY51" s="20">
        <f t="shared" si="12"/>
        <v>75</v>
      </c>
      <c r="AZ51" s="20">
        <f t="shared" si="13"/>
        <v>75</v>
      </c>
      <c r="BA51" s="20">
        <f t="shared" si="42"/>
        <v>0</v>
      </c>
      <c r="BB51" s="23">
        <f t="shared" si="15"/>
        <v>26450</v>
      </c>
    </row>
    <row r="52" spans="1:54" ht="15" customHeight="1" x14ac:dyDescent="0.25">
      <c r="A52" s="11">
        <f t="shared" si="16"/>
        <v>49</v>
      </c>
      <c r="B52" s="39" t="s">
        <v>160</v>
      </c>
      <c r="C52" s="13" t="s">
        <v>151</v>
      </c>
      <c r="D52" s="13">
        <v>31</v>
      </c>
      <c r="E52" s="36" t="s">
        <v>161</v>
      </c>
      <c r="F52" s="40" t="s">
        <v>84</v>
      </c>
      <c r="G52" s="29"/>
      <c r="H52" s="28"/>
      <c r="I52" s="28"/>
      <c r="J52" s="16"/>
      <c r="K52" s="29"/>
      <c r="L52" s="29"/>
      <c r="M52" s="29"/>
      <c r="N52" s="28"/>
      <c r="O52" s="20"/>
      <c r="P52" s="20"/>
      <c r="Q52" s="20"/>
      <c r="R52" s="20">
        <v>14000</v>
      </c>
      <c r="S52" s="20">
        <v>11622</v>
      </c>
      <c r="T52" s="20">
        <f t="shared" ref="T52:T53" si="53">ROUND(S52*5%,0)</f>
        <v>581</v>
      </c>
      <c r="U52" s="20">
        <f t="shared" si="18"/>
        <v>1000</v>
      </c>
      <c r="V52" s="20">
        <f t="shared" si="19"/>
        <v>797</v>
      </c>
      <c r="W52" s="22">
        <f t="shared" si="20"/>
        <v>14000</v>
      </c>
      <c r="X52" s="20">
        <v>31</v>
      </c>
      <c r="Y52" s="20"/>
      <c r="Z52" s="20"/>
      <c r="AA52" s="20">
        <f t="shared" si="0"/>
        <v>31</v>
      </c>
      <c r="AB52" s="20">
        <f t="shared" si="1"/>
        <v>11622</v>
      </c>
      <c r="AC52" s="20">
        <f t="shared" si="2"/>
        <v>581</v>
      </c>
      <c r="AD52" s="20">
        <f t="shared" si="3"/>
        <v>1000</v>
      </c>
      <c r="AE52" s="20">
        <f t="shared" si="4"/>
        <v>797</v>
      </c>
      <c r="AF52" s="23">
        <f t="shared" si="5"/>
        <v>14000</v>
      </c>
      <c r="AG52" s="20"/>
      <c r="AH52" s="20"/>
      <c r="AI52" s="23">
        <f t="shared" si="21"/>
        <v>14000</v>
      </c>
      <c r="AJ52" s="20">
        <f t="shared" si="43"/>
        <v>1490</v>
      </c>
      <c r="AK52" s="20"/>
      <c r="AL52" s="20">
        <f t="shared" si="23"/>
        <v>105</v>
      </c>
      <c r="AM52" s="20">
        <f t="shared" si="47"/>
        <v>110</v>
      </c>
      <c r="AN52" s="20"/>
      <c r="AO52" s="20"/>
      <c r="AP52" s="20">
        <f t="shared" si="36"/>
        <v>1705</v>
      </c>
      <c r="AQ52" s="23">
        <f t="shared" si="24"/>
        <v>12295</v>
      </c>
      <c r="AR52" s="20">
        <f t="shared" si="25"/>
        <v>1490</v>
      </c>
      <c r="AS52" s="20">
        <f t="shared" si="8"/>
        <v>62</v>
      </c>
      <c r="AT52" s="20">
        <f t="shared" si="9"/>
        <v>62</v>
      </c>
      <c r="AU52" s="20">
        <f t="shared" si="37"/>
        <v>455</v>
      </c>
      <c r="AV52" s="23">
        <f t="shared" si="29"/>
        <v>16069</v>
      </c>
      <c r="AW52" s="20"/>
      <c r="AX52" s="20">
        <f t="shared" si="44"/>
        <v>1490</v>
      </c>
      <c r="AY52" s="20">
        <f t="shared" si="12"/>
        <v>62</v>
      </c>
      <c r="AZ52" s="20">
        <f t="shared" si="13"/>
        <v>62</v>
      </c>
      <c r="BA52" s="20">
        <f t="shared" si="42"/>
        <v>455</v>
      </c>
      <c r="BB52" s="23">
        <f t="shared" si="15"/>
        <v>16069</v>
      </c>
    </row>
    <row r="53" spans="1:54" ht="15" customHeight="1" x14ac:dyDescent="0.25">
      <c r="A53" s="11">
        <f t="shared" si="16"/>
        <v>50</v>
      </c>
      <c r="B53" s="39" t="s">
        <v>162</v>
      </c>
      <c r="C53" s="13" t="s">
        <v>151</v>
      </c>
      <c r="D53" s="13">
        <v>31</v>
      </c>
      <c r="E53" s="36" t="s">
        <v>163</v>
      </c>
      <c r="F53" s="40" t="s">
        <v>84</v>
      </c>
      <c r="G53" s="16"/>
      <c r="H53" s="17"/>
      <c r="I53" s="18"/>
      <c r="J53" s="16"/>
      <c r="K53" s="19"/>
      <c r="L53" s="16"/>
      <c r="M53" s="19"/>
      <c r="N53" s="20"/>
      <c r="O53" s="20"/>
      <c r="P53" s="20"/>
      <c r="Q53" s="20"/>
      <c r="R53" s="20">
        <v>18000</v>
      </c>
      <c r="S53" s="20">
        <v>11622</v>
      </c>
      <c r="T53" s="20">
        <f t="shared" si="53"/>
        <v>581</v>
      </c>
      <c r="U53" s="20">
        <f t="shared" si="18"/>
        <v>1000</v>
      </c>
      <c r="V53" s="20">
        <f t="shared" si="19"/>
        <v>4797</v>
      </c>
      <c r="W53" s="22">
        <f t="shared" si="20"/>
        <v>18000</v>
      </c>
      <c r="X53" s="20">
        <v>31</v>
      </c>
      <c r="Y53" s="20"/>
      <c r="Z53" s="20"/>
      <c r="AA53" s="20">
        <f t="shared" si="0"/>
        <v>31</v>
      </c>
      <c r="AB53" s="20">
        <f t="shared" si="1"/>
        <v>11622</v>
      </c>
      <c r="AC53" s="20">
        <f t="shared" si="2"/>
        <v>581</v>
      </c>
      <c r="AD53" s="20">
        <f t="shared" si="3"/>
        <v>1000</v>
      </c>
      <c r="AE53" s="20">
        <f t="shared" si="4"/>
        <v>4797</v>
      </c>
      <c r="AF53" s="23">
        <f t="shared" si="5"/>
        <v>18000</v>
      </c>
      <c r="AG53" s="20"/>
      <c r="AH53" s="20"/>
      <c r="AI53" s="23">
        <f t="shared" si="21"/>
        <v>18000</v>
      </c>
      <c r="AJ53" s="20">
        <f t="shared" si="43"/>
        <v>1800</v>
      </c>
      <c r="AK53" s="20"/>
      <c r="AL53" s="20">
        <f t="shared" si="23"/>
        <v>135</v>
      </c>
      <c r="AM53" s="20">
        <f t="shared" si="47"/>
        <v>130</v>
      </c>
      <c r="AN53" s="20"/>
      <c r="AO53" s="20"/>
      <c r="AP53" s="20">
        <f t="shared" si="36"/>
        <v>2065</v>
      </c>
      <c r="AQ53" s="23">
        <f t="shared" si="24"/>
        <v>15935</v>
      </c>
      <c r="AR53" s="20">
        <f t="shared" si="25"/>
        <v>1800</v>
      </c>
      <c r="AS53" s="20">
        <f t="shared" si="8"/>
        <v>75</v>
      </c>
      <c r="AT53" s="20">
        <f t="shared" si="9"/>
        <v>75</v>
      </c>
      <c r="AU53" s="20">
        <f t="shared" si="37"/>
        <v>585</v>
      </c>
      <c r="AV53" s="23">
        <f t="shared" si="29"/>
        <v>20535</v>
      </c>
      <c r="AW53" s="20"/>
      <c r="AX53" s="20">
        <f t="shared" si="44"/>
        <v>1800</v>
      </c>
      <c r="AY53" s="20">
        <f t="shared" si="12"/>
        <v>75</v>
      </c>
      <c r="AZ53" s="20">
        <f t="shared" si="13"/>
        <v>75</v>
      </c>
      <c r="BA53" s="20">
        <f t="shared" si="42"/>
        <v>585</v>
      </c>
      <c r="BB53" s="23">
        <f t="shared" si="15"/>
        <v>20535</v>
      </c>
    </row>
    <row r="54" spans="1:54" ht="15" customHeight="1" x14ac:dyDescent="0.25">
      <c r="A54" s="11">
        <f t="shared" si="16"/>
        <v>51</v>
      </c>
      <c r="B54" s="39" t="s">
        <v>164</v>
      </c>
      <c r="C54" s="13" t="s">
        <v>151</v>
      </c>
      <c r="D54" s="13">
        <v>31</v>
      </c>
      <c r="E54" s="36" t="s">
        <v>165</v>
      </c>
      <c r="F54" s="40" t="s">
        <v>84</v>
      </c>
      <c r="G54" s="16"/>
      <c r="H54" s="17"/>
      <c r="I54" s="18"/>
      <c r="J54" s="16"/>
      <c r="K54" s="19"/>
      <c r="L54" s="16"/>
      <c r="M54" s="19"/>
      <c r="N54" s="20"/>
      <c r="O54" s="20"/>
      <c r="P54" s="20"/>
      <c r="Q54" s="20"/>
      <c r="R54" s="20">
        <v>26000</v>
      </c>
      <c r="S54" s="20">
        <v>11622</v>
      </c>
      <c r="T54" s="20">
        <f t="shared" ref="T54" si="54">ROUND(S54*50%,0)</f>
        <v>5811</v>
      </c>
      <c r="U54" s="20">
        <f t="shared" si="18"/>
        <v>1600</v>
      </c>
      <c r="V54" s="20">
        <f t="shared" si="19"/>
        <v>6967</v>
      </c>
      <c r="W54" s="22">
        <f t="shared" si="20"/>
        <v>26000</v>
      </c>
      <c r="X54" s="20">
        <v>31</v>
      </c>
      <c r="Y54" s="20"/>
      <c r="Z54" s="20"/>
      <c r="AA54" s="20">
        <f t="shared" si="0"/>
        <v>31</v>
      </c>
      <c r="AB54" s="20">
        <f t="shared" si="1"/>
        <v>11622</v>
      </c>
      <c r="AC54" s="20">
        <f t="shared" si="2"/>
        <v>5811</v>
      </c>
      <c r="AD54" s="20">
        <f t="shared" si="3"/>
        <v>1600</v>
      </c>
      <c r="AE54" s="20">
        <f t="shared" si="4"/>
        <v>6967</v>
      </c>
      <c r="AF54" s="23">
        <f t="shared" si="5"/>
        <v>26000</v>
      </c>
      <c r="AG54" s="20"/>
      <c r="AH54" s="20"/>
      <c r="AI54" s="23">
        <f t="shared" si="21"/>
        <v>26000</v>
      </c>
      <c r="AJ54" s="20">
        <f t="shared" si="43"/>
        <v>1800</v>
      </c>
      <c r="AK54" s="20"/>
      <c r="AL54" s="20">
        <f t="shared" si="23"/>
        <v>0</v>
      </c>
      <c r="AM54" s="20">
        <f t="shared" si="47"/>
        <v>150</v>
      </c>
      <c r="AN54" s="20"/>
      <c r="AO54" s="20"/>
      <c r="AP54" s="20">
        <f t="shared" si="36"/>
        <v>1950</v>
      </c>
      <c r="AQ54" s="23">
        <f t="shared" si="24"/>
        <v>24050</v>
      </c>
      <c r="AR54" s="20">
        <f t="shared" si="25"/>
        <v>1800</v>
      </c>
      <c r="AS54" s="20">
        <f t="shared" si="8"/>
        <v>75</v>
      </c>
      <c r="AT54" s="20">
        <f t="shared" si="9"/>
        <v>75</v>
      </c>
      <c r="AU54" s="20">
        <f t="shared" si="37"/>
        <v>0</v>
      </c>
      <c r="AV54" s="23">
        <f t="shared" si="29"/>
        <v>27950</v>
      </c>
      <c r="AW54" s="20"/>
      <c r="AX54" s="20">
        <f t="shared" si="44"/>
        <v>1800</v>
      </c>
      <c r="AY54" s="20">
        <f t="shared" si="12"/>
        <v>75</v>
      </c>
      <c r="AZ54" s="20">
        <f t="shared" si="13"/>
        <v>75</v>
      </c>
      <c r="BA54" s="20">
        <f t="shared" si="42"/>
        <v>0</v>
      </c>
      <c r="BB54" s="23">
        <f t="shared" si="15"/>
        <v>27950</v>
      </c>
    </row>
    <row r="55" spans="1:54" ht="15" customHeight="1" x14ac:dyDescent="0.25">
      <c r="A55" s="11">
        <f t="shared" si="16"/>
        <v>52</v>
      </c>
      <c r="B55" s="39" t="s">
        <v>166</v>
      </c>
      <c r="C55" s="13" t="s">
        <v>151</v>
      </c>
      <c r="D55" s="13">
        <v>31</v>
      </c>
      <c r="E55" s="36" t="s">
        <v>167</v>
      </c>
      <c r="F55" s="40" t="s">
        <v>84</v>
      </c>
      <c r="G55" s="29"/>
      <c r="H55" s="28"/>
      <c r="I55" s="28"/>
      <c r="J55" s="16"/>
      <c r="K55" s="29"/>
      <c r="L55" s="29"/>
      <c r="M55" s="29"/>
      <c r="N55" s="28"/>
      <c r="O55" s="20"/>
      <c r="P55" s="20"/>
      <c r="Q55" s="20"/>
      <c r="R55" s="20">
        <v>17000</v>
      </c>
      <c r="S55" s="20">
        <v>11622</v>
      </c>
      <c r="T55" s="20">
        <f t="shared" ref="T55" si="55">ROUND(S55*5%,0)</f>
        <v>581</v>
      </c>
      <c r="U55" s="20">
        <f t="shared" si="18"/>
        <v>1000</v>
      </c>
      <c r="V55" s="20">
        <f t="shared" si="19"/>
        <v>3797</v>
      </c>
      <c r="W55" s="22">
        <f t="shared" si="20"/>
        <v>17000</v>
      </c>
      <c r="X55" s="20">
        <v>31</v>
      </c>
      <c r="Y55" s="20"/>
      <c r="Z55" s="20"/>
      <c r="AA55" s="20">
        <f t="shared" si="0"/>
        <v>31</v>
      </c>
      <c r="AB55" s="20">
        <f t="shared" si="1"/>
        <v>11622</v>
      </c>
      <c r="AC55" s="20">
        <f t="shared" si="2"/>
        <v>581</v>
      </c>
      <c r="AD55" s="20">
        <f t="shared" si="3"/>
        <v>1000</v>
      </c>
      <c r="AE55" s="20">
        <f t="shared" si="4"/>
        <v>3797</v>
      </c>
      <c r="AF55" s="23">
        <f t="shared" si="5"/>
        <v>17000</v>
      </c>
      <c r="AG55" s="20"/>
      <c r="AH55" s="20"/>
      <c r="AI55" s="23">
        <f t="shared" si="21"/>
        <v>17000</v>
      </c>
      <c r="AJ55" s="20">
        <f t="shared" si="43"/>
        <v>1800</v>
      </c>
      <c r="AK55" s="20"/>
      <c r="AL55" s="20">
        <f t="shared" si="23"/>
        <v>128</v>
      </c>
      <c r="AM55" s="20">
        <f t="shared" si="47"/>
        <v>130</v>
      </c>
      <c r="AN55" s="20"/>
      <c r="AO55" s="20"/>
      <c r="AP55" s="20">
        <f t="shared" si="36"/>
        <v>2058</v>
      </c>
      <c r="AQ55" s="23">
        <f t="shared" si="24"/>
        <v>14942</v>
      </c>
      <c r="AR55" s="20">
        <f t="shared" si="25"/>
        <v>1800</v>
      </c>
      <c r="AS55" s="20">
        <f t="shared" si="8"/>
        <v>75</v>
      </c>
      <c r="AT55" s="20">
        <f t="shared" si="9"/>
        <v>75</v>
      </c>
      <c r="AU55" s="20">
        <f t="shared" si="37"/>
        <v>553</v>
      </c>
      <c r="AV55" s="23">
        <f t="shared" si="29"/>
        <v>19503</v>
      </c>
      <c r="AW55" s="20"/>
      <c r="AX55" s="20">
        <f t="shared" si="44"/>
        <v>1800</v>
      </c>
      <c r="AY55" s="20">
        <f t="shared" si="12"/>
        <v>75</v>
      </c>
      <c r="AZ55" s="20">
        <f t="shared" si="13"/>
        <v>75</v>
      </c>
      <c r="BA55" s="20">
        <f t="shared" si="42"/>
        <v>553</v>
      </c>
      <c r="BB55" s="23">
        <f t="shared" si="15"/>
        <v>19503</v>
      </c>
    </row>
    <row r="56" spans="1:54" ht="15" customHeight="1" x14ac:dyDescent="0.25">
      <c r="A56" s="11">
        <f t="shared" si="16"/>
        <v>53</v>
      </c>
      <c r="B56" s="39" t="s">
        <v>168</v>
      </c>
      <c r="C56" s="13" t="s">
        <v>151</v>
      </c>
      <c r="D56" s="13">
        <v>31</v>
      </c>
      <c r="E56" s="36" t="s">
        <v>169</v>
      </c>
      <c r="F56" s="40" t="s">
        <v>84</v>
      </c>
      <c r="G56" s="16"/>
      <c r="H56" s="17"/>
      <c r="I56" s="18"/>
      <c r="J56" s="16"/>
      <c r="K56" s="19"/>
      <c r="L56" s="16"/>
      <c r="M56" s="19"/>
      <c r="N56" s="20"/>
      <c r="O56" s="20"/>
      <c r="P56" s="20"/>
      <c r="Q56" s="20"/>
      <c r="R56" s="20">
        <v>11500</v>
      </c>
      <c r="S56" s="20">
        <v>11622</v>
      </c>
      <c r="T56" s="20">
        <v>0</v>
      </c>
      <c r="U56" s="20">
        <v>0</v>
      </c>
      <c r="V56" s="20">
        <v>0</v>
      </c>
      <c r="W56" s="22">
        <f t="shared" si="20"/>
        <v>11622</v>
      </c>
      <c r="X56" s="20">
        <v>31</v>
      </c>
      <c r="Y56" s="20"/>
      <c r="Z56" s="20"/>
      <c r="AA56" s="20">
        <f t="shared" si="0"/>
        <v>31</v>
      </c>
      <c r="AB56" s="20">
        <f t="shared" si="1"/>
        <v>11622</v>
      </c>
      <c r="AC56" s="20">
        <f t="shared" si="2"/>
        <v>0</v>
      </c>
      <c r="AD56" s="20">
        <f t="shared" si="3"/>
        <v>0</v>
      </c>
      <c r="AE56" s="20">
        <f t="shared" si="4"/>
        <v>0</v>
      </c>
      <c r="AF56" s="23">
        <f t="shared" si="5"/>
        <v>11622</v>
      </c>
      <c r="AG56" s="20"/>
      <c r="AH56" s="20"/>
      <c r="AI56" s="23">
        <f t="shared" si="21"/>
        <v>11622</v>
      </c>
      <c r="AJ56" s="20">
        <f t="shared" si="43"/>
        <v>1395</v>
      </c>
      <c r="AK56" s="20"/>
      <c r="AL56" s="20">
        <f t="shared" si="23"/>
        <v>88</v>
      </c>
      <c r="AM56" s="20">
        <f t="shared" si="47"/>
        <v>110</v>
      </c>
      <c r="AN56" s="20"/>
      <c r="AO56" s="20"/>
      <c r="AP56" s="20">
        <f t="shared" si="36"/>
        <v>1593</v>
      </c>
      <c r="AQ56" s="23">
        <f t="shared" si="24"/>
        <v>10029</v>
      </c>
      <c r="AR56" s="20">
        <f t="shared" si="25"/>
        <v>1395</v>
      </c>
      <c r="AS56" s="20">
        <f t="shared" si="8"/>
        <v>58</v>
      </c>
      <c r="AT56" s="20">
        <f t="shared" si="9"/>
        <v>58</v>
      </c>
      <c r="AU56" s="20">
        <f t="shared" si="37"/>
        <v>378</v>
      </c>
      <c r="AV56" s="23">
        <f t="shared" si="29"/>
        <v>13511</v>
      </c>
      <c r="AW56" s="20"/>
      <c r="AX56" s="20">
        <f t="shared" si="44"/>
        <v>1395</v>
      </c>
      <c r="AY56" s="20">
        <f t="shared" si="12"/>
        <v>58</v>
      </c>
      <c r="AZ56" s="20">
        <f t="shared" si="13"/>
        <v>58</v>
      </c>
      <c r="BA56" s="20">
        <f t="shared" si="42"/>
        <v>378</v>
      </c>
      <c r="BB56" s="23">
        <f t="shared" si="15"/>
        <v>13511</v>
      </c>
    </row>
    <row r="57" spans="1:54" ht="15" customHeight="1" x14ac:dyDescent="0.25">
      <c r="A57" s="11">
        <f t="shared" si="16"/>
        <v>54</v>
      </c>
      <c r="B57" s="39" t="s">
        <v>170</v>
      </c>
      <c r="C57" s="13" t="s">
        <v>151</v>
      </c>
      <c r="D57" s="13">
        <v>31</v>
      </c>
      <c r="E57" s="36" t="s">
        <v>171</v>
      </c>
      <c r="F57" s="40" t="s">
        <v>84</v>
      </c>
      <c r="G57" s="29"/>
      <c r="H57" s="28"/>
      <c r="I57" s="28"/>
      <c r="J57" s="16"/>
      <c r="K57" s="29"/>
      <c r="L57" s="29"/>
      <c r="M57" s="29"/>
      <c r="N57" s="28"/>
      <c r="O57" s="20"/>
      <c r="P57" s="20"/>
      <c r="Q57" s="20"/>
      <c r="R57" s="20">
        <v>20000</v>
      </c>
      <c r="S57" s="20">
        <v>11622</v>
      </c>
      <c r="T57" s="20">
        <f t="shared" ref="T57:T58" si="56">ROUND(S57*50%,0)</f>
        <v>5811</v>
      </c>
      <c r="U57" s="20">
        <f t="shared" si="18"/>
        <v>1000</v>
      </c>
      <c r="V57" s="20">
        <f t="shared" si="19"/>
        <v>1567</v>
      </c>
      <c r="W57" s="22">
        <f t="shared" si="20"/>
        <v>20000</v>
      </c>
      <c r="X57" s="20">
        <v>31</v>
      </c>
      <c r="Y57" s="20"/>
      <c r="Z57" s="20"/>
      <c r="AA57" s="20">
        <f t="shared" si="0"/>
        <v>31</v>
      </c>
      <c r="AB57" s="20">
        <f t="shared" si="1"/>
        <v>11622</v>
      </c>
      <c r="AC57" s="20">
        <f t="shared" si="2"/>
        <v>5811</v>
      </c>
      <c r="AD57" s="20">
        <f t="shared" si="3"/>
        <v>1000</v>
      </c>
      <c r="AE57" s="20">
        <f t="shared" si="4"/>
        <v>1567</v>
      </c>
      <c r="AF57" s="23">
        <f t="shared" si="5"/>
        <v>20000</v>
      </c>
      <c r="AG57" s="20"/>
      <c r="AH57" s="20"/>
      <c r="AI57" s="23">
        <f t="shared" si="21"/>
        <v>20000</v>
      </c>
      <c r="AJ57" s="20">
        <f t="shared" si="43"/>
        <v>1583</v>
      </c>
      <c r="AK57" s="20"/>
      <c r="AL57" s="20">
        <f t="shared" si="23"/>
        <v>150</v>
      </c>
      <c r="AM57" s="20">
        <f t="shared" si="47"/>
        <v>130</v>
      </c>
      <c r="AN57" s="20"/>
      <c r="AO57" s="20"/>
      <c r="AP57" s="20">
        <f t="shared" si="36"/>
        <v>1863</v>
      </c>
      <c r="AQ57" s="23">
        <f t="shared" si="24"/>
        <v>18137</v>
      </c>
      <c r="AR57" s="20">
        <f t="shared" si="25"/>
        <v>1583</v>
      </c>
      <c r="AS57" s="20">
        <f t="shared" si="8"/>
        <v>66</v>
      </c>
      <c r="AT57" s="20">
        <f t="shared" si="9"/>
        <v>66</v>
      </c>
      <c r="AU57" s="20">
        <f t="shared" si="37"/>
        <v>650</v>
      </c>
      <c r="AV57" s="23">
        <f t="shared" si="29"/>
        <v>22365</v>
      </c>
      <c r="AW57" s="20"/>
      <c r="AX57" s="20">
        <f t="shared" si="44"/>
        <v>1583</v>
      </c>
      <c r="AY57" s="20">
        <f t="shared" si="12"/>
        <v>66</v>
      </c>
      <c r="AZ57" s="20">
        <f t="shared" si="13"/>
        <v>66</v>
      </c>
      <c r="BA57" s="20">
        <f t="shared" si="42"/>
        <v>650</v>
      </c>
      <c r="BB57" s="23">
        <f t="shared" si="15"/>
        <v>22365</v>
      </c>
    </row>
    <row r="58" spans="1:54" ht="15" customHeight="1" x14ac:dyDescent="0.25">
      <c r="A58" s="11">
        <f t="shared" si="16"/>
        <v>55</v>
      </c>
      <c r="B58" s="39" t="s">
        <v>172</v>
      </c>
      <c r="C58" s="13" t="s">
        <v>151</v>
      </c>
      <c r="D58" s="13">
        <v>31</v>
      </c>
      <c r="E58" s="36" t="s">
        <v>173</v>
      </c>
      <c r="F58" s="40" t="s">
        <v>84</v>
      </c>
      <c r="G58" s="16"/>
      <c r="H58" s="17"/>
      <c r="I58" s="18"/>
      <c r="J58" s="16"/>
      <c r="K58" s="19"/>
      <c r="L58" s="16"/>
      <c r="M58" s="19"/>
      <c r="N58" s="20"/>
      <c r="O58" s="20"/>
      <c r="P58" s="20"/>
      <c r="Q58" s="20"/>
      <c r="R58" s="20">
        <v>20000</v>
      </c>
      <c r="S58" s="20">
        <v>11622</v>
      </c>
      <c r="T58" s="20">
        <f t="shared" si="56"/>
        <v>5811</v>
      </c>
      <c r="U58" s="20">
        <f t="shared" si="18"/>
        <v>1000</v>
      </c>
      <c r="V58" s="20">
        <f t="shared" si="19"/>
        <v>1567</v>
      </c>
      <c r="W58" s="22">
        <f t="shared" si="20"/>
        <v>20000</v>
      </c>
      <c r="X58" s="20">
        <v>31</v>
      </c>
      <c r="Y58" s="20"/>
      <c r="Z58" s="20"/>
      <c r="AA58" s="20">
        <f t="shared" si="0"/>
        <v>31</v>
      </c>
      <c r="AB58" s="20">
        <f t="shared" si="1"/>
        <v>11622</v>
      </c>
      <c r="AC58" s="20">
        <f t="shared" si="2"/>
        <v>5811</v>
      </c>
      <c r="AD58" s="20">
        <f t="shared" si="3"/>
        <v>1000</v>
      </c>
      <c r="AE58" s="20">
        <f t="shared" si="4"/>
        <v>1567</v>
      </c>
      <c r="AF58" s="23">
        <f t="shared" si="5"/>
        <v>20000</v>
      </c>
      <c r="AG58" s="20"/>
      <c r="AH58" s="20"/>
      <c r="AI58" s="23">
        <f t="shared" si="21"/>
        <v>20000</v>
      </c>
      <c r="AJ58" s="20">
        <f t="shared" si="43"/>
        <v>1583</v>
      </c>
      <c r="AK58" s="20"/>
      <c r="AL58" s="20">
        <f t="shared" si="23"/>
        <v>150</v>
      </c>
      <c r="AM58" s="20">
        <f t="shared" si="47"/>
        <v>130</v>
      </c>
      <c r="AN58" s="20"/>
      <c r="AO58" s="20"/>
      <c r="AP58" s="20">
        <f t="shared" si="36"/>
        <v>1863</v>
      </c>
      <c r="AQ58" s="23">
        <f t="shared" si="24"/>
        <v>18137</v>
      </c>
      <c r="AR58" s="20">
        <f t="shared" si="25"/>
        <v>1583</v>
      </c>
      <c r="AS58" s="20">
        <f t="shared" si="8"/>
        <v>66</v>
      </c>
      <c r="AT58" s="20">
        <f t="shared" si="9"/>
        <v>66</v>
      </c>
      <c r="AU58" s="20">
        <f t="shared" si="37"/>
        <v>650</v>
      </c>
      <c r="AV58" s="23">
        <f t="shared" si="29"/>
        <v>22365</v>
      </c>
      <c r="AW58" s="20"/>
      <c r="AX58" s="20">
        <f t="shared" si="44"/>
        <v>1583</v>
      </c>
      <c r="AY58" s="20">
        <f t="shared" si="12"/>
        <v>66</v>
      </c>
      <c r="AZ58" s="20">
        <f t="shared" si="13"/>
        <v>66</v>
      </c>
      <c r="BA58" s="20">
        <f t="shared" si="42"/>
        <v>650</v>
      </c>
      <c r="BB58" s="23">
        <f t="shared" si="15"/>
        <v>22365</v>
      </c>
    </row>
    <row r="59" spans="1:54" ht="15" customHeight="1" x14ac:dyDescent="0.25">
      <c r="A59" s="11">
        <f t="shared" si="16"/>
        <v>56</v>
      </c>
      <c r="B59" s="39" t="s">
        <v>174</v>
      </c>
      <c r="C59" s="13" t="s">
        <v>151</v>
      </c>
      <c r="D59" s="13">
        <v>31</v>
      </c>
      <c r="E59" s="36" t="s">
        <v>175</v>
      </c>
      <c r="F59" s="40" t="s">
        <v>84</v>
      </c>
      <c r="G59" s="16"/>
      <c r="H59" s="17"/>
      <c r="I59" s="18"/>
      <c r="J59" s="16"/>
      <c r="K59" s="19"/>
      <c r="L59" s="16"/>
      <c r="M59" s="19"/>
      <c r="N59" s="20"/>
      <c r="O59" s="20"/>
      <c r="P59" s="20"/>
      <c r="Q59" s="20"/>
      <c r="R59" s="20">
        <v>16500</v>
      </c>
      <c r="S59" s="20">
        <v>11622</v>
      </c>
      <c r="T59" s="20">
        <f t="shared" ref="T59" si="57">ROUND(S59*5%,0)</f>
        <v>581</v>
      </c>
      <c r="U59" s="20">
        <f t="shared" si="18"/>
        <v>1000</v>
      </c>
      <c r="V59" s="20">
        <f t="shared" si="19"/>
        <v>3297</v>
      </c>
      <c r="W59" s="22">
        <f t="shared" si="20"/>
        <v>16500</v>
      </c>
      <c r="X59" s="20">
        <v>31</v>
      </c>
      <c r="Y59" s="20"/>
      <c r="Z59" s="20"/>
      <c r="AA59" s="20">
        <f t="shared" si="0"/>
        <v>31</v>
      </c>
      <c r="AB59" s="20">
        <f t="shared" si="1"/>
        <v>11622</v>
      </c>
      <c r="AC59" s="20">
        <f t="shared" si="2"/>
        <v>581</v>
      </c>
      <c r="AD59" s="20">
        <f t="shared" si="3"/>
        <v>1000</v>
      </c>
      <c r="AE59" s="20">
        <f t="shared" si="4"/>
        <v>3297</v>
      </c>
      <c r="AF59" s="23">
        <f t="shared" si="5"/>
        <v>16500</v>
      </c>
      <c r="AG59" s="20"/>
      <c r="AH59" s="20"/>
      <c r="AI59" s="23">
        <f t="shared" si="21"/>
        <v>16500</v>
      </c>
      <c r="AJ59" s="20">
        <f t="shared" si="43"/>
        <v>1790</v>
      </c>
      <c r="AK59" s="20"/>
      <c r="AL59" s="20">
        <f t="shared" si="23"/>
        <v>124</v>
      </c>
      <c r="AM59" s="20">
        <f t="shared" si="47"/>
        <v>130</v>
      </c>
      <c r="AN59" s="20"/>
      <c r="AO59" s="20"/>
      <c r="AP59" s="20">
        <f t="shared" si="36"/>
        <v>2044</v>
      </c>
      <c r="AQ59" s="23">
        <f t="shared" si="24"/>
        <v>14456</v>
      </c>
      <c r="AR59" s="20">
        <f t="shared" si="25"/>
        <v>1790</v>
      </c>
      <c r="AS59" s="20">
        <f t="shared" si="8"/>
        <v>75</v>
      </c>
      <c r="AT59" s="20">
        <f t="shared" si="9"/>
        <v>75</v>
      </c>
      <c r="AU59" s="20">
        <f t="shared" si="37"/>
        <v>537</v>
      </c>
      <c r="AV59" s="23">
        <f t="shared" si="29"/>
        <v>18977</v>
      </c>
      <c r="AW59" s="20"/>
      <c r="AX59" s="20">
        <f t="shared" si="44"/>
        <v>1790</v>
      </c>
      <c r="AY59" s="20">
        <f t="shared" si="12"/>
        <v>75</v>
      </c>
      <c r="AZ59" s="20">
        <f t="shared" si="13"/>
        <v>75</v>
      </c>
      <c r="BA59" s="20">
        <f t="shared" si="42"/>
        <v>537</v>
      </c>
      <c r="BB59" s="23">
        <f t="shared" si="15"/>
        <v>18977</v>
      </c>
    </row>
    <row r="60" spans="1:54" ht="15" customHeight="1" x14ac:dyDescent="0.25">
      <c r="A60" s="11">
        <f t="shared" si="16"/>
        <v>57</v>
      </c>
      <c r="B60" s="39" t="s">
        <v>176</v>
      </c>
      <c r="C60" s="13" t="s">
        <v>151</v>
      </c>
      <c r="D60" s="13">
        <v>31</v>
      </c>
      <c r="E60" s="36" t="s">
        <v>177</v>
      </c>
      <c r="F60" s="40" t="s">
        <v>79</v>
      </c>
      <c r="G60" s="16"/>
      <c r="H60" s="17"/>
      <c r="I60" s="18"/>
      <c r="J60" s="16"/>
      <c r="K60" s="19"/>
      <c r="L60" s="16"/>
      <c r="M60" s="19"/>
      <c r="N60" s="20"/>
      <c r="O60" s="20"/>
      <c r="P60" s="20"/>
      <c r="Q60" s="20"/>
      <c r="R60" s="20">
        <v>25000</v>
      </c>
      <c r="S60" s="20">
        <v>11622</v>
      </c>
      <c r="T60" s="20">
        <f t="shared" ref="T60:T61" si="58">ROUND(S60*50%,0)</f>
        <v>5811</v>
      </c>
      <c r="U60" s="20">
        <f t="shared" si="18"/>
        <v>1600</v>
      </c>
      <c r="V60" s="20">
        <f t="shared" si="19"/>
        <v>5967</v>
      </c>
      <c r="W60" s="22">
        <f t="shared" si="20"/>
        <v>25000</v>
      </c>
      <c r="X60" s="20">
        <v>31</v>
      </c>
      <c r="Y60" s="20"/>
      <c r="Z60" s="20"/>
      <c r="AA60" s="20">
        <f t="shared" si="0"/>
        <v>31</v>
      </c>
      <c r="AB60" s="20">
        <f t="shared" si="1"/>
        <v>11622</v>
      </c>
      <c r="AC60" s="20">
        <f t="shared" si="2"/>
        <v>5811</v>
      </c>
      <c r="AD60" s="20">
        <f t="shared" si="3"/>
        <v>1600</v>
      </c>
      <c r="AE60" s="20">
        <f t="shared" si="4"/>
        <v>5967</v>
      </c>
      <c r="AF60" s="23">
        <f t="shared" si="5"/>
        <v>25000</v>
      </c>
      <c r="AG60" s="20"/>
      <c r="AH60" s="20"/>
      <c r="AI60" s="23">
        <f t="shared" si="21"/>
        <v>25000</v>
      </c>
      <c r="AJ60" s="20">
        <f t="shared" si="43"/>
        <v>1800</v>
      </c>
      <c r="AK60" s="20"/>
      <c r="AL60" s="20">
        <f t="shared" si="23"/>
        <v>0</v>
      </c>
      <c r="AM60" s="20">
        <f t="shared" si="47"/>
        <v>130</v>
      </c>
      <c r="AN60" s="20"/>
      <c r="AO60" s="20"/>
      <c r="AP60" s="20">
        <f t="shared" si="36"/>
        <v>1930</v>
      </c>
      <c r="AQ60" s="23">
        <f t="shared" si="24"/>
        <v>23070</v>
      </c>
      <c r="AR60" s="20">
        <f t="shared" si="25"/>
        <v>1800</v>
      </c>
      <c r="AS60" s="20">
        <f t="shared" si="8"/>
        <v>75</v>
      </c>
      <c r="AT60" s="20">
        <f t="shared" si="9"/>
        <v>75</v>
      </c>
      <c r="AU60" s="20">
        <f t="shared" si="37"/>
        <v>0</v>
      </c>
      <c r="AV60" s="23">
        <f t="shared" si="29"/>
        <v>26950</v>
      </c>
      <c r="AW60" s="20"/>
      <c r="AX60" s="20">
        <f t="shared" si="44"/>
        <v>1800</v>
      </c>
      <c r="AY60" s="20">
        <f t="shared" si="12"/>
        <v>75</v>
      </c>
      <c r="AZ60" s="20">
        <f t="shared" si="13"/>
        <v>75</v>
      </c>
      <c r="BA60" s="20">
        <f t="shared" si="42"/>
        <v>0</v>
      </c>
      <c r="BB60" s="23">
        <f t="shared" si="15"/>
        <v>26950</v>
      </c>
    </row>
    <row r="61" spans="1:54" ht="15" customHeight="1" x14ac:dyDescent="0.25">
      <c r="A61" s="11">
        <f t="shared" si="16"/>
        <v>58</v>
      </c>
      <c r="B61" s="39" t="s">
        <v>178</v>
      </c>
      <c r="C61" s="13" t="s">
        <v>151</v>
      </c>
      <c r="D61" s="13">
        <v>31</v>
      </c>
      <c r="E61" s="36" t="s">
        <v>179</v>
      </c>
      <c r="F61" s="40" t="s">
        <v>79</v>
      </c>
      <c r="G61" s="29"/>
      <c r="H61" s="17"/>
      <c r="I61" s="18"/>
      <c r="J61" s="16"/>
      <c r="K61" s="19"/>
      <c r="L61" s="16"/>
      <c r="M61" s="19"/>
      <c r="N61" s="20"/>
      <c r="O61" s="20"/>
      <c r="P61" s="20"/>
      <c r="Q61" s="20"/>
      <c r="R61" s="20">
        <v>40000</v>
      </c>
      <c r="S61" s="20">
        <v>11622</v>
      </c>
      <c r="T61" s="20">
        <f t="shared" si="58"/>
        <v>5811</v>
      </c>
      <c r="U61" s="20">
        <f t="shared" si="18"/>
        <v>1600</v>
      </c>
      <c r="V61" s="20">
        <f t="shared" si="19"/>
        <v>20967</v>
      </c>
      <c r="W61" s="22">
        <f t="shared" si="20"/>
        <v>40000</v>
      </c>
      <c r="X61" s="20">
        <v>31</v>
      </c>
      <c r="Y61" s="20"/>
      <c r="Z61" s="20"/>
      <c r="AA61" s="20">
        <f t="shared" si="0"/>
        <v>31</v>
      </c>
      <c r="AB61" s="20">
        <f t="shared" si="1"/>
        <v>11622</v>
      </c>
      <c r="AC61" s="20">
        <f t="shared" si="2"/>
        <v>5811</v>
      </c>
      <c r="AD61" s="20">
        <f t="shared" si="3"/>
        <v>1600</v>
      </c>
      <c r="AE61" s="20">
        <f t="shared" si="4"/>
        <v>20967</v>
      </c>
      <c r="AF61" s="23">
        <f t="shared" si="5"/>
        <v>40000</v>
      </c>
      <c r="AG61" s="20"/>
      <c r="AH61" s="20"/>
      <c r="AI61" s="23">
        <f t="shared" si="21"/>
        <v>40000</v>
      </c>
      <c r="AJ61" s="20">
        <f t="shared" si="43"/>
        <v>1800</v>
      </c>
      <c r="AK61" s="20"/>
      <c r="AL61" s="20">
        <f t="shared" si="23"/>
        <v>0</v>
      </c>
      <c r="AM61" s="20">
        <f t="shared" si="47"/>
        <v>150</v>
      </c>
      <c r="AN61" s="20"/>
      <c r="AO61" s="20"/>
      <c r="AP61" s="20">
        <f t="shared" si="36"/>
        <v>1950</v>
      </c>
      <c r="AQ61" s="23">
        <f t="shared" si="24"/>
        <v>38050</v>
      </c>
      <c r="AR61" s="20">
        <f t="shared" si="25"/>
        <v>1800</v>
      </c>
      <c r="AS61" s="20">
        <f t="shared" si="8"/>
        <v>75</v>
      </c>
      <c r="AT61" s="20">
        <f t="shared" si="9"/>
        <v>75</v>
      </c>
      <c r="AU61" s="20">
        <f t="shared" si="37"/>
        <v>0</v>
      </c>
      <c r="AV61" s="23">
        <f t="shared" si="29"/>
        <v>41950</v>
      </c>
      <c r="AW61" s="20"/>
      <c r="AX61" s="20">
        <f t="shared" si="44"/>
        <v>1800</v>
      </c>
      <c r="AY61" s="20">
        <f t="shared" si="12"/>
        <v>75</v>
      </c>
      <c r="AZ61" s="20">
        <f t="shared" si="13"/>
        <v>75</v>
      </c>
      <c r="BA61" s="20">
        <f t="shared" si="42"/>
        <v>0</v>
      </c>
      <c r="BB61" s="23">
        <f t="shared" si="15"/>
        <v>41950</v>
      </c>
    </row>
    <row r="62" spans="1:54" ht="15" customHeight="1" x14ac:dyDescent="0.25">
      <c r="A62" s="11">
        <f t="shared" si="16"/>
        <v>59</v>
      </c>
      <c r="B62" s="39" t="s">
        <v>180</v>
      </c>
      <c r="C62" s="13" t="s">
        <v>151</v>
      </c>
      <c r="D62" s="13">
        <v>31</v>
      </c>
      <c r="E62" s="36" t="s">
        <v>181</v>
      </c>
      <c r="F62" s="40" t="s">
        <v>84</v>
      </c>
      <c r="G62" s="16"/>
      <c r="H62" s="17"/>
      <c r="I62" s="18"/>
      <c r="J62" s="16"/>
      <c r="K62" s="19"/>
      <c r="L62" s="16"/>
      <c r="M62" s="19"/>
      <c r="N62" s="20"/>
      <c r="O62" s="20"/>
      <c r="P62" s="20"/>
      <c r="Q62" s="20"/>
      <c r="R62" s="20">
        <v>16500</v>
      </c>
      <c r="S62" s="20">
        <v>11622</v>
      </c>
      <c r="T62" s="20">
        <f t="shared" ref="T62" si="59">ROUND(S62*5%,0)</f>
        <v>581</v>
      </c>
      <c r="U62" s="20">
        <f t="shared" si="18"/>
        <v>1000</v>
      </c>
      <c r="V62" s="20">
        <f t="shared" si="19"/>
        <v>3297</v>
      </c>
      <c r="W62" s="22">
        <f t="shared" si="20"/>
        <v>16500</v>
      </c>
      <c r="X62" s="20">
        <v>31</v>
      </c>
      <c r="Y62" s="20"/>
      <c r="Z62" s="20"/>
      <c r="AA62" s="20">
        <f t="shared" si="0"/>
        <v>31</v>
      </c>
      <c r="AB62" s="20">
        <f t="shared" si="1"/>
        <v>11622</v>
      </c>
      <c r="AC62" s="20">
        <f t="shared" si="2"/>
        <v>581</v>
      </c>
      <c r="AD62" s="20">
        <f t="shared" si="3"/>
        <v>1000</v>
      </c>
      <c r="AE62" s="20">
        <f t="shared" si="4"/>
        <v>3297</v>
      </c>
      <c r="AF62" s="23">
        <f t="shared" si="5"/>
        <v>16500</v>
      </c>
      <c r="AG62" s="20"/>
      <c r="AH62" s="20"/>
      <c r="AI62" s="23">
        <f t="shared" si="21"/>
        <v>16500</v>
      </c>
      <c r="AJ62" s="20">
        <f t="shared" si="43"/>
        <v>1790</v>
      </c>
      <c r="AK62" s="20"/>
      <c r="AL62" s="20">
        <f t="shared" si="23"/>
        <v>124</v>
      </c>
      <c r="AM62" s="20">
        <f t="shared" si="47"/>
        <v>130</v>
      </c>
      <c r="AN62" s="20"/>
      <c r="AO62" s="20"/>
      <c r="AP62" s="20">
        <f t="shared" si="36"/>
        <v>2044</v>
      </c>
      <c r="AQ62" s="23">
        <f t="shared" si="24"/>
        <v>14456</v>
      </c>
      <c r="AR62" s="20">
        <f t="shared" si="25"/>
        <v>1790</v>
      </c>
      <c r="AS62" s="20">
        <f t="shared" si="8"/>
        <v>75</v>
      </c>
      <c r="AT62" s="20">
        <f t="shared" si="9"/>
        <v>75</v>
      </c>
      <c r="AU62" s="20">
        <f t="shared" si="37"/>
        <v>537</v>
      </c>
      <c r="AV62" s="23">
        <f t="shared" si="29"/>
        <v>18977</v>
      </c>
      <c r="AW62" s="20"/>
      <c r="AX62" s="20">
        <f t="shared" si="44"/>
        <v>1790</v>
      </c>
      <c r="AY62" s="20">
        <f t="shared" si="12"/>
        <v>75</v>
      </c>
      <c r="AZ62" s="20">
        <f t="shared" si="13"/>
        <v>75</v>
      </c>
      <c r="BA62" s="20">
        <f t="shared" si="42"/>
        <v>537</v>
      </c>
      <c r="BB62" s="23">
        <f t="shared" si="15"/>
        <v>18977</v>
      </c>
    </row>
    <row r="63" spans="1:54" ht="15" customHeight="1" x14ac:dyDescent="0.25">
      <c r="A63" s="11">
        <f t="shared" si="16"/>
        <v>60</v>
      </c>
      <c r="B63" s="39" t="s">
        <v>182</v>
      </c>
      <c r="C63" s="13" t="s">
        <v>151</v>
      </c>
      <c r="D63" s="13">
        <v>31</v>
      </c>
      <c r="E63" s="36" t="s">
        <v>183</v>
      </c>
      <c r="F63" s="40" t="s">
        <v>79</v>
      </c>
      <c r="G63" s="16"/>
      <c r="H63" s="17"/>
      <c r="I63" s="18"/>
      <c r="J63" s="16"/>
      <c r="K63" s="24"/>
      <c r="L63" s="16"/>
      <c r="M63" s="19"/>
      <c r="N63" s="20"/>
      <c r="O63" s="20"/>
      <c r="P63" s="20"/>
      <c r="Q63" s="20"/>
      <c r="R63" s="20">
        <v>23000</v>
      </c>
      <c r="S63" s="20">
        <f t="shared" ref="S63:T64" si="60">ROUND(R63*50%,0)</f>
        <v>11500</v>
      </c>
      <c r="T63" s="20">
        <f t="shared" si="60"/>
        <v>5750</v>
      </c>
      <c r="U63" s="20">
        <f t="shared" si="18"/>
        <v>1600</v>
      </c>
      <c r="V63" s="20">
        <f t="shared" si="19"/>
        <v>4150</v>
      </c>
      <c r="W63" s="22">
        <f t="shared" si="20"/>
        <v>23000</v>
      </c>
      <c r="X63" s="20">
        <v>31</v>
      </c>
      <c r="Y63" s="20"/>
      <c r="Z63" s="20"/>
      <c r="AA63" s="20">
        <f t="shared" si="0"/>
        <v>31</v>
      </c>
      <c r="AB63" s="20">
        <f t="shared" si="1"/>
        <v>11500</v>
      </c>
      <c r="AC63" s="20">
        <f t="shared" si="2"/>
        <v>5750</v>
      </c>
      <c r="AD63" s="20">
        <f t="shared" si="3"/>
        <v>1600</v>
      </c>
      <c r="AE63" s="20">
        <f t="shared" si="4"/>
        <v>4150</v>
      </c>
      <c r="AF63" s="23">
        <f t="shared" si="5"/>
        <v>23000</v>
      </c>
      <c r="AG63" s="20"/>
      <c r="AH63" s="20"/>
      <c r="AI63" s="23">
        <f t="shared" si="21"/>
        <v>23000</v>
      </c>
      <c r="AJ63" s="20">
        <f t="shared" si="43"/>
        <v>1800</v>
      </c>
      <c r="AK63" s="20"/>
      <c r="AL63" s="20">
        <f t="shared" si="23"/>
        <v>0</v>
      </c>
      <c r="AM63" s="20">
        <f t="shared" si="47"/>
        <v>130</v>
      </c>
      <c r="AN63" s="20"/>
      <c r="AO63" s="20"/>
      <c r="AP63" s="20">
        <f t="shared" si="36"/>
        <v>1930</v>
      </c>
      <c r="AQ63" s="23">
        <f t="shared" si="24"/>
        <v>21070</v>
      </c>
      <c r="AR63" s="20">
        <f t="shared" si="25"/>
        <v>1800</v>
      </c>
      <c r="AS63" s="20">
        <f t="shared" si="8"/>
        <v>75</v>
      </c>
      <c r="AT63" s="20">
        <f t="shared" si="9"/>
        <v>75</v>
      </c>
      <c r="AU63" s="20">
        <f t="shared" si="37"/>
        <v>0</v>
      </c>
      <c r="AV63" s="23">
        <f t="shared" si="29"/>
        <v>24950</v>
      </c>
      <c r="AW63" s="20"/>
      <c r="AX63" s="20">
        <f t="shared" si="44"/>
        <v>1800</v>
      </c>
      <c r="AY63" s="20">
        <f t="shared" si="12"/>
        <v>75</v>
      </c>
      <c r="AZ63" s="20">
        <f t="shared" si="13"/>
        <v>75</v>
      </c>
      <c r="BA63" s="20">
        <f t="shared" si="42"/>
        <v>0</v>
      </c>
      <c r="BB63" s="23">
        <f t="shared" si="15"/>
        <v>24950</v>
      </c>
    </row>
    <row r="64" spans="1:54" ht="15" customHeight="1" x14ac:dyDescent="0.25">
      <c r="A64" s="11">
        <f t="shared" si="16"/>
        <v>61</v>
      </c>
      <c r="B64" s="39" t="s">
        <v>184</v>
      </c>
      <c r="C64" s="13" t="s">
        <v>151</v>
      </c>
      <c r="D64" s="13">
        <v>31</v>
      </c>
      <c r="E64" s="36" t="s">
        <v>185</v>
      </c>
      <c r="F64" s="40" t="s">
        <v>87</v>
      </c>
      <c r="G64" s="16"/>
      <c r="H64" s="17"/>
      <c r="I64" s="18"/>
      <c r="J64" s="16"/>
      <c r="K64" s="19"/>
      <c r="L64" s="16"/>
      <c r="M64" s="19"/>
      <c r="N64" s="20"/>
      <c r="O64" s="20"/>
      <c r="P64" s="20"/>
      <c r="Q64" s="20"/>
      <c r="R64" s="20">
        <v>20200</v>
      </c>
      <c r="S64" s="20">
        <v>11622</v>
      </c>
      <c r="T64" s="20">
        <f t="shared" si="60"/>
        <v>5811</v>
      </c>
      <c r="U64" s="20">
        <f t="shared" si="18"/>
        <v>1600</v>
      </c>
      <c r="V64" s="20">
        <f t="shared" si="19"/>
        <v>1167</v>
      </c>
      <c r="W64" s="22">
        <f t="shared" si="20"/>
        <v>20200</v>
      </c>
      <c r="X64" s="20">
        <v>31</v>
      </c>
      <c r="Y64" s="20"/>
      <c r="Z64" s="20"/>
      <c r="AA64" s="20">
        <f t="shared" si="0"/>
        <v>31</v>
      </c>
      <c r="AB64" s="20">
        <f t="shared" si="1"/>
        <v>11622</v>
      </c>
      <c r="AC64" s="20">
        <f t="shared" si="2"/>
        <v>5811</v>
      </c>
      <c r="AD64" s="20">
        <f t="shared" si="3"/>
        <v>1600</v>
      </c>
      <c r="AE64" s="20">
        <f t="shared" si="4"/>
        <v>1167</v>
      </c>
      <c r="AF64" s="23">
        <f t="shared" si="5"/>
        <v>20200</v>
      </c>
      <c r="AG64" s="20"/>
      <c r="AH64" s="20"/>
      <c r="AI64" s="23">
        <f t="shared" si="21"/>
        <v>20200</v>
      </c>
      <c r="AJ64" s="20">
        <f t="shared" si="43"/>
        <v>1535</v>
      </c>
      <c r="AK64" s="20"/>
      <c r="AL64" s="20">
        <f t="shared" si="23"/>
        <v>152</v>
      </c>
      <c r="AM64" s="20">
        <f t="shared" si="47"/>
        <v>130</v>
      </c>
      <c r="AN64" s="20"/>
      <c r="AO64" s="20"/>
      <c r="AP64" s="20">
        <f t="shared" si="36"/>
        <v>1817</v>
      </c>
      <c r="AQ64" s="23">
        <f t="shared" si="24"/>
        <v>18383</v>
      </c>
      <c r="AR64" s="20">
        <f t="shared" si="25"/>
        <v>1535</v>
      </c>
      <c r="AS64" s="20">
        <f t="shared" si="8"/>
        <v>64</v>
      </c>
      <c r="AT64" s="20">
        <f t="shared" si="9"/>
        <v>64</v>
      </c>
      <c r="AU64" s="20">
        <f t="shared" si="37"/>
        <v>657</v>
      </c>
      <c r="AV64" s="23">
        <f t="shared" si="29"/>
        <v>22520</v>
      </c>
      <c r="AW64" s="20"/>
      <c r="AX64" s="20">
        <f t="shared" si="44"/>
        <v>1535</v>
      </c>
      <c r="AY64" s="20">
        <f t="shared" si="12"/>
        <v>64</v>
      </c>
      <c r="AZ64" s="20">
        <f t="shared" si="13"/>
        <v>64</v>
      </c>
      <c r="BA64" s="20">
        <f t="shared" si="42"/>
        <v>657</v>
      </c>
      <c r="BB64" s="23">
        <f t="shared" si="15"/>
        <v>22520</v>
      </c>
    </row>
    <row r="65" spans="1:54" ht="15" customHeight="1" x14ac:dyDescent="0.25">
      <c r="A65" s="11">
        <f t="shared" si="16"/>
        <v>62</v>
      </c>
      <c r="B65" s="39" t="s">
        <v>186</v>
      </c>
      <c r="C65" s="13" t="s">
        <v>151</v>
      </c>
      <c r="D65" s="13">
        <v>31</v>
      </c>
      <c r="E65" s="36" t="s">
        <v>187</v>
      </c>
      <c r="F65" s="40" t="s">
        <v>87</v>
      </c>
      <c r="G65" s="29"/>
      <c r="H65" s="28"/>
      <c r="I65" s="28"/>
      <c r="J65" s="16"/>
      <c r="K65" s="29"/>
      <c r="L65" s="29"/>
      <c r="M65" s="29"/>
      <c r="N65" s="28"/>
      <c r="O65" s="20"/>
      <c r="P65" s="20"/>
      <c r="Q65" s="20"/>
      <c r="R65" s="20">
        <v>17300</v>
      </c>
      <c r="S65" s="20">
        <v>11622</v>
      </c>
      <c r="T65" s="20">
        <f t="shared" ref="T65:T73" si="61">ROUND(S65*5%,0)</f>
        <v>581</v>
      </c>
      <c r="U65" s="20">
        <f t="shared" si="18"/>
        <v>1000</v>
      </c>
      <c r="V65" s="20">
        <v>4097</v>
      </c>
      <c r="W65" s="22">
        <f t="shared" si="20"/>
        <v>17300</v>
      </c>
      <c r="X65" s="20">
        <v>31</v>
      </c>
      <c r="Y65" s="20"/>
      <c r="Z65" s="20"/>
      <c r="AA65" s="20">
        <f t="shared" si="0"/>
        <v>31</v>
      </c>
      <c r="AB65" s="20">
        <f t="shared" si="1"/>
        <v>11622</v>
      </c>
      <c r="AC65" s="20">
        <f t="shared" si="2"/>
        <v>581</v>
      </c>
      <c r="AD65" s="20">
        <f t="shared" si="3"/>
        <v>1000</v>
      </c>
      <c r="AE65" s="20">
        <f t="shared" si="4"/>
        <v>4097</v>
      </c>
      <c r="AF65" s="23">
        <f t="shared" si="5"/>
        <v>17300</v>
      </c>
      <c r="AG65" s="20"/>
      <c r="AH65" s="20"/>
      <c r="AI65" s="23">
        <f t="shared" si="21"/>
        <v>17300</v>
      </c>
      <c r="AJ65" s="20">
        <f t="shared" si="43"/>
        <v>1800</v>
      </c>
      <c r="AK65" s="20"/>
      <c r="AL65" s="20">
        <f t="shared" si="23"/>
        <v>130</v>
      </c>
      <c r="AM65" s="20">
        <f t="shared" si="47"/>
        <v>130</v>
      </c>
      <c r="AN65" s="20"/>
      <c r="AO65" s="20"/>
      <c r="AP65" s="20">
        <f t="shared" si="36"/>
        <v>2060</v>
      </c>
      <c r="AQ65" s="23">
        <f t="shared" si="24"/>
        <v>15240</v>
      </c>
      <c r="AR65" s="20">
        <f t="shared" si="25"/>
        <v>1800</v>
      </c>
      <c r="AS65" s="20">
        <f t="shared" si="8"/>
        <v>75</v>
      </c>
      <c r="AT65" s="20">
        <f t="shared" si="9"/>
        <v>75</v>
      </c>
      <c r="AU65" s="20">
        <f t="shared" si="37"/>
        <v>563</v>
      </c>
      <c r="AV65" s="23">
        <f t="shared" si="29"/>
        <v>19813</v>
      </c>
      <c r="AW65" s="20"/>
      <c r="AX65" s="20">
        <f t="shared" si="44"/>
        <v>1800</v>
      </c>
      <c r="AY65" s="20">
        <f t="shared" si="12"/>
        <v>75</v>
      </c>
      <c r="AZ65" s="20">
        <f t="shared" si="13"/>
        <v>75</v>
      </c>
      <c r="BA65" s="20">
        <f t="shared" si="42"/>
        <v>563</v>
      </c>
      <c r="BB65" s="23">
        <f t="shared" si="15"/>
        <v>19813</v>
      </c>
    </row>
    <row r="66" spans="1:54" ht="15" customHeight="1" x14ac:dyDescent="0.25">
      <c r="A66" s="11">
        <f t="shared" si="16"/>
        <v>63</v>
      </c>
      <c r="B66" s="39" t="s">
        <v>188</v>
      </c>
      <c r="C66" s="13" t="s">
        <v>151</v>
      </c>
      <c r="D66" s="13">
        <v>31</v>
      </c>
      <c r="E66" s="36" t="s">
        <v>189</v>
      </c>
      <c r="F66" s="40" t="s">
        <v>87</v>
      </c>
      <c r="G66" s="16"/>
      <c r="H66" s="17"/>
      <c r="I66" s="18"/>
      <c r="J66" s="16"/>
      <c r="K66" s="19"/>
      <c r="L66" s="16"/>
      <c r="M66" s="19"/>
      <c r="N66" s="20"/>
      <c r="O66" s="20"/>
      <c r="P66" s="20"/>
      <c r="Q66" s="20"/>
      <c r="R66" s="20">
        <v>15900</v>
      </c>
      <c r="S66" s="20">
        <v>11622</v>
      </c>
      <c r="T66" s="20">
        <f t="shared" si="61"/>
        <v>581</v>
      </c>
      <c r="U66" s="20">
        <f t="shared" si="18"/>
        <v>1000</v>
      </c>
      <c r="V66" s="20">
        <f>4097-1400</f>
        <v>2697</v>
      </c>
      <c r="W66" s="22">
        <f t="shared" si="20"/>
        <v>15900</v>
      </c>
      <c r="X66" s="20">
        <v>31</v>
      </c>
      <c r="Y66" s="20"/>
      <c r="Z66" s="20"/>
      <c r="AA66" s="20">
        <f t="shared" si="0"/>
        <v>31</v>
      </c>
      <c r="AB66" s="20">
        <f t="shared" si="1"/>
        <v>11622</v>
      </c>
      <c r="AC66" s="20">
        <f t="shared" si="2"/>
        <v>581</v>
      </c>
      <c r="AD66" s="20">
        <f t="shared" si="3"/>
        <v>1000</v>
      </c>
      <c r="AE66" s="20">
        <f t="shared" si="4"/>
        <v>2697</v>
      </c>
      <c r="AF66" s="23">
        <f t="shared" si="5"/>
        <v>15900</v>
      </c>
      <c r="AG66" s="20"/>
      <c r="AH66" s="20"/>
      <c r="AI66" s="23">
        <f t="shared" si="21"/>
        <v>15900</v>
      </c>
      <c r="AJ66" s="20">
        <f t="shared" si="43"/>
        <v>1718</v>
      </c>
      <c r="AK66" s="20"/>
      <c r="AL66" s="20">
        <f t="shared" si="23"/>
        <v>120</v>
      </c>
      <c r="AM66" s="20">
        <f t="shared" si="47"/>
        <v>130</v>
      </c>
      <c r="AN66" s="20"/>
      <c r="AO66" s="20"/>
      <c r="AP66" s="20">
        <f t="shared" si="36"/>
        <v>1968</v>
      </c>
      <c r="AQ66" s="23">
        <f t="shared" si="24"/>
        <v>13932</v>
      </c>
      <c r="AR66" s="20">
        <f t="shared" si="25"/>
        <v>1718</v>
      </c>
      <c r="AS66" s="20">
        <f t="shared" si="8"/>
        <v>72</v>
      </c>
      <c r="AT66" s="20">
        <f t="shared" si="9"/>
        <v>72</v>
      </c>
      <c r="AU66" s="20">
        <f t="shared" si="37"/>
        <v>517</v>
      </c>
      <c r="AV66" s="23">
        <f t="shared" si="29"/>
        <v>18279</v>
      </c>
      <c r="AW66" s="20"/>
      <c r="AX66" s="20">
        <f t="shared" si="44"/>
        <v>1718</v>
      </c>
      <c r="AY66" s="20">
        <f t="shared" si="12"/>
        <v>72</v>
      </c>
      <c r="AZ66" s="20">
        <f t="shared" si="13"/>
        <v>72</v>
      </c>
      <c r="BA66" s="20">
        <f t="shared" si="42"/>
        <v>517</v>
      </c>
      <c r="BB66" s="23">
        <f t="shared" si="15"/>
        <v>18279</v>
      </c>
    </row>
    <row r="67" spans="1:54" ht="15" customHeight="1" x14ac:dyDescent="0.25">
      <c r="A67" s="11">
        <f t="shared" si="16"/>
        <v>64</v>
      </c>
      <c r="B67" s="39" t="s">
        <v>190</v>
      </c>
      <c r="C67" s="13" t="s">
        <v>151</v>
      </c>
      <c r="D67" s="13">
        <v>31</v>
      </c>
      <c r="E67" s="36" t="s">
        <v>191</v>
      </c>
      <c r="F67" s="40" t="s">
        <v>135</v>
      </c>
      <c r="G67" s="16"/>
      <c r="H67" s="17"/>
      <c r="I67" s="18"/>
      <c r="J67" s="16"/>
      <c r="K67" s="19"/>
      <c r="L67" s="16"/>
      <c r="M67" s="19"/>
      <c r="N67" s="20"/>
      <c r="O67" s="20"/>
      <c r="P67" s="20"/>
      <c r="Q67" s="20"/>
      <c r="R67" s="20">
        <v>12200</v>
      </c>
      <c r="S67" s="20">
        <v>10556</v>
      </c>
      <c r="T67" s="20">
        <f t="shared" si="61"/>
        <v>528</v>
      </c>
      <c r="U67" s="20">
        <f t="shared" si="18"/>
        <v>1000</v>
      </c>
      <c r="V67" s="20">
        <f t="shared" si="19"/>
        <v>116</v>
      </c>
      <c r="W67" s="22">
        <f t="shared" si="20"/>
        <v>12200</v>
      </c>
      <c r="X67" s="20">
        <v>31</v>
      </c>
      <c r="Y67" s="20"/>
      <c r="Z67" s="20"/>
      <c r="AA67" s="20">
        <f t="shared" si="0"/>
        <v>31</v>
      </c>
      <c r="AB67" s="20">
        <f t="shared" si="1"/>
        <v>10556</v>
      </c>
      <c r="AC67" s="20">
        <f t="shared" si="2"/>
        <v>528</v>
      </c>
      <c r="AD67" s="20">
        <f t="shared" si="3"/>
        <v>1000</v>
      </c>
      <c r="AE67" s="20">
        <f t="shared" si="4"/>
        <v>116</v>
      </c>
      <c r="AF67" s="23">
        <f t="shared" si="5"/>
        <v>12200</v>
      </c>
      <c r="AG67" s="20"/>
      <c r="AH67" s="20"/>
      <c r="AI67" s="23">
        <f t="shared" si="21"/>
        <v>12200</v>
      </c>
      <c r="AJ67" s="20">
        <f t="shared" si="43"/>
        <v>1281</v>
      </c>
      <c r="AK67" s="20"/>
      <c r="AL67" s="20">
        <f t="shared" si="23"/>
        <v>92</v>
      </c>
      <c r="AM67" s="20">
        <f t="shared" si="47"/>
        <v>110</v>
      </c>
      <c r="AN67" s="20"/>
      <c r="AO67" s="20"/>
      <c r="AP67" s="20">
        <f t="shared" si="36"/>
        <v>1483</v>
      </c>
      <c r="AQ67" s="23">
        <f t="shared" si="24"/>
        <v>10717</v>
      </c>
      <c r="AR67" s="20">
        <f t="shared" si="25"/>
        <v>1281</v>
      </c>
      <c r="AS67" s="20">
        <f t="shared" si="8"/>
        <v>53</v>
      </c>
      <c r="AT67" s="20">
        <f t="shared" si="9"/>
        <v>53</v>
      </c>
      <c r="AU67" s="20">
        <f t="shared" si="37"/>
        <v>397</v>
      </c>
      <c r="AV67" s="23">
        <f t="shared" si="29"/>
        <v>13984</v>
      </c>
      <c r="AW67" s="20"/>
      <c r="AX67" s="20">
        <f t="shared" si="44"/>
        <v>1281</v>
      </c>
      <c r="AY67" s="20">
        <f t="shared" si="12"/>
        <v>53</v>
      </c>
      <c r="AZ67" s="20">
        <f t="shared" si="13"/>
        <v>53</v>
      </c>
      <c r="BA67" s="20">
        <f t="shared" si="42"/>
        <v>397</v>
      </c>
      <c r="BB67" s="23">
        <f t="shared" si="15"/>
        <v>13984</v>
      </c>
    </row>
    <row r="68" spans="1:54" ht="15" customHeight="1" x14ac:dyDescent="0.25">
      <c r="A68" s="11">
        <f t="shared" si="16"/>
        <v>65</v>
      </c>
      <c r="B68" s="39" t="s">
        <v>192</v>
      </c>
      <c r="C68" s="13" t="s">
        <v>151</v>
      </c>
      <c r="D68" s="13">
        <v>31</v>
      </c>
      <c r="E68" s="41" t="s">
        <v>193</v>
      </c>
      <c r="F68" s="40" t="s">
        <v>122</v>
      </c>
      <c r="G68" s="16"/>
      <c r="H68" s="17"/>
      <c r="I68" s="18"/>
      <c r="J68" s="16"/>
      <c r="K68" s="19"/>
      <c r="L68" s="16"/>
      <c r="M68" s="19"/>
      <c r="N68" s="20"/>
      <c r="O68" s="20"/>
      <c r="P68" s="20"/>
      <c r="Q68" s="20"/>
      <c r="R68" s="20">
        <v>15225</v>
      </c>
      <c r="S68" s="20">
        <v>11622</v>
      </c>
      <c r="T68" s="20">
        <f t="shared" si="61"/>
        <v>581</v>
      </c>
      <c r="U68" s="20">
        <f t="shared" si="18"/>
        <v>1000</v>
      </c>
      <c r="V68" s="20">
        <f t="shared" si="19"/>
        <v>2022</v>
      </c>
      <c r="W68" s="22">
        <f t="shared" si="20"/>
        <v>15225</v>
      </c>
      <c r="X68" s="20">
        <v>31</v>
      </c>
      <c r="Y68" s="20"/>
      <c r="Z68" s="20"/>
      <c r="AA68" s="20">
        <f t="shared" ref="AA68:AA122" si="62">X68+Y68+Z68</f>
        <v>31</v>
      </c>
      <c r="AB68" s="20">
        <f t="shared" ref="AB68:AB122" si="63">ROUND((S68/D68)*AA68,0)</f>
        <v>11622</v>
      </c>
      <c r="AC68" s="20">
        <f t="shared" ref="AC68:AC122" si="64">ROUND((T68/D68)*AA68,0)</f>
        <v>581</v>
      </c>
      <c r="AD68" s="20">
        <f t="shared" ref="AD68:AD122" si="65">ROUND((U68/D68)*AA68,0)</f>
        <v>1000</v>
      </c>
      <c r="AE68" s="20">
        <f t="shared" ref="AE68:AE122" si="66">ROUND((V68/D68)*AA68,0)</f>
        <v>2022</v>
      </c>
      <c r="AF68" s="23">
        <f t="shared" ref="AF68:AF122" si="67">SUM(AB68:AE68)</f>
        <v>15225</v>
      </c>
      <c r="AG68" s="20"/>
      <c r="AH68" s="20"/>
      <c r="AI68" s="23">
        <f t="shared" si="21"/>
        <v>15225</v>
      </c>
      <c r="AJ68" s="20">
        <f t="shared" si="43"/>
        <v>1637</v>
      </c>
      <c r="AK68" s="20"/>
      <c r="AL68" s="20">
        <f t="shared" si="23"/>
        <v>115</v>
      </c>
      <c r="AM68" s="20">
        <f t="shared" ref="AM68:AM99" si="68">IF(AI68&lt;10001,0,IF(AI68&lt;15001,110,IF(AI68&lt;25001,130,IF(AI68&lt;=40000,150,IF(AI68&gt;40000,200,0)))))</f>
        <v>130</v>
      </c>
      <c r="AN68" s="20"/>
      <c r="AO68" s="20"/>
      <c r="AP68" s="20">
        <f t="shared" si="36"/>
        <v>1882</v>
      </c>
      <c r="AQ68" s="23">
        <f t="shared" si="24"/>
        <v>13343</v>
      </c>
      <c r="AR68" s="20">
        <f t="shared" si="25"/>
        <v>1637</v>
      </c>
      <c r="AS68" s="20">
        <f t="shared" ref="AS68:AS122" si="69">ROUND(ROUND((AJ68*100)/12,0)*0.5%,0)</f>
        <v>68</v>
      </c>
      <c r="AT68" s="20">
        <f t="shared" ref="AT68:AT122" si="70">MIN(AS68,75)</f>
        <v>68</v>
      </c>
      <c r="AU68" s="20">
        <f t="shared" si="37"/>
        <v>495</v>
      </c>
      <c r="AV68" s="23">
        <f t="shared" si="29"/>
        <v>17493</v>
      </c>
      <c r="AW68" s="20"/>
      <c r="AX68" s="20">
        <f t="shared" si="44"/>
        <v>1637</v>
      </c>
      <c r="AY68" s="20">
        <f t="shared" ref="AY68:AY122" si="71">ROUND((AX68*100/12)*0.5%,0)</f>
        <v>68</v>
      </c>
      <c r="AZ68" s="20">
        <f t="shared" ref="AZ68:AZ122" si="72">MIN(AY68,75)</f>
        <v>68</v>
      </c>
      <c r="BA68" s="20">
        <f t="shared" si="42"/>
        <v>495</v>
      </c>
      <c r="BB68" s="23">
        <f t="shared" ref="BB68:BB78" si="73">W68+AX68+AY68+AZ68+BA68</f>
        <v>17493</v>
      </c>
    </row>
    <row r="69" spans="1:54" ht="15" customHeight="1" x14ac:dyDescent="0.25">
      <c r="A69" s="11">
        <f t="shared" ref="A69:A122" si="74">A68+1</f>
        <v>66</v>
      </c>
      <c r="B69" s="39" t="s">
        <v>194</v>
      </c>
      <c r="C69" s="13" t="s">
        <v>151</v>
      </c>
      <c r="D69" s="13">
        <v>31</v>
      </c>
      <c r="E69" s="41" t="s">
        <v>195</v>
      </c>
      <c r="F69" s="40" t="s">
        <v>87</v>
      </c>
      <c r="G69" s="16"/>
      <c r="H69" s="17"/>
      <c r="I69" s="18"/>
      <c r="J69" s="16"/>
      <c r="K69" s="19"/>
      <c r="L69" s="16"/>
      <c r="M69" s="19"/>
      <c r="N69" s="20"/>
      <c r="O69" s="20"/>
      <c r="P69" s="20"/>
      <c r="Q69" s="20"/>
      <c r="R69" s="20">
        <v>15800</v>
      </c>
      <c r="S69" s="20">
        <v>11622</v>
      </c>
      <c r="T69" s="20">
        <f t="shared" si="61"/>
        <v>581</v>
      </c>
      <c r="U69" s="20">
        <f t="shared" ref="U69:U122" si="75">IF(R69&gt;20000,1600,IF(R69&lt;=20000,1000,0))</f>
        <v>1000</v>
      </c>
      <c r="V69" s="20">
        <f t="shared" ref="V69:V122" si="76">R69-S69-T69-U69</f>
        <v>2597</v>
      </c>
      <c r="W69" s="22">
        <f t="shared" ref="W69:W122" si="77">S69+T69+U69+V69</f>
        <v>15800</v>
      </c>
      <c r="X69" s="20">
        <v>31</v>
      </c>
      <c r="Y69" s="20"/>
      <c r="Z69" s="20"/>
      <c r="AA69" s="20">
        <f t="shared" si="62"/>
        <v>31</v>
      </c>
      <c r="AB69" s="20">
        <f t="shared" si="63"/>
        <v>11622</v>
      </c>
      <c r="AC69" s="20">
        <f t="shared" si="64"/>
        <v>581</v>
      </c>
      <c r="AD69" s="20">
        <f t="shared" si="65"/>
        <v>1000</v>
      </c>
      <c r="AE69" s="20">
        <f t="shared" si="66"/>
        <v>2597</v>
      </c>
      <c r="AF69" s="23">
        <f t="shared" si="67"/>
        <v>15800</v>
      </c>
      <c r="AG69" s="20"/>
      <c r="AH69" s="20"/>
      <c r="AI69" s="23">
        <f t="shared" ref="AI69:AI122" si="78">AF69+AG69+AH69</f>
        <v>15800</v>
      </c>
      <c r="AJ69" s="20">
        <f t="shared" si="43"/>
        <v>1706</v>
      </c>
      <c r="AK69" s="20"/>
      <c r="AL69" s="20">
        <f t="shared" ref="AL69:AL122" si="79">ROUNDUP(IF(W69&gt;21000,0,IF(W69&lt;=21000,(AF69+AG69)*0.75%,0)),0)</f>
        <v>119</v>
      </c>
      <c r="AM69" s="20">
        <f t="shared" si="68"/>
        <v>130</v>
      </c>
      <c r="AN69" s="20"/>
      <c r="AO69" s="20"/>
      <c r="AP69" s="20">
        <f t="shared" si="36"/>
        <v>1955</v>
      </c>
      <c r="AQ69" s="23">
        <f t="shared" ref="AQ69:AQ122" si="80">AI69-AP69</f>
        <v>13845</v>
      </c>
      <c r="AR69" s="20">
        <f t="shared" ref="AR69:AR122" si="81">AJ69</f>
        <v>1706</v>
      </c>
      <c r="AS69" s="20">
        <f t="shared" si="69"/>
        <v>71</v>
      </c>
      <c r="AT69" s="20">
        <f t="shared" si="70"/>
        <v>71</v>
      </c>
      <c r="AU69" s="20">
        <f t="shared" si="37"/>
        <v>514</v>
      </c>
      <c r="AV69" s="23">
        <f t="shared" si="29"/>
        <v>18162</v>
      </c>
      <c r="AW69" s="20"/>
      <c r="AX69" s="20">
        <f t="shared" si="44"/>
        <v>1706</v>
      </c>
      <c r="AY69" s="20">
        <f t="shared" si="71"/>
        <v>71</v>
      </c>
      <c r="AZ69" s="20">
        <f t="shared" si="72"/>
        <v>71</v>
      </c>
      <c r="BA69" s="20">
        <f t="shared" si="42"/>
        <v>514</v>
      </c>
      <c r="BB69" s="23">
        <f t="shared" si="73"/>
        <v>18162</v>
      </c>
    </row>
    <row r="70" spans="1:54" ht="15" customHeight="1" x14ac:dyDescent="0.25">
      <c r="A70" s="11">
        <f t="shared" si="74"/>
        <v>67</v>
      </c>
      <c r="B70" s="39" t="s">
        <v>196</v>
      </c>
      <c r="C70" s="13" t="s">
        <v>151</v>
      </c>
      <c r="D70" s="13">
        <v>31</v>
      </c>
      <c r="E70" s="41" t="s">
        <v>197</v>
      </c>
      <c r="F70" s="40" t="s">
        <v>198</v>
      </c>
      <c r="G70" s="16"/>
      <c r="H70" s="17"/>
      <c r="I70" s="18"/>
      <c r="J70" s="16"/>
      <c r="K70" s="19"/>
      <c r="L70" s="16"/>
      <c r="M70" s="19"/>
      <c r="N70" s="20"/>
      <c r="O70" s="20"/>
      <c r="P70" s="20"/>
      <c r="Q70" s="20"/>
      <c r="R70" s="20">
        <v>15000</v>
      </c>
      <c r="S70" s="20">
        <v>11622</v>
      </c>
      <c r="T70" s="20">
        <f t="shared" si="61"/>
        <v>581</v>
      </c>
      <c r="U70" s="20">
        <f t="shared" si="75"/>
        <v>1000</v>
      </c>
      <c r="V70" s="20">
        <f t="shared" si="76"/>
        <v>1797</v>
      </c>
      <c r="W70" s="22">
        <f t="shared" si="77"/>
        <v>15000</v>
      </c>
      <c r="X70" s="20">
        <v>31</v>
      </c>
      <c r="Y70" s="20"/>
      <c r="Z70" s="20"/>
      <c r="AA70" s="20">
        <f t="shared" si="62"/>
        <v>31</v>
      </c>
      <c r="AB70" s="20">
        <f t="shared" si="63"/>
        <v>11622</v>
      </c>
      <c r="AC70" s="20">
        <f t="shared" si="64"/>
        <v>581</v>
      </c>
      <c r="AD70" s="20">
        <f t="shared" si="65"/>
        <v>1000</v>
      </c>
      <c r="AE70" s="20">
        <f t="shared" si="66"/>
        <v>1797</v>
      </c>
      <c r="AF70" s="23">
        <f t="shared" si="67"/>
        <v>15000</v>
      </c>
      <c r="AG70" s="20"/>
      <c r="AH70" s="20"/>
      <c r="AI70" s="23">
        <f t="shared" si="78"/>
        <v>15000</v>
      </c>
      <c r="AJ70" s="20">
        <f t="shared" si="43"/>
        <v>1610</v>
      </c>
      <c r="AK70" s="20"/>
      <c r="AL70" s="20">
        <f t="shared" si="79"/>
        <v>113</v>
      </c>
      <c r="AM70" s="20">
        <f t="shared" si="68"/>
        <v>110</v>
      </c>
      <c r="AN70" s="20"/>
      <c r="AO70" s="20"/>
      <c r="AP70" s="20">
        <f t="shared" si="36"/>
        <v>1833</v>
      </c>
      <c r="AQ70" s="23">
        <f t="shared" si="80"/>
        <v>13167</v>
      </c>
      <c r="AR70" s="20">
        <f t="shared" si="81"/>
        <v>1610</v>
      </c>
      <c r="AS70" s="20">
        <f t="shared" si="69"/>
        <v>67</v>
      </c>
      <c r="AT70" s="20">
        <f t="shared" si="70"/>
        <v>67</v>
      </c>
      <c r="AU70" s="20">
        <f t="shared" si="37"/>
        <v>488</v>
      </c>
      <c r="AV70" s="23">
        <f t="shared" si="29"/>
        <v>17232</v>
      </c>
      <c r="AW70" s="20"/>
      <c r="AX70" s="20">
        <f t="shared" si="44"/>
        <v>1610</v>
      </c>
      <c r="AY70" s="20">
        <f t="shared" si="71"/>
        <v>67</v>
      </c>
      <c r="AZ70" s="20">
        <f t="shared" si="72"/>
        <v>67</v>
      </c>
      <c r="BA70" s="20">
        <f t="shared" si="42"/>
        <v>488</v>
      </c>
      <c r="BB70" s="23">
        <f t="shared" si="73"/>
        <v>17232</v>
      </c>
    </row>
    <row r="71" spans="1:54" ht="15" customHeight="1" x14ac:dyDescent="0.25">
      <c r="A71" s="11">
        <f t="shared" si="74"/>
        <v>68</v>
      </c>
      <c r="B71" s="39" t="s">
        <v>199</v>
      </c>
      <c r="C71" s="13" t="s">
        <v>151</v>
      </c>
      <c r="D71" s="13">
        <v>31</v>
      </c>
      <c r="E71" s="41" t="s">
        <v>200</v>
      </c>
      <c r="F71" s="40" t="s">
        <v>92</v>
      </c>
      <c r="P71" s="20"/>
      <c r="Q71" s="20"/>
      <c r="R71" s="20">
        <v>15500</v>
      </c>
      <c r="S71" s="20">
        <v>11622</v>
      </c>
      <c r="T71" s="20">
        <f t="shared" si="61"/>
        <v>581</v>
      </c>
      <c r="U71" s="20">
        <f t="shared" si="75"/>
        <v>1000</v>
      </c>
      <c r="V71" s="20">
        <f t="shared" si="76"/>
        <v>2297</v>
      </c>
      <c r="W71" s="22">
        <f t="shared" si="77"/>
        <v>15500</v>
      </c>
      <c r="X71" s="20">
        <v>31</v>
      </c>
      <c r="Y71" s="20"/>
      <c r="Z71" s="20"/>
      <c r="AA71" s="20">
        <f t="shared" si="62"/>
        <v>31</v>
      </c>
      <c r="AB71" s="20">
        <f t="shared" si="63"/>
        <v>11622</v>
      </c>
      <c r="AC71" s="20">
        <f t="shared" si="64"/>
        <v>581</v>
      </c>
      <c r="AD71" s="20">
        <f t="shared" si="65"/>
        <v>1000</v>
      </c>
      <c r="AE71" s="20">
        <f t="shared" si="66"/>
        <v>2297</v>
      </c>
      <c r="AF71" s="23">
        <f t="shared" si="67"/>
        <v>15500</v>
      </c>
      <c r="AG71" s="20"/>
      <c r="AH71" s="20"/>
      <c r="AI71" s="23">
        <f t="shared" si="78"/>
        <v>15500</v>
      </c>
      <c r="AJ71" s="20">
        <f t="shared" si="43"/>
        <v>1670</v>
      </c>
      <c r="AK71" s="20"/>
      <c r="AL71" s="20">
        <f t="shared" si="79"/>
        <v>117</v>
      </c>
      <c r="AM71" s="20">
        <f t="shared" si="68"/>
        <v>130</v>
      </c>
      <c r="AN71" s="20"/>
      <c r="AO71" s="20"/>
      <c r="AP71" s="20">
        <f t="shared" si="36"/>
        <v>1917</v>
      </c>
      <c r="AQ71" s="23">
        <f t="shared" si="80"/>
        <v>13583</v>
      </c>
      <c r="AR71" s="20">
        <f t="shared" si="81"/>
        <v>1670</v>
      </c>
      <c r="AS71" s="20">
        <f t="shared" si="69"/>
        <v>70</v>
      </c>
      <c r="AT71" s="20">
        <f t="shared" si="70"/>
        <v>70</v>
      </c>
      <c r="AU71" s="20">
        <f t="shared" si="37"/>
        <v>504</v>
      </c>
      <c r="AV71" s="23">
        <f t="shared" si="29"/>
        <v>17814</v>
      </c>
      <c r="AW71" s="20"/>
      <c r="AX71" s="20">
        <f t="shared" si="44"/>
        <v>1670</v>
      </c>
      <c r="AY71" s="20">
        <f t="shared" si="71"/>
        <v>70</v>
      </c>
      <c r="AZ71" s="20">
        <f t="shared" si="72"/>
        <v>70</v>
      </c>
      <c r="BA71" s="20">
        <f t="shared" si="42"/>
        <v>504</v>
      </c>
      <c r="BB71" s="23">
        <f t="shared" si="73"/>
        <v>17814</v>
      </c>
    </row>
    <row r="72" spans="1:54" ht="15" customHeight="1" x14ac:dyDescent="0.25">
      <c r="A72" s="11">
        <f t="shared" si="74"/>
        <v>69</v>
      </c>
      <c r="B72" s="39" t="s">
        <v>201</v>
      </c>
      <c r="C72" s="13" t="s">
        <v>151</v>
      </c>
      <c r="D72" s="13">
        <v>31</v>
      </c>
      <c r="E72" s="41" t="s">
        <v>202</v>
      </c>
      <c r="F72" s="40" t="s">
        <v>87</v>
      </c>
      <c r="P72" s="20"/>
      <c r="Q72" s="20"/>
      <c r="R72" s="20">
        <v>17300</v>
      </c>
      <c r="S72" s="20">
        <v>11622</v>
      </c>
      <c r="T72" s="20">
        <f t="shared" si="61"/>
        <v>581</v>
      </c>
      <c r="U72" s="20">
        <f t="shared" si="75"/>
        <v>1000</v>
      </c>
      <c r="V72" s="20">
        <f t="shared" si="76"/>
        <v>4097</v>
      </c>
      <c r="W72" s="22">
        <f t="shared" si="77"/>
        <v>17300</v>
      </c>
      <c r="X72" s="20">
        <v>31</v>
      </c>
      <c r="Y72" s="20"/>
      <c r="Z72" s="20"/>
      <c r="AA72" s="20">
        <f t="shared" si="62"/>
        <v>31</v>
      </c>
      <c r="AB72" s="20">
        <f t="shared" si="63"/>
        <v>11622</v>
      </c>
      <c r="AC72" s="20">
        <f t="shared" si="64"/>
        <v>581</v>
      </c>
      <c r="AD72" s="20">
        <f t="shared" si="65"/>
        <v>1000</v>
      </c>
      <c r="AE72" s="20">
        <f t="shared" si="66"/>
        <v>4097</v>
      </c>
      <c r="AF72" s="23">
        <f t="shared" si="67"/>
        <v>17300</v>
      </c>
      <c r="AG72" s="20"/>
      <c r="AH72" s="20"/>
      <c r="AI72" s="23">
        <f t="shared" si="78"/>
        <v>17300</v>
      </c>
      <c r="AJ72" s="20">
        <f t="shared" si="43"/>
        <v>1800</v>
      </c>
      <c r="AK72" s="20"/>
      <c r="AL72" s="20">
        <f t="shared" si="79"/>
        <v>130</v>
      </c>
      <c r="AM72" s="20">
        <f t="shared" si="68"/>
        <v>130</v>
      </c>
      <c r="AN72" s="20"/>
      <c r="AO72" s="20"/>
      <c r="AP72" s="20">
        <f t="shared" si="36"/>
        <v>2060</v>
      </c>
      <c r="AQ72" s="23">
        <f t="shared" si="80"/>
        <v>15240</v>
      </c>
      <c r="AR72" s="20">
        <f t="shared" si="81"/>
        <v>1800</v>
      </c>
      <c r="AS72" s="20">
        <f t="shared" si="69"/>
        <v>75</v>
      </c>
      <c r="AT72" s="20">
        <f t="shared" si="70"/>
        <v>75</v>
      </c>
      <c r="AU72" s="20">
        <f t="shared" si="37"/>
        <v>563</v>
      </c>
      <c r="AV72" s="23">
        <f t="shared" si="29"/>
        <v>19813</v>
      </c>
      <c r="AW72" s="20"/>
      <c r="AX72" s="20">
        <f t="shared" si="44"/>
        <v>1800</v>
      </c>
      <c r="AY72" s="20">
        <f t="shared" si="71"/>
        <v>75</v>
      </c>
      <c r="AZ72" s="20">
        <f t="shared" si="72"/>
        <v>75</v>
      </c>
      <c r="BA72" s="20">
        <f t="shared" si="42"/>
        <v>563</v>
      </c>
      <c r="BB72" s="23">
        <f t="shared" si="73"/>
        <v>19813</v>
      </c>
    </row>
    <row r="73" spans="1:54" ht="15" customHeight="1" x14ac:dyDescent="0.25">
      <c r="A73" s="11">
        <f t="shared" si="74"/>
        <v>70</v>
      </c>
      <c r="B73" s="39" t="s">
        <v>203</v>
      </c>
      <c r="C73" s="13" t="s">
        <v>151</v>
      </c>
      <c r="D73" s="13">
        <v>31</v>
      </c>
      <c r="E73" s="41" t="s">
        <v>204</v>
      </c>
      <c r="F73" s="40" t="s">
        <v>87</v>
      </c>
      <c r="P73" s="20"/>
      <c r="Q73" s="20"/>
      <c r="R73" s="20">
        <v>19000</v>
      </c>
      <c r="S73" s="20">
        <v>11622</v>
      </c>
      <c r="T73" s="20">
        <f t="shared" si="61"/>
        <v>581</v>
      </c>
      <c r="U73" s="20">
        <f t="shared" si="75"/>
        <v>1000</v>
      </c>
      <c r="V73" s="20">
        <f t="shared" si="76"/>
        <v>5797</v>
      </c>
      <c r="W73" s="22">
        <f t="shared" si="77"/>
        <v>19000</v>
      </c>
      <c r="X73" s="20">
        <v>31</v>
      </c>
      <c r="Y73" s="20"/>
      <c r="Z73" s="20"/>
      <c r="AA73" s="20">
        <f t="shared" si="62"/>
        <v>31</v>
      </c>
      <c r="AB73" s="20">
        <f t="shared" si="63"/>
        <v>11622</v>
      </c>
      <c r="AC73" s="20">
        <f t="shared" si="64"/>
        <v>581</v>
      </c>
      <c r="AD73" s="20">
        <f t="shared" si="65"/>
        <v>1000</v>
      </c>
      <c r="AE73" s="20">
        <f t="shared" si="66"/>
        <v>5797</v>
      </c>
      <c r="AF73" s="23">
        <f t="shared" si="67"/>
        <v>19000</v>
      </c>
      <c r="AG73" s="20"/>
      <c r="AH73" s="20"/>
      <c r="AI73" s="23">
        <f t="shared" si="78"/>
        <v>19000</v>
      </c>
      <c r="AJ73" s="20">
        <f t="shared" si="43"/>
        <v>1800</v>
      </c>
      <c r="AK73" s="20"/>
      <c r="AL73" s="20">
        <f t="shared" si="79"/>
        <v>143</v>
      </c>
      <c r="AM73" s="20">
        <f t="shared" si="68"/>
        <v>130</v>
      </c>
      <c r="AN73" s="20"/>
      <c r="AO73" s="20"/>
      <c r="AP73" s="20">
        <f t="shared" si="36"/>
        <v>2073</v>
      </c>
      <c r="AQ73" s="23">
        <f t="shared" si="80"/>
        <v>16927</v>
      </c>
      <c r="AR73" s="20">
        <f t="shared" si="81"/>
        <v>1800</v>
      </c>
      <c r="AS73" s="20">
        <f t="shared" si="69"/>
        <v>75</v>
      </c>
      <c r="AT73" s="20">
        <f t="shared" si="70"/>
        <v>75</v>
      </c>
      <c r="AU73" s="20">
        <f t="shared" si="37"/>
        <v>618</v>
      </c>
      <c r="AV73" s="23">
        <f t="shared" si="29"/>
        <v>21568</v>
      </c>
      <c r="AW73" s="20"/>
      <c r="AX73" s="20">
        <f t="shared" si="44"/>
        <v>1800</v>
      </c>
      <c r="AY73" s="20">
        <f t="shared" si="71"/>
        <v>75</v>
      </c>
      <c r="AZ73" s="20">
        <f t="shared" si="72"/>
        <v>75</v>
      </c>
      <c r="BA73" s="20">
        <f t="shared" si="42"/>
        <v>618</v>
      </c>
      <c r="BB73" s="23">
        <f t="shared" si="73"/>
        <v>21568</v>
      </c>
    </row>
    <row r="74" spans="1:54" ht="15" customHeight="1" x14ac:dyDescent="0.25">
      <c r="A74" s="11">
        <f t="shared" si="74"/>
        <v>71</v>
      </c>
      <c r="B74" s="39" t="s">
        <v>205</v>
      </c>
      <c r="C74" s="13" t="s">
        <v>151</v>
      </c>
      <c r="D74" s="13">
        <v>31</v>
      </c>
      <c r="E74" s="41" t="s">
        <v>206</v>
      </c>
      <c r="F74" s="40" t="s">
        <v>87</v>
      </c>
      <c r="G74" s="16"/>
      <c r="H74" s="17"/>
      <c r="I74" s="18"/>
      <c r="J74" s="16"/>
      <c r="K74" s="19"/>
      <c r="L74" s="16"/>
      <c r="M74" s="19"/>
      <c r="N74" s="20"/>
      <c r="O74" s="20"/>
      <c r="P74" s="20"/>
      <c r="Q74" s="20"/>
      <c r="R74" s="20">
        <v>20600</v>
      </c>
      <c r="S74" s="20">
        <v>11622</v>
      </c>
      <c r="T74" s="20">
        <f t="shared" ref="T74:T75" si="82">ROUND(S74*50%,0)</f>
        <v>5811</v>
      </c>
      <c r="U74" s="20">
        <f t="shared" si="75"/>
        <v>1600</v>
      </c>
      <c r="V74" s="20">
        <f t="shared" si="76"/>
        <v>1567</v>
      </c>
      <c r="W74" s="22">
        <f t="shared" si="77"/>
        <v>20600</v>
      </c>
      <c r="X74" s="20">
        <v>31</v>
      </c>
      <c r="Y74" s="20"/>
      <c r="Z74" s="20"/>
      <c r="AA74" s="20">
        <f t="shared" si="62"/>
        <v>31</v>
      </c>
      <c r="AB74" s="20">
        <f t="shared" si="63"/>
        <v>11622</v>
      </c>
      <c r="AC74" s="20">
        <f t="shared" si="64"/>
        <v>5811</v>
      </c>
      <c r="AD74" s="20">
        <f t="shared" si="65"/>
        <v>1600</v>
      </c>
      <c r="AE74" s="20">
        <f t="shared" si="66"/>
        <v>1567</v>
      </c>
      <c r="AF74" s="23">
        <f t="shared" si="67"/>
        <v>20600</v>
      </c>
      <c r="AG74" s="20"/>
      <c r="AH74" s="20"/>
      <c r="AI74" s="23">
        <f t="shared" si="78"/>
        <v>20600</v>
      </c>
      <c r="AJ74" s="20">
        <f t="shared" si="43"/>
        <v>1583</v>
      </c>
      <c r="AK74" s="20"/>
      <c r="AL74" s="20">
        <f t="shared" si="79"/>
        <v>155</v>
      </c>
      <c r="AM74" s="20">
        <f t="shared" si="68"/>
        <v>130</v>
      </c>
      <c r="AN74" s="20"/>
      <c r="AO74" s="20"/>
      <c r="AP74" s="20">
        <f t="shared" si="36"/>
        <v>1868</v>
      </c>
      <c r="AQ74" s="23">
        <f t="shared" si="80"/>
        <v>18732</v>
      </c>
      <c r="AR74" s="20">
        <f t="shared" si="81"/>
        <v>1583</v>
      </c>
      <c r="AS74" s="20">
        <f t="shared" si="69"/>
        <v>66</v>
      </c>
      <c r="AT74" s="20">
        <f t="shared" si="70"/>
        <v>66</v>
      </c>
      <c r="AU74" s="20">
        <f t="shared" si="37"/>
        <v>670</v>
      </c>
      <c r="AV74" s="23">
        <f t="shared" si="29"/>
        <v>22985</v>
      </c>
      <c r="AW74" s="20"/>
      <c r="AX74" s="20">
        <f t="shared" si="44"/>
        <v>1583</v>
      </c>
      <c r="AY74" s="20">
        <f t="shared" si="71"/>
        <v>66</v>
      </c>
      <c r="AZ74" s="20">
        <f t="shared" si="72"/>
        <v>66</v>
      </c>
      <c r="BA74" s="20">
        <f t="shared" si="42"/>
        <v>670</v>
      </c>
      <c r="BB74" s="23">
        <f t="shared" si="73"/>
        <v>22985</v>
      </c>
    </row>
    <row r="75" spans="1:54" ht="15" customHeight="1" x14ac:dyDescent="0.25">
      <c r="A75" s="11">
        <f t="shared" si="74"/>
        <v>72</v>
      </c>
      <c r="B75" s="39" t="s">
        <v>207</v>
      </c>
      <c r="C75" s="13" t="s">
        <v>151</v>
      </c>
      <c r="D75" s="13">
        <v>31</v>
      </c>
      <c r="E75" s="41" t="s">
        <v>208</v>
      </c>
      <c r="F75" s="40" t="s">
        <v>87</v>
      </c>
      <c r="G75" s="16"/>
      <c r="H75" s="17"/>
      <c r="I75" s="18"/>
      <c r="J75" s="16"/>
      <c r="K75" s="19"/>
      <c r="L75" s="16"/>
      <c r="M75" s="19"/>
      <c r="N75" s="20"/>
      <c r="O75" s="20"/>
      <c r="P75" s="20"/>
      <c r="Q75" s="20"/>
      <c r="R75" s="20">
        <v>20000</v>
      </c>
      <c r="S75" s="20">
        <v>11622</v>
      </c>
      <c r="T75" s="20">
        <f t="shared" si="82"/>
        <v>5811</v>
      </c>
      <c r="U75" s="20">
        <f t="shared" si="75"/>
        <v>1000</v>
      </c>
      <c r="V75" s="20">
        <f t="shared" si="76"/>
        <v>1567</v>
      </c>
      <c r="W75" s="22">
        <f t="shared" si="77"/>
        <v>20000</v>
      </c>
      <c r="X75" s="20">
        <v>31</v>
      </c>
      <c r="Y75" s="20"/>
      <c r="Z75" s="20"/>
      <c r="AA75" s="20">
        <f t="shared" si="62"/>
        <v>31</v>
      </c>
      <c r="AB75" s="20">
        <f t="shared" si="63"/>
        <v>11622</v>
      </c>
      <c r="AC75" s="20">
        <f t="shared" si="64"/>
        <v>5811</v>
      </c>
      <c r="AD75" s="20">
        <f t="shared" si="65"/>
        <v>1000</v>
      </c>
      <c r="AE75" s="20">
        <f t="shared" si="66"/>
        <v>1567</v>
      </c>
      <c r="AF75" s="23">
        <f t="shared" si="67"/>
        <v>20000</v>
      </c>
      <c r="AG75" s="20"/>
      <c r="AH75" s="20"/>
      <c r="AI75" s="23">
        <f t="shared" si="78"/>
        <v>20000</v>
      </c>
      <c r="AJ75" s="20">
        <f t="shared" si="43"/>
        <v>1583</v>
      </c>
      <c r="AK75" s="20"/>
      <c r="AL75" s="20">
        <f t="shared" si="79"/>
        <v>150</v>
      </c>
      <c r="AM75" s="20">
        <f t="shared" si="68"/>
        <v>130</v>
      </c>
      <c r="AN75" s="20"/>
      <c r="AO75" s="20"/>
      <c r="AP75" s="20">
        <f t="shared" si="36"/>
        <v>1863</v>
      </c>
      <c r="AQ75" s="23">
        <f t="shared" si="80"/>
        <v>18137</v>
      </c>
      <c r="AR75" s="20">
        <f t="shared" si="81"/>
        <v>1583</v>
      </c>
      <c r="AS75" s="20">
        <f t="shared" si="69"/>
        <v>66</v>
      </c>
      <c r="AT75" s="20">
        <f t="shared" si="70"/>
        <v>66</v>
      </c>
      <c r="AU75" s="20">
        <f t="shared" si="37"/>
        <v>650</v>
      </c>
      <c r="AV75" s="23">
        <f t="shared" si="29"/>
        <v>22365</v>
      </c>
      <c r="AW75" s="20"/>
      <c r="AX75" s="20">
        <f t="shared" si="44"/>
        <v>1583</v>
      </c>
      <c r="AY75" s="20">
        <f t="shared" si="71"/>
        <v>66</v>
      </c>
      <c r="AZ75" s="20">
        <f t="shared" si="72"/>
        <v>66</v>
      </c>
      <c r="BA75" s="20">
        <f t="shared" si="42"/>
        <v>650</v>
      </c>
      <c r="BB75" s="23">
        <f t="shared" si="73"/>
        <v>22365</v>
      </c>
    </row>
    <row r="76" spans="1:54" ht="15" customHeight="1" x14ac:dyDescent="0.25">
      <c r="A76" s="11">
        <f t="shared" si="74"/>
        <v>73</v>
      </c>
      <c r="B76" s="39" t="s">
        <v>209</v>
      </c>
      <c r="C76" s="13" t="s">
        <v>151</v>
      </c>
      <c r="D76" s="13">
        <v>31</v>
      </c>
      <c r="E76" s="41" t="s">
        <v>210</v>
      </c>
      <c r="F76" s="40" t="s">
        <v>87</v>
      </c>
      <c r="G76" s="16"/>
      <c r="H76" s="17"/>
      <c r="I76" s="18"/>
      <c r="J76" s="16"/>
      <c r="K76" s="19"/>
      <c r="L76" s="16"/>
      <c r="M76" s="19"/>
      <c r="N76" s="20"/>
      <c r="O76" s="20"/>
      <c r="P76" s="20"/>
      <c r="Q76" s="20"/>
      <c r="R76" s="20">
        <v>15700</v>
      </c>
      <c r="S76" s="20">
        <v>11622</v>
      </c>
      <c r="T76" s="20">
        <f t="shared" ref="T76:T81" si="83">ROUND(S76*5%,0)</f>
        <v>581</v>
      </c>
      <c r="U76" s="20">
        <f t="shared" si="75"/>
        <v>1000</v>
      </c>
      <c r="V76" s="20">
        <f t="shared" si="76"/>
        <v>2497</v>
      </c>
      <c r="W76" s="22">
        <f t="shared" si="77"/>
        <v>15700</v>
      </c>
      <c r="X76" s="20">
        <v>31</v>
      </c>
      <c r="Y76" s="20"/>
      <c r="Z76" s="20"/>
      <c r="AA76" s="20">
        <f t="shared" si="62"/>
        <v>31</v>
      </c>
      <c r="AB76" s="20">
        <f t="shared" si="63"/>
        <v>11622</v>
      </c>
      <c r="AC76" s="20">
        <f t="shared" si="64"/>
        <v>581</v>
      </c>
      <c r="AD76" s="20">
        <f t="shared" si="65"/>
        <v>1000</v>
      </c>
      <c r="AE76" s="20">
        <f t="shared" si="66"/>
        <v>2497</v>
      </c>
      <c r="AF76" s="23">
        <f t="shared" si="67"/>
        <v>15700</v>
      </c>
      <c r="AG76" s="20"/>
      <c r="AH76" s="20"/>
      <c r="AI76" s="23">
        <f t="shared" si="78"/>
        <v>15700</v>
      </c>
      <c r="AJ76" s="20">
        <f t="shared" si="43"/>
        <v>1694</v>
      </c>
      <c r="AK76" s="20"/>
      <c r="AL76" s="20">
        <f t="shared" si="79"/>
        <v>118</v>
      </c>
      <c r="AM76" s="20">
        <f t="shared" si="68"/>
        <v>130</v>
      </c>
      <c r="AN76" s="20"/>
      <c r="AO76" s="20"/>
      <c r="AP76" s="20">
        <f t="shared" si="36"/>
        <v>1942</v>
      </c>
      <c r="AQ76" s="23">
        <f t="shared" si="80"/>
        <v>13758</v>
      </c>
      <c r="AR76" s="20">
        <f t="shared" si="81"/>
        <v>1694</v>
      </c>
      <c r="AS76" s="20">
        <f t="shared" si="69"/>
        <v>71</v>
      </c>
      <c r="AT76" s="20">
        <f t="shared" si="70"/>
        <v>71</v>
      </c>
      <c r="AU76" s="20">
        <f t="shared" si="37"/>
        <v>511</v>
      </c>
      <c r="AV76" s="23">
        <f t="shared" ref="AV76:AV122" si="84">AI76+AR76+AS76+AT76+AU76</f>
        <v>18047</v>
      </c>
      <c r="AW76" s="20"/>
      <c r="AX76" s="20">
        <f t="shared" si="44"/>
        <v>1694</v>
      </c>
      <c r="AY76" s="20">
        <f t="shared" si="71"/>
        <v>71</v>
      </c>
      <c r="AZ76" s="20">
        <f t="shared" si="72"/>
        <v>71</v>
      </c>
      <c r="BA76" s="20">
        <f t="shared" si="42"/>
        <v>511</v>
      </c>
      <c r="BB76" s="23">
        <f t="shared" si="73"/>
        <v>18047</v>
      </c>
    </row>
    <row r="77" spans="1:54" ht="15" customHeight="1" x14ac:dyDescent="0.25">
      <c r="A77" s="11">
        <f t="shared" si="74"/>
        <v>74</v>
      </c>
      <c r="B77" s="39" t="s">
        <v>211</v>
      </c>
      <c r="C77" s="13" t="s">
        <v>151</v>
      </c>
      <c r="D77" s="13">
        <v>31</v>
      </c>
      <c r="E77" s="41" t="s">
        <v>212</v>
      </c>
      <c r="F77" s="40" t="s">
        <v>135</v>
      </c>
      <c r="G77" s="16"/>
      <c r="H77" s="17"/>
      <c r="I77" s="18"/>
      <c r="J77" s="16"/>
      <c r="K77" s="19"/>
      <c r="L77" s="16"/>
      <c r="M77" s="19"/>
      <c r="N77" s="20"/>
      <c r="O77" s="20"/>
      <c r="P77" s="20"/>
      <c r="Q77" s="20"/>
      <c r="R77" s="20">
        <v>12600</v>
      </c>
      <c r="S77" s="20">
        <v>11622</v>
      </c>
      <c r="T77" s="20">
        <f t="shared" si="83"/>
        <v>581</v>
      </c>
      <c r="U77" s="20">
        <v>0</v>
      </c>
      <c r="V77" s="20">
        <v>397</v>
      </c>
      <c r="W77" s="22">
        <f t="shared" si="77"/>
        <v>12600</v>
      </c>
      <c r="X77" s="20">
        <v>31</v>
      </c>
      <c r="Y77" s="20"/>
      <c r="Z77" s="20"/>
      <c r="AA77" s="20">
        <f t="shared" si="62"/>
        <v>31</v>
      </c>
      <c r="AB77" s="20">
        <f t="shared" si="63"/>
        <v>11622</v>
      </c>
      <c r="AC77" s="20">
        <f t="shared" si="64"/>
        <v>581</v>
      </c>
      <c r="AD77" s="20">
        <f t="shared" si="65"/>
        <v>0</v>
      </c>
      <c r="AE77" s="20">
        <f t="shared" si="66"/>
        <v>397</v>
      </c>
      <c r="AF77" s="23">
        <f t="shared" si="67"/>
        <v>12600</v>
      </c>
      <c r="AG77" s="20"/>
      <c r="AH77" s="20"/>
      <c r="AI77" s="23">
        <f t="shared" si="78"/>
        <v>12600</v>
      </c>
      <c r="AJ77" s="20">
        <f t="shared" si="43"/>
        <v>1442</v>
      </c>
      <c r="AK77" s="20"/>
      <c r="AL77" s="20">
        <f t="shared" si="79"/>
        <v>95</v>
      </c>
      <c r="AM77" s="20">
        <f t="shared" si="68"/>
        <v>110</v>
      </c>
      <c r="AN77" s="20"/>
      <c r="AO77" s="20"/>
      <c r="AP77" s="20">
        <f t="shared" si="36"/>
        <v>1647</v>
      </c>
      <c r="AQ77" s="23">
        <f t="shared" si="80"/>
        <v>10953</v>
      </c>
      <c r="AR77" s="20">
        <f t="shared" si="81"/>
        <v>1442</v>
      </c>
      <c r="AS77" s="20">
        <f t="shared" si="69"/>
        <v>60</v>
      </c>
      <c r="AT77" s="20">
        <f t="shared" si="70"/>
        <v>60</v>
      </c>
      <c r="AU77" s="20">
        <f t="shared" si="37"/>
        <v>410</v>
      </c>
      <c r="AV77" s="23">
        <f t="shared" si="84"/>
        <v>14572</v>
      </c>
      <c r="AW77" s="20"/>
      <c r="AX77" s="20">
        <f t="shared" si="44"/>
        <v>1442</v>
      </c>
      <c r="AY77" s="20">
        <f t="shared" si="71"/>
        <v>60</v>
      </c>
      <c r="AZ77" s="20">
        <f t="shared" si="72"/>
        <v>60</v>
      </c>
      <c r="BA77" s="20">
        <f t="shared" si="42"/>
        <v>410</v>
      </c>
      <c r="BB77" s="23">
        <f t="shared" si="73"/>
        <v>14572</v>
      </c>
    </row>
    <row r="78" spans="1:54" ht="15" customHeight="1" x14ac:dyDescent="0.25">
      <c r="A78" s="11">
        <f t="shared" si="74"/>
        <v>75</v>
      </c>
      <c r="B78" s="39" t="s">
        <v>213</v>
      </c>
      <c r="C78" s="13" t="s">
        <v>151</v>
      </c>
      <c r="D78" s="13">
        <v>31</v>
      </c>
      <c r="E78" s="41" t="s">
        <v>214</v>
      </c>
      <c r="F78" s="40" t="s">
        <v>198</v>
      </c>
      <c r="G78" s="16"/>
      <c r="H78" s="17"/>
      <c r="I78" s="18"/>
      <c r="J78" s="16"/>
      <c r="K78" s="19"/>
      <c r="L78" s="16"/>
      <c r="M78" s="19"/>
      <c r="N78" s="20"/>
      <c r="O78" s="20"/>
      <c r="P78" s="20"/>
      <c r="Q78" s="20"/>
      <c r="R78" s="20">
        <v>14000</v>
      </c>
      <c r="S78" s="20">
        <v>11622</v>
      </c>
      <c r="T78" s="20">
        <f t="shared" si="83"/>
        <v>581</v>
      </c>
      <c r="U78" s="20">
        <f t="shared" si="75"/>
        <v>1000</v>
      </c>
      <c r="V78" s="20">
        <f t="shared" si="76"/>
        <v>797</v>
      </c>
      <c r="W78" s="22">
        <f t="shared" si="77"/>
        <v>14000</v>
      </c>
      <c r="X78" s="20">
        <v>31</v>
      </c>
      <c r="Y78" s="20"/>
      <c r="Z78" s="20"/>
      <c r="AA78" s="20">
        <f t="shared" si="62"/>
        <v>31</v>
      </c>
      <c r="AB78" s="20">
        <f t="shared" si="63"/>
        <v>11622</v>
      </c>
      <c r="AC78" s="20">
        <f t="shared" si="64"/>
        <v>581</v>
      </c>
      <c r="AD78" s="20">
        <f t="shared" si="65"/>
        <v>1000</v>
      </c>
      <c r="AE78" s="20">
        <f t="shared" si="66"/>
        <v>797</v>
      </c>
      <c r="AF78" s="23">
        <f t="shared" si="67"/>
        <v>14000</v>
      </c>
      <c r="AG78" s="20"/>
      <c r="AH78" s="20"/>
      <c r="AI78" s="23">
        <f t="shared" si="78"/>
        <v>14000</v>
      </c>
      <c r="AJ78" s="20">
        <f t="shared" si="43"/>
        <v>1490</v>
      </c>
      <c r="AK78" s="20"/>
      <c r="AL78" s="20">
        <f t="shared" si="79"/>
        <v>105</v>
      </c>
      <c r="AM78" s="20">
        <f t="shared" si="68"/>
        <v>110</v>
      </c>
      <c r="AN78" s="20"/>
      <c r="AO78" s="20"/>
      <c r="AP78" s="20">
        <f t="shared" si="36"/>
        <v>1705</v>
      </c>
      <c r="AQ78" s="23">
        <f t="shared" si="80"/>
        <v>12295</v>
      </c>
      <c r="AR78" s="20">
        <f t="shared" si="81"/>
        <v>1490</v>
      </c>
      <c r="AS78" s="20">
        <f t="shared" si="69"/>
        <v>62</v>
      </c>
      <c r="AT78" s="20">
        <f t="shared" si="70"/>
        <v>62</v>
      </c>
      <c r="AU78" s="20">
        <f t="shared" si="37"/>
        <v>455</v>
      </c>
      <c r="AV78" s="23">
        <f t="shared" si="84"/>
        <v>16069</v>
      </c>
      <c r="AW78" s="20"/>
      <c r="AX78" s="20">
        <f t="shared" si="44"/>
        <v>1490</v>
      </c>
      <c r="AY78" s="20">
        <f t="shared" si="71"/>
        <v>62</v>
      </c>
      <c r="AZ78" s="20">
        <f t="shared" si="72"/>
        <v>62</v>
      </c>
      <c r="BA78" s="20">
        <f t="shared" si="42"/>
        <v>455</v>
      </c>
      <c r="BB78" s="23">
        <f t="shared" si="73"/>
        <v>16069</v>
      </c>
    </row>
    <row r="79" spans="1:54" ht="15" customHeight="1" x14ac:dyDescent="0.25">
      <c r="A79" s="11">
        <f t="shared" si="74"/>
        <v>76</v>
      </c>
      <c r="B79" s="39" t="s">
        <v>215</v>
      </c>
      <c r="C79" s="13" t="s">
        <v>151</v>
      </c>
      <c r="D79" s="13">
        <v>31</v>
      </c>
      <c r="E79" s="41" t="s">
        <v>216</v>
      </c>
      <c r="F79" s="40" t="s">
        <v>198</v>
      </c>
      <c r="G79" s="16"/>
      <c r="H79" s="17"/>
      <c r="I79" s="18"/>
      <c r="J79" s="16"/>
      <c r="K79" s="19"/>
      <c r="L79" s="16"/>
      <c r="M79" s="19"/>
      <c r="N79" s="20"/>
      <c r="O79" s="20"/>
      <c r="P79" s="20"/>
      <c r="Q79" s="20"/>
      <c r="R79" s="20">
        <v>15200</v>
      </c>
      <c r="S79" s="20">
        <v>11622</v>
      </c>
      <c r="T79" s="20">
        <f t="shared" si="83"/>
        <v>581</v>
      </c>
      <c r="U79" s="20">
        <f t="shared" si="75"/>
        <v>1000</v>
      </c>
      <c r="V79" s="20">
        <f t="shared" si="76"/>
        <v>1997</v>
      </c>
      <c r="W79" s="22">
        <f t="shared" si="77"/>
        <v>15200</v>
      </c>
      <c r="X79" s="20">
        <v>31</v>
      </c>
      <c r="Y79" s="20"/>
      <c r="Z79" s="20"/>
      <c r="AA79" s="20">
        <f t="shared" si="62"/>
        <v>31</v>
      </c>
      <c r="AB79" s="20">
        <f t="shared" si="63"/>
        <v>11622</v>
      </c>
      <c r="AC79" s="20">
        <f t="shared" si="64"/>
        <v>581</v>
      </c>
      <c r="AD79" s="20">
        <f t="shared" si="65"/>
        <v>1000</v>
      </c>
      <c r="AE79" s="20">
        <f t="shared" si="66"/>
        <v>1997</v>
      </c>
      <c r="AF79" s="23">
        <f t="shared" si="67"/>
        <v>15200</v>
      </c>
      <c r="AG79" s="20"/>
      <c r="AH79" s="20"/>
      <c r="AI79" s="23">
        <f t="shared" si="78"/>
        <v>15200</v>
      </c>
      <c r="AJ79" s="20">
        <f t="shared" si="43"/>
        <v>1634</v>
      </c>
      <c r="AK79" s="20"/>
      <c r="AL79" s="20">
        <f t="shared" si="79"/>
        <v>114</v>
      </c>
      <c r="AM79" s="20">
        <f t="shared" si="68"/>
        <v>130</v>
      </c>
      <c r="AN79" s="20"/>
      <c r="AO79" s="20"/>
      <c r="AP79" s="20">
        <f t="shared" si="36"/>
        <v>1878</v>
      </c>
      <c r="AQ79" s="23">
        <f t="shared" si="80"/>
        <v>13322</v>
      </c>
      <c r="AR79" s="20">
        <f t="shared" si="81"/>
        <v>1634</v>
      </c>
      <c r="AS79" s="20">
        <f t="shared" si="69"/>
        <v>68</v>
      </c>
      <c r="AT79" s="20">
        <f t="shared" si="70"/>
        <v>68</v>
      </c>
      <c r="AU79" s="20">
        <f t="shared" si="37"/>
        <v>494</v>
      </c>
      <c r="AV79" s="23">
        <f t="shared" si="84"/>
        <v>17464</v>
      </c>
      <c r="AW79" s="20"/>
      <c r="AX79" s="20">
        <f t="shared" si="44"/>
        <v>1634</v>
      </c>
      <c r="AY79" s="20">
        <f t="shared" si="71"/>
        <v>68</v>
      </c>
      <c r="AZ79" s="20">
        <f t="shared" si="72"/>
        <v>68</v>
      </c>
      <c r="BA79" s="20">
        <f t="shared" si="42"/>
        <v>494</v>
      </c>
      <c r="BB79" s="23">
        <f t="shared" ref="BB79:BB122" si="85">W79+AX79+AY79+AZ79+BA79-1</f>
        <v>17463</v>
      </c>
    </row>
    <row r="80" spans="1:54" ht="15" customHeight="1" x14ac:dyDescent="0.25">
      <c r="A80" s="11">
        <f t="shared" si="74"/>
        <v>77</v>
      </c>
      <c r="B80" s="39" t="s">
        <v>217</v>
      </c>
      <c r="C80" s="13" t="s">
        <v>151</v>
      </c>
      <c r="D80" s="13">
        <v>31</v>
      </c>
      <c r="E80" s="41" t="s">
        <v>218</v>
      </c>
      <c r="F80" s="40" t="s">
        <v>122</v>
      </c>
      <c r="G80" s="16"/>
      <c r="H80" s="17"/>
      <c r="I80" s="18"/>
      <c r="J80" s="16"/>
      <c r="K80" s="19"/>
      <c r="L80" s="16"/>
      <c r="M80" s="19"/>
      <c r="N80" s="20"/>
      <c r="O80" s="20"/>
      <c r="P80" s="20"/>
      <c r="Q80" s="20"/>
      <c r="R80" s="20">
        <v>16800</v>
      </c>
      <c r="S80" s="20">
        <v>11622</v>
      </c>
      <c r="T80" s="20">
        <f t="shared" si="83"/>
        <v>581</v>
      </c>
      <c r="U80" s="20">
        <f t="shared" si="75"/>
        <v>1000</v>
      </c>
      <c r="V80" s="20">
        <f t="shared" si="76"/>
        <v>3597</v>
      </c>
      <c r="W80" s="22">
        <f t="shared" si="77"/>
        <v>16800</v>
      </c>
      <c r="X80" s="20">
        <v>31</v>
      </c>
      <c r="Y80" s="20"/>
      <c r="Z80" s="20"/>
      <c r="AA80" s="20">
        <f t="shared" si="62"/>
        <v>31</v>
      </c>
      <c r="AB80" s="20">
        <f t="shared" si="63"/>
        <v>11622</v>
      </c>
      <c r="AC80" s="20">
        <f t="shared" si="64"/>
        <v>581</v>
      </c>
      <c r="AD80" s="20">
        <f t="shared" si="65"/>
        <v>1000</v>
      </c>
      <c r="AE80" s="20">
        <f t="shared" si="66"/>
        <v>3597</v>
      </c>
      <c r="AF80" s="23">
        <f t="shared" si="67"/>
        <v>16800</v>
      </c>
      <c r="AG80" s="20"/>
      <c r="AH80" s="20"/>
      <c r="AI80" s="23">
        <f t="shared" si="78"/>
        <v>16800</v>
      </c>
      <c r="AJ80" s="20">
        <f t="shared" si="43"/>
        <v>1800</v>
      </c>
      <c r="AK80" s="20"/>
      <c r="AL80" s="20">
        <f t="shared" si="79"/>
        <v>126</v>
      </c>
      <c r="AM80" s="20">
        <f t="shared" si="68"/>
        <v>130</v>
      </c>
      <c r="AN80" s="20"/>
      <c r="AO80" s="20"/>
      <c r="AP80" s="20">
        <f t="shared" si="36"/>
        <v>2056</v>
      </c>
      <c r="AQ80" s="23">
        <f t="shared" si="80"/>
        <v>14744</v>
      </c>
      <c r="AR80" s="20">
        <f t="shared" si="81"/>
        <v>1800</v>
      </c>
      <c r="AS80" s="20">
        <f t="shared" si="69"/>
        <v>75</v>
      </c>
      <c r="AT80" s="20">
        <f t="shared" si="70"/>
        <v>75</v>
      </c>
      <c r="AU80" s="20">
        <f t="shared" si="37"/>
        <v>546</v>
      </c>
      <c r="AV80" s="23">
        <f t="shared" si="84"/>
        <v>19296</v>
      </c>
      <c r="AW80" s="20"/>
      <c r="AX80" s="20">
        <f t="shared" si="44"/>
        <v>1800</v>
      </c>
      <c r="AY80" s="20">
        <f t="shared" si="71"/>
        <v>75</v>
      </c>
      <c r="AZ80" s="20">
        <f t="shared" si="72"/>
        <v>75</v>
      </c>
      <c r="BA80" s="20">
        <f t="shared" si="42"/>
        <v>546</v>
      </c>
      <c r="BB80" s="23">
        <f t="shared" si="85"/>
        <v>19295</v>
      </c>
    </row>
    <row r="81" spans="1:54" ht="15" customHeight="1" x14ac:dyDescent="0.25">
      <c r="A81" s="11">
        <f t="shared" si="74"/>
        <v>78</v>
      </c>
      <c r="B81" s="39" t="s">
        <v>219</v>
      </c>
      <c r="C81" s="13" t="s">
        <v>151</v>
      </c>
      <c r="D81" s="13">
        <v>31</v>
      </c>
      <c r="E81" s="41" t="s">
        <v>220</v>
      </c>
      <c r="F81" s="40" t="s">
        <v>87</v>
      </c>
      <c r="G81" s="16"/>
      <c r="H81" s="17"/>
      <c r="I81" s="18"/>
      <c r="J81" s="16"/>
      <c r="K81" s="19"/>
      <c r="L81" s="16"/>
      <c r="M81" s="19"/>
      <c r="N81" s="20"/>
      <c r="O81" s="20"/>
      <c r="P81" s="20"/>
      <c r="Q81" s="20"/>
      <c r="R81" s="20">
        <v>19000</v>
      </c>
      <c r="S81" s="20">
        <v>11622</v>
      </c>
      <c r="T81" s="20">
        <f t="shared" si="83"/>
        <v>581</v>
      </c>
      <c r="U81" s="20">
        <f t="shared" si="75"/>
        <v>1000</v>
      </c>
      <c r="V81" s="20">
        <f t="shared" si="76"/>
        <v>5797</v>
      </c>
      <c r="W81" s="22">
        <f t="shared" si="77"/>
        <v>19000</v>
      </c>
      <c r="X81" s="20">
        <v>31</v>
      </c>
      <c r="Y81" s="20"/>
      <c r="Z81" s="20"/>
      <c r="AA81" s="20">
        <f t="shared" si="62"/>
        <v>31</v>
      </c>
      <c r="AB81" s="20">
        <f t="shared" si="63"/>
        <v>11622</v>
      </c>
      <c r="AC81" s="20">
        <f t="shared" si="64"/>
        <v>581</v>
      </c>
      <c r="AD81" s="20">
        <f t="shared" si="65"/>
        <v>1000</v>
      </c>
      <c r="AE81" s="20">
        <f t="shared" si="66"/>
        <v>5797</v>
      </c>
      <c r="AF81" s="23">
        <f t="shared" si="67"/>
        <v>19000</v>
      </c>
      <c r="AG81" s="20"/>
      <c r="AH81" s="20"/>
      <c r="AI81" s="23">
        <f t="shared" si="78"/>
        <v>19000</v>
      </c>
      <c r="AJ81" s="20">
        <f t="shared" si="43"/>
        <v>1800</v>
      </c>
      <c r="AK81" s="20"/>
      <c r="AL81" s="20">
        <f t="shared" si="79"/>
        <v>143</v>
      </c>
      <c r="AM81" s="20">
        <f t="shared" si="68"/>
        <v>130</v>
      </c>
      <c r="AN81" s="20"/>
      <c r="AO81" s="20"/>
      <c r="AP81" s="20">
        <f t="shared" si="36"/>
        <v>2073</v>
      </c>
      <c r="AQ81" s="23">
        <f t="shared" si="80"/>
        <v>16927</v>
      </c>
      <c r="AR81" s="20">
        <f t="shared" si="81"/>
        <v>1800</v>
      </c>
      <c r="AS81" s="20">
        <f t="shared" si="69"/>
        <v>75</v>
      </c>
      <c r="AT81" s="20">
        <f t="shared" si="70"/>
        <v>75</v>
      </c>
      <c r="AU81" s="20">
        <f t="shared" si="37"/>
        <v>618</v>
      </c>
      <c r="AV81" s="23">
        <f t="shared" si="84"/>
        <v>21568</v>
      </c>
      <c r="AW81" s="20"/>
      <c r="AX81" s="20">
        <f t="shared" si="44"/>
        <v>1800</v>
      </c>
      <c r="AY81" s="20">
        <f t="shared" si="71"/>
        <v>75</v>
      </c>
      <c r="AZ81" s="20">
        <f t="shared" si="72"/>
        <v>75</v>
      </c>
      <c r="BA81" s="20">
        <f t="shared" si="42"/>
        <v>618</v>
      </c>
      <c r="BB81" s="23">
        <f t="shared" si="85"/>
        <v>21567</v>
      </c>
    </row>
    <row r="82" spans="1:54" ht="15" customHeight="1" x14ac:dyDescent="0.25">
      <c r="A82" s="11">
        <f t="shared" si="74"/>
        <v>79</v>
      </c>
      <c r="B82" s="39" t="s">
        <v>221</v>
      </c>
      <c r="C82" s="13" t="s">
        <v>151</v>
      </c>
      <c r="D82" s="13">
        <v>31</v>
      </c>
      <c r="E82" s="41" t="s">
        <v>222</v>
      </c>
      <c r="F82" s="40" t="s">
        <v>87</v>
      </c>
      <c r="G82" s="16"/>
      <c r="H82" s="17"/>
      <c r="I82" s="18"/>
      <c r="J82" s="16"/>
      <c r="K82" s="19"/>
      <c r="L82" s="16"/>
      <c r="M82" s="19"/>
      <c r="N82" s="20"/>
      <c r="O82" s="20"/>
      <c r="P82" s="20"/>
      <c r="Q82" s="20"/>
      <c r="R82" s="20">
        <v>21000</v>
      </c>
      <c r="S82" s="20">
        <v>11622</v>
      </c>
      <c r="T82" s="20">
        <f t="shared" ref="T82:T84" si="86">ROUND(S82*50%,0)</f>
        <v>5811</v>
      </c>
      <c r="U82" s="20">
        <f t="shared" si="75"/>
        <v>1600</v>
      </c>
      <c r="V82" s="20">
        <f t="shared" si="76"/>
        <v>1967</v>
      </c>
      <c r="W82" s="22">
        <f t="shared" si="77"/>
        <v>21000</v>
      </c>
      <c r="X82" s="20">
        <v>31</v>
      </c>
      <c r="Y82" s="20"/>
      <c r="Z82" s="20"/>
      <c r="AA82" s="20">
        <f t="shared" si="62"/>
        <v>31</v>
      </c>
      <c r="AB82" s="20">
        <f t="shared" si="63"/>
        <v>11622</v>
      </c>
      <c r="AC82" s="20">
        <f t="shared" si="64"/>
        <v>5811</v>
      </c>
      <c r="AD82" s="20">
        <f t="shared" si="65"/>
        <v>1600</v>
      </c>
      <c r="AE82" s="20">
        <f t="shared" si="66"/>
        <v>1967</v>
      </c>
      <c r="AF82" s="23">
        <f t="shared" si="67"/>
        <v>21000</v>
      </c>
      <c r="AG82" s="20"/>
      <c r="AH82" s="20"/>
      <c r="AI82" s="23">
        <f t="shared" si="78"/>
        <v>21000</v>
      </c>
      <c r="AJ82" s="20">
        <f t="shared" si="43"/>
        <v>1631</v>
      </c>
      <c r="AK82" s="20"/>
      <c r="AL82" s="20">
        <f t="shared" si="79"/>
        <v>158</v>
      </c>
      <c r="AM82" s="20">
        <f t="shared" si="68"/>
        <v>130</v>
      </c>
      <c r="AN82" s="20"/>
      <c r="AO82" s="20"/>
      <c r="AP82" s="20">
        <f t="shared" si="36"/>
        <v>1919</v>
      </c>
      <c r="AQ82" s="23">
        <f t="shared" si="80"/>
        <v>19081</v>
      </c>
      <c r="AR82" s="20">
        <f t="shared" si="81"/>
        <v>1631</v>
      </c>
      <c r="AS82" s="20">
        <f t="shared" si="69"/>
        <v>68</v>
      </c>
      <c r="AT82" s="20">
        <f t="shared" si="70"/>
        <v>68</v>
      </c>
      <c r="AU82" s="20">
        <f t="shared" si="37"/>
        <v>683</v>
      </c>
      <c r="AV82" s="23">
        <f t="shared" si="84"/>
        <v>23450</v>
      </c>
      <c r="AW82" s="20"/>
      <c r="AX82" s="20">
        <f t="shared" si="44"/>
        <v>1631</v>
      </c>
      <c r="AY82" s="20">
        <f t="shared" si="71"/>
        <v>68</v>
      </c>
      <c r="AZ82" s="20">
        <f t="shared" si="72"/>
        <v>68</v>
      </c>
      <c r="BA82" s="20">
        <f t="shared" si="42"/>
        <v>683</v>
      </c>
      <c r="BB82" s="23">
        <f t="shared" si="85"/>
        <v>23449</v>
      </c>
    </row>
    <row r="83" spans="1:54" ht="15" customHeight="1" x14ac:dyDescent="0.25">
      <c r="A83" s="11">
        <f t="shared" si="74"/>
        <v>80</v>
      </c>
      <c r="B83" s="39" t="s">
        <v>223</v>
      </c>
      <c r="C83" s="13" t="s">
        <v>151</v>
      </c>
      <c r="D83" s="13">
        <v>31</v>
      </c>
      <c r="E83" s="41" t="s">
        <v>224</v>
      </c>
      <c r="F83" s="40" t="s">
        <v>87</v>
      </c>
      <c r="G83" s="16"/>
      <c r="H83" s="17"/>
      <c r="I83" s="18"/>
      <c r="J83" s="16"/>
      <c r="K83" s="19"/>
      <c r="L83" s="16"/>
      <c r="M83" s="19"/>
      <c r="N83" s="20"/>
      <c r="O83" s="20"/>
      <c r="P83" s="20"/>
      <c r="Q83" s="20"/>
      <c r="R83" s="20">
        <v>21000</v>
      </c>
      <c r="S83" s="20">
        <v>11622</v>
      </c>
      <c r="T83" s="20">
        <f t="shared" si="86"/>
        <v>5811</v>
      </c>
      <c r="U83" s="20">
        <f t="shared" si="75"/>
        <v>1600</v>
      </c>
      <c r="V83" s="20">
        <f t="shared" si="76"/>
        <v>1967</v>
      </c>
      <c r="W83" s="22">
        <f t="shared" si="77"/>
        <v>21000</v>
      </c>
      <c r="X83" s="20">
        <v>31</v>
      </c>
      <c r="Y83" s="20"/>
      <c r="Z83" s="20"/>
      <c r="AA83" s="20">
        <f t="shared" si="62"/>
        <v>31</v>
      </c>
      <c r="AB83" s="20">
        <f t="shared" si="63"/>
        <v>11622</v>
      </c>
      <c r="AC83" s="20">
        <f t="shared" si="64"/>
        <v>5811</v>
      </c>
      <c r="AD83" s="20">
        <f t="shared" si="65"/>
        <v>1600</v>
      </c>
      <c r="AE83" s="20">
        <f t="shared" si="66"/>
        <v>1967</v>
      </c>
      <c r="AF83" s="23">
        <f t="shared" si="67"/>
        <v>21000</v>
      </c>
      <c r="AG83" s="20"/>
      <c r="AH83" s="20"/>
      <c r="AI83" s="23">
        <f t="shared" si="78"/>
        <v>21000</v>
      </c>
      <c r="AJ83" s="20">
        <f t="shared" si="43"/>
        <v>1631</v>
      </c>
      <c r="AK83" s="20"/>
      <c r="AL83" s="20">
        <f t="shared" si="79"/>
        <v>158</v>
      </c>
      <c r="AM83" s="20">
        <f t="shared" si="68"/>
        <v>130</v>
      </c>
      <c r="AN83" s="20"/>
      <c r="AO83" s="20"/>
      <c r="AP83" s="20">
        <f t="shared" si="36"/>
        <v>1919</v>
      </c>
      <c r="AQ83" s="23">
        <f t="shared" si="80"/>
        <v>19081</v>
      </c>
      <c r="AR83" s="20">
        <f t="shared" si="81"/>
        <v>1631</v>
      </c>
      <c r="AS83" s="20">
        <f t="shared" si="69"/>
        <v>68</v>
      </c>
      <c r="AT83" s="20">
        <f t="shared" si="70"/>
        <v>68</v>
      </c>
      <c r="AU83" s="20">
        <f t="shared" si="37"/>
        <v>683</v>
      </c>
      <c r="AV83" s="23">
        <f t="shared" si="84"/>
        <v>23450</v>
      </c>
      <c r="AW83" s="20"/>
      <c r="AX83" s="20">
        <f t="shared" si="44"/>
        <v>1631</v>
      </c>
      <c r="AY83" s="20">
        <f t="shared" si="71"/>
        <v>68</v>
      </c>
      <c r="AZ83" s="20">
        <f t="shared" si="72"/>
        <v>68</v>
      </c>
      <c r="BA83" s="20">
        <f t="shared" si="42"/>
        <v>683</v>
      </c>
      <c r="BB83" s="23">
        <f t="shared" si="85"/>
        <v>23449</v>
      </c>
    </row>
    <row r="84" spans="1:54" ht="15" customHeight="1" x14ac:dyDescent="0.25">
      <c r="A84" s="11">
        <f t="shared" si="74"/>
        <v>81</v>
      </c>
      <c r="B84" s="39" t="s">
        <v>225</v>
      </c>
      <c r="C84" s="13" t="s">
        <v>151</v>
      </c>
      <c r="D84" s="13">
        <v>31</v>
      </c>
      <c r="E84" s="41" t="s">
        <v>226</v>
      </c>
      <c r="F84" s="40" t="s">
        <v>122</v>
      </c>
      <c r="G84" s="16"/>
      <c r="H84" s="17"/>
      <c r="I84" s="18"/>
      <c r="J84" s="16"/>
      <c r="K84" s="19"/>
      <c r="L84" s="16"/>
      <c r="M84" s="19"/>
      <c r="N84" s="20"/>
      <c r="O84" s="20"/>
      <c r="P84" s="20"/>
      <c r="Q84" s="20"/>
      <c r="R84" s="20">
        <v>19500</v>
      </c>
      <c r="S84" s="20">
        <v>11622</v>
      </c>
      <c r="T84" s="20">
        <f t="shared" si="86"/>
        <v>5811</v>
      </c>
      <c r="U84" s="20">
        <f t="shared" si="75"/>
        <v>1000</v>
      </c>
      <c r="V84" s="20">
        <f t="shared" si="76"/>
        <v>1067</v>
      </c>
      <c r="W84" s="22">
        <f t="shared" si="77"/>
        <v>19500</v>
      </c>
      <c r="X84" s="20">
        <v>31</v>
      </c>
      <c r="Y84" s="20"/>
      <c r="Z84" s="20"/>
      <c r="AA84" s="20">
        <f t="shared" si="62"/>
        <v>31</v>
      </c>
      <c r="AB84" s="20">
        <f t="shared" si="63"/>
        <v>11622</v>
      </c>
      <c r="AC84" s="20">
        <f t="shared" si="64"/>
        <v>5811</v>
      </c>
      <c r="AD84" s="20">
        <f t="shared" si="65"/>
        <v>1000</v>
      </c>
      <c r="AE84" s="20">
        <f t="shared" si="66"/>
        <v>1067</v>
      </c>
      <c r="AF84" s="23">
        <f t="shared" si="67"/>
        <v>19500</v>
      </c>
      <c r="AG84" s="20"/>
      <c r="AH84" s="20"/>
      <c r="AI84" s="23">
        <f t="shared" si="78"/>
        <v>19500</v>
      </c>
      <c r="AJ84" s="20">
        <f t="shared" si="43"/>
        <v>1523</v>
      </c>
      <c r="AK84" s="20"/>
      <c r="AL84" s="20">
        <f t="shared" si="79"/>
        <v>147</v>
      </c>
      <c r="AM84" s="20">
        <f t="shared" si="68"/>
        <v>130</v>
      </c>
      <c r="AN84" s="20"/>
      <c r="AO84" s="20"/>
      <c r="AP84" s="20">
        <f t="shared" ref="AP84:AP122" si="87">AJ84+AL84+AM84+AN84+AK84+AO84</f>
        <v>1800</v>
      </c>
      <c r="AQ84" s="23">
        <f t="shared" si="80"/>
        <v>17700</v>
      </c>
      <c r="AR84" s="20">
        <f t="shared" si="81"/>
        <v>1523</v>
      </c>
      <c r="AS84" s="20">
        <f t="shared" si="69"/>
        <v>63</v>
      </c>
      <c r="AT84" s="20">
        <f t="shared" si="70"/>
        <v>63</v>
      </c>
      <c r="AU84" s="20">
        <f t="shared" ref="AU84:AU122" si="88">ROUNDUP(IF(W84&gt;21000,0,IF(W84&lt;=21000,(AF84+AG84)*3.25%,0)),0)</f>
        <v>634</v>
      </c>
      <c r="AV84" s="23">
        <f t="shared" si="84"/>
        <v>21783</v>
      </c>
      <c r="AW84" s="20"/>
      <c r="AX84" s="20">
        <f t="shared" si="44"/>
        <v>1523</v>
      </c>
      <c r="AY84" s="20">
        <f t="shared" si="71"/>
        <v>63</v>
      </c>
      <c r="AZ84" s="20">
        <f t="shared" si="72"/>
        <v>63</v>
      </c>
      <c r="BA84" s="20">
        <f t="shared" si="42"/>
        <v>634</v>
      </c>
      <c r="BB84" s="23">
        <f t="shared" si="85"/>
        <v>21782</v>
      </c>
    </row>
    <row r="85" spans="1:54" ht="15" customHeight="1" x14ac:dyDescent="0.25">
      <c r="A85" s="11">
        <f t="shared" si="74"/>
        <v>82</v>
      </c>
      <c r="B85" s="39" t="s">
        <v>227</v>
      </c>
      <c r="C85" s="13" t="s">
        <v>151</v>
      </c>
      <c r="D85" s="13">
        <v>31</v>
      </c>
      <c r="E85" s="41" t="s">
        <v>228</v>
      </c>
      <c r="F85" s="40" t="s">
        <v>92</v>
      </c>
      <c r="G85" s="16"/>
      <c r="H85" s="17"/>
      <c r="I85" s="18"/>
      <c r="J85" s="16"/>
      <c r="K85" s="19"/>
      <c r="L85" s="16"/>
      <c r="M85" s="19"/>
      <c r="N85" s="20"/>
      <c r="O85" s="20"/>
      <c r="P85" s="20"/>
      <c r="Q85" s="20"/>
      <c r="R85" s="20">
        <v>15000</v>
      </c>
      <c r="S85" s="20">
        <v>11622</v>
      </c>
      <c r="T85" s="20">
        <f t="shared" ref="T85" si="89">ROUND(S85*5%,0)</f>
        <v>581</v>
      </c>
      <c r="U85" s="20">
        <f t="shared" si="75"/>
        <v>1000</v>
      </c>
      <c r="V85" s="20">
        <f t="shared" si="76"/>
        <v>1797</v>
      </c>
      <c r="W85" s="22">
        <f t="shared" si="77"/>
        <v>15000</v>
      </c>
      <c r="X85" s="20">
        <v>31</v>
      </c>
      <c r="Y85" s="20"/>
      <c r="Z85" s="20"/>
      <c r="AA85" s="20">
        <f t="shared" si="62"/>
        <v>31</v>
      </c>
      <c r="AB85" s="20">
        <f t="shared" si="63"/>
        <v>11622</v>
      </c>
      <c r="AC85" s="20">
        <f t="shared" si="64"/>
        <v>581</v>
      </c>
      <c r="AD85" s="20">
        <f t="shared" si="65"/>
        <v>1000</v>
      </c>
      <c r="AE85" s="20">
        <f t="shared" si="66"/>
        <v>1797</v>
      </c>
      <c r="AF85" s="23">
        <f t="shared" si="67"/>
        <v>15000</v>
      </c>
      <c r="AG85" s="20"/>
      <c r="AH85" s="20"/>
      <c r="AI85" s="23">
        <f t="shared" si="78"/>
        <v>15000</v>
      </c>
      <c r="AJ85" s="20">
        <f t="shared" si="43"/>
        <v>1610</v>
      </c>
      <c r="AK85" s="20"/>
      <c r="AL85" s="20">
        <f t="shared" si="79"/>
        <v>113</v>
      </c>
      <c r="AM85" s="20">
        <f t="shared" si="68"/>
        <v>110</v>
      </c>
      <c r="AN85" s="20"/>
      <c r="AO85" s="20"/>
      <c r="AP85" s="20">
        <f t="shared" si="87"/>
        <v>1833</v>
      </c>
      <c r="AQ85" s="23">
        <f t="shared" si="80"/>
        <v>13167</v>
      </c>
      <c r="AR85" s="20">
        <f t="shared" si="81"/>
        <v>1610</v>
      </c>
      <c r="AS85" s="20">
        <f t="shared" si="69"/>
        <v>67</v>
      </c>
      <c r="AT85" s="20">
        <f t="shared" si="70"/>
        <v>67</v>
      </c>
      <c r="AU85" s="20">
        <f t="shared" si="88"/>
        <v>488</v>
      </c>
      <c r="AV85" s="23">
        <f t="shared" si="84"/>
        <v>17232</v>
      </c>
      <c r="AW85" s="20"/>
      <c r="AX85" s="20">
        <f t="shared" si="44"/>
        <v>1610</v>
      </c>
      <c r="AY85" s="20">
        <f t="shared" si="71"/>
        <v>67</v>
      </c>
      <c r="AZ85" s="20">
        <f t="shared" si="72"/>
        <v>67</v>
      </c>
      <c r="BA85" s="20">
        <f t="shared" si="42"/>
        <v>488</v>
      </c>
      <c r="BB85" s="23">
        <f t="shared" si="85"/>
        <v>17231</v>
      </c>
    </row>
    <row r="86" spans="1:54" ht="15" customHeight="1" x14ac:dyDescent="0.25">
      <c r="A86" s="11">
        <f t="shared" si="74"/>
        <v>83</v>
      </c>
      <c r="B86" s="39" t="s">
        <v>229</v>
      </c>
      <c r="C86" s="13" t="s">
        <v>151</v>
      </c>
      <c r="D86" s="13">
        <v>31</v>
      </c>
      <c r="E86" s="41" t="s">
        <v>230</v>
      </c>
      <c r="F86" s="40" t="s">
        <v>87</v>
      </c>
      <c r="G86" s="16"/>
      <c r="H86" s="17"/>
      <c r="I86" s="18"/>
      <c r="J86" s="16"/>
      <c r="K86" s="19"/>
      <c r="L86" s="16"/>
      <c r="M86" s="19"/>
      <c r="N86" s="20"/>
      <c r="O86" s="20"/>
      <c r="P86" s="20"/>
      <c r="Q86" s="20"/>
      <c r="R86" s="20">
        <v>21000</v>
      </c>
      <c r="S86" s="20">
        <v>11622</v>
      </c>
      <c r="T86" s="20">
        <f t="shared" ref="T86:T87" si="90">ROUND(S86*50%,0)</f>
        <v>5811</v>
      </c>
      <c r="U86" s="20">
        <f t="shared" si="75"/>
        <v>1600</v>
      </c>
      <c r="V86" s="20">
        <f t="shared" si="76"/>
        <v>1967</v>
      </c>
      <c r="W86" s="22">
        <f t="shared" si="77"/>
        <v>21000</v>
      </c>
      <c r="X86" s="20">
        <v>31</v>
      </c>
      <c r="Y86" s="20"/>
      <c r="Z86" s="20"/>
      <c r="AA86" s="20">
        <f t="shared" si="62"/>
        <v>31</v>
      </c>
      <c r="AB86" s="20">
        <f t="shared" si="63"/>
        <v>11622</v>
      </c>
      <c r="AC86" s="20">
        <f t="shared" si="64"/>
        <v>5811</v>
      </c>
      <c r="AD86" s="20">
        <f t="shared" si="65"/>
        <v>1600</v>
      </c>
      <c r="AE86" s="20">
        <f t="shared" si="66"/>
        <v>1967</v>
      </c>
      <c r="AF86" s="23">
        <f t="shared" si="67"/>
        <v>21000</v>
      </c>
      <c r="AG86" s="20"/>
      <c r="AH86" s="20"/>
      <c r="AI86" s="23">
        <f t="shared" si="78"/>
        <v>21000</v>
      </c>
      <c r="AJ86" s="20">
        <f t="shared" si="43"/>
        <v>1631</v>
      </c>
      <c r="AK86" s="20"/>
      <c r="AL86" s="20">
        <f t="shared" si="79"/>
        <v>158</v>
      </c>
      <c r="AM86" s="20">
        <f t="shared" si="68"/>
        <v>130</v>
      </c>
      <c r="AN86" s="20"/>
      <c r="AO86" s="20"/>
      <c r="AP86" s="20">
        <f t="shared" si="87"/>
        <v>1919</v>
      </c>
      <c r="AQ86" s="23">
        <f t="shared" si="80"/>
        <v>19081</v>
      </c>
      <c r="AR86" s="20">
        <f t="shared" si="81"/>
        <v>1631</v>
      </c>
      <c r="AS86" s="20">
        <f t="shared" si="69"/>
        <v>68</v>
      </c>
      <c r="AT86" s="20">
        <f t="shared" si="70"/>
        <v>68</v>
      </c>
      <c r="AU86" s="20">
        <f t="shared" si="88"/>
        <v>683</v>
      </c>
      <c r="AV86" s="23">
        <f t="shared" si="84"/>
        <v>23450</v>
      </c>
      <c r="AW86" s="20"/>
      <c r="AX86" s="20">
        <f t="shared" si="44"/>
        <v>1631</v>
      </c>
      <c r="AY86" s="20">
        <f t="shared" si="71"/>
        <v>68</v>
      </c>
      <c r="AZ86" s="20">
        <f t="shared" si="72"/>
        <v>68</v>
      </c>
      <c r="BA86" s="20">
        <f t="shared" si="42"/>
        <v>683</v>
      </c>
      <c r="BB86" s="23">
        <f t="shared" si="85"/>
        <v>23449</v>
      </c>
    </row>
    <row r="87" spans="1:54" ht="15" customHeight="1" x14ac:dyDescent="0.25">
      <c r="A87" s="11">
        <f t="shared" si="74"/>
        <v>84</v>
      </c>
      <c r="B87" s="39" t="s">
        <v>231</v>
      </c>
      <c r="C87" s="13" t="s">
        <v>151</v>
      </c>
      <c r="D87" s="13">
        <v>31</v>
      </c>
      <c r="E87" s="41" t="s">
        <v>232</v>
      </c>
      <c r="F87" s="40" t="s">
        <v>87</v>
      </c>
      <c r="G87" s="16"/>
      <c r="H87" s="17"/>
      <c r="I87" s="18"/>
      <c r="J87" s="16"/>
      <c r="K87" s="19"/>
      <c r="L87" s="16"/>
      <c r="M87" s="19"/>
      <c r="N87" s="20"/>
      <c r="O87" s="20"/>
      <c r="P87" s="20"/>
      <c r="Q87" s="20"/>
      <c r="R87" s="20">
        <v>21000</v>
      </c>
      <c r="S87" s="20">
        <v>11622</v>
      </c>
      <c r="T87" s="20">
        <f t="shared" si="90"/>
        <v>5811</v>
      </c>
      <c r="U87" s="20">
        <f t="shared" si="75"/>
        <v>1600</v>
      </c>
      <c r="V87" s="20">
        <f t="shared" si="76"/>
        <v>1967</v>
      </c>
      <c r="W87" s="22">
        <f t="shared" si="77"/>
        <v>21000</v>
      </c>
      <c r="X87" s="20">
        <v>31</v>
      </c>
      <c r="Y87" s="20"/>
      <c r="Z87" s="20"/>
      <c r="AA87" s="20">
        <f t="shared" si="62"/>
        <v>31</v>
      </c>
      <c r="AB87" s="20">
        <f t="shared" si="63"/>
        <v>11622</v>
      </c>
      <c r="AC87" s="20">
        <f t="shared" si="64"/>
        <v>5811</v>
      </c>
      <c r="AD87" s="20">
        <f t="shared" si="65"/>
        <v>1600</v>
      </c>
      <c r="AE87" s="20">
        <f t="shared" si="66"/>
        <v>1967</v>
      </c>
      <c r="AF87" s="23">
        <f t="shared" si="67"/>
        <v>21000</v>
      </c>
      <c r="AG87" s="20"/>
      <c r="AH87" s="20"/>
      <c r="AI87" s="23">
        <f t="shared" si="78"/>
        <v>21000</v>
      </c>
      <c r="AJ87" s="20">
        <f t="shared" si="43"/>
        <v>1631</v>
      </c>
      <c r="AK87" s="20"/>
      <c r="AL87" s="20">
        <f t="shared" si="79"/>
        <v>158</v>
      </c>
      <c r="AM87" s="20">
        <f t="shared" si="68"/>
        <v>130</v>
      </c>
      <c r="AN87" s="20"/>
      <c r="AO87" s="20"/>
      <c r="AP87" s="20">
        <f t="shared" si="87"/>
        <v>1919</v>
      </c>
      <c r="AQ87" s="23">
        <f t="shared" si="80"/>
        <v>19081</v>
      </c>
      <c r="AR87" s="20">
        <f t="shared" si="81"/>
        <v>1631</v>
      </c>
      <c r="AS87" s="20">
        <f t="shared" si="69"/>
        <v>68</v>
      </c>
      <c r="AT87" s="20">
        <f t="shared" si="70"/>
        <v>68</v>
      </c>
      <c r="AU87" s="20">
        <f t="shared" si="88"/>
        <v>683</v>
      </c>
      <c r="AV87" s="23">
        <f t="shared" si="84"/>
        <v>23450</v>
      </c>
      <c r="AW87" s="20"/>
      <c r="AX87" s="20">
        <f t="shared" si="44"/>
        <v>1631</v>
      </c>
      <c r="AY87" s="20">
        <f t="shared" si="71"/>
        <v>68</v>
      </c>
      <c r="AZ87" s="20">
        <f t="shared" si="72"/>
        <v>68</v>
      </c>
      <c r="BA87" s="20">
        <f t="shared" si="42"/>
        <v>683</v>
      </c>
      <c r="BB87" s="23">
        <f t="shared" si="85"/>
        <v>23449</v>
      </c>
    </row>
    <row r="88" spans="1:54" ht="15" customHeight="1" x14ac:dyDescent="0.25">
      <c r="A88" s="11">
        <f t="shared" si="74"/>
        <v>85</v>
      </c>
      <c r="B88" s="39" t="s">
        <v>233</v>
      </c>
      <c r="C88" s="13" t="s">
        <v>151</v>
      </c>
      <c r="D88" s="13">
        <v>31</v>
      </c>
      <c r="E88" s="41" t="s">
        <v>234</v>
      </c>
      <c r="F88" s="40" t="s">
        <v>122</v>
      </c>
      <c r="G88" s="16"/>
      <c r="H88" s="17"/>
      <c r="I88" s="18"/>
      <c r="J88" s="16"/>
      <c r="K88" s="19"/>
      <c r="L88" s="16"/>
      <c r="M88" s="19"/>
      <c r="N88" s="20"/>
      <c r="O88" s="20"/>
      <c r="P88" s="20"/>
      <c r="Q88" s="20"/>
      <c r="R88" s="20">
        <v>14700</v>
      </c>
      <c r="S88" s="20">
        <v>11622</v>
      </c>
      <c r="T88" s="20">
        <f t="shared" ref="T88:T98" si="91">ROUND(S88*5%,0)</f>
        <v>581</v>
      </c>
      <c r="U88" s="20">
        <f t="shared" si="75"/>
        <v>1000</v>
      </c>
      <c r="V88" s="20">
        <f t="shared" si="76"/>
        <v>1497</v>
      </c>
      <c r="W88" s="22">
        <f t="shared" si="77"/>
        <v>14700</v>
      </c>
      <c r="X88" s="20">
        <v>31</v>
      </c>
      <c r="Y88" s="20"/>
      <c r="Z88" s="20"/>
      <c r="AA88" s="20">
        <f t="shared" si="62"/>
        <v>31</v>
      </c>
      <c r="AB88" s="20">
        <f t="shared" si="63"/>
        <v>11622</v>
      </c>
      <c r="AC88" s="20">
        <f t="shared" si="64"/>
        <v>581</v>
      </c>
      <c r="AD88" s="20">
        <f t="shared" si="65"/>
        <v>1000</v>
      </c>
      <c r="AE88" s="20">
        <f t="shared" si="66"/>
        <v>1497</v>
      </c>
      <c r="AF88" s="23">
        <f t="shared" si="67"/>
        <v>14700</v>
      </c>
      <c r="AG88" s="20"/>
      <c r="AH88" s="20"/>
      <c r="AI88" s="23">
        <f t="shared" si="78"/>
        <v>14700</v>
      </c>
      <c r="AJ88" s="20">
        <f t="shared" si="43"/>
        <v>1574</v>
      </c>
      <c r="AK88" s="20"/>
      <c r="AL88" s="20">
        <f t="shared" si="79"/>
        <v>111</v>
      </c>
      <c r="AM88" s="20">
        <f t="shared" si="68"/>
        <v>110</v>
      </c>
      <c r="AN88" s="20"/>
      <c r="AO88" s="20"/>
      <c r="AP88" s="20">
        <f t="shared" si="87"/>
        <v>1795</v>
      </c>
      <c r="AQ88" s="23">
        <f t="shared" si="80"/>
        <v>12905</v>
      </c>
      <c r="AR88" s="20">
        <f t="shared" si="81"/>
        <v>1574</v>
      </c>
      <c r="AS88" s="20">
        <f t="shared" si="69"/>
        <v>66</v>
      </c>
      <c r="AT88" s="20">
        <f t="shared" si="70"/>
        <v>66</v>
      </c>
      <c r="AU88" s="20">
        <f t="shared" si="88"/>
        <v>478</v>
      </c>
      <c r="AV88" s="23">
        <f t="shared" si="84"/>
        <v>16884</v>
      </c>
      <c r="AW88" s="20"/>
      <c r="AX88" s="20">
        <f t="shared" si="44"/>
        <v>1574</v>
      </c>
      <c r="AY88" s="20">
        <f t="shared" si="71"/>
        <v>66</v>
      </c>
      <c r="AZ88" s="20">
        <f t="shared" si="72"/>
        <v>66</v>
      </c>
      <c r="BA88" s="20">
        <f t="shared" si="42"/>
        <v>478</v>
      </c>
      <c r="BB88" s="23">
        <f t="shared" si="85"/>
        <v>16883</v>
      </c>
    </row>
    <row r="89" spans="1:54" ht="15" customHeight="1" x14ac:dyDescent="0.25">
      <c r="A89" s="11">
        <f t="shared" si="74"/>
        <v>86</v>
      </c>
      <c r="B89" s="39" t="s">
        <v>235</v>
      </c>
      <c r="C89" s="13" t="s">
        <v>151</v>
      </c>
      <c r="D89" s="13">
        <v>31</v>
      </c>
      <c r="E89" s="41" t="s">
        <v>236</v>
      </c>
      <c r="F89" s="40" t="s">
        <v>135</v>
      </c>
      <c r="G89" s="16"/>
      <c r="H89" s="17"/>
      <c r="I89" s="18"/>
      <c r="J89" s="16"/>
      <c r="K89" s="19"/>
      <c r="L89" s="16"/>
      <c r="M89" s="19"/>
      <c r="N89" s="20"/>
      <c r="O89" s="20"/>
      <c r="P89" s="20"/>
      <c r="Q89" s="20"/>
      <c r="R89" s="20">
        <v>11800</v>
      </c>
      <c r="S89" s="20">
        <v>10556</v>
      </c>
      <c r="T89" s="20">
        <f t="shared" si="91"/>
        <v>528</v>
      </c>
      <c r="U89" s="20">
        <f>IF(R89&gt;20000,1600,IF(R89&lt;=20000,1000,0))-284</f>
        <v>716</v>
      </c>
      <c r="V89" s="20">
        <v>0</v>
      </c>
      <c r="W89" s="22">
        <f t="shared" si="77"/>
        <v>11800</v>
      </c>
      <c r="X89" s="20">
        <v>31</v>
      </c>
      <c r="Y89" s="20"/>
      <c r="Z89" s="20"/>
      <c r="AA89" s="20">
        <f t="shared" si="62"/>
        <v>31</v>
      </c>
      <c r="AB89" s="20">
        <f t="shared" si="63"/>
        <v>10556</v>
      </c>
      <c r="AC89" s="20">
        <f t="shared" si="64"/>
        <v>528</v>
      </c>
      <c r="AD89" s="20">
        <f t="shared" si="65"/>
        <v>716</v>
      </c>
      <c r="AE89" s="20">
        <f t="shared" si="66"/>
        <v>0</v>
      </c>
      <c r="AF89" s="23">
        <f t="shared" si="67"/>
        <v>11800</v>
      </c>
      <c r="AG89" s="20"/>
      <c r="AH89" s="20"/>
      <c r="AI89" s="23">
        <f t="shared" si="78"/>
        <v>11800</v>
      </c>
      <c r="AJ89" s="20">
        <f t="shared" si="43"/>
        <v>1267</v>
      </c>
      <c r="AK89" s="20"/>
      <c r="AL89" s="20">
        <f t="shared" si="79"/>
        <v>89</v>
      </c>
      <c r="AM89" s="20">
        <f t="shared" si="68"/>
        <v>110</v>
      </c>
      <c r="AN89" s="20"/>
      <c r="AO89" s="20"/>
      <c r="AP89" s="20">
        <f t="shared" si="87"/>
        <v>1466</v>
      </c>
      <c r="AQ89" s="23">
        <f t="shared" si="80"/>
        <v>10334</v>
      </c>
      <c r="AR89" s="20">
        <f t="shared" si="81"/>
        <v>1267</v>
      </c>
      <c r="AS89" s="20">
        <f t="shared" si="69"/>
        <v>53</v>
      </c>
      <c r="AT89" s="20">
        <f t="shared" si="70"/>
        <v>53</v>
      </c>
      <c r="AU89" s="20">
        <f t="shared" si="88"/>
        <v>384</v>
      </c>
      <c r="AV89" s="23">
        <f t="shared" si="84"/>
        <v>13557</v>
      </c>
      <c r="AW89" s="20"/>
      <c r="AX89" s="20">
        <f t="shared" si="44"/>
        <v>1267</v>
      </c>
      <c r="AY89" s="20">
        <f t="shared" si="71"/>
        <v>53</v>
      </c>
      <c r="AZ89" s="20">
        <f t="shared" si="72"/>
        <v>53</v>
      </c>
      <c r="BA89" s="20">
        <f t="shared" si="42"/>
        <v>384</v>
      </c>
      <c r="BB89" s="23">
        <f t="shared" si="85"/>
        <v>13556</v>
      </c>
    </row>
    <row r="90" spans="1:54" ht="15" customHeight="1" x14ac:dyDescent="0.25">
      <c r="A90" s="11">
        <f t="shared" si="74"/>
        <v>87</v>
      </c>
      <c r="B90" s="39" t="s">
        <v>237</v>
      </c>
      <c r="C90" s="13" t="s">
        <v>151</v>
      </c>
      <c r="D90" s="13">
        <v>31</v>
      </c>
      <c r="E90" s="41" t="s">
        <v>238</v>
      </c>
      <c r="F90" s="40" t="s">
        <v>87</v>
      </c>
      <c r="G90" s="16"/>
      <c r="H90" s="17"/>
      <c r="I90" s="18"/>
      <c r="J90" s="16"/>
      <c r="K90" s="19"/>
      <c r="L90" s="16"/>
      <c r="M90" s="19"/>
      <c r="N90" s="20"/>
      <c r="O90" s="20"/>
      <c r="P90" s="20"/>
      <c r="Q90" s="20"/>
      <c r="R90" s="20">
        <v>19000</v>
      </c>
      <c r="S90" s="20">
        <v>11622</v>
      </c>
      <c r="T90" s="20">
        <f t="shared" si="91"/>
        <v>581</v>
      </c>
      <c r="U90" s="20">
        <f t="shared" si="75"/>
        <v>1000</v>
      </c>
      <c r="V90" s="20">
        <f t="shared" si="76"/>
        <v>5797</v>
      </c>
      <c r="W90" s="22">
        <f t="shared" si="77"/>
        <v>19000</v>
      </c>
      <c r="X90" s="20">
        <v>31</v>
      </c>
      <c r="Y90" s="20"/>
      <c r="Z90" s="20"/>
      <c r="AA90" s="20">
        <f t="shared" si="62"/>
        <v>31</v>
      </c>
      <c r="AB90" s="20">
        <f t="shared" si="63"/>
        <v>11622</v>
      </c>
      <c r="AC90" s="20">
        <f t="shared" si="64"/>
        <v>581</v>
      </c>
      <c r="AD90" s="20">
        <f t="shared" si="65"/>
        <v>1000</v>
      </c>
      <c r="AE90" s="20">
        <f t="shared" si="66"/>
        <v>5797</v>
      </c>
      <c r="AF90" s="23">
        <f t="shared" si="67"/>
        <v>19000</v>
      </c>
      <c r="AG90" s="20"/>
      <c r="AH90" s="20"/>
      <c r="AI90" s="23">
        <f t="shared" si="78"/>
        <v>19000</v>
      </c>
      <c r="AJ90" s="20">
        <f t="shared" si="43"/>
        <v>1800</v>
      </c>
      <c r="AK90" s="20"/>
      <c r="AL90" s="20">
        <f t="shared" si="79"/>
        <v>143</v>
      </c>
      <c r="AM90" s="20">
        <f t="shared" si="68"/>
        <v>130</v>
      </c>
      <c r="AN90" s="20"/>
      <c r="AO90" s="20"/>
      <c r="AP90" s="20">
        <f t="shared" si="87"/>
        <v>2073</v>
      </c>
      <c r="AQ90" s="23">
        <f t="shared" si="80"/>
        <v>16927</v>
      </c>
      <c r="AR90" s="20">
        <f t="shared" si="81"/>
        <v>1800</v>
      </c>
      <c r="AS90" s="20">
        <f t="shared" si="69"/>
        <v>75</v>
      </c>
      <c r="AT90" s="20">
        <f t="shared" si="70"/>
        <v>75</v>
      </c>
      <c r="AU90" s="20">
        <f t="shared" si="88"/>
        <v>618</v>
      </c>
      <c r="AV90" s="23">
        <f t="shared" si="84"/>
        <v>21568</v>
      </c>
      <c r="AW90" s="20"/>
      <c r="AX90" s="20">
        <f t="shared" si="44"/>
        <v>1800</v>
      </c>
      <c r="AY90" s="20">
        <f t="shared" si="71"/>
        <v>75</v>
      </c>
      <c r="AZ90" s="20">
        <f t="shared" si="72"/>
        <v>75</v>
      </c>
      <c r="BA90" s="20">
        <f t="shared" si="42"/>
        <v>618</v>
      </c>
      <c r="BB90" s="23">
        <f t="shared" si="85"/>
        <v>21567</v>
      </c>
    </row>
    <row r="91" spans="1:54" ht="15" customHeight="1" x14ac:dyDescent="0.25">
      <c r="A91" s="11">
        <f t="shared" si="74"/>
        <v>88</v>
      </c>
      <c r="B91" s="39" t="s">
        <v>239</v>
      </c>
      <c r="C91" s="13" t="s">
        <v>151</v>
      </c>
      <c r="D91" s="13">
        <v>31</v>
      </c>
      <c r="E91" s="41" t="s">
        <v>240</v>
      </c>
      <c r="F91" s="40" t="s">
        <v>122</v>
      </c>
      <c r="G91" s="16"/>
      <c r="H91" s="17"/>
      <c r="I91" s="18"/>
      <c r="J91" s="16"/>
      <c r="K91" s="19"/>
      <c r="L91" s="16"/>
      <c r="M91" s="19"/>
      <c r="N91" s="20"/>
      <c r="O91" s="20"/>
      <c r="P91" s="20"/>
      <c r="Q91" s="20"/>
      <c r="R91" s="20">
        <v>13650</v>
      </c>
      <c r="S91" s="20">
        <v>11622</v>
      </c>
      <c r="T91" s="20">
        <f t="shared" si="91"/>
        <v>581</v>
      </c>
      <c r="U91" s="20">
        <f t="shared" si="75"/>
        <v>1000</v>
      </c>
      <c r="V91" s="20">
        <f t="shared" si="76"/>
        <v>447</v>
      </c>
      <c r="W91" s="22">
        <f t="shared" si="77"/>
        <v>13650</v>
      </c>
      <c r="X91" s="20">
        <v>31</v>
      </c>
      <c r="Y91" s="20"/>
      <c r="Z91" s="20"/>
      <c r="AA91" s="20">
        <f t="shared" si="62"/>
        <v>31</v>
      </c>
      <c r="AB91" s="20">
        <f t="shared" si="63"/>
        <v>11622</v>
      </c>
      <c r="AC91" s="20">
        <f t="shared" si="64"/>
        <v>581</v>
      </c>
      <c r="AD91" s="20">
        <f t="shared" si="65"/>
        <v>1000</v>
      </c>
      <c r="AE91" s="20">
        <f t="shared" si="66"/>
        <v>447</v>
      </c>
      <c r="AF91" s="23">
        <f t="shared" si="67"/>
        <v>13650</v>
      </c>
      <c r="AG91" s="20"/>
      <c r="AH91" s="20"/>
      <c r="AI91" s="23">
        <f t="shared" si="78"/>
        <v>13650</v>
      </c>
      <c r="AJ91" s="20">
        <f t="shared" si="43"/>
        <v>1448</v>
      </c>
      <c r="AK91" s="20"/>
      <c r="AL91" s="20">
        <f t="shared" si="79"/>
        <v>103</v>
      </c>
      <c r="AM91" s="20">
        <f t="shared" si="68"/>
        <v>110</v>
      </c>
      <c r="AN91" s="20"/>
      <c r="AO91" s="20"/>
      <c r="AP91" s="20">
        <f t="shared" si="87"/>
        <v>1661</v>
      </c>
      <c r="AQ91" s="23">
        <f t="shared" si="80"/>
        <v>11989</v>
      </c>
      <c r="AR91" s="20">
        <f t="shared" si="81"/>
        <v>1448</v>
      </c>
      <c r="AS91" s="20">
        <f t="shared" si="69"/>
        <v>60</v>
      </c>
      <c r="AT91" s="20">
        <f t="shared" si="70"/>
        <v>60</v>
      </c>
      <c r="AU91" s="20">
        <f t="shared" si="88"/>
        <v>444</v>
      </c>
      <c r="AV91" s="23">
        <f t="shared" si="84"/>
        <v>15662</v>
      </c>
      <c r="AW91" s="20"/>
      <c r="AX91" s="20">
        <f t="shared" si="44"/>
        <v>1448</v>
      </c>
      <c r="AY91" s="20">
        <f t="shared" si="71"/>
        <v>60</v>
      </c>
      <c r="AZ91" s="20">
        <f t="shared" si="72"/>
        <v>60</v>
      </c>
      <c r="BA91" s="20">
        <f t="shared" ref="BA91:BA122" si="92">ROUNDUP(IF(W91&gt;21000,0,IF(W91&lt;=21000,(W91)*3.25%,0)),0)</f>
        <v>444</v>
      </c>
      <c r="BB91" s="23">
        <f t="shared" si="85"/>
        <v>15661</v>
      </c>
    </row>
    <row r="92" spans="1:54" ht="15" customHeight="1" x14ac:dyDescent="0.25">
      <c r="A92" s="11">
        <f t="shared" si="74"/>
        <v>89</v>
      </c>
      <c r="B92" s="39" t="s">
        <v>241</v>
      </c>
      <c r="C92" s="13" t="s">
        <v>151</v>
      </c>
      <c r="D92" s="13">
        <v>31</v>
      </c>
      <c r="E92" s="41" t="s">
        <v>242</v>
      </c>
      <c r="F92" s="40" t="s">
        <v>87</v>
      </c>
      <c r="G92" s="16"/>
      <c r="H92" s="17"/>
      <c r="I92" s="18"/>
      <c r="J92" s="16"/>
      <c r="K92" s="19"/>
      <c r="L92" s="16"/>
      <c r="M92" s="19"/>
      <c r="N92" s="20"/>
      <c r="O92" s="20"/>
      <c r="P92" s="20"/>
      <c r="Q92" s="20"/>
      <c r="R92" s="20">
        <v>19000</v>
      </c>
      <c r="S92" s="20">
        <v>11622</v>
      </c>
      <c r="T92" s="20">
        <f t="shared" si="91"/>
        <v>581</v>
      </c>
      <c r="U92" s="20">
        <f t="shared" si="75"/>
        <v>1000</v>
      </c>
      <c r="V92" s="20">
        <f t="shared" si="76"/>
        <v>5797</v>
      </c>
      <c r="W92" s="22">
        <f t="shared" si="77"/>
        <v>19000</v>
      </c>
      <c r="X92" s="20">
        <v>31</v>
      </c>
      <c r="Y92" s="20"/>
      <c r="Z92" s="20"/>
      <c r="AA92" s="20">
        <f t="shared" si="62"/>
        <v>31</v>
      </c>
      <c r="AB92" s="20">
        <f t="shared" si="63"/>
        <v>11622</v>
      </c>
      <c r="AC92" s="20">
        <f t="shared" si="64"/>
        <v>581</v>
      </c>
      <c r="AD92" s="20">
        <f t="shared" si="65"/>
        <v>1000</v>
      </c>
      <c r="AE92" s="20">
        <f t="shared" si="66"/>
        <v>5797</v>
      </c>
      <c r="AF92" s="23">
        <f t="shared" si="67"/>
        <v>19000</v>
      </c>
      <c r="AG92" s="20"/>
      <c r="AH92" s="20"/>
      <c r="AI92" s="23">
        <f t="shared" si="78"/>
        <v>19000</v>
      </c>
      <c r="AJ92" s="20">
        <f t="shared" si="43"/>
        <v>1800</v>
      </c>
      <c r="AK92" s="20"/>
      <c r="AL92" s="20">
        <f t="shared" si="79"/>
        <v>143</v>
      </c>
      <c r="AM92" s="20">
        <f t="shared" si="68"/>
        <v>130</v>
      </c>
      <c r="AN92" s="20"/>
      <c r="AO92" s="20"/>
      <c r="AP92" s="20">
        <f t="shared" si="87"/>
        <v>2073</v>
      </c>
      <c r="AQ92" s="23">
        <f t="shared" si="80"/>
        <v>16927</v>
      </c>
      <c r="AR92" s="20">
        <f t="shared" si="81"/>
        <v>1800</v>
      </c>
      <c r="AS92" s="20">
        <f t="shared" si="69"/>
        <v>75</v>
      </c>
      <c r="AT92" s="20">
        <f t="shared" si="70"/>
        <v>75</v>
      </c>
      <c r="AU92" s="20">
        <f t="shared" si="88"/>
        <v>618</v>
      </c>
      <c r="AV92" s="23">
        <f t="shared" si="84"/>
        <v>21568</v>
      </c>
      <c r="AW92" s="20"/>
      <c r="AX92" s="20">
        <f t="shared" si="44"/>
        <v>1800</v>
      </c>
      <c r="AY92" s="20">
        <f t="shared" si="71"/>
        <v>75</v>
      </c>
      <c r="AZ92" s="20">
        <f t="shared" si="72"/>
        <v>75</v>
      </c>
      <c r="BA92" s="20">
        <f t="shared" si="92"/>
        <v>618</v>
      </c>
      <c r="BB92" s="23">
        <f t="shared" si="85"/>
        <v>21567</v>
      </c>
    </row>
    <row r="93" spans="1:54" ht="15" customHeight="1" x14ac:dyDescent="0.25">
      <c r="A93" s="11">
        <f t="shared" si="74"/>
        <v>90</v>
      </c>
      <c r="B93" s="39" t="s">
        <v>243</v>
      </c>
      <c r="C93" s="13" t="s">
        <v>151</v>
      </c>
      <c r="D93" s="13">
        <v>31</v>
      </c>
      <c r="E93" s="41" t="s">
        <v>244</v>
      </c>
      <c r="F93" s="40" t="s">
        <v>135</v>
      </c>
      <c r="G93" s="16"/>
      <c r="H93" s="17"/>
      <c r="I93" s="18"/>
      <c r="J93" s="16"/>
      <c r="K93" s="19"/>
      <c r="L93" s="16"/>
      <c r="M93" s="19"/>
      <c r="N93" s="20"/>
      <c r="O93" s="20"/>
      <c r="P93" s="20"/>
      <c r="Q93" s="20"/>
      <c r="R93" s="20">
        <v>11800</v>
      </c>
      <c r="S93" s="20">
        <v>10556</v>
      </c>
      <c r="T93" s="20">
        <f t="shared" si="91"/>
        <v>528</v>
      </c>
      <c r="U93" s="20">
        <f>IF(R93&gt;20000,1600,IF(R93&lt;=20000,1000,0))-284</f>
        <v>716</v>
      </c>
      <c r="V93" s="20">
        <v>0</v>
      </c>
      <c r="W93" s="22">
        <f t="shared" si="77"/>
        <v>11800</v>
      </c>
      <c r="X93" s="20">
        <v>31</v>
      </c>
      <c r="Y93" s="20"/>
      <c r="Z93" s="20"/>
      <c r="AA93" s="20">
        <f t="shared" si="62"/>
        <v>31</v>
      </c>
      <c r="AB93" s="20">
        <f t="shared" si="63"/>
        <v>10556</v>
      </c>
      <c r="AC93" s="20">
        <f t="shared" si="64"/>
        <v>528</v>
      </c>
      <c r="AD93" s="20">
        <f t="shared" si="65"/>
        <v>716</v>
      </c>
      <c r="AE93" s="20">
        <f t="shared" si="66"/>
        <v>0</v>
      </c>
      <c r="AF93" s="23">
        <f t="shared" si="67"/>
        <v>11800</v>
      </c>
      <c r="AG93" s="20"/>
      <c r="AH93" s="20"/>
      <c r="AI93" s="23">
        <f t="shared" si="78"/>
        <v>11800</v>
      </c>
      <c r="AJ93" s="20">
        <f t="shared" ref="AJ93:AJ122" si="93">MIN(ROUND((AB93+AE93)*12%,0),1800)</f>
        <v>1267</v>
      </c>
      <c r="AK93" s="20"/>
      <c r="AL93" s="20">
        <f t="shared" si="79"/>
        <v>89</v>
      </c>
      <c r="AM93" s="20">
        <f t="shared" si="68"/>
        <v>110</v>
      </c>
      <c r="AN93" s="20"/>
      <c r="AO93" s="20"/>
      <c r="AP93" s="20">
        <f t="shared" si="87"/>
        <v>1466</v>
      </c>
      <c r="AQ93" s="23">
        <f t="shared" si="80"/>
        <v>10334</v>
      </c>
      <c r="AR93" s="20">
        <f t="shared" si="81"/>
        <v>1267</v>
      </c>
      <c r="AS93" s="20">
        <f t="shared" si="69"/>
        <v>53</v>
      </c>
      <c r="AT93" s="20">
        <f t="shared" si="70"/>
        <v>53</v>
      </c>
      <c r="AU93" s="20">
        <f t="shared" si="88"/>
        <v>384</v>
      </c>
      <c r="AV93" s="23">
        <f t="shared" si="84"/>
        <v>13557</v>
      </c>
      <c r="AW93" s="20"/>
      <c r="AX93" s="20">
        <f t="shared" ref="AX93:AX122" si="94">MIN(ROUND((S93+V93)*12%,0),1800)</f>
        <v>1267</v>
      </c>
      <c r="AY93" s="20">
        <f t="shared" si="71"/>
        <v>53</v>
      </c>
      <c r="AZ93" s="20">
        <f t="shared" si="72"/>
        <v>53</v>
      </c>
      <c r="BA93" s="20">
        <f t="shared" si="92"/>
        <v>384</v>
      </c>
      <c r="BB93" s="23">
        <f t="shared" si="85"/>
        <v>13556</v>
      </c>
    </row>
    <row r="94" spans="1:54" ht="15" customHeight="1" x14ac:dyDescent="0.25">
      <c r="A94" s="11">
        <f t="shared" si="74"/>
        <v>91</v>
      </c>
      <c r="B94" s="39" t="s">
        <v>245</v>
      </c>
      <c r="C94" s="13" t="s">
        <v>151</v>
      </c>
      <c r="D94" s="13">
        <v>31</v>
      </c>
      <c r="E94" s="41" t="s">
        <v>246</v>
      </c>
      <c r="F94" s="40" t="s">
        <v>122</v>
      </c>
      <c r="G94" s="16"/>
      <c r="H94" s="17"/>
      <c r="I94" s="18"/>
      <c r="J94" s="16"/>
      <c r="K94" s="19"/>
      <c r="L94" s="16"/>
      <c r="M94" s="19"/>
      <c r="N94" s="20"/>
      <c r="O94" s="20"/>
      <c r="P94" s="20"/>
      <c r="Q94" s="20"/>
      <c r="R94" s="20">
        <v>15750</v>
      </c>
      <c r="S94" s="20">
        <v>11622</v>
      </c>
      <c r="T94" s="20">
        <f t="shared" si="91"/>
        <v>581</v>
      </c>
      <c r="U94" s="20">
        <f t="shared" si="75"/>
        <v>1000</v>
      </c>
      <c r="V94" s="20">
        <f t="shared" si="76"/>
        <v>2547</v>
      </c>
      <c r="W94" s="22">
        <f t="shared" si="77"/>
        <v>15750</v>
      </c>
      <c r="X94" s="20">
        <v>31</v>
      </c>
      <c r="Y94" s="20"/>
      <c r="Z94" s="20"/>
      <c r="AA94" s="20">
        <f t="shared" si="62"/>
        <v>31</v>
      </c>
      <c r="AB94" s="20">
        <f t="shared" si="63"/>
        <v>11622</v>
      </c>
      <c r="AC94" s="20">
        <f t="shared" si="64"/>
        <v>581</v>
      </c>
      <c r="AD94" s="20">
        <f t="shared" si="65"/>
        <v>1000</v>
      </c>
      <c r="AE94" s="20">
        <f t="shared" si="66"/>
        <v>2547</v>
      </c>
      <c r="AF94" s="23">
        <f t="shared" si="67"/>
        <v>15750</v>
      </c>
      <c r="AG94" s="20"/>
      <c r="AH94" s="20"/>
      <c r="AI94" s="23">
        <f t="shared" si="78"/>
        <v>15750</v>
      </c>
      <c r="AJ94" s="20">
        <f t="shared" si="93"/>
        <v>1700</v>
      </c>
      <c r="AK94" s="20"/>
      <c r="AL94" s="20">
        <f t="shared" si="79"/>
        <v>119</v>
      </c>
      <c r="AM94" s="20">
        <f t="shared" si="68"/>
        <v>130</v>
      </c>
      <c r="AN94" s="20"/>
      <c r="AO94" s="20"/>
      <c r="AP94" s="20">
        <f t="shared" si="87"/>
        <v>1949</v>
      </c>
      <c r="AQ94" s="23">
        <f t="shared" si="80"/>
        <v>13801</v>
      </c>
      <c r="AR94" s="20">
        <f t="shared" si="81"/>
        <v>1700</v>
      </c>
      <c r="AS94" s="20">
        <f t="shared" si="69"/>
        <v>71</v>
      </c>
      <c r="AT94" s="20">
        <f t="shared" si="70"/>
        <v>71</v>
      </c>
      <c r="AU94" s="20">
        <f t="shared" si="88"/>
        <v>512</v>
      </c>
      <c r="AV94" s="23">
        <f t="shared" si="84"/>
        <v>18104</v>
      </c>
      <c r="AW94" s="20"/>
      <c r="AX94" s="20">
        <f t="shared" si="94"/>
        <v>1700</v>
      </c>
      <c r="AY94" s="20">
        <f t="shared" si="71"/>
        <v>71</v>
      </c>
      <c r="AZ94" s="20">
        <f t="shared" si="72"/>
        <v>71</v>
      </c>
      <c r="BA94" s="20">
        <f t="shared" si="92"/>
        <v>512</v>
      </c>
      <c r="BB94" s="23">
        <f t="shared" si="85"/>
        <v>18103</v>
      </c>
    </row>
    <row r="95" spans="1:54" ht="15" customHeight="1" x14ac:dyDescent="0.25">
      <c r="A95" s="11">
        <f t="shared" si="74"/>
        <v>92</v>
      </c>
      <c r="B95" s="39" t="s">
        <v>247</v>
      </c>
      <c r="C95" s="13" t="s">
        <v>151</v>
      </c>
      <c r="D95" s="13">
        <v>31</v>
      </c>
      <c r="E95" s="41" t="s">
        <v>248</v>
      </c>
      <c r="F95" s="40" t="s">
        <v>122</v>
      </c>
      <c r="G95" s="16"/>
      <c r="H95" s="17"/>
      <c r="I95" s="18"/>
      <c r="J95" s="16"/>
      <c r="K95" s="19"/>
      <c r="L95" s="16"/>
      <c r="M95" s="19"/>
      <c r="N95" s="20"/>
      <c r="O95" s="20"/>
      <c r="P95" s="20"/>
      <c r="Q95" s="20"/>
      <c r="R95" s="20">
        <v>13650</v>
      </c>
      <c r="S95" s="20">
        <v>11622</v>
      </c>
      <c r="T95" s="20">
        <f t="shared" si="91"/>
        <v>581</v>
      </c>
      <c r="U95" s="20">
        <f t="shared" si="75"/>
        <v>1000</v>
      </c>
      <c r="V95" s="20">
        <f t="shared" si="76"/>
        <v>447</v>
      </c>
      <c r="W95" s="22">
        <f t="shared" si="77"/>
        <v>13650</v>
      </c>
      <c r="X95" s="20">
        <v>31</v>
      </c>
      <c r="Y95" s="20"/>
      <c r="Z95" s="20"/>
      <c r="AA95" s="20">
        <f t="shared" si="62"/>
        <v>31</v>
      </c>
      <c r="AB95" s="20">
        <f t="shared" si="63"/>
        <v>11622</v>
      </c>
      <c r="AC95" s="20">
        <f t="shared" si="64"/>
        <v>581</v>
      </c>
      <c r="AD95" s="20">
        <f t="shared" si="65"/>
        <v>1000</v>
      </c>
      <c r="AE95" s="20">
        <f t="shared" si="66"/>
        <v>447</v>
      </c>
      <c r="AF95" s="23">
        <f t="shared" si="67"/>
        <v>13650</v>
      </c>
      <c r="AG95" s="20"/>
      <c r="AH95" s="20"/>
      <c r="AI95" s="23">
        <f t="shared" si="78"/>
        <v>13650</v>
      </c>
      <c r="AJ95" s="20">
        <f t="shared" si="93"/>
        <v>1448</v>
      </c>
      <c r="AK95" s="20"/>
      <c r="AL95" s="20">
        <f t="shared" si="79"/>
        <v>103</v>
      </c>
      <c r="AM95" s="20">
        <f t="shared" si="68"/>
        <v>110</v>
      </c>
      <c r="AN95" s="20"/>
      <c r="AO95" s="20"/>
      <c r="AP95" s="20">
        <f t="shared" si="87"/>
        <v>1661</v>
      </c>
      <c r="AQ95" s="23">
        <f t="shared" si="80"/>
        <v>11989</v>
      </c>
      <c r="AR95" s="20">
        <f t="shared" si="81"/>
        <v>1448</v>
      </c>
      <c r="AS95" s="20">
        <f t="shared" si="69"/>
        <v>60</v>
      </c>
      <c r="AT95" s="20">
        <f t="shared" si="70"/>
        <v>60</v>
      </c>
      <c r="AU95" s="20">
        <f t="shared" si="88"/>
        <v>444</v>
      </c>
      <c r="AV95" s="23">
        <f t="shared" si="84"/>
        <v>15662</v>
      </c>
      <c r="AW95" s="20"/>
      <c r="AX95" s="20">
        <f t="shared" si="94"/>
        <v>1448</v>
      </c>
      <c r="AY95" s="20">
        <f t="shared" si="71"/>
        <v>60</v>
      </c>
      <c r="AZ95" s="20">
        <f t="shared" si="72"/>
        <v>60</v>
      </c>
      <c r="BA95" s="20">
        <f t="shared" si="92"/>
        <v>444</v>
      </c>
      <c r="BB95" s="23">
        <f t="shared" si="85"/>
        <v>15661</v>
      </c>
    </row>
    <row r="96" spans="1:54" ht="15" customHeight="1" x14ac:dyDescent="0.25">
      <c r="A96" s="11">
        <f t="shared" si="74"/>
        <v>93</v>
      </c>
      <c r="B96" s="39" t="s">
        <v>249</v>
      </c>
      <c r="C96" s="13" t="s">
        <v>151</v>
      </c>
      <c r="D96" s="13">
        <v>31</v>
      </c>
      <c r="E96" s="41" t="s">
        <v>250</v>
      </c>
      <c r="F96" s="40" t="s">
        <v>87</v>
      </c>
      <c r="G96" s="16"/>
      <c r="H96" s="17"/>
      <c r="I96" s="18"/>
      <c r="J96" s="16"/>
      <c r="K96" s="19"/>
      <c r="L96" s="16"/>
      <c r="M96" s="19"/>
      <c r="N96" s="20"/>
      <c r="O96" s="20"/>
      <c r="P96" s="20"/>
      <c r="Q96" s="20"/>
      <c r="R96" s="20">
        <v>19000</v>
      </c>
      <c r="S96" s="20">
        <v>11622</v>
      </c>
      <c r="T96" s="20">
        <f t="shared" si="91"/>
        <v>581</v>
      </c>
      <c r="U96" s="20">
        <f t="shared" si="75"/>
        <v>1000</v>
      </c>
      <c r="V96" s="20">
        <f t="shared" si="76"/>
        <v>5797</v>
      </c>
      <c r="W96" s="22">
        <f t="shared" si="77"/>
        <v>19000</v>
      </c>
      <c r="X96" s="20">
        <v>31</v>
      </c>
      <c r="Y96" s="20"/>
      <c r="Z96" s="20"/>
      <c r="AA96" s="20">
        <f t="shared" si="62"/>
        <v>31</v>
      </c>
      <c r="AB96" s="20">
        <f t="shared" si="63"/>
        <v>11622</v>
      </c>
      <c r="AC96" s="20">
        <f t="shared" si="64"/>
        <v>581</v>
      </c>
      <c r="AD96" s="20">
        <f t="shared" si="65"/>
        <v>1000</v>
      </c>
      <c r="AE96" s="20">
        <f t="shared" si="66"/>
        <v>5797</v>
      </c>
      <c r="AF96" s="23">
        <f t="shared" si="67"/>
        <v>19000</v>
      </c>
      <c r="AG96" s="20"/>
      <c r="AH96" s="20"/>
      <c r="AI96" s="23">
        <f t="shared" si="78"/>
        <v>19000</v>
      </c>
      <c r="AJ96" s="20">
        <f t="shared" si="93"/>
        <v>1800</v>
      </c>
      <c r="AK96" s="20"/>
      <c r="AL96" s="20">
        <f t="shared" si="79"/>
        <v>143</v>
      </c>
      <c r="AM96" s="20">
        <f t="shared" si="68"/>
        <v>130</v>
      </c>
      <c r="AN96" s="20"/>
      <c r="AO96" s="20"/>
      <c r="AP96" s="20">
        <f t="shared" si="87"/>
        <v>2073</v>
      </c>
      <c r="AQ96" s="23">
        <f t="shared" si="80"/>
        <v>16927</v>
      </c>
      <c r="AR96" s="20">
        <f t="shared" si="81"/>
        <v>1800</v>
      </c>
      <c r="AS96" s="20">
        <f t="shared" si="69"/>
        <v>75</v>
      </c>
      <c r="AT96" s="20">
        <f t="shared" si="70"/>
        <v>75</v>
      </c>
      <c r="AU96" s="20">
        <f t="shared" si="88"/>
        <v>618</v>
      </c>
      <c r="AV96" s="23">
        <f t="shared" si="84"/>
        <v>21568</v>
      </c>
      <c r="AW96" s="20"/>
      <c r="AX96" s="20">
        <f t="shared" si="94"/>
        <v>1800</v>
      </c>
      <c r="AY96" s="20">
        <f t="shared" si="71"/>
        <v>75</v>
      </c>
      <c r="AZ96" s="20">
        <f t="shared" si="72"/>
        <v>75</v>
      </c>
      <c r="BA96" s="20">
        <f t="shared" si="92"/>
        <v>618</v>
      </c>
      <c r="BB96" s="23">
        <f t="shared" si="85"/>
        <v>21567</v>
      </c>
    </row>
    <row r="97" spans="1:54" ht="15" customHeight="1" x14ac:dyDescent="0.25">
      <c r="A97" s="11">
        <f t="shared" si="74"/>
        <v>94</v>
      </c>
      <c r="B97" s="39" t="s">
        <v>251</v>
      </c>
      <c r="C97" s="13" t="s">
        <v>151</v>
      </c>
      <c r="D97" s="13">
        <v>31</v>
      </c>
      <c r="E97" s="41" t="s">
        <v>252</v>
      </c>
      <c r="F97" s="40" t="s">
        <v>122</v>
      </c>
      <c r="G97" s="16"/>
      <c r="H97" s="17"/>
      <c r="I97" s="18"/>
      <c r="J97" s="16"/>
      <c r="K97" s="19"/>
      <c r="L97" s="16"/>
      <c r="M97" s="19"/>
      <c r="N97" s="20"/>
      <c r="O97" s="20"/>
      <c r="P97" s="20"/>
      <c r="Q97" s="20"/>
      <c r="R97" s="20">
        <v>12600</v>
      </c>
      <c r="S97" s="20">
        <v>11622</v>
      </c>
      <c r="T97" s="20">
        <f t="shared" si="91"/>
        <v>581</v>
      </c>
      <c r="U97" s="20">
        <v>0</v>
      </c>
      <c r="V97" s="20">
        <f t="shared" si="76"/>
        <v>397</v>
      </c>
      <c r="W97" s="22">
        <f t="shared" si="77"/>
        <v>12600</v>
      </c>
      <c r="X97" s="20">
        <v>31</v>
      </c>
      <c r="Y97" s="20"/>
      <c r="Z97" s="20"/>
      <c r="AA97" s="20">
        <f t="shared" si="62"/>
        <v>31</v>
      </c>
      <c r="AB97" s="20">
        <f t="shared" si="63"/>
        <v>11622</v>
      </c>
      <c r="AC97" s="20">
        <f t="shared" si="64"/>
        <v>581</v>
      </c>
      <c r="AD97" s="20">
        <f t="shared" si="65"/>
        <v>0</v>
      </c>
      <c r="AE97" s="20">
        <f t="shared" si="66"/>
        <v>397</v>
      </c>
      <c r="AF97" s="23">
        <f t="shared" si="67"/>
        <v>12600</v>
      </c>
      <c r="AG97" s="20"/>
      <c r="AH97" s="20"/>
      <c r="AI97" s="23">
        <f t="shared" si="78"/>
        <v>12600</v>
      </c>
      <c r="AJ97" s="20">
        <f t="shared" si="93"/>
        <v>1442</v>
      </c>
      <c r="AK97" s="20"/>
      <c r="AL97" s="20">
        <f t="shared" si="79"/>
        <v>95</v>
      </c>
      <c r="AM97" s="20">
        <f t="shared" si="68"/>
        <v>110</v>
      </c>
      <c r="AN97" s="20"/>
      <c r="AO97" s="20"/>
      <c r="AP97" s="20">
        <f t="shared" si="87"/>
        <v>1647</v>
      </c>
      <c r="AQ97" s="23">
        <f t="shared" si="80"/>
        <v>10953</v>
      </c>
      <c r="AR97" s="20">
        <f t="shared" si="81"/>
        <v>1442</v>
      </c>
      <c r="AS97" s="20">
        <f t="shared" si="69"/>
        <v>60</v>
      </c>
      <c r="AT97" s="20">
        <f t="shared" si="70"/>
        <v>60</v>
      </c>
      <c r="AU97" s="20">
        <f t="shared" si="88"/>
        <v>410</v>
      </c>
      <c r="AV97" s="23">
        <f t="shared" si="84"/>
        <v>14572</v>
      </c>
      <c r="AW97" s="20"/>
      <c r="AX97" s="20">
        <f t="shared" si="94"/>
        <v>1442</v>
      </c>
      <c r="AY97" s="20">
        <f t="shared" si="71"/>
        <v>60</v>
      </c>
      <c r="AZ97" s="20">
        <f t="shared" si="72"/>
        <v>60</v>
      </c>
      <c r="BA97" s="20">
        <f t="shared" si="92"/>
        <v>410</v>
      </c>
      <c r="BB97" s="23">
        <f t="shared" si="85"/>
        <v>14571</v>
      </c>
    </row>
    <row r="98" spans="1:54" ht="15" customHeight="1" x14ac:dyDescent="0.25">
      <c r="A98" s="11">
        <f t="shared" si="74"/>
        <v>95</v>
      </c>
      <c r="B98" s="39" t="s">
        <v>253</v>
      </c>
      <c r="C98" s="13" t="s">
        <v>151</v>
      </c>
      <c r="D98" s="13">
        <v>31</v>
      </c>
      <c r="E98" s="41" t="s">
        <v>254</v>
      </c>
      <c r="F98" s="40" t="s">
        <v>122</v>
      </c>
      <c r="G98" s="16"/>
      <c r="H98" s="17"/>
      <c r="I98" s="18"/>
      <c r="J98" s="16"/>
      <c r="K98" s="19"/>
      <c r="L98" s="16"/>
      <c r="M98" s="19"/>
      <c r="N98" s="20"/>
      <c r="O98" s="20"/>
      <c r="P98" s="20"/>
      <c r="Q98" s="20"/>
      <c r="R98" s="20">
        <v>18500</v>
      </c>
      <c r="S98" s="20">
        <v>11622</v>
      </c>
      <c r="T98" s="20">
        <f t="shared" si="91"/>
        <v>581</v>
      </c>
      <c r="U98" s="20">
        <f t="shared" si="75"/>
        <v>1000</v>
      </c>
      <c r="V98" s="20">
        <f t="shared" si="76"/>
        <v>5297</v>
      </c>
      <c r="W98" s="22">
        <f t="shared" si="77"/>
        <v>18500</v>
      </c>
      <c r="X98" s="20">
        <v>31</v>
      </c>
      <c r="Y98" s="20"/>
      <c r="Z98" s="20"/>
      <c r="AA98" s="20">
        <f t="shared" si="62"/>
        <v>31</v>
      </c>
      <c r="AB98" s="20">
        <f t="shared" si="63"/>
        <v>11622</v>
      </c>
      <c r="AC98" s="20">
        <f t="shared" si="64"/>
        <v>581</v>
      </c>
      <c r="AD98" s="20">
        <f t="shared" si="65"/>
        <v>1000</v>
      </c>
      <c r="AE98" s="20">
        <f t="shared" si="66"/>
        <v>5297</v>
      </c>
      <c r="AF98" s="23">
        <f t="shared" si="67"/>
        <v>18500</v>
      </c>
      <c r="AG98" s="20"/>
      <c r="AH98" s="20"/>
      <c r="AI98" s="23">
        <f t="shared" si="78"/>
        <v>18500</v>
      </c>
      <c r="AJ98" s="20">
        <f t="shared" si="93"/>
        <v>1800</v>
      </c>
      <c r="AK98" s="20"/>
      <c r="AL98" s="20">
        <f t="shared" si="79"/>
        <v>139</v>
      </c>
      <c r="AM98" s="20">
        <f t="shared" si="68"/>
        <v>130</v>
      </c>
      <c r="AN98" s="20"/>
      <c r="AO98" s="20"/>
      <c r="AP98" s="20">
        <f t="shared" si="87"/>
        <v>2069</v>
      </c>
      <c r="AQ98" s="23">
        <f t="shared" si="80"/>
        <v>16431</v>
      </c>
      <c r="AR98" s="20">
        <f t="shared" si="81"/>
        <v>1800</v>
      </c>
      <c r="AS98" s="20">
        <f t="shared" si="69"/>
        <v>75</v>
      </c>
      <c r="AT98" s="20">
        <f t="shared" si="70"/>
        <v>75</v>
      </c>
      <c r="AU98" s="20">
        <f t="shared" si="88"/>
        <v>602</v>
      </c>
      <c r="AV98" s="23">
        <f t="shared" si="84"/>
        <v>21052</v>
      </c>
      <c r="AW98" s="20"/>
      <c r="AX98" s="20">
        <f t="shared" si="94"/>
        <v>1800</v>
      </c>
      <c r="AY98" s="20">
        <f t="shared" si="71"/>
        <v>75</v>
      </c>
      <c r="AZ98" s="20">
        <f t="shared" si="72"/>
        <v>75</v>
      </c>
      <c r="BA98" s="20">
        <f t="shared" si="92"/>
        <v>602</v>
      </c>
      <c r="BB98" s="23">
        <f t="shared" si="85"/>
        <v>21051</v>
      </c>
    </row>
    <row r="99" spans="1:54" ht="15" customHeight="1" x14ac:dyDescent="0.25">
      <c r="A99" s="11">
        <f t="shared" si="74"/>
        <v>96</v>
      </c>
      <c r="B99" s="19" t="s">
        <v>255</v>
      </c>
      <c r="C99" s="13" t="s">
        <v>256</v>
      </c>
      <c r="D99" s="13">
        <v>31</v>
      </c>
      <c r="E99" s="41" t="s">
        <v>257</v>
      </c>
      <c r="F99" s="40" t="s">
        <v>84</v>
      </c>
      <c r="G99" s="16"/>
      <c r="H99" s="17"/>
      <c r="I99" s="18"/>
      <c r="J99" s="16"/>
      <c r="K99" s="19"/>
      <c r="L99" s="16"/>
      <c r="M99" s="19"/>
      <c r="N99" s="20"/>
      <c r="O99" s="20"/>
      <c r="P99" s="20"/>
      <c r="Q99" s="20"/>
      <c r="R99" s="20">
        <v>20000</v>
      </c>
      <c r="S99" s="20">
        <v>11622</v>
      </c>
      <c r="T99" s="20">
        <f t="shared" ref="T99:T100" si="95">ROUND(S99*50%,0)</f>
        <v>5811</v>
      </c>
      <c r="U99" s="20">
        <f t="shared" si="75"/>
        <v>1000</v>
      </c>
      <c r="V99" s="20">
        <f t="shared" si="76"/>
        <v>1567</v>
      </c>
      <c r="W99" s="22">
        <f t="shared" si="77"/>
        <v>20000</v>
      </c>
      <c r="X99" s="20">
        <v>31</v>
      </c>
      <c r="Y99" s="20"/>
      <c r="Z99" s="20"/>
      <c r="AA99" s="20">
        <f t="shared" si="62"/>
        <v>31</v>
      </c>
      <c r="AB99" s="20">
        <f t="shared" si="63"/>
        <v>11622</v>
      </c>
      <c r="AC99" s="20">
        <f t="shared" si="64"/>
        <v>5811</v>
      </c>
      <c r="AD99" s="20">
        <f t="shared" si="65"/>
        <v>1000</v>
      </c>
      <c r="AE99" s="20">
        <f t="shared" si="66"/>
        <v>1567</v>
      </c>
      <c r="AF99" s="23">
        <f t="shared" si="67"/>
        <v>20000</v>
      </c>
      <c r="AG99" s="20"/>
      <c r="AH99" s="20"/>
      <c r="AI99" s="23">
        <f t="shared" si="78"/>
        <v>20000</v>
      </c>
      <c r="AJ99" s="20">
        <f t="shared" si="93"/>
        <v>1583</v>
      </c>
      <c r="AK99" s="20"/>
      <c r="AL99" s="20">
        <f t="shared" si="79"/>
        <v>150</v>
      </c>
      <c r="AM99" s="20">
        <f t="shared" si="68"/>
        <v>130</v>
      </c>
      <c r="AN99" s="20"/>
      <c r="AO99" s="20"/>
      <c r="AP99" s="20">
        <f t="shared" si="87"/>
        <v>1863</v>
      </c>
      <c r="AQ99" s="23">
        <f t="shared" si="80"/>
        <v>18137</v>
      </c>
      <c r="AR99" s="20">
        <f t="shared" si="81"/>
        <v>1583</v>
      </c>
      <c r="AS99" s="20">
        <f t="shared" si="69"/>
        <v>66</v>
      </c>
      <c r="AT99" s="20">
        <f t="shared" si="70"/>
        <v>66</v>
      </c>
      <c r="AU99" s="20">
        <f t="shared" si="88"/>
        <v>650</v>
      </c>
      <c r="AV99" s="23">
        <f t="shared" si="84"/>
        <v>22365</v>
      </c>
      <c r="AW99" s="20"/>
      <c r="AX99" s="20">
        <f t="shared" si="94"/>
        <v>1583</v>
      </c>
      <c r="AY99" s="20">
        <f t="shared" si="71"/>
        <v>66</v>
      </c>
      <c r="AZ99" s="20">
        <f t="shared" si="72"/>
        <v>66</v>
      </c>
      <c r="BA99" s="20">
        <f t="shared" si="92"/>
        <v>650</v>
      </c>
      <c r="BB99" s="23">
        <f t="shared" si="85"/>
        <v>22364</v>
      </c>
    </row>
    <row r="100" spans="1:54" ht="15" customHeight="1" x14ac:dyDescent="0.25">
      <c r="A100" s="11">
        <f t="shared" si="74"/>
        <v>97</v>
      </c>
      <c r="B100" s="19" t="s">
        <v>258</v>
      </c>
      <c r="C100" s="13" t="s">
        <v>256</v>
      </c>
      <c r="D100" s="13">
        <v>31</v>
      </c>
      <c r="E100" s="41" t="s">
        <v>259</v>
      </c>
      <c r="F100" s="40" t="s">
        <v>84</v>
      </c>
      <c r="G100" s="16"/>
      <c r="H100" s="17"/>
      <c r="I100" s="18"/>
      <c r="J100" s="16"/>
      <c r="K100" s="19"/>
      <c r="L100" s="16"/>
      <c r="M100" s="19"/>
      <c r="N100" s="20"/>
      <c r="O100" s="20"/>
      <c r="P100" s="20"/>
      <c r="Q100" s="20"/>
      <c r="R100" s="20">
        <v>21000</v>
      </c>
      <c r="S100" s="20">
        <v>11622</v>
      </c>
      <c r="T100" s="20">
        <f t="shared" si="95"/>
        <v>5811</v>
      </c>
      <c r="U100" s="20">
        <f t="shared" si="75"/>
        <v>1600</v>
      </c>
      <c r="V100" s="20">
        <f t="shared" si="76"/>
        <v>1967</v>
      </c>
      <c r="W100" s="22">
        <f t="shared" si="77"/>
        <v>21000</v>
      </c>
      <c r="X100" s="20">
        <v>31</v>
      </c>
      <c r="Y100" s="20"/>
      <c r="Z100" s="20"/>
      <c r="AA100" s="20">
        <f t="shared" si="62"/>
        <v>31</v>
      </c>
      <c r="AB100" s="20">
        <f t="shared" si="63"/>
        <v>11622</v>
      </c>
      <c r="AC100" s="20">
        <f t="shared" si="64"/>
        <v>5811</v>
      </c>
      <c r="AD100" s="20">
        <f t="shared" si="65"/>
        <v>1600</v>
      </c>
      <c r="AE100" s="20">
        <f t="shared" si="66"/>
        <v>1967</v>
      </c>
      <c r="AF100" s="23">
        <f t="shared" si="67"/>
        <v>21000</v>
      </c>
      <c r="AG100" s="20"/>
      <c r="AH100" s="20"/>
      <c r="AI100" s="23">
        <f t="shared" si="78"/>
        <v>21000</v>
      </c>
      <c r="AJ100" s="20">
        <f t="shared" si="93"/>
        <v>1631</v>
      </c>
      <c r="AK100" s="20"/>
      <c r="AL100" s="20">
        <f t="shared" si="79"/>
        <v>158</v>
      </c>
      <c r="AM100" s="20">
        <f t="shared" ref="AM100:AM107" si="96">IF(AI100&lt;10001,0,IF(AI100&lt;15001,110,IF(AI100&lt;25001,130,IF(AI100&lt;=40000,150,IF(AI100&gt;40000,200,0)))))</f>
        <v>130</v>
      </c>
      <c r="AN100" s="20"/>
      <c r="AO100" s="20"/>
      <c r="AP100" s="20">
        <f t="shared" si="87"/>
        <v>1919</v>
      </c>
      <c r="AQ100" s="23">
        <f t="shared" si="80"/>
        <v>19081</v>
      </c>
      <c r="AR100" s="20">
        <f t="shared" si="81"/>
        <v>1631</v>
      </c>
      <c r="AS100" s="20">
        <f t="shared" si="69"/>
        <v>68</v>
      </c>
      <c r="AT100" s="20">
        <f t="shared" si="70"/>
        <v>68</v>
      </c>
      <c r="AU100" s="20">
        <f t="shared" si="88"/>
        <v>683</v>
      </c>
      <c r="AV100" s="23">
        <f t="shared" si="84"/>
        <v>23450</v>
      </c>
      <c r="AW100" s="20"/>
      <c r="AX100" s="20">
        <f t="shared" si="94"/>
        <v>1631</v>
      </c>
      <c r="AY100" s="20">
        <f t="shared" si="71"/>
        <v>68</v>
      </c>
      <c r="AZ100" s="20">
        <f t="shared" si="72"/>
        <v>68</v>
      </c>
      <c r="BA100" s="20">
        <f t="shared" si="92"/>
        <v>683</v>
      </c>
      <c r="BB100" s="23">
        <f t="shared" si="85"/>
        <v>23449</v>
      </c>
    </row>
    <row r="101" spans="1:54" ht="15" customHeight="1" x14ac:dyDescent="0.25">
      <c r="A101" s="11">
        <f t="shared" si="74"/>
        <v>98</v>
      </c>
      <c r="B101" s="19" t="s">
        <v>260</v>
      </c>
      <c r="C101" s="13" t="s">
        <v>256</v>
      </c>
      <c r="D101" s="13">
        <v>31</v>
      </c>
      <c r="E101" s="41" t="s">
        <v>261</v>
      </c>
      <c r="F101" s="40" t="s">
        <v>84</v>
      </c>
      <c r="G101" s="16"/>
      <c r="H101" s="17"/>
      <c r="I101" s="18"/>
      <c r="J101" s="16"/>
      <c r="K101" s="19"/>
      <c r="L101" s="16"/>
      <c r="M101" s="19"/>
      <c r="N101" s="20"/>
      <c r="O101" s="20"/>
      <c r="P101" s="20"/>
      <c r="Q101" s="20"/>
      <c r="R101" s="20">
        <v>17000</v>
      </c>
      <c r="S101" s="20">
        <v>11622</v>
      </c>
      <c r="T101" s="20">
        <f t="shared" ref="T101" si="97">ROUND(S101*5%,0)</f>
        <v>581</v>
      </c>
      <c r="U101" s="20">
        <f t="shared" si="75"/>
        <v>1000</v>
      </c>
      <c r="V101" s="20">
        <f t="shared" si="76"/>
        <v>3797</v>
      </c>
      <c r="W101" s="22">
        <f t="shared" si="77"/>
        <v>17000</v>
      </c>
      <c r="X101" s="20">
        <v>31</v>
      </c>
      <c r="Y101" s="20"/>
      <c r="Z101" s="20"/>
      <c r="AA101" s="20">
        <f t="shared" si="62"/>
        <v>31</v>
      </c>
      <c r="AB101" s="20">
        <f t="shared" si="63"/>
        <v>11622</v>
      </c>
      <c r="AC101" s="20">
        <f t="shared" si="64"/>
        <v>581</v>
      </c>
      <c r="AD101" s="20">
        <f t="shared" si="65"/>
        <v>1000</v>
      </c>
      <c r="AE101" s="20">
        <f t="shared" si="66"/>
        <v>3797</v>
      </c>
      <c r="AF101" s="23">
        <f t="shared" si="67"/>
        <v>17000</v>
      </c>
      <c r="AG101" s="20"/>
      <c r="AH101" s="20"/>
      <c r="AI101" s="23">
        <f t="shared" si="78"/>
        <v>17000</v>
      </c>
      <c r="AJ101" s="20">
        <f t="shared" si="93"/>
        <v>1800</v>
      </c>
      <c r="AK101" s="20"/>
      <c r="AL101" s="20">
        <f t="shared" si="79"/>
        <v>128</v>
      </c>
      <c r="AM101" s="20">
        <f t="shared" si="96"/>
        <v>130</v>
      </c>
      <c r="AN101" s="20"/>
      <c r="AO101" s="20"/>
      <c r="AP101" s="20">
        <f t="shared" si="87"/>
        <v>2058</v>
      </c>
      <c r="AQ101" s="23">
        <f t="shared" si="80"/>
        <v>14942</v>
      </c>
      <c r="AR101" s="20">
        <f t="shared" si="81"/>
        <v>1800</v>
      </c>
      <c r="AS101" s="20">
        <f t="shared" si="69"/>
        <v>75</v>
      </c>
      <c r="AT101" s="20">
        <f t="shared" si="70"/>
        <v>75</v>
      </c>
      <c r="AU101" s="20">
        <f t="shared" si="88"/>
        <v>553</v>
      </c>
      <c r="AV101" s="23">
        <f t="shared" si="84"/>
        <v>19503</v>
      </c>
      <c r="AW101" s="20"/>
      <c r="AX101" s="20">
        <f t="shared" si="94"/>
        <v>1800</v>
      </c>
      <c r="AY101" s="20">
        <f t="shared" si="71"/>
        <v>75</v>
      </c>
      <c r="AZ101" s="20">
        <f t="shared" si="72"/>
        <v>75</v>
      </c>
      <c r="BA101" s="20">
        <f t="shared" si="92"/>
        <v>553</v>
      </c>
      <c r="BB101" s="23">
        <f t="shared" si="85"/>
        <v>19502</v>
      </c>
    </row>
    <row r="102" spans="1:54" ht="15" customHeight="1" x14ac:dyDescent="0.25">
      <c r="A102" s="11">
        <f t="shared" si="74"/>
        <v>99</v>
      </c>
      <c r="B102" s="19" t="s">
        <v>262</v>
      </c>
      <c r="C102" s="13" t="s">
        <v>256</v>
      </c>
      <c r="D102" s="13">
        <v>31</v>
      </c>
      <c r="E102" s="41" t="s">
        <v>263</v>
      </c>
      <c r="F102" s="40" t="s">
        <v>84</v>
      </c>
      <c r="G102" s="16"/>
      <c r="H102" s="17"/>
      <c r="I102" s="18"/>
      <c r="J102" s="16"/>
      <c r="K102" s="19"/>
      <c r="L102" s="16"/>
      <c r="M102" s="19"/>
      <c r="N102" s="20"/>
      <c r="O102" s="20"/>
      <c r="P102" s="20"/>
      <c r="Q102" s="20"/>
      <c r="R102" s="20">
        <v>36500</v>
      </c>
      <c r="S102" s="20">
        <f t="shared" ref="S102:T103" si="98">ROUND(R102*50%,0)</f>
        <v>18250</v>
      </c>
      <c r="T102" s="20">
        <f t="shared" si="98"/>
        <v>9125</v>
      </c>
      <c r="U102" s="20">
        <f t="shared" si="75"/>
        <v>1600</v>
      </c>
      <c r="V102" s="20">
        <f t="shared" si="76"/>
        <v>7525</v>
      </c>
      <c r="W102" s="22">
        <f t="shared" si="77"/>
        <v>36500</v>
      </c>
      <c r="X102" s="20">
        <v>31</v>
      </c>
      <c r="Y102" s="20"/>
      <c r="Z102" s="20"/>
      <c r="AA102" s="20">
        <f t="shared" si="62"/>
        <v>31</v>
      </c>
      <c r="AB102" s="20">
        <f t="shared" si="63"/>
        <v>18250</v>
      </c>
      <c r="AC102" s="20">
        <f t="shared" si="64"/>
        <v>9125</v>
      </c>
      <c r="AD102" s="20">
        <f t="shared" si="65"/>
        <v>1600</v>
      </c>
      <c r="AE102" s="20">
        <f t="shared" si="66"/>
        <v>7525</v>
      </c>
      <c r="AF102" s="23">
        <f t="shared" si="67"/>
        <v>36500</v>
      </c>
      <c r="AG102" s="20"/>
      <c r="AH102" s="20"/>
      <c r="AI102" s="23">
        <f t="shared" si="78"/>
        <v>36500</v>
      </c>
      <c r="AJ102" s="20">
        <f t="shared" si="93"/>
        <v>1800</v>
      </c>
      <c r="AK102" s="20"/>
      <c r="AL102" s="20">
        <f t="shared" si="79"/>
        <v>0</v>
      </c>
      <c r="AM102" s="20">
        <f t="shared" si="96"/>
        <v>150</v>
      </c>
      <c r="AN102" s="20"/>
      <c r="AO102" s="20"/>
      <c r="AP102" s="20">
        <f t="shared" si="87"/>
        <v>1950</v>
      </c>
      <c r="AQ102" s="23">
        <f t="shared" si="80"/>
        <v>34550</v>
      </c>
      <c r="AR102" s="20">
        <f t="shared" si="81"/>
        <v>1800</v>
      </c>
      <c r="AS102" s="20">
        <f t="shared" si="69"/>
        <v>75</v>
      </c>
      <c r="AT102" s="20">
        <f t="shared" si="70"/>
        <v>75</v>
      </c>
      <c r="AU102" s="20">
        <f t="shared" si="88"/>
        <v>0</v>
      </c>
      <c r="AV102" s="23">
        <f t="shared" si="84"/>
        <v>38450</v>
      </c>
      <c r="AW102" s="20"/>
      <c r="AX102" s="20">
        <f t="shared" si="94"/>
        <v>1800</v>
      </c>
      <c r="AY102" s="20">
        <f t="shared" si="71"/>
        <v>75</v>
      </c>
      <c r="AZ102" s="20">
        <f t="shared" si="72"/>
        <v>75</v>
      </c>
      <c r="BA102" s="20">
        <f t="shared" si="92"/>
        <v>0</v>
      </c>
      <c r="BB102" s="23">
        <f t="shared" si="85"/>
        <v>38449</v>
      </c>
    </row>
    <row r="103" spans="1:54" ht="15" customHeight="1" x14ac:dyDescent="0.25">
      <c r="A103" s="11">
        <f t="shared" si="74"/>
        <v>100</v>
      </c>
      <c r="B103" s="19" t="s">
        <v>264</v>
      </c>
      <c r="C103" s="13" t="s">
        <v>256</v>
      </c>
      <c r="D103" s="13">
        <v>31</v>
      </c>
      <c r="E103" s="41" t="s">
        <v>265</v>
      </c>
      <c r="F103" s="40" t="s">
        <v>122</v>
      </c>
      <c r="G103" s="16"/>
      <c r="H103" s="17"/>
      <c r="I103" s="18"/>
      <c r="J103" s="16"/>
      <c r="K103" s="19"/>
      <c r="L103" s="16"/>
      <c r="M103" s="19"/>
      <c r="N103" s="20"/>
      <c r="O103" s="20"/>
      <c r="P103" s="20"/>
      <c r="Q103" s="20"/>
      <c r="R103" s="20">
        <v>23000</v>
      </c>
      <c r="S103" s="20">
        <v>11622</v>
      </c>
      <c r="T103" s="20">
        <f t="shared" si="98"/>
        <v>5811</v>
      </c>
      <c r="U103" s="20">
        <f t="shared" si="75"/>
        <v>1600</v>
      </c>
      <c r="V103" s="20">
        <f t="shared" si="76"/>
        <v>3967</v>
      </c>
      <c r="W103" s="22">
        <f t="shared" si="77"/>
        <v>23000</v>
      </c>
      <c r="X103" s="20">
        <v>31</v>
      </c>
      <c r="Y103" s="20"/>
      <c r="Z103" s="20"/>
      <c r="AA103" s="20">
        <f t="shared" si="62"/>
        <v>31</v>
      </c>
      <c r="AB103" s="20">
        <f t="shared" si="63"/>
        <v>11622</v>
      </c>
      <c r="AC103" s="20">
        <f t="shared" si="64"/>
        <v>5811</v>
      </c>
      <c r="AD103" s="20">
        <f t="shared" si="65"/>
        <v>1600</v>
      </c>
      <c r="AE103" s="20">
        <f t="shared" si="66"/>
        <v>3967</v>
      </c>
      <c r="AF103" s="23">
        <f t="shared" si="67"/>
        <v>23000</v>
      </c>
      <c r="AG103" s="20"/>
      <c r="AH103" s="20"/>
      <c r="AI103" s="23">
        <f t="shared" si="78"/>
        <v>23000</v>
      </c>
      <c r="AJ103" s="20">
        <f t="shared" si="93"/>
        <v>1800</v>
      </c>
      <c r="AK103" s="20"/>
      <c r="AL103" s="20">
        <f t="shared" si="79"/>
        <v>0</v>
      </c>
      <c r="AM103" s="20">
        <f t="shared" si="96"/>
        <v>130</v>
      </c>
      <c r="AN103" s="20"/>
      <c r="AO103" s="20"/>
      <c r="AP103" s="20">
        <f t="shared" si="87"/>
        <v>1930</v>
      </c>
      <c r="AQ103" s="23">
        <f t="shared" si="80"/>
        <v>21070</v>
      </c>
      <c r="AR103" s="20">
        <f t="shared" si="81"/>
        <v>1800</v>
      </c>
      <c r="AS103" s="20">
        <f t="shared" si="69"/>
        <v>75</v>
      </c>
      <c r="AT103" s="20">
        <f t="shared" si="70"/>
        <v>75</v>
      </c>
      <c r="AU103" s="20">
        <f t="shared" si="88"/>
        <v>0</v>
      </c>
      <c r="AV103" s="23">
        <f t="shared" si="84"/>
        <v>24950</v>
      </c>
      <c r="AW103" s="20"/>
      <c r="AX103" s="20">
        <f t="shared" si="94"/>
        <v>1800</v>
      </c>
      <c r="AY103" s="20">
        <f t="shared" si="71"/>
        <v>75</v>
      </c>
      <c r="AZ103" s="20">
        <f t="shared" si="72"/>
        <v>75</v>
      </c>
      <c r="BA103" s="20">
        <f t="shared" si="92"/>
        <v>0</v>
      </c>
      <c r="BB103" s="23">
        <f t="shared" si="85"/>
        <v>24949</v>
      </c>
    </row>
    <row r="104" spans="1:54" ht="15" customHeight="1" x14ac:dyDescent="0.25">
      <c r="A104" s="11">
        <f t="shared" si="74"/>
        <v>101</v>
      </c>
      <c r="B104" s="19" t="s">
        <v>266</v>
      </c>
      <c r="C104" s="13" t="s">
        <v>256</v>
      </c>
      <c r="D104" s="13">
        <v>31</v>
      </c>
      <c r="E104" s="41" t="s">
        <v>267</v>
      </c>
      <c r="F104" s="40" t="s">
        <v>122</v>
      </c>
      <c r="G104" s="16"/>
      <c r="H104" s="17"/>
      <c r="I104" s="18"/>
      <c r="J104" s="16"/>
      <c r="K104" s="19"/>
      <c r="L104" s="16"/>
      <c r="M104" s="19"/>
      <c r="N104" s="20"/>
      <c r="O104" s="20"/>
      <c r="P104" s="20"/>
      <c r="Q104" s="20"/>
      <c r="R104" s="20">
        <v>19000</v>
      </c>
      <c r="S104" s="20">
        <v>11622</v>
      </c>
      <c r="T104" s="20">
        <f t="shared" ref="T104" si="99">ROUND(S104*5%,0)</f>
        <v>581</v>
      </c>
      <c r="U104" s="20">
        <f t="shared" si="75"/>
        <v>1000</v>
      </c>
      <c r="V104" s="20">
        <f t="shared" si="76"/>
        <v>5797</v>
      </c>
      <c r="W104" s="22">
        <f t="shared" si="77"/>
        <v>19000</v>
      </c>
      <c r="X104" s="20">
        <v>31</v>
      </c>
      <c r="Y104" s="20"/>
      <c r="Z104" s="20"/>
      <c r="AA104" s="20">
        <f t="shared" si="62"/>
        <v>31</v>
      </c>
      <c r="AB104" s="20">
        <f t="shared" si="63"/>
        <v>11622</v>
      </c>
      <c r="AC104" s="20">
        <f t="shared" si="64"/>
        <v>581</v>
      </c>
      <c r="AD104" s="20">
        <f t="shared" si="65"/>
        <v>1000</v>
      </c>
      <c r="AE104" s="20">
        <f t="shared" si="66"/>
        <v>5797</v>
      </c>
      <c r="AF104" s="23">
        <f t="shared" si="67"/>
        <v>19000</v>
      </c>
      <c r="AG104" s="20"/>
      <c r="AH104" s="20"/>
      <c r="AI104" s="23">
        <f t="shared" si="78"/>
        <v>19000</v>
      </c>
      <c r="AJ104" s="20">
        <f t="shared" si="93"/>
        <v>1800</v>
      </c>
      <c r="AK104" s="20"/>
      <c r="AL104" s="20">
        <f t="shared" si="79"/>
        <v>143</v>
      </c>
      <c r="AM104" s="20">
        <f t="shared" si="96"/>
        <v>130</v>
      </c>
      <c r="AN104" s="20"/>
      <c r="AO104" s="20"/>
      <c r="AP104" s="20">
        <f t="shared" si="87"/>
        <v>2073</v>
      </c>
      <c r="AQ104" s="23">
        <f t="shared" si="80"/>
        <v>16927</v>
      </c>
      <c r="AR104" s="20">
        <f t="shared" si="81"/>
        <v>1800</v>
      </c>
      <c r="AS104" s="20">
        <f t="shared" si="69"/>
        <v>75</v>
      </c>
      <c r="AT104" s="20">
        <f t="shared" si="70"/>
        <v>75</v>
      </c>
      <c r="AU104" s="20">
        <f t="shared" si="88"/>
        <v>618</v>
      </c>
      <c r="AV104" s="23">
        <f t="shared" si="84"/>
        <v>21568</v>
      </c>
      <c r="AW104" s="20"/>
      <c r="AX104" s="20">
        <f t="shared" si="94"/>
        <v>1800</v>
      </c>
      <c r="AY104" s="20">
        <f t="shared" si="71"/>
        <v>75</v>
      </c>
      <c r="AZ104" s="20">
        <f t="shared" si="72"/>
        <v>75</v>
      </c>
      <c r="BA104" s="20">
        <f t="shared" si="92"/>
        <v>618</v>
      </c>
      <c r="BB104" s="23">
        <f t="shared" si="85"/>
        <v>21567</v>
      </c>
    </row>
    <row r="105" spans="1:54" ht="15" customHeight="1" x14ac:dyDescent="0.25">
      <c r="A105" s="11">
        <f t="shared" si="74"/>
        <v>102</v>
      </c>
      <c r="B105" s="19" t="s">
        <v>268</v>
      </c>
      <c r="C105" s="13" t="s">
        <v>256</v>
      </c>
      <c r="D105" s="13">
        <v>31</v>
      </c>
      <c r="E105" s="41" t="s">
        <v>269</v>
      </c>
      <c r="F105" s="40" t="s">
        <v>87</v>
      </c>
      <c r="G105" s="16"/>
      <c r="H105" s="17"/>
      <c r="I105" s="18"/>
      <c r="J105" s="16"/>
      <c r="K105" s="19"/>
      <c r="L105" s="16"/>
      <c r="M105" s="19"/>
      <c r="N105" s="20"/>
      <c r="O105" s="20"/>
      <c r="P105" s="20"/>
      <c r="Q105" s="20"/>
      <c r="R105" s="20">
        <v>23400</v>
      </c>
      <c r="S105" s="20">
        <f t="shared" ref="S105:T105" si="100">ROUND(R105*50%,0)</f>
        <v>11700</v>
      </c>
      <c r="T105" s="20">
        <f t="shared" si="100"/>
        <v>5850</v>
      </c>
      <c r="U105" s="20">
        <f t="shared" si="75"/>
        <v>1600</v>
      </c>
      <c r="V105" s="20">
        <f t="shared" si="76"/>
        <v>4250</v>
      </c>
      <c r="W105" s="22">
        <f t="shared" si="77"/>
        <v>23400</v>
      </c>
      <c r="X105" s="20">
        <v>31</v>
      </c>
      <c r="Y105" s="20"/>
      <c r="Z105" s="20"/>
      <c r="AA105" s="20">
        <f t="shared" si="62"/>
        <v>31</v>
      </c>
      <c r="AB105" s="20">
        <f t="shared" si="63"/>
        <v>11700</v>
      </c>
      <c r="AC105" s="20">
        <f t="shared" si="64"/>
        <v>5850</v>
      </c>
      <c r="AD105" s="20">
        <f t="shared" si="65"/>
        <v>1600</v>
      </c>
      <c r="AE105" s="20">
        <f t="shared" si="66"/>
        <v>4250</v>
      </c>
      <c r="AF105" s="23">
        <f t="shared" si="67"/>
        <v>23400</v>
      </c>
      <c r="AG105" s="20"/>
      <c r="AH105" s="20"/>
      <c r="AI105" s="23">
        <f t="shared" si="78"/>
        <v>23400</v>
      </c>
      <c r="AJ105" s="20">
        <f t="shared" si="93"/>
        <v>1800</v>
      </c>
      <c r="AK105" s="20"/>
      <c r="AL105" s="20">
        <f t="shared" si="79"/>
        <v>0</v>
      </c>
      <c r="AM105" s="20">
        <f t="shared" si="96"/>
        <v>130</v>
      </c>
      <c r="AN105" s="20"/>
      <c r="AO105" s="20"/>
      <c r="AP105" s="20">
        <f t="shared" si="87"/>
        <v>1930</v>
      </c>
      <c r="AQ105" s="23">
        <f t="shared" si="80"/>
        <v>21470</v>
      </c>
      <c r="AR105" s="20">
        <f t="shared" si="81"/>
        <v>1800</v>
      </c>
      <c r="AS105" s="20">
        <f t="shared" si="69"/>
        <v>75</v>
      </c>
      <c r="AT105" s="20">
        <f t="shared" si="70"/>
        <v>75</v>
      </c>
      <c r="AU105" s="20">
        <f t="shared" si="88"/>
        <v>0</v>
      </c>
      <c r="AV105" s="23">
        <f t="shared" si="84"/>
        <v>25350</v>
      </c>
      <c r="AW105" s="20"/>
      <c r="AX105" s="20">
        <f t="shared" si="94"/>
        <v>1800</v>
      </c>
      <c r="AY105" s="20">
        <f t="shared" si="71"/>
        <v>75</v>
      </c>
      <c r="AZ105" s="20">
        <f t="shared" si="72"/>
        <v>75</v>
      </c>
      <c r="BA105" s="20">
        <f t="shared" si="92"/>
        <v>0</v>
      </c>
      <c r="BB105" s="23">
        <f t="shared" si="85"/>
        <v>25349</v>
      </c>
    </row>
    <row r="106" spans="1:54" ht="15" customHeight="1" x14ac:dyDescent="0.25">
      <c r="A106" s="11">
        <f t="shared" si="74"/>
        <v>103</v>
      </c>
      <c r="B106" s="19" t="s">
        <v>270</v>
      </c>
      <c r="C106" s="13" t="s">
        <v>256</v>
      </c>
      <c r="D106" s="13">
        <v>31</v>
      </c>
      <c r="E106" s="41" t="s">
        <v>271</v>
      </c>
      <c r="F106" s="40" t="s">
        <v>92</v>
      </c>
      <c r="G106" s="16"/>
      <c r="H106" s="17"/>
      <c r="I106" s="18"/>
      <c r="J106" s="16"/>
      <c r="K106" s="19"/>
      <c r="L106" s="16"/>
      <c r="M106" s="19"/>
      <c r="N106" s="20"/>
      <c r="O106" s="20"/>
      <c r="P106" s="20"/>
      <c r="Q106" s="20"/>
      <c r="R106" s="20">
        <v>17000</v>
      </c>
      <c r="S106" s="20">
        <v>11622</v>
      </c>
      <c r="T106" s="20">
        <f t="shared" ref="T106" si="101">ROUND(S106*5%,0)</f>
        <v>581</v>
      </c>
      <c r="U106" s="20">
        <f t="shared" si="75"/>
        <v>1000</v>
      </c>
      <c r="V106" s="20">
        <f t="shared" si="76"/>
        <v>3797</v>
      </c>
      <c r="W106" s="22">
        <f t="shared" si="77"/>
        <v>17000</v>
      </c>
      <c r="X106" s="20">
        <v>31</v>
      </c>
      <c r="Y106" s="20"/>
      <c r="Z106" s="20"/>
      <c r="AA106" s="20">
        <f t="shared" si="62"/>
        <v>31</v>
      </c>
      <c r="AB106" s="20">
        <f t="shared" si="63"/>
        <v>11622</v>
      </c>
      <c r="AC106" s="20">
        <f t="shared" si="64"/>
        <v>581</v>
      </c>
      <c r="AD106" s="20">
        <f t="shared" si="65"/>
        <v>1000</v>
      </c>
      <c r="AE106" s="20">
        <f t="shared" si="66"/>
        <v>3797</v>
      </c>
      <c r="AF106" s="23">
        <f t="shared" si="67"/>
        <v>17000</v>
      </c>
      <c r="AG106" s="20"/>
      <c r="AH106" s="20"/>
      <c r="AI106" s="23">
        <f t="shared" si="78"/>
        <v>17000</v>
      </c>
      <c r="AJ106" s="20">
        <f t="shared" si="93"/>
        <v>1800</v>
      </c>
      <c r="AK106" s="20"/>
      <c r="AL106" s="20">
        <f t="shared" si="79"/>
        <v>128</v>
      </c>
      <c r="AM106" s="20">
        <f t="shared" si="96"/>
        <v>130</v>
      </c>
      <c r="AN106" s="20"/>
      <c r="AO106" s="20"/>
      <c r="AP106" s="20">
        <f t="shared" si="87"/>
        <v>2058</v>
      </c>
      <c r="AQ106" s="23">
        <f t="shared" si="80"/>
        <v>14942</v>
      </c>
      <c r="AR106" s="20">
        <f t="shared" si="81"/>
        <v>1800</v>
      </c>
      <c r="AS106" s="20">
        <f t="shared" si="69"/>
        <v>75</v>
      </c>
      <c r="AT106" s="20">
        <f t="shared" si="70"/>
        <v>75</v>
      </c>
      <c r="AU106" s="20">
        <f t="shared" si="88"/>
        <v>553</v>
      </c>
      <c r="AV106" s="23">
        <f t="shared" si="84"/>
        <v>19503</v>
      </c>
      <c r="AW106" s="20"/>
      <c r="AX106" s="20">
        <f t="shared" si="94"/>
        <v>1800</v>
      </c>
      <c r="AY106" s="20">
        <f t="shared" si="71"/>
        <v>75</v>
      </c>
      <c r="AZ106" s="20">
        <f t="shared" si="72"/>
        <v>75</v>
      </c>
      <c r="BA106" s="20">
        <f t="shared" si="92"/>
        <v>553</v>
      </c>
      <c r="BB106" s="23">
        <f t="shared" si="85"/>
        <v>19502</v>
      </c>
    </row>
    <row r="107" spans="1:54" ht="15" customHeight="1" x14ac:dyDescent="0.25">
      <c r="A107" s="11">
        <f t="shared" si="74"/>
        <v>104</v>
      </c>
      <c r="B107" s="19" t="s">
        <v>272</v>
      </c>
      <c r="C107" s="13" t="s">
        <v>256</v>
      </c>
      <c r="D107" s="13">
        <v>31</v>
      </c>
      <c r="E107" s="41" t="s">
        <v>273</v>
      </c>
      <c r="F107" s="40" t="s">
        <v>87</v>
      </c>
      <c r="G107" s="16"/>
      <c r="H107" s="17"/>
      <c r="I107" s="18"/>
      <c r="J107" s="16"/>
      <c r="K107" s="19"/>
      <c r="L107" s="16"/>
      <c r="M107" s="19"/>
      <c r="N107" s="20"/>
      <c r="O107" s="20"/>
      <c r="P107" s="20"/>
      <c r="Q107" s="20"/>
      <c r="R107" s="20">
        <v>21200</v>
      </c>
      <c r="S107" s="20">
        <v>11622</v>
      </c>
      <c r="T107" s="20">
        <f t="shared" ref="T107:T108" si="102">ROUND(S107*50%,0)</f>
        <v>5811</v>
      </c>
      <c r="U107" s="20">
        <f t="shared" si="75"/>
        <v>1600</v>
      </c>
      <c r="V107" s="20">
        <f t="shared" si="76"/>
        <v>2167</v>
      </c>
      <c r="W107" s="22">
        <f t="shared" si="77"/>
        <v>21200</v>
      </c>
      <c r="X107" s="20">
        <v>31</v>
      </c>
      <c r="Y107" s="20"/>
      <c r="Z107" s="20"/>
      <c r="AA107" s="20">
        <f t="shared" si="62"/>
        <v>31</v>
      </c>
      <c r="AB107" s="20">
        <f t="shared" si="63"/>
        <v>11622</v>
      </c>
      <c r="AC107" s="20">
        <f t="shared" si="64"/>
        <v>5811</v>
      </c>
      <c r="AD107" s="20">
        <f t="shared" si="65"/>
        <v>1600</v>
      </c>
      <c r="AE107" s="20">
        <f t="shared" si="66"/>
        <v>2167</v>
      </c>
      <c r="AF107" s="23">
        <f t="shared" si="67"/>
        <v>21200</v>
      </c>
      <c r="AG107" s="20"/>
      <c r="AH107" s="20"/>
      <c r="AI107" s="23">
        <f t="shared" si="78"/>
        <v>21200</v>
      </c>
      <c r="AJ107" s="20">
        <f t="shared" si="93"/>
        <v>1655</v>
      </c>
      <c r="AK107" s="20"/>
      <c r="AL107" s="20">
        <f t="shared" si="79"/>
        <v>0</v>
      </c>
      <c r="AM107" s="20">
        <f t="shared" si="96"/>
        <v>130</v>
      </c>
      <c r="AN107" s="20"/>
      <c r="AO107" s="20"/>
      <c r="AP107" s="20">
        <f t="shared" si="87"/>
        <v>1785</v>
      </c>
      <c r="AQ107" s="23">
        <f t="shared" si="80"/>
        <v>19415</v>
      </c>
      <c r="AR107" s="20">
        <f t="shared" si="81"/>
        <v>1655</v>
      </c>
      <c r="AS107" s="20">
        <f t="shared" si="69"/>
        <v>69</v>
      </c>
      <c r="AT107" s="20">
        <f t="shared" si="70"/>
        <v>69</v>
      </c>
      <c r="AU107" s="20">
        <f t="shared" si="88"/>
        <v>0</v>
      </c>
      <c r="AV107" s="23">
        <f t="shared" si="84"/>
        <v>22993</v>
      </c>
      <c r="AW107" s="20"/>
      <c r="AX107" s="20">
        <f t="shared" si="94"/>
        <v>1655</v>
      </c>
      <c r="AY107" s="20">
        <f t="shared" si="71"/>
        <v>69</v>
      </c>
      <c r="AZ107" s="20">
        <f t="shared" si="72"/>
        <v>69</v>
      </c>
      <c r="BA107" s="20">
        <f t="shared" si="92"/>
        <v>0</v>
      </c>
      <c r="BB107" s="23">
        <f t="shared" si="85"/>
        <v>22992</v>
      </c>
    </row>
    <row r="108" spans="1:54" ht="15" customHeight="1" x14ac:dyDescent="0.25">
      <c r="A108" s="11">
        <f t="shared" si="74"/>
        <v>105</v>
      </c>
      <c r="B108" s="19" t="s">
        <v>274</v>
      </c>
      <c r="C108" s="13" t="s">
        <v>256</v>
      </c>
      <c r="D108" s="13">
        <v>31</v>
      </c>
      <c r="E108" s="41" t="s">
        <v>275</v>
      </c>
      <c r="F108" s="40" t="s">
        <v>87</v>
      </c>
      <c r="G108" s="16"/>
      <c r="H108" s="17"/>
      <c r="I108" s="18"/>
      <c r="J108" s="16"/>
      <c r="K108" s="19"/>
      <c r="L108" s="16"/>
      <c r="M108" s="19"/>
      <c r="N108" s="20"/>
      <c r="O108" s="20"/>
      <c r="P108" s="20"/>
      <c r="Q108" s="20"/>
      <c r="R108" s="20">
        <v>21000</v>
      </c>
      <c r="S108" s="20">
        <v>11622</v>
      </c>
      <c r="T108" s="20">
        <f t="shared" si="102"/>
        <v>5811</v>
      </c>
      <c r="U108" s="20">
        <f t="shared" si="75"/>
        <v>1600</v>
      </c>
      <c r="V108" s="20">
        <f t="shared" si="76"/>
        <v>1967</v>
      </c>
      <c r="W108" s="22">
        <f t="shared" si="77"/>
        <v>21000</v>
      </c>
      <c r="X108" s="20">
        <v>31</v>
      </c>
      <c r="Y108" s="20"/>
      <c r="Z108" s="20"/>
      <c r="AA108" s="20">
        <f t="shared" si="62"/>
        <v>31</v>
      </c>
      <c r="AB108" s="20">
        <f t="shared" si="63"/>
        <v>11622</v>
      </c>
      <c r="AC108" s="20">
        <f t="shared" si="64"/>
        <v>5811</v>
      </c>
      <c r="AD108" s="20">
        <f t="shared" si="65"/>
        <v>1600</v>
      </c>
      <c r="AE108" s="20">
        <f t="shared" si="66"/>
        <v>1967</v>
      </c>
      <c r="AF108" s="23">
        <f t="shared" si="67"/>
        <v>21000</v>
      </c>
      <c r="AG108" s="20"/>
      <c r="AH108" s="20"/>
      <c r="AI108" s="23">
        <f t="shared" si="78"/>
        <v>21000</v>
      </c>
      <c r="AJ108" s="20">
        <f t="shared" si="93"/>
        <v>1631</v>
      </c>
      <c r="AK108" s="20"/>
      <c r="AL108" s="20">
        <f t="shared" si="79"/>
        <v>158</v>
      </c>
      <c r="AM108" s="20">
        <f t="shared" ref="AM108:AM122" si="103">IF(AI108&lt;10001,0,IF(AI108&lt;15001,110,IF(AI108&lt;25001,130,IF(AI108&lt;=40000,150,IF(AI108&gt;40000,200,0)))))</f>
        <v>130</v>
      </c>
      <c r="AN108" s="20"/>
      <c r="AO108" s="20"/>
      <c r="AP108" s="20">
        <f t="shared" si="87"/>
        <v>1919</v>
      </c>
      <c r="AQ108" s="23">
        <f t="shared" si="80"/>
        <v>19081</v>
      </c>
      <c r="AR108" s="20">
        <f t="shared" si="81"/>
        <v>1631</v>
      </c>
      <c r="AS108" s="20">
        <f t="shared" si="69"/>
        <v>68</v>
      </c>
      <c r="AT108" s="20">
        <f t="shared" si="70"/>
        <v>68</v>
      </c>
      <c r="AU108" s="20">
        <f t="shared" si="88"/>
        <v>683</v>
      </c>
      <c r="AV108" s="23">
        <f t="shared" si="84"/>
        <v>23450</v>
      </c>
      <c r="AW108" s="20"/>
      <c r="AX108" s="20">
        <f t="shared" si="94"/>
        <v>1631</v>
      </c>
      <c r="AY108" s="20">
        <f t="shared" si="71"/>
        <v>68</v>
      </c>
      <c r="AZ108" s="20">
        <f t="shared" si="72"/>
        <v>68</v>
      </c>
      <c r="BA108" s="20">
        <f t="shared" si="92"/>
        <v>683</v>
      </c>
      <c r="BB108" s="23">
        <f t="shared" si="85"/>
        <v>23449</v>
      </c>
    </row>
    <row r="109" spans="1:54" ht="15" customHeight="1" x14ac:dyDescent="0.25">
      <c r="A109" s="11">
        <f t="shared" si="74"/>
        <v>106</v>
      </c>
      <c r="B109" s="19" t="s">
        <v>276</v>
      </c>
      <c r="C109" s="13" t="s">
        <v>256</v>
      </c>
      <c r="D109" s="13">
        <v>31</v>
      </c>
      <c r="E109" s="41" t="s">
        <v>277</v>
      </c>
      <c r="F109" s="40" t="s">
        <v>135</v>
      </c>
      <c r="G109" s="16"/>
      <c r="H109" s="17"/>
      <c r="I109" s="18"/>
      <c r="J109" s="16"/>
      <c r="K109" s="19"/>
      <c r="L109" s="16"/>
      <c r="M109" s="19"/>
      <c r="N109" s="20"/>
      <c r="O109" s="20"/>
      <c r="P109" s="20"/>
      <c r="Q109" s="20"/>
      <c r="R109" s="20">
        <v>13000</v>
      </c>
      <c r="S109" s="20">
        <v>10556</v>
      </c>
      <c r="T109" s="20">
        <f t="shared" ref="T109:T110" si="104">ROUND(S109*5%,0)</f>
        <v>528</v>
      </c>
      <c r="U109" s="20">
        <f t="shared" si="75"/>
        <v>1000</v>
      </c>
      <c r="V109" s="20">
        <f t="shared" si="76"/>
        <v>916</v>
      </c>
      <c r="W109" s="22">
        <f t="shared" si="77"/>
        <v>13000</v>
      </c>
      <c r="X109" s="20">
        <v>31</v>
      </c>
      <c r="Y109" s="20"/>
      <c r="Z109" s="20"/>
      <c r="AA109" s="20">
        <f t="shared" si="62"/>
        <v>31</v>
      </c>
      <c r="AB109" s="20">
        <f t="shared" si="63"/>
        <v>10556</v>
      </c>
      <c r="AC109" s="20">
        <f t="shared" si="64"/>
        <v>528</v>
      </c>
      <c r="AD109" s="20">
        <f t="shared" si="65"/>
        <v>1000</v>
      </c>
      <c r="AE109" s="20">
        <f t="shared" si="66"/>
        <v>916</v>
      </c>
      <c r="AF109" s="23">
        <f t="shared" si="67"/>
        <v>13000</v>
      </c>
      <c r="AG109" s="20"/>
      <c r="AH109" s="20"/>
      <c r="AI109" s="23">
        <f t="shared" si="78"/>
        <v>13000</v>
      </c>
      <c r="AJ109" s="20">
        <f t="shared" si="93"/>
        <v>1377</v>
      </c>
      <c r="AK109" s="20"/>
      <c r="AL109" s="20">
        <f t="shared" si="79"/>
        <v>98</v>
      </c>
      <c r="AM109" s="20">
        <f t="shared" si="103"/>
        <v>110</v>
      </c>
      <c r="AN109" s="20"/>
      <c r="AO109" s="20"/>
      <c r="AP109" s="20">
        <f t="shared" si="87"/>
        <v>1585</v>
      </c>
      <c r="AQ109" s="23">
        <f t="shared" si="80"/>
        <v>11415</v>
      </c>
      <c r="AR109" s="20">
        <f t="shared" si="81"/>
        <v>1377</v>
      </c>
      <c r="AS109" s="20">
        <f t="shared" si="69"/>
        <v>57</v>
      </c>
      <c r="AT109" s="20">
        <f t="shared" si="70"/>
        <v>57</v>
      </c>
      <c r="AU109" s="20">
        <f t="shared" si="88"/>
        <v>423</v>
      </c>
      <c r="AV109" s="23">
        <f t="shared" si="84"/>
        <v>14914</v>
      </c>
      <c r="AW109" s="20"/>
      <c r="AX109" s="20">
        <f t="shared" si="94"/>
        <v>1377</v>
      </c>
      <c r="AY109" s="20">
        <f t="shared" si="71"/>
        <v>57</v>
      </c>
      <c r="AZ109" s="20">
        <f t="shared" si="72"/>
        <v>57</v>
      </c>
      <c r="BA109" s="20">
        <f t="shared" si="92"/>
        <v>423</v>
      </c>
      <c r="BB109" s="23">
        <f t="shared" si="85"/>
        <v>14913</v>
      </c>
    </row>
    <row r="110" spans="1:54" ht="15" customHeight="1" x14ac:dyDescent="0.25">
      <c r="A110" s="11">
        <f t="shared" si="74"/>
        <v>107</v>
      </c>
      <c r="B110" s="19" t="s">
        <v>278</v>
      </c>
      <c r="C110" s="13" t="s">
        <v>256</v>
      </c>
      <c r="D110" s="13">
        <v>31</v>
      </c>
      <c r="E110" s="41" t="s">
        <v>279</v>
      </c>
      <c r="F110" s="40" t="s">
        <v>135</v>
      </c>
      <c r="G110" s="16"/>
      <c r="H110" s="17"/>
      <c r="I110" s="18"/>
      <c r="J110" s="16"/>
      <c r="K110" s="19"/>
      <c r="L110" s="16"/>
      <c r="M110" s="19"/>
      <c r="N110" s="20"/>
      <c r="O110" s="20"/>
      <c r="P110" s="20"/>
      <c r="Q110" s="20"/>
      <c r="R110" s="20">
        <v>13000</v>
      </c>
      <c r="S110" s="20">
        <v>10556</v>
      </c>
      <c r="T110" s="20">
        <f t="shared" si="104"/>
        <v>528</v>
      </c>
      <c r="U110" s="20">
        <f t="shared" si="75"/>
        <v>1000</v>
      </c>
      <c r="V110" s="20">
        <f t="shared" si="76"/>
        <v>916</v>
      </c>
      <c r="W110" s="22">
        <f t="shared" si="77"/>
        <v>13000</v>
      </c>
      <c r="X110" s="20">
        <v>31</v>
      </c>
      <c r="Y110" s="20"/>
      <c r="Z110" s="20"/>
      <c r="AA110" s="20">
        <f t="shared" si="62"/>
        <v>31</v>
      </c>
      <c r="AB110" s="20">
        <f t="shared" si="63"/>
        <v>10556</v>
      </c>
      <c r="AC110" s="20">
        <f t="shared" si="64"/>
        <v>528</v>
      </c>
      <c r="AD110" s="20">
        <f t="shared" si="65"/>
        <v>1000</v>
      </c>
      <c r="AE110" s="20">
        <f t="shared" si="66"/>
        <v>916</v>
      </c>
      <c r="AF110" s="23">
        <f t="shared" si="67"/>
        <v>13000</v>
      </c>
      <c r="AG110" s="20"/>
      <c r="AH110" s="20"/>
      <c r="AI110" s="23">
        <f t="shared" si="78"/>
        <v>13000</v>
      </c>
      <c r="AJ110" s="20">
        <f t="shared" si="93"/>
        <v>1377</v>
      </c>
      <c r="AK110" s="20"/>
      <c r="AL110" s="20">
        <f t="shared" si="79"/>
        <v>98</v>
      </c>
      <c r="AM110" s="20">
        <f t="shared" si="103"/>
        <v>110</v>
      </c>
      <c r="AN110" s="20"/>
      <c r="AO110" s="20"/>
      <c r="AP110" s="20">
        <f t="shared" si="87"/>
        <v>1585</v>
      </c>
      <c r="AQ110" s="23">
        <f t="shared" si="80"/>
        <v>11415</v>
      </c>
      <c r="AR110" s="20">
        <f t="shared" si="81"/>
        <v>1377</v>
      </c>
      <c r="AS110" s="20">
        <f t="shared" si="69"/>
        <v>57</v>
      </c>
      <c r="AT110" s="20">
        <f t="shared" si="70"/>
        <v>57</v>
      </c>
      <c r="AU110" s="20">
        <f t="shared" si="88"/>
        <v>423</v>
      </c>
      <c r="AV110" s="23">
        <f t="shared" si="84"/>
        <v>14914</v>
      </c>
      <c r="AW110" s="20"/>
      <c r="AX110" s="20">
        <f t="shared" si="94"/>
        <v>1377</v>
      </c>
      <c r="AY110" s="20">
        <f t="shared" si="71"/>
        <v>57</v>
      </c>
      <c r="AZ110" s="20">
        <f t="shared" si="72"/>
        <v>57</v>
      </c>
      <c r="BA110" s="20">
        <f t="shared" si="92"/>
        <v>423</v>
      </c>
      <c r="BB110" s="23">
        <f t="shared" si="85"/>
        <v>14913</v>
      </c>
    </row>
    <row r="111" spans="1:54" ht="15" customHeight="1" x14ac:dyDescent="0.25">
      <c r="A111" s="11">
        <f t="shared" si="74"/>
        <v>108</v>
      </c>
      <c r="B111" s="19" t="s">
        <v>280</v>
      </c>
      <c r="C111" s="13" t="s">
        <v>256</v>
      </c>
      <c r="D111" s="13">
        <v>31</v>
      </c>
      <c r="E111" s="41" t="s">
        <v>281</v>
      </c>
      <c r="F111" s="40" t="s">
        <v>87</v>
      </c>
      <c r="G111" s="16"/>
      <c r="H111" s="17"/>
      <c r="I111" s="18"/>
      <c r="J111" s="16"/>
      <c r="K111" s="19"/>
      <c r="L111" s="16"/>
      <c r="M111" s="19"/>
      <c r="N111" s="20"/>
      <c r="O111" s="20"/>
      <c r="P111" s="20"/>
      <c r="Q111" s="20"/>
      <c r="R111" s="20">
        <v>21200</v>
      </c>
      <c r="S111" s="20">
        <v>11622</v>
      </c>
      <c r="T111" s="20">
        <f t="shared" ref="T111:T114" si="105">ROUND(S111*50%,0)</f>
        <v>5811</v>
      </c>
      <c r="U111" s="20">
        <f t="shared" si="75"/>
        <v>1600</v>
      </c>
      <c r="V111" s="20">
        <f t="shared" si="76"/>
        <v>2167</v>
      </c>
      <c r="W111" s="22">
        <f t="shared" si="77"/>
        <v>21200</v>
      </c>
      <c r="X111" s="20">
        <v>31</v>
      </c>
      <c r="Y111" s="20"/>
      <c r="Z111" s="20"/>
      <c r="AA111" s="20">
        <f t="shared" si="62"/>
        <v>31</v>
      </c>
      <c r="AB111" s="20">
        <f t="shared" si="63"/>
        <v>11622</v>
      </c>
      <c r="AC111" s="20">
        <f t="shared" si="64"/>
        <v>5811</v>
      </c>
      <c r="AD111" s="20">
        <f t="shared" si="65"/>
        <v>1600</v>
      </c>
      <c r="AE111" s="20">
        <f t="shared" si="66"/>
        <v>2167</v>
      </c>
      <c r="AF111" s="23">
        <f t="shared" si="67"/>
        <v>21200</v>
      </c>
      <c r="AG111" s="20"/>
      <c r="AH111" s="20"/>
      <c r="AI111" s="23">
        <f t="shared" si="78"/>
        <v>21200</v>
      </c>
      <c r="AJ111" s="20">
        <f t="shared" si="93"/>
        <v>1655</v>
      </c>
      <c r="AK111" s="20"/>
      <c r="AL111" s="20">
        <f t="shared" si="79"/>
        <v>0</v>
      </c>
      <c r="AM111" s="20">
        <f t="shared" si="103"/>
        <v>130</v>
      </c>
      <c r="AN111" s="20"/>
      <c r="AO111" s="20"/>
      <c r="AP111" s="20">
        <f t="shared" si="87"/>
        <v>1785</v>
      </c>
      <c r="AQ111" s="23">
        <f t="shared" si="80"/>
        <v>19415</v>
      </c>
      <c r="AR111" s="20">
        <f t="shared" si="81"/>
        <v>1655</v>
      </c>
      <c r="AS111" s="20">
        <f t="shared" si="69"/>
        <v>69</v>
      </c>
      <c r="AT111" s="20">
        <f t="shared" si="70"/>
        <v>69</v>
      </c>
      <c r="AU111" s="20">
        <f t="shared" si="88"/>
        <v>0</v>
      </c>
      <c r="AV111" s="23">
        <f t="shared" si="84"/>
        <v>22993</v>
      </c>
      <c r="AW111" s="20"/>
      <c r="AX111" s="20">
        <f t="shared" si="94"/>
        <v>1655</v>
      </c>
      <c r="AY111" s="20">
        <f t="shared" si="71"/>
        <v>69</v>
      </c>
      <c r="AZ111" s="20">
        <f t="shared" si="72"/>
        <v>69</v>
      </c>
      <c r="BA111" s="20">
        <f t="shared" si="92"/>
        <v>0</v>
      </c>
      <c r="BB111" s="23">
        <f t="shared" si="85"/>
        <v>22992</v>
      </c>
    </row>
    <row r="112" spans="1:54" ht="15" customHeight="1" x14ac:dyDescent="0.25">
      <c r="A112" s="11">
        <f t="shared" si="74"/>
        <v>109</v>
      </c>
      <c r="B112" s="19" t="s">
        <v>282</v>
      </c>
      <c r="C112" s="13" t="s">
        <v>256</v>
      </c>
      <c r="D112" s="13">
        <v>31</v>
      </c>
      <c r="E112" s="41" t="s">
        <v>283</v>
      </c>
      <c r="F112" s="40" t="s">
        <v>87</v>
      </c>
      <c r="G112" s="16"/>
      <c r="H112" s="17"/>
      <c r="I112" s="18"/>
      <c r="J112" s="16"/>
      <c r="K112" s="19"/>
      <c r="L112" s="16"/>
      <c r="M112" s="19"/>
      <c r="N112" s="20"/>
      <c r="O112" s="20"/>
      <c r="P112" s="20"/>
      <c r="Q112" s="20"/>
      <c r="R112" s="20">
        <v>21200</v>
      </c>
      <c r="S112" s="20">
        <v>11622</v>
      </c>
      <c r="T112" s="20">
        <f t="shared" si="105"/>
        <v>5811</v>
      </c>
      <c r="U112" s="20">
        <f t="shared" si="75"/>
        <v>1600</v>
      </c>
      <c r="V112" s="20">
        <f t="shared" si="76"/>
        <v>2167</v>
      </c>
      <c r="W112" s="22">
        <f t="shared" si="77"/>
        <v>21200</v>
      </c>
      <c r="X112" s="20">
        <v>31</v>
      </c>
      <c r="Y112" s="20"/>
      <c r="Z112" s="20"/>
      <c r="AA112" s="20">
        <f t="shared" si="62"/>
        <v>31</v>
      </c>
      <c r="AB112" s="20">
        <f t="shared" si="63"/>
        <v>11622</v>
      </c>
      <c r="AC112" s="20">
        <f t="shared" si="64"/>
        <v>5811</v>
      </c>
      <c r="AD112" s="20">
        <f t="shared" si="65"/>
        <v>1600</v>
      </c>
      <c r="AE112" s="20">
        <f t="shared" si="66"/>
        <v>2167</v>
      </c>
      <c r="AF112" s="23">
        <f t="shared" si="67"/>
        <v>21200</v>
      </c>
      <c r="AG112" s="20"/>
      <c r="AH112" s="20"/>
      <c r="AI112" s="23">
        <f t="shared" si="78"/>
        <v>21200</v>
      </c>
      <c r="AJ112" s="20">
        <f t="shared" si="93"/>
        <v>1655</v>
      </c>
      <c r="AK112" s="20"/>
      <c r="AL112" s="20">
        <f t="shared" si="79"/>
        <v>0</v>
      </c>
      <c r="AM112" s="20">
        <f t="shared" si="103"/>
        <v>130</v>
      </c>
      <c r="AN112" s="20"/>
      <c r="AO112" s="20"/>
      <c r="AP112" s="20">
        <f t="shared" si="87"/>
        <v>1785</v>
      </c>
      <c r="AQ112" s="23">
        <f t="shared" si="80"/>
        <v>19415</v>
      </c>
      <c r="AR112" s="20">
        <f t="shared" si="81"/>
        <v>1655</v>
      </c>
      <c r="AS112" s="20">
        <f t="shared" si="69"/>
        <v>69</v>
      </c>
      <c r="AT112" s="20">
        <f t="shared" si="70"/>
        <v>69</v>
      </c>
      <c r="AU112" s="20">
        <f t="shared" si="88"/>
        <v>0</v>
      </c>
      <c r="AV112" s="23">
        <f t="shared" si="84"/>
        <v>22993</v>
      </c>
      <c r="AW112" s="20"/>
      <c r="AX112" s="20">
        <f t="shared" si="94"/>
        <v>1655</v>
      </c>
      <c r="AY112" s="20">
        <f t="shared" si="71"/>
        <v>69</v>
      </c>
      <c r="AZ112" s="20">
        <f t="shared" si="72"/>
        <v>69</v>
      </c>
      <c r="BA112" s="20">
        <f t="shared" si="92"/>
        <v>0</v>
      </c>
      <c r="BB112" s="23">
        <f t="shared" si="85"/>
        <v>22992</v>
      </c>
    </row>
    <row r="113" spans="1:55" ht="15" customHeight="1" x14ac:dyDescent="0.25">
      <c r="A113" s="11">
        <f t="shared" si="74"/>
        <v>110</v>
      </c>
      <c r="B113" s="19" t="s">
        <v>284</v>
      </c>
      <c r="C113" s="13" t="s">
        <v>256</v>
      </c>
      <c r="D113" s="13">
        <v>31</v>
      </c>
      <c r="E113" s="41" t="s">
        <v>285</v>
      </c>
      <c r="F113" s="40" t="s">
        <v>87</v>
      </c>
      <c r="G113" s="16"/>
      <c r="H113" s="17"/>
      <c r="I113" s="18"/>
      <c r="J113" s="16"/>
      <c r="K113" s="19"/>
      <c r="L113" s="16"/>
      <c r="M113" s="19"/>
      <c r="N113" s="20"/>
      <c r="O113" s="20"/>
      <c r="P113" s="20"/>
      <c r="Q113" s="20"/>
      <c r="R113" s="20">
        <v>21200</v>
      </c>
      <c r="S113" s="20">
        <v>11622</v>
      </c>
      <c r="T113" s="20">
        <f t="shared" si="105"/>
        <v>5811</v>
      </c>
      <c r="U113" s="20">
        <f t="shared" si="75"/>
        <v>1600</v>
      </c>
      <c r="V113" s="20">
        <f t="shared" si="76"/>
        <v>2167</v>
      </c>
      <c r="W113" s="22">
        <f t="shared" si="77"/>
        <v>21200</v>
      </c>
      <c r="X113" s="20">
        <v>31</v>
      </c>
      <c r="Y113" s="20"/>
      <c r="Z113" s="20"/>
      <c r="AA113" s="20">
        <f t="shared" si="62"/>
        <v>31</v>
      </c>
      <c r="AB113" s="20">
        <f t="shared" si="63"/>
        <v>11622</v>
      </c>
      <c r="AC113" s="20">
        <f t="shared" si="64"/>
        <v>5811</v>
      </c>
      <c r="AD113" s="20">
        <f t="shared" si="65"/>
        <v>1600</v>
      </c>
      <c r="AE113" s="20">
        <f t="shared" si="66"/>
        <v>2167</v>
      </c>
      <c r="AF113" s="23">
        <f t="shared" si="67"/>
        <v>21200</v>
      </c>
      <c r="AG113" s="20"/>
      <c r="AH113" s="20"/>
      <c r="AI113" s="23">
        <f t="shared" si="78"/>
        <v>21200</v>
      </c>
      <c r="AJ113" s="20">
        <f t="shared" si="93"/>
        <v>1655</v>
      </c>
      <c r="AK113" s="20"/>
      <c r="AL113" s="20">
        <f t="shared" si="79"/>
        <v>0</v>
      </c>
      <c r="AM113" s="20">
        <f t="shared" si="103"/>
        <v>130</v>
      </c>
      <c r="AN113" s="20"/>
      <c r="AO113" s="20"/>
      <c r="AP113" s="20">
        <f t="shared" si="87"/>
        <v>1785</v>
      </c>
      <c r="AQ113" s="23">
        <f t="shared" si="80"/>
        <v>19415</v>
      </c>
      <c r="AR113" s="20">
        <f t="shared" si="81"/>
        <v>1655</v>
      </c>
      <c r="AS113" s="20">
        <f t="shared" si="69"/>
        <v>69</v>
      </c>
      <c r="AT113" s="20">
        <f t="shared" si="70"/>
        <v>69</v>
      </c>
      <c r="AU113" s="20">
        <f t="shared" si="88"/>
        <v>0</v>
      </c>
      <c r="AV113" s="23">
        <f t="shared" si="84"/>
        <v>22993</v>
      </c>
      <c r="AW113" s="20"/>
      <c r="AX113" s="20">
        <f t="shared" si="94"/>
        <v>1655</v>
      </c>
      <c r="AY113" s="20">
        <f t="shared" si="71"/>
        <v>69</v>
      </c>
      <c r="AZ113" s="20">
        <f t="shared" si="72"/>
        <v>69</v>
      </c>
      <c r="BA113" s="20">
        <f t="shared" si="92"/>
        <v>0</v>
      </c>
      <c r="BB113" s="23">
        <f t="shared" si="85"/>
        <v>22992</v>
      </c>
    </row>
    <row r="114" spans="1:55" ht="15" customHeight="1" x14ac:dyDescent="0.25">
      <c r="A114" s="11">
        <f t="shared" si="74"/>
        <v>111</v>
      </c>
      <c r="B114" s="19" t="s">
        <v>286</v>
      </c>
      <c r="C114" s="13" t="s">
        <v>256</v>
      </c>
      <c r="D114" s="13">
        <v>31</v>
      </c>
      <c r="E114" s="41" t="s">
        <v>287</v>
      </c>
      <c r="F114" s="40" t="s">
        <v>87</v>
      </c>
      <c r="G114" s="16"/>
      <c r="H114" s="17"/>
      <c r="I114" s="18"/>
      <c r="J114" s="16"/>
      <c r="K114" s="19"/>
      <c r="L114" s="16"/>
      <c r="M114" s="19"/>
      <c r="N114" s="20"/>
      <c r="O114" s="20"/>
      <c r="P114" s="20"/>
      <c r="Q114" s="20"/>
      <c r="R114" s="20">
        <v>21200</v>
      </c>
      <c r="S114" s="20">
        <v>11622</v>
      </c>
      <c r="T114" s="20">
        <f t="shared" si="105"/>
        <v>5811</v>
      </c>
      <c r="U114" s="20">
        <f t="shared" si="75"/>
        <v>1600</v>
      </c>
      <c r="V114" s="20">
        <f t="shared" si="76"/>
        <v>2167</v>
      </c>
      <c r="W114" s="22">
        <f t="shared" si="77"/>
        <v>21200</v>
      </c>
      <c r="X114" s="20">
        <v>31</v>
      </c>
      <c r="Y114" s="20"/>
      <c r="Z114" s="20"/>
      <c r="AA114" s="20">
        <f t="shared" si="62"/>
        <v>31</v>
      </c>
      <c r="AB114" s="20">
        <f t="shared" si="63"/>
        <v>11622</v>
      </c>
      <c r="AC114" s="20">
        <f t="shared" si="64"/>
        <v>5811</v>
      </c>
      <c r="AD114" s="20">
        <f t="shared" si="65"/>
        <v>1600</v>
      </c>
      <c r="AE114" s="20">
        <f t="shared" si="66"/>
        <v>2167</v>
      </c>
      <c r="AF114" s="23">
        <f t="shared" si="67"/>
        <v>21200</v>
      </c>
      <c r="AG114" s="20"/>
      <c r="AH114" s="20"/>
      <c r="AI114" s="23">
        <f t="shared" si="78"/>
        <v>21200</v>
      </c>
      <c r="AJ114" s="20">
        <f t="shared" si="93"/>
        <v>1655</v>
      </c>
      <c r="AK114" s="20"/>
      <c r="AL114" s="20">
        <f t="shared" si="79"/>
        <v>0</v>
      </c>
      <c r="AM114" s="20">
        <f t="shared" si="103"/>
        <v>130</v>
      </c>
      <c r="AN114" s="20"/>
      <c r="AO114" s="20"/>
      <c r="AP114" s="20">
        <f t="shared" si="87"/>
        <v>1785</v>
      </c>
      <c r="AQ114" s="23">
        <f t="shared" si="80"/>
        <v>19415</v>
      </c>
      <c r="AR114" s="20">
        <f t="shared" si="81"/>
        <v>1655</v>
      </c>
      <c r="AS114" s="20">
        <f t="shared" si="69"/>
        <v>69</v>
      </c>
      <c r="AT114" s="20">
        <f t="shared" si="70"/>
        <v>69</v>
      </c>
      <c r="AU114" s="20">
        <f t="shared" si="88"/>
        <v>0</v>
      </c>
      <c r="AV114" s="23">
        <f t="shared" si="84"/>
        <v>22993</v>
      </c>
      <c r="AW114" s="20"/>
      <c r="AX114" s="20">
        <f t="shared" si="94"/>
        <v>1655</v>
      </c>
      <c r="AY114" s="20">
        <f t="shared" si="71"/>
        <v>69</v>
      </c>
      <c r="AZ114" s="20">
        <f t="shared" si="72"/>
        <v>69</v>
      </c>
      <c r="BA114" s="20">
        <f t="shared" si="92"/>
        <v>0</v>
      </c>
      <c r="BB114" s="23">
        <f t="shared" si="85"/>
        <v>22992</v>
      </c>
    </row>
    <row r="115" spans="1:55" ht="15" customHeight="1" x14ac:dyDescent="0.25">
      <c r="A115" s="11">
        <f t="shared" si="74"/>
        <v>112</v>
      </c>
      <c r="B115" s="19" t="s">
        <v>288</v>
      </c>
      <c r="C115" s="13" t="s">
        <v>256</v>
      </c>
      <c r="D115" s="13">
        <v>31</v>
      </c>
      <c r="E115" s="41" t="s">
        <v>289</v>
      </c>
      <c r="F115" s="40" t="s">
        <v>122</v>
      </c>
      <c r="G115" s="16"/>
      <c r="H115" s="17"/>
      <c r="I115" s="18"/>
      <c r="J115" s="16"/>
      <c r="K115" s="19"/>
      <c r="L115" s="16"/>
      <c r="M115" s="19"/>
      <c r="N115" s="20"/>
      <c r="O115" s="20"/>
      <c r="P115" s="20"/>
      <c r="Q115" s="20"/>
      <c r="R115" s="20">
        <v>18000</v>
      </c>
      <c r="S115" s="20">
        <v>11622</v>
      </c>
      <c r="T115" s="20">
        <f t="shared" ref="T115" si="106">ROUND(S115*5%,0)</f>
        <v>581</v>
      </c>
      <c r="U115" s="20">
        <f t="shared" si="75"/>
        <v>1000</v>
      </c>
      <c r="V115" s="20">
        <f t="shared" si="76"/>
        <v>4797</v>
      </c>
      <c r="W115" s="22">
        <f t="shared" si="77"/>
        <v>18000</v>
      </c>
      <c r="X115" s="20">
        <v>31</v>
      </c>
      <c r="Y115" s="20"/>
      <c r="Z115" s="20"/>
      <c r="AA115" s="20">
        <f t="shared" si="62"/>
        <v>31</v>
      </c>
      <c r="AB115" s="20">
        <f t="shared" si="63"/>
        <v>11622</v>
      </c>
      <c r="AC115" s="20">
        <f t="shared" si="64"/>
        <v>581</v>
      </c>
      <c r="AD115" s="20">
        <f t="shared" si="65"/>
        <v>1000</v>
      </c>
      <c r="AE115" s="20">
        <f t="shared" si="66"/>
        <v>4797</v>
      </c>
      <c r="AF115" s="23">
        <f t="shared" si="67"/>
        <v>18000</v>
      </c>
      <c r="AG115" s="20"/>
      <c r="AH115" s="20"/>
      <c r="AI115" s="23">
        <f t="shared" si="78"/>
        <v>18000</v>
      </c>
      <c r="AJ115" s="20">
        <f t="shared" si="93"/>
        <v>1800</v>
      </c>
      <c r="AK115" s="20"/>
      <c r="AL115" s="20">
        <f t="shared" si="79"/>
        <v>135</v>
      </c>
      <c r="AM115" s="20">
        <f t="shared" si="103"/>
        <v>130</v>
      </c>
      <c r="AN115" s="20"/>
      <c r="AO115" s="20"/>
      <c r="AP115" s="20">
        <f t="shared" si="87"/>
        <v>2065</v>
      </c>
      <c r="AQ115" s="23">
        <f t="shared" si="80"/>
        <v>15935</v>
      </c>
      <c r="AR115" s="20">
        <f t="shared" si="81"/>
        <v>1800</v>
      </c>
      <c r="AS115" s="20">
        <f t="shared" si="69"/>
        <v>75</v>
      </c>
      <c r="AT115" s="20">
        <f t="shared" si="70"/>
        <v>75</v>
      </c>
      <c r="AU115" s="20">
        <f t="shared" si="88"/>
        <v>585</v>
      </c>
      <c r="AV115" s="23">
        <f t="shared" si="84"/>
        <v>20535</v>
      </c>
      <c r="AW115" s="20"/>
      <c r="AX115" s="20">
        <f t="shared" si="94"/>
        <v>1800</v>
      </c>
      <c r="AY115" s="20">
        <f t="shared" si="71"/>
        <v>75</v>
      </c>
      <c r="AZ115" s="20">
        <f t="shared" si="72"/>
        <v>75</v>
      </c>
      <c r="BA115" s="20">
        <f t="shared" si="92"/>
        <v>585</v>
      </c>
      <c r="BB115" s="23">
        <f t="shared" si="85"/>
        <v>20534</v>
      </c>
    </row>
    <row r="116" spans="1:55" ht="15" customHeight="1" x14ac:dyDescent="0.25">
      <c r="A116" s="11">
        <f t="shared" si="74"/>
        <v>113</v>
      </c>
      <c r="B116" s="19" t="s">
        <v>290</v>
      </c>
      <c r="C116" s="13" t="s">
        <v>256</v>
      </c>
      <c r="D116" s="13">
        <v>31</v>
      </c>
      <c r="E116" s="41" t="s">
        <v>291</v>
      </c>
      <c r="F116" s="40" t="s">
        <v>87</v>
      </c>
      <c r="G116" s="16"/>
      <c r="H116" s="17"/>
      <c r="I116" s="18"/>
      <c r="J116" s="16"/>
      <c r="K116" s="19"/>
      <c r="L116" s="16"/>
      <c r="M116" s="19"/>
      <c r="N116" s="20"/>
      <c r="O116" s="20"/>
      <c r="P116" s="20"/>
      <c r="Q116" s="20"/>
      <c r="R116" s="20">
        <v>23400</v>
      </c>
      <c r="S116" s="20">
        <f t="shared" ref="S116:T117" si="107">ROUND(R116*50%,0)</f>
        <v>11700</v>
      </c>
      <c r="T116" s="20">
        <f t="shared" si="107"/>
        <v>5850</v>
      </c>
      <c r="U116" s="20">
        <f t="shared" si="75"/>
        <v>1600</v>
      </c>
      <c r="V116" s="20">
        <f t="shared" si="76"/>
        <v>4250</v>
      </c>
      <c r="W116" s="22">
        <f t="shared" si="77"/>
        <v>23400</v>
      </c>
      <c r="X116" s="20">
        <v>31</v>
      </c>
      <c r="Y116" s="20"/>
      <c r="Z116" s="20"/>
      <c r="AA116" s="20">
        <f t="shared" si="62"/>
        <v>31</v>
      </c>
      <c r="AB116" s="20">
        <f t="shared" si="63"/>
        <v>11700</v>
      </c>
      <c r="AC116" s="20">
        <f t="shared" si="64"/>
        <v>5850</v>
      </c>
      <c r="AD116" s="20">
        <f t="shared" si="65"/>
        <v>1600</v>
      </c>
      <c r="AE116" s="20">
        <f t="shared" si="66"/>
        <v>4250</v>
      </c>
      <c r="AF116" s="23">
        <f t="shared" si="67"/>
        <v>23400</v>
      </c>
      <c r="AG116" s="20"/>
      <c r="AH116" s="20"/>
      <c r="AI116" s="23">
        <f t="shared" si="78"/>
        <v>23400</v>
      </c>
      <c r="AJ116" s="20">
        <f t="shared" si="93"/>
        <v>1800</v>
      </c>
      <c r="AK116" s="20"/>
      <c r="AL116" s="20">
        <f t="shared" si="79"/>
        <v>0</v>
      </c>
      <c r="AM116" s="20">
        <f t="shared" si="103"/>
        <v>130</v>
      </c>
      <c r="AN116" s="20"/>
      <c r="AO116" s="20"/>
      <c r="AP116" s="20">
        <f t="shared" si="87"/>
        <v>1930</v>
      </c>
      <c r="AQ116" s="23">
        <f t="shared" si="80"/>
        <v>21470</v>
      </c>
      <c r="AR116" s="20">
        <f t="shared" si="81"/>
        <v>1800</v>
      </c>
      <c r="AS116" s="20">
        <f t="shared" si="69"/>
        <v>75</v>
      </c>
      <c r="AT116" s="20">
        <f t="shared" si="70"/>
        <v>75</v>
      </c>
      <c r="AU116" s="20">
        <f t="shared" si="88"/>
        <v>0</v>
      </c>
      <c r="AV116" s="23">
        <f t="shared" si="84"/>
        <v>25350</v>
      </c>
      <c r="AW116" s="20"/>
      <c r="AX116" s="20">
        <f t="shared" si="94"/>
        <v>1800</v>
      </c>
      <c r="AY116" s="20">
        <f t="shared" si="71"/>
        <v>75</v>
      </c>
      <c r="AZ116" s="20">
        <f t="shared" si="72"/>
        <v>75</v>
      </c>
      <c r="BA116" s="20">
        <f t="shared" si="92"/>
        <v>0</v>
      </c>
      <c r="BB116" s="23">
        <f t="shared" si="85"/>
        <v>25349</v>
      </c>
    </row>
    <row r="117" spans="1:55" ht="15" customHeight="1" x14ac:dyDescent="0.25">
      <c r="A117" s="11">
        <f t="shared" si="74"/>
        <v>114</v>
      </c>
      <c r="B117" s="19" t="s">
        <v>292</v>
      </c>
      <c r="C117" s="13" t="s">
        <v>256</v>
      </c>
      <c r="D117" s="13">
        <v>31</v>
      </c>
      <c r="E117" s="41" t="s">
        <v>293</v>
      </c>
      <c r="F117" s="40" t="s">
        <v>87</v>
      </c>
      <c r="G117" s="16"/>
      <c r="H117" s="17"/>
      <c r="I117" s="18"/>
      <c r="J117" s="16"/>
      <c r="K117" s="19"/>
      <c r="L117" s="16"/>
      <c r="M117" s="19"/>
      <c r="N117" s="20"/>
      <c r="O117" s="20"/>
      <c r="P117" s="20"/>
      <c r="Q117" s="20"/>
      <c r="R117" s="20">
        <v>21200</v>
      </c>
      <c r="S117" s="20">
        <v>11622</v>
      </c>
      <c r="T117" s="20">
        <f t="shared" si="107"/>
        <v>5811</v>
      </c>
      <c r="U117" s="20">
        <f t="shared" si="75"/>
        <v>1600</v>
      </c>
      <c r="V117" s="20">
        <f t="shared" si="76"/>
        <v>2167</v>
      </c>
      <c r="W117" s="22">
        <f t="shared" si="77"/>
        <v>21200</v>
      </c>
      <c r="X117" s="20">
        <v>31</v>
      </c>
      <c r="Y117" s="20"/>
      <c r="Z117" s="20"/>
      <c r="AA117" s="20">
        <f t="shared" si="62"/>
        <v>31</v>
      </c>
      <c r="AB117" s="20">
        <f t="shared" si="63"/>
        <v>11622</v>
      </c>
      <c r="AC117" s="20">
        <f t="shared" si="64"/>
        <v>5811</v>
      </c>
      <c r="AD117" s="20">
        <f t="shared" si="65"/>
        <v>1600</v>
      </c>
      <c r="AE117" s="20">
        <f t="shared" si="66"/>
        <v>2167</v>
      </c>
      <c r="AF117" s="23">
        <f t="shared" si="67"/>
        <v>21200</v>
      </c>
      <c r="AG117" s="20"/>
      <c r="AH117" s="20"/>
      <c r="AI117" s="23">
        <f t="shared" si="78"/>
        <v>21200</v>
      </c>
      <c r="AJ117" s="20">
        <f t="shared" si="93"/>
        <v>1655</v>
      </c>
      <c r="AK117" s="20"/>
      <c r="AL117" s="20">
        <f t="shared" si="79"/>
        <v>0</v>
      </c>
      <c r="AM117" s="20">
        <f t="shared" si="103"/>
        <v>130</v>
      </c>
      <c r="AN117" s="20"/>
      <c r="AO117" s="20"/>
      <c r="AP117" s="20">
        <f t="shared" si="87"/>
        <v>1785</v>
      </c>
      <c r="AQ117" s="23">
        <f t="shared" si="80"/>
        <v>19415</v>
      </c>
      <c r="AR117" s="20">
        <f t="shared" si="81"/>
        <v>1655</v>
      </c>
      <c r="AS117" s="20">
        <f t="shared" si="69"/>
        <v>69</v>
      </c>
      <c r="AT117" s="20">
        <f t="shared" si="70"/>
        <v>69</v>
      </c>
      <c r="AU117" s="20">
        <f t="shared" si="88"/>
        <v>0</v>
      </c>
      <c r="AV117" s="23">
        <f t="shared" si="84"/>
        <v>22993</v>
      </c>
      <c r="AW117" s="20"/>
      <c r="AX117" s="20">
        <f t="shared" si="94"/>
        <v>1655</v>
      </c>
      <c r="AY117" s="20">
        <f t="shared" si="71"/>
        <v>69</v>
      </c>
      <c r="AZ117" s="20">
        <f t="shared" si="72"/>
        <v>69</v>
      </c>
      <c r="BA117" s="20">
        <f t="shared" si="92"/>
        <v>0</v>
      </c>
      <c r="BB117" s="23">
        <f t="shared" si="85"/>
        <v>22992</v>
      </c>
    </row>
    <row r="118" spans="1:55" ht="15" customHeight="1" x14ac:dyDescent="0.25">
      <c r="A118" s="11">
        <f t="shared" si="74"/>
        <v>115</v>
      </c>
      <c r="B118" s="19" t="s">
        <v>294</v>
      </c>
      <c r="C118" s="13" t="s">
        <v>256</v>
      </c>
      <c r="D118" s="13">
        <v>31</v>
      </c>
      <c r="E118" s="41" t="s">
        <v>295</v>
      </c>
      <c r="F118" s="40" t="s">
        <v>135</v>
      </c>
      <c r="G118" s="16"/>
      <c r="H118" s="17"/>
      <c r="I118" s="18"/>
      <c r="J118" s="16"/>
      <c r="K118" s="19"/>
      <c r="L118" s="16"/>
      <c r="M118" s="19"/>
      <c r="N118" s="20"/>
      <c r="O118" s="20"/>
      <c r="P118" s="20"/>
      <c r="Q118" s="20"/>
      <c r="R118" s="20">
        <v>13600</v>
      </c>
      <c r="S118" s="20">
        <v>10556</v>
      </c>
      <c r="T118" s="20">
        <f t="shared" ref="T118" si="108">ROUND(S118*5%,0)</f>
        <v>528</v>
      </c>
      <c r="U118" s="20">
        <f t="shared" si="75"/>
        <v>1000</v>
      </c>
      <c r="V118" s="20">
        <f t="shared" si="76"/>
        <v>1516</v>
      </c>
      <c r="W118" s="22">
        <f t="shared" si="77"/>
        <v>13600</v>
      </c>
      <c r="X118" s="20">
        <v>31</v>
      </c>
      <c r="Y118" s="20"/>
      <c r="Z118" s="20"/>
      <c r="AA118" s="20">
        <f t="shared" si="62"/>
        <v>31</v>
      </c>
      <c r="AB118" s="20">
        <f t="shared" si="63"/>
        <v>10556</v>
      </c>
      <c r="AC118" s="20">
        <f t="shared" si="64"/>
        <v>528</v>
      </c>
      <c r="AD118" s="20">
        <f t="shared" si="65"/>
        <v>1000</v>
      </c>
      <c r="AE118" s="20">
        <f t="shared" si="66"/>
        <v>1516</v>
      </c>
      <c r="AF118" s="23">
        <f t="shared" si="67"/>
        <v>13600</v>
      </c>
      <c r="AG118" s="20"/>
      <c r="AH118" s="20"/>
      <c r="AI118" s="23">
        <f t="shared" si="78"/>
        <v>13600</v>
      </c>
      <c r="AJ118" s="20">
        <f t="shared" si="93"/>
        <v>1449</v>
      </c>
      <c r="AK118" s="20"/>
      <c r="AL118" s="20">
        <f t="shared" si="79"/>
        <v>102</v>
      </c>
      <c r="AM118" s="20">
        <f t="shared" si="103"/>
        <v>110</v>
      </c>
      <c r="AN118" s="20"/>
      <c r="AO118" s="20"/>
      <c r="AP118" s="20">
        <f t="shared" si="87"/>
        <v>1661</v>
      </c>
      <c r="AQ118" s="23">
        <f t="shared" si="80"/>
        <v>11939</v>
      </c>
      <c r="AR118" s="20">
        <f t="shared" si="81"/>
        <v>1449</v>
      </c>
      <c r="AS118" s="20">
        <f t="shared" si="69"/>
        <v>60</v>
      </c>
      <c r="AT118" s="20">
        <f t="shared" si="70"/>
        <v>60</v>
      </c>
      <c r="AU118" s="20">
        <f t="shared" si="88"/>
        <v>442</v>
      </c>
      <c r="AV118" s="23">
        <f t="shared" si="84"/>
        <v>15611</v>
      </c>
      <c r="AW118" s="20"/>
      <c r="AX118" s="20">
        <f t="shared" si="94"/>
        <v>1449</v>
      </c>
      <c r="AY118" s="20">
        <f t="shared" si="71"/>
        <v>60</v>
      </c>
      <c r="AZ118" s="20">
        <f t="shared" si="72"/>
        <v>60</v>
      </c>
      <c r="BA118" s="20">
        <f t="shared" si="92"/>
        <v>442</v>
      </c>
      <c r="BB118" s="23">
        <f t="shared" si="85"/>
        <v>15610</v>
      </c>
    </row>
    <row r="119" spans="1:55" ht="15" customHeight="1" x14ac:dyDescent="0.25">
      <c r="A119" s="11">
        <f t="shared" si="74"/>
        <v>116</v>
      </c>
      <c r="B119" s="19" t="s">
        <v>296</v>
      </c>
      <c r="C119" s="13" t="s">
        <v>256</v>
      </c>
      <c r="D119" s="13">
        <v>31</v>
      </c>
      <c r="E119" s="41" t="s">
        <v>297</v>
      </c>
      <c r="F119" s="40" t="s">
        <v>87</v>
      </c>
      <c r="G119" s="16"/>
      <c r="H119" s="17"/>
      <c r="I119" s="18"/>
      <c r="J119" s="16"/>
      <c r="K119" s="19"/>
      <c r="L119" s="16"/>
      <c r="M119" s="19"/>
      <c r="N119" s="20"/>
      <c r="O119" s="20"/>
      <c r="P119" s="20"/>
      <c r="Q119" s="20"/>
      <c r="R119" s="20">
        <v>21200</v>
      </c>
      <c r="S119" s="20">
        <v>11622</v>
      </c>
      <c r="T119" s="20">
        <f t="shared" ref="T119:T122" si="109">ROUND(S119*50%,0)</f>
        <v>5811</v>
      </c>
      <c r="U119" s="20">
        <f t="shared" si="75"/>
        <v>1600</v>
      </c>
      <c r="V119" s="20">
        <f t="shared" si="76"/>
        <v>2167</v>
      </c>
      <c r="W119" s="22">
        <f t="shared" si="77"/>
        <v>21200</v>
      </c>
      <c r="X119" s="20">
        <v>31</v>
      </c>
      <c r="Y119" s="20"/>
      <c r="Z119" s="20"/>
      <c r="AA119" s="20">
        <f t="shared" si="62"/>
        <v>31</v>
      </c>
      <c r="AB119" s="20">
        <f t="shared" si="63"/>
        <v>11622</v>
      </c>
      <c r="AC119" s="20">
        <f t="shared" si="64"/>
        <v>5811</v>
      </c>
      <c r="AD119" s="20">
        <f t="shared" si="65"/>
        <v>1600</v>
      </c>
      <c r="AE119" s="20">
        <f t="shared" si="66"/>
        <v>2167</v>
      </c>
      <c r="AF119" s="23">
        <f t="shared" si="67"/>
        <v>21200</v>
      </c>
      <c r="AG119" s="20"/>
      <c r="AH119" s="20"/>
      <c r="AI119" s="23">
        <f t="shared" si="78"/>
        <v>21200</v>
      </c>
      <c r="AJ119" s="20">
        <f t="shared" si="93"/>
        <v>1655</v>
      </c>
      <c r="AK119" s="20"/>
      <c r="AL119" s="20">
        <f t="shared" si="79"/>
        <v>0</v>
      </c>
      <c r="AM119" s="20">
        <f t="shared" si="103"/>
        <v>130</v>
      </c>
      <c r="AN119" s="20"/>
      <c r="AO119" s="20"/>
      <c r="AP119" s="20">
        <f t="shared" si="87"/>
        <v>1785</v>
      </c>
      <c r="AQ119" s="23">
        <f t="shared" si="80"/>
        <v>19415</v>
      </c>
      <c r="AR119" s="20">
        <f t="shared" si="81"/>
        <v>1655</v>
      </c>
      <c r="AS119" s="20">
        <f t="shared" si="69"/>
        <v>69</v>
      </c>
      <c r="AT119" s="20">
        <f t="shared" si="70"/>
        <v>69</v>
      </c>
      <c r="AU119" s="20">
        <f t="shared" si="88"/>
        <v>0</v>
      </c>
      <c r="AV119" s="23">
        <f t="shared" si="84"/>
        <v>22993</v>
      </c>
      <c r="AW119" s="20"/>
      <c r="AX119" s="20">
        <f t="shared" si="94"/>
        <v>1655</v>
      </c>
      <c r="AY119" s="20">
        <f t="shared" si="71"/>
        <v>69</v>
      </c>
      <c r="AZ119" s="20">
        <f t="shared" si="72"/>
        <v>69</v>
      </c>
      <c r="BA119" s="20">
        <f t="shared" si="92"/>
        <v>0</v>
      </c>
      <c r="BB119" s="23">
        <f t="shared" si="85"/>
        <v>22992</v>
      </c>
    </row>
    <row r="120" spans="1:55" ht="15" customHeight="1" x14ac:dyDescent="0.25">
      <c r="A120" s="11">
        <f t="shared" si="74"/>
        <v>117</v>
      </c>
      <c r="B120" s="19" t="s">
        <v>298</v>
      </c>
      <c r="C120" s="13" t="s">
        <v>256</v>
      </c>
      <c r="D120" s="13">
        <v>31</v>
      </c>
      <c r="E120" s="41" t="s">
        <v>299</v>
      </c>
      <c r="F120" s="40" t="s">
        <v>87</v>
      </c>
      <c r="G120" s="16"/>
      <c r="H120" s="17"/>
      <c r="I120" s="18"/>
      <c r="J120" s="16"/>
      <c r="K120" s="19"/>
      <c r="L120" s="16"/>
      <c r="M120" s="19"/>
      <c r="N120" s="20"/>
      <c r="O120" s="20"/>
      <c r="P120" s="20"/>
      <c r="Q120" s="20"/>
      <c r="R120" s="20">
        <v>21200</v>
      </c>
      <c r="S120" s="20">
        <v>11622</v>
      </c>
      <c r="T120" s="20">
        <f t="shared" si="109"/>
        <v>5811</v>
      </c>
      <c r="U120" s="20">
        <f t="shared" si="75"/>
        <v>1600</v>
      </c>
      <c r="V120" s="20">
        <f t="shared" si="76"/>
        <v>2167</v>
      </c>
      <c r="W120" s="22">
        <f t="shared" si="77"/>
        <v>21200</v>
      </c>
      <c r="X120" s="20">
        <v>31</v>
      </c>
      <c r="Y120" s="20"/>
      <c r="Z120" s="20"/>
      <c r="AA120" s="20">
        <f t="shared" si="62"/>
        <v>31</v>
      </c>
      <c r="AB120" s="20">
        <f t="shared" si="63"/>
        <v>11622</v>
      </c>
      <c r="AC120" s="20">
        <f t="shared" si="64"/>
        <v>5811</v>
      </c>
      <c r="AD120" s="20">
        <f t="shared" si="65"/>
        <v>1600</v>
      </c>
      <c r="AE120" s="20">
        <f t="shared" si="66"/>
        <v>2167</v>
      </c>
      <c r="AF120" s="23">
        <f t="shared" si="67"/>
        <v>21200</v>
      </c>
      <c r="AG120" s="20"/>
      <c r="AH120" s="20"/>
      <c r="AI120" s="23">
        <f t="shared" si="78"/>
        <v>21200</v>
      </c>
      <c r="AJ120" s="20">
        <f t="shared" si="93"/>
        <v>1655</v>
      </c>
      <c r="AK120" s="20"/>
      <c r="AL120" s="20">
        <f t="shared" si="79"/>
        <v>0</v>
      </c>
      <c r="AM120" s="20">
        <f t="shared" si="103"/>
        <v>130</v>
      </c>
      <c r="AN120" s="20"/>
      <c r="AO120" s="20"/>
      <c r="AP120" s="20">
        <f t="shared" si="87"/>
        <v>1785</v>
      </c>
      <c r="AQ120" s="23">
        <f t="shared" si="80"/>
        <v>19415</v>
      </c>
      <c r="AR120" s="20">
        <f t="shared" si="81"/>
        <v>1655</v>
      </c>
      <c r="AS120" s="20">
        <f t="shared" si="69"/>
        <v>69</v>
      </c>
      <c r="AT120" s="20">
        <f t="shared" si="70"/>
        <v>69</v>
      </c>
      <c r="AU120" s="20">
        <f t="shared" si="88"/>
        <v>0</v>
      </c>
      <c r="AV120" s="23">
        <f t="shared" si="84"/>
        <v>22993</v>
      </c>
      <c r="AW120" s="20"/>
      <c r="AX120" s="20">
        <f t="shared" si="94"/>
        <v>1655</v>
      </c>
      <c r="AY120" s="20">
        <f t="shared" si="71"/>
        <v>69</v>
      </c>
      <c r="AZ120" s="20">
        <f t="shared" si="72"/>
        <v>69</v>
      </c>
      <c r="BA120" s="20">
        <f t="shared" si="92"/>
        <v>0</v>
      </c>
      <c r="BB120" s="23">
        <f t="shared" si="85"/>
        <v>22992</v>
      </c>
    </row>
    <row r="121" spans="1:55" ht="15" customHeight="1" x14ac:dyDescent="0.25">
      <c r="A121" s="11">
        <f t="shared" si="74"/>
        <v>118</v>
      </c>
      <c r="B121" s="19" t="s">
        <v>300</v>
      </c>
      <c r="C121" s="13" t="s">
        <v>256</v>
      </c>
      <c r="D121" s="13">
        <v>31</v>
      </c>
      <c r="E121" s="41" t="s">
        <v>301</v>
      </c>
      <c r="F121" s="40" t="s">
        <v>87</v>
      </c>
      <c r="G121" s="16"/>
      <c r="H121" s="17"/>
      <c r="I121" s="18"/>
      <c r="J121" s="16"/>
      <c r="K121" s="19"/>
      <c r="L121" s="16"/>
      <c r="M121" s="19"/>
      <c r="N121" s="20"/>
      <c r="O121" s="20"/>
      <c r="P121" s="20"/>
      <c r="Q121" s="20"/>
      <c r="R121" s="20">
        <v>21200</v>
      </c>
      <c r="S121" s="20">
        <v>11622</v>
      </c>
      <c r="T121" s="20">
        <f t="shared" si="109"/>
        <v>5811</v>
      </c>
      <c r="U121" s="20">
        <f t="shared" si="75"/>
        <v>1600</v>
      </c>
      <c r="V121" s="20">
        <f t="shared" si="76"/>
        <v>2167</v>
      </c>
      <c r="W121" s="22">
        <f t="shared" si="77"/>
        <v>21200</v>
      </c>
      <c r="X121" s="20">
        <v>31</v>
      </c>
      <c r="Y121" s="20"/>
      <c r="Z121" s="20"/>
      <c r="AA121" s="20">
        <f t="shared" si="62"/>
        <v>31</v>
      </c>
      <c r="AB121" s="20">
        <f t="shared" si="63"/>
        <v>11622</v>
      </c>
      <c r="AC121" s="20">
        <f t="shared" si="64"/>
        <v>5811</v>
      </c>
      <c r="AD121" s="20">
        <f t="shared" si="65"/>
        <v>1600</v>
      </c>
      <c r="AE121" s="20">
        <f t="shared" si="66"/>
        <v>2167</v>
      </c>
      <c r="AF121" s="23">
        <f t="shared" si="67"/>
        <v>21200</v>
      </c>
      <c r="AG121" s="20"/>
      <c r="AH121" s="20"/>
      <c r="AI121" s="23">
        <f t="shared" si="78"/>
        <v>21200</v>
      </c>
      <c r="AJ121" s="20">
        <f t="shared" si="93"/>
        <v>1655</v>
      </c>
      <c r="AK121" s="20"/>
      <c r="AL121" s="20">
        <f t="shared" si="79"/>
        <v>0</v>
      </c>
      <c r="AM121" s="20">
        <f t="shared" si="103"/>
        <v>130</v>
      </c>
      <c r="AN121" s="20"/>
      <c r="AO121" s="20"/>
      <c r="AP121" s="20">
        <f t="shared" si="87"/>
        <v>1785</v>
      </c>
      <c r="AQ121" s="23">
        <f t="shared" si="80"/>
        <v>19415</v>
      </c>
      <c r="AR121" s="20">
        <f t="shared" si="81"/>
        <v>1655</v>
      </c>
      <c r="AS121" s="20">
        <f t="shared" si="69"/>
        <v>69</v>
      </c>
      <c r="AT121" s="20">
        <f t="shared" si="70"/>
        <v>69</v>
      </c>
      <c r="AU121" s="20">
        <f t="shared" si="88"/>
        <v>0</v>
      </c>
      <c r="AV121" s="23">
        <f t="shared" si="84"/>
        <v>22993</v>
      </c>
      <c r="AW121" s="20"/>
      <c r="AX121" s="20">
        <f t="shared" si="94"/>
        <v>1655</v>
      </c>
      <c r="AY121" s="20">
        <f t="shared" si="71"/>
        <v>69</v>
      </c>
      <c r="AZ121" s="20">
        <f t="shared" si="72"/>
        <v>69</v>
      </c>
      <c r="BA121" s="20">
        <f t="shared" si="92"/>
        <v>0</v>
      </c>
      <c r="BB121" s="23">
        <f t="shared" si="85"/>
        <v>22992</v>
      </c>
    </row>
    <row r="122" spans="1:55" ht="15" customHeight="1" x14ac:dyDescent="0.25">
      <c r="A122" s="11">
        <f t="shared" si="74"/>
        <v>119</v>
      </c>
      <c r="B122" s="19" t="s">
        <v>302</v>
      </c>
      <c r="C122" s="13" t="s">
        <v>256</v>
      </c>
      <c r="D122" s="13">
        <v>31</v>
      </c>
      <c r="E122" s="41" t="s">
        <v>303</v>
      </c>
      <c r="F122" s="40" t="s">
        <v>87</v>
      </c>
      <c r="G122" s="16"/>
      <c r="H122" s="17"/>
      <c r="I122" s="18"/>
      <c r="J122" s="16"/>
      <c r="K122" s="19"/>
      <c r="L122" s="16"/>
      <c r="M122" s="19"/>
      <c r="N122" s="20"/>
      <c r="O122" s="20"/>
      <c r="P122" s="20"/>
      <c r="Q122" s="20"/>
      <c r="R122" s="20">
        <v>21200</v>
      </c>
      <c r="S122" s="20">
        <v>11622</v>
      </c>
      <c r="T122" s="20">
        <f t="shared" si="109"/>
        <v>5811</v>
      </c>
      <c r="U122" s="20">
        <f t="shared" si="75"/>
        <v>1600</v>
      </c>
      <c r="V122" s="20">
        <f t="shared" si="76"/>
        <v>2167</v>
      </c>
      <c r="W122" s="22">
        <f t="shared" si="77"/>
        <v>21200</v>
      </c>
      <c r="X122" s="20">
        <v>31</v>
      </c>
      <c r="Y122" s="20"/>
      <c r="Z122" s="20"/>
      <c r="AA122" s="20">
        <f t="shared" si="62"/>
        <v>31</v>
      </c>
      <c r="AB122" s="20">
        <f t="shared" si="63"/>
        <v>11622</v>
      </c>
      <c r="AC122" s="20">
        <f t="shared" si="64"/>
        <v>5811</v>
      </c>
      <c r="AD122" s="20">
        <f t="shared" si="65"/>
        <v>1600</v>
      </c>
      <c r="AE122" s="20">
        <f t="shared" si="66"/>
        <v>2167</v>
      </c>
      <c r="AF122" s="23">
        <f t="shared" si="67"/>
        <v>21200</v>
      </c>
      <c r="AG122" s="20"/>
      <c r="AH122" s="20"/>
      <c r="AI122" s="23">
        <f t="shared" si="78"/>
        <v>21200</v>
      </c>
      <c r="AJ122" s="20">
        <f t="shared" si="93"/>
        <v>1655</v>
      </c>
      <c r="AK122" s="20"/>
      <c r="AL122" s="20">
        <f t="shared" si="79"/>
        <v>0</v>
      </c>
      <c r="AM122" s="20">
        <f t="shared" si="103"/>
        <v>130</v>
      </c>
      <c r="AN122" s="20"/>
      <c r="AO122" s="20"/>
      <c r="AP122" s="20">
        <f t="shared" si="87"/>
        <v>1785</v>
      </c>
      <c r="AQ122" s="23">
        <f t="shared" si="80"/>
        <v>19415</v>
      </c>
      <c r="AR122" s="20">
        <f t="shared" si="81"/>
        <v>1655</v>
      </c>
      <c r="AS122" s="20">
        <f t="shared" si="69"/>
        <v>69</v>
      </c>
      <c r="AT122" s="20">
        <f t="shared" si="70"/>
        <v>69</v>
      </c>
      <c r="AU122" s="20">
        <f t="shared" si="88"/>
        <v>0</v>
      </c>
      <c r="AV122" s="23">
        <f t="shared" si="84"/>
        <v>22993</v>
      </c>
      <c r="AW122" s="20"/>
      <c r="AX122" s="20">
        <f t="shared" si="94"/>
        <v>1655</v>
      </c>
      <c r="AY122" s="20">
        <f t="shared" si="71"/>
        <v>69</v>
      </c>
      <c r="AZ122" s="20">
        <f t="shared" si="72"/>
        <v>69</v>
      </c>
      <c r="BA122" s="20">
        <f t="shared" si="92"/>
        <v>0</v>
      </c>
      <c r="BB122" s="23">
        <f t="shared" si="85"/>
        <v>22992</v>
      </c>
    </row>
    <row r="123" spans="1:55" ht="15" customHeight="1" x14ac:dyDescent="0.25">
      <c r="A123" s="11"/>
      <c r="B123" s="19"/>
      <c r="C123" s="13"/>
      <c r="D123" s="13"/>
      <c r="E123" s="41"/>
      <c r="F123" s="29"/>
      <c r="G123" s="16"/>
      <c r="H123" s="17"/>
      <c r="I123" s="18"/>
      <c r="J123" s="16"/>
      <c r="K123" s="19"/>
      <c r="L123" s="16"/>
      <c r="M123" s="19"/>
      <c r="N123" s="20"/>
      <c r="O123" s="20"/>
      <c r="P123" s="20"/>
      <c r="Q123" s="20"/>
      <c r="R123" s="20"/>
      <c r="S123" s="20"/>
      <c r="T123" s="20"/>
      <c r="U123" s="20"/>
      <c r="V123" s="20"/>
      <c r="W123" s="22"/>
      <c r="X123" s="20"/>
      <c r="Y123" s="20"/>
      <c r="Z123" s="20"/>
      <c r="AA123" s="20"/>
      <c r="AB123" s="20"/>
      <c r="AC123" s="20"/>
      <c r="AD123" s="20"/>
      <c r="AE123" s="20"/>
      <c r="AF123" s="23"/>
      <c r="AG123" s="20"/>
      <c r="AH123" s="20"/>
      <c r="AI123" s="23"/>
      <c r="AJ123" s="20"/>
      <c r="AK123" s="20"/>
      <c r="AL123" s="20"/>
      <c r="AM123" s="20"/>
      <c r="AN123" s="20"/>
      <c r="AO123" s="20"/>
      <c r="AP123" s="20"/>
      <c r="AQ123" s="23"/>
      <c r="AR123" s="20"/>
      <c r="AS123" s="20"/>
      <c r="AT123" s="20"/>
      <c r="AU123" s="20"/>
      <c r="AV123" s="23"/>
      <c r="AW123" s="20"/>
      <c r="AX123" s="20"/>
      <c r="AY123" s="20"/>
      <c r="AZ123" s="20"/>
      <c r="BA123" s="20"/>
      <c r="BB123" s="23"/>
    </row>
    <row r="124" spans="1:55" ht="15" customHeight="1" x14ac:dyDescent="0.25">
      <c r="A124" s="44"/>
      <c r="B124" s="45"/>
      <c r="C124" s="11" t="s">
        <v>304</v>
      </c>
      <c r="D124" s="45"/>
      <c r="E124" s="45"/>
      <c r="F124" s="45"/>
      <c r="G124" s="45"/>
      <c r="H124" s="46"/>
      <c r="I124" s="46"/>
      <c r="J124" s="45"/>
      <c r="K124" s="45"/>
      <c r="L124" s="45"/>
      <c r="M124" s="45"/>
      <c r="N124" s="46"/>
      <c r="O124" s="46"/>
      <c r="P124" s="46"/>
      <c r="Q124" s="46"/>
      <c r="R124" s="46">
        <f>SUM(R4:R122)</f>
        <v>2451862</v>
      </c>
      <c r="S124" s="46">
        <f t="shared" ref="S124:BB124" si="110">SUM(S4:S122)</f>
        <v>1470888</v>
      </c>
      <c r="T124" s="46">
        <f t="shared" si="110"/>
        <v>433510</v>
      </c>
      <c r="U124" s="46">
        <f t="shared" si="110"/>
        <v>140832</v>
      </c>
      <c r="V124" s="46">
        <f t="shared" si="110"/>
        <v>406754</v>
      </c>
      <c r="W124" s="46">
        <f t="shared" si="110"/>
        <v>2451984</v>
      </c>
      <c r="X124" s="46">
        <f t="shared" si="110"/>
        <v>3689</v>
      </c>
      <c r="Y124" s="46">
        <f t="shared" si="110"/>
        <v>0</v>
      </c>
      <c r="Z124" s="46">
        <f t="shared" si="110"/>
        <v>0</v>
      </c>
      <c r="AA124" s="46">
        <f t="shared" si="110"/>
        <v>3689</v>
      </c>
      <c r="AB124" s="46">
        <f t="shared" si="110"/>
        <v>1470888</v>
      </c>
      <c r="AC124" s="46">
        <f t="shared" si="110"/>
        <v>433510</v>
      </c>
      <c r="AD124" s="46">
        <f t="shared" si="110"/>
        <v>140832</v>
      </c>
      <c r="AE124" s="46">
        <f t="shared" si="110"/>
        <v>406754</v>
      </c>
      <c r="AF124" s="46">
        <f t="shared" si="110"/>
        <v>2451984</v>
      </c>
      <c r="AG124" s="46">
        <f t="shared" si="110"/>
        <v>0</v>
      </c>
      <c r="AH124" s="46">
        <f t="shared" si="110"/>
        <v>0</v>
      </c>
      <c r="AI124" s="46">
        <f t="shared" si="110"/>
        <v>2451984</v>
      </c>
      <c r="AJ124" s="46">
        <f t="shared" si="110"/>
        <v>180913</v>
      </c>
      <c r="AK124" s="46">
        <f t="shared" si="110"/>
        <v>0</v>
      </c>
      <c r="AL124" s="46">
        <f t="shared" si="110"/>
        <v>9968</v>
      </c>
      <c r="AM124" s="46">
        <f t="shared" si="110"/>
        <v>15500</v>
      </c>
      <c r="AN124" s="46">
        <f t="shared" si="110"/>
        <v>0</v>
      </c>
      <c r="AO124" s="46">
        <f t="shared" si="110"/>
        <v>0</v>
      </c>
      <c r="AP124" s="46">
        <f t="shared" si="110"/>
        <v>206381</v>
      </c>
      <c r="AQ124" s="46">
        <f t="shared" si="110"/>
        <v>2245603</v>
      </c>
      <c r="AR124" s="46">
        <f t="shared" si="110"/>
        <v>180913</v>
      </c>
      <c r="AS124" s="46">
        <f t="shared" si="110"/>
        <v>7538</v>
      </c>
      <c r="AT124" s="46">
        <f t="shared" si="110"/>
        <v>7538</v>
      </c>
      <c r="AU124" s="46">
        <f t="shared" si="110"/>
        <v>43083</v>
      </c>
      <c r="AV124" s="46">
        <f t="shared" si="110"/>
        <v>2691056</v>
      </c>
      <c r="AW124" s="46">
        <f t="shared" si="110"/>
        <v>0</v>
      </c>
      <c r="AX124" s="46">
        <f t="shared" si="110"/>
        <v>184513</v>
      </c>
      <c r="AY124" s="46">
        <f t="shared" si="110"/>
        <v>7688</v>
      </c>
      <c r="AZ124" s="46">
        <f t="shared" si="110"/>
        <v>7688</v>
      </c>
      <c r="BA124" s="46">
        <f t="shared" si="110"/>
        <v>43083</v>
      </c>
      <c r="BB124" s="46">
        <f t="shared" si="110"/>
        <v>2694912</v>
      </c>
      <c r="BC124" s="47">
        <f>SUM(BC49:BC67)</f>
        <v>0</v>
      </c>
    </row>
    <row r="126" spans="1:55" x14ac:dyDescent="0.25">
      <c r="AM126" s="48" t="e">
        <f>#REF!+#REF!+AM124</f>
        <v>#REF!</v>
      </c>
    </row>
  </sheetData>
  <autoFilter ref="A3:BC124" xr:uid="{00000000-0001-0000-0000-000000000000}"/>
  <mergeCells count="3">
    <mergeCell ref="A1:AQ2"/>
    <mergeCell ref="AR2:AV2"/>
    <mergeCell ref="AX2:BB2"/>
  </mergeCells>
  <hyperlinks>
    <hyperlink ref="S3" r:id="rId1" xr:uid="{C4445BBF-B985-44CB-848C-7BDD49CF7948}"/>
    <hyperlink ref="T3" r:id="rId2" xr:uid="{00A6CB8B-E642-4608-A8BD-13E83E278ECC}"/>
  </hyperlink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Debajit Dhar</dc:creator>
  <cp:lastModifiedBy>Manoj Kedia</cp:lastModifiedBy>
  <dcterms:created xsi:type="dcterms:W3CDTF">2026-08-08T06:26:12Z</dcterms:created>
  <dcterms:modified xsi:type="dcterms:W3CDTF">2026-08-11T07:44:12Z</dcterms:modified>
</cp:coreProperties>
</file>