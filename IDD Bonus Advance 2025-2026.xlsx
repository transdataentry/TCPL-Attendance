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4DCCF4C4-C1E0-49AE-A291-F5371EF6975F}" xr6:coauthVersionLast="47" xr6:coauthVersionMax="47" xr10:uidLastSave="{00000000-0000-0000-0000-000000000000}"/>
  <bookViews>
    <workbookView xWindow="-120" yWindow="-120" windowWidth="20730" windowHeight="11040" tabRatio="602" xr2:uid="{00000000-000D-0000-FFFF-FFFF00000000}"/>
  </bookViews>
  <sheets>
    <sheet name="IDD BONUS ADV." sheetId="5" r:id="rId1"/>
    <sheet name="CONTACT (2)" sheetId="4" state="hidden" r:id="rId2"/>
    <sheet name="STAFF" sheetId="2" state="hidden" r:id="rId3"/>
    <sheet name=" WAGES " sheetId="3" state="hidden" r:id="rId4"/>
    <sheet name="CONTACT" sheetId="1" state="hidden" r:id="rId5"/>
  </sheets>
  <definedNames>
    <definedName name="_xlnm.Print_Area" localSheetId="0">'IDD BONUS ADV.'!$A$6:$D$37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5" i="5" l="1"/>
  <c r="O39" i="1"/>
  <c r="P39" i="1" s="1"/>
  <c r="R39" i="1" s="1"/>
  <c r="O38" i="1"/>
  <c r="P38" i="1" s="1"/>
  <c r="R38" i="1" s="1"/>
  <c r="O37" i="1"/>
  <c r="P37" i="1" s="1"/>
  <c r="R37" i="1" s="1"/>
  <c r="O36" i="1"/>
  <c r="P36" i="1" s="1"/>
  <c r="R36" i="1" s="1"/>
  <c r="O35" i="1"/>
  <c r="P35" i="1" s="1"/>
  <c r="R35" i="1" s="1"/>
  <c r="O40" i="1"/>
  <c r="P40" i="1" s="1"/>
  <c r="R40" i="1" s="1"/>
  <c r="O34" i="1"/>
  <c r="P34" i="1" s="1"/>
  <c r="R34" i="1" s="1"/>
  <c r="Q41" i="1"/>
  <c r="O33" i="3"/>
  <c r="P33" i="3" s="1"/>
  <c r="R33" i="3" s="1"/>
  <c r="O34" i="3"/>
  <c r="P34" i="3" s="1"/>
  <c r="R34" i="3" s="1"/>
  <c r="O32" i="3"/>
  <c r="P32" i="3" s="1"/>
  <c r="R32" i="3" s="1"/>
  <c r="Q35" i="3"/>
  <c r="O17" i="2"/>
  <c r="P17" i="2" s="1"/>
  <c r="R17" i="2" s="1"/>
  <c r="O16" i="2"/>
  <c r="P16" i="2" s="1"/>
  <c r="R16" i="2" s="1"/>
  <c r="Q18" i="2"/>
  <c r="J29" i="5"/>
  <c r="J26" i="5"/>
  <c r="J13" i="5"/>
  <c r="C36" i="5"/>
  <c r="C14" i="5"/>
  <c r="C30" i="5"/>
  <c r="Q5" i="4" l="1"/>
  <c r="O4" i="4"/>
  <c r="P4" i="4" s="1"/>
  <c r="R4" i="4" s="1"/>
  <c r="O3" i="4"/>
  <c r="P3" i="4" s="1"/>
  <c r="R3" i="4" s="1"/>
  <c r="R5" i="4" s="1"/>
  <c r="P5" i="4" l="1"/>
  <c r="O3" i="1"/>
  <c r="P3" i="1" s="1"/>
  <c r="O31" i="3" l="1"/>
  <c r="P31" i="3" s="1"/>
  <c r="R31" i="3" s="1"/>
  <c r="O30" i="3"/>
  <c r="P30" i="3" s="1"/>
  <c r="R30" i="3" s="1"/>
  <c r="O29" i="3"/>
  <c r="P29" i="3" s="1"/>
  <c r="R29" i="3" s="1"/>
  <c r="O28" i="3"/>
  <c r="P28" i="3" s="1"/>
  <c r="R28" i="3" s="1"/>
  <c r="O27" i="3"/>
  <c r="P27" i="3" s="1"/>
  <c r="R27" i="3" s="1"/>
  <c r="O26" i="3"/>
  <c r="P26" i="3" s="1"/>
  <c r="R26" i="3" s="1"/>
  <c r="O25" i="3"/>
  <c r="P25" i="3" s="1"/>
  <c r="R25" i="3" s="1"/>
  <c r="O24" i="3"/>
  <c r="P24" i="3" s="1"/>
  <c r="R24" i="3" s="1"/>
  <c r="O23" i="3"/>
  <c r="P23" i="3" s="1"/>
  <c r="R23" i="3" s="1"/>
  <c r="O22" i="3"/>
  <c r="P22" i="3" s="1"/>
  <c r="R22" i="3" s="1"/>
  <c r="O21" i="3"/>
  <c r="P21" i="3" s="1"/>
  <c r="R21" i="3" s="1"/>
  <c r="O20" i="3"/>
  <c r="P20" i="3" s="1"/>
  <c r="R20" i="3" s="1"/>
  <c r="O19" i="3"/>
  <c r="P19" i="3" s="1"/>
  <c r="R19" i="3" s="1"/>
  <c r="O18" i="3"/>
  <c r="P18" i="3" s="1"/>
  <c r="R18" i="3" s="1"/>
  <c r="O17" i="3"/>
  <c r="P17" i="3" s="1"/>
  <c r="R17" i="3" s="1"/>
  <c r="O16" i="3"/>
  <c r="P16" i="3" s="1"/>
  <c r="R16" i="3" s="1"/>
  <c r="O15" i="3"/>
  <c r="P15" i="3" s="1"/>
  <c r="R15" i="3" s="1"/>
  <c r="O14" i="3"/>
  <c r="P14" i="3" s="1"/>
  <c r="R14" i="3" s="1"/>
  <c r="O13" i="3"/>
  <c r="P13" i="3" s="1"/>
  <c r="R13" i="3" s="1"/>
  <c r="O12" i="3"/>
  <c r="P12" i="3" s="1"/>
  <c r="R12" i="3" s="1"/>
  <c r="O11" i="3"/>
  <c r="P11" i="3" s="1"/>
  <c r="R11" i="3" s="1"/>
  <c r="O10" i="3"/>
  <c r="P10" i="3" s="1"/>
  <c r="R10" i="3" s="1"/>
  <c r="O9" i="3"/>
  <c r="P9" i="3" s="1"/>
  <c r="R9" i="3" s="1"/>
  <c r="O8" i="3"/>
  <c r="P8" i="3" s="1"/>
  <c r="R8" i="3" s="1"/>
  <c r="O7" i="3"/>
  <c r="P7" i="3" s="1"/>
  <c r="R7" i="3" s="1"/>
  <c r="O6" i="3"/>
  <c r="P6" i="3" s="1"/>
  <c r="R6" i="3" s="1"/>
  <c r="O5" i="3"/>
  <c r="P5" i="3" s="1"/>
  <c r="R5" i="3" s="1"/>
  <c r="O4" i="3"/>
  <c r="P4" i="3" s="1"/>
  <c r="R4" i="3" s="1"/>
  <c r="O3" i="3"/>
  <c r="P3" i="3" s="1"/>
  <c r="R3" i="3" s="1"/>
  <c r="R35" i="3" l="1"/>
  <c r="O15" i="2"/>
  <c r="P15" i="2" s="1"/>
  <c r="R15" i="2" s="1"/>
  <c r="O14" i="2"/>
  <c r="P14" i="2" s="1"/>
  <c r="R14" i="2" s="1"/>
  <c r="O13" i="2"/>
  <c r="P13" i="2" s="1"/>
  <c r="R13" i="2" s="1"/>
  <c r="O12" i="2"/>
  <c r="P12" i="2" s="1"/>
  <c r="R12" i="2" s="1"/>
  <c r="O11" i="2"/>
  <c r="P11" i="2" s="1"/>
  <c r="R11" i="2" s="1"/>
  <c r="O10" i="2"/>
  <c r="P10" i="2" s="1"/>
  <c r="R10" i="2" s="1"/>
  <c r="O9" i="2"/>
  <c r="P9" i="2" s="1"/>
  <c r="R9" i="2" s="1"/>
  <c r="O8" i="2"/>
  <c r="P8" i="2" s="1"/>
  <c r="R8" i="2" s="1"/>
  <c r="O7" i="2"/>
  <c r="P7" i="2" s="1"/>
  <c r="R7" i="2" s="1"/>
  <c r="O6" i="2"/>
  <c r="P6" i="2" s="1"/>
  <c r="R6" i="2" s="1"/>
  <c r="O5" i="2"/>
  <c r="P5" i="2" s="1"/>
  <c r="R5" i="2" s="1"/>
  <c r="O4" i="2"/>
  <c r="P4" i="2" s="1"/>
  <c r="R4" i="2" s="1"/>
  <c r="O3" i="2"/>
  <c r="P3" i="2" s="1"/>
  <c r="R3" i="2" s="1"/>
  <c r="R3" i="1"/>
  <c r="O4" i="1"/>
  <c r="P4" i="1" s="1"/>
  <c r="R4" i="1" s="1"/>
  <c r="O5" i="1"/>
  <c r="P5" i="1" s="1"/>
  <c r="R5" i="1" s="1"/>
  <c r="O6" i="1"/>
  <c r="P6" i="1" s="1"/>
  <c r="R6" i="1" s="1"/>
  <c r="O7" i="1"/>
  <c r="P7" i="1" s="1"/>
  <c r="R7" i="1" s="1"/>
  <c r="O8" i="1"/>
  <c r="P8" i="1" s="1"/>
  <c r="R8" i="1" s="1"/>
  <c r="O9" i="1"/>
  <c r="P9" i="1" s="1"/>
  <c r="R9" i="1" s="1"/>
  <c r="O10" i="1"/>
  <c r="P10" i="1" s="1"/>
  <c r="R10" i="1" s="1"/>
  <c r="O11" i="1"/>
  <c r="P11" i="1" s="1"/>
  <c r="R11" i="1" s="1"/>
  <c r="O12" i="1"/>
  <c r="P12" i="1" s="1"/>
  <c r="R12" i="1" s="1"/>
  <c r="O13" i="1"/>
  <c r="P13" i="1" s="1"/>
  <c r="R13" i="1" s="1"/>
  <c r="O14" i="1"/>
  <c r="P14" i="1" s="1"/>
  <c r="R14" i="1" s="1"/>
  <c r="O15" i="1"/>
  <c r="P15" i="1" s="1"/>
  <c r="R15" i="1" s="1"/>
  <c r="O16" i="1"/>
  <c r="P16" i="1" s="1"/>
  <c r="R16" i="1" s="1"/>
  <c r="O17" i="1"/>
  <c r="P17" i="1" s="1"/>
  <c r="R17" i="1" s="1"/>
  <c r="O18" i="1"/>
  <c r="P18" i="1" s="1"/>
  <c r="R18" i="1" s="1"/>
  <c r="O19" i="1"/>
  <c r="P19" i="1" s="1"/>
  <c r="R19" i="1" s="1"/>
  <c r="O20" i="1"/>
  <c r="P20" i="1" s="1"/>
  <c r="R20" i="1" s="1"/>
  <c r="O21" i="1"/>
  <c r="P21" i="1" s="1"/>
  <c r="R21" i="1" s="1"/>
  <c r="O22" i="1"/>
  <c r="P22" i="1" s="1"/>
  <c r="R22" i="1" s="1"/>
  <c r="O23" i="1"/>
  <c r="P23" i="1" s="1"/>
  <c r="R23" i="1" s="1"/>
  <c r="O24" i="1"/>
  <c r="P24" i="1" s="1"/>
  <c r="R24" i="1" s="1"/>
  <c r="O25" i="1"/>
  <c r="P25" i="1" s="1"/>
  <c r="R25" i="1" s="1"/>
  <c r="O26" i="1"/>
  <c r="P26" i="1" s="1"/>
  <c r="R26" i="1" s="1"/>
  <c r="O27" i="1"/>
  <c r="P27" i="1" s="1"/>
  <c r="R27" i="1" s="1"/>
  <c r="O28" i="1"/>
  <c r="P28" i="1" s="1"/>
  <c r="R28" i="1" s="1"/>
  <c r="O29" i="1"/>
  <c r="P29" i="1" s="1"/>
  <c r="R29" i="1" s="1"/>
  <c r="O30" i="1"/>
  <c r="P30" i="1" s="1"/>
  <c r="R30" i="1" s="1"/>
  <c r="O31" i="1"/>
  <c r="P31" i="1" s="1"/>
  <c r="R31" i="1" s="1"/>
  <c r="O32" i="1"/>
  <c r="P32" i="1" s="1"/>
  <c r="R32" i="1" s="1"/>
  <c r="O33" i="1"/>
  <c r="P33" i="1" s="1"/>
  <c r="R33" i="1" s="1"/>
  <c r="R41" i="1" l="1"/>
  <c r="R18" i="2"/>
</calcChain>
</file>

<file path=xl/sharedStrings.xml><?xml version="1.0" encoding="utf-8"?>
<sst xmlns="http://schemas.openxmlformats.org/spreadsheetml/2006/main" count="169" uniqueCount="113">
  <si>
    <t>NAME</t>
  </si>
  <si>
    <t>SL NO.</t>
  </si>
  <si>
    <t>ISRAFIL DHALI</t>
  </si>
  <si>
    <t>ROUF MONDAL</t>
  </si>
  <si>
    <t>ANSAR ALI</t>
  </si>
  <si>
    <t>GIASUDDIN DHALI</t>
  </si>
  <si>
    <t>SALAUDDIN SHAH</t>
  </si>
  <si>
    <t>RAJJAK MONDAL</t>
  </si>
  <si>
    <t>JAMIR ALI</t>
  </si>
  <si>
    <t>BASIR UDDIN KHAN</t>
  </si>
  <si>
    <t>MD. SAMIM AKRAM</t>
  </si>
  <si>
    <t>SOUGAT ALI (BABU)</t>
  </si>
  <si>
    <t>SATYA NASKAR</t>
  </si>
  <si>
    <t>SHANTI</t>
  </si>
  <si>
    <t>JAMSHED ALI</t>
  </si>
  <si>
    <t>KHALEK DHALI</t>
  </si>
  <si>
    <t>KANAK JANA</t>
  </si>
  <si>
    <t>ASHOK MONDAL</t>
  </si>
  <si>
    <t>BIDHAN MONDAL</t>
  </si>
  <si>
    <t>MOMIRUL HOQUE</t>
  </si>
  <si>
    <t>EKRAMUL ALI</t>
  </si>
  <si>
    <t>TANMOY MONDAL</t>
  </si>
  <si>
    <t>TAPAS MONDAL</t>
  </si>
  <si>
    <t>ALOK MONDAL</t>
  </si>
  <si>
    <t>RAJU MONDAL</t>
  </si>
  <si>
    <t>RAJESH BHAR</t>
  </si>
  <si>
    <t>GOUR NASKAR</t>
  </si>
  <si>
    <t>JITU MAHALI</t>
  </si>
  <si>
    <t>SAMSUR</t>
  </si>
  <si>
    <t>TOTAL</t>
  </si>
  <si>
    <t>SIGNATURE</t>
  </si>
  <si>
    <t>CONTACT WAGES BONUS 2023-2024</t>
  </si>
  <si>
    <t>ABED ALI</t>
  </si>
  <si>
    <t>ABHI MUKHERJEE</t>
  </si>
  <si>
    <t>ACHIN GUPTA</t>
  </si>
  <si>
    <t>AMIN YADAV</t>
  </si>
  <si>
    <t>ANAWAR MOLLA</t>
  </si>
  <si>
    <t>DIBAKAR MONDAL</t>
  </si>
  <si>
    <t>GULAM SARWAR</t>
  </si>
  <si>
    <t>IMAN AIL MOLLA</t>
  </si>
  <si>
    <t>PULIN MONDAL</t>
  </si>
  <si>
    <t>RAJU PAL</t>
  </si>
  <si>
    <t>UJJAL MUKHERJEE</t>
  </si>
  <si>
    <t>PROBIR GHOSH</t>
  </si>
  <si>
    <t>NABA KR. BISWAS</t>
  </si>
  <si>
    <t>AMIT BISWAS</t>
  </si>
  <si>
    <t>ANISUR ALI</t>
  </si>
  <si>
    <t>ARJUN KR. RAI</t>
  </si>
  <si>
    <t>ARMAN ALI MONDAL</t>
  </si>
  <si>
    <t>ASHIT BISWAS</t>
  </si>
  <si>
    <t>ASUTOSH SARDAR</t>
  </si>
  <si>
    <t>BUDDHODEV SIL</t>
  </si>
  <si>
    <t>DIN MOHOMMAD</t>
  </si>
  <si>
    <t>FARUK ALI</t>
  </si>
  <si>
    <t>JAHANGIR MONDAL</t>
  </si>
  <si>
    <t>KUTUB UDDIN MOLLA</t>
  </si>
  <si>
    <t>MOTIAR RAHAMAN</t>
  </si>
  <si>
    <t>SAMSER ALI</t>
  </si>
  <si>
    <t>SIRAJUL MOLLA</t>
  </si>
  <si>
    <t>SK. ANARUL ISLAM</t>
  </si>
  <si>
    <t>SRISHTI DHAR MONDAL</t>
  </si>
  <si>
    <t>SUDHAN MONDAL</t>
  </si>
  <si>
    <t>SWAPAN MONDAL</t>
  </si>
  <si>
    <t>SOUMEN GORAI</t>
  </si>
  <si>
    <t>BABLU MONDAL</t>
  </si>
  <si>
    <t>ADV.</t>
  </si>
  <si>
    <t>BONUS AMT.</t>
  </si>
  <si>
    <t>NET AMOUNT PAY</t>
  </si>
  <si>
    <t>ROFIQUL MOLLAH</t>
  </si>
  <si>
    <t>RINTU</t>
  </si>
  <si>
    <t>SL.NO.</t>
  </si>
  <si>
    <t>ADVANCE AMT.</t>
  </si>
  <si>
    <t>IDD BONUS ADVANCE (DRIVER CONTRACT)</t>
  </si>
  <si>
    <t>MOSIAR</t>
  </si>
  <si>
    <t>JULFIKAR</t>
  </si>
  <si>
    <t>HELPER</t>
  </si>
  <si>
    <t>RAFIKUL MOLLA</t>
  </si>
  <si>
    <t>JAMSED ALI</t>
  </si>
  <si>
    <t>EKRMUL ALI</t>
  </si>
  <si>
    <t>REJJAK MONDAL</t>
  </si>
  <si>
    <t>OTHERS</t>
  </si>
  <si>
    <t>MOMIRUL HAQUE</t>
  </si>
  <si>
    <t>SL. NO.</t>
  </si>
  <si>
    <t>ANWAR MOLLA</t>
  </si>
  <si>
    <t>GOLAM SARWAR</t>
  </si>
  <si>
    <t>IMAN ALI</t>
  </si>
  <si>
    <t>MORIAR RAHAMAN</t>
  </si>
  <si>
    <t>STAFF ON WAGES (IDD BONUS ADVANCE)</t>
  </si>
  <si>
    <t>DRIVER</t>
  </si>
  <si>
    <t>STAFF SALARY BONUS 2024-2025</t>
  </si>
  <si>
    <t>ASIM KHUNTIA</t>
  </si>
  <si>
    <t>MANAB BISWAS</t>
  </si>
  <si>
    <t>STAFF RJ  BONUS 2024-2025</t>
  </si>
  <si>
    <t>ANSWAR ALI MOLLA</t>
  </si>
  <si>
    <t>RAMBHAJAN</t>
  </si>
  <si>
    <t>SHANTI MONDAL</t>
  </si>
  <si>
    <t>SUPROKASH SAMANTA</t>
  </si>
  <si>
    <t>RAJESH BAR</t>
  </si>
  <si>
    <t>CONTACT WAGES BONUS 2024-2025</t>
  </si>
  <si>
    <t>ROFIKUL MOLLA</t>
  </si>
  <si>
    <t>MOSIAR MOLLA</t>
  </si>
  <si>
    <t>MADAN</t>
  </si>
  <si>
    <t>JULFIKAR ALI</t>
  </si>
  <si>
    <t>SUDIP MONDAL</t>
  </si>
  <si>
    <t>BIKRAM ROY</t>
  </si>
  <si>
    <t>BALAI CH. ROY</t>
  </si>
  <si>
    <t>MILAN RUIDAS</t>
  </si>
  <si>
    <t>KOBIR ALI</t>
  </si>
  <si>
    <t>AMIT BISWAL</t>
  </si>
  <si>
    <t>DIN MAHAMMAD</t>
  </si>
  <si>
    <t>SAMIM AKRAM</t>
  </si>
  <si>
    <t>MOKSED ALI</t>
  </si>
  <si>
    <t xml:space="preserve">KUTUB UDDIN MOLLA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</si>
</sst>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Bahnschrift SemiBold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4" xfId="0" applyBorder="1" applyAlignment="1">
      <alignment horizontal="center"/>
    </xf>
    <xf numFmtId="0" fontId="0" fillId="0" borderId="4" xfId="0" applyBorder="1"/>
    <xf numFmtId="0" fontId="1" fillId="2" borderId="5" xfId="0" applyFont="1" applyFill="1" applyBorder="1" applyAlignment="1">
      <alignment horizontal="center"/>
    </xf>
    <xf numFmtId="17" fontId="1" fillId="2" borderId="5" xfId="0" applyNumberFormat="1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0" fontId="1" fillId="2" borderId="5" xfId="0" applyNumberFormat="1" applyFont="1" applyFill="1" applyBorder="1" applyAlignment="1">
      <alignment horizontal="center"/>
    </xf>
    <xf numFmtId="1" fontId="1" fillId="4" borderId="4" xfId="0" applyNumberFormat="1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0" fillId="0" borderId="5" xfId="0" applyBorder="1"/>
    <xf numFmtId="0" fontId="1" fillId="4" borderId="7" xfId="0" applyFont="1" applyFill="1" applyBorder="1" applyAlignment="1">
      <alignment horizontal="center"/>
    </xf>
    <xf numFmtId="1" fontId="1" fillId="4" borderId="7" xfId="0" applyNumberFormat="1" applyFont="1" applyFill="1" applyBorder="1" applyAlignment="1">
      <alignment horizontal="center"/>
    </xf>
    <xf numFmtId="0" fontId="0" fillId="0" borderId="8" xfId="0" applyBorder="1"/>
    <xf numFmtId="0" fontId="0" fillId="0" borderId="5" xfId="0" applyBorder="1" applyAlignment="1">
      <alignment horizontal="center"/>
    </xf>
    <xf numFmtId="0" fontId="0" fillId="4" borderId="4" xfId="0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1" fillId="4" borderId="5" xfId="0" applyNumberFormat="1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/>
    <xf numFmtId="0" fontId="2" fillId="0" borderId="9" xfId="0" applyFont="1" applyBorder="1" applyAlignment="1">
      <alignment horizontal="center"/>
    </xf>
    <xf numFmtId="0" fontId="2" fillId="0" borderId="9" xfId="0" applyFont="1" applyBorder="1"/>
    <xf numFmtId="0" fontId="0" fillId="0" borderId="9" xfId="0" applyBorder="1"/>
    <xf numFmtId="0" fontId="2" fillId="0" borderId="5" xfId="0" applyFont="1" applyBorder="1"/>
    <xf numFmtId="0" fontId="2" fillId="4" borderId="5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" fontId="0" fillId="6" borderId="7" xfId="0" applyNumberForma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3" borderId="4" xfId="0" applyFill="1" applyBorder="1"/>
    <xf numFmtId="0" fontId="0" fillId="2" borderId="4" xfId="0" applyFill="1" applyBorder="1"/>
    <xf numFmtId="0" fontId="0" fillId="2" borderId="4" xfId="0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4" fillId="5" borderId="13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6"/>
  <sheetViews>
    <sheetView tabSelected="1" zoomScale="80" zoomScaleNormal="80" workbookViewId="0">
      <selection activeCell="J34" sqref="J34"/>
    </sheetView>
  </sheetViews>
  <sheetFormatPr defaultRowHeight="15" x14ac:dyDescent="0.25"/>
  <cols>
    <col min="1" max="1" width="9.7109375" customWidth="1"/>
    <col min="2" max="2" width="26.85546875" customWidth="1"/>
    <col min="3" max="3" width="23.85546875" customWidth="1"/>
    <col min="4" max="4" width="35.5703125" customWidth="1"/>
    <col min="5" max="5" width="8.140625" customWidth="1"/>
    <col min="6" max="6" width="8.7109375" hidden="1" customWidth="1"/>
    <col min="7" max="7" width="8.7109375" customWidth="1"/>
    <col min="8" max="8" width="11" customWidth="1"/>
    <col min="9" max="9" width="28" customWidth="1"/>
    <col min="10" max="10" width="23" customWidth="1"/>
    <col min="11" max="11" width="32.28515625" customWidth="1"/>
    <col min="14" max="14" width="11.140625" customWidth="1"/>
    <col min="16" max="16" width="13.7109375" customWidth="1"/>
    <col min="17" max="17" width="8.5703125" customWidth="1"/>
    <col min="18" max="18" width="18.42578125" customWidth="1"/>
    <col min="19" max="19" width="29.42578125" customWidth="1"/>
  </cols>
  <sheetData>
    <row r="1" spans="1:19" ht="19.5" thickBot="1" x14ac:dyDescent="0.35">
      <c r="A1" s="48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50"/>
    </row>
    <row r="2" spans="1:19" x14ac:dyDescent="0.25">
      <c r="A2" s="3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3"/>
      <c r="P2" s="3"/>
      <c r="Q2" s="3"/>
      <c r="R2" s="8"/>
      <c r="S2" s="3"/>
    </row>
    <row r="3" spans="1:19" x14ac:dyDescent="0.25">
      <c r="A3" s="5"/>
      <c r="B3" s="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7"/>
      <c r="Q3" s="1"/>
      <c r="R3" s="17"/>
      <c r="S3" s="2"/>
    </row>
    <row r="4" spans="1:19" x14ac:dyDescent="0.25">
      <c r="A4" s="5"/>
      <c r="B4" s="6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7"/>
      <c r="Q4" s="1"/>
      <c r="R4" s="17"/>
      <c r="S4" s="2"/>
    </row>
    <row r="5" spans="1:19" ht="15.75" thickBot="1" x14ac:dyDescent="0.3">
      <c r="A5" s="21"/>
      <c r="B5" s="22"/>
      <c r="C5" s="23"/>
      <c r="D5" s="23"/>
      <c r="E5" s="1"/>
      <c r="F5" s="1"/>
      <c r="G5" s="1"/>
      <c r="H5" s="23"/>
      <c r="I5" s="23"/>
      <c r="J5" s="23"/>
      <c r="K5" s="23"/>
      <c r="L5" s="1"/>
      <c r="M5" s="1"/>
      <c r="N5" s="1"/>
      <c r="O5" s="10"/>
      <c r="P5" s="18"/>
      <c r="Q5" s="19"/>
      <c r="R5" s="18"/>
      <c r="S5" s="2"/>
    </row>
    <row r="6" spans="1:19" ht="24" thickBot="1" x14ac:dyDescent="0.4">
      <c r="A6" s="51" t="s">
        <v>72</v>
      </c>
      <c r="B6" s="52"/>
      <c r="C6" s="52"/>
      <c r="D6" s="53"/>
      <c r="H6" s="60" t="s">
        <v>87</v>
      </c>
      <c r="I6" s="61"/>
      <c r="J6" s="61"/>
      <c r="K6" s="62"/>
    </row>
    <row r="7" spans="1:19" ht="18.75" x14ac:dyDescent="0.3">
      <c r="A7" s="30" t="s">
        <v>70</v>
      </c>
      <c r="B7" s="30" t="s">
        <v>0</v>
      </c>
      <c r="C7" s="30" t="s">
        <v>71</v>
      </c>
      <c r="D7" s="30" t="s">
        <v>30</v>
      </c>
      <c r="H7" s="24" t="s">
        <v>82</v>
      </c>
      <c r="I7" s="46" t="s">
        <v>0</v>
      </c>
      <c r="J7" s="46" t="s">
        <v>71</v>
      </c>
      <c r="K7" s="46" t="s">
        <v>30</v>
      </c>
    </row>
    <row r="8" spans="1:19" ht="18.75" x14ac:dyDescent="0.3">
      <c r="A8" s="20">
        <v>1</v>
      </c>
      <c r="B8" s="26" t="s">
        <v>52</v>
      </c>
      <c r="C8" s="26">
        <v>8000</v>
      </c>
      <c r="D8" s="25"/>
      <c r="H8" s="20">
        <v>1</v>
      </c>
      <c r="I8" s="20" t="s">
        <v>32</v>
      </c>
      <c r="J8" s="20">
        <v>10000</v>
      </c>
      <c r="K8" s="2"/>
    </row>
    <row r="9" spans="1:19" ht="18.75" x14ac:dyDescent="0.3">
      <c r="A9" s="20">
        <v>2</v>
      </c>
      <c r="B9" s="26"/>
      <c r="C9" s="26"/>
      <c r="D9" s="25"/>
      <c r="H9" s="20">
        <v>2</v>
      </c>
      <c r="I9" s="20" t="s">
        <v>83</v>
      </c>
      <c r="J9" s="20">
        <v>8000</v>
      </c>
      <c r="K9" s="2"/>
    </row>
    <row r="10" spans="1:19" ht="18.75" x14ac:dyDescent="0.3">
      <c r="A10" s="20">
        <v>3</v>
      </c>
      <c r="B10" s="26"/>
      <c r="C10" s="26"/>
      <c r="D10" s="25"/>
      <c r="H10" s="20">
        <v>3</v>
      </c>
      <c r="I10" s="20" t="s">
        <v>84</v>
      </c>
      <c r="J10" s="20">
        <v>10000</v>
      </c>
      <c r="K10" s="2"/>
    </row>
    <row r="11" spans="1:19" ht="18.75" x14ac:dyDescent="0.3">
      <c r="A11" s="20">
        <v>4</v>
      </c>
      <c r="B11" s="26"/>
      <c r="C11" s="26"/>
      <c r="D11" s="25"/>
      <c r="H11" s="20">
        <v>4</v>
      </c>
      <c r="I11" s="26" t="s">
        <v>85</v>
      </c>
      <c r="J11" s="26">
        <v>8000</v>
      </c>
      <c r="K11" s="2"/>
    </row>
    <row r="12" spans="1:19" ht="18.75" x14ac:dyDescent="0.3">
      <c r="A12" s="26">
        <v>5</v>
      </c>
      <c r="B12" s="26"/>
      <c r="C12" s="26"/>
      <c r="D12" s="27"/>
      <c r="H12" s="26">
        <v>5</v>
      </c>
      <c r="I12" s="20" t="s">
        <v>81</v>
      </c>
      <c r="J12" s="20">
        <v>6000</v>
      </c>
      <c r="K12" s="28"/>
    </row>
    <row r="13" spans="1:19" ht="18.75" x14ac:dyDescent="0.3">
      <c r="A13" s="26">
        <v>6</v>
      </c>
      <c r="B13" s="26"/>
      <c r="C13" s="26"/>
      <c r="D13" s="27"/>
      <c r="H13" s="20"/>
      <c r="I13" s="20"/>
      <c r="J13" s="43">
        <f>SUM(J8:J12)</f>
        <v>42000</v>
      </c>
      <c r="K13" s="2"/>
    </row>
    <row r="14" spans="1:19" ht="21.75" thickBot="1" x14ac:dyDescent="0.4">
      <c r="A14" s="26"/>
      <c r="B14" s="32" t="s">
        <v>29</v>
      </c>
      <c r="C14" s="32">
        <f>SUM(C8:C13)</f>
        <v>8000</v>
      </c>
      <c r="D14" s="27"/>
      <c r="H14" s="63" t="s">
        <v>88</v>
      </c>
      <c r="I14" s="64"/>
      <c r="J14" s="64"/>
      <c r="K14" s="65"/>
    </row>
    <row r="15" spans="1:19" ht="19.5" thickBot="1" x14ac:dyDescent="0.35">
      <c r="A15" s="54" t="s">
        <v>75</v>
      </c>
      <c r="B15" s="55"/>
      <c r="C15" s="55"/>
      <c r="D15" s="56"/>
      <c r="H15" s="24">
        <v>1</v>
      </c>
      <c r="I15" s="24" t="s">
        <v>46</v>
      </c>
      <c r="J15" s="24">
        <v>8000</v>
      </c>
      <c r="K15" s="2"/>
    </row>
    <row r="16" spans="1:19" ht="18.75" x14ac:dyDescent="0.3">
      <c r="A16" s="24">
        <v>1</v>
      </c>
      <c r="B16" s="20" t="s">
        <v>76</v>
      </c>
      <c r="C16" s="20">
        <v>6000</v>
      </c>
      <c r="D16" s="11"/>
      <c r="H16" s="20">
        <v>2</v>
      </c>
      <c r="I16" s="20" t="s">
        <v>48</v>
      </c>
      <c r="J16" s="20">
        <v>8000</v>
      </c>
      <c r="K16" s="2"/>
    </row>
    <row r="17" spans="1:11" ht="18.75" x14ac:dyDescent="0.3">
      <c r="A17" s="20">
        <v>2</v>
      </c>
      <c r="B17" s="20" t="s">
        <v>77</v>
      </c>
      <c r="C17" s="20">
        <v>6000</v>
      </c>
      <c r="D17" s="2"/>
      <c r="H17" s="20">
        <v>3</v>
      </c>
      <c r="I17" s="20" t="s">
        <v>53</v>
      </c>
      <c r="J17" s="20">
        <v>8000</v>
      </c>
      <c r="K17" s="2"/>
    </row>
    <row r="18" spans="1:11" ht="18.75" x14ac:dyDescent="0.3">
      <c r="A18" s="20">
        <v>3</v>
      </c>
      <c r="B18" s="20" t="s">
        <v>15</v>
      </c>
      <c r="C18" s="20">
        <v>6000</v>
      </c>
      <c r="D18" s="2"/>
      <c r="H18" s="20">
        <v>4</v>
      </c>
      <c r="I18" s="20" t="s">
        <v>86</v>
      </c>
      <c r="J18" s="20">
        <v>8000</v>
      </c>
      <c r="K18" s="2"/>
    </row>
    <row r="19" spans="1:11" ht="18.75" x14ac:dyDescent="0.3">
      <c r="A19" s="20">
        <v>4</v>
      </c>
      <c r="B19" s="20" t="s">
        <v>6</v>
      </c>
      <c r="C19" s="20">
        <v>6000</v>
      </c>
      <c r="D19" s="2"/>
      <c r="H19" s="20">
        <v>5</v>
      </c>
      <c r="I19" s="20" t="s">
        <v>57</v>
      </c>
      <c r="J19" s="20">
        <v>8000</v>
      </c>
      <c r="K19" s="2"/>
    </row>
    <row r="20" spans="1:11" ht="18.75" x14ac:dyDescent="0.3">
      <c r="A20" s="20">
        <v>5</v>
      </c>
      <c r="B20" s="20" t="s">
        <v>79</v>
      </c>
      <c r="C20" s="20">
        <v>6000</v>
      </c>
      <c r="D20" s="2"/>
      <c r="H20" s="26">
        <v>6</v>
      </c>
      <c r="I20" s="20" t="s">
        <v>2</v>
      </c>
      <c r="J20" s="20">
        <v>8000</v>
      </c>
      <c r="K20" s="28"/>
    </row>
    <row r="21" spans="1:11" ht="18.75" x14ac:dyDescent="0.3">
      <c r="A21" s="20">
        <v>6</v>
      </c>
      <c r="B21" s="20" t="s">
        <v>8</v>
      </c>
      <c r="C21" s="20">
        <v>6000</v>
      </c>
      <c r="D21" s="2"/>
      <c r="H21" s="26">
        <v>7</v>
      </c>
      <c r="I21" s="20" t="s">
        <v>3</v>
      </c>
      <c r="J21" s="20">
        <v>8000</v>
      </c>
      <c r="K21" s="28"/>
    </row>
    <row r="22" spans="1:11" ht="18.75" x14ac:dyDescent="0.3">
      <c r="A22" s="20">
        <v>7</v>
      </c>
      <c r="B22" s="20" t="s">
        <v>28</v>
      </c>
      <c r="C22" s="20">
        <v>6000</v>
      </c>
      <c r="D22" s="2"/>
      <c r="H22" s="26">
        <v>8</v>
      </c>
      <c r="I22" s="26" t="s">
        <v>4</v>
      </c>
      <c r="J22" s="26">
        <v>8000</v>
      </c>
      <c r="K22" s="28"/>
    </row>
    <row r="23" spans="1:11" ht="18.75" x14ac:dyDescent="0.3">
      <c r="A23" s="20"/>
      <c r="B23" s="20"/>
      <c r="C23" s="20"/>
      <c r="D23" s="2"/>
      <c r="H23" s="26">
        <v>9</v>
      </c>
      <c r="I23" s="20" t="s">
        <v>73</v>
      </c>
      <c r="J23" s="20">
        <v>8000</v>
      </c>
      <c r="K23" s="28"/>
    </row>
    <row r="24" spans="1:11" ht="18.75" x14ac:dyDescent="0.3">
      <c r="A24" s="20"/>
      <c r="B24" s="20"/>
      <c r="C24" s="20"/>
      <c r="D24" s="2"/>
      <c r="H24" s="26">
        <v>10</v>
      </c>
      <c r="I24" s="26" t="s">
        <v>74</v>
      </c>
      <c r="J24" s="26">
        <v>8000</v>
      </c>
      <c r="K24" s="28"/>
    </row>
    <row r="25" spans="1:11" ht="18.75" x14ac:dyDescent="0.3">
      <c r="A25" s="20"/>
      <c r="B25" s="20"/>
      <c r="C25" s="20"/>
      <c r="D25" s="2"/>
      <c r="H25" s="26">
        <v>11</v>
      </c>
      <c r="I25" s="26" t="s">
        <v>111</v>
      </c>
      <c r="J25" s="26">
        <v>8000</v>
      </c>
      <c r="K25" s="28"/>
    </row>
    <row r="26" spans="1:11" ht="19.5" thickBot="1" x14ac:dyDescent="0.35">
      <c r="A26" s="20"/>
      <c r="B26" s="20"/>
      <c r="C26" s="20"/>
      <c r="D26" s="2"/>
      <c r="H26" s="26"/>
      <c r="I26" s="26"/>
      <c r="J26" s="45">
        <f>SUM(J15:J25)</f>
        <v>88000</v>
      </c>
      <c r="K26" s="28"/>
    </row>
    <row r="27" spans="1:11" ht="21.75" thickBot="1" x14ac:dyDescent="0.4">
      <c r="A27" s="20"/>
      <c r="B27" s="20"/>
      <c r="C27" s="20"/>
      <c r="D27" s="2"/>
      <c r="H27" s="66" t="s">
        <v>75</v>
      </c>
      <c r="I27" s="67"/>
      <c r="J27" s="67"/>
      <c r="K27" s="68"/>
    </row>
    <row r="28" spans="1:11" ht="18.75" x14ac:dyDescent="0.3">
      <c r="A28" s="20"/>
      <c r="B28" s="20"/>
      <c r="C28" s="20"/>
      <c r="D28" s="2"/>
      <c r="H28" s="29">
        <v>1</v>
      </c>
      <c r="I28" s="20" t="s">
        <v>78</v>
      </c>
      <c r="J28" s="20">
        <v>6000</v>
      </c>
      <c r="K28" s="11"/>
    </row>
    <row r="29" spans="1:11" ht="18.75" x14ac:dyDescent="0.3">
      <c r="A29" s="20"/>
      <c r="B29" s="20"/>
      <c r="C29" s="20"/>
      <c r="D29" s="2"/>
      <c r="H29" s="2"/>
      <c r="I29" s="2"/>
      <c r="J29" s="44">
        <f>SUM(J28:J28)</f>
        <v>6000</v>
      </c>
      <c r="K29" s="2"/>
    </row>
    <row r="30" spans="1:11" ht="19.5" thickBot="1" x14ac:dyDescent="0.35">
      <c r="A30" s="20"/>
      <c r="B30" s="31" t="s">
        <v>29</v>
      </c>
      <c r="C30" s="31">
        <f>SUM(C16:C29)</f>
        <v>42000</v>
      </c>
      <c r="D30" s="2"/>
    </row>
    <row r="31" spans="1:11" ht="21.75" thickBot="1" x14ac:dyDescent="0.4">
      <c r="A31" s="28"/>
      <c r="B31" s="28"/>
      <c r="C31" s="28"/>
      <c r="D31" s="28"/>
      <c r="H31" s="69" t="s">
        <v>80</v>
      </c>
      <c r="I31" s="70"/>
      <c r="J31" s="70"/>
      <c r="K31" s="71"/>
    </row>
    <row r="32" spans="1:11" ht="21" x14ac:dyDescent="0.35">
      <c r="A32" s="57" t="s">
        <v>80</v>
      </c>
      <c r="B32" s="58"/>
      <c r="C32" s="58"/>
      <c r="D32" s="59"/>
      <c r="H32" s="20">
        <v>1</v>
      </c>
      <c r="I32" s="20" t="s">
        <v>59</v>
      </c>
      <c r="J32" s="20">
        <v>8000</v>
      </c>
      <c r="K32" s="20"/>
    </row>
    <row r="33" spans="1:11" ht="21" x14ac:dyDescent="0.35">
      <c r="A33" s="47"/>
      <c r="B33" s="47"/>
      <c r="C33" s="47"/>
      <c r="D33" s="47"/>
      <c r="H33" s="20">
        <v>2</v>
      </c>
      <c r="I33" s="26" t="s">
        <v>112</v>
      </c>
      <c r="J33" s="26">
        <v>8000</v>
      </c>
      <c r="K33" s="20"/>
    </row>
    <row r="34" spans="1:11" ht="18.75" x14ac:dyDescent="0.3">
      <c r="A34" s="20">
        <v>1</v>
      </c>
      <c r="B34" s="20"/>
      <c r="C34" s="20"/>
      <c r="D34" s="20"/>
      <c r="H34" s="20">
        <v>3</v>
      </c>
      <c r="I34" s="26" t="s">
        <v>110</v>
      </c>
      <c r="J34" s="26">
        <v>8000</v>
      </c>
      <c r="K34" s="20"/>
    </row>
    <row r="35" spans="1:11" ht="18.75" x14ac:dyDescent="0.3">
      <c r="A35" s="20">
        <v>2</v>
      </c>
      <c r="B35" s="26"/>
      <c r="C35" s="26"/>
      <c r="D35" s="20"/>
      <c r="H35" s="20"/>
      <c r="I35" s="43" t="s">
        <v>29</v>
      </c>
      <c r="J35" s="43">
        <f>SUM(J32:J34)</f>
        <v>24000</v>
      </c>
      <c r="K35" s="20"/>
    </row>
    <row r="36" spans="1:11" ht="18.75" x14ac:dyDescent="0.3">
      <c r="A36" s="20"/>
      <c r="B36" s="31" t="s">
        <v>29</v>
      </c>
      <c r="C36" s="31">
        <f>SUM(C34:C35)</f>
        <v>0</v>
      </c>
      <c r="D36" s="20"/>
    </row>
  </sheetData>
  <mergeCells count="8">
    <mergeCell ref="A1:S1"/>
    <mergeCell ref="A6:D6"/>
    <mergeCell ref="A15:D15"/>
    <mergeCell ref="A32:D32"/>
    <mergeCell ref="H6:K6"/>
    <mergeCell ref="H14:K14"/>
    <mergeCell ref="H27:K27"/>
    <mergeCell ref="H31:K31"/>
  </mergeCells>
  <pageMargins left="0.70866141732283472" right="0.70866141732283472" top="0.74803149606299213" bottom="0.74803149606299213" header="0.31496062992125984" footer="0.31496062992125984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"/>
  <sheetViews>
    <sheetView workbookViewId="0">
      <selection activeCell="L15" sqref="L15"/>
    </sheetView>
  </sheetViews>
  <sheetFormatPr defaultRowHeight="15" x14ac:dyDescent="0.25"/>
  <cols>
    <col min="1" max="1" width="6.85546875" customWidth="1"/>
    <col min="2" max="2" width="23.7109375" customWidth="1"/>
    <col min="3" max="3" width="9.140625" customWidth="1"/>
    <col min="4" max="4" width="10.28515625" customWidth="1"/>
    <col min="5" max="5" width="8.140625" customWidth="1"/>
    <col min="6" max="6" width="8.5703125" customWidth="1"/>
    <col min="7" max="7" width="8.7109375" customWidth="1"/>
    <col min="8" max="8" width="8.42578125" customWidth="1"/>
    <col min="9" max="9" width="8.5703125" customWidth="1"/>
    <col min="14" max="14" width="11.140625" customWidth="1"/>
    <col min="16" max="16" width="13.7109375" customWidth="1"/>
    <col min="17" max="17" width="8.5703125" customWidth="1"/>
    <col min="18" max="18" width="18.42578125" customWidth="1"/>
    <col min="19" max="19" width="29.42578125" customWidth="1"/>
  </cols>
  <sheetData>
    <row r="1" spans="1:19" ht="19.5" thickBot="1" x14ac:dyDescent="0.35">
      <c r="A1" s="48" t="s">
        <v>31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50"/>
    </row>
    <row r="2" spans="1:19" x14ac:dyDescent="0.25">
      <c r="A2" s="3" t="s">
        <v>1</v>
      </c>
      <c r="B2" s="3" t="s">
        <v>0</v>
      </c>
      <c r="C2" s="4">
        <v>45170</v>
      </c>
      <c r="D2" s="4">
        <v>45200</v>
      </c>
      <c r="E2" s="4">
        <v>45231</v>
      </c>
      <c r="F2" s="4">
        <v>45261</v>
      </c>
      <c r="G2" s="4">
        <v>45292</v>
      </c>
      <c r="H2" s="4">
        <v>45323</v>
      </c>
      <c r="I2" s="4">
        <v>45352</v>
      </c>
      <c r="J2" s="4">
        <v>45383</v>
      </c>
      <c r="K2" s="4">
        <v>45413</v>
      </c>
      <c r="L2" s="4">
        <v>45444</v>
      </c>
      <c r="M2" s="4">
        <v>45474</v>
      </c>
      <c r="N2" s="4">
        <v>45505</v>
      </c>
      <c r="O2" s="3" t="s">
        <v>29</v>
      </c>
      <c r="P2" s="3" t="s">
        <v>66</v>
      </c>
      <c r="Q2" s="3" t="s">
        <v>65</v>
      </c>
      <c r="R2" s="8" t="s">
        <v>67</v>
      </c>
      <c r="S2" s="3" t="s">
        <v>30</v>
      </c>
    </row>
    <row r="3" spans="1:19" x14ac:dyDescent="0.25">
      <c r="A3" s="5">
        <v>1</v>
      </c>
      <c r="B3" s="6" t="s">
        <v>68</v>
      </c>
      <c r="C3" s="1">
        <v>10985</v>
      </c>
      <c r="D3" s="1">
        <v>11870</v>
      </c>
      <c r="E3" s="1">
        <v>11360</v>
      </c>
      <c r="F3" s="1">
        <v>12310</v>
      </c>
      <c r="G3" s="1">
        <v>12715</v>
      </c>
      <c r="H3" s="1">
        <v>9210</v>
      </c>
      <c r="I3" s="1">
        <v>7330</v>
      </c>
      <c r="J3" s="1">
        <v>5885</v>
      </c>
      <c r="K3" s="1">
        <v>0</v>
      </c>
      <c r="L3" s="1">
        <v>0</v>
      </c>
      <c r="M3" s="1">
        <v>0</v>
      </c>
      <c r="N3" s="1">
        <v>9990</v>
      </c>
      <c r="O3" s="1">
        <f t="shared" ref="O3:O4" si="0">(C3+D3+E3+F3+G3+H3+I3+J3+K3+L3+M3+N3)</f>
        <v>91655</v>
      </c>
      <c r="P3" s="17">
        <f>O3*8.33%</f>
        <v>7634.8615</v>
      </c>
      <c r="Q3" s="1">
        <v>6000</v>
      </c>
      <c r="R3" s="17">
        <f>P3-Q3</f>
        <v>1634.8615</v>
      </c>
      <c r="S3" s="2"/>
    </row>
    <row r="4" spans="1:19" x14ac:dyDescent="0.25">
      <c r="A4" s="5">
        <v>2</v>
      </c>
      <c r="B4" s="6" t="s">
        <v>69</v>
      </c>
      <c r="C4" s="1">
        <v>11465</v>
      </c>
      <c r="D4" s="1">
        <v>11100</v>
      </c>
      <c r="E4" s="1">
        <v>12155</v>
      </c>
      <c r="F4" s="1">
        <v>13495</v>
      </c>
      <c r="G4" s="1">
        <v>12950</v>
      </c>
      <c r="H4" s="1">
        <v>10055</v>
      </c>
      <c r="I4" s="1">
        <v>10185</v>
      </c>
      <c r="J4" s="1">
        <v>8860</v>
      </c>
      <c r="K4" s="1">
        <v>10410</v>
      </c>
      <c r="L4" s="1">
        <v>9105</v>
      </c>
      <c r="M4" s="1">
        <v>0</v>
      </c>
      <c r="N4" s="1">
        <v>0</v>
      </c>
      <c r="O4" s="1">
        <f t="shared" si="0"/>
        <v>109780</v>
      </c>
      <c r="P4" s="17">
        <f>O4*8.33%</f>
        <v>9144.6739999999991</v>
      </c>
      <c r="Q4" s="1">
        <v>6000</v>
      </c>
      <c r="R4" s="17">
        <f>P4-Q4</f>
        <v>3144.6739999999991</v>
      </c>
      <c r="S4" s="2"/>
    </row>
    <row r="5" spans="1:19" x14ac:dyDescent="0.25">
      <c r="A5" s="5"/>
      <c r="B5" s="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0" t="s">
        <v>29</v>
      </c>
      <c r="P5" s="18">
        <f>SUM(P3:P4)</f>
        <v>16779.535499999998</v>
      </c>
      <c r="Q5" s="19">
        <f>SUM(Q3:Q4)</f>
        <v>12000</v>
      </c>
      <c r="R5" s="18">
        <f>SUM(R3:R4)</f>
        <v>4779.535499999999</v>
      </c>
      <c r="S5" s="2"/>
    </row>
  </sheetData>
  <mergeCells count="1">
    <mergeCell ref="A1:S1"/>
  </mergeCells>
  <pageMargins left="0.70866141732283472" right="0.70866141732283472" top="0.74803149606299213" bottom="0.74803149606299213" header="0.31496062992125984" footer="0.31496062992125984"/>
  <pageSetup scale="13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8"/>
  <sheetViews>
    <sheetView workbookViewId="0">
      <selection activeCell="N4" sqref="N4"/>
    </sheetView>
  </sheetViews>
  <sheetFormatPr defaultRowHeight="15" x14ac:dyDescent="0.25"/>
  <cols>
    <col min="1" max="1" width="7.5703125" customWidth="1"/>
    <col min="2" max="2" width="23.7109375" customWidth="1"/>
    <col min="3" max="3" width="11.28515625" customWidth="1"/>
    <col min="4" max="4" width="10.28515625" customWidth="1"/>
    <col min="6" max="6" width="8.5703125" customWidth="1"/>
    <col min="7" max="7" width="10.7109375" customWidth="1"/>
    <col min="8" max="8" width="9.7109375" customWidth="1"/>
    <col min="9" max="9" width="10.28515625" customWidth="1"/>
    <col min="16" max="16" width="12.42578125" customWidth="1"/>
    <col min="18" max="18" width="17.7109375" customWidth="1"/>
    <col min="19" max="19" width="29.42578125" customWidth="1"/>
  </cols>
  <sheetData>
    <row r="1" spans="1:19" ht="19.5" thickBot="1" x14ac:dyDescent="0.35">
      <c r="A1" s="48" t="s">
        <v>89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50"/>
    </row>
    <row r="2" spans="1:19" x14ac:dyDescent="0.25">
      <c r="A2" s="3" t="s">
        <v>1</v>
      </c>
      <c r="B2" s="3" t="s">
        <v>0</v>
      </c>
      <c r="C2" s="4">
        <v>45536</v>
      </c>
      <c r="D2" s="4">
        <v>45566</v>
      </c>
      <c r="E2" s="4">
        <v>45597</v>
      </c>
      <c r="F2" s="4">
        <v>45627</v>
      </c>
      <c r="G2" s="4">
        <v>45658</v>
      </c>
      <c r="H2" s="4">
        <v>45689</v>
      </c>
      <c r="I2" s="4">
        <v>45717</v>
      </c>
      <c r="J2" s="4">
        <v>45748</v>
      </c>
      <c r="K2" s="4">
        <v>45778</v>
      </c>
      <c r="L2" s="4">
        <v>45809</v>
      </c>
      <c r="M2" s="4">
        <v>45839</v>
      </c>
      <c r="N2" s="4">
        <v>45870</v>
      </c>
      <c r="O2" s="3" t="s">
        <v>29</v>
      </c>
      <c r="P2" s="3" t="s">
        <v>66</v>
      </c>
      <c r="Q2" s="3" t="s">
        <v>65</v>
      </c>
      <c r="R2" s="8" t="s">
        <v>67</v>
      </c>
      <c r="S2" s="3" t="s">
        <v>30</v>
      </c>
    </row>
    <row r="3" spans="1:19" x14ac:dyDescent="0.25">
      <c r="A3" s="5">
        <v>1</v>
      </c>
      <c r="B3" s="6" t="s">
        <v>32</v>
      </c>
      <c r="C3" s="1">
        <v>19500</v>
      </c>
      <c r="D3" s="1">
        <v>19500</v>
      </c>
      <c r="E3" s="1">
        <v>19500</v>
      </c>
      <c r="F3" s="1">
        <v>19500</v>
      </c>
      <c r="G3" s="1">
        <v>19500</v>
      </c>
      <c r="H3" s="1">
        <v>19500</v>
      </c>
      <c r="I3" s="1">
        <v>19500</v>
      </c>
      <c r="J3" s="1">
        <v>19500</v>
      </c>
      <c r="K3" s="1">
        <v>19500</v>
      </c>
      <c r="L3" s="1">
        <v>19500</v>
      </c>
      <c r="M3" s="1">
        <v>19500</v>
      </c>
      <c r="N3" s="1"/>
      <c r="O3" s="1">
        <f>(C3+D3+E3+F3+G3+H3+I3+J3+K3+L3+M3+N3)</f>
        <v>214500</v>
      </c>
      <c r="P3" s="7">
        <f>(O3*8.33%)</f>
        <v>17867.849999999999</v>
      </c>
      <c r="Q3" s="15"/>
      <c r="R3" s="7">
        <f>(P3-Q3)</f>
        <v>17867.849999999999</v>
      </c>
      <c r="S3" s="2"/>
    </row>
    <row r="4" spans="1:19" x14ac:dyDescent="0.25">
      <c r="A4" s="5">
        <v>2</v>
      </c>
      <c r="B4" s="6" t="s">
        <v>33</v>
      </c>
      <c r="C4" s="1">
        <v>27000</v>
      </c>
      <c r="D4" s="1">
        <v>27000</v>
      </c>
      <c r="E4" s="1">
        <v>27000</v>
      </c>
      <c r="F4" s="1">
        <v>27000</v>
      </c>
      <c r="G4" s="1">
        <v>27000</v>
      </c>
      <c r="H4" s="1">
        <v>27000</v>
      </c>
      <c r="I4" s="1">
        <v>27000</v>
      </c>
      <c r="J4" s="1">
        <v>27000</v>
      </c>
      <c r="K4" s="1">
        <v>27000</v>
      </c>
      <c r="L4" s="1">
        <v>27000</v>
      </c>
      <c r="M4" s="1">
        <v>27000</v>
      </c>
      <c r="N4" s="1"/>
      <c r="O4" s="1">
        <f t="shared" ref="O4:O17" si="0">(C4+D4+E4+F4+G4+H4+I4+J4+K4+L4+M4+N4)</f>
        <v>297000</v>
      </c>
      <c r="P4" s="7">
        <f t="shared" ref="P4:P17" si="1">(O4*8.33%)</f>
        <v>24740.1</v>
      </c>
      <c r="Q4" s="15"/>
      <c r="R4" s="7">
        <f t="shared" ref="R4:R17" si="2">(P4-Q4)</f>
        <v>24740.1</v>
      </c>
      <c r="S4" s="2"/>
    </row>
    <row r="5" spans="1:19" x14ac:dyDescent="0.25">
      <c r="A5" s="5">
        <v>3</v>
      </c>
      <c r="B5" s="6" t="s">
        <v>34</v>
      </c>
      <c r="C5" s="1">
        <v>22500</v>
      </c>
      <c r="D5" s="1">
        <v>22500</v>
      </c>
      <c r="E5" s="1">
        <v>22500</v>
      </c>
      <c r="F5" s="1">
        <v>22500</v>
      </c>
      <c r="G5" s="1">
        <v>22500</v>
      </c>
      <c r="H5" s="1">
        <v>22500</v>
      </c>
      <c r="I5" s="1">
        <v>22500</v>
      </c>
      <c r="J5" s="1">
        <v>22500</v>
      </c>
      <c r="K5" s="1">
        <v>22500</v>
      </c>
      <c r="L5" s="1">
        <v>22500</v>
      </c>
      <c r="M5" s="1">
        <v>22500</v>
      </c>
      <c r="N5" s="1"/>
      <c r="O5" s="1">
        <f t="shared" si="0"/>
        <v>247500</v>
      </c>
      <c r="P5" s="7">
        <f t="shared" si="1"/>
        <v>20616.75</v>
      </c>
      <c r="Q5" s="15"/>
      <c r="R5" s="7">
        <f t="shared" si="2"/>
        <v>20616.75</v>
      </c>
      <c r="S5" s="2"/>
    </row>
    <row r="6" spans="1:19" x14ac:dyDescent="0.25">
      <c r="A6" s="5">
        <v>4</v>
      </c>
      <c r="B6" s="6" t="s">
        <v>35</v>
      </c>
      <c r="C6" s="1">
        <v>23000</v>
      </c>
      <c r="D6" s="1">
        <v>23000</v>
      </c>
      <c r="E6" s="1">
        <v>23000</v>
      </c>
      <c r="F6" s="1">
        <v>23000</v>
      </c>
      <c r="G6" s="1">
        <v>23000</v>
      </c>
      <c r="H6" s="1">
        <v>23000</v>
      </c>
      <c r="I6" s="1">
        <v>23000</v>
      </c>
      <c r="J6" s="1">
        <v>23000</v>
      </c>
      <c r="K6" s="1">
        <v>23000</v>
      </c>
      <c r="L6" s="1">
        <v>23000</v>
      </c>
      <c r="M6" s="1">
        <v>23000</v>
      </c>
      <c r="N6" s="1"/>
      <c r="O6" s="1">
        <f t="shared" si="0"/>
        <v>253000</v>
      </c>
      <c r="P6" s="7">
        <f t="shared" si="1"/>
        <v>21074.9</v>
      </c>
      <c r="Q6" s="15"/>
      <c r="R6" s="7">
        <f t="shared" si="2"/>
        <v>21074.9</v>
      </c>
      <c r="S6" s="2"/>
    </row>
    <row r="7" spans="1:19" x14ac:dyDescent="0.25">
      <c r="A7" s="5">
        <v>5</v>
      </c>
      <c r="B7" s="6" t="s">
        <v>36</v>
      </c>
      <c r="C7" s="1">
        <v>14000</v>
      </c>
      <c r="D7" s="1">
        <v>14000</v>
      </c>
      <c r="E7" s="1">
        <v>13533</v>
      </c>
      <c r="F7" s="1">
        <v>14000</v>
      </c>
      <c r="G7" s="1">
        <v>14000</v>
      </c>
      <c r="H7" s="1">
        <v>14000</v>
      </c>
      <c r="I7" s="1">
        <v>13548</v>
      </c>
      <c r="J7" s="1">
        <v>14000</v>
      </c>
      <c r="K7" s="1">
        <v>14000</v>
      </c>
      <c r="L7" s="1">
        <v>14000</v>
      </c>
      <c r="M7" s="1">
        <v>14000</v>
      </c>
      <c r="N7" s="1"/>
      <c r="O7" s="1">
        <f t="shared" si="0"/>
        <v>153081</v>
      </c>
      <c r="P7" s="7">
        <f t="shared" si="1"/>
        <v>12751.647300000001</v>
      </c>
      <c r="Q7" s="15"/>
      <c r="R7" s="7">
        <f t="shared" si="2"/>
        <v>12751.647300000001</v>
      </c>
      <c r="S7" s="2"/>
    </row>
    <row r="8" spans="1:19" x14ac:dyDescent="0.25">
      <c r="A8" s="5">
        <v>6</v>
      </c>
      <c r="B8" s="6" t="s">
        <v>37</v>
      </c>
      <c r="C8" s="1">
        <v>17000</v>
      </c>
      <c r="D8" s="1">
        <v>17000</v>
      </c>
      <c r="E8" s="1">
        <v>17000</v>
      </c>
      <c r="F8" s="1">
        <v>17000</v>
      </c>
      <c r="G8" s="1">
        <v>17000</v>
      </c>
      <c r="H8" s="1">
        <v>17000</v>
      </c>
      <c r="I8" s="1">
        <v>17000</v>
      </c>
      <c r="J8" s="1">
        <v>17000</v>
      </c>
      <c r="K8" s="1">
        <v>17000</v>
      </c>
      <c r="L8" s="1">
        <v>17000</v>
      </c>
      <c r="M8" s="1">
        <v>17000</v>
      </c>
      <c r="N8" s="1"/>
      <c r="O8" s="1">
        <f t="shared" si="0"/>
        <v>187000</v>
      </c>
      <c r="P8" s="7">
        <f t="shared" si="1"/>
        <v>15577.1</v>
      </c>
      <c r="Q8" s="15"/>
      <c r="R8" s="7">
        <f t="shared" si="2"/>
        <v>15577.1</v>
      </c>
      <c r="S8" s="2"/>
    </row>
    <row r="9" spans="1:19" x14ac:dyDescent="0.25">
      <c r="A9" s="5">
        <v>7</v>
      </c>
      <c r="B9" s="6" t="s">
        <v>38</v>
      </c>
      <c r="C9" s="1">
        <v>25000</v>
      </c>
      <c r="D9" s="1">
        <v>25000</v>
      </c>
      <c r="E9" s="1">
        <v>25000</v>
      </c>
      <c r="F9" s="1">
        <v>25000</v>
      </c>
      <c r="G9" s="1">
        <v>25000</v>
      </c>
      <c r="H9" s="1">
        <v>25000</v>
      </c>
      <c r="I9" s="1">
        <v>25000</v>
      </c>
      <c r="J9" s="1">
        <v>25000</v>
      </c>
      <c r="K9" s="1">
        <v>25000</v>
      </c>
      <c r="L9" s="1">
        <v>25000</v>
      </c>
      <c r="M9" s="1">
        <v>25000</v>
      </c>
      <c r="N9" s="1"/>
      <c r="O9" s="1">
        <f t="shared" si="0"/>
        <v>275000</v>
      </c>
      <c r="P9" s="7">
        <f t="shared" si="1"/>
        <v>22907.5</v>
      </c>
      <c r="Q9" s="15"/>
      <c r="R9" s="7">
        <f t="shared" si="2"/>
        <v>22907.5</v>
      </c>
      <c r="S9" s="2"/>
    </row>
    <row r="10" spans="1:19" x14ac:dyDescent="0.25">
      <c r="A10" s="5">
        <v>8</v>
      </c>
      <c r="B10" s="6" t="s">
        <v>39</v>
      </c>
      <c r="C10" s="1">
        <v>16000</v>
      </c>
      <c r="D10" s="1">
        <v>16000</v>
      </c>
      <c r="E10" s="1">
        <v>16000</v>
      </c>
      <c r="F10" s="1">
        <v>16000</v>
      </c>
      <c r="G10" s="1">
        <v>16000</v>
      </c>
      <c r="H10" s="1">
        <v>16000</v>
      </c>
      <c r="I10" s="1">
        <v>16000</v>
      </c>
      <c r="J10" s="1">
        <v>16000</v>
      </c>
      <c r="K10" s="1">
        <v>16000</v>
      </c>
      <c r="L10" s="1">
        <v>16000</v>
      </c>
      <c r="M10" s="1">
        <v>16000</v>
      </c>
      <c r="N10" s="1"/>
      <c r="O10" s="1">
        <f t="shared" si="0"/>
        <v>176000</v>
      </c>
      <c r="P10" s="7">
        <f t="shared" si="1"/>
        <v>14660.8</v>
      </c>
      <c r="Q10" s="15"/>
      <c r="R10" s="7">
        <f t="shared" si="2"/>
        <v>14660.8</v>
      </c>
      <c r="S10" s="2"/>
    </row>
    <row r="11" spans="1:19" x14ac:dyDescent="0.25">
      <c r="A11" s="5">
        <v>9</v>
      </c>
      <c r="B11" s="6" t="s">
        <v>40</v>
      </c>
      <c r="C11" s="1">
        <v>11000</v>
      </c>
      <c r="D11" s="1">
        <v>11000</v>
      </c>
      <c r="E11" s="1">
        <v>10633</v>
      </c>
      <c r="F11" s="1">
        <v>11000</v>
      </c>
      <c r="G11" s="1">
        <v>11000</v>
      </c>
      <c r="H11" s="1">
        <v>10215</v>
      </c>
      <c r="I11" s="1">
        <v>11000</v>
      </c>
      <c r="J11" s="1">
        <v>10633</v>
      </c>
      <c r="K11" s="1">
        <v>8516</v>
      </c>
      <c r="L11" s="1">
        <v>11000</v>
      </c>
      <c r="M11" s="1">
        <v>11000</v>
      </c>
      <c r="N11" s="1"/>
      <c r="O11" s="1">
        <f t="shared" si="0"/>
        <v>116997</v>
      </c>
      <c r="P11" s="7">
        <f t="shared" si="1"/>
        <v>9745.8500999999997</v>
      </c>
      <c r="Q11" s="15"/>
      <c r="R11" s="7">
        <f t="shared" si="2"/>
        <v>9745.8500999999997</v>
      </c>
      <c r="S11" s="2"/>
    </row>
    <row r="12" spans="1:19" x14ac:dyDescent="0.25">
      <c r="A12" s="5">
        <v>10</v>
      </c>
      <c r="B12" s="6" t="s">
        <v>41</v>
      </c>
      <c r="C12" s="1">
        <v>18000</v>
      </c>
      <c r="D12" s="1">
        <v>18000</v>
      </c>
      <c r="E12" s="1">
        <v>18000</v>
      </c>
      <c r="F12" s="1">
        <v>18000</v>
      </c>
      <c r="G12" s="1">
        <v>18000</v>
      </c>
      <c r="H12" s="1">
        <v>18000</v>
      </c>
      <c r="I12" s="1">
        <v>18000</v>
      </c>
      <c r="J12" s="1">
        <v>18000</v>
      </c>
      <c r="K12" s="1">
        <v>18000</v>
      </c>
      <c r="L12" s="1">
        <v>18000</v>
      </c>
      <c r="M12" s="1">
        <v>18000</v>
      </c>
      <c r="N12" s="1"/>
      <c r="O12" s="1">
        <f t="shared" si="0"/>
        <v>198000</v>
      </c>
      <c r="P12" s="7">
        <f t="shared" si="1"/>
        <v>16493.400000000001</v>
      </c>
      <c r="Q12" s="15"/>
      <c r="R12" s="7">
        <f t="shared" si="2"/>
        <v>16493.400000000001</v>
      </c>
      <c r="S12" s="2"/>
    </row>
    <row r="13" spans="1:19" x14ac:dyDescent="0.25">
      <c r="A13" s="5">
        <v>11</v>
      </c>
      <c r="B13" s="6" t="s">
        <v>42</v>
      </c>
      <c r="C13" s="1">
        <v>19000</v>
      </c>
      <c r="D13" s="1">
        <v>19000</v>
      </c>
      <c r="E13" s="1">
        <v>19000</v>
      </c>
      <c r="F13" s="1">
        <v>19000</v>
      </c>
      <c r="G13" s="1">
        <v>19000</v>
      </c>
      <c r="H13" s="1">
        <v>19000</v>
      </c>
      <c r="I13" s="1">
        <v>19000</v>
      </c>
      <c r="J13" s="1">
        <v>19000</v>
      </c>
      <c r="K13" s="1">
        <v>19000</v>
      </c>
      <c r="L13" s="1">
        <v>19000</v>
      </c>
      <c r="M13" s="1">
        <v>19000</v>
      </c>
      <c r="N13" s="1"/>
      <c r="O13" s="1">
        <f t="shared" si="0"/>
        <v>209000</v>
      </c>
      <c r="P13" s="7">
        <f t="shared" si="1"/>
        <v>17409.7</v>
      </c>
      <c r="Q13" s="15"/>
      <c r="R13" s="7">
        <f t="shared" si="2"/>
        <v>17409.7</v>
      </c>
      <c r="S13" s="2"/>
    </row>
    <row r="14" spans="1:19" x14ac:dyDescent="0.25">
      <c r="A14" s="5">
        <v>12</v>
      </c>
      <c r="B14" s="6" t="s">
        <v>43</v>
      </c>
      <c r="C14" s="1">
        <v>15500</v>
      </c>
      <c r="D14" s="1">
        <v>14500</v>
      </c>
      <c r="E14" s="1">
        <v>15500</v>
      </c>
      <c r="F14" s="1">
        <v>15500</v>
      </c>
      <c r="G14" s="1">
        <v>15500</v>
      </c>
      <c r="H14" s="1">
        <v>15500</v>
      </c>
      <c r="I14" s="1">
        <v>15500</v>
      </c>
      <c r="J14" s="1">
        <v>15500</v>
      </c>
      <c r="K14" s="1">
        <v>15500</v>
      </c>
      <c r="L14" s="1">
        <v>15500</v>
      </c>
      <c r="M14" s="1">
        <v>15500</v>
      </c>
      <c r="N14" s="1"/>
      <c r="O14" s="1">
        <f t="shared" si="0"/>
        <v>169500</v>
      </c>
      <c r="P14" s="7">
        <f t="shared" si="1"/>
        <v>14119.35</v>
      </c>
      <c r="Q14" s="15"/>
      <c r="R14" s="7">
        <f t="shared" si="2"/>
        <v>14119.35</v>
      </c>
      <c r="S14" s="2"/>
    </row>
    <row r="15" spans="1:19" ht="15.75" thickBot="1" x14ac:dyDescent="0.3">
      <c r="A15" s="5">
        <v>13</v>
      </c>
      <c r="B15" s="6" t="s">
        <v>44</v>
      </c>
      <c r="C15" s="1">
        <v>24000</v>
      </c>
      <c r="D15" s="1">
        <v>24000</v>
      </c>
      <c r="E15" s="1">
        <v>22400</v>
      </c>
      <c r="F15" s="1">
        <v>21677</v>
      </c>
      <c r="G15" s="1">
        <v>24000</v>
      </c>
      <c r="H15" s="1">
        <v>23143</v>
      </c>
      <c r="I15" s="1">
        <v>23226</v>
      </c>
      <c r="J15" s="1">
        <v>23200</v>
      </c>
      <c r="K15" s="1">
        <v>24000</v>
      </c>
      <c r="L15" s="1">
        <v>21600</v>
      </c>
      <c r="M15" s="1">
        <v>11613</v>
      </c>
      <c r="N15" s="1"/>
      <c r="O15" s="1">
        <f t="shared" si="0"/>
        <v>242859</v>
      </c>
      <c r="P15" s="7">
        <f t="shared" si="1"/>
        <v>20230.154699999999</v>
      </c>
      <c r="Q15" s="15"/>
      <c r="R15" s="7">
        <f t="shared" si="2"/>
        <v>20230.154699999999</v>
      </c>
      <c r="S15" s="2"/>
    </row>
    <row r="16" spans="1:19" ht="15.75" thickBot="1" x14ac:dyDescent="0.3">
      <c r="A16" s="35">
        <v>14</v>
      </c>
      <c r="B16" s="37" t="s">
        <v>90</v>
      </c>
      <c r="C16" s="38">
        <v>37500</v>
      </c>
      <c r="D16" s="38">
        <v>37500</v>
      </c>
      <c r="E16" s="38">
        <v>37500</v>
      </c>
      <c r="F16" s="38">
        <v>37500</v>
      </c>
      <c r="G16" s="38">
        <v>37500</v>
      </c>
      <c r="H16" s="38">
        <v>37500</v>
      </c>
      <c r="I16" s="38">
        <v>37500</v>
      </c>
      <c r="J16" s="38">
        <v>37500</v>
      </c>
      <c r="K16" s="38">
        <v>36291</v>
      </c>
      <c r="L16" s="38">
        <v>37500</v>
      </c>
      <c r="M16" s="38">
        <v>33871</v>
      </c>
      <c r="N16" s="38"/>
      <c r="O16" s="33">
        <f t="shared" si="0"/>
        <v>407662</v>
      </c>
      <c r="P16" s="34">
        <f t="shared" si="1"/>
        <v>33958.244599999998</v>
      </c>
      <c r="Q16" s="33"/>
      <c r="R16" s="34">
        <f t="shared" si="2"/>
        <v>33958.244599999998</v>
      </c>
      <c r="S16" s="14"/>
    </row>
    <row r="17" spans="1:19" ht="15.75" thickBot="1" x14ac:dyDescent="0.3">
      <c r="A17" s="36">
        <v>15</v>
      </c>
      <c r="B17" s="3" t="s">
        <v>91</v>
      </c>
      <c r="C17" s="15">
        <v>15500</v>
      </c>
      <c r="D17" s="15">
        <v>15500</v>
      </c>
      <c r="E17" s="15">
        <v>14467</v>
      </c>
      <c r="F17" s="15">
        <v>15500</v>
      </c>
      <c r="G17" s="15">
        <v>15500</v>
      </c>
      <c r="H17" s="15">
        <v>15500</v>
      </c>
      <c r="I17" s="15">
        <v>15500</v>
      </c>
      <c r="J17" s="15">
        <v>15500</v>
      </c>
      <c r="K17" s="15">
        <v>15500</v>
      </c>
      <c r="L17" s="15">
        <v>14983</v>
      </c>
      <c r="M17" s="15">
        <v>15500</v>
      </c>
      <c r="N17" s="15"/>
      <c r="O17" s="15">
        <f t="shared" si="0"/>
        <v>168950</v>
      </c>
      <c r="P17" s="7">
        <f t="shared" si="1"/>
        <v>14073.535</v>
      </c>
      <c r="Q17" s="15"/>
      <c r="R17" s="7">
        <f t="shared" si="2"/>
        <v>14073.535</v>
      </c>
      <c r="S17" s="11"/>
    </row>
    <row r="18" spans="1:19" ht="15.75" thickBo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12" t="s">
        <v>29</v>
      </c>
      <c r="P18" s="12"/>
      <c r="Q18" s="12">
        <f>SUM(Q5:Q17)</f>
        <v>0</v>
      </c>
      <c r="R18" s="13">
        <f>SUM(R4:R17)</f>
        <v>258359.03170000005</v>
      </c>
      <c r="S18" s="2"/>
    </row>
  </sheetData>
  <mergeCells count="1">
    <mergeCell ref="A1:S1"/>
  </mergeCells>
  <pageMargins left="0.70866141732283472" right="0.70866141732283472" top="0.74803149606299213" bottom="0.74803149606299213" header="0.31496062992125984" footer="0.31496062992125984"/>
  <pageSetup scale="13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5"/>
  <sheetViews>
    <sheetView topLeftCell="A24" workbookViewId="0">
      <selection activeCell="C7" sqref="C7"/>
    </sheetView>
  </sheetViews>
  <sheetFormatPr defaultRowHeight="15" x14ac:dyDescent="0.25"/>
  <cols>
    <col min="1" max="1" width="7.5703125" customWidth="1"/>
    <col min="2" max="2" width="22.42578125" customWidth="1"/>
    <col min="3" max="3" width="8.42578125" customWidth="1"/>
    <col min="4" max="4" width="10.28515625" customWidth="1"/>
    <col min="6" max="7" width="8.5703125" customWidth="1"/>
    <col min="8" max="8" width="8.42578125" customWidth="1"/>
    <col min="9" max="9" width="8.28515625" customWidth="1"/>
    <col min="10" max="10" width="7.7109375" customWidth="1"/>
    <col min="11" max="11" width="8.5703125" customWidth="1"/>
    <col min="16" max="16" width="13.140625" customWidth="1"/>
    <col min="17" max="17" width="10.7109375" customWidth="1"/>
    <col min="18" max="18" width="18" customWidth="1"/>
    <col min="19" max="19" width="30.42578125" customWidth="1"/>
  </cols>
  <sheetData>
    <row r="1" spans="1:19" ht="19.5" thickBot="1" x14ac:dyDescent="0.35">
      <c r="A1" s="48" t="s">
        <v>92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50"/>
    </row>
    <row r="2" spans="1:19" x14ac:dyDescent="0.25">
      <c r="A2" s="3" t="s">
        <v>1</v>
      </c>
      <c r="B2" s="3" t="s">
        <v>0</v>
      </c>
      <c r="C2" s="4">
        <v>45536</v>
      </c>
      <c r="D2" s="4">
        <v>45566</v>
      </c>
      <c r="E2" s="4">
        <v>45597</v>
      </c>
      <c r="F2" s="4">
        <v>45627</v>
      </c>
      <c r="G2" s="4">
        <v>45658</v>
      </c>
      <c r="H2" s="4">
        <v>45689</v>
      </c>
      <c r="I2" s="4">
        <v>45717</v>
      </c>
      <c r="J2" s="4">
        <v>45748</v>
      </c>
      <c r="K2" s="4">
        <v>45778</v>
      </c>
      <c r="L2" s="4">
        <v>45809</v>
      </c>
      <c r="M2" s="4">
        <v>45839</v>
      </c>
      <c r="N2" s="4">
        <v>45870</v>
      </c>
      <c r="O2" s="3" t="s">
        <v>29</v>
      </c>
      <c r="P2" s="3" t="s">
        <v>66</v>
      </c>
      <c r="Q2" s="3" t="s">
        <v>65</v>
      </c>
      <c r="R2" s="8" t="s">
        <v>67</v>
      </c>
      <c r="S2" s="3" t="s">
        <v>30</v>
      </c>
    </row>
    <row r="3" spans="1:19" x14ac:dyDescent="0.25">
      <c r="A3" s="5">
        <v>1</v>
      </c>
      <c r="B3" s="6" t="s">
        <v>45</v>
      </c>
      <c r="C3" s="1">
        <v>13810</v>
      </c>
      <c r="D3" s="1">
        <v>12615</v>
      </c>
      <c r="E3" s="16">
        <v>0</v>
      </c>
      <c r="F3" s="16">
        <v>0</v>
      </c>
      <c r="G3" s="16">
        <v>0</v>
      </c>
      <c r="H3" s="16">
        <v>0</v>
      </c>
      <c r="I3" s="16">
        <v>0</v>
      </c>
      <c r="J3" s="16">
        <v>0</v>
      </c>
      <c r="K3" s="16">
        <v>0</v>
      </c>
      <c r="L3" s="16">
        <v>0</v>
      </c>
      <c r="M3" s="16">
        <v>0</v>
      </c>
      <c r="N3" s="1"/>
      <c r="O3" s="1">
        <f>(C3+D3+E3+F3+G3+H3+I3+J3+K3+L3+M3+N3)</f>
        <v>26425</v>
      </c>
      <c r="P3" s="7">
        <f>(O3*8.33%)</f>
        <v>2201.2024999999999</v>
      </c>
      <c r="Q3" s="15"/>
      <c r="R3" s="7">
        <f>(P3-Q3)</f>
        <v>2201.2024999999999</v>
      </c>
      <c r="S3" s="2"/>
    </row>
    <row r="4" spans="1:19" x14ac:dyDescent="0.25">
      <c r="A4" s="5">
        <v>2</v>
      </c>
      <c r="B4" s="6" t="s">
        <v>46</v>
      </c>
      <c r="C4" s="1">
        <v>18995</v>
      </c>
      <c r="D4" s="1">
        <v>15670</v>
      </c>
      <c r="E4" s="1">
        <v>20720</v>
      </c>
      <c r="F4" s="1">
        <v>21675</v>
      </c>
      <c r="G4" s="1">
        <v>22820</v>
      </c>
      <c r="H4" s="1">
        <v>11910</v>
      </c>
      <c r="I4" s="1">
        <v>1415</v>
      </c>
      <c r="J4" s="1">
        <v>17905</v>
      </c>
      <c r="K4" s="1">
        <v>19265</v>
      </c>
      <c r="L4" s="1">
        <v>15615</v>
      </c>
      <c r="M4" s="1">
        <v>18660</v>
      </c>
      <c r="N4" s="1"/>
      <c r="O4" s="1">
        <f t="shared" ref="O4:O31" si="0">(C4+D4+E4+F4+G4+H4+I4+J4+K4+L4+M4+N4)</f>
        <v>184650</v>
      </c>
      <c r="P4" s="7">
        <f t="shared" ref="P4:P31" si="1">(O4*8.33%)</f>
        <v>15381.344999999999</v>
      </c>
      <c r="Q4" s="15"/>
      <c r="R4" s="7">
        <f t="shared" ref="R4:R31" si="2">(P4-Q4)</f>
        <v>15381.344999999999</v>
      </c>
      <c r="S4" s="2"/>
    </row>
    <row r="5" spans="1:19" x14ac:dyDescent="0.25">
      <c r="A5" s="5">
        <v>3</v>
      </c>
      <c r="B5" s="6" t="s">
        <v>47</v>
      </c>
      <c r="C5" s="1">
        <v>22595</v>
      </c>
      <c r="D5" s="1">
        <v>19275</v>
      </c>
      <c r="E5" s="1">
        <v>19975</v>
      </c>
      <c r="F5" s="1">
        <v>22425</v>
      </c>
      <c r="G5" s="1">
        <v>23480</v>
      </c>
      <c r="H5" s="1">
        <v>18905</v>
      </c>
      <c r="I5" s="1">
        <v>22785</v>
      </c>
      <c r="J5" s="1">
        <v>20850</v>
      </c>
      <c r="K5" s="1">
        <v>21730</v>
      </c>
      <c r="L5" s="1">
        <v>19615</v>
      </c>
      <c r="M5" s="1">
        <v>19805</v>
      </c>
      <c r="N5" s="1"/>
      <c r="O5" s="1">
        <f t="shared" si="0"/>
        <v>231440</v>
      </c>
      <c r="P5" s="7">
        <f t="shared" si="1"/>
        <v>19278.952000000001</v>
      </c>
      <c r="Q5" s="15"/>
      <c r="R5" s="7">
        <f t="shared" si="2"/>
        <v>19278.952000000001</v>
      </c>
      <c r="S5" s="2"/>
    </row>
    <row r="6" spans="1:19" x14ac:dyDescent="0.25">
      <c r="A6" s="5">
        <v>4</v>
      </c>
      <c r="B6" s="6" t="s">
        <v>48</v>
      </c>
      <c r="C6" s="1">
        <v>17060</v>
      </c>
      <c r="D6" s="1">
        <v>15130</v>
      </c>
      <c r="E6" s="1">
        <v>14485</v>
      </c>
      <c r="F6" s="1">
        <v>20730</v>
      </c>
      <c r="G6" s="1">
        <v>20470</v>
      </c>
      <c r="H6" s="1">
        <v>16495</v>
      </c>
      <c r="I6" s="1">
        <v>19680</v>
      </c>
      <c r="J6" s="1">
        <v>16800</v>
      </c>
      <c r="K6" s="1">
        <v>14705</v>
      </c>
      <c r="L6" s="1">
        <v>15485</v>
      </c>
      <c r="M6" s="1">
        <v>15835</v>
      </c>
      <c r="N6" s="1"/>
      <c r="O6" s="1">
        <f t="shared" si="0"/>
        <v>186875</v>
      </c>
      <c r="P6" s="7">
        <f t="shared" si="1"/>
        <v>15566.6875</v>
      </c>
      <c r="Q6" s="15"/>
      <c r="R6" s="7">
        <f t="shared" si="2"/>
        <v>15566.6875</v>
      </c>
      <c r="S6" s="2"/>
    </row>
    <row r="7" spans="1:19" x14ac:dyDescent="0.25">
      <c r="A7" s="5">
        <v>5</v>
      </c>
      <c r="B7" s="6" t="s">
        <v>49</v>
      </c>
      <c r="C7" s="1">
        <v>17935</v>
      </c>
      <c r="D7" s="1">
        <v>14260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"/>
      <c r="O7" s="1">
        <f t="shared" si="0"/>
        <v>32195</v>
      </c>
      <c r="P7" s="7">
        <f t="shared" si="1"/>
        <v>2681.8434999999999</v>
      </c>
      <c r="Q7" s="15"/>
      <c r="R7" s="7">
        <f t="shared" si="2"/>
        <v>2681.8434999999999</v>
      </c>
      <c r="S7" s="2"/>
    </row>
    <row r="8" spans="1:19" x14ac:dyDescent="0.25">
      <c r="A8" s="5">
        <v>6</v>
      </c>
      <c r="B8" s="6" t="s">
        <v>50</v>
      </c>
      <c r="C8" s="1">
        <v>13325</v>
      </c>
      <c r="D8" s="1">
        <v>12200</v>
      </c>
      <c r="E8" s="1">
        <v>12075</v>
      </c>
      <c r="F8" s="1">
        <v>14635</v>
      </c>
      <c r="G8" s="1">
        <v>13595</v>
      </c>
      <c r="H8" s="1">
        <v>11045</v>
      </c>
      <c r="I8" s="1">
        <v>12970</v>
      </c>
      <c r="J8" s="1">
        <v>12410</v>
      </c>
      <c r="K8" s="1">
        <v>13940</v>
      </c>
      <c r="L8" s="1">
        <v>11095</v>
      </c>
      <c r="M8" s="1">
        <v>12825</v>
      </c>
      <c r="N8" s="1"/>
      <c r="O8" s="1">
        <f t="shared" si="0"/>
        <v>140115</v>
      </c>
      <c r="P8" s="7">
        <f t="shared" si="1"/>
        <v>11671.5795</v>
      </c>
      <c r="Q8" s="15"/>
      <c r="R8" s="7">
        <f t="shared" si="2"/>
        <v>11671.5795</v>
      </c>
      <c r="S8" s="2"/>
    </row>
    <row r="9" spans="1:19" x14ac:dyDescent="0.25">
      <c r="A9" s="5">
        <v>7</v>
      </c>
      <c r="B9" s="6" t="s">
        <v>51</v>
      </c>
      <c r="C9" s="1">
        <v>16467</v>
      </c>
      <c r="D9" s="1">
        <v>15097</v>
      </c>
      <c r="E9" s="1">
        <v>15600</v>
      </c>
      <c r="F9" s="1">
        <v>15516</v>
      </c>
      <c r="G9" s="1">
        <v>15097</v>
      </c>
      <c r="H9" s="1">
        <v>16250</v>
      </c>
      <c r="I9" s="1">
        <v>17194</v>
      </c>
      <c r="J9" s="1">
        <v>17883</v>
      </c>
      <c r="K9" s="1">
        <v>17774</v>
      </c>
      <c r="L9" s="1">
        <v>16917</v>
      </c>
      <c r="M9" s="1">
        <v>18242</v>
      </c>
      <c r="N9" s="1"/>
      <c r="O9" s="1">
        <f t="shared" si="0"/>
        <v>182037</v>
      </c>
      <c r="P9" s="7">
        <f t="shared" si="1"/>
        <v>15163.6821</v>
      </c>
      <c r="Q9" s="15"/>
      <c r="R9" s="7">
        <f t="shared" si="2"/>
        <v>15163.6821</v>
      </c>
      <c r="S9" s="2"/>
    </row>
    <row r="10" spans="1:19" x14ac:dyDescent="0.25">
      <c r="A10" s="5">
        <v>8</v>
      </c>
      <c r="B10" s="6" t="s">
        <v>52</v>
      </c>
      <c r="C10" s="1">
        <v>18680</v>
      </c>
      <c r="D10" s="1">
        <v>15220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"/>
      <c r="O10" s="1">
        <f t="shared" si="0"/>
        <v>33900</v>
      </c>
      <c r="P10" s="7">
        <f t="shared" si="1"/>
        <v>2823.87</v>
      </c>
      <c r="Q10" s="15"/>
      <c r="R10" s="7">
        <f t="shared" si="2"/>
        <v>2823.87</v>
      </c>
      <c r="S10" s="2"/>
    </row>
    <row r="11" spans="1:19" x14ac:dyDescent="0.25">
      <c r="A11" s="5">
        <v>9</v>
      </c>
      <c r="B11" s="6" t="s">
        <v>53</v>
      </c>
      <c r="C11" s="1">
        <v>15470</v>
      </c>
      <c r="D11" s="1">
        <v>14630</v>
      </c>
      <c r="E11" s="1">
        <v>17815</v>
      </c>
      <c r="F11" s="1">
        <v>21000</v>
      </c>
      <c r="G11" s="1">
        <v>20545</v>
      </c>
      <c r="H11" s="1">
        <v>17535</v>
      </c>
      <c r="I11" s="1">
        <v>17675</v>
      </c>
      <c r="J11" s="1">
        <v>17570</v>
      </c>
      <c r="K11" s="1">
        <v>17675</v>
      </c>
      <c r="L11" s="1">
        <v>13685</v>
      </c>
      <c r="M11" s="1">
        <v>16380</v>
      </c>
      <c r="N11" s="1"/>
      <c r="O11" s="1">
        <f t="shared" si="0"/>
        <v>189980</v>
      </c>
      <c r="P11" s="7">
        <f t="shared" si="1"/>
        <v>15825.333999999999</v>
      </c>
      <c r="Q11" s="15"/>
      <c r="R11" s="7">
        <f t="shared" si="2"/>
        <v>15825.333999999999</v>
      </c>
      <c r="S11" s="2"/>
    </row>
    <row r="12" spans="1:19" x14ac:dyDescent="0.25">
      <c r="A12" s="5">
        <v>10</v>
      </c>
      <c r="B12" s="6" t="s">
        <v>54</v>
      </c>
      <c r="C12" s="1">
        <v>13515</v>
      </c>
      <c r="D12" s="1">
        <v>11325</v>
      </c>
      <c r="E12" s="1">
        <v>12885</v>
      </c>
      <c r="F12" s="1">
        <v>12725</v>
      </c>
      <c r="G12" s="1">
        <v>14560</v>
      </c>
      <c r="H12" s="1">
        <v>12375</v>
      </c>
      <c r="I12" s="1">
        <v>13045</v>
      </c>
      <c r="J12" s="1">
        <v>10700</v>
      </c>
      <c r="K12" s="1">
        <v>9055</v>
      </c>
      <c r="L12" s="1">
        <v>5455</v>
      </c>
      <c r="M12" s="1">
        <v>12325</v>
      </c>
      <c r="N12" s="1"/>
      <c r="O12" s="1">
        <f t="shared" si="0"/>
        <v>127965</v>
      </c>
      <c r="P12" s="7">
        <f t="shared" si="1"/>
        <v>10659.4845</v>
      </c>
      <c r="Q12" s="15"/>
      <c r="R12" s="7">
        <f t="shared" si="2"/>
        <v>10659.4845</v>
      </c>
      <c r="S12" s="2"/>
    </row>
    <row r="13" spans="1:19" x14ac:dyDescent="0.25">
      <c r="A13" s="5">
        <v>11</v>
      </c>
      <c r="B13" s="6" t="s">
        <v>55</v>
      </c>
      <c r="C13" s="1">
        <v>15867</v>
      </c>
      <c r="D13" s="1">
        <v>16258</v>
      </c>
      <c r="E13" s="1">
        <v>16800</v>
      </c>
      <c r="F13" s="1">
        <v>16710</v>
      </c>
      <c r="G13" s="1">
        <v>16710</v>
      </c>
      <c r="H13" s="1">
        <v>17000</v>
      </c>
      <c r="I13" s="1">
        <v>15806</v>
      </c>
      <c r="J13" s="1">
        <v>16800</v>
      </c>
      <c r="K13" s="1">
        <v>16710</v>
      </c>
      <c r="L13" s="1">
        <v>15867</v>
      </c>
      <c r="M13" s="1">
        <v>16710</v>
      </c>
      <c r="N13" s="1"/>
      <c r="O13" s="1">
        <f t="shared" si="0"/>
        <v>181238</v>
      </c>
      <c r="P13" s="7">
        <f t="shared" si="1"/>
        <v>15097.125399999999</v>
      </c>
      <c r="Q13" s="15"/>
      <c r="R13" s="7">
        <f t="shared" si="2"/>
        <v>15097.125399999999</v>
      </c>
      <c r="S13" s="2"/>
    </row>
    <row r="14" spans="1:19" x14ac:dyDescent="0.25">
      <c r="A14" s="5">
        <v>12</v>
      </c>
      <c r="B14" s="6" t="s">
        <v>10</v>
      </c>
      <c r="C14" s="39">
        <v>16433</v>
      </c>
      <c r="D14" s="1">
        <v>16371</v>
      </c>
      <c r="E14" s="1">
        <v>16433</v>
      </c>
      <c r="F14" s="1">
        <v>16371</v>
      </c>
      <c r="G14" s="1">
        <v>16371</v>
      </c>
      <c r="H14" s="1">
        <v>16371</v>
      </c>
      <c r="I14" s="1">
        <v>16371</v>
      </c>
      <c r="J14" s="1">
        <v>16433</v>
      </c>
      <c r="K14" s="1">
        <v>16371</v>
      </c>
      <c r="L14" s="1">
        <v>16433</v>
      </c>
      <c r="M14" s="1">
        <v>16371</v>
      </c>
      <c r="N14" s="1"/>
      <c r="O14" s="1">
        <f t="shared" si="0"/>
        <v>180329</v>
      </c>
      <c r="P14" s="7">
        <f t="shared" si="1"/>
        <v>15021.405699999999</v>
      </c>
      <c r="Q14" s="15"/>
      <c r="R14" s="7">
        <f t="shared" si="2"/>
        <v>15021.405699999999</v>
      </c>
      <c r="S14" s="2"/>
    </row>
    <row r="15" spans="1:19" x14ac:dyDescent="0.25">
      <c r="A15" s="5">
        <v>13</v>
      </c>
      <c r="B15" s="6" t="s">
        <v>56</v>
      </c>
      <c r="C15" s="39">
        <v>15010</v>
      </c>
      <c r="D15" s="1">
        <v>16990</v>
      </c>
      <c r="E15" s="42">
        <v>0</v>
      </c>
      <c r="F15" s="1">
        <v>21720</v>
      </c>
      <c r="G15" s="1">
        <v>21895</v>
      </c>
      <c r="H15" s="1">
        <v>18895</v>
      </c>
      <c r="I15" s="1">
        <v>21205</v>
      </c>
      <c r="J15" s="1">
        <v>20495</v>
      </c>
      <c r="K15" s="1">
        <v>14485</v>
      </c>
      <c r="L15" s="1">
        <v>18395</v>
      </c>
      <c r="M15" s="1">
        <v>17510</v>
      </c>
      <c r="N15" s="1"/>
      <c r="O15" s="1">
        <f t="shared" si="0"/>
        <v>186600</v>
      </c>
      <c r="P15" s="7">
        <f t="shared" si="1"/>
        <v>15543.78</v>
      </c>
      <c r="Q15" s="15"/>
      <c r="R15" s="7">
        <f t="shared" si="2"/>
        <v>15543.78</v>
      </c>
      <c r="S15" s="2"/>
    </row>
    <row r="16" spans="1:19" x14ac:dyDescent="0.25">
      <c r="A16" s="5">
        <v>14</v>
      </c>
      <c r="B16" s="6" t="s">
        <v>57</v>
      </c>
      <c r="C16" s="39">
        <v>17150</v>
      </c>
      <c r="D16" s="39">
        <v>16170</v>
      </c>
      <c r="E16" s="39">
        <v>12600</v>
      </c>
      <c r="F16" s="39">
        <v>19705</v>
      </c>
      <c r="G16" s="39">
        <v>19845</v>
      </c>
      <c r="H16" s="39">
        <v>18375</v>
      </c>
      <c r="I16" s="39">
        <v>18795</v>
      </c>
      <c r="J16" s="39">
        <v>16940</v>
      </c>
      <c r="K16" s="39">
        <v>9590</v>
      </c>
      <c r="L16" s="1">
        <v>16555</v>
      </c>
      <c r="M16" s="1">
        <v>16555</v>
      </c>
      <c r="N16" s="1"/>
      <c r="O16" s="1">
        <f t="shared" si="0"/>
        <v>182280</v>
      </c>
      <c r="P16" s="7">
        <f t="shared" si="1"/>
        <v>15183.923999999999</v>
      </c>
      <c r="Q16" s="15"/>
      <c r="R16" s="7">
        <f t="shared" si="2"/>
        <v>15183.923999999999</v>
      </c>
      <c r="S16" s="2"/>
    </row>
    <row r="17" spans="1:19" x14ac:dyDescent="0.25">
      <c r="A17" s="5">
        <v>15</v>
      </c>
      <c r="B17" s="6" t="s">
        <v>58</v>
      </c>
      <c r="C17" s="39">
        <v>20515</v>
      </c>
      <c r="D17" s="39">
        <v>17885</v>
      </c>
      <c r="E17" s="39">
        <v>19375</v>
      </c>
      <c r="F17" s="39">
        <v>20470</v>
      </c>
      <c r="G17" s="39">
        <v>22000</v>
      </c>
      <c r="H17" s="39">
        <v>18110</v>
      </c>
      <c r="I17" s="39">
        <v>20685</v>
      </c>
      <c r="J17" s="39">
        <v>19900</v>
      </c>
      <c r="K17" s="39">
        <v>19680</v>
      </c>
      <c r="L17" s="1">
        <v>16840</v>
      </c>
      <c r="M17" s="1">
        <v>18585</v>
      </c>
      <c r="N17" s="1"/>
      <c r="O17" s="1">
        <f t="shared" si="0"/>
        <v>214045</v>
      </c>
      <c r="P17" s="7">
        <f t="shared" si="1"/>
        <v>17829.948499999999</v>
      </c>
      <c r="Q17" s="15"/>
      <c r="R17" s="7">
        <f t="shared" si="2"/>
        <v>17829.948499999999</v>
      </c>
      <c r="S17" s="2"/>
    </row>
    <row r="18" spans="1:19" x14ac:dyDescent="0.25">
      <c r="A18" s="5">
        <v>16</v>
      </c>
      <c r="B18" s="6" t="s">
        <v>59</v>
      </c>
      <c r="C18" s="39">
        <v>12000</v>
      </c>
      <c r="D18" s="39">
        <v>12400</v>
      </c>
      <c r="E18" s="39">
        <v>12000</v>
      </c>
      <c r="F18" s="39">
        <v>12400</v>
      </c>
      <c r="G18" s="39">
        <v>12400</v>
      </c>
      <c r="H18" s="39">
        <v>11200</v>
      </c>
      <c r="I18" s="39">
        <v>12400</v>
      </c>
      <c r="J18" s="39">
        <v>11200</v>
      </c>
      <c r="K18" s="39">
        <v>13200</v>
      </c>
      <c r="L18" s="1">
        <v>12000</v>
      </c>
      <c r="M18" s="1">
        <v>12400</v>
      </c>
      <c r="N18" s="1"/>
      <c r="O18" s="1">
        <f t="shared" si="0"/>
        <v>133600</v>
      </c>
      <c r="P18" s="7">
        <f t="shared" si="1"/>
        <v>11128.88</v>
      </c>
      <c r="Q18" s="15"/>
      <c r="R18" s="7">
        <f t="shared" si="2"/>
        <v>11128.88</v>
      </c>
      <c r="S18" s="2"/>
    </row>
    <row r="19" spans="1:19" x14ac:dyDescent="0.25">
      <c r="A19" s="5">
        <v>17</v>
      </c>
      <c r="B19" s="6" t="s">
        <v>60</v>
      </c>
      <c r="C19" s="39">
        <v>14733</v>
      </c>
      <c r="D19" s="39">
        <v>15516</v>
      </c>
      <c r="E19" s="39">
        <v>15600</v>
      </c>
      <c r="F19" s="39">
        <v>15097</v>
      </c>
      <c r="G19" s="39">
        <v>18452</v>
      </c>
      <c r="H19" s="39">
        <v>15321</v>
      </c>
      <c r="I19" s="39">
        <v>17194</v>
      </c>
      <c r="J19" s="39">
        <v>14733</v>
      </c>
      <c r="K19" s="39">
        <v>15935</v>
      </c>
      <c r="L19" s="1">
        <v>15167</v>
      </c>
      <c r="M19" s="1">
        <v>13839</v>
      </c>
      <c r="N19" s="1"/>
      <c r="O19" s="1">
        <f t="shared" si="0"/>
        <v>171587</v>
      </c>
      <c r="P19" s="7">
        <f t="shared" si="1"/>
        <v>14293.197099999999</v>
      </c>
      <c r="Q19" s="15"/>
      <c r="R19" s="7">
        <f t="shared" si="2"/>
        <v>14293.197099999999</v>
      </c>
      <c r="S19" s="2"/>
    </row>
    <row r="20" spans="1:19" x14ac:dyDescent="0.25">
      <c r="A20" s="5">
        <v>18</v>
      </c>
      <c r="B20" s="6" t="s">
        <v>61</v>
      </c>
      <c r="C20" s="39">
        <v>15620</v>
      </c>
      <c r="D20" s="39">
        <v>15116</v>
      </c>
      <c r="E20" s="39">
        <v>16093</v>
      </c>
      <c r="F20" s="39">
        <v>15116</v>
      </c>
      <c r="G20" s="39">
        <v>11452</v>
      </c>
      <c r="H20" s="39">
        <v>15214</v>
      </c>
      <c r="I20" s="39">
        <v>13742</v>
      </c>
      <c r="J20" s="39">
        <v>16093</v>
      </c>
      <c r="K20" s="39">
        <v>15574</v>
      </c>
      <c r="L20" s="1">
        <v>16567</v>
      </c>
      <c r="M20" s="1">
        <v>16490</v>
      </c>
      <c r="N20" s="1"/>
      <c r="O20" s="1">
        <f t="shared" si="0"/>
        <v>167077</v>
      </c>
      <c r="P20" s="7">
        <f t="shared" si="1"/>
        <v>13917.5141</v>
      </c>
      <c r="Q20" s="15"/>
      <c r="R20" s="7">
        <f t="shared" si="2"/>
        <v>13917.5141</v>
      </c>
      <c r="S20" s="2"/>
    </row>
    <row r="21" spans="1:19" x14ac:dyDescent="0.25">
      <c r="A21" s="5">
        <v>19</v>
      </c>
      <c r="B21" s="6" t="s">
        <v>62</v>
      </c>
      <c r="C21" s="39">
        <v>19467</v>
      </c>
      <c r="D21" s="39">
        <v>18839</v>
      </c>
      <c r="E21" s="39">
        <v>19953</v>
      </c>
      <c r="F21" s="39">
        <v>19781</v>
      </c>
      <c r="G21" s="39">
        <v>18839</v>
      </c>
      <c r="H21" s="39">
        <v>19814</v>
      </c>
      <c r="I21" s="39">
        <v>20252</v>
      </c>
      <c r="J21" s="39">
        <v>19733</v>
      </c>
      <c r="K21" s="39">
        <v>19097</v>
      </c>
      <c r="L21" s="1">
        <v>19200</v>
      </c>
      <c r="M21" s="1">
        <v>18581</v>
      </c>
      <c r="N21" s="1"/>
      <c r="O21" s="1">
        <f t="shared" si="0"/>
        <v>213556</v>
      </c>
      <c r="P21" s="7">
        <f t="shared" si="1"/>
        <v>17789.214800000002</v>
      </c>
      <c r="Q21" s="15"/>
      <c r="R21" s="7">
        <f t="shared" si="2"/>
        <v>17789.214800000002</v>
      </c>
      <c r="S21" s="2"/>
    </row>
    <row r="22" spans="1:19" x14ac:dyDescent="0.25">
      <c r="A22" s="5">
        <v>20</v>
      </c>
      <c r="B22" s="6" t="s">
        <v>16</v>
      </c>
      <c r="C22" s="39">
        <v>18500</v>
      </c>
      <c r="D22" s="39">
        <v>15484</v>
      </c>
      <c r="E22" s="39">
        <v>16000</v>
      </c>
      <c r="F22" s="39">
        <v>16935</v>
      </c>
      <c r="G22" s="39">
        <v>13548</v>
      </c>
      <c r="H22" s="39">
        <v>14464</v>
      </c>
      <c r="I22" s="39">
        <v>16935</v>
      </c>
      <c r="J22" s="39">
        <v>18000</v>
      </c>
      <c r="K22" s="39">
        <v>19161</v>
      </c>
      <c r="L22" s="1">
        <v>16200</v>
      </c>
      <c r="M22" s="1">
        <v>22065</v>
      </c>
      <c r="N22" s="1"/>
      <c r="O22" s="1">
        <f t="shared" si="0"/>
        <v>187292</v>
      </c>
      <c r="P22" s="7">
        <f t="shared" si="1"/>
        <v>15601.4236</v>
      </c>
      <c r="Q22" s="15"/>
      <c r="R22" s="7">
        <f t="shared" si="2"/>
        <v>15601.4236</v>
      </c>
      <c r="S22" s="2"/>
    </row>
    <row r="23" spans="1:19" x14ac:dyDescent="0.25">
      <c r="A23" s="5">
        <v>21</v>
      </c>
      <c r="B23" s="6" t="s">
        <v>63</v>
      </c>
      <c r="C23" s="39">
        <v>13500</v>
      </c>
      <c r="D23" s="39">
        <v>13500</v>
      </c>
      <c r="E23" s="39">
        <v>13500</v>
      </c>
      <c r="F23" s="39">
        <v>13500</v>
      </c>
      <c r="G23" s="39">
        <v>13500</v>
      </c>
      <c r="H23" s="39">
        <v>13500</v>
      </c>
      <c r="I23" s="39">
        <v>13065</v>
      </c>
      <c r="J23" s="39">
        <v>13500</v>
      </c>
      <c r="K23" s="39">
        <v>13500</v>
      </c>
      <c r="L23" s="1">
        <v>13500</v>
      </c>
      <c r="M23" s="1">
        <v>13500</v>
      </c>
      <c r="N23" s="1"/>
      <c r="O23" s="1">
        <f t="shared" si="0"/>
        <v>148065</v>
      </c>
      <c r="P23" s="7">
        <f t="shared" si="1"/>
        <v>12333.8145</v>
      </c>
      <c r="Q23" s="15"/>
      <c r="R23" s="7">
        <f t="shared" si="2"/>
        <v>12333.8145</v>
      </c>
      <c r="S23" s="2"/>
    </row>
    <row r="24" spans="1:19" x14ac:dyDescent="0.25">
      <c r="A24" s="5">
        <v>22</v>
      </c>
      <c r="B24" s="6" t="s">
        <v>93</v>
      </c>
      <c r="C24" s="39">
        <v>18130</v>
      </c>
      <c r="D24" s="39">
        <v>13160</v>
      </c>
      <c r="E24" s="39">
        <v>18445</v>
      </c>
      <c r="F24" s="39">
        <v>19180</v>
      </c>
      <c r="G24" s="39">
        <v>22225</v>
      </c>
      <c r="H24" s="39">
        <v>17150</v>
      </c>
      <c r="I24" s="39">
        <v>12845</v>
      </c>
      <c r="J24" s="39">
        <v>10115</v>
      </c>
      <c r="K24" s="39">
        <v>19180</v>
      </c>
      <c r="L24" s="1">
        <v>13860</v>
      </c>
      <c r="M24" s="1">
        <v>15085</v>
      </c>
      <c r="N24" s="1"/>
      <c r="O24" s="1">
        <f t="shared" si="0"/>
        <v>179375</v>
      </c>
      <c r="P24" s="7">
        <f t="shared" si="1"/>
        <v>14941.9375</v>
      </c>
      <c r="Q24" s="15"/>
      <c r="R24" s="7">
        <f t="shared" si="2"/>
        <v>14941.9375</v>
      </c>
      <c r="S24" s="2"/>
    </row>
    <row r="25" spans="1:19" x14ac:dyDescent="0.25">
      <c r="A25" s="5">
        <v>23</v>
      </c>
      <c r="B25" s="6" t="s">
        <v>64</v>
      </c>
      <c r="C25" s="39">
        <v>15500</v>
      </c>
      <c r="D25" s="39">
        <v>15000</v>
      </c>
      <c r="E25" s="39">
        <v>14500</v>
      </c>
      <c r="F25" s="39">
        <v>15484</v>
      </c>
      <c r="G25" s="39">
        <v>15968</v>
      </c>
      <c r="H25" s="39">
        <v>15536</v>
      </c>
      <c r="I25" s="39">
        <v>16452</v>
      </c>
      <c r="J25" s="39">
        <v>18133</v>
      </c>
      <c r="K25" s="39">
        <v>18097</v>
      </c>
      <c r="L25" s="1">
        <v>17000</v>
      </c>
      <c r="M25" s="1">
        <v>16452</v>
      </c>
      <c r="N25" s="1"/>
      <c r="O25" s="1">
        <f t="shared" si="0"/>
        <v>178122</v>
      </c>
      <c r="P25" s="7">
        <f t="shared" si="1"/>
        <v>14837.562599999999</v>
      </c>
      <c r="Q25" s="15"/>
      <c r="R25" s="7">
        <f t="shared" si="2"/>
        <v>14837.562599999999</v>
      </c>
      <c r="S25" s="2"/>
    </row>
    <row r="26" spans="1:19" x14ac:dyDescent="0.25">
      <c r="A26" s="5">
        <v>24</v>
      </c>
      <c r="B26" s="6" t="s">
        <v>94</v>
      </c>
      <c r="C26" s="16">
        <v>0</v>
      </c>
      <c r="D26" s="39">
        <v>9213</v>
      </c>
      <c r="E26" s="39">
        <v>10625</v>
      </c>
      <c r="F26" s="39">
        <v>20050</v>
      </c>
      <c r="G26" s="39">
        <v>20400</v>
      </c>
      <c r="H26" s="39">
        <v>17150</v>
      </c>
      <c r="I26" s="39">
        <v>8725</v>
      </c>
      <c r="J26" s="39">
        <v>17450</v>
      </c>
      <c r="K26" s="39">
        <v>17725</v>
      </c>
      <c r="L26" s="1">
        <v>16800</v>
      </c>
      <c r="M26" s="1">
        <v>3525</v>
      </c>
      <c r="N26" s="1"/>
      <c r="O26" s="1">
        <f t="shared" si="0"/>
        <v>141663</v>
      </c>
      <c r="P26" s="7">
        <f t="shared" si="1"/>
        <v>11800.527899999999</v>
      </c>
      <c r="Q26" s="15"/>
      <c r="R26" s="7">
        <f t="shared" si="2"/>
        <v>11800.527899999999</v>
      </c>
      <c r="S26" s="2"/>
    </row>
    <row r="27" spans="1:19" x14ac:dyDescent="0.25">
      <c r="A27" s="5">
        <v>25</v>
      </c>
      <c r="B27" s="6" t="s">
        <v>95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39">
        <v>18330</v>
      </c>
      <c r="L27" s="1">
        <v>16580</v>
      </c>
      <c r="M27" s="1">
        <v>16810</v>
      </c>
      <c r="N27" s="1"/>
      <c r="O27" s="1">
        <f t="shared" si="0"/>
        <v>51720</v>
      </c>
      <c r="P27" s="7">
        <f t="shared" si="1"/>
        <v>4308.2759999999998</v>
      </c>
      <c r="Q27" s="15"/>
      <c r="R27" s="7">
        <f t="shared" si="2"/>
        <v>4308.2759999999998</v>
      </c>
      <c r="S27" s="2"/>
    </row>
    <row r="28" spans="1:19" x14ac:dyDescent="0.25">
      <c r="A28" s="5">
        <v>26</v>
      </c>
      <c r="B28" s="6" t="s">
        <v>96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39">
        <v>14258</v>
      </c>
      <c r="L28" s="1">
        <v>12133</v>
      </c>
      <c r="M28" s="1">
        <v>13419</v>
      </c>
      <c r="N28" s="1"/>
      <c r="O28" s="1">
        <f t="shared" si="0"/>
        <v>39810</v>
      </c>
      <c r="P28" s="7">
        <f t="shared" si="1"/>
        <v>3316.1729999999998</v>
      </c>
      <c r="Q28" s="15"/>
      <c r="R28" s="7">
        <f t="shared" si="2"/>
        <v>3316.1729999999998</v>
      </c>
      <c r="S28" s="2"/>
    </row>
    <row r="29" spans="1:19" x14ac:dyDescent="0.25">
      <c r="A29" s="5">
        <v>27</v>
      </c>
      <c r="B29" s="6" t="s">
        <v>23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39">
        <v>9740</v>
      </c>
      <c r="L29" s="1">
        <v>13380</v>
      </c>
      <c r="M29" s="1">
        <v>12700</v>
      </c>
      <c r="N29" s="1"/>
      <c r="O29" s="1">
        <f t="shared" si="0"/>
        <v>35820</v>
      </c>
      <c r="P29" s="7">
        <f t="shared" si="1"/>
        <v>2983.806</v>
      </c>
      <c r="Q29" s="15"/>
      <c r="R29" s="7">
        <f t="shared" si="2"/>
        <v>2983.806</v>
      </c>
      <c r="S29" s="2"/>
    </row>
    <row r="30" spans="1:19" x14ac:dyDescent="0.25">
      <c r="A30" s="5">
        <v>28</v>
      </c>
      <c r="B30" s="6" t="s">
        <v>97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39">
        <v>11613</v>
      </c>
      <c r="L30" s="1">
        <v>17000</v>
      </c>
      <c r="M30" s="1">
        <v>14516</v>
      </c>
      <c r="N30" s="1"/>
      <c r="O30" s="1">
        <f t="shared" si="0"/>
        <v>43129</v>
      </c>
      <c r="P30" s="7">
        <f t="shared" si="1"/>
        <v>3592.6457</v>
      </c>
      <c r="Q30" s="15"/>
      <c r="R30" s="7">
        <f t="shared" si="2"/>
        <v>3592.6457</v>
      </c>
      <c r="S30" s="2"/>
    </row>
    <row r="31" spans="1:19" x14ac:dyDescent="0.25">
      <c r="A31" s="5">
        <v>29</v>
      </c>
      <c r="B31" s="6" t="s">
        <v>3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">
        <v>18795</v>
      </c>
      <c r="N31" s="1"/>
      <c r="O31" s="1">
        <f t="shared" si="0"/>
        <v>18795</v>
      </c>
      <c r="P31" s="7">
        <f t="shared" si="1"/>
        <v>1565.6234999999999</v>
      </c>
      <c r="Q31" s="15"/>
      <c r="R31" s="7">
        <f t="shared" si="2"/>
        <v>1565.6234999999999</v>
      </c>
      <c r="S31" s="2"/>
    </row>
    <row r="32" spans="1:19" x14ac:dyDescent="0.25">
      <c r="A32" s="5">
        <v>30</v>
      </c>
      <c r="B32" s="6" t="s">
        <v>81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">
        <v>15806</v>
      </c>
      <c r="N32" s="1"/>
      <c r="O32" s="1">
        <f t="shared" ref="O32:O34" si="3">(C32+D32+E32+F32+G32+H32+I32+J32+K32+L32+M32+N32)</f>
        <v>15806</v>
      </c>
      <c r="P32" s="7">
        <f t="shared" ref="P32:P34" si="4">(O32*8.33%)</f>
        <v>1316.6397999999999</v>
      </c>
      <c r="Q32" s="15"/>
      <c r="R32" s="7">
        <f t="shared" ref="R32:R34" si="5">(P32-Q32)</f>
        <v>1316.6397999999999</v>
      </c>
      <c r="S32" s="2"/>
    </row>
    <row r="33" spans="1:19" x14ac:dyDescent="0.25">
      <c r="A33" s="5">
        <v>31</v>
      </c>
      <c r="B33" s="6" t="s">
        <v>20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">
        <v>11750</v>
      </c>
      <c r="N33" s="1"/>
      <c r="O33" s="1">
        <f t="shared" ref="O33" si="6">(C33+D33+E33+F33+G33+H33+I33+J33+K33+L33+M33+N33)</f>
        <v>11750</v>
      </c>
      <c r="P33" s="7">
        <f t="shared" ref="P33" si="7">(O33*8.33%)</f>
        <v>978.77499999999998</v>
      </c>
      <c r="Q33" s="15"/>
      <c r="R33" s="7">
        <f t="shared" ref="R33" si="8">(P33-Q33)</f>
        <v>978.77499999999998</v>
      </c>
      <c r="S33" s="2"/>
    </row>
    <row r="34" spans="1:19" x14ac:dyDescent="0.25">
      <c r="A34" s="5">
        <v>32</v>
      </c>
      <c r="B34" s="4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1">
        <f t="shared" si="3"/>
        <v>0</v>
      </c>
      <c r="P34" s="7">
        <f t="shared" si="4"/>
        <v>0</v>
      </c>
      <c r="Q34" s="15"/>
      <c r="R34" s="7">
        <f t="shared" si="5"/>
        <v>0</v>
      </c>
      <c r="S34" s="2"/>
    </row>
    <row r="35" spans="1:19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10" t="s">
        <v>29</v>
      </c>
      <c r="P35" s="10"/>
      <c r="Q35" s="10">
        <f>SUM(Q6:Q34)</f>
        <v>0</v>
      </c>
      <c r="R35" s="9">
        <f>SUM(R4:R34)</f>
        <v>332434.97280000005</v>
      </c>
      <c r="S35" s="2"/>
    </row>
  </sheetData>
  <mergeCells count="1">
    <mergeCell ref="A1:S1"/>
  </mergeCells>
  <pageMargins left="0.70866141732283472" right="0.70866141732283472" top="0.74803149606299213" bottom="0.74803149606299213" header="0.31496062992125984" footer="0.31496062992125984"/>
  <pageSetup scale="13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41"/>
  <sheetViews>
    <sheetView topLeftCell="A24" workbookViewId="0">
      <selection activeCell="E39" sqref="E39"/>
    </sheetView>
  </sheetViews>
  <sheetFormatPr defaultRowHeight="15" x14ac:dyDescent="0.25"/>
  <cols>
    <col min="1" max="1" width="6.85546875" customWidth="1"/>
    <col min="2" max="2" width="23.7109375" customWidth="1"/>
    <col min="3" max="3" width="9.140625" customWidth="1"/>
    <col min="4" max="4" width="10.28515625" customWidth="1"/>
    <col min="5" max="5" width="8.140625" customWidth="1"/>
    <col min="6" max="6" width="8.5703125" customWidth="1"/>
    <col min="7" max="7" width="8.7109375" customWidth="1"/>
    <col min="8" max="8" width="8.42578125" customWidth="1"/>
    <col min="9" max="9" width="8.5703125" customWidth="1"/>
    <col min="14" max="14" width="11.140625" customWidth="1"/>
    <col min="16" max="16" width="13.7109375" customWidth="1"/>
    <col min="17" max="17" width="8.5703125" customWidth="1"/>
    <col min="18" max="18" width="18.42578125" customWidth="1"/>
    <col min="19" max="19" width="29.42578125" customWidth="1"/>
  </cols>
  <sheetData>
    <row r="1" spans="1:19" ht="19.5" thickBot="1" x14ac:dyDescent="0.35">
      <c r="A1" s="48" t="s">
        <v>98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50"/>
    </row>
    <row r="2" spans="1:19" x14ac:dyDescent="0.25">
      <c r="A2" s="3" t="s">
        <v>1</v>
      </c>
      <c r="B2" s="3" t="s">
        <v>0</v>
      </c>
      <c r="C2" s="4">
        <v>45536</v>
      </c>
      <c r="D2" s="4">
        <v>45566</v>
      </c>
      <c r="E2" s="4">
        <v>45597</v>
      </c>
      <c r="F2" s="4">
        <v>45627</v>
      </c>
      <c r="G2" s="4">
        <v>45658</v>
      </c>
      <c r="H2" s="4">
        <v>45689</v>
      </c>
      <c r="I2" s="4">
        <v>45717</v>
      </c>
      <c r="J2" s="4">
        <v>45748</v>
      </c>
      <c r="K2" s="4">
        <v>45778</v>
      </c>
      <c r="L2" s="4">
        <v>45809</v>
      </c>
      <c r="M2" s="4">
        <v>45839</v>
      </c>
      <c r="N2" s="4">
        <v>45870</v>
      </c>
      <c r="O2" s="3" t="s">
        <v>29</v>
      </c>
      <c r="P2" s="3" t="s">
        <v>66</v>
      </c>
      <c r="Q2" s="3" t="s">
        <v>65</v>
      </c>
      <c r="R2" s="8" t="s">
        <v>67</v>
      </c>
      <c r="S2" s="3" t="s">
        <v>30</v>
      </c>
    </row>
    <row r="3" spans="1:19" x14ac:dyDescent="0.25">
      <c r="A3" s="5">
        <v>1</v>
      </c>
      <c r="B3" s="6" t="s">
        <v>11</v>
      </c>
      <c r="C3" s="16">
        <v>0</v>
      </c>
      <c r="D3" s="39">
        <v>570</v>
      </c>
      <c r="E3" s="39">
        <v>12300</v>
      </c>
      <c r="F3" s="39">
        <v>9860</v>
      </c>
      <c r="G3" s="39">
        <v>13250</v>
      </c>
      <c r="H3" s="39">
        <v>11760</v>
      </c>
      <c r="I3" s="39">
        <v>11670</v>
      </c>
      <c r="J3" s="39">
        <v>11740</v>
      </c>
      <c r="K3" s="39">
        <v>10100</v>
      </c>
      <c r="L3" s="39">
        <v>10040</v>
      </c>
      <c r="M3" s="39">
        <v>0</v>
      </c>
      <c r="N3" s="39"/>
      <c r="O3" s="1">
        <f>(C3+D3+E3+F3+G3+H3+I3+J3+K3+L3+M3+N3)</f>
        <v>91290</v>
      </c>
      <c r="P3" s="7">
        <f>O3*8.33%</f>
        <v>7604.4570000000003</v>
      </c>
      <c r="Q3" s="15"/>
      <c r="R3" s="7">
        <f>(P3-Q3)</f>
        <v>7604.4570000000003</v>
      </c>
      <c r="S3" s="2"/>
    </row>
    <row r="4" spans="1:19" x14ac:dyDescent="0.25">
      <c r="A4" s="5">
        <v>2</v>
      </c>
      <c r="B4" s="6" t="s">
        <v>9</v>
      </c>
      <c r="C4" s="39">
        <v>16433</v>
      </c>
      <c r="D4" s="39">
        <v>16371</v>
      </c>
      <c r="E4" s="39">
        <v>16433</v>
      </c>
      <c r="F4" s="39">
        <v>16371</v>
      </c>
      <c r="G4" s="39">
        <v>16371</v>
      </c>
      <c r="H4" s="39">
        <v>16571</v>
      </c>
      <c r="I4" s="39">
        <v>16371</v>
      </c>
      <c r="J4" s="39">
        <v>16433</v>
      </c>
      <c r="K4" s="39">
        <v>16371</v>
      </c>
      <c r="L4" s="39">
        <v>16433</v>
      </c>
      <c r="M4" s="39">
        <v>16371</v>
      </c>
      <c r="N4" s="39"/>
      <c r="O4" s="1">
        <f t="shared" ref="O4:O33" si="0">(C4+D4+E4+F4+G4+H4+I4+J4+K4+L4+M4+N4)</f>
        <v>180529</v>
      </c>
      <c r="P4" s="7">
        <f t="shared" ref="P4:P33" si="1">O4*8.33%</f>
        <v>15038.065699999999</v>
      </c>
      <c r="Q4" s="15"/>
      <c r="R4" s="7">
        <f t="shared" ref="R4:R33" si="2">(P4-Q4)</f>
        <v>15038.065699999999</v>
      </c>
      <c r="S4" s="2"/>
    </row>
    <row r="5" spans="1:19" x14ac:dyDescent="0.25">
      <c r="A5" s="5">
        <v>3</v>
      </c>
      <c r="B5" s="6" t="s">
        <v>99</v>
      </c>
      <c r="C5" s="39">
        <v>13220</v>
      </c>
      <c r="D5" s="39">
        <v>11330</v>
      </c>
      <c r="E5" s="39">
        <v>12090</v>
      </c>
      <c r="F5" s="39">
        <v>13540</v>
      </c>
      <c r="G5" s="39">
        <v>12760</v>
      </c>
      <c r="H5" s="39">
        <v>11270</v>
      </c>
      <c r="I5" s="39">
        <v>13160</v>
      </c>
      <c r="J5" s="39">
        <v>11210</v>
      </c>
      <c r="K5" s="39">
        <v>11840</v>
      </c>
      <c r="L5" s="39">
        <v>10250</v>
      </c>
      <c r="M5" s="39">
        <v>11430</v>
      </c>
      <c r="N5" s="39"/>
      <c r="O5" s="1">
        <f t="shared" si="0"/>
        <v>132100</v>
      </c>
      <c r="P5" s="7">
        <f t="shared" si="1"/>
        <v>11003.93</v>
      </c>
      <c r="Q5" s="15"/>
      <c r="R5" s="7">
        <f t="shared" si="2"/>
        <v>11003.93</v>
      </c>
      <c r="S5" s="2"/>
    </row>
    <row r="6" spans="1:19" x14ac:dyDescent="0.25">
      <c r="A6" s="5">
        <v>4</v>
      </c>
      <c r="B6" s="6" t="s">
        <v>12</v>
      </c>
      <c r="C6" s="39">
        <v>18865</v>
      </c>
      <c r="D6" s="39">
        <v>15820</v>
      </c>
      <c r="E6" s="39">
        <v>15295</v>
      </c>
      <c r="F6" s="39">
        <v>20300</v>
      </c>
      <c r="G6" s="39">
        <v>19495</v>
      </c>
      <c r="H6" s="39">
        <v>18340</v>
      </c>
      <c r="I6" s="39">
        <v>17465</v>
      </c>
      <c r="J6" s="39">
        <v>17920</v>
      </c>
      <c r="K6" s="39">
        <v>17640</v>
      </c>
      <c r="L6" s="39">
        <v>16310</v>
      </c>
      <c r="M6" s="39">
        <v>16730</v>
      </c>
      <c r="N6" s="39"/>
      <c r="O6" s="1">
        <f t="shared" si="0"/>
        <v>194180</v>
      </c>
      <c r="P6" s="7">
        <f t="shared" si="1"/>
        <v>16175.194</v>
      </c>
      <c r="Q6" s="15"/>
      <c r="R6" s="7">
        <f t="shared" si="2"/>
        <v>16175.194</v>
      </c>
      <c r="S6" s="2"/>
    </row>
    <row r="7" spans="1:19" x14ac:dyDescent="0.25">
      <c r="A7" s="5">
        <v>5</v>
      </c>
      <c r="B7" s="6" t="s">
        <v>13</v>
      </c>
      <c r="C7" s="39">
        <v>19260</v>
      </c>
      <c r="D7" s="39">
        <v>16645</v>
      </c>
      <c r="E7" s="39">
        <v>18450</v>
      </c>
      <c r="F7" s="39">
        <v>21435</v>
      </c>
      <c r="G7" s="39">
        <v>20320</v>
      </c>
      <c r="H7" s="39">
        <v>18560</v>
      </c>
      <c r="I7" s="39">
        <v>19740</v>
      </c>
      <c r="J7" s="39">
        <v>18745</v>
      </c>
      <c r="K7" s="16">
        <v>0</v>
      </c>
      <c r="L7" s="16">
        <v>0</v>
      </c>
      <c r="M7" s="16">
        <v>0</v>
      </c>
      <c r="N7" s="39"/>
      <c r="O7" s="1">
        <f t="shared" si="0"/>
        <v>153155</v>
      </c>
      <c r="P7" s="7">
        <f t="shared" si="1"/>
        <v>12757.8115</v>
      </c>
      <c r="Q7" s="15"/>
      <c r="R7" s="7">
        <f t="shared" si="2"/>
        <v>12757.8115</v>
      </c>
      <c r="S7" s="2"/>
    </row>
    <row r="8" spans="1:19" x14ac:dyDescent="0.25">
      <c r="A8" s="5">
        <v>6</v>
      </c>
      <c r="B8" s="6" t="s">
        <v>2</v>
      </c>
      <c r="C8" s="39">
        <v>20475</v>
      </c>
      <c r="D8" s="39">
        <v>17010</v>
      </c>
      <c r="E8" s="39">
        <v>19810</v>
      </c>
      <c r="F8" s="39">
        <v>19670</v>
      </c>
      <c r="G8" s="39">
        <v>19775</v>
      </c>
      <c r="H8" s="39">
        <v>21665</v>
      </c>
      <c r="I8" s="39">
        <v>19565</v>
      </c>
      <c r="J8" s="39">
        <v>19565</v>
      </c>
      <c r="K8" s="39">
        <v>20790</v>
      </c>
      <c r="L8" s="39">
        <v>15190</v>
      </c>
      <c r="M8" s="39">
        <v>16905</v>
      </c>
      <c r="N8" s="39"/>
      <c r="O8" s="1">
        <f t="shared" si="0"/>
        <v>210420</v>
      </c>
      <c r="P8" s="7">
        <f t="shared" si="1"/>
        <v>17527.986000000001</v>
      </c>
      <c r="Q8" s="15"/>
      <c r="R8" s="7">
        <f t="shared" si="2"/>
        <v>17527.986000000001</v>
      </c>
      <c r="S8" s="2"/>
    </row>
    <row r="9" spans="1:19" x14ac:dyDescent="0.25">
      <c r="A9" s="5">
        <v>7</v>
      </c>
      <c r="B9" s="6" t="s">
        <v>3</v>
      </c>
      <c r="C9" s="39">
        <v>21455</v>
      </c>
      <c r="D9" s="39">
        <v>17360</v>
      </c>
      <c r="E9" s="39">
        <v>19180</v>
      </c>
      <c r="F9" s="39">
        <v>24325</v>
      </c>
      <c r="G9" s="39">
        <v>22330</v>
      </c>
      <c r="H9" s="39">
        <v>21490</v>
      </c>
      <c r="I9" s="39">
        <v>22435</v>
      </c>
      <c r="J9" s="39">
        <v>20930</v>
      </c>
      <c r="K9" s="39">
        <v>20195</v>
      </c>
      <c r="L9" s="39">
        <v>14805</v>
      </c>
      <c r="M9" s="16">
        <v>0</v>
      </c>
      <c r="N9" s="39"/>
      <c r="O9" s="1">
        <f t="shared" si="0"/>
        <v>204505</v>
      </c>
      <c r="P9" s="7">
        <f t="shared" si="1"/>
        <v>17035.266500000002</v>
      </c>
      <c r="Q9" s="15"/>
      <c r="R9" s="7">
        <f t="shared" si="2"/>
        <v>17035.266500000002</v>
      </c>
      <c r="S9" s="2"/>
    </row>
    <row r="10" spans="1:19" x14ac:dyDescent="0.25">
      <c r="A10" s="5">
        <v>8</v>
      </c>
      <c r="B10" s="6" t="s">
        <v>14</v>
      </c>
      <c r="C10" s="39">
        <v>13070</v>
      </c>
      <c r="D10" s="39">
        <v>11430</v>
      </c>
      <c r="E10" s="39">
        <v>10280</v>
      </c>
      <c r="F10" s="39">
        <v>12360</v>
      </c>
      <c r="G10" s="39">
        <v>13710</v>
      </c>
      <c r="H10" s="39">
        <v>11840</v>
      </c>
      <c r="I10" s="39">
        <v>12940</v>
      </c>
      <c r="J10" s="39">
        <v>12690</v>
      </c>
      <c r="K10" s="39">
        <v>12620</v>
      </c>
      <c r="L10" s="39">
        <v>12660</v>
      </c>
      <c r="M10" s="39">
        <v>12630</v>
      </c>
      <c r="N10" s="39"/>
      <c r="O10" s="1">
        <f t="shared" si="0"/>
        <v>136230</v>
      </c>
      <c r="P10" s="7">
        <f t="shared" si="1"/>
        <v>11347.959000000001</v>
      </c>
      <c r="Q10" s="15"/>
      <c r="R10" s="7">
        <f t="shared" si="2"/>
        <v>11347.959000000001</v>
      </c>
      <c r="S10" s="2"/>
    </row>
    <row r="11" spans="1:19" x14ac:dyDescent="0.25">
      <c r="A11" s="5">
        <v>9</v>
      </c>
      <c r="B11" s="6" t="s">
        <v>5</v>
      </c>
      <c r="C11" s="39">
        <v>14670</v>
      </c>
      <c r="D11" s="39">
        <v>12350</v>
      </c>
      <c r="E11" s="39">
        <v>12290</v>
      </c>
      <c r="F11" s="39">
        <v>13290</v>
      </c>
      <c r="G11" s="39">
        <v>15280</v>
      </c>
      <c r="H11" s="39">
        <v>11970</v>
      </c>
      <c r="I11" s="39">
        <v>9670</v>
      </c>
      <c r="J11" s="39">
        <v>11840</v>
      </c>
      <c r="K11" s="39">
        <v>12480</v>
      </c>
      <c r="L11" s="39">
        <v>12700</v>
      </c>
      <c r="M11" s="39">
        <v>13270</v>
      </c>
      <c r="N11" s="39"/>
      <c r="O11" s="1">
        <f t="shared" si="0"/>
        <v>139810</v>
      </c>
      <c r="P11" s="7">
        <f t="shared" si="1"/>
        <v>11646.173000000001</v>
      </c>
      <c r="Q11" s="15"/>
      <c r="R11" s="7">
        <f t="shared" si="2"/>
        <v>11646.173000000001</v>
      </c>
      <c r="S11" s="2"/>
    </row>
    <row r="12" spans="1:19" x14ac:dyDescent="0.25">
      <c r="A12" s="5">
        <v>10</v>
      </c>
      <c r="B12" s="6" t="s">
        <v>15</v>
      </c>
      <c r="C12" s="39">
        <v>14240</v>
      </c>
      <c r="D12" s="39">
        <v>10750</v>
      </c>
      <c r="E12" s="39">
        <v>1200</v>
      </c>
      <c r="F12" s="39">
        <v>13850</v>
      </c>
      <c r="G12" s="39">
        <v>11170</v>
      </c>
      <c r="H12" s="39">
        <v>11260</v>
      </c>
      <c r="I12" s="39">
        <v>11740</v>
      </c>
      <c r="J12" s="39">
        <v>12480</v>
      </c>
      <c r="K12" s="39">
        <v>12620</v>
      </c>
      <c r="L12" s="39">
        <v>10500</v>
      </c>
      <c r="M12" s="39">
        <v>11320</v>
      </c>
      <c r="N12" s="39"/>
      <c r="O12" s="1">
        <f t="shared" si="0"/>
        <v>121130</v>
      </c>
      <c r="P12" s="7">
        <f t="shared" si="1"/>
        <v>10090.128999999999</v>
      </c>
      <c r="Q12" s="15"/>
      <c r="R12" s="7">
        <f t="shared" si="2"/>
        <v>10090.128999999999</v>
      </c>
      <c r="S12" s="2"/>
    </row>
    <row r="13" spans="1:19" x14ac:dyDescent="0.25">
      <c r="A13" s="5">
        <v>11</v>
      </c>
      <c r="B13" s="6" t="s">
        <v>108</v>
      </c>
      <c r="C13" s="16">
        <v>0</v>
      </c>
      <c r="D13" s="16">
        <v>0</v>
      </c>
      <c r="E13" s="39">
        <v>8895</v>
      </c>
      <c r="F13" s="39">
        <v>13810</v>
      </c>
      <c r="G13" s="39">
        <v>15955</v>
      </c>
      <c r="H13" s="39">
        <v>12005</v>
      </c>
      <c r="I13" s="39">
        <v>12695</v>
      </c>
      <c r="J13" s="39">
        <v>11940</v>
      </c>
      <c r="K13" s="39">
        <v>14005</v>
      </c>
      <c r="L13" s="39">
        <v>12965</v>
      </c>
      <c r="M13" s="39">
        <v>13790</v>
      </c>
      <c r="N13" s="39"/>
      <c r="O13" s="1">
        <f t="shared" si="0"/>
        <v>116060</v>
      </c>
      <c r="P13" s="7">
        <f t="shared" si="1"/>
        <v>9667.7980000000007</v>
      </c>
      <c r="Q13" s="15"/>
      <c r="R13" s="7">
        <f t="shared" si="2"/>
        <v>9667.7980000000007</v>
      </c>
      <c r="S13" s="2"/>
    </row>
    <row r="14" spans="1:19" x14ac:dyDescent="0.25">
      <c r="A14" s="5">
        <v>12</v>
      </c>
      <c r="B14" s="6" t="s">
        <v>17</v>
      </c>
      <c r="C14" s="39">
        <v>18795</v>
      </c>
      <c r="D14" s="39">
        <v>12495</v>
      </c>
      <c r="E14" s="39">
        <v>17675</v>
      </c>
      <c r="F14" s="39">
        <v>19250</v>
      </c>
      <c r="G14" s="39">
        <v>18760</v>
      </c>
      <c r="H14" s="39">
        <v>15855</v>
      </c>
      <c r="I14" s="39">
        <v>20020</v>
      </c>
      <c r="J14" s="39">
        <v>19635</v>
      </c>
      <c r="K14" s="39">
        <v>17745</v>
      </c>
      <c r="L14" s="39">
        <v>15645</v>
      </c>
      <c r="M14" s="39">
        <v>16625</v>
      </c>
      <c r="N14" s="39"/>
      <c r="O14" s="1">
        <f t="shared" si="0"/>
        <v>192500</v>
      </c>
      <c r="P14" s="7">
        <f t="shared" si="1"/>
        <v>16035.25</v>
      </c>
      <c r="Q14" s="15"/>
      <c r="R14" s="7">
        <f t="shared" si="2"/>
        <v>16035.25</v>
      </c>
      <c r="S14" s="2"/>
    </row>
    <row r="15" spans="1:19" x14ac:dyDescent="0.25">
      <c r="A15" s="5">
        <v>13</v>
      </c>
      <c r="B15" s="6" t="s">
        <v>49</v>
      </c>
      <c r="C15" s="16">
        <v>0</v>
      </c>
      <c r="D15" s="16">
        <v>0</v>
      </c>
      <c r="E15" s="39">
        <v>13305</v>
      </c>
      <c r="F15" s="39">
        <v>20250</v>
      </c>
      <c r="G15" s="39">
        <v>20645</v>
      </c>
      <c r="H15" s="39">
        <v>15230</v>
      </c>
      <c r="I15" s="39">
        <v>13300</v>
      </c>
      <c r="J15" s="39">
        <v>18635</v>
      </c>
      <c r="K15" s="39">
        <v>18895</v>
      </c>
      <c r="L15" s="39">
        <v>15445</v>
      </c>
      <c r="M15" s="39">
        <v>18195</v>
      </c>
      <c r="N15" s="39"/>
      <c r="O15" s="1">
        <f t="shared" si="0"/>
        <v>153900</v>
      </c>
      <c r="P15" s="7">
        <f t="shared" si="1"/>
        <v>12819.869999999999</v>
      </c>
      <c r="Q15" s="15"/>
      <c r="R15" s="7">
        <f t="shared" si="2"/>
        <v>12819.869999999999</v>
      </c>
      <c r="S15" s="2"/>
    </row>
    <row r="16" spans="1:19" x14ac:dyDescent="0.25">
      <c r="A16" s="5">
        <v>14</v>
      </c>
      <c r="B16" s="6" t="s">
        <v>6</v>
      </c>
      <c r="C16" s="39">
        <v>12720</v>
      </c>
      <c r="D16" s="39">
        <v>11930</v>
      </c>
      <c r="E16" s="39">
        <v>12340</v>
      </c>
      <c r="F16" s="39">
        <v>13790</v>
      </c>
      <c r="G16" s="39">
        <v>13080</v>
      </c>
      <c r="H16" s="39">
        <v>10410</v>
      </c>
      <c r="I16" s="39">
        <v>12060</v>
      </c>
      <c r="J16" s="39">
        <v>11380</v>
      </c>
      <c r="K16" s="39">
        <v>11840</v>
      </c>
      <c r="L16" s="39">
        <v>11110</v>
      </c>
      <c r="M16" s="39">
        <v>12130</v>
      </c>
      <c r="N16" s="39"/>
      <c r="O16" s="1">
        <f t="shared" si="0"/>
        <v>132790</v>
      </c>
      <c r="P16" s="7">
        <f t="shared" si="1"/>
        <v>11061.406999999999</v>
      </c>
      <c r="Q16" s="15"/>
      <c r="R16" s="7">
        <f t="shared" si="2"/>
        <v>11061.406999999999</v>
      </c>
      <c r="S16" s="2"/>
    </row>
    <row r="17" spans="1:19" x14ac:dyDescent="0.25">
      <c r="A17" s="5">
        <v>15</v>
      </c>
      <c r="B17" s="6" t="s">
        <v>18</v>
      </c>
      <c r="C17" s="39">
        <v>15400</v>
      </c>
      <c r="D17" s="39">
        <v>14477</v>
      </c>
      <c r="E17" s="39">
        <v>13200</v>
      </c>
      <c r="F17" s="39">
        <v>14477</v>
      </c>
      <c r="G17" s="39">
        <v>14052</v>
      </c>
      <c r="H17" s="39">
        <v>14614</v>
      </c>
      <c r="I17" s="39">
        <v>16606</v>
      </c>
      <c r="J17" s="39">
        <v>14080</v>
      </c>
      <c r="K17" s="39">
        <v>14052</v>
      </c>
      <c r="L17" s="39">
        <v>15400</v>
      </c>
      <c r="M17" s="39">
        <v>14477</v>
      </c>
      <c r="N17" s="39"/>
      <c r="O17" s="1">
        <f t="shared" si="0"/>
        <v>160835</v>
      </c>
      <c r="P17" s="7">
        <f t="shared" si="1"/>
        <v>13397.5555</v>
      </c>
      <c r="Q17" s="15"/>
      <c r="R17" s="7">
        <f t="shared" si="2"/>
        <v>13397.5555</v>
      </c>
      <c r="S17" s="2"/>
    </row>
    <row r="18" spans="1:19" x14ac:dyDescent="0.25">
      <c r="A18" s="5">
        <v>16</v>
      </c>
      <c r="B18" s="6" t="s">
        <v>100</v>
      </c>
      <c r="C18" s="39">
        <v>19355</v>
      </c>
      <c r="D18" s="39">
        <v>14665</v>
      </c>
      <c r="E18" s="39">
        <v>20125</v>
      </c>
      <c r="F18" s="39">
        <v>17185</v>
      </c>
      <c r="G18" s="39">
        <v>22120</v>
      </c>
      <c r="H18" s="39">
        <v>19845</v>
      </c>
      <c r="I18" s="39">
        <v>23065</v>
      </c>
      <c r="J18" s="39">
        <v>21175</v>
      </c>
      <c r="K18" s="39">
        <v>19005</v>
      </c>
      <c r="L18" s="39">
        <v>15190</v>
      </c>
      <c r="M18" s="39">
        <v>16450</v>
      </c>
      <c r="N18" s="39"/>
      <c r="O18" s="1">
        <f t="shared" si="0"/>
        <v>208180</v>
      </c>
      <c r="P18" s="7">
        <f t="shared" si="1"/>
        <v>17341.394</v>
      </c>
      <c r="Q18" s="15"/>
      <c r="R18" s="7">
        <f t="shared" si="2"/>
        <v>17341.394</v>
      </c>
      <c r="S18" s="2"/>
    </row>
    <row r="19" spans="1:19" x14ac:dyDescent="0.25">
      <c r="A19" s="5">
        <v>17</v>
      </c>
      <c r="B19" s="6" t="s">
        <v>19</v>
      </c>
      <c r="C19" s="39">
        <v>13333</v>
      </c>
      <c r="D19" s="39">
        <v>12500</v>
      </c>
      <c r="E19" s="39">
        <v>14583</v>
      </c>
      <c r="F19" s="39">
        <v>14516</v>
      </c>
      <c r="G19" s="39">
        <v>15323</v>
      </c>
      <c r="H19" s="39">
        <v>14732</v>
      </c>
      <c r="I19" s="39">
        <v>12903</v>
      </c>
      <c r="J19" s="39">
        <v>13533</v>
      </c>
      <c r="K19" s="39">
        <v>17613</v>
      </c>
      <c r="L19" s="39">
        <v>16333</v>
      </c>
      <c r="M19" s="16">
        <v>0</v>
      </c>
      <c r="N19" s="39"/>
      <c r="O19" s="1">
        <f t="shared" si="0"/>
        <v>145369</v>
      </c>
      <c r="P19" s="7">
        <f t="shared" si="1"/>
        <v>12109.2377</v>
      </c>
      <c r="Q19" s="15"/>
      <c r="R19" s="7">
        <f t="shared" si="2"/>
        <v>12109.2377</v>
      </c>
      <c r="S19" s="2"/>
    </row>
    <row r="20" spans="1:19" x14ac:dyDescent="0.25">
      <c r="A20" s="5">
        <v>18</v>
      </c>
      <c r="B20" s="6" t="s">
        <v>20</v>
      </c>
      <c r="C20" s="39">
        <v>11910</v>
      </c>
      <c r="D20" s="39">
        <v>7730</v>
      </c>
      <c r="E20" s="39">
        <v>6330</v>
      </c>
      <c r="F20" s="39">
        <v>11100</v>
      </c>
      <c r="G20" s="39">
        <v>10200</v>
      </c>
      <c r="H20" s="39">
        <v>11620</v>
      </c>
      <c r="I20" s="39">
        <v>11240</v>
      </c>
      <c r="J20" s="39">
        <v>12660</v>
      </c>
      <c r="K20" s="39">
        <v>11560</v>
      </c>
      <c r="L20" s="39">
        <v>11500</v>
      </c>
      <c r="M20" s="16">
        <v>0</v>
      </c>
      <c r="N20" s="39"/>
      <c r="O20" s="1">
        <f t="shared" si="0"/>
        <v>105850</v>
      </c>
      <c r="P20" s="7">
        <f t="shared" si="1"/>
        <v>8817.3050000000003</v>
      </c>
      <c r="Q20" s="15"/>
      <c r="R20" s="7">
        <f t="shared" si="2"/>
        <v>8817.3050000000003</v>
      </c>
      <c r="S20" s="2"/>
    </row>
    <row r="21" spans="1:19" x14ac:dyDescent="0.25">
      <c r="A21" s="5">
        <v>19</v>
      </c>
      <c r="B21" s="6" t="s">
        <v>7</v>
      </c>
      <c r="C21" s="39">
        <v>13740</v>
      </c>
      <c r="D21" s="39">
        <v>12320</v>
      </c>
      <c r="E21" s="39">
        <v>13330</v>
      </c>
      <c r="F21" s="39">
        <v>13610</v>
      </c>
      <c r="G21" s="39">
        <v>13470</v>
      </c>
      <c r="H21" s="39">
        <v>11150</v>
      </c>
      <c r="I21" s="39">
        <v>14150</v>
      </c>
      <c r="J21" s="39">
        <v>12940</v>
      </c>
      <c r="K21" s="39">
        <v>13190</v>
      </c>
      <c r="L21" s="39">
        <v>10220</v>
      </c>
      <c r="M21" s="39">
        <v>13240</v>
      </c>
      <c r="N21" s="39"/>
      <c r="O21" s="1">
        <f t="shared" si="0"/>
        <v>141360</v>
      </c>
      <c r="P21" s="7">
        <f t="shared" si="1"/>
        <v>11775.288</v>
      </c>
      <c r="Q21" s="15"/>
      <c r="R21" s="7">
        <f t="shared" si="2"/>
        <v>11775.288</v>
      </c>
      <c r="S21" s="2"/>
    </row>
    <row r="22" spans="1:19" x14ac:dyDescent="0.25">
      <c r="A22" s="5">
        <v>20</v>
      </c>
      <c r="B22" s="6" t="s">
        <v>101</v>
      </c>
      <c r="C22" s="39">
        <v>5050</v>
      </c>
      <c r="D22" s="39">
        <v>12920</v>
      </c>
      <c r="E22" s="39">
        <v>12410</v>
      </c>
      <c r="F22" s="39">
        <v>14000</v>
      </c>
      <c r="G22" s="39">
        <v>12080</v>
      </c>
      <c r="H22" s="39">
        <v>13290</v>
      </c>
      <c r="I22" s="39">
        <v>14180</v>
      </c>
      <c r="J22" s="39">
        <v>14720</v>
      </c>
      <c r="K22" s="39">
        <v>14070</v>
      </c>
      <c r="L22" s="39">
        <v>12310</v>
      </c>
      <c r="M22" s="39">
        <v>13020</v>
      </c>
      <c r="N22" s="39"/>
      <c r="O22" s="1">
        <f t="shared" si="0"/>
        <v>138050</v>
      </c>
      <c r="P22" s="7">
        <f t="shared" si="1"/>
        <v>11499.565000000001</v>
      </c>
      <c r="Q22" s="15"/>
      <c r="R22" s="7">
        <f t="shared" si="2"/>
        <v>11499.565000000001</v>
      </c>
      <c r="S22" s="2"/>
    </row>
    <row r="23" spans="1:19" x14ac:dyDescent="0.25">
      <c r="A23" s="5">
        <v>21</v>
      </c>
      <c r="B23" s="6" t="s">
        <v>21</v>
      </c>
      <c r="C23" s="39">
        <v>18515</v>
      </c>
      <c r="D23" s="39">
        <v>16345</v>
      </c>
      <c r="E23" s="39">
        <v>16345</v>
      </c>
      <c r="F23" s="39">
        <v>18865</v>
      </c>
      <c r="G23" s="39">
        <v>16800</v>
      </c>
      <c r="H23" s="39">
        <v>15435</v>
      </c>
      <c r="I23" s="39">
        <v>19215</v>
      </c>
      <c r="J23" s="39">
        <v>14455</v>
      </c>
      <c r="K23" s="39">
        <v>18760</v>
      </c>
      <c r="L23" s="39">
        <v>11620</v>
      </c>
      <c r="M23" s="39">
        <v>15995</v>
      </c>
      <c r="N23" s="39"/>
      <c r="O23" s="1">
        <f t="shared" si="0"/>
        <v>182350</v>
      </c>
      <c r="P23" s="7">
        <f t="shared" si="1"/>
        <v>15189.754999999999</v>
      </c>
      <c r="Q23" s="15"/>
      <c r="R23" s="7">
        <f t="shared" si="2"/>
        <v>15189.754999999999</v>
      </c>
      <c r="S23" s="2"/>
    </row>
    <row r="24" spans="1:19" x14ac:dyDescent="0.25">
      <c r="A24" s="5">
        <v>22</v>
      </c>
      <c r="B24" s="6" t="s">
        <v>22</v>
      </c>
      <c r="C24" s="39">
        <v>13750</v>
      </c>
      <c r="D24" s="39">
        <v>11180</v>
      </c>
      <c r="E24" s="39">
        <v>12550</v>
      </c>
      <c r="F24" s="39">
        <v>14440</v>
      </c>
      <c r="G24" s="39">
        <v>12190</v>
      </c>
      <c r="H24" s="39">
        <v>11090</v>
      </c>
      <c r="I24" s="39">
        <v>13550</v>
      </c>
      <c r="J24" s="39">
        <v>13190</v>
      </c>
      <c r="K24" s="39">
        <v>15000</v>
      </c>
      <c r="L24" s="39">
        <v>11110</v>
      </c>
      <c r="M24" s="39">
        <v>13060</v>
      </c>
      <c r="N24" s="39"/>
      <c r="O24" s="1">
        <f t="shared" si="0"/>
        <v>141110</v>
      </c>
      <c r="P24" s="7">
        <f t="shared" si="1"/>
        <v>11754.463</v>
      </c>
      <c r="Q24" s="15"/>
      <c r="R24" s="7">
        <f t="shared" si="2"/>
        <v>11754.463</v>
      </c>
      <c r="S24" s="2"/>
    </row>
    <row r="25" spans="1:19" x14ac:dyDescent="0.25">
      <c r="A25" s="5">
        <v>23</v>
      </c>
      <c r="B25" s="6" t="s">
        <v>23</v>
      </c>
      <c r="C25" s="39">
        <v>13780</v>
      </c>
      <c r="D25" s="39">
        <v>12070</v>
      </c>
      <c r="E25" s="39">
        <v>12520</v>
      </c>
      <c r="F25" s="39">
        <v>13860</v>
      </c>
      <c r="G25" s="39">
        <v>13150</v>
      </c>
      <c r="H25" s="39">
        <v>13150</v>
      </c>
      <c r="I25" s="39">
        <v>13370</v>
      </c>
      <c r="J25" s="39">
        <v>12980</v>
      </c>
      <c r="K25" s="16">
        <v>0</v>
      </c>
      <c r="L25" s="16">
        <v>0</v>
      </c>
      <c r="M25" s="16">
        <v>0</v>
      </c>
      <c r="N25" s="39"/>
      <c r="O25" s="1">
        <f t="shared" si="0"/>
        <v>104880</v>
      </c>
      <c r="P25" s="7">
        <f t="shared" si="1"/>
        <v>8736.503999999999</v>
      </c>
      <c r="Q25" s="15"/>
      <c r="R25" s="7">
        <f t="shared" si="2"/>
        <v>8736.503999999999</v>
      </c>
      <c r="S25" s="2"/>
    </row>
    <row r="26" spans="1:19" x14ac:dyDescent="0.25">
      <c r="A26" s="5">
        <v>24</v>
      </c>
      <c r="B26" s="6" t="s">
        <v>8</v>
      </c>
      <c r="C26" s="39">
        <v>13500</v>
      </c>
      <c r="D26" s="39">
        <v>11570</v>
      </c>
      <c r="E26" s="39">
        <v>10640</v>
      </c>
      <c r="F26" s="39">
        <v>12230</v>
      </c>
      <c r="G26" s="39">
        <v>13180</v>
      </c>
      <c r="H26" s="39">
        <v>11200</v>
      </c>
      <c r="I26" s="39">
        <v>12620</v>
      </c>
      <c r="J26" s="39">
        <v>12410</v>
      </c>
      <c r="K26" s="39">
        <v>12410</v>
      </c>
      <c r="L26" s="39">
        <v>12840</v>
      </c>
      <c r="M26" s="39">
        <v>10820</v>
      </c>
      <c r="N26" s="39"/>
      <c r="O26" s="1">
        <f t="shared" si="0"/>
        <v>133420</v>
      </c>
      <c r="P26" s="7">
        <f t="shared" si="1"/>
        <v>11113.886</v>
      </c>
      <c r="Q26" s="15"/>
      <c r="R26" s="7">
        <f t="shared" si="2"/>
        <v>11113.886</v>
      </c>
      <c r="S26" s="2"/>
    </row>
    <row r="27" spans="1:19" x14ac:dyDescent="0.25">
      <c r="A27" s="5">
        <v>25</v>
      </c>
      <c r="B27" s="6" t="s">
        <v>24</v>
      </c>
      <c r="C27" s="39">
        <v>13860</v>
      </c>
      <c r="D27" s="39">
        <v>12180</v>
      </c>
      <c r="E27" s="39">
        <v>11850</v>
      </c>
      <c r="F27" s="39">
        <v>12800</v>
      </c>
      <c r="G27" s="39">
        <v>14810</v>
      </c>
      <c r="H27" s="39">
        <v>13120</v>
      </c>
      <c r="I27" s="39">
        <v>13120</v>
      </c>
      <c r="J27" s="39">
        <v>13580</v>
      </c>
      <c r="K27" s="39">
        <v>13260</v>
      </c>
      <c r="L27" s="39">
        <v>9570</v>
      </c>
      <c r="M27" s="39">
        <v>12100</v>
      </c>
      <c r="N27" s="39"/>
      <c r="O27" s="1">
        <f t="shared" si="0"/>
        <v>140250</v>
      </c>
      <c r="P27" s="7">
        <f t="shared" si="1"/>
        <v>11682.825000000001</v>
      </c>
      <c r="Q27" s="15"/>
      <c r="R27" s="7">
        <f t="shared" si="2"/>
        <v>11682.825000000001</v>
      </c>
      <c r="S27" s="2"/>
    </row>
    <row r="28" spans="1:19" x14ac:dyDescent="0.25">
      <c r="A28" s="5">
        <v>26</v>
      </c>
      <c r="B28" s="6" t="s">
        <v>25</v>
      </c>
      <c r="C28" s="39">
        <v>14400</v>
      </c>
      <c r="D28" s="39">
        <v>8903</v>
      </c>
      <c r="E28" s="39">
        <v>7367</v>
      </c>
      <c r="F28" s="39">
        <v>15097</v>
      </c>
      <c r="G28" s="39">
        <v>14258</v>
      </c>
      <c r="H28" s="39">
        <v>12071</v>
      </c>
      <c r="I28" s="39">
        <v>13419</v>
      </c>
      <c r="J28" s="39">
        <v>16500</v>
      </c>
      <c r="K28" s="16">
        <v>0</v>
      </c>
      <c r="L28" s="16">
        <v>0</v>
      </c>
      <c r="M28" s="16">
        <v>0</v>
      </c>
      <c r="N28" s="39"/>
      <c r="O28" s="1">
        <f t="shared" si="0"/>
        <v>102015</v>
      </c>
      <c r="P28" s="7">
        <f t="shared" si="1"/>
        <v>8497.8495000000003</v>
      </c>
      <c r="Q28" s="15"/>
      <c r="R28" s="7">
        <f t="shared" si="2"/>
        <v>8497.8495000000003</v>
      </c>
      <c r="S28" s="2"/>
    </row>
    <row r="29" spans="1:19" x14ac:dyDescent="0.25">
      <c r="A29" s="5">
        <v>27</v>
      </c>
      <c r="B29" s="6" t="s">
        <v>26</v>
      </c>
      <c r="C29" s="39">
        <v>9500</v>
      </c>
      <c r="D29" s="39">
        <v>9500</v>
      </c>
      <c r="E29" s="39">
        <v>9500</v>
      </c>
      <c r="F29" s="39">
        <v>9500</v>
      </c>
      <c r="G29" s="39">
        <v>9500</v>
      </c>
      <c r="H29" s="39">
        <v>9500</v>
      </c>
      <c r="I29" s="39">
        <v>9500</v>
      </c>
      <c r="J29" s="39">
        <v>9500</v>
      </c>
      <c r="K29" s="39">
        <v>9500</v>
      </c>
      <c r="L29" s="39">
        <v>9500</v>
      </c>
      <c r="M29" s="39">
        <v>9500</v>
      </c>
      <c r="N29" s="39"/>
      <c r="O29" s="1">
        <f t="shared" si="0"/>
        <v>104500</v>
      </c>
      <c r="P29" s="7">
        <f t="shared" si="1"/>
        <v>8704.85</v>
      </c>
      <c r="Q29" s="15"/>
      <c r="R29" s="7">
        <f t="shared" si="2"/>
        <v>8704.85</v>
      </c>
      <c r="S29" s="2"/>
    </row>
    <row r="30" spans="1:19" x14ac:dyDescent="0.25">
      <c r="A30" s="5">
        <v>28</v>
      </c>
      <c r="B30" s="6" t="s">
        <v>27</v>
      </c>
      <c r="C30" s="39">
        <v>19250</v>
      </c>
      <c r="D30" s="39">
        <v>17080</v>
      </c>
      <c r="E30" s="39">
        <v>19985</v>
      </c>
      <c r="F30" s="39">
        <v>19390</v>
      </c>
      <c r="G30" s="39">
        <v>21290</v>
      </c>
      <c r="H30" s="39">
        <v>18235</v>
      </c>
      <c r="I30" s="39">
        <v>19180</v>
      </c>
      <c r="J30" s="39">
        <v>14000</v>
      </c>
      <c r="K30" s="39">
        <v>18725</v>
      </c>
      <c r="L30" s="39">
        <v>15470</v>
      </c>
      <c r="M30" s="39">
        <v>16380</v>
      </c>
      <c r="N30" s="39"/>
      <c r="O30" s="1">
        <f t="shared" si="0"/>
        <v>198985</v>
      </c>
      <c r="P30" s="7">
        <f t="shared" si="1"/>
        <v>16575.450499999999</v>
      </c>
      <c r="Q30" s="15"/>
      <c r="R30" s="7">
        <f t="shared" si="2"/>
        <v>16575.450499999999</v>
      </c>
      <c r="S30" s="2"/>
    </row>
    <row r="31" spans="1:19" x14ac:dyDescent="0.25">
      <c r="A31" s="5">
        <v>29</v>
      </c>
      <c r="B31" s="6" t="s">
        <v>103</v>
      </c>
      <c r="C31" s="39">
        <v>13290</v>
      </c>
      <c r="D31" s="39">
        <v>12140</v>
      </c>
      <c r="E31" s="39">
        <v>10950</v>
      </c>
      <c r="F31" s="39">
        <v>13110</v>
      </c>
      <c r="G31" s="39">
        <v>12750</v>
      </c>
      <c r="H31" s="39">
        <v>10630</v>
      </c>
      <c r="I31" s="39">
        <v>13650</v>
      </c>
      <c r="J31" s="39">
        <v>11910</v>
      </c>
      <c r="K31" s="39">
        <v>13580</v>
      </c>
      <c r="L31" s="39">
        <v>10390</v>
      </c>
      <c r="M31" s="39">
        <v>12880</v>
      </c>
      <c r="N31" s="39"/>
      <c r="O31" s="1">
        <f t="shared" si="0"/>
        <v>135280</v>
      </c>
      <c r="P31" s="7">
        <f t="shared" si="1"/>
        <v>11268.824000000001</v>
      </c>
      <c r="Q31" s="15"/>
      <c r="R31" s="7">
        <f t="shared" si="2"/>
        <v>11268.824000000001</v>
      </c>
      <c r="S31" s="2"/>
    </row>
    <row r="32" spans="1:19" x14ac:dyDescent="0.25">
      <c r="A32" s="5">
        <v>30</v>
      </c>
      <c r="B32" s="6" t="s">
        <v>28</v>
      </c>
      <c r="C32" s="39">
        <v>11720</v>
      </c>
      <c r="D32" s="39">
        <v>10470</v>
      </c>
      <c r="E32" s="39">
        <v>9500</v>
      </c>
      <c r="F32" s="39">
        <v>13750</v>
      </c>
      <c r="G32" s="39">
        <v>12750</v>
      </c>
      <c r="H32" s="39">
        <v>12260</v>
      </c>
      <c r="I32" s="39">
        <v>11320</v>
      </c>
      <c r="J32" s="39">
        <v>10780</v>
      </c>
      <c r="K32" s="39">
        <v>14000</v>
      </c>
      <c r="L32" s="39">
        <v>10110</v>
      </c>
      <c r="M32" s="39">
        <v>11850</v>
      </c>
      <c r="N32" s="39"/>
      <c r="O32" s="1">
        <f t="shared" si="0"/>
        <v>128510</v>
      </c>
      <c r="P32" s="7">
        <f t="shared" si="1"/>
        <v>10704.883</v>
      </c>
      <c r="Q32" s="15"/>
      <c r="R32" s="7">
        <f t="shared" si="2"/>
        <v>10704.883</v>
      </c>
      <c r="S32" s="2"/>
    </row>
    <row r="33" spans="1:19" x14ac:dyDescent="0.25">
      <c r="A33" s="5">
        <v>31</v>
      </c>
      <c r="B33" s="6" t="s">
        <v>102</v>
      </c>
      <c r="C33" s="39">
        <v>15575</v>
      </c>
      <c r="D33" s="39">
        <v>14350</v>
      </c>
      <c r="E33" s="39">
        <v>2485</v>
      </c>
      <c r="F33" s="39">
        <v>5810</v>
      </c>
      <c r="G33" s="39">
        <v>15820</v>
      </c>
      <c r="H33" s="39">
        <v>12950</v>
      </c>
      <c r="I33" s="39">
        <v>19600</v>
      </c>
      <c r="J33" s="39">
        <v>14315</v>
      </c>
      <c r="K33" s="39">
        <v>17115</v>
      </c>
      <c r="L33" s="39">
        <v>14070</v>
      </c>
      <c r="M33" s="39">
        <v>13580</v>
      </c>
      <c r="N33" s="39"/>
      <c r="O33" s="1">
        <f t="shared" si="0"/>
        <v>145670</v>
      </c>
      <c r="P33" s="7">
        <f t="shared" si="1"/>
        <v>12134.311</v>
      </c>
      <c r="Q33" s="15"/>
      <c r="R33" s="7">
        <f t="shared" si="2"/>
        <v>12134.311</v>
      </c>
      <c r="S33" s="2"/>
    </row>
    <row r="34" spans="1:19" x14ac:dyDescent="0.25">
      <c r="A34" s="5">
        <v>32</v>
      </c>
      <c r="B34" s="6" t="s">
        <v>96</v>
      </c>
      <c r="C34" s="1">
        <v>12000</v>
      </c>
      <c r="D34" s="1">
        <v>10839</v>
      </c>
      <c r="E34" s="1">
        <v>10800</v>
      </c>
      <c r="F34" s="1">
        <v>13161</v>
      </c>
      <c r="G34" s="1">
        <v>12000</v>
      </c>
      <c r="H34" s="1">
        <v>14143</v>
      </c>
      <c r="I34" s="1">
        <v>13161</v>
      </c>
      <c r="J34" s="1">
        <v>13000</v>
      </c>
      <c r="K34" s="16">
        <v>0</v>
      </c>
      <c r="L34" s="16">
        <v>0</v>
      </c>
      <c r="M34" s="16">
        <v>0</v>
      </c>
      <c r="N34" s="1"/>
      <c r="O34" s="1">
        <f t="shared" ref="O34:O40" si="3">(C34+D34+E34+F34+G34+H34+I34+J34+K34+L34+M34+N34)</f>
        <v>99104</v>
      </c>
      <c r="P34" s="7">
        <f t="shared" ref="P34:P40" si="4">O34*8.33%</f>
        <v>8255.3631999999998</v>
      </c>
      <c r="Q34" s="15"/>
      <c r="R34" s="7">
        <f t="shared" ref="R34:R40" si="5">(P34-Q34)</f>
        <v>8255.3631999999998</v>
      </c>
      <c r="S34" s="2"/>
    </row>
    <row r="35" spans="1:19" x14ac:dyDescent="0.25">
      <c r="A35" s="5">
        <v>33</v>
      </c>
      <c r="B35" s="6" t="s">
        <v>104</v>
      </c>
      <c r="C35" s="1">
        <v>10667</v>
      </c>
      <c r="D35" s="1">
        <v>11290</v>
      </c>
      <c r="E35" s="1">
        <v>13200</v>
      </c>
      <c r="F35" s="1">
        <v>12387</v>
      </c>
      <c r="G35" s="1">
        <v>13161</v>
      </c>
      <c r="H35" s="1">
        <v>12857</v>
      </c>
      <c r="I35" s="1">
        <v>13548</v>
      </c>
      <c r="J35" s="1">
        <v>13433</v>
      </c>
      <c r="K35" s="1">
        <v>14258</v>
      </c>
      <c r="L35" s="1">
        <v>15167</v>
      </c>
      <c r="M35" s="1">
        <v>16774</v>
      </c>
      <c r="N35" s="1"/>
      <c r="O35" s="1">
        <f t="shared" si="3"/>
        <v>146742</v>
      </c>
      <c r="P35" s="7">
        <f t="shared" si="4"/>
        <v>12223.6086</v>
      </c>
      <c r="Q35" s="15"/>
      <c r="R35" s="7">
        <f t="shared" si="5"/>
        <v>12223.6086</v>
      </c>
      <c r="S35" s="2"/>
    </row>
    <row r="36" spans="1:19" x14ac:dyDescent="0.25">
      <c r="A36" s="5">
        <v>34</v>
      </c>
      <c r="B36" s="6" t="s">
        <v>105</v>
      </c>
      <c r="C36" s="1">
        <v>16033</v>
      </c>
      <c r="D36" s="1">
        <v>17194</v>
      </c>
      <c r="E36" s="1">
        <v>15167</v>
      </c>
      <c r="F36" s="1">
        <v>15097</v>
      </c>
      <c r="G36" s="1">
        <v>15097</v>
      </c>
      <c r="H36" s="1">
        <v>19036</v>
      </c>
      <c r="I36" s="1">
        <v>17194</v>
      </c>
      <c r="J36" s="1">
        <v>17733</v>
      </c>
      <c r="K36" s="1">
        <v>15806</v>
      </c>
      <c r="L36" s="1">
        <v>15867</v>
      </c>
      <c r="M36" s="1">
        <v>17161</v>
      </c>
      <c r="N36" s="1"/>
      <c r="O36" s="1">
        <f t="shared" si="3"/>
        <v>181385</v>
      </c>
      <c r="P36" s="7">
        <f t="shared" si="4"/>
        <v>15109.370499999999</v>
      </c>
      <c r="Q36" s="15"/>
      <c r="R36" s="7">
        <f t="shared" si="5"/>
        <v>15109.370499999999</v>
      </c>
      <c r="S36" s="2"/>
    </row>
    <row r="37" spans="1:19" x14ac:dyDescent="0.25">
      <c r="A37" s="5">
        <v>35</v>
      </c>
      <c r="B37" s="6" t="s">
        <v>106</v>
      </c>
      <c r="C37" s="1">
        <v>13000</v>
      </c>
      <c r="D37" s="1">
        <v>11935</v>
      </c>
      <c r="E37" s="1">
        <v>12333</v>
      </c>
      <c r="F37" s="1">
        <v>12258</v>
      </c>
      <c r="G37" s="1">
        <v>13129</v>
      </c>
      <c r="H37" s="1">
        <v>13750</v>
      </c>
      <c r="I37" s="1">
        <v>12774</v>
      </c>
      <c r="J37" s="1">
        <v>14000</v>
      </c>
      <c r="K37" s="1">
        <v>14710</v>
      </c>
      <c r="L37" s="1">
        <v>13600</v>
      </c>
      <c r="M37" s="1">
        <v>12000</v>
      </c>
      <c r="N37" s="1"/>
      <c r="O37" s="1">
        <f t="shared" si="3"/>
        <v>143489</v>
      </c>
      <c r="P37" s="7">
        <f t="shared" si="4"/>
        <v>11952.6337</v>
      </c>
      <c r="Q37" s="15"/>
      <c r="R37" s="7">
        <f t="shared" si="5"/>
        <v>11952.6337</v>
      </c>
      <c r="S37" s="2"/>
    </row>
    <row r="38" spans="1:19" x14ac:dyDescent="0.25">
      <c r="A38" s="40">
        <v>36</v>
      </c>
      <c r="B38" s="6" t="s">
        <v>107</v>
      </c>
      <c r="C38" s="1">
        <v>0</v>
      </c>
      <c r="D38" s="1">
        <v>3560</v>
      </c>
      <c r="E38" s="1">
        <v>12130</v>
      </c>
      <c r="F38" s="1">
        <v>12330</v>
      </c>
      <c r="G38" s="1">
        <v>11370</v>
      </c>
      <c r="H38" s="1">
        <v>10490</v>
      </c>
      <c r="I38" s="1">
        <v>10240</v>
      </c>
      <c r="J38" s="1">
        <v>9830</v>
      </c>
      <c r="K38" s="1">
        <v>14080</v>
      </c>
      <c r="L38" s="1">
        <v>5840</v>
      </c>
      <c r="M38" s="1">
        <v>8580</v>
      </c>
      <c r="N38" s="2"/>
      <c r="O38" s="1">
        <f t="shared" si="3"/>
        <v>98450</v>
      </c>
      <c r="P38" s="7">
        <f t="shared" si="4"/>
        <v>8200.8850000000002</v>
      </c>
      <c r="Q38" s="15"/>
      <c r="R38" s="7">
        <f t="shared" si="5"/>
        <v>8200.8850000000002</v>
      </c>
      <c r="S38" s="2"/>
    </row>
    <row r="39" spans="1:19" x14ac:dyDescent="0.25">
      <c r="A39" s="40">
        <v>37</v>
      </c>
      <c r="B39" s="6" t="s">
        <v>56</v>
      </c>
      <c r="C39" s="16">
        <v>0</v>
      </c>
      <c r="D39" s="16">
        <v>0</v>
      </c>
      <c r="E39" s="42">
        <v>20315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2"/>
      <c r="O39" s="1">
        <f t="shared" si="3"/>
        <v>20315</v>
      </c>
      <c r="P39" s="7">
        <f t="shared" si="4"/>
        <v>1692.2394999999999</v>
      </c>
      <c r="Q39" s="15"/>
      <c r="R39" s="7">
        <f t="shared" si="5"/>
        <v>1692.2394999999999</v>
      </c>
      <c r="S39" s="2"/>
    </row>
    <row r="40" spans="1:19" x14ac:dyDescent="0.25">
      <c r="A40" s="5">
        <v>38</v>
      </c>
      <c r="B40" s="6" t="s">
        <v>109</v>
      </c>
      <c r="C40" s="16">
        <v>0</v>
      </c>
      <c r="D40" s="16">
        <v>0</v>
      </c>
      <c r="E40" s="1">
        <v>18765</v>
      </c>
      <c r="F40" s="1">
        <v>20950</v>
      </c>
      <c r="G40" s="1">
        <v>20120</v>
      </c>
      <c r="H40" s="1">
        <v>13180</v>
      </c>
      <c r="I40" s="1">
        <v>15010</v>
      </c>
      <c r="J40" s="1">
        <v>5980</v>
      </c>
      <c r="K40" s="1">
        <v>21255</v>
      </c>
      <c r="L40" s="1">
        <v>15485</v>
      </c>
      <c r="M40" s="1">
        <v>18150</v>
      </c>
      <c r="N40" s="1"/>
      <c r="O40" s="1">
        <f t="shared" si="3"/>
        <v>148895</v>
      </c>
      <c r="P40" s="7">
        <f t="shared" si="4"/>
        <v>12402.9535</v>
      </c>
      <c r="Q40" s="15"/>
      <c r="R40" s="7">
        <f t="shared" si="5"/>
        <v>12402.9535</v>
      </c>
      <c r="S40" s="2"/>
    </row>
    <row r="41" spans="1:19" x14ac:dyDescent="0.25">
      <c r="A41" s="1"/>
      <c r="B41" s="6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0" t="s">
        <v>29</v>
      </c>
      <c r="P41" s="10"/>
      <c r="Q41" s="10">
        <f>SUM(Q5:Q40)</f>
        <v>0</v>
      </c>
      <c r="R41" s="9">
        <f>SUM(R4:R40)</f>
        <v>443347.83990000002</v>
      </c>
      <c r="S41" s="2"/>
    </row>
  </sheetData>
  <mergeCells count="1">
    <mergeCell ref="A1:S1"/>
  </mergeCells>
  <pageMargins left="0.70866141732283472" right="0.70866141732283472" top="0.74803149606299213" bottom="0.74803149606299213" header="0.31496062992125984" footer="0.31496062992125984"/>
  <pageSetup scale="13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IDD BONUS ADV.</vt:lpstr>
      <vt:lpstr>CONTACT (2)</vt:lpstr>
      <vt:lpstr>STAFF</vt:lpstr>
      <vt:lpstr> WAGES </vt:lpstr>
      <vt:lpstr>CONTACT</vt:lpstr>
      <vt:lpstr>'IDD BONUS ADV.'!Print_Area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2026-03-12T07:01:45Z</dcterms:modified>
</cp:coreProperties>
</file>