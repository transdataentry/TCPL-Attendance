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BADA5D6-A5F9-4264-89B0-7FB2755EF3A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Weight &amp; Strength (2)" sheetId="3" r:id="rId1"/>
    <sheet name="Instructions" sheetId="1" r:id="rId2"/>
    <sheet name="Weight &amp; Strength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O32" i="3" l="1"/>
  <c r="AP32" i="3" s="1"/>
  <c r="AM32" i="3"/>
  <c r="AN32" i="3" s="1"/>
  <c r="AO31" i="3"/>
  <c r="AP31" i="3" s="1"/>
  <c r="AM31" i="3"/>
  <c r="AN31" i="3" s="1"/>
  <c r="AO30" i="3"/>
  <c r="AP30" i="3" s="1"/>
  <c r="AM30" i="3"/>
  <c r="AN30" i="3" s="1"/>
  <c r="AO29" i="3"/>
  <c r="AP29" i="3" s="1"/>
  <c r="AR29" i="3" s="1"/>
  <c r="AM29" i="3"/>
  <c r="AN29" i="3" s="1"/>
  <c r="AO28" i="3"/>
  <c r="AP28" i="3" s="1"/>
  <c r="AR28" i="3" s="1"/>
  <c r="AM28" i="3"/>
  <c r="AN28" i="3" s="1"/>
  <c r="AO27" i="3"/>
  <c r="AP27" i="3" s="1"/>
  <c r="AM27" i="3"/>
  <c r="AN27" i="3" s="1"/>
  <c r="AO26" i="3"/>
  <c r="AP26" i="3" s="1"/>
  <c r="AM26" i="3"/>
  <c r="AN26" i="3" s="1"/>
  <c r="AO25" i="3"/>
  <c r="AP25" i="3" s="1"/>
  <c r="AR25" i="3" s="1"/>
  <c r="AM25" i="3"/>
  <c r="AN25" i="3" s="1"/>
  <c r="AO24" i="3"/>
  <c r="AP24" i="3" s="1"/>
  <c r="AM24" i="3"/>
  <c r="AN24" i="3" s="1"/>
  <c r="AO23" i="3"/>
  <c r="AP23" i="3" s="1"/>
  <c r="AM23" i="3"/>
  <c r="AN23" i="3" s="1"/>
  <c r="AO22" i="3"/>
  <c r="AP22" i="3" s="1"/>
  <c r="AM22" i="3"/>
  <c r="AN22" i="3" s="1"/>
  <c r="AO21" i="3"/>
  <c r="AP21" i="3" s="1"/>
  <c r="AR21" i="3" s="1"/>
  <c r="AM21" i="3"/>
  <c r="AN21" i="3" s="1"/>
  <c r="AO20" i="3"/>
  <c r="AP20" i="3" s="1"/>
  <c r="AM20" i="3"/>
  <c r="AN20" i="3" s="1"/>
  <c r="AO19" i="3"/>
  <c r="AP19" i="3" s="1"/>
  <c r="AM19" i="3"/>
  <c r="AN19" i="3" s="1"/>
  <c r="AO18" i="3"/>
  <c r="AP18" i="3" s="1"/>
  <c r="AM18" i="3"/>
  <c r="AN18" i="3" s="1"/>
  <c r="AO17" i="3"/>
  <c r="AP17" i="3" s="1"/>
  <c r="AR17" i="3" s="1"/>
  <c r="AM17" i="3"/>
  <c r="AN17" i="3" s="1"/>
  <c r="AO16" i="3"/>
  <c r="AP16" i="3" s="1"/>
  <c r="AM16" i="3"/>
  <c r="AN16" i="3" s="1"/>
  <c r="AO15" i="3"/>
  <c r="AP15" i="3" s="1"/>
  <c r="AM15" i="3"/>
  <c r="AN15" i="3" s="1"/>
  <c r="AO14" i="3"/>
  <c r="AP14" i="3" s="1"/>
  <c r="AM14" i="3"/>
  <c r="AN14" i="3" s="1"/>
  <c r="AO13" i="3"/>
  <c r="AP13" i="3" s="1"/>
  <c r="AR13" i="3" s="1"/>
  <c r="AM13" i="3"/>
  <c r="AN13" i="3" s="1"/>
  <c r="AO12" i="3"/>
  <c r="AP12" i="3" s="1"/>
  <c r="AR12" i="3" s="1"/>
  <c r="AM12" i="3"/>
  <c r="AN12" i="3" s="1"/>
  <c r="AO11" i="3"/>
  <c r="AP11" i="3" s="1"/>
  <c r="AM11" i="3"/>
  <c r="AN11" i="3" s="1"/>
  <c r="AO10" i="3"/>
  <c r="AP10" i="3" s="1"/>
  <c r="AM10" i="3"/>
  <c r="AN10" i="3" s="1"/>
  <c r="AO9" i="3"/>
  <c r="AP9" i="3" s="1"/>
  <c r="AR9" i="3" s="1"/>
  <c r="AM9" i="3"/>
  <c r="AN9" i="3" s="1"/>
  <c r="AO8" i="3"/>
  <c r="AP8" i="3" s="1"/>
  <c r="AM8" i="3"/>
  <c r="AN8" i="3" s="1"/>
  <c r="AO7" i="3"/>
  <c r="AP7" i="3" s="1"/>
  <c r="AM7" i="3"/>
  <c r="AN7" i="3" s="1"/>
  <c r="AO6" i="3"/>
  <c r="AP6" i="3" s="1"/>
  <c r="AM6" i="3"/>
  <c r="AN6" i="3" s="1"/>
  <c r="AO5" i="3"/>
  <c r="AP5" i="3" s="1"/>
  <c r="AM5" i="3"/>
  <c r="AN5" i="3" s="1"/>
  <c r="AO4" i="3"/>
  <c r="AP4" i="3" s="1"/>
  <c r="AM4" i="3"/>
  <c r="AN4" i="3" s="1"/>
  <c r="AO3" i="3"/>
  <c r="AP3" i="3" s="1"/>
  <c r="AM3" i="3"/>
  <c r="AN3" i="3" s="1"/>
  <c r="J31" i="2"/>
  <c r="K31" i="2" s="1"/>
  <c r="H31" i="2"/>
  <c r="I31" i="2" s="1"/>
  <c r="J30" i="2"/>
  <c r="K30" i="2" s="1"/>
  <c r="H30" i="2"/>
  <c r="I30" i="2" s="1"/>
  <c r="J29" i="2"/>
  <c r="K29" i="2" s="1"/>
  <c r="H29" i="2"/>
  <c r="I29" i="2" s="1"/>
  <c r="J28" i="2"/>
  <c r="K28" i="2" s="1"/>
  <c r="H28" i="2"/>
  <c r="I28" i="2" s="1"/>
  <c r="J27" i="2"/>
  <c r="K27" i="2" s="1"/>
  <c r="H27" i="2"/>
  <c r="I27" i="2" s="1"/>
  <c r="J26" i="2"/>
  <c r="K26" i="2" s="1"/>
  <c r="H26" i="2"/>
  <c r="I26" i="2" s="1"/>
  <c r="J25" i="2"/>
  <c r="K25" i="2" s="1"/>
  <c r="H25" i="2"/>
  <c r="I25" i="2" s="1"/>
  <c r="J24" i="2"/>
  <c r="K24" i="2" s="1"/>
  <c r="H24" i="2"/>
  <c r="I24" i="2" s="1"/>
  <c r="J23" i="2"/>
  <c r="K23" i="2" s="1"/>
  <c r="H23" i="2"/>
  <c r="I23" i="2" s="1"/>
  <c r="J22" i="2"/>
  <c r="K22" i="2" s="1"/>
  <c r="H22" i="2"/>
  <c r="I22" i="2" s="1"/>
  <c r="J21" i="2"/>
  <c r="K21" i="2" s="1"/>
  <c r="H21" i="2"/>
  <c r="I21" i="2" s="1"/>
  <c r="J20" i="2"/>
  <c r="K20" i="2" s="1"/>
  <c r="H20" i="2"/>
  <c r="I20" i="2" s="1"/>
  <c r="J19" i="2"/>
  <c r="K19" i="2" s="1"/>
  <c r="H19" i="2"/>
  <c r="I19" i="2" s="1"/>
  <c r="J18" i="2"/>
  <c r="K18" i="2" s="1"/>
  <c r="H18" i="2"/>
  <c r="I18" i="2" s="1"/>
  <c r="J17" i="2"/>
  <c r="K17" i="2" s="1"/>
  <c r="H17" i="2"/>
  <c r="I17" i="2" s="1"/>
  <c r="J16" i="2"/>
  <c r="K16" i="2" s="1"/>
  <c r="H16" i="2"/>
  <c r="I16" i="2" s="1"/>
  <c r="J15" i="2"/>
  <c r="K15" i="2" s="1"/>
  <c r="H15" i="2"/>
  <c r="I15" i="2" s="1"/>
  <c r="J14" i="2"/>
  <c r="K14" i="2" s="1"/>
  <c r="H14" i="2"/>
  <c r="I14" i="2" s="1"/>
  <c r="J13" i="2"/>
  <c r="K13" i="2" s="1"/>
  <c r="H13" i="2"/>
  <c r="I13" i="2" s="1"/>
  <c r="J12" i="2"/>
  <c r="K12" i="2" s="1"/>
  <c r="H12" i="2"/>
  <c r="I12" i="2" s="1"/>
  <c r="J11" i="2"/>
  <c r="K11" i="2" s="1"/>
  <c r="H11" i="2"/>
  <c r="I11" i="2" s="1"/>
  <c r="J10" i="2"/>
  <c r="K10" i="2" s="1"/>
  <c r="H10" i="2"/>
  <c r="I10" i="2" s="1"/>
  <c r="J9" i="2"/>
  <c r="K9" i="2" s="1"/>
  <c r="H9" i="2"/>
  <c r="I9" i="2" s="1"/>
  <c r="J8" i="2"/>
  <c r="K8" i="2" s="1"/>
  <c r="H8" i="2"/>
  <c r="I8" i="2" s="1"/>
  <c r="J7" i="2"/>
  <c r="K7" i="2" s="1"/>
  <c r="H7" i="2"/>
  <c r="I7" i="2" s="1"/>
  <c r="J6" i="2"/>
  <c r="K6" i="2" s="1"/>
  <c r="H6" i="2"/>
  <c r="I6" i="2" s="1"/>
  <c r="J5" i="2"/>
  <c r="K5" i="2" s="1"/>
  <c r="H5" i="2"/>
  <c r="I5" i="2" s="1"/>
  <c r="J4" i="2"/>
  <c r="K4" i="2" s="1"/>
  <c r="H4" i="2"/>
  <c r="I4" i="2" s="1"/>
  <c r="J3" i="2"/>
  <c r="K3" i="2" s="1"/>
  <c r="H3" i="2"/>
  <c r="I3" i="2" s="1"/>
  <c r="J2" i="2"/>
  <c r="K2" i="2" s="1"/>
  <c r="H2" i="2"/>
  <c r="I2" i="2" s="1"/>
  <c r="AR8" i="3" l="1"/>
  <c r="AQ8" i="3"/>
  <c r="AR24" i="3"/>
  <c r="AQ24" i="3"/>
  <c r="AR16" i="3"/>
  <c r="AQ16" i="3"/>
  <c r="AR20" i="3"/>
  <c r="AQ20" i="3"/>
  <c r="AR32" i="3"/>
  <c r="AQ32" i="3"/>
  <c r="AQ28" i="3"/>
  <c r="AQ12" i="3"/>
  <c r="AR18" i="3"/>
  <c r="AQ18" i="3"/>
  <c r="AQ11" i="3"/>
  <c r="AR11" i="3"/>
  <c r="AR26" i="3"/>
  <c r="AQ26" i="3"/>
  <c r="AR31" i="3"/>
  <c r="AQ31" i="3"/>
  <c r="AQ19" i="3"/>
  <c r="AR19" i="3"/>
  <c r="AR6" i="3"/>
  <c r="AQ6" i="3"/>
  <c r="AR3" i="3"/>
  <c r="AQ3" i="3"/>
  <c r="AR7" i="3"/>
  <c r="AQ7" i="3"/>
  <c r="AR23" i="3"/>
  <c r="AQ23" i="3"/>
  <c r="AR14" i="3"/>
  <c r="AQ14" i="3"/>
  <c r="AR4" i="3"/>
  <c r="AQ4" i="3"/>
  <c r="AR22" i="3"/>
  <c r="AQ22" i="3"/>
  <c r="AR27" i="3"/>
  <c r="AQ27" i="3"/>
  <c r="AR10" i="3"/>
  <c r="AQ10" i="3"/>
  <c r="AR15" i="3"/>
  <c r="AQ15" i="3"/>
  <c r="AR5" i="3"/>
  <c r="AQ5" i="3"/>
  <c r="AR30" i="3"/>
  <c r="AQ30" i="3"/>
  <c r="AQ9" i="3"/>
  <c r="AQ13" i="3"/>
  <c r="AQ17" i="3"/>
  <c r="AQ21" i="3"/>
  <c r="AQ25" i="3"/>
  <c r="AQ29" i="3"/>
  <c r="M4" i="2"/>
  <c r="L4" i="2"/>
  <c r="M16" i="2"/>
  <c r="L16" i="2"/>
  <c r="L5" i="2"/>
  <c r="M5" i="2"/>
  <c r="M17" i="2"/>
  <c r="L17" i="2"/>
  <c r="M21" i="2"/>
  <c r="L21" i="2"/>
  <c r="M29" i="2"/>
  <c r="L29" i="2"/>
  <c r="M24" i="2"/>
  <c r="L24" i="2"/>
  <c r="M8" i="2"/>
  <c r="L8" i="2"/>
  <c r="M28" i="2"/>
  <c r="L28" i="2"/>
  <c r="M9" i="2"/>
  <c r="L9" i="2"/>
  <c r="M25" i="2"/>
  <c r="L25" i="2"/>
  <c r="L2" i="2"/>
  <c r="M2" i="2"/>
  <c r="L6" i="2"/>
  <c r="M6" i="2"/>
  <c r="L10" i="2"/>
  <c r="M10" i="2"/>
  <c r="M14" i="2"/>
  <c r="L14" i="2"/>
  <c r="M18" i="2"/>
  <c r="L18" i="2"/>
  <c r="M22" i="2"/>
  <c r="L22" i="2"/>
  <c r="M26" i="2"/>
  <c r="L26" i="2"/>
  <c r="M30" i="2"/>
  <c r="L30" i="2"/>
  <c r="M12" i="2"/>
  <c r="L12" i="2"/>
  <c r="M20" i="2"/>
  <c r="L20" i="2"/>
  <c r="M13" i="2"/>
  <c r="L13" i="2"/>
  <c r="M3" i="2"/>
  <c r="L3" i="2"/>
  <c r="M7" i="2"/>
  <c r="L7" i="2"/>
  <c r="M11" i="2"/>
  <c r="L11" i="2"/>
  <c r="M15" i="2"/>
  <c r="L15" i="2"/>
  <c r="M19" i="2"/>
  <c r="L19" i="2"/>
  <c r="M23" i="2"/>
  <c r="L23" i="2"/>
  <c r="M27" i="2"/>
  <c r="L27" i="2"/>
  <c r="M31" i="2"/>
  <c r="L31" i="2"/>
</calcChain>
</file>

<file path=xl/sharedStrings.xml><?xml version="1.0" encoding="utf-8"?>
<sst xmlns="http://schemas.openxmlformats.org/spreadsheetml/2006/main" count="92" uniqueCount="55">
  <si>
    <t>Cube Weight &amp; Strength Comparison</t>
  </si>
  <si>
    <t>PURPOSE</t>
  </si>
  <si>
    <t>Weight and strength are placed side by side at each test stage, so you can read across a row and</t>
  </si>
  <si>
    <t>immediately see both numbers together instead of hunting across separate blocks. This makes the</t>
  </si>
  <si>
    <t>'heavy but weak' pattern (a cube that is heavier than the others but tests weaker) easy to spot by eye.</t>
  </si>
  <si>
    <t>COLUMN LAYOUT</t>
  </si>
  <si>
    <t>Before Curing Weight  -&gt;  7-Day Weight | 7-Day Strength  -&gt;  28-Day Weight | 28-Day Strength</t>
  </si>
  <si>
    <t>Each weight column sits directly next to the strength reading taken at that same test age.</t>
  </si>
  <si>
    <t>HOW TO FILL IN</t>
  </si>
  <si>
    <t>1. Go to the 'Weight &amp; Strength' sheet. Yellow cells are for input.</t>
  </si>
  <si>
    <t>2. Enter a Set ID for each casting event (same Set ID for all cubes in that set).</t>
  </si>
  <si>
    <t>3. Enter weight (g) and strength (N/mm2) at each stage as you get the readings.</t>
  </si>
  <si>
    <t>4. Net Weight Change %, Strength Deviation %, and both Flags calculate automatically.</t>
  </si>
  <si>
    <t>5. The two charts above the table (Weight, then Strength) are linked to the first 3 rows (the</t>
  </si>
  <si>
    <t xml:space="preserve">   worked example). If you add more sets, right-click each chart -&gt; Select Data, and extend the</t>
  </si>
  <si>
    <t xml:space="preserve">   data range to include your new rows.</t>
  </si>
  <si>
    <t>HOW TO READ THE RESULTS</t>
  </si>
  <si>
    <t>- Weight should rise slightly from 'Before Curing' to the 7-day mark (normal water absorption).</t>
  </si>
  <si>
    <t xml:space="preserve">  A DROP versus 'Before Curing' usually means the cube dried out or wasn't fully submerged.</t>
  </si>
  <si>
    <t>- Strength Deviation compares each cube's 28-day strength to its own set's average. IS 456:2000</t>
  </si>
  <si>
    <t xml:space="preserve">  allows up to +-15% individual variation; beyond that, the Strength Flag marks 'CHECK'.</t>
  </si>
  <si>
    <t>- Pattern Flag marks 'HEAVY BUT WEAK' when a cube's 28-day weight is above its set average but its</t>
  </si>
  <si>
    <t xml:space="preserve">  28-day strength is below its set average -- the signature of segregation rather than a simple</t>
  </si>
  <si>
    <t xml:space="preserve">  compaction void.</t>
  </si>
  <si>
    <t>Rows 8-10 are a worked example using your 14.07.26 M-30 (SIH) data -- overwrite with your own.</t>
  </si>
  <si>
    <t>Set ID</t>
  </si>
  <si>
    <t>Cube ID</t>
  </si>
  <si>
    <t>Before Curing
Weight (g)</t>
  </si>
  <si>
    <t>7-Day
Weight (g)</t>
  </si>
  <si>
    <t>7-Day
Strength (N/mm2)</t>
  </si>
  <si>
    <t>28-Day
Weight (g)</t>
  </si>
  <si>
    <t>28-Day
Strength (N/mm2)</t>
  </si>
  <si>
    <t>Net Weight
Change (%)</t>
  </si>
  <si>
    <t>Weight
Flag</t>
  </si>
  <si>
    <t>Set Avg
Strength (28d)</t>
  </si>
  <si>
    <t>Strength
Dev (%)</t>
  </si>
  <si>
    <t>Strength
Flag</t>
  </si>
  <si>
    <t>Pattern
Flag</t>
  </si>
  <si>
    <t>14JUL26-M30-SIH</t>
  </si>
  <si>
    <t>SIH-1</t>
  </si>
  <si>
    <t>SIH-2</t>
  </si>
  <si>
    <t>SIH-3</t>
  </si>
  <si>
    <t>DATE</t>
  </si>
  <si>
    <t>PARTY NAME</t>
  </si>
  <si>
    <t>GRADE</t>
  </si>
  <si>
    <t>3 DAYES</t>
  </si>
  <si>
    <t>7 DAYES</t>
  </si>
  <si>
    <t>3-Day
Weight (g)</t>
  </si>
  <si>
    <t>3-Day
Strength (N/mm2)</t>
  </si>
  <si>
    <t>SAMPLE NO</t>
  </si>
  <si>
    <t>14 DAYES</t>
  </si>
  <si>
    <t>14-Day
Weight (g)</t>
  </si>
  <si>
    <t>14-Day
Strength (N/mm2)</t>
  </si>
  <si>
    <t>28 DAYES</t>
  </si>
  <si>
    <t>CUBE CASTED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</si>
</sst>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80808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F0F8"/>
      </patternFill>
    </fill>
    <fill>
      <patternFill patternType="solid">
        <fgColor rgb="FFEAF0F8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10" fontId="6" fillId="4" borderId="1" xfId="0" applyNumberFormat="1" applyFont="1" applyFill="1" applyBorder="1"/>
    <xf numFmtId="0" fontId="6" fillId="4" borderId="1" xfId="0" applyFont="1" applyFill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5" fillId="0" borderId="1" xfId="0" applyFont="1" applyBorder="1"/>
    <xf numFmtId="0" fontId="5" fillId="5" borderId="1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Fill="1" applyBorder="1"/>
    <xf numFmtId="10" fontId="6" fillId="0" borderId="1" xfId="0" applyNumberFormat="1" applyFont="1" applyFill="1" applyBorder="1"/>
    <xf numFmtId="0" fontId="6" fillId="0" borderId="1" xfId="0" applyFont="1" applyFill="1" applyBorder="1"/>
    <xf numFmtId="164" fontId="6" fillId="0" borderId="1" xfId="0" applyNumberFormat="1" applyFont="1" applyFill="1" applyBorder="1"/>
  </cellXfs>
  <cellStyles count="1">
    <cellStyle name="Normal" xfId="0" builtinId="0"/>
  </cellStyles>
  <dxfs count="10"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563B-45B1-4CED-9654-8FC64A6728EE}">
  <dimension ref="A1:AR32"/>
  <sheetViews>
    <sheetView showGridLines="0" tabSelected="1" zoomScale="68" zoomScaleNormal="66" workbookViewId="0">
      <pane ySplit="2" topLeftCell="A3" activePane="bottomLeft" state="frozen"/>
      <selection pane="bottomLeft" activeCell="AI24" sqref="AI24"/>
    </sheetView>
  </sheetViews>
  <sheetFormatPr defaultColWidth="8.7109375" defaultRowHeight="15" x14ac:dyDescent="0.25"/>
  <cols>
    <col min="1" max="3" width="18.7109375" customWidth="1"/>
    <col min="4" max="4" width="13.7109375" customWidth="1"/>
    <col min="5" max="44" width="10.7109375" customWidth="1"/>
  </cols>
  <sheetData>
    <row r="1" spans="1:44" ht="15.75" thickBot="1" x14ac:dyDescent="0.3">
      <c r="A1" s="13"/>
      <c r="B1" s="13"/>
      <c r="C1" s="13"/>
      <c r="D1" s="13"/>
      <c r="E1" s="17" t="s">
        <v>45</v>
      </c>
      <c r="F1" s="18"/>
      <c r="G1" s="18"/>
      <c r="H1" s="18"/>
      <c r="I1" s="18"/>
      <c r="J1" s="18"/>
      <c r="K1" s="18"/>
      <c r="L1" s="18"/>
      <c r="M1" s="18"/>
      <c r="N1" s="19"/>
      <c r="O1" s="20" t="s">
        <v>46</v>
      </c>
      <c r="P1" s="21"/>
      <c r="Q1" s="21"/>
      <c r="R1" s="21"/>
      <c r="S1" s="21"/>
      <c r="T1" s="21"/>
      <c r="U1" s="21"/>
      <c r="V1" s="21"/>
      <c r="W1" s="21"/>
      <c r="X1" s="22"/>
      <c r="Y1" s="23" t="s">
        <v>50</v>
      </c>
      <c r="Z1" s="24"/>
      <c r="AA1" s="24"/>
      <c r="AB1" s="24"/>
      <c r="AC1" s="24"/>
      <c r="AD1" s="24"/>
      <c r="AE1" s="24"/>
      <c r="AF1" s="24"/>
      <c r="AG1" s="24"/>
      <c r="AH1" s="25"/>
      <c r="AI1" s="14" t="s">
        <v>53</v>
      </c>
      <c r="AJ1" s="15"/>
      <c r="AK1" s="15"/>
      <c r="AL1" s="15"/>
      <c r="AM1" s="15"/>
      <c r="AN1" s="15"/>
      <c r="AO1" s="15"/>
      <c r="AP1" s="15"/>
      <c r="AQ1" s="15"/>
      <c r="AR1" s="16"/>
    </row>
    <row r="2" spans="1:44" ht="50.25" customHeight="1" x14ac:dyDescent="0.25">
      <c r="A2" s="4" t="s">
        <v>42</v>
      </c>
      <c r="B2" s="4" t="s">
        <v>43</v>
      </c>
      <c r="C2" s="4" t="s">
        <v>44</v>
      </c>
      <c r="D2" s="12" t="s">
        <v>54</v>
      </c>
      <c r="E2" s="12" t="s">
        <v>49</v>
      </c>
      <c r="F2" s="12" t="s">
        <v>27</v>
      </c>
      <c r="G2" s="12" t="s">
        <v>47</v>
      </c>
      <c r="H2" s="12" t="s">
        <v>48</v>
      </c>
      <c r="I2" s="12" t="s">
        <v>32</v>
      </c>
      <c r="J2" s="12" t="s">
        <v>33</v>
      </c>
      <c r="K2" s="12" t="s">
        <v>34</v>
      </c>
      <c r="L2" s="12" t="s">
        <v>35</v>
      </c>
      <c r="M2" s="12" t="s">
        <v>36</v>
      </c>
      <c r="N2" s="12" t="s">
        <v>37</v>
      </c>
      <c r="O2" s="12" t="s">
        <v>49</v>
      </c>
      <c r="P2" s="12" t="s">
        <v>27</v>
      </c>
      <c r="Q2" s="12" t="s">
        <v>28</v>
      </c>
      <c r="R2" s="12" t="s">
        <v>29</v>
      </c>
      <c r="S2" s="12" t="s">
        <v>32</v>
      </c>
      <c r="T2" s="12" t="s">
        <v>33</v>
      </c>
      <c r="U2" s="12" t="s">
        <v>34</v>
      </c>
      <c r="V2" s="12" t="s">
        <v>35</v>
      </c>
      <c r="W2" s="12" t="s">
        <v>36</v>
      </c>
      <c r="X2" s="12" t="s">
        <v>37</v>
      </c>
      <c r="Y2" s="12" t="s">
        <v>49</v>
      </c>
      <c r="Z2" s="12" t="s">
        <v>27</v>
      </c>
      <c r="AA2" s="12" t="s">
        <v>51</v>
      </c>
      <c r="AB2" s="12" t="s">
        <v>52</v>
      </c>
      <c r="AC2" s="12" t="s">
        <v>32</v>
      </c>
      <c r="AD2" s="12" t="s">
        <v>33</v>
      </c>
      <c r="AE2" s="12" t="s">
        <v>34</v>
      </c>
      <c r="AF2" s="12" t="s">
        <v>35</v>
      </c>
      <c r="AG2" s="12" t="s">
        <v>36</v>
      </c>
      <c r="AH2" s="12" t="s">
        <v>37</v>
      </c>
      <c r="AI2" s="12" t="s">
        <v>49</v>
      </c>
      <c r="AJ2" s="12" t="s">
        <v>27</v>
      </c>
      <c r="AK2" s="12" t="s">
        <v>30</v>
      </c>
      <c r="AL2" s="12" t="s">
        <v>31</v>
      </c>
      <c r="AM2" s="12" t="s">
        <v>32</v>
      </c>
      <c r="AN2" s="12" t="s">
        <v>33</v>
      </c>
      <c r="AO2" s="12" t="s">
        <v>34</v>
      </c>
      <c r="AP2" s="12" t="s">
        <v>35</v>
      </c>
      <c r="AQ2" s="12" t="s">
        <v>36</v>
      </c>
      <c r="AR2" s="12" t="s">
        <v>37</v>
      </c>
    </row>
    <row r="3" spans="1:44" x14ac:dyDescent="0.25">
      <c r="A3" s="5"/>
      <c r="B3" s="5"/>
      <c r="C3" s="5"/>
      <c r="D3" s="5"/>
      <c r="E3" s="5">
        <v>1</v>
      </c>
      <c r="F3" s="5"/>
      <c r="G3" s="5"/>
      <c r="H3" s="5"/>
      <c r="I3" s="5"/>
      <c r="J3" s="5"/>
      <c r="K3" s="5"/>
      <c r="L3" s="5"/>
      <c r="M3" s="5"/>
      <c r="N3" s="5"/>
      <c r="O3" s="5">
        <v>3</v>
      </c>
      <c r="P3" s="5">
        <v>8595</v>
      </c>
      <c r="Q3" s="5">
        <v>8595</v>
      </c>
      <c r="R3" s="5">
        <v>28.8</v>
      </c>
      <c r="S3" s="5"/>
      <c r="T3" s="5"/>
      <c r="U3" s="5"/>
      <c r="V3" s="5"/>
      <c r="W3" s="5"/>
      <c r="X3" s="5"/>
      <c r="Y3" s="5">
        <v>5</v>
      </c>
      <c r="Z3" s="5"/>
      <c r="AA3" s="5"/>
      <c r="AB3" s="5"/>
      <c r="AC3" s="5"/>
      <c r="AD3" s="5"/>
      <c r="AE3" s="5"/>
      <c r="AF3" s="5"/>
      <c r="AG3" s="5"/>
      <c r="AH3" s="5"/>
      <c r="AI3" s="5">
        <v>7</v>
      </c>
      <c r="AJ3" s="5">
        <v>8600</v>
      </c>
      <c r="AK3" s="5">
        <v>8560</v>
      </c>
      <c r="AL3" s="5">
        <v>27.5</v>
      </c>
      <c r="AM3" s="6">
        <f t="shared" ref="AM3:AM32" si="0">IF(OR(P3="",AK3="",P3=0),"",(AK3-P3)/P3)</f>
        <v>-4.0721349621873184E-3</v>
      </c>
      <c r="AN3" s="8" t="str">
        <f t="shared" ref="AN3:AN32" si="1">IF(AM3="","",IF(AM3&lt;-0.003,"CHECK","OK"))</f>
        <v>CHECK</v>
      </c>
      <c r="AO3" s="8" t="str">
        <f t="shared" ref="AO3:AO32" si="2">IF(A3="","",IFERROR(AVERAGEIF($A$3:$A$32,A3,$AL$3:$AL$32),""))</f>
        <v/>
      </c>
      <c r="AP3" s="9" t="str">
        <f t="shared" ref="AP3:AP32" si="3">IF(OR(AO3="",AO3=0,AL3=""),"",(AL3-AO3)/AO3)</f>
        <v/>
      </c>
      <c r="AQ3" s="8" t="str">
        <f t="shared" ref="AQ3:AQ32" si="4">IF(AP3="","",IF(ABS(AP3)&gt;0.15,"CHECK","OK"))</f>
        <v/>
      </c>
      <c r="AR3" s="8" t="str">
        <f t="shared" ref="AR3:AR32" si="5">IF(OR(AP3="",AK3=""),"",IF(AND(AK3&gt;AVERAGEIF($A$3:$A$32,A3,$AK$3:$AK$32),AP3&lt;0),"HEAVY BUT WEAK",""))</f>
        <v/>
      </c>
    </row>
    <row r="4" spans="1:44" x14ac:dyDescent="0.25">
      <c r="A4" s="5"/>
      <c r="B4" s="5"/>
      <c r="C4" s="5"/>
      <c r="D4" s="5"/>
      <c r="E4" s="5">
        <v>2</v>
      </c>
      <c r="F4" s="5"/>
      <c r="G4" s="5"/>
      <c r="H4" s="5"/>
      <c r="I4" s="5"/>
      <c r="J4" s="5"/>
      <c r="K4" s="5"/>
      <c r="L4" s="5"/>
      <c r="M4" s="5"/>
      <c r="N4" s="5"/>
      <c r="O4" s="5">
        <v>4</v>
      </c>
      <c r="P4" s="5">
        <v>8633</v>
      </c>
      <c r="Q4" s="5">
        <v>8633</v>
      </c>
      <c r="R4" s="5">
        <v>22.26</v>
      </c>
      <c r="S4" s="5"/>
      <c r="T4" s="5"/>
      <c r="U4" s="5"/>
      <c r="V4" s="5"/>
      <c r="W4" s="5"/>
      <c r="X4" s="5"/>
      <c r="Y4" s="5">
        <v>6</v>
      </c>
      <c r="Z4" s="5"/>
      <c r="AA4" s="5"/>
      <c r="AB4" s="5"/>
      <c r="AC4" s="5"/>
      <c r="AD4" s="5"/>
      <c r="AE4" s="5"/>
      <c r="AF4" s="5"/>
      <c r="AG4" s="5"/>
      <c r="AH4" s="5"/>
      <c r="AI4" s="5">
        <v>8</v>
      </c>
      <c r="AJ4" s="5">
        <v>8620</v>
      </c>
      <c r="AK4" s="5">
        <v>8610</v>
      </c>
      <c r="AL4" s="5">
        <v>24.47</v>
      </c>
      <c r="AM4" s="6">
        <f t="shared" si="0"/>
        <v>-2.6641955287848951E-3</v>
      </c>
      <c r="AN4" s="8" t="str">
        <f t="shared" si="1"/>
        <v>OK</v>
      </c>
      <c r="AO4" s="8" t="str">
        <f t="shared" si="2"/>
        <v/>
      </c>
      <c r="AP4" s="9" t="str">
        <f t="shared" si="3"/>
        <v/>
      </c>
      <c r="AQ4" s="8" t="str">
        <f t="shared" si="4"/>
        <v/>
      </c>
      <c r="AR4" s="8" t="str">
        <f t="shared" si="5"/>
        <v/>
      </c>
    </row>
    <row r="5" spans="1:4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6" t="str">
        <f t="shared" si="0"/>
        <v/>
      </c>
      <c r="AN5" s="8" t="str">
        <f t="shared" si="1"/>
        <v/>
      </c>
      <c r="AO5" s="8" t="str">
        <f t="shared" si="2"/>
        <v/>
      </c>
      <c r="AP5" s="9" t="str">
        <f t="shared" si="3"/>
        <v/>
      </c>
      <c r="AQ5" s="8" t="str">
        <f t="shared" si="4"/>
        <v/>
      </c>
      <c r="AR5" s="8" t="str">
        <f t="shared" si="5"/>
        <v/>
      </c>
    </row>
    <row r="6" spans="1:4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7" t="str">
        <f t="shared" si="0"/>
        <v/>
      </c>
      <c r="AN6" s="28" t="str">
        <f t="shared" si="1"/>
        <v/>
      </c>
      <c r="AO6" s="28" t="str">
        <f t="shared" si="2"/>
        <v/>
      </c>
      <c r="AP6" s="29" t="str">
        <f t="shared" si="3"/>
        <v/>
      </c>
      <c r="AQ6" s="28" t="str">
        <f t="shared" si="4"/>
        <v/>
      </c>
      <c r="AR6" s="28" t="str">
        <f t="shared" si="5"/>
        <v/>
      </c>
    </row>
    <row r="7" spans="1:4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7" t="str">
        <f t="shared" si="0"/>
        <v/>
      </c>
      <c r="AN7" s="28" t="str">
        <f t="shared" si="1"/>
        <v/>
      </c>
      <c r="AO7" s="28" t="str">
        <f t="shared" si="2"/>
        <v/>
      </c>
      <c r="AP7" s="29" t="str">
        <f t="shared" si="3"/>
        <v/>
      </c>
      <c r="AQ7" s="28" t="str">
        <f t="shared" si="4"/>
        <v/>
      </c>
      <c r="AR7" s="28" t="str">
        <f t="shared" si="5"/>
        <v/>
      </c>
    </row>
    <row r="8" spans="1:4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7" t="str">
        <f t="shared" si="0"/>
        <v/>
      </c>
      <c r="AN8" s="28" t="str">
        <f t="shared" si="1"/>
        <v/>
      </c>
      <c r="AO8" s="28" t="str">
        <f t="shared" si="2"/>
        <v/>
      </c>
      <c r="AP8" s="29" t="str">
        <f t="shared" si="3"/>
        <v/>
      </c>
      <c r="AQ8" s="28" t="str">
        <f t="shared" si="4"/>
        <v/>
      </c>
      <c r="AR8" s="28" t="str">
        <f t="shared" si="5"/>
        <v/>
      </c>
    </row>
    <row r="9" spans="1:4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7" t="str">
        <f t="shared" si="0"/>
        <v/>
      </c>
      <c r="AN9" s="28" t="str">
        <f t="shared" si="1"/>
        <v/>
      </c>
      <c r="AO9" s="28" t="str">
        <f t="shared" si="2"/>
        <v/>
      </c>
      <c r="AP9" s="29" t="str">
        <f t="shared" si="3"/>
        <v/>
      </c>
      <c r="AQ9" s="28" t="str">
        <f t="shared" si="4"/>
        <v/>
      </c>
      <c r="AR9" s="28" t="str">
        <f t="shared" si="5"/>
        <v/>
      </c>
    </row>
    <row r="10" spans="1:4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7" t="str">
        <f t="shared" si="0"/>
        <v/>
      </c>
      <c r="AN10" s="28" t="str">
        <f t="shared" si="1"/>
        <v/>
      </c>
      <c r="AO10" s="28" t="str">
        <f t="shared" si="2"/>
        <v/>
      </c>
      <c r="AP10" s="29" t="str">
        <f t="shared" si="3"/>
        <v/>
      </c>
      <c r="AQ10" s="28" t="str">
        <f t="shared" si="4"/>
        <v/>
      </c>
      <c r="AR10" s="28" t="str">
        <f t="shared" si="5"/>
        <v/>
      </c>
    </row>
    <row r="11" spans="1:4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tr">
        <f t="shared" si="0"/>
        <v/>
      </c>
      <c r="AN11" s="28" t="str">
        <f t="shared" si="1"/>
        <v/>
      </c>
      <c r="AO11" s="28" t="str">
        <f t="shared" si="2"/>
        <v/>
      </c>
      <c r="AP11" s="29" t="str">
        <f t="shared" si="3"/>
        <v/>
      </c>
      <c r="AQ11" s="28" t="str">
        <f t="shared" si="4"/>
        <v/>
      </c>
      <c r="AR11" s="28" t="str">
        <f t="shared" si="5"/>
        <v/>
      </c>
    </row>
    <row r="12" spans="1:4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7" t="str">
        <f t="shared" si="0"/>
        <v/>
      </c>
      <c r="AN12" s="28" t="str">
        <f t="shared" si="1"/>
        <v/>
      </c>
      <c r="AO12" s="28" t="str">
        <f t="shared" si="2"/>
        <v/>
      </c>
      <c r="AP12" s="29" t="str">
        <f t="shared" si="3"/>
        <v/>
      </c>
      <c r="AQ12" s="28" t="str">
        <f t="shared" si="4"/>
        <v/>
      </c>
      <c r="AR12" s="28" t="str">
        <f t="shared" si="5"/>
        <v/>
      </c>
    </row>
    <row r="13" spans="1:4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7" t="str">
        <f t="shared" si="0"/>
        <v/>
      </c>
      <c r="AN13" s="28" t="str">
        <f t="shared" si="1"/>
        <v/>
      </c>
      <c r="AO13" s="28" t="str">
        <f t="shared" si="2"/>
        <v/>
      </c>
      <c r="AP13" s="29" t="str">
        <f t="shared" si="3"/>
        <v/>
      </c>
      <c r="AQ13" s="28" t="str">
        <f t="shared" si="4"/>
        <v/>
      </c>
      <c r="AR13" s="28" t="str">
        <f t="shared" si="5"/>
        <v/>
      </c>
    </row>
    <row r="14" spans="1:4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7" t="str">
        <f t="shared" si="0"/>
        <v/>
      </c>
      <c r="AN14" s="28" t="str">
        <f t="shared" si="1"/>
        <v/>
      </c>
      <c r="AO14" s="28" t="str">
        <f t="shared" si="2"/>
        <v/>
      </c>
      <c r="AP14" s="29" t="str">
        <f t="shared" si="3"/>
        <v/>
      </c>
      <c r="AQ14" s="28" t="str">
        <f t="shared" si="4"/>
        <v/>
      </c>
      <c r="AR14" s="28" t="str">
        <f t="shared" si="5"/>
        <v/>
      </c>
    </row>
    <row r="15" spans="1:4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7" t="str">
        <f t="shared" si="0"/>
        <v/>
      </c>
      <c r="AN15" s="28" t="str">
        <f t="shared" si="1"/>
        <v/>
      </c>
      <c r="AO15" s="28" t="str">
        <f t="shared" si="2"/>
        <v/>
      </c>
      <c r="AP15" s="29" t="str">
        <f t="shared" si="3"/>
        <v/>
      </c>
      <c r="AQ15" s="28" t="str">
        <f t="shared" si="4"/>
        <v/>
      </c>
      <c r="AR15" s="28" t="str">
        <f t="shared" si="5"/>
        <v/>
      </c>
    </row>
    <row r="16" spans="1:4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7" t="str">
        <f t="shared" si="0"/>
        <v/>
      </c>
      <c r="AN16" s="28" t="str">
        <f t="shared" si="1"/>
        <v/>
      </c>
      <c r="AO16" s="28" t="str">
        <f t="shared" si="2"/>
        <v/>
      </c>
      <c r="AP16" s="29" t="str">
        <f t="shared" si="3"/>
        <v/>
      </c>
      <c r="AQ16" s="28" t="str">
        <f t="shared" si="4"/>
        <v/>
      </c>
      <c r="AR16" s="28" t="str">
        <f t="shared" si="5"/>
        <v/>
      </c>
    </row>
    <row r="17" spans="1:4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7" t="str">
        <f t="shared" si="0"/>
        <v/>
      </c>
      <c r="AN17" s="28" t="str">
        <f t="shared" si="1"/>
        <v/>
      </c>
      <c r="AO17" s="28" t="str">
        <f t="shared" si="2"/>
        <v/>
      </c>
      <c r="AP17" s="29" t="str">
        <f t="shared" si="3"/>
        <v/>
      </c>
      <c r="AQ17" s="28" t="str">
        <f t="shared" si="4"/>
        <v/>
      </c>
      <c r="AR17" s="28" t="str">
        <f t="shared" si="5"/>
        <v/>
      </c>
    </row>
    <row r="18" spans="1:4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7" t="str">
        <f t="shared" si="0"/>
        <v/>
      </c>
      <c r="AN18" s="28" t="str">
        <f t="shared" si="1"/>
        <v/>
      </c>
      <c r="AO18" s="28" t="str">
        <f t="shared" si="2"/>
        <v/>
      </c>
      <c r="AP18" s="29" t="str">
        <f t="shared" si="3"/>
        <v/>
      </c>
      <c r="AQ18" s="28" t="str">
        <f t="shared" si="4"/>
        <v/>
      </c>
      <c r="AR18" s="28" t="str">
        <f t="shared" si="5"/>
        <v/>
      </c>
    </row>
    <row r="19" spans="1:4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7" t="str">
        <f t="shared" si="0"/>
        <v/>
      </c>
      <c r="AN19" s="28" t="str">
        <f t="shared" si="1"/>
        <v/>
      </c>
      <c r="AO19" s="28" t="str">
        <f t="shared" si="2"/>
        <v/>
      </c>
      <c r="AP19" s="29" t="str">
        <f t="shared" si="3"/>
        <v/>
      </c>
      <c r="AQ19" s="28" t="str">
        <f t="shared" si="4"/>
        <v/>
      </c>
      <c r="AR19" s="28" t="str">
        <f t="shared" si="5"/>
        <v/>
      </c>
    </row>
    <row r="20" spans="1:4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7" t="str">
        <f t="shared" si="0"/>
        <v/>
      </c>
      <c r="AN20" s="28" t="str">
        <f t="shared" si="1"/>
        <v/>
      </c>
      <c r="AO20" s="28" t="str">
        <f t="shared" si="2"/>
        <v/>
      </c>
      <c r="AP20" s="29" t="str">
        <f t="shared" si="3"/>
        <v/>
      </c>
      <c r="AQ20" s="28" t="str">
        <f t="shared" si="4"/>
        <v/>
      </c>
      <c r="AR20" s="28" t="str">
        <f t="shared" si="5"/>
        <v/>
      </c>
    </row>
    <row r="21" spans="1:4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7" t="str">
        <f t="shared" si="0"/>
        <v/>
      </c>
      <c r="AN21" s="28" t="str">
        <f t="shared" si="1"/>
        <v/>
      </c>
      <c r="AO21" s="28" t="str">
        <f t="shared" si="2"/>
        <v/>
      </c>
      <c r="AP21" s="29" t="str">
        <f t="shared" si="3"/>
        <v/>
      </c>
      <c r="AQ21" s="28" t="str">
        <f t="shared" si="4"/>
        <v/>
      </c>
      <c r="AR21" s="28" t="str">
        <f t="shared" si="5"/>
        <v/>
      </c>
    </row>
    <row r="22" spans="1:4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7" t="str">
        <f t="shared" si="0"/>
        <v/>
      </c>
      <c r="AN22" s="28" t="str">
        <f t="shared" si="1"/>
        <v/>
      </c>
      <c r="AO22" s="28" t="str">
        <f t="shared" si="2"/>
        <v/>
      </c>
      <c r="AP22" s="29" t="str">
        <f t="shared" si="3"/>
        <v/>
      </c>
      <c r="AQ22" s="28" t="str">
        <f t="shared" si="4"/>
        <v/>
      </c>
      <c r="AR22" s="28" t="str">
        <f t="shared" si="5"/>
        <v/>
      </c>
    </row>
    <row r="23" spans="1:4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7" t="str">
        <f t="shared" si="0"/>
        <v/>
      </c>
      <c r="AN23" s="28" t="str">
        <f t="shared" si="1"/>
        <v/>
      </c>
      <c r="AO23" s="28" t="str">
        <f t="shared" si="2"/>
        <v/>
      </c>
      <c r="AP23" s="29" t="str">
        <f t="shared" si="3"/>
        <v/>
      </c>
      <c r="AQ23" s="28" t="str">
        <f t="shared" si="4"/>
        <v/>
      </c>
      <c r="AR23" s="28" t="str">
        <f t="shared" si="5"/>
        <v/>
      </c>
    </row>
    <row r="24" spans="1:4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7" t="str">
        <f t="shared" si="0"/>
        <v/>
      </c>
      <c r="AN24" s="28" t="str">
        <f t="shared" si="1"/>
        <v/>
      </c>
      <c r="AO24" s="28" t="str">
        <f t="shared" si="2"/>
        <v/>
      </c>
      <c r="AP24" s="29" t="str">
        <f t="shared" si="3"/>
        <v/>
      </c>
      <c r="AQ24" s="28" t="str">
        <f t="shared" si="4"/>
        <v/>
      </c>
      <c r="AR24" s="28" t="str">
        <f t="shared" si="5"/>
        <v/>
      </c>
    </row>
    <row r="25" spans="1:4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7" t="str">
        <f t="shared" si="0"/>
        <v/>
      </c>
      <c r="AN25" s="28" t="str">
        <f t="shared" si="1"/>
        <v/>
      </c>
      <c r="AO25" s="28" t="str">
        <f t="shared" si="2"/>
        <v/>
      </c>
      <c r="AP25" s="29" t="str">
        <f t="shared" si="3"/>
        <v/>
      </c>
      <c r="AQ25" s="28" t="str">
        <f t="shared" si="4"/>
        <v/>
      </c>
      <c r="AR25" s="28" t="str">
        <f t="shared" si="5"/>
        <v/>
      </c>
    </row>
    <row r="26" spans="1:4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7" t="str">
        <f t="shared" si="0"/>
        <v/>
      </c>
      <c r="AN26" s="28" t="str">
        <f t="shared" si="1"/>
        <v/>
      </c>
      <c r="AO26" s="28" t="str">
        <f t="shared" si="2"/>
        <v/>
      </c>
      <c r="AP26" s="29" t="str">
        <f t="shared" si="3"/>
        <v/>
      </c>
      <c r="AQ26" s="28" t="str">
        <f t="shared" si="4"/>
        <v/>
      </c>
      <c r="AR26" s="28" t="str">
        <f t="shared" si="5"/>
        <v/>
      </c>
    </row>
    <row r="27" spans="1:4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7" t="str">
        <f t="shared" si="0"/>
        <v/>
      </c>
      <c r="AN27" s="28" t="str">
        <f t="shared" si="1"/>
        <v/>
      </c>
      <c r="AO27" s="28" t="str">
        <f t="shared" si="2"/>
        <v/>
      </c>
      <c r="AP27" s="29" t="str">
        <f t="shared" si="3"/>
        <v/>
      </c>
      <c r="AQ27" s="28" t="str">
        <f t="shared" si="4"/>
        <v/>
      </c>
      <c r="AR27" s="28" t="str">
        <f t="shared" si="5"/>
        <v/>
      </c>
    </row>
    <row r="28" spans="1:4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7" t="str">
        <f t="shared" si="0"/>
        <v/>
      </c>
      <c r="AN28" s="28" t="str">
        <f t="shared" si="1"/>
        <v/>
      </c>
      <c r="AO28" s="28" t="str">
        <f t="shared" si="2"/>
        <v/>
      </c>
      <c r="AP28" s="29" t="str">
        <f t="shared" si="3"/>
        <v/>
      </c>
      <c r="AQ28" s="28" t="str">
        <f t="shared" si="4"/>
        <v/>
      </c>
      <c r="AR28" s="28" t="str">
        <f t="shared" si="5"/>
        <v/>
      </c>
    </row>
    <row r="29" spans="1:4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7" t="str">
        <f t="shared" si="0"/>
        <v/>
      </c>
      <c r="AN29" s="28" t="str">
        <f t="shared" si="1"/>
        <v/>
      </c>
      <c r="AO29" s="28" t="str">
        <f t="shared" si="2"/>
        <v/>
      </c>
      <c r="AP29" s="29" t="str">
        <f t="shared" si="3"/>
        <v/>
      </c>
      <c r="AQ29" s="28" t="str">
        <f t="shared" si="4"/>
        <v/>
      </c>
      <c r="AR29" s="28" t="str">
        <f t="shared" si="5"/>
        <v/>
      </c>
    </row>
    <row r="30" spans="1:4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7" t="str">
        <f t="shared" si="0"/>
        <v/>
      </c>
      <c r="AN30" s="28" t="str">
        <f t="shared" si="1"/>
        <v/>
      </c>
      <c r="AO30" s="28" t="str">
        <f t="shared" si="2"/>
        <v/>
      </c>
      <c r="AP30" s="29" t="str">
        <f t="shared" si="3"/>
        <v/>
      </c>
      <c r="AQ30" s="28" t="str">
        <f t="shared" si="4"/>
        <v/>
      </c>
      <c r="AR30" s="28" t="str">
        <f t="shared" si="5"/>
        <v/>
      </c>
    </row>
    <row r="31" spans="1:4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7" t="str">
        <f t="shared" si="0"/>
        <v/>
      </c>
      <c r="AN31" s="28" t="str">
        <f t="shared" si="1"/>
        <v/>
      </c>
      <c r="AO31" s="28" t="str">
        <f t="shared" si="2"/>
        <v/>
      </c>
      <c r="AP31" s="29" t="str">
        <f t="shared" si="3"/>
        <v/>
      </c>
      <c r="AQ31" s="28" t="str">
        <f t="shared" si="4"/>
        <v/>
      </c>
      <c r="AR31" s="28" t="str">
        <f t="shared" si="5"/>
        <v/>
      </c>
    </row>
    <row r="32" spans="1:4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6" t="str">
        <f t="shared" si="0"/>
        <v/>
      </c>
      <c r="AN32" s="8" t="str">
        <f t="shared" si="1"/>
        <v/>
      </c>
      <c r="AO32" s="8" t="str">
        <f t="shared" si="2"/>
        <v/>
      </c>
      <c r="AP32" s="9" t="str">
        <f t="shared" si="3"/>
        <v/>
      </c>
      <c r="AQ32" s="8" t="str">
        <f t="shared" si="4"/>
        <v/>
      </c>
      <c r="AR32" s="8" t="str">
        <f t="shared" si="5"/>
        <v/>
      </c>
    </row>
  </sheetData>
  <mergeCells count="4">
    <mergeCell ref="AI1:AR1"/>
    <mergeCell ref="E1:N1"/>
    <mergeCell ref="O1:X1"/>
    <mergeCell ref="Y1:AH1"/>
  </mergeCells>
  <conditionalFormatting sqref="AN3:AN32">
    <cfRule type="cellIs" dxfId="9" priority="1" operator="equal">
      <formula>"CHECK"</formula>
    </cfRule>
    <cfRule type="cellIs" dxfId="8" priority="2" operator="equal">
      <formula>"OK"</formula>
    </cfRule>
  </conditionalFormatting>
  <conditionalFormatting sqref="AQ3:AQ32">
    <cfRule type="cellIs" dxfId="7" priority="3" operator="equal">
      <formula>"CHECK"</formula>
    </cfRule>
    <cfRule type="cellIs" dxfId="6" priority="4" operator="equal">
      <formula>"OK"</formula>
    </cfRule>
  </conditionalFormatting>
  <conditionalFormatting sqref="AR3:AR32">
    <cfRule type="cellIs" dxfId="5" priority="5" operator="equal">
      <formula>"HEAVY BUT WEAK"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showGridLines="0" zoomScaleNormal="100" workbookViewId="0"/>
  </sheetViews>
  <sheetFormatPr defaultColWidth="8.7109375" defaultRowHeight="15" x14ac:dyDescent="0.25"/>
  <cols>
    <col min="1" max="1" width="100.7109375" customWidth="1"/>
  </cols>
  <sheetData>
    <row r="1" spans="1:1" ht="20.25" x14ac:dyDescent="0.3">
      <c r="A1" s="1" t="s">
        <v>0</v>
      </c>
    </row>
    <row r="3" spans="1:1" x14ac:dyDescent="0.25">
      <c r="A3" s="2"/>
    </row>
    <row r="4" spans="1:1" x14ac:dyDescent="0.25">
      <c r="A4" s="3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/>
    </row>
    <row r="9" spans="1:1" x14ac:dyDescent="0.25">
      <c r="A9" s="3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/>
    </row>
    <row r="13" spans="1:1" x14ac:dyDescent="0.25">
      <c r="A13" s="3" t="s">
        <v>8</v>
      </c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/>
    </row>
    <row r="22" spans="1:1" x14ac:dyDescent="0.25">
      <c r="A22" s="3" t="s">
        <v>16</v>
      </c>
    </row>
    <row r="23" spans="1:1" x14ac:dyDescent="0.25">
      <c r="A23" s="2" t="s">
        <v>17</v>
      </c>
    </row>
    <row r="24" spans="1:1" x14ac:dyDescent="0.25">
      <c r="A24" s="2" t="s">
        <v>18</v>
      </c>
    </row>
    <row r="25" spans="1:1" x14ac:dyDescent="0.25">
      <c r="A25" s="2" t="s">
        <v>19</v>
      </c>
    </row>
    <row r="26" spans="1:1" x14ac:dyDescent="0.25">
      <c r="A26" s="2" t="s">
        <v>20</v>
      </c>
    </row>
    <row r="27" spans="1:1" x14ac:dyDescent="0.25">
      <c r="A27" s="2" t="s">
        <v>21</v>
      </c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/>
    </row>
    <row r="31" spans="1:1" x14ac:dyDescent="0.25">
      <c r="A31" s="2" t="s">
        <v>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showGridLines="0" zoomScale="79" zoomScaleNormal="100" workbookViewId="0">
      <pane ySplit="1" topLeftCell="A2" activePane="bottomLeft" state="frozen"/>
      <selection pane="bottomLeft" activeCell="M4" sqref="M4"/>
    </sheetView>
  </sheetViews>
  <sheetFormatPr defaultColWidth="8.7109375" defaultRowHeight="15" x14ac:dyDescent="0.25"/>
  <cols>
    <col min="1" max="1" width="18.7109375" customWidth="1"/>
    <col min="2" max="2" width="10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8" width="16.7109375" customWidth="1"/>
    <col min="9" max="9" width="11.7109375" customWidth="1"/>
    <col min="10" max="10" width="16.7109375" customWidth="1"/>
    <col min="11" max="11" width="13.7109375" customWidth="1"/>
    <col min="12" max="12" width="12.7109375" customWidth="1"/>
    <col min="13" max="13" width="15.7109375" customWidth="1"/>
  </cols>
  <sheetData>
    <row r="1" spans="1:13" ht="31.5" customHeight="1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 x14ac:dyDescent="0.25">
      <c r="A2" s="5" t="s">
        <v>38</v>
      </c>
      <c r="B2" s="5" t="s">
        <v>39</v>
      </c>
      <c r="C2" s="5">
        <v>8595</v>
      </c>
      <c r="D2" s="5">
        <v>8595</v>
      </c>
      <c r="E2" s="5">
        <v>28.8</v>
      </c>
      <c r="F2" s="5">
        <v>8560</v>
      </c>
      <c r="G2" s="5">
        <v>27.5</v>
      </c>
      <c r="H2" s="6">
        <f t="shared" ref="H2:H31" si="0">IF(OR(C2="",F2="",C2=0),"",(F2-C2)/C2)</f>
        <v>-4.0721349621873184E-3</v>
      </c>
      <c r="I2" s="7" t="str">
        <f t="shared" ref="I2:I31" si="1">IF(H2="","",IF(H2&lt;-0.003,"CHECK","OK"))</f>
        <v>CHECK</v>
      </c>
      <c r="J2" s="8">
        <f t="shared" ref="J2:J31" si="2">IF(A2="","",IFERROR(AVERAGEIF($A$2:$A$31,A2,$G$2:$G$31),""))</f>
        <v>24.689999999999998</v>
      </c>
      <c r="K2" s="9">
        <f t="shared" ref="K2:K31" si="3">IF(OR(J2="",J2=0,G2=""),"",(G2-J2)/J2)</f>
        <v>0.11381125961927917</v>
      </c>
      <c r="L2" s="7" t="str">
        <f t="shared" ref="L2:L31" si="4">IF(K2="","",IF(ABS(K2)&gt;0.15,"CHECK","OK"))</f>
        <v>OK</v>
      </c>
      <c r="M2" s="7" t="str">
        <f t="shared" ref="M2:M31" si="5">IF(OR(K2="",F2=""),"",IF(AND(F2&gt;AVERAGEIF($A$2:$A$31,A2,$F$2:$F$31),K2&lt;0),"HEAVY BUT WEAK",""))</f>
        <v/>
      </c>
    </row>
    <row r="3" spans="1:13" x14ac:dyDescent="0.25">
      <c r="A3" s="5" t="s">
        <v>38</v>
      </c>
      <c r="B3" s="5" t="s">
        <v>40</v>
      </c>
      <c r="C3" s="5">
        <v>8633</v>
      </c>
      <c r="D3" s="5">
        <v>8633</v>
      </c>
      <c r="E3" s="5">
        <v>22.26</v>
      </c>
      <c r="F3" s="5">
        <v>8610</v>
      </c>
      <c r="G3" s="5">
        <v>24.47</v>
      </c>
      <c r="H3" s="6">
        <f t="shared" si="0"/>
        <v>-2.6641955287848951E-3</v>
      </c>
      <c r="I3" s="7" t="str">
        <f t="shared" si="1"/>
        <v>OK</v>
      </c>
      <c r="J3" s="8">
        <f t="shared" si="2"/>
        <v>24.689999999999998</v>
      </c>
      <c r="K3" s="9">
        <f t="shared" si="3"/>
        <v>-8.9104900769541879E-3</v>
      </c>
      <c r="L3" s="7" t="str">
        <f t="shared" si="4"/>
        <v>OK</v>
      </c>
      <c r="M3" s="7" t="str">
        <f t="shared" si="5"/>
        <v>HEAVY BUT WEAK</v>
      </c>
    </row>
    <row r="4" spans="1:13" x14ac:dyDescent="0.25">
      <c r="A4" s="5" t="s">
        <v>38</v>
      </c>
      <c r="B4" s="5" t="s">
        <v>41</v>
      </c>
      <c r="C4" s="5">
        <v>8142</v>
      </c>
      <c r="D4" s="5">
        <v>8142</v>
      </c>
      <c r="E4" s="5">
        <v>22.35</v>
      </c>
      <c r="F4" s="5">
        <v>8050</v>
      </c>
      <c r="G4" s="5">
        <v>22.1</v>
      </c>
      <c r="H4" s="6">
        <f t="shared" si="0"/>
        <v>-1.1299435028248588E-2</v>
      </c>
      <c r="I4" s="7" t="str">
        <f t="shared" si="1"/>
        <v>CHECK</v>
      </c>
      <c r="J4" s="8">
        <f t="shared" si="2"/>
        <v>24.689999999999998</v>
      </c>
      <c r="K4" s="9">
        <f t="shared" si="3"/>
        <v>-0.10490076954232469</v>
      </c>
      <c r="L4" s="7" t="str">
        <f t="shared" si="4"/>
        <v>OK</v>
      </c>
      <c r="M4" s="7" t="str">
        <f t="shared" si="5"/>
        <v/>
      </c>
    </row>
    <row r="5" spans="1:13" x14ac:dyDescent="0.25">
      <c r="A5" s="10"/>
      <c r="B5" s="10"/>
      <c r="C5" s="10"/>
      <c r="D5" s="11"/>
      <c r="E5" s="11"/>
      <c r="F5" s="11"/>
      <c r="G5" s="11"/>
      <c r="H5" s="6" t="str">
        <f t="shared" si="0"/>
        <v/>
      </c>
      <c r="I5" s="7" t="str">
        <f t="shared" si="1"/>
        <v/>
      </c>
      <c r="J5" s="8" t="str">
        <f t="shared" si="2"/>
        <v/>
      </c>
      <c r="K5" s="9" t="str">
        <f t="shared" si="3"/>
        <v/>
      </c>
      <c r="L5" s="7" t="str">
        <f t="shared" si="4"/>
        <v/>
      </c>
      <c r="M5" s="7" t="str">
        <f t="shared" si="5"/>
        <v/>
      </c>
    </row>
    <row r="6" spans="1:13" x14ac:dyDescent="0.25">
      <c r="A6" s="10"/>
      <c r="B6" s="10"/>
      <c r="C6" s="10"/>
      <c r="D6" s="11"/>
      <c r="E6" s="11"/>
      <c r="F6" s="11"/>
      <c r="G6" s="11"/>
      <c r="H6" s="6" t="str">
        <f t="shared" si="0"/>
        <v/>
      </c>
      <c r="I6" s="7" t="str">
        <f t="shared" si="1"/>
        <v/>
      </c>
      <c r="J6" s="8" t="str">
        <f t="shared" si="2"/>
        <v/>
      </c>
      <c r="K6" s="9" t="str">
        <f t="shared" si="3"/>
        <v/>
      </c>
      <c r="L6" s="7" t="str">
        <f t="shared" si="4"/>
        <v/>
      </c>
      <c r="M6" s="7" t="str">
        <f t="shared" si="5"/>
        <v/>
      </c>
    </row>
    <row r="7" spans="1:13" x14ac:dyDescent="0.25">
      <c r="A7" s="10"/>
      <c r="B7" s="10"/>
      <c r="C7" s="10"/>
      <c r="D7" s="11"/>
      <c r="E7" s="11"/>
      <c r="F7" s="11"/>
      <c r="G7" s="11"/>
      <c r="H7" s="6" t="str">
        <f t="shared" si="0"/>
        <v/>
      </c>
      <c r="I7" s="7" t="str">
        <f t="shared" si="1"/>
        <v/>
      </c>
      <c r="J7" s="8" t="str">
        <f t="shared" si="2"/>
        <v/>
      </c>
      <c r="K7" s="9" t="str">
        <f t="shared" si="3"/>
        <v/>
      </c>
      <c r="L7" s="7" t="str">
        <f t="shared" si="4"/>
        <v/>
      </c>
      <c r="M7" s="7" t="str">
        <f t="shared" si="5"/>
        <v/>
      </c>
    </row>
    <row r="8" spans="1:13" x14ac:dyDescent="0.25">
      <c r="A8" s="10"/>
      <c r="B8" s="10"/>
      <c r="C8" s="10"/>
      <c r="D8" s="11"/>
      <c r="E8" s="11"/>
      <c r="F8" s="11"/>
      <c r="G8" s="11"/>
      <c r="H8" s="6" t="str">
        <f t="shared" si="0"/>
        <v/>
      </c>
      <c r="I8" s="7" t="str">
        <f t="shared" si="1"/>
        <v/>
      </c>
      <c r="J8" s="8" t="str">
        <f t="shared" si="2"/>
        <v/>
      </c>
      <c r="K8" s="9" t="str">
        <f t="shared" si="3"/>
        <v/>
      </c>
      <c r="L8" s="7" t="str">
        <f t="shared" si="4"/>
        <v/>
      </c>
      <c r="M8" s="7" t="str">
        <f t="shared" si="5"/>
        <v/>
      </c>
    </row>
    <row r="9" spans="1:13" x14ac:dyDescent="0.25">
      <c r="A9" s="10"/>
      <c r="B9" s="10"/>
      <c r="C9" s="10"/>
      <c r="D9" s="11"/>
      <c r="E9" s="11"/>
      <c r="F9" s="11"/>
      <c r="G9" s="11"/>
      <c r="H9" s="6" t="str">
        <f t="shared" si="0"/>
        <v/>
      </c>
      <c r="I9" s="7" t="str">
        <f t="shared" si="1"/>
        <v/>
      </c>
      <c r="J9" s="8" t="str">
        <f t="shared" si="2"/>
        <v/>
      </c>
      <c r="K9" s="9" t="str">
        <f t="shared" si="3"/>
        <v/>
      </c>
      <c r="L9" s="7" t="str">
        <f t="shared" si="4"/>
        <v/>
      </c>
      <c r="M9" s="7" t="str">
        <f t="shared" si="5"/>
        <v/>
      </c>
    </row>
    <row r="10" spans="1:13" x14ac:dyDescent="0.25">
      <c r="A10" s="10"/>
      <c r="B10" s="10"/>
      <c r="C10" s="10"/>
      <c r="D10" s="11"/>
      <c r="E10" s="11"/>
      <c r="F10" s="11"/>
      <c r="G10" s="11"/>
      <c r="H10" s="6" t="str">
        <f t="shared" si="0"/>
        <v/>
      </c>
      <c r="I10" s="7" t="str">
        <f t="shared" si="1"/>
        <v/>
      </c>
      <c r="J10" s="8" t="str">
        <f t="shared" si="2"/>
        <v/>
      </c>
      <c r="K10" s="9" t="str">
        <f t="shared" si="3"/>
        <v/>
      </c>
      <c r="L10" s="7" t="str">
        <f t="shared" si="4"/>
        <v/>
      </c>
      <c r="M10" s="7" t="str">
        <f t="shared" si="5"/>
        <v/>
      </c>
    </row>
    <row r="11" spans="1:13" x14ac:dyDescent="0.25">
      <c r="A11" s="10"/>
      <c r="B11" s="10"/>
      <c r="C11" s="10"/>
      <c r="D11" s="11"/>
      <c r="E11" s="11"/>
      <c r="F11" s="11"/>
      <c r="G11" s="11"/>
      <c r="H11" s="6" t="str">
        <f t="shared" si="0"/>
        <v/>
      </c>
      <c r="I11" s="7" t="str">
        <f t="shared" si="1"/>
        <v/>
      </c>
      <c r="J11" s="8" t="str">
        <f t="shared" si="2"/>
        <v/>
      </c>
      <c r="K11" s="9" t="str">
        <f t="shared" si="3"/>
        <v/>
      </c>
      <c r="L11" s="7" t="str">
        <f t="shared" si="4"/>
        <v/>
      </c>
      <c r="M11" s="7" t="str">
        <f t="shared" si="5"/>
        <v/>
      </c>
    </row>
    <row r="12" spans="1:13" x14ac:dyDescent="0.25">
      <c r="A12" s="10"/>
      <c r="B12" s="10"/>
      <c r="C12" s="10"/>
      <c r="D12" s="11"/>
      <c r="E12" s="11"/>
      <c r="F12" s="11"/>
      <c r="G12" s="11"/>
      <c r="H12" s="6" t="str">
        <f t="shared" si="0"/>
        <v/>
      </c>
      <c r="I12" s="7" t="str">
        <f t="shared" si="1"/>
        <v/>
      </c>
      <c r="J12" s="8" t="str">
        <f t="shared" si="2"/>
        <v/>
      </c>
      <c r="K12" s="9" t="str">
        <f t="shared" si="3"/>
        <v/>
      </c>
      <c r="L12" s="7" t="str">
        <f t="shared" si="4"/>
        <v/>
      </c>
      <c r="M12" s="7" t="str">
        <f t="shared" si="5"/>
        <v/>
      </c>
    </row>
    <row r="13" spans="1:13" x14ac:dyDescent="0.25">
      <c r="A13" s="10"/>
      <c r="B13" s="10"/>
      <c r="C13" s="10"/>
      <c r="D13" s="11"/>
      <c r="E13" s="11"/>
      <c r="F13" s="11"/>
      <c r="G13" s="11"/>
      <c r="H13" s="6" t="str">
        <f t="shared" si="0"/>
        <v/>
      </c>
      <c r="I13" s="7" t="str">
        <f t="shared" si="1"/>
        <v/>
      </c>
      <c r="J13" s="8" t="str">
        <f t="shared" si="2"/>
        <v/>
      </c>
      <c r="K13" s="9" t="str">
        <f t="shared" si="3"/>
        <v/>
      </c>
      <c r="L13" s="7" t="str">
        <f t="shared" si="4"/>
        <v/>
      </c>
      <c r="M13" s="7" t="str">
        <f t="shared" si="5"/>
        <v/>
      </c>
    </row>
    <row r="14" spans="1:13" x14ac:dyDescent="0.25">
      <c r="A14" s="10"/>
      <c r="B14" s="10"/>
      <c r="C14" s="10"/>
      <c r="D14" s="11"/>
      <c r="E14" s="11"/>
      <c r="F14" s="11"/>
      <c r="G14" s="11"/>
      <c r="H14" s="6" t="str">
        <f t="shared" si="0"/>
        <v/>
      </c>
      <c r="I14" s="7" t="str">
        <f t="shared" si="1"/>
        <v/>
      </c>
      <c r="J14" s="8" t="str">
        <f t="shared" si="2"/>
        <v/>
      </c>
      <c r="K14" s="9" t="str">
        <f t="shared" si="3"/>
        <v/>
      </c>
      <c r="L14" s="7" t="str">
        <f t="shared" si="4"/>
        <v/>
      </c>
      <c r="M14" s="7" t="str">
        <f t="shared" si="5"/>
        <v/>
      </c>
    </row>
    <row r="15" spans="1:13" x14ac:dyDescent="0.25">
      <c r="A15" s="10"/>
      <c r="B15" s="10"/>
      <c r="C15" s="10"/>
      <c r="D15" s="11"/>
      <c r="E15" s="11"/>
      <c r="F15" s="11"/>
      <c r="G15" s="11"/>
      <c r="H15" s="6" t="str">
        <f t="shared" si="0"/>
        <v/>
      </c>
      <c r="I15" s="7" t="str">
        <f t="shared" si="1"/>
        <v/>
      </c>
      <c r="J15" s="8" t="str">
        <f t="shared" si="2"/>
        <v/>
      </c>
      <c r="K15" s="9" t="str">
        <f t="shared" si="3"/>
        <v/>
      </c>
      <c r="L15" s="7" t="str">
        <f t="shared" si="4"/>
        <v/>
      </c>
      <c r="M15" s="7" t="str">
        <f t="shared" si="5"/>
        <v/>
      </c>
    </row>
    <row r="16" spans="1:13" x14ac:dyDescent="0.25">
      <c r="A16" s="10"/>
      <c r="B16" s="10"/>
      <c r="C16" s="10"/>
      <c r="D16" s="11"/>
      <c r="E16" s="11"/>
      <c r="F16" s="11"/>
      <c r="G16" s="11"/>
      <c r="H16" s="6" t="str">
        <f t="shared" si="0"/>
        <v/>
      </c>
      <c r="I16" s="7" t="str">
        <f t="shared" si="1"/>
        <v/>
      </c>
      <c r="J16" s="8" t="str">
        <f t="shared" si="2"/>
        <v/>
      </c>
      <c r="K16" s="9" t="str">
        <f t="shared" si="3"/>
        <v/>
      </c>
      <c r="L16" s="7" t="str">
        <f t="shared" si="4"/>
        <v/>
      </c>
      <c r="M16" s="7" t="str">
        <f t="shared" si="5"/>
        <v/>
      </c>
    </row>
    <row r="17" spans="1:13" x14ac:dyDescent="0.25">
      <c r="A17" s="10"/>
      <c r="B17" s="10"/>
      <c r="C17" s="10"/>
      <c r="D17" s="11"/>
      <c r="E17" s="11"/>
      <c r="F17" s="11"/>
      <c r="G17" s="11"/>
      <c r="H17" s="6" t="str">
        <f t="shared" si="0"/>
        <v/>
      </c>
      <c r="I17" s="7" t="str">
        <f t="shared" si="1"/>
        <v/>
      </c>
      <c r="J17" s="8" t="str">
        <f t="shared" si="2"/>
        <v/>
      </c>
      <c r="K17" s="9" t="str">
        <f t="shared" si="3"/>
        <v/>
      </c>
      <c r="L17" s="7" t="str">
        <f t="shared" si="4"/>
        <v/>
      </c>
      <c r="M17" s="7" t="str">
        <f t="shared" si="5"/>
        <v/>
      </c>
    </row>
    <row r="18" spans="1:13" x14ac:dyDescent="0.25">
      <c r="A18" s="10"/>
      <c r="B18" s="10"/>
      <c r="C18" s="10"/>
      <c r="D18" s="11"/>
      <c r="E18" s="11"/>
      <c r="F18" s="11"/>
      <c r="G18" s="11"/>
      <c r="H18" s="6" t="str">
        <f t="shared" si="0"/>
        <v/>
      </c>
      <c r="I18" s="7" t="str">
        <f t="shared" si="1"/>
        <v/>
      </c>
      <c r="J18" s="8" t="str">
        <f t="shared" si="2"/>
        <v/>
      </c>
      <c r="K18" s="9" t="str">
        <f t="shared" si="3"/>
        <v/>
      </c>
      <c r="L18" s="7" t="str">
        <f t="shared" si="4"/>
        <v/>
      </c>
      <c r="M18" s="7" t="str">
        <f t="shared" si="5"/>
        <v/>
      </c>
    </row>
    <row r="19" spans="1:13" x14ac:dyDescent="0.25">
      <c r="A19" s="10"/>
      <c r="B19" s="10"/>
      <c r="C19" s="10"/>
      <c r="D19" s="11"/>
      <c r="E19" s="11"/>
      <c r="F19" s="11"/>
      <c r="G19" s="11"/>
      <c r="H19" s="6" t="str">
        <f t="shared" si="0"/>
        <v/>
      </c>
      <c r="I19" s="7" t="str">
        <f t="shared" si="1"/>
        <v/>
      </c>
      <c r="J19" s="8" t="str">
        <f t="shared" si="2"/>
        <v/>
      </c>
      <c r="K19" s="9" t="str">
        <f t="shared" si="3"/>
        <v/>
      </c>
      <c r="L19" s="7" t="str">
        <f t="shared" si="4"/>
        <v/>
      </c>
      <c r="M19" s="7" t="str">
        <f t="shared" si="5"/>
        <v/>
      </c>
    </row>
    <row r="20" spans="1:13" x14ac:dyDescent="0.25">
      <c r="A20" s="10"/>
      <c r="B20" s="10"/>
      <c r="C20" s="10"/>
      <c r="D20" s="11"/>
      <c r="E20" s="11"/>
      <c r="F20" s="11"/>
      <c r="G20" s="11"/>
      <c r="H20" s="6" t="str">
        <f t="shared" si="0"/>
        <v/>
      </c>
      <c r="I20" s="7" t="str">
        <f t="shared" si="1"/>
        <v/>
      </c>
      <c r="J20" s="8" t="str">
        <f t="shared" si="2"/>
        <v/>
      </c>
      <c r="K20" s="9" t="str">
        <f t="shared" si="3"/>
        <v/>
      </c>
      <c r="L20" s="7" t="str">
        <f t="shared" si="4"/>
        <v/>
      </c>
      <c r="M20" s="7" t="str">
        <f t="shared" si="5"/>
        <v/>
      </c>
    </row>
    <row r="21" spans="1:13" x14ac:dyDescent="0.25">
      <c r="A21" s="10"/>
      <c r="B21" s="10"/>
      <c r="C21" s="10"/>
      <c r="D21" s="11"/>
      <c r="E21" s="11"/>
      <c r="F21" s="11"/>
      <c r="G21" s="11"/>
      <c r="H21" s="6" t="str">
        <f t="shared" si="0"/>
        <v/>
      </c>
      <c r="I21" s="7" t="str">
        <f t="shared" si="1"/>
        <v/>
      </c>
      <c r="J21" s="8" t="str">
        <f t="shared" si="2"/>
        <v/>
      </c>
      <c r="K21" s="9" t="str">
        <f t="shared" si="3"/>
        <v/>
      </c>
      <c r="L21" s="7" t="str">
        <f t="shared" si="4"/>
        <v/>
      </c>
      <c r="M21" s="7" t="str">
        <f t="shared" si="5"/>
        <v/>
      </c>
    </row>
    <row r="22" spans="1:13" x14ac:dyDescent="0.25">
      <c r="A22" s="10"/>
      <c r="B22" s="10"/>
      <c r="C22" s="10"/>
      <c r="D22" s="11"/>
      <c r="E22" s="11"/>
      <c r="F22" s="11"/>
      <c r="G22" s="11"/>
      <c r="H22" s="6" t="str">
        <f t="shared" si="0"/>
        <v/>
      </c>
      <c r="I22" s="7" t="str">
        <f t="shared" si="1"/>
        <v/>
      </c>
      <c r="J22" s="8" t="str">
        <f t="shared" si="2"/>
        <v/>
      </c>
      <c r="K22" s="9" t="str">
        <f t="shared" si="3"/>
        <v/>
      </c>
      <c r="L22" s="7" t="str">
        <f t="shared" si="4"/>
        <v/>
      </c>
      <c r="M22" s="7" t="str">
        <f t="shared" si="5"/>
        <v/>
      </c>
    </row>
    <row r="23" spans="1:13" x14ac:dyDescent="0.25">
      <c r="A23" s="10"/>
      <c r="B23" s="10"/>
      <c r="C23" s="10"/>
      <c r="D23" s="11"/>
      <c r="E23" s="11"/>
      <c r="F23" s="11"/>
      <c r="G23" s="11"/>
      <c r="H23" s="6" t="str">
        <f t="shared" si="0"/>
        <v/>
      </c>
      <c r="I23" s="7" t="str">
        <f t="shared" si="1"/>
        <v/>
      </c>
      <c r="J23" s="8" t="str">
        <f t="shared" si="2"/>
        <v/>
      </c>
      <c r="K23" s="9" t="str">
        <f t="shared" si="3"/>
        <v/>
      </c>
      <c r="L23" s="7" t="str">
        <f t="shared" si="4"/>
        <v/>
      </c>
      <c r="M23" s="7" t="str">
        <f t="shared" si="5"/>
        <v/>
      </c>
    </row>
    <row r="24" spans="1:13" x14ac:dyDescent="0.25">
      <c r="A24" s="10"/>
      <c r="B24" s="10"/>
      <c r="C24" s="10"/>
      <c r="D24" s="11"/>
      <c r="E24" s="11"/>
      <c r="F24" s="11"/>
      <c r="G24" s="11"/>
      <c r="H24" s="6" t="str">
        <f t="shared" si="0"/>
        <v/>
      </c>
      <c r="I24" s="7" t="str">
        <f t="shared" si="1"/>
        <v/>
      </c>
      <c r="J24" s="8" t="str">
        <f t="shared" si="2"/>
        <v/>
      </c>
      <c r="K24" s="9" t="str">
        <f t="shared" si="3"/>
        <v/>
      </c>
      <c r="L24" s="7" t="str">
        <f t="shared" si="4"/>
        <v/>
      </c>
      <c r="M24" s="7" t="str">
        <f t="shared" si="5"/>
        <v/>
      </c>
    </row>
    <row r="25" spans="1:13" x14ac:dyDescent="0.25">
      <c r="A25" s="10"/>
      <c r="B25" s="10"/>
      <c r="C25" s="10"/>
      <c r="D25" s="11"/>
      <c r="E25" s="11"/>
      <c r="F25" s="11"/>
      <c r="G25" s="11"/>
      <c r="H25" s="6" t="str">
        <f t="shared" si="0"/>
        <v/>
      </c>
      <c r="I25" s="7" t="str">
        <f t="shared" si="1"/>
        <v/>
      </c>
      <c r="J25" s="8" t="str">
        <f t="shared" si="2"/>
        <v/>
      </c>
      <c r="K25" s="9" t="str">
        <f t="shared" si="3"/>
        <v/>
      </c>
      <c r="L25" s="7" t="str">
        <f t="shared" si="4"/>
        <v/>
      </c>
      <c r="M25" s="7" t="str">
        <f t="shared" si="5"/>
        <v/>
      </c>
    </row>
    <row r="26" spans="1:13" x14ac:dyDescent="0.25">
      <c r="A26" s="10"/>
      <c r="B26" s="10"/>
      <c r="C26" s="10"/>
      <c r="D26" s="11"/>
      <c r="E26" s="11"/>
      <c r="F26" s="11"/>
      <c r="G26" s="11"/>
      <c r="H26" s="6" t="str">
        <f t="shared" si="0"/>
        <v/>
      </c>
      <c r="I26" s="7" t="str">
        <f t="shared" si="1"/>
        <v/>
      </c>
      <c r="J26" s="8" t="str">
        <f t="shared" si="2"/>
        <v/>
      </c>
      <c r="K26" s="9" t="str">
        <f t="shared" si="3"/>
        <v/>
      </c>
      <c r="L26" s="7" t="str">
        <f t="shared" si="4"/>
        <v/>
      </c>
      <c r="M26" s="7" t="str">
        <f t="shared" si="5"/>
        <v/>
      </c>
    </row>
    <row r="27" spans="1:13" x14ac:dyDescent="0.25">
      <c r="A27" s="10"/>
      <c r="B27" s="10"/>
      <c r="C27" s="10"/>
      <c r="D27" s="11"/>
      <c r="E27" s="11"/>
      <c r="F27" s="11"/>
      <c r="G27" s="11"/>
      <c r="H27" s="6" t="str">
        <f t="shared" si="0"/>
        <v/>
      </c>
      <c r="I27" s="7" t="str">
        <f t="shared" si="1"/>
        <v/>
      </c>
      <c r="J27" s="8" t="str">
        <f t="shared" si="2"/>
        <v/>
      </c>
      <c r="K27" s="9" t="str">
        <f t="shared" si="3"/>
        <v/>
      </c>
      <c r="L27" s="7" t="str">
        <f t="shared" si="4"/>
        <v/>
      </c>
      <c r="M27" s="7" t="str">
        <f t="shared" si="5"/>
        <v/>
      </c>
    </row>
    <row r="28" spans="1:13" x14ac:dyDescent="0.25">
      <c r="A28" s="10"/>
      <c r="B28" s="10"/>
      <c r="C28" s="10"/>
      <c r="D28" s="11"/>
      <c r="E28" s="11"/>
      <c r="F28" s="11"/>
      <c r="G28" s="11"/>
      <c r="H28" s="6" t="str">
        <f t="shared" si="0"/>
        <v/>
      </c>
      <c r="I28" s="7" t="str">
        <f t="shared" si="1"/>
        <v/>
      </c>
      <c r="J28" s="8" t="str">
        <f t="shared" si="2"/>
        <v/>
      </c>
      <c r="K28" s="9" t="str">
        <f t="shared" si="3"/>
        <v/>
      </c>
      <c r="L28" s="7" t="str">
        <f t="shared" si="4"/>
        <v/>
      </c>
      <c r="M28" s="7" t="str">
        <f t="shared" si="5"/>
        <v/>
      </c>
    </row>
    <row r="29" spans="1:13" x14ac:dyDescent="0.25">
      <c r="A29" s="10"/>
      <c r="B29" s="10"/>
      <c r="C29" s="10"/>
      <c r="D29" s="11"/>
      <c r="E29" s="11"/>
      <c r="F29" s="11"/>
      <c r="G29" s="11"/>
      <c r="H29" s="6" t="str">
        <f t="shared" si="0"/>
        <v/>
      </c>
      <c r="I29" s="7" t="str">
        <f t="shared" si="1"/>
        <v/>
      </c>
      <c r="J29" s="8" t="str">
        <f t="shared" si="2"/>
        <v/>
      </c>
      <c r="K29" s="9" t="str">
        <f t="shared" si="3"/>
        <v/>
      </c>
      <c r="L29" s="7" t="str">
        <f t="shared" si="4"/>
        <v/>
      </c>
      <c r="M29" s="7" t="str">
        <f t="shared" si="5"/>
        <v/>
      </c>
    </row>
    <row r="30" spans="1:13" x14ac:dyDescent="0.25">
      <c r="A30" s="10"/>
      <c r="B30" s="10"/>
      <c r="C30" s="10"/>
      <c r="D30" s="11"/>
      <c r="E30" s="11"/>
      <c r="F30" s="11"/>
      <c r="G30" s="11"/>
      <c r="H30" s="6" t="str">
        <f t="shared" si="0"/>
        <v/>
      </c>
      <c r="I30" s="7" t="str">
        <f t="shared" si="1"/>
        <v/>
      </c>
      <c r="J30" s="8" t="str">
        <f t="shared" si="2"/>
        <v/>
      </c>
      <c r="K30" s="9" t="str">
        <f t="shared" si="3"/>
        <v/>
      </c>
      <c r="L30" s="7" t="str">
        <f t="shared" si="4"/>
        <v/>
      </c>
      <c r="M30" s="7" t="str">
        <f t="shared" si="5"/>
        <v/>
      </c>
    </row>
    <row r="31" spans="1:13" x14ac:dyDescent="0.25">
      <c r="A31" s="10"/>
      <c r="B31" s="10"/>
      <c r="C31" s="10"/>
      <c r="D31" s="11"/>
      <c r="E31" s="11"/>
      <c r="F31" s="11"/>
      <c r="G31" s="11"/>
      <c r="H31" s="6" t="str">
        <f t="shared" si="0"/>
        <v/>
      </c>
      <c r="I31" s="7" t="str">
        <f t="shared" si="1"/>
        <v/>
      </c>
      <c r="J31" s="8" t="str">
        <f t="shared" si="2"/>
        <v/>
      </c>
      <c r="K31" s="9" t="str">
        <f t="shared" si="3"/>
        <v/>
      </c>
      <c r="L31" s="7" t="str">
        <f t="shared" si="4"/>
        <v/>
      </c>
      <c r="M31" s="7" t="str">
        <f t="shared" si="5"/>
        <v/>
      </c>
    </row>
  </sheetData>
  <conditionalFormatting sqref="I2:I31">
    <cfRule type="cellIs" dxfId="4" priority="2" operator="equal">
      <formula>"CHECK"</formula>
    </cfRule>
    <cfRule type="cellIs" dxfId="3" priority="3" operator="equal">
      <formula>"OK"</formula>
    </cfRule>
  </conditionalFormatting>
  <conditionalFormatting sqref="L2:L31">
    <cfRule type="cellIs" dxfId="2" priority="4" operator="equal">
      <formula>"CHECK"</formula>
    </cfRule>
    <cfRule type="cellIs" dxfId="1" priority="5" operator="equal">
      <formula>"OK"</formula>
    </cfRule>
  </conditionalFormatting>
  <conditionalFormatting sqref="M2:M31">
    <cfRule type="cellIs" dxfId="0" priority="6" operator="equal">
      <formula>"HEAVY BUT WEAK"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 &amp; Strength (2)</vt:lpstr>
      <vt:lpstr>Instructions</vt:lpstr>
      <vt:lpstr>Weight &amp; Strength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Manoj Kedia</cp:lastModifiedBy>
  <cp:revision>0</cp:revision>
  <dcterms:created xsi:type="dcterms:W3CDTF">2026-07-24T03:42:10Z</dcterms:created>
  <dcterms:modified xsi:type="dcterms:W3CDTF">2026-07-27T07:26:33Z</dcterms:modified>
  <dc:language>en-US</dc:language>
</cp:coreProperties>
</file>