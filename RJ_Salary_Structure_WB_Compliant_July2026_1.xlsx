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A94797F-92A2-4E2E-ABC4-30871C2DD002}" xr6:coauthVersionLast="47" xr6:coauthVersionMax="47" xr10:uidLastSave="{00000000-0000-0000-0000-000000000000}"/>
  <bookViews>
    <workbookView xWindow="-120" yWindow="-120" windowWidth="20730" windowHeight="11040" tabRatio="803" xr2:uid="{00000000-000D-0000-FFFF-FFFF00000000}"/>
  </bookViews>
  <sheets>
    <sheet name="Compliance Summary" sheetId="1" r:id="rId1"/>
    <sheet name="PF Capping Comparison" sheetId="2" r:id="rId2"/>
    <sheet name="Salary Sheet - WB Compliant" sheetId="3" r:id="rId3"/>
    <sheet name="Skill Mapping" sheetId="4" r:id="rId4"/>
    <sheet name="Min Wages (WB Zone A)" sheetId="5" r:id="rId5"/>
  </sheets>
  <definedNames>
    <definedName name="MinWageTable">'Min Wages (WB Zone A)'!$B$6:$C$9</definedName>
    <definedName name="SkillMap">'Skill Mapping'!$B$4:$C$9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58" i="3" l="1"/>
  <c r="J58" i="3"/>
  <c r="I58" i="3"/>
  <c r="H58" i="3"/>
  <c r="Q57" i="3"/>
  <c r="K57" i="3"/>
  <c r="M57" i="3" s="1"/>
  <c r="F57" i="3"/>
  <c r="G57" i="3" s="1"/>
  <c r="Q56" i="3"/>
  <c r="M56" i="3"/>
  <c r="K56" i="3"/>
  <c r="F56" i="3"/>
  <c r="G56" i="3" s="1"/>
  <c r="AA55" i="3"/>
  <c r="Z55" i="3"/>
  <c r="S55" i="3"/>
  <c r="Q55" i="3"/>
  <c r="R55" i="3" s="1"/>
  <c r="M55" i="3"/>
  <c r="K55" i="3"/>
  <c r="F55" i="3"/>
  <c r="G55" i="3" s="1"/>
  <c r="N55" i="3" s="1"/>
  <c r="O55" i="3" s="1"/>
  <c r="Q54" i="3"/>
  <c r="K54" i="3"/>
  <c r="M54" i="3" s="1"/>
  <c r="N54" i="3" s="1"/>
  <c r="O54" i="3" s="1"/>
  <c r="F54" i="3"/>
  <c r="G54" i="3" s="1"/>
  <c r="Q53" i="3"/>
  <c r="K53" i="3"/>
  <c r="M53" i="3" s="1"/>
  <c r="F53" i="3"/>
  <c r="G53" i="3" s="1"/>
  <c r="Q52" i="3"/>
  <c r="N52" i="3"/>
  <c r="O52" i="3" s="1"/>
  <c r="K52" i="3"/>
  <c r="M52" i="3" s="1"/>
  <c r="F52" i="3"/>
  <c r="G52" i="3" s="1"/>
  <c r="AA51" i="3"/>
  <c r="Z51" i="3"/>
  <c r="S51" i="3"/>
  <c r="R51" i="3"/>
  <c r="Q51" i="3"/>
  <c r="K51" i="3"/>
  <c r="M51" i="3" s="1"/>
  <c r="N51" i="3" s="1"/>
  <c r="O51" i="3" s="1"/>
  <c r="F51" i="3"/>
  <c r="G51" i="3" s="1"/>
  <c r="Q50" i="3"/>
  <c r="M50" i="3"/>
  <c r="N50" i="3" s="1"/>
  <c r="O50" i="3" s="1"/>
  <c r="K50" i="3"/>
  <c r="F50" i="3"/>
  <c r="G50" i="3" s="1"/>
  <c r="AA49" i="3"/>
  <c r="Z49" i="3"/>
  <c r="S49" i="3"/>
  <c r="R49" i="3"/>
  <c r="Q49" i="3"/>
  <c r="K49" i="3"/>
  <c r="M49" i="3" s="1"/>
  <c r="F49" i="3"/>
  <c r="G49" i="3" s="1"/>
  <c r="Q48" i="3"/>
  <c r="K48" i="3"/>
  <c r="M48" i="3" s="1"/>
  <c r="N48" i="3" s="1"/>
  <c r="O48" i="3" s="1"/>
  <c r="F48" i="3"/>
  <c r="G48" i="3" s="1"/>
  <c r="Q47" i="3"/>
  <c r="K47" i="3"/>
  <c r="M47" i="3" s="1"/>
  <c r="N47" i="3" s="1"/>
  <c r="O47" i="3" s="1"/>
  <c r="F47" i="3"/>
  <c r="G47" i="3" s="1"/>
  <c r="AA46" i="3"/>
  <c r="Z46" i="3"/>
  <c r="R46" i="3"/>
  <c r="Q46" i="3"/>
  <c r="S46" i="3" s="1"/>
  <c r="K46" i="3"/>
  <c r="M46" i="3" s="1"/>
  <c r="N46" i="3" s="1"/>
  <c r="O46" i="3" s="1"/>
  <c r="F46" i="3"/>
  <c r="G46" i="3" s="1"/>
  <c r="AA45" i="3"/>
  <c r="Z45" i="3"/>
  <c r="S45" i="3"/>
  <c r="R45" i="3"/>
  <c r="Q45" i="3"/>
  <c r="K45" i="3"/>
  <c r="M45" i="3" s="1"/>
  <c r="F45" i="3"/>
  <c r="G45" i="3" s="1"/>
  <c r="N45" i="3" s="1"/>
  <c r="O45" i="3" s="1"/>
  <c r="Q44" i="3"/>
  <c r="P44" i="3"/>
  <c r="R44" i="3" s="1"/>
  <c r="K44" i="3"/>
  <c r="M44" i="3" s="1"/>
  <c r="N44" i="3" s="1"/>
  <c r="O44" i="3" s="1"/>
  <c r="F44" i="3"/>
  <c r="G44" i="3" s="1"/>
  <c r="Q43" i="3"/>
  <c r="N43" i="3"/>
  <c r="O43" i="3" s="1"/>
  <c r="K43" i="3"/>
  <c r="M43" i="3" s="1"/>
  <c r="F43" i="3"/>
  <c r="G43" i="3" s="1"/>
  <c r="AA42" i="3"/>
  <c r="Z42" i="3"/>
  <c r="R42" i="3"/>
  <c r="Q42" i="3"/>
  <c r="S42" i="3" s="1"/>
  <c r="M42" i="3"/>
  <c r="N42" i="3" s="1"/>
  <c r="O42" i="3" s="1"/>
  <c r="K42" i="3"/>
  <c r="F42" i="3"/>
  <c r="G42" i="3" s="1"/>
  <c r="AA41" i="3"/>
  <c r="Z41" i="3"/>
  <c r="S41" i="3"/>
  <c r="R41" i="3"/>
  <c r="Q41" i="3"/>
  <c r="K41" i="3"/>
  <c r="M41" i="3" s="1"/>
  <c r="F41" i="3"/>
  <c r="G41" i="3" s="1"/>
  <c r="AA40" i="3"/>
  <c r="Z40" i="3"/>
  <c r="R40" i="3"/>
  <c r="Q40" i="3"/>
  <c r="S40" i="3" s="1"/>
  <c r="K40" i="3"/>
  <c r="M40" i="3" s="1"/>
  <c r="N40" i="3" s="1"/>
  <c r="O40" i="3" s="1"/>
  <c r="F40" i="3"/>
  <c r="G40" i="3" s="1"/>
  <c r="Q39" i="3"/>
  <c r="K39" i="3"/>
  <c r="M39" i="3" s="1"/>
  <c r="N39" i="3" s="1"/>
  <c r="O39" i="3" s="1"/>
  <c r="F39" i="3"/>
  <c r="G39" i="3" s="1"/>
  <c r="Q38" i="3"/>
  <c r="S38" i="3" s="1"/>
  <c r="N38" i="3"/>
  <c r="O38" i="3" s="1"/>
  <c r="P38" i="3" s="1"/>
  <c r="R38" i="3" s="1"/>
  <c r="M38" i="3"/>
  <c r="K38" i="3"/>
  <c r="F38" i="3"/>
  <c r="G38" i="3" s="1"/>
  <c r="Q37" i="3"/>
  <c r="K37" i="3"/>
  <c r="M37" i="3" s="1"/>
  <c r="N37" i="3" s="1"/>
  <c r="O37" i="3" s="1"/>
  <c r="G37" i="3"/>
  <c r="F37" i="3"/>
  <c r="Q36" i="3"/>
  <c r="K36" i="3"/>
  <c r="M36" i="3" s="1"/>
  <c r="N36" i="3" s="1"/>
  <c r="O36" i="3" s="1"/>
  <c r="F36" i="3"/>
  <c r="G36" i="3" s="1"/>
  <c r="Q35" i="3"/>
  <c r="K35" i="3"/>
  <c r="M35" i="3" s="1"/>
  <c r="F35" i="3"/>
  <c r="G35" i="3" s="1"/>
  <c r="N35" i="3" s="1"/>
  <c r="O35" i="3" s="1"/>
  <c r="AA34" i="3"/>
  <c r="Z34" i="3"/>
  <c r="R34" i="3"/>
  <c r="Q34" i="3"/>
  <c r="S34" i="3" s="1"/>
  <c r="M34" i="3"/>
  <c r="K34" i="3"/>
  <c r="F34" i="3"/>
  <c r="G34" i="3" s="1"/>
  <c r="AA33" i="3"/>
  <c r="Z33" i="3"/>
  <c r="S33" i="3"/>
  <c r="R33" i="3"/>
  <c r="Q33" i="3"/>
  <c r="K33" i="3"/>
  <c r="M33" i="3" s="1"/>
  <c r="G33" i="3"/>
  <c r="N33" i="3" s="1"/>
  <c r="O33" i="3" s="1"/>
  <c r="F33" i="3"/>
  <c r="AA32" i="3"/>
  <c r="Z32" i="3"/>
  <c r="R32" i="3"/>
  <c r="Q32" i="3"/>
  <c r="S32" i="3" s="1"/>
  <c r="K32" i="3"/>
  <c r="M32" i="3" s="1"/>
  <c r="N32" i="3" s="1"/>
  <c r="O32" i="3" s="1"/>
  <c r="F32" i="3"/>
  <c r="G32" i="3" s="1"/>
  <c r="Q31" i="3"/>
  <c r="N31" i="3"/>
  <c r="O31" i="3" s="1"/>
  <c r="K31" i="3"/>
  <c r="M31" i="3" s="1"/>
  <c r="G31" i="3"/>
  <c r="F31" i="3"/>
  <c r="Q30" i="3"/>
  <c r="N30" i="3"/>
  <c r="O30" i="3" s="1"/>
  <c r="K30" i="3"/>
  <c r="M30" i="3" s="1"/>
  <c r="F30" i="3"/>
  <c r="G30" i="3" s="1"/>
  <c r="Q29" i="3"/>
  <c r="K29" i="3"/>
  <c r="M29" i="3" s="1"/>
  <c r="F29" i="3"/>
  <c r="G29" i="3" s="1"/>
  <c r="N29" i="3" s="1"/>
  <c r="O29" i="3" s="1"/>
  <c r="Q28" i="3"/>
  <c r="N28" i="3"/>
  <c r="O28" i="3" s="1"/>
  <c r="P28" i="3" s="1"/>
  <c r="M28" i="3"/>
  <c r="K28" i="3"/>
  <c r="F28" i="3"/>
  <c r="G28" i="3" s="1"/>
  <c r="Q27" i="3"/>
  <c r="K27" i="3"/>
  <c r="M27" i="3" s="1"/>
  <c r="N27" i="3" s="1"/>
  <c r="O27" i="3" s="1"/>
  <c r="G27" i="3"/>
  <c r="F27" i="3"/>
  <c r="Q26" i="3"/>
  <c r="K26" i="3"/>
  <c r="M26" i="3" s="1"/>
  <c r="N26" i="3" s="1"/>
  <c r="O26" i="3" s="1"/>
  <c r="F26" i="3"/>
  <c r="G26" i="3" s="1"/>
  <c r="Q25" i="3"/>
  <c r="K25" i="3"/>
  <c r="M25" i="3" s="1"/>
  <c r="G25" i="3"/>
  <c r="N25" i="3" s="1"/>
  <c r="O25" i="3" s="1"/>
  <c r="F25" i="3"/>
  <c r="Q24" i="3"/>
  <c r="K24" i="3"/>
  <c r="M24" i="3" s="1"/>
  <c r="N24" i="3" s="1"/>
  <c r="O24" i="3" s="1"/>
  <c r="F24" i="3"/>
  <c r="G24" i="3" s="1"/>
  <c r="AA23" i="3"/>
  <c r="Z23" i="3"/>
  <c r="S23" i="3"/>
  <c r="R23" i="3"/>
  <c r="Q23" i="3"/>
  <c r="N23" i="3"/>
  <c r="O23" i="3" s="1"/>
  <c r="M23" i="3"/>
  <c r="K23" i="3"/>
  <c r="F23" i="3"/>
  <c r="G23" i="3" s="1"/>
  <c r="Y22" i="3"/>
  <c r="Q22" i="3"/>
  <c r="S22" i="3" s="1"/>
  <c r="N22" i="3"/>
  <c r="O22" i="3" s="1"/>
  <c r="P22" i="3" s="1"/>
  <c r="K22" i="3"/>
  <c r="M22" i="3" s="1"/>
  <c r="G22" i="3"/>
  <c r="F22" i="3"/>
  <c r="Q21" i="3"/>
  <c r="K21" i="3"/>
  <c r="M21" i="3" s="1"/>
  <c r="F21" i="3"/>
  <c r="G21" i="3" s="1"/>
  <c r="N21" i="3" s="1"/>
  <c r="O21" i="3" s="1"/>
  <c r="Q20" i="3"/>
  <c r="K20" i="3"/>
  <c r="M20" i="3" s="1"/>
  <c r="N20" i="3" s="1"/>
  <c r="O20" i="3" s="1"/>
  <c r="F20" i="3"/>
  <c r="G20" i="3" s="1"/>
  <c r="S19" i="3"/>
  <c r="R19" i="3"/>
  <c r="Q19" i="3"/>
  <c r="M19" i="3"/>
  <c r="K19" i="3"/>
  <c r="F19" i="3"/>
  <c r="G19" i="3" s="1"/>
  <c r="N19" i="3" s="1"/>
  <c r="O19" i="3" s="1"/>
  <c r="Q18" i="3"/>
  <c r="K18" i="3"/>
  <c r="M18" i="3" s="1"/>
  <c r="G18" i="3"/>
  <c r="N18" i="3" s="1"/>
  <c r="O18" i="3" s="1"/>
  <c r="F18" i="3"/>
  <c r="Q17" i="3"/>
  <c r="K17" i="3"/>
  <c r="M17" i="3" s="1"/>
  <c r="N17" i="3" s="1"/>
  <c r="O17" i="3" s="1"/>
  <c r="F17" i="3"/>
  <c r="G17" i="3" s="1"/>
  <c r="Q16" i="3"/>
  <c r="K16" i="3"/>
  <c r="M16" i="3" s="1"/>
  <c r="N16" i="3" s="1"/>
  <c r="O16" i="3" s="1"/>
  <c r="F16" i="3"/>
  <c r="G16" i="3" s="1"/>
  <c r="Q15" i="3"/>
  <c r="M15" i="3"/>
  <c r="K15" i="3"/>
  <c r="F15" i="3"/>
  <c r="G15" i="3" s="1"/>
  <c r="N15" i="3" s="1"/>
  <c r="O15" i="3" s="1"/>
  <c r="Q14" i="3"/>
  <c r="K14" i="3"/>
  <c r="M14" i="3" s="1"/>
  <c r="N14" i="3" s="1"/>
  <c r="O14" i="3" s="1"/>
  <c r="G14" i="3"/>
  <c r="F14" i="3"/>
  <c r="Q13" i="3"/>
  <c r="S13" i="3" s="1"/>
  <c r="K13" i="3"/>
  <c r="M13" i="3" s="1"/>
  <c r="N13" i="3" s="1"/>
  <c r="O13" i="3" s="1"/>
  <c r="F13" i="3"/>
  <c r="G13" i="3" s="1"/>
  <c r="Q12" i="3"/>
  <c r="M12" i="3"/>
  <c r="K12" i="3"/>
  <c r="F12" i="3"/>
  <c r="G12" i="3" s="1"/>
  <c r="Q11" i="3"/>
  <c r="M11" i="3"/>
  <c r="K11" i="3"/>
  <c r="F11" i="3"/>
  <c r="G11" i="3" s="1"/>
  <c r="N11" i="3" s="1"/>
  <c r="O11" i="3" s="1"/>
  <c r="Q10" i="3"/>
  <c r="K10" i="3"/>
  <c r="M10" i="3" s="1"/>
  <c r="N10" i="3" s="1"/>
  <c r="O10" i="3" s="1"/>
  <c r="P10" i="3" s="1"/>
  <c r="G10" i="3"/>
  <c r="F10" i="3"/>
  <c r="Q9" i="3"/>
  <c r="K9" i="3"/>
  <c r="M9" i="3" s="1"/>
  <c r="F9" i="3"/>
  <c r="G9" i="3" s="1"/>
  <c r="Q8" i="3"/>
  <c r="K8" i="3"/>
  <c r="M8" i="3" s="1"/>
  <c r="F8" i="3"/>
  <c r="G8" i="3" s="1"/>
  <c r="Q7" i="3"/>
  <c r="N7" i="3"/>
  <c r="O7" i="3" s="1"/>
  <c r="M7" i="3"/>
  <c r="K7" i="3"/>
  <c r="F7" i="3"/>
  <c r="G7" i="3" s="1"/>
  <c r="E57" i="2"/>
  <c r="D57" i="2"/>
  <c r="F57" i="2" s="1"/>
  <c r="C57" i="2"/>
  <c r="B57" i="2"/>
  <c r="A57" i="2"/>
  <c r="E56" i="2"/>
  <c r="D56" i="2"/>
  <c r="C56" i="2"/>
  <c r="B56" i="2"/>
  <c r="A56" i="2"/>
  <c r="M55" i="2"/>
  <c r="J55" i="2"/>
  <c r="K55" i="2" s="1"/>
  <c r="I55" i="2"/>
  <c r="H55" i="2"/>
  <c r="L55" i="2" s="1"/>
  <c r="G55" i="2"/>
  <c r="F55" i="2"/>
  <c r="E55" i="2"/>
  <c r="D55" i="2"/>
  <c r="C55" i="2"/>
  <c r="B55" i="2"/>
  <c r="A55" i="2"/>
  <c r="G54" i="2"/>
  <c r="I54" i="2" s="1"/>
  <c r="J54" i="2" s="1"/>
  <c r="F54" i="2"/>
  <c r="E54" i="2"/>
  <c r="D54" i="2"/>
  <c r="C54" i="2"/>
  <c r="B54" i="2"/>
  <c r="A54" i="2"/>
  <c r="E53" i="2"/>
  <c r="D53" i="2"/>
  <c r="C53" i="2"/>
  <c r="B53" i="2"/>
  <c r="A53" i="2"/>
  <c r="I52" i="2"/>
  <c r="G52" i="2"/>
  <c r="E52" i="2"/>
  <c r="D52" i="2"/>
  <c r="F52" i="2" s="1"/>
  <c r="C52" i="2"/>
  <c r="B52" i="2"/>
  <c r="A52" i="2"/>
  <c r="M51" i="2"/>
  <c r="J51" i="2"/>
  <c r="H51" i="2"/>
  <c r="L51" i="2" s="1"/>
  <c r="F51" i="2"/>
  <c r="E51" i="2"/>
  <c r="D51" i="2"/>
  <c r="C51" i="2"/>
  <c r="B51" i="2"/>
  <c r="A51" i="2"/>
  <c r="G50" i="2"/>
  <c r="I50" i="2" s="1"/>
  <c r="J50" i="2" s="1"/>
  <c r="M50" i="2" s="1"/>
  <c r="F50" i="2"/>
  <c r="E50" i="2"/>
  <c r="D50" i="2"/>
  <c r="C50" i="2"/>
  <c r="B50" i="2"/>
  <c r="A50" i="2"/>
  <c r="H49" i="2"/>
  <c r="E49" i="2"/>
  <c r="D49" i="2"/>
  <c r="F49" i="2" s="1"/>
  <c r="C49" i="2"/>
  <c r="B49" i="2"/>
  <c r="A49" i="2"/>
  <c r="I48" i="2"/>
  <c r="G48" i="2"/>
  <c r="E48" i="2"/>
  <c r="D48" i="2"/>
  <c r="C48" i="2"/>
  <c r="B48" i="2"/>
  <c r="A48" i="2"/>
  <c r="I47" i="2"/>
  <c r="J47" i="2" s="1"/>
  <c r="G47" i="2"/>
  <c r="E47" i="2"/>
  <c r="F47" i="2" s="1"/>
  <c r="D47" i="2"/>
  <c r="C47" i="2"/>
  <c r="B47" i="2"/>
  <c r="A47" i="2"/>
  <c r="J46" i="2"/>
  <c r="H46" i="2"/>
  <c r="G46" i="2"/>
  <c r="I46" i="2" s="1"/>
  <c r="F46" i="2"/>
  <c r="E46" i="2"/>
  <c r="D46" i="2"/>
  <c r="C46" i="2"/>
  <c r="B46" i="2"/>
  <c r="A46" i="2"/>
  <c r="H45" i="2"/>
  <c r="G45" i="2"/>
  <c r="I45" i="2" s="1"/>
  <c r="E45" i="2"/>
  <c r="D45" i="2"/>
  <c r="J45" i="2" s="1"/>
  <c r="C45" i="2"/>
  <c r="B45" i="2"/>
  <c r="A45" i="2"/>
  <c r="I44" i="2"/>
  <c r="G44" i="2"/>
  <c r="E44" i="2"/>
  <c r="D44" i="2"/>
  <c r="F44" i="2" s="1"/>
  <c r="C44" i="2"/>
  <c r="B44" i="2"/>
  <c r="A44" i="2"/>
  <c r="I43" i="2"/>
  <c r="J43" i="2" s="1"/>
  <c r="M43" i="2" s="1"/>
  <c r="G43" i="2"/>
  <c r="E43" i="2"/>
  <c r="F43" i="2" s="1"/>
  <c r="D43" i="2"/>
  <c r="C43" i="2"/>
  <c r="B43" i="2"/>
  <c r="A43" i="2"/>
  <c r="J42" i="2"/>
  <c r="H42" i="2"/>
  <c r="G42" i="2"/>
  <c r="I42" i="2" s="1"/>
  <c r="F42" i="2"/>
  <c r="L42" i="2" s="1"/>
  <c r="E42" i="2"/>
  <c r="D42" i="2"/>
  <c r="C42" i="2"/>
  <c r="B42" i="2"/>
  <c r="A42" i="2"/>
  <c r="H41" i="2"/>
  <c r="E41" i="2"/>
  <c r="D41" i="2"/>
  <c r="F41" i="2" s="1"/>
  <c r="C41" i="2"/>
  <c r="B41" i="2"/>
  <c r="A41" i="2"/>
  <c r="I40" i="2"/>
  <c r="H40" i="2"/>
  <c r="G40" i="2"/>
  <c r="E40" i="2"/>
  <c r="D40" i="2"/>
  <c r="C40" i="2"/>
  <c r="B40" i="2"/>
  <c r="A40" i="2"/>
  <c r="I39" i="2"/>
  <c r="J39" i="2" s="1"/>
  <c r="M39" i="2" s="1"/>
  <c r="G39" i="2"/>
  <c r="E39" i="2"/>
  <c r="F39" i="2" s="1"/>
  <c r="D39" i="2"/>
  <c r="C39" i="2"/>
  <c r="B39" i="2"/>
  <c r="A39" i="2"/>
  <c r="G38" i="2"/>
  <c r="I38" i="2" s="1"/>
  <c r="J38" i="2" s="1"/>
  <c r="F38" i="2"/>
  <c r="E38" i="2"/>
  <c r="D38" i="2"/>
  <c r="C38" i="2"/>
  <c r="B38" i="2"/>
  <c r="A38" i="2"/>
  <c r="G37" i="2"/>
  <c r="I37" i="2" s="1"/>
  <c r="E37" i="2"/>
  <c r="D37" i="2"/>
  <c r="J37" i="2" s="1"/>
  <c r="C37" i="2"/>
  <c r="B37" i="2"/>
  <c r="A37" i="2"/>
  <c r="I36" i="2"/>
  <c r="G36" i="2"/>
  <c r="E36" i="2"/>
  <c r="D36" i="2"/>
  <c r="F36" i="2" s="1"/>
  <c r="C36" i="2"/>
  <c r="B36" i="2"/>
  <c r="A36" i="2"/>
  <c r="E35" i="2"/>
  <c r="F35" i="2" s="1"/>
  <c r="D35" i="2"/>
  <c r="C35" i="2"/>
  <c r="B35" i="2"/>
  <c r="A35" i="2"/>
  <c r="J34" i="2"/>
  <c r="H34" i="2"/>
  <c r="F34" i="2"/>
  <c r="L34" i="2" s="1"/>
  <c r="E34" i="2"/>
  <c r="D34" i="2"/>
  <c r="C34" i="2"/>
  <c r="B34" i="2"/>
  <c r="A34" i="2"/>
  <c r="H33" i="2"/>
  <c r="L33" i="2" s="1"/>
  <c r="G33" i="2"/>
  <c r="I33" i="2" s="1"/>
  <c r="E33" i="2"/>
  <c r="D33" i="2"/>
  <c r="F33" i="2" s="1"/>
  <c r="C33" i="2"/>
  <c r="B33" i="2"/>
  <c r="A33" i="2"/>
  <c r="I32" i="2"/>
  <c r="H32" i="2"/>
  <c r="G32" i="2"/>
  <c r="E32" i="2"/>
  <c r="D32" i="2"/>
  <c r="C32" i="2"/>
  <c r="B32" i="2"/>
  <c r="A32" i="2"/>
  <c r="I31" i="2"/>
  <c r="J31" i="2" s="1"/>
  <c r="G31" i="2"/>
  <c r="E31" i="2"/>
  <c r="F31" i="2" s="1"/>
  <c r="D31" i="2"/>
  <c r="C31" i="2"/>
  <c r="B31" i="2"/>
  <c r="A31" i="2"/>
  <c r="G30" i="2"/>
  <c r="I30" i="2" s="1"/>
  <c r="J30" i="2" s="1"/>
  <c r="F30" i="2"/>
  <c r="E30" i="2"/>
  <c r="D30" i="2"/>
  <c r="C30" i="2"/>
  <c r="B30" i="2"/>
  <c r="A30" i="2"/>
  <c r="E29" i="2"/>
  <c r="D29" i="2"/>
  <c r="C29" i="2"/>
  <c r="B29" i="2"/>
  <c r="A29" i="2"/>
  <c r="I28" i="2"/>
  <c r="G28" i="2"/>
  <c r="E28" i="2"/>
  <c r="D28" i="2"/>
  <c r="F28" i="2" s="1"/>
  <c r="C28" i="2"/>
  <c r="B28" i="2"/>
  <c r="A28" i="2"/>
  <c r="M27" i="2"/>
  <c r="I27" i="2"/>
  <c r="J27" i="2" s="1"/>
  <c r="G27" i="2"/>
  <c r="E27" i="2"/>
  <c r="F27" i="2" s="1"/>
  <c r="D27" i="2"/>
  <c r="C27" i="2"/>
  <c r="B27" i="2"/>
  <c r="A27" i="2"/>
  <c r="F26" i="2"/>
  <c r="E26" i="2"/>
  <c r="D26" i="2"/>
  <c r="C26" i="2"/>
  <c r="B26" i="2"/>
  <c r="A26" i="2"/>
  <c r="E25" i="2"/>
  <c r="D25" i="2"/>
  <c r="F25" i="2" s="1"/>
  <c r="C25" i="2"/>
  <c r="B25" i="2"/>
  <c r="A25" i="2"/>
  <c r="E24" i="2"/>
  <c r="D24" i="2"/>
  <c r="C24" i="2"/>
  <c r="B24" i="2"/>
  <c r="A24" i="2"/>
  <c r="M23" i="2"/>
  <c r="K23" i="2"/>
  <c r="J23" i="2"/>
  <c r="H23" i="2"/>
  <c r="L23" i="2" s="1"/>
  <c r="F23" i="2"/>
  <c r="E23" i="2"/>
  <c r="D23" i="2"/>
  <c r="C23" i="2"/>
  <c r="B23" i="2"/>
  <c r="A23" i="2"/>
  <c r="G22" i="2"/>
  <c r="I22" i="2" s="1"/>
  <c r="J22" i="2" s="1"/>
  <c r="M22" i="2" s="1"/>
  <c r="F22" i="2"/>
  <c r="E22" i="2"/>
  <c r="D22" i="2"/>
  <c r="C22" i="2"/>
  <c r="B22" i="2"/>
  <c r="A22" i="2"/>
  <c r="E21" i="2"/>
  <c r="D21" i="2"/>
  <c r="C21" i="2"/>
  <c r="B21" i="2"/>
  <c r="A21" i="2"/>
  <c r="E20" i="2"/>
  <c r="D20" i="2"/>
  <c r="F20" i="2" s="1"/>
  <c r="C20" i="2"/>
  <c r="B20" i="2"/>
  <c r="A20" i="2"/>
  <c r="E19" i="2"/>
  <c r="F19" i="2" s="1"/>
  <c r="D19" i="2"/>
  <c r="C19" i="2"/>
  <c r="B19" i="2"/>
  <c r="A19" i="2"/>
  <c r="F18" i="2"/>
  <c r="E18" i="2"/>
  <c r="D18" i="2"/>
  <c r="C18" i="2"/>
  <c r="B18" i="2"/>
  <c r="A18" i="2"/>
  <c r="G17" i="2"/>
  <c r="I17" i="2" s="1"/>
  <c r="E17" i="2"/>
  <c r="D17" i="2"/>
  <c r="F17" i="2" s="1"/>
  <c r="C17" i="2"/>
  <c r="B17" i="2"/>
  <c r="A17" i="2"/>
  <c r="E16" i="2"/>
  <c r="D16" i="2"/>
  <c r="C16" i="2"/>
  <c r="B16" i="2"/>
  <c r="A16" i="2"/>
  <c r="E15" i="2"/>
  <c r="F15" i="2" s="1"/>
  <c r="D15" i="2"/>
  <c r="C15" i="2"/>
  <c r="B15" i="2"/>
  <c r="A15" i="2"/>
  <c r="F14" i="2"/>
  <c r="E14" i="2"/>
  <c r="D14" i="2"/>
  <c r="C14" i="2"/>
  <c r="B14" i="2"/>
  <c r="A14" i="2"/>
  <c r="E13" i="2"/>
  <c r="D13" i="2"/>
  <c r="C13" i="2"/>
  <c r="B13" i="2"/>
  <c r="A13" i="2"/>
  <c r="E12" i="2"/>
  <c r="D12" i="2"/>
  <c r="F12" i="2" s="1"/>
  <c r="C12" i="2"/>
  <c r="B12" i="2"/>
  <c r="A12" i="2"/>
  <c r="E11" i="2"/>
  <c r="F11" i="2" s="1"/>
  <c r="D11" i="2"/>
  <c r="C11" i="2"/>
  <c r="B11" i="2"/>
  <c r="A11" i="2"/>
  <c r="F10" i="2"/>
  <c r="E10" i="2"/>
  <c r="D10" i="2"/>
  <c r="C10" i="2"/>
  <c r="B10" i="2"/>
  <c r="A10" i="2"/>
  <c r="E9" i="2"/>
  <c r="D9" i="2"/>
  <c r="F9" i="2" s="1"/>
  <c r="C9" i="2"/>
  <c r="B9" i="2"/>
  <c r="A9" i="2"/>
  <c r="E8" i="2"/>
  <c r="D8" i="2"/>
  <c r="C8" i="2"/>
  <c r="B8" i="2"/>
  <c r="A8" i="2"/>
  <c r="E7" i="2"/>
  <c r="F7" i="2" s="1"/>
  <c r="D7" i="2"/>
  <c r="C7" i="2"/>
  <c r="B7" i="2"/>
  <c r="A7" i="2"/>
  <c r="C20" i="1"/>
  <c r="C5" i="1"/>
  <c r="Y11" i="3" l="1"/>
  <c r="G11" i="2"/>
  <c r="I11" i="2" s="1"/>
  <c r="P11" i="3"/>
  <c r="Y13" i="3"/>
  <c r="P13" i="3"/>
  <c r="T13" i="3"/>
  <c r="U13" i="3" s="1"/>
  <c r="G13" i="2"/>
  <c r="I13" i="2" s="1"/>
  <c r="J13" i="2" s="1"/>
  <c r="M13" i="2" s="1"/>
  <c r="P15" i="3"/>
  <c r="G15" i="2"/>
  <c r="I15" i="2" s="1"/>
  <c r="J15" i="2" s="1"/>
  <c r="M15" i="2" s="1"/>
  <c r="Y15" i="3"/>
  <c r="G20" i="2"/>
  <c r="I20" i="2" s="1"/>
  <c r="Y20" i="3"/>
  <c r="P20" i="3"/>
  <c r="P25" i="3"/>
  <c r="Y25" i="3"/>
  <c r="F16" i="2"/>
  <c r="S11" i="3"/>
  <c r="M34" i="2"/>
  <c r="K34" i="2"/>
  <c r="F56" i="2"/>
  <c r="N9" i="3"/>
  <c r="O9" i="3" s="1"/>
  <c r="T19" i="3"/>
  <c r="U19" i="3" s="1"/>
  <c r="P19" i="3"/>
  <c r="Y19" i="3"/>
  <c r="G19" i="2"/>
  <c r="I19" i="2" s="1"/>
  <c r="J19" i="2" s="1"/>
  <c r="M19" i="2" s="1"/>
  <c r="M30" i="2"/>
  <c r="M54" i="2"/>
  <c r="Y21" i="3"/>
  <c r="P21" i="3"/>
  <c r="R21" i="3" s="1"/>
  <c r="T21" i="3" s="1"/>
  <c r="U21" i="3" s="1"/>
  <c r="G21" i="2"/>
  <c r="I21" i="2" s="1"/>
  <c r="G7" i="2"/>
  <c r="I7" i="2" s="1"/>
  <c r="J7" i="2" s="1"/>
  <c r="Y7" i="3"/>
  <c r="P7" i="3"/>
  <c r="J48" i="2"/>
  <c r="M48" i="2" s="1"/>
  <c r="F48" i="2"/>
  <c r="N12" i="3"/>
  <c r="O12" i="3" s="1"/>
  <c r="Y17" i="3"/>
  <c r="P17" i="3"/>
  <c r="Y10" i="3"/>
  <c r="G10" i="2"/>
  <c r="I10" i="2" s="1"/>
  <c r="J10" i="2" s="1"/>
  <c r="M10" i="2" s="1"/>
  <c r="F8" i="2"/>
  <c r="F58" i="2" s="1"/>
  <c r="F61" i="2" s="1"/>
  <c r="L41" i="2"/>
  <c r="L49" i="2"/>
  <c r="N8" i="3"/>
  <c r="O8" i="3" s="1"/>
  <c r="P14" i="3"/>
  <c r="S14" i="3" s="1"/>
  <c r="Y14" i="3"/>
  <c r="G14" i="2"/>
  <c r="I14" i="2" s="1"/>
  <c r="J14" i="2" s="1"/>
  <c r="M14" i="2" s="1"/>
  <c r="J29" i="2"/>
  <c r="M29" i="2" s="1"/>
  <c r="J32" i="2"/>
  <c r="K32" i="2" s="1"/>
  <c r="F32" i="2"/>
  <c r="L32" i="2" s="1"/>
  <c r="M38" i="2"/>
  <c r="M42" i="2"/>
  <c r="K42" i="2"/>
  <c r="K45" i="2"/>
  <c r="L46" i="2"/>
  <c r="M47" i="2"/>
  <c r="P24" i="3"/>
  <c r="R24" i="3" s="1"/>
  <c r="Y24" i="3"/>
  <c r="G24" i="2"/>
  <c r="I24" i="2" s="1"/>
  <c r="T51" i="3"/>
  <c r="U51" i="3" s="1"/>
  <c r="P51" i="3"/>
  <c r="Y51" i="3"/>
  <c r="G51" i="2"/>
  <c r="I51" i="2" s="1"/>
  <c r="P16" i="3"/>
  <c r="Y16" i="3"/>
  <c r="G16" i="2"/>
  <c r="I16" i="2" s="1"/>
  <c r="J16" i="2" s="1"/>
  <c r="M16" i="2" s="1"/>
  <c r="J40" i="2"/>
  <c r="K40" i="2" s="1"/>
  <c r="F40" i="2"/>
  <c r="L40" i="2" s="1"/>
  <c r="J11" i="2"/>
  <c r="M11" i="2" s="1"/>
  <c r="M31" i="2"/>
  <c r="C10" i="1"/>
  <c r="J21" i="2"/>
  <c r="M21" i="2" s="1"/>
  <c r="J24" i="2"/>
  <c r="M24" i="2" s="1"/>
  <c r="F24" i="2"/>
  <c r="G25" i="2"/>
  <c r="I25" i="2" s="1"/>
  <c r="M46" i="2"/>
  <c r="Y18" i="3"/>
  <c r="G18" i="2"/>
  <c r="I18" i="2" s="1"/>
  <c r="J18" i="2" s="1"/>
  <c r="M18" i="2" s="1"/>
  <c r="P18" i="3"/>
  <c r="S18" i="3" s="1"/>
  <c r="Y23" i="3"/>
  <c r="T23" i="3"/>
  <c r="U23" i="3" s="1"/>
  <c r="P26" i="3"/>
  <c r="Y26" i="3"/>
  <c r="P33" i="3"/>
  <c r="Y33" i="3"/>
  <c r="P35" i="3"/>
  <c r="Y35" i="3"/>
  <c r="R10" i="3"/>
  <c r="T10" i="3" s="1"/>
  <c r="U10" i="3" s="1"/>
  <c r="S17" i="3"/>
  <c r="P23" i="3"/>
  <c r="T32" i="3"/>
  <c r="U32" i="3" s="1"/>
  <c r="P32" i="3"/>
  <c r="Y32" i="3"/>
  <c r="T38" i="3"/>
  <c r="U38" i="3" s="1"/>
  <c r="N41" i="3"/>
  <c r="O41" i="3" s="1"/>
  <c r="Y29" i="3"/>
  <c r="J20" i="2"/>
  <c r="M20" i="2" s="1"/>
  <c r="J28" i="2"/>
  <c r="M28" i="2" s="1"/>
  <c r="G35" i="2"/>
  <c r="I35" i="2" s="1"/>
  <c r="J35" i="2" s="1"/>
  <c r="M35" i="2" s="1"/>
  <c r="J36" i="2"/>
  <c r="M36" i="2" s="1"/>
  <c r="J44" i="2"/>
  <c r="M44" i="2" s="1"/>
  <c r="J52" i="2"/>
  <c r="M52" i="2" s="1"/>
  <c r="S10" i="3"/>
  <c r="R17" i="3"/>
  <c r="T17" i="3" s="1"/>
  <c r="U17" i="3" s="1"/>
  <c r="AA22" i="3"/>
  <c r="Z22" i="3"/>
  <c r="H22" i="2" s="1"/>
  <c r="P29" i="3"/>
  <c r="N34" i="3"/>
  <c r="O34" i="3" s="1"/>
  <c r="Y37" i="3"/>
  <c r="T40" i="3"/>
  <c r="U40" i="3" s="1"/>
  <c r="P40" i="3"/>
  <c r="Y40" i="3"/>
  <c r="T42" i="3"/>
  <c r="U42" i="3" s="1"/>
  <c r="P42" i="3"/>
  <c r="P43" i="3"/>
  <c r="P45" i="3"/>
  <c r="Y45" i="3"/>
  <c r="T45" i="3"/>
  <c r="U45" i="3" s="1"/>
  <c r="P47" i="3"/>
  <c r="Y47" i="3"/>
  <c r="Y52" i="3"/>
  <c r="P52" i="3"/>
  <c r="P54" i="3"/>
  <c r="R54" i="3" s="1"/>
  <c r="Y54" i="3"/>
  <c r="F13" i="2"/>
  <c r="J17" i="2"/>
  <c r="M17" i="2" s="1"/>
  <c r="F21" i="2"/>
  <c r="J25" i="2"/>
  <c r="M25" i="2" s="1"/>
  <c r="F29" i="2"/>
  <c r="J33" i="2"/>
  <c r="F37" i="2"/>
  <c r="M37" i="2" s="1"/>
  <c r="J41" i="2"/>
  <c r="F45" i="2"/>
  <c r="M45" i="2" s="1"/>
  <c r="J49" i="2"/>
  <c r="F53" i="2"/>
  <c r="Q58" i="3"/>
  <c r="R11" i="3"/>
  <c r="T11" i="3" s="1"/>
  <c r="U11" i="3" s="1"/>
  <c r="S21" i="3"/>
  <c r="P37" i="3"/>
  <c r="P46" i="3"/>
  <c r="Y46" i="3"/>
  <c r="T46" i="3"/>
  <c r="U46" i="3" s="1"/>
  <c r="N49" i="3"/>
  <c r="O49" i="3" s="1"/>
  <c r="G29" i="2"/>
  <c r="I29" i="2" s="1"/>
  <c r="Y43" i="3"/>
  <c r="T50" i="3"/>
  <c r="U50" i="3" s="1"/>
  <c r="P50" i="3"/>
  <c r="R50" i="3" s="1"/>
  <c r="G26" i="2"/>
  <c r="I26" i="2" s="1"/>
  <c r="J26" i="2" s="1"/>
  <c r="M26" i="2" s="1"/>
  <c r="K46" i="2"/>
  <c r="R13" i="3"/>
  <c r="P31" i="3"/>
  <c r="Y31" i="3"/>
  <c r="T33" i="3"/>
  <c r="U33" i="3" s="1"/>
  <c r="Y36" i="3"/>
  <c r="P36" i="3"/>
  <c r="P39" i="3"/>
  <c r="Y39" i="3"/>
  <c r="Y42" i="3"/>
  <c r="T55" i="3"/>
  <c r="U55" i="3" s="1"/>
  <c r="Y55" i="3"/>
  <c r="P55" i="3"/>
  <c r="G23" i="2"/>
  <c r="I23" i="2" s="1"/>
  <c r="K51" i="2"/>
  <c r="K58" i="3"/>
  <c r="R14" i="3"/>
  <c r="T14" i="3" s="1"/>
  <c r="U14" i="3" s="1"/>
  <c r="P27" i="3"/>
  <c r="Y27" i="3"/>
  <c r="S28" i="3"/>
  <c r="R28" i="3"/>
  <c r="T28" i="3" s="1"/>
  <c r="U28" i="3" s="1"/>
  <c r="Y44" i="3"/>
  <c r="T44" i="3"/>
  <c r="U44" i="3" s="1"/>
  <c r="Y50" i="3"/>
  <c r="N53" i="3"/>
  <c r="O53" i="3" s="1"/>
  <c r="M58" i="3"/>
  <c r="Y30" i="3"/>
  <c r="P30" i="3"/>
  <c r="S30" i="3" s="1"/>
  <c r="P48" i="3"/>
  <c r="R48" i="3" s="1"/>
  <c r="T48" i="3" s="1"/>
  <c r="U48" i="3" s="1"/>
  <c r="Y48" i="3"/>
  <c r="S44" i="3"/>
  <c r="S52" i="3"/>
  <c r="N57" i="3"/>
  <c r="O57" i="3" s="1"/>
  <c r="R30" i="3"/>
  <c r="S36" i="3"/>
  <c r="T36" i="3" s="1"/>
  <c r="U36" i="3" s="1"/>
  <c r="S50" i="3"/>
  <c r="R52" i="3"/>
  <c r="T52" i="3" s="1"/>
  <c r="U52" i="3" s="1"/>
  <c r="R22" i="3"/>
  <c r="T22" i="3" s="1"/>
  <c r="U22" i="3" s="1"/>
  <c r="S24" i="3"/>
  <c r="T24" i="3" s="1"/>
  <c r="U24" i="3" s="1"/>
  <c r="R36" i="3"/>
  <c r="Y28" i="3"/>
  <c r="Y38" i="3"/>
  <c r="S48" i="3"/>
  <c r="N56" i="3"/>
  <c r="O56" i="3" s="1"/>
  <c r="S26" i="3"/>
  <c r="R26" i="3"/>
  <c r="T26" i="3" s="1"/>
  <c r="U26" i="3" s="1"/>
  <c r="AB48" i="3" l="1"/>
  <c r="W48" i="3"/>
  <c r="V48" i="3"/>
  <c r="W10" i="3"/>
  <c r="V10" i="3"/>
  <c r="AB10" i="3"/>
  <c r="T30" i="3"/>
  <c r="U30" i="3" s="1"/>
  <c r="AB52" i="3"/>
  <c r="W52" i="3"/>
  <c r="V52" i="3"/>
  <c r="W11" i="3"/>
  <c r="V11" i="3"/>
  <c r="AB11" i="3"/>
  <c r="AB17" i="3"/>
  <c r="W17" i="3"/>
  <c r="V17" i="3"/>
  <c r="AB36" i="3"/>
  <c r="W36" i="3"/>
  <c r="V36" i="3"/>
  <c r="AB21" i="3"/>
  <c r="W21" i="3"/>
  <c r="V21" i="3"/>
  <c r="AB24" i="3"/>
  <c r="W24" i="3"/>
  <c r="V24" i="3"/>
  <c r="W26" i="3"/>
  <c r="AB26" i="3"/>
  <c r="V26" i="3"/>
  <c r="AB14" i="3"/>
  <c r="W14" i="3"/>
  <c r="V14" i="3"/>
  <c r="W45" i="3"/>
  <c r="AB45" i="3"/>
  <c r="V45" i="3"/>
  <c r="AB13" i="3"/>
  <c r="W13" i="3"/>
  <c r="V13" i="3"/>
  <c r="Z38" i="3"/>
  <c r="H38" i="2" s="1"/>
  <c r="AA38" i="3"/>
  <c r="AA44" i="3"/>
  <c r="Z44" i="3"/>
  <c r="H44" i="2" s="1"/>
  <c r="Z39" i="3"/>
  <c r="H39" i="2" s="1"/>
  <c r="AA39" i="3"/>
  <c r="AB32" i="3"/>
  <c r="W32" i="3"/>
  <c r="V32" i="3"/>
  <c r="AA14" i="3"/>
  <c r="Z14" i="3"/>
  <c r="H14" i="2" s="1"/>
  <c r="Z20" i="3"/>
  <c r="H20" i="2" s="1"/>
  <c r="AA20" i="3"/>
  <c r="AA48" i="3"/>
  <c r="Z48" i="3"/>
  <c r="H48" i="2" s="1"/>
  <c r="Z19" i="3"/>
  <c r="H19" i="2" s="1"/>
  <c r="AA19" i="3"/>
  <c r="T49" i="3"/>
  <c r="U49" i="3" s="1"/>
  <c r="P49" i="3"/>
  <c r="Y49" i="3"/>
  <c r="G49" i="2"/>
  <c r="I49" i="2" s="1"/>
  <c r="S43" i="3"/>
  <c r="R43" i="3"/>
  <c r="T43" i="3" s="1"/>
  <c r="U43" i="3" s="1"/>
  <c r="Z37" i="3"/>
  <c r="H37" i="2" s="1"/>
  <c r="AA37" i="3"/>
  <c r="AA18" i="3"/>
  <c r="Z18" i="3"/>
  <c r="H18" i="2" s="1"/>
  <c r="AA24" i="3"/>
  <c r="Z24" i="3"/>
  <c r="H24" i="2" s="1"/>
  <c r="W19" i="3"/>
  <c r="AB19" i="3"/>
  <c r="V19" i="3"/>
  <c r="AA13" i="3"/>
  <c r="Z13" i="3"/>
  <c r="H13" i="2" s="1"/>
  <c r="M33" i="2"/>
  <c r="K33" i="2"/>
  <c r="AB40" i="3"/>
  <c r="W40" i="3"/>
  <c r="V40" i="3"/>
  <c r="S54" i="3"/>
  <c r="T54" i="3" s="1"/>
  <c r="U54" i="3" s="1"/>
  <c r="AA28" i="3"/>
  <c r="Z28" i="3"/>
  <c r="H28" i="2" s="1"/>
  <c r="AB28" i="3"/>
  <c r="W28" i="3"/>
  <c r="V28" i="3"/>
  <c r="S39" i="3"/>
  <c r="R39" i="3"/>
  <c r="Y57" i="3"/>
  <c r="P57" i="3"/>
  <c r="G57" i="2"/>
  <c r="I57" i="2" s="1"/>
  <c r="J57" i="2" s="1"/>
  <c r="M57" i="2" s="1"/>
  <c r="W46" i="3"/>
  <c r="AB46" i="3"/>
  <c r="V46" i="3"/>
  <c r="Z52" i="3"/>
  <c r="H52" i="2" s="1"/>
  <c r="AA52" i="3"/>
  <c r="T34" i="3"/>
  <c r="U34" i="3" s="1"/>
  <c r="P34" i="3"/>
  <c r="Y34" i="3"/>
  <c r="G34" i="2"/>
  <c r="I34" i="2" s="1"/>
  <c r="R18" i="3"/>
  <c r="T18" i="3" s="1"/>
  <c r="U18" i="3" s="1"/>
  <c r="AA26" i="3"/>
  <c r="Z26" i="3"/>
  <c r="H26" i="2" s="1"/>
  <c r="Z16" i="3"/>
  <c r="H16" i="2" s="1"/>
  <c r="AA16" i="3"/>
  <c r="G8" i="2"/>
  <c r="I8" i="2" s="1"/>
  <c r="J8" i="2" s="1"/>
  <c r="M8" i="2" s="1"/>
  <c r="P8" i="3"/>
  <c r="C6" i="1" s="1"/>
  <c r="Y8" i="3"/>
  <c r="AA10" i="3"/>
  <c r="Z10" i="3"/>
  <c r="H10" i="2" s="1"/>
  <c r="Z21" i="3"/>
  <c r="H21" i="2" s="1"/>
  <c r="AA21" i="3"/>
  <c r="P9" i="3"/>
  <c r="Y9" i="3"/>
  <c r="G9" i="2"/>
  <c r="I9" i="2" s="1"/>
  <c r="J9" i="2" s="1"/>
  <c r="M9" i="2" s="1"/>
  <c r="AA15" i="3"/>
  <c r="Z15" i="3"/>
  <c r="H15" i="2" s="1"/>
  <c r="Z31" i="3"/>
  <c r="H31" i="2" s="1"/>
  <c r="AA31" i="3"/>
  <c r="S35" i="3"/>
  <c r="R35" i="3"/>
  <c r="T35" i="3" s="1"/>
  <c r="U35" i="3" s="1"/>
  <c r="G12" i="2"/>
  <c r="I12" i="2" s="1"/>
  <c r="J12" i="2" s="1"/>
  <c r="M12" i="2" s="1"/>
  <c r="P12" i="3"/>
  <c r="Y12" i="3"/>
  <c r="S20" i="3"/>
  <c r="R20" i="3"/>
  <c r="AB44" i="3"/>
  <c r="W44" i="3"/>
  <c r="V44" i="3"/>
  <c r="S31" i="3"/>
  <c r="R31" i="3"/>
  <c r="T31" i="3" s="1"/>
  <c r="U31" i="3" s="1"/>
  <c r="Z43" i="3"/>
  <c r="H43" i="2" s="1"/>
  <c r="AA43" i="3"/>
  <c r="M40" i="2"/>
  <c r="M49" i="2"/>
  <c r="K49" i="2"/>
  <c r="S29" i="3"/>
  <c r="R29" i="3"/>
  <c r="T29" i="3" s="1"/>
  <c r="U29" i="3" s="1"/>
  <c r="Z29" i="3"/>
  <c r="H29" i="2" s="1"/>
  <c r="AA29" i="3"/>
  <c r="S16" i="3"/>
  <c r="R16" i="3"/>
  <c r="T16" i="3" s="1"/>
  <c r="U16" i="3" s="1"/>
  <c r="S7" i="3"/>
  <c r="R7" i="3"/>
  <c r="P56" i="3"/>
  <c r="G56" i="2"/>
  <c r="I56" i="2" s="1"/>
  <c r="J56" i="2" s="1"/>
  <c r="M56" i="2" s="1"/>
  <c r="Y56" i="3"/>
  <c r="Z50" i="3"/>
  <c r="H50" i="2" s="1"/>
  <c r="AA50" i="3"/>
  <c r="W50" i="3"/>
  <c r="AB50" i="3"/>
  <c r="V50" i="3"/>
  <c r="AA54" i="3"/>
  <c r="Z54" i="3"/>
  <c r="H54" i="2" s="1"/>
  <c r="AB51" i="3"/>
  <c r="W51" i="3"/>
  <c r="V51" i="3"/>
  <c r="AA30" i="3"/>
  <c r="Z30" i="3"/>
  <c r="H30" i="2" s="1"/>
  <c r="AB22" i="3"/>
  <c r="W22" i="3"/>
  <c r="V22" i="3"/>
  <c r="Z27" i="3"/>
  <c r="H27" i="2" s="1"/>
  <c r="AA27" i="3"/>
  <c r="AA36" i="3"/>
  <c r="Z36" i="3"/>
  <c r="H36" i="2" s="1"/>
  <c r="Z47" i="3"/>
  <c r="H47" i="2" s="1"/>
  <c r="AA47" i="3"/>
  <c r="W42" i="3"/>
  <c r="AB42" i="3"/>
  <c r="V42" i="3"/>
  <c r="T41" i="3"/>
  <c r="U41" i="3" s="1"/>
  <c r="P41" i="3"/>
  <c r="Y41" i="3"/>
  <c r="G41" i="2"/>
  <c r="I41" i="2" s="1"/>
  <c r="V23" i="3"/>
  <c r="W23" i="3"/>
  <c r="AB23" i="3"/>
  <c r="M32" i="2"/>
  <c r="L45" i="2"/>
  <c r="AA7" i="3"/>
  <c r="Z7" i="3"/>
  <c r="Z25" i="3"/>
  <c r="H25" i="2" s="1"/>
  <c r="AA25" i="3"/>
  <c r="S15" i="3"/>
  <c r="R15" i="3"/>
  <c r="T15" i="3" s="1"/>
  <c r="U15" i="3" s="1"/>
  <c r="AA11" i="3"/>
  <c r="Z11" i="3"/>
  <c r="H11" i="2" s="1"/>
  <c r="P53" i="3"/>
  <c r="Y53" i="3"/>
  <c r="G53" i="2"/>
  <c r="I53" i="2" s="1"/>
  <c r="J53" i="2" s="1"/>
  <c r="M53" i="2" s="1"/>
  <c r="S27" i="3"/>
  <c r="R27" i="3"/>
  <c r="T27" i="3" s="1"/>
  <c r="U27" i="3" s="1"/>
  <c r="AB55" i="3"/>
  <c r="W55" i="3"/>
  <c r="V55" i="3"/>
  <c r="W33" i="3"/>
  <c r="AB33" i="3"/>
  <c r="V33" i="3"/>
  <c r="S37" i="3"/>
  <c r="R37" i="3"/>
  <c r="T37" i="3" s="1"/>
  <c r="U37" i="3" s="1"/>
  <c r="M41" i="2"/>
  <c r="K41" i="2"/>
  <c r="S47" i="3"/>
  <c r="R47" i="3"/>
  <c r="T47" i="3" s="1"/>
  <c r="U47" i="3" s="1"/>
  <c r="L22" i="2"/>
  <c r="K22" i="2"/>
  <c r="W38" i="3"/>
  <c r="AB38" i="3"/>
  <c r="V38" i="3"/>
  <c r="Z35" i="3"/>
  <c r="H35" i="2" s="1"/>
  <c r="AA35" i="3"/>
  <c r="Z17" i="3"/>
  <c r="H17" i="2" s="1"/>
  <c r="AA17" i="3"/>
  <c r="J58" i="2"/>
  <c r="M7" i="2"/>
  <c r="S25" i="3"/>
  <c r="R25" i="3"/>
  <c r="T25" i="3" s="1"/>
  <c r="U25" i="3" s="1"/>
  <c r="W54" i="3" l="1"/>
  <c r="AB54" i="3"/>
  <c r="V54" i="3"/>
  <c r="AF24" i="3"/>
  <c r="V31" i="3"/>
  <c r="AB31" i="3"/>
  <c r="W31" i="3"/>
  <c r="K16" i="2"/>
  <c r="L16" i="2"/>
  <c r="AC19" i="3"/>
  <c r="AD19" i="3"/>
  <c r="AF19" i="3" s="1"/>
  <c r="W29" i="3"/>
  <c r="V29" i="3"/>
  <c r="AB29" i="3"/>
  <c r="Z12" i="3"/>
  <c r="H12" i="2" s="1"/>
  <c r="AA12" i="3"/>
  <c r="L15" i="2"/>
  <c r="K15" i="2"/>
  <c r="L26" i="2"/>
  <c r="K26" i="2"/>
  <c r="S57" i="3"/>
  <c r="R57" i="3"/>
  <c r="T57" i="3" s="1"/>
  <c r="U57" i="3" s="1"/>
  <c r="AD28" i="3"/>
  <c r="AF28" i="3" s="1"/>
  <c r="AC28" i="3"/>
  <c r="AE28" i="3" s="1"/>
  <c r="K48" i="2"/>
  <c r="L48" i="2"/>
  <c r="AD45" i="3"/>
  <c r="AF45" i="3" s="1"/>
  <c r="AC45" i="3"/>
  <c r="AE45" i="3" s="1"/>
  <c r="S12" i="3"/>
  <c r="R12" i="3"/>
  <c r="T12" i="3" s="1"/>
  <c r="U12" i="3" s="1"/>
  <c r="AA57" i="3"/>
  <c r="Z57" i="3"/>
  <c r="H57" i="2" s="1"/>
  <c r="L28" i="2"/>
  <c r="K28" i="2"/>
  <c r="AD17" i="3"/>
  <c r="AF17" i="3" s="1"/>
  <c r="AC17" i="3"/>
  <c r="L29" i="2"/>
  <c r="K29" i="2"/>
  <c r="L31" i="2"/>
  <c r="K31" i="2"/>
  <c r="S53" i="3"/>
  <c r="R53" i="3"/>
  <c r="T53" i="3" s="1"/>
  <c r="U53" i="3" s="1"/>
  <c r="AD50" i="3"/>
  <c r="AF50" i="3" s="1"/>
  <c r="AC50" i="3"/>
  <c r="L10" i="2"/>
  <c r="K10" i="2"/>
  <c r="L52" i="2"/>
  <c r="K52" i="2"/>
  <c r="AD40" i="3"/>
  <c r="AF40" i="3" s="1"/>
  <c r="AC40" i="3"/>
  <c r="AE40" i="3" s="1"/>
  <c r="AB43" i="3"/>
  <c r="W43" i="3"/>
  <c r="V43" i="3"/>
  <c r="L38" i="2"/>
  <c r="K38" i="2"/>
  <c r="L17" i="2"/>
  <c r="K17" i="2"/>
  <c r="L11" i="2"/>
  <c r="K11" i="2"/>
  <c r="Y58" i="3"/>
  <c r="AD33" i="3"/>
  <c r="AF33" i="3" s="1"/>
  <c r="AC33" i="3"/>
  <c r="AE33" i="3" s="1"/>
  <c r="AC55" i="3"/>
  <c r="AE55" i="3" s="1"/>
  <c r="AD55" i="3"/>
  <c r="AF55" i="3" s="1"/>
  <c r="T7" i="3"/>
  <c r="AA8" i="3"/>
  <c r="AA58" i="3" s="1"/>
  <c r="Z8" i="3"/>
  <c r="H8" i="2" s="1"/>
  <c r="W18" i="3"/>
  <c r="AB18" i="3"/>
  <c r="V18" i="3"/>
  <c r="T39" i="3"/>
  <c r="U39" i="3" s="1"/>
  <c r="K24" i="2"/>
  <c r="L24" i="2"/>
  <c r="AD32" i="3"/>
  <c r="AF32" i="3" s="1"/>
  <c r="AC32" i="3"/>
  <c r="AE32" i="3" s="1"/>
  <c r="AD26" i="3"/>
  <c r="AF26" i="3" s="1"/>
  <c r="AC26" i="3"/>
  <c r="AE26" i="3" s="1"/>
  <c r="AD24" i="3"/>
  <c r="AC24" i="3"/>
  <c r="AE24" i="3" s="1"/>
  <c r="AC11" i="3"/>
  <c r="AE11" i="3" s="1"/>
  <c r="AD11" i="3"/>
  <c r="AF11" i="3" s="1"/>
  <c r="Z58" i="3"/>
  <c r="H7" i="2"/>
  <c r="L21" i="2"/>
  <c r="K21" i="2"/>
  <c r="AD21" i="3"/>
  <c r="AF21" i="3" s="1"/>
  <c r="AC21" i="3"/>
  <c r="AB27" i="3"/>
  <c r="W27" i="3"/>
  <c r="V27" i="3"/>
  <c r="AD51" i="3"/>
  <c r="AF51" i="3" s="1"/>
  <c r="AC51" i="3"/>
  <c r="AE51" i="3" s="1"/>
  <c r="AD52" i="3"/>
  <c r="AF52" i="3" s="1"/>
  <c r="AC52" i="3"/>
  <c r="AE52" i="3" s="1"/>
  <c r="AD23" i="3"/>
  <c r="AF23" i="3" s="1"/>
  <c r="AC23" i="3"/>
  <c r="AE23" i="3" s="1"/>
  <c r="L54" i="2"/>
  <c r="K54" i="2"/>
  <c r="V16" i="3"/>
  <c r="W16" i="3"/>
  <c r="AB16" i="3"/>
  <c r="AB35" i="3"/>
  <c r="W35" i="3"/>
  <c r="V35" i="3"/>
  <c r="AA9" i="3"/>
  <c r="Z9" i="3"/>
  <c r="H9" i="2" s="1"/>
  <c r="L18" i="2"/>
  <c r="K18" i="2"/>
  <c r="L14" i="2"/>
  <c r="K14" i="2"/>
  <c r="L39" i="2"/>
  <c r="K39" i="2"/>
  <c r="AD36" i="3"/>
  <c r="AF36" i="3" s="1"/>
  <c r="AC36" i="3"/>
  <c r="AE36" i="3" s="1"/>
  <c r="W30" i="3"/>
  <c r="AB30" i="3"/>
  <c r="V30" i="3"/>
  <c r="W37" i="3"/>
  <c r="V37" i="3"/>
  <c r="AB37" i="3"/>
  <c r="Z53" i="3"/>
  <c r="H53" i="2" s="1"/>
  <c r="AA53" i="3"/>
  <c r="AD42" i="3"/>
  <c r="AF42" i="3" s="1"/>
  <c r="AC42" i="3"/>
  <c r="AE42" i="3" s="1"/>
  <c r="R56" i="3"/>
  <c r="S56" i="3"/>
  <c r="L37" i="2"/>
  <c r="K37" i="2"/>
  <c r="L35" i="2"/>
  <c r="K35" i="2"/>
  <c r="L47" i="2"/>
  <c r="K47" i="2"/>
  <c r="AC46" i="3"/>
  <c r="AE46" i="3" s="1"/>
  <c r="AD46" i="3"/>
  <c r="AF46" i="3" s="1"/>
  <c r="L13" i="2"/>
  <c r="K13" i="2"/>
  <c r="AB25" i="3"/>
  <c r="V25" i="3"/>
  <c r="W25" i="3"/>
  <c r="L36" i="2"/>
  <c r="K36" i="2"/>
  <c r="L50" i="2"/>
  <c r="K50" i="2"/>
  <c r="L30" i="2"/>
  <c r="K30" i="2"/>
  <c r="AA56" i="3"/>
  <c r="Z56" i="3"/>
  <c r="H56" i="2" s="1"/>
  <c r="AD44" i="3"/>
  <c r="AF44" i="3" s="1"/>
  <c r="AC44" i="3"/>
  <c r="AE44" i="3" s="1"/>
  <c r="R9" i="3"/>
  <c r="S9" i="3"/>
  <c r="W49" i="3"/>
  <c r="V49" i="3"/>
  <c r="AB49" i="3"/>
  <c r="L44" i="2"/>
  <c r="K44" i="2"/>
  <c r="AD13" i="3"/>
  <c r="AF13" i="3" s="1"/>
  <c r="AC13" i="3"/>
  <c r="AE17" i="3"/>
  <c r="AD10" i="3"/>
  <c r="AF10" i="3" s="1"/>
  <c r="AC10" i="3"/>
  <c r="F63" i="2"/>
  <c r="F65" i="2"/>
  <c r="L27" i="2"/>
  <c r="K27" i="2"/>
  <c r="L19" i="2"/>
  <c r="K19" i="2"/>
  <c r="AB47" i="3"/>
  <c r="W47" i="3"/>
  <c r="V47" i="3"/>
  <c r="W15" i="3"/>
  <c r="AB15" i="3"/>
  <c r="V15" i="3"/>
  <c r="S8" i="3"/>
  <c r="R8" i="3"/>
  <c r="T8" i="3" s="1"/>
  <c r="U8" i="3" s="1"/>
  <c r="L20" i="2"/>
  <c r="K20" i="2"/>
  <c r="AE13" i="3"/>
  <c r="AE21" i="3"/>
  <c r="AE48" i="3"/>
  <c r="W41" i="3"/>
  <c r="V41" i="3"/>
  <c r="AB41" i="3"/>
  <c r="AD22" i="3"/>
  <c r="AF22" i="3" s="1"/>
  <c r="AC22" i="3"/>
  <c r="AE22" i="3" s="1"/>
  <c r="M58" i="2"/>
  <c r="AC38" i="3"/>
  <c r="AE38" i="3" s="1"/>
  <c r="AD38" i="3"/>
  <c r="AF38" i="3" s="1"/>
  <c r="L25" i="2"/>
  <c r="K25" i="2"/>
  <c r="AE50" i="3"/>
  <c r="L43" i="2"/>
  <c r="K43" i="2"/>
  <c r="T20" i="3"/>
  <c r="U20" i="3" s="1"/>
  <c r="W34" i="3"/>
  <c r="AB34" i="3"/>
  <c r="V34" i="3"/>
  <c r="AE19" i="3"/>
  <c r="AD14" i="3"/>
  <c r="AF14" i="3" s="1"/>
  <c r="AC14" i="3"/>
  <c r="AE14" i="3" s="1"/>
  <c r="AE10" i="3"/>
  <c r="AD48" i="3"/>
  <c r="AF48" i="3" s="1"/>
  <c r="AC48" i="3"/>
  <c r="L12" i="2" l="1"/>
  <c r="K12" i="2"/>
  <c r="AD49" i="3"/>
  <c r="AF49" i="3" s="1"/>
  <c r="AC49" i="3"/>
  <c r="AE49" i="3" s="1"/>
  <c r="AD27" i="3"/>
  <c r="AF27" i="3" s="1"/>
  <c r="AC27" i="3"/>
  <c r="AE27" i="3" s="1"/>
  <c r="W57" i="3"/>
  <c r="V57" i="3"/>
  <c r="AB57" i="3"/>
  <c r="AD29" i="3"/>
  <c r="AF29" i="3" s="1"/>
  <c r="AC29" i="3"/>
  <c r="AE29" i="3" s="1"/>
  <c r="W20" i="3"/>
  <c r="V20" i="3"/>
  <c r="AB20" i="3"/>
  <c r="K56" i="2"/>
  <c r="L56" i="2"/>
  <c r="T56" i="3"/>
  <c r="U56" i="3" s="1"/>
  <c r="K8" i="2"/>
  <c r="L8" i="2"/>
  <c r="AD47" i="3"/>
  <c r="AF47" i="3" s="1"/>
  <c r="AC47" i="3"/>
  <c r="AE47" i="3" s="1"/>
  <c r="AB39" i="3"/>
  <c r="W39" i="3"/>
  <c r="V39" i="3"/>
  <c r="U7" i="3"/>
  <c r="AD43" i="3"/>
  <c r="AF43" i="3" s="1"/>
  <c r="AC43" i="3"/>
  <c r="AE43" i="3" s="1"/>
  <c r="V12" i="3"/>
  <c r="AB12" i="3"/>
  <c r="W12" i="3"/>
  <c r="W53" i="3"/>
  <c r="AB53" i="3"/>
  <c r="V53" i="3"/>
  <c r="AD54" i="3"/>
  <c r="AF54" i="3" s="1"/>
  <c r="AC54" i="3"/>
  <c r="AE54" i="3" s="1"/>
  <c r="L9" i="2"/>
  <c r="K9" i="2"/>
  <c r="AC15" i="3"/>
  <c r="AE15" i="3" s="1"/>
  <c r="AD15" i="3"/>
  <c r="AF15" i="3" s="1"/>
  <c r="AD25" i="3"/>
  <c r="AF25" i="3" s="1"/>
  <c r="AC25" i="3"/>
  <c r="AE25" i="3" s="1"/>
  <c r="AD31" i="3"/>
  <c r="AF31" i="3" s="1"/>
  <c r="AC31" i="3"/>
  <c r="AE31" i="3" s="1"/>
  <c r="AD16" i="3"/>
  <c r="AF16" i="3" s="1"/>
  <c r="AC16" i="3"/>
  <c r="AE16" i="3" s="1"/>
  <c r="AD41" i="3"/>
  <c r="AF41" i="3" s="1"/>
  <c r="AC41" i="3"/>
  <c r="AE41" i="3" s="1"/>
  <c r="L53" i="2"/>
  <c r="K53" i="2"/>
  <c r="AD30" i="3"/>
  <c r="AF30" i="3" s="1"/>
  <c r="AC30" i="3"/>
  <c r="AE30" i="3" s="1"/>
  <c r="C18" i="1"/>
  <c r="AD18" i="3"/>
  <c r="AF18" i="3" s="1"/>
  <c r="AC18" i="3"/>
  <c r="AE18" i="3" s="1"/>
  <c r="L57" i="2"/>
  <c r="K57" i="2"/>
  <c r="W8" i="3"/>
  <c r="V8" i="3"/>
  <c r="AB8" i="3"/>
  <c r="AD34" i="3"/>
  <c r="AF34" i="3" s="1"/>
  <c r="AC34" i="3"/>
  <c r="AE34" i="3" s="1"/>
  <c r="T9" i="3"/>
  <c r="U9" i="3" s="1"/>
  <c r="AD37" i="3"/>
  <c r="AF37" i="3" s="1"/>
  <c r="AC37" i="3"/>
  <c r="AE37" i="3" s="1"/>
  <c r="AD35" i="3"/>
  <c r="AF35" i="3" s="1"/>
  <c r="AC35" i="3"/>
  <c r="AE35" i="3" s="1"/>
  <c r="L7" i="2"/>
  <c r="K7" i="2"/>
  <c r="H58" i="2"/>
  <c r="T58" i="3" l="1"/>
  <c r="AD12" i="3"/>
  <c r="AF12" i="3" s="1"/>
  <c r="AC12" i="3"/>
  <c r="AE12" i="3" s="1"/>
  <c r="U58" i="3"/>
  <c r="AB7" i="3"/>
  <c r="W7" i="3"/>
  <c r="C11" i="1"/>
  <c r="C12" i="1" s="1"/>
  <c r="C13" i="1" s="1"/>
  <c r="V7" i="3"/>
  <c r="V56" i="3"/>
  <c r="AB56" i="3"/>
  <c r="W56" i="3"/>
  <c r="F62" i="2"/>
  <c r="F67" i="2"/>
  <c r="F66" i="2"/>
  <c r="F64" i="2"/>
  <c r="AD57" i="3"/>
  <c r="AF57" i="3" s="1"/>
  <c r="AC57" i="3"/>
  <c r="AE57" i="3" s="1"/>
  <c r="AB9" i="3"/>
  <c r="W9" i="3"/>
  <c r="V9" i="3"/>
  <c r="AD53" i="3"/>
  <c r="AF53" i="3" s="1"/>
  <c r="AC53" i="3"/>
  <c r="AE53" i="3" s="1"/>
  <c r="AD39" i="3"/>
  <c r="AF39" i="3" s="1"/>
  <c r="AC39" i="3"/>
  <c r="AE39" i="3" s="1"/>
  <c r="AD20" i="3"/>
  <c r="AF20" i="3" s="1"/>
  <c r="AC20" i="3"/>
  <c r="AE20" i="3" s="1"/>
  <c r="K58" i="2"/>
  <c r="L58" i="2"/>
  <c r="AD8" i="3"/>
  <c r="AF8" i="3" s="1"/>
  <c r="AC8" i="3"/>
  <c r="AE8" i="3" s="1"/>
  <c r="W58" i="3" l="1"/>
  <c r="AC9" i="3"/>
  <c r="AE9" i="3" s="1"/>
  <c r="AD9" i="3"/>
  <c r="AF9" i="3" s="1"/>
  <c r="AD56" i="3"/>
  <c r="AF56" i="3" s="1"/>
  <c r="AC56" i="3"/>
  <c r="AE56" i="3" s="1"/>
  <c r="AD7" i="3"/>
  <c r="C21" i="1"/>
  <c r="AC7" i="3"/>
  <c r="C7" i="1"/>
  <c r="AC58" i="3" l="1"/>
  <c r="C19" i="1"/>
  <c r="AE7" i="3"/>
  <c r="AE58" i="3" s="1"/>
  <c r="AD58" i="3"/>
  <c r="C14" i="1"/>
  <c r="AF7" i="3"/>
  <c r="AF58" i="3" l="1"/>
  <c r="C15" i="1"/>
</calcChain>
</file>

<file path=xl/sharedStrings.xml><?xml version="1.0" encoding="utf-8"?>
<sst xmlns="http://schemas.openxmlformats.org/spreadsheetml/2006/main" count="377" uniqueCount="218">
  <si>
    <t>COMPLIANCE SUMMARY — Trans Concrete Pvt Ltd, Rajarhat</t>
  </si>
  <si>
    <t>Headcount &amp; Basic-Wage Compliance</t>
  </si>
  <si>
    <t>Total Employees</t>
  </si>
  <si>
    <t>Employees whose Basic was below Minimum Wage / 50%-rule (now raised)</t>
  </si>
  <si>
    <t>Employees whose total monthly Gross had to increase</t>
  </si>
  <si>
    <t>Monthly Cost Impact</t>
  </si>
  <si>
    <t>Total Original Monthly Gross (all employees)</t>
  </si>
  <si>
    <t>Total Revised Monthly Gross (all employees)</t>
  </si>
  <si>
    <t>Net Additional Monthly Cost (Gross only)</t>
  </si>
  <si>
    <t>Net Additional ANNUAL Cost (Gross only)</t>
  </si>
  <si>
    <t>Total Employer PF + ESI Contribution (Monthly)</t>
  </si>
  <si>
    <t>Total Monthly Cost to Company (Gross + Employer PF + ESI)</t>
  </si>
  <si>
    <t>Statutory Deductions (Monthly)</t>
  </si>
  <si>
    <t>Total Employee PF Deduction</t>
  </si>
  <si>
    <t>Total Employee ESI Deduction</t>
  </si>
  <si>
    <t>Employees Covered under PF</t>
  </si>
  <si>
    <t>Employees Covered under ESI</t>
  </si>
  <si>
    <t>Legal Basis Used (verify with your labour consultant)</t>
  </si>
  <si>
    <t>1. Minimum Wages: WB Zone A rates from your 'Min Wages' sheet — Basic is floored at the mapped skill level's rate.</t>
  </si>
  <si>
    <t>2. 'Wages' definition (Code on Wages 2019, in force since 21-Nov-2025): Basic+DA must be ≥ 50% of total remuneration;</t>
  </si>
  <si>
    <t xml:space="preserve">   the excess of excluded allowances (HRA, Food, etc.) over 50% is added back as 'wages' for PF/gratuity — implemented</t>
  </si>
  <si>
    <t xml:space="preserve">   here by flooring Basic at 50% of Gross.</t>
  </si>
  <si>
    <t>3. EPF wage ceiling for MANDATORY coverage remains ₹15,000/month (EPF Scheme 2026) — this sheet follows the plant's</t>
  </si>
  <si>
    <t xml:space="preserve">   existing practice of contributing PF on full/actual Basic (not capped), except employees flagged 'N' (pre-existing</t>
  </si>
  <si>
    <t xml:space="preserve">   PF-excluded joinees) — review this list with your PF consultant.</t>
  </si>
  <si>
    <t>4. ESI wage ceiling remains ₹21,000/month gross — unchanged. ESI rates: Employee 0.75%, Employer 3.25% of gross wages.</t>
  </si>
  <si>
    <t>5. West Bengal STATE rules under the 4 Labour Codes were NOT YET notified as of Aug 2026 (Central Codes/rules apply);</t>
  </si>
  <si>
    <t xml:space="preserve">   confirm current status before finalising, as WB rules may be notified and could add further requirements.</t>
  </si>
  <si>
    <t>DISCLAIMER: This is a calculation tool, not legal advice. Skill-level mapping, minimum-wage rates, and the PF-exclusion list are assumptions that must be verified against current gazette notifications and your specific facts by a qualified labour-law consultant / CA before running live payroll.</t>
  </si>
  <si>
    <t>PF CAPPING COMPARISON — Old Sheet vs New (Uncapped) vs New (Capped at ₹15,000 ceiling)</t>
  </si>
  <si>
    <t>PF amounts shown are PER SIDE (Employee deduction = Employer contribution, both at 12% of the same wage base in this model). 'Capped' means PF is calculated only on the first ₹15,000 of Basic — the statutory MANDATORY minimum — instead of full/actual Basic. This is a legally valid option; contributing on full Basic (uncapped) is this employer's own past practice, not a legal requirement above ₹15,000.</t>
  </si>
  <si>
    <t>SL
NO</t>
  </si>
  <si>
    <t>NAME</t>
  </si>
  <si>
    <t>CATEGORY</t>
  </si>
  <si>
    <t>PF
Applic.</t>
  </si>
  <si>
    <t>Old
Basic</t>
  </si>
  <si>
    <t>Old PF
(per side)</t>
  </si>
  <si>
    <t>New Basic
(Uncapped)</t>
  </si>
  <si>
    <t>New PF
Uncapped (per side)</t>
  </si>
  <si>
    <t>New Basic
Capped @15K</t>
  </si>
  <si>
    <t>New PF
Capped (per side)</t>
  </si>
  <si>
    <t>Savings if Capped
vs Uncapped (per side)</t>
  </si>
  <si>
    <t>Extra vs OLD
if Uncapped (per side)</t>
  </si>
  <si>
    <t>Extra vs OLD
if Capped (per side)</t>
  </si>
  <si>
    <t>TOTAL (per side)</t>
  </si>
  <si>
    <t>Company-wide Impact Summary (Employer side = same as Employee side above)</t>
  </si>
  <si>
    <t>Total Monthly PF — OLD sheet (per side)</t>
  </si>
  <si>
    <t>Total Monthly PF — NEW, Uncapped (per side)</t>
  </si>
  <si>
    <t>Total Monthly PF — NEW, Capped @ ₹15,000 (per side)</t>
  </si>
  <si>
    <t>Extra Employer PF Cost — Uncapped vs OLD (monthly)</t>
  </si>
  <si>
    <t>Extra Employer PF Cost — Capped vs OLD (monthly)</t>
  </si>
  <si>
    <t>Cost SAVED by Capping (vs staying Uncapped), monthly</t>
  </si>
  <si>
    <t>Cost SAVED by Capping (vs staying Uncapped), ANNUAL</t>
  </si>
  <si>
    <t>Note: Capping at ₹15,000 reduces the EMPLOYEE's own PF savings too (smaller retirement corpus build-up) — this is a cost-vs-benefit trade-off for the employee, not just a company saving. Discuss with employees/HR before changing an existing higher-wage PF practice, as reducing an employee's PF base can face resistance and, for existing members already contributing above ₹15,000, may not be permitted to be reduced unilaterally.</t>
  </si>
  <si>
    <t>TRANS CONCRETE PVT LTD — RAJARHAT — WB LABOUR-CODE COMPLIANT SALARY SHEET (July 2026)</t>
  </si>
  <si>
    <t>Logic: (1) Basic is raised to at least the WB minimum wage for the mapped skill level. (2) Basic is raised to at least 50% of Gross (Code on Wages 'wage' definition, in force since 21-Nov-2025) by re-allocating from HRA/Food first; Gross rises only if HRA+Food cannot fully absorb the required increase. (3) PF &amp; ESI recomputed on the revised figures. Yellow cells are editable.</t>
  </si>
  <si>
    <t>EMP
CODE</t>
  </si>
  <si>
    <t>LOCATION</t>
  </si>
  <si>
    <t>SKILL
LEVEL</t>
  </si>
  <si>
    <t>MIN WAGE
(₹/month)</t>
  </si>
  <si>
    <t>Orig
Basic</t>
  </si>
  <si>
    <t>Orig
HRA</t>
  </si>
  <si>
    <t>Orig
Food</t>
  </si>
  <si>
    <t>Orig
Total</t>
  </si>
  <si>
    <t>Perf.
Bonus</t>
  </si>
  <si>
    <t>Orig
Gross</t>
  </si>
  <si>
    <t>Required
Basic</t>
  </si>
  <si>
    <t>NEW
BASIC</t>
  </si>
  <si>
    <t>Basic
Shortfall</t>
  </si>
  <si>
    <t>HRA+Food
Available</t>
  </si>
  <si>
    <t>NEW
HRA</t>
  </si>
  <si>
    <t>NEW
Food</t>
  </si>
  <si>
    <t>NEW
Total</t>
  </si>
  <si>
    <t>NEW
GROSS</t>
  </si>
  <si>
    <t>Gross
Increased?</t>
  </si>
  <si>
    <t>Increase
Amount</t>
  </si>
  <si>
    <t>PF
Applicable</t>
  </si>
  <si>
    <t>PF Wage
Base</t>
  </si>
  <si>
    <t>PF
Employee(12%)</t>
  </si>
  <si>
    <t>PF
Employer(12%)</t>
  </si>
  <si>
    <t>ESI
Applicable</t>
  </si>
  <si>
    <t>ESI
Employee(0.75%)</t>
  </si>
  <si>
    <t>ESI
Employer(3.25%)</t>
  </si>
  <si>
    <t>NET PAY
(Employee)</t>
  </si>
  <si>
    <t>TOTAL COST
TO COMPANY</t>
  </si>
  <si>
    <t>TC 0005</t>
  </si>
  <si>
    <t>RAJARHAT</t>
  </si>
  <si>
    <t>OFFICE STAFF</t>
  </si>
  <si>
    <t>ABED ALI</t>
  </si>
  <si>
    <t>Y</t>
  </si>
  <si>
    <t>TC 0003</t>
  </si>
  <si>
    <t>ABHI MUKHERJEE</t>
  </si>
  <si>
    <t>TC 0001</t>
  </si>
  <si>
    <t>ACHIN GUPTA</t>
  </si>
  <si>
    <t>TC 0006</t>
  </si>
  <si>
    <t>AMIN YADAV (BADRI)</t>
  </si>
  <si>
    <t>TC 0185</t>
  </si>
  <si>
    <t>ANOWAR MOLLA</t>
  </si>
  <si>
    <t>TC 0260</t>
  </si>
  <si>
    <t>DIBAKAR MONDAL</t>
  </si>
  <si>
    <t>TC 0122</t>
  </si>
  <si>
    <t xml:space="preserve">GOLAM SARWAR </t>
  </si>
  <si>
    <t>TC 0205</t>
  </si>
  <si>
    <t>IMAN ALI MOLLA</t>
  </si>
  <si>
    <t>TC 0024</t>
  </si>
  <si>
    <t>PULIN MONDAL</t>
  </si>
  <si>
    <t>TC 0040</t>
  </si>
  <si>
    <t>RAJU PAL</t>
  </si>
  <si>
    <t>TC 0032</t>
  </si>
  <si>
    <t>UJJAL MUKHERJEE</t>
  </si>
  <si>
    <t>TC 0271</t>
  </si>
  <si>
    <t>PROBIR GHOSH (O)</t>
  </si>
  <si>
    <t>TC 0367</t>
  </si>
  <si>
    <t>NABA KUMAR  BISWAS</t>
  </si>
  <si>
    <t>TC 0213</t>
  </si>
  <si>
    <t>ASIM KHUNTIA</t>
  </si>
  <si>
    <t>TC 0398</t>
  </si>
  <si>
    <t>MANABINDU BISWAS</t>
  </si>
  <si>
    <t>TC 0411</t>
  </si>
  <si>
    <t>SUVANKAR SAMADDAR</t>
  </si>
  <si>
    <t>TC 0179</t>
  </si>
  <si>
    <t>DRIVER</t>
  </si>
  <si>
    <t xml:space="preserve">ANISUR </t>
  </si>
  <si>
    <t>N</t>
  </si>
  <si>
    <t>TC 0047</t>
  </si>
  <si>
    <t>ARJUN KR. RAI</t>
  </si>
  <si>
    <t>TC 0074</t>
  </si>
  <si>
    <t xml:space="preserve">ARMAN ALI MONDAL </t>
  </si>
  <si>
    <t>TC 0187</t>
  </si>
  <si>
    <t>HELPER</t>
  </si>
  <si>
    <t>ASUTOSH SARDAR</t>
  </si>
  <si>
    <t>TC 0222</t>
  </si>
  <si>
    <t>LAB TECHNICIAN</t>
  </si>
  <si>
    <t>BUDDHADEV SEAL</t>
  </si>
  <si>
    <t>TC 0361</t>
  </si>
  <si>
    <t xml:space="preserve">FARUK ALI </t>
  </si>
  <si>
    <t>TC 0219</t>
  </si>
  <si>
    <t>HOPPER</t>
  </si>
  <si>
    <t>KUTUBUDDIN MOLLA</t>
  </si>
  <si>
    <t>TC 0391</t>
  </si>
  <si>
    <t>OTHERS</t>
  </si>
  <si>
    <t>MD. SAMIM AKRAM (JCB DEIVER)</t>
  </si>
  <si>
    <t>TC 0051</t>
  </si>
  <si>
    <t>MOTIAR RAHAMAN</t>
  </si>
  <si>
    <t>TC 0431</t>
  </si>
  <si>
    <t>MOKSHED ALI</t>
  </si>
  <si>
    <t>TC 0143</t>
  </si>
  <si>
    <t xml:space="preserve">SAMSER ALI </t>
  </si>
  <si>
    <t>TC 0412</t>
  </si>
  <si>
    <t>SHANTI  MONDAL</t>
  </si>
  <si>
    <t>TC 0072</t>
  </si>
  <si>
    <t xml:space="preserve">SIRAJUL  MOLLA  </t>
  </si>
  <si>
    <t>TC 0076</t>
  </si>
  <si>
    <t>SK. ANARUL ISLAM</t>
  </si>
  <si>
    <t>TC 0014</t>
  </si>
  <si>
    <t>SRISTI DHAR MONDAL</t>
  </si>
  <si>
    <t>TC 0109</t>
  </si>
  <si>
    <t>SUDHAN MONDAL</t>
  </si>
  <si>
    <t>TC 0023</t>
  </si>
  <si>
    <t>SWAPAN MONDAL</t>
  </si>
  <si>
    <t>TC 0432</t>
  </si>
  <si>
    <t>MOSIAR MOLLA</t>
  </si>
  <si>
    <t>TC 0427</t>
  </si>
  <si>
    <t>ISRAFIL DHALI</t>
  </si>
  <si>
    <t>TC 0420</t>
  </si>
  <si>
    <t>ROUF MONDAL</t>
  </si>
  <si>
    <t>TC 0390</t>
  </si>
  <si>
    <t>KANAK JANA</t>
  </si>
  <si>
    <t>TC 0362</t>
  </si>
  <si>
    <t>SOUMEN GARAI</t>
  </si>
  <si>
    <t>TC 0428</t>
  </si>
  <si>
    <t>ASHOK MONDAL</t>
  </si>
  <si>
    <t>TC 0395</t>
  </si>
  <si>
    <t>ANSWAR ALI MOLLA</t>
  </si>
  <si>
    <t>TC 0421</t>
  </si>
  <si>
    <t>MOMINUL HAQUE</t>
  </si>
  <si>
    <t>TC 0422</t>
  </si>
  <si>
    <t>EKRAMUL ALI</t>
  </si>
  <si>
    <t>TC 0433</t>
  </si>
  <si>
    <t>JULFIKAR DHALI</t>
  </si>
  <si>
    <t>TC 0413</t>
  </si>
  <si>
    <t>SUPRAKASH SAMANTO</t>
  </si>
  <si>
    <t>TC 0434</t>
  </si>
  <si>
    <t>TANMOY MONDAL</t>
  </si>
  <si>
    <t>TC 0414</t>
  </si>
  <si>
    <t>ALOK MONDAL</t>
  </si>
  <si>
    <t>TC 0415</t>
  </si>
  <si>
    <t>RAJESH BAR</t>
  </si>
  <si>
    <t>TC 0429</t>
  </si>
  <si>
    <t>BIKRAM ROY</t>
  </si>
  <si>
    <t>TC 0435</t>
  </si>
  <si>
    <t>JITU MAHALI</t>
  </si>
  <si>
    <t>TC 0430</t>
  </si>
  <si>
    <t>MILAN RUIDAS</t>
  </si>
  <si>
    <t>TC 0227</t>
  </si>
  <si>
    <t>BABLU MONDAL (L)</t>
  </si>
  <si>
    <t>TOTAL</t>
  </si>
  <si>
    <t>SKILL-LEVEL MAPPING — Category to Minimum-Wage Skill Level (editable, confirm with your labour consultant)</t>
  </si>
  <si>
    <t>Job Category</t>
  </si>
  <si>
    <t>Mapped Skill Level</t>
  </si>
  <si>
    <t>Basis / Note</t>
  </si>
  <si>
    <t>Skilled</t>
  </si>
  <si>
    <t>General clerical/admin work; senior roles may warrant Highly Skilled — review individually</t>
  </si>
  <si>
    <t>Semi-Skilled</t>
  </si>
  <si>
    <t>Light/medium commercial vehicle driving — some states classify heavy-vehicle drivers as Skilled</t>
  </si>
  <si>
    <t>Unskilled</t>
  </si>
  <si>
    <t>General manual/helper work</t>
  </si>
  <si>
    <t>Requires technical/testing knowledge</t>
  </si>
  <si>
    <t>Machine/material-feeding operator role</t>
  </si>
  <si>
    <t>e.g. JCB/excavator operator — specialised equipment operation</t>
  </si>
  <si>
    <t>IMPORTANT: this mapping is an editable ASSUMPTION based on job-title alone. Actual skill classification for minimum-wage purposes should be confirmed against the specific WB scheduled-employment notification that applies to your industry, and against each employee's actual qualification/duties.</t>
  </si>
  <si>
    <t>WEST BENGAL MINIMUM WAGES — Zone A (source: your Minimum Wages sheet)</t>
  </si>
  <si>
    <t>Zone A = Municipal Corporations / Municipalities / Notified Areas / Development Authorities / Thermal Power Plant-Township areas</t>
  </si>
  <si>
    <t>Skill Level</t>
  </si>
  <si>
    <t>Monthly Rate (₹)</t>
  </si>
  <si>
    <t>Daily Rate (₹)</t>
  </si>
  <si>
    <t>Highly Skilled</t>
  </si>
  <si>
    <t>Note: verify these against the latest WB Labour Dept gazette before running payroll — rates are revised periodically (typically half-yearly).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</si>
</sst>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;&quot;(₹&quot;#,##0\)"/>
  </numFmts>
  <fonts count="12" x14ac:knownFonts="1">
    <font>
      <sz val="11"/>
      <color theme="1"/>
      <name val="Calibri"/>
      <family val="2"/>
      <charset val="1"/>
    </font>
    <font>
      <b/>
      <sz val="15"/>
      <color rgb="FFFFFFFF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1"/>
      <color rgb="FF1F3864"/>
      <name val="Calibri"/>
      <charset val="1"/>
    </font>
    <font>
      <i/>
      <sz val="9"/>
      <color rgb="FF808080"/>
      <name val="Calibri"/>
      <charset val="1"/>
    </font>
    <font>
      <i/>
      <sz val="9"/>
      <color rgb="FFC00000"/>
      <name val="Calibri"/>
      <charset val="1"/>
    </font>
    <font>
      <b/>
      <sz val="7.5"/>
      <color rgb="FFFFFFFF"/>
      <name val="Calibri"/>
      <charset val="1"/>
    </font>
    <font>
      <sz val="9"/>
      <name val="Calibri"/>
      <charset val="1"/>
    </font>
    <font>
      <b/>
      <sz val="9"/>
      <name val="Calibri"/>
      <charset val="1"/>
    </font>
    <font>
      <b/>
      <sz val="9"/>
      <color rgb="FF1F3864"/>
      <name val="Calibri"/>
      <charset val="1"/>
    </font>
    <font>
      <b/>
      <sz val="10"/>
      <color rgb="FF0000FF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Border="1"/>
    <xf numFmtId="0" fontId="6" fillId="0" borderId="0" xfId="0" applyFont="1" applyBorder="1"/>
    <xf numFmtId="0" fontId="5" fillId="0" borderId="0" xfId="0" applyFont="1" applyBorder="1"/>
    <xf numFmtId="0" fontId="2" fillId="3" borderId="0" xfId="0" applyFont="1" applyFill="1" applyBorder="1"/>
    <xf numFmtId="0" fontId="1" fillId="2" borderId="0" xfId="0" applyFont="1" applyFill="1" applyBorder="1" applyAlignment="1">
      <alignment horizontal="left" vertical="center" indent="1"/>
    </xf>
    <xf numFmtId="0" fontId="3" fillId="0" borderId="0" xfId="0" applyFont="1"/>
    <xf numFmtId="1" fontId="4" fillId="0" borderId="0" xfId="0" applyNumberFormat="1" applyFont="1"/>
    <xf numFmtId="164" fontId="4" fillId="0" borderId="0" xfId="0" applyNumberFormat="1" applyFont="1"/>
    <xf numFmtId="0" fontId="7" fillId="3" borderId="0" xfId="0" applyFont="1" applyFill="1" applyAlignment="1">
      <alignment horizontal="center" vertical="center" wrapText="1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9" fillId="0" borderId="0" xfId="0" applyFont="1"/>
    <xf numFmtId="164" fontId="10" fillId="0" borderId="0" xfId="0" applyNumberFormat="1" applyFont="1"/>
    <xf numFmtId="0" fontId="8" fillId="0" borderId="0" xfId="0" applyFont="1" applyAlignment="1">
      <alignment horizontal="left"/>
    </xf>
    <xf numFmtId="0" fontId="11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1" xfId="0" applyFont="1" applyBorder="1"/>
    <xf numFmtId="0" fontId="11" fillId="4" borderId="1" xfId="0" applyFont="1" applyFill="1" applyBorder="1"/>
    <xf numFmtId="0" fontId="5" fillId="0" borderId="0" xfId="0" applyFont="1"/>
    <xf numFmtId="164" fontId="11" fillId="4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D37"/>
  <sheetViews>
    <sheetView showGridLines="0" tabSelected="1" zoomScaleNormal="100" workbookViewId="0">
      <selection sqref="A1:D1"/>
    </sheetView>
  </sheetViews>
  <sheetFormatPr defaultColWidth="8.7109375" defaultRowHeight="15" x14ac:dyDescent="0.25"/>
  <cols>
    <col min="1" max="1" width="3" customWidth="1"/>
    <col min="2" max="2" width="42" customWidth="1"/>
    <col min="3" max="3" width="18" customWidth="1"/>
    <col min="4" max="4" width="14.42578125" customWidth="1"/>
  </cols>
  <sheetData>
    <row r="1" spans="1:4" ht="24" customHeight="1" x14ac:dyDescent="0.25">
      <c r="A1" s="5" t="s">
        <v>0</v>
      </c>
      <c r="B1" s="5"/>
      <c r="C1" s="5"/>
      <c r="D1" s="5"/>
    </row>
    <row r="4" spans="1:4" x14ac:dyDescent="0.25">
      <c r="B4" s="4" t="s">
        <v>1</v>
      </c>
      <c r="C4" s="4"/>
    </row>
    <row r="5" spans="1:4" ht="18" customHeight="1" x14ac:dyDescent="0.25">
      <c r="B5" s="6" t="s">
        <v>2</v>
      </c>
      <c r="C5" s="7">
        <f>COUNTA('Salary Sheet - WB Compliant'!E7:E57)</f>
        <v>51</v>
      </c>
    </row>
    <row r="6" spans="1:4" ht="18" customHeight="1" x14ac:dyDescent="0.25">
      <c r="B6" s="6" t="s">
        <v>3</v>
      </c>
      <c r="C6" s="7">
        <f>COUNTIF('Salary Sheet - WB Compliant'!P7:P57,"&gt;0")</f>
        <v>35</v>
      </c>
    </row>
    <row r="7" spans="1:4" ht="18" customHeight="1" x14ac:dyDescent="0.25">
      <c r="B7" s="6" t="s">
        <v>4</v>
      </c>
      <c r="C7" s="7">
        <f>COUNTIF('Salary Sheet - WB Compliant'!V7:V57,"YES")</f>
        <v>2</v>
      </c>
    </row>
    <row r="9" spans="1:4" x14ac:dyDescent="0.25">
      <c r="B9" s="4" t="s">
        <v>5</v>
      </c>
      <c r="C9" s="4"/>
    </row>
    <row r="10" spans="1:4" ht="18" customHeight="1" x14ac:dyDescent="0.25">
      <c r="B10" s="6" t="s">
        <v>6</v>
      </c>
      <c r="C10" s="8">
        <f>SUM('Salary Sheet - WB Compliant'!M7:M57)</f>
        <v>928275</v>
      </c>
    </row>
    <row r="11" spans="1:4" ht="18" customHeight="1" x14ac:dyDescent="0.25">
      <c r="B11" s="6" t="s">
        <v>7</v>
      </c>
      <c r="C11" s="8">
        <f>SUM('Salary Sheet - WB Compliant'!U7:U57)</f>
        <v>929729</v>
      </c>
    </row>
    <row r="12" spans="1:4" ht="18" customHeight="1" x14ac:dyDescent="0.25">
      <c r="B12" s="6" t="s">
        <v>8</v>
      </c>
      <c r="C12" s="8">
        <f>C11-C10</f>
        <v>1454</v>
      </c>
    </row>
    <row r="13" spans="1:4" ht="18" customHeight="1" x14ac:dyDescent="0.25">
      <c r="B13" s="6" t="s">
        <v>9</v>
      </c>
      <c r="C13" s="8">
        <f>C12*12</f>
        <v>17448</v>
      </c>
    </row>
    <row r="14" spans="1:4" ht="18" customHeight="1" x14ac:dyDescent="0.25">
      <c r="B14" s="6" t="s">
        <v>10</v>
      </c>
      <c r="C14" s="8">
        <f>SUM('Salary Sheet - WB Compliant'!AA7:AA57)+SUM('Salary Sheet - WB Compliant'!AD7:AD57)</f>
        <v>88563</v>
      </c>
    </row>
    <row r="15" spans="1:4" ht="18" customHeight="1" x14ac:dyDescent="0.25">
      <c r="B15" s="6" t="s">
        <v>11</v>
      </c>
      <c r="C15" s="8">
        <f>SUM('Salary Sheet - WB Compliant'!AF7:AF57)</f>
        <v>1018292</v>
      </c>
    </row>
    <row r="17" spans="2:3" x14ac:dyDescent="0.25">
      <c r="B17" s="4" t="s">
        <v>12</v>
      </c>
      <c r="C17" s="4"/>
    </row>
    <row r="18" spans="2:3" ht="18" customHeight="1" x14ac:dyDescent="0.25">
      <c r="B18" s="6" t="s">
        <v>13</v>
      </c>
      <c r="C18" s="8">
        <f>SUM('Salary Sheet - WB Compliant'!Z7:Z57)</f>
        <v>64496</v>
      </c>
    </row>
    <row r="19" spans="2:3" ht="18" customHeight="1" x14ac:dyDescent="0.25">
      <c r="B19" s="6" t="s">
        <v>14</v>
      </c>
      <c r="C19" s="8">
        <f>SUM('Salary Sheet - WB Compliant'!AC7:AC57)</f>
        <v>5561</v>
      </c>
    </row>
    <row r="20" spans="2:3" ht="18" customHeight="1" x14ac:dyDescent="0.25">
      <c r="B20" s="6" t="s">
        <v>15</v>
      </c>
      <c r="C20" s="7">
        <f>COUNTIF('Salary Sheet - WB Compliant'!X7:X57,"Y")</f>
        <v>39</v>
      </c>
    </row>
    <row r="21" spans="2:3" ht="18" customHeight="1" x14ac:dyDescent="0.25">
      <c r="B21" s="6" t="s">
        <v>16</v>
      </c>
      <c r="C21" s="7">
        <f>COUNTIF('Salary Sheet - WB Compliant'!AB7:AB57,"Y")</f>
        <v>44</v>
      </c>
    </row>
    <row r="23" spans="2:3" x14ac:dyDescent="0.25">
      <c r="B23" s="4" t="s">
        <v>17</v>
      </c>
      <c r="C23" s="4"/>
    </row>
    <row r="24" spans="2:3" x14ac:dyDescent="0.25">
      <c r="B24" s="3" t="s">
        <v>18</v>
      </c>
      <c r="C24" s="3"/>
    </row>
    <row r="25" spans="2:3" x14ac:dyDescent="0.25">
      <c r="B25" s="3" t="s">
        <v>19</v>
      </c>
      <c r="C25" s="3"/>
    </row>
    <row r="26" spans="2:3" x14ac:dyDescent="0.25">
      <c r="B26" s="3" t="s">
        <v>20</v>
      </c>
      <c r="C26" s="3"/>
    </row>
    <row r="27" spans="2:3" x14ac:dyDescent="0.25">
      <c r="B27" s="3" t="s">
        <v>21</v>
      </c>
      <c r="C27" s="3"/>
    </row>
    <row r="28" spans="2:3" x14ac:dyDescent="0.25">
      <c r="B28" s="3" t="s">
        <v>22</v>
      </c>
      <c r="C28" s="3"/>
    </row>
    <row r="29" spans="2:3" x14ac:dyDescent="0.25">
      <c r="B29" s="3" t="s">
        <v>23</v>
      </c>
      <c r="C29" s="3"/>
    </row>
    <row r="30" spans="2:3" x14ac:dyDescent="0.25">
      <c r="B30" s="3" t="s">
        <v>24</v>
      </c>
      <c r="C30" s="3"/>
    </row>
    <row r="31" spans="2:3" x14ac:dyDescent="0.25">
      <c r="B31" s="3" t="s">
        <v>25</v>
      </c>
      <c r="C31" s="3"/>
    </row>
    <row r="32" spans="2:3" x14ac:dyDescent="0.25">
      <c r="B32" s="3" t="s">
        <v>26</v>
      </c>
      <c r="C32" s="3"/>
    </row>
    <row r="33" spans="2:3" x14ac:dyDescent="0.25">
      <c r="B33" s="3" t="s">
        <v>27</v>
      </c>
      <c r="C33" s="3"/>
    </row>
    <row r="35" spans="2:3" x14ac:dyDescent="0.25">
      <c r="B35" s="2" t="s">
        <v>28</v>
      </c>
      <c r="C35" s="2"/>
    </row>
    <row r="36" spans="2:3" x14ac:dyDescent="0.25">
      <c r="B36" s="2"/>
      <c r="C36" s="2"/>
    </row>
    <row r="37" spans="2:3" x14ac:dyDescent="0.25">
      <c r="B37" s="2"/>
      <c r="C37" s="2"/>
    </row>
  </sheetData>
  <mergeCells count="16">
    <mergeCell ref="B35:C37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A1:D1"/>
    <mergeCell ref="B4:C4"/>
    <mergeCell ref="B9:C9"/>
    <mergeCell ref="B17:C17"/>
    <mergeCell ref="B23:C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M71"/>
  <sheetViews>
    <sheetView showGridLines="0" zoomScaleNormal="100" workbookViewId="0">
      <pane xSplit="4" ySplit="6" topLeftCell="E46" activePane="bottomRight" state="frozen"/>
      <selection pane="topRight" activeCell="E1" sqref="E1"/>
      <selection pane="bottomLeft" activeCell="A7" sqref="A7"/>
      <selection pane="bottomRight" sqref="A1:M1"/>
    </sheetView>
  </sheetViews>
  <sheetFormatPr defaultColWidth="8.7109375" defaultRowHeight="15" x14ac:dyDescent="0.25"/>
  <cols>
    <col min="1" max="1" width="5" customWidth="1"/>
    <col min="2" max="2" width="20" customWidth="1"/>
    <col min="3" max="3" width="13" customWidth="1"/>
    <col min="4" max="4" width="10" customWidth="1"/>
    <col min="5" max="5" width="11" customWidth="1"/>
    <col min="6" max="6" width="10" customWidth="1"/>
    <col min="7" max="7" width="11" customWidth="1"/>
    <col min="8" max="8" width="10" customWidth="1"/>
    <col min="9" max="9" width="11" customWidth="1"/>
    <col min="10" max="10" width="10" customWidth="1"/>
    <col min="11" max="13" width="11" customWidth="1"/>
  </cols>
  <sheetData>
    <row r="1" spans="1:13" ht="24" customHeight="1" x14ac:dyDescent="0.25">
      <c r="A1" s="5" t="s">
        <v>29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spans="1:13" ht="13.5" customHeight="1" x14ac:dyDescent="0.25">
      <c r="A3" s="3" t="s">
        <v>30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3.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spans="1:13" ht="39.75" customHeight="1" x14ac:dyDescent="0.25">
      <c r="A6" s="9" t="s">
        <v>31</v>
      </c>
      <c r="B6" s="9" t="s">
        <v>32</v>
      </c>
      <c r="C6" s="9" t="s">
        <v>33</v>
      </c>
      <c r="D6" s="9" t="s">
        <v>34</v>
      </c>
      <c r="E6" s="9" t="s">
        <v>35</v>
      </c>
      <c r="F6" s="9" t="s">
        <v>36</v>
      </c>
      <c r="G6" s="9" t="s">
        <v>37</v>
      </c>
      <c r="H6" s="9" t="s">
        <v>38</v>
      </c>
      <c r="I6" s="9" t="s">
        <v>39</v>
      </c>
      <c r="J6" s="9" t="s">
        <v>40</v>
      </c>
      <c r="K6" s="9" t="s">
        <v>41</v>
      </c>
      <c r="L6" s="9" t="s">
        <v>42</v>
      </c>
      <c r="M6" s="9" t="s">
        <v>43</v>
      </c>
    </row>
    <row r="7" spans="1:13" x14ac:dyDescent="0.25">
      <c r="A7" s="10">
        <f>'Salary Sheet - WB Compliant'!A7</f>
        <v>1</v>
      </c>
      <c r="B7" s="11" t="str">
        <f>'Salary Sheet - WB Compliant'!E7</f>
        <v>ABED ALI</v>
      </c>
      <c r="C7" s="11" t="str">
        <f>'Salary Sheet - WB Compliant'!D7</f>
        <v>OFFICE STAFF</v>
      </c>
      <c r="D7" s="11" t="str">
        <f>'Salary Sheet - WB Compliant'!X7</f>
        <v>Y</v>
      </c>
      <c r="E7" s="12">
        <f>'Salary Sheet - WB Compliant'!H7</f>
        <v>9125</v>
      </c>
      <c r="F7" s="12">
        <f t="shared" ref="F7:F38" si="0">IF(D7="Y",ROUND(E7*12%,0),0)</f>
        <v>1095</v>
      </c>
      <c r="G7" s="12">
        <f>'Salary Sheet - WB Compliant'!O7</f>
        <v>12777</v>
      </c>
      <c r="H7" s="12">
        <f>'Salary Sheet - WB Compliant'!Z7</f>
        <v>1533</v>
      </c>
      <c r="I7" s="12">
        <f t="shared" ref="I7:I38" si="1">MIN(G7,15000)</f>
        <v>12777</v>
      </c>
      <c r="J7" s="12">
        <f t="shared" ref="J7:J38" si="2">IF(D7="Y",ROUND(I7*12%,0),0)</f>
        <v>1533</v>
      </c>
      <c r="K7" s="12">
        <f t="shared" ref="K7:K38" si="3">H7-J7</f>
        <v>0</v>
      </c>
      <c r="L7" s="12">
        <f t="shared" ref="L7:L38" si="4">H7-F7</f>
        <v>438</v>
      </c>
      <c r="M7" s="12">
        <f t="shared" ref="M7:M38" si="5">J7-F7</f>
        <v>438</v>
      </c>
    </row>
    <row r="8" spans="1:13" x14ac:dyDescent="0.25">
      <c r="A8" s="10">
        <f>'Salary Sheet - WB Compliant'!A8</f>
        <v>2</v>
      </c>
      <c r="B8" s="11" t="str">
        <f>'Salary Sheet - WB Compliant'!E8</f>
        <v>ABHI MUKHERJEE</v>
      </c>
      <c r="C8" s="11" t="str">
        <f>'Salary Sheet - WB Compliant'!D8</f>
        <v>OFFICE STAFF</v>
      </c>
      <c r="D8" s="11" t="str">
        <f>'Salary Sheet - WB Compliant'!X8</f>
        <v>Y</v>
      </c>
      <c r="E8" s="12">
        <f>'Salary Sheet - WB Compliant'!H8</f>
        <v>11100</v>
      </c>
      <c r="F8" s="12">
        <f t="shared" si="0"/>
        <v>1332</v>
      </c>
      <c r="G8" s="12">
        <f>'Salary Sheet - WB Compliant'!O8</f>
        <v>14250</v>
      </c>
      <c r="H8" s="12">
        <f>'Salary Sheet - WB Compliant'!Z8</f>
        <v>1710</v>
      </c>
      <c r="I8" s="12">
        <f t="shared" si="1"/>
        <v>14250</v>
      </c>
      <c r="J8" s="12">
        <f t="shared" si="2"/>
        <v>1710</v>
      </c>
      <c r="K8" s="12">
        <f t="shared" si="3"/>
        <v>0</v>
      </c>
      <c r="L8" s="12">
        <f t="shared" si="4"/>
        <v>378</v>
      </c>
      <c r="M8" s="12">
        <f t="shared" si="5"/>
        <v>378</v>
      </c>
    </row>
    <row r="9" spans="1:13" x14ac:dyDescent="0.25">
      <c r="A9" s="10">
        <f>'Salary Sheet - WB Compliant'!A9</f>
        <v>3</v>
      </c>
      <c r="B9" s="11" t="str">
        <f>'Salary Sheet - WB Compliant'!E9</f>
        <v>ACHIN GUPTA</v>
      </c>
      <c r="C9" s="11" t="str">
        <f>'Salary Sheet - WB Compliant'!D9</f>
        <v>OFFICE STAFF</v>
      </c>
      <c r="D9" s="11" t="str">
        <f>'Salary Sheet - WB Compliant'!X9</f>
        <v>Y</v>
      </c>
      <c r="E9" s="12">
        <f>'Salary Sheet - WB Compliant'!H9</f>
        <v>11700</v>
      </c>
      <c r="F9" s="12">
        <f t="shared" si="0"/>
        <v>1404</v>
      </c>
      <c r="G9" s="12">
        <f>'Salary Sheet - WB Compliant'!O9</f>
        <v>12777</v>
      </c>
      <c r="H9" s="12">
        <f>'Salary Sheet - WB Compliant'!Z9</f>
        <v>1533</v>
      </c>
      <c r="I9" s="12">
        <f t="shared" si="1"/>
        <v>12777</v>
      </c>
      <c r="J9" s="12">
        <f t="shared" si="2"/>
        <v>1533</v>
      </c>
      <c r="K9" s="12">
        <f t="shared" si="3"/>
        <v>0</v>
      </c>
      <c r="L9" s="12">
        <f t="shared" si="4"/>
        <v>129</v>
      </c>
      <c r="M9" s="12">
        <f t="shared" si="5"/>
        <v>129</v>
      </c>
    </row>
    <row r="10" spans="1:13" x14ac:dyDescent="0.25">
      <c r="A10" s="10">
        <f>'Salary Sheet - WB Compliant'!A10</f>
        <v>4</v>
      </c>
      <c r="B10" s="11" t="str">
        <f>'Salary Sheet - WB Compliant'!E10</f>
        <v>AMIN YADAV (BADRI)</v>
      </c>
      <c r="C10" s="11" t="str">
        <f>'Salary Sheet - WB Compliant'!D10</f>
        <v>OFFICE STAFF</v>
      </c>
      <c r="D10" s="11" t="str">
        <f>'Salary Sheet - WB Compliant'!X10</f>
        <v>Y</v>
      </c>
      <c r="E10" s="12">
        <f>'Salary Sheet - WB Compliant'!H10</f>
        <v>8200</v>
      </c>
      <c r="F10" s="12">
        <f t="shared" si="0"/>
        <v>984</v>
      </c>
      <c r="G10" s="12">
        <f>'Salary Sheet - WB Compliant'!O10</f>
        <v>12777</v>
      </c>
      <c r="H10" s="12">
        <f>'Salary Sheet - WB Compliant'!Z10</f>
        <v>1533</v>
      </c>
      <c r="I10" s="12">
        <f t="shared" si="1"/>
        <v>12777</v>
      </c>
      <c r="J10" s="12">
        <f t="shared" si="2"/>
        <v>1533</v>
      </c>
      <c r="K10" s="12">
        <f t="shared" si="3"/>
        <v>0</v>
      </c>
      <c r="L10" s="12">
        <f t="shared" si="4"/>
        <v>549</v>
      </c>
      <c r="M10" s="12">
        <f t="shared" si="5"/>
        <v>549</v>
      </c>
    </row>
    <row r="11" spans="1:13" x14ac:dyDescent="0.25">
      <c r="A11" s="10">
        <f>'Salary Sheet - WB Compliant'!A11</f>
        <v>5</v>
      </c>
      <c r="B11" s="11" t="str">
        <f>'Salary Sheet - WB Compliant'!E11</f>
        <v>ANOWAR MOLLA</v>
      </c>
      <c r="C11" s="11" t="str">
        <f>'Salary Sheet - WB Compliant'!D11</f>
        <v>OFFICE STAFF</v>
      </c>
      <c r="D11" s="11" t="str">
        <f>'Salary Sheet - WB Compliant'!X11</f>
        <v>Y</v>
      </c>
      <c r="E11" s="12">
        <f>'Salary Sheet - WB Compliant'!H11</f>
        <v>7100</v>
      </c>
      <c r="F11" s="12">
        <f t="shared" si="0"/>
        <v>852</v>
      </c>
      <c r="G11" s="12">
        <f>'Salary Sheet - WB Compliant'!O11</f>
        <v>12777</v>
      </c>
      <c r="H11" s="12">
        <f>'Salary Sheet - WB Compliant'!Z11</f>
        <v>1533</v>
      </c>
      <c r="I11" s="12">
        <f t="shared" si="1"/>
        <v>12777</v>
      </c>
      <c r="J11" s="12">
        <f t="shared" si="2"/>
        <v>1533</v>
      </c>
      <c r="K11" s="12">
        <f t="shared" si="3"/>
        <v>0</v>
      </c>
      <c r="L11" s="12">
        <f t="shared" si="4"/>
        <v>681</v>
      </c>
      <c r="M11" s="12">
        <f t="shared" si="5"/>
        <v>681</v>
      </c>
    </row>
    <row r="12" spans="1:13" x14ac:dyDescent="0.25">
      <c r="A12" s="10">
        <f>'Salary Sheet - WB Compliant'!A12</f>
        <v>6</v>
      </c>
      <c r="B12" s="11" t="str">
        <f>'Salary Sheet - WB Compliant'!E12</f>
        <v>DIBAKAR MONDAL</v>
      </c>
      <c r="C12" s="11" t="str">
        <f>'Salary Sheet - WB Compliant'!D12</f>
        <v>OFFICE STAFF</v>
      </c>
      <c r="D12" s="11" t="str">
        <f>'Salary Sheet - WB Compliant'!X12</f>
        <v>Y</v>
      </c>
      <c r="E12" s="12">
        <f>'Salary Sheet - WB Compliant'!H12</f>
        <v>8600</v>
      </c>
      <c r="F12" s="12">
        <f t="shared" si="0"/>
        <v>1032</v>
      </c>
      <c r="G12" s="12">
        <f>'Salary Sheet - WB Compliant'!O12</f>
        <v>12777</v>
      </c>
      <c r="H12" s="12">
        <f>'Salary Sheet - WB Compliant'!Z12</f>
        <v>1533</v>
      </c>
      <c r="I12" s="12">
        <f t="shared" si="1"/>
        <v>12777</v>
      </c>
      <c r="J12" s="12">
        <f t="shared" si="2"/>
        <v>1533</v>
      </c>
      <c r="K12" s="12">
        <f t="shared" si="3"/>
        <v>0</v>
      </c>
      <c r="L12" s="12">
        <f t="shared" si="4"/>
        <v>501</v>
      </c>
      <c r="M12" s="12">
        <f t="shared" si="5"/>
        <v>501</v>
      </c>
    </row>
    <row r="13" spans="1:13" x14ac:dyDescent="0.25">
      <c r="A13" s="10">
        <f>'Salary Sheet - WB Compliant'!A13</f>
        <v>7</v>
      </c>
      <c r="B13" s="11" t="str">
        <f>'Salary Sheet - WB Compliant'!E13</f>
        <v xml:space="preserve">GOLAM SARWAR </v>
      </c>
      <c r="C13" s="11" t="str">
        <f>'Salary Sheet - WB Compliant'!D13</f>
        <v>OFFICE STAFF</v>
      </c>
      <c r="D13" s="11" t="str">
        <f>'Salary Sheet - WB Compliant'!X13</f>
        <v>Y</v>
      </c>
      <c r="E13" s="12">
        <f>'Salary Sheet - WB Compliant'!H13</f>
        <v>26000</v>
      </c>
      <c r="F13" s="12">
        <f t="shared" si="0"/>
        <v>3120</v>
      </c>
      <c r="G13" s="12">
        <f>'Salary Sheet - WB Compliant'!O13</f>
        <v>26000</v>
      </c>
      <c r="H13" s="12">
        <f>'Salary Sheet - WB Compliant'!Z13</f>
        <v>3120</v>
      </c>
      <c r="I13" s="12">
        <f t="shared" si="1"/>
        <v>15000</v>
      </c>
      <c r="J13" s="12">
        <f t="shared" si="2"/>
        <v>1800</v>
      </c>
      <c r="K13" s="12">
        <f t="shared" si="3"/>
        <v>1320</v>
      </c>
      <c r="L13" s="12">
        <f t="shared" si="4"/>
        <v>0</v>
      </c>
      <c r="M13" s="12">
        <f t="shared" si="5"/>
        <v>-1320</v>
      </c>
    </row>
    <row r="14" spans="1:13" x14ac:dyDescent="0.25">
      <c r="A14" s="10">
        <f>'Salary Sheet - WB Compliant'!A14</f>
        <v>8</v>
      </c>
      <c r="B14" s="11" t="str">
        <f>'Salary Sheet - WB Compliant'!E14</f>
        <v>IMAN ALI MOLLA</v>
      </c>
      <c r="C14" s="11" t="str">
        <f>'Salary Sheet - WB Compliant'!D14</f>
        <v>OFFICE STAFF</v>
      </c>
      <c r="D14" s="11" t="str">
        <f>'Salary Sheet - WB Compliant'!X14</f>
        <v>Y</v>
      </c>
      <c r="E14" s="12">
        <f>'Salary Sheet - WB Compliant'!H14</f>
        <v>8010</v>
      </c>
      <c r="F14" s="12">
        <f t="shared" si="0"/>
        <v>961</v>
      </c>
      <c r="G14" s="12">
        <f>'Salary Sheet - WB Compliant'!O14</f>
        <v>12777</v>
      </c>
      <c r="H14" s="12">
        <f>'Salary Sheet - WB Compliant'!Z14</f>
        <v>1533</v>
      </c>
      <c r="I14" s="12">
        <f t="shared" si="1"/>
        <v>12777</v>
      </c>
      <c r="J14" s="12">
        <f t="shared" si="2"/>
        <v>1533</v>
      </c>
      <c r="K14" s="12">
        <f t="shared" si="3"/>
        <v>0</v>
      </c>
      <c r="L14" s="12">
        <f t="shared" si="4"/>
        <v>572</v>
      </c>
      <c r="M14" s="12">
        <f t="shared" si="5"/>
        <v>572</v>
      </c>
    </row>
    <row r="15" spans="1:13" x14ac:dyDescent="0.25">
      <c r="A15" s="10">
        <f>'Salary Sheet - WB Compliant'!A15</f>
        <v>9</v>
      </c>
      <c r="B15" s="11" t="str">
        <f>'Salary Sheet - WB Compliant'!E15</f>
        <v>PULIN MONDAL</v>
      </c>
      <c r="C15" s="11" t="str">
        <f>'Salary Sheet - WB Compliant'!D15</f>
        <v>OFFICE STAFF</v>
      </c>
      <c r="D15" s="11" t="str">
        <f>'Salary Sheet - WB Compliant'!X15</f>
        <v>Y</v>
      </c>
      <c r="E15" s="12">
        <f>'Salary Sheet - WB Compliant'!H15</f>
        <v>5200</v>
      </c>
      <c r="F15" s="12">
        <f t="shared" si="0"/>
        <v>624</v>
      </c>
      <c r="G15" s="12">
        <f>'Salary Sheet - WB Compliant'!O15</f>
        <v>12777</v>
      </c>
      <c r="H15" s="12">
        <f>'Salary Sheet - WB Compliant'!Z15</f>
        <v>1533</v>
      </c>
      <c r="I15" s="12">
        <f t="shared" si="1"/>
        <v>12777</v>
      </c>
      <c r="J15" s="12">
        <f t="shared" si="2"/>
        <v>1533</v>
      </c>
      <c r="K15" s="12">
        <f t="shared" si="3"/>
        <v>0</v>
      </c>
      <c r="L15" s="12">
        <f t="shared" si="4"/>
        <v>909</v>
      </c>
      <c r="M15" s="12">
        <f t="shared" si="5"/>
        <v>909</v>
      </c>
    </row>
    <row r="16" spans="1:13" x14ac:dyDescent="0.25">
      <c r="A16" s="10">
        <f>'Salary Sheet - WB Compliant'!A16</f>
        <v>10</v>
      </c>
      <c r="B16" s="11" t="str">
        <f>'Salary Sheet - WB Compliant'!E16</f>
        <v>RAJU PAL</v>
      </c>
      <c r="C16" s="11" t="str">
        <f>'Salary Sheet - WB Compliant'!D16</f>
        <v>OFFICE STAFF</v>
      </c>
      <c r="D16" s="11" t="str">
        <f>'Salary Sheet - WB Compliant'!X16</f>
        <v>Y</v>
      </c>
      <c r="E16" s="12">
        <f>'Salary Sheet - WB Compliant'!H16</f>
        <v>7700</v>
      </c>
      <c r="F16" s="12">
        <f t="shared" si="0"/>
        <v>924</v>
      </c>
      <c r="G16" s="12">
        <f>'Salary Sheet - WB Compliant'!O16</f>
        <v>12777</v>
      </c>
      <c r="H16" s="12">
        <f>'Salary Sheet - WB Compliant'!Z16</f>
        <v>1533</v>
      </c>
      <c r="I16" s="12">
        <f t="shared" si="1"/>
        <v>12777</v>
      </c>
      <c r="J16" s="12">
        <f t="shared" si="2"/>
        <v>1533</v>
      </c>
      <c r="K16" s="12">
        <f t="shared" si="3"/>
        <v>0</v>
      </c>
      <c r="L16" s="12">
        <f t="shared" si="4"/>
        <v>609</v>
      </c>
      <c r="M16" s="12">
        <f t="shared" si="5"/>
        <v>609</v>
      </c>
    </row>
    <row r="17" spans="1:13" x14ac:dyDescent="0.25">
      <c r="A17" s="10">
        <f>'Salary Sheet - WB Compliant'!A17</f>
        <v>11</v>
      </c>
      <c r="B17" s="11" t="str">
        <f>'Salary Sheet - WB Compliant'!E17</f>
        <v>UJJAL MUKHERJEE</v>
      </c>
      <c r="C17" s="11" t="str">
        <f>'Salary Sheet - WB Compliant'!D17</f>
        <v>OFFICE STAFF</v>
      </c>
      <c r="D17" s="11" t="str">
        <f>'Salary Sheet - WB Compliant'!X17</f>
        <v>Y</v>
      </c>
      <c r="E17" s="12">
        <f>'Salary Sheet - WB Compliant'!H17</f>
        <v>7600</v>
      </c>
      <c r="F17" s="12">
        <f t="shared" si="0"/>
        <v>912</v>
      </c>
      <c r="G17" s="12">
        <f>'Salary Sheet - WB Compliant'!O17</f>
        <v>12777</v>
      </c>
      <c r="H17" s="12">
        <f>'Salary Sheet - WB Compliant'!Z17</f>
        <v>1533</v>
      </c>
      <c r="I17" s="12">
        <f t="shared" si="1"/>
        <v>12777</v>
      </c>
      <c r="J17" s="12">
        <f t="shared" si="2"/>
        <v>1533</v>
      </c>
      <c r="K17" s="12">
        <f t="shared" si="3"/>
        <v>0</v>
      </c>
      <c r="L17" s="12">
        <f t="shared" si="4"/>
        <v>621</v>
      </c>
      <c r="M17" s="12">
        <f t="shared" si="5"/>
        <v>621</v>
      </c>
    </row>
    <row r="18" spans="1:13" x14ac:dyDescent="0.25">
      <c r="A18" s="10">
        <f>'Salary Sheet - WB Compliant'!A18</f>
        <v>12</v>
      </c>
      <c r="B18" s="11" t="str">
        <f>'Salary Sheet - WB Compliant'!E18</f>
        <v>PROBIR GHOSH (O)</v>
      </c>
      <c r="C18" s="11" t="str">
        <f>'Salary Sheet - WB Compliant'!D18</f>
        <v>OFFICE STAFF</v>
      </c>
      <c r="D18" s="11" t="str">
        <f>'Salary Sheet - WB Compliant'!X18</f>
        <v>Y</v>
      </c>
      <c r="E18" s="12">
        <f>'Salary Sheet - WB Compliant'!H18</f>
        <v>7560</v>
      </c>
      <c r="F18" s="12">
        <f t="shared" si="0"/>
        <v>907</v>
      </c>
      <c r="G18" s="12">
        <f>'Salary Sheet - WB Compliant'!O18</f>
        <v>12777</v>
      </c>
      <c r="H18" s="12">
        <f>'Salary Sheet - WB Compliant'!Z18</f>
        <v>1533</v>
      </c>
      <c r="I18" s="12">
        <f t="shared" si="1"/>
        <v>12777</v>
      </c>
      <c r="J18" s="12">
        <f t="shared" si="2"/>
        <v>1533</v>
      </c>
      <c r="K18" s="12">
        <f t="shared" si="3"/>
        <v>0</v>
      </c>
      <c r="L18" s="12">
        <f t="shared" si="4"/>
        <v>626</v>
      </c>
      <c r="M18" s="12">
        <f t="shared" si="5"/>
        <v>626</v>
      </c>
    </row>
    <row r="19" spans="1:13" x14ac:dyDescent="0.25">
      <c r="A19" s="10">
        <f>'Salary Sheet - WB Compliant'!A19</f>
        <v>13</v>
      </c>
      <c r="B19" s="11" t="str">
        <f>'Salary Sheet - WB Compliant'!E19</f>
        <v>NABA KUMAR  BISWAS</v>
      </c>
      <c r="C19" s="11" t="str">
        <f>'Salary Sheet - WB Compliant'!D19</f>
        <v>OFFICE STAFF</v>
      </c>
      <c r="D19" s="11" t="str">
        <f>'Salary Sheet - WB Compliant'!X19</f>
        <v>Y</v>
      </c>
      <c r="E19" s="12">
        <f>'Salary Sheet - WB Compliant'!H19</f>
        <v>25000</v>
      </c>
      <c r="F19" s="12">
        <f t="shared" si="0"/>
        <v>3000</v>
      </c>
      <c r="G19" s="12">
        <f>'Salary Sheet - WB Compliant'!O19</f>
        <v>25000</v>
      </c>
      <c r="H19" s="12">
        <f>'Salary Sheet - WB Compliant'!Z19</f>
        <v>3000</v>
      </c>
      <c r="I19" s="12">
        <f t="shared" si="1"/>
        <v>15000</v>
      </c>
      <c r="J19" s="12">
        <f t="shared" si="2"/>
        <v>1800</v>
      </c>
      <c r="K19" s="12">
        <f t="shared" si="3"/>
        <v>1200</v>
      </c>
      <c r="L19" s="12">
        <f t="shared" si="4"/>
        <v>0</v>
      </c>
      <c r="M19" s="12">
        <f t="shared" si="5"/>
        <v>-1200</v>
      </c>
    </row>
    <row r="20" spans="1:13" x14ac:dyDescent="0.25">
      <c r="A20" s="10">
        <f>'Salary Sheet - WB Compliant'!A20</f>
        <v>14</v>
      </c>
      <c r="B20" s="11" t="str">
        <f>'Salary Sheet - WB Compliant'!E20</f>
        <v>ASIM KHUNTIA</v>
      </c>
      <c r="C20" s="11" t="str">
        <f>'Salary Sheet - WB Compliant'!D20</f>
        <v>OFFICE STAFF</v>
      </c>
      <c r="D20" s="11" t="str">
        <f>'Salary Sheet - WB Compliant'!X20</f>
        <v>Y</v>
      </c>
      <c r="E20" s="12">
        <f>'Salary Sheet - WB Compliant'!H20</f>
        <v>33000</v>
      </c>
      <c r="F20" s="12">
        <f t="shared" si="0"/>
        <v>3960</v>
      </c>
      <c r="G20" s="12">
        <f>'Salary Sheet - WB Compliant'!O20</f>
        <v>33000</v>
      </c>
      <c r="H20" s="12">
        <f>'Salary Sheet - WB Compliant'!Z20</f>
        <v>3960</v>
      </c>
      <c r="I20" s="12">
        <f t="shared" si="1"/>
        <v>15000</v>
      </c>
      <c r="J20" s="12">
        <f t="shared" si="2"/>
        <v>1800</v>
      </c>
      <c r="K20" s="12">
        <f t="shared" si="3"/>
        <v>2160</v>
      </c>
      <c r="L20" s="12">
        <f t="shared" si="4"/>
        <v>0</v>
      </c>
      <c r="M20" s="12">
        <f t="shared" si="5"/>
        <v>-2160</v>
      </c>
    </row>
    <row r="21" spans="1:13" x14ac:dyDescent="0.25">
      <c r="A21" s="10">
        <f>'Salary Sheet - WB Compliant'!A21</f>
        <v>15</v>
      </c>
      <c r="B21" s="11" t="str">
        <f>'Salary Sheet - WB Compliant'!E21</f>
        <v>MANABINDU BISWAS</v>
      </c>
      <c r="C21" s="11" t="str">
        <f>'Salary Sheet - WB Compliant'!D21</f>
        <v>OFFICE STAFF</v>
      </c>
      <c r="D21" s="11" t="str">
        <f>'Salary Sheet - WB Compliant'!X21</f>
        <v>Y</v>
      </c>
      <c r="E21" s="12">
        <f>'Salary Sheet - WB Compliant'!H21</f>
        <v>8200</v>
      </c>
      <c r="F21" s="12">
        <f t="shared" si="0"/>
        <v>984</v>
      </c>
      <c r="G21" s="12">
        <f>'Salary Sheet - WB Compliant'!O21</f>
        <v>12777</v>
      </c>
      <c r="H21" s="12">
        <f>'Salary Sheet - WB Compliant'!Z21</f>
        <v>1533</v>
      </c>
      <c r="I21" s="12">
        <f t="shared" si="1"/>
        <v>12777</v>
      </c>
      <c r="J21" s="12">
        <f t="shared" si="2"/>
        <v>1533</v>
      </c>
      <c r="K21" s="12">
        <f t="shared" si="3"/>
        <v>0</v>
      </c>
      <c r="L21" s="12">
        <f t="shared" si="4"/>
        <v>549</v>
      </c>
      <c r="M21" s="12">
        <f t="shared" si="5"/>
        <v>549</v>
      </c>
    </row>
    <row r="22" spans="1:13" x14ac:dyDescent="0.25">
      <c r="A22" s="10">
        <f>'Salary Sheet - WB Compliant'!A22</f>
        <v>16</v>
      </c>
      <c r="B22" s="11" t="str">
        <f>'Salary Sheet - WB Compliant'!E22</f>
        <v>SUVANKAR SAMADDAR</v>
      </c>
      <c r="C22" s="11" t="str">
        <f>'Salary Sheet - WB Compliant'!D22</f>
        <v>OFFICE STAFF</v>
      </c>
      <c r="D22" s="11" t="str">
        <f>'Salary Sheet - WB Compliant'!X22</f>
        <v>Y</v>
      </c>
      <c r="E22" s="12">
        <f>'Salary Sheet - WB Compliant'!H22</f>
        <v>23000</v>
      </c>
      <c r="F22" s="12">
        <f t="shared" si="0"/>
        <v>2760</v>
      </c>
      <c r="G22" s="12">
        <f>'Salary Sheet - WB Compliant'!O22</f>
        <v>23000</v>
      </c>
      <c r="H22" s="12">
        <f>'Salary Sheet - WB Compliant'!Z22</f>
        <v>2760</v>
      </c>
      <c r="I22" s="12">
        <f t="shared" si="1"/>
        <v>15000</v>
      </c>
      <c r="J22" s="12">
        <f t="shared" si="2"/>
        <v>1800</v>
      </c>
      <c r="K22" s="12">
        <f t="shared" si="3"/>
        <v>960</v>
      </c>
      <c r="L22" s="12">
        <f t="shared" si="4"/>
        <v>0</v>
      </c>
      <c r="M22" s="12">
        <f t="shared" si="5"/>
        <v>-960</v>
      </c>
    </row>
    <row r="23" spans="1:13" x14ac:dyDescent="0.25">
      <c r="A23" s="10">
        <f>'Salary Sheet - WB Compliant'!A23</f>
        <v>17</v>
      </c>
      <c r="B23" s="11" t="str">
        <f>'Salary Sheet - WB Compliant'!E23</f>
        <v xml:space="preserve">ANISUR </v>
      </c>
      <c r="C23" s="11" t="str">
        <f>'Salary Sheet - WB Compliant'!D23</f>
        <v>DRIVER</v>
      </c>
      <c r="D23" s="11" t="str">
        <f>'Salary Sheet - WB Compliant'!X23</f>
        <v>N</v>
      </c>
      <c r="E23" s="12">
        <f>'Salary Sheet - WB Compliant'!H23</f>
        <v>20200</v>
      </c>
      <c r="F23" s="12">
        <f t="shared" si="0"/>
        <v>0</v>
      </c>
      <c r="G23" s="12">
        <f>'Salary Sheet - WB Compliant'!O23</f>
        <v>20200</v>
      </c>
      <c r="H23" s="12">
        <f>'Salary Sheet - WB Compliant'!Z23</f>
        <v>0</v>
      </c>
      <c r="I23" s="12">
        <f t="shared" si="1"/>
        <v>15000</v>
      </c>
      <c r="J23" s="12">
        <f t="shared" si="2"/>
        <v>0</v>
      </c>
      <c r="K23" s="12">
        <f t="shared" si="3"/>
        <v>0</v>
      </c>
      <c r="L23" s="12">
        <f t="shared" si="4"/>
        <v>0</v>
      </c>
      <c r="M23" s="12">
        <f t="shared" si="5"/>
        <v>0</v>
      </c>
    </row>
    <row r="24" spans="1:13" x14ac:dyDescent="0.25">
      <c r="A24" s="10">
        <f>'Salary Sheet - WB Compliant'!A24</f>
        <v>18</v>
      </c>
      <c r="B24" s="11" t="str">
        <f>'Salary Sheet - WB Compliant'!E24</f>
        <v>ARJUN KR. RAI</v>
      </c>
      <c r="C24" s="11" t="str">
        <f>'Salary Sheet - WB Compliant'!D24</f>
        <v>DRIVER</v>
      </c>
      <c r="D24" s="11" t="str">
        <f>'Salary Sheet - WB Compliant'!X24</f>
        <v>Y</v>
      </c>
      <c r="E24" s="12">
        <f>'Salary Sheet - WB Compliant'!H24</f>
        <v>8400</v>
      </c>
      <c r="F24" s="12">
        <f t="shared" si="0"/>
        <v>1008</v>
      </c>
      <c r="G24" s="12">
        <f>'Salary Sheet - WB Compliant'!O24</f>
        <v>11615</v>
      </c>
      <c r="H24" s="12">
        <f>'Salary Sheet - WB Compliant'!Z24</f>
        <v>1394</v>
      </c>
      <c r="I24" s="12">
        <f t="shared" si="1"/>
        <v>11615</v>
      </c>
      <c r="J24" s="12">
        <f t="shared" si="2"/>
        <v>1394</v>
      </c>
      <c r="K24" s="12">
        <f t="shared" si="3"/>
        <v>0</v>
      </c>
      <c r="L24" s="12">
        <f t="shared" si="4"/>
        <v>386</v>
      </c>
      <c r="M24" s="12">
        <f t="shared" si="5"/>
        <v>386</v>
      </c>
    </row>
    <row r="25" spans="1:13" x14ac:dyDescent="0.25">
      <c r="A25" s="10">
        <f>'Salary Sheet - WB Compliant'!A25</f>
        <v>19</v>
      </c>
      <c r="B25" s="11" t="str">
        <f>'Salary Sheet - WB Compliant'!E25</f>
        <v xml:space="preserve">ARMAN ALI MONDAL </v>
      </c>
      <c r="C25" s="11" t="str">
        <f>'Salary Sheet - WB Compliant'!D25</f>
        <v>DRIVER</v>
      </c>
      <c r="D25" s="11" t="str">
        <f>'Salary Sheet - WB Compliant'!X25</f>
        <v>Y</v>
      </c>
      <c r="E25" s="12">
        <f>'Salary Sheet - WB Compliant'!H25</f>
        <v>7950</v>
      </c>
      <c r="F25" s="12">
        <f t="shared" si="0"/>
        <v>954</v>
      </c>
      <c r="G25" s="12">
        <f>'Salary Sheet - WB Compliant'!O25</f>
        <v>11615</v>
      </c>
      <c r="H25" s="12">
        <f>'Salary Sheet - WB Compliant'!Z25</f>
        <v>1394</v>
      </c>
      <c r="I25" s="12">
        <f t="shared" si="1"/>
        <v>11615</v>
      </c>
      <c r="J25" s="12">
        <f t="shared" si="2"/>
        <v>1394</v>
      </c>
      <c r="K25" s="12">
        <f t="shared" si="3"/>
        <v>0</v>
      </c>
      <c r="L25" s="12">
        <f t="shared" si="4"/>
        <v>440</v>
      </c>
      <c r="M25" s="12">
        <f t="shared" si="5"/>
        <v>440</v>
      </c>
    </row>
    <row r="26" spans="1:13" x14ac:dyDescent="0.25">
      <c r="A26" s="10">
        <f>'Salary Sheet - WB Compliant'!A26</f>
        <v>20</v>
      </c>
      <c r="B26" s="11" t="str">
        <f>'Salary Sheet - WB Compliant'!E26</f>
        <v>ASUTOSH SARDAR</v>
      </c>
      <c r="C26" s="11" t="str">
        <f>'Salary Sheet - WB Compliant'!D26</f>
        <v>HELPER</v>
      </c>
      <c r="D26" s="11" t="str">
        <f>'Salary Sheet - WB Compliant'!X26</f>
        <v>Y</v>
      </c>
      <c r="E26" s="12">
        <f>'Salary Sheet - WB Compliant'!H26</f>
        <v>6400</v>
      </c>
      <c r="F26" s="12">
        <f t="shared" si="0"/>
        <v>768</v>
      </c>
      <c r="G26" s="12">
        <f>'Salary Sheet - WB Compliant'!O26</f>
        <v>10558</v>
      </c>
      <c r="H26" s="12">
        <f>'Salary Sheet - WB Compliant'!Z26</f>
        <v>1267</v>
      </c>
      <c r="I26" s="12">
        <f t="shared" si="1"/>
        <v>10558</v>
      </c>
      <c r="J26" s="12">
        <f t="shared" si="2"/>
        <v>1267</v>
      </c>
      <c r="K26" s="12">
        <f t="shared" si="3"/>
        <v>0</v>
      </c>
      <c r="L26" s="12">
        <f t="shared" si="4"/>
        <v>499</v>
      </c>
      <c r="M26" s="12">
        <f t="shared" si="5"/>
        <v>499</v>
      </c>
    </row>
    <row r="27" spans="1:13" x14ac:dyDescent="0.25">
      <c r="A27" s="10">
        <f>'Salary Sheet - WB Compliant'!A27</f>
        <v>21</v>
      </c>
      <c r="B27" s="11" t="str">
        <f>'Salary Sheet - WB Compliant'!E27</f>
        <v>BUDDHADEV SEAL</v>
      </c>
      <c r="C27" s="11" t="str">
        <f>'Salary Sheet - WB Compliant'!D27</f>
        <v>LAB TECHNICIAN</v>
      </c>
      <c r="D27" s="11" t="str">
        <f>'Salary Sheet - WB Compliant'!X27</f>
        <v>Y</v>
      </c>
      <c r="E27" s="12">
        <f>'Salary Sheet - WB Compliant'!H27</f>
        <v>6645</v>
      </c>
      <c r="F27" s="12">
        <f t="shared" si="0"/>
        <v>797</v>
      </c>
      <c r="G27" s="12">
        <f>'Salary Sheet - WB Compliant'!O27</f>
        <v>12777</v>
      </c>
      <c r="H27" s="12">
        <f>'Salary Sheet - WB Compliant'!Z27</f>
        <v>1533</v>
      </c>
      <c r="I27" s="12">
        <f t="shared" si="1"/>
        <v>12777</v>
      </c>
      <c r="J27" s="12">
        <f t="shared" si="2"/>
        <v>1533</v>
      </c>
      <c r="K27" s="12">
        <f t="shared" si="3"/>
        <v>0</v>
      </c>
      <c r="L27" s="12">
        <f t="shared" si="4"/>
        <v>736</v>
      </c>
      <c r="M27" s="12">
        <f t="shared" si="5"/>
        <v>736</v>
      </c>
    </row>
    <row r="28" spans="1:13" x14ac:dyDescent="0.25">
      <c r="A28" s="10">
        <f>'Salary Sheet - WB Compliant'!A28</f>
        <v>22</v>
      </c>
      <c r="B28" s="11" t="str">
        <f>'Salary Sheet - WB Compliant'!E28</f>
        <v xml:space="preserve">FARUK ALI </v>
      </c>
      <c r="C28" s="11" t="str">
        <f>'Salary Sheet - WB Compliant'!D28</f>
        <v>DRIVER</v>
      </c>
      <c r="D28" s="11" t="str">
        <f>'Salary Sheet - WB Compliant'!X28</f>
        <v>Y</v>
      </c>
      <c r="E28" s="12">
        <f>'Salary Sheet - WB Compliant'!H28</f>
        <v>7900</v>
      </c>
      <c r="F28" s="12">
        <f t="shared" si="0"/>
        <v>948</v>
      </c>
      <c r="G28" s="12">
        <f>'Salary Sheet - WB Compliant'!O28</f>
        <v>11615</v>
      </c>
      <c r="H28" s="12">
        <f>'Salary Sheet - WB Compliant'!Z28</f>
        <v>1394</v>
      </c>
      <c r="I28" s="12">
        <f t="shared" si="1"/>
        <v>11615</v>
      </c>
      <c r="J28" s="12">
        <f t="shared" si="2"/>
        <v>1394</v>
      </c>
      <c r="K28" s="12">
        <f t="shared" si="3"/>
        <v>0</v>
      </c>
      <c r="L28" s="12">
        <f t="shared" si="4"/>
        <v>446</v>
      </c>
      <c r="M28" s="12">
        <f t="shared" si="5"/>
        <v>446</v>
      </c>
    </row>
    <row r="29" spans="1:13" x14ac:dyDescent="0.25">
      <c r="A29" s="10">
        <f>'Salary Sheet - WB Compliant'!A29</f>
        <v>23</v>
      </c>
      <c r="B29" s="11" t="str">
        <f>'Salary Sheet - WB Compliant'!E29</f>
        <v>KUTUBUDDIN MOLLA</v>
      </c>
      <c r="C29" s="11" t="str">
        <f>'Salary Sheet - WB Compliant'!D29</f>
        <v>HOPPER</v>
      </c>
      <c r="D29" s="11" t="str">
        <f>'Salary Sheet - WB Compliant'!X29</f>
        <v>Y</v>
      </c>
      <c r="E29" s="12">
        <f>'Salary Sheet - WB Compliant'!H29</f>
        <v>7980</v>
      </c>
      <c r="F29" s="12">
        <f t="shared" si="0"/>
        <v>958</v>
      </c>
      <c r="G29" s="12">
        <f>'Salary Sheet - WB Compliant'!O29</f>
        <v>11615</v>
      </c>
      <c r="H29" s="12">
        <f>'Salary Sheet - WB Compliant'!Z29</f>
        <v>1394</v>
      </c>
      <c r="I29" s="12">
        <f t="shared" si="1"/>
        <v>11615</v>
      </c>
      <c r="J29" s="12">
        <f t="shared" si="2"/>
        <v>1394</v>
      </c>
      <c r="K29" s="12">
        <f t="shared" si="3"/>
        <v>0</v>
      </c>
      <c r="L29" s="12">
        <f t="shared" si="4"/>
        <v>436</v>
      </c>
      <c r="M29" s="12">
        <f t="shared" si="5"/>
        <v>436</v>
      </c>
    </row>
    <row r="30" spans="1:13" x14ac:dyDescent="0.25">
      <c r="A30" s="10">
        <f>'Salary Sheet - WB Compliant'!A30</f>
        <v>24</v>
      </c>
      <c r="B30" s="11" t="str">
        <f>'Salary Sheet - WB Compliant'!E30</f>
        <v>MD. SAMIM AKRAM (JCB DEIVER)</v>
      </c>
      <c r="C30" s="11" t="str">
        <f>'Salary Sheet - WB Compliant'!D30</f>
        <v>OTHERS</v>
      </c>
      <c r="D30" s="11" t="str">
        <f>'Salary Sheet - WB Compliant'!X30</f>
        <v>Y</v>
      </c>
      <c r="E30" s="12">
        <f>'Salary Sheet - WB Compliant'!H30</f>
        <v>8500</v>
      </c>
      <c r="F30" s="12">
        <f t="shared" si="0"/>
        <v>1020</v>
      </c>
      <c r="G30" s="12">
        <f>'Salary Sheet - WB Compliant'!O30</f>
        <v>12777</v>
      </c>
      <c r="H30" s="12">
        <f>'Salary Sheet - WB Compliant'!Z30</f>
        <v>1533</v>
      </c>
      <c r="I30" s="12">
        <f t="shared" si="1"/>
        <v>12777</v>
      </c>
      <c r="J30" s="12">
        <f t="shared" si="2"/>
        <v>1533</v>
      </c>
      <c r="K30" s="12">
        <f t="shared" si="3"/>
        <v>0</v>
      </c>
      <c r="L30" s="12">
        <f t="shared" si="4"/>
        <v>513</v>
      </c>
      <c r="M30" s="12">
        <f t="shared" si="5"/>
        <v>513</v>
      </c>
    </row>
    <row r="31" spans="1:13" x14ac:dyDescent="0.25">
      <c r="A31" s="10">
        <f>'Salary Sheet - WB Compliant'!A31</f>
        <v>25</v>
      </c>
      <c r="B31" s="11" t="str">
        <f>'Salary Sheet - WB Compliant'!E31</f>
        <v>MOTIAR RAHAMAN</v>
      </c>
      <c r="C31" s="11" t="str">
        <f>'Salary Sheet - WB Compliant'!D31</f>
        <v>DRIVER</v>
      </c>
      <c r="D31" s="11" t="str">
        <f>'Salary Sheet - WB Compliant'!X31</f>
        <v>Y</v>
      </c>
      <c r="E31" s="12">
        <f>'Salary Sheet - WB Compliant'!H31</f>
        <v>8400</v>
      </c>
      <c r="F31" s="12">
        <f t="shared" si="0"/>
        <v>1008</v>
      </c>
      <c r="G31" s="12">
        <f>'Salary Sheet - WB Compliant'!O31</f>
        <v>11615</v>
      </c>
      <c r="H31" s="12">
        <f>'Salary Sheet - WB Compliant'!Z31</f>
        <v>1394</v>
      </c>
      <c r="I31" s="12">
        <f t="shared" si="1"/>
        <v>11615</v>
      </c>
      <c r="J31" s="12">
        <f t="shared" si="2"/>
        <v>1394</v>
      </c>
      <c r="K31" s="12">
        <f t="shared" si="3"/>
        <v>0</v>
      </c>
      <c r="L31" s="12">
        <f t="shared" si="4"/>
        <v>386</v>
      </c>
      <c r="M31" s="12">
        <f t="shared" si="5"/>
        <v>386</v>
      </c>
    </row>
    <row r="32" spans="1:13" x14ac:dyDescent="0.25">
      <c r="A32" s="10">
        <f>'Salary Sheet - WB Compliant'!A32</f>
        <v>26</v>
      </c>
      <c r="B32" s="11" t="str">
        <f>'Salary Sheet - WB Compliant'!E32</f>
        <v>MOKSHED ALI</v>
      </c>
      <c r="C32" s="11" t="str">
        <f>'Salary Sheet - WB Compliant'!D32</f>
        <v>DRIVER</v>
      </c>
      <c r="D32" s="11" t="str">
        <f>'Salary Sheet - WB Compliant'!X32</f>
        <v>N</v>
      </c>
      <c r="E32" s="12">
        <f>'Salary Sheet - WB Compliant'!H32</f>
        <v>19000</v>
      </c>
      <c r="F32" s="12">
        <f t="shared" si="0"/>
        <v>0</v>
      </c>
      <c r="G32" s="12">
        <f>'Salary Sheet - WB Compliant'!O32</f>
        <v>19000</v>
      </c>
      <c r="H32" s="12">
        <f>'Salary Sheet - WB Compliant'!Z32</f>
        <v>0</v>
      </c>
      <c r="I32" s="12">
        <f t="shared" si="1"/>
        <v>15000</v>
      </c>
      <c r="J32" s="12">
        <f t="shared" si="2"/>
        <v>0</v>
      </c>
      <c r="K32" s="12">
        <f t="shared" si="3"/>
        <v>0</v>
      </c>
      <c r="L32" s="12">
        <f t="shared" si="4"/>
        <v>0</v>
      </c>
      <c r="M32" s="12">
        <f t="shared" si="5"/>
        <v>0</v>
      </c>
    </row>
    <row r="33" spans="1:13" x14ac:dyDescent="0.25">
      <c r="A33" s="10">
        <f>'Salary Sheet - WB Compliant'!A33</f>
        <v>27</v>
      </c>
      <c r="B33" s="11" t="str">
        <f>'Salary Sheet - WB Compliant'!E33</f>
        <v xml:space="preserve">SAMSER ALI </v>
      </c>
      <c r="C33" s="11" t="str">
        <f>'Salary Sheet - WB Compliant'!D33</f>
        <v>DRIVER</v>
      </c>
      <c r="D33" s="11" t="str">
        <f>'Salary Sheet - WB Compliant'!X33</f>
        <v>N</v>
      </c>
      <c r="E33" s="12">
        <f>'Salary Sheet - WB Compliant'!H33</f>
        <v>20600</v>
      </c>
      <c r="F33" s="12">
        <f t="shared" si="0"/>
        <v>0</v>
      </c>
      <c r="G33" s="12">
        <f>'Salary Sheet - WB Compliant'!O33</f>
        <v>20600</v>
      </c>
      <c r="H33" s="12">
        <f>'Salary Sheet - WB Compliant'!Z33</f>
        <v>0</v>
      </c>
      <c r="I33" s="12">
        <f t="shared" si="1"/>
        <v>15000</v>
      </c>
      <c r="J33" s="12">
        <f t="shared" si="2"/>
        <v>0</v>
      </c>
      <c r="K33" s="12">
        <f t="shared" si="3"/>
        <v>0</v>
      </c>
      <c r="L33" s="12">
        <f t="shared" si="4"/>
        <v>0</v>
      </c>
      <c r="M33" s="12">
        <f t="shared" si="5"/>
        <v>0</v>
      </c>
    </row>
    <row r="34" spans="1:13" x14ac:dyDescent="0.25">
      <c r="A34" s="10">
        <f>'Salary Sheet - WB Compliant'!A34</f>
        <v>28</v>
      </c>
      <c r="B34" s="11" t="str">
        <f>'Salary Sheet - WB Compliant'!E34</f>
        <v>SHANTI  MONDAL</v>
      </c>
      <c r="C34" s="11" t="str">
        <f>'Salary Sheet - WB Compliant'!D34</f>
        <v>DRIVER</v>
      </c>
      <c r="D34" s="11" t="str">
        <f>'Salary Sheet - WB Compliant'!X34</f>
        <v>N</v>
      </c>
      <c r="E34" s="12">
        <f>'Salary Sheet - WB Compliant'!H34</f>
        <v>20000</v>
      </c>
      <c r="F34" s="12">
        <f t="shared" si="0"/>
        <v>0</v>
      </c>
      <c r="G34" s="12">
        <f>'Salary Sheet - WB Compliant'!O34</f>
        <v>20000</v>
      </c>
      <c r="H34" s="12">
        <f>'Salary Sheet - WB Compliant'!Z34</f>
        <v>0</v>
      </c>
      <c r="I34" s="12">
        <f t="shared" si="1"/>
        <v>15000</v>
      </c>
      <c r="J34" s="12">
        <f t="shared" si="2"/>
        <v>0</v>
      </c>
      <c r="K34" s="12">
        <f t="shared" si="3"/>
        <v>0</v>
      </c>
      <c r="L34" s="12">
        <f t="shared" si="4"/>
        <v>0</v>
      </c>
      <c r="M34" s="12">
        <f t="shared" si="5"/>
        <v>0</v>
      </c>
    </row>
    <row r="35" spans="1:13" x14ac:dyDescent="0.25">
      <c r="A35" s="10">
        <f>'Salary Sheet - WB Compliant'!A35</f>
        <v>29</v>
      </c>
      <c r="B35" s="11" t="str">
        <f>'Salary Sheet - WB Compliant'!E35</f>
        <v xml:space="preserve">SIRAJUL  MOLLA  </v>
      </c>
      <c r="C35" s="11" t="str">
        <f>'Salary Sheet - WB Compliant'!D35</f>
        <v>DRIVER</v>
      </c>
      <c r="D35" s="11" t="str">
        <f>'Salary Sheet - WB Compliant'!X35</f>
        <v>Y</v>
      </c>
      <c r="E35" s="12">
        <f>'Salary Sheet - WB Compliant'!H35</f>
        <v>7850</v>
      </c>
      <c r="F35" s="12">
        <f t="shared" si="0"/>
        <v>942</v>
      </c>
      <c r="G35" s="12">
        <f>'Salary Sheet - WB Compliant'!O35</f>
        <v>11615</v>
      </c>
      <c r="H35" s="12">
        <f>'Salary Sheet - WB Compliant'!Z35</f>
        <v>1394</v>
      </c>
      <c r="I35" s="12">
        <f t="shared" si="1"/>
        <v>11615</v>
      </c>
      <c r="J35" s="12">
        <f t="shared" si="2"/>
        <v>1394</v>
      </c>
      <c r="K35" s="12">
        <f t="shared" si="3"/>
        <v>0</v>
      </c>
      <c r="L35" s="12">
        <f t="shared" si="4"/>
        <v>452</v>
      </c>
      <c r="M35" s="12">
        <f t="shared" si="5"/>
        <v>452</v>
      </c>
    </row>
    <row r="36" spans="1:13" x14ac:dyDescent="0.25">
      <c r="A36" s="10">
        <f>'Salary Sheet - WB Compliant'!A36</f>
        <v>30</v>
      </c>
      <c r="B36" s="11" t="str">
        <f>'Salary Sheet - WB Compliant'!E36</f>
        <v>SK. ANARUL ISLAM</v>
      </c>
      <c r="C36" s="11" t="str">
        <f>'Salary Sheet - WB Compliant'!D36</f>
        <v>HELPER</v>
      </c>
      <c r="D36" s="11" t="str">
        <f>'Salary Sheet - WB Compliant'!X36</f>
        <v>Y</v>
      </c>
      <c r="E36" s="12">
        <f>'Salary Sheet - WB Compliant'!H36</f>
        <v>6420</v>
      </c>
      <c r="F36" s="12">
        <f t="shared" si="0"/>
        <v>770</v>
      </c>
      <c r="G36" s="12">
        <f>'Salary Sheet - WB Compliant'!O36</f>
        <v>10558</v>
      </c>
      <c r="H36" s="12">
        <f>'Salary Sheet - WB Compliant'!Z36</f>
        <v>1267</v>
      </c>
      <c r="I36" s="12">
        <f t="shared" si="1"/>
        <v>10558</v>
      </c>
      <c r="J36" s="12">
        <f t="shared" si="2"/>
        <v>1267</v>
      </c>
      <c r="K36" s="12">
        <f t="shared" si="3"/>
        <v>0</v>
      </c>
      <c r="L36" s="12">
        <f t="shared" si="4"/>
        <v>497</v>
      </c>
      <c r="M36" s="12">
        <f t="shared" si="5"/>
        <v>497</v>
      </c>
    </row>
    <row r="37" spans="1:13" x14ac:dyDescent="0.25">
      <c r="A37" s="10">
        <f>'Salary Sheet - WB Compliant'!A37</f>
        <v>31</v>
      </c>
      <c r="B37" s="11" t="str">
        <f>'Salary Sheet - WB Compliant'!E37</f>
        <v>SRISTI DHAR MONDAL</v>
      </c>
      <c r="C37" s="11" t="str">
        <f>'Salary Sheet - WB Compliant'!D37</f>
        <v>HOPPER</v>
      </c>
      <c r="D37" s="11" t="str">
        <f>'Salary Sheet - WB Compliant'!X37</f>
        <v>Y</v>
      </c>
      <c r="E37" s="12">
        <f>'Salary Sheet - WB Compliant'!H37</f>
        <v>6590</v>
      </c>
      <c r="F37" s="12">
        <f t="shared" si="0"/>
        <v>791</v>
      </c>
      <c r="G37" s="12">
        <f>'Salary Sheet - WB Compliant'!O37</f>
        <v>11615</v>
      </c>
      <c r="H37" s="12">
        <f>'Salary Sheet - WB Compliant'!Z37</f>
        <v>1394</v>
      </c>
      <c r="I37" s="12">
        <f t="shared" si="1"/>
        <v>11615</v>
      </c>
      <c r="J37" s="12">
        <f t="shared" si="2"/>
        <v>1394</v>
      </c>
      <c r="K37" s="12">
        <f t="shared" si="3"/>
        <v>0</v>
      </c>
      <c r="L37" s="12">
        <f t="shared" si="4"/>
        <v>603</v>
      </c>
      <c r="M37" s="12">
        <f t="shared" si="5"/>
        <v>603</v>
      </c>
    </row>
    <row r="38" spans="1:13" x14ac:dyDescent="0.25">
      <c r="A38" s="10">
        <f>'Salary Sheet - WB Compliant'!A38</f>
        <v>32</v>
      </c>
      <c r="B38" s="11" t="str">
        <f>'Salary Sheet - WB Compliant'!E38</f>
        <v>SUDHAN MONDAL</v>
      </c>
      <c r="C38" s="11" t="str">
        <f>'Salary Sheet - WB Compliant'!D38</f>
        <v>HOPPER</v>
      </c>
      <c r="D38" s="11" t="str">
        <f>'Salary Sheet - WB Compliant'!X38</f>
        <v>Y</v>
      </c>
      <c r="E38" s="12">
        <f>'Salary Sheet - WB Compliant'!H38</f>
        <v>7290</v>
      </c>
      <c r="F38" s="12">
        <f t="shared" si="0"/>
        <v>875</v>
      </c>
      <c r="G38" s="12">
        <f>'Salary Sheet - WB Compliant'!O38</f>
        <v>11615</v>
      </c>
      <c r="H38" s="12">
        <f>'Salary Sheet - WB Compliant'!Z38</f>
        <v>1394</v>
      </c>
      <c r="I38" s="12">
        <f t="shared" si="1"/>
        <v>11615</v>
      </c>
      <c r="J38" s="12">
        <f t="shared" si="2"/>
        <v>1394</v>
      </c>
      <c r="K38" s="12">
        <f t="shared" si="3"/>
        <v>0</v>
      </c>
      <c r="L38" s="12">
        <f t="shared" si="4"/>
        <v>519</v>
      </c>
      <c r="M38" s="12">
        <f t="shared" si="5"/>
        <v>519</v>
      </c>
    </row>
    <row r="39" spans="1:13" x14ac:dyDescent="0.25">
      <c r="A39" s="10">
        <f>'Salary Sheet - WB Compliant'!A39</f>
        <v>33</v>
      </c>
      <c r="B39" s="11" t="str">
        <f>'Salary Sheet - WB Compliant'!E39</f>
        <v>SWAPAN MONDAL</v>
      </c>
      <c r="C39" s="11" t="str">
        <f>'Salary Sheet - WB Compliant'!D39</f>
        <v>LAB TECHNICIAN</v>
      </c>
      <c r="D39" s="11" t="str">
        <f>'Salary Sheet - WB Compliant'!X39</f>
        <v>Y</v>
      </c>
      <c r="E39" s="12">
        <f>'Salary Sheet - WB Compliant'!H39</f>
        <v>6750</v>
      </c>
      <c r="F39" s="12">
        <f t="shared" ref="F39:F70" si="6">IF(D39="Y",ROUND(E39*12%,0),0)</f>
        <v>810</v>
      </c>
      <c r="G39" s="12">
        <f>'Salary Sheet - WB Compliant'!O39</f>
        <v>12777</v>
      </c>
      <c r="H39" s="12">
        <f>'Salary Sheet - WB Compliant'!Z39</f>
        <v>1533</v>
      </c>
      <c r="I39" s="12">
        <f t="shared" ref="I39:I57" si="7">MIN(G39,15000)</f>
        <v>12777</v>
      </c>
      <c r="J39" s="12">
        <f t="shared" ref="J39:J70" si="8">IF(D39="Y",ROUND(I39*12%,0),0)</f>
        <v>1533</v>
      </c>
      <c r="K39" s="12">
        <f t="shared" ref="K39:K70" si="9">H39-J39</f>
        <v>0</v>
      </c>
      <c r="L39" s="12">
        <f t="shared" ref="L39:L57" si="10">H39-F39</f>
        <v>723</v>
      </c>
      <c r="M39" s="12">
        <f t="shared" ref="M39:M57" si="11">J39-F39</f>
        <v>723</v>
      </c>
    </row>
    <row r="40" spans="1:13" x14ac:dyDescent="0.25">
      <c r="A40" s="10">
        <f>'Salary Sheet - WB Compliant'!A40</f>
        <v>34</v>
      </c>
      <c r="B40" s="11" t="str">
        <f>'Salary Sheet - WB Compliant'!E40</f>
        <v>MOSIAR MOLLA</v>
      </c>
      <c r="C40" s="11" t="str">
        <f>'Salary Sheet - WB Compliant'!D40</f>
        <v>DRIVER</v>
      </c>
      <c r="D40" s="11" t="str">
        <f>'Salary Sheet - WB Compliant'!X40</f>
        <v>N</v>
      </c>
      <c r="E40" s="12">
        <f>'Salary Sheet - WB Compliant'!H40</f>
        <v>19000</v>
      </c>
      <c r="F40" s="12">
        <f t="shared" si="6"/>
        <v>0</v>
      </c>
      <c r="G40" s="12">
        <f>'Salary Sheet - WB Compliant'!O40</f>
        <v>19000</v>
      </c>
      <c r="H40" s="12">
        <f>'Salary Sheet - WB Compliant'!Z40</f>
        <v>0</v>
      </c>
      <c r="I40" s="12">
        <f t="shared" si="7"/>
        <v>15000</v>
      </c>
      <c r="J40" s="12">
        <f t="shared" si="8"/>
        <v>0</v>
      </c>
      <c r="K40" s="12">
        <f t="shared" si="9"/>
        <v>0</v>
      </c>
      <c r="L40" s="12">
        <f t="shared" si="10"/>
        <v>0</v>
      </c>
      <c r="M40" s="12">
        <f t="shared" si="11"/>
        <v>0</v>
      </c>
    </row>
    <row r="41" spans="1:13" x14ac:dyDescent="0.25">
      <c r="A41" s="10">
        <f>'Salary Sheet - WB Compliant'!A41</f>
        <v>35</v>
      </c>
      <c r="B41" s="11" t="str">
        <f>'Salary Sheet - WB Compliant'!E41</f>
        <v>ISRAFIL DHALI</v>
      </c>
      <c r="C41" s="11" t="str">
        <f>'Salary Sheet - WB Compliant'!D41</f>
        <v>DRIVER</v>
      </c>
      <c r="D41" s="11" t="str">
        <f>'Salary Sheet - WB Compliant'!X41</f>
        <v>N</v>
      </c>
      <c r="E41" s="12">
        <f>'Salary Sheet - WB Compliant'!H41</f>
        <v>21000</v>
      </c>
      <c r="F41" s="12">
        <f t="shared" si="6"/>
        <v>0</v>
      </c>
      <c r="G41" s="12">
        <f>'Salary Sheet - WB Compliant'!O41</f>
        <v>21000</v>
      </c>
      <c r="H41" s="12">
        <f>'Salary Sheet - WB Compliant'!Z41</f>
        <v>0</v>
      </c>
      <c r="I41" s="12">
        <f t="shared" si="7"/>
        <v>15000</v>
      </c>
      <c r="J41" s="12">
        <f t="shared" si="8"/>
        <v>0</v>
      </c>
      <c r="K41" s="12">
        <f t="shared" si="9"/>
        <v>0</v>
      </c>
      <c r="L41" s="12">
        <f t="shared" si="10"/>
        <v>0</v>
      </c>
      <c r="M41" s="12">
        <f t="shared" si="11"/>
        <v>0</v>
      </c>
    </row>
    <row r="42" spans="1:13" x14ac:dyDescent="0.25">
      <c r="A42" s="10">
        <f>'Salary Sheet - WB Compliant'!A42</f>
        <v>36</v>
      </c>
      <c r="B42" s="11" t="str">
        <f>'Salary Sheet - WB Compliant'!E42</f>
        <v>ROUF MONDAL</v>
      </c>
      <c r="C42" s="11" t="str">
        <f>'Salary Sheet - WB Compliant'!D42</f>
        <v>DRIVER</v>
      </c>
      <c r="D42" s="11" t="str">
        <f>'Salary Sheet - WB Compliant'!X42</f>
        <v>N</v>
      </c>
      <c r="E42" s="12">
        <f>'Salary Sheet - WB Compliant'!H42</f>
        <v>21000</v>
      </c>
      <c r="F42" s="12">
        <f t="shared" si="6"/>
        <v>0</v>
      </c>
      <c r="G42" s="12">
        <f>'Salary Sheet - WB Compliant'!O42</f>
        <v>21000</v>
      </c>
      <c r="H42" s="12">
        <f>'Salary Sheet - WB Compliant'!Z42</f>
        <v>0</v>
      </c>
      <c r="I42" s="12">
        <f t="shared" si="7"/>
        <v>15000</v>
      </c>
      <c r="J42" s="12">
        <f t="shared" si="8"/>
        <v>0</v>
      </c>
      <c r="K42" s="12">
        <f t="shared" si="9"/>
        <v>0</v>
      </c>
      <c r="L42" s="12">
        <f t="shared" si="10"/>
        <v>0</v>
      </c>
      <c r="M42" s="12">
        <f t="shared" si="11"/>
        <v>0</v>
      </c>
    </row>
    <row r="43" spans="1:13" x14ac:dyDescent="0.25">
      <c r="A43" s="10">
        <f>'Salary Sheet - WB Compliant'!A43</f>
        <v>37</v>
      </c>
      <c r="B43" s="11" t="str">
        <f>'Salary Sheet - WB Compliant'!E43</f>
        <v>KANAK JANA</v>
      </c>
      <c r="C43" s="11" t="str">
        <f>'Salary Sheet - WB Compliant'!D43</f>
        <v>LAB TECHNICIAN</v>
      </c>
      <c r="D43" s="11" t="str">
        <f>'Salary Sheet - WB Compliant'!X43</f>
        <v>Y</v>
      </c>
      <c r="E43" s="12">
        <f>'Salary Sheet - WB Compliant'!H43</f>
        <v>9300</v>
      </c>
      <c r="F43" s="12">
        <f t="shared" si="6"/>
        <v>1116</v>
      </c>
      <c r="G43" s="12">
        <f>'Salary Sheet - WB Compliant'!O43</f>
        <v>12777</v>
      </c>
      <c r="H43" s="12">
        <f>'Salary Sheet - WB Compliant'!Z43</f>
        <v>1533</v>
      </c>
      <c r="I43" s="12">
        <f t="shared" si="7"/>
        <v>12777</v>
      </c>
      <c r="J43" s="12">
        <f t="shared" si="8"/>
        <v>1533</v>
      </c>
      <c r="K43" s="12">
        <f t="shared" si="9"/>
        <v>0</v>
      </c>
      <c r="L43" s="12">
        <f t="shared" si="10"/>
        <v>417</v>
      </c>
      <c r="M43" s="12">
        <f t="shared" si="11"/>
        <v>417</v>
      </c>
    </row>
    <row r="44" spans="1:13" x14ac:dyDescent="0.25">
      <c r="A44" s="10">
        <f>'Salary Sheet - WB Compliant'!A44</f>
        <v>38</v>
      </c>
      <c r="B44" s="11" t="str">
        <f>'Salary Sheet - WB Compliant'!E44</f>
        <v>SOUMEN GARAI</v>
      </c>
      <c r="C44" s="11" t="str">
        <f>'Salary Sheet - WB Compliant'!D44</f>
        <v>OTHERS</v>
      </c>
      <c r="D44" s="11" t="str">
        <f>'Salary Sheet - WB Compliant'!X44</f>
        <v>Y</v>
      </c>
      <c r="E44" s="12">
        <f>'Salary Sheet - WB Compliant'!H44</f>
        <v>7980</v>
      </c>
      <c r="F44" s="12">
        <f t="shared" si="6"/>
        <v>958</v>
      </c>
      <c r="G44" s="12">
        <f>'Salary Sheet - WB Compliant'!O44</f>
        <v>12777</v>
      </c>
      <c r="H44" s="12">
        <f>'Salary Sheet - WB Compliant'!Z44</f>
        <v>1533</v>
      </c>
      <c r="I44" s="12">
        <f t="shared" si="7"/>
        <v>12777</v>
      </c>
      <c r="J44" s="12">
        <f t="shared" si="8"/>
        <v>1533</v>
      </c>
      <c r="K44" s="12">
        <f t="shared" si="9"/>
        <v>0</v>
      </c>
      <c r="L44" s="12">
        <f t="shared" si="10"/>
        <v>575</v>
      </c>
      <c r="M44" s="12">
        <f t="shared" si="11"/>
        <v>575</v>
      </c>
    </row>
    <row r="45" spans="1:13" x14ac:dyDescent="0.25">
      <c r="A45" s="10">
        <f>'Salary Sheet - WB Compliant'!A45</f>
        <v>39</v>
      </c>
      <c r="B45" s="11" t="str">
        <f>'Salary Sheet - WB Compliant'!E45</f>
        <v>ASHOK MONDAL</v>
      </c>
      <c r="C45" s="11" t="str">
        <f>'Salary Sheet - WB Compliant'!D45</f>
        <v>DRIVER</v>
      </c>
      <c r="D45" s="11" t="str">
        <f>'Salary Sheet - WB Compliant'!X45</f>
        <v>N</v>
      </c>
      <c r="E45" s="12">
        <f>'Salary Sheet - WB Compliant'!H45</f>
        <v>21000</v>
      </c>
      <c r="F45" s="12">
        <f t="shared" si="6"/>
        <v>0</v>
      </c>
      <c r="G45" s="12">
        <f>'Salary Sheet - WB Compliant'!O45</f>
        <v>21000</v>
      </c>
      <c r="H45" s="12">
        <f>'Salary Sheet - WB Compliant'!Z45</f>
        <v>0</v>
      </c>
      <c r="I45" s="12">
        <f t="shared" si="7"/>
        <v>15000</v>
      </c>
      <c r="J45" s="12">
        <f t="shared" si="8"/>
        <v>0</v>
      </c>
      <c r="K45" s="12">
        <f t="shared" si="9"/>
        <v>0</v>
      </c>
      <c r="L45" s="12">
        <f t="shared" si="10"/>
        <v>0</v>
      </c>
      <c r="M45" s="12">
        <f t="shared" si="11"/>
        <v>0</v>
      </c>
    </row>
    <row r="46" spans="1:13" x14ac:dyDescent="0.25">
      <c r="A46" s="10">
        <f>'Salary Sheet - WB Compliant'!A46</f>
        <v>40</v>
      </c>
      <c r="B46" s="11" t="str">
        <f>'Salary Sheet - WB Compliant'!E46</f>
        <v>ANSWAR ALI MOLLA</v>
      </c>
      <c r="C46" s="11" t="str">
        <f>'Salary Sheet - WB Compliant'!D46</f>
        <v>DRIVER</v>
      </c>
      <c r="D46" s="11" t="str">
        <f>'Salary Sheet - WB Compliant'!X46</f>
        <v>N</v>
      </c>
      <c r="E46" s="12">
        <f>'Salary Sheet - WB Compliant'!H46</f>
        <v>21000</v>
      </c>
      <c r="F46" s="12">
        <f t="shared" si="6"/>
        <v>0</v>
      </c>
      <c r="G46" s="12">
        <f>'Salary Sheet - WB Compliant'!O46</f>
        <v>21000</v>
      </c>
      <c r="H46" s="12">
        <f>'Salary Sheet - WB Compliant'!Z46</f>
        <v>0</v>
      </c>
      <c r="I46" s="12">
        <f t="shared" si="7"/>
        <v>15000</v>
      </c>
      <c r="J46" s="12">
        <f t="shared" si="8"/>
        <v>0</v>
      </c>
      <c r="K46" s="12">
        <f t="shared" si="9"/>
        <v>0</v>
      </c>
      <c r="L46" s="12">
        <f t="shared" si="10"/>
        <v>0</v>
      </c>
      <c r="M46" s="12">
        <f t="shared" si="11"/>
        <v>0</v>
      </c>
    </row>
    <row r="47" spans="1:13" x14ac:dyDescent="0.25">
      <c r="A47" s="10">
        <f>'Salary Sheet - WB Compliant'!A47</f>
        <v>41</v>
      </c>
      <c r="B47" s="11" t="str">
        <f>'Salary Sheet - WB Compliant'!E47</f>
        <v>MOMINUL HAQUE</v>
      </c>
      <c r="C47" s="11" t="str">
        <f>'Salary Sheet - WB Compliant'!D47</f>
        <v>LAB TECHNICIAN</v>
      </c>
      <c r="D47" s="11" t="str">
        <f>'Salary Sheet - WB Compliant'!X47</f>
        <v>Y</v>
      </c>
      <c r="E47" s="12">
        <f>'Salary Sheet - WB Compliant'!H47</f>
        <v>7640</v>
      </c>
      <c r="F47" s="12">
        <f t="shared" si="6"/>
        <v>917</v>
      </c>
      <c r="G47" s="12">
        <f>'Salary Sheet - WB Compliant'!O47</f>
        <v>12777</v>
      </c>
      <c r="H47" s="12">
        <f>'Salary Sheet - WB Compliant'!Z47</f>
        <v>1533</v>
      </c>
      <c r="I47" s="12">
        <f t="shared" si="7"/>
        <v>12777</v>
      </c>
      <c r="J47" s="12">
        <f t="shared" si="8"/>
        <v>1533</v>
      </c>
      <c r="K47" s="12">
        <f t="shared" si="9"/>
        <v>0</v>
      </c>
      <c r="L47" s="12">
        <f t="shared" si="10"/>
        <v>616</v>
      </c>
      <c r="M47" s="12">
        <f t="shared" si="11"/>
        <v>616</v>
      </c>
    </row>
    <row r="48" spans="1:13" x14ac:dyDescent="0.25">
      <c r="A48" s="10">
        <f>'Salary Sheet - WB Compliant'!A48</f>
        <v>42</v>
      </c>
      <c r="B48" s="11" t="str">
        <f>'Salary Sheet - WB Compliant'!E48</f>
        <v>EKRAMUL ALI</v>
      </c>
      <c r="C48" s="11" t="str">
        <f>'Salary Sheet - WB Compliant'!D48</f>
        <v>HELPER</v>
      </c>
      <c r="D48" s="11" t="str">
        <f>'Salary Sheet - WB Compliant'!X48</f>
        <v>Y</v>
      </c>
      <c r="E48" s="12">
        <f>'Salary Sheet - WB Compliant'!H48</f>
        <v>7700</v>
      </c>
      <c r="F48" s="12">
        <f t="shared" si="6"/>
        <v>924</v>
      </c>
      <c r="G48" s="12">
        <f>'Salary Sheet - WB Compliant'!O48</f>
        <v>10558</v>
      </c>
      <c r="H48" s="12">
        <f>'Salary Sheet - WB Compliant'!Z48</f>
        <v>1267</v>
      </c>
      <c r="I48" s="12">
        <f t="shared" si="7"/>
        <v>10558</v>
      </c>
      <c r="J48" s="12">
        <f t="shared" si="8"/>
        <v>1267</v>
      </c>
      <c r="K48" s="12">
        <f t="shared" si="9"/>
        <v>0</v>
      </c>
      <c r="L48" s="12">
        <f t="shared" si="10"/>
        <v>343</v>
      </c>
      <c r="M48" s="12">
        <f t="shared" si="11"/>
        <v>343</v>
      </c>
    </row>
    <row r="49" spans="1:13" x14ac:dyDescent="0.25">
      <c r="A49" s="10">
        <f>'Salary Sheet - WB Compliant'!A49</f>
        <v>43</v>
      </c>
      <c r="B49" s="11" t="str">
        <f>'Salary Sheet - WB Compliant'!E49</f>
        <v>JULFIKAR DHALI</v>
      </c>
      <c r="C49" s="11" t="str">
        <f>'Salary Sheet - WB Compliant'!D49</f>
        <v>DRIVER</v>
      </c>
      <c r="D49" s="11" t="str">
        <f>'Salary Sheet - WB Compliant'!X49</f>
        <v>N</v>
      </c>
      <c r="E49" s="12">
        <f>'Salary Sheet - WB Compliant'!H49</f>
        <v>19000</v>
      </c>
      <c r="F49" s="12">
        <f t="shared" si="6"/>
        <v>0</v>
      </c>
      <c r="G49" s="12">
        <f>'Salary Sheet - WB Compliant'!O49</f>
        <v>19000</v>
      </c>
      <c r="H49" s="12">
        <f>'Salary Sheet - WB Compliant'!Z49</f>
        <v>0</v>
      </c>
      <c r="I49" s="12">
        <f t="shared" si="7"/>
        <v>15000</v>
      </c>
      <c r="J49" s="12">
        <f t="shared" si="8"/>
        <v>0</v>
      </c>
      <c r="K49" s="12">
        <f t="shared" si="9"/>
        <v>0</v>
      </c>
      <c r="L49" s="12">
        <f t="shared" si="10"/>
        <v>0</v>
      </c>
      <c r="M49" s="12">
        <f t="shared" si="11"/>
        <v>0</v>
      </c>
    </row>
    <row r="50" spans="1:13" x14ac:dyDescent="0.25">
      <c r="A50" s="10">
        <f>'Salary Sheet - WB Compliant'!A50</f>
        <v>44</v>
      </c>
      <c r="B50" s="11" t="str">
        <f>'Salary Sheet - WB Compliant'!E50</f>
        <v>SUPRAKASH SAMANTO</v>
      </c>
      <c r="C50" s="11" t="str">
        <f>'Salary Sheet - WB Compliant'!D50</f>
        <v>LAB TECHNICIAN</v>
      </c>
      <c r="D50" s="11" t="str">
        <f>'Salary Sheet - WB Compliant'!X50</f>
        <v>Y</v>
      </c>
      <c r="E50" s="12">
        <f>'Salary Sheet - WB Compliant'!H50</f>
        <v>7630</v>
      </c>
      <c r="F50" s="12">
        <f t="shared" si="6"/>
        <v>916</v>
      </c>
      <c r="G50" s="12">
        <f>'Salary Sheet - WB Compliant'!O50</f>
        <v>12777</v>
      </c>
      <c r="H50" s="12">
        <f>'Salary Sheet - WB Compliant'!Z50</f>
        <v>1533</v>
      </c>
      <c r="I50" s="12">
        <f t="shared" si="7"/>
        <v>12777</v>
      </c>
      <c r="J50" s="12">
        <f t="shared" si="8"/>
        <v>1533</v>
      </c>
      <c r="K50" s="12">
        <f t="shared" si="9"/>
        <v>0</v>
      </c>
      <c r="L50" s="12">
        <f t="shared" si="10"/>
        <v>617</v>
      </c>
      <c r="M50" s="12">
        <f t="shared" si="11"/>
        <v>617</v>
      </c>
    </row>
    <row r="51" spans="1:13" x14ac:dyDescent="0.25">
      <c r="A51" s="10">
        <f>'Salary Sheet - WB Compliant'!A51</f>
        <v>45</v>
      </c>
      <c r="B51" s="11" t="str">
        <f>'Salary Sheet - WB Compliant'!E51</f>
        <v>TANMOY MONDAL</v>
      </c>
      <c r="C51" s="11" t="str">
        <f>'Salary Sheet - WB Compliant'!D51</f>
        <v>DRIVER</v>
      </c>
      <c r="D51" s="11" t="str">
        <f>'Salary Sheet - WB Compliant'!X51</f>
        <v>N</v>
      </c>
      <c r="E51" s="12">
        <f>'Salary Sheet - WB Compliant'!H51</f>
        <v>19000</v>
      </c>
      <c r="F51" s="12">
        <f t="shared" si="6"/>
        <v>0</v>
      </c>
      <c r="G51" s="12">
        <f>'Salary Sheet - WB Compliant'!O51</f>
        <v>19000</v>
      </c>
      <c r="H51" s="12">
        <f>'Salary Sheet - WB Compliant'!Z51</f>
        <v>0</v>
      </c>
      <c r="I51" s="12">
        <f t="shared" si="7"/>
        <v>15000</v>
      </c>
      <c r="J51" s="12">
        <f t="shared" si="8"/>
        <v>0</v>
      </c>
      <c r="K51" s="12">
        <f t="shared" si="9"/>
        <v>0</v>
      </c>
      <c r="L51" s="12">
        <f t="shared" si="10"/>
        <v>0</v>
      </c>
      <c r="M51" s="12">
        <f t="shared" si="11"/>
        <v>0</v>
      </c>
    </row>
    <row r="52" spans="1:13" x14ac:dyDescent="0.25">
      <c r="A52" s="10">
        <f>'Salary Sheet - WB Compliant'!A52</f>
        <v>46</v>
      </c>
      <c r="B52" s="11" t="str">
        <f>'Salary Sheet - WB Compliant'!E52</f>
        <v>ALOK MONDAL</v>
      </c>
      <c r="C52" s="11" t="str">
        <f>'Salary Sheet - WB Compliant'!D52</f>
        <v>HELPER</v>
      </c>
      <c r="D52" s="11" t="str">
        <f>'Salary Sheet - WB Compliant'!X52</f>
        <v>Y</v>
      </c>
      <c r="E52" s="12">
        <f>'Salary Sheet - WB Compliant'!H52</f>
        <v>7700</v>
      </c>
      <c r="F52" s="12">
        <f t="shared" si="6"/>
        <v>924</v>
      </c>
      <c r="G52" s="12">
        <f>'Salary Sheet - WB Compliant'!O52</f>
        <v>10558</v>
      </c>
      <c r="H52" s="12">
        <f>'Salary Sheet - WB Compliant'!Z52</f>
        <v>1267</v>
      </c>
      <c r="I52" s="12">
        <f t="shared" si="7"/>
        <v>10558</v>
      </c>
      <c r="J52" s="12">
        <f t="shared" si="8"/>
        <v>1267</v>
      </c>
      <c r="K52" s="12">
        <f t="shared" si="9"/>
        <v>0</v>
      </c>
      <c r="L52" s="12">
        <f t="shared" si="10"/>
        <v>343</v>
      </c>
      <c r="M52" s="12">
        <f t="shared" si="11"/>
        <v>343</v>
      </c>
    </row>
    <row r="53" spans="1:13" x14ac:dyDescent="0.25">
      <c r="A53" s="10">
        <f>'Salary Sheet - WB Compliant'!A53</f>
        <v>47</v>
      </c>
      <c r="B53" s="11" t="str">
        <f>'Salary Sheet - WB Compliant'!E53</f>
        <v>RAJESH BAR</v>
      </c>
      <c r="C53" s="11" t="str">
        <f>'Salary Sheet - WB Compliant'!D53</f>
        <v>LAB TECHNICIAN</v>
      </c>
      <c r="D53" s="11" t="str">
        <f>'Salary Sheet - WB Compliant'!X53</f>
        <v>Y</v>
      </c>
      <c r="E53" s="12">
        <f>'Salary Sheet - WB Compliant'!H53</f>
        <v>7650</v>
      </c>
      <c r="F53" s="12">
        <f t="shared" si="6"/>
        <v>918</v>
      </c>
      <c r="G53" s="12">
        <f>'Salary Sheet - WB Compliant'!O53</f>
        <v>12777</v>
      </c>
      <c r="H53" s="12">
        <f>'Salary Sheet - WB Compliant'!Z53</f>
        <v>1533</v>
      </c>
      <c r="I53" s="12">
        <f t="shared" si="7"/>
        <v>12777</v>
      </c>
      <c r="J53" s="12">
        <f t="shared" si="8"/>
        <v>1533</v>
      </c>
      <c r="K53" s="12">
        <f t="shared" si="9"/>
        <v>0</v>
      </c>
      <c r="L53" s="12">
        <f t="shared" si="10"/>
        <v>615</v>
      </c>
      <c r="M53" s="12">
        <f t="shared" si="11"/>
        <v>615</v>
      </c>
    </row>
    <row r="54" spans="1:13" x14ac:dyDescent="0.25">
      <c r="A54" s="10">
        <f>'Salary Sheet - WB Compliant'!A54</f>
        <v>48</v>
      </c>
      <c r="B54" s="11" t="str">
        <f>'Salary Sheet - WB Compliant'!E54</f>
        <v>BIKRAM ROY</v>
      </c>
      <c r="C54" s="11" t="str">
        <f>'Salary Sheet - WB Compliant'!D54</f>
        <v>LAB TECHNICIAN</v>
      </c>
      <c r="D54" s="11" t="str">
        <f>'Salary Sheet - WB Compliant'!X54</f>
        <v>Y</v>
      </c>
      <c r="E54" s="12">
        <f>'Salary Sheet - WB Compliant'!H54</f>
        <v>7630</v>
      </c>
      <c r="F54" s="12">
        <f t="shared" si="6"/>
        <v>916</v>
      </c>
      <c r="G54" s="12">
        <f>'Salary Sheet - WB Compliant'!O54</f>
        <v>12777</v>
      </c>
      <c r="H54" s="12">
        <f>'Salary Sheet - WB Compliant'!Z54</f>
        <v>1533</v>
      </c>
      <c r="I54" s="12">
        <f t="shared" si="7"/>
        <v>12777</v>
      </c>
      <c r="J54" s="12">
        <f t="shared" si="8"/>
        <v>1533</v>
      </c>
      <c r="K54" s="12">
        <f t="shared" si="9"/>
        <v>0</v>
      </c>
      <c r="L54" s="12">
        <f t="shared" si="10"/>
        <v>617</v>
      </c>
      <c r="M54" s="12">
        <f t="shared" si="11"/>
        <v>617</v>
      </c>
    </row>
    <row r="55" spans="1:13" x14ac:dyDescent="0.25">
      <c r="A55" s="10">
        <f>'Salary Sheet - WB Compliant'!A55</f>
        <v>49</v>
      </c>
      <c r="B55" s="11" t="str">
        <f>'Salary Sheet - WB Compliant'!E55</f>
        <v>JITU MAHALI</v>
      </c>
      <c r="C55" s="11" t="str">
        <f>'Salary Sheet - WB Compliant'!D55</f>
        <v>DRIVER</v>
      </c>
      <c r="D55" s="11" t="str">
        <f>'Salary Sheet - WB Compliant'!X55</f>
        <v>N</v>
      </c>
      <c r="E55" s="12">
        <f>'Salary Sheet - WB Compliant'!H55</f>
        <v>19000</v>
      </c>
      <c r="F55" s="12">
        <f t="shared" si="6"/>
        <v>0</v>
      </c>
      <c r="G55" s="12">
        <f>'Salary Sheet - WB Compliant'!O55</f>
        <v>19000</v>
      </c>
      <c r="H55" s="12">
        <f>'Salary Sheet - WB Compliant'!Z55</f>
        <v>0</v>
      </c>
      <c r="I55" s="12">
        <f t="shared" si="7"/>
        <v>15000</v>
      </c>
      <c r="J55" s="12">
        <f t="shared" si="8"/>
        <v>0</v>
      </c>
      <c r="K55" s="12">
        <f t="shared" si="9"/>
        <v>0</v>
      </c>
      <c r="L55" s="12">
        <f t="shared" si="10"/>
        <v>0</v>
      </c>
      <c r="M55" s="12">
        <f t="shared" si="11"/>
        <v>0</v>
      </c>
    </row>
    <row r="56" spans="1:13" x14ac:dyDescent="0.25">
      <c r="A56" s="10">
        <f>'Salary Sheet - WB Compliant'!A56</f>
        <v>50</v>
      </c>
      <c r="B56" s="11" t="str">
        <f>'Salary Sheet - WB Compliant'!E56</f>
        <v>MILAN RUIDAS</v>
      </c>
      <c r="C56" s="11" t="str">
        <f>'Salary Sheet - WB Compliant'!D56</f>
        <v>LAB TECHNICIAN</v>
      </c>
      <c r="D56" s="11" t="str">
        <f>'Salary Sheet - WB Compliant'!X56</f>
        <v>Y</v>
      </c>
      <c r="E56" s="12">
        <f>'Salary Sheet - WB Compliant'!H56</f>
        <v>7620</v>
      </c>
      <c r="F56" s="12">
        <f t="shared" si="6"/>
        <v>914</v>
      </c>
      <c r="G56" s="12">
        <f>'Salary Sheet - WB Compliant'!O56</f>
        <v>12777</v>
      </c>
      <c r="H56" s="12">
        <f>'Salary Sheet - WB Compliant'!Z56</f>
        <v>1533</v>
      </c>
      <c r="I56" s="12">
        <f t="shared" si="7"/>
        <v>12777</v>
      </c>
      <c r="J56" s="12">
        <f t="shared" si="8"/>
        <v>1533</v>
      </c>
      <c r="K56" s="12">
        <f t="shared" si="9"/>
        <v>0</v>
      </c>
      <c r="L56" s="12">
        <f t="shared" si="10"/>
        <v>619</v>
      </c>
      <c r="M56" s="12">
        <f t="shared" si="11"/>
        <v>619</v>
      </c>
    </row>
    <row r="57" spans="1:13" x14ac:dyDescent="0.25">
      <c r="A57" s="10">
        <f>'Salary Sheet - WB Compliant'!A57</f>
        <v>51</v>
      </c>
      <c r="B57" s="11" t="str">
        <f>'Salary Sheet - WB Compliant'!E57</f>
        <v>BABLU MONDAL (L)</v>
      </c>
      <c r="C57" s="11" t="str">
        <f>'Salary Sheet - WB Compliant'!D57</f>
        <v>LAB TECHNICIAN</v>
      </c>
      <c r="D57" s="11" t="str">
        <f>'Salary Sheet - WB Compliant'!X57</f>
        <v>Y</v>
      </c>
      <c r="E57" s="12">
        <f>'Salary Sheet - WB Compliant'!H57</f>
        <v>8400</v>
      </c>
      <c r="F57" s="12">
        <f t="shared" si="6"/>
        <v>1008</v>
      </c>
      <c r="G57" s="12">
        <f>'Salary Sheet - WB Compliant'!O57</f>
        <v>12777</v>
      </c>
      <c r="H57" s="12">
        <f>'Salary Sheet - WB Compliant'!Z57</f>
        <v>1533</v>
      </c>
      <c r="I57" s="12">
        <f t="shared" si="7"/>
        <v>12777</v>
      </c>
      <c r="J57" s="12">
        <f t="shared" si="8"/>
        <v>1533</v>
      </c>
      <c r="K57" s="12">
        <f t="shared" si="9"/>
        <v>0</v>
      </c>
      <c r="L57" s="12">
        <f t="shared" si="10"/>
        <v>525</v>
      </c>
      <c r="M57" s="12">
        <f t="shared" si="11"/>
        <v>525</v>
      </c>
    </row>
    <row r="58" spans="1:13" x14ac:dyDescent="0.25">
      <c r="B58" s="13" t="s">
        <v>44</v>
      </c>
      <c r="F58" s="14">
        <f>SUM(F7:F57)</f>
        <v>46011</v>
      </c>
      <c r="H58" s="14">
        <f>SUM(H7:H57)</f>
        <v>64496</v>
      </c>
      <c r="J58" s="14">
        <f>SUM(J7:J57)</f>
        <v>58856</v>
      </c>
      <c r="K58" s="14">
        <f>SUM(K7:K57)</f>
        <v>5640</v>
      </c>
      <c r="L58" s="14">
        <f>SUM(L7:L57)</f>
        <v>18485</v>
      </c>
      <c r="M58" s="14">
        <f>SUM(M7:M57)</f>
        <v>12845</v>
      </c>
    </row>
    <row r="60" spans="1:13" x14ac:dyDescent="0.25">
      <c r="B60" s="4" t="s">
        <v>45</v>
      </c>
      <c r="C60" s="4"/>
      <c r="D60" s="4"/>
      <c r="E60" s="4"/>
      <c r="F60" s="4"/>
    </row>
    <row r="61" spans="1:13" x14ac:dyDescent="0.25">
      <c r="B61" s="1" t="s">
        <v>46</v>
      </c>
      <c r="C61" s="1"/>
      <c r="D61" s="1"/>
      <c r="E61" s="1"/>
      <c r="F61" s="8">
        <f>F58</f>
        <v>46011</v>
      </c>
    </row>
    <row r="62" spans="1:13" x14ac:dyDescent="0.25">
      <c r="B62" s="1" t="s">
        <v>47</v>
      </c>
      <c r="C62" s="1"/>
      <c r="D62" s="1"/>
      <c r="E62" s="1"/>
      <c r="F62" s="8">
        <f>H58</f>
        <v>64496</v>
      </c>
    </row>
    <row r="63" spans="1:13" x14ac:dyDescent="0.25">
      <c r="B63" s="1" t="s">
        <v>48</v>
      </c>
      <c r="C63" s="1"/>
      <c r="D63" s="1"/>
      <c r="E63" s="1"/>
      <c r="F63" s="8">
        <f>J58</f>
        <v>58856</v>
      </c>
    </row>
    <row r="64" spans="1:13" x14ac:dyDescent="0.25">
      <c r="B64" s="1" t="s">
        <v>49</v>
      </c>
      <c r="C64" s="1"/>
      <c r="D64" s="1"/>
      <c r="E64" s="1"/>
      <c r="F64" s="8">
        <f>H58-F58</f>
        <v>18485</v>
      </c>
    </row>
    <row r="65" spans="2:13" x14ac:dyDescent="0.25">
      <c r="B65" s="1" t="s">
        <v>50</v>
      </c>
      <c r="C65" s="1"/>
      <c r="D65" s="1"/>
      <c r="E65" s="1"/>
      <c r="F65" s="8">
        <f>J58-F58</f>
        <v>12845</v>
      </c>
    </row>
    <row r="66" spans="2:13" x14ac:dyDescent="0.25">
      <c r="B66" s="1" t="s">
        <v>51</v>
      </c>
      <c r="C66" s="1"/>
      <c r="D66" s="1"/>
      <c r="E66" s="1"/>
      <c r="F66" s="8">
        <f>H58-J58</f>
        <v>5640</v>
      </c>
    </row>
    <row r="67" spans="2:13" x14ac:dyDescent="0.25">
      <c r="B67" s="1" t="s">
        <v>52</v>
      </c>
      <c r="C67" s="1"/>
      <c r="D67" s="1"/>
      <c r="E67" s="1"/>
      <c r="F67" s="8">
        <f>(H58-J58)*12</f>
        <v>67680</v>
      </c>
    </row>
    <row r="69" spans="2:13" x14ac:dyDescent="0.25">
      <c r="B69" s="2" t="s">
        <v>53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2:13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2:13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</sheetData>
  <mergeCells count="11">
    <mergeCell ref="B69:M71"/>
    <mergeCell ref="B63:E63"/>
    <mergeCell ref="B64:E64"/>
    <mergeCell ref="B65:E65"/>
    <mergeCell ref="B66:E66"/>
    <mergeCell ref="B67:E67"/>
    <mergeCell ref="A1:M1"/>
    <mergeCell ref="A3:M4"/>
    <mergeCell ref="B60:F60"/>
    <mergeCell ref="B61:E61"/>
    <mergeCell ref="B62:E6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AG58"/>
  <sheetViews>
    <sheetView showGridLines="0" zoomScaleNormal="100" workbookViewId="0">
      <pane xSplit="5" ySplit="6" topLeftCell="F28" activePane="bottomRight" state="frozen"/>
      <selection pane="topRight" activeCell="F1" sqref="F1"/>
      <selection pane="bottomLeft" activeCell="A7" sqref="A7"/>
      <selection pane="bottomRight" sqref="A1:AG1"/>
    </sheetView>
  </sheetViews>
  <sheetFormatPr defaultColWidth="8.7109375" defaultRowHeight="15" x14ac:dyDescent="0.25"/>
  <cols>
    <col min="1" max="1" width="5" customWidth="1"/>
    <col min="2" max="2" width="7" customWidth="1"/>
    <col min="3" max="3" width="9" customWidth="1"/>
    <col min="4" max="4" width="12" customWidth="1"/>
    <col min="5" max="5" width="20" customWidth="1"/>
    <col min="6" max="6" width="10" customWidth="1"/>
    <col min="7" max="8" width="9" customWidth="1"/>
    <col min="9" max="10" width="8" customWidth="1"/>
    <col min="11" max="11" width="9" customWidth="1"/>
    <col min="12" max="12" width="8" customWidth="1"/>
    <col min="13" max="13" width="9" customWidth="1"/>
    <col min="14" max="15" width="10" customWidth="1"/>
    <col min="16" max="16" width="9" customWidth="1"/>
    <col min="17" max="17" width="10" customWidth="1"/>
    <col min="18" max="20" width="9" customWidth="1"/>
    <col min="21" max="21" width="10" customWidth="1"/>
    <col min="22" max="24" width="8" customWidth="1"/>
    <col min="25" max="27" width="9" customWidth="1"/>
    <col min="28" max="28" width="8" customWidth="1"/>
    <col min="29" max="30" width="9" customWidth="1"/>
    <col min="31" max="31" width="10" customWidth="1"/>
    <col min="32" max="32" width="11" customWidth="1"/>
  </cols>
  <sheetData>
    <row r="1" spans="1:33" ht="24" customHeight="1" x14ac:dyDescent="0.25">
      <c r="A1" s="5" t="s">
        <v>54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3" spans="1:33" ht="13.5" customHeight="1" x14ac:dyDescent="0.25">
      <c r="A3" s="3" t="s">
        <v>55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3.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6" spans="1:33" ht="43.5" customHeight="1" x14ac:dyDescent="0.25">
      <c r="A6" s="9" t="s">
        <v>31</v>
      </c>
      <c r="B6" s="9" t="s">
        <v>56</v>
      </c>
      <c r="C6" s="9" t="s">
        <v>57</v>
      </c>
      <c r="D6" s="9" t="s">
        <v>33</v>
      </c>
      <c r="E6" s="9" t="s">
        <v>32</v>
      </c>
      <c r="F6" s="9" t="s">
        <v>58</v>
      </c>
      <c r="G6" s="9" t="s">
        <v>59</v>
      </c>
      <c r="H6" s="9" t="s">
        <v>60</v>
      </c>
      <c r="I6" s="9" t="s">
        <v>61</v>
      </c>
      <c r="J6" s="9" t="s">
        <v>62</v>
      </c>
      <c r="K6" s="9" t="s">
        <v>63</v>
      </c>
      <c r="L6" s="9" t="s">
        <v>64</v>
      </c>
      <c r="M6" s="9" t="s">
        <v>65</v>
      </c>
      <c r="N6" s="9" t="s">
        <v>66</v>
      </c>
      <c r="O6" s="9" t="s">
        <v>67</v>
      </c>
      <c r="P6" s="9" t="s">
        <v>68</v>
      </c>
      <c r="Q6" s="9" t="s">
        <v>69</v>
      </c>
      <c r="R6" s="9" t="s">
        <v>70</v>
      </c>
      <c r="S6" s="9" t="s">
        <v>71</v>
      </c>
      <c r="T6" s="9" t="s">
        <v>72</v>
      </c>
      <c r="U6" s="9" t="s">
        <v>73</v>
      </c>
      <c r="V6" s="9" t="s">
        <v>74</v>
      </c>
      <c r="W6" s="9" t="s">
        <v>75</v>
      </c>
      <c r="X6" s="9" t="s">
        <v>76</v>
      </c>
      <c r="Y6" s="9" t="s">
        <v>77</v>
      </c>
      <c r="Z6" s="9" t="s">
        <v>78</v>
      </c>
      <c r="AA6" s="9" t="s">
        <v>79</v>
      </c>
      <c r="AB6" s="9" t="s">
        <v>80</v>
      </c>
      <c r="AC6" s="9" t="s">
        <v>81</v>
      </c>
      <c r="AD6" s="9" t="s">
        <v>82</v>
      </c>
      <c r="AE6" s="9" t="s">
        <v>83</v>
      </c>
      <c r="AF6" s="9" t="s">
        <v>84</v>
      </c>
    </row>
    <row r="7" spans="1:33" x14ac:dyDescent="0.25">
      <c r="A7" s="10">
        <v>1</v>
      </c>
      <c r="B7" s="11" t="s">
        <v>85</v>
      </c>
      <c r="C7" s="11" t="s">
        <v>86</v>
      </c>
      <c r="D7" s="11" t="s">
        <v>87</v>
      </c>
      <c r="E7" s="15" t="s">
        <v>88</v>
      </c>
      <c r="F7" s="11" t="str">
        <f t="shared" ref="F7:F38" si="0">VLOOKUP(D7,SkillMap,2,0)</f>
        <v>Skilled</v>
      </c>
      <c r="G7" s="12">
        <f t="shared" ref="G7:G38" si="1">VLOOKUP(F7,MinWageTable,2,0)</f>
        <v>12777</v>
      </c>
      <c r="H7" s="12">
        <v>9125</v>
      </c>
      <c r="I7" s="12">
        <v>6325</v>
      </c>
      <c r="J7" s="12">
        <v>4550</v>
      </c>
      <c r="K7" s="12">
        <f t="shared" ref="K7:K38" si="2">H7+I7+J7</f>
        <v>20000</v>
      </c>
      <c r="L7" s="12">
        <v>0</v>
      </c>
      <c r="M7" s="12">
        <f t="shared" ref="M7:M38" si="3">K7+L7</f>
        <v>20000</v>
      </c>
      <c r="N7" s="12">
        <f t="shared" ref="N7:N38" si="4">MAX(G7,0.5*M7)</f>
        <v>12777</v>
      </c>
      <c r="O7" s="12">
        <f t="shared" ref="O7:O38" si="5">MAX(H7,N7)</f>
        <v>12777</v>
      </c>
      <c r="P7" s="12">
        <f t="shared" ref="P7:P38" si="6">O7-H7</f>
        <v>3652</v>
      </c>
      <c r="Q7" s="12">
        <f t="shared" ref="Q7:Q38" si="7">I7+J7</f>
        <v>10875</v>
      </c>
      <c r="R7" s="12">
        <f t="shared" ref="R7:R38" si="8">IF(Q7=0,I7,I7-MIN(P7,Q7)*(I7/Q7))</f>
        <v>4200.9632183908052</v>
      </c>
      <c r="S7" s="12">
        <f t="shared" ref="S7:S38" si="9">IF(Q7=0,J7,J7-MIN(P7,Q7)*(J7/Q7))</f>
        <v>3022.0367816091953</v>
      </c>
      <c r="T7" s="12">
        <f t="shared" ref="T7:T38" si="10">O7+R7+S7</f>
        <v>20000</v>
      </c>
      <c r="U7" s="12">
        <f t="shared" ref="U7:U38" si="11">T7+L7</f>
        <v>20000</v>
      </c>
      <c r="V7" s="11" t="str">
        <f t="shared" ref="V7:V38" si="12">IF(U7&gt;M7,"YES","No")</f>
        <v>No</v>
      </c>
      <c r="W7" s="12">
        <f t="shared" ref="W7:W38" si="13">MAX(U7-M7,0)</f>
        <v>0</v>
      </c>
      <c r="X7" s="16" t="s">
        <v>89</v>
      </c>
      <c r="Y7" s="12">
        <f t="shared" ref="Y7:Y38" si="14">O7</f>
        <v>12777</v>
      </c>
      <c r="Z7" s="12">
        <f t="shared" ref="Z7:Z38" si="15">IF(X7="Y",ROUND(Y7*12%,0),0)</f>
        <v>1533</v>
      </c>
      <c r="AA7" s="12">
        <f t="shared" ref="AA7:AA38" si="16">IF(X7="Y",ROUND(Y7*12%,0),0)</f>
        <v>1533</v>
      </c>
      <c r="AB7" s="11" t="str">
        <f t="shared" ref="AB7:AB38" si="17">IF(U7&lt;=21000,"Y","N")</f>
        <v>Y</v>
      </c>
      <c r="AC7" s="12">
        <f t="shared" ref="AC7:AC38" si="18">IF(AB7="Y",ROUND(U7*0.75%,0),0)</f>
        <v>150</v>
      </c>
      <c r="AD7" s="12">
        <f t="shared" ref="AD7:AD38" si="19">IF(AB7="Y",ROUND(U7*3.25%,0),0)</f>
        <v>650</v>
      </c>
      <c r="AE7" s="12">
        <f t="shared" ref="AE7:AE38" si="20">U7-Z7-AC7</f>
        <v>18317</v>
      </c>
      <c r="AF7" s="12">
        <f t="shared" ref="AF7:AF38" si="21">U7+AA7+AD7</f>
        <v>22183</v>
      </c>
    </row>
    <row r="8" spans="1:33" x14ac:dyDescent="0.25">
      <c r="A8" s="10">
        <v>2</v>
      </c>
      <c r="B8" s="11" t="s">
        <v>90</v>
      </c>
      <c r="C8" s="11" t="s">
        <v>86</v>
      </c>
      <c r="D8" s="11" t="s">
        <v>87</v>
      </c>
      <c r="E8" s="15" t="s">
        <v>91</v>
      </c>
      <c r="F8" s="11" t="str">
        <f t="shared" si="0"/>
        <v>Skilled</v>
      </c>
      <c r="G8" s="12">
        <f t="shared" si="1"/>
        <v>12777</v>
      </c>
      <c r="H8" s="12">
        <v>11100</v>
      </c>
      <c r="I8" s="12">
        <v>8500</v>
      </c>
      <c r="J8" s="12">
        <v>8900</v>
      </c>
      <c r="K8" s="12">
        <f t="shared" si="2"/>
        <v>28500</v>
      </c>
      <c r="L8" s="12">
        <v>0</v>
      </c>
      <c r="M8" s="12">
        <f t="shared" si="3"/>
        <v>28500</v>
      </c>
      <c r="N8" s="12">
        <f t="shared" si="4"/>
        <v>14250</v>
      </c>
      <c r="O8" s="12">
        <f t="shared" si="5"/>
        <v>14250</v>
      </c>
      <c r="P8" s="12">
        <f t="shared" si="6"/>
        <v>3150</v>
      </c>
      <c r="Q8" s="12">
        <f t="shared" si="7"/>
        <v>17400</v>
      </c>
      <c r="R8" s="12">
        <f t="shared" si="8"/>
        <v>6961.2068965517246</v>
      </c>
      <c r="S8" s="12">
        <f t="shared" si="9"/>
        <v>7288.7931034482754</v>
      </c>
      <c r="T8" s="12">
        <f t="shared" si="10"/>
        <v>28500</v>
      </c>
      <c r="U8" s="12">
        <f t="shared" si="11"/>
        <v>28500</v>
      </c>
      <c r="V8" s="11" t="str">
        <f t="shared" si="12"/>
        <v>No</v>
      </c>
      <c r="W8" s="12">
        <f t="shared" si="13"/>
        <v>0</v>
      </c>
      <c r="X8" s="16" t="s">
        <v>89</v>
      </c>
      <c r="Y8" s="12">
        <f t="shared" si="14"/>
        <v>14250</v>
      </c>
      <c r="Z8" s="12">
        <f t="shared" si="15"/>
        <v>1710</v>
      </c>
      <c r="AA8" s="12">
        <f t="shared" si="16"/>
        <v>1710</v>
      </c>
      <c r="AB8" s="11" t="str">
        <f t="shared" si="17"/>
        <v>N</v>
      </c>
      <c r="AC8" s="12">
        <f t="shared" si="18"/>
        <v>0</v>
      </c>
      <c r="AD8" s="12">
        <f t="shared" si="19"/>
        <v>0</v>
      </c>
      <c r="AE8" s="12">
        <f t="shared" si="20"/>
        <v>26790</v>
      </c>
      <c r="AF8" s="12">
        <f t="shared" si="21"/>
        <v>30210</v>
      </c>
    </row>
    <row r="9" spans="1:33" x14ac:dyDescent="0.25">
      <c r="A9" s="10">
        <v>3</v>
      </c>
      <c r="B9" s="11" t="s">
        <v>92</v>
      </c>
      <c r="C9" s="11" t="s">
        <v>86</v>
      </c>
      <c r="D9" s="11" t="s">
        <v>87</v>
      </c>
      <c r="E9" s="15" t="s">
        <v>93</v>
      </c>
      <c r="F9" s="11" t="str">
        <f t="shared" si="0"/>
        <v>Skilled</v>
      </c>
      <c r="G9" s="12">
        <f t="shared" si="1"/>
        <v>12777</v>
      </c>
      <c r="H9" s="12">
        <v>11700</v>
      </c>
      <c r="I9" s="12">
        <v>6200</v>
      </c>
      <c r="J9" s="12">
        <v>4600</v>
      </c>
      <c r="K9" s="12">
        <f t="shared" si="2"/>
        <v>22500</v>
      </c>
      <c r="L9" s="12">
        <v>0</v>
      </c>
      <c r="M9" s="12">
        <f t="shared" si="3"/>
        <v>22500</v>
      </c>
      <c r="N9" s="12">
        <f t="shared" si="4"/>
        <v>12777</v>
      </c>
      <c r="O9" s="12">
        <f t="shared" si="5"/>
        <v>12777</v>
      </c>
      <c r="P9" s="12">
        <f t="shared" si="6"/>
        <v>1077</v>
      </c>
      <c r="Q9" s="12">
        <f t="shared" si="7"/>
        <v>10800</v>
      </c>
      <c r="R9" s="12">
        <f t="shared" si="8"/>
        <v>5581.7222222222226</v>
      </c>
      <c r="S9" s="12">
        <f t="shared" si="9"/>
        <v>4141.2777777777774</v>
      </c>
      <c r="T9" s="12">
        <f t="shared" si="10"/>
        <v>22500</v>
      </c>
      <c r="U9" s="12">
        <f t="shared" si="11"/>
        <v>22500</v>
      </c>
      <c r="V9" s="11" t="str">
        <f t="shared" si="12"/>
        <v>No</v>
      </c>
      <c r="W9" s="12">
        <f t="shared" si="13"/>
        <v>0</v>
      </c>
      <c r="X9" s="16" t="s">
        <v>89</v>
      </c>
      <c r="Y9" s="12">
        <f t="shared" si="14"/>
        <v>12777</v>
      </c>
      <c r="Z9" s="12">
        <f t="shared" si="15"/>
        <v>1533</v>
      </c>
      <c r="AA9" s="12">
        <f t="shared" si="16"/>
        <v>1533</v>
      </c>
      <c r="AB9" s="11" t="str">
        <f t="shared" si="17"/>
        <v>N</v>
      </c>
      <c r="AC9" s="12">
        <f t="shared" si="18"/>
        <v>0</v>
      </c>
      <c r="AD9" s="12">
        <f t="shared" si="19"/>
        <v>0</v>
      </c>
      <c r="AE9" s="12">
        <f t="shared" si="20"/>
        <v>20967</v>
      </c>
      <c r="AF9" s="12">
        <f t="shared" si="21"/>
        <v>24033</v>
      </c>
    </row>
    <row r="10" spans="1:33" x14ac:dyDescent="0.25">
      <c r="A10" s="10">
        <v>4</v>
      </c>
      <c r="B10" s="11" t="s">
        <v>94</v>
      </c>
      <c r="C10" s="11" t="s">
        <v>86</v>
      </c>
      <c r="D10" s="11" t="s">
        <v>87</v>
      </c>
      <c r="E10" s="15" t="s">
        <v>95</v>
      </c>
      <c r="F10" s="11" t="str">
        <f t="shared" si="0"/>
        <v>Skilled</v>
      </c>
      <c r="G10" s="12">
        <f t="shared" si="1"/>
        <v>12777</v>
      </c>
      <c r="H10" s="12">
        <v>8200</v>
      </c>
      <c r="I10" s="12">
        <v>8150</v>
      </c>
      <c r="J10" s="12">
        <v>8150</v>
      </c>
      <c r="K10" s="12">
        <f t="shared" si="2"/>
        <v>24500</v>
      </c>
      <c r="L10" s="12">
        <v>0</v>
      </c>
      <c r="M10" s="12">
        <f t="shared" si="3"/>
        <v>24500</v>
      </c>
      <c r="N10" s="12">
        <f t="shared" si="4"/>
        <v>12777</v>
      </c>
      <c r="O10" s="12">
        <f t="shared" si="5"/>
        <v>12777</v>
      </c>
      <c r="P10" s="12">
        <f t="shared" si="6"/>
        <v>4577</v>
      </c>
      <c r="Q10" s="12">
        <f t="shared" si="7"/>
        <v>16300</v>
      </c>
      <c r="R10" s="12">
        <f t="shared" si="8"/>
        <v>5861.5</v>
      </c>
      <c r="S10" s="12">
        <f t="shared" si="9"/>
        <v>5861.5</v>
      </c>
      <c r="T10" s="12">
        <f t="shared" si="10"/>
        <v>24500</v>
      </c>
      <c r="U10" s="12">
        <f t="shared" si="11"/>
        <v>24500</v>
      </c>
      <c r="V10" s="11" t="str">
        <f t="shared" si="12"/>
        <v>No</v>
      </c>
      <c r="W10" s="12">
        <f t="shared" si="13"/>
        <v>0</v>
      </c>
      <c r="X10" s="16" t="s">
        <v>89</v>
      </c>
      <c r="Y10" s="12">
        <f t="shared" si="14"/>
        <v>12777</v>
      </c>
      <c r="Z10" s="12">
        <f t="shared" si="15"/>
        <v>1533</v>
      </c>
      <c r="AA10" s="12">
        <f t="shared" si="16"/>
        <v>1533</v>
      </c>
      <c r="AB10" s="11" t="str">
        <f t="shared" si="17"/>
        <v>N</v>
      </c>
      <c r="AC10" s="12">
        <f t="shared" si="18"/>
        <v>0</v>
      </c>
      <c r="AD10" s="12">
        <f t="shared" si="19"/>
        <v>0</v>
      </c>
      <c r="AE10" s="12">
        <f t="shared" si="20"/>
        <v>22967</v>
      </c>
      <c r="AF10" s="12">
        <f t="shared" si="21"/>
        <v>26033</v>
      </c>
    </row>
    <row r="11" spans="1:33" x14ac:dyDescent="0.25">
      <c r="A11" s="10">
        <v>5</v>
      </c>
      <c r="B11" s="11" t="s">
        <v>96</v>
      </c>
      <c r="C11" s="11" t="s">
        <v>86</v>
      </c>
      <c r="D11" s="11" t="s">
        <v>87</v>
      </c>
      <c r="E11" s="15" t="s">
        <v>97</v>
      </c>
      <c r="F11" s="11" t="str">
        <f t="shared" si="0"/>
        <v>Skilled</v>
      </c>
      <c r="G11" s="12">
        <f t="shared" si="1"/>
        <v>12777</v>
      </c>
      <c r="H11" s="12">
        <v>7100</v>
      </c>
      <c r="I11" s="12">
        <v>3400</v>
      </c>
      <c r="J11" s="12">
        <v>3500</v>
      </c>
      <c r="K11" s="12">
        <f t="shared" si="2"/>
        <v>14000</v>
      </c>
      <c r="L11" s="12">
        <v>0</v>
      </c>
      <c r="M11" s="12">
        <f t="shared" si="3"/>
        <v>14000</v>
      </c>
      <c r="N11" s="12">
        <f t="shared" si="4"/>
        <v>12777</v>
      </c>
      <c r="O11" s="12">
        <f t="shared" si="5"/>
        <v>12777</v>
      </c>
      <c r="P11" s="12">
        <f t="shared" si="6"/>
        <v>5677</v>
      </c>
      <c r="Q11" s="12">
        <f t="shared" si="7"/>
        <v>6900</v>
      </c>
      <c r="R11" s="12">
        <f t="shared" si="8"/>
        <v>602.63768115942003</v>
      </c>
      <c r="S11" s="12">
        <f t="shared" si="9"/>
        <v>620.36231884057952</v>
      </c>
      <c r="T11" s="12">
        <f t="shared" si="10"/>
        <v>14000</v>
      </c>
      <c r="U11" s="12">
        <f t="shared" si="11"/>
        <v>14000</v>
      </c>
      <c r="V11" s="11" t="str">
        <f t="shared" si="12"/>
        <v>No</v>
      </c>
      <c r="W11" s="12">
        <f t="shared" si="13"/>
        <v>0</v>
      </c>
      <c r="X11" s="16" t="s">
        <v>89</v>
      </c>
      <c r="Y11" s="12">
        <f t="shared" si="14"/>
        <v>12777</v>
      </c>
      <c r="Z11" s="12">
        <f t="shared" si="15"/>
        <v>1533</v>
      </c>
      <c r="AA11" s="12">
        <f t="shared" si="16"/>
        <v>1533</v>
      </c>
      <c r="AB11" s="11" t="str">
        <f t="shared" si="17"/>
        <v>Y</v>
      </c>
      <c r="AC11" s="12">
        <f t="shared" si="18"/>
        <v>105</v>
      </c>
      <c r="AD11" s="12">
        <f t="shared" si="19"/>
        <v>455</v>
      </c>
      <c r="AE11" s="12">
        <f t="shared" si="20"/>
        <v>12362</v>
      </c>
      <c r="AF11" s="12">
        <f t="shared" si="21"/>
        <v>15988</v>
      </c>
    </row>
    <row r="12" spans="1:33" x14ac:dyDescent="0.25">
      <c r="A12" s="10">
        <v>6</v>
      </c>
      <c r="B12" s="11" t="s">
        <v>98</v>
      </c>
      <c r="C12" s="11" t="s">
        <v>86</v>
      </c>
      <c r="D12" s="11" t="s">
        <v>87</v>
      </c>
      <c r="E12" s="15" t="s">
        <v>99</v>
      </c>
      <c r="F12" s="11" t="str">
        <f t="shared" si="0"/>
        <v>Skilled</v>
      </c>
      <c r="G12" s="12">
        <f t="shared" si="1"/>
        <v>12777</v>
      </c>
      <c r="H12" s="12">
        <v>8600</v>
      </c>
      <c r="I12" s="12">
        <v>4950</v>
      </c>
      <c r="J12" s="12">
        <v>4450</v>
      </c>
      <c r="K12" s="12">
        <f t="shared" si="2"/>
        <v>18000</v>
      </c>
      <c r="L12" s="12">
        <v>0</v>
      </c>
      <c r="M12" s="12">
        <f t="shared" si="3"/>
        <v>18000</v>
      </c>
      <c r="N12" s="12">
        <f t="shared" si="4"/>
        <v>12777</v>
      </c>
      <c r="O12" s="12">
        <f t="shared" si="5"/>
        <v>12777</v>
      </c>
      <c r="P12" s="12">
        <f t="shared" si="6"/>
        <v>4177</v>
      </c>
      <c r="Q12" s="12">
        <f t="shared" si="7"/>
        <v>9400</v>
      </c>
      <c r="R12" s="12">
        <f t="shared" si="8"/>
        <v>2750.4095744680853</v>
      </c>
      <c r="S12" s="12">
        <f t="shared" si="9"/>
        <v>2472.5904255319147</v>
      </c>
      <c r="T12" s="12">
        <f t="shared" si="10"/>
        <v>18000</v>
      </c>
      <c r="U12" s="12">
        <f t="shared" si="11"/>
        <v>18000</v>
      </c>
      <c r="V12" s="11" t="str">
        <f t="shared" si="12"/>
        <v>No</v>
      </c>
      <c r="W12" s="12">
        <f t="shared" si="13"/>
        <v>0</v>
      </c>
      <c r="X12" s="16" t="s">
        <v>89</v>
      </c>
      <c r="Y12" s="12">
        <f t="shared" si="14"/>
        <v>12777</v>
      </c>
      <c r="Z12" s="12">
        <f t="shared" si="15"/>
        <v>1533</v>
      </c>
      <c r="AA12" s="12">
        <f t="shared" si="16"/>
        <v>1533</v>
      </c>
      <c r="AB12" s="11" t="str">
        <f t="shared" si="17"/>
        <v>Y</v>
      </c>
      <c r="AC12" s="12">
        <f t="shared" si="18"/>
        <v>135</v>
      </c>
      <c r="AD12" s="12">
        <f t="shared" si="19"/>
        <v>585</v>
      </c>
      <c r="AE12" s="12">
        <f t="shared" si="20"/>
        <v>16332</v>
      </c>
      <c r="AF12" s="12">
        <f t="shared" si="21"/>
        <v>20118</v>
      </c>
    </row>
    <row r="13" spans="1:33" x14ac:dyDescent="0.25">
      <c r="A13" s="10">
        <v>7</v>
      </c>
      <c r="B13" s="11" t="s">
        <v>100</v>
      </c>
      <c r="C13" s="11" t="s">
        <v>86</v>
      </c>
      <c r="D13" s="11" t="s">
        <v>87</v>
      </c>
      <c r="E13" s="15" t="s">
        <v>101</v>
      </c>
      <c r="F13" s="11" t="str">
        <f t="shared" si="0"/>
        <v>Skilled</v>
      </c>
      <c r="G13" s="12">
        <f t="shared" si="1"/>
        <v>12777</v>
      </c>
      <c r="H13" s="12">
        <v>26000</v>
      </c>
      <c r="I13" s="12">
        <v>0</v>
      </c>
      <c r="J13" s="12">
        <v>0</v>
      </c>
      <c r="K13" s="12">
        <f t="shared" si="2"/>
        <v>26000</v>
      </c>
      <c r="L13" s="12">
        <v>0</v>
      </c>
      <c r="M13" s="12">
        <f t="shared" si="3"/>
        <v>26000</v>
      </c>
      <c r="N13" s="12">
        <f t="shared" si="4"/>
        <v>13000</v>
      </c>
      <c r="O13" s="12">
        <f t="shared" si="5"/>
        <v>26000</v>
      </c>
      <c r="P13" s="12">
        <f t="shared" si="6"/>
        <v>0</v>
      </c>
      <c r="Q13" s="12">
        <f t="shared" si="7"/>
        <v>0</v>
      </c>
      <c r="R13" s="12">
        <f t="shared" si="8"/>
        <v>0</v>
      </c>
      <c r="S13" s="12">
        <f t="shared" si="9"/>
        <v>0</v>
      </c>
      <c r="T13" s="12">
        <f t="shared" si="10"/>
        <v>26000</v>
      </c>
      <c r="U13" s="12">
        <f t="shared" si="11"/>
        <v>26000</v>
      </c>
      <c r="V13" s="11" t="str">
        <f t="shared" si="12"/>
        <v>No</v>
      </c>
      <c r="W13" s="12">
        <f t="shared" si="13"/>
        <v>0</v>
      </c>
      <c r="X13" s="16" t="s">
        <v>89</v>
      </c>
      <c r="Y13" s="12">
        <f t="shared" si="14"/>
        <v>26000</v>
      </c>
      <c r="Z13" s="12">
        <f t="shared" si="15"/>
        <v>3120</v>
      </c>
      <c r="AA13" s="12">
        <f t="shared" si="16"/>
        <v>3120</v>
      </c>
      <c r="AB13" s="11" t="str">
        <f t="shared" si="17"/>
        <v>N</v>
      </c>
      <c r="AC13" s="12">
        <f t="shared" si="18"/>
        <v>0</v>
      </c>
      <c r="AD13" s="12">
        <f t="shared" si="19"/>
        <v>0</v>
      </c>
      <c r="AE13" s="12">
        <f t="shared" si="20"/>
        <v>22880</v>
      </c>
      <c r="AF13" s="12">
        <f t="shared" si="21"/>
        <v>29120</v>
      </c>
    </row>
    <row r="14" spans="1:33" x14ac:dyDescent="0.25">
      <c r="A14" s="10">
        <v>8</v>
      </c>
      <c r="B14" s="11" t="s">
        <v>102</v>
      </c>
      <c r="C14" s="11" t="s">
        <v>86</v>
      </c>
      <c r="D14" s="11" t="s">
        <v>87</v>
      </c>
      <c r="E14" s="15" t="s">
        <v>103</v>
      </c>
      <c r="F14" s="11" t="str">
        <f t="shared" si="0"/>
        <v>Skilled</v>
      </c>
      <c r="G14" s="12">
        <f t="shared" si="1"/>
        <v>12777</v>
      </c>
      <c r="H14" s="12">
        <v>8010</v>
      </c>
      <c r="I14" s="12">
        <v>5030</v>
      </c>
      <c r="J14" s="12">
        <v>3960</v>
      </c>
      <c r="K14" s="12">
        <f t="shared" si="2"/>
        <v>17000</v>
      </c>
      <c r="L14" s="12">
        <v>0</v>
      </c>
      <c r="M14" s="12">
        <f t="shared" si="3"/>
        <v>17000</v>
      </c>
      <c r="N14" s="12">
        <f t="shared" si="4"/>
        <v>12777</v>
      </c>
      <c r="O14" s="12">
        <f t="shared" si="5"/>
        <v>12777</v>
      </c>
      <c r="P14" s="12">
        <f t="shared" si="6"/>
        <v>4767</v>
      </c>
      <c r="Q14" s="12">
        <f t="shared" si="7"/>
        <v>8990</v>
      </c>
      <c r="R14" s="12">
        <f t="shared" si="8"/>
        <v>2362.813125695217</v>
      </c>
      <c r="S14" s="12">
        <f t="shared" si="9"/>
        <v>1860.186874304783</v>
      </c>
      <c r="T14" s="12">
        <f t="shared" si="10"/>
        <v>17000</v>
      </c>
      <c r="U14" s="12">
        <f t="shared" si="11"/>
        <v>17000</v>
      </c>
      <c r="V14" s="11" t="str">
        <f t="shared" si="12"/>
        <v>No</v>
      </c>
      <c r="W14" s="12">
        <f t="shared" si="13"/>
        <v>0</v>
      </c>
      <c r="X14" s="16" t="s">
        <v>89</v>
      </c>
      <c r="Y14" s="12">
        <f t="shared" si="14"/>
        <v>12777</v>
      </c>
      <c r="Z14" s="12">
        <f t="shared" si="15"/>
        <v>1533</v>
      </c>
      <c r="AA14" s="12">
        <f t="shared" si="16"/>
        <v>1533</v>
      </c>
      <c r="AB14" s="11" t="str">
        <f t="shared" si="17"/>
        <v>Y</v>
      </c>
      <c r="AC14" s="12">
        <f t="shared" si="18"/>
        <v>128</v>
      </c>
      <c r="AD14" s="12">
        <f t="shared" si="19"/>
        <v>553</v>
      </c>
      <c r="AE14" s="12">
        <f t="shared" si="20"/>
        <v>15339</v>
      </c>
      <c r="AF14" s="12">
        <f t="shared" si="21"/>
        <v>19086</v>
      </c>
    </row>
    <row r="15" spans="1:33" x14ac:dyDescent="0.25">
      <c r="A15" s="10">
        <v>9</v>
      </c>
      <c r="B15" s="11" t="s">
        <v>104</v>
      </c>
      <c r="C15" s="11" t="s">
        <v>86</v>
      </c>
      <c r="D15" s="11" t="s">
        <v>87</v>
      </c>
      <c r="E15" s="15" t="s">
        <v>105</v>
      </c>
      <c r="F15" s="11" t="str">
        <f t="shared" si="0"/>
        <v>Skilled</v>
      </c>
      <c r="G15" s="12">
        <f t="shared" si="1"/>
        <v>12777</v>
      </c>
      <c r="H15" s="12">
        <v>5200</v>
      </c>
      <c r="I15" s="12">
        <v>3400</v>
      </c>
      <c r="J15" s="12">
        <v>2900</v>
      </c>
      <c r="K15" s="12">
        <f t="shared" si="2"/>
        <v>11500</v>
      </c>
      <c r="L15" s="12">
        <v>0</v>
      </c>
      <c r="M15" s="12">
        <f t="shared" si="3"/>
        <v>11500</v>
      </c>
      <c r="N15" s="12">
        <f t="shared" si="4"/>
        <v>12777</v>
      </c>
      <c r="O15" s="12">
        <f t="shared" si="5"/>
        <v>12777</v>
      </c>
      <c r="P15" s="12">
        <f t="shared" si="6"/>
        <v>7577</v>
      </c>
      <c r="Q15" s="12">
        <f t="shared" si="7"/>
        <v>6300</v>
      </c>
      <c r="R15" s="12">
        <f t="shared" si="8"/>
        <v>0</v>
      </c>
      <c r="S15" s="12">
        <f t="shared" si="9"/>
        <v>0</v>
      </c>
      <c r="T15" s="12">
        <f t="shared" si="10"/>
        <v>12777</v>
      </c>
      <c r="U15" s="12">
        <f t="shared" si="11"/>
        <v>12777</v>
      </c>
      <c r="V15" s="11" t="str">
        <f t="shared" si="12"/>
        <v>YES</v>
      </c>
      <c r="W15" s="12">
        <f t="shared" si="13"/>
        <v>1277</v>
      </c>
      <c r="X15" s="16" t="s">
        <v>89</v>
      </c>
      <c r="Y15" s="12">
        <f t="shared" si="14"/>
        <v>12777</v>
      </c>
      <c r="Z15" s="12">
        <f t="shared" si="15"/>
        <v>1533</v>
      </c>
      <c r="AA15" s="12">
        <f t="shared" si="16"/>
        <v>1533</v>
      </c>
      <c r="AB15" s="11" t="str">
        <f t="shared" si="17"/>
        <v>Y</v>
      </c>
      <c r="AC15" s="12">
        <f t="shared" si="18"/>
        <v>96</v>
      </c>
      <c r="AD15" s="12">
        <f t="shared" si="19"/>
        <v>415</v>
      </c>
      <c r="AE15" s="12">
        <f t="shared" si="20"/>
        <v>11148</v>
      </c>
      <c r="AF15" s="12">
        <f t="shared" si="21"/>
        <v>14725</v>
      </c>
    </row>
    <row r="16" spans="1:33" x14ac:dyDescent="0.25">
      <c r="A16" s="10">
        <v>10</v>
      </c>
      <c r="B16" s="11" t="s">
        <v>106</v>
      </c>
      <c r="C16" s="11" t="s">
        <v>86</v>
      </c>
      <c r="D16" s="11" t="s">
        <v>87</v>
      </c>
      <c r="E16" s="15" t="s">
        <v>107</v>
      </c>
      <c r="F16" s="11" t="str">
        <f t="shared" si="0"/>
        <v>Skilled</v>
      </c>
      <c r="G16" s="12">
        <f t="shared" si="1"/>
        <v>12777</v>
      </c>
      <c r="H16" s="12">
        <v>7700</v>
      </c>
      <c r="I16" s="12">
        <v>6600</v>
      </c>
      <c r="J16" s="12">
        <v>5700</v>
      </c>
      <c r="K16" s="12">
        <f t="shared" si="2"/>
        <v>20000</v>
      </c>
      <c r="L16" s="12">
        <v>0</v>
      </c>
      <c r="M16" s="12">
        <f t="shared" si="3"/>
        <v>20000</v>
      </c>
      <c r="N16" s="12">
        <f t="shared" si="4"/>
        <v>12777</v>
      </c>
      <c r="O16" s="12">
        <f t="shared" si="5"/>
        <v>12777</v>
      </c>
      <c r="P16" s="12">
        <f t="shared" si="6"/>
        <v>5077</v>
      </c>
      <c r="Q16" s="12">
        <f t="shared" si="7"/>
        <v>12300</v>
      </c>
      <c r="R16" s="12">
        <f t="shared" si="8"/>
        <v>3875.7560975609754</v>
      </c>
      <c r="S16" s="12">
        <f t="shared" si="9"/>
        <v>3347.2439024390242</v>
      </c>
      <c r="T16" s="12">
        <f t="shared" si="10"/>
        <v>20000</v>
      </c>
      <c r="U16" s="12">
        <f t="shared" si="11"/>
        <v>20000</v>
      </c>
      <c r="V16" s="11" t="str">
        <f t="shared" si="12"/>
        <v>No</v>
      </c>
      <c r="W16" s="12">
        <f t="shared" si="13"/>
        <v>0</v>
      </c>
      <c r="X16" s="16" t="s">
        <v>89</v>
      </c>
      <c r="Y16" s="12">
        <f t="shared" si="14"/>
        <v>12777</v>
      </c>
      <c r="Z16" s="12">
        <f t="shared" si="15"/>
        <v>1533</v>
      </c>
      <c r="AA16" s="12">
        <f t="shared" si="16"/>
        <v>1533</v>
      </c>
      <c r="AB16" s="11" t="str">
        <f t="shared" si="17"/>
        <v>Y</v>
      </c>
      <c r="AC16" s="12">
        <f t="shared" si="18"/>
        <v>150</v>
      </c>
      <c r="AD16" s="12">
        <f t="shared" si="19"/>
        <v>650</v>
      </c>
      <c r="AE16" s="12">
        <f t="shared" si="20"/>
        <v>18317</v>
      </c>
      <c r="AF16" s="12">
        <f t="shared" si="21"/>
        <v>22183</v>
      </c>
    </row>
    <row r="17" spans="1:32" x14ac:dyDescent="0.25">
      <c r="A17" s="10">
        <v>11</v>
      </c>
      <c r="B17" s="11" t="s">
        <v>108</v>
      </c>
      <c r="C17" s="11" t="s">
        <v>86</v>
      </c>
      <c r="D17" s="11" t="s">
        <v>87</v>
      </c>
      <c r="E17" s="15" t="s">
        <v>109</v>
      </c>
      <c r="F17" s="11" t="str">
        <f t="shared" si="0"/>
        <v>Skilled</v>
      </c>
      <c r="G17" s="12">
        <f t="shared" si="1"/>
        <v>12777</v>
      </c>
      <c r="H17" s="12">
        <v>7600</v>
      </c>
      <c r="I17" s="12">
        <v>6700</v>
      </c>
      <c r="J17" s="12">
        <v>5700</v>
      </c>
      <c r="K17" s="12">
        <f t="shared" si="2"/>
        <v>20000</v>
      </c>
      <c r="L17" s="12">
        <v>0</v>
      </c>
      <c r="M17" s="12">
        <f t="shared" si="3"/>
        <v>20000</v>
      </c>
      <c r="N17" s="12">
        <f t="shared" si="4"/>
        <v>12777</v>
      </c>
      <c r="O17" s="12">
        <f t="shared" si="5"/>
        <v>12777</v>
      </c>
      <c r="P17" s="12">
        <f t="shared" si="6"/>
        <v>5177</v>
      </c>
      <c r="Q17" s="12">
        <f t="shared" si="7"/>
        <v>12400</v>
      </c>
      <c r="R17" s="12">
        <f t="shared" si="8"/>
        <v>3902.75</v>
      </c>
      <c r="S17" s="12">
        <f t="shared" si="9"/>
        <v>3320.25</v>
      </c>
      <c r="T17" s="12">
        <f t="shared" si="10"/>
        <v>20000</v>
      </c>
      <c r="U17" s="12">
        <f t="shared" si="11"/>
        <v>20000</v>
      </c>
      <c r="V17" s="11" t="str">
        <f t="shared" si="12"/>
        <v>No</v>
      </c>
      <c r="W17" s="12">
        <f t="shared" si="13"/>
        <v>0</v>
      </c>
      <c r="X17" s="16" t="s">
        <v>89</v>
      </c>
      <c r="Y17" s="12">
        <f t="shared" si="14"/>
        <v>12777</v>
      </c>
      <c r="Z17" s="12">
        <f t="shared" si="15"/>
        <v>1533</v>
      </c>
      <c r="AA17" s="12">
        <f t="shared" si="16"/>
        <v>1533</v>
      </c>
      <c r="AB17" s="11" t="str">
        <f t="shared" si="17"/>
        <v>Y</v>
      </c>
      <c r="AC17" s="12">
        <f t="shared" si="18"/>
        <v>150</v>
      </c>
      <c r="AD17" s="12">
        <f t="shared" si="19"/>
        <v>650</v>
      </c>
      <c r="AE17" s="12">
        <f t="shared" si="20"/>
        <v>18317</v>
      </c>
      <c r="AF17" s="12">
        <f t="shared" si="21"/>
        <v>22183</v>
      </c>
    </row>
    <row r="18" spans="1:32" x14ac:dyDescent="0.25">
      <c r="A18" s="10">
        <v>12</v>
      </c>
      <c r="B18" s="11" t="s">
        <v>110</v>
      </c>
      <c r="C18" s="11" t="s">
        <v>86</v>
      </c>
      <c r="D18" s="11" t="s">
        <v>87</v>
      </c>
      <c r="E18" s="15" t="s">
        <v>111</v>
      </c>
      <c r="F18" s="11" t="str">
        <f t="shared" si="0"/>
        <v>Skilled</v>
      </c>
      <c r="G18" s="12">
        <f t="shared" si="1"/>
        <v>12777</v>
      </c>
      <c r="H18" s="12">
        <v>7560</v>
      </c>
      <c r="I18" s="12">
        <v>4920</v>
      </c>
      <c r="J18" s="12">
        <v>4020</v>
      </c>
      <c r="K18" s="12">
        <f t="shared" si="2"/>
        <v>16500</v>
      </c>
      <c r="L18" s="12">
        <v>0</v>
      </c>
      <c r="M18" s="12">
        <f t="shared" si="3"/>
        <v>16500</v>
      </c>
      <c r="N18" s="12">
        <f t="shared" si="4"/>
        <v>12777</v>
      </c>
      <c r="O18" s="12">
        <f t="shared" si="5"/>
        <v>12777</v>
      </c>
      <c r="P18" s="12">
        <f t="shared" si="6"/>
        <v>5217</v>
      </c>
      <c r="Q18" s="12">
        <f t="shared" si="7"/>
        <v>8940</v>
      </c>
      <c r="R18" s="12">
        <f t="shared" si="8"/>
        <v>2048.8993288590605</v>
      </c>
      <c r="S18" s="12">
        <f t="shared" si="9"/>
        <v>1674.1006711409395</v>
      </c>
      <c r="T18" s="12">
        <f t="shared" si="10"/>
        <v>16500</v>
      </c>
      <c r="U18" s="12">
        <f t="shared" si="11"/>
        <v>16500</v>
      </c>
      <c r="V18" s="11" t="str">
        <f t="shared" si="12"/>
        <v>No</v>
      </c>
      <c r="W18" s="12">
        <f t="shared" si="13"/>
        <v>0</v>
      </c>
      <c r="X18" s="16" t="s">
        <v>89</v>
      </c>
      <c r="Y18" s="12">
        <f t="shared" si="14"/>
        <v>12777</v>
      </c>
      <c r="Z18" s="12">
        <f t="shared" si="15"/>
        <v>1533</v>
      </c>
      <c r="AA18" s="12">
        <f t="shared" si="16"/>
        <v>1533</v>
      </c>
      <c r="AB18" s="11" t="str">
        <f t="shared" si="17"/>
        <v>Y</v>
      </c>
      <c r="AC18" s="12">
        <f t="shared" si="18"/>
        <v>124</v>
      </c>
      <c r="AD18" s="12">
        <f t="shared" si="19"/>
        <v>536</v>
      </c>
      <c r="AE18" s="12">
        <f t="shared" si="20"/>
        <v>14843</v>
      </c>
      <c r="AF18" s="12">
        <f t="shared" si="21"/>
        <v>18569</v>
      </c>
    </row>
    <row r="19" spans="1:32" x14ac:dyDescent="0.25">
      <c r="A19" s="10">
        <v>13</v>
      </c>
      <c r="B19" s="11" t="s">
        <v>112</v>
      </c>
      <c r="C19" s="11" t="s">
        <v>86</v>
      </c>
      <c r="D19" s="11" t="s">
        <v>87</v>
      </c>
      <c r="E19" s="15" t="s">
        <v>113</v>
      </c>
      <c r="F19" s="11" t="str">
        <f t="shared" si="0"/>
        <v>Skilled</v>
      </c>
      <c r="G19" s="12">
        <f t="shared" si="1"/>
        <v>12777</v>
      </c>
      <c r="H19" s="12">
        <v>25000</v>
      </c>
      <c r="I19" s="12">
        <v>0</v>
      </c>
      <c r="J19" s="12">
        <v>0</v>
      </c>
      <c r="K19" s="12">
        <f t="shared" si="2"/>
        <v>25000</v>
      </c>
      <c r="L19" s="12">
        <v>0</v>
      </c>
      <c r="M19" s="12">
        <f t="shared" si="3"/>
        <v>25000</v>
      </c>
      <c r="N19" s="12">
        <f t="shared" si="4"/>
        <v>12777</v>
      </c>
      <c r="O19" s="12">
        <f t="shared" si="5"/>
        <v>25000</v>
      </c>
      <c r="P19" s="12">
        <f t="shared" si="6"/>
        <v>0</v>
      </c>
      <c r="Q19" s="12">
        <f t="shared" si="7"/>
        <v>0</v>
      </c>
      <c r="R19" s="12">
        <f t="shared" si="8"/>
        <v>0</v>
      </c>
      <c r="S19" s="12">
        <f t="shared" si="9"/>
        <v>0</v>
      </c>
      <c r="T19" s="12">
        <f t="shared" si="10"/>
        <v>25000</v>
      </c>
      <c r="U19" s="12">
        <f t="shared" si="11"/>
        <v>25000</v>
      </c>
      <c r="V19" s="11" t="str">
        <f t="shared" si="12"/>
        <v>No</v>
      </c>
      <c r="W19" s="12">
        <f t="shared" si="13"/>
        <v>0</v>
      </c>
      <c r="X19" s="16" t="s">
        <v>89</v>
      </c>
      <c r="Y19" s="12">
        <f t="shared" si="14"/>
        <v>25000</v>
      </c>
      <c r="Z19" s="12">
        <f t="shared" si="15"/>
        <v>3000</v>
      </c>
      <c r="AA19" s="12">
        <f t="shared" si="16"/>
        <v>3000</v>
      </c>
      <c r="AB19" s="11" t="str">
        <f t="shared" si="17"/>
        <v>N</v>
      </c>
      <c r="AC19" s="12">
        <f t="shared" si="18"/>
        <v>0</v>
      </c>
      <c r="AD19" s="12">
        <f t="shared" si="19"/>
        <v>0</v>
      </c>
      <c r="AE19" s="12">
        <f t="shared" si="20"/>
        <v>22000</v>
      </c>
      <c r="AF19" s="12">
        <f t="shared" si="21"/>
        <v>28000</v>
      </c>
    </row>
    <row r="20" spans="1:32" x14ac:dyDescent="0.25">
      <c r="A20" s="10">
        <v>14</v>
      </c>
      <c r="B20" s="11" t="s">
        <v>114</v>
      </c>
      <c r="C20" s="11" t="s">
        <v>86</v>
      </c>
      <c r="D20" s="11" t="s">
        <v>87</v>
      </c>
      <c r="E20" s="15" t="s">
        <v>115</v>
      </c>
      <c r="F20" s="11" t="str">
        <f t="shared" si="0"/>
        <v>Skilled</v>
      </c>
      <c r="G20" s="12">
        <f t="shared" si="1"/>
        <v>12777</v>
      </c>
      <c r="H20" s="12">
        <v>33000</v>
      </c>
      <c r="I20" s="12">
        <v>7000</v>
      </c>
      <c r="J20" s="12">
        <v>0</v>
      </c>
      <c r="K20" s="12">
        <f t="shared" si="2"/>
        <v>40000</v>
      </c>
      <c r="L20" s="12">
        <v>0</v>
      </c>
      <c r="M20" s="12">
        <f t="shared" si="3"/>
        <v>40000</v>
      </c>
      <c r="N20" s="12">
        <f t="shared" si="4"/>
        <v>20000</v>
      </c>
      <c r="O20" s="12">
        <f t="shared" si="5"/>
        <v>33000</v>
      </c>
      <c r="P20" s="12">
        <f t="shared" si="6"/>
        <v>0</v>
      </c>
      <c r="Q20" s="12">
        <f t="shared" si="7"/>
        <v>7000</v>
      </c>
      <c r="R20" s="12">
        <f t="shared" si="8"/>
        <v>7000</v>
      </c>
      <c r="S20" s="12">
        <f t="shared" si="9"/>
        <v>0</v>
      </c>
      <c r="T20" s="12">
        <f t="shared" si="10"/>
        <v>40000</v>
      </c>
      <c r="U20" s="12">
        <f t="shared" si="11"/>
        <v>40000</v>
      </c>
      <c r="V20" s="11" t="str">
        <f t="shared" si="12"/>
        <v>No</v>
      </c>
      <c r="W20" s="12">
        <f t="shared" si="13"/>
        <v>0</v>
      </c>
      <c r="X20" s="16" t="s">
        <v>89</v>
      </c>
      <c r="Y20" s="12">
        <f t="shared" si="14"/>
        <v>33000</v>
      </c>
      <c r="Z20" s="12">
        <f t="shared" si="15"/>
        <v>3960</v>
      </c>
      <c r="AA20" s="12">
        <f t="shared" si="16"/>
        <v>3960</v>
      </c>
      <c r="AB20" s="11" t="str">
        <f t="shared" si="17"/>
        <v>N</v>
      </c>
      <c r="AC20" s="12">
        <f t="shared" si="18"/>
        <v>0</v>
      </c>
      <c r="AD20" s="12">
        <f t="shared" si="19"/>
        <v>0</v>
      </c>
      <c r="AE20" s="12">
        <f t="shared" si="20"/>
        <v>36040</v>
      </c>
      <c r="AF20" s="12">
        <f t="shared" si="21"/>
        <v>43960</v>
      </c>
    </row>
    <row r="21" spans="1:32" x14ac:dyDescent="0.25">
      <c r="A21" s="10">
        <v>15</v>
      </c>
      <c r="B21" s="11" t="s">
        <v>116</v>
      </c>
      <c r="C21" s="11" t="s">
        <v>86</v>
      </c>
      <c r="D21" s="11" t="s">
        <v>87</v>
      </c>
      <c r="E21" s="15" t="s">
        <v>117</v>
      </c>
      <c r="F21" s="11" t="str">
        <f t="shared" si="0"/>
        <v>Skilled</v>
      </c>
      <c r="G21" s="12">
        <f t="shared" si="1"/>
        <v>12777</v>
      </c>
      <c r="H21" s="12">
        <v>8200</v>
      </c>
      <c r="I21" s="12">
        <v>4400</v>
      </c>
      <c r="J21" s="12">
        <v>3900</v>
      </c>
      <c r="K21" s="12">
        <f t="shared" si="2"/>
        <v>16500</v>
      </c>
      <c r="L21" s="12">
        <v>0</v>
      </c>
      <c r="M21" s="12">
        <f t="shared" si="3"/>
        <v>16500</v>
      </c>
      <c r="N21" s="12">
        <f t="shared" si="4"/>
        <v>12777</v>
      </c>
      <c r="O21" s="12">
        <f t="shared" si="5"/>
        <v>12777</v>
      </c>
      <c r="P21" s="12">
        <f t="shared" si="6"/>
        <v>4577</v>
      </c>
      <c r="Q21" s="12">
        <f t="shared" si="7"/>
        <v>8300</v>
      </c>
      <c r="R21" s="12">
        <f t="shared" si="8"/>
        <v>1973.6385542168673</v>
      </c>
      <c r="S21" s="12">
        <f t="shared" si="9"/>
        <v>1749.3614457831322</v>
      </c>
      <c r="T21" s="12">
        <f t="shared" si="10"/>
        <v>16500</v>
      </c>
      <c r="U21" s="12">
        <f t="shared" si="11"/>
        <v>16500</v>
      </c>
      <c r="V21" s="11" t="str">
        <f t="shared" si="12"/>
        <v>No</v>
      </c>
      <c r="W21" s="12">
        <f t="shared" si="13"/>
        <v>0</v>
      </c>
      <c r="X21" s="16" t="s">
        <v>89</v>
      </c>
      <c r="Y21" s="12">
        <f t="shared" si="14"/>
        <v>12777</v>
      </c>
      <c r="Z21" s="12">
        <f t="shared" si="15"/>
        <v>1533</v>
      </c>
      <c r="AA21" s="12">
        <f t="shared" si="16"/>
        <v>1533</v>
      </c>
      <c r="AB21" s="11" t="str">
        <f t="shared" si="17"/>
        <v>Y</v>
      </c>
      <c r="AC21" s="12">
        <f t="shared" si="18"/>
        <v>124</v>
      </c>
      <c r="AD21" s="12">
        <f t="shared" si="19"/>
        <v>536</v>
      </c>
      <c r="AE21" s="12">
        <f t="shared" si="20"/>
        <v>14843</v>
      </c>
      <c r="AF21" s="12">
        <f t="shared" si="21"/>
        <v>18569</v>
      </c>
    </row>
    <row r="22" spans="1:32" x14ac:dyDescent="0.25">
      <c r="A22" s="10">
        <v>16</v>
      </c>
      <c r="B22" s="11" t="s">
        <v>118</v>
      </c>
      <c r="C22" s="11" t="s">
        <v>86</v>
      </c>
      <c r="D22" s="11" t="s">
        <v>87</v>
      </c>
      <c r="E22" s="15" t="s">
        <v>119</v>
      </c>
      <c r="F22" s="11" t="str">
        <f t="shared" si="0"/>
        <v>Skilled</v>
      </c>
      <c r="G22" s="12">
        <f t="shared" si="1"/>
        <v>12777</v>
      </c>
      <c r="H22" s="12">
        <v>23000</v>
      </c>
      <c r="I22" s="12">
        <v>0</v>
      </c>
      <c r="J22" s="12">
        <v>0</v>
      </c>
      <c r="K22" s="12">
        <f t="shared" si="2"/>
        <v>23000</v>
      </c>
      <c r="L22" s="12">
        <v>0</v>
      </c>
      <c r="M22" s="12">
        <f t="shared" si="3"/>
        <v>23000</v>
      </c>
      <c r="N22" s="12">
        <f t="shared" si="4"/>
        <v>12777</v>
      </c>
      <c r="O22" s="12">
        <f t="shared" si="5"/>
        <v>23000</v>
      </c>
      <c r="P22" s="12">
        <f t="shared" si="6"/>
        <v>0</v>
      </c>
      <c r="Q22" s="12">
        <f t="shared" si="7"/>
        <v>0</v>
      </c>
      <c r="R22" s="12">
        <f t="shared" si="8"/>
        <v>0</v>
      </c>
      <c r="S22" s="12">
        <f t="shared" si="9"/>
        <v>0</v>
      </c>
      <c r="T22" s="12">
        <f t="shared" si="10"/>
        <v>23000</v>
      </c>
      <c r="U22" s="12">
        <f t="shared" si="11"/>
        <v>23000</v>
      </c>
      <c r="V22" s="11" t="str">
        <f t="shared" si="12"/>
        <v>No</v>
      </c>
      <c r="W22" s="12">
        <f t="shared" si="13"/>
        <v>0</v>
      </c>
      <c r="X22" s="16" t="s">
        <v>89</v>
      </c>
      <c r="Y22" s="12">
        <f t="shared" si="14"/>
        <v>23000</v>
      </c>
      <c r="Z22" s="12">
        <f t="shared" si="15"/>
        <v>2760</v>
      </c>
      <c r="AA22" s="12">
        <f t="shared" si="16"/>
        <v>2760</v>
      </c>
      <c r="AB22" s="11" t="str">
        <f t="shared" si="17"/>
        <v>N</v>
      </c>
      <c r="AC22" s="12">
        <f t="shared" si="18"/>
        <v>0</v>
      </c>
      <c r="AD22" s="12">
        <f t="shared" si="19"/>
        <v>0</v>
      </c>
      <c r="AE22" s="12">
        <f t="shared" si="20"/>
        <v>20240</v>
      </c>
      <c r="AF22" s="12">
        <f t="shared" si="21"/>
        <v>25760</v>
      </c>
    </row>
    <row r="23" spans="1:32" x14ac:dyDescent="0.25">
      <c r="A23" s="10">
        <v>17</v>
      </c>
      <c r="B23" s="11" t="s">
        <v>120</v>
      </c>
      <c r="C23" s="11" t="s">
        <v>86</v>
      </c>
      <c r="D23" s="11" t="s">
        <v>121</v>
      </c>
      <c r="E23" s="15" t="s">
        <v>122</v>
      </c>
      <c r="F23" s="11" t="str">
        <f t="shared" si="0"/>
        <v>Semi-Skilled</v>
      </c>
      <c r="G23" s="12">
        <f t="shared" si="1"/>
        <v>11615</v>
      </c>
      <c r="H23" s="12">
        <v>20200</v>
      </c>
      <c r="I23" s="12">
        <v>0</v>
      </c>
      <c r="J23" s="12">
        <v>0</v>
      </c>
      <c r="K23" s="12">
        <f t="shared" si="2"/>
        <v>20200</v>
      </c>
      <c r="L23" s="12">
        <v>0</v>
      </c>
      <c r="M23" s="12">
        <f t="shared" si="3"/>
        <v>20200</v>
      </c>
      <c r="N23" s="12">
        <f t="shared" si="4"/>
        <v>11615</v>
      </c>
      <c r="O23" s="12">
        <f t="shared" si="5"/>
        <v>20200</v>
      </c>
      <c r="P23" s="12">
        <f t="shared" si="6"/>
        <v>0</v>
      </c>
      <c r="Q23" s="12">
        <f t="shared" si="7"/>
        <v>0</v>
      </c>
      <c r="R23" s="12">
        <f t="shared" si="8"/>
        <v>0</v>
      </c>
      <c r="S23" s="12">
        <f t="shared" si="9"/>
        <v>0</v>
      </c>
      <c r="T23" s="12">
        <f t="shared" si="10"/>
        <v>20200</v>
      </c>
      <c r="U23" s="12">
        <f t="shared" si="11"/>
        <v>20200</v>
      </c>
      <c r="V23" s="11" t="str">
        <f t="shared" si="12"/>
        <v>No</v>
      </c>
      <c r="W23" s="12">
        <f t="shared" si="13"/>
        <v>0</v>
      </c>
      <c r="X23" s="16" t="s">
        <v>123</v>
      </c>
      <c r="Y23" s="12">
        <f t="shared" si="14"/>
        <v>20200</v>
      </c>
      <c r="Z23" s="12">
        <f t="shared" si="15"/>
        <v>0</v>
      </c>
      <c r="AA23" s="12">
        <f t="shared" si="16"/>
        <v>0</v>
      </c>
      <c r="AB23" s="11" t="str">
        <f t="shared" si="17"/>
        <v>Y</v>
      </c>
      <c r="AC23" s="12">
        <f t="shared" si="18"/>
        <v>152</v>
      </c>
      <c r="AD23" s="12">
        <f t="shared" si="19"/>
        <v>657</v>
      </c>
      <c r="AE23" s="12">
        <f t="shared" si="20"/>
        <v>20048</v>
      </c>
      <c r="AF23" s="12">
        <f t="shared" si="21"/>
        <v>20857</v>
      </c>
    </row>
    <row r="24" spans="1:32" x14ac:dyDescent="0.25">
      <c r="A24" s="10">
        <v>18</v>
      </c>
      <c r="B24" s="11" t="s">
        <v>124</v>
      </c>
      <c r="C24" s="11" t="s">
        <v>86</v>
      </c>
      <c r="D24" s="11" t="s">
        <v>121</v>
      </c>
      <c r="E24" s="15" t="s">
        <v>125</v>
      </c>
      <c r="F24" s="11" t="str">
        <f t="shared" si="0"/>
        <v>Semi-Skilled</v>
      </c>
      <c r="G24" s="12">
        <f t="shared" si="1"/>
        <v>11615</v>
      </c>
      <c r="H24" s="12">
        <v>8400</v>
      </c>
      <c r="I24" s="12">
        <v>4900</v>
      </c>
      <c r="J24" s="12">
        <v>4000</v>
      </c>
      <c r="K24" s="12">
        <f t="shared" si="2"/>
        <v>17300</v>
      </c>
      <c r="L24" s="12">
        <v>0</v>
      </c>
      <c r="M24" s="12">
        <f t="shared" si="3"/>
        <v>17300</v>
      </c>
      <c r="N24" s="12">
        <f t="shared" si="4"/>
        <v>11615</v>
      </c>
      <c r="O24" s="12">
        <f t="shared" si="5"/>
        <v>11615</v>
      </c>
      <c r="P24" s="12">
        <f t="shared" si="6"/>
        <v>3215</v>
      </c>
      <c r="Q24" s="12">
        <f t="shared" si="7"/>
        <v>8900</v>
      </c>
      <c r="R24" s="12">
        <f t="shared" si="8"/>
        <v>3129.9438202247193</v>
      </c>
      <c r="S24" s="12">
        <f t="shared" si="9"/>
        <v>2555.0561797752807</v>
      </c>
      <c r="T24" s="12">
        <f t="shared" si="10"/>
        <v>17300</v>
      </c>
      <c r="U24" s="12">
        <f t="shared" si="11"/>
        <v>17300</v>
      </c>
      <c r="V24" s="11" t="str">
        <f t="shared" si="12"/>
        <v>No</v>
      </c>
      <c r="W24" s="12">
        <f t="shared" si="13"/>
        <v>0</v>
      </c>
      <c r="X24" s="16" t="s">
        <v>89</v>
      </c>
      <c r="Y24" s="12">
        <f t="shared" si="14"/>
        <v>11615</v>
      </c>
      <c r="Z24" s="12">
        <f t="shared" si="15"/>
        <v>1394</v>
      </c>
      <c r="AA24" s="12">
        <f t="shared" si="16"/>
        <v>1394</v>
      </c>
      <c r="AB24" s="11" t="str">
        <f t="shared" si="17"/>
        <v>Y</v>
      </c>
      <c r="AC24" s="12">
        <f t="shared" si="18"/>
        <v>130</v>
      </c>
      <c r="AD24" s="12">
        <f t="shared" si="19"/>
        <v>562</v>
      </c>
      <c r="AE24" s="12">
        <f t="shared" si="20"/>
        <v>15776</v>
      </c>
      <c r="AF24" s="12">
        <f t="shared" si="21"/>
        <v>19256</v>
      </c>
    </row>
    <row r="25" spans="1:32" x14ac:dyDescent="0.25">
      <c r="A25" s="10">
        <v>19</v>
      </c>
      <c r="B25" s="11" t="s">
        <v>126</v>
      </c>
      <c r="C25" s="11" t="s">
        <v>86</v>
      </c>
      <c r="D25" s="11" t="s">
        <v>121</v>
      </c>
      <c r="E25" s="15" t="s">
        <v>127</v>
      </c>
      <c r="F25" s="11" t="str">
        <f t="shared" si="0"/>
        <v>Semi-Skilled</v>
      </c>
      <c r="G25" s="12">
        <f t="shared" si="1"/>
        <v>11615</v>
      </c>
      <c r="H25" s="12">
        <v>7950</v>
      </c>
      <c r="I25" s="12">
        <v>4150</v>
      </c>
      <c r="J25" s="12">
        <v>3800</v>
      </c>
      <c r="K25" s="12">
        <f t="shared" si="2"/>
        <v>15900</v>
      </c>
      <c r="L25" s="12">
        <v>0</v>
      </c>
      <c r="M25" s="12">
        <f t="shared" si="3"/>
        <v>15900</v>
      </c>
      <c r="N25" s="12">
        <f t="shared" si="4"/>
        <v>11615</v>
      </c>
      <c r="O25" s="12">
        <f t="shared" si="5"/>
        <v>11615</v>
      </c>
      <c r="P25" s="12">
        <f t="shared" si="6"/>
        <v>3665</v>
      </c>
      <c r="Q25" s="12">
        <f t="shared" si="7"/>
        <v>7950</v>
      </c>
      <c r="R25" s="12">
        <f t="shared" si="8"/>
        <v>2236.8238993710693</v>
      </c>
      <c r="S25" s="12">
        <f t="shared" si="9"/>
        <v>2048.1761006289307</v>
      </c>
      <c r="T25" s="12">
        <f t="shared" si="10"/>
        <v>15900</v>
      </c>
      <c r="U25" s="12">
        <f t="shared" si="11"/>
        <v>15900</v>
      </c>
      <c r="V25" s="11" t="str">
        <f t="shared" si="12"/>
        <v>No</v>
      </c>
      <c r="W25" s="12">
        <f t="shared" si="13"/>
        <v>0</v>
      </c>
      <c r="X25" s="16" t="s">
        <v>89</v>
      </c>
      <c r="Y25" s="12">
        <f t="shared" si="14"/>
        <v>11615</v>
      </c>
      <c r="Z25" s="12">
        <f t="shared" si="15"/>
        <v>1394</v>
      </c>
      <c r="AA25" s="12">
        <f t="shared" si="16"/>
        <v>1394</v>
      </c>
      <c r="AB25" s="11" t="str">
        <f t="shared" si="17"/>
        <v>Y</v>
      </c>
      <c r="AC25" s="12">
        <f t="shared" si="18"/>
        <v>119</v>
      </c>
      <c r="AD25" s="12">
        <f t="shared" si="19"/>
        <v>517</v>
      </c>
      <c r="AE25" s="12">
        <f t="shared" si="20"/>
        <v>14387</v>
      </c>
      <c r="AF25" s="12">
        <f t="shared" si="21"/>
        <v>17811</v>
      </c>
    </row>
    <row r="26" spans="1:32" x14ac:dyDescent="0.25">
      <c r="A26" s="10">
        <v>20</v>
      </c>
      <c r="B26" s="11" t="s">
        <v>128</v>
      </c>
      <c r="C26" s="11" t="s">
        <v>86</v>
      </c>
      <c r="D26" s="11" t="s">
        <v>129</v>
      </c>
      <c r="E26" s="15" t="s">
        <v>130</v>
      </c>
      <c r="F26" s="11" t="str">
        <f t="shared" si="0"/>
        <v>Unskilled</v>
      </c>
      <c r="G26" s="12">
        <f t="shared" si="1"/>
        <v>10558</v>
      </c>
      <c r="H26" s="12">
        <v>6400</v>
      </c>
      <c r="I26" s="12">
        <v>3250</v>
      </c>
      <c r="J26" s="12">
        <v>2550</v>
      </c>
      <c r="K26" s="12">
        <f t="shared" si="2"/>
        <v>12200</v>
      </c>
      <c r="L26" s="12">
        <v>0</v>
      </c>
      <c r="M26" s="12">
        <f t="shared" si="3"/>
        <v>12200</v>
      </c>
      <c r="N26" s="12">
        <f t="shared" si="4"/>
        <v>10558</v>
      </c>
      <c r="O26" s="12">
        <f t="shared" si="5"/>
        <v>10558</v>
      </c>
      <c r="P26" s="12">
        <f t="shared" si="6"/>
        <v>4158</v>
      </c>
      <c r="Q26" s="12">
        <f t="shared" si="7"/>
        <v>5800</v>
      </c>
      <c r="R26" s="12">
        <f t="shared" si="8"/>
        <v>920.08620689655208</v>
      </c>
      <c r="S26" s="12">
        <f t="shared" si="9"/>
        <v>721.91379310344837</v>
      </c>
      <c r="T26" s="12">
        <f t="shared" si="10"/>
        <v>12200</v>
      </c>
      <c r="U26" s="12">
        <f t="shared" si="11"/>
        <v>12200</v>
      </c>
      <c r="V26" s="11" t="str">
        <f t="shared" si="12"/>
        <v>No</v>
      </c>
      <c r="W26" s="12">
        <f t="shared" si="13"/>
        <v>0</v>
      </c>
      <c r="X26" s="16" t="s">
        <v>89</v>
      </c>
      <c r="Y26" s="12">
        <f t="shared" si="14"/>
        <v>10558</v>
      </c>
      <c r="Z26" s="12">
        <f t="shared" si="15"/>
        <v>1267</v>
      </c>
      <c r="AA26" s="12">
        <f t="shared" si="16"/>
        <v>1267</v>
      </c>
      <c r="AB26" s="11" t="str">
        <f t="shared" si="17"/>
        <v>Y</v>
      </c>
      <c r="AC26" s="12">
        <f t="shared" si="18"/>
        <v>92</v>
      </c>
      <c r="AD26" s="12">
        <f t="shared" si="19"/>
        <v>397</v>
      </c>
      <c r="AE26" s="12">
        <f t="shared" si="20"/>
        <v>10841</v>
      </c>
      <c r="AF26" s="12">
        <f t="shared" si="21"/>
        <v>13864</v>
      </c>
    </row>
    <row r="27" spans="1:32" x14ac:dyDescent="0.25">
      <c r="A27" s="10">
        <v>21</v>
      </c>
      <c r="B27" s="11" t="s">
        <v>131</v>
      </c>
      <c r="C27" s="11" t="s">
        <v>86</v>
      </c>
      <c r="D27" s="11" t="s">
        <v>132</v>
      </c>
      <c r="E27" s="15" t="s">
        <v>133</v>
      </c>
      <c r="F27" s="11" t="str">
        <f t="shared" si="0"/>
        <v>Skilled</v>
      </c>
      <c r="G27" s="12">
        <f t="shared" si="1"/>
        <v>12777</v>
      </c>
      <c r="H27" s="12">
        <v>6645</v>
      </c>
      <c r="I27" s="12">
        <v>4490</v>
      </c>
      <c r="J27" s="12">
        <v>4090</v>
      </c>
      <c r="K27" s="12">
        <f t="shared" si="2"/>
        <v>15225</v>
      </c>
      <c r="L27" s="12">
        <v>0</v>
      </c>
      <c r="M27" s="12">
        <f t="shared" si="3"/>
        <v>15225</v>
      </c>
      <c r="N27" s="12">
        <f t="shared" si="4"/>
        <v>12777</v>
      </c>
      <c r="O27" s="12">
        <f t="shared" si="5"/>
        <v>12777</v>
      </c>
      <c r="P27" s="12">
        <f t="shared" si="6"/>
        <v>6132</v>
      </c>
      <c r="Q27" s="12">
        <f t="shared" si="7"/>
        <v>8580</v>
      </c>
      <c r="R27" s="12">
        <f t="shared" si="8"/>
        <v>1281.0629370629372</v>
      </c>
      <c r="S27" s="12">
        <f t="shared" si="9"/>
        <v>1166.9370629370628</v>
      </c>
      <c r="T27" s="12">
        <f t="shared" si="10"/>
        <v>15225</v>
      </c>
      <c r="U27" s="12">
        <f t="shared" si="11"/>
        <v>15225</v>
      </c>
      <c r="V27" s="11" t="str">
        <f t="shared" si="12"/>
        <v>No</v>
      </c>
      <c r="W27" s="12">
        <f t="shared" si="13"/>
        <v>0</v>
      </c>
      <c r="X27" s="16" t="s">
        <v>89</v>
      </c>
      <c r="Y27" s="12">
        <f t="shared" si="14"/>
        <v>12777</v>
      </c>
      <c r="Z27" s="12">
        <f t="shared" si="15"/>
        <v>1533</v>
      </c>
      <c r="AA27" s="12">
        <f t="shared" si="16"/>
        <v>1533</v>
      </c>
      <c r="AB27" s="11" t="str">
        <f t="shared" si="17"/>
        <v>Y</v>
      </c>
      <c r="AC27" s="12">
        <f t="shared" si="18"/>
        <v>114</v>
      </c>
      <c r="AD27" s="12">
        <f t="shared" si="19"/>
        <v>495</v>
      </c>
      <c r="AE27" s="12">
        <f t="shared" si="20"/>
        <v>13578</v>
      </c>
      <c r="AF27" s="12">
        <f t="shared" si="21"/>
        <v>17253</v>
      </c>
    </row>
    <row r="28" spans="1:32" x14ac:dyDescent="0.25">
      <c r="A28" s="10">
        <v>22</v>
      </c>
      <c r="B28" s="11" t="s">
        <v>134</v>
      </c>
      <c r="C28" s="11" t="s">
        <v>86</v>
      </c>
      <c r="D28" s="11" t="s">
        <v>121</v>
      </c>
      <c r="E28" s="15" t="s">
        <v>135</v>
      </c>
      <c r="F28" s="11" t="str">
        <f t="shared" si="0"/>
        <v>Semi-Skilled</v>
      </c>
      <c r="G28" s="12">
        <f t="shared" si="1"/>
        <v>11615</v>
      </c>
      <c r="H28" s="12">
        <v>7900</v>
      </c>
      <c r="I28" s="12">
        <v>4100</v>
      </c>
      <c r="J28" s="12">
        <v>3800</v>
      </c>
      <c r="K28" s="12">
        <f t="shared" si="2"/>
        <v>15800</v>
      </c>
      <c r="L28" s="12">
        <v>0</v>
      </c>
      <c r="M28" s="12">
        <f t="shared" si="3"/>
        <v>15800</v>
      </c>
      <c r="N28" s="12">
        <f t="shared" si="4"/>
        <v>11615</v>
      </c>
      <c r="O28" s="12">
        <f t="shared" si="5"/>
        <v>11615</v>
      </c>
      <c r="P28" s="12">
        <f t="shared" si="6"/>
        <v>3715</v>
      </c>
      <c r="Q28" s="12">
        <f t="shared" si="7"/>
        <v>7900</v>
      </c>
      <c r="R28" s="12">
        <f t="shared" si="8"/>
        <v>2171.9620253164558</v>
      </c>
      <c r="S28" s="12">
        <f t="shared" si="9"/>
        <v>2013.0379746835442</v>
      </c>
      <c r="T28" s="12">
        <f t="shared" si="10"/>
        <v>15800</v>
      </c>
      <c r="U28" s="12">
        <f t="shared" si="11"/>
        <v>15800</v>
      </c>
      <c r="V28" s="11" t="str">
        <f t="shared" si="12"/>
        <v>No</v>
      </c>
      <c r="W28" s="12">
        <f t="shared" si="13"/>
        <v>0</v>
      </c>
      <c r="X28" s="16" t="s">
        <v>89</v>
      </c>
      <c r="Y28" s="12">
        <f t="shared" si="14"/>
        <v>11615</v>
      </c>
      <c r="Z28" s="12">
        <f t="shared" si="15"/>
        <v>1394</v>
      </c>
      <c r="AA28" s="12">
        <f t="shared" si="16"/>
        <v>1394</v>
      </c>
      <c r="AB28" s="11" t="str">
        <f t="shared" si="17"/>
        <v>Y</v>
      </c>
      <c r="AC28" s="12">
        <f t="shared" si="18"/>
        <v>119</v>
      </c>
      <c r="AD28" s="12">
        <f t="shared" si="19"/>
        <v>514</v>
      </c>
      <c r="AE28" s="12">
        <f t="shared" si="20"/>
        <v>14287</v>
      </c>
      <c r="AF28" s="12">
        <f t="shared" si="21"/>
        <v>17708</v>
      </c>
    </row>
    <row r="29" spans="1:32" x14ac:dyDescent="0.25">
      <c r="A29" s="10">
        <v>23</v>
      </c>
      <c r="B29" s="11" t="s">
        <v>136</v>
      </c>
      <c r="C29" s="11" t="s">
        <v>86</v>
      </c>
      <c r="D29" s="11" t="s">
        <v>137</v>
      </c>
      <c r="E29" s="15" t="s">
        <v>138</v>
      </c>
      <c r="F29" s="11" t="str">
        <f t="shared" si="0"/>
        <v>Semi-Skilled</v>
      </c>
      <c r="G29" s="12">
        <f t="shared" si="1"/>
        <v>11615</v>
      </c>
      <c r="H29" s="12">
        <v>7980</v>
      </c>
      <c r="I29" s="12">
        <v>3660</v>
      </c>
      <c r="J29" s="12">
        <v>3360</v>
      </c>
      <c r="K29" s="12">
        <f t="shared" si="2"/>
        <v>15000</v>
      </c>
      <c r="L29" s="12">
        <v>0</v>
      </c>
      <c r="M29" s="12">
        <f t="shared" si="3"/>
        <v>15000</v>
      </c>
      <c r="N29" s="12">
        <f t="shared" si="4"/>
        <v>11615</v>
      </c>
      <c r="O29" s="12">
        <f t="shared" si="5"/>
        <v>11615</v>
      </c>
      <c r="P29" s="12">
        <f t="shared" si="6"/>
        <v>3635</v>
      </c>
      <c r="Q29" s="12">
        <f t="shared" si="7"/>
        <v>7020</v>
      </c>
      <c r="R29" s="12">
        <f t="shared" si="8"/>
        <v>1764.8290598290596</v>
      </c>
      <c r="S29" s="12">
        <f t="shared" si="9"/>
        <v>1620.1709401709402</v>
      </c>
      <c r="T29" s="12">
        <f t="shared" si="10"/>
        <v>14999.999999999998</v>
      </c>
      <c r="U29" s="12">
        <f t="shared" si="11"/>
        <v>14999.999999999998</v>
      </c>
      <c r="V29" s="11" t="str">
        <f t="shared" si="12"/>
        <v>No</v>
      </c>
      <c r="W29" s="12">
        <f t="shared" si="13"/>
        <v>0</v>
      </c>
      <c r="X29" s="16" t="s">
        <v>89</v>
      </c>
      <c r="Y29" s="12">
        <f t="shared" si="14"/>
        <v>11615</v>
      </c>
      <c r="Z29" s="12">
        <f t="shared" si="15"/>
        <v>1394</v>
      </c>
      <c r="AA29" s="12">
        <f t="shared" si="16"/>
        <v>1394</v>
      </c>
      <c r="AB29" s="11" t="str">
        <f t="shared" si="17"/>
        <v>Y</v>
      </c>
      <c r="AC29" s="12">
        <f t="shared" si="18"/>
        <v>113</v>
      </c>
      <c r="AD29" s="12">
        <f t="shared" si="19"/>
        <v>488</v>
      </c>
      <c r="AE29" s="12">
        <f t="shared" si="20"/>
        <v>13492.999999999998</v>
      </c>
      <c r="AF29" s="12">
        <f t="shared" si="21"/>
        <v>16882</v>
      </c>
    </row>
    <row r="30" spans="1:32" x14ac:dyDescent="0.25">
      <c r="A30" s="10">
        <v>24</v>
      </c>
      <c r="B30" s="11" t="s">
        <v>139</v>
      </c>
      <c r="C30" s="11" t="s">
        <v>86</v>
      </c>
      <c r="D30" s="11" t="s">
        <v>140</v>
      </c>
      <c r="E30" s="15" t="s">
        <v>141</v>
      </c>
      <c r="F30" s="11" t="str">
        <f t="shared" si="0"/>
        <v>Skilled</v>
      </c>
      <c r="G30" s="12">
        <f t="shared" si="1"/>
        <v>12777</v>
      </c>
      <c r="H30" s="12">
        <v>8500</v>
      </c>
      <c r="I30" s="12">
        <v>4000</v>
      </c>
      <c r="J30" s="12">
        <v>3000</v>
      </c>
      <c r="K30" s="12">
        <f t="shared" si="2"/>
        <v>15500</v>
      </c>
      <c r="L30" s="12">
        <v>0</v>
      </c>
      <c r="M30" s="12">
        <f t="shared" si="3"/>
        <v>15500</v>
      </c>
      <c r="N30" s="12">
        <f t="shared" si="4"/>
        <v>12777</v>
      </c>
      <c r="O30" s="12">
        <f t="shared" si="5"/>
        <v>12777</v>
      </c>
      <c r="P30" s="12">
        <f t="shared" si="6"/>
        <v>4277</v>
      </c>
      <c r="Q30" s="12">
        <f t="shared" si="7"/>
        <v>7000</v>
      </c>
      <c r="R30" s="12">
        <f t="shared" si="8"/>
        <v>1556</v>
      </c>
      <c r="S30" s="12">
        <f t="shared" si="9"/>
        <v>1167</v>
      </c>
      <c r="T30" s="12">
        <f t="shared" si="10"/>
        <v>15500</v>
      </c>
      <c r="U30" s="12">
        <f t="shared" si="11"/>
        <v>15500</v>
      </c>
      <c r="V30" s="11" t="str">
        <f t="shared" si="12"/>
        <v>No</v>
      </c>
      <c r="W30" s="12">
        <f t="shared" si="13"/>
        <v>0</v>
      </c>
      <c r="X30" s="16" t="s">
        <v>89</v>
      </c>
      <c r="Y30" s="12">
        <f t="shared" si="14"/>
        <v>12777</v>
      </c>
      <c r="Z30" s="12">
        <f t="shared" si="15"/>
        <v>1533</v>
      </c>
      <c r="AA30" s="12">
        <f t="shared" si="16"/>
        <v>1533</v>
      </c>
      <c r="AB30" s="11" t="str">
        <f t="shared" si="17"/>
        <v>Y</v>
      </c>
      <c r="AC30" s="12">
        <f t="shared" si="18"/>
        <v>116</v>
      </c>
      <c r="AD30" s="12">
        <f t="shared" si="19"/>
        <v>504</v>
      </c>
      <c r="AE30" s="12">
        <f t="shared" si="20"/>
        <v>13851</v>
      </c>
      <c r="AF30" s="12">
        <f t="shared" si="21"/>
        <v>17537</v>
      </c>
    </row>
    <row r="31" spans="1:32" x14ac:dyDescent="0.25">
      <c r="A31" s="10">
        <v>25</v>
      </c>
      <c r="B31" s="11" t="s">
        <v>142</v>
      </c>
      <c r="C31" s="11" t="s">
        <v>86</v>
      </c>
      <c r="D31" s="11" t="s">
        <v>121</v>
      </c>
      <c r="E31" s="15" t="s">
        <v>143</v>
      </c>
      <c r="F31" s="11" t="str">
        <f t="shared" si="0"/>
        <v>Semi-Skilled</v>
      </c>
      <c r="G31" s="12">
        <f t="shared" si="1"/>
        <v>11615</v>
      </c>
      <c r="H31" s="12">
        <v>8400</v>
      </c>
      <c r="I31" s="12">
        <v>4900</v>
      </c>
      <c r="J31" s="12">
        <v>4000</v>
      </c>
      <c r="K31" s="12">
        <f t="shared" si="2"/>
        <v>17300</v>
      </c>
      <c r="L31" s="12">
        <v>0</v>
      </c>
      <c r="M31" s="12">
        <f t="shared" si="3"/>
        <v>17300</v>
      </c>
      <c r="N31" s="12">
        <f t="shared" si="4"/>
        <v>11615</v>
      </c>
      <c r="O31" s="12">
        <f t="shared" si="5"/>
        <v>11615</v>
      </c>
      <c r="P31" s="12">
        <f t="shared" si="6"/>
        <v>3215</v>
      </c>
      <c r="Q31" s="12">
        <f t="shared" si="7"/>
        <v>8900</v>
      </c>
      <c r="R31" s="12">
        <f t="shared" si="8"/>
        <v>3129.9438202247193</v>
      </c>
      <c r="S31" s="12">
        <f t="shared" si="9"/>
        <v>2555.0561797752807</v>
      </c>
      <c r="T31" s="12">
        <f t="shared" si="10"/>
        <v>17300</v>
      </c>
      <c r="U31" s="12">
        <f t="shared" si="11"/>
        <v>17300</v>
      </c>
      <c r="V31" s="11" t="str">
        <f t="shared" si="12"/>
        <v>No</v>
      </c>
      <c r="W31" s="12">
        <f t="shared" si="13"/>
        <v>0</v>
      </c>
      <c r="X31" s="16" t="s">
        <v>89</v>
      </c>
      <c r="Y31" s="12">
        <f t="shared" si="14"/>
        <v>11615</v>
      </c>
      <c r="Z31" s="12">
        <f t="shared" si="15"/>
        <v>1394</v>
      </c>
      <c r="AA31" s="12">
        <f t="shared" si="16"/>
        <v>1394</v>
      </c>
      <c r="AB31" s="11" t="str">
        <f t="shared" si="17"/>
        <v>Y</v>
      </c>
      <c r="AC31" s="12">
        <f t="shared" si="18"/>
        <v>130</v>
      </c>
      <c r="AD31" s="12">
        <f t="shared" si="19"/>
        <v>562</v>
      </c>
      <c r="AE31" s="12">
        <f t="shared" si="20"/>
        <v>15776</v>
      </c>
      <c r="AF31" s="12">
        <f t="shared" si="21"/>
        <v>19256</v>
      </c>
    </row>
    <row r="32" spans="1:32" x14ac:dyDescent="0.25">
      <c r="A32" s="10">
        <v>26</v>
      </c>
      <c r="B32" s="11" t="s">
        <v>144</v>
      </c>
      <c r="C32" s="11" t="s">
        <v>86</v>
      </c>
      <c r="D32" s="11" t="s">
        <v>121</v>
      </c>
      <c r="E32" s="15" t="s">
        <v>145</v>
      </c>
      <c r="F32" s="11" t="str">
        <f t="shared" si="0"/>
        <v>Semi-Skilled</v>
      </c>
      <c r="G32" s="12">
        <f t="shared" si="1"/>
        <v>11615</v>
      </c>
      <c r="H32" s="12">
        <v>19000</v>
      </c>
      <c r="I32" s="12">
        <v>0</v>
      </c>
      <c r="J32" s="12">
        <v>0</v>
      </c>
      <c r="K32" s="12">
        <f t="shared" si="2"/>
        <v>19000</v>
      </c>
      <c r="L32" s="12">
        <v>0</v>
      </c>
      <c r="M32" s="12">
        <f t="shared" si="3"/>
        <v>19000</v>
      </c>
      <c r="N32" s="12">
        <f t="shared" si="4"/>
        <v>11615</v>
      </c>
      <c r="O32" s="12">
        <f t="shared" si="5"/>
        <v>19000</v>
      </c>
      <c r="P32" s="12">
        <f t="shared" si="6"/>
        <v>0</v>
      </c>
      <c r="Q32" s="12">
        <f t="shared" si="7"/>
        <v>0</v>
      </c>
      <c r="R32" s="12">
        <f t="shared" si="8"/>
        <v>0</v>
      </c>
      <c r="S32" s="12">
        <f t="shared" si="9"/>
        <v>0</v>
      </c>
      <c r="T32" s="12">
        <f t="shared" si="10"/>
        <v>19000</v>
      </c>
      <c r="U32" s="12">
        <f t="shared" si="11"/>
        <v>19000</v>
      </c>
      <c r="V32" s="11" t="str">
        <f t="shared" si="12"/>
        <v>No</v>
      </c>
      <c r="W32" s="12">
        <f t="shared" si="13"/>
        <v>0</v>
      </c>
      <c r="X32" s="16" t="s">
        <v>123</v>
      </c>
      <c r="Y32" s="12">
        <f t="shared" si="14"/>
        <v>19000</v>
      </c>
      <c r="Z32" s="12">
        <f t="shared" si="15"/>
        <v>0</v>
      </c>
      <c r="AA32" s="12">
        <f t="shared" si="16"/>
        <v>0</v>
      </c>
      <c r="AB32" s="11" t="str">
        <f t="shared" si="17"/>
        <v>Y</v>
      </c>
      <c r="AC32" s="12">
        <f t="shared" si="18"/>
        <v>143</v>
      </c>
      <c r="AD32" s="12">
        <f t="shared" si="19"/>
        <v>618</v>
      </c>
      <c r="AE32" s="12">
        <f t="shared" si="20"/>
        <v>18857</v>
      </c>
      <c r="AF32" s="12">
        <f t="shared" si="21"/>
        <v>19618</v>
      </c>
    </row>
    <row r="33" spans="1:32" x14ac:dyDescent="0.25">
      <c r="A33" s="10">
        <v>27</v>
      </c>
      <c r="B33" s="11" t="s">
        <v>146</v>
      </c>
      <c r="C33" s="11" t="s">
        <v>86</v>
      </c>
      <c r="D33" s="11" t="s">
        <v>121</v>
      </c>
      <c r="E33" s="15" t="s">
        <v>147</v>
      </c>
      <c r="F33" s="11" t="str">
        <f t="shared" si="0"/>
        <v>Semi-Skilled</v>
      </c>
      <c r="G33" s="12">
        <f t="shared" si="1"/>
        <v>11615</v>
      </c>
      <c r="H33" s="12">
        <v>20600</v>
      </c>
      <c r="I33" s="12">
        <v>0</v>
      </c>
      <c r="J33" s="12">
        <v>0</v>
      </c>
      <c r="K33" s="12">
        <f t="shared" si="2"/>
        <v>20600</v>
      </c>
      <c r="L33" s="12">
        <v>0</v>
      </c>
      <c r="M33" s="12">
        <f t="shared" si="3"/>
        <v>20600</v>
      </c>
      <c r="N33" s="12">
        <f t="shared" si="4"/>
        <v>11615</v>
      </c>
      <c r="O33" s="12">
        <f t="shared" si="5"/>
        <v>20600</v>
      </c>
      <c r="P33" s="12">
        <f t="shared" si="6"/>
        <v>0</v>
      </c>
      <c r="Q33" s="12">
        <f t="shared" si="7"/>
        <v>0</v>
      </c>
      <c r="R33" s="12">
        <f t="shared" si="8"/>
        <v>0</v>
      </c>
      <c r="S33" s="12">
        <f t="shared" si="9"/>
        <v>0</v>
      </c>
      <c r="T33" s="12">
        <f t="shared" si="10"/>
        <v>20600</v>
      </c>
      <c r="U33" s="12">
        <f t="shared" si="11"/>
        <v>20600</v>
      </c>
      <c r="V33" s="11" t="str">
        <f t="shared" si="12"/>
        <v>No</v>
      </c>
      <c r="W33" s="12">
        <f t="shared" si="13"/>
        <v>0</v>
      </c>
      <c r="X33" s="16" t="s">
        <v>123</v>
      </c>
      <c r="Y33" s="12">
        <f t="shared" si="14"/>
        <v>20600</v>
      </c>
      <c r="Z33" s="12">
        <f t="shared" si="15"/>
        <v>0</v>
      </c>
      <c r="AA33" s="12">
        <f t="shared" si="16"/>
        <v>0</v>
      </c>
      <c r="AB33" s="11" t="str">
        <f t="shared" si="17"/>
        <v>Y</v>
      </c>
      <c r="AC33" s="12">
        <f t="shared" si="18"/>
        <v>155</v>
      </c>
      <c r="AD33" s="12">
        <f t="shared" si="19"/>
        <v>670</v>
      </c>
      <c r="AE33" s="12">
        <f t="shared" si="20"/>
        <v>20445</v>
      </c>
      <c r="AF33" s="12">
        <f t="shared" si="21"/>
        <v>21270</v>
      </c>
    </row>
    <row r="34" spans="1:32" x14ac:dyDescent="0.25">
      <c r="A34" s="10">
        <v>28</v>
      </c>
      <c r="B34" s="11" t="s">
        <v>148</v>
      </c>
      <c r="C34" s="11" t="s">
        <v>86</v>
      </c>
      <c r="D34" s="11" t="s">
        <v>121</v>
      </c>
      <c r="E34" s="15" t="s">
        <v>149</v>
      </c>
      <c r="F34" s="11" t="str">
        <f t="shared" si="0"/>
        <v>Semi-Skilled</v>
      </c>
      <c r="G34" s="12">
        <f t="shared" si="1"/>
        <v>11615</v>
      </c>
      <c r="H34" s="12">
        <v>20000</v>
      </c>
      <c r="I34" s="12">
        <v>0</v>
      </c>
      <c r="J34" s="12">
        <v>0</v>
      </c>
      <c r="K34" s="12">
        <f t="shared" si="2"/>
        <v>20000</v>
      </c>
      <c r="L34" s="12">
        <v>0</v>
      </c>
      <c r="M34" s="12">
        <f t="shared" si="3"/>
        <v>20000</v>
      </c>
      <c r="N34" s="12">
        <f t="shared" si="4"/>
        <v>11615</v>
      </c>
      <c r="O34" s="12">
        <f t="shared" si="5"/>
        <v>20000</v>
      </c>
      <c r="P34" s="12">
        <f t="shared" si="6"/>
        <v>0</v>
      </c>
      <c r="Q34" s="12">
        <f t="shared" si="7"/>
        <v>0</v>
      </c>
      <c r="R34" s="12">
        <f t="shared" si="8"/>
        <v>0</v>
      </c>
      <c r="S34" s="12">
        <f t="shared" si="9"/>
        <v>0</v>
      </c>
      <c r="T34" s="12">
        <f t="shared" si="10"/>
        <v>20000</v>
      </c>
      <c r="U34" s="12">
        <f t="shared" si="11"/>
        <v>20000</v>
      </c>
      <c r="V34" s="11" t="str">
        <f t="shared" si="12"/>
        <v>No</v>
      </c>
      <c r="W34" s="12">
        <f t="shared" si="13"/>
        <v>0</v>
      </c>
      <c r="X34" s="16" t="s">
        <v>123</v>
      </c>
      <c r="Y34" s="12">
        <f t="shared" si="14"/>
        <v>20000</v>
      </c>
      <c r="Z34" s="12">
        <f t="shared" si="15"/>
        <v>0</v>
      </c>
      <c r="AA34" s="12">
        <f t="shared" si="16"/>
        <v>0</v>
      </c>
      <c r="AB34" s="11" t="str">
        <f t="shared" si="17"/>
        <v>Y</v>
      </c>
      <c r="AC34" s="12">
        <f t="shared" si="18"/>
        <v>150</v>
      </c>
      <c r="AD34" s="12">
        <f t="shared" si="19"/>
        <v>650</v>
      </c>
      <c r="AE34" s="12">
        <f t="shared" si="20"/>
        <v>19850</v>
      </c>
      <c r="AF34" s="12">
        <f t="shared" si="21"/>
        <v>20650</v>
      </c>
    </row>
    <row r="35" spans="1:32" x14ac:dyDescent="0.25">
      <c r="A35" s="10">
        <v>29</v>
      </c>
      <c r="B35" s="11" t="s">
        <v>150</v>
      </c>
      <c r="C35" s="11" t="s">
        <v>86</v>
      </c>
      <c r="D35" s="11" t="s">
        <v>121</v>
      </c>
      <c r="E35" s="15" t="s">
        <v>151</v>
      </c>
      <c r="F35" s="11" t="str">
        <f t="shared" si="0"/>
        <v>Semi-Skilled</v>
      </c>
      <c r="G35" s="12">
        <f t="shared" si="1"/>
        <v>11615</v>
      </c>
      <c r="H35" s="12">
        <v>7850</v>
      </c>
      <c r="I35" s="12">
        <v>4150</v>
      </c>
      <c r="J35" s="12">
        <v>3700</v>
      </c>
      <c r="K35" s="12">
        <f t="shared" si="2"/>
        <v>15700</v>
      </c>
      <c r="L35" s="12">
        <v>0</v>
      </c>
      <c r="M35" s="12">
        <f t="shared" si="3"/>
        <v>15700</v>
      </c>
      <c r="N35" s="12">
        <f t="shared" si="4"/>
        <v>11615</v>
      </c>
      <c r="O35" s="12">
        <f t="shared" si="5"/>
        <v>11615</v>
      </c>
      <c r="P35" s="12">
        <f t="shared" si="6"/>
        <v>3765</v>
      </c>
      <c r="Q35" s="12">
        <f t="shared" si="7"/>
        <v>7850</v>
      </c>
      <c r="R35" s="12">
        <f t="shared" si="8"/>
        <v>2159.5859872611463</v>
      </c>
      <c r="S35" s="12">
        <f t="shared" si="9"/>
        <v>1925.4140127388534</v>
      </c>
      <c r="T35" s="12">
        <f t="shared" si="10"/>
        <v>15700</v>
      </c>
      <c r="U35" s="12">
        <f t="shared" si="11"/>
        <v>15700</v>
      </c>
      <c r="V35" s="11" t="str">
        <f t="shared" si="12"/>
        <v>No</v>
      </c>
      <c r="W35" s="12">
        <f t="shared" si="13"/>
        <v>0</v>
      </c>
      <c r="X35" s="16" t="s">
        <v>89</v>
      </c>
      <c r="Y35" s="12">
        <f t="shared" si="14"/>
        <v>11615</v>
      </c>
      <c r="Z35" s="12">
        <f t="shared" si="15"/>
        <v>1394</v>
      </c>
      <c r="AA35" s="12">
        <f t="shared" si="16"/>
        <v>1394</v>
      </c>
      <c r="AB35" s="11" t="str">
        <f t="shared" si="17"/>
        <v>Y</v>
      </c>
      <c r="AC35" s="12">
        <f t="shared" si="18"/>
        <v>118</v>
      </c>
      <c r="AD35" s="12">
        <f t="shared" si="19"/>
        <v>510</v>
      </c>
      <c r="AE35" s="12">
        <f t="shared" si="20"/>
        <v>14188</v>
      </c>
      <c r="AF35" s="12">
        <f t="shared" si="21"/>
        <v>17604</v>
      </c>
    </row>
    <row r="36" spans="1:32" x14ac:dyDescent="0.25">
      <c r="A36" s="10">
        <v>30</v>
      </c>
      <c r="B36" s="11" t="s">
        <v>152</v>
      </c>
      <c r="C36" s="11" t="s">
        <v>86</v>
      </c>
      <c r="D36" s="11" t="s">
        <v>129</v>
      </c>
      <c r="E36" s="15" t="s">
        <v>153</v>
      </c>
      <c r="F36" s="11" t="str">
        <f t="shared" si="0"/>
        <v>Unskilled</v>
      </c>
      <c r="G36" s="12">
        <f t="shared" si="1"/>
        <v>10558</v>
      </c>
      <c r="H36" s="12">
        <v>6420</v>
      </c>
      <c r="I36" s="12">
        <v>3440</v>
      </c>
      <c r="J36" s="12">
        <v>2740</v>
      </c>
      <c r="K36" s="12">
        <f t="shared" si="2"/>
        <v>12600</v>
      </c>
      <c r="L36" s="12">
        <v>0</v>
      </c>
      <c r="M36" s="12">
        <f t="shared" si="3"/>
        <v>12600</v>
      </c>
      <c r="N36" s="12">
        <f t="shared" si="4"/>
        <v>10558</v>
      </c>
      <c r="O36" s="12">
        <f t="shared" si="5"/>
        <v>10558</v>
      </c>
      <c r="P36" s="12">
        <f t="shared" si="6"/>
        <v>4138</v>
      </c>
      <c r="Q36" s="12">
        <f t="shared" si="7"/>
        <v>6180</v>
      </c>
      <c r="R36" s="12">
        <f t="shared" si="8"/>
        <v>1136.6472491909385</v>
      </c>
      <c r="S36" s="12">
        <f t="shared" si="9"/>
        <v>905.35275080906149</v>
      </c>
      <c r="T36" s="12">
        <f t="shared" si="10"/>
        <v>12600</v>
      </c>
      <c r="U36" s="12">
        <f t="shared" si="11"/>
        <v>12600</v>
      </c>
      <c r="V36" s="11" t="str">
        <f t="shared" si="12"/>
        <v>No</v>
      </c>
      <c r="W36" s="12">
        <f t="shared" si="13"/>
        <v>0</v>
      </c>
      <c r="X36" s="16" t="s">
        <v>89</v>
      </c>
      <c r="Y36" s="12">
        <f t="shared" si="14"/>
        <v>10558</v>
      </c>
      <c r="Z36" s="12">
        <f t="shared" si="15"/>
        <v>1267</v>
      </c>
      <c r="AA36" s="12">
        <f t="shared" si="16"/>
        <v>1267</v>
      </c>
      <c r="AB36" s="11" t="str">
        <f t="shared" si="17"/>
        <v>Y</v>
      </c>
      <c r="AC36" s="12">
        <f t="shared" si="18"/>
        <v>95</v>
      </c>
      <c r="AD36" s="12">
        <f t="shared" si="19"/>
        <v>410</v>
      </c>
      <c r="AE36" s="12">
        <f t="shared" si="20"/>
        <v>11238</v>
      </c>
      <c r="AF36" s="12">
        <f t="shared" si="21"/>
        <v>14277</v>
      </c>
    </row>
    <row r="37" spans="1:32" x14ac:dyDescent="0.25">
      <c r="A37" s="10">
        <v>31</v>
      </c>
      <c r="B37" s="11" t="s">
        <v>154</v>
      </c>
      <c r="C37" s="11" t="s">
        <v>86</v>
      </c>
      <c r="D37" s="11" t="s">
        <v>137</v>
      </c>
      <c r="E37" s="15" t="s">
        <v>155</v>
      </c>
      <c r="F37" s="11" t="str">
        <f t="shared" si="0"/>
        <v>Semi-Skilled</v>
      </c>
      <c r="G37" s="12">
        <f t="shared" si="1"/>
        <v>11615</v>
      </c>
      <c r="H37" s="12">
        <v>6590</v>
      </c>
      <c r="I37" s="12">
        <v>4280</v>
      </c>
      <c r="J37" s="12">
        <v>3130</v>
      </c>
      <c r="K37" s="12">
        <f t="shared" si="2"/>
        <v>14000</v>
      </c>
      <c r="L37" s="12">
        <v>0</v>
      </c>
      <c r="M37" s="12">
        <f t="shared" si="3"/>
        <v>14000</v>
      </c>
      <c r="N37" s="12">
        <f t="shared" si="4"/>
        <v>11615</v>
      </c>
      <c r="O37" s="12">
        <f t="shared" si="5"/>
        <v>11615</v>
      </c>
      <c r="P37" s="12">
        <f t="shared" si="6"/>
        <v>5025</v>
      </c>
      <c r="Q37" s="12">
        <f t="shared" si="7"/>
        <v>7410</v>
      </c>
      <c r="R37" s="12">
        <f t="shared" si="8"/>
        <v>1377.570850202429</v>
      </c>
      <c r="S37" s="12">
        <f t="shared" si="9"/>
        <v>1007.429149797571</v>
      </c>
      <c r="T37" s="12">
        <f t="shared" si="10"/>
        <v>14000</v>
      </c>
      <c r="U37" s="12">
        <f t="shared" si="11"/>
        <v>14000</v>
      </c>
      <c r="V37" s="11" t="str">
        <f t="shared" si="12"/>
        <v>No</v>
      </c>
      <c r="W37" s="12">
        <f t="shared" si="13"/>
        <v>0</v>
      </c>
      <c r="X37" s="16" t="s">
        <v>89</v>
      </c>
      <c r="Y37" s="12">
        <f t="shared" si="14"/>
        <v>11615</v>
      </c>
      <c r="Z37" s="12">
        <f t="shared" si="15"/>
        <v>1394</v>
      </c>
      <c r="AA37" s="12">
        <f t="shared" si="16"/>
        <v>1394</v>
      </c>
      <c r="AB37" s="11" t="str">
        <f t="shared" si="17"/>
        <v>Y</v>
      </c>
      <c r="AC37" s="12">
        <f t="shared" si="18"/>
        <v>105</v>
      </c>
      <c r="AD37" s="12">
        <f t="shared" si="19"/>
        <v>455</v>
      </c>
      <c r="AE37" s="12">
        <f t="shared" si="20"/>
        <v>12501</v>
      </c>
      <c r="AF37" s="12">
        <f t="shared" si="21"/>
        <v>15849</v>
      </c>
    </row>
    <row r="38" spans="1:32" x14ac:dyDescent="0.25">
      <c r="A38" s="10">
        <v>32</v>
      </c>
      <c r="B38" s="11" t="s">
        <v>156</v>
      </c>
      <c r="C38" s="11" t="s">
        <v>86</v>
      </c>
      <c r="D38" s="11" t="s">
        <v>137</v>
      </c>
      <c r="E38" s="15" t="s">
        <v>157</v>
      </c>
      <c r="F38" s="11" t="str">
        <f t="shared" si="0"/>
        <v>Semi-Skilled</v>
      </c>
      <c r="G38" s="12">
        <f t="shared" si="1"/>
        <v>11615</v>
      </c>
      <c r="H38" s="12">
        <v>7290</v>
      </c>
      <c r="I38" s="12">
        <v>4180</v>
      </c>
      <c r="J38" s="12">
        <v>3730</v>
      </c>
      <c r="K38" s="12">
        <f t="shared" si="2"/>
        <v>15200</v>
      </c>
      <c r="L38" s="12">
        <v>0</v>
      </c>
      <c r="M38" s="12">
        <f t="shared" si="3"/>
        <v>15200</v>
      </c>
      <c r="N38" s="12">
        <f t="shared" si="4"/>
        <v>11615</v>
      </c>
      <c r="O38" s="12">
        <f t="shared" si="5"/>
        <v>11615</v>
      </c>
      <c r="P38" s="12">
        <f t="shared" si="6"/>
        <v>4325</v>
      </c>
      <c r="Q38" s="12">
        <f t="shared" si="7"/>
        <v>7910</v>
      </c>
      <c r="R38" s="12">
        <f t="shared" si="8"/>
        <v>1894.4753476611886</v>
      </c>
      <c r="S38" s="12">
        <f t="shared" si="9"/>
        <v>1690.5246523388116</v>
      </c>
      <c r="T38" s="12">
        <f t="shared" si="10"/>
        <v>15200</v>
      </c>
      <c r="U38" s="12">
        <f t="shared" si="11"/>
        <v>15200</v>
      </c>
      <c r="V38" s="11" t="str">
        <f t="shared" si="12"/>
        <v>No</v>
      </c>
      <c r="W38" s="12">
        <f t="shared" si="13"/>
        <v>0</v>
      </c>
      <c r="X38" s="16" t="s">
        <v>89</v>
      </c>
      <c r="Y38" s="12">
        <f t="shared" si="14"/>
        <v>11615</v>
      </c>
      <c r="Z38" s="12">
        <f t="shared" si="15"/>
        <v>1394</v>
      </c>
      <c r="AA38" s="12">
        <f t="shared" si="16"/>
        <v>1394</v>
      </c>
      <c r="AB38" s="11" t="str">
        <f t="shared" si="17"/>
        <v>Y</v>
      </c>
      <c r="AC38" s="12">
        <f t="shared" si="18"/>
        <v>114</v>
      </c>
      <c r="AD38" s="12">
        <f t="shared" si="19"/>
        <v>494</v>
      </c>
      <c r="AE38" s="12">
        <f t="shared" si="20"/>
        <v>13692</v>
      </c>
      <c r="AF38" s="12">
        <f t="shared" si="21"/>
        <v>17088</v>
      </c>
    </row>
    <row r="39" spans="1:32" x14ac:dyDescent="0.25">
      <c r="A39" s="10">
        <v>33</v>
      </c>
      <c r="B39" s="11" t="s">
        <v>158</v>
      </c>
      <c r="C39" s="11" t="s">
        <v>86</v>
      </c>
      <c r="D39" s="11" t="s">
        <v>132</v>
      </c>
      <c r="E39" s="15" t="s">
        <v>159</v>
      </c>
      <c r="F39" s="11" t="str">
        <f t="shared" ref="F39:F57" si="22">VLOOKUP(D39,SkillMap,2,0)</f>
        <v>Skilled</v>
      </c>
      <c r="G39" s="12">
        <f t="shared" ref="G39:G70" si="23">VLOOKUP(F39,MinWageTable,2,0)</f>
        <v>12777</v>
      </c>
      <c r="H39" s="12">
        <v>6750</v>
      </c>
      <c r="I39" s="12">
        <v>5710</v>
      </c>
      <c r="J39" s="12">
        <v>4340</v>
      </c>
      <c r="K39" s="12">
        <f t="shared" ref="K39:K70" si="24">H39+I39+J39</f>
        <v>16800</v>
      </c>
      <c r="L39" s="12">
        <v>0</v>
      </c>
      <c r="M39" s="12">
        <f t="shared" ref="M39:M70" si="25">K39+L39</f>
        <v>16800</v>
      </c>
      <c r="N39" s="12">
        <f t="shared" ref="N39:N70" si="26">MAX(G39,0.5*M39)</f>
        <v>12777</v>
      </c>
      <c r="O39" s="12">
        <f t="shared" ref="O39:O70" si="27">MAX(H39,N39)</f>
        <v>12777</v>
      </c>
      <c r="P39" s="12">
        <f t="shared" ref="P39:P70" si="28">O39-H39</f>
        <v>6027</v>
      </c>
      <c r="Q39" s="12">
        <f t="shared" ref="Q39:Q57" si="29">I39+J39</f>
        <v>10050</v>
      </c>
      <c r="R39" s="12">
        <f t="shared" ref="R39:R70" si="30">IF(Q39=0,I39,I39-MIN(P39,Q39)*(I39/Q39))</f>
        <v>2285.7044776119405</v>
      </c>
      <c r="S39" s="12">
        <f t="shared" ref="S39:S57" si="31">IF(Q39=0,J39,J39-MIN(P39,Q39)*(J39/Q39))</f>
        <v>1737.2955223880599</v>
      </c>
      <c r="T39" s="12">
        <f t="shared" ref="T39:T70" si="32">O39+R39+S39</f>
        <v>16800</v>
      </c>
      <c r="U39" s="12">
        <f t="shared" ref="U39:U70" si="33">T39+L39</f>
        <v>16800</v>
      </c>
      <c r="V39" s="11" t="str">
        <f t="shared" ref="V39:V70" si="34">IF(U39&gt;M39,"YES","No")</f>
        <v>No</v>
      </c>
      <c r="W39" s="12">
        <f t="shared" ref="W39:W57" si="35">MAX(U39-M39,0)</f>
        <v>0</v>
      </c>
      <c r="X39" s="16" t="s">
        <v>89</v>
      </c>
      <c r="Y39" s="12">
        <f t="shared" ref="Y39:Y57" si="36">O39</f>
        <v>12777</v>
      </c>
      <c r="Z39" s="12">
        <f t="shared" ref="Z39:Z70" si="37">IF(X39="Y",ROUND(Y39*12%,0),0)</f>
        <v>1533</v>
      </c>
      <c r="AA39" s="12">
        <f t="shared" ref="AA39:AA57" si="38">IF(X39="Y",ROUND(Y39*12%,0),0)</f>
        <v>1533</v>
      </c>
      <c r="AB39" s="11" t="str">
        <f t="shared" ref="AB39:AB57" si="39">IF(U39&lt;=21000,"Y","N")</f>
        <v>Y</v>
      </c>
      <c r="AC39" s="12">
        <f t="shared" ref="AC39:AC70" si="40">IF(AB39="Y",ROUND(U39*0.75%,0),0)</f>
        <v>126</v>
      </c>
      <c r="AD39" s="12">
        <f t="shared" ref="AD39:AD57" si="41">IF(AB39="Y",ROUND(U39*3.25%,0),0)</f>
        <v>546</v>
      </c>
      <c r="AE39" s="12">
        <f t="shared" ref="AE39:AE57" si="42">U39-Z39-AC39</f>
        <v>15141</v>
      </c>
      <c r="AF39" s="12">
        <f t="shared" ref="AF39:AF57" si="43">U39+AA39+AD39</f>
        <v>18879</v>
      </c>
    </row>
    <row r="40" spans="1:32" x14ac:dyDescent="0.25">
      <c r="A40" s="10">
        <v>34</v>
      </c>
      <c r="B40" s="11" t="s">
        <v>160</v>
      </c>
      <c r="C40" s="11" t="s">
        <v>86</v>
      </c>
      <c r="D40" s="11" t="s">
        <v>121</v>
      </c>
      <c r="E40" s="15" t="s">
        <v>161</v>
      </c>
      <c r="F40" s="11" t="str">
        <f t="shared" si="22"/>
        <v>Semi-Skilled</v>
      </c>
      <c r="G40" s="12">
        <f t="shared" si="23"/>
        <v>11615</v>
      </c>
      <c r="H40" s="12">
        <v>19000</v>
      </c>
      <c r="I40" s="12">
        <v>0</v>
      </c>
      <c r="J40" s="12">
        <v>0</v>
      </c>
      <c r="K40" s="12">
        <f t="shared" si="24"/>
        <v>19000</v>
      </c>
      <c r="L40" s="12">
        <v>0</v>
      </c>
      <c r="M40" s="12">
        <f t="shared" si="25"/>
        <v>19000</v>
      </c>
      <c r="N40" s="12">
        <f t="shared" si="26"/>
        <v>11615</v>
      </c>
      <c r="O40" s="12">
        <f t="shared" si="27"/>
        <v>19000</v>
      </c>
      <c r="P40" s="12">
        <f t="shared" si="28"/>
        <v>0</v>
      </c>
      <c r="Q40" s="12">
        <f t="shared" si="29"/>
        <v>0</v>
      </c>
      <c r="R40" s="12">
        <f t="shared" si="30"/>
        <v>0</v>
      </c>
      <c r="S40" s="12">
        <f t="shared" si="31"/>
        <v>0</v>
      </c>
      <c r="T40" s="12">
        <f t="shared" si="32"/>
        <v>19000</v>
      </c>
      <c r="U40" s="12">
        <f t="shared" si="33"/>
        <v>19000</v>
      </c>
      <c r="V40" s="11" t="str">
        <f t="shared" si="34"/>
        <v>No</v>
      </c>
      <c r="W40" s="12">
        <f t="shared" si="35"/>
        <v>0</v>
      </c>
      <c r="X40" s="16" t="s">
        <v>123</v>
      </c>
      <c r="Y40" s="12">
        <f t="shared" si="36"/>
        <v>19000</v>
      </c>
      <c r="Z40" s="12">
        <f t="shared" si="37"/>
        <v>0</v>
      </c>
      <c r="AA40" s="12">
        <f t="shared" si="38"/>
        <v>0</v>
      </c>
      <c r="AB40" s="11" t="str">
        <f t="shared" si="39"/>
        <v>Y</v>
      </c>
      <c r="AC40" s="12">
        <f t="shared" si="40"/>
        <v>143</v>
      </c>
      <c r="AD40" s="12">
        <f t="shared" si="41"/>
        <v>618</v>
      </c>
      <c r="AE40" s="12">
        <f t="shared" si="42"/>
        <v>18857</v>
      </c>
      <c r="AF40" s="12">
        <f t="shared" si="43"/>
        <v>19618</v>
      </c>
    </row>
    <row r="41" spans="1:32" x14ac:dyDescent="0.25">
      <c r="A41" s="10">
        <v>35</v>
      </c>
      <c r="B41" s="11" t="s">
        <v>162</v>
      </c>
      <c r="C41" s="11" t="s">
        <v>86</v>
      </c>
      <c r="D41" s="11" t="s">
        <v>121</v>
      </c>
      <c r="E41" s="15" t="s">
        <v>163</v>
      </c>
      <c r="F41" s="11" t="str">
        <f t="shared" si="22"/>
        <v>Semi-Skilled</v>
      </c>
      <c r="G41" s="12">
        <f t="shared" si="23"/>
        <v>11615</v>
      </c>
      <c r="H41" s="12">
        <v>21000</v>
      </c>
      <c r="I41" s="12">
        <v>0</v>
      </c>
      <c r="J41" s="12">
        <v>0</v>
      </c>
      <c r="K41" s="12">
        <f t="shared" si="24"/>
        <v>21000</v>
      </c>
      <c r="L41" s="12">
        <v>0</v>
      </c>
      <c r="M41" s="12">
        <f t="shared" si="25"/>
        <v>21000</v>
      </c>
      <c r="N41" s="12">
        <f t="shared" si="26"/>
        <v>11615</v>
      </c>
      <c r="O41" s="12">
        <f t="shared" si="27"/>
        <v>21000</v>
      </c>
      <c r="P41" s="12">
        <f t="shared" si="28"/>
        <v>0</v>
      </c>
      <c r="Q41" s="12">
        <f t="shared" si="29"/>
        <v>0</v>
      </c>
      <c r="R41" s="12">
        <f t="shared" si="30"/>
        <v>0</v>
      </c>
      <c r="S41" s="12">
        <f t="shared" si="31"/>
        <v>0</v>
      </c>
      <c r="T41" s="12">
        <f t="shared" si="32"/>
        <v>21000</v>
      </c>
      <c r="U41" s="12">
        <f t="shared" si="33"/>
        <v>21000</v>
      </c>
      <c r="V41" s="11" t="str">
        <f t="shared" si="34"/>
        <v>No</v>
      </c>
      <c r="W41" s="12">
        <f t="shared" si="35"/>
        <v>0</v>
      </c>
      <c r="X41" s="16" t="s">
        <v>123</v>
      </c>
      <c r="Y41" s="12">
        <f t="shared" si="36"/>
        <v>21000</v>
      </c>
      <c r="Z41" s="12">
        <f t="shared" si="37"/>
        <v>0</v>
      </c>
      <c r="AA41" s="12">
        <f t="shared" si="38"/>
        <v>0</v>
      </c>
      <c r="AB41" s="11" t="str">
        <f t="shared" si="39"/>
        <v>Y</v>
      </c>
      <c r="AC41" s="12">
        <f t="shared" si="40"/>
        <v>158</v>
      </c>
      <c r="AD41" s="12">
        <f t="shared" si="41"/>
        <v>683</v>
      </c>
      <c r="AE41" s="12">
        <f t="shared" si="42"/>
        <v>20842</v>
      </c>
      <c r="AF41" s="12">
        <f t="shared" si="43"/>
        <v>21683</v>
      </c>
    </row>
    <row r="42" spans="1:32" x14ac:dyDescent="0.25">
      <c r="A42" s="10">
        <v>36</v>
      </c>
      <c r="B42" s="11" t="s">
        <v>164</v>
      </c>
      <c r="C42" s="11" t="s">
        <v>86</v>
      </c>
      <c r="D42" s="11" t="s">
        <v>121</v>
      </c>
      <c r="E42" s="15" t="s">
        <v>165</v>
      </c>
      <c r="F42" s="11" t="str">
        <f t="shared" si="22"/>
        <v>Semi-Skilled</v>
      </c>
      <c r="G42" s="12">
        <f t="shared" si="23"/>
        <v>11615</v>
      </c>
      <c r="H42" s="12">
        <v>21000</v>
      </c>
      <c r="I42" s="12">
        <v>0</v>
      </c>
      <c r="J42" s="12">
        <v>0</v>
      </c>
      <c r="K42" s="12">
        <f t="shared" si="24"/>
        <v>21000</v>
      </c>
      <c r="L42" s="12">
        <v>0</v>
      </c>
      <c r="M42" s="12">
        <f t="shared" si="25"/>
        <v>21000</v>
      </c>
      <c r="N42" s="12">
        <f t="shared" si="26"/>
        <v>11615</v>
      </c>
      <c r="O42" s="12">
        <f t="shared" si="27"/>
        <v>21000</v>
      </c>
      <c r="P42" s="12">
        <f t="shared" si="28"/>
        <v>0</v>
      </c>
      <c r="Q42" s="12">
        <f t="shared" si="29"/>
        <v>0</v>
      </c>
      <c r="R42" s="12">
        <f t="shared" si="30"/>
        <v>0</v>
      </c>
      <c r="S42" s="12">
        <f t="shared" si="31"/>
        <v>0</v>
      </c>
      <c r="T42" s="12">
        <f t="shared" si="32"/>
        <v>21000</v>
      </c>
      <c r="U42" s="12">
        <f t="shared" si="33"/>
        <v>21000</v>
      </c>
      <c r="V42" s="11" t="str">
        <f t="shared" si="34"/>
        <v>No</v>
      </c>
      <c r="W42" s="12">
        <f t="shared" si="35"/>
        <v>0</v>
      </c>
      <c r="X42" s="16" t="s">
        <v>123</v>
      </c>
      <c r="Y42" s="12">
        <f t="shared" si="36"/>
        <v>21000</v>
      </c>
      <c r="Z42" s="12">
        <f t="shared" si="37"/>
        <v>0</v>
      </c>
      <c r="AA42" s="12">
        <f t="shared" si="38"/>
        <v>0</v>
      </c>
      <c r="AB42" s="11" t="str">
        <f t="shared" si="39"/>
        <v>Y</v>
      </c>
      <c r="AC42" s="12">
        <f t="shared" si="40"/>
        <v>158</v>
      </c>
      <c r="AD42" s="12">
        <f t="shared" si="41"/>
        <v>683</v>
      </c>
      <c r="AE42" s="12">
        <f t="shared" si="42"/>
        <v>20842</v>
      </c>
      <c r="AF42" s="12">
        <f t="shared" si="43"/>
        <v>21683</v>
      </c>
    </row>
    <row r="43" spans="1:32" x14ac:dyDescent="0.25">
      <c r="A43" s="10">
        <v>37</v>
      </c>
      <c r="B43" s="11" t="s">
        <v>166</v>
      </c>
      <c r="C43" s="11" t="s">
        <v>86</v>
      </c>
      <c r="D43" s="11" t="s">
        <v>132</v>
      </c>
      <c r="E43" s="15" t="s">
        <v>167</v>
      </c>
      <c r="F43" s="11" t="str">
        <f t="shared" si="22"/>
        <v>Skilled</v>
      </c>
      <c r="G43" s="12">
        <f t="shared" si="23"/>
        <v>12777</v>
      </c>
      <c r="H43" s="12">
        <v>9300</v>
      </c>
      <c r="I43" s="12">
        <v>5600</v>
      </c>
      <c r="J43" s="12">
        <v>4600</v>
      </c>
      <c r="K43" s="12">
        <f t="shared" si="24"/>
        <v>19500</v>
      </c>
      <c r="L43" s="12">
        <v>0</v>
      </c>
      <c r="M43" s="12">
        <f t="shared" si="25"/>
        <v>19500</v>
      </c>
      <c r="N43" s="12">
        <f t="shared" si="26"/>
        <v>12777</v>
      </c>
      <c r="O43" s="12">
        <f t="shared" si="27"/>
        <v>12777</v>
      </c>
      <c r="P43" s="12">
        <f t="shared" si="28"/>
        <v>3477</v>
      </c>
      <c r="Q43" s="12">
        <f t="shared" si="29"/>
        <v>10200</v>
      </c>
      <c r="R43" s="12">
        <f t="shared" si="30"/>
        <v>3691.0588235294117</v>
      </c>
      <c r="S43" s="12">
        <f t="shared" si="31"/>
        <v>3031.9411764705883</v>
      </c>
      <c r="T43" s="12">
        <f t="shared" si="32"/>
        <v>19500</v>
      </c>
      <c r="U43" s="12">
        <f t="shared" si="33"/>
        <v>19500</v>
      </c>
      <c r="V43" s="11" t="str">
        <f t="shared" si="34"/>
        <v>No</v>
      </c>
      <c r="W43" s="12">
        <f t="shared" si="35"/>
        <v>0</v>
      </c>
      <c r="X43" s="16" t="s">
        <v>89</v>
      </c>
      <c r="Y43" s="12">
        <f t="shared" si="36"/>
        <v>12777</v>
      </c>
      <c r="Z43" s="12">
        <f t="shared" si="37"/>
        <v>1533</v>
      </c>
      <c r="AA43" s="12">
        <f t="shared" si="38"/>
        <v>1533</v>
      </c>
      <c r="AB43" s="11" t="str">
        <f t="shared" si="39"/>
        <v>Y</v>
      </c>
      <c r="AC43" s="12">
        <f t="shared" si="40"/>
        <v>146</v>
      </c>
      <c r="AD43" s="12">
        <f t="shared" si="41"/>
        <v>634</v>
      </c>
      <c r="AE43" s="12">
        <f t="shared" si="42"/>
        <v>17821</v>
      </c>
      <c r="AF43" s="12">
        <f t="shared" si="43"/>
        <v>21667</v>
      </c>
    </row>
    <row r="44" spans="1:32" x14ac:dyDescent="0.25">
      <c r="A44" s="10">
        <v>38</v>
      </c>
      <c r="B44" s="11" t="s">
        <v>168</v>
      </c>
      <c r="C44" s="11" t="s">
        <v>86</v>
      </c>
      <c r="D44" s="11" t="s">
        <v>140</v>
      </c>
      <c r="E44" s="15" t="s">
        <v>169</v>
      </c>
      <c r="F44" s="11" t="str">
        <f t="shared" si="22"/>
        <v>Skilled</v>
      </c>
      <c r="G44" s="12">
        <f t="shared" si="23"/>
        <v>12777</v>
      </c>
      <c r="H44" s="12">
        <v>7980</v>
      </c>
      <c r="I44" s="12">
        <v>3560</v>
      </c>
      <c r="J44" s="12">
        <v>3460</v>
      </c>
      <c r="K44" s="12">
        <f t="shared" si="24"/>
        <v>15000</v>
      </c>
      <c r="L44" s="12">
        <v>0</v>
      </c>
      <c r="M44" s="12">
        <f t="shared" si="25"/>
        <v>15000</v>
      </c>
      <c r="N44" s="12">
        <f t="shared" si="26"/>
        <v>12777</v>
      </c>
      <c r="O44" s="12">
        <f t="shared" si="27"/>
        <v>12777</v>
      </c>
      <c r="P44" s="12">
        <f t="shared" si="28"/>
        <v>4797</v>
      </c>
      <c r="Q44" s="12">
        <f t="shared" si="29"/>
        <v>7020</v>
      </c>
      <c r="R44" s="12">
        <f t="shared" si="30"/>
        <v>1127.333333333333</v>
      </c>
      <c r="S44" s="12">
        <f t="shared" si="31"/>
        <v>1095.6666666666665</v>
      </c>
      <c r="T44" s="12">
        <f t="shared" si="32"/>
        <v>14999.999999999998</v>
      </c>
      <c r="U44" s="12">
        <f t="shared" si="33"/>
        <v>14999.999999999998</v>
      </c>
      <c r="V44" s="11" t="str">
        <f t="shared" si="34"/>
        <v>No</v>
      </c>
      <c r="W44" s="12">
        <f t="shared" si="35"/>
        <v>0</v>
      </c>
      <c r="X44" s="16" t="s">
        <v>89</v>
      </c>
      <c r="Y44" s="12">
        <f t="shared" si="36"/>
        <v>12777</v>
      </c>
      <c r="Z44" s="12">
        <f t="shared" si="37"/>
        <v>1533</v>
      </c>
      <c r="AA44" s="12">
        <f t="shared" si="38"/>
        <v>1533</v>
      </c>
      <c r="AB44" s="11" t="str">
        <f t="shared" si="39"/>
        <v>Y</v>
      </c>
      <c r="AC44" s="12">
        <f t="shared" si="40"/>
        <v>113</v>
      </c>
      <c r="AD44" s="12">
        <f t="shared" si="41"/>
        <v>488</v>
      </c>
      <c r="AE44" s="12">
        <f t="shared" si="42"/>
        <v>13353.999999999998</v>
      </c>
      <c r="AF44" s="12">
        <f t="shared" si="43"/>
        <v>17021</v>
      </c>
    </row>
    <row r="45" spans="1:32" x14ac:dyDescent="0.25">
      <c r="A45" s="10">
        <v>39</v>
      </c>
      <c r="B45" s="11" t="s">
        <v>170</v>
      </c>
      <c r="C45" s="11" t="s">
        <v>86</v>
      </c>
      <c r="D45" s="11" t="s">
        <v>121</v>
      </c>
      <c r="E45" s="15" t="s">
        <v>171</v>
      </c>
      <c r="F45" s="11" t="str">
        <f t="shared" si="22"/>
        <v>Semi-Skilled</v>
      </c>
      <c r="G45" s="12">
        <f t="shared" si="23"/>
        <v>11615</v>
      </c>
      <c r="H45" s="12">
        <v>21000</v>
      </c>
      <c r="I45" s="12">
        <v>0</v>
      </c>
      <c r="J45" s="12">
        <v>0</v>
      </c>
      <c r="K45" s="12">
        <f t="shared" si="24"/>
        <v>21000</v>
      </c>
      <c r="L45" s="12">
        <v>0</v>
      </c>
      <c r="M45" s="12">
        <f t="shared" si="25"/>
        <v>21000</v>
      </c>
      <c r="N45" s="12">
        <f t="shared" si="26"/>
        <v>11615</v>
      </c>
      <c r="O45" s="12">
        <f t="shared" si="27"/>
        <v>21000</v>
      </c>
      <c r="P45" s="12">
        <f t="shared" si="28"/>
        <v>0</v>
      </c>
      <c r="Q45" s="12">
        <f t="shared" si="29"/>
        <v>0</v>
      </c>
      <c r="R45" s="12">
        <f t="shared" si="30"/>
        <v>0</v>
      </c>
      <c r="S45" s="12">
        <f t="shared" si="31"/>
        <v>0</v>
      </c>
      <c r="T45" s="12">
        <f t="shared" si="32"/>
        <v>21000</v>
      </c>
      <c r="U45" s="12">
        <f t="shared" si="33"/>
        <v>21000</v>
      </c>
      <c r="V45" s="11" t="str">
        <f t="shared" si="34"/>
        <v>No</v>
      </c>
      <c r="W45" s="12">
        <f t="shared" si="35"/>
        <v>0</v>
      </c>
      <c r="X45" s="16" t="s">
        <v>123</v>
      </c>
      <c r="Y45" s="12">
        <f t="shared" si="36"/>
        <v>21000</v>
      </c>
      <c r="Z45" s="12">
        <f t="shared" si="37"/>
        <v>0</v>
      </c>
      <c r="AA45" s="12">
        <f t="shared" si="38"/>
        <v>0</v>
      </c>
      <c r="AB45" s="11" t="str">
        <f t="shared" si="39"/>
        <v>Y</v>
      </c>
      <c r="AC45" s="12">
        <f t="shared" si="40"/>
        <v>158</v>
      </c>
      <c r="AD45" s="12">
        <f t="shared" si="41"/>
        <v>683</v>
      </c>
      <c r="AE45" s="12">
        <f t="shared" si="42"/>
        <v>20842</v>
      </c>
      <c r="AF45" s="12">
        <f t="shared" si="43"/>
        <v>21683</v>
      </c>
    </row>
    <row r="46" spans="1:32" x14ac:dyDescent="0.25">
      <c r="A46" s="10">
        <v>40</v>
      </c>
      <c r="B46" s="11" t="s">
        <v>172</v>
      </c>
      <c r="C46" s="11" t="s">
        <v>86</v>
      </c>
      <c r="D46" s="11" t="s">
        <v>121</v>
      </c>
      <c r="E46" s="15" t="s">
        <v>173</v>
      </c>
      <c r="F46" s="11" t="str">
        <f t="shared" si="22"/>
        <v>Semi-Skilled</v>
      </c>
      <c r="G46" s="12">
        <f t="shared" si="23"/>
        <v>11615</v>
      </c>
      <c r="H46" s="12">
        <v>21000</v>
      </c>
      <c r="I46" s="12">
        <v>0</v>
      </c>
      <c r="J46" s="12">
        <v>0</v>
      </c>
      <c r="K46" s="12">
        <f t="shared" si="24"/>
        <v>21000</v>
      </c>
      <c r="L46" s="12">
        <v>0</v>
      </c>
      <c r="M46" s="12">
        <f t="shared" si="25"/>
        <v>21000</v>
      </c>
      <c r="N46" s="12">
        <f t="shared" si="26"/>
        <v>11615</v>
      </c>
      <c r="O46" s="12">
        <f t="shared" si="27"/>
        <v>21000</v>
      </c>
      <c r="P46" s="12">
        <f t="shared" si="28"/>
        <v>0</v>
      </c>
      <c r="Q46" s="12">
        <f t="shared" si="29"/>
        <v>0</v>
      </c>
      <c r="R46" s="12">
        <f t="shared" si="30"/>
        <v>0</v>
      </c>
      <c r="S46" s="12">
        <f t="shared" si="31"/>
        <v>0</v>
      </c>
      <c r="T46" s="12">
        <f t="shared" si="32"/>
        <v>21000</v>
      </c>
      <c r="U46" s="12">
        <f t="shared" si="33"/>
        <v>21000</v>
      </c>
      <c r="V46" s="11" t="str">
        <f t="shared" si="34"/>
        <v>No</v>
      </c>
      <c r="W46" s="12">
        <f t="shared" si="35"/>
        <v>0</v>
      </c>
      <c r="X46" s="16" t="s">
        <v>123</v>
      </c>
      <c r="Y46" s="12">
        <f t="shared" si="36"/>
        <v>21000</v>
      </c>
      <c r="Z46" s="12">
        <f t="shared" si="37"/>
        <v>0</v>
      </c>
      <c r="AA46" s="12">
        <f t="shared" si="38"/>
        <v>0</v>
      </c>
      <c r="AB46" s="11" t="str">
        <f t="shared" si="39"/>
        <v>Y</v>
      </c>
      <c r="AC46" s="12">
        <f t="shared" si="40"/>
        <v>158</v>
      </c>
      <c r="AD46" s="12">
        <f t="shared" si="41"/>
        <v>683</v>
      </c>
      <c r="AE46" s="12">
        <f t="shared" si="42"/>
        <v>20842</v>
      </c>
      <c r="AF46" s="12">
        <f t="shared" si="43"/>
        <v>21683</v>
      </c>
    </row>
    <row r="47" spans="1:32" x14ac:dyDescent="0.25">
      <c r="A47" s="10">
        <v>41</v>
      </c>
      <c r="B47" s="11" t="s">
        <v>174</v>
      </c>
      <c r="C47" s="11" t="s">
        <v>86</v>
      </c>
      <c r="D47" s="11" t="s">
        <v>132</v>
      </c>
      <c r="E47" s="15" t="s">
        <v>175</v>
      </c>
      <c r="F47" s="11" t="str">
        <f t="shared" si="22"/>
        <v>Skilled</v>
      </c>
      <c r="G47" s="12">
        <f t="shared" si="23"/>
        <v>12777</v>
      </c>
      <c r="H47" s="12">
        <v>7640</v>
      </c>
      <c r="I47" s="12">
        <v>4280</v>
      </c>
      <c r="J47" s="12">
        <v>2780</v>
      </c>
      <c r="K47" s="12">
        <f t="shared" si="24"/>
        <v>14700</v>
      </c>
      <c r="L47" s="12">
        <v>0</v>
      </c>
      <c r="M47" s="12">
        <f t="shared" si="25"/>
        <v>14700</v>
      </c>
      <c r="N47" s="12">
        <f t="shared" si="26"/>
        <v>12777</v>
      </c>
      <c r="O47" s="12">
        <f t="shared" si="27"/>
        <v>12777</v>
      </c>
      <c r="P47" s="12">
        <f t="shared" si="28"/>
        <v>5137</v>
      </c>
      <c r="Q47" s="12">
        <f t="shared" si="29"/>
        <v>7060</v>
      </c>
      <c r="R47" s="12">
        <f t="shared" si="30"/>
        <v>1165.7847025495748</v>
      </c>
      <c r="S47" s="12">
        <f t="shared" si="31"/>
        <v>757.21529745042494</v>
      </c>
      <c r="T47" s="12">
        <f t="shared" si="32"/>
        <v>14700</v>
      </c>
      <c r="U47" s="12">
        <f t="shared" si="33"/>
        <v>14700</v>
      </c>
      <c r="V47" s="11" t="str">
        <f t="shared" si="34"/>
        <v>No</v>
      </c>
      <c r="W47" s="12">
        <f t="shared" si="35"/>
        <v>0</v>
      </c>
      <c r="X47" s="16" t="s">
        <v>89</v>
      </c>
      <c r="Y47" s="12">
        <f t="shared" si="36"/>
        <v>12777</v>
      </c>
      <c r="Z47" s="12">
        <f t="shared" si="37"/>
        <v>1533</v>
      </c>
      <c r="AA47" s="12">
        <f t="shared" si="38"/>
        <v>1533</v>
      </c>
      <c r="AB47" s="11" t="str">
        <f t="shared" si="39"/>
        <v>Y</v>
      </c>
      <c r="AC47" s="12">
        <f t="shared" si="40"/>
        <v>110</v>
      </c>
      <c r="AD47" s="12">
        <f t="shared" si="41"/>
        <v>478</v>
      </c>
      <c r="AE47" s="12">
        <f t="shared" si="42"/>
        <v>13057</v>
      </c>
      <c r="AF47" s="12">
        <f t="shared" si="43"/>
        <v>16711</v>
      </c>
    </row>
    <row r="48" spans="1:32" x14ac:dyDescent="0.25">
      <c r="A48" s="10">
        <v>42</v>
      </c>
      <c r="B48" s="11" t="s">
        <v>176</v>
      </c>
      <c r="C48" s="11" t="s">
        <v>86</v>
      </c>
      <c r="D48" s="11" t="s">
        <v>129</v>
      </c>
      <c r="E48" s="15" t="s">
        <v>177</v>
      </c>
      <c r="F48" s="11" t="str">
        <f t="shared" si="22"/>
        <v>Unskilled</v>
      </c>
      <c r="G48" s="12">
        <f t="shared" si="23"/>
        <v>10558</v>
      </c>
      <c r="H48" s="12">
        <v>7700</v>
      </c>
      <c r="I48" s="12">
        <v>2300</v>
      </c>
      <c r="J48" s="12">
        <v>1800</v>
      </c>
      <c r="K48" s="12">
        <f t="shared" si="24"/>
        <v>11800</v>
      </c>
      <c r="L48" s="12">
        <v>0</v>
      </c>
      <c r="M48" s="12">
        <f t="shared" si="25"/>
        <v>11800</v>
      </c>
      <c r="N48" s="12">
        <f t="shared" si="26"/>
        <v>10558</v>
      </c>
      <c r="O48" s="12">
        <f t="shared" si="27"/>
        <v>10558</v>
      </c>
      <c r="P48" s="12">
        <f t="shared" si="28"/>
        <v>2858</v>
      </c>
      <c r="Q48" s="12">
        <f t="shared" si="29"/>
        <v>4100</v>
      </c>
      <c r="R48" s="12">
        <f t="shared" si="30"/>
        <v>696.73170731707296</v>
      </c>
      <c r="S48" s="12">
        <f t="shared" si="31"/>
        <v>545.26829268292681</v>
      </c>
      <c r="T48" s="12">
        <f t="shared" si="32"/>
        <v>11800</v>
      </c>
      <c r="U48" s="12">
        <f t="shared" si="33"/>
        <v>11800</v>
      </c>
      <c r="V48" s="11" t="str">
        <f t="shared" si="34"/>
        <v>No</v>
      </c>
      <c r="W48" s="12">
        <f t="shared" si="35"/>
        <v>0</v>
      </c>
      <c r="X48" s="16" t="s">
        <v>89</v>
      </c>
      <c r="Y48" s="12">
        <f t="shared" si="36"/>
        <v>10558</v>
      </c>
      <c r="Z48" s="12">
        <f t="shared" si="37"/>
        <v>1267</v>
      </c>
      <c r="AA48" s="12">
        <f t="shared" si="38"/>
        <v>1267</v>
      </c>
      <c r="AB48" s="11" t="str">
        <f t="shared" si="39"/>
        <v>Y</v>
      </c>
      <c r="AC48" s="12">
        <f t="shared" si="40"/>
        <v>89</v>
      </c>
      <c r="AD48" s="12">
        <f t="shared" si="41"/>
        <v>384</v>
      </c>
      <c r="AE48" s="12">
        <f t="shared" si="42"/>
        <v>10444</v>
      </c>
      <c r="AF48" s="12">
        <f t="shared" si="43"/>
        <v>13451</v>
      </c>
    </row>
    <row r="49" spans="1:32" x14ac:dyDescent="0.25">
      <c r="A49" s="10">
        <v>43</v>
      </c>
      <c r="B49" s="11" t="s">
        <v>178</v>
      </c>
      <c r="C49" s="11" t="s">
        <v>86</v>
      </c>
      <c r="D49" s="11" t="s">
        <v>121</v>
      </c>
      <c r="E49" s="15" t="s">
        <v>179</v>
      </c>
      <c r="F49" s="11" t="str">
        <f t="shared" si="22"/>
        <v>Semi-Skilled</v>
      </c>
      <c r="G49" s="12">
        <f t="shared" si="23"/>
        <v>11615</v>
      </c>
      <c r="H49" s="12">
        <v>19000</v>
      </c>
      <c r="I49" s="12">
        <v>0</v>
      </c>
      <c r="J49" s="12">
        <v>0</v>
      </c>
      <c r="K49" s="12">
        <f t="shared" si="24"/>
        <v>19000</v>
      </c>
      <c r="L49" s="12">
        <v>0</v>
      </c>
      <c r="M49" s="12">
        <f t="shared" si="25"/>
        <v>19000</v>
      </c>
      <c r="N49" s="12">
        <f t="shared" si="26"/>
        <v>11615</v>
      </c>
      <c r="O49" s="12">
        <f t="shared" si="27"/>
        <v>19000</v>
      </c>
      <c r="P49" s="12">
        <f t="shared" si="28"/>
        <v>0</v>
      </c>
      <c r="Q49" s="12">
        <f t="shared" si="29"/>
        <v>0</v>
      </c>
      <c r="R49" s="12">
        <f t="shared" si="30"/>
        <v>0</v>
      </c>
      <c r="S49" s="12">
        <f t="shared" si="31"/>
        <v>0</v>
      </c>
      <c r="T49" s="12">
        <f t="shared" si="32"/>
        <v>19000</v>
      </c>
      <c r="U49" s="12">
        <f t="shared" si="33"/>
        <v>19000</v>
      </c>
      <c r="V49" s="11" t="str">
        <f t="shared" si="34"/>
        <v>No</v>
      </c>
      <c r="W49" s="12">
        <f t="shared" si="35"/>
        <v>0</v>
      </c>
      <c r="X49" s="16" t="s">
        <v>123</v>
      </c>
      <c r="Y49" s="12">
        <f t="shared" si="36"/>
        <v>19000</v>
      </c>
      <c r="Z49" s="12">
        <f t="shared" si="37"/>
        <v>0</v>
      </c>
      <c r="AA49" s="12">
        <f t="shared" si="38"/>
        <v>0</v>
      </c>
      <c r="AB49" s="11" t="str">
        <f t="shared" si="39"/>
        <v>Y</v>
      </c>
      <c r="AC49" s="12">
        <f t="shared" si="40"/>
        <v>143</v>
      </c>
      <c r="AD49" s="12">
        <f t="shared" si="41"/>
        <v>618</v>
      </c>
      <c r="AE49" s="12">
        <f t="shared" si="42"/>
        <v>18857</v>
      </c>
      <c r="AF49" s="12">
        <f t="shared" si="43"/>
        <v>19618</v>
      </c>
    </row>
    <row r="50" spans="1:32" x14ac:dyDescent="0.25">
      <c r="A50" s="10">
        <v>44</v>
      </c>
      <c r="B50" s="11" t="s">
        <v>180</v>
      </c>
      <c r="C50" s="11" t="s">
        <v>86</v>
      </c>
      <c r="D50" s="11" t="s">
        <v>132</v>
      </c>
      <c r="E50" s="15" t="s">
        <v>181</v>
      </c>
      <c r="F50" s="11" t="str">
        <f t="shared" si="22"/>
        <v>Skilled</v>
      </c>
      <c r="G50" s="12">
        <f t="shared" si="23"/>
        <v>12777</v>
      </c>
      <c r="H50" s="12">
        <v>7630</v>
      </c>
      <c r="I50" s="12">
        <v>3260</v>
      </c>
      <c r="J50" s="12">
        <v>2760</v>
      </c>
      <c r="K50" s="12">
        <f t="shared" si="24"/>
        <v>13650</v>
      </c>
      <c r="L50" s="12">
        <v>0</v>
      </c>
      <c r="M50" s="12">
        <f t="shared" si="25"/>
        <v>13650</v>
      </c>
      <c r="N50" s="12">
        <f t="shared" si="26"/>
        <v>12777</v>
      </c>
      <c r="O50" s="12">
        <f t="shared" si="27"/>
        <v>12777</v>
      </c>
      <c r="P50" s="12">
        <f t="shared" si="28"/>
        <v>5147</v>
      </c>
      <c r="Q50" s="12">
        <f t="shared" si="29"/>
        <v>6020</v>
      </c>
      <c r="R50" s="12">
        <f t="shared" si="30"/>
        <v>472.75415282392032</v>
      </c>
      <c r="S50" s="12">
        <f t="shared" si="31"/>
        <v>400.24584717607968</v>
      </c>
      <c r="T50" s="12">
        <f t="shared" si="32"/>
        <v>13650</v>
      </c>
      <c r="U50" s="12">
        <f t="shared" si="33"/>
        <v>13650</v>
      </c>
      <c r="V50" s="11" t="str">
        <f t="shared" si="34"/>
        <v>No</v>
      </c>
      <c r="W50" s="12">
        <f t="shared" si="35"/>
        <v>0</v>
      </c>
      <c r="X50" s="16" t="s">
        <v>89</v>
      </c>
      <c r="Y50" s="12">
        <f t="shared" si="36"/>
        <v>12777</v>
      </c>
      <c r="Z50" s="12">
        <f t="shared" si="37"/>
        <v>1533</v>
      </c>
      <c r="AA50" s="12">
        <f t="shared" si="38"/>
        <v>1533</v>
      </c>
      <c r="AB50" s="11" t="str">
        <f t="shared" si="39"/>
        <v>Y</v>
      </c>
      <c r="AC50" s="12">
        <f t="shared" si="40"/>
        <v>102</v>
      </c>
      <c r="AD50" s="12">
        <f t="shared" si="41"/>
        <v>444</v>
      </c>
      <c r="AE50" s="12">
        <f t="shared" si="42"/>
        <v>12015</v>
      </c>
      <c r="AF50" s="12">
        <f t="shared" si="43"/>
        <v>15627</v>
      </c>
    </row>
    <row r="51" spans="1:32" x14ac:dyDescent="0.25">
      <c r="A51" s="10">
        <v>45</v>
      </c>
      <c r="B51" s="11" t="s">
        <v>182</v>
      </c>
      <c r="C51" s="11" t="s">
        <v>86</v>
      </c>
      <c r="D51" s="11" t="s">
        <v>121</v>
      </c>
      <c r="E51" s="15" t="s">
        <v>183</v>
      </c>
      <c r="F51" s="11" t="str">
        <f t="shared" si="22"/>
        <v>Semi-Skilled</v>
      </c>
      <c r="G51" s="12">
        <f t="shared" si="23"/>
        <v>11615</v>
      </c>
      <c r="H51" s="12">
        <v>19000</v>
      </c>
      <c r="I51" s="12">
        <v>0</v>
      </c>
      <c r="J51" s="12">
        <v>0</v>
      </c>
      <c r="K51" s="12">
        <f t="shared" si="24"/>
        <v>19000</v>
      </c>
      <c r="L51" s="12">
        <v>0</v>
      </c>
      <c r="M51" s="12">
        <f t="shared" si="25"/>
        <v>19000</v>
      </c>
      <c r="N51" s="12">
        <f t="shared" si="26"/>
        <v>11615</v>
      </c>
      <c r="O51" s="12">
        <f t="shared" si="27"/>
        <v>19000</v>
      </c>
      <c r="P51" s="12">
        <f t="shared" si="28"/>
        <v>0</v>
      </c>
      <c r="Q51" s="12">
        <f t="shared" si="29"/>
        <v>0</v>
      </c>
      <c r="R51" s="12">
        <f t="shared" si="30"/>
        <v>0</v>
      </c>
      <c r="S51" s="12">
        <f t="shared" si="31"/>
        <v>0</v>
      </c>
      <c r="T51" s="12">
        <f t="shared" si="32"/>
        <v>19000</v>
      </c>
      <c r="U51" s="12">
        <f t="shared" si="33"/>
        <v>19000</v>
      </c>
      <c r="V51" s="11" t="str">
        <f t="shared" si="34"/>
        <v>No</v>
      </c>
      <c r="W51" s="12">
        <f t="shared" si="35"/>
        <v>0</v>
      </c>
      <c r="X51" s="16" t="s">
        <v>123</v>
      </c>
      <c r="Y51" s="12">
        <f t="shared" si="36"/>
        <v>19000</v>
      </c>
      <c r="Z51" s="12">
        <f t="shared" si="37"/>
        <v>0</v>
      </c>
      <c r="AA51" s="12">
        <f t="shared" si="38"/>
        <v>0</v>
      </c>
      <c r="AB51" s="11" t="str">
        <f t="shared" si="39"/>
        <v>Y</v>
      </c>
      <c r="AC51" s="12">
        <f t="shared" si="40"/>
        <v>143</v>
      </c>
      <c r="AD51" s="12">
        <f t="shared" si="41"/>
        <v>618</v>
      </c>
      <c r="AE51" s="12">
        <f t="shared" si="42"/>
        <v>18857</v>
      </c>
      <c r="AF51" s="12">
        <f t="shared" si="43"/>
        <v>19618</v>
      </c>
    </row>
    <row r="52" spans="1:32" x14ac:dyDescent="0.25">
      <c r="A52" s="10">
        <v>46</v>
      </c>
      <c r="B52" s="11" t="s">
        <v>184</v>
      </c>
      <c r="C52" s="11" t="s">
        <v>86</v>
      </c>
      <c r="D52" s="11" t="s">
        <v>129</v>
      </c>
      <c r="E52" s="15" t="s">
        <v>185</v>
      </c>
      <c r="F52" s="11" t="str">
        <f t="shared" si="22"/>
        <v>Unskilled</v>
      </c>
      <c r="G52" s="12">
        <f t="shared" si="23"/>
        <v>10558</v>
      </c>
      <c r="H52" s="12">
        <v>7700</v>
      </c>
      <c r="I52" s="12">
        <v>2300</v>
      </c>
      <c r="J52" s="12">
        <v>1800</v>
      </c>
      <c r="K52" s="12">
        <f t="shared" si="24"/>
        <v>11800</v>
      </c>
      <c r="L52" s="12">
        <v>0</v>
      </c>
      <c r="M52" s="12">
        <f t="shared" si="25"/>
        <v>11800</v>
      </c>
      <c r="N52" s="12">
        <f t="shared" si="26"/>
        <v>10558</v>
      </c>
      <c r="O52" s="12">
        <f t="shared" si="27"/>
        <v>10558</v>
      </c>
      <c r="P52" s="12">
        <f t="shared" si="28"/>
        <v>2858</v>
      </c>
      <c r="Q52" s="12">
        <f t="shared" si="29"/>
        <v>4100</v>
      </c>
      <c r="R52" s="12">
        <f t="shared" si="30"/>
        <v>696.73170731707296</v>
      </c>
      <c r="S52" s="12">
        <f t="shared" si="31"/>
        <v>545.26829268292681</v>
      </c>
      <c r="T52" s="12">
        <f t="shared" si="32"/>
        <v>11800</v>
      </c>
      <c r="U52" s="12">
        <f t="shared" si="33"/>
        <v>11800</v>
      </c>
      <c r="V52" s="11" t="str">
        <f t="shared" si="34"/>
        <v>No</v>
      </c>
      <c r="W52" s="12">
        <f t="shared" si="35"/>
        <v>0</v>
      </c>
      <c r="X52" s="16" t="s">
        <v>89</v>
      </c>
      <c r="Y52" s="12">
        <f t="shared" si="36"/>
        <v>10558</v>
      </c>
      <c r="Z52" s="12">
        <f t="shared" si="37"/>
        <v>1267</v>
      </c>
      <c r="AA52" s="12">
        <f t="shared" si="38"/>
        <v>1267</v>
      </c>
      <c r="AB52" s="11" t="str">
        <f t="shared" si="39"/>
        <v>Y</v>
      </c>
      <c r="AC52" s="12">
        <f t="shared" si="40"/>
        <v>89</v>
      </c>
      <c r="AD52" s="12">
        <f t="shared" si="41"/>
        <v>384</v>
      </c>
      <c r="AE52" s="12">
        <f t="shared" si="42"/>
        <v>10444</v>
      </c>
      <c r="AF52" s="12">
        <f t="shared" si="43"/>
        <v>13451</v>
      </c>
    </row>
    <row r="53" spans="1:32" x14ac:dyDescent="0.25">
      <c r="A53" s="10">
        <v>47</v>
      </c>
      <c r="B53" s="11" t="s">
        <v>186</v>
      </c>
      <c r="C53" s="11" t="s">
        <v>86</v>
      </c>
      <c r="D53" s="11" t="s">
        <v>132</v>
      </c>
      <c r="E53" s="15" t="s">
        <v>187</v>
      </c>
      <c r="F53" s="11" t="str">
        <f t="shared" si="22"/>
        <v>Skilled</v>
      </c>
      <c r="G53" s="12">
        <f t="shared" si="23"/>
        <v>12777</v>
      </c>
      <c r="H53" s="12">
        <v>7650</v>
      </c>
      <c r="I53" s="12">
        <v>4300</v>
      </c>
      <c r="J53" s="12">
        <v>3800</v>
      </c>
      <c r="K53" s="12">
        <f t="shared" si="24"/>
        <v>15750</v>
      </c>
      <c r="L53" s="12">
        <v>0</v>
      </c>
      <c r="M53" s="12">
        <f t="shared" si="25"/>
        <v>15750</v>
      </c>
      <c r="N53" s="12">
        <f t="shared" si="26"/>
        <v>12777</v>
      </c>
      <c r="O53" s="12">
        <f t="shared" si="27"/>
        <v>12777</v>
      </c>
      <c r="P53" s="12">
        <f t="shared" si="28"/>
        <v>5127</v>
      </c>
      <c r="Q53" s="12">
        <f t="shared" si="29"/>
        <v>8100</v>
      </c>
      <c r="R53" s="12">
        <f t="shared" si="30"/>
        <v>1578.2592592592591</v>
      </c>
      <c r="S53" s="12">
        <f t="shared" si="31"/>
        <v>1394.7407407407409</v>
      </c>
      <c r="T53" s="12">
        <f t="shared" si="32"/>
        <v>15750</v>
      </c>
      <c r="U53" s="12">
        <f t="shared" si="33"/>
        <v>15750</v>
      </c>
      <c r="V53" s="11" t="str">
        <f t="shared" si="34"/>
        <v>No</v>
      </c>
      <c r="W53" s="12">
        <f t="shared" si="35"/>
        <v>0</v>
      </c>
      <c r="X53" s="16" t="s">
        <v>89</v>
      </c>
      <c r="Y53" s="12">
        <f t="shared" si="36"/>
        <v>12777</v>
      </c>
      <c r="Z53" s="12">
        <f t="shared" si="37"/>
        <v>1533</v>
      </c>
      <c r="AA53" s="12">
        <f t="shared" si="38"/>
        <v>1533</v>
      </c>
      <c r="AB53" s="11" t="str">
        <f t="shared" si="39"/>
        <v>Y</v>
      </c>
      <c r="AC53" s="12">
        <f t="shared" si="40"/>
        <v>118</v>
      </c>
      <c r="AD53" s="12">
        <f t="shared" si="41"/>
        <v>512</v>
      </c>
      <c r="AE53" s="12">
        <f t="shared" si="42"/>
        <v>14099</v>
      </c>
      <c r="AF53" s="12">
        <f t="shared" si="43"/>
        <v>17795</v>
      </c>
    </row>
    <row r="54" spans="1:32" x14ac:dyDescent="0.25">
      <c r="A54" s="10">
        <v>48</v>
      </c>
      <c r="B54" s="11" t="s">
        <v>188</v>
      </c>
      <c r="C54" s="11" t="s">
        <v>86</v>
      </c>
      <c r="D54" s="11" t="s">
        <v>132</v>
      </c>
      <c r="E54" s="15" t="s">
        <v>189</v>
      </c>
      <c r="F54" s="11" t="str">
        <f t="shared" si="22"/>
        <v>Skilled</v>
      </c>
      <c r="G54" s="12">
        <f t="shared" si="23"/>
        <v>12777</v>
      </c>
      <c r="H54" s="12">
        <v>7630</v>
      </c>
      <c r="I54" s="12">
        <v>3260</v>
      </c>
      <c r="J54" s="12">
        <v>2760</v>
      </c>
      <c r="K54" s="12">
        <f t="shared" si="24"/>
        <v>13650</v>
      </c>
      <c r="L54" s="12">
        <v>0</v>
      </c>
      <c r="M54" s="12">
        <f t="shared" si="25"/>
        <v>13650</v>
      </c>
      <c r="N54" s="12">
        <f t="shared" si="26"/>
        <v>12777</v>
      </c>
      <c r="O54" s="12">
        <f t="shared" si="27"/>
        <v>12777</v>
      </c>
      <c r="P54" s="12">
        <f t="shared" si="28"/>
        <v>5147</v>
      </c>
      <c r="Q54" s="12">
        <f t="shared" si="29"/>
        <v>6020</v>
      </c>
      <c r="R54" s="12">
        <f t="shared" si="30"/>
        <v>472.75415282392032</v>
      </c>
      <c r="S54" s="12">
        <f t="shared" si="31"/>
        <v>400.24584717607968</v>
      </c>
      <c r="T54" s="12">
        <f t="shared" si="32"/>
        <v>13650</v>
      </c>
      <c r="U54" s="12">
        <f t="shared" si="33"/>
        <v>13650</v>
      </c>
      <c r="V54" s="11" t="str">
        <f t="shared" si="34"/>
        <v>No</v>
      </c>
      <c r="W54" s="12">
        <f t="shared" si="35"/>
        <v>0</v>
      </c>
      <c r="X54" s="16" t="s">
        <v>89</v>
      </c>
      <c r="Y54" s="12">
        <f t="shared" si="36"/>
        <v>12777</v>
      </c>
      <c r="Z54" s="12">
        <f t="shared" si="37"/>
        <v>1533</v>
      </c>
      <c r="AA54" s="12">
        <f t="shared" si="38"/>
        <v>1533</v>
      </c>
      <c r="AB54" s="11" t="str">
        <f t="shared" si="39"/>
        <v>Y</v>
      </c>
      <c r="AC54" s="12">
        <f t="shared" si="40"/>
        <v>102</v>
      </c>
      <c r="AD54" s="12">
        <f t="shared" si="41"/>
        <v>444</v>
      </c>
      <c r="AE54" s="12">
        <f t="shared" si="42"/>
        <v>12015</v>
      </c>
      <c r="AF54" s="12">
        <f t="shared" si="43"/>
        <v>15627</v>
      </c>
    </row>
    <row r="55" spans="1:32" x14ac:dyDescent="0.25">
      <c r="A55" s="10">
        <v>49</v>
      </c>
      <c r="B55" s="11" t="s">
        <v>190</v>
      </c>
      <c r="C55" s="11" t="s">
        <v>86</v>
      </c>
      <c r="D55" s="11" t="s">
        <v>121</v>
      </c>
      <c r="E55" s="15" t="s">
        <v>191</v>
      </c>
      <c r="F55" s="11" t="str">
        <f t="shared" si="22"/>
        <v>Semi-Skilled</v>
      </c>
      <c r="G55" s="12">
        <f t="shared" si="23"/>
        <v>11615</v>
      </c>
      <c r="H55" s="12">
        <v>19000</v>
      </c>
      <c r="I55" s="12">
        <v>0</v>
      </c>
      <c r="J55" s="12">
        <v>0</v>
      </c>
      <c r="K55" s="12">
        <f t="shared" si="24"/>
        <v>19000</v>
      </c>
      <c r="L55" s="12">
        <v>0</v>
      </c>
      <c r="M55" s="12">
        <f t="shared" si="25"/>
        <v>19000</v>
      </c>
      <c r="N55" s="12">
        <f t="shared" si="26"/>
        <v>11615</v>
      </c>
      <c r="O55" s="12">
        <f t="shared" si="27"/>
        <v>19000</v>
      </c>
      <c r="P55" s="12">
        <f t="shared" si="28"/>
        <v>0</v>
      </c>
      <c r="Q55" s="12">
        <f t="shared" si="29"/>
        <v>0</v>
      </c>
      <c r="R55" s="12">
        <f t="shared" si="30"/>
        <v>0</v>
      </c>
      <c r="S55" s="12">
        <f t="shared" si="31"/>
        <v>0</v>
      </c>
      <c r="T55" s="12">
        <f t="shared" si="32"/>
        <v>19000</v>
      </c>
      <c r="U55" s="12">
        <f t="shared" si="33"/>
        <v>19000</v>
      </c>
      <c r="V55" s="11" t="str">
        <f t="shared" si="34"/>
        <v>No</v>
      </c>
      <c r="W55" s="12">
        <f t="shared" si="35"/>
        <v>0</v>
      </c>
      <c r="X55" s="16" t="s">
        <v>123</v>
      </c>
      <c r="Y55" s="12">
        <f t="shared" si="36"/>
        <v>19000</v>
      </c>
      <c r="Z55" s="12">
        <f t="shared" si="37"/>
        <v>0</v>
      </c>
      <c r="AA55" s="12">
        <f t="shared" si="38"/>
        <v>0</v>
      </c>
      <c r="AB55" s="11" t="str">
        <f t="shared" si="39"/>
        <v>Y</v>
      </c>
      <c r="AC55" s="12">
        <f t="shared" si="40"/>
        <v>143</v>
      </c>
      <c r="AD55" s="12">
        <f t="shared" si="41"/>
        <v>618</v>
      </c>
      <c r="AE55" s="12">
        <f t="shared" si="42"/>
        <v>18857</v>
      </c>
      <c r="AF55" s="12">
        <f t="shared" si="43"/>
        <v>19618</v>
      </c>
    </row>
    <row r="56" spans="1:32" x14ac:dyDescent="0.25">
      <c r="A56" s="10">
        <v>50</v>
      </c>
      <c r="B56" s="11" t="s">
        <v>192</v>
      </c>
      <c r="C56" s="11" t="s">
        <v>86</v>
      </c>
      <c r="D56" s="11" t="s">
        <v>132</v>
      </c>
      <c r="E56" s="15" t="s">
        <v>193</v>
      </c>
      <c r="F56" s="11" t="str">
        <f t="shared" si="22"/>
        <v>Skilled</v>
      </c>
      <c r="G56" s="12">
        <f t="shared" si="23"/>
        <v>12777</v>
      </c>
      <c r="H56" s="12">
        <v>7620</v>
      </c>
      <c r="I56" s="12">
        <v>2740</v>
      </c>
      <c r="J56" s="12">
        <v>2240</v>
      </c>
      <c r="K56" s="12">
        <f t="shared" si="24"/>
        <v>12600</v>
      </c>
      <c r="L56" s="12">
        <v>0</v>
      </c>
      <c r="M56" s="12">
        <f t="shared" si="25"/>
        <v>12600</v>
      </c>
      <c r="N56" s="12">
        <f t="shared" si="26"/>
        <v>12777</v>
      </c>
      <c r="O56" s="12">
        <f t="shared" si="27"/>
        <v>12777</v>
      </c>
      <c r="P56" s="12">
        <f t="shared" si="28"/>
        <v>5157</v>
      </c>
      <c r="Q56" s="12">
        <f t="shared" si="29"/>
        <v>4980</v>
      </c>
      <c r="R56" s="12">
        <f t="shared" si="30"/>
        <v>0</v>
      </c>
      <c r="S56" s="12">
        <f t="shared" si="31"/>
        <v>0</v>
      </c>
      <c r="T56" s="12">
        <f t="shared" si="32"/>
        <v>12777</v>
      </c>
      <c r="U56" s="12">
        <f t="shared" si="33"/>
        <v>12777</v>
      </c>
      <c r="V56" s="11" t="str">
        <f t="shared" si="34"/>
        <v>YES</v>
      </c>
      <c r="W56" s="12">
        <f t="shared" si="35"/>
        <v>177</v>
      </c>
      <c r="X56" s="16" t="s">
        <v>89</v>
      </c>
      <c r="Y56" s="12">
        <f t="shared" si="36"/>
        <v>12777</v>
      </c>
      <c r="Z56" s="12">
        <f t="shared" si="37"/>
        <v>1533</v>
      </c>
      <c r="AA56" s="12">
        <f t="shared" si="38"/>
        <v>1533</v>
      </c>
      <c r="AB56" s="11" t="str">
        <f t="shared" si="39"/>
        <v>Y</v>
      </c>
      <c r="AC56" s="12">
        <f t="shared" si="40"/>
        <v>96</v>
      </c>
      <c r="AD56" s="12">
        <f t="shared" si="41"/>
        <v>415</v>
      </c>
      <c r="AE56" s="12">
        <f t="shared" si="42"/>
        <v>11148</v>
      </c>
      <c r="AF56" s="12">
        <f t="shared" si="43"/>
        <v>14725</v>
      </c>
    </row>
    <row r="57" spans="1:32" x14ac:dyDescent="0.25">
      <c r="A57" s="10">
        <v>51</v>
      </c>
      <c r="B57" s="11" t="s">
        <v>194</v>
      </c>
      <c r="C57" s="11" t="s">
        <v>86</v>
      </c>
      <c r="D57" s="11" t="s">
        <v>132</v>
      </c>
      <c r="E57" s="15" t="s">
        <v>195</v>
      </c>
      <c r="F57" s="11" t="str">
        <f t="shared" si="22"/>
        <v>Skilled</v>
      </c>
      <c r="G57" s="12">
        <f t="shared" si="23"/>
        <v>12777</v>
      </c>
      <c r="H57" s="12">
        <v>8400</v>
      </c>
      <c r="I57" s="12">
        <v>5300</v>
      </c>
      <c r="J57" s="12">
        <v>4800</v>
      </c>
      <c r="K57" s="12">
        <f t="shared" si="24"/>
        <v>18500</v>
      </c>
      <c r="L57" s="12">
        <v>0</v>
      </c>
      <c r="M57" s="12">
        <f t="shared" si="25"/>
        <v>18500</v>
      </c>
      <c r="N57" s="12">
        <f t="shared" si="26"/>
        <v>12777</v>
      </c>
      <c r="O57" s="12">
        <f t="shared" si="27"/>
        <v>12777</v>
      </c>
      <c r="P57" s="12">
        <f t="shared" si="28"/>
        <v>4377</v>
      </c>
      <c r="Q57" s="12">
        <f t="shared" si="29"/>
        <v>10100</v>
      </c>
      <c r="R57" s="12">
        <f t="shared" si="30"/>
        <v>3003.158415841584</v>
      </c>
      <c r="S57" s="12">
        <f t="shared" si="31"/>
        <v>2719.841584158416</v>
      </c>
      <c r="T57" s="12">
        <f t="shared" si="32"/>
        <v>18500</v>
      </c>
      <c r="U57" s="12">
        <f t="shared" si="33"/>
        <v>18500</v>
      </c>
      <c r="V57" s="11" t="str">
        <f t="shared" si="34"/>
        <v>No</v>
      </c>
      <c r="W57" s="12">
        <f t="shared" si="35"/>
        <v>0</v>
      </c>
      <c r="X57" s="16" t="s">
        <v>89</v>
      </c>
      <c r="Y57" s="12">
        <f t="shared" si="36"/>
        <v>12777</v>
      </c>
      <c r="Z57" s="12">
        <f t="shared" si="37"/>
        <v>1533</v>
      </c>
      <c r="AA57" s="12">
        <f t="shared" si="38"/>
        <v>1533</v>
      </c>
      <c r="AB57" s="11" t="str">
        <f t="shared" si="39"/>
        <v>Y</v>
      </c>
      <c r="AC57" s="12">
        <f t="shared" si="40"/>
        <v>139</v>
      </c>
      <c r="AD57" s="12">
        <f t="shared" si="41"/>
        <v>601</v>
      </c>
      <c r="AE57" s="12">
        <f t="shared" si="42"/>
        <v>16828</v>
      </c>
      <c r="AF57" s="12">
        <f t="shared" si="43"/>
        <v>20634</v>
      </c>
    </row>
    <row r="58" spans="1:32" x14ac:dyDescent="0.25">
      <c r="E58" s="13" t="s">
        <v>196</v>
      </c>
      <c r="H58" s="14">
        <f t="shared" ref="H58:M58" si="44">SUM(H7:H57)</f>
        <v>623220</v>
      </c>
      <c r="I58" s="14">
        <f t="shared" si="44"/>
        <v>167685</v>
      </c>
      <c r="J58" s="14">
        <f t="shared" si="44"/>
        <v>137370</v>
      </c>
      <c r="K58" s="14">
        <f t="shared" si="44"/>
        <v>928275</v>
      </c>
      <c r="L58" s="14">
        <f t="shared" si="44"/>
        <v>0</v>
      </c>
      <c r="M58" s="14">
        <f t="shared" si="44"/>
        <v>928275</v>
      </c>
      <c r="Q58" s="14">
        <f>SUM(Q7:Q57)</f>
        <v>305055</v>
      </c>
      <c r="T58" s="14">
        <f>SUM(T7:T57)</f>
        <v>929729</v>
      </c>
      <c r="U58" s="14">
        <f>SUM(U7:U57)</f>
        <v>929729</v>
      </c>
      <c r="W58" s="14">
        <f>SUM(W7:W57)</f>
        <v>1454</v>
      </c>
      <c r="Y58" s="14">
        <f>SUM(Y7:Y57)</f>
        <v>777296</v>
      </c>
      <c r="Z58" s="14">
        <f>SUM(Z7:Z57)</f>
        <v>64496</v>
      </c>
      <c r="AA58" s="14">
        <f>SUM(AA7:AA57)</f>
        <v>64496</v>
      </c>
      <c r="AC58" s="14">
        <f>SUM(AC7:AC57)</f>
        <v>5561</v>
      </c>
      <c r="AD58" s="14">
        <f>SUM(AD7:AD57)</f>
        <v>24067</v>
      </c>
      <c r="AE58" s="14">
        <f>SUM(AE7:AE57)</f>
        <v>859672</v>
      </c>
      <c r="AF58" s="14">
        <f>SUM(AF7:AF57)</f>
        <v>1018292</v>
      </c>
    </row>
  </sheetData>
  <mergeCells count="2">
    <mergeCell ref="A1:AG1"/>
    <mergeCell ref="A3:AG4"/>
  </mergeCells>
  <conditionalFormatting sqref="P7:P57">
    <cfRule type="cellIs" dxfId="1" priority="3" operator="greaterThan">
      <formula>0</formula>
    </cfRule>
  </conditionalFormatting>
  <conditionalFormatting sqref="V7:V57">
    <cfRule type="cellIs" dxfId="0" priority="2" operator="equal">
      <formula>"YES"</formula>
    </cfRule>
  </conditionalFormatting>
  <dataValidations count="1">
    <dataValidation type="list" sqref="X7:X57" xr:uid="{00000000-0002-0000-02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D14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4" customWidth="1"/>
    <col min="2" max="2" width="26" customWidth="1"/>
    <col min="3" max="3" width="20" customWidth="1"/>
    <col min="4" max="4" width="60" customWidth="1"/>
  </cols>
  <sheetData>
    <row r="1" spans="1:4" ht="24" customHeight="1" x14ac:dyDescent="0.25">
      <c r="A1" s="5" t="s">
        <v>197</v>
      </c>
      <c r="B1" s="5"/>
      <c r="C1" s="5"/>
      <c r="D1" s="5"/>
    </row>
    <row r="3" spans="1:4" x14ac:dyDescent="0.25">
      <c r="B3" s="17" t="s">
        <v>198</v>
      </c>
      <c r="C3" s="17" t="s">
        <v>199</v>
      </c>
      <c r="D3" s="17" t="s">
        <v>200</v>
      </c>
    </row>
    <row r="4" spans="1:4" x14ac:dyDescent="0.25">
      <c r="B4" s="18" t="s">
        <v>87</v>
      </c>
      <c r="C4" s="19" t="s">
        <v>201</v>
      </c>
      <c r="D4" s="20" t="s">
        <v>202</v>
      </c>
    </row>
    <row r="5" spans="1:4" x14ac:dyDescent="0.25">
      <c r="B5" s="18" t="s">
        <v>121</v>
      </c>
      <c r="C5" s="19" t="s">
        <v>203</v>
      </c>
      <c r="D5" s="20" t="s">
        <v>204</v>
      </c>
    </row>
    <row r="6" spans="1:4" x14ac:dyDescent="0.25">
      <c r="B6" s="18" t="s">
        <v>129</v>
      </c>
      <c r="C6" s="19" t="s">
        <v>205</v>
      </c>
      <c r="D6" s="20" t="s">
        <v>206</v>
      </c>
    </row>
    <row r="7" spans="1:4" x14ac:dyDescent="0.25">
      <c r="B7" s="18" t="s">
        <v>132</v>
      </c>
      <c r="C7" s="19" t="s">
        <v>201</v>
      </c>
      <c r="D7" s="20" t="s">
        <v>207</v>
      </c>
    </row>
    <row r="8" spans="1:4" x14ac:dyDescent="0.25">
      <c r="B8" s="18" t="s">
        <v>137</v>
      </c>
      <c r="C8" s="19" t="s">
        <v>203</v>
      </c>
      <c r="D8" s="20" t="s">
        <v>208</v>
      </c>
    </row>
    <row r="9" spans="1:4" x14ac:dyDescent="0.25">
      <c r="B9" s="18" t="s">
        <v>140</v>
      </c>
      <c r="C9" s="19" t="s">
        <v>201</v>
      </c>
      <c r="D9" s="20" t="s">
        <v>209</v>
      </c>
    </row>
    <row r="12" spans="1:4" x14ac:dyDescent="0.25">
      <c r="B12" s="2" t="s">
        <v>210</v>
      </c>
      <c r="C12" s="2"/>
      <c r="D12" s="2"/>
    </row>
    <row r="13" spans="1:4" x14ac:dyDescent="0.25">
      <c r="B13" s="2"/>
      <c r="C13" s="2"/>
      <c r="D13" s="2"/>
    </row>
    <row r="14" spans="1:4" x14ac:dyDescent="0.25">
      <c r="B14" s="2"/>
      <c r="C14" s="2"/>
      <c r="D14" s="2"/>
    </row>
  </sheetData>
  <mergeCells count="2">
    <mergeCell ref="A1:D1"/>
    <mergeCell ref="B12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8F00"/>
  </sheetPr>
  <dimension ref="A1:E12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4" customWidth="1"/>
    <col min="2" max="2" width="22" customWidth="1"/>
    <col min="3" max="4" width="16" customWidth="1"/>
    <col min="5" max="5" width="50" customWidth="1"/>
  </cols>
  <sheetData>
    <row r="1" spans="1:5" ht="24" customHeight="1" x14ac:dyDescent="0.25">
      <c r="A1" s="5" t="s">
        <v>211</v>
      </c>
      <c r="B1" s="5"/>
      <c r="C1" s="5"/>
      <c r="D1" s="5"/>
      <c r="E1" s="5"/>
    </row>
    <row r="3" spans="1:5" x14ac:dyDescent="0.25">
      <c r="B3" s="3" t="s">
        <v>212</v>
      </c>
      <c r="C3" s="3"/>
      <c r="D3" s="3"/>
      <c r="E3" s="3"/>
    </row>
    <row r="5" spans="1:5" x14ac:dyDescent="0.25">
      <c r="B5" s="17" t="s">
        <v>213</v>
      </c>
      <c r="C5" s="17" t="s">
        <v>214</v>
      </c>
      <c r="D5" s="17" t="s">
        <v>215</v>
      </c>
    </row>
    <row r="6" spans="1:5" x14ac:dyDescent="0.25">
      <c r="B6" s="18" t="s">
        <v>205</v>
      </c>
      <c r="C6" s="21">
        <v>10558</v>
      </c>
      <c r="D6" s="21">
        <v>406</v>
      </c>
    </row>
    <row r="7" spans="1:5" x14ac:dyDescent="0.25">
      <c r="B7" s="18" t="s">
        <v>203</v>
      </c>
      <c r="C7" s="21">
        <v>11615</v>
      </c>
      <c r="D7" s="21">
        <v>447</v>
      </c>
    </row>
    <row r="8" spans="1:5" x14ac:dyDescent="0.25">
      <c r="B8" s="18" t="s">
        <v>201</v>
      </c>
      <c r="C8" s="21">
        <v>12777</v>
      </c>
      <c r="D8" s="21">
        <v>491</v>
      </c>
    </row>
    <row r="9" spans="1:5" x14ac:dyDescent="0.25">
      <c r="B9" s="18" t="s">
        <v>216</v>
      </c>
      <c r="C9" s="21">
        <v>14054</v>
      </c>
      <c r="D9" s="21">
        <v>541</v>
      </c>
    </row>
    <row r="12" spans="1:5" x14ac:dyDescent="0.25">
      <c r="B12" s="3" t="s">
        <v>217</v>
      </c>
      <c r="C12" s="3"/>
      <c r="D12" s="3"/>
      <c r="E12" s="3"/>
    </row>
  </sheetData>
  <mergeCells count="3">
    <mergeCell ref="A1:E1"/>
    <mergeCell ref="B3:E3"/>
    <mergeCell ref="B12:E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Compliance Summary</vt:lpstr>
      <vt:lpstr>PF Capping Comparison</vt:lpstr>
      <vt:lpstr>Salary Sheet - WB Compliant</vt:lpstr>
      <vt:lpstr>Skill Mapping</vt:lpstr>
      <vt:lpstr>Min Wages (WB Zone A)</vt:lpstr>
      <vt:lpstr>MinWageTable</vt:lpstr>
      <vt:lpstr>SkillMap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Manoj Kedia</cp:lastModifiedBy>
  <cp:revision>0</cp:revision>
  <dcterms:created xsi:type="dcterms:W3CDTF">2026-08-01T07:21:15Z</dcterms:created>
  <dcterms:modified xsi:type="dcterms:W3CDTF">2026-08-01T08:27:14Z</dcterms:modified>
  <dc:language>en-US</dc:language>
</cp:coreProperties>
</file>