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-OFFICE\Desktop\"/>
    </mc:Choice>
  </mc:AlternateContent>
  <xr:revisionPtr revIDLastSave="0" documentId="13_ncr:1_{250C9C39-7135-443E-B3C0-A182505CBE3B}" xr6:coauthVersionLast="47" xr6:coauthVersionMax="47" xr10:uidLastSave="{00000000-0000-0000-0000-000000000000}"/>
  <bookViews>
    <workbookView xWindow="-120" yWindow="-120" windowWidth="20730" windowHeight="11160" xr2:uid="{8B650909-4ED0-46F9-A78D-805D61525B71}"/>
  </bookViews>
  <sheets>
    <sheet name="SALARY" sheetId="1" r:id="rId1"/>
    <sheet name="W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2" l="1"/>
  <c r="R59" i="2" s="1"/>
  <c r="Q59" i="2"/>
  <c r="P61" i="2"/>
  <c r="Q61" i="2"/>
  <c r="R61" i="2"/>
  <c r="P64" i="2"/>
  <c r="Q64" i="2" s="1"/>
  <c r="P65" i="2"/>
  <c r="R65" i="2" s="1"/>
  <c r="Q65" i="2"/>
  <c r="P70" i="2"/>
  <c r="Q70" i="2" s="1"/>
  <c r="P73" i="2"/>
  <c r="R73" i="2" s="1"/>
  <c r="Q73" i="2"/>
  <c r="P58" i="2"/>
  <c r="R58" i="2" s="1"/>
  <c r="I35" i="1"/>
  <c r="J35" i="1" s="1"/>
  <c r="K34" i="1"/>
  <c r="I34" i="1"/>
  <c r="J34" i="1" s="1"/>
  <c r="I33" i="1"/>
  <c r="K33" i="1" s="1"/>
  <c r="R64" i="2" l="1"/>
  <c r="R70" i="2"/>
  <c r="Q58" i="2"/>
  <c r="J33" i="1"/>
  <c r="K35" i="1"/>
  <c r="P53" i="2" l="1"/>
  <c r="R53" i="2" s="1"/>
  <c r="P52" i="2"/>
  <c r="R52" i="2" s="1"/>
  <c r="P51" i="2"/>
  <c r="Q51" i="2" s="1"/>
  <c r="P50" i="2"/>
  <c r="R50" i="2" s="1"/>
  <c r="P49" i="2"/>
  <c r="R49" i="2" s="1"/>
  <c r="P47" i="2"/>
  <c r="Q47" i="2" s="1"/>
  <c r="P41" i="2"/>
  <c r="R41" i="2" s="1"/>
  <c r="K29" i="1"/>
  <c r="J29" i="1"/>
  <c r="I29" i="1"/>
  <c r="I28" i="1"/>
  <c r="K28" i="1" s="1"/>
  <c r="I27" i="1"/>
  <c r="K27" i="1" s="1"/>
  <c r="K26" i="1"/>
  <c r="I26" i="1"/>
  <c r="J26" i="1" s="1"/>
  <c r="J25" i="1"/>
  <c r="I25" i="1"/>
  <c r="K25" i="1" s="1"/>
  <c r="I23" i="1"/>
  <c r="K23" i="1" s="1"/>
  <c r="I22" i="1"/>
  <c r="J22" i="1" s="1"/>
  <c r="R51" i="2" l="1"/>
  <c r="Q50" i="2"/>
  <c r="R47" i="2"/>
  <c r="K22" i="1"/>
  <c r="Q41" i="2"/>
  <c r="Q49" i="2"/>
  <c r="Q53" i="2"/>
  <c r="Q52" i="2"/>
  <c r="J28" i="1"/>
  <c r="J23" i="1"/>
  <c r="J27" i="1"/>
  <c r="R7" i="2" l="1"/>
  <c r="R18" i="2"/>
  <c r="R33" i="2"/>
  <c r="Q7" i="2"/>
  <c r="Q15" i="2"/>
  <c r="Q24" i="2"/>
  <c r="Q33" i="2"/>
  <c r="P4" i="2"/>
  <c r="R4" i="2" s="1"/>
  <c r="P5" i="2"/>
  <c r="Q5" i="2" s="1"/>
  <c r="P6" i="2"/>
  <c r="R6" i="2" s="1"/>
  <c r="P7" i="2"/>
  <c r="P8" i="2"/>
  <c r="R8" i="2" s="1"/>
  <c r="P9" i="2"/>
  <c r="Q9" i="2" s="1"/>
  <c r="P10" i="2"/>
  <c r="R10" i="2" s="1"/>
  <c r="P11" i="2"/>
  <c r="R11" i="2" s="1"/>
  <c r="P15" i="2"/>
  <c r="R15" i="2" s="1"/>
  <c r="P16" i="2"/>
  <c r="Q16" i="2" s="1"/>
  <c r="P17" i="2"/>
  <c r="Q17" i="2" s="1"/>
  <c r="P18" i="2"/>
  <c r="Q18" i="2" s="1"/>
  <c r="P19" i="2"/>
  <c r="R19" i="2" s="1"/>
  <c r="P23" i="2"/>
  <c r="Q23" i="2" s="1"/>
  <c r="P24" i="2"/>
  <c r="R24" i="2" s="1"/>
  <c r="P27" i="2"/>
  <c r="Q27" i="2" s="1"/>
  <c r="P28" i="2"/>
  <c r="R28" i="2" s="1"/>
  <c r="P30" i="2"/>
  <c r="Q30" i="2" s="1"/>
  <c r="P32" i="2"/>
  <c r="R32" i="2" s="1"/>
  <c r="P33" i="2"/>
  <c r="P34" i="2"/>
  <c r="R34" i="2" s="1"/>
  <c r="P36" i="2"/>
  <c r="Q36" i="2" s="1"/>
  <c r="P37" i="2"/>
  <c r="R37" i="2" s="1"/>
  <c r="J4" i="1"/>
  <c r="J8" i="1"/>
  <c r="J13" i="1"/>
  <c r="J17" i="1"/>
  <c r="I4" i="1"/>
  <c r="K4" i="1" s="1"/>
  <c r="I5" i="1"/>
  <c r="J5" i="1" s="1"/>
  <c r="I6" i="1"/>
  <c r="K6" i="1" s="1"/>
  <c r="I7" i="1"/>
  <c r="K7" i="1" s="1"/>
  <c r="I8" i="1"/>
  <c r="K8" i="1" s="1"/>
  <c r="I10" i="1"/>
  <c r="J10" i="1" s="1"/>
  <c r="I11" i="1"/>
  <c r="K11" i="1" s="1"/>
  <c r="I12" i="1"/>
  <c r="K12" i="1" s="1"/>
  <c r="I13" i="1"/>
  <c r="K13" i="1" s="1"/>
  <c r="I14" i="1"/>
  <c r="J14" i="1" s="1"/>
  <c r="I15" i="1"/>
  <c r="K15" i="1" s="1"/>
  <c r="I16" i="1"/>
  <c r="K16" i="1" s="1"/>
  <c r="I17" i="1"/>
  <c r="K17" i="1" s="1"/>
  <c r="I3" i="1"/>
  <c r="J3" i="1" s="1"/>
  <c r="Q32" i="2" l="1"/>
  <c r="Q19" i="2"/>
  <c r="Q11" i="2"/>
  <c r="Q6" i="2"/>
  <c r="R17" i="2"/>
  <c r="Q37" i="2"/>
  <c r="Q28" i="2"/>
  <c r="Q10" i="2"/>
  <c r="Q4" i="2"/>
  <c r="R27" i="2"/>
  <c r="Q34" i="2"/>
  <c r="Q8" i="2"/>
  <c r="J16" i="1"/>
  <c r="J12" i="1"/>
  <c r="J7" i="1"/>
  <c r="K3" i="1"/>
  <c r="K14" i="1"/>
  <c r="K10" i="1"/>
  <c r="K5" i="1"/>
  <c r="J15" i="1"/>
  <c r="J11" i="1"/>
  <c r="J6" i="1"/>
  <c r="R5" i="2"/>
  <c r="R36" i="2"/>
  <c r="R30" i="2"/>
  <c r="R23" i="2"/>
  <c r="R16" i="2"/>
  <c r="R9" i="2"/>
</calcChain>
</file>

<file path=xl/sharedStrings.xml><?xml version="1.0" encoding="utf-8"?>
<sst xmlns="http://schemas.openxmlformats.org/spreadsheetml/2006/main" count="469" uniqueCount="194">
  <si>
    <t>CATEGORY</t>
  </si>
  <si>
    <t>SUB-CATEGORY</t>
  </si>
  <si>
    <t>NAME</t>
  </si>
  <si>
    <t>EMP CODE</t>
  </si>
  <si>
    <t>BASIC</t>
  </si>
  <si>
    <t>HRA</t>
  </si>
  <si>
    <t>FOOD</t>
  </si>
  <si>
    <t>TOTAL</t>
  </si>
  <si>
    <t>SALARY</t>
  </si>
  <si>
    <t>OFFICE</t>
  </si>
  <si>
    <t>ABED ALI</t>
  </si>
  <si>
    <t>TC 0005</t>
  </si>
  <si>
    <t>ABHI MUKHERJEE</t>
  </si>
  <si>
    <t>TC 0003</t>
  </si>
  <si>
    <t>ACHIN GUPTA</t>
  </si>
  <si>
    <t>TC 0001</t>
  </si>
  <si>
    <t>AMIN YADAV</t>
  </si>
  <si>
    <t>TC 0006</t>
  </si>
  <si>
    <t>ANOWAR MOLLA</t>
  </si>
  <si>
    <t>TC 0185</t>
  </si>
  <si>
    <t>DIBAKAR MONDAL</t>
  </si>
  <si>
    <t>TC 0260</t>
  </si>
  <si>
    <t xml:space="preserve">GOLAM SARWAR </t>
  </si>
  <si>
    <t>TC 0122</t>
  </si>
  <si>
    <t>IMAN ALI MOLLA</t>
  </si>
  <si>
    <t>TC 0205</t>
  </si>
  <si>
    <t>PULIN MONDAL</t>
  </si>
  <si>
    <t>TC 0024</t>
  </si>
  <si>
    <t>RAJU PAL</t>
  </si>
  <si>
    <t>TC 0040</t>
  </si>
  <si>
    <t>UJJAL MUKHERJEE</t>
  </si>
  <si>
    <t>TC 0032</t>
  </si>
  <si>
    <t>PROBIR GHOSH</t>
  </si>
  <si>
    <t>TC0271</t>
  </si>
  <si>
    <t>NABA KUMAR  BISWAS</t>
  </si>
  <si>
    <t>TC0367</t>
  </si>
  <si>
    <t>ASIM KHUNTIA</t>
  </si>
  <si>
    <t>TC 0213</t>
  </si>
  <si>
    <t>MANABINDU BISWAS</t>
  </si>
  <si>
    <t>TC 0398</t>
  </si>
  <si>
    <t>SUVANKAR SAMADDAR</t>
  </si>
  <si>
    <t>TC 0411</t>
  </si>
  <si>
    <t>WAGES</t>
  </si>
  <si>
    <t>DRIVER</t>
  </si>
  <si>
    <t xml:space="preserve">ANISUR </t>
  </si>
  <si>
    <t>TC 0179</t>
  </si>
  <si>
    <t>ARJUN KR. RAI</t>
  </si>
  <si>
    <t>TC0047</t>
  </si>
  <si>
    <t xml:space="preserve">ARMAN ALI MONDAL </t>
  </si>
  <si>
    <t>TC 0074</t>
  </si>
  <si>
    <t>HELPER</t>
  </si>
  <si>
    <t>ASUTOSH SARDAR</t>
  </si>
  <si>
    <t>TC 0187</t>
  </si>
  <si>
    <t>LAB</t>
  </si>
  <si>
    <t>BUDDHADEV SEAL</t>
  </si>
  <si>
    <t>TC 0222</t>
  </si>
  <si>
    <t xml:space="preserve">FARUK ALI </t>
  </si>
  <si>
    <t>TC0361</t>
  </si>
  <si>
    <t>HOPPER</t>
  </si>
  <si>
    <t>KUTUBUDDIN MOLLA</t>
  </si>
  <si>
    <t>TC 0219</t>
  </si>
  <si>
    <t>OTHERS</t>
  </si>
  <si>
    <t>MD. SAMIM AKRAM</t>
  </si>
  <si>
    <t>TC0391</t>
  </si>
  <si>
    <t>MOTIAR RAHAMAN</t>
  </si>
  <si>
    <t>TC0051</t>
  </si>
  <si>
    <t>MOKSHED ALI</t>
  </si>
  <si>
    <t xml:space="preserve">SAMSER ALI </t>
  </si>
  <si>
    <t>TC 0143</t>
  </si>
  <si>
    <t>SHANTI  MONDAL</t>
  </si>
  <si>
    <t>TC 0412</t>
  </si>
  <si>
    <t xml:space="preserve">SIRAJUL  MOLLA  </t>
  </si>
  <si>
    <t>TC 0072</t>
  </si>
  <si>
    <t>SK. ANARUL ISLAM</t>
  </si>
  <si>
    <t>TC 0076</t>
  </si>
  <si>
    <t>SRISTI DHAR MONDAL</t>
  </si>
  <si>
    <t>TC 0014</t>
  </si>
  <si>
    <t>SUDHAN MONDAL</t>
  </si>
  <si>
    <t>TC 0109</t>
  </si>
  <si>
    <t>SWAPAN MONDAL</t>
  </si>
  <si>
    <t>TC 0023</t>
  </si>
  <si>
    <t>MOSIAR MOLLA</t>
  </si>
  <si>
    <t>ISRAFIL DHALI</t>
  </si>
  <si>
    <t>TC 0427</t>
  </si>
  <si>
    <t>ROUF MONDAL</t>
  </si>
  <si>
    <t>TC 0420</t>
  </si>
  <si>
    <t>KANAK JANA</t>
  </si>
  <si>
    <t>TC0390</t>
  </si>
  <si>
    <t>SOUMEN GARAI</t>
  </si>
  <si>
    <t>TC0362</t>
  </si>
  <si>
    <t>ASHOK MONDAL</t>
  </si>
  <si>
    <t>TC 0428</t>
  </si>
  <si>
    <t>ANSWAR ALI MOLLA</t>
  </si>
  <si>
    <t>TC 0395</t>
  </si>
  <si>
    <t>MOMINUL HAQUE</t>
  </si>
  <si>
    <t>TC 0421</t>
  </si>
  <si>
    <t>EKRAMUL ALI</t>
  </si>
  <si>
    <t>TC 0422</t>
  </si>
  <si>
    <t>JULFIKAR DHALI</t>
  </si>
  <si>
    <t>SUPRAKASH SAMANTO</t>
  </si>
  <si>
    <t>TC 0413</t>
  </si>
  <si>
    <t>TANMOY MONDAL</t>
  </si>
  <si>
    <t>ALOK MONDAL</t>
  </si>
  <si>
    <t>TC 0414</t>
  </si>
  <si>
    <t>RAJESH BAR</t>
  </si>
  <si>
    <t>TC 0415</t>
  </si>
  <si>
    <t>BIKRAM ROY</t>
  </si>
  <si>
    <t>JITU MAHALI</t>
  </si>
  <si>
    <t>MILAN RUIDAS</t>
  </si>
  <si>
    <t>BABLU MONDAL</t>
  </si>
  <si>
    <t>TC0227</t>
  </si>
  <si>
    <t>MONTHLY RATE</t>
  </si>
  <si>
    <t>DUTY RATE</t>
  </si>
  <si>
    <t>TRIP RATE</t>
  </si>
  <si>
    <t>ESI BASIC</t>
  </si>
  <si>
    <t>ESI HRA</t>
  </si>
  <si>
    <t>ESI FOOD</t>
  </si>
  <si>
    <t>ESI TOTAL</t>
  </si>
  <si>
    <t>RAJARHAT</t>
  </si>
  <si>
    <t>BISWAJIT GUCHHAIT(TM)</t>
  </si>
  <si>
    <t>TC0200</t>
  </si>
  <si>
    <t>DEBASIS DAS</t>
  </si>
  <si>
    <t>TC0092</t>
  </si>
  <si>
    <t>SUSANTA ROY (LAB)</t>
  </si>
  <si>
    <t>TC0290</t>
  </si>
  <si>
    <t>KUNDAN KUMAR</t>
  </si>
  <si>
    <t>TC0004</t>
  </si>
  <si>
    <t>SANTOSH KUMAR MAHALI</t>
  </si>
  <si>
    <t>TC0181</t>
  </si>
  <si>
    <t>KOUSHIK JANA</t>
  </si>
  <si>
    <t>TC0194</t>
  </si>
  <si>
    <t>MILON SADHUKAN (STORE)</t>
  </si>
  <si>
    <t>TC0317</t>
  </si>
  <si>
    <t>KOUSHIK POREL</t>
  </si>
  <si>
    <t>NEW</t>
  </si>
  <si>
    <t>AMIT MAITY(LAB)</t>
  </si>
  <si>
    <t>TC0346</t>
  </si>
  <si>
    <t>AMIYO KUMAR ROY (D)</t>
  </si>
  <si>
    <t>TC0314</t>
  </si>
  <si>
    <t>ARUN KUMAR SINGH  (D)</t>
  </si>
  <si>
    <t>TC0136</t>
  </si>
  <si>
    <t>DESHBANDHU MANDOL (D)</t>
  </si>
  <si>
    <t>BIKASH SOREN (D)</t>
  </si>
  <si>
    <t>TC0218</t>
  </si>
  <si>
    <t>GOUTAM PATRA (D)</t>
  </si>
  <si>
    <t>TC0138</t>
  </si>
  <si>
    <t>LAXMIKANTA MAHALI(H)</t>
  </si>
  <si>
    <t>TC0344</t>
  </si>
  <si>
    <t>PRADIP ROY (D)</t>
  </si>
  <si>
    <t>TC0157</t>
  </si>
  <si>
    <t>RAGHUNATH MAHALI (H)</t>
  </si>
  <si>
    <t>TC0356</t>
  </si>
  <si>
    <t>RAJDOT ROY(H)</t>
  </si>
  <si>
    <t>TC0238</t>
  </si>
  <si>
    <t>SAJAL MONDAL (H)</t>
  </si>
  <si>
    <t>TC0326</t>
  </si>
  <si>
    <t>SUMAN MAITY(LAB)</t>
  </si>
  <si>
    <t>TC0268</t>
  </si>
  <si>
    <t>JAYDEB MONDAL (L)</t>
  </si>
  <si>
    <t>TC0360</t>
  </si>
  <si>
    <t>GOUTAM BAURI (D)</t>
  </si>
  <si>
    <t>Column6</t>
  </si>
  <si>
    <t>ARJUN KR. PRASAD</t>
  </si>
  <si>
    <t>TC 0301</t>
  </si>
  <si>
    <t>TARAPADA BERA</t>
  </si>
  <si>
    <t>TC 0175</t>
  </si>
  <si>
    <t>SOMNATH NASKAR</t>
  </si>
  <si>
    <t xml:space="preserve">GOUTAM DHAR </t>
  </si>
  <si>
    <t>TARATALA</t>
  </si>
  <si>
    <t>JALAN</t>
  </si>
  <si>
    <t>JAYANTA KUNDU</t>
  </si>
  <si>
    <t>TC 0319</t>
  </si>
  <si>
    <t>RAHUL BHALLA</t>
  </si>
  <si>
    <t>JOYDEB DUTTA</t>
  </si>
  <si>
    <t>TC 0285</t>
  </si>
  <si>
    <t>SHYAMAL BUXI (WELDER)</t>
  </si>
  <si>
    <t>TC 0251</t>
  </si>
  <si>
    <t>PINTU KUMAR RAY</t>
  </si>
  <si>
    <t>RANJIT SAH</t>
  </si>
  <si>
    <t>CHANDAN ROY</t>
  </si>
  <si>
    <t>KAUSHAL KUMAR</t>
  </si>
  <si>
    <t>SAMIR (K)</t>
  </si>
  <si>
    <t>SAMIR ROY</t>
  </si>
  <si>
    <t>SANJAY SINGH</t>
  </si>
  <si>
    <t>SRIKANTA BOURI</t>
  </si>
  <si>
    <t>SUBRATA NANDY</t>
  </si>
  <si>
    <t>SURENDAR PASWAN</t>
  </si>
  <si>
    <t>TC 0177</t>
  </si>
  <si>
    <t>TAPAS KUMAR MAJHI</t>
  </si>
  <si>
    <t>SADHAN BAURI</t>
  </si>
  <si>
    <t>ANIL KR SAH</t>
  </si>
  <si>
    <t>UJJWAL SINGHA</t>
  </si>
  <si>
    <t>RAJIB GHARUI</t>
  </si>
  <si>
    <t>RAMBHAJAN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</si>
</sst>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C&quot;\ 0000"/>
  </numFmts>
  <fonts count="10" x14ac:knownFonts="1">
    <font>
      <sz val="11"/>
      <color theme="1"/>
      <name val="Aptos Narrow"/>
      <family val="2"/>
      <scheme val="minor"/>
    </font>
    <font>
      <b/>
      <sz val="10"/>
      <color theme="2" tint="-0.89996032593768116"/>
      <name val="Aptos Display"/>
      <family val="1"/>
      <scheme val="major"/>
    </font>
    <font>
      <sz val="8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2"/>
      <name val="Arial"/>
      <family val="2"/>
    </font>
    <font>
      <b/>
      <sz val="14"/>
      <color theme="1"/>
      <name val="Aptos Narrow"/>
      <family val="2"/>
      <scheme val="minor"/>
    </font>
    <font>
      <b/>
      <sz val="10"/>
      <color theme="2" tint="-0.89999084444715716"/>
      <name val="Aptos Display"/>
      <family val="1"/>
      <scheme val="major"/>
    </font>
    <font>
      <b/>
      <sz val="12"/>
      <color theme="2" tint="-0.89999084444715716"/>
      <name val="Aptos Display"/>
      <family val="1"/>
      <scheme val="major"/>
    </font>
    <font>
      <sz val="12"/>
      <name val="Aptos Display"/>
      <family val="1"/>
      <scheme val="major"/>
    </font>
    <font>
      <sz val="8"/>
      <name val="Aptos Display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1" fontId="4" fillId="10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1" fontId="4" fillId="10" borderId="5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1" fontId="4" fillId="6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6" fillId="9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6" borderId="0" xfId="0" applyFill="1"/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9" fontId="5" fillId="11" borderId="7" xfId="0" applyNumberFormat="1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5ECF-0C6A-4964-9A08-8BCF129E60ED}">
  <dimension ref="A1:K36"/>
  <sheetViews>
    <sheetView tabSelected="1" workbookViewId="0">
      <selection activeCell="G40" sqref="G40"/>
    </sheetView>
  </sheetViews>
  <sheetFormatPr defaultRowHeight="15" x14ac:dyDescent="0.25"/>
  <cols>
    <col min="1" max="1" width="12.5703125" customWidth="1"/>
    <col min="2" max="2" width="16.85546875" customWidth="1"/>
    <col min="3" max="3" width="31.28515625" customWidth="1"/>
    <col min="4" max="4" width="13.42578125" customWidth="1"/>
  </cols>
  <sheetData>
    <row r="1" spans="1:11" ht="19.5" thickBot="1" x14ac:dyDescent="0.35">
      <c r="A1" s="11" t="s">
        <v>118</v>
      </c>
      <c r="B1" s="12"/>
      <c r="C1" s="12"/>
      <c r="D1" s="12"/>
      <c r="E1" s="12"/>
      <c r="F1" s="12"/>
      <c r="G1" s="12"/>
      <c r="H1" s="13"/>
      <c r="I1" s="53">
        <v>0.5</v>
      </c>
      <c r="J1" s="54"/>
      <c r="K1" s="55"/>
    </row>
    <row r="2" spans="1:11" x14ac:dyDescent="0.25">
      <c r="A2" s="9" t="s">
        <v>0</v>
      </c>
      <c r="B2" s="9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7" t="s">
        <v>7</v>
      </c>
      <c r="I2" s="10" t="s">
        <v>4</v>
      </c>
      <c r="J2" s="10" t="s">
        <v>5</v>
      </c>
      <c r="K2" s="10" t="s">
        <v>6</v>
      </c>
    </row>
    <row r="3" spans="1:11" ht="15.75" x14ac:dyDescent="0.25">
      <c r="A3" s="21" t="s">
        <v>8</v>
      </c>
      <c r="B3" s="21" t="s">
        <v>9</v>
      </c>
      <c r="C3" s="22" t="s">
        <v>10</v>
      </c>
      <c r="D3" s="23" t="s">
        <v>11</v>
      </c>
      <c r="E3" s="24">
        <v>9125</v>
      </c>
      <c r="F3" s="24">
        <v>6325</v>
      </c>
      <c r="G3" s="24">
        <v>4550</v>
      </c>
      <c r="H3" s="2">
        <v>20000</v>
      </c>
      <c r="I3" s="24">
        <f>H3*50%</f>
        <v>10000</v>
      </c>
      <c r="J3" s="24">
        <f>I3*50%</f>
        <v>5000</v>
      </c>
      <c r="K3" s="24">
        <f>I3*50%</f>
        <v>5000</v>
      </c>
    </row>
    <row r="4" spans="1:11" ht="15.75" x14ac:dyDescent="0.25">
      <c r="A4" s="25" t="s">
        <v>8</v>
      </c>
      <c r="B4" s="25" t="s">
        <v>9</v>
      </c>
      <c r="C4" s="26" t="s">
        <v>12</v>
      </c>
      <c r="D4" s="27" t="s">
        <v>13</v>
      </c>
      <c r="E4" s="4">
        <v>11100</v>
      </c>
      <c r="F4" s="4">
        <v>8500</v>
      </c>
      <c r="G4" s="4">
        <v>8900</v>
      </c>
      <c r="H4" s="3">
        <v>28500</v>
      </c>
      <c r="I4" s="24">
        <f t="shared" ref="I4:J17" si="0">H4*50%</f>
        <v>14250</v>
      </c>
      <c r="J4" s="24">
        <f t="shared" si="0"/>
        <v>7125</v>
      </c>
      <c r="K4" s="24">
        <f t="shared" ref="K4:K17" si="1">I4*50%</f>
        <v>7125</v>
      </c>
    </row>
    <row r="5" spans="1:11" ht="15.75" x14ac:dyDescent="0.25">
      <c r="A5" s="21" t="s">
        <v>8</v>
      </c>
      <c r="B5" s="21" t="s">
        <v>9</v>
      </c>
      <c r="C5" s="22" t="s">
        <v>14</v>
      </c>
      <c r="D5" s="28" t="s">
        <v>15</v>
      </c>
      <c r="E5" s="24">
        <v>11700</v>
      </c>
      <c r="F5" s="24">
        <v>6200</v>
      </c>
      <c r="G5" s="24">
        <v>4600</v>
      </c>
      <c r="H5" s="2">
        <v>22500</v>
      </c>
      <c r="I5" s="24">
        <f t="shared" si="0"/>
        <v>11250</v>
      </c>
      <c r="J5" s="24">
        <f t="shared" si="0"/>
        <v>5625</v>
      </c>
      <c r="K5" s="24">
        <f t="shared" si="1"/>
        <v>5625</v>
      </c>
    </row>
    <row r="6" spans="1:11" ht="15.75" x14ac:dyDescent="0.25">
      <c r="A6" s="25" t="s">
        <v>8</v>
      </c>
      <c r="B6" s="25" t="s">
        <v>9</v>
      </c>
      <c r="C6" s="26" t="s">
        <v>16</v>
      </c>
      <c r="D6" s="29" t="s">
        <v>17</v>
      </c>
      <c r="E6" s="4">
        <v>8200</v>
      </c>
      <c r="F6" s="4">
        <v>8150</v>
      </c>
      <c r="G6" s="4">
        <v>8150</v>
      </c>
      <c r="H6" s="3">
        <v>24500</v>
      </c>
      <c r="I6" s="24">
        <f t="shared" si="0"/>
        <v>12250</v>
      </c>
      <c r="J6" s="24">
        <f t="shared" si="0"/>
        <v>6125</v>
      </c>
      <c r="K6" s="24">
        <f t="shared" si="1"/>
        <v>6125</v>
      </c>
    </row>
    <row r="7" spans="1:11" ht="15.75" x14ac:dyDescent="0.25">
      <c r="A7" s="21" t="s">
        <v>8</v>
      </c>
      <c r="B7" s="21" t="s">
        <v>9</v>
      </c>
      <c r="C7" s="22" t="s">
        <v>18</v>
      </c>
      <c r="D7" s="28" t="s">
        <v>19</v>
      </c>
      <c r="E7" s="24">
        <v>7100</v>
      </c>
      <c r="F7" s="24">
        <v>3400</v>
      </c>
      <c r="G7" s="24">
        <v>3500</v>
      </c>
      <c r="H7" s="2">
        <v>14000</v>
      </c>
      <c r="I7" s="24">
        <f t="shared" si="0"/>
        <v>7000</v>
      </c>
      <c r="J7" s="24">
        <f t="shared" si="0"/>
        <v>3500</v>
      </c>
      <c r="K7" s="24">
        <f t="shared" si="1"/>
        <v>3500</v>
      </c>
    </row>
    <row r="8" spans="1:11" ht="15.75" x14ac:dyDescent="0.25">
      <c r="A8" s="25" t="s">
        <v>8</v>
      </c>
      <c r="B8" s="25" t="s">
        <v>9</v>
      </c>
      <c r="C8" s="26" t="s">
        <v>20</v>
      </c>
      <c r="D8" s="4" t="s">
        <v>21</v>
      </c>
      <c r="E8" s="4">
        <v>8600</v>
      </c>
      <c r="F8" s="4">
        <v>4950</v>
      </c>
      <c r="G8" s="4">
        <v>4450</v>
      </c>
      <c r="H8" s="3">
        <v>18000</v>
      </c>
      <c r="I8" s="24">
        <f t="shared" si="0"/>
        <v>9000</v>
      </c>
      <c r="J8" s="24">
        <f t="shared" si="0"/>
        <v>4500</v>
      </c>
      <c r="K8" s="24">
        <f t="shared" si="1"/>
        <v>4500</v>
      </c>
    </row>
    <row r="9" spans="1:11" ht="15.75" x14ac:dyDescent="0.25">
      <c r="A9" s="21" t="s">
        <v>8</v>
      </c>
      <c r="B9" s="21" t="s">
        <v>9</v>
      </c>
      <c r="C9" s="22" t="s">
        <v>22</v>
      </c>
      <c r="D9" s="24" t="s">
        <v>23</v>
      </c>
      <c r="E9" s="24">
        <v>26000</v>
      </c>
      <c r="F9" s="24">
        <v>0</v>
      </c>
      <c r="G9" s="24">
        <v>0</v>
      </c>
      <c r="H9" s="2">
        <v>26000</v>
      </c>
      <c r="I9" s="24">
        <v>26000</v>
      </c>
      <c r="J9" s="24"/>
      <c r="K9" s="24"/>
    </row>
    <row r="10" spans="1:11" ht="15.75" x14ac:dyDescent="0.25">
      <c r="A10" s="25" t="s">
        <v>8</v>
      </c>
      <c r="B10" s="25" t="s">
        <v>9</v>
      </c>
      <c r="C10" s="26" t="s">
        <v>24</v>
      </c>
      <c r="D10" s="4" t="s">
        <v>25</v>
      </c>
      <c r="E10" s="4">
        <v>8010</v>
      </c>
      <c r="F10" s="4">
        <v>5030</v>
      </c>
      <c r="G10" s="4">
        <v>3960</v>
      </c>
      <c r="H10" s="3">
        <v>17000</v>
      </c>
      <c r="I10" s="24">
        <f t="shared" si="0"/>
        <v>8500</v>
      </c>
      <c r="J10" s="24">
        <f t="shared" si="0"/>
        <v>4250</v>
      </c>
      <c r="K10" s="24">
        <f t="shared" si="1"/>
        <v>4250</v>
      </c>
    </row>
    <row r="11" spans="1:11" ht="15.75" x14ac:dyDescent="0.25">
      <c r="A11" s="21" t="s">
        <v>8</v>
      </c>
      <c r="B11" s="21" t="s">
        <v>9</v>
      </c>
      <c r="C11" s="22" t="s">
        <v>26</v>
      </c>
      <c r="D11" s="24" t="s">
        <v>27</v>
      </c>
      <c r="E11" s="24">
        <v>5200</v>
      </c>
      <c r="F11" s="24">
        <v>3400</v>
      </c>
      <c r="G11" s="24">
        <v>2900</v>
      </c>
      <c r="H11" s="2">
        <v>11500</v>
      </c>
      <c r="I11" s="24">
        <f t="shared" si="0"/>
        <v>5750</v>
      </c>
      <c r="J11" s="24">
        <f t="shared" si="0"/>
        <v>2875</v>
      </c>
      <c r="K11" s="24">
        <f t="shared" si="1"/>
        <v>2875</v>
      </c>
    </row>
    <row r="12" spans="1:11" ht="15.75" x14ac:dyDescent="0.25">
      <c r="A12" s="25" t="s">
        <v>8</v>
      </c>
      <c r="B12" s="25" t="s">
        <v>9</v>
      </c>
      <c r="C12" s="26" t="s">
        <v>28</v>
      </c>
      <c r="D12" s="4" t="s">
        <v>29</v>
      </c>
      <c r="E12" s="4">
        <v>7700</v>
      </c>
      <c r="F12" s="4">
        <v>6600</v>
      </c>
      <c r="G12" s="4">
        <v>5700</v>
      </c>
      <c r="H12" s="3">
        <v>20000</v>
      </c>
      <c r="I12" s="24">
        <f t="shared" si="0"/>
        <v>10000</v>
      </c>
      <c r="J12" s="24">
        <f t="shared" si="0"/>
        <v>5000</v>
      </c>
      <c r="K12" s="24">
        <f t="shared" si="1"/>
        <v>5000</v>
      </c>
    </row>
    <row r="13" spans="1:11" ht="15.75" x14ac:dyDescent="0.25">
      <c r="A13" s="21" t="s">
        <v>8</v>
      </c>
      <c r="B13" s="21" t="s">
        <v>9</v>
      </c>
      <c r="C13" s="22" t="s">
        <v>30</v>
      </c>
      <c r="D13" s="24" t="s">
        <v>31</v>
      </c>
      <c r="E13" s="24">
        <v>7600</v>
      </c>
      <c r="F13" s="24">
        <v>6700</v>
      </c>
      <c r="G13" s="24">
        <v>5700</v>
      </c>
      <c r="H13" s="2">
        <v>20000</v>
      </c>
      <c r="I13" s="24">
        <f t="shared" si="0"/>
        <v>10000</v>
      </c>
      <c r="J13" s="24">
        <f t="shared" si="0"/>
        <v>5000</v>
      </c>
      <c r="K13" s="24">
        <f t="shared" si="1"/>
        <v>5000</v>
      </c>
    </row>
    <row r="14" spans="1:11" ht="15.75" x14ac:dyDescent="0.25">
      <c r="A14" s="30" t="s">
        <v>8</v>
      </c>
      <c r="B14" s="25" t="s">
        <v>9</v>
      </c>
      <c r="C14" s="26" t="s">
        <v>32</v>
      </c>
      <c r="D14" s="4" t="s">
        <v>33</v>
      </c>
      <c r="E14" s="4">
        <v>7560</v>
      </c>
      <c r="F14" s="4">
        <v>4920</v>
      </c>
      <c r="G14" s="4">
        <v>4020</v>
      </c>
      <c r="H14" s="3">
        <v>16500</v>
      </c>
      <c r="I14" s="24">
        <f t="shared" si="0"/>
        <v>8250</v>
      </c>
      <c r="J14" s="24">
        <f t="shared" si="0"/>
        <v>4125</v>
      </c>
      <c r="K14" s="24">
        <f t="shared" si="1"/>
        <v>4125</v>
      </c>
    </row>
    <row r="15" spans="1:11" ht="15.75" x14ac:dyDescent="0.25">
      <c r="A15" s="31" t="s">
        <v>8</v>
      </c>
      <c r="B15" s="21" t="s">
        <v>9</v>
      </c>
      <c r="C15" s="22" t="s">
        <v>34</v>
      </c>
      <c r="D15" s="24" t="s">
        <v>35</v>
      </c>
      <c r="E15" s="24">
        <v>25000</v>
      </c>
      <c r="F15" s="24">
        <v>0</v>
      </c>
      <c r="G15" s="24">
        <v>0</v>
      </c>
      <c r="H15" s="2">
        <v>25000</v>
      </c>
      <c r="I15" s="24">
        <f t="shared" si="0"/>
        <v>12500</v>
      </c>
      <c r="J15" s="24">
        <f t="shared" si="0"/>
        <v>6250</v>
      </c>
      <c r="K15" s="24">
        <f t="shared" si="1"/>
        <v>6250</v>
      </c>
    </row>
    <row r="16" spans="1:11" ht="15.75" x14ac:dyDescent="0.25">
      <c r="A16" s="30" t="s">
        <v>8</v>
      </c>
      <c r="B16" s="25" t="s">
        <v>9</v>
      </c>
      <c r="C16" s="26" t="s">
        <v>36</v>
      </c>
      <c r="D16" s="4" t="s">
        <v>37</v>
      </c>
      <c r="E16" s="4">
        <v>33000</v>
      </c>
      <c r="F16" s="4">
        <v>7000</v>
      </c>
      <c r="G16" s="4"/>
      <c r="H16" s="3">
        <v>40000</v>
      </c>
      <c r="I16" s="24">
        <f t="shared" si="0"/>
        <v>20000</v>
      </c>
      <c r="J16" s="24">
        <f t="shared" si="0"/>
        <v>10000</v>
      </c>
      <c r="K16" s="24">
        <f t="shared" si="1"/>
        <v>10000</v>
      </c>
    </row>
    <row r="17" spans="1:11" ht="15.75" x14ac:dyDescent="0.25">
      <c r="A17" s="31" t="s">
        <v>8</v>
      </c>
      <c r="B17" s="21" t="s">
        <v>9</v>
      </c>
      <c r="C17" s="22" t="s">
        <v>38</v>
      </c>
      <c r="D17" s="24" t="s">
        <v>39</v>
      </c>
      <c r="E17" s="24">
        <v>8200</v>
      </c>
      <c r="F17" s="24">
        <v>4400</v>
      </c>
      <c r="G17" s="24">
        <v>3900</v>
      </c>
      <c r="H17" s="2">
        <v>16500</v>
      </c>
      <c r="I17" s="24">
        <f t="shared" si="0"/>
        <v>8250</v>
      </c>
      <c r="J17" s="24">
        <f t="shared" si="0"/>
        <v>4125</v>
      </c>
      <c r="K17" s="24">
        <f t="shared" si="1"/>
        <v>4125</v>
      </c>
    </row>
    <row r="18" spans="1:11" ht="15.75" x14ac:dyDescent="0.25">
      <c r="A18" s="30" t="s">
        <v>8</v>
      </c>
      <c r="B18" s="25" t="s">
        <v>9</v>
      </c>
      <c r="C18" s="26" t="s">
        <v>40</v>
      </c>
      <c r="D18" s="4" t="s">
        <v>41</v>
      </c>
      <c r="E18" s="4">
        <v>23000</v>
      </c>
      <c r="F18" s="4"/>
      <c r="G18" s="4"/>
      <c r="H18" s="3">
        <v>23000</v>
      </c>
      <c r="I18" s="24">
        <v>23000</v>
      </c>
      <c r="J18" s="24"/>
      <c r="K18" s="24"/>
    </row>
    <row r="19" spans="1:11" ht="15.75" thickBot="1" x14ac:dyDescent="0.3"/>
    <row r="20" spans="1:11" ht="19.5" thickBot="1" x14ac:dyDescent="0.35">
      <c r="A20" s="11" t="s">
        <v>169</v>
      </c>
      <c r="B20" s="12"/>
      <c r="C20" s="12"/>
      <c r="D20" s="12"/>
      <c r="E20" s="12"/>
      <c r="F20" s="12"/>
      <c r="G20" s="12"/>
      <c r="H20" s="13"/>
      <c r="I20" s="53">
        <v>0.5</v>
      </c>
      <c r="J20" s="54"/>
      <c r="K20" s="55"/>
    </row>
    <row r="21" spans="1:11" ht="15.75" x14ac:dyDescent="0.25">
      <c r="A21" s="14" t="s">
        <v>0</v>
      </c>
      <c r="B21" s="14" t="s">
        <v>1</v>
      </c>
      <c r="C21" s="15" t="s">
        <v>2</v>
      </c>
      <c r="D21" s="16" t="s">
        <v>3</v>
      </c>
      <c r="E21" s="16" t="s">
        <v>4</v>
      </c>
      <c r="F21" s="16" t="s">
        <v>5</v>
      </c>
      <c r="G21" s="16" t="s">
        <v>6</v>
      </c>
      <c r="H21" s="18" t="s">
        <v>7</v>
      </c>
      <c r="I21" s="10" t="s">
        <v>4</v>
      </c>
      <c r="J21" s="10" t="s">
        <v>5</v>
      </c>
      <c r="K21" s="10" t="s">
        <v>6</v>
      </c>
    </row>
    <row r="22" spans="1:11" ht="15.75" x14ac:dyDescent="0.25">
      <c r="A22" s="21" t="s">
        <v>8</v>
      </c>
      <c r="B22" s="21" t="s">
        <v>9</v>
      </c>
      <c r="C22" s="22" t="s">
        <v>119</v>
      </c>
      <c r="D22" s="32" t="s">
        <v>120</v>
      </c>
      <c r="E22" s="32">
        <v>9300</v>
      </c>
      <c r="F22" s="32">
        <v>4600</v>
      </c>
      <c r="G22" s="32">
        <v>3600</v>
      </c>
      <c r="H22" s="19">
        <v>17500</v>
      </c>
      <c r="I22" s="24">
        <f t="shared" ref="I22:J22" si="2">H22*50%</f>
        <v>8750</v>
      </c>
      <c r="J22" s="24">
        <f t="shared" si="2"/>
        <v>4375</v>
      </c>
      <c r="K22" s="24">
        <f t="shared" ref="K22:K29" si="3">I22*50%</f>
        <v>4375</v>
      </c>
    </row>
    <row r="23" spans="1:11" ht="15.75" x14ac:dyDescent="0.25">
      <c r="A23" s="25" t="s">
        <v>8</v>
      </c>
      <c r="B23" s="25" t="s">
        <v>9</v>
      </c>
      <c r="C23" s="26" t="s">
        <v>121</v>
      </c>
      <c r="D23" s="33" t="s">
        <v>122</v>
      </c>
      <c r="E23" s="33">
        <v>11000</v>
      </c>
      <c r="F23" s="33">
        <v>7500</v>
      </c>
      <c r="G23" s="33">
        <v>6500</v>
      </c>
      <c r="H23" s="20">
        <v>25000</v>
      </c>
      <c r="I23" s="24">
        <f t="shared" ref="I23:J23" si="4">H23*50%</f>
        <v>12500</v>
      </c>
      <c r="J23" s="24">
        <f t="shared" si="4"/>
        <v>6250</v>
      </c>
      <c r="K23" s="24">
        <f t="shared" si="3"/>
        <v>6250</v>
      </c>
    </row>
    <row r="24" spans="1:11" ht="15.75" x14ac:dyDescent="0.25">
      <c r="A24" s="21" t="s">
        <v>8</v>
      </c>
      <c r="B24" s="21" t="s">
        <v>9</v>
      </c>
      <c r="C24" s="22" t="s">
        <v>123</v>
      </c>
      <c r="D24" s="32" t="s">
        <v>124</v>
      </c>
      <c r="E24" s="32">
        <v>42000</v>
      </c>
      <c r="F24" s="32">
        <v>0</v>
      </c>
      <c r="G24" s="32">
        <v>0</v>
      </c>
      <c r="H24" s="19">
        <v>42000</v>
      </c>
      <c r="I24" s="24">
        <v>42000</v>
      </c>
      <c r="J24" s="24"/>
      <c r="K24" s="24"/>
    </row>
    <row r="25" spans="1:11" ht="15.75" x14ac:dyDescent="0.25">
      <c r="A25" s="25" t="s">
        <v>8</v>
      </c>
      <c r="B25" s="25" t="s">
        <v>9</v>
      </c>
      <c r="C25" s="26" t="s">
        <v>125</v>
      </c>
      <c r="D25" s="33" t="s">
        <v>126</v>
      </c>
      <c r="E25" s="33">
        <v>8400</v>
      </c>
      <c r="F25" s="33">
        <v>7300</v>
      </c>
      <c r="G25" s="33">
        <v>6300</v>
      </c>
      <c r="H25" s="20">
        <v>22000</v>
      </c>
      <c r="I25" s="24">
        <f t="shared" ref="I25:J25" si="5">H25*50%</f>
        <v>11000</v>
      </c>
      <c r="J25" s="24">
        <f t="shared" si="5"/>
        <v>5500</v>
      </c>
      <c r="K25" s="24">
        <f t="shared" si="3"/>
        <v>5500</v>
      </c>
    </row>
    <row r="26" spans="1:11" ht="15.75" x14ac:dyDescent="0.25">
      <c r="A26" s="21" t="s">
        <v>8</v>
      </c>
      <c r="B26" s="21" t="s">
        <v>9</v>
      </c>
      <c r="C26" s="22" t="s">
        <v>127</v>
      </c>
      <c r="D26" s="32" t="s">
        <v>128</v>
      </c>
      <c r="E26" s="32">
        <v>8000</v>
      </c>
      <c r="F26" s="32">
        <v>4600</v>
      </c>
      <c r="G26" s="32">
        <v>3900</v>
      </c>
      <c r="H26" s="19">
        <v>16500</v>
      </c>
      <c r="I26" s="24">
        <f t="shared" ref="I26:J26" si="6">H26*50%</f>
        <v>8250</v>
      </c>
      <c r="J26" s="24">
        <f t="shared" si="6"/>
        <v>4125</v>
      </c>
      <c r="K26" s="24">
        <f t="shared" si="3"/>
        <v>4125</v>
      </c>
    </row>
    <row r="27" spans="1:11" ht="15.75" x14ac:dyDescent="0.25">
      <c r="A27" s="25" t="s">
        <v>8</v>
      </c>
      <c r="B27" s="25" t="s">
        <v>9</v>
      </c>
      <c r="C27" s="26" t="s">
        <v>129</v>
      </c>
      <c r="D27" s="33" t="s">
        <v>130</v>
      </c>
      <c r="E27" s="33">
        <v>7500</v>
      </c>
      <c r="F27" s="33">
        <v>4600</v>
      </c>
      <c r="G27" s="33">
        <v>3900</v>
      </c>
      <c r="H27" s="20">
        <v>16000</v>
      </c>
      <c r="I27" s="24">
        <f t="shared" ref="I27:J27" si="7">H27*50%</f>
        <v>8000</v>
      </c>
      <c r="J27" s="24">
        <f t="shared" si="7"/>
        <v>4000</v>
      </c>
      <c r="K27" s="24">
        <f t="shared" si="3"/>
        <v>4000</v>
      </c>
    </row>
    <row r="28" spans="1:11" ht="15.75" x14ac:dyDescent="0.25">
      <c r="A28" s="21" t="s">
        <v>8</v>
      </c>
      <c r="B28" s="21" t="s">
        <v>9</v>
      </c>
      <c r="C28" s="22" t="s">
        <v>131</v>
      </c>
      <c r="D28" s="32" t="s">
        <v>132</v>
      </c>
      <c r="E28" s="32">
        <v>8300</v>
      </c>
      <c r="F28" s="32">
        <v>5100</v>
      </c>
      <c r="G28" s="32">
        <v>4100</v>
      </c>
      <c r="H28" s="19">
        <v>17500</v>
      </c>
      <c r="I28" s="24">
        <f t="shared" ref="I28:J28" si="8">H28*50%</f>
        <v>8750</v>
      </c>
      <c r="J28" s="24">
        <f t="shared" si="8"/>
        <v>4375</v>
      </c>
      <c r="K28" s="24">
        <f t="shared" si="3"/>
        <v>4375</v>
      </c>
    </row>
    <row r="29" spans="1:11" ht="15.75" x14ac:dyDescent="0.25">
      <c r="A29" s="25" t="s">
        <v>8</v>
      </c>
      <c r="B29" s="25" t="s">
        <v>9</v>
      </c>
      <c r="C29" s="34" t="s">
        <v>133</v>
      </c>
      <c r="D29" s="33" t="s">
        <v>134</v>
      </c>
      <c r="E29" s="33">
        <v>7800</v>
      </c>
      <c r="F29" s="33">
        <v>4100</v>
      </c>
      <c r="G29" s="33">
        <v>3600</v>
      </c>
      <c r="H29" s="20">
        <v>15500</v>
      </c>
      <c r="I29" s="24">
        <f t="shared" ref="I29:J29" si="9">H29*50%</f>
        <v>7750</v>
      </c>
      <c r="J29" s="24">
        <f t="shared" si="9"/>
        <v>3875</v>
      </c>
      <c r="K29" s="24">
        <f t="shared" si="3"/>
        <v>3875</v>
      </c>
    </row>
    <row r="30" spans="1:11" ht="15.75" thickBot="1" x14ac:dyDescent="0.3"/>
    <row r="31" spans="1:11" ht="19.5" thickBot="1" x14ac:dyDescent="0.35">
      <c r="A31" s="11" t="s">
        <v>168</v>
      </c>
      <c r="B31" s="12"/>
      <c r="C31" s="12"/>
      <c r="D31" s="12"/>
      <c r="E31" s="12"/>
      <c r="F31" s="12"/>
      <c r="G31" s="12"/>
      <c r="H31" s="13"/>
      <c r="I31" s="53">
        <v>0.5</v>
      </c>
      <c r="J31" s="54"/>
      <c r="K31" s="55"/>
    </row>
    <row r="32" spans="1:11" x14ac:dyDescent="0.25">
      <c r="A32" s="9" t="s">
        <v>0</v>
      </c>
      <c r="B32" s="9" t="s">
        <v>1</v>
      </c>
      <c r="C32" s="9" t="s">
        <v>161</v>
      </c>
      <c r="D32" s="10" t="s">
        <v>3</v>
      </c>
      <c r="E32" s="10" t="s">
        <v>4</v>
      </c>
      <c r="F32" s="10" t="s">
        <v>5</v>
      </c>
      <c r="G32" s="10" t="s">
        <v>6</v>
      </c>
      <c r="H32" s="17" t="s">
        <v>7</v>
      </c>
      <c r="I32" s="10" t="s">
        <v>4</v>
      </c>
      <c r="J32" s="10" t="s">
        <v>5</v>
      </c>
      <c r="K32" s="10" t="s">
        <v>6</v>
      </c>
    </row>
    <row r="33" spans="1:11" ht="15.75" x14ac:dyDescent="0.25">
      <c r="A33" s="21" t="s">
        <v>8</v>
      </c>
      <c r="B33" s="21" t="s">
        <v>9</v>
      </c>
      <c r="C33" s="22" t="s">
        <v>162</v>
      </c>
      <c r="D33" s="23" t="s">
        <v>163</v>
      </c>
      <c r="E33" s="24">
        <v>9500</v>
      </c>
      <c r="F33" s="24">
        <v>5400</v>
      </c>
      <c r="G33" s="24">
        <v>5100</v>
      </c>
      <c r="H33" s="2">
        <v>20000</v>
      </c>
      <c r="I33" s="24">
        <f t="shared" ref="I33:I34" si="10">H33*50%</f>
        <v>10000</v>
      </c>
      <c r="J33" s="24">
        <f t="shared" ref="J33:J34" si="11">I33*50%</f>
        <v>5000</v>
      </c>
      <c r="K33" s="24">
        <f t="shared" ref="K33:K36" si="12">I33*50%</f>
        <v>5000</v>
      </c>
    </row>
    <row r="34" spans="1:11" ht="15.75" x14ac:dyDescent="0.25">
      <c r="A34" s="25" t="s">
        <v>8</v>
      </c>
      <c r="B34" s="25" t="s">
        <v>9</v>
      </c>
      <c r="C34" s="26" t="s">
        <v>164</v>
      </c>
      <c r="D34" s="4" t="s">
        <v>165</v>
      </c>
      <c r="E34" s="4">
        <v>9700</v>
      </c>
      <c r="F34" s="4">
        <v>5800</v>
      </c>
      <c r="G34" s="4">
        <v>5500</v>
      </c>
      <c r="H34" s="3">
        <v>21000</v>
      </c>
      <c r="I34" s="24">
        <f t="shared" si="10"/>
        <v>10500</v>
      </c>
      <c r="J34" s="24">
        <f t="shared" si="11"/>
        <v>5250</v>
      </c>
      <c r="K34" s="24">
        <f t="shared" si="12"/>
        <v>5250</v>
      </c>
    </row>
    <row r="35" spans="1:11" ht="15.75" x14ac:dyDescent="0.25">
      <c r="A35" s="21" t="s">
        <v>8</v>
      </c>
      <c r="B35" s="21" t="s">
        <v>9</v>
      </c>
      <c r="C35" s="22" t="s">
        <v>166</v>
      </c>
      <c r="D35" s="24" t="s">
        <v>134</v>
      </c>
      <c r="E35" s="24">
        <v>7600</v>
      </c>
      <c r="F35" s="24">
        <v>5200</v>
      </c>
      <c r="G35" s="24">
        <v>4200</v>
      </c>
      <c r="H35" s="2">
        <v>17000</v>
      </c>
      <c r="I35" s="24">
        <f t="shared" ref="I35" si="13">H35*50%</f>
        <v>8500</v>
      </c>
      <c r="J35" s="24">
        <f t="shared" ref="J35" si="14">I35*50%</f>
        <v>4250</v>
      </c>
      <c r="K35" s="24">
        <f t="shared" ref="K35" si="15">I35*50%</f>
        <v>4250</v>
      </c>
    </row>
    <row r="36" spans="1:11" ht="15.75" x14ac:dyDescent="0.25">
      <c r="A36" s="30" t="s">
        <v>8</v>
      </c>
      <c r="B36" s="25" t="s">
        <v>9</v>
      </c>
      <c r="C36" s="26" t="s">
        <v>167</v>
      </c>
      <c r="D36" s="4" t="s">
        <v>134</v>
      </c>
      <c r="E36" s="4">
        <v>36500</v>
      </c>
      <c r="F36" s="4">
        <v>0</v>
      </c>
      <c r="G36" s="4">
        <v>0</v>
      </c>
      <c r="H36" s="3">
        <v>36500</v>
      </c>
      <c r="I36" s="24">
        <v>36500</v>
      </c>
      <c r="J36" s="24"/>
      <c r="K36" s="24"/>
    </row>
  </sheetData>
  <mergeCells count="6">
    <mergeCell ref="I31:K31"/>
    <mergeCell ref="A1:H1"/>
    <mergeCell ref="I1:K1"/>
    <mergeCell ref="A20:H20"/>
    <mergeCell ref="I20:K20"/>
    <mergeCell ref="A31:H31"/>
  </mergeCells>
  <dataValidations count="1">
    <dataValidation type="list" allowBlank="1" showInputMessage="1" showErrorMessage="1" sqref="B3:B18 B22:B29 B33:B36" xr:uid="{A8720331-C511-4DB1-80BA-E7F53AC30847}">
      <formula1>INDIRECT(A3)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DF1E-C57D-40C3-A06B-174727B38D32}">
  <dimension ref="A1:R273"/>
  <sheetViews>
    <sheetView topLeftCell="C1" workbookViewId="0">
      <selection activeCell="C1" sqref="C1:R1"/>
    </sheetView>
  </sheetViews>
  <sheetFormatPr defaultRowHeight="15" x14ac:dyDescent="0.25"/>
  <cols>
    <col min="3" max="3" width="27.5703125" customWidth="1"/>
    <col min="4" max="4" width="13" customWidth="1"/>
  </cols>
  <sheetData>
    <row r="1" spans="1:18" ht="19.5" thickBot="1" x14ac:dyDescent="0.35">
      <c r="C1" s="11" t="s">
        <v>118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53">
        <v>0.5</v>
      </c>
      <c r="Q1" s="54"/>
      <c r="R1" s="55"/>
    </row>
    <row r="2" spans="1:18" ht="27" x14ac:dyDescent="0.25">
      <c r="A2" s="1" t="s">
        <v>0</v>
      </c>
      <c r="B2" s="1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51" t="s">
        <v>111</v>
      </c>
      <c r="J2" s="51" t="s">
        <v>112</v>
      </c>
      <c r="K2" s="51" t="s">
        <v>113</v>
      </c>
      <c r="L2" s="48" t="s">
        <v>114</v>
      </c>
      <c r="M2" s="48" t="s">
        <v>115</v>
      </c>
      <c r="N2" s="48" t="s">
        <v>116</v>
      </c>
      <c r="O2" s="52" t="s">
        <v>117</v>
      </c>
      <c r="P2" s="48" t="s">
        <v>114</v>
      </c>
      <c r="Q2" s="48" t="s">
        <v>115</v>
      </c>
      <c r="R2" s="48" t="s">
        <v>116</v>
      </c>
    </row>
    <row r="3" spans="1:18" ht="15.75" x14ac:dyDescent="0.25">
      <c r="A3" s="21" t="s">
        <v>42</v>
      </c>
      <c r="B3" s="21" t="s">
        <v>43</v>
      </c>
      <c r="C3" s="22" t="s">
        <v>44</v>
      </c>
      <c r="D3" s="28" t="s">
        <v>45</v>
      </c>
      <c r="E3" s="24"/>
      <c r="F3" s="24"/>
      <c r="G3" s="24"/>
      <c r="H3" s="24">
        <v>0</v>
      </c>
      <c r="I3" s="24"/>
      <c r="J3" s="24">
        <v>325</v>
      </c>
      <c r="K3" s="24">
        <v>185</v>
      </c>
      <c r="L3" s="24">
        <v>20200</v>
      </c>
      <c r="M3" s="24"/>
      <c r="N3" s="24"/>
      <c r="O3" s="2">
        <v>20200</v>
      </c>
      <c r="P3" s="7">
        <v>20200</v>
      </c>
      <c r="Q3" s="8"/>
      <c r="R3" s="8"/>
    </row>
    <row r="4" spans="1:18" ht="15.75" x14ac:dyDescent="0.25">
      <c r="A4" s="25" t="s">
        <v>42</v>
      </c>
      <c r="B4" s="25" t="s">
        <v>43</v>
      </c>
      <c r="C4" s="26" t="s">
        <v>46</v>
      </c>
      <c r="D4" s="29" t="s">
        <v>47</v>
      </c>
      <c r="E4" s="4"/>
      <c r="F4" s="4"/>
      <c r="G4" s="4"/>
      <c r="H4" s="4">
        <v>0</v>
      </c>
      <c r="I4" s="4"/>
      <c r="J4" s="4">
        <v>360</v>
      </c>
      <c r="K4" s="4">
        <v>185</v>
      </c>
      <c r="L4" s="4">
        <v>8400</v>
      </c>
      <c r="M4" s="4">
        <v>4900</v>
      </c>
      <c r="N4" s="4">
        <v>4000</v>
      </c>
      <c r="O4" s="3">
        <v>17300</v>
      </c>
      <c r="P4" s="7">
        <f t="shared" ref="P4:Q37" si="0">O4*50%</f>
        <v>8650</v>
      </c>
      <c r="Q4" s="8">
        <f t="shared" si="0"/>
        <v>4325</v>
      </c>
      <c r="R4" s="8">
        <f t="shared" ref="R4:R37" si="1">P4*50%</f>
        <v>4325</v>
      </c>
    </row>
    <row r="5" spans="1:18" ht="15.75" x14ac:dyDescent="0.25">
      <c r="A5" s="21" t="s">
        <v>42</v>
      </c>
      <c r="B5" s="21" t="s">
        <v>43</v>
      </c>
      <c r="C5" s="22" t="s">
        <v>48</v>
      </c>
      <c r="D5" s="28" t="s">
        <v>49</v>
      </c>
      <c r="E5" s="24"/>
      <c r="F5" s="24"/>
      <c r="G5" s="24"/>
      <c r="H5" s="24">
        <v>0</v>
      </c>
      <c r="I5" s="24"/>
      <c r="J5" s="24">
        <v>320</v>
      </c>
      <c r="K5" s="24">
        <v>185</v>
      </c>
      <c r="L5" s="24">
        <v>7950</v>
      </c>
      <c r="M5" s="24">
        <v>4150</v>
      </c>
      <c r="N5" s="24">
        <v>3800</v>
      </c>
      <c r="O5" s="2">
        <v>15900</v>
      </c>
      <c r="P5" s="7">
        <f t="shared" si="0"/>
        <v>7950</v>
      </c>
      <c r="Q5" s="8">
        <f t="shared" si="0"/>
        <v>3975</v>
      </c>
      <c r="R5" s="8">
        <f t="shared" si="1"/>
        <v>3975</v>
      </c>
    </row>
    <row r="6" spans="1:18" ht="15.75" x14ac:dyDescent="0.25">
      <c r="A6" s="25" t="s">
        <v>42</v>
      </c>
      <c r="B6" s="25" t="s">
        <v>50</v>
      </c>
      <c r="C6" s="26" t="s">
        <v>51</v>
      </c>
      <c r="D6" s="29" t="s">
        <v>52</v>
      </c>
      <c r="E6" s="4"/>
      <c r="F6" s="4"/>
      <c r="G6" s="4"/>
      <c r="H6" s="4">
        <v>0</v>
      </c>
      <c r="I6" s="4"/>
      <c r="J6" s="4">
        <v>285</v>
      </c>
      <c r="K6" s="4">
        <v>80</v>
      </c>
      <c r="L6" s="4">
        <v>6400</v>
      </c>
      <c r="M6" s="4">
        <v>3250</v>
      </c>
      <c r="N6" s="4">
        <v>2550</v>
      </c>
      <c r="O6" s="3">
        <v>12200</v>
      </c>
      <c r="P6" s="7">
        <f t="shared" si="0"/>
        <v>6100</v>
      </c>
      <c r="Q6" s="8">
        <f t="shared" si="0"/>
        <v>3050</v>
      </c>
      <c r="R6" s="8">
        <f t="shared" si="1"/>
        <v>3050</v>
      </c>
    </row>
    <row r="7" spans="1:18" ht="15.75" x14ac:dyDescent="0.25">
      <c r="A7" s="21" t="s">
        <v>42</v>
      </c>
      <c r="B7" s="21" t="s">
        <v>53</v>
      </c>
      <c r="C7" s="22" t="s">
        <v>54</v>
      </c>
      <c r="D7" s="24" t="s">
        <v>55</v>
      </c>
      <c r="E7" s="24"/>
      <c r="F7" s="24"/>
      <c r="G7" s="24"/>
      <c r="H7" s="24">
        <v>0</v>
      </c>
      <c r="I7" s="24">
        <v>15225</v>
      </c>
      <c r="J7" s="24"/>
      <c r="K7" s="24"/>
      <c r="L7" s="24">
        <v>6645</v>
      </c>
      <c r="M7" s="24">
        <v>4490</v>
      </c>
      <c r="N7" s="24">
        <v>4090</v>
      </c>
      <c r="O7" s="2">
        <v>15225</v>
      </c>
      <c r="P7" s="7">
        <f t="shared" si="0"/>
        <v>7612.5</v>
      </c>
      <c r="Q7" s="8">
        <f t="shared" si="0"/>
        <v>3806.25</v>
      </c>
      <c r="R7" s="8">
        <f t="shared" si="1"/>
        <v>3806.25</v>
      </c>
    </row>
    <row r="8" spans="1:18" ht="15.75" x14ac:dyDescent="0.25">
      <c r="A8" s="25" t="s">
        <v>42</v>
      </c>
      <c r="B8" s="25" t="s">
        <v>43</v>
      </c>
      <c r="C8" s="26" t="s">
        <v>56</v>
      </c>
      <c r="D8" s="4" t="s">
        <v>57</v>
      </c>
      <c r="E8" s="4"/>
      <c r="F8" s="4"/>
      <c r="G8" s="4"/>
      <c r="H8" s="4">
        <v>0</v>
      </c>
      <c r="I8" s="4"/>
      <c r="J8" s="4">
        <v>300</v>
      </c>
      <c r="K8" s="4">
        <v>185</v>
      </c>
      <c r="L8" s="4">
        <v>7900</v>
      </c>
      <c r="M8" s="4">
        <v>4100</v>
      </c>
      <c r="N8" s="4">
        <v>3800</v>
      </c>
      <c r="O8" s="3">
        <v>15800</v>
      </c>
      <c r="P8" s="7">
        <f t="shared" si="0"/>
        <v>7900</v>
      </c>
      <c r="Q8" s="8">
        <f t="shared" si="0"/>
        <v>3950</v>
      </c>
      <c r="R8" s="8">
        <f t="shared" si="1"/>
        <v>3950</v>
      </c>
    </row>
    <row r="9" spans="1:18" ht="15.75" x14ac:dyDescent="0.25">
      <c r="A9" s="21" t="s">
        <v>42</v>
      </c>
      <c r="B9" s="21" t="s">
        <v>58</v>
      </c>
      <c r="C9" s="22" t="s">
        <v>59</v>
      </c>
      <c r="D9" s="24" t="s">
        <v>60</v>
      </c>
      <c r="E9" s="24"/>
      <c r="F9" s="24"/>
      <c r="G9" s="24"/>
      <c r="H9" s="24">
        <v>0</v>
      </c>
      <c r="I9" s="24">
        <v>15000</v>
      </c>
      <c r="J9" s="24"/>
      <c r="K9" s="24"/>
      <c r="L9" s="24">
        <v>7980</v>
      </c>
      <c r="M9" s="24">
        <v>3660</v>
      </c>
      <c r="N9" s="24">
        <v>3360</v>
      </c>
      <c r="O9" s="2">
        <v>15000</v>
      </c>
      <c r="P9" s="7">
        <f t="shared" si="0"/>
        <v>7500</v>
      </c>
      <c r="Q9" s="8">
        <f t="shared" si="0"/>
        <v>3750</v>
      </c>
      <c r="R9" s="8">
        <f t="shared" si="1"/>
        <v>3750</v>
      </c>
    </row>
    <row r="10" spans="1:18" ht="15.75" x14ac:dyDescent="0.25">
      <c r="A10" s="25" t="s">
        <v>42</v>
      </c>
      <c r="B10" s="25" t="s">
        <v>61</v>
      </c>
      <c r="C10" s="26" t="s">
        <v>62</v>
      </c>
      <c r="D10" s="4" t="s">
        <v>63</v>
      </c>
      <c r="E10" s="4"/>
      <c r="F10" s="4"/>
      <c r="G10" s="4"/>
      <c r="H10" s="4">
        <v>0</v>
      </c>
      <c r="I10" s="4">
        <v>15500</v>
      </c>
      <c r="J10" s="4"/>
      <c r="K10" s="4"/>
      <c r="L10" s="4">
        <v>8500</v>
      </c>
      <c r="M10" s="4">
        <v>4000</v>
      </c>
      <c r="N10" s="4">
        <v>3000</v>
      </c>
      <c r="O10" s="3">
        <v>15500</v>
      </c>
      <c r="P10" s="7">
        <f t="shared" si="0"/>
        <v>7750</v>
      </c>
      <c r="Q10" s="8">
        <f t="shared" si="0"/>
        <v>3875</v>
      </c>
      <c r="R10" s="8">
        <f t="shared" si="1"/>
        <v>3875</v>
      </c>
    </row>
    <row r="11" spans="1:18" ht="15.75" x14ac:dyDescent="0.25">
      <c r="A11" s="21" t="s">
        <v>42</v>
      </c>
      <c r="B11" s="21" t="s">
        <v>43</v>
      </c>
      <c r="C11" s="22" t="s">
        <v>64</v>
      </c>
      <c r="D11" s="24" t="s">
        <v>65</v>
      </c>
      <c r="E11" s="24"/>
      <c r="F11" s="24"/>
      <c r="G11" s="24"/>
      <c r="H11" s="24">
        <v>0</v>
      </c>
      <c r="I11" s="24"/>
      <c r="J11" s="24">
        <v>360</v>
      </c>
      <c r="K11" s="24">
        <v>185</v>
      </c>
      <c r="L11" s="24">
        <v>8400</v>
      </c>
      <c r="M11" s="24">
        <v>4900</v>
      </c>
      <c r="N11" s="24">
        <v>4000</v>
      </c>
      <c r="O11" s="2">
        <v>16300</v>
      </c>
      <c r="P11" s="7">
        <f t="shared" si="0"/>
        <v>8150</v>
      </c>
      <c r="Q11" s="8">
        <f t="shared" si="0"/>
        <v>4075</v>
      </c>
      <c r="R11" s="8">
        <f t="shared" si="1"/>
        <v>4075</v>
      </c>
    </row>
    <row r="12" spans="1:18" ht="15.75" x14ac:dyDescent="0.25">
      <c r="A12" s="25" t="s">
        <v>42</v>
      </c>
      <c r="B12" s="25" t="s">
        <v>43</v>
      </c>
      <c r="C12" s="26" t="s">
        <v>66</v>
      </c>
      <c r="D12" s="4"/>
      <c r="E12" s="4"/>
      <c r="F12" s="4"/>
      <c r="G12" s="4"/>
      <c r="H12" s="4">
        <v>0</v>
      </c>
      <c r="I12" s="4"/>
      <c r="J12" s="4">
        <v>300</v>
      </c>
      <c r="K12" s="4">
        <v>185</v>
      </c>
      <c r="L12" s="4">
        <v>19000</v>
      </c>
      <c r="M12" s="4"/>
      <c r="N12" s="4"/>
      <c r="O12" s="3">
        <v>19000</v>
      </c>
      <c r="P12" s="7">
        <v>19000</v>
      </c>
      <c r="Q12" s="8"/>
      <c r="R12" s="8"/>
    </row>
    <row r="13" spans="1:18" ht="15.75" x14ac:dyDescent="0.25">
      <c r="A13" s="21" t="s">
        <v>42</v>
      </c>
      <c r="B13" s="21" t="s">
        <v>43</v>
      </c>
      <c r="C13" s="35" t="s">
        <v>67</v>
      </c>
      <c r="D13" s="24" t="s">
        <v>68</v>
      </c>
      <c r="E13" s="24"/>
      <c r="F13" s="24"/>
      <c r="G13" s="24"/>
      <c r="H13" s="24">
        <v>0</v>
      </c>
      <c r="I13" s="24"/>
      <c r="J13" s="24">
        <v>325</v>
      </c>
      <c r="K13" s="24">
        <v>185</v>
      </c>
      <c r="L13" s="24">
        <v>20600</v>
      </c>
      <c r="M13" s="24"/>
      <c r="N13" s="24"/>
      <c r="O13" s="2">
        <v>20600</v>
      </c>
      <c r="P13" s="7">
        <v>20600</v>
      </c>
      <c r="Q13" s="8"/>
      <c r="R13" s="8"/>
    </row>
    <row r="14" spans="1:18" ht="15.75" x14ac:dyDescent="0.25">
      <c r="A14" s="25" t="s">
        <v>42</v>
      </c>
      <c r="B14" s="25" t="s">
        <v>43</v>
      </c>
      <c r="C14" s="26" t="s">
        <v>69</v>
      </c>
      <c r="D14" s="4" t="s">
        <v>70</v>
      </c>
      <c r="E14" s="4"/>
      <c r="F14" s="4"/>
      <c r="G14" s="4"/>
      <c r="H14" s="4">
        <v>0</v>
      </c>
      <c r="I14" s="4"/>
      <c r="J14" s="4">
        <v>310</v>
      </c>
      <c r="K14" s="4">
        <v>185</v>
      </c>
      <c r="L14" s="4">
        <v>20000</v>
      </c>
      <c r="M14" s="4"/>
      <c r="N14" s="4"/>
      <c r="O14" s="3">
        <v>20000</v>
      </c>
      <c r="P14" s="7">
        <v>20000</v>
      </c>
      <c r="Q14" s="8"/>
      <c r="R14" s="8"/>
    </row>
    <row r="15" spans="1:18" ht="15.75" x14ac:dyDescent="0.25">
      <c r="A15" s="21" t="s">
        <v>42</v>
      </c>
      <c r="B15" s="21" t="s">
        <v>43</v>
      </c>
      <c r="C15" s="35" t="s">
        <v>71</v>
      </c>
      <c r="D15" s="4" t="s">
        <v>72</v>
      </c>
      <c r="E15" s="24"/>
      <c r="F15" s="24"/>
      <c r="G15" s="24"/>
      <c r="H15" s="24">
        <v>0</v>
      </c>
      <c r="I15" s="24"/>
      <c r="J15" s="24">
        <v>320</v>
      </c>
      <c r="K15" s="24">
        <v>185</v>
      </c>
      <c r="L15" s="24">
        <v>7850</v>
      </c>
      <c r="M15" s="24">
        <v>4150</v>
      </c>
      <c r="N15" s="24">
        <v>3700</v>
      </c>
      <c r="O15" s="2">
        <v>15700</v>
      </c>
      <c r="P15" s="7">
        <f t="shared" si="0"/>
        <v>7850</v>
      </c>
      <c r="Q15" s="8">
        <f t="shared" si="0"/>
        <v>3925</v>
      </c>
      <c r="R15" s="8">
        <f t="shared" si="1"/>
        <v>3925</v>
      </c>
    </row>
    <row r="16" spans="1:18" ht="15.75" x14ac:dyDescent="0.25">
      <c r="A16" s="25" t="s">
        <v>42</v>
      </c>
      <c r="B16" s="25" t="s">
        <v>50</v>
      </c>
      <c r="C16" s="26" t="s">
        <v>73</v>
      </c>
      <c r="D16" s="4" t="s">
        <v>74</v>
      </c>
      <c r="E16" s="4"/>
      <c r="F16" s="4"/>
      <c r="G16" s="4"/>
      <c r="H16" s="4">
        <v>0</v>
      </c>
      <c r="I16" s="4"/>
      <c r="J16" s="4">
        <v>420</v>
      </c>
      <c r="K16" s="4">
        <v>0</v>
      </c>
      <c r="L16" s="4">
        <v>6420</v>
      </c>
      <c r="M16" s="4">
        <v>3440</v>
      </c>
      <c r="N16" s="4">
        <v>2740</v>
      </c>
      <c r="O16" s="3">
        <v>12600</v>
      </c>
      <c r="P16" s="7">
        <f t="shared" si="0"/>
        <v>6300</v>
      </c>
      <c r="Q16" s="8">
        <f t="shared" si="0"/>
        <v>3150</v>
      </c>
      <c r="R16" s="8">
        <f t="shared" si="1"/>
        <v>3150</v>
      </c>
    </row>
    <row r="17" spans="1:18" ht="15.75" x14ac:dyDescent="0.25">
      <c r="A17" s="21" t="s">
        <v>42</v>
      </c>
      <c r="B17" s="21" t="s">
        <v>58</v>
      </c>
      <c r="C17" s="22" t="s">
        <v>75</v>
      </c>
      <c r="D17" s="24" t="s">
        <v>76</v>
      </c>
      <c r="E17" s="24"/>
      <c r="F17" s="24"/>
      <c r="G17" s="24"/>
      <c r="H17" s="24">
        <v>0</v>
      </c>
      <c r="I17" s="24">
        <v>14000</v>
      </c>
      <c r="J17" s="24"/>
      <c r="K17" s="24"/>
      <c r="L17" s="24">
        <v>6590</v>
      </c>
      <c r="M17" s="24">
        <v>4280</v>
      </c>
      <c r="N17" s="24">
        <v>3130</v>
      </c>
      <c r="O17" s="2">
        <v>14000</v>
      </c>
      <c r="P17" s="7">
        <f t="shared" si="0"/>
        <v>7000</v>
      </c>
      <c r="Q17" s="8">
        <f t="shared" si="0"/>
        <v>3500</v>
      </c>
      <c r="R17" s="8">
        <f t="shared" si="1"/>
        <v>3500</v>
      </c>
    </row>
    <row r="18" spans="1:18" ht="15.75" x14ac:dyDescent="0.25">
      <c r="A18" s="25" t="s">
        <v>42</v>
      </c>
      <c r="B18" s="25" t="s">
        <v>58</v>
      </c>
      <c r="C18" s="26" t="s">
        <v>77</v>
      </c>
      <c r="D18" s="4" t="s">
        <v>78</v>
      </c>
      <c r="E18" s="4"/>
      <c r="F18" s="4"/>
      <c r="G18" s="4"/>
      <c r="H18" s="4">
        <v>0</v>
      </c>
      <c r="I18" s="4">
        <v>15200</v>
      </c>
      <c r="J18" s="4"/>
      <c r="K18" s="4"/>
      <c r="L18" s="4">
        <v>7290</v>
      </c>
      <c r="M18" s="4">
        <v>4180</v>
      </c>
      <c r="N18" s="4">
        <v>3730</v>
      </c>
      <c r="O18" s="3">
        <v>15200</v>
      </c>
      <c r="P18" s="7">
        <f t="shared" si="0"/>
        <v>7600</v>
      </c>
      <c r="Q18" s="8">
        <f t="shared" si="0"/>
        <v>3800</v>
      </c>
      <c r="R18" s="8">
        <f t="shared" si="1"/>
        <v>3800</v>
      </c>
    </row>
    <row r="19" spans="1:18" ht="15.75" x14ac:dyDescent="0.25">
      <c r="A19" s="21" t="s">
        <v>42</v>
      </c>
      <c r="B19" s="21" t="s">
        <v>53</v>
      </c>
      <c r="C19" s="22" t="s">
        <v>79</v>
      </c>
      <c r="D19" s="24" t="s">
        <v>80</v>
      </c>
      <c r="E19" s="24"/>
      <c r="F19" s="24"/>
      <c r="G19" s="24"/>
      <c r="H19" s="24">
        <v>0</v>
      </c>
      <c r="I19" s="24">
        <v>16800</v>
      </c>
      <c r="J19" s="24"/>
      <c r="K19" s="24"/>
      <c r="L19" s="24">
        <v>6750</v>
      </c>
      <c r="M19" s="24">
        <v>5710</v>
      </c>
      <c r="N19" s="24">
        <v>4340</v>
      </c>
      <c r="O19" s="2">
        <v>16800</v>
      </c>
      <c r="P19" s="7">
        <f t="shared" si="0"/>
        <v>8400</v>
      </c>
      <c r="Q19" s="8">
        <f t="shared" si="0"/>
        <v>4200</v>
      </c>
      <c r="R19" s="8">
        <f t="shared" si="1"/>
        <v>4200</v>
      </c>
    </row>
    <row r="20" spans="1:18" ht="15.75" x14ac:dyDescent="0.25">
      <c r="A20" s="25" t="s">
        <v>42</v>
      </c>
      <c r="B20" s="25" t="s">
        <v>43</v>
      </c>
      <c r="C20" s="26" t="s">
        <v>81</v>
      </c>
      <c r="D20" s="4"/>
      <c r="E20" s="4"/>
      <c r="F20" s="4"/>
      <c r="G20" s="4"/>
      <c r="H20" s="4">
        <v>0</v>
      </c>
      <c r="I20" s="4"/>
      <c r="J20" s="4">
        <v>300</v>
      </c>
      <c r="K20" s="4">
        <v>185</v>
      </c>
      <c r="L20" s="4">
        <v>19000</v>
      </c>
      <c r="M20" s="4"/>
      <c r="N20" s="4"/>
      <c r="O20" s="3">
        <v>19000</v>
      </c>
      <c r="P20" s="7">
        <v>19000</v>
      </c>
      <c r="Q20" s="8"/>
      <c r="R20" s="8"/>
    </row>
    <row r="21" spans="1:18" ht="15.75" x14ac:dyDescent="0.25">
      <c r="A21" s="21" t="s">
        <v>42</v>
      </c>
      <c r="B21" s="21" t="s">
        <v>43</v>
      </c>
      <c r="C21" s="22" t="s">
        <v>82</v>
      </c>
      <c r="D21" s="24" t="s">
        <v>83</v>
      </c>
      <c r="E21" s="24"/>
      <c r="F21" s="24"/>
      <c r="G21" s="24"/>
      <c r="H21" s="24">
        <v>0</v>
      </c>
      <c r="I21" s="24"/>
      <c r="J21" s="24">
        <v>300</v>
      </c>
      <c r="K21" s="24">
        <v>185</v>
      </c>
      <c r="L21" s="24">
        <v>21000</v>
      </c>
      <c r="M21" s="24"/>
      <c r="N21" s="24"/>
      <c r="O21" s="2">
        <v>21000</v>
      </c>
      <c r="P21" s="7">
        <v>21000</v>
      </c>
      <c r="Q21" s="8"/>
      <c r="R21" s="8"/>
    </row>
    <row r="22" spans="1:18" ht="15.75" x14ac:dyDescent="0.25">
      <c r="A22" s="25" t="s">
        <v>42</v>
      </c>
      <c r="B22" s="25" t="s">
        <v>43</v>
      </c>
      <c r="C22" s="26" t="s">
        <v>84</v>
      </c>
      <c r="D22" s="4" t="s">
        <v>85</v>
      </c>
      <c r="E22" s="4"/>
      <c r="F22" s="4"/>
      <c r="G22" s="4"/>
      <c r="H22" s="4">
        <v>0</v>
      </c>
      <c r="I22" s="4"/>
      <c r="J22" s="4">
        <v>300</v>
      </c>
      <c r="K22" s="4">
        <v>185</v>
      </c>
      <c r="L22" s="4">
        <v>21000</v>
      </c>
      <c r="M22" s="4"/>
      <c r="N22" s="4"/>
      <c r="O22" s="3">
        <v>21000</v>
      </c>
      <c r="P22" s="7">
        <v>21000</v>
      </c>
      <c r="Q22" s="8"/>
      <c r="R22" s="8"/>
    </row>
    <row r="23" spans="1:18" ht="15.75" x14ac:dyDescent="0.25">
      <c r="A23" s="31" t="s">
        <v>42</v>
      </c>
      <c r="B23" s="21" t="s">
        <v>53</v>
      </c>
      <c r="C23" s="22" t="s">
        <v>86</v>
      </c>
      <c r="D23" s="24" t="s">
        <v>87</v>
      </c>
      <c r="E23" s="24"/>
      <c r="F23" s="24"/>
      <c r="G23" s="24"/>
      <c r="H23" s="24">
        <v>0</v>
      </c>
      <c r="I23" s="24">
        <v>19500</v>
      </c>
      <c r="J23" s="24"/>
      <c r="K23" s="24"/>
      <c r="L23" s="24">
        <v>9300</v>
      </c>
      <c r="M23" s="24">
        <v>5600</v>
      </c>
      <c r="N23" s="24">
        <v>4600</v>
      </c>
      <c r="O23" s="2">
        <v>19500</v>
      </c>
      <c r="P23" s="7">
        <f t="shared" si="0"/>
        <v>9750</v>
      </c>
      <c r="Q23" s="8">
        <f t="shared" si="0"/>
        <v>4875</v>
      </c>
      <c r="R23" s="8">
        <f t="shared" si="1"/>
        <v>4875</v>
      </c>
    </row>
    <row r="24" spans="1:18" ht="15.75" x14ac:dyDescent="0.25">
      <c r="A24" s="30" t="s">
        <v>42</v>
      </c>
      <c r="B24" s="25" t="s">
        <v>61</v>
      </c>
      <c r="C24" s="26" t="s">
        <v>88</v>
      </c>
      <c r="D24" s="4" t="s">
        <v>89</v>
      </c>
      <c r="E24" s="4"/>
      <c r="F24" s="4"/>
      <c r="G24" s="4"/>
      <c r="H24" s="4">
        <v>0</v>
      </c>
      <c r="I24" s="4">
        <v>15000</v>
      </c>
      <c r="J24" s="4"/>
      <c r="K24" s="4"/>
      <c r="L24" s="4">
        <v>7980</v>
      </c>
      <c r="M24" s="4">
        <v>3560</v>
      </c>
      <c r="N24" s="4">
        <v>3460</v>
      </c>
      <c r="O24" s="3">
        <v>15000</v>
      </c>
      <c r="P24" s="7">
        <f t="shared" si="0"/>
        <v>7500</v>
      </c>
      <c r="Q24" s="8">
        <f t="shared" si="0"/>
        <v>3750</v>
      </c>
      <c r="R24" s="8">
        <f t="shared" si="1"/>
        <v>3750</v>
      </c>
    </row>
    <row r="25" spans="1:18" ht="15.75" x14ac:dyDescent="0.25">
      <c r="A25" s="31" t="s">
        <v>42</v>
      </c>
      <c r="B25" s="21" t="s">
        <v>43</v>
      </c>
      <c r="C25" s="22" t="s">
        <v>90</v>
      </c>
      <c r="D25" s="24" t="s">
        <v>91</v>
      </c>
      <c r="E25" s="24"/>
      <c r="F25" s="24"/>
      <c r="G25" s="24"/>
      <c r="H25" s="24">
        <v>0</v>
      </c>
      <c r="I25" s="24"/>
      <c r="J25" s="24">
        <v>300</v>
      </c>
      <c r="K25" s="24">
        <v>185</v>
      </c>
      <c r="L25" s="24">
        <v>21000</v>
      </c>
      <c r="M25" s="24"/>
      <c r="N25" s="24"/>
      <c r="O25" s="2">
        <v>21000</v>
      </c>
      <c r="P25" s="7">
        <v>21000</v>
      </c>
      <c r="Q25" s="8"/>
      <c r="R25" s="8"/>
    </row>
    <row r="26" spans="1:18" ht="15.75" x14ac:dyDescent="0.25">
      <c r="A26" s="30" t="s">
        <v>42</v>
      </c>
      <c r="B26" s="25" t="s">
        <v>43</v>
      </c>
      <c r="C26" s="26" t="s">
        <v>92</v>
      </c>
      <c r="D26" s="4" t="s">
        <v>93</v>
      </c>
      <c r="E26" s="4"/>
      <c r="F26" s="4"/>
      <c r="G26" s="4"/>
      <c r="H26" s="4">
        <v>0</v>
      </c>
      <c r="I26" s="4"/>
      <c r="J26" s="4">
        <v>300</v>
      </c>
      <c r="K26" s="4">
        <v>185</v>
      </c>
      <c r="L26" s="4">
        <v>21000</v>
      </c>
      <c r="M26" s="4"/>
      <c r="N26" s="4"/>
      <c r="O26" s="3">
        <v>21000</v>
      </c>
      <c r="P26" s="7">
        <v>21000</v>
      </c>
      <c r="Q26" s="8"/>
      <c r="R26" s="8"/>
    </row>
    <row r="27" spans="1:18" ht="15.75" x14ac:dyDescent="0.25">
      <c r="A27" s="31" t="s">
        <v>42</v>
      </c>
      <c r="B27" s="21" t="s">
        <v>53</v>
      </c>
      <c r="C27" s="22" t="s">
        <v>94</v>
      </c>
      <c r="D27" s="24" t="s">
        <v>95</v>
      </c>
      <c r="E27" s="24"/>
      <c r="F27" s="24"/>
      <c r="G27" s="24"/>
      <c r="H27" s="24">
        <v>0</v>
      </c>
      <c r="I27" s="24">
        <v>14700</v>
      </c>
      <c r="J27" s="24"/>
      <c r="K27" s="24"/>
      <c r="L27" s="24">
        <v>7640</v>
      </c>
      <c r="M27" s="24">
        <v>4280</v>
      </c>
      <c r="N27" s="24">
        <v>2780</v>
      </c>
      <c r="O27" s="2">
        <v>14700</v>
      </c>
      <c r="P27" s="7">
        <f t="shared" si="0"/>
        <v>7350</v>
      </c>
      <c r="Q27" s="8">
        <f t="shared" si="0"/>
        <v>3675</v>
      </c>
      <c r="R27" s="8">
        <f t="shared" si="1"/>
        <v>3675</v>
      </c>
    </row>
    <row r="28" spans="1:18" ht="15.75" x14ac:dyDescent="0.25">
      <c r="A28" s="30" t="s">
        <v>42</v>
      </c>
      <c r="B28" s="25" t="s">
        <v>50</v>
      </c>
      <c r="C28" s="26" t="s">
        <v>96</v>
      </c>
      <c r="D28" s="4" t="s">
        <v>97</v>
      </c>
      <c r="E28" s="4"/>
      <c r="F28" s="4"/>
      <c r="G28" s="4"/>
      <c r="H28" s="4">
        <v>0</v>
      </c>
      <c r="I28" s="4"/>
      <c r="J28" s="4">
        <v>260</v>
      </c>
      <c r="K28" s="4">
        <v>80</v>
      </c>
      <c r="L28" s="4">
        <v>7700</v>
      </c>
      <c r="M28" s="4">
        <v>2300</v>
      </c>
      <c r="N28" s="4">
        <v>1800</v>
      </c>
      <c r="O28" s="3">
        <v>11800</v>
      </c>
      <c r="P28" s="7">
        <f t="shared" si="0"/>
        <v>5900</v>
      </c>
      <c r="Q28" s="8">
        <f t="shared" si="0"/>
        <v>2950</v>
      </c>
      <c r="R28" s="8">
        <f t="shared" si="1"/>
        <v>2950</v>
      </c>
    </row>
    <row r="29" spans="1:18" ht="15.75" x14ac:dyDescent="0.25">
      <c r="A29" s="31" t="s">
        <v>42</v>
      </c>
      <c r="B29" s="21" t="s">
        <v>43</v>
      </c>
      <c r="C29" s="22" t="s">
        <v>98</v>
      </c>
      <c r="D29" s="24"/>
      <c r="E29" s="24"/>
      <c r="F29" s="24"/>
      <c r="G29" s="24"/>
      <c r="H29" s="24">
        <v>0</v>
      </c>
      <c r="I29" s="24"/>
      <c r="J29" s="24">
        <v>300</v>
      </c>
      <c r="K29" s="24">
        <v>185</v>
      </c>
      <c r="L29" s="24">
        <v>19000</v>
      </c>
      <c r="M29" s="24"/>
      <c r="N29" s="24"/>
      <c r="O29" s="2">
        <v>19000</v>
      </c>
      <c r="P29" s="7">
        <v>19000</v>
      </c>
      <c r="Q29" s="8"/>
      <c r="R29" s="8"/>
    </row>
    <row r="30" spans="1:18" ht="15.75" x14ac:dyDescent="0.25">
      <c r="A30" s="30" t="s">
        <v>42</v>
      </c>
      <c r="B30" s="25" t="s">
        <v>53</v>
      </c>
      <c r="C30" s="26" t="s">
        <v>99</v>
      </c>
      <c r="D30" s="4" t="s">
        <v>100</v>
      </c>
      <c r="E30" s="4"/>
      <c r="F30" s="4"/>
      <c r="G30" s="4"/>
      <c r="H30" s="4">
        <v>0</v>
      </c>
      <c r="I30" s="4">
        <v>13650</v>
      </c>
      <c r="J30" s="4"/>
      <c r="K30" s="4"/>
      <c r="L30" s="4">
        <v>7630</v>
      </c>
      <c r="M30" s="4">
        <v>3260</v>
      </c>
      <c r="N30" s="4">
        <v>2760</v>
      </c>
      <c r="O30" s="3">
        <v>13650</v>
      </c>
      <c r="P30" s="7">
        <f t="shared" si="0"/>
        <v>6825</v>
      </c>
      <c r="Q30" s="8">
        <f t="shared" si="0"/>
        <v>3412.5</v>
      </c>
      <c r="R30" s="8">
        <f t="shared" si="1"/>
        <v>3412.5</v>
      </c>
    </row>
    <row r="31" spans="1:18" ht="15.75" x14ac:dyDescent="0.25">
      <c r="A31" s="31" t="s">
        <v>42</v>
      </c>
      <c r="B31" s="21" t="s">
        <v>43</v>
      </c>
      <c r="C31" s="22" t="s">
        <v>101</v>
      </c>
      <c r="D31" s="24"/>
      <c r="E31" s="24"/>
      <c r="F31" s="24"/>
      <c r="G31" s="24"/>
      <c r="H31" s="24">
        <v>0</v>
      </c>
      <c r="I31" s="24"/>
      <c r="J31" s="24">
        <v>300</v>
      </c>
      <c r="K31" s="24">
        <v>185</v>
      </c>
      <c r="L31" s="24">
        <v>19000</v>
      </c>
      <c r="M31" s="24"/>
      <c r="N31" s="24"/>
      <c r="O31" s="2">
        <v>19000</v>
      </c>
      <c r="P31" s="7">
        <v>19000</v>
      </c>
      <c r="Q31" s="8"/>
      <c r="R31" s="8"/>
    </row>
    <row r="32" spans="1:18" ht="15.75" x14ac:dyDescent="0.25">
      <c r="A32" s="30" t="s">
        <v>42</v>
      </c>
      <c r="B32" s="25" t="s">
        <v>50</v>
      </c>
      <c r="C32" s="26" t="s">
        <v>102</v>
      </c>
      <c r="D32" s="4" t="s">
        <v>103</v>
      </c>
      <c r="E32" s="4"/>
      <c r="F32" s="4"/>
      <c r="G32" s="4"/>
      <c r="H32" s="4">
        <v>0</v>
      </c>
      <c r="I32" s="4"/>
      <c r="J32" s="4">
        <v>260</v>
      </c>
      <c r="K32" s="4">
        <v>80</v>
      </c>
      <c r="L32" s="4">
        <v>7700</v>
      </c>
      <c r="M32" s="4">
        <v>2300</v>
      </c>
      <c r="N32" s="4">
        <v>1800</v>
      </c>
      <c r="O32" s="3">
        <v>11800</v>
      </c>
      <c r="P32" s="7">
        <f t="shared" si="0"/>
        <v>5900</v>
      </c>
      <c r="Q32" s="8">
        <f t="shared" si="0"/>
        <v>2950</v>
      </c>
      <c r="R32" s="8">
        <f t="shared" si="1"/>
        <v>2950</v>
      </c>
    </row>
    <row r="33" spans="1:18" ht="15.75" x14ac:dyDescent="0.25">
      <c r="A33" s="31" t="s">
        <v>42</v>
      </c>
      <c r="B33" s="21" t="s">
        <v>53</v>
      </c>
      <c r="C33" s="22" t="s">
        <v>104</v>
      </c>
      <c r="D33" s="24" t="s">
        <v>105</v>
      </c>
      <c r="E33" s="24"/>
      <c r="F33" s="24"/>
      <c r="G33" s="24"/>
      <c r="H33" s="24">
        <v>0</v>
      </c>
      <c r="I33" s="24">
        <v>15750</v>
      </c>
      <c r="J33" s="24"/>
      <c r="K33" s="24"/>
      <c r="L33" s="24">
        <v>7650</v>
      </c>
      <c r="M33" s="24">
        <v>4300</v>
      </c>
      <c r="N33" s="24">
        <v>3800</v>
      </c>
      <c r="O33" s="2">
        <v>15750</v>
      </c>
      <c r="P33" s="7">
        <f t="shared" si="0"/>
        <v>7875</v>
      </c>
      <c r="Q33" s="8">
        <f t="shared" si="0"/>
        <v>3937.5</v>
      </c>
      <c r="R33" s="8">
        <f t="shared" si="1"/>
        <v>3937.5</v>
      </c>
    </row>
    <row r="34" spans="1:18" ht="15.75" x14ac:dyDescent="0.25">
      <c r="A34" s="30" t="s">
        <v>42</v>
      </c>
      <c r="B34" s="25" t="s">
        <v>53</v>
      </c>
      <c r="C34" s="26" t="s">
        <v>106</v>
      </c>
      <c r="D34" s="4"/>
      <c r="E34" s="4"/>
      <c r="F34" s="4"/>
      <c r="G34" s="4"/>
      <c r="H34" s="4">
        <v>0</v>
      </c>
      <c r="I34" s="4">
        <v>13650</v>
      </c>
      <c r="J34" s="4"/>
      <c r="K34" s="4"/>
      <c r="L34" s="4">
        <v>7630</v>
      </c>
      <c r="M34" s="4">
        <v>3260</v>
      </c>
      <c r="N34" s="4">
        <v>2760</v>
      </c>
      <c r="O34" s="3">
        <v>13650</v>
      </c>
      <c r="P34" s="7">
        <f t="shared" si="0"/>
        <v>6825</v>
      </c>
      <c r="Q34" s="8">
        <f t="shared" si="0"/>
        <v>3412.5</v>
      </c>
      <c r="R34" s="8">
        <f t="shared" si="1"/>
        <v>3412.5</v>
      </c>
    </row>
    <row r="35" spans="1:18" ht="15.75" x14ac:dyDescent="0.25">
      <c r="A35" s="31" t="s">
        <v>42</v>
      </c>
      <c r="B35" s="21" t="s">
        <v>43</v>
      </c>
      <c r="C35" s="22" t="s">
        <v>107</v>
      </c>
      <c r="D35" s="24"/>
      <c r="E35" s="24"/>
      <c r="F35" s="24"/>
      <c r="G35" s="24"/>
      <c r="H35" s="24">
        <v>0</v>
      </c>
      <c r="I35" s="24"/>
      <c r="J35" s="24">
        <v>300</v>
      </c>
      <c r="K35" s="24">
        <v>185</v>
      </c>
      <c r="L35" s="24">
        <v>19000</v>
      </c>
      <c r="M35" s="24"/>
      <c r="N35" s="24"/>
      <c r="O35" s="2">
        <v>19000</v>
      </c>
      <c r="P35" s="7">
        <v>19000</v>
      </c>
      <c r="Q35" s="8"/>
      <c r="R35" s="8"/>
    </row>
    <row r="36" spans="1:18" ht="15.75" x14ac:dyDescent="0.25">
      <c r="A36" s="30" t="s">
        <v>42</v>
      </c>
      <c r="B36" s="25" t="s">
        <v>53</v>
      </c>
      <c r="C36" s="26" t="s">
        <v>108</v>
      </c>
      <c r="D36" s="4"/>
      <c r="E36" s="4"/>
      <c r="F36" s="4"/>
      <c r="G36" s="4"/>
      <c r="H36" s="4">
        <v>0</v>
      </c>
      <c r="I36" s="4">
        <v>12600</v>
      </c>
      <c r="J36" s="4"/>
      <c r="K36" s="4"/>
      <c r="L36" s="4">
        <v>7620</v>
      </c>
      <c r="M36" s="4">
        <v>2740</v>
      </c>
      <c r="N36" s="4">
        <v>2240</v>
      </c>
      <c r="O36" s="3">
        <v>12600</v>
      </c>
      <c r="P36" s="7">
        <f t="shared" si="0"/>
        <v>6300</v>
      </c>
      <c r="Q36" s="8">
        <f t="shared" si="0"/>
        <v>3150</v>
      </c>
      <c r="R36" s="8">
        <f t="shared" si="1"/>
        <v>3150</v>
      </c>
    </row>
    <row r="37" spans="1:18" ht="15.75" x14ac:dyDescent="0.25">
      <c r="A37" s="31" t="s">
        <v>42</v>
      </c>
      <c r="B37" s="21" t="s">
        <v>53</v>
      </c>
      <c r="C37" s="22" t="s">
        <v>109</v>
      </c>
      <c r="D37" s="24" t="s">
        <v>110</v>
      </c>
      <c r="E37" s="24"/>
      <c r="F37" s="24"/>
      <c r="G37" s="24"/>
      <c r="H37" s="24">
        <v>0</v>
      </c>
      <c r="I37" s="24">
        <v>18500</v>
      </c>
      <c r="J37" s="24"/>
      <c r="K37" s="24"/>
      <c r="L37" s="24">
        <v>8400</v>
      </c>
      <c r="M37" s="24">
        <v>5300</v>
      </c>
      <c r="N37" s="24">
        <v>4800</v>
      </c>
      <c r="O37" s="2">
        <v>18500</v>
      </c>
      <c r="P37" s="7">
        <f t="shared" si="0"/>
        <v>9250</v>
      </c>
      <c r="Q37" s="8">
        <f t="shared" si="0"/>
        <v>4625</v>
      </c>
      <c r="R37" s="8">
        <f t="shared" si="1"/>
        <v>4625</v>
      </c>
    </row>
    <row r="38" spans="1:18" ht="15.75" thickBot="1" x14ac:dyDescent="0.3">
      <c r="O38" s="50"/>
    </row>
    <row r="39" spans="1:18" ht="19.5" thickBot="1" x14ac:dyDescent="0.35">
      <c r="C39" s="11" t="s">
        <v>169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53">
        <v>0.5</v>
      </c>
      <c r="Q39" s="54"/>
      <c r="R39" s="55"/>
    </row>
    <row r="40" spans="1:18" ht="27" x14ac:dyDescent="0.25">
      <c r="A40" s="6" t="s">
        <v>0</v>
      </c>
      <c r="B40" s="6" t="s">
        <v>1</v>
      </c>
      <c r="C40" s="15" t="s">
        <v>2</v>
      </c>
      <c r="D40" s="16" t="s">
        <v>3</v>
      </c>
      <c r="E40" s="16" t="s">
        <v>4</v>
      </c>
      <c r="F40" s="16" t="s">
        <v>5</v>
      </c>
      <c r="G40" s="16" t="s">
        <v>6</v>
      </c>
      <c r="H40" s="16" t="s">
        <v>7</v>
      </c>
      <c r="I40" s="46" t="s">
        <v>111</v>
      </c>
      <c r="J40" s="46" t="s">
        <v>112</v>
      </c>
      <c r="K40" s="46" t="s">
        <v>113</v>
      </c>
      <c r="L40" s="47" t="s">
        <v>114</v>
      </c>
      <c r="M40" s="47" t="s">
        <v>115</v>
      </c>
      <c r="N40" s="47" t="s">
        <v>116</v>
      </c>
      <c r="O40" s="49" t="s">
        <v>117</v>
      </c>
      <c r="P40" s="48" t="s">
        <v>114</v>
      </c>
      <c r="Q40" s="48" t="s">
        <v>115</v>
      </c>
      <c r="R40" s="48" t="s">
        <v>116</v>
      </c>
    </row>
    <row r="41" spans="1:18" ht="15.75" x14ac:dyDescent="0.25">
      <c r="A41" s="21" t="s">
        <v>42</v>
      </c>
      <c r="B41" s="21" t="s">
        <v>53</v>
      </c>
      <c r="C41" s="36" t="s">
        <v>135</v>
      </c>
      <c r="D41" s="32" t="s">
        <v>136</v>
      </c>
      <c r="E41" s="32"/>
      <c r="F41" s="32"/>
      <c r="G41" s="32"/>
      <c r="H41" s="32">
        <v>0</v>
      </c>
      <c r="I41" s="32">
        <v>15750</v>
      </c>
      <c r="J41" s="32"/>
      <c r="K41" s="32"/>
      <c r="L41" s="32">
        <v>8150</v>
      </c>
      <c r="M41" s="32">
        <v>3800</v>
      </c>
      <c r="N41" s="32">
        <v>3800</v>
      </c>
      <c r="O41" s="19">
        <v>15750</v>
      </c>
      <c r="P41" s="7">
        <f t="shared" ref="P41:Q41" si="2">O41*50%</f>
        <v>7875</v>
      </c>
      <c r="Q41" s="8">
        <f t="shared" si="2"/>
        <v>3937.5</v>
      </c>
      <c r="R41" s="8">
        <f t="shared" ref="R41:R53" si="3">P41*50%</f>
        <v>3937.5</v>
      </c>
    </row>
    <row r="42" spans="1:18" ht="15.75" x14ac:dyDescent="0.25">
      <c r="A42" s="37" t="s">
        <v>42</v>
      </c>
      <c r="B42" s="37" t="s">
        <v>43</v>
      </c>
      <c r="C42" s="38" t="s">
        <v>137</v>
      </c>
      <c r="D42" s="33" t="s">
        <v>138</v>
      </c>
      <c r="E42" s="33"/>
      <c r="F42" s="33"/>
      <c r="G42" s="33"/>
      <c r="H42" s="33">
        <v>0</v>
      </c>
      <c r="I42" s="33"/>
      <c r="J42" s="33">
        <v>300</v>
      </c>
      <c r="K42" s="33">
        <v>185</v>
      </c>
      <c r="L42" s="33">
        <v>20000</v>
      </c>
      <c r="M42" s="33">
        <v>0</v>
      </c>
      <c r="N42" s="33">
        <v>0</v>
      </c>
      <c r="O42" s="20">
        <v>20000</v>
      </c>
      <c r="P42" s="7">
        <v>20000</v>
      </c>
      <c r="Q42" s="8"/>
      <c r="R42" s="8"/>
    </row>
    <row r="43" spans="1:18" ht="15.75" x14ac:dyDescent="0.25">
      <c r="A43" s="39" t="s">
        <v>42</v>
      </c>
      <c r="B43" s="39" t="s">
        <v>43</v>
      </c>
      <c r="C43" s="36" t="s">
        <v>139</v>
      </c>
      <c r="D43" s="32" t="s">
        <v>140</v>
      </c>
      <c r="E43" s="32"/>
      <c r="F43" s="32"/>
      <c r="G43" s="32"/>
      <c r="H43" s="32">
        <v>0</v>
      </c>
      <c r="I43" s="32"/>
      <c r="J43" s="32">
        <v>300</v>
      </c>
      <c r="K43" s="32">
        <v>185</v>
      </c>
      <c r="L43" s="32">
        <v>20000</v>
      </c>
      <c r="M43" s="32">
        <v>0</v>
      </c>
      <c r="N43" s="32">
        <v>0</v>
      </c>
      <c r="O43" s="19">
        <v>20000</v>
      </c>
      <c r="P43" s="7">
        <v>20000</v>
      </c>
      <c r="Q43" s="8"/>
      <c r="R43" s="8"/>
    </row>
    <row r="44" spans="1:18" ht="15.75" x14ac:dyDescent="0.25">
      <c r="A44" s="37" t="s">
        <v>42</v>
      </c>
      <c r="B44" s="37" t="s">
        <v>43</v>
      </c>
      <c r="C44" s="38" t="s">
        <v>141</v>
      </c>
      <c r="D44" s="33"/>
      <c r="E44" s="33"/>
      <c r="F44" s="33"/>
      <c r="G44" s="33"/>
      <c r="H44" s="33">
        <v>0</v>
      </c>
      <c r="I44" s="33"/>
      <c r="J44" s="33">
        <v>300</v>
      </c>
      <c r="K44" s="33">
        <v>185</v>
      </c>
      <c r="L44" s="33">
        <v>21000</v>
      </c>
      <c r="M44" s="33">
        <v>0</v>
      </c>
      <c r="N44" s="33">
        <v>0</v>
      </c>
      <c r="O44" s="20">
        <v>21000</v>
      </c>
      <c r="P44" s="7">
        <v>21000</v>
      </c>
      <c r="Q44" s="8"/>
      <c r="R44" s="8"/>
    </row>
    <row r="45" spans="1:18" ht="15.75" x14ac:dyDescent="0.25">
      <c r="A45" s="39" t="s">
        <v>42</v>
      </c>
      <c r="B45" s="39" t="s">
        <v>43</v>
      </c>
      <c r="C45" s="36" t="s">
        <v>142</v>
      </c>
      <c r="D45" s="32" t="s">
        <v>143</v>
      </c>
      <c r="E45" s="32"/>
      <c r="F45" s="32"/>
      <c r="G45" s="32"/>
      <c r="H45" s="32">
        <v>0</v>
      </c>
      <c r="I45" s="32"/>
      <c r="J45" s="32">
        <v>300</v>
      </c>
      <c r="K45" s="32">
        <v>185</v>
      </c>
      <c r="L45" s="32">
        <v>20000</v>
      </c>
      <c r="M45" s="32">
        <v>0</v>
      </c>
      <c r="N45" s="32">
        <v>0</v>
      </c>
      <c r="O45" s="19">
        <v>20000</v>
      </c>
      <c r="P45" s="7">
        <v>20000</v>
      </c>
      <c r="Q45" s="8"/>
      <c r="R45" s="8"/>
    </row>
    <row r="46" spans="1:18" ht="15.75" x14ac:dyDescent="0.25">
      <c r="A46" s="37" t="s">
        <v>42</v>
      </c>
      <c r="B46" s="37" t="s">
        <v>43</v>
      </c>
      <c r="C46" s="38" t="s">
        <v>144</v>
      </c>
      <c r="D46" s="33" t="s">
        <v>145</v>
      </c>
      <c r="E46" s="33"/>
      <c r="F46" s="33"/>
      <c r="G46" s="33"/>
      <c r="H46" s="33">
        <v>0</v>
      </c>
      <c r="I46" s="33"/>
      <c r="J46" s="33">
        <v>300</v>
      </c>
      <c r="K46" s="33">
        <v>185</v>
      </c>
      <c r="L46" s="33">
        <v>20000</v>
      </c>
      <c r="M46" s="33">
        <v>0</v>
      </c>
      <c r="N46" s="33">
        <v>0</v>
      </c>
      <c r="O46" s="20">
        <v>20000</v>
      </c>
      <c r="P46" s="7">
        <v>20000</v>
      </c>
      <c r="Q46" s="8"/>
      <c r="R46" s="8"/>
    </row>
    <row r="47" spans="1:18" ht="15.75" x14ac:dyDescent="0.25">
      <c r="A47" s="39" t="s">
        <v>42</v>
      </c>
      <c r="B47" s="39" t="s">
        <v>50</v>
      </c>
      <c r="C47" s="36" t="s">
        <v>146</v>
      </c>
      <c r="D47" s="32" t="s">
        <v>147</v>
      </c>
      <c r="E47" s="32"/>
      <c r="F47" s="32"/>
      <c r="G47" s="32"/>
      <c r="H47" s="32">
        <v>0</v>
      </c>
      <c r="I47" s="32"/>
      <c r="J47" s="32">
        <v>265</v>
      </c>
      <c r="K47" s="32">
        <v>80</v>
      </c>
      <c r="L47" s="32">
        <v>7500</v>
      </c>
      <c r="M47" s="32">
        <v>2700</v>
      </c>
      <c r="N47" s="32">
        <v>2400</v>
      </c>
      <c r="O47" s="19">
        <v>12600</v>
      </c>
      <c r="P47" s="7">
        <f t="shared" ref="P47:Q47" si="4">O47*50%</f>
        <v>6300</v>
      </c>
      <c r="Q47" s="8">
        <f t="shared" si="4"/>
        <v>3150</v>
      </c>
      <c r="R47" s="8">
        <f t="shared" si="3"/>
        <v>3150</v>
      </c>
    </row>
    <row r="48" spans="1:18" ht="15.75" x14ac:dyDescent="0.25">
      <c r="A48" s="37" t="s">
        <v>42</v>
      </c>
      <c r="B48" s="37" t="s">
        <v>43</v>
      </c>
      <c r="C48" s="38" t="s">
        <v>148</v>
      </c>
      <c r="D48" s="33" t="s">
        <v>149</v>
      </c>
      <c r="E48" s="33"/>
      <c r="F48" s="33"/>
      <c r="G48" s="33"/>
      <c r="H48" s="33">
        <v>0</v>
      </c>
      <c r="I48" s="33"/>
      <c r="J48" s="33">
        <v>300</v>
      </c>
      <c r="K48" s="33">
        <v>185</v>
      </c>
      <c r="L48" s="33">
        <v>20000</v>
      </c>
      <c r="M48" s="33">
        <v>0</v>
      </c>
      <c r="N48" s="33">
        <v>0</v>
      </c>
      <c r="O48" s="20">
        <v>20000</v>
      </c>
      <c r="P48" s="7">
        <v>20000</v>
      </c>
      <c r="Q48" s="8"/>
      <c r="R48" s="8"/>
    </row>
    <row r="49" spans="1:18" ht="15.75" x14ac:dyDescent="0.25">
      <c r="A49" s="39" t="s">
        <v>42</v>
      </c>
      <c r="B49" s="39" t="s">
        <v>50</v>
      </c>
      <c r="C49" s="36" t="s">
        <v>150</v>
      </c>
      <c r="D49" s="32" t="s">
        <v>151</v>
      </c>
      <c r="E49" s="32"/>
      <c r="F49" s="32"/>
      <c r="G49" s="32"/>
      <c r="H49" s="32">
        <v>0</v>
      </c>
      <c r="I49" s="32"/>
      <c r="J49" s="32">
        <v>265</v>
      </c>
      <c r="K49" s="32">
        <v>80</v>
      </c>
      <c r="L49" s="32">
        <v>7500</v>
      </c>
      <c r="M49" s="32">
        <v>2700</v>
      </c>
      <c r="N49" s="32">
        <v>2400</v>
      </c>
      <c r="O49" s="19">
        <v>12600</v>
      </c>
      <c r="P49" s="7">
        <f t="shared" ref="P49:Q49" si="5">O49*50%</f>
        <v>6300</v>
      </c>
      <c r="Q49" s="8">
        <f t="shared" si="5"/>
        <v>3150</v>
      </c>
      <c r="R49" s="8">
        <f t="shared" si="3"/>
        <v>3150</v>
      </c>
    </row>
    <row r="50" spans="1:18" ht="15.75" x14ac:dyDescent="0.25">
      <c r="A50" s="37" t="s">
        <v>42</v>
      </c>
      <c r="B50" s="37" t="s">
        <v>50</v>
      </c>
      <c r="C50" s="38" t="s">
        <v>152</v>
      </c>
      <c r="D50" s="33" t="s">
        <v>153</v>
      </c>
      <c r="E50" s="33"/>
      <c r="F50" s="33"/>
      <c r="G50" s="33"/>
      <c r="H50" s="33">
        <v>0</v>
      </c>
      <c r="I50" s="33"/>
      <c r="J50" s="33">
        <v>265</v>
      </c>
      <c r="K50" s="33">
        <v>80</v>
      </c>
      <c r="L50" s="33">
        <v>7500</v>
      </c>
      <c r="M50" s="33">
        <v>2700</v>
      </c>
      <c r="N50" s="33">
        <v>2400</v>
      </c>
      <c r="O50" s="20">
        <v>12600</v>
      </c>
      <c r="P50" s="7">
        <f t="shared" ref="P50:Q50" si="6">O50*50%</f>
        <v>6300</v>
      </c>
      <c r="Q50" s="8">
        <f t="shared" si="6"/>
        <v>3150</v>
      </c>
      <c r="R50" s="8">
        <f t="shared" si="3"/>
        <v>3150</v>
      </c>
    </row>
    <row r="51" spans="1:18" ht="15.75" x14ac:dyDescent="0.25">
      <c r="A51" s="39" t="s">
        <v>42</v>
      </c>
      <c r="B51" s="39" t="s">
        <v>50</v>
      </c>
      <c r="C51" s="36" t="s">
        <v>154</v>
      </c>
      <c r="D51" s="32" t="s">
        <v>155</v>
      </c>
      <c r="E51" s="32"/>
      <c r="F51" s="32"/>
      <c r="G51" s="32"/>
      <c r="H51" s="32">
        <v>0</v>
      </c>
      <c r="I51" s="32"/>
      <c r="J51" s="32">
        <v>260</v>
      </c>
      <c r="K51" s="32">
        <v>80</v>
      </c>
      <c r="L51" s="32">
        <v>7500</v>
      </c>
      <c r="M51" s="32">
        <v>2700</v>
      </c>
      <c r="N51" s="32">
        <v>2400</v>
      </c>
      <c r="O51" s="19">
        <v>12600</v>
      </c>
      <c r="P51" s="7">
        <f t="shared" ref="P51:Q51" si="7">O51*50%</f>
        <v>6300</v>
      </c>
      <c r="Q51" s="8">
        <f t="shared" si="7"/>
        <v>3150</v>
      </c>
      <c r="R51" s="8">
        <f t="shared" si="3"/>
        <v>3150</v>
      </c>
    </row>
    <row r="52" spans="1:18" ht="15.75" x14ac:dyDescent="0.25">
      <c r="A52" s="25" t="s">
        <v>42</v>
      </c>
      <c r="B52" s="25" t="s">
        <v>53</v>
      </c>
      <c r="C52" s="38" t="s">
        <v>156</v>
      </c>
      <c r="D52" s="33" t="s">
        <v>157</v>
      </c>
      <c r="E52" s="33"/>
      <c r="F52" s="33"/>
      <c r="G52" s="33"/>
      <c r="H52" s="33">
        <v>0</v>
      </c>
      <c r="I52" s="33">
        <v>16275</v>
      </c>
      <c r="J52" s="33"/>
      <c r="K52" s="33"/>
      <c r="L52" s="33">
        <v>8700</v>
      </c>
      <c r="M52" s="33">
        <v>4000</v>
      </c>
      <c r="N52" s="33">
        <v>3575</v>
      </c>
      <c r="O52" s="20">
        <v>16275</v>
      </c>
      <c r="P52" s="8">
        <f t="shared" ref="P52:Q52" si="8">O52*50%</f>
        <v>8137.5</v>
      </c>
      <c r="Q52" s="8">
        <f t="shared" si="8"/>
        <v>4068.75</v>
      </c>
      <c r="R52" s="8">
        <f t="shared" si="3"/>
        <v>4068.75</v>
      </c>
    </row>
    <row r="53" spans="1:18" ht="15.75" x14ac:dyDescent="0.25">
      <c r="A53" s="21" t="s">
        <v>42</v>
      </c>
      <c r="B53" s="21" t="s">
        <v>53</v>
      </c>
      <c r="C53" s="22" t="s">
        <v>158</v>
      </c>
      <c r="D53" s="32" t="s">
        <v>159</v>
      </c>
      <c r="E53" s="32"/>
      <c r="F53" s="32"/>
      <c r="G53" s="32"/>
      <c r="H53" s="32">
        <v>0</v>
      </c>
      <c r="I53" s="32">
        <v>13650</v>
      </c>
      <c r="J53" s="32"/>
      <c r="K53" s="32"/>
      <c r="L53" s="32">
        <v>8150</v>
      </c>
      <c r="M53" s="32">
        <v>2850</v>
      </c>
      <c r="N53" s="32">
        <v>2650</v>
      </c>
      <c r="O53" s="19">
        <v>13650</v>
      </c>
      <c r="P53" s="7">
        <f t="shared" ref="P53:Q53" si="9">O53*50%</f>
        <v>6825</v>
      </c>
      <c r="Q53" s="8">
        <f t="shared" si="9"/>
        <v>3412.5</v>
      </c>
      <c r="R53" s="8">
        <f t="shared" si="3"/>
        <v>3412.5</v>
      </c>
    </row>
    <row r="54" spans="1:18" ht="15.75" x14ac:dyDescent="0.25">
      <c r="A54" s="25" t="s">
        <v>42</v>
      </c>
      <c r="B54" s="25" t="s">
        <v>43</v>
      </c>
      <c r="C54" s="26" t="s">
        <v>160</v>
      </c>
      <c r="D54" s="33"/>
      <c r="E54" s="33"/>
      <c r="F54" s="33"/>
      <c r="G54" s="33"/>
      <c r="H54" s="33">
        <v>0</v>
      </c>
      <c r="I54" s="33"/>
      <c r="J54" s="33">
        <v>300</v>
      </c>
      <c r="K54" s="33">
        <v>185</v>
      </c>
      <c r="L54" s="33">
        <v>21000</v>
      </c>
      <c r="M54" s="33">
        <v>0</v>
      </c>
      <c r="N54" s="33">
        <v>0</v>
      </c>
      <c r="O54" s="20">
        <v>21000</v>
      </c>
      <c r="P54" s="7">
        <v>21000</v>
      </c>
      <c r="Q54" s="8"/>
      <c r="R54" s="8"/>
    </row>
    <row r="55" spans="1:18" ht="16.5" thickBot="1" x14ac:dyDescent="0.3">
      <c r="A55" s="41"/>
      <c r="B55" s="41"/>
      <c r="C55" s="4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4"/>
      <c r="Q55" s="45"/>
      <c r="R55" s="45"/>
    </row>
    <row r="56" spans="1:18" ht="19.5" thickBot="1" x14ac:dyDescent="0.35">
      <c r="C56" s="11" t="s">
        <v>168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53">
        <v>0.5</v>
      </c>
      <c r="Q56" s="54"/>
      <c r="R56" s="55"/>
    </row>
    <row r="57" spans="1:18" ht="27" x14ac:dyDescent="0.25">
      <c r="A57" s="6" t="s">
        <v>0</v>
      </c>
      <c r="B57" s="6" t="s">
        <v>1</v>
      </c>
      <c r="C57" s="15" t="s">
        <v>2</v>
      </c>
      <c r="D57" s="16" t="s">
        <v>3</v>
      </c>
      <c r="E57" s="16" t="s">
        <v>4</v>
      </c>
      <c r="F57" s="16" t="s">
        <v>5</v>
      </c>
      <c r="G57" s="16" t="s">
        <v>6</v>
      </c>
      <c r="H57" s="16" t="s">
        <v>7</v>
      </c>
      <c r="I57" s="46" t="s">
        <v>111</v>
      </c>
      <c r="J57" s="46" t="s">
        <v>112</v>
      </c>
      <c r="K57" s="46" t="s">
        <v>113</v>
      </c>
      <c r="L57" s="47" t="s">
        <v>114</v>
      </c>
      <c r="M57" s="47" t="s">
        <v>115</v>
      </c>
      <c r="N57" s="47" t="s">
        <v>116</v>
      </c>
      <c r="O57" s="49" t="s">
        <v>117</v>
      </c>
      <c r="P57" s="48" t="s">
        <v>114</v>
      </c>
      <c r="Q57" s="48" t="s">
        <v>115</v>
      </c>
      <c r="R57" s="48" t="s">
        <v>116</v>
      </c>
    </row>
    <row r="58" spans="1:18" ht="15.75" x14ac:dyDescent="0.25">
      <c r="A58" s="21" t="s">
        <v>42</v>
      </c>
      <c r="B58" s="21" t="s">
        <v>53</v>
      </c>
      <c r="C58" s="22" t="s">
        <v>170</v>
      </c>
      <c r="D58" s="28" t="s">
        <v>171</v>
      </c>
      <c r="E58" s="24"/>
      <c r="F58" s="24"/>
      <c r="G58" s="24"/>
      <c r="H58" s="24">
        <v>0</v>
      </c>
      <c r="I58" s="24">
        <v>23000</v>
      </c>
      <c r="J58" s="24"/>
      <c r="K58" s="24"/>
      <c r="L58" s="24">
        <v>9200</v>
      </c>
      <c r="M58" s="24">
        <v>7400</v>
      </c>
      <c r="N58" s="24">
        <v>6400</v>
      </c>
      <c r="O58" s="2">
        <v>23000</v>
      </c>
      <c r="P58" s="7">
        <f t="shared" ref="P58" si="10">O58*50%</f>
        <v>11500</v>
      </c>
      <c r="Q58" s="8">
        <f t="shared" ref="Q58" si="11">P58*50%</f>
        <v>5750</v>
      </c>
      <c r="R58" s="8">
        <f t="shared" ref="R58:R70" si="12">P58*50%</f>
        <v>5750</v>
      </c>
    </row>
    <row r="59" spans="1:18" ht="15.75" x14ac:dyDescent="0.25">
      <c r="A59" s="25" t="s">
        <v>42</v>
      </c>
      <c r="B59" s="25" t="s">
        <v>53</v>
      </c>
      <c r="C59" s="26" t="s">
        <v>172</v>
      </c>
      <c r="D59" s="29" t="s">
        <v>134</v>
      </c>
      <c r="E59" s="4"/>
      <c r="F59" s="4"/>
      <c r="G59" s="4"/>
      <c r="H59" s="4">
        <v>0</v>
      </c>
      <c r="I59" s="4">
        <v>19000</v>
      </c>
      <c r="J59" s="4"/>
      <c r="K59" s="4"/>
      <c r="L59" s="4">
        <v>7900</v>
      </c>
      <c r="M59" s="4">
        <v>6300</v>
      </c>
      <c r="N59" s="4">
        <v>4800</v>
      </c>
      <c r="O59" s="3">
        <v>19000</v>
      </c>
      <c r="P59" s="7">
        <f t="shared" ref="P59:P73" si="13">O59*50%</f>
        <v>9500</v>
      </c>
      <c r="Q59" s="8">
        <f t="shared" ref="Q59:Q73" si="14">P59*50%</f>
        <v>4750</v>
      </c>
      <c r="R59" s="8">
        <f t="shared" ref="R59:R73" si="15">P59*50%</f>
        <v>4750</v>
      </c>
    </row>
    <row r="60" spans="1:18" ht="15.75" x14ac:dyDescent="0.25">
      <c r="A60" s="21" t="s">
        <v>42</v>
      </c>
      <c r="B60" s="21" t="s">
        <v>43</v>
      </c>
      <c r="C60" s="22" t="s">
        <v>173</v>
      </c>
      <c r="D60" s="28" t="s">
        <v>174</v>
      </c>
      <c r="E60" s="24"/>
      <c r="F60" s="24"/>
      <c r="G60" s="24"/>
      <c r="H60" s="24">
        <v>0</v>
      </c>
      <c r="I60" s="24"/>
      <c r="J60" s="24">
        <v>310</v>
      </c>
      <c r="K60" s="24">
        <v>185</v>
      </c>
      <c r="L60" s="24">
        <v>23400</v>
      </c>
      <c r="M60" s="24"/>
      <c r="N60" s="24"/>
      <c r="O60" s="2">
        <v>23400</v>
      </c>
      <c r="P60" s="7">
        <v>23400</v>
      </c>
      <c r="Q60" s="8"/>
      <c r="R60" s="8"/>
    </row>
    <row r="61" spans="1:18" ht="15.75" x14ac:dyDescent="0.25">
      <c r="A61" s="25" t="s">
        <v>42</v>
      </c>
      <c r="B61" s="25" t="s">
        <v>61</v>
      </c>
      <c r="C61" s="26" t="s">
        <v>175</v>
      </c>
      <c r="D61" s="4" t="s">
        <v>176</v>
      </c>
      <c r="E61" s="4"/>
      <c r="F61" s="4"/>
      <c r="G61" s="4"/>
      <c r="H61" s="4">
        <v>0</v>
      </c>
      <c r="I61" s="4">
        <v>17000</v>
      </c>
      <c r="J61" s="4"/>
      <c r="K61" s="4"/>
      <c r="L61" s="4">
        <v>8500</v>
      </c>
      <c r="M61" s="4">
        <v>4800</v>
      </c>
      <c r="N61" s="4">
        <v>3700</v>
      </c>
      <c r="O61" s="3">
        <v>17000</v>
      </c>
      <c r="P61" s="7">
        <f t="shared" si="13"/>
        <v>8500</v>
      </c>
      <c r="Q61" s="8">
        <f t="shared" si="14"/>
        <v>4250</v>
      </c>
      <c r="R61" s="8">
        <f t="shared" si="15"/>
        <v>4250</v>
      </c>
    </row>
    <row r="62" spans="1:18" ht="15.75" x14ac:dyDescent="0.25">
      <c r="A62" s="21" t="s">
        <v>42</v>
      </c>
      <c r="B62" s="21" t="s">
        <v>43</v>
      </c>
      <c r="C62" s="22" t="s">
        <v>177</v>
      </c>
      <c r="D62" s="24" t="s">
        <v>134</v>
      </c>
      <c r="E62" s="24"/>
      <c r="F62" s="24"/>
      <c r="G62" s="24"/>
      <c r="H62" s="24">
        <v>0</v>
      </c>
      <c r="I62" s="24"/>
      <c r="J62" s="24">
        <v>290</v>
      </c>
      <c r="K62" s="24">
        <v>185</v>
      </c>
      <c r="L62" s="24">
        <v>21200</v>
      </c>
      <c r="M62" s="24"/>
      <c r="N62" s="24"/>
      <c r="O62" s="2">
        <v>21400</v>
      </c>
      <c r="P62" s="7">
        <v>21400</v>
      </c>
      <c r="Q62" s="8"/>
      <c r="R62" s="8"/>
    </row>
    <row r="63" spans="1:18" ht="15.75" x14ac:dyDescent="0.25">
      <c r="A63" s="25" t="s">
        <v>42</v>
      </c>
      <c r="B63" s="25" t="s">
        <v>43</v>
      </c>
      <c r="C63" s="26" t="s">
        <v>178</v>
      </c>
      <c r="D63" s="4" t="s">
        <v>134</v>
      </c>
      <c r="E63" s="4"/>
      <c r="F63" s="4"/>
      <c r="G63" s="4"/>
      <c r="H63" s="4">
        <v>0</v>
      </c>
      <c r="I63" s="4"/>
      <c r="J63" s="4">
        <v>290</v>
      </c>
      <c r="K63" s="4">
        <v>185</v>
      </c>
      <c r="L63" s="4">
        <v>21000</v>
      </c>
      <c r="M63" s="4"/>
      <c r="N63" s="4"/>
      <c r="O63" s="3">
        <v>21000</v>
      </c>
      <c r="P63" s="7">
        <v>21000</v>
      </c>
      <c r="Q63" s="8"/>
      <c r="R63" s="8"/>
    </row>
    <row r="64" spans="1:18" ht="15.75" x14ac:dyDescent="0.25">
      <c r="A64" s="21" t="s">
        <v>42</v>
      </c>
      <c r="B64" s="21" t="s">
        <v>50</v>
      </c>
      <c r="C64" s="22" t="s">
        <v>179</v>
      </c>
      <c r="D64" s="24" t="s">
        <v>134</v>
      </c>
      <c r="E64" s="24"/>
      <c r="F64" s="24"/>
      <c r="G64" s="24"/>
      <c r="H64" s="24">
        <v>0</v>
      </c>
      <c r="I64" s="24"/>
      <c r="J64" s="24">
        <v>260</v>
      </c>
      <c r="K64" s="24">
        <v>80</v>
      </c>
      <c r="L64" s="24">
        <v>7400</v>
      </c>
      <c r="M64" s="24">
        <v>3300</v>
      </c>
      <c r="N64" s="24">
        <v>2300</v>
      </c>
      <c r="O64" s="2">
        <v>13000</v>
      </c>
      <c r="P64" s="7">
        <f t="shared" si="13"/>
        <v>6500</v>
      </c>
      <c r="Q64" s="8">
        <f t="shared" si="14"/>
        <v>3250</v>
      </c>
      <c r="R64" s="8">
        <f t="shared" si="15"/>
        <v>3250</v>
      </c>
    </row>
    <row r="65" spans="1:18" ht="15.75" x14ac:dyDescent="0.25">
      <c r="A65" s="25" t="s">
        <v>42</v>
      </c>
      <c r="B65" s="25" t="s">
        <v>50</v>
      </c>
      <c r="C65" s="26" t="s">
        <v>180</v>
      </c>
      <c r="D65" s="4" t="s">
        <v>134</v>
      </c>
      <c r="E65" s="4"/>
      <c r="F65" s="4"/>
      <c r="G65" s="4"/>
      <c r="H65" s="4">
        <v>0</v>
      </c>
      <c r="I65" s="4"/>
      <c r="J65" s="4">
        <v>260</v>
      </c>
      <c r="K65" s="4">
        <v>80</v>
      </c>
      <c r="L65" s="4">
        <v>7400</v>
      </c>
      <c r="M65" s="4">
        <v>3300</v>
      </c>
      <c r="N65" s="4">
        <v>2300</v>
      </c>
      <c r="O65" s="3">
        <v>13000</v>
      </c>
      <c r="P65" s="7">
        <f t="shared" si="13"/>
        <v>6500</v>
      </c>
      <c r="Q65" s="8">
        <f t="shared" si="14"/>
        <v>3250</v>
      </c>
      <c r="R65" s="8">
        <f t="shared" si="15"/>
        <v>3250</v>
      </c>
    </row>
    <row r="66" spans="1:18" ht="15.75" x14ac:dyDescent="0.25">
      <c r="A66" s="21" t="s">
        <v>42</v>
      </c>
      <c r="B66" s="21" t="s">
        <v>43</v>
      </c>
      <c r="C66" s="22" t="s">
        <v>181</v>
      </c>
      <c r="D66" s="4" t="s">
        <v>134</v>
      </c>
      <c r="E66" s="24"/>
      <c r="F66" s="24"/>
      <c r="G66" s="24"/>
      <c r="H66" s="24">
        <v>0</v>
      </c>
      <c r="I66" s="24"/>
      <c r="J66" s="24">
        <v>290</v>
      </c>
      <c r="K66" s="24">
        <v>185</v>
      </c>
      <c r="L66" s="24">
        <v>21200</v>
      </c>
      <c r="M66" s="24"/>
      <c r="N66" s="24"/>
      <c r="O66" s="2">
        <v>21000</v>
      </c>
      <c r="P66" s="7">
        <v>21000</v>
      </c>
      <c r="Q66" s="8"/>
      <c r="R66" s="8"/>
    </row>
    <row r="67" spans="1:18" ht="15.75" x14ac:dyDescent="0.25">
      <c r="A67" s="25" t="s">
        <v>42</v>
      </c>
      <c r="B67" s="25" t="s">
        <v>43</v>
      </c>
      <c r="C67" s="26" t="s">
        <v>182</v>
      </c>
      <c r="D67" s="4" t="s">
        <v>134</v>
      </c>
      <c r="E67" s="4"/>
      <c r="F67" s="4"/>
      <c r="G67" s="4"/>
      <c r="H67" s="4">
        <v>0</v>
      </c>
      <c r="I67" s="4"/>
      <c r="J67" s="4">
        <v>290</v>
      </c>
      <c r="K67" s="4">
        <v>185</v>
      </c>
      <c r="L67" s="4">
        <v>21200</v>
      </c>
      <c r="M67" s="4"/>
      <c r="N67" s="4"/>
      <c r="O67" s="3">
        <v>21400</v>
      </c>
      <c r="P67" s="7">
        <v>21400</v>
      </c>
      <c r="Q67" s="8"/>
      <c r="R67" s="8"/>
    </row>
    <row r="68" spans="1:18" ht="15.75" x14ac:dyDescent="0.25">
      <c r="A68" s="21" t="s">
        <v>42</v>
      </c>
      <c r="B68" s="21" t="s">
        <v>43</v>
      </c>
      <c r="C68" s="35" t="s">
        <v>183</v>
      </c>
      <c r="D68" s="24" t="s">
        <v>134</v>
      </c>
      <c r="E68" s="24"/>
      <c r="F68" s="24"/>
      <c r="G68" s="24"/>
      <c r="H68" s="24">
        <v>0</v>
      </c>
      <c r="I68" s="24"/>
      <c r="J68" s="24">
        <v>290</v>
      </c>
      <c r="K68" s="24">
        <v>185</v>
      </c>
      <c r="L68" s="24">
        <v>21200</v>
      </c>
      <c r="M68" s="24"/>
      <c r="N68" s="24"/>
      <c r="O68" s="2">
        <v>21400</v>
      </c>
      <c r="P68" s="7">
        <v>21400</v>
      </c>
      <c r="Q68" s="8"/>
      <c r="R68" s="8"/>
    </row>
    <row r="69" spans="1:18" ht="15.75" x14ac:dyDescent="0.25">
      <c r="A69" s="25" t="s">
        <v>42</v>
      </c>
      <c r="B69" s="25" t="s">
        <v>43</v>
      </c>
      <c r="C69" s="40" t="s">
        <v>184</v>
      </c>
      <c r="D69" s="4" t="s">
        <v>134</v>
      </c>
      <c r="E69" s="4"/>
      <c r="F69" s="4"/>
      <c r="G69" s="4"/>
      <c r="H69" s="4">
        <v>0</v>
      </c>
      <c r="I69" s="4"/>
      <c r="J69" s="4">
        <v>290</v>
      </c>
      <c r="K69" s="4">
        <v>185</v>
      </c>
      <c r="L69" s="4">
        <v>21200</v>
      </c>
      <c r="M69" s="4"/>
      <c r="N69" s="4"/>
      <c r="O69" s="3">
        <v>21400</v>
      </c>
      <c r="P69" s="7">
        <v>21400</v>
      </c>
      <c r="Q69" s="8"/>
      <c r="R69" s="8"/>
    </row>
    <row r="70" spans="1:18" ht="15.75" x14ac:dyDescent="0.25">
      <c r="A70" s="21" t="s">
        <v>42</v>
      </c>
      <c r="B70" s="21" t="s">
        <v>53</v>
      </c>
      <c r="C70" s="22" t="s">
        <v>185</v>
      </c>
      <c r="D70" s="24" t="s">
        <v>134</v>
      </c>
      <c r="E70" s="24"/>
      <c r="F70" s="24"/>
      <c r="G70" s="24"/>
      <c r="H70" s="24">
        <v>0</v>
      </c>
      <c r="I70" s="24">
        <v>18000</v>
      </c>
      <c r="J70" s="24"/>
      <c r="K70" s="24"/>
      <c r="L70" s="24">
        <v>8000</v>
      </c>
      <c r="M70" s="24">
        <v>5300</v>
      </c>
      <c r="N70" s="24">
        <v>4700</v>
      </c>
      <c r="O70" s="2">
        <v>18000</v>
      </c>
      <c r="P70" s="7">
        <f t="shared" si="13"/>
        <v>9000</v>
      </c>
      <c r="Q70" s="8">
        <f t="shared" si="14"/>
        <v>4500</v>
      </c>
      <c r="R70" s="8">
        <f t="shared" si="15"/>
        <v>4500</v>
      </c>
    </row>
    <row r="71" spans="1:18" ht="15.75" x14ac:dyDescent="0.25">
      <c r="A71" s="25" t="s">
        <v>42</v>
      </c>
      <c r="B71" s="25" t="s">
        <v>43</v>
      </c>
      <c r="C71" s="26" t="s">
        <v>186</v>
      </c>
      <c r="D71" s="4" t="s">
        <v>187</v>
      </c>
      <c r="E71" s="4"/>
      <c r="F71" s="4"/>
      <c r="G71" s="4"/>
      <c r="H71" s="4">
        <v>0</v>
      </c>
      <c r="I71" s="4"/>
      <c r="J71" s="4">
        <v>310</v>
      </c>
      <c r="K71" s="4">
        <v>185</v>
      </c>
      <c r="L71" s="4">
        <v>23400</v>
      </c>
      <c r="M71" s="4">
        <v>0</v>
      </c>
      <c r="N71" s="4">
        <v>0</v>
      </c>
      <c r="O71" s="3">
        <v>23400</v>
      </c>
      <c r="P71" s="7">
        <v>23400</v>
      </c>
      <c r="Q71" s="8"/>
      <c r="R71" s="8"/>
    </row>
    <row r="72" spans="1:18" ht="15.75" x14ac:dyDescent="0.25">
      <c r="A72" s="21" t="s">
        <v>42</v>
      </c>
      <c r="B72" s="21" t="s">
        <v>43</v>
      </c>
      <c r="C72" s="22" t="s">
        <v>188</v>
      </c>
      <c r="D72" s="24"/>
      <c r="E72" s="24"/>
      <c r="F72" s="24"/>
      <c r="G72" s="24"/>
      <c r="H72" s="24">
        <v>0</v>
      </c>
      <c r="I72" s="24"/>
      <c r="J72" s="24">
        <v>290</v>
      </c>
      <c r="K72" s="24">
        <v>185</v>
      </c>
      <c r="L72" s="24">
        <v>21200</v>
      </c>
      <c r="M72" s="24"/>
      <c r="N72" s="24"/>
      <c r="O72" s="2">
        <v>21000</v>
      </c>
      <c r="P72" s="7">
        <v>21000</v>
      </c>
      <c r="Q72" s="8"/>
      <c r="R72" s="8"/>
    </row>
    <row r="73" spans="1:18" ht="15.75" x14ac:dyDescent="0.25">
      <c r="A73" s="25" t="s">
        <v>42</v>
      </c>
      <c r="B73" s="25" t="s">
        <v>50</v>
      </c>
      <c r="C73" s="26" t="s">
        <v>189</v>
      </c>
      <c r="D73" s="4" t="s">
        <v>134</v>
      </c>
      <c r="E73" s="4"/>
      <c r="F73" s="4"/>
      <c r="G73" s="4"/>
      <c r="H73" s="4">
        <v>0</v>
      </c>
      <c r="I73" s="4"/>
      <c r="J73" s="4">
        <v>260</v>
      </c>
      <c r="K73" s="4">
        <v>80</v>
      </c>
      <c r="L73" s="4">
        <v>7700</v>
      </c>
      <c r="M73" s="4">
        <v>3500</v>
      </c>
      <c r="N73" s="4">
        <v>2400</v>
      </c>
      <c r="O73" s="3">
        <v>13600</v>
      </c>
      <c r="P73" s="7">
        <f t="shared" si="13"/>
        <v>6800</v>
      </c>
      <c r="Q73" s="8">
        <f t="shared" si="14"/>
        <v>3400</v>
      </c>
      <c r="R73" s="8">
        <f t="shared" si="15"/>
        <v>3400</v>
      </c>
    </row>
    <row r="74" spans="1:18" ht="15.75" x14ac:dyDescent="0.25">
      <c r="A74" s="31" t="s">
        <v>42</v>
      </c>
      <c r="B74" s="21" t="s">
        <v>43</v>
      </c>
      <c r="C74" s="22" t="s">
        <v>190</v>
      </c>
      <c r="D74" s="4" t="s">
        <v>134</v>
      </c>
      <c r="E74" s="24"/>
      <c r="F74" s="24"/>
      <c r="G74" s="24"/>
      <c r="H74" s="24">
        <v>0</v>
      </c>
      <c r="I74" s="24"/>
      <c r="J74" s="24">
        <v>290</v>
      </c>
      <c r="K74" s="24">
        <v>185</v>
      </c>
      <c r="L74" s="24">
        <v>21200</v>
      </c>
      <c r="M74" s="24"/>
      <c r="N74" s="24"/>
      <c r="O74" s="2">
        <v>21000</v>
      </c>
      <c r="P74" s="7">
        <v>21000</v>
      </c>
      <c r="Q74" s="8"/>
      <c r="R74" s="8"/>
    </row>
    <row r="75" spans="1:18" ht="15.75" x14ac:dyDescent="0.25">
      <c r="A75" s="30" t="s">
        <v>42</v>
      </c>
      <c r="B75" s="25" t="s">
        <v>43</v>
      </c>
      <c r="C75" s="26" t="s">
        <v>191</v>
      </c>
      <c r="D75" s="4" t="s">
        <v>134</v>
      </c>
      <c r="E75" s="4"/>
      <c r="F75" s="4"/>
      <c r="G75" s="4"/>
      <c r="H75" s="4">
        <v>0</v>
      </c>
      <c r="I75" s="4"/>
      <c r="J75" s="4">
        <v>290</v>
      </c>
      <c r="K75" s="4">
        <v>185</v>
      </c>
      <c r="L75" s="4">
        <v>21200</v>
      </c>
      <c r="M75" s="4"/>
      <c r="N75" s="4"/>
      <c r="O75" s="3">
        <v>21000</v>
      </c>
      <c r="P75" s="7">
        <v>21000</v>
      </c>
      <c r="Q75" s="8"/>
      <c r="R75" s="8"/>
    </row>
    <row r="76" spans="1:18" ht="15.75" x14ac:dyDescent="0.25">
      <c r="A76" s="31" t="s">
        <v>42</v>
      </c>
      <c r="B76" s="21" t="s">
        <v>43</v>
      </c>
      <c r="C76" s="22" t="s">
        <v>192</v>
      </c>
      <c r="D76" s="24"/>
      <c r="E76" s="24"/>
      <c r="F76" s="24"/>
      <c r="G76" s="24"/>
      <c r="H76" s="24">
        <v>0</v>
      </c>
      <c r="I76" s="24"/>
      <c r="J76" s="24">
        <v>290</v>
      </c>
      <c r="K76" s="24">
        <v>185</v>
      </c>
      <c r="L76" s="24">
        <v>21200</v>
      </c>
      <c r="M76" s="24"/>
      <c r="N76" s="24"/>
      <c r="O76" s="2">
        <v>21000</v>
      </c>
      <c r="P76" s="7">
        <v>21000</v>
      </c>
      <c r="Q76" s="8"/>
      <c r="R76" s="8"/>
    </row>
    <row r="77" spans="1:18" ht="15.75" x14ac:dyDescent="0.25">
      <c r="A77" s="30" t="s">
        <v>42</v>
      </c>
      <c r="B77" s="25" t="s">
        <v>43</v>
      </c>
      <c r="C77" s="26" t="s">
        <v>193</v>
      </c>
      <c r="D77" s="4"/>
      <c r="E77" s="4"/>
      <c r="F77" s="4"/>
      <c r="G77" s="4"/>
      <c r="H77" s="4">
        <v>0</v>
      </c>
      <c r="I77" s="4"/>
      <c r="J77" s="4">
        <v>290</v>
      </c>
      <c r="K77" s="4">
        <v>185</v>
      </c>
      <c r="L77" s="4">
        <v>21200</v>
      </c>
      <c r="M77" s="4"/>
      <c r="N77" s="4"/>
      <c r="O77" s="3">
        <v>21400</v>
      </c>
      <c r="P77" s="7">
        <v>21400</v>
      </c>
      <c r="Q77" s="8"/>
      <c r="R77" s="8"/>
    </row>
    <row r="78" spans="1:18" x14ac:dyDescent="0.25">
      <c r="O78" s="5"/>
    </row>
    <row r="79" spans="1:18" x14ac:dyDescent="0.25">
      <c r="O79" s="5"/>
    </row>
    <row r="80" spans="1:18" x14ac:dyDescent="0.25">
      <c r="O80" s="5"/>
    </row>
    <row r="81" spans="15:15" x14ac:dyDescent="0.25">
      <c r="O81" s="5"/>
    </row>
    <row r="82" spans="15:15" x14ac:dyDescent="0.25">
      <c r="O82" s="5"/>
    </row>
    <row r="83" spans="15:15" x14ac:dyDescent="0.25">
      <c r="O83" s="5"/>
    </row>
    <row r="84" spans="15:15" x14ac:dyDescent="0.25">
      <c r="O84" s="5"/>
    </row>
    <row r="85" spans="15:15" x14ac:dyDescent="0.25">
      <c r="O85" s="5"/>
    </row>
    <row r="86" spans="15:15" x14ac:dyDescent="0.25">
      <c r="O86" s="5"/>
    </row>
    <row r="87" spans="15:15" x14ac:dyDescent="0.25">
      <c r="O87" s="5"/>
    </row>
    <row r="88" spans="15:15" x14ac:dyDescent="0.25">
      <c r="O88" s="5"/>
    </row>
    <row r="89" spans="15:15" x14ac:dyDescent="0.25">
      <c r="O89" s="5"/>
    </row>
    <row r="90" spans="15:15" x14ac:dyDescent="0.25">
      <c r="O90" s="5"/>
    </row>
    <row r="91" spans="15:15" x14ac:dyDescent="0.25">
      <c r="O91" s="5"/>
    </row>
    <row r="92" spans="15:15" x14ac:dyDescent="0.25">
      <c r="O92" s="5"/>
    </row>
    <row r="93" spans="15:15" x14ac:dyDescent="0.25">
      <c r="O93" s="5"/>
    </row>
    <row r="94" spans="15:15" x14ac:dyDescent="0.25">
      <c r="O94" s="5"/>
    </row>
    <row r="95" spans="15:15" x14ac:dyDescent="0.25">
      <c r="O95" s="5"/>
    </row>
    <row r="96" spans="15:15" x14ac:dyDescent="0.25">
      <c r="O96" s="5"/>
    </row>
    <row r="97" spans="15:15" x14ac:dyDescent="0.25">
      <c r="O97" s="5"/>
    </row>
    <row r="98" spans="15:15" x14ac:dyDescent="0.25">
      <c r="O98" s="5"/>
    </row>
    <row r="99" spans="15:15" x14ac:dyDescent="0.25">
      <c r="O99" s="5"/>
    </row>
    <row r="100" spans="15:15" x14ac:dyDescent="0.25">
      <c r="O100" s="5"/>
    </row>
    <row r="101" spans="15:15" x14ac:dyDescent="0.25">
      <c r="O101" s="5"/>
    </row>
    <row r="102" spans="15:15" x14ac:dyDescent="0.25">
      <c r="O102" s="5"/>
    </row>
    <row r="103" spans="15:15" x14ac:dyDescent="0.25">
      <c r="O103" s="5"/>
    </row>
    <row r="104" spans="15:15" x14ac:dyDescent="0.25">
      <c r="O104" s="5"/>
    </row>
    <row r="105" spans="15:15" x14ac:dyDescent="0.25">
      <c r="O105" s="5"/>
    </row>
    <row r="106" spans="15:15" x14ac:dyDescent="0.25">
      <c r="O106" s="5"/>
    </row>
    <row r="107" spans="15:15" x14ac:dyDescent="0.25">
      <c r="O107" s="5"/>
    </row>
    <row r="108" spans="15:15" x14ac:dyDescent="0.25">
      <c r="O108" s="5"/>
    </row>
    <row r="109" spans="15:15" x14ac:dyDescent="0.25">
      <c r="O109" s="5"/>
    </row>
    <row r="110" spans="15:15" x14ac:dyDescent="0.25">
      <c r="O110" s="5"/>
    </row>
    <row r="111" spans="15:15" x14ac:dyDescent="0.25">
      <c r="O111" s="5"/>
    </row>
    <row r="112" spans="15:15" x14ac:dyDescent="0.25">
      <c r="O112" s="5"/>
    </row>
    <row r="113" spans="15:15" x14ac:dyDescent="0.25">
      <c r="O113" s="5"/>
    </row>
    <row r="114" spans="15:15" x14ac:dyDescent="0.25">
      <c r="O114" s="5"/>
    </row>
    <row r="115" spans="15:15" x14ac:dyDescent="0.25">
      <c r="O115" s="5"/>
    </row>
    <row r="116" spans="15:15" x14ac:dyDescent="0.25">
      <c r="O116" s="5"/>
    </row>
    <row r="117" spans="15:15" x14ac:dyDescent="0.25">
      <c r="O117" s="5"/>
    </row>
    <row r="118" spans="15:15" x14ac:dyDescent="0.25">
      <c r="O118" s="5"/>
    </row>
    <row r="119" spans="15:15" x14ac:dyDescent="0.25">
      <c r="O119" s="5"/>
    </row>
    <row r="120" spans="15:15" x14ac:dyDescent="0.25">
      <c r="O120" s="5"/>
    </row>
    <row r="121" spans="15:15" x14ac:dyDescent="0.25">
      <c r="O121" s="5"/>
    </row>
    <row r="122" spans="15:15" x14ac:dyDescent="0.25">
      <c r="O122" s="5"/>
    </row>
    <row r="123" spans="15:15" x14ac:dyDescent="0.25">
      <c r="O123" s="5"/>
    </row>
    <row r="124" spans="15:15" x14ac:dyDescent="0.25">
      <c r="O124" s="5"/>
    </row>
    <row r="125" spans="15:15" x14ac:dyDescent="0.25">
      <c r="O125" s="5"/>
    </row>
    <row r="126" spans="15:15" x14ac:dyDescent="0.25">
      <c r="O126" s="5"/>
    </row>
    <row r="127" spans="15:15" x14ac:dyDescent="0.25">
      <c r="O127" s="5"/>
    </row>
    <row r="128" spans="15:15" x14ac:dyDescent="0.25">
      <c r="O128" s="5"/>
    </row>
    <row r="129" spans="15:15" x14ac:dyDescent="0.25">
      <c r="O129" s="5"/>
    </row>
    <row r="130" spans="15:15" x14ac:dyDescent="0.25">
      <c r="O130" s="5"/>
    </row>
    <row r="131" spans="15:15" x14ac:dyDescent="0.25">
      <c r="O131" s="5"/>
    </row>
    <row r="132" spans="15:15" x14ac:dyDescent="0.25">
      <c r="O132" s="5"/>
    </row>
    <row r="133" spans="15:15" x14ac:dyDescent="0.25">
      <c r="O133" s="5"/>
    </row>
    <row r="134" spans="15:15" x14ac:dyDescent="0.25">
      <c r="O134" s="5"/>
    </row>
    <row r="135" spans="15:15" x14ac:dyDescent="0.25">
      <c r="O135" s="5"/>
    </row>
    <row r="136" spans="15:15" x14ac:dyDescent="0.25">
      <c r="O136" s="5"/>
    </row>
    <row r="137" spans="15:15" x14ac:dyDescent="0.25">
      <c r="O137" s="5"/>
    </row>
    <row r="138" spans="15:15" x14ac:dyDescent="0.25">
      <c r="O138" s="5"/>
    </row>
    <row r="139" spans="15:15" x14ac:dyDescent="0.25">
      <c r="O139" s="5"/>
    </row>
    <row r="140" spans="15:15" x14ac:dyDescent="0.25">
      <c r="O140" s="5"/>
    </row>
    <row r="141" spans="15:15" x14ac:dyDescent="0.25">
      <c r="O141" s="5"/>
    </row>
    <row r="142" spans="15:15" x14ac:dyDescent="0.25">
      <c r="O142" s="5"/>
    </row>
    <row r="143" spans="15:15" x14ac:dyDescent="0.25">
      <c r="O143" s="5"/>
    </row>
    <row r="144" spans="15:15" x14ac:dyDescent="0.25">
      <c r="O144" s="5"/>
    </row>
    <row r="145" spans="15:15" x14ac:dyDescent="0.25">
      <c r="O145" s="5"/>
    </row>
    <row r="146" spans="15:15" x14ac:dyDescent="0.25">
      <c r="O146" s="5"/>
    </row>
    <row r="147" spans="15:15" x14ac:dyDescent="0.25">
      <c r="O147" s="5"/>
    </row>
    <row r="148" spans="15:15" x14ac:dyDescent="0.25">
      <c r="O148" s="5"/>
    </row>
    <row r="149" spans="15:15" x14ac:dyDescent="0.25">
      <c r="O149" s="5"/>
    </row>
    <row r="150" spans="15:15" x14ac:dyDescent="0.25">
      <c r="O150" s="5"/>
    </row>
    <row r="151" spans="15:15" x14ac:dyDescent="0.25">
      <c r="O151" s="5"/>
    </row>
    <row r="152" spans="15:15" x14ac:dyDescent="0.25">
      <c r="O152" s="5"/>
    </row>
    <row r="153" spans="15:15" x14ac:dyDescent="0.25">
      <c r="O153" s="5"/>
    </row>
    <row r="154" spans="15:15" x14ac:dyDescent="0.25">
      <c r="O154" s="5"/>
    </row>
    <row r="155" spans="15:15" x14ac:dyDescent="0.25">
      <c r="O155" s="5"/>
    </row>
    <row r="156" spans="15:15" x14ac:dyDescent="0.25">
      <c r="O156" s="5"/>
    </row>
    <row r="157" spans="15:15" x14ac:dyDescent="0.25">
      <c r="O157" s="5"/>
    </row>
    <row r="158" spans="15:15" x14ac:dyDescent="0.25">
      <c r="O158" s="5"/>
    </row>
    <row r="159" spans="15:15" x14ac:dyDescent="0.25">
      <c r="O159" s="5"/>
    </row>
    <row r="160" spans="15:15" x14ac:dyDescent="0.25">
      <c r="O160" s="5"/>
    </row>
    <row r="161" spans="15:15" x14ac:dyDescent="0.25">
      <c r="O161" s="5"/>
    </row>
    <row r="162" spans="15:15" x14ac:dyDescent="0.25">
      <c r="O162" s="5"/>
    </row>
    <row r="163" spans="15:15" x14ac:dyDescent="0.25">
      <c r="O163" s="5"/>
    </row>
    <row r="164" spans="15:15" x14ac:dyDescent="0.25">
      <c r="O164" s="5"/>
    </row>
    <row r="165" spans="15:15" x14ac:dyDescent="0.25">
      <c r="O165" s="5"/>
    </row>
    <row r="166" spans="15:15" x14ac:dyDescent="0.25">
      <c r="O166" s="5"/>
    </row>
    <row r="167" spans="15:15" x14ac:dyDescent="0.25">
      <c r="O167" s="5"/>
    </row>
    <row r="168" spans="15:15" x14ac:dyDescent="0.25">
      <c r="O168" s="5"/>
    </row>
    <row r="169" spans="15:15" x14ac:dyDescent="0.25">
      <c r="O169" s="5"/>
    </row>
    <row r="170" spans="15:15" x14ac:dyDescent="0.25">
      <c r="O170" s="5"/>
    </row>
    <row r="171" spans="15:15" x14ac:dyDescent="0.25">
      <c r="O171" s="5"/>
    </row>
    <row r="172" spans="15:15" x14ac:dyDescent="0.25">
      <c r="O172" s="5"/>
    </row>
    <row r="173" spans="15:15" x14ac:dyDescent="0.25">
      <c r="O173" s="5"/>
    </row>
    <row r="174" spans="15:15" x14ac:dyDescent="0.25">
      <c r="O174" s="5"/>
    </row>
    <row r="175" spans="15:15" x14ac:dyDescent="0.25">
      <c r="O175" s="5"/>
    </row>
    <row r="176" spans="15:15" x14ac:dyDescent="0.25">
      <c r="O176" s="5"/>
    </row>
    <row r="177" spans="15:15" x14ac:dyDescent="0.25">
      <c r="O177" s="5"/>
    </row>
    <row r="178" spans="15:15" x14ac:dyDescent="0.25">
      <c r="O178" s="5"/>
    </row>
    <row r="179" spans="15:15" x14ac:dyDescent="0.25">
      <c r="O179" s="5"/>
    </row>
    <row r="180" spans="15:15" x14ac:dyDescent="0.25">
      <c r="O180" s="5"/>
    </row>
    <row r="181" spans="15:15" x14ac:dyDescent="0.25">
      <c r="O181" s="5"/>
    </row>
    <row r="182" spans="15:15" x14ac:dyDescent="0.25">
      <c r="O182" s="5"/>
    </row>
    <row r="183" spans="15:15" x14ac:dyDescent="0.25">
      <c r="O183" s="5"/>
    </row>
    <row r="184" spans="15:15" x14ac:dyDescent="0.25">
      <c r="O184" s="5"/>
    </row>
    <row r="185" spans="15:15" x14ac:dyDescent="0.25">
      <c r="O185" s="5"/>
    </row>
    <row r="186" spans="15:15" x14ac:dyDescent="0.25">
      <c r="O186" s="5"/>
    </row>
    <row r="187" spans="15:15" x14ac:dyDescent="0.25">
      <c r="O187" s="5"/>
    </row>
    <row r="188" spans="15:15" x14ac:dyDescent="0.25">
      <c r="O188" s="5"/>
    </row>
    <row r="189" spans="15:15" x14ac:dyDescent="0.25">
      <c r="O189" s="5"/>
    </row>
    <row r="190" spans="15:15" x14ac:dyDescent="0.25">
      <c r="O190" s="5"/>
    </row>
    <row r="191" spans="15:15" x14ac:dyDescent="0.25">
      <c r="O191" s="5"/>
    </row>
    <row r="192" spans="15:15" x14ac:dyDescent="0.25">
      <c r="O192" s="5"/>
    </row>
    <row r="193" spans="15:15" x14ac:dyDescent="0.25">
      <c r="O193" s="5"/>
    </row>
    <row r="194" spans="15:15" x14ac:dyDescent="0.25">
      <c r="O194" s="5"/>
    </row>
    <row r="195" spans="15:15" x14ac:dyDescent="0.25">
      <c r="O195" s="5"/>
    </row>
    <row r="196" spans="15:15" x14ac:dyDescent="0.25">
      <c r="O196" s="5"/>
    </row>
    <row r="197" spans="15:15" x14ac:dyDescent="0.25">
      <c r="O197" s="5"/>
    </row>
    <row r="198" spans="15:15" x14ac:dyDescent="0.25">
      <c r="O198" s="5"/>
    </row>
    <row r="199" spans="15:15" x14ac:dyDescent="0.25">
      <c r="O199" s="5"/>
    </row>
    <row r="200" spans="15:15" x14ac:dyDescent="0.25">
      <c r="O200" s="5"/>
    </row>
    <row r="201" spans="15:15" x14ac:dyDescent="0.25">
      <c r="O201" s="5"/>
    </row>
    <row r="202" spans="15:15" x14ac:dyDescent="0.25">
      <c r="O202" s="5"/>
    </row>
    <row r="203" spans="15:15" x14ac:dyDescent="0.25">
      <c r="O203" s="5"/>
    </row>
    <row r="204" spans="15:15" x14ac:dyDescent="0.25">
      <c r="O204" s="5"/>
    </row>
    <row r="205" spans="15:15" x14ac:dyDescent="0.25">
      <c r="O205" s="5"/>
    </row>
    <row r="206" spans="15:15" x14ac:dyDescent="0.25">
      <c r="O206" s="5"/>
    </row>
    <row r="207" spans="15:15" x14ac:dyDescent="0.25">
      <c r="O207" s="5"/>
    </row>
    <row r="208" spans="15:15" x14ac:dyDescent="0.25">
      <c r="O208" s="5"/>
    </row>
    <row r="209" spans="15:15" x14ac:dyDescent="0.25">
      <c r="O209" s="5"/>
    </row>
    <row r="210" spans="15:15" x14ac:dyDescent="0.25">
      <c r="O210" s="5"/>
    </row>
    <row r="211" spans="15:15" x14ac:dyDescent="0.25">
      <c r="O211" s="5"/>
    </row>
    <row r="212" spans="15:15" x14ac:dyDescent="0.25">
      <c r="O212" s="5"/>
    </row>
    <row r="213" spans="15:15" x14ac:dyDescent="0.25">
      <c r="O213" s="5"/>
    </row>
    <row r="214" spans="15:15" x14ac:dyDescent="0.25">
      <c r="O214" s="5"/>
    </row>
    <row r="215" spans="15:15" x14ac:dyDescent="0.25">
      <c r="O215" s="5"/>
    </row>
    <row r="216" spans="15:15" x14ac:dyDescent="0.25">
      <c r="O216" s="5"/>
    </row>
    <row r="217" spans="15:15" x14ac:dyDescent="0.25">
      <c r="O217" s="5"/>
    </row>
    <row r="218" spans="15:15" x14ac:dyDescent="0.25">
      <c r="O218" s="5"/>
    </row>
    <row r="219" spans="15:15" x14ac:dyDescent="0.25">
      <c r="O219" s="5"/>
    </row>
    <row r="220" spans="15:15" x14ac:dyDescent="0.25">
      <c r="O220" s="5"/>
    </row>
    <row r="221" spans="15:15" x14ac:dyDescent="0.25">
      <c r="O221" s="5"/>
    </row>
    <row r="222" spans="15:15" x14ac:dyDescent="0.25">
      <c r="O222" s="5"/>
    </row>
    <row r="223" spans="15:15" x14ac:dyDescent="0.25">
      <c r="O223" s="5"/>
    </row>
    <row r="224" spans="15:15" x14ac:dyDescent="0.25">
      <c r="O224" s="5"/>
    </row>
    <row r="225" spans="15:15" x14ac:dyDescent="0.25">
      <c r="O225" s="5"/>
    </row>
    <row r="226" spans="15:15" x14ac:dyDescent="0.25">
      <c r="O226" s="5"/>
    </row>
    <row r="227" spans="15:15" x14ac:dyDescent="0.25">
      <c r="O227" s="5"/>
    </row>
    <row r="228" spans="15:15" x14ac:dyDescent="0.25">
      <c r="O228" s="5"/>
    </row>
    <row r="229" spans="15:15" x14ac:dyDescent="0.25">
      <c r="O229" s="5"/>
    </row>
    <row r="230" spans="15:15" x14ac:dyDescent="0.25">
      <c r="O230" s="5"/>
    </row>
    <row r="231" spans="15:15" x14ac:dyDescent="0.25">
      <c r="O231" s="5"/>
    </row>
    <row r="232" spans="15:15" x14ac:dyDescent="0.25">
      <c r="O232" s="5"/>
    </row>
    <row r="233" spans="15:15" x14ac:dyDescent="0.25">
      <c r="O233" s="5"/>
    </row>
    <row r="234" spans="15:15" x14ac:dyDescent="0.25">
      <c r="O234" s="5"/>
    </row>
    <row r="235" spans="15:15" x14ac:dyDescent="0.25">
      <c r="O235" s="5"/>
    </row>
    <row r="236" spans="15:15" x14ac:dyDescent="0.25">
      <c r="O236" s="5"/>
    </row>
    <row r="237" spans="15:15" x14ac:dyDescent="0.25">
      <c r="O237" s="5"/>
    </row>
    <row r="238" spans="15:15" x14ac:dyDescent="0.25">
      <c r="O238" s="5"/>
    </row>
    <row r="239" spans="15:15" x14ac:dyDescent="0.25">
      <c r="O239" s="5"/>
    </row>
    <row r="240" spans="15:15" x14ac:dyDescent="0.25">
      <c r="O240" s="5"/>
    </row>
    <row r="241" spans="15:15" x14ac:dyDescent="0.25">
      <c r="O241" s="5"/>
    </row>
    <row r="242" spans="15:15" x14ac:dyDescent="0.25">
      <c r="O242" s="5"/>
    </row>
    <row r="243" spans="15:15" x14ac:dyDescent="0.25">
      <c r="O243" s="5"/>
    </row>
    <row r="244" spans="15:15" x14ac:dyDescent="0.25">
      <c r="O244" s="5"/>
    </row>
    <row r="245" spans="15:15" x14ac:dyDescent="0.25">
      <c r="O245" s="5"/>
    </row>
    <row r="246" spans="15:15" x14ac:dyDescent="0.25">
      <c r="O246" s="5"/>
    </row>
    <row r="247" spans="15:15" x14ac:dyDescent="0.25">
      <c r="O247" s="5"/>
    </row>
    <row r="248" spans="15:15" x14ac:dyDescent="0.25">
      <c r="O248" s="5"/>
    </row>
    <row r="249" spans="15:15" x14ac:dyDescent="0.25">
      <c r="O249" s="5"/>
    </row>
    <row r="250" spans="15:15" x14ac:dyDescent="0.25">
      <c r="O250" s="5"/>
    </row>
    <row r="251" spans="15:15" x14ac:dyDescent="0.25">
      <c r="O251" s="5"/>
    </row>
    <row r="252" spans="15:15" x14ac:dyDescent="0.25">
      <c r="O252" s="5"/>
    </row>
    <row r="253" spans="15:15" x14ac:dyDescent="0.25">
      <c r="O253" s="5"/>
    </row>
    <row r="254" spans="15:15" x14ac:dyDescent="0.25">
      <c r="O254" s="5"/>
    </row>
    <row r="255" spans="15:15" x14ac:dyDescent="0.25">
      <c r="O255" s="5"/>
    </row>
    <row r="256" spans="15:15" x14ac:dyDescent="0.25">
      <c r="O256" s="5"/>
    </row>
    <row r="257" spans="15:15" x14ac:dyDescent="0.25">
      <c r="O257" s="5"/>
    </row>
    <row r="258" spans="15:15" x14ac:dyDescent="0.25">
      <c r="O258" s="5"/>
    </row>
    <row r="259" spans="15:15" x14ac:dyDescent="0.25">
      <c r="O259" s="5"/>
    </row>
    <row r="260" spans="15:15" x14ac:dyDescent="0.25">
      <c r="O260" s="5"/>
    </row>
    <row r="261" spans="15:15" x14ac:dyDescent="0.25">
      <c r="O261" s="5"/>
    </row>
    <row r="262" spans="15:15" x14ac:dyDescent="0.25">
      <c r="O262" s="5"/>
    </row>
    <row r="263" spans="15:15" x14ac:dyDescent="0.25">
      <c r="O263" s="5"/>
    </row>
    <row r="264" spans="15:15" x14ac:dyDescent="0.25">
      <c r="O264" s="5"/>
    </row>
    <row r="265" spans="15:15" x14ac:dyDescent="0.25">
      <c r="O265" s="5"/>
    </row>
    <row r="266" spans="15:15" x14ac:dyDescent="0.25">
      <c r="O266" s="5"/>
    </row>
    <row r="267" spans="15:15" x14ac:dyDescent="0.25">
      <c r="O267" s="5"/>
    </row>
    <row r="268" spans="15:15" x14ac:dyDescent="0.25">
      <c r="O268" s="5"/>
    </row>
    <row r="269" spans="15:15" x14ac:dyDescent="0.25">
      <c r="O269" s="5"/>
    </row>
    <row r="270" spans="15:15" x14ac:dyDescent="0.25">
      <c r="O270" s="5"/>
    </row>
    <row r="271" spans="15:15" x14ac:dyDescent="0.25">
      <c r="O271" s="5"/>
    </row>
    <row r="272" spans="15:15" x14ac:dyDescent="0.25">
      <c r="O272" s="5"/>
    </row>
    <row r="273" spans="15:15" x14ac:dyDescent="0.25">
      <c r="O273" s="5"/>
    </row>
  </sheetData>
  <mergeCells count="6">
    <mergeCell ref="C56:O56"/>
    <mergeCell ref="P56:R56"/>
    <mergeCell ref="C39:O39"/>
    <mergeCell ref="P39:R39"/>
    <mergeCell ref="C1:O1"/>
    <mergeCell ref="P1:R1"/>
  </mergeCells>
  <dataValidations count="1">
    <dataValidation type="list" allowBlank="1" showInputMessage="1" showErrorMessage="1" sqref="B3:B37 B41:B55 B58:B77" xr:uid="{983EE847-52F0-4B2E-8416-F96EEC3344A3}">
      <formula1>INDIRECT(A3)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</vt:lpstr>
      <vt:lpstr>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2026-07-20T11:01:40Z</dcterms:created>
  <dcterms:modified xsi:type="dcterms:W3CDTF">2026-07-21T04:49:52Z</dcterms:modified>
</cp:coreProperties>
</file>