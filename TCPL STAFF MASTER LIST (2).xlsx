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9F1F39D-356B-4C46-A17F-F879260F84E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LL MASTER" sheetId="1" r:id="rId1"/>
    <sheet name="RAJARHAT" sheetId="4" r:id="rId2"/>
    <sheet name="MINIMUM WAGES" sheetId="2" r:id="rId3"/>
    <sheet name="Sheet3" sheetId="3" r:id="rId4"/>
  </sheets>
  <definedNames>
    <definedName name="_xlnm._FilterDatabase" localSheetId="0" hidden="1">'ALL MASTER'!$A$5:$U$126</definedName>
    <definedName name="_xlnm._FilterDatabase" localSheetId="1" hidden="1">RAJARHAT!$A$5:$T$58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5" i="4" l="1"/>
  <c r="J116" i="4" s="1"/>
  <c r="K116" i="4"/>
  <c r="I116" i="4"/>
  <c r="H116" i="4"/>
  <c r="G116" i="4"/>
  <c r="M115" i="4"/>
  <c r="L115" i="4"/>
  <c r="N115" i="4" s="1"/>
  <c r="M114" i="4"/>
  <c r="L114" i="4"/>
  <c r="N114" i="4" s="1"/>
  <c r="L113" i="4"/>
  <c r="N113" i="4" s="1"/>
  <c r="M112" i="4"/>
  <c r="L112" i="4"/>
  <c r="N112" i="4" s="1"/>
  <c r="M111" i="4"/>
  <c r="L111" i="4"/>
  <c r="N111" i="4" s="1"/>
  <c r="M110" i="4"/>
  <c r="L110" i="4"/>
  <c r="N110" i="4" s="1"/>
  <c r="L109" i="4"/>
  <c r="N109" i="4" s="1"/>
  <c r="M108" i="4"/>
  <c r="L108" i="4"/>
  <c r="N108" i="4" s="1"/>
  <c r="L107" i="4"/>
  <c r="N107" i="4" s="1"/>
  <c r="M106" i="4"/>
  <c r="L106" i="4"/>
  <c r="N106" i="4" s="1"/>
  <c r="M105" i="4"/>
  <c r="L105" i="4"/>
  <c r="N105" i="4" s="1"/>
  <c r="L104" i="4"/>
  <c r="N104" i="4" s="1"/>
  <c r="L103" i="4"/>
  <c r="N103" i="4" s="1"/>
  <c r="M102" i="4"/>
  <c r="L102" i="4"/>
  <c r="N102" i="4" s="1"/>
  <c r="M101" i="4"/>
  <c r="L101" i="4"/>
  <c r="N101" i="4" s="1"/>
  <c r="L100" i="4"/>
  <c r="N100" i="4" s="1"/>
  <c r="L99" i="4"/>
  <c r="N99" i="4" s="1"/>
  <c r="L98" i="4"/>
  <c r="N98" i="4" s="1"/>
  <c r="M97" i="4"/>
  <c r="L97" i="4"/>
  <c r="N97" i="4" s="1"/>
  <c r="N96" i="4"/>
  <c r="M96" i="4"/>
  <c r="L96" i="4"/>
  <c r="M95" i="4"/>
  <c r="L95" i="4"/>
  <c r="N95" i="4" s="1"/>
  <c r="M94" i="4"/>
  <c r="L94" i="4"/>
  <c r="N94" i="4" s="1"/>
  <c r="N93" i="4"/>
  <c r="M93" i="4"/>
  <c r="L93" i="4"/>
  <c r="L92" i="4"/>
  <c r="N92" i="4" s="1"/>
  <c r="L91" i="4"/>
  <c r="N91" i="4" s="1"/>
  <c r="L90" i="4"/>
  <c r="N90" i="4" s="1"/>
  <c r="M89" i="4"/>
  <c r="L89" i="4"/>
  <c r="N89" i="4" s="1"/>
  <c r="M88" i="4"/>
  <c r="L88" i="4"/>
  <c r="N88" i="4" s="1"/>
  <c r="M87" i="4"/>
  <c r="L87" i="4"/>
  <c r="N87" i="4" s="1"/>
  <c r="M86" i="4"/>
  <c r="L86" i="4"/>
  <c r="N86" i="4" s="1"/>
  <c r="M85" i="4"/>
  <c r="L85" i="4"/>
  <c r="N85" i="4" s="1"/>
  <c r="M84" i="4"/>
  <c r="L84" i="4"/>
  <c r="N84" i="4" s="1"/>
  <c r="M83" i="4"/>
  <c r="L83" i="4"/>
  <c r="N83" i="4" s="1"/>
  <c r="M82" i="4"/>
  <c r="L82" i="4"/>
  <c r="N82" i="4" s="1"/>
  <c r="L81" i="4"/>
  <c r="N81" i="4" s="1"/>
  <c r="M80" i="4"/>
  <c r="L80" i="4"/>
  <c r="M79" i="4"/>
  <c r="L79" i="4"/>
  <c r="N79" i="4" s="1"/>
  <c r="M78" i="4"/>
  <c r="L78" i="4"/>
  <c r="M77" i="4"/>
  <c r="L77" i="4"/>
  <c r="M76" i="4"/>
  <c r="L76" i="4"/>
  <c r="N76" i="4" s="1"/>
  <c r="M75" i="4"/>
  <c r="L75" i="4"/>
  <c r="N75" i="4" s="1"/>
  <c r="N74" i="4"/>
  <c r="M74" i="4"/>
  <c r="L74" i="4"/>
  <c r="M73" i="4"/>
  <c r="L73" i="4"/>
  <c r="N73" i="4" s="1"/>
  <c r="M72" i="4"/>
  <c r="L72" i="4"/>
  <c r="N72" i="4" s="1"/>
  <c r="M71" i="4"/>
  <c r="L71" i="4"/>
  <c r="M70" i="4"/>
  <c r="L70" i="4"/>
  <c r="N70" i="4" s="1"/>
  <c r="M69" i="4"/>
  <c r="L69" i="4"/>
  <c r="N69" i="4" s="1"/>
  <c r="M68" i="4"/>
  <c r="L68" i="4"/>
  <c r="M67" i="4"/>
  <c r="L67" i="4"/>
  <c r="M66" i="4"/>
  <c r="L66" i="4"/>
  <c r="M65" i="4"/>
  <c r="G58" i="4"/>
  <c r="K58" i="4"/>
  <c r="J58" i="4"/>
  <c r="I58" i="4"/>
  <c r="H58" i="4"/>
  <c r="P57" i="4"/>
  <c r="Q57" i="4" s="1"/>
  <c r="M57" i="4"/>
  <c r="L57" i="4"/>
  <c r="N57" i="4" s="1"/>
  <c r="P56" i="4"/>
  <c r="Q56" i="4" s="1"/>
  <c r="M56" i="4"/>
  <c r="L56" i="4"/>
  <c r="N56" i="4" s="1"/>
  <c r="P55" i="4"/>
  <c r="Q55" i="4" s="1"/>
  <c r="L55" i="4"/>
  <c r="N55" i="4" s="1"/>
  <c r="P54" i="4"/>
  <c r="Q54" i="4" s="1"/>
  <c r="M54" i="4"/>
  <c r="L54" i="4"/>
  <c r="N54" i="4" s="1"/>
  <c r="P53" i="4"/>
  <c r="Q53" i="4" s="1"/>
  <c r="M53" i="4"/>
  <c r="L53" i="4"/>
  <c r="N53" i="4" s="1"/>
  <c r="P52" i="4"/>
  <c r="Q52" i="4" s="1"/>
  <c r="M52" i="4"/>
  <c r="L52" i="4"/>
  <c r="N52" i="4" s="1"/>
  <c r="P51" i="4"/>
  <c r="Q51" i="4" s="1"/>
  <c r="L51" i="4"/>
  <c r="N51" i="4" s="1"/>
  <c r="P50" i="4"/>
  <c r="Q50" i="4" s="1"/>
  <c r="M50" i="4"/>
  <c r="L50" i="4"/>
  <c r="N50" i="4" s="1"/>
  <c r="P49" i="4"/>
  <c r="Q49" i="4" s="1"/>
  <c r="L49" i="4"/>
  <c r="N49" i="4" s="1"/>
  <c r="P48" i="4"/>
  <c r="Q48" i="4" s="1"/>
  <c r="M48" i="4"/>
  <c r="L48" i="4"/>
  <c r="N48" i="4" s="1"/>
  <c r="P47" i="4"/>
  <c r="Q47" i="4" s="1"/>
  <c r="M47" i="4"/>
  <c r="L47" i="4"/>
  <c r="N47" i="4" s="1"/>
  <c r="P46" i="4"/>
  <c r="Q46" i="4" s="1"/>
  <c r="L46" i="4"/>
  <c r="N46" i="4" s="1"/>
  <c r="P45" i="4"/>
  <c r="Q45" i="4" s="1"/>
  <c r="L45" i="4"/>
  <c r="N45" i="4" s="1"/>
  <c r="P44" i="4"/>
  <c r="Q44" i="4" s="1"/>
  <c r="M44" i="4"/>
  <c r="L44" i="4"/>
  <c r="N44" i="4" s="1"/>
  <c r="P43" i="4"/>
  <c r="Q43" i="4" s="1"/>
  <c r="M43" i="4"/>
  <c r="L43" i="4"/>
  <c r="N43" i="4" s="1"/>
  <c r="P42" i="4"/>
  <c r="Q42" i="4" s="1"/>
  <c r="L42" i="4"/>
  <c r="N42" i="4" s="1"/>
  <c r="P41" i="4"/>
  <c r="Q41" i="4" s="1"/>
  <c r="L41" i="4"/>
  <c r="N41" i="4" s="1"/>
  <c r="P40" i="4"/>
  <c r="Q40" i="4" s="1"/>
  <c r="L40" i="4"/>
  <c r="N40" i="4" s="1"/>
  <c r="P39" i="4"/>
  <c r="Q39" i="4" s="1"/>
  <c r="M39" i="4"/>
  <c r="L39" i="4"/>
  <c r="N39" i="4" s="1"/>
  <c r="P38" i="4"/>
  <c r="Q38" i="4" s="1"/>
  <c r="M38" i="4"/>
  <c r="L38" i="4"/>
  <c r="N38" i="4" s="1"/>
  <c r="P37" i="4"/>
  <c r="Q37" i="4" s="1"/>
  <c r="M37" i="4"/>
  <c r="L37" i="4"/>
  <c r="N37" i="4" s="1"/>
  <c r="P36" i="4"/>
  <c r="Q36" i="4" s="1"/>
  <c r="M36" i="4"/>
  <c r="L36" i="4"/>
  <c r="N36" i="4" s="1"/>
  <c r="P35" i="4"/>
  <c r="Q35" i="4" s="1"/>
  <c r="M35" i="4"/>
  <c r="L35" i="4"/>
  <c r="N35" i="4" s="1"/>
  <c r="P34" i="4"/>
  <c r="Q34" i="4" s="1"/>
  <c r="L34" i="4"/>
  <c r="N34" i="4" s="1"/>
  <c r="P33" i="4"/>
  <c r="Q33" i="4" s="1"/>
  <c r="L33" i="4"/>
  <c r="N33" i="4" s="1"/>
  <c r="P32" i="4"/>
  <c r="Q32" i="4" s="1"/>
  <c r="L32" i="4"/>
  <c r="N32" i="4" s="1"/>
  <c r="P31" i="4"/>
  <c r="Q31" i="4" s="1"/>
  <c r="M31" i="4"/>
  <c r="L31" i="4"/>
  <c r="N31" i="4" s="1"/>
  <c r="P30" i="4"/>
  <c r="Q30" i="4" s="1"/>
  <c r="M30" i="4"/>
  <c r="L30" i="4"/>
  <c r="N30" i="4" s="1"/>
  <c r="P29" i="4"/>
  <c r="Q29" i="4" s="1"/>
  <c r="M29" i="4"/>
  <c r="L29" i="4"/>
  <c r="N29" i="4" s="1"/>
  <c r="P28" i="4"/>
  <c r="Q28" i="4" s="1"/>
  <c r="M28" i="4"/>
  <c r="L28" i="4"/>
  <c r="N28" i="4" s="1"/>
  <c r="P27" i="4"/>
  <c r="Q27" i="4" s="1"/>
  <c r="M27" i="4"/>
  <c r="L27" i="4"/>
  <c r="N27" i="4" s="1"/>
  <c r="P26" i="4"/>
  <c r="Q26" i="4" s="1"/>
  <c r="M26" i="4"/>
  <c r="L26" i="4"/>
  <c r="N26" i="4" s="1"/>
  <c r="P25" i="4"/>
  <c r="Q25" i="4" s="1"/>
  <c r="M25" i="4"/>
  <c r="L25" i="4"/>
  <c r="N25" i="4" s="1"/>
  <c r="P24" i="4"/>
  <c r="Q24" i="4" s="1"/>
  <c r="M24" i="4"/>
  <c r="L24" i="4"/>
  <c r="N24" i="4" s="1"/>
  <c r="P23" i="4"/>
  <c r="Q23" i="4" s="1"/>
  <c r="L23" i="4"/>
  <c r="N23" i="4" s="1"/>
  <c r="P22" i="4"/>
  <c r="Q22" i="4" s="1"/>
  <c r="M22" i="4"/>
  <c r="L22" i="4"/>
  <c r="P21" i="4"/>
  <c r="Q21" i="4" s="1"/>
  <c r="M21" i="4"/>
  <c r="L21" i="4"/>
  <c r="N21" i="4" s="1"/>
  <c r="P20" i="4"/>
  <c r="Q20" i="4" s="1"/>
  <c r="M20" i="4"/>
  <c r="L20" i="4"/>
  <c r="P19" i="4"/>
  <c r="Q19" i="4" s="1"/>
  <c r="M19" i="4"/>
  <c r="L19" i="4"/>
  <c r="P18" i="4"/>
  <c r="Q18" i="4" s="1"/>
  <c r="M18" i="4"/>
  <c r="L18" i="4"/>
  <c r="N18" i="4" s="1"/>
  <c r="P17" i="4"/>
  <c r="Q17" i="4" s="1"/>
  <c r="M17" i="4"/>
  <c r="L17" i="4"/>
  <c r="N17" i="4" s="1"/>
  <c r="P16" i="4"/>
  <c r="Q16" i="4" s="1"/>
  <c r="M16" i="4"/>
  <c r="L16" i="4"/>
  <c r="N16" i="4" s="1"/>
  <c r="P15" i="4"/>
  <c r="Q15" i="4" s="1"/>
  <c r="M15" i="4"/>
  <c r="L15" i="4"/>
  <c r="N15" i="4" s="1"/>
  <c r="P14" i="4"/>
  <c r="Q14" i="4" s="1"/>
  <c r="M14" i="4"/>
  <c r="L14" i="4"/>
  <c r="N14" i="4" s="1"/>
  <c r="P13" i="4"/>
  <c r="Q13" i="4" s="1"/>
  <c r="M13" i="4"/>
  <c r="L13" i="4"/>
  <c r="P12" i="4"/>
  <c r="Q12" i="4" s="1"/>
  <c r="M12" i="4"/>
  <c r="L12" i="4"/>
  <c r="N12" i="4" s="1"/>
  <c r="P11" i="4"/>
  <c r="Q11" i="4" s="1"/>
  <c r="M11" i="4"/>
  <c r="L11" i="4"/>
  <c r="N11" i="4" s="1"/>
  <c r="P10" i="4"/>
  <c r="Q10" i="4" s="1"/>
  <c r="M10" i="4"/>
  <c r="L10" i="4"/>
  <c r="P9" i="4"/>
  <c r="Q9" i="4" s="1"/>
  <c r="M9" i="4"/>
  <c r="L9" i="4"/>
  <c r="P8" i="4"/>
  <c r="Q8" i="4" s="1"/>
  <c r="M8" i="4"/>
  <c r="L8" i="4"/>
  <c r="P7" i="4"/>
  <c r="Q7" i="4" s="1"/>
  <c r="M7" i="4"/>
  <c r="L7" i="4"/>
  <c r="N7" i="4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7" i="1"/>
  <c r="L126" i="1"/>
  <c r="K126" i="1"/>
  <c r="J126" i="1"/>
  <c r="I126" i="1"/>
  <c r="H126" i="1"/>
  <c r="G126" i="1"/>
  <c r="F126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M117" i="1"/>
  <c r="M116" i="1"/>
  <c r="M115" i="1"/>
  <c r="M114" i="1"/>
  <c r="N113" i="1"/>
  <c r="M113" i="1"/>
  <c r="M112" i="1"/>
  <c r="O111" i="1"/>
  <c r="N111" i="1"/>
  <c r="M111" i="1"/>
  <c r="M110" i="1"/>
  <c r="N109" i="1"/>
  <c r="M109" i="1"/>
  <c r="O108" i="1"/>
  <c r="N108" i="1"/>
  <c r="M108" i="1"/>
  <c r="M107" i="1"/>
  <c r="N106" i="1"/>
  <c r="M106" i="1"/>
  <c r="N105" i="1"/>
  <c r="M105" i="1"/>
  <c r="N104" i="1"/>
  <c r="M104" i="1"/>
  <c r="M103" i="1"/>
  <c r="O103" i="1" s="1"/>
  <c r="M102" i="1"/>
  <c r="O102" i="1" s="1"/>
  <c r="M101" i="1"/>
  <c r="O101" i="1" s="1"/>
  <c r="M100" i="1"/>
  <c r="O100" i="1" s="1"/>
  <c r="N99" i="1"/>
  <c r="M99" i="1"/>
  <c r="O99" i="1" s="1"/>
  <c r="M98" i="1"/>
  <c r="O98" i="1" s="1"/>
  <c r="M97" i="1"/>
  <c r="O97" i="1" s="1"/>
  <c r="N96" i="1"/>
  <c r="M96" i="1"/>
  <c r="O96" i="1" s="1"/>
  <c r="M95" i="1"/>
  <c r="O95" i="1" s="1"/>
  <c r="M94" i="1"/>
  <c r="O94" i="1" s="1"/>
  <c r="M93" i="1"/>
  <c r="O93" i="1" s="1"/>
  <c r="M92" i="1"/>
  <c r="O92" i="1" s="1"/>
  <c r="N91" i="1"/>
  <c r="M91" i="1"/>
  <c r="O91" i="1" s="1"/>
  <c r="N90" i="1"/>
  <c r="M90" i="1"/>
  <c r="O90" i="1" s="1"/>
  <c r="M89" i="1"/>
  <c r="O89" i="1" s="1"/>
  <c r="M88" i="1"/>
  <c r="O88" i="1" s="1"/>
  <c r="N87" i="1"/>
  <c r="M87" i="1"/>
  <c r="O87" i="1" s="1"/>
  <c r="M86" i="1"/>
  <c r="O86" i="1" s="1"/>
  <c r="N85" i="1"/>
  <c r="M85" i="1"/>
  <c r="O85" i="1" s="1"/>
  <c r="N84" i="1"/>
  <c r="M84" i="1"/>
  <c r="O84" i="1" s="1"/>
  <c r="M83" i="1"/>
  <c r="N82" i="1"/>
  <c r="M82" i="1"/>
  <c r="O82" i="1" s="1"/>
  <c r="N81" i="1"/>
  <c r="M81" i="1"/>
  <c r="O81" i="1" s="1"/>
  <c r="N80" i="1"/>
  <c r="M80" i="1"/>
  <c r="O80" i="1" s="1"/>
  <c r="M79" i="1"/>
  <c r="O79" i="1" s="1"/>
  <c r="N78" i="1"/>
  <c r="M78" i="1"/>
  <c r="O78" i="1" s="1"/>
  <c r="N77" i="1"/>
  <c r="M77" i="1"/>
  <c r="O77" i="1" s="1"/>
  <c r="N76" i="1"/>
  <c r="M76" i="1"/>
  <c r="O76" i="1" s="1"/>
  <c r="N75" i="1"/>
  <c r="M75" i="1"/>
  <c r="O75" i="1" s="1"/>
  <c r="N74" i="1"/>
  <c r="M74" i="1"/>
  <c r="O74" i="1" s="1"/>
  <c r="M73" i="1"/>
  <c r="O73" i="1" s="1"/>
  <c r="N72" i="1"/>
  <c r="M72" i="1"/>
  <c r="O72" i="1" s="1"/>
  <c r="M71" i="1"/>
  <c r="O71" i="1" s="1"/>
  <c r="M70" i="1"/>
  <c r="O70" i="1" s="1"/>
  <c r="M69" i="1"/>
  <c r="O69" i="1" s="1"/>
  <c r="M68" i="1"/>
  <c r="O68" i="1" s="1"/>
  <c r="M67" i="1"/>
  <c r="O67" i="1" s="1"/>
  <c r="N66" i="1"/>
  <c r="M66" i="1"/>
  <c r="O66" i="1" s="1"/>
  <c r="N65" i="1"/>
  <c r="M65" i="1"/>
  <c r="O65" i="1" s="1"/>
  <c r="N64" i="1"/>
  <c r="M64" i="1"/>
  <c r="O64" i="1" s="1"/>
  <c r="N63" i="1"/>
  <c r="M63" i="1"/>
  <c r="O63" i="1" s="1"/>
  <c r="N62" i="1"/>
  <c r="M62" i="1"/>
  <c r="O62" i="1" s="1"/>
  <c r="N61" i="1"/>
  <c r="M61" i="1"/>
  <c r="O61" i="1" s="1"/>
  <c r="M60" i="1"/>
  <c r="N59" i="1"/>
  <c r="M59" i="1"/>
  <c r="N58" i="1"/>
  <c r="M58" i="1"/>
  <c r="O58" i="1" s="1"/>
  <c r="N57" i="1"/>
  <c r="M57" i="1"/>
  <c r="O57" i="1" s="1"/>
  <c r="N56" i="1"/>
  <c r="M56" i="1"/>
  <c r="O56" i="1" s="1"/>
  <c r="M55" i="1"/>
  <c r="O55" i="1" s="1"/>
  <c r="N54" i="1"/>
  <c r="M54" i="1"/>
  <c r="O54" i="1" s="1"/>
  <c r="N53" i="1"/>
  <c r="M53" i="1"/>
  <c r="O53" i="1" s="1"/>
  <c r="N52" i="1"/>
  <c r="M52" i="1"/>
  <c r="O52" i="1" s="1"/>
  <c r="M51" i="1"/>
  <c r="O51" i="1" s="1"/>
  <c r="N50" i="1"/>
  <c r="M50" i="1"/>
  <c r="O50" i="1" s="1"/>
  <c r="M49" i="1"/>
  <c r="O49" i="1" s="1"/>
  <c r="N48" i="1"/>
  <c r="M48" i="1"/>
  <c r="O48" i="1" s="1"/>
  <c r="N47" i="1"/>
  <c r="M47" i="1"/>
  <c r="O47" i="1" s="1"/>
  <c r="M46" i="1"/>
  <c r="O46" i="1" s="1"/>
  <c r="M45" i="1"/>
  <c r="O45" i="1" s="1"/>
  <c r="N44" i="1"/>
  <c r="M44" i="1"/>
  <c r="O44" i="1" s="1"/>
  <c r="N43" i="1"/>
  <c r="M43" i="1"/>
  <c r="O43" i="1" s="1"/>
  <c r="M42" i="1"/>
  <c r="O42" i="1" s="1"/>
  <c r="M41" i="1"/>
  <c r="O41" i="1" s="1"/>
  <c r="M40" i="1"/>
  <c r="O40" i="1" s="1"/>
  <c r="N39" i="1"/>
  <c r="M39" i="1"/>
  <c r="O39" i="1" s="1"/>
  <c r="N38" i="1"/>
  <c r="M38" i="1"/>
  <c r="O38" i="1" s="1"/>
  <c r="N37" i="1"/>
  <c r="M37" i="1"/>
  <c r="O37" i="1" s="1"/>
  <c r="N36" i="1"/>
  <c r="M36" i="1"/>
  <c r="O36" i="1" s="1"/>
  <c r="N35" i="1"/>
  <c r="M35" i="1"/>
  <c r="O35" i="1" s="1"/>
  <c r="M34" i="1"/>
  <c r="O34" i="1" s="1"/>
  <c r="M33" i="1"/>
  <c r="O33" i="1" s="1"/>
  <c r="M32" i="1"/>
  <c r="O32" i="1" s="1"/>
  <c r="N31" i="1"/>
  <c r="M31" i="1"/>
  <c r="O31" i="1" s="1"/>
  <c r="N30" i="1"/>
  <c r="M30" i="1"/>
  <c r="O30" i="1" s="1"/>
  <c r="N29" i="1"/>
  <c r="M29" i="1"/>
  <c r="O29" i="1" s="1"/>
  <c r="N28" i="1"/>
  <c r="M28" i="1"/>
  <c r="O28" i="1" s="1"/>
  <c r="N27" i="1"/>
  <c r="M27" i="1"/>
  <c r="O27" i="1" s="1"/>
  <c r="N26" i="1"/>
  <c r="M26" i="1"/>
  <c r="O26" i="1" s="1"/>
  <c r="N25" i="1"/>
  <c r="M25" i="1"/>
  <c r="O25" i="1" s="1"/>
  <c r="N24" i="1"/>
  <c r="M24" i="1"/>
  <c r="O24" i="1" s="1"/>
  <c r="M23" i="1"/>
  <c r="O23" i="1" s="1"/>
  <c r="N22" i="1"/>
  <c r="M22" i="1"/>
  <c r="N21" i="1"/>
  <c r="M21" i="1"/>
  <c r="O21" i="1" s="1"/>
  <c r="N20" i="1"/>
  <c r="M20" i="1"/>
  <c r="N19" i="1"/>
  <c r="M19" i="1"/>
  <c r="N18" i="1"/>
  <c r="M18" i="1"/>
  <c r="O18" i="1" s="1"/>
  <c r="N17" i="1"/>
  <c r="M17" i="1"/>
  <c r="O17" i="1" s="1"/>
  <c r="N16" i="1"/>
  <c r="M16" i="1"/>
  <c r="O16" i="1" s="1"/>
  <c r="N15" i="1"/>
  <c r="M15" i="1"/>
  <c r="O15" i="1" s="1"/>
  <c r="N14" i="1"/>
  <c r="M14" i="1"/>
  <c r="O14" i="1" s="1"/>
  <c r="N13" i="1"/>
  <c r="M13" i="1"/>
  <c r="N12" i="1"/>
  <c r="M12" i="1"/>
  <c r="O12" i="1" s="1"/>
  <c r="N11" i="1"/>
  <c r="M11" i="1"/>
  <c r="O11" i="1" s="1"/>
  <c r="N10" i="1"/>
  <c r="M10" i="1"/>
  <c r="N9" i="1"/>
  <c r="M9" i="1"/>
  <c r="N8" i="1"/>
  <c r="M8" i="1"/>
  <c r="N7" i="1"/>
  <c r="M7" i="1"/>
  <c r="O7" i="1" s="1"/>
  <c r="L65" i="4" l="1"/>
  <c r="N65" i="4" s="1"/>
  <c r="L116" i="4"/>
  <c r="M116" i="4"/>
  <c r="N116" i="4"/>
  <c r="M58" i="4"/>
  <c r="P58" i="4"/>
  <c r="N58" i="4"/>
  <c r="L58" i="4"/>
  <c r="Q126" i="1"/>
  <c r="R7" i="1"/>
  <c r="N126" i="1"/>
  <c r="O126" i="1"/>
  <c r="M126" i="1"/>
</calcChain>
</file>

<file path=xl/sharedStrings.xml><?xml version="1.0" encoding="utf-8"?>
<sst xmlns="http://schemas.openxmlformats.org/spreadsheetml/2006/main" count="1384" uniqueCount="288">
  <si>
    <t>TRANS CONCRETE PVT LTD</t>
  </si>
  <si>
    <t>ALL STAFF SALARY &amp; WAGES MASTER LIST</t>
  </si>
  <si>
    <t>SL. NO</t>
  </si>
  <si>
    <t>EMP.
CODE</t>
  </si>
  <si>
    <t>LOCATION</t>
  </si>
  <si>
    <t>CATEGORY</t>
  </si>
  <si>
    <t>NAME</t>
  </si>
  <si>
    <t>BASIC RATE</t>
  </si>
  <si>
    <t>HRA</t>
  </si>
  <si>
    <t>FOOD</t>
  </si>
  <si>
    <t>EDU.</t>
  </si>
  <si>
    <t>CONV.</t>
  </si>
  <si>
    <t xml:space="preserve">TOTAL </t>
  </si>
  <si>
    <t>PERFORMANCE BONUS</t>
  </si>
  <si>
    <t>GROSS TOTAL</t>
  </si>
  <si>
    <t>PF</t>
  </si>
  <si>
    <t>ESI</t>
  </si>
  <si>
    <t>TC 0005</t>
  </si>
  <si>
    <t>RAJARHAT</t>
  </si>
  <si>
    <t>OFFICE STAFF</t>
  </si>
  <si>
    <t>ABED ALI</t>
  </si>
  <si>
    <t>TC 0003</t>
  </si>
  <si>
    <t>ABHI MUKHERJEE</t>
  </si>
  <si>
    <t>TC 0001</t>
  </si>
  <si>
    <t>ACHIN GUPTA</t>
  </si>
  <si>
    <t>TC 0006</t>
  </si>
  <si>
    <t>AMIN YADAV (BADRI)</t>
  </si>
  <si>
    <t>TC 0185</t>
  </si>
  <si>
    <t>ANOWAR MOLLA</t>
  </si>
  <si>
    <t>TC 0260</t>
  </si>
  <si>
    <t>DIBAKAR MONDAL</t>
  </si>
  <si>
    <t>TC 0122</t>
  </si>
  <si>
    <t xml:space="preserve">GOLAM SARWAR </t>
  </si>
  <si>
    <t>TC 0205</t>
  </si>
  <si>
    <t>IMAN ALI MOLLA</t>
  </si>
  <si>
    <t>TC 0024</t>
  </si>
  <si>
    <t>PULIN MONDAL</t>
  </si>
  <si>
    <t>TC 0040</t>
  </si>
  <si>
    <t>RAJU PAL</t>
  </si>
  <si>
    <t>TC 0032</t>
  </si>
  <si>
    <t>UJJAL MUKHERJEE</t>
  </si>
  <si>
    <t>TC 0271</t>
  </si>
  <si>
    <t>PROBIR GHOSH (O)</t>
  </si>
  <si>
    <t>TC 0367</t>
  </si>
  <si>
    <t>NABA KUMAR  BISWAS</t>
  </si>
  <si>
    <t>TC 0213</t>
  </si>
  <si>
    <t>ASIM KHUNTIA</t>
  </si>
  <si>
    <t>TC 0398</t>
  </si>
  <si>
    <t>MANABINDU BISWAS</t>
  </si>
  <si>
    <t>TC 0411</t>
  </si>
  <si>
    <t>SUVANKAR SAMADDAR</t>
  </si>
  <si>
    <t>TC 0179</t>
  </si>
  <si>
    <t>DRIVER</t>
  </si>
  <si>
    <t xml:space="preserve">ANISUR </t>
  </si>
  <si>
    <t>TC 0047</t>
  </si>
  <si>
    <t>ARJUN KR. RAI</t>
  </si>
  <si>
    <t>TC 0074</t>
  </si>
  <si>
    <t xml:space="preserve">ARMAN ALI MONDAL </t>
  </si>
  <si>
    <t>TC 0187</t>
  </si>
  <si>
    <t>HELPER</t>
  </si>
  <si>
    <t>ASUTOSH SARDAR</t>
  </si>
  <si>
    <t>TC 0222</t>
  </si>
  <si>
    <t>LAB TECHNICIAN</t>
  </si>
  <si>
    <t>BUDDHADEV SEAL</t>
  </si>
  <si>
    <t>TC 0361</t>
  </si>
  <si>
    <t xml:space="preserve">FARUK ALI </t>
  </si>
  <si>
    <t>TC 0219</t>
  </si>
  <si>
    <t>HOPPER</t>
  </si>
  <si>
    <t>KUTUBUDDIN MOLLA</t>
  </si>
  <si>
    <t>TC 0391</t>
  </si>
  <si>
    <t>OTHERS</t>
  </si>
  <si>
    <t>MD. SAMIM AKRAM (JCB DEIVER)</t>
  </si>
  <si>
    <t>TC 0051</t>
  </si>
  <si>
    <t>MOTIAR RAHAMAN</t>
  </si>
  <si>
    <t>TC 0431</t>
  </si>
  <si>
    <t>MOKSHED ALI</t>
  </si>
  <si>
    <t>TC 0143</t>
  </si>
  <si>
    <t xml:space="preserve">SAMSER ALI </t>
  </si>
  <si>
    <t>TC 0412</t>
  </si>
  <si>
    <t>SHANTI  MONDAL</t>
  </si>
  <si>
    <t>TC 0072</t>
  </si>
  <si>
    <t xml:space="preserve">SIRAJUL  MOLLA  </t>
  </si>
  <si>
    <t>TC 0076</t>
  </si>
  <si>
    <t>SK. ANARUL ISLAM</t>
  </si>
  <si>
    <t>TC 0014</t>
  </si>
  <si>
    <t>SRISTI DHAR MONDAL</t>
  </si>
  <si>
    <t>TC 0109</t>
  </si>
  <si>
    <t>SUDHAN MONDAL</t>
  </si>
  <si>
    <t>TC 0023</t>
  </si>
  <si>
    <t>SWAPAN MONDAL</t>
  </si>
  <si>
    <t>TC 0432</t>
  </si>
  <si>
    <t>MOSIAR MOLLA</t>
  </si>
  <si>
    <t>TC 0427</t>
  </si>
  <si>
    <t>ISRAFIL DHALI</t>
  </si>
  <si>
    <t>TC 0420</t>
  </si>
  <si>
    <t>ROUF MONDAL</t>
  </si>
  <si>
    <t>TC 0390</t>
  </si>
  <si>
    <t>KANAK JANA</t>
  </si>
  <si>
    <t>TC 0362</t>
  </si>
  <si>
    <t>SOUMEN GARAI</t>
  </si>
  <si>
    <t>TC 0428</t>
  </si>
  <si>
    <t>ASHOK MONDAL</t>
  </si>
  <si>
    <t>TC 0395</t>
  </si>
  <si>
    <t>ANSWAR ALI MOLLA</t>
  </si>
  <si>
    <t>TC 0421</t>
  </si>
  <si>
    <t>MOMINUL HAQUE</t>
  </si>
  <si>
    <t>TC 0422</t>
  </si>
  <si>
    <t>EKRAMUL ALI</t>
  </si>
  <si>
    <t>TC 0433</t>
  </si>
  <si>
    <t>JULFIKAR DHALI</t>
  </si>
  <si>
    <t>TC 0413</t>
  </si>
  <si>
    <t>SUPRAKASH SAMANTO</t>
  </si>
  <si>
    <t>TC 0434</t>
  </si>
  <si>
    <t>TANMOY MONDAL</t>
  </si>
  <si>
    <t>TC 0414</t>
  </si>
  <si>
    <t>ALOK MONDAL</t>
  </si>
  <si>
    <t>TC 0415</t>
  </si>
  <si>
    <t>RAJESH BAR</t>
  </si>
  <si>
    <t>TC 0429</t>
  </si>
  <si>
    <t>BIKRAM ROY</t>
  </si>
  <si>
    <t>TC 0435</t>
  </si>
  <si>
    <t>JITU MAHALI</t>
  </si>
  <si>
    <t>TC 0430</t>
  </si>
  <si>
    <t>MILAN RUIDAS</t>
  </si>
  <si>
    <t>TC 0227</t>
  </si>
  <si>
    <t>BABLU MONDAL (L)</t>
  </si>
  <si>
    <t>TC 0200</t>
  </si>
  <si>
    <t>JALAN</t>
  </si>
  <si>
    <t>BISWAJIT GUCHHAIT(TM)</t>
  </si>
  <si>
    <t>TC 0092</t>
  </si>
  <si>
    <t>DEBASIS DAS</t>
  </si>
  <si>
    <t>TC 0290</t>
  </si>
  <si>
    <t>SUSANTA ROY (LAB)</t>
  </si>
  <si>
    <t>TC 0004</t>
  </si>
  <si>
    <t>KUNDAN KUMAR</t>
  </si>
  <si>
    <t>TC 0181</t>
  </si>
  <si>
    <t>SANTOSH KUMAR MAHALI</t>
  </si>
  <si>
    <t>TC 0194</t>
  </si>
  <si>
    <t>KOUSHIK JANA</t>
  </si>
  <si>
    <t>TC 0317</t>
  </si>
  <si>
    <t>MILON SADHUKAN (STORE)</t>
  </si>
  <si>
    <t>TC 0389</t>
  </si>
  <si>
    <t>KOUSHIK POREL</t>
  </si>
  <si>
    <t>TC 0346</t>
  </si>
  <si>
    <t>AMIT MAITY(LAB)</t>
  </si>
  <si>
    <t>TC 0314</t>
  </si>
  <si>
    <t>AMIYO KUMAR ROY (D)</t>
  </si>
  <si>
    <t>TC 0136</t>
  </si>
  <si>
    <t>ARUN KUMAR SINGH  (D)</t>
  </si>
  <si>
    <t>TC 0403</t>
  </si>
  <si>
    <t>DESHBANDHU MANDOL (D)</t>
  </si>
  <si>
    <t>TC 0218</t>
  </si>
  <si>
    <t>BIKASH SOREN (D)</t>
  </si>
  <si>
    <t>TC 0138</t>
  </si>
  <si>
    <t>GOUTAM PATRA (D)</t>
  </si>
  <si>
    <t>TC 0344</t>
  </si>
  <si>
    <t>LAXMIKANTA MAHALI(H)</t>
  </si>
  <si>
    <t>TC 0157</t>
  </si>
  <si>
    <t>PRADIP ROY (D)</t>
  </si>
  <si>
    <t>TC 0356</t>
  </si>
  <si>
    <t>RAGHUNATH MAHALI (H)</t>
  </si>
  <si>
    <t>TC 0238</t>
  </si>
  <si>
    <t>RAJDOT ROY(H)</t>
  </si>
  <si>
    <t>TC 0326</t>
  </si>
  <si>
    <t>SAJAL MONDAL (H)</t>
  </si>
  <si>
    <t>TC 0268</t>
  </si>
  <si>
    <t>SUMAN MAITY(LAB)</t>
  </si>
  <si>
    <t>TC 0360</t>
  </si>
  <si>
    <t>JAYDEB MONDAL (L)</t>
  </si>
  <si>
    <t>TC 0402</t>
  </si>
  <si>
    <t>GOUTAM BAURI (D)</t>
  </si>
  <si>
    <t>TC 0301</t>
  </si>
  <si>
    <t>TARATALA</t>
  </si>
  <si>
    <t>ARJUN KR. PRASAD</t>
  </si>
  <si>
    <t>TC 0175</t>
  </si>
  <si>
    <t>TARAPADA BERA</t>
  </si>
  <si>
    <t>TC 0375</t>
  </si>
  <si>
    <t>SOMNATH NASKAR</t>
  </si>
  <si>
    <t>TC 0410</t>
  </si>
  <si>
    <t xml:space="preserve">GOUTAM DHAR </t>
  </si>
  <si>
    <t>TC 0319</t>
  </si>
  <si>
    <t>JAYANTA KUNDU</t>
  </si>
  <si>
    <t>TC 0408</t>
  </si>
  <si>
    <t>RAHUL BHALLA</t>
  </si>
  <si>
    <t>TC 0285</t>
  </si>
  <si>
    <t>JOYDEB DUTTA</t>
  </si>
  <si>
    <t>TC 0251</t>
  </si>
  <si>
    <t>SHYAMAL BUXI (WELDER)</t>
  </si>
  <si>
    <t>TC 0376</t>
  </si>
  <si>
    <t>PINTU KUMAR RAY</t>
  </si>
  <si>
    <t>TC 0416</t>
  </si>
  <si>
    <t>RANJIT SAH</t>
  </si>
  <si>
    <t>TC 0335</t>
  </si>
  <si>
    <t>CHANDAN ROY</t>
  </si>
  <si>
    <t>TC 0377</t>
  </si>
  <si>
    <t>KAUSHAL KUMAR</t>
  </si>
  <si>
    <t>TC 0417</t>
  </si>
  <si>
    <t>SAMIR (K)</t>
  </si>
  <si>
    <t>TC 0369</t>
  </si>
  <si>
    <t>SAMIR ROY</t>
  </si>
  <si>
    <t>TC 0381</t>
  </si>
  <si>
    <t>SANJAY SINGH</t>
  </si>
  <si>
    <t>TC 0373</t>
  </si>
  <si>
    <t>SRIKANTA BOURI</t>
  </si>
  <si>
    <t>TC 0407</t>
  </si>
  <si>
    <t>SUBRATA NANDY</t>
  </si>
  <si>
    <t>TC 0177</t>
  </si>
  <si>
    <t>SURENDAR PASWAN</t>
  </si>
  <si>
    <t>TC 0425</t>
  </si>
  <si>
    <t>TAPAS KUMAR MAJHI</t>
  </si>
  <si>
    <t>TC 0409</t>
  </si>
  <si>
    <t>SADHAN BAURI</t>
  </si>
  <si>
    <t>TC 0418</t>
  </si>
  <si>
    <t>ANIL KR SAH</t>
  </si>
  <si>
    <t>TC 0405</t>
  </si>
  <si>
    <t>UJJWAL SINGHA</t>
  </si>
  <si>
    <t>TC 0426</t>
  </si>
  <si>
    <t>RAJIB GHARUI</t>
  </si>
  <si>
    <t>TC 0370</t>
  </si>
  <si>
    <t>RAMBHAJAN</t>
  </si>
  <si>
    <t>TC 0012</t>
  </si>
  <si>
    <t>HEAD OFFICE</t>
  </si>
  <si>
    <t>HO OFFICE STAFF</t>
  </si>
  <si>
    <t>KRISHNA CH. DAS</t>
  </si>
  <si>
    <t>TC 0013</t>
  </si>
  <si>
    <t>VIVEK GOSSAIN</t>
  </si>
  <si>
    <t>TC 0081</t>
  </si>
  <si>
    <t>ALOKE KUNDU</t>
  </si>
  <si>
    <t>TC 0085</t>
  </si>
  <si>
    <t>GOUTAM DHARA</t>
  </si>
  <si>
    <t>TC 0089</t>
  </si>
  <si>
    <t>RABINDRA NATH BASU</t>
  </si>
  <si>
    <t>TC 0090</t>
  </si>
  <si>
    <t>SOUMEN DAS</t>
  </si>
  <si>
    <t>TC 0082</t>
  </si>
  <si>
    <t>LOKENATH KUNDU</t>
  </si>
  <si>
    <t>TC 0186</t>
  </si>
  <si>
    <t>AMAL KRISHNA DEB</t>
  </si>
  <si>
    <t>TC 0214</t>
  </si>
  <si>
    <t>SYED JAWED AHMED</t>
  </si>
  <si>
    <t>TC 0289</t>
  </si>
  <si>
    <t>SIBASISH DHAR</t>
  </si>
  <si>
    <t>TC 0232</t>
  </si>
  <si>
    <t>MOHENDRA DAN</t>
  </si>
  <si>
    <t>TC 0124</t>
  </si>
  <si>
    <t>PRADIP DAS</t>
  </si>
  <si>
    <t>TC 0366</t>
  </si>
  <si>
    <t>DEBANGSU KUMAR DAS</t>
  </si>
  <si>
    <t>TC 0278</t>
  </si>
  <si>
    <t>ANUJ KUMAR</t>
  </si>
  <si>
    <t>TC 0384</t>
  </si>
  <si>
    <t>RAJU DAS</t>
  </si>
  <si>
    <t>TC 0146</t>
  </si>
  <si>
    <t>RAGHAB CHANDRA DAS</t>
  </si>
  <si>
    <t>TC 0147</t>
  </si>
  <si>
    <t>SANKAR  YADAV</t>
  </si>
  <si>
    <t>TC 0148</t>
  </si>
  <si>
    <t>RAJESH VARMA</t>
  </si>
  <si>
    <t>TC 0149</t>
  </si>
  <si>
    <t>YOGENDRA YADAV</t>
  </si>
  <si>
    <t>TC 0399</t>
  </si>
  <si>
    <t>ANUSHMITA MONDAL</t>
  </si>
  <si>
    <t>TC 0400</t>
  </si>
  <si>
    <t>SASWATI KAR</t>
  </si>
  <si>
    <t>TC 0404</t>
  </si>
  <si>
    <t>PRALAY SAHA</t>
  </si>
  <si>
    <t>TOTAL</t>
  </si>
  <si>
    <t>of Gross</t>
  </si>
  <si>
    <t>Under EPF_Considering_GrossSalary_50%</t>
  </si>
  <si>
    <t>EPF  Covered_Existing_Compliance</t>
  </si>
  <si>
    <t>Minimum wages need to be maintained</t>
  </si>
  <si>
    <t>Excluded_Form 11 required in r/o. all Excluded employees</t>
  </si>
  <si>
    <t>50% rule may be applied _Excluded_maintained all Drivers under single policy</t>
  </si>
  <si>
    <t>Remarks for EPF</t>
  </si>
  <si>
    <t>Remarks for ESI</t>
  </si>
  <si>
    <t>Under ESI_Considering_42K_50%</t>
  </si>
  <si>
    <t>Out of Coverage</t>
  </si>
  <si>
    <t>Out of Coverage_considering_EPF_ER_Share</t>
  </si>
  <si>
    <t>Perviously_under ESI_Considering_GrossSalary_50%</t>
  </si>
  <si>
    <t>Previously_under EPF_Considering_GrossSalary_50%</t>
  </si>
  <si>
    <t>ESI Covered_Existing_Compliance</t>
  </si>
  <si>
    <t>Other Remarks</t>
  </si>
  <si>
    <t>Wage Rates for Zone A</t>
  </si>
  <si>
    <t>(Areas under Municipal Corporations, Municipalities, Notified Areas, Development Authorities, and Thermal Power Plant/Township areas) [1]</t>
  </si>
  <si>
    <r>
      <t>Unskilled:</t>
    </r>
    <r>
      <rPr>
        <sz val="12"/>
        <color theme="1"/>
        <rFont val="Arial"/>
        <family val="2"/>
      </rPr>
      <t xml:space="preserve"> ₹10,558 per month / ₹406 per day</t>
    </r>
  </si>
  <si>
    <r>
      <t>Semi-Skilled:</t>
    </r>
    <r>
      <rPr>
        <sz val="12"/>
        <color theme="1"/>
        <rFont val="Arial"/>
        <family val="2"/>
      </rPr>
      <t xml:space="preserve"> ₹11,615 per month / ₹447 per day</t>
    </r>
  </si>
  <si>
    <r>
      <t>Skilled:</t>
    </r>
    <r>
      <rPr>
        <sz val="12"/>
        <color theme="1"/>
        <rFont val="Arial"/>
        <family val="2"/>
      </rPr>
      <t xml:space="preserve"> ₹12,777 per month / ₹491 per day</t>
    </r>
  </si>
  <si>
    <r>
      <t>Highly Skilled:</t>
    </r>
    <r>
      <rPr>
        <sz val="12"/>
        <color theme="1"/>
        <rFont val="Arial"/>
        <family val="2"/>
      </rPr>
      <t xml:space="preserve"> ₹14,054 per month / ₹541 per day [1, 2]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</si>
</sst>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/>
    <xf numFmtId="2" fontId="6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7" fillId="0" borderId="4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8" fillId="0" borderId="0" xfId="0" applyFont="1" applyAlignment="1">
      <alignment vertical="center"/>
    </xf>
    <xf numFmtId="0" fontId="11" fillId="0" borderId="0" xfId="1" applyAlignment="1">
      <alignment vertical="center"/>
    </xf>
    <xf numFmtId="0" fontId="10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gcms.com/regulatory-updates/minimum-rate-of-wages-west-bengal-july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26"/>
  <sheetViews>
    <sheetView workbookViewId="0">
      <selection activeCell="E20" sqref="E20"/>
    </sheetView>
  </sheetViews>
  <sheetFormatPr defaultRowHeight="15" x14ac:dyDescent="0.25"/>
  <cols>
    <col min="2" max="2" width="11.42578125" bestFit="1" customWidth="1"/>
    <col min="3" max="3" width="12.42578125" bestFit="1" customWidth="1"/>
    <col min="4" max="4" width="16.140625" bestFit="1" customWidth="1"/>
    <col min="5" max="5" width="30.5703125" bestFit="1" customWidth="1"/>
    <col min="6" max="6" width="11.85546875" bestFit="1" customWidth="1"/>
    <col min="7" max="8" width="10.7109375" bestFit="1" customWidth="1"/>
    <col min="9" max="10" width="9.5703125" bestFit="1" customWidth="1"/>
    <col min="11" max="11" width="11.85546875" bestFit="1" customWidth="1"/>
    <col min="12" max="12" width="16.28515625" customWidth="1"/>
    <col min="13" max="13" width="13" bestFit="1" customWidth="1"/>
    <col min="14" max="15" width="9.5703125" bestFit="1" customWidth="1"/>
    <col min="17" max="17" width="11.5703125" bestFit="1" customWidth="1"/>
    <col min="18" max="18" width="9.28515625" bestFit="1" customWidth="1"/>
    <col min="19" max="19" width="69.140625" customWidth="1"/>
    <col min="20" max="20" width="64.85546875" customWidth="1"/>
    <col min="21" max="21" width="33.42578125" bestFit="1" customWidth="1"/>
  </cols>
  <sheetData>
    <row r="2" spans="1:21" ht="23.25" x14ac:dyDescent="0.3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21" ht="18.75" x14ac:dyDescent="0.3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T3">
        <v>7000</v>
      </c>
    </row>
    <row r="4" spans="1:21" ht="17.25" customHeight="1" x14ac:dyDescent="0.25"/>
    <row r="5" spans="1:21" x14ac:dyDescent="0.25">
      <c r="A5" s="20" t="s">
        <v>2</v>
      </c>
      <c r="B5" s="21" t="s">
        <v>3</v>
      </c>
      <c r="C5" s="20" t="s">
        <v>4</v>
      </c>
      <c r="D5" s="20" t="s">
        <v>5</v>
      </c>
      <c r="E5" s="20" t="s">
        <v>6</v>
      </c>
      <c r="F5" s="23" t="s">
        <v>7</v>
      </c>
      <c r="G5" s="23" t="s">
        <v>8</v>
      </c>
      <c r="H5" s="23" t="s">
        <v>9</v>
      </c>
      <c r="I5" s="23" t="s">
        <v>10</v>
      </c>
      <c r="J5" s="23" t="s">
        <v>11</v>
      </c>
      <c r="K5" s="23" t="s">
        <v>12</v>
      </c>
      <c r="L5" s="25" t="s">
        <v>13</v>
      </c>
      <c r="M5" s="26" t="s">
        <v>14</v>
      </c>
      <c r="N5" s="20" t="s">
        <v>15</v>
      </c>
      <c r="O5" s="20" t="s">
        <v>16</v>
      </c>
      <c r="Q5" s="8">
        <v>0.5</v>
      </c>
    </row>
    <row r="6" spans="1:21" x14ac:dyDescent="0.25">
      <c r="A6" s="20"/>
      <c r="B6" s="22"/>
      <c r="C6" s="20"/>
      <c r="D6" s="20"/>
      <c r="E6" s="20"/>
      <c r="F6" s="24"/>
      <c r="G6" s="24"/>
      <c r="H6" s="24"/>
      <c r="I6" s="24"/>
      <c r="J6" s="24"/>
      <c r="K6" s="24"/>
      <c r="L6" s="25"/>
      <c r="M6" s="26"/>
      <c r="N6" s="20"/>
      <c r="O6" s="20"/>
      <c r="Q6" s="9" t="s">
        <v>267</v>
      </c>
      <c r="S6" s="16" t="s">
        <v>273</v>
      </c>
      <c r="T6" s="16" t="s">
        <v>274</v>
      </c>
      <c r="U6" s="17" t="s">
        <v>281</v>
      </c>
    </row>
    <row r="7" spans="1:21" x14ac:dyDescent="0.25">
      <c r="A7" s="1">
        <v>1</v>
      </c>
      <c r="B7" s="2" t="s">
        <v>17</v>
      </c>
      <c r="C7" s="2" t="s">
        <v>18</v>
      </c>
      <c r="D7" s="2" t="s">
        <v>19</v>
      </c>
      <c r="E7" s="2" t="s">
        <v>20</v>
      </c>
      <c r="F7" s="3">
        <v>9125</v>
      </c>
      <c r="G7" s="3">
        <v>6325</v>
      </c>
      <c r="H7" s="3">
        <v>4550</v>
      </c>
      <c r="I7" s="3">
        <v>0</v>
      </c>
      <c r="J7" s="3">
        <v>0</v>
      </c>
      <c r="K7" s="3">
        <v>20000</v>
      </c>
      <c r="L7" s="3">
        <v>0</v>
      </c>
      <c r="M7" s="3">
        <f>K7+L7</f>
        <v>20000</v>
      </c>
      <c r="N7" s="3">
        <f t="shared" ref="N7:N22" si="0">(ROUND(F7*12%,0))</f>
        <v>1095</v>
      </c>
      <c r="O7" s="3">
        <f>(ROUND(M7*0.75%,0))</f>
        <v>150</v>
      </c>
      <c r="Q7">
        <f>ROUND(K7/2,0)</f>
        <v>10000</v>
      </c>
      <c r="R7" s="10">
        <f>F7-Q7</f>
        <v>-875</v>
      </c>
      <c r="S7" s="15" t="s">
        <v>279</v>
      </c>
      <c r="T7" s="15" t="s">
        <v>278</v>
      </c>
      <c r="U7" t="s">
        <v>270</v>
      </c>
    </row>
    <row r="8" spans="1:21" x14ac:dyDescent="0.25">
      <c r="A8" s="1">
        <v>2</v>
      </c>
      <c r="B8" s="2" t="s">
        <v>21</v>
      </c>
      <c r="C8" s="2" t="s">
        <v>18</v>
      </c>
      <c r="D8" s="2" t="s">
        <v>19</v>
      </c>
      <c r="E8" s="2" t="s">
        <v>22</v>
      </c>
      <c r="F8" s="3">
        <v>11100</v>
      </c>
      <c r="G8" s="3">
        <v>8500</v>
      </c>
      <c r="H8" s="3">
        <v>8900</v>
      </c>
      <c r="I8" s="3">
        <v>0</v>
      </c>
      <c r="J8" s="3">
        <v>0</v>
      </c>
      <c r="K8" s="3">
        <v>28500</v>
      </c>
      <c r="L8" s="3">
        <v>0</v>
      </c>
      <c r="M8" s="3">
        <f t="shared" ref="M8:M71" si="1">K8+L8</f>
        <v>28500</v>
      </c>
      <c r="N8" s="3">
        <f t="shared" si="0"/>
        <v>1332</v>
      </c>
      <c r="O8" s="3">
        <v>0</v>
      </c>
      <c r="Q8">
        <f t="shared" ref="Q8:Q71" si="2">ROUND(K8/2,0)</f>
        <v>14250</v>
      </c>
      <c r="R8" s="10">
        <f t="shared" ref="R8:R71" si="3">F8-Q8</f>
        <v>-3150</v>
      </c>
      <c r="S8" s="11" t="s">
        <v>268</v>
      </c>
      <c r="T8" s="11" t="s">
        <v>275</v>
      </c>
    </row>
    <row r="9" spans="1:21" x14ac:dyDescent="0.25">
      <c r="A9" s="1">
        <v>3</v>
      </c>
      <c r="B9" s="2" t="s">
        <v>23</v>
      </c>
      <c r="C9" s="2" t="s">
        <v>18</v>
      </c>
      <c r="D9" s="2" t="s">
        <v>19</v>
      </c>
      <c r="E9" s="2" t="s">
        <v>24</v>
      </c>
      <c r="F9" s="3">
        <v>11700</v>
      </c>
      <c r="G9" s="3">
        <v>6200</v>
      </c>
      <c r="H9" s="3">
        <v>4600</v>
      </c>
      <c r="I9" s="3">
        <v>0</v>
      </c>
      <c r="J9" s="3">
        <v>0</v>
      </c>
      <c r="K9" s="3">
        <v>22500</v>
      </c>
      <c r="L9" s="3">
        <v>0</v>
      </c>
      <c r="M9" s="3">
        <f t="shared" si="1"/>
        <v>22500</v>
      </c>
      <c r="N9" s="3">
        <f t="shared" si="0"/>
        <v>1404</v>
      </c>
      <c r="O9" s="3">
        <v>0</v>
      </c>
      <c r="Q9">
        <f t="shared" si="2"/>
        <v>11250</v>
      </c>
      <c r="R9" s="10">
        <f t="shared" si="3"/>
        <v>450</v>
      </c>
      <c r="S9" s="12" t="s">
        <v>269</v>
      </c>
      <c r="T9" s="11" t="s">
        <v>275</v>
      </c>
    </row>
    <row r="10" spans="1:21" x14ac:dyDescent="0.25">
      <c r="A10" s="1">
        <v>4</v>
      </c>
      <c r="B10" s="2" t="s">
        <v>25</v>
      </c>
      <c r="C10" s="2" t="s">
        <v>18</v>
      </c>
      <c r="D10" s="2" t="s">
        <v>19</v>
      </c>
      <c r="E10" s="2" t="s">
        <v>26</v>
      </c>
      <c r="F10" s="3">
        <v>8200</v>
      </c>
      <c r="G10" s="3">
        <v>8150</v>
      </c>
      <c r="H10" s="3">
        <v>8150</v>
      </c>
      <c r="I10" s="3">
        <v>0</v>
      </c>
      <c r="J10" s="3">
        <v>0</v>
      </c>
      <c r="K10" s="3">
        <v>24500</v>
      </c>
      <c r="L10" s="3">
        <v>0</v>
      </c>
      <c r="M10" s="3">
        <f t="shared" si="1"/>
        <v>24500</v>
      </c>
      <c r="N10" s="3">
        <f t="shared" si="0"/>
        <v>984</v>
      </c>
      <c r="O10" s="3">
        <v>0</v>
      </c>
      <c r="Q10">
        <f t="shared" si="2"/>
        <v>12250</v>
      </c>
      <c r="R10" s="10">
        <f t="shared" si="3"/>
        <v>-4050</v>
      </c>
      <c r="S10" s="11" t="s">
        <v>268</v>
      </c>
      <c r="T10" s="11" t="s">
        <v>275</v>
      </c>
      <c r="U10" t="s">
        <v>270</v>
      </c>
    </row>
    <row r="11" spans="1:21" x14ac:dyDescent="0.25">
      <c r="A11" s="1">
        <v>5</v>
      </c>
      <c r="B11" s="2" t="s">
        <v>27</v>
      </c>
      <c r="C11" s="2" t="s">
        <v>18</v>
      </c>
      <c r="D11" s="2" t="s">
        <v>19</v>
      </c>
      <c r="E11" s="2" t="s">
        <v>28</v>
      </c>
      <c r="F11" s="3">
        <v>7100</v>
      </c>
      <c r="G11" s="3">
        <v>3400</v>
      </c>
      <c r="H11" s="3">
        <v>3500</v>
      </c>
      <c r="I11" s="3">
        <v>0</v>
      </c>
      <c r="J11" s="3">
        <v>0</v>
      </c>
      <c r="K11" s="3">
        <v>14000</v>
      </c>
      <c r="L11" s="3">
        <v>0</v>
      </c>
      <c r="M11" s="3">
        <f t="shared" si="1"/>
        <v>14000</v>
      </c>
      <c r="N11" s="3">
        <f t="shared" si="0"/>
        <v>852</v>
      </c>
      <c r="O11" s="3">
        <f t="shared" ref="O11:O103" si="4">(ROUND(M11*0.75%,0))</f>
        <v>105</v>
      </c>
      <c r="Q11">
        <f t="shared" si="2"/>
        <v>7000</v>
      </c>
      <c r="R11" s="10">
        <f t="shared" si="3"/>
        <v>100</v>
      </c>
      <c r="S11" s="12" t="s">
        <v>269</v>
      </c>
      <c r="T11" s="12" t="s">
        <v>280</v>
      </c>
      <c r="U11" t="s">
        <v>270</v>
      </c>
    </row>
    <row r="12" spans="1:21" x14ac:dyDescent="0.25">
      <c r="A12" s="1">
        <v>6</v>
      </c>
      <c r="B12" s="2" t="s">
        <v>29</v>
      </c>
      <c r="C12" s="2" t="s">
        <v>18</v>
      </c>
      <c r="D12" s="2" t="s">
        <v>19</v>
      </c>
      <c r="E12" s="2" t="s">
        <v>30</v>
      </c>
      <c r="F12" s="3">
        <v>8600</v>
      </c>
      <c r="G12" s="3">
        <v>4950</v>
      </c>
      <c r="H12" s="3">
        <v>4450</v>
      </c>
      <c r="I12" s="3">
        <v>0</v>
      </c>
      <c r="J12" s="3">
        <v>0</v>
      </c>
      <c r="K12" s="3">
        <v>18000</v>
      </c>
      <c r="L12" s="3">
        <v>0</v>
      </c>
      <c r="M12" s="3">
        <f t="shared" si="1"/>
        <v>18000</v>
      </c>
      <c r="N12" s="3">
        <f t="shared" si="0"/>
        <v>1032</v>
      </c>
      <c r="O12" s="3">
        <f t="shared" si="4"/>
        <v>135</v>
      </c>
      <c r="Q12">
        <f t="shared" si="2"/>
        <v>9000</v>
      </c>
      <c r="R12" s="10">
        <f t="shared" si="3"/>
        <v>-400</v>
      </c>
      <c r="S12" s="11" t="s">
        <v>279</v>
      </c>
      <c r="T12" s="11" t="s">
        <v>278</v>
      </c>
      <c r="U12" t="s">
        <v>270</v>
      </c>
    </row>
    <row r="13" spans="1:21" x14ac:dyDescent="0.25">
      <c r="A13" s="1">
        <v>7</v>
      </c>
      <c r="B13" s="2" t="s">
        <v>31</v>
      </c>
      <c r="C13" s="2" t="s">
        <v>18</v>
      </c>
      <c r="D13" s="2" t="s">
        <v>19</v>
      </c>
      <c r="E13" s="2" t="s">
        <v>32</v>
      </c>
      <c r="F13" s="3">
        <v>26000</v>
      </c>
      <c r="G13" s="3">
        <v>0</v>
      </c>
      <c r="H13" s="3">
        <v>0</v>
      </c>
      <c r="I13" s="3">
        <v>0</v>
      </c>
      <c r="J13" s="3">
        <v>0</v>
      </c>
      <c r="K13" s="3">
        <v>26000</v>
      </c>
      <c r="L13" s="3">
        <v>0</v>
      </c>
      <c r="M13" s="3">
        <f t="shared" si="1"/>
        <v>26000</v>
      </c>
      <c r="N13" s="3">
        <f t="shared" si="0"/>
        <v>3120</v>
      </c>
      <c r="O13" s="3">
        <v>0</v>
      </c>
      <c r="Q13">
        <f t="shared" si="2"/>
        <v>13000</v>
      </c>
      <c r="R13" s="10">
        <f t="shared" si="3"/>
        <v>13000</v>
      </c>
      <c r="S13" s="12" t="s">
        <v>269</v>
      </c>
      <c r="T13" s="11" t="s">
        <v>275</v>
      </c>
    </row>
    <row r="14" spans="1:21" x14ac:dyDescent="0.25">
      <c r="A14" s="1">
        <v>8</v>
      </c>
      <c r="B14" s="2" t="s">
        <v>33</v>
      </c>
      <c r="C14" s="2" t="s">
        <v>18</v>
      </c>
      <c r="D14" s="2" t="s">
        <v>19</v>
      </c>
      <c r="E14" s="2" t="s">
        <v>34</v>
      </c>
      <c r="F14" s="3">
        <v>8010</v>
      </c>
      <c r="G14" s="3">
        <v>5030</v>
      </c>
      <c r="H14" s="3">
        <v>3960</v>
      </c>
      <c r="I14" s="3">
        <v>0</v>
      </c>
      <c r="J14" s="3">
        <v>0</v>
      </c>
      <c r="K14" s="3">
        <v>17000</v>
      </c>
      <c r="L14" s="3">
        <v>0</v>
      </c>
      <c r="M14" s="3">
        <f t="shared" si="1"/>
        <v>17000</v>
      </c>
      <c r="N14" s="3">
        <f t="shared" si="0"/>
        <v>961</v>
      </c>
      <c r="O14" s="3">
        <f t="shared" si="4"/>
        <v>128</v>
      </c>
      <c r="Q14">
        <f t="shared" si="2"/>
        <v>8500</v>
      </c>
      <c r="R14" s="10">
        <f t="shared" si="3"/>
        <v>-490</v>
      </c>
      <c r="S14" s="11" t="s">
        <v>279</v>
      </c>
      <c r="T14" s="11" t="s">
        <v>278</v>
      </c>
      <c r="U14" t="s">
        <v>270</v>
      </c>
    </row>
    <row r="15" spans="1:21" x14ac:dyDescent="0.25">
      <c r="A15" s="1">
        <v>9</v>
      </c>
      <c r="B15" s="2" t="s">
        <v>35</v>
      </c>
      <c r="C15" s="2" t="s">
        <v>18</v>
      </c>
      <c r="D15" s="2" t="s">
        <v>19</v>
      </c>
      <c r="E15" s="2" t="s">
        <v>36</v>
      </c>
      <c r="F15" s="3">
        <v>5200</v>
      </c>
      <c r="G15" s="3">
        <v>3400</v>
      </c>
      <c r="H15" s="3">
        <v>2900</v>
      </c>
      <c r="I15" s="3">
        <v>0</v>
      </c>
      <c r="J15" s="3">
        <v>0</v>
      </c>
      <c r="K15" s="3">
        <v>11500</v>
      </c>
      <c r="L15" s="3">
        <v>0</v>
      </c>
      <c r="M15" s="3">
        <f t="shared" si="1"/>
        <v>11500</v>
      </c>
      <c r="N15" s="3">
        <f t="shared" si="0"/>
        <v>624</v>
      </c>
      <c r="O15" s="3">
        <f t="shared" si="4"/>
        <v>86</v>
      </c>
      <c r="Q15">
        <f t="shared" si="2"/>
        <v>5750</v>
      </c>
      <c r="R15" s="10">
        <f t="shared" si="3"/>
        <v>-550</v>
      </c>
      <c r="S15" s="11" t="s">
        <v>279</v>
      </c>
      <c r="T15" s="11" t="s">
        <v>278</v>
      </c>
      <c r="U15" t="s">
        <v>270</v>
      </c>
    </row>
    <row r="16" spans="1:21" x14ac:dyDescent="0.25">
      <c r="A16" s="1">
        <v>10</v>
      </c>
      <c r="B16" s="2" t="s">
        <v>37</v>
      </c>
      <c r="C16" s="2" t="s">
        <v>18</v>
      </c>
      <c r="D16" s="2" t="s">
        <v>19</v>
      </c>
      <c r="E16" s="2" t="s">
        <v>38</v>
      </c>
      <c r="F16" s="3">
        <v>7700</v>
      </c>
      <c r="G16" s="3">
        <v>6600</v>
      </c>
      <c r="H16" s="3">
        <v>5700</v>
      </c>
      <c r="I16" s="3">
        <v>0</v>
      </c>
      <c r="J16" s="3">
        <v>0</v>
      </c>
      <c r="K16" s="3">
        <v>20000</v>
      </c>
      <c r="L16" s="3">
        <v>0</v>
      </c>
      <c r="M16" s="3">
        <f t="shared" si="1"/>
        <v>20000</v>
      </c>
      <c r="N16" s="3">
        <f t="shared" si="0"/>
        <v>924</v>
      </c>
      <c r="O16" s="3">
        <f t="shared" si="4"/>
        <v>150</v>
      </c>
      <c r="Q16">
        <f t="shared" si="2"/>
        <v>10000</v>
      </c>
      <c r="R16" s="10">
        <f t="shared" si="3"/>
        <v>-2300</v>
      </c>
      <c r="S16" s="11" t="s">
        <v>279</v>
      </c>
      <c r="T16" s="11" t="s">
        <v>278</v>
      </c>
      <c r="U16" t="s">
        <v>270</v>
      </c>
    </row>
    <row r="17" spans="1:21" x14ac:dyDescent="0.25">
      <c r="A17" s="1">
        <v>11</v>
      </c>
      <c r="B17" s="2" t="s">
        <v>39</v>
      </c>
      <c r="C17" s="2" t="s">
        <v>18</v>
      </c>
      <c r="D17" s="2" t="s">
        <v>19</v>
      </c>
      <c r="E17" s="2" t="s">
        <v>40</v>
      </c>
      <c r="F17" s="3">
        <v>7600</v>
      </c>
      <c r="G17" s="3">
        <v>6700</v>
      </c>
      <c r="H17" s="3">
        <v>5700</v>
      </c>
      <c r="I17" s="3">
        <v>0</v>
      </c>
      <c r="J17" s="3">
        <v>0</v>
      </c>
      <c r="K17" s="3">
        <v>20000</v>
      </c>
      <c r="L17" s="3">
        <v>0</v>
      </c>
      <c r="M17" s="3">
        <f t="shared" si="1"/>
        <v>20000</v>
      </c>
      <c r="N17" s="3">
        <f t="shared" si="0"/>
        <v>912</v>
      </c>
      <c r="O17" s="3">
        <f t="shared" si="4"/>
        <v>150</v>
      </c>
      <c r="Q17">
        <f t="shared" si="2"/>
        <v>10000</v>
      </c>
      <c r="R17" s="10">
        <f t="shared" si="3"/>
        <v>-2400</v>
      </c>
      <c r="S17" s="11" t="s">
        <v>279</v>
      </c>
      <c r="T17" s="11" t="s">
        <v>278</v>
      </c>
      <c r="U17" t="s">
        <v>270</v>
      </c>
    </row>
    <row r="18" spans="1:21" x14ac:dyDescent="0.25">
      <c r="A18" s="1">
        <v>12</v>
      </c>
      <c r="B18" s="2" t="s">
        <v>41</v>
      </c>
      <c r="C18" s="2" t="s">
        <v>18</v>
      </c>
      <c r="D18" s="2" t="s">
        <v>19</v>
      </c>
      <c r="E18" s="2" t="s">
        <v>42</v>
      </c>
      <c r="F18" s="3">
        <v>7560</v>
      </c>
      <c r="G18" s="3">
        <v>4920</v>
      </c>
      <c r="H18" s="3">
        <v>4020</v>
      </c>
      <c r="I18" s="3">
        <v>0</v>
      </c>
      <c r="J18" s="3">
        <v>0</v>
      </c>
      <c r="K18" s="3">
        <v>16500</v>
      </c>
      <c r="L18" s="3">
        <v>0</v>
      </c>
      <c r="M18" s="3">
        <f t="shared" si="1"/>
        <v>16500</v>
      </c>
      <c r="N18" s="3">
        <f t="shared" si="0"/>
        <v>907</v>
      </c>
      <c r="O18" s="3">
        <f t="shared" si="4"/>
        <v>124</v>
      </c>
      <c r="Q18">
        <f t="shared" si="2"/>
        <v>8250</v>
      </c>
      <c r="R18" s="10">
        <f t="shared" si="3"/>
        <v>-690</v>
      </c>
      <c r="S18" s="11" t="s">
        <v>279</v>
      </c>
      <c r="T18" s="11" t="s">
        <v>278</v>
      </c>
      <c r="U18" t="s">
        <v>270</v>
      </c>
    </row>
    <row r="19" spans="1:21" x14ac:dyDescent="0.25">
      <c r="A19" s="1">
        <v>13</v>
      </c>
      <c r="B19" s="2" t="s">
        <v>43</v>
      </c>
      <c r="C19" s="2" t="s">
        <v>18</v>
      </c>
      <c r="D19" s="2" t="s">
        <v>19</v>
      </c>
      <c r="E19" s="2" t="s">
        <v>44</v>
      </c>
      <c r="F19" s="3">
        <v>25000</v>
      </c>
      <c r="G19" s="3">
        <v>0</v>
      </c>
      <c r="H19" s="3">
        <v>0</v>
      </c>
      <c r="I19" s="3">
        <v>0</v>
      </c>
      <c r="J19" s="3">
        <v>0</v>
      </c>
      <c r="K19" s="3">
        <v>25000</v>
      </c>
      <c r="L19" s="3">
        <v>0</v>
      </c>
      <c r="M19" s="3">
        <f t="shared" si="1"/>
        <v>25000</v>
      </c>
      <c r="N19" s="3">
        <f t="shared" si="0"/>
        <v>3000</v>
      </c>
      <c r="O19" s="3">
        <v>0</v>
      </c>
      <c r="Q19">
        <f t="shared" si="2"/>
        <v>12500</v>
      </c>
      <c r="R19" s="10">
        <f t="shared" si="3"/>
        <v>12500</v>
      </c>
      <c r="S19" s="12" t="s">
        <v>269</v>
      </c>
      <c r="T19" s="11" t="s">
        <v>275</v>
      </c>
    </row>
    <row r="20" spans="1:21" x14ac:dyDescent="0.25">
      <c r="A20" s="1">
        <v>14</v>
      </c>
      <c r="B20" s="2" t="s">
        <v>45</v>
      </c>
      <c r="C20" s="2" t="s">
        <v>18</v>
      </c>
      <c r="D20" s="2" t="s">
        <v>19</v>
      </c>
      <c r="E20" s="2" t="s">
        <v>46</v>
      </c>
      <c r="F20" s="3">
        <v>33000</v>
      </c>
      <c r="G20" s="3">
        <v>7000</v>
      </c>
      <c r="H20" s="3">
        <v>0</v>
      </c>
      <c r="I20" s="3">
        <v>0</v>
      </c>
      <c r="J20" s="3">
        <v>0</v>
      </c>
      <c r="K20" s="3">
        <v>40000</v>
      </c>
      <c r="L20" s="3">
        <v>0</v>
      </c>
      <c r="M20" s="3">
        <f t="shared" si="1"/>
        <v>40000</v>
      </c>
      <c r="N20" s="3">
        <f t="shared" si="0"/>
        <v>3960</v>
      </c>
      <c r="O20" s="3">
        <v>0</v>
      </c>
      <c r="Q20">
        <f t="shared" si="2"/>
        <v>20000</v>
      </c>
      <c r="R20" s="10">
        <f t="shared" si="3"/>
        <v>13000</v>
      </c>
      <c r="S20" s="12" t="s">
        <v>269</v>
      </c>
      <c r="T20" s="11" t="s">
        <v>277</v>
      </c>
    </row>
    <row r="21" spans="1:21" x14ac:dyDescent="0.25">
      <c r="A21" s="1">
        <v>15</v>
      </c>
      <c r="B21" s="2" t="s">
        <v>47</v>
      </c>
      <c r="C21" s="2" t="s">
        <v>18</v>
      </c>
      <c r="D21" s="2" t="s">
        <v>19</v>
      </c>
      <c r="E21" s="2" t="s">
        <v>48</v>
      </c>
      <c r="F21" s="3">
        <v>8200</v>
      </c>
      <c r="G21" s="3">
        <v>4400</v>
      </c>
      <c r="H21" s="3">
        <v>3900</v>
      </c>
      <c r="I21" s="3">
        <v>0</v>
      </c>
      <c r="J21" s="3">
        <v>0</v>
      </c>
      <c r="K21" s="3">
        <v>16500</v>
      </c>
      <c r="L21" s="3">
        <v>0</v>
      </c>
      <c r="M21" s="3">
        <f t="shared" si="1"/>
        <v>16500</v>
      </c>
      <c r="N21" s="3">
        <f t="shared" si="0"/>
        <v>984</v>
      </c>
      <c r="O21" s="3">
        <f t="shared" si="4"/>
        <v>124</v>
      </c>
      <c r="Q21">
        <f t="shared" si="2"/>
        <v>8250</v>
      </c>
      <c r="R21" s="10">
        <f t="shared" si="3"/>
        <v>-50</v>
      </c>
      <c r="S21" s="11" t="s">
        <v>279</v>
      </c>
      <c r="T21" s="11" t="s">
        <v>278</v>
      </c>
      <c r="U21" t="s">
        <v>270</v>
      </c>
    </row>
    <row r="22" spans="1:21" x14ac:dyDescent="0.25">
      <c r="A22" s="1">
        <v>16</v>
      </c>
      <c r="B22" s="2" t="s">
        <v>49</v>
      </c>
      <c r="C22" s="2" t="s">
        <v>18</v>
      </c>
      <c r="D22" s="2" t="s">
        <v>19</v>
      </c>
      <c r="E22" s="2" t="s">
        <v>50</v>
      </c>
      <c r="F22" s="3">
        <v>23000</v>
      </c>
      <c r="G22" s="3">
        <v>0</v>
      </c>
      <c r="H22" s="3">
        <v>0</v>
      </c>
      <c r="I22" s="3">
        <v>0</v>
      </c>
      <c r="J22" s="3">
        <v>0</v>
      </c>
      <c r="K22" s="3">
        <v>23000</v>
      </c>
      <c r="L22" s="3">
        <v>0</v>
      </c>
      <c r="M22" s="3">
        <f t="shared" si="1"/>
        <v>23000</v>
      </c>
      <c r="N22" s="3">
        <f t="shared" si="0"/>
        <v>2760</v>
      </c>
      <c r="O22" s="3">
        <v>0</v>
      </c>
      <c r="Q22">
        <f t="shared" si="2"/>
        <v>11500</v>
      </c>
      <c r="R22" s="10">
        <f t="shared" si="3"/>
        <v>11500</v>
      </c>
      <c r="S22" s="12" t="s">
        <v>269</v>
      </c>
      <c r="T22" s="11" t="s">
        <v>275</v>
      </c>
    </row>
    <row r="23" spans="1:21" x14ac:dyDescent="0.25">
      <c r="A23" s="1">
        <v>17</v>
      </c>
      <c r="B23" s="2" t="s">
        <v>51</v>
      </c>
      <c r="C23" s="2" t="s">
        <v>18</v>
      </c>
      <c r="D23" s="2" t="s">
        <v>52</v>
      </c>
      <c r="E23" s="2" t="s">
        <v>53</v>
      </c>
      <c r="F23" s="3">
        <v>20200</v>
      </c>
      <c r="G23" s="3">
        <v>0</v>
      </c>
      <c r="H23" s="3">
        <v>0</v>
      </c>
      <c r="I23" s="3">
        <v>0</v>
      </c>
      <c r="J23" s="3">
        <v>0</v>
      </c>
      <c r="K23" s="3">
        <v>20200</v>
      </c>
      <c r="L23" s="3">
        <v>0</v>
      </c>
      <c r="M23" s="3">
        <f t="shared" si="1"/>
        <v>20200</v>
      </c>
      <c r="N23" s="3">
        <v>0</v>
      </c>
      <c r="O23" s="3">
        <f t="shared" si="4"/>
        <v>152</v>
      </c>
      <c r="Q23">
        <f t="shared" si="2"/>
        <v>10100</v>
      </c>
      <c r="R23" s="10">
        <f t="shared" si="3"/>
        <v>10100</v>
      </c>
      <c r="S23" s="12" t="s">
        <v>272</v>
      </c>
      <c r="T23" s="12" t="s">
        <v>280</v>
      </c>
    </row>
    <row r="24" spans="1:21" x14ac:dyDescent="0.25">
      <c r="A24" s="1">
        <v>18</v>
      </c>
      <c r="B24" s="2" t="s">
        <v>54</v>
      </c>
      <c r="C24" s="2" t="s">
        <v>18</v>
      </c>
      <c r="D24" s="2" t="s">
        <v>52</v>
      </c>
      <c r="E24" s="2" t="s">
        <v>55</v>
      </c>
      <c r="F24" s="3">
        <v>8400</v>
      </c>
      <c r="G24" s="3">
        <v>4900</v>
      </c>
      <c r="H24" s="3">
        <v>4000</v>
      </c>
      <c r="I24" s="3">
        <v>0</v>
      </c>
      <c r="J24" s="3">
        <v>0</v>
      </c>
      <c r="K24" s="3">
        <v>17300</v>
      </c>
      <c r="L24" s="3">
        <v>0</v>
      </c>
      <c r="M24" s="3">
        <f t="shared" si="1"/>
        <v>17300</v>
      </c>
      <c r="N24" s="3">
        <f t="shared" ref="N24:N31" si="5">(ROUND(F24*12%,0))</f>
        <v>1008</v>
      </c>
      <c r="O24" s="3">
        <f t="shared" si="4"/>
        <v>130</v>
      </c>
      <c r="Q24">
        <f t="shared" si="2"/>
        <v>8650</v>
      </c>
      <c r="R24" s="10">
        <f t="shared" si="3"/>
        <v>-250</v>
      </c>
      <c r="S24" s="11" t="s">
        <v>279</v>
      </c>
      <c r="T24" s="11" t="s">
        <v>278</v>
      </c>
      <c r="U24" t="s">
        <v>270</v>
      </c>
    </row>
    <row r="25" spans="1:21" x14ac:dyDescent="0.25">
      <c r="A25" s="1">
        <v>19</v>
      </c>
      <c r="B25" s="2" t="s">
        <v>56</v>
      </c>
      <c r="C25" s="2" t="s">
        <v>18</v>
      </c>
      <c r="D25" s="2" t="s">
        <v>52</v>
      </c>
      <c r="E25" s="2" t="s">
        <v>57</v>
      </c>
      <c r="F25" s="3">
        <v>7950</v>
      </c>
      <c r="G25" s="3">
        <v>4150</v>
      </c>
      <c r="H25" s="3">
        <v>3800</v>
      </c>
      <c r="I25" s="3">
        <v>0</v>
      </c>
      <c r="J25" s="3">
        <v>0</v>
      </c>
      <c r="K25" s="3">
        <v>15900</v>
      </c>
      <c r="L25" s="3">
        <v>0</v>
      </c>
      <c r="M25" s="3">
        <f t="shared" si="1"/>
        <v>15900</v>
      </c>
      <c r="N25" s="3">
        <f t="shared" si="5"/>
        <v>954</v>
      </c>
      <c r="O25" s="3">
        <f t="shared" si="4"/>
        <v>119</v>
      </c>
      <c r="Q25">
        <f t="shared" si="2"/>
        <v>7950</v>
      </c>
      <c r="R25" s="10">
        <f t="shared" si="3"/>
        <v>0</v>
      </c>
      <c r="S25" s="13" t="s">
        <v>269</v>
      </c>
      <c r="T25" s="12" t="s">
        <v>280</v>
      </c>
      <c r="U25" t="s">
        <v>270</v>
      </c>
    </row>
    <row r="26" spans="1:21" x14ac:dyDescent="0.25">
      <c r="A26" s="1">
        <v>20</v>
      </c>
      <c r="B26" s="2" t="s">
        <v>58</v>
      </c>
      <c r="C26" s="2" t="s">
        <v>18</v>
      </c>
      <c r="D26" s="2" t="s">
        <v>59</v>
      </c>
      <c r="E26" s="2" t="s">
        <v>60</v>
      </c>
      <c r="F26" s="3">
        <v>6400</v>
      </c>
      <c r="G26" s="3">
        <v>3250</v>
      </c>
      <c r="H26" s="3">
        <v>2550</v>
      </c>
      <c r="I26" s="3">
        <v>0</v>
      </c>
      <c r="J26" s="3">
        <v>0</v>
      </c>
      <c r="K26" s="3">
        <v>12200</v>
      </c>
      <c r="L26" s="3">
        <v>0</v>
      </c>
      <c r="M26" s="3">
        <f t="shared" si="1"/>
        <v>12200</v>
      </c>
      <c r="N26" s="3">
        <f t="shared" si="5"/>
        <v>768</v>
      </c>
      <c r="O26" s="3">
        <f t="shared" si="4"/>
        <v>92</v>
      </c>
      <c r="Q26">
        <f t="shared" si="2"/>
        <v>6100</v>
      </c>
      <c r="R26" s="10">
        <f t="shared" si="3"/>
        <v>300</v>
      </c>
      <c r="S26" s="12" t="s">
        <v>269</v>
      </c>
      <c r="T26" s="12" t="s">
        <v>280</v>
      </c>
      <c r="U26" t="s">
        <v>270</v>
      </c>
    </row>
    <row r="27" spans="1:21" x14ac:dyDescent="0.25">
      <c r="A27" s="1">
        <v>21</v>
      </c>
      <c r="B27" s="2" t="s">
        <v>61</v>
      </c>
      <c r="C27" s="2" t="s">
        <v>18</v>
      </c>
      <c r="D27" s="2" t="s">
        <v>62</v>
      </c>
      <c r="E27" s="2" t="s">
        <v>63</v>
      </c>
      <c r="F27" s="3">
        <v>6645</v>
      </c>
      <c r="G27" s="3">
        <v>4490</v>
      </c>
      <c r="H27" s="3">
        <v>4090</v>
      </c>
      <c r="I27" s="3">
        <v>0</v>
      </c>
      <c r="J27" s="3">
        <v>0</v>
      </c>
      <c r="K27" s="3">
        <v>15225</v>
      </c>
      <c r="L27" s="3">
        <v>0</v>
      </c>
      <c r="M27" s="3">
        <f t="shared" si="1"/>
        <v>15225</v>
      </c>
      <c r="N27" s="3">
        <f t="shared" si="5"/>
        <v>797</v>
      </c>
      <c r="O27" s="3">
        <f t="shared" si="4"/>
        <v>114</v>
      </c>
      <c r="Q27">
        <f t="shared" si="2"/>
        <v>7613</v>
      </c>
      <c r="R27" s="10">
        <f t="shared" si="3"/>
        <v>-968</v>
      </c>
      <c r="S27" s="11" t="s">
        <v>279</v>
      </c>
      <c r="T27" s="11" t="s">
        <v>278</v>
      </c>
      <c r="U27" t="s">
        <v>270</v>
      </c>
    </row>
    <row r="28" spans="1:21" x14ac:dyDescent="0.25">
      <c r="A28" s="1">
        <v>22</v>
      </c>
      <c r="B28" s="2" t="s">
        <v>64</v>
      </c>
      <c r="C28" s="2" t="s">
        <v>18</v>
      </c>
      <c r="D28" s="2" t="s">
        <v>52</v>
      </c>
      <c r="E28" s="2" t="s">
        <v>65</v>
      </c>
      <c r="F28" s="3">
        <v>7900</v>
      </c>
      <c r="G28" s="3">
        <v>4100</v>
      </c>
      <c r="H28" s="3">
        <v>3800</v>
      </c>
      <c r="I28" s="3">
        <v>0</v>
      </c>
      <c r="J28" s="3">
        <v>0</v>
      </c>
      <c r="K28" s="3">
        <v>15800</v>
      </c>
      <c r="L28" s="3">
        <v>0</v>
      </c>
      <c r="M28" s="3">
        <f t="shared" si="1"/>
        <v>15800</v>
      </c>
      <c r="N28" s="3">
        <f t="shared" si="5"/>
        <v>948</v>
      </c>
      <c r="O28" s="3">
        <f t="shared" si="4"/>
        <v>119</v>
      </c>
      <c r="Q28">
        <f t="shared" si="2"/>
        <v>7900</v>
      </c>
      <c r="R28" s="10">
        <f t="shared" si="3"/>
        <v>0</v>
      </c>
      <c r="S28" s="13" t="s">
        <v>269</v>
      </c>
      <c r="T28" s="12" t="s">
        <v>280</v>
      </c>
      <c r="U28" t="s">
        <v>270</v>
      </c>
    </row>
    <row r="29" spans="1:21" x14ac:dyDescent="0.25">
      <c r="A29" s="1">
        <v>23</v>
      </c>
      <c r="B29" s="2" t="s">
        <v>66</v>
      </c>
      <c r="C29" s="2" t="s">
        <v>18</v>
      </c>
      <c r="D29" s="2" t="s">
        <v>67</v>
      </c>
      <c r="E29" s="2" t="s">
        <v>68</v>
      </c>
      <c r="F29" s="3">
        <v>7980</v>
      </c>
      <c r="G29" s="3">
        <v>3660</v>
      </c>
      <c r="H29" s="3">
        <v>3360</v>
      </c>
      <c r="I29" s="3">
        <v>0</v>
      </c>
      <c r="J29" s="3">
        <v>0</v>
      </c>
      <c r="K29" s="3">
        <v>15000</v>
      </c>
      <c r="L29" s="3">
        <v>0</v>
      </c>
      <c r="M29" s="3">
        <f t="shared" si="1"/>
        <v>15000</v>
      </c>
      <c r="N29" s="3">
        <f t="shared" si="5"/>
        <v>958</v>
      </c>
      <c r="O29" s="3">
        <f t="shared" si="4"/>
        <v>113</v>
      </c>
      <c r="Q29">
        <f t="shared" si="2"/>
        <v>7500</v>
      </c>
      <c r="R29" s="10">
        <f t="shared" si="3"/>
        <v>480</v>
      </c>
      <c r="S29" s="12" t="s">
        <v>269</v>
      </c>
      <c r="T29" s="12" t="s">
        <v>280</v>
      </c>
      <c r="U29" t="s">
        <v>270</v>
      </c>
    </row>
    <row r="30" spans="1:21" x14ac:dyDescent="0.25">
      <c r="A30" s="1">
        <v>24</v>
      </c>
      <c r="B30" s="2" t="s">
        <v>69</v>
      </c>
      <c r="C30" s="2" t="s">
        <v>18</v>
      </c>
      <c r="D30" s="2" t="s">
        <v>70</v>
      </c>
      <c r="E30" s="2" t="s">
        <v>71</v>
      </c>
      <c r="F30" s="3">
        <v>8500</v>
      </c>
      <c r="G30" s="3">
        <v>4000</v>
      </c>
      <c r="H30" s="3">
        <v>3000</v>
      </c>
      <c r="I30" s="3">
        <v>0</v>
      </c>
      <c r="J30" s="3">
        <v>0</v>
      </c>
      <c r="K30" s="3">
        <v>15500</v>
      </c>
      <c r="L30" s="3">
        <v>0</v>
      </c>
      <c r="M30" s="3">
        <f t="shared" si="1"/>
        <v>15500</v>
      </c>
      <c r="N30" s="3">
        <f t="shared" si="5"/>
        <v>1020</v>
      </c>
      <c r="O30" s="3">
        <f t="shared" si="4"/>
        <v>116</v>
      </c>
      <c r="Q30">
        <f t="shared" si="2"/>
        <v>7750</v>
      </c>
      <c r="R30" s="10">
        <f t="shared" si="3"/>
        <v>750</v>
      </c>
      <c r="S30" s="12" t="s">
        <v>269</v>
      </c>
      <c r="T30" s="12" t="s">
        <v>280</v>
      </c>
      <c r="U30" t="s">
        <v>270</v>
      </c>
    </row>
    <row r="31" spans="1:21" x14ac:dyDescent="0.25">
      <c r="A31" s="1">
        <v>25</v>
      </c>
      <c r="B31" s="2" t="s">
        <v>72</v>
      </c>
      <c r="C31" s="2" t="s">
        <v>18</v>
      </c>
      <c r="D31" s="2" t="s">
        <v>52</v>
      </c>
      <c r="E31" s="2" t="s">
        <v>73</v>
      </c>
      <c r="F31" s="3">
        <v>8400</v>
      </c>
      <c r="G31" s="3">
        <v>4900</v>
      </c>
      <c r="H31" s="3">
        <v>4000</v>
      </c>
      <c r="I31" s="3">
        <v>0</v>
      </c>
      <c r="J31" s="3">
        <v>0</v>
      </c>
      <c r="K31" s="3">
        <v>17300</v>
      </c>
      <c r="L31" s="3">
        <v>0</v>
      </c>
      <c r="M31" s="3">
        <f t="shared" si="1"/>
        <v>17300</v>
      </c>
      <c r="N31" s="3">
        <f t="shared" si="5"/>
        <v>1008</v>
      </c>
      <c r="O31" s="3">
        <f t="shared" si="4"/>
        <v>130</v>
      </c>
      <c r="Q31">
        <f t="shared" si="2"/>
        <v>8650</v>
      </c>
      <c r="R31" s="10">
        <f t="shared" si="3"/>
        <v>-250</v>
      </c>
      <c r="S31" s="11" t="s">
        <v>279</v>
      </c>
      <c r="T31" s="11" t="s">
        <v>278</v>
      </c>
      <c r="U31" t="s">
        <v>270</v>
      </c>
    </row>
    <row r="32" spans="1:21" x14ac:dyDescent="0.25">
      <c r="A32" s="1">
        <v>26</v>
      </c>
      <c r="B32" s="2" t="s">
        <v>74</v>
      </c>
      <c r="C32" s="2" t="s">
        <v>18</v>
      </c>
      <c r="D32" s="2" t="s">
        <v>52</v>
      </c>
      <c r="E32" s="2" t="s">
        <v>75</v>
      </c>
      <c r="F32" s="3">
        <v>19000</v>
      </c>
      <c r="G32" s="3">
        <v>0</v>
      </c>
      <c r="H32" s="3">
        <v>0</v>
      </c>
      <c r="I32" s="3">
        <v>0</v>
      </c>
      <c r="J32" s="3">
        <v>0</v>
      </c>
      <c r="K32" s="3">
        <v>19000</v>
      </c>
      <c r="L32" s="3">
        <v>0</v>
      </c>
      <c r="M32" s="3">
        <f t="shared" si="1"/>
        <v>19000</v>
      </c>
      <c r="N32" s="3">
        <v>0</v>
      </c>
      <c r="O32" s="3">
        <f t="shared" si="4"/>
        <v>143</v>
      </c>
      <c r="Q32">
        <f t="shared" si="2"/>
        <v>9500</v>
      </c>
      <c r="R32" s="10">
        <f t="shared" si="3"/>
        <v>9500</v>
      </c>
      <c r="S32" s="12" t="s">
        <v>272</v>
      </c>
      <c r="T32" s="12" t="s">
        <v>280</v>
      </c>
    </row>
    <row r="33" spans="1:21" x14ac:dyDescent="0.25">
      <c r="A33" s="1">
        <v>27</v>
      </c>
      <c r="B33" s="2" t="s">
        <v>76</v>
      </c>
      <c r="C33" s="2" t="s">
        <v>18</v>
      </c>
      <c r="D33" s="2" t="s">
        <v>52</v>
      </c>
      <c r="E33" s="2" t="s">
        <v>77</v>
      </c>
      <c r="F33" s="3">
        <v>20600</v>
      </c>
      <c r="G33" s="3">
        <v>0</v>
      </c>
      <c r="H33" s="3">
        <v>0</v>
      </c>
      <c r="I33" s="3">
        <v>0</v>
      </c>
      <c r="J33" s="3">
        <v>0</v>
      </c>
      <c r="K33" s="3">
        <v>20600</v>
      </c>
      <c r="L33" s="3">
        <v>0</v>
      </c>
      <c r="M33" s="3">
        <f t="shared" si="1"/>
        <v>20600</v>
      </c>
      <c r="N33" s="3">
        <v>0</v>
      </c>
      <c r="O33" s="3">
        <f t="shared" si="4"/>
        <v>155</v>
      </c>
      <c r="Q33">
        <f t="shared" si="2"/>
        <v>10300</v>
      </c>
      <c r="R33" s="10">
        <f t="shared" si="3"/>
        <v>10300</v>
      </c>
      <c r="S33" s="12" t="s">
        <v>272</v>
      </c>
      <c r="T33" s="12" t="s">
        <v>280</v>
      </c>
    </row>
    <row r="34" spans="1:21" x14ac:dyDescent="0.25">
      <c r="A34" s="1">
        <v>28</v>
      </c>
      <c r="B34" s="2" t="s">
        <v>78</v>
      </c>
      <c r="C34" s="2" t="s">
        <v>18</v>
      </c>
      <c r="D34" s="2" t="s">
        <v>52</v>
      </c>
      <c r="E34" s="2" t="s">
        <v>79</v>
      </c>
      <c r="F34" s="3">
        <v>20000</v>
      </c>
      <c r="G34" s="3">
        <v>0</v>
      </c>
      <c r="H34" s="3">
        <v>0</v>
      </c>
      <c r="I34" s="3">
        <v>0</v>
      </c>
      <c r="J34" s="3">
        <v>0</v>
      </c>
      <c r="K34" s="3">
        <v>20000</v>
      </c>
      <c r="L34" s="3">
        <v>0</v>
      </c>
      <c r="M34" s="3">
        <f t="shared" si="1"/>
        <v>20000</v>
      </c>
      <c r="N34" s="3">
        <v>0</v>
      </c>
      <c r="O34" s="3">
        <f t="shared" si="4"/>
        <v>150</v>
      </c>
      <c r="Q34">
        <f t="shared" si="2"/>
        <v>10000</v>
      </c>
      <c r="R34" s="10">
        <f t="shared" si="3"/>
        <v>10000</v>
      </c>
      <c r="S34" s="12" t="s">
        <v>272</v>
      </c>
      <c r="T34" s="12" t="s">
        <v>280</v>
      </c>
    </row>
    <row r="35" spans="1:21" x14ac:dyDescent="0.25">
      <c r="A35" s="1">
        <v>29</v>
      </c>
      <c r="B35" s="2" t="s">
        <v>80</v>
      </c>
      <c r="C35" s="2" t="s">
        <v>18</v>
      </c>
      <c r="D35" s="2" t="s">
        <v>52</v>
      </c>
      <c r="E35" s="2" t="s">
        <v>81</v>
      </c>
      <c r="F35" s="3">
        <v>7850</v>
      </c>
      <c r="G35" s="3">
        <v>4150</v>
      </c>
      <c r="H35" s="3">
        <v>3700</v>
      </c>
      <c r="I35" s="3">
        <v>0</v>
      </c>
      <c r="J35" s="3">
        <v>0</v>
      </c>
      <c r="K35" s="3">
        <v>15700</v>
      </c>
      <c r="L35" s="3">
        <v>0</v>
      </c>
      <c r="M35" s="3">
        <f t="shared" si="1"/>
        <v>15700</v>
      </c>
      <c r="N35" s="3">
        <f>(ROUND(F35*12%,0))</f>
        <v>942</v>
      </c>
      <c r="O35" s="3">
        <f t="shared" si="4"/>
        <v>118</v>
      </c>
      <c r="Q35">
        <f t="shared" si="2"/>
        <v>7850</v>
      </c>
      <c r="R35" s="10">
        <f t="shared" si="3"/>
        <v>0</v>
      </c>
      <c r="S35" s="13" t="s">
        <v>269</v>
      </c>
      <c r="T35" s="12" t="s">
        <v>280</v>
      </c>
      <c r="U35" t="s">
        <v>270</v>
      </c>
    </row>
    <row r="36" spans="1:21" x14ac:dyDescent="0.25">
      <c r="A36" s="1">
        <v>30</v>
      </c>
      <c r="B36" s="2" t="s">
        <v>82</v>
      </c>
      <c r="C36" s="2" t="s">
        <v>18</v>
      </c>
      <c r="D36" s="2" t="s">
        <v>59</v>
      </c>
      <c r="E36" s="2" t="s">
        <v>83</v>
      </c>
      <c r="F36" s="3">
        <v>6420</v>
      </c>
      <c r="G36" s="3">
        <v>3440</v>
      </c>
      <c r="H36" s="3">
        <v>2740</v>
      </c>
      <c r="I36" s="3">
        <v>0</v>
      </c>
      <c r="J36" s="3">
        <v>0</v>
      </c>
      <c r="K36" s="3">
        <v>12600</v>
      </c>
      <c r="L36" s="3">
        <v>0</v>
      </c>
      <c r="M36" s="3">
        <f t="shared" si="1"/>
        <v>12600</v>
      </c>
      <c r="N36" s="3">
        <f>(ROUND(F36*12%,0))</f>
        <v>770</v>
      </c>
      <c r="O36" s="3">
        <f t="shared" si="4"/>
        <v>95</v>
      </c>
      <c r="Q36">
        <f t="shared" si="2"/>
        <v>6300</v>
      </c>
      <c r="R36" s="10">
        <f t="shared" si="3"/>
        <v>120</v>
      </c>
      <c r="S36" s="12" t="s">
        <v>269</v>
      </c>
      <c r="T36" s="12" t="s">
        <v>280</v>
      </c>
      <c r="U36" t="s">
        <v>270</v>
      </c>
    </row>
    <row r="37" spans="1:21" x14ac:dyDescent="0.25">
      <c r="A37" s="1">
        <v>31</v>
      </c>
      <c r="B37" s="2" t="s">
        <v>84</v>
      </c>
      <c r="C37" s="2" t="s">
        <v>18</v>
      </c>
      <c r="D37" s="2" t="s">
        <v>67</v>
      </c>
      <c r="E37" s="2" t="s">
        <v>85</v>
      </c>
      <c r="F37" s="3">
        <v>6590</v>
      </c>
      <c r="G37" s="3">
        <v>4280</v>
      </c>
      <c r="H37" s="3">
        <v>3130</v>
      </c>
      <c r="I37" s="3">
        <v>0</v>
      </c>
      <c r="J37" s="3">
        <v>0</v>
      </c>
      <c r="K37" s="3">
        <v>14000</v>
      </c>
      <c r="L37" s="3">
        <v>0</v>
      </c>
      <c r="M37" s="3">
        <f t="shared" si="1"/>
        <v>14000</v>
      </c>
      <c r="N37" s="3">
        <f>(ROUND(F37*12%,0))</f>
        <v>791</v>
      </c>
      <c r="O37" s="3">
        <f t="shared" si="4"/>
        <v>105</v>
      </c>
      <c r="Q37">
        <f t="shared" si="2"/>
        <v>7000</v>
      </c>
      <c r="R37" s="10">
        <f t="shared" si="3"/>
        <v>-410</v>
      </c>
      <c r="S37" s="11" t="s">
        <v>279</v>
      </c>
      <c r="T37" s="11" t="s">
        <v>278</v>
      </c>
      <c r="U37" t="s">
        <v>270</v>
      </c>
    </row>
    <row r="38" spans="1:21" x14ac:dyDescent="0.25">
      <c r="A38" s="1">
        <v>32</v>
      </c>
      <c r="B38" s="2" t="s">
        <v>86</v>
      </c>
      <c r="C38" s="2" t="s">
        <v>18</v>
      </c>
      <c r="D38" s="2" t="s">
        <v>67</v>
      </c>
      <c r="E38" s="2" t="s">
        <v>87</v>
      </c>
      <c r="F38" s="3">
        <v>7290</v>
      </c>
      <c r="G38" s="3">
        <v>4180</v>
      </c>
      <c r="H38" s="3">
        <v>3730</v>
      </c>
      <c r="I38" s="3">
        <v>0</v>
      </c>
      <c r="J38" s="3">
        <v>0</v>
      </c>
      <c r="K38" s="3">
        <v>15200</v>
      </c>
      <c r="L38" s="3">
        <v>0</v>
      </c>
      <c r="M38" s="3">
        <f t="shared" si="1"/>
        <v>15200</v>
      </c>
      <c r="N38" s="3">
        <f>(ROUND(F38*12%,0))</f>
        <v>875</v>
      </c>
      <c r="O38" s="3">
        <f t="shared" si="4"/>
        <v>114</v>
      </c>
      <c r="Q38">
        <f t="shared" si="2"/>
        <v>7600</v>
      </c>
      <c r="R38" s="10">
        <f t="shared" si="3"/>
        <v>-310</v>
      </c>
      <c r="S38" s="11" t="s">
        <v>279</v>
      </c>
      <c r="T38" s="11" t="s">
        <v>278</v>
      </c>
      <c r="U38" t="s">
        <v>270</v>
      </c>
    </row>
    <row r="39" spans="1:21" x14ac:dyDescent="0.25">
      <c r="A39" s="1">
        <v>33</v>
      </c>
      <c r="B39" s="2" t="s">
        <v>88</v>
      </c>
      <c r="C39" s="2" t="s">
        <v>18</v>
      </c>
      <c r="D39" s="2" t="s">
        <v>62</v>
      </c>
      <c r="E39" s="2" t="s">
        <v>89</v>
      </c>
      <c r="F39" s="3">
        <v>6750</v>
      </c>
      <c r="G39" s="3">
        <v>5710</v>
      </c>
      <c r="H39" s="3">
        <v>4340</v>
      </c>
      <c r="I39" s="3">
        <v>0</v>
      </c>
      <c r="J39" s="3">
        <v>0</v>
      </c>
      <c r="K39" s="3">
        <v>16800</v>
      </c>
      <c r="L39" s="3">
        <v>0</v>
      </c>
      <c r="M39" s="3">
        <f t="shared" si="1"/>
        <v>16800</v>
      </c>
      <c r="N39" s="3">
        <f>(ROUND(F39*12%,0))</f>
        <v>810</v>
      </c>
      <c r="O39" s="3">
        <f t="shared" si="4"/>
        <v>126</v>
      </c>
      <c r="Q39">
        <f t="shared" si="2"/>
        <v>8400</v>
      </c>
      <c r="R39" s="10">
        <f t="shared" si="3"/>
        <v>-1650</v>
      </c>
      <c r="S39" s="11" t="s">
        <v>279</v>
      </c>
      <c r="T39" s="11" t="s">
        <v>278</v>
      </c>
      <c r="U39" t="s">
        <v>270</v>
      </c>
    </row>
    <row r="40" spans="1:21" x14ac:dyDescent="0.25">
      <c r="A40" s="1">
        <v>34</v>
      </c>
      <c r="B40" s="2" t="s">
        <v>90</v>
      </c>
      <c r="C40" s="2" t="s">
        <v>18</v>
      </c>
      <c r="D40" s="2" t="s">
        <v>52</v>
      </c>
      <c r="E40" s="2" t="s">
        <v>91</v>
      </c>
      <c r="F40" s="3">
        <v>19000</v>
      </c>
      <c r="G40" s="3">
        <v>0</v>
      </c>
      <c r="H40" s="3">
        <v>0</v>
      </c>
      <c r="I40" s="3">
        <v>0</v>
      </c>
      <c r="J40" s="3">
        <v>0</v>
      </c>
      <c r="K40" s="3">
        <v>19000</v>
      </c>
      <c r="L40" s="3">
        <v>0</v>
      </c>
      <c r="M40" s="3">
        <f t="shared" si="1"/>
        <v>19000</v>
      </c>
      <c r="N40" s="3">
        <v>0</v>
      </c>
      <c r="O40" s="3">
        <f t="shared" si="4"/>
        <v>143</v>
      </c>
      <c r="Q40">
        <f t="shared" si="2"/>
        <v>9500</v>
      </c>
      <c r="R40" s="10">
        <f t="shared" si="3"/>
        <v>9500</v>
      </c>
      <c r="S40" s="12" t="s">
        <v>272</v>
      </c>
      <c r="T40" s="12" t="s">
        <v>280</v>
      </c>
    </row>
    <row r="41" spans="1:21" x14ac:dyDescent="0.25">
      <c r="A41" s="1">
        <v>35</v>
      </c>
      <c r="B41" s="2" t="s">
        <v>92</v>
      </c>
      <c r="C41" s="2" t="s">
        <v>18</v>
      </c>
      <c r="D41" s="2" t="s">
        <v>52</v>
      </c>
      <c r="E41" s="2" t="s">
        <v>93</v>
      </c>
      <c r="F41" s="3">
        <v>21000</v>
      </c>
      <c r="G41" s="3">
        <v>0</v>
      </c>
      <c r="H41" s="3">
        <v>0</v>
      </c>
      <c r="I41" s="3">
        <v>0</v>
      </c>
      <c r="J41" s="3">
        <v>0</v>
      </c>
      <c r="K41" s="3">
        <v>21000</v>
      </c>
      <c r="L41" s="3">
        <v>0</v>
      </c>
      <c r="M41" s="3">
        <f t="shared" si="1"/>
        <v>21000</v>
      </c>
      <c r="N41" s="3">
        <v>0</v>
      </c>
      <c r="O41" s="3">
        <f t="shared" si="4"/>
        <v>158</v>
      </c>
      <c r="Q41">
        <f t="shared" si="2"/>
        <v>10500</v>
      </c>
      <c r="R41" s="10">
        <f t="shared" si="3"/>
        <v>10500</v>
      </c>
      <c r="S41" s="12" t="s">
        <v>272</v>
      </c>
      <c r="T41" s="12" t="s">
        <v>280</v>
      </c>
    </row>
    <row r="42" spans="1:21" x14ac:dyDescent="0.25">
      <c r="A42" s="1">
        <v>36</v>
      </c>
      <c r="B42" s="2" t="s">
        <v>94</v>
      </c>
      <c r="C42" s="2" t="s">
        <v>18</v>
      </c>
      <c r="D42" s="2" t="s">
        <v>52</v>
      </c>
      <c r="E42" s="2" t="s">
        <v>95</v>
      </c>
      <c r="F42" s="3">
        <v>21000</v>
      </c>
      <c r="G42" s="3">
        <v>0</v>
      </c>
      <c r="H42" s="3">
        <v>0</v>
      </c>
      <c r="I42" s="3">
        <v>0</v>
      </c>
      <c r="J42" s="3">
        <v>0</v>
      </c>
      <c r="K42" s="3">
        <v>21000</v>
      </c>
      <c r="L42" s="3">
        <v>0</v>
      </c>
      <c r="M42" s="3">
        <f t="shared" si="1"/>
        <v>21000</v>
      </c>
      <c r="N42" s="3">
        <v>0</v>
      </c>
      <c r="O42" s="3">
        <f t="shared" si="4"/>
        <v>158</v>
      </c>
      <c r="Q42">
        <f t="shared" si="2"/>
        <v>10500</v>
      </c>
      <c r="R42" s="10">
        <f t="shared" si="3"/>
        <v>10500</v>
      </c>
      <c r="S42" s="12" t="s">
        <v>272</v>
      </c>
      <c r="T42" s="12" t="s">
        <v>280</v>
      </c>
    </row>
    <row r="43" spans="1:21" x14ac:dyDescent="0.25">
      <c r="A43" s="1">
        <v>37</v>
      </c>
      <c r="B43" s="2" t="s">
        <v>96</v>
      </c>
      <c r="C43" s="2" t="s">
        <v>18</v>
      </c>
      <c r="D43" s="2" t="s">
        <v>62</v>
      </c>
      <c r="E43" s="2" t="s">
        <v>97</v>
      </c>
      <c r="F43" s="3">
        <v>9300</v>
      </c>
      <c r="G43" s="3">
        <v>5600</v>
      </c>
      <c r="H43" s="3">
        <v>4600</v>
      </c>
      <c r="I43" s="3">
        <v>0</v>
      </c>
      <c r="J43" s="3">
        <v>0</v>
      </c>
      <c r="K43" s="3">
        <v>19500</v>
      </c>
      <c r="L43" s="3">
        <v>0</v>
      </c>
      <c r="M43" s="3">
        <f t="shared" si="1"/>
        <v>19500</v>
      </c>
      <c r="N43" s="3">
        <f>(ROUND(F43*12%,0))</f>
        <v>1116</v>
      </c>
      <c r="O43" s="3">
        <f t="shared" si="4"/>
        <v>146</v>
      </c>
      <c r="Q43">
        <f t="shared" si="2"/>
        <v>9750</v>
      </c>
      <c r="R43" s="10">
        <f t="shared" si="3"/>
        <v>-450</v>
      </c>
      <c r="S43" s="11" t="s">
        <v>279</v>
      </c>
      <c r="T43" s="11" t="s">
        <v>278</v>
      </c>
      <c r="U43" t="s">
        <v>270</v>
      </c>
    </row>
    <row r="44" spans="1:21" x14ac:dyDescent="0.25">
      <c r="A44" s="1">
        <v>38</v>
      </c>
      <c r="B44" s="2" t="s">
        <v>98</v>
      </c>
      <c r="C44" s="2" t="s">
        <v>18</v>
      </c>
      <c r="D44" s="2" t="s">
        <v>70</v>
      </c>
      <c r="E44" s="2" t="s">
        <v>99</v>
      </c>
      <c r="F44" s="3">
        <v>7980</v>
      </c>
      <c r="G44" s="3">
        <v>3560</v>
      </c>
      <c r="H44" s="3">
        <v>3460</v>
      </c>
      <c r="I44" s="3">
        <v>0</v>
      </c>
      <c r="J44" s="3">
        <v>0</v>
      </c>
      <c r="K44" s="3">
        <v>15000</v>
      </c>
      <c r="L44" s="3">
        <v>0</v>
      </c>
      <c r="M44" s="3">
        <f t="shared" si="1"/>
        <v>15000</v>
      </c>
      <c r="N44" s="3">
        <f>(ROUND(F44*12%,0))</f>
        <v>958</v>
      </c>
      <c r="O44" s="3">
        <f t="shared" si="4"/>
        <v>113</v>
      </c>
      <c r="Q44">
        <f t="shared" si="2"/>
        <v>7500</v>
      </c>
      <c r="R44" s="10">
        <f t="shared" si="3"/>
        <v>480</v>
      </c>
      <c r="S44" s="12" t="s">
        <v>269</v>
      </c>
      <c r="T44" s="12" t="s">
        <v>280</v>
      </c>
      <c r="U44" t="s">
        <v>270</v>
      </c>
    </row>
    <row r="45" spans="1:21" x14ac:dyDescent="0.25">
      <c r="A45" s="1">
        <v>39</v>
      </c>
      <c r="B45" s="2" t="s">
        <v>100</v>
      </c>
      <c r="C45" s="2" t="s">
        <v>18</v>
      </c>
      <c r="D45" s="2" t="s">
        <v>52</v>
      </c>
      <c r="E45" s="2" t="s">
        <v>101</v>
      </c>
      <c r="F45" s="3">
        <v>21000</v>
      </c>
      <c r="G45" s="3">
        <v>0</v>
      </c>
      <c r="H45" s="3">
        <v>0</v>
      </c>
      <c r="I45" s="3">
        <v>0</v>
      </c>
      <c r="J45" s="3">
        <v>0</v>
      </c>
      <c r="K45" s="3">
        <v>21000</v>
      </c>
      <c r="L45" s="3">
        <v>0</v>
      </c>
      <c r="M45" s="3">
        <f t="shared" si="1"/>
        <v>21000</v>
      </c>
      <c r="N45" s="3">
        <v>0</v>
      </c>
      <c r="O45" s="3">
        <f t="shared" si="4"/>
        <v>158</v>
      </c>
      <c r="Q45">
        <f t="shared" si="2"/>
        <v>10500</v>
      </c>
      <c r="R45" s="10">
        <f t="shared" si="3"/>
        <v>10500</v>
      </c>
      <c r="S45" s="12" t="s">
        <v>272</v>
      </c>
      <c r="T45" s="12" t="s">
        <v>280</v>
      </c>
    </row>
    <row r="46" spans="1:21" x14ac:dyDescent="0.25">
      <c r="A46" s="1">
        <v>40</v>
      </c>
      <c r="B46" s="2" t="s">
        <v>102</v>
      </c>
      <c r="C46" s="2" t="s">
        <v>18</v>
      </c>
      <c r="D46" s="2" t="s">
        <v>52</v>
      </c>
      <c r="E46" s="2" t="s">
        <v>103</v>
      </c>
      <c r="F46" s="3">
        <v>21000</v>
      </c>
      <c r="G46" s="3">
        <v>0</v>
      </c>
      <c r="H46" s="3">
        <v>0</v>
      </c>
      <c r="I46" s="3">
        <v>0</v>
      </c>
      <c r="J46" s="3">
        <v>0</v>
      </c>
      <c r="K46" s="3">
        <v>21000</v>
      </c>
      <c r="L46" s="3">
        <v>0</v>
      </c>
      <c r="M46" s="3">
        <f t="shared" si="1"/>
        <v>21000</v>
      </c>
      <c r="N46" s="3">
        <v>0</v>
      </c>
      <c r="O46" s="3">
        <f t="shared" si="4"/>
        <v>158</v>
      </c>
      <c r="Q46">
        <f t="shared" si="2"/>
        <v>10500</v>
      </c>
      <c r="R46" s="10">
        <f t="shared" si="3"/>
        <v>10500</v>
      </c>
      <c r="S46" s="12" t="s">
        <v>272</v>
      </c>
      <c r="T46" s="12" t="s">
        <v>280</v>
      </c>
    </row>
    <row r="47" spans="1:21" x14ac:dyDescent="0.25">
      <c r="A47" s="1">
        <v>41</v>
      </c>
      <c r="B47" s="2" t="s">
        <v>104</v>
      </c>
      <c r="C47" s="2" t="s">
        <v>18</v>
      </c>
      <c r="D47" s="2" t="s">
        <v>62</v>
      </c>
      <c r="E47" s="2" t="s">
        <v>105</v>
      </c>
      <c r="F47" s="3">
        <v>7640</v>
      </c>
      <c r="G47" s="3">
        <v>4280</v>
      </c>
      <c r="H47" s="3">
        <v>2780</v>
      </c>
      <c r="I47" s="3">
        <v>0</v>
      </c>
      <c r="J47" s="3">
        <v>0</v>
      </c>
      <c r="K47" s="3">
        <v>14700</v>
      </c>
      <c r="L47" s="3">
        <v>0</v>
      </c>
      <c r="M47" s="3">
        <f t="shared" si="1"/>
        <v>14700</v>
      </c>
      <c r="N47" s="3">
        <f>(ROUND(F47*12%,0))</f>
        <v>917</v>
      </c>
      <c r="O47" s="3">
        <f t="shared" si="4"/>
        <v>110</v>
      </c>
      <c r="Q47">
        <f t="shared" si="2"/>
        <v>7350</v>
      </c>
      <c r="R47" s="10">
        <f t="shared" si="3"/>
        <v>290</v>
      </c>
      <c r="S47" s="12" t="s">
        <v>269</v>
      </c>
      <c r="T47" s="12" t="s">
        <v>280</v>
      </c>
      <c r="U47" t="s">
        <v>270</v>
      </c>
    </row>
    <row r="48" spans="1:21" x14ac:dyDescent="0.25">
      <c r="A48" s="1">
        <v>42</v>
      </c>
      <c r="B48" s="2" t="s">
        <v>106</v>
      </c>
      <c r="C48" s="2" t="s">
        <v>18</v>
      </c>
      <c r="D48" s="2" t="s">
        <v>59</v>
      </c>
      <c r="E48" s="2" t="s">
        <v>107</v>
      </c>
      <c r="F48" s="3">
        <v>7700</v>
      </c>
      <c r="G48" s="3">
        <v>2300</v>
      </c>
      <c r="H48" s="3">
        <v>1800</v>
      </c>
      <c r="I48" s="3">
        <v>0</v>
      </c>
      <c r="J48" s="3">
        <v>0</v>
      </c>
      <c r="K48" s="3">
        <v>11800</v>
      </c>
      <c r="L48" s="3">
        <v>0</v>
      </c>
      <c r="M48" s="3">
        <f t="shared" si="1"/>
        <v>11800</v>
      </c>
      <c r="N48" s="3">
        <f>(ROUND(F48*12%,0))</f>
        <v>924</v>
      </c>
      <c r="O48" s="3">
        <f t="shared" si="4"/>
        <v>89</v>
      </c>
      <c r="Q48">
        <f t="shared" si="2"/>
        <v>5900</v>
      </c>
      <c r="R48" s="10">
        <f t="shared" si="3"/>
        <v>1800</v>
      </c>
      <c r="S48" s="12" t="s">
        <v>269</v>
      </c>
      <c r="T48" s="12" t="s">
        <v>280</v>
      </c>
      <c r="U48" t="s">
        <v>270</v>
      </c>
    </row>
    <row r="49" spans="1:21" x14ac:dyDescent="0.25">
      <c r="A49" s="1">
        <v>43</v>
      </c>
      <c r="B49" s="2" t="s">
        <v>108</v>
      </c>
      <c r="C49" s="2" t="s">
        <v>18</v>
      </c>
      <c r="D49" s="2" t="s">
        <v>52</v>
      </c>
      <c r="E49" s="2" t="s">
        <v>109</v>
      </c>
      <c r="F49" s="3">
        <v>19000</v>
      </c>
      <c r="G49" s="3">
        <v>0</v>
      </c>
      <c r="H49" s="3">
        <v>0</v>
      </c>
      <c r="I49" s="3">
        <v>0</v>
      </c>
      <c r="J49" s="3">
        <v>0</v>
      </c>
      <c r="K49" s="3">
        <v>19000</v>
      </c>
      <c r="L49" s="3">
        <v>0</v>
      </c>
      <c r="M49" s="3">
        <f t="shared" si="1"/>
        <v>19000</v>
      </c>
      <c r="N49" s="3">
        <v>0</v>
      </c>
      <c r="O49" s="3">
        <f t="shared" si="4"/>
        <v>143</v>
      </c>
      <c r="Q49">
        <f t="shared" si="2"/>
        <v>9500</v>
      </c>
      <c r="R49" s="10">
        <f t="shared" si="3"/>
        <v>9500</v>
      </c>
      <c r="S49" s="12" t="s">
        <v>272</v>
      </c>
      <c r="T49" s="12" t="s">
        <v>280</v>
      </c>
    </row>
    <row r="50" spans="1:21" x14ac:dyDescent="0.25">
      <c r="A50" s="1">
        <v>44</v>
      </c>
      <c r="B50" s="2" t="s">
        <v>110</v>
      </c>
      <c r="C50" s="2" t="s">
        <v>18</v>
      </c>
      <c r="D50" s="2" t="s">
        <v>62</v>
      </c>
      <c r="E50" s="2" t="s">
        <v>111</v>
      </c>
      <c r="F50" s="3">
        <v>7630</v>
      </c>
      <c r="G50" s="3">
        <v>3260</v>
      </c>
      <c r="H50" s="3">
        <v>2760</v>
      </c>
      <c r="I50" s="3">
        <v>0</v>
      </c>
      <c r="J50" s="3">
        <v>0</v>
      </c>
      <c r="K50" s="3">
        <v>13650</v>
      </c>
      <c r="L50" s="3">
        <v>0</v>
      </c>
      <c r="M50" s="3">
        <f t="shared" si="1"/>
        <v>13650</v>
      </c>
      <c r="N50" s="3">
        <f>(ROUND(F50*12%,0))</f>
        <v>916</v>
      </c>
      <c r="O50" s="3">
        <f t="shared" si="4"/>
        <v>102</v>
      </c>
      <c r="Q50">
        <f t="shared" si="2"/>
        <v>6825</v>
      </c>
      <c r="R50" s="10">
        <f t="shared" si="3"/>
        <v>805</v>
      </c>
      <c r="S50" s="12" t="s">
        <v>269</v>
      </c>
      <c r="T50" s="12" t="s">
        <v>280</v>
      </c>
      <c r="U50" t="s">
        <v>270</v>
      </c>
    </row>
    <row r="51" spans="1:21" x14ac:dyDescent="0.25">
      <c r="A51" s="1">
        <v>45</v>
      </c>
      <c r="B51" s="2" t="s">
        <v>112</v>
      </c>
      <c r="C51" s="2" t="s">
        <v>18</v>
      </c>
      <c r="D51" s="2" t="s">
        <v>52</v>
      </c>
      <c r="E51" s="2" t="s">
        <v>113</v>
      </c>
      <c r="F51" s="3">
        <v>19000</v>
      </c>
      <c r="G51" s="3">
        <v>0</v>
      </c>
      <c r="H51" s="3">
        <v>0</v>
      </c>
      <c r="I51" s="3">
        <v>0</v>
      </c>
      <c r="J51" s="3">
        <v>0</v>
      </c>
      <c r="K51" s="3">
        <v>19000</v>
      </c>
      <c r="L51" s="3">
        <v>0</v>
      </c>
      <c r="M51" s="3">
        <f t="shared" si="1"/>
        <v>19000</v>
      </c>
      <c r="N51" s="3">
        <v>0</v>
      </c>
      <c r="O51" s="3">
        <f t="shared" si="4"/>
        <v>143</v>
      </c>
      <c r="Q51">
        <f t="shared" si="2"/>
        <v>9500</v>
      </c>
      <c r="R51" s="10">
        <f t="shared" si="3"/>
        <v>9500</v>
      </c>
      <c r="S51" s="12" t="s">
        <v>272</v>
      </c>
      <c r="T51" s="12" t="s">
        <v>280</v>
      </c>
    </row>
    <row r="52" spans="1:21" x14ac:dyDescent="0.25">
      <c r="A52" s="1">
        <v>46</v>
      </c>
      <c r="B52" s="2" t="s">
        <v>114</v>
      </c>
      <c r="C52" s="2" t="s">
        <v>18</v>
      </c>
      <c r="D52" s="2" t="s">
        <v>59</v>
      </c>
      <c r="E52" s="2" t="s">
        <v>115</v>
      </c>
      <c r="F52" s="3">
        <v>7700</v>
      </c>
      <c r="G52" s="3">
        <v>2300</v>
      </c>
      <c r="H52" s="3">
        <v>1800</v>
      </c>
      <c r="I52" s="3">
        <v>0</v>
      </c>
      <c r="J52" s="3">
        <v>0</v>
      </c>
      <c r="K52" s="3">
        <v>11800</v>
      </c>
      <c r="L52" s="3">
        <v>0</v>
      </c>
      <c r="M52" s="3">
        <f t="shared" si="1"/>
        <v>11800</v>
      </c>
      <c r="N52" s="3">
        <f>(ROUND(F52*12%,0))</f>
        <v>924</v>
      </c>
      <c r="O52" s="3">
        <f t="shared" si="4"/>
        <v>89</v>
      </c>
      <c r="Q52">
        <f t="shared" si="2"/>
        <v>5900</v>
      </c>
      <c r="R52" s="10">
        <f t="shared" si="3"/>
        <v>1800</v>
      </c>
      <c r="S52" s="12" t="s">
        <v>269</v>
      </c>
      <c r="T52" s="12" t="s">
        <v>280</v>
      </c>
      <c r="U52" t="s">
        <v>270</v>
      </c>
    </row>
    <row r="53" spans="1:21" x14ac:dyDescent="0.25">
      <c r="A53" s="1">
        <v>47</v>
      </c>
      <c r="B53" s="2" t="s">
        <v>116</v>
      </c>
      <c r="C53" s="2" t="s">
        <v>18</v>
      </c>
      <c r="D53" s="2" t="s">
        <v>62</v>
      </c>
      <c r="E53" s="2" t="s">
        <v>117</v>
      </c>
      <c r="F53" s="3">
        <v>7650</v>
      </c>
      <c r="G53" s="3">
        <v>4300</v>
      </c>
      <c r="H53" s="3">
        <v>3800</v>
      </c>
      <c r="I53" s="3">
        <v>0</v>
      </c>
      <c r="J53" s="3">
        <v>0</v>
      </c>
      <c r="K53" s="3">
        <v>15750</v>
      </c>
      <c r="L53" s="3">
        <v>0</v>
      </c>
      <c r="M53" s="3">
        <f t="shared" si="1"/>
        <v>15750</v>
      </c>
      <c r="N53" s="3">
        <f>(ROUND(F53*12%,0))</f>
        <v>918</v>
      </c>
      <c r="O53" s="3">
        <f t="shared" si="4"/>
        <v>118</v>
      </c>
      <c r="Q53">
        <f t="shared" si="2"/>
        <v>7875</v>
      </c>
      <c r="R53" s="10">
        <f t="shared" si="3"/>
        <v>-225</v>
      </c>
      <c r="S53" s="11" t="s">
        <v>279</v>
      </c>
      <c r="T53" s="11" t="s">
        <v>278</v>
      </c>
      <c r="U53" t="s">
        <v>270</v>
      </c>
    </row>
    <row r="54" spans="1:21" x14ac:dyDescent="0.25">
      <c r="A54" s="1">
        <v>48</v>
      </c>
      <c r="B54" s="2" t="s">
        <v>118</v>
      </c>
      <c r="C54" s="2" t="s">
        <v>18</v>
      </c>
      <c r="D54" s="2" t="s">
        <v>62</v>
      </c>
      <c r="E54" s="2" t="s">
        <v>119</v>
      </c>
      <c r="F54" s="3">
        <v>7630</v>
      </c>
      <c r="G54" s="3">
        <v>3260</v>
      </c>
      <c r="H54" s="3">
        <v>2760</v>
      </c>
      <c r="I54" s="3">
        <v>0</v>
      </c>
      <c r="J54" s="3">
        <v>0</v>
      </c>
      <c r="K54" s="3">
        <v>13650</v>
      </c>
      <c r="L54" s="3">
        <v>0</v>
      </c>
      <c r="M54" s="3">
        <f t="shared" si="1"/>
        <v>13650</v>
      </c>
      <c r="N54" s="3">
        <f>(ROUND(F54*12%,0))</f>
        <v>916</v>
      </c>
      <c r="O54" s="3">
        <f t="shared" si="4"/>
        <v>102</v>
      </c>
      <c r="Q54">
        <f t="shared" si="2"/>
        <v>6825</v>
      </c>
      <c r="R54" s="10">
        <f t="shared" si="3"/>
        <v>805</v>
      </c>
      <c r="S54" s="12" t="s">
        <v>269</v>
      </c>
      <c r="T54" s="12" t="s">
        <v>280</v>
      </c>
      <c r="U54" t="s">
        <v>270</v>
      </c>
    </row>
    <row r="55" spans="1:21" x14ac:dyDescent="0.25">
      <c r="A55" s="1">
        <v>49</v>
      </c>
      <c r="B55" s="2" t="s">
        <v>120</v>
      </c>
      <c r="C55" s="2" t="s">
        <v>18</v>
      </c>
      <c r="D55" s="2" t="s">
        <v>52</v>
      </c>
      <c r="E55" s="2" t="s">
        <v>121</v>
      </c>
      <c r="F55" s="3">
        <v>19000</v>
      </c>
      <c r="G55" s="3">
        <v>0</v>
      </c>
      <c r="H55" s="3">
        <v>0</v>
      </c>
      <c r="I55" s="3">
        <v>0</v>
      </c>
      <c r="J55" s="3">
        <v>0</v>
      </c>
      <c r="K55" s="3">
        <v>19000</v>
      </c>
      <c r="L55" s="3">
        <v>0</v>
      </c>
      <c r="M55" s="3">
        <f t="shared" si="1"/>
        <v>19000</v>
      </c>
      <c r="N55" s="3">
        <v>0</v>
      </c>
      <c r="O55" s="3">
        <f t="shared" si="4"/>
        <v>143</v>
      </c>
      <c r="Q55">
        <f t="shared" si="2"/>
        <v>9500</v>
      </c>
      <c r="R55" s="10">
        <f t="shared" si="3"/>
        <v>9500</v>
      </c>
      <c r="S55" s="12" t="s">
        <v>272</v>
      </c>
      <c r="T55" s="12" t="s">
        <v>280</v>
      </c>
    </row>
    <row r="56" spans="1:21" x14ac:dyDescent="0.25">
      <c r="A56" s="1">
        <v>50</v>
      </c>
      <c r="B56" s="2" t="s">
        <v>122</v>
      </c>
      <c r="C56" s="2" t="s">
        <v>18</v>
      </c>
      <c r="D56" s="2" t="s">
        <v>62</v>
      </c>
      <c r="E56" s="2" t="s">
        <v>123</v>
      </c>
      <c r="F56" s="3">
        <v>7620</v>
      </c>
      <c r="G56" s="3">
        <v>2740</v>
      </c>
      <c r="H56" s="3">
        <v>2240</v>
      </c>
      <c r="I56" s="3">
        <v>0</v>
      </c>
      <c r="J56" s="3">
        <v>0</v>
      </c>
      <c r="K56" s="3">
        <v>12600</v>
      </c>
      <c r="L56" s="3">
        <v>0</v>
      </c>
      <c r="M56" s="3">
        <f t="shared" si="1"/>
        <v>12600</v>
      </c>
      <c r="N56" s="3">
        <f>(ROUND(F56*12%,0))</f>
        <v>914</v>
      </c>
      <c r="O56" s="3">
        <f t="shared" si="4"/>
        <v>95</v>
      </c>
      <c r="Q56">
        <f t="shared" si="2"/>
        <v>6300</v>
      </c>
      <c r="R56" s="10">
        <f t="shared" si="3"/>
        <v>1320</v>
      </c>
      <c r="S56" s="12" t="s">
        <v>269</v>
      </c>
      <c r="T56" s="12" t="s">
        <v>280</v>
      </c>
      <c r="U56" t="s">
        <v>270</v>
      </c>
    </row>
    <row r="57" spans="1:21" x14ac:dyDescent="0.25">
      <c r="A57" s="1">
        <v>51</v>
      </c>
      <c r="B57" s="2" t="s">
        <v>124</v>
      </c>
      <c r="C57" s="2" t="s">
        <v>18</v>
      </c>
      <c r="D57" s="2" t="s">
        <v>62</v>
      </c>
      <c r="E57" s="2" t="s">
        <v>125</v>
      </c>
      <c r="F57" s="3">
        <v>8400</v>
      </c>
      <c r="G57" s="3">
        <v>5300</v>
      </c>
      <c r="H57" s="3">
        <v>4800</v>
      </c>
      <c r="I57" s="3">
        <v>0</v>
      </c>
      <c r="J57" s="3">
        <v>0</v>
      </c>
      <c r="K57" s="3">
        <v>18500</v>
      </c>
      <c r="L57" s="3">
        <v>0</v>
      </c>
      <c r="M57" s="3">
        <f t="shared" si="1"/>
        <v>18500</v>
      </c>
      <c r="N57" s="3">
        <f>(ROUND(F57*12%,0))</f>
        <v>1008</v>
      </c>
      <c r="O57" s="3">
        <f t="shared" si="4"/>
        <v>139</v>
      </c>
      <c r="Q57">
        <f t="shared" si="2"/>
        <v>9250</v>
      </c>
      <c r="R57" s="10">
        <f t="shared" si="3"/>
        <v>-850</v>
      </c>
      <c r="S57" s="11" t="s">
        <v>279</v>
      </c>
      <c r="T57" s="11" t="s">
        <v>278</v>
      </c>
      <c r="U57" t="s">
        <v>270</v>
      </c>
    </row>
    <row r="58" spans="1:21" x14ac:dyDescent="0.25">
      <c r="A58" s="1">
        <v>52</v>
      </c>
      <c r="B58" s="2" t="s">
        <v>126</v>
      </c>
      <c r="C58" s="2" t="s">
        <v>127</v>
      </c>
      <c r="D58" s="2" t="s">
        <v>19</v>
      </c>
      <c r="E58" s="2" t="s">
        <v>128</v>
      </c>
      <c r="F58" s="3">
        <v>9300</v>
      </c>
      <c r="G58" s="3">
        <v>4600</v>
      </c>
      <c r="H58" s="3">
        <v>3600</v>
      </c>
      <c r="I58" s="3">
        <v>0</v>
      </c>
      <c r="J58" s="3">
        <v>0</v>
      </c>
      <c r="K58" s="3">
        <v>17500</v>
      </c>
      <c r="L58" s="3">
        <v>0</v>
      </c>
      <c r="M58" s="3">
        <f t="shared" si="1"/>
        <v>17500</v>
      </c>
      <c r="N58" s="3">
        <f>(ROUND(F58*12%,0))</f>
        <v>1116</v>
      </c>
      <c r="O58" s="3">
        <f t="shared" si="4"/>
        <v>131</v>
      </c>
      <c r="Q58">
        <f t="shared" si="2"/>
        <v>8750</v>
      </c>
      <c r="R58" s="10">
        <f t="shared" si="3"/>
        <v>550</v>
      </c>
      <c r="S58" s="12" t="s">
        <v>269</v>
      </c>
      <c r="T58" s="12" t="s">
        <v>280</v>
      </c>
      <c r="U58" t="s">
        <v>270</v>
      </c>
    </row>
    <row r="59" spans="1:21" x14ac:dyDescent="0.25">
      <c r="A59" s="1">
        <v>53</v>
      </c>
      <c r="B59" s="2" t="s">
        <v>129</v>
      </c>
      <c r="C59" s="2" t="s">
        <v>127</v>
      </c>
      <c r="D59" s="2" t="s">
        <v>19</v>
      </c>
      <c r="E59" s="2" t="s">
        <v>130</v>
      </c>
      <c r="F59" s="3">
        <v>11000</v>
      </c>
      <c r="G59" s="3">
        <v>7500</v>
      </c>
      <c r="H59" s="3">
        <v>6500</v>
      </c>
      <c r="I59" s="3">
        <v>0</v>
      </c>
      <c r="J59" s="3">
        <v>0</v>
      </c>
      <c r="K59" s="3">
        <v>25000</v>
      </c>
      <c r="L59" s="3">
        <v>0</v>
      </c>
      <c r="M59" s="3">
        <f t="shared" si="1"/>
        <v>25000</v>
      </c>
      <c r="N59" s="3">
        <f>(ROUND(F59*12%,0))</f>
        <v>1320</v>
      </c>
      <c r="O59" s="3">
        <v>0</v>
      </c>
      <c r="Q59">
        <f t="shared" si="2"/>
        <v>12500</v>
      </c>
      <c r="R59" s="10">
        <f t="shared" si="3"/>
        <v>-1500</v>
      </c>
      <c r="S59" s="11" t="s">
        <v>268</v>
      </c>
      <c r="T59" s="11" t="s">
        <v>275</v>
      </c>
    </row>
    <row r="60" spans="1:21" x14ac:dyDescent="0.25">
      <c r="A60" s="1">
        <v>54</v>
      </c>
      <c r="B60" s="2" t="s">
        <v>131</v>
      </c>
      <c r="C60" s="2" t="s">
        <v>127</v>
      </c>
      <c r="D60" s="2" t="s">
        <v>19</v>
      </c>
      <c r="E60" s="2" t="s">
        <v>132</v>
      </c>
      <c r="F60" s="3">
        <v>42000</v>
      </c>
      <c r="G60" s="3">
        <v>0</v>
      </c>
      <c r="H60" s="3">
        <v>0</v>
      </c>
      <c r="I60" s="3">
        <v>0</v>
      </c>
      <c r="J60" s="3">
        <v>0</v>
      </c>
      <c r="K60" s="3">
        <v>42000</v>
      </c>
      <c r="L60" s="3">
        <v>0</v>
      </c>
      <c r="M60" s="3">
        <f t="shared" si="1"/>
        <v>42000</v>
      </c>
      <c r="N60" s="3">
        <v>0</v>
      </c>
      <c r="O60" s="3">
        <v>0</v>
      </c>
      <c r="Q60">
        <f t="shared" si="2"/>
        <v>21000</v>
      </c>
      <c r="R60" s="10">
        <f t="shared" si="3"/>
        <v>21000</v>
      </c>
      <c r="S60" s="12" t="s">
        <v>271</v>
      </c>
      <c r="T60" s="11" t="s">
        <v>275</v>
      </c>
    </row>
    <row r="61" spans="1:21" x14ac:dyDescent="0.25">
      <c r="A61" s="1">
        <v>55</v>
      </c>
      <c r="B61" s="2" t="s">
        <v>133</v>
      </c>
      <c r="C61" s="2" t="s">
        <v>127</v>
      </c>
      <c r="D61" s="2" t="s">
        <v>19</v>
      </c>
      <c r="E61" s="2" t="s">
        <v>134</v>
      </c>
      <c r="F61" s="3">
        <v>8400</v>
      </c>
      <c r="G61" s="3">
        <v>7300</v>
      </c>
      <c r="H61" s="3">
        <v>6300</v>
      </c>
      <c r="I61" s="3">
        <v>0</v>
      </c>
      <c r="J61" s="3">
        <v>0</v>
      </c>
      <c r="K61" s="3">
        <v>22000</v>
      </c>
      <c r="L61" s="3">
        <v>0</v>
      </c>
      <c r="M61" s="3">
        <f t="shared" si="1"/>
        <v>22000</v>
      </c>
      <c r="N61" s="3">
        <f t="shared" ref="N61:N66" si="6">(ROUND(F61*12%,0))</f>
        <v>1008</v>
      </c>
      <c r="O61" s="3">
        <f t="shared" si="4"/>
        <v>165</v>
      </c>
      <c r="Q61">
        <f t="shared" si="2"/>
        <v>11000</v>
      </c>
      <c r="R61" s="10">
        <f t="shared" si="3"/>
        <v>-2600</v>
      </c>
      <c r="S61" s="11" t="s">
        <v>279</v>
      </c>
      <c r="T61" s="11" t="s">
        <v>278</v>
      </c>
      <c r="U61" t="s">
        <v>270</v>
      </c>
    </row>
    <row r="62" spans="1:21" x14ac:dyDescent="0.25">
      <c r="A62" s="1">
        <v>56</v>
      </c>
      <c r="B62" s="2" t="s">
        <v>135</v>
      </c>
      <c r="C62" s="2" t="s">
        <v>127</v>
      </c>
      <c r="D62" s="2" t="s">
        <v>19</v>
      </c>
      <c r="E62" s="2" t="s">
        <v>136</v>
      </c>
      <c r="F62" s="3">
        <v>8000</v>
      </c>
      <c r="G62" s="3">
        <v>4600</v>
      </c>
      <c r="H62" s="3">
        <v>3900</v>
      </c>
      <c r="I62" s="3">
        <v>0</v>
      </c>
      <c r="J62" s="3">
        <v>0</v>
      </c>
      <c r="K62" s="3">
        <v>16500</v>
      </c>
      <c r="L62" s="3">
        <v>0</v>
      </c>
      <c r="M62" s="3">
        <f t="shared" si="1"/>
        <v>16500</v>
      </c>
      <c r="N62" s="3">
        <f t="shared" si="6"/>
        <v>960</v>
      </c>
      <c r="O62" s="3">
        <f t="shared" si="4"/>
        <v>124</v>
      </c>
      <c r="Q62">
        <f t="shared" si="2"/>
        <v>8250</v>
      </c>
      <c r="R62" s="10">
        <f t="shared" si="3"/>
        <v>-250</v>
      </c>
      <c r="S62" s="11" t="s">
        <v>279</v>
      </c>
      <c r="T62" s="11" t="s">
        <v>278</v>
      </c>
      <c r="U62" t="s">
        <v>270</v>
      </c>
    </row>
    <row r="63" spans="1:21" x14ac:dyDescent="0.25">
      <c r="A63" s="1">
        <v>57</v>
      </c>
      <c r="B63" s="2" t="s">
        <v>137</v>
      </c>
      <c r="C63" s="2" t="s">
        <v>127</v>
      </c>
      <c r="D63" s="2" t="s">
        <v>19</v>
      </c>
      <c r="E63" s="2" t="s">
        <v>138</v>
      </c>
      <c r="F63" s="3">
        <v>7500</v>
      </c>
      <c r="G63" s="3">
        <v>4600</v>
      </c>
      <c r="H63" s="3">
        <v>3900</v>
      </c>
      <c r="I63" s="3">
        <v>0</v>
      </c>
      <c r="J63" s="3">
        <v>0</v>
      </c>
      <c r="K63" s="3">
        <v>16000</v>
      </c>
      <c r="L63" s="3">
        <v>0</v>
      </c>
      <c r="M63" s="3">
        <f t="shared" si="1"/>
        <v>16000</v>
      </c>
      <c r="N63" s="3">
        <f t="shared" si="6"/>
        <v>900</v>
      </c>
      <c r="O63" s="3">
        <f t="shared" si="4"/>
        <v>120</v>
      </c>
      <c r="Q63">
        <f t="shared" si="2"/>
        <v>8000</v>
      </c>
      <c r="R63" s="10">
        <f t="shared" si="3"/>
        <v>-500</v>
      </c>
      <c r="S63" s="11" t="s">
        <v>279</v>
      </c>
      <c r="T63" s="11" t="s">
        <v>278</v>
      </c>
      <c r="U63" t="s">
        <v>270</v>
      </c>
    </row>
    <row r="64" spans="1:21" x14ac:dyDescent="0.25">
      <c r="A64" s="1">
        <v>58</v>
      </c>
      <c r="B64" s="2" t="s">
        <v>139</v>
      </c>
      <c r="C64" s="2" t="s">
        <v>127</v>
      </c>
      <c r="D64" s="2" t="s">
        <v>19</v>
      </c>
      <c r="E64" s="2" t="s">
        <v>140</v>
      </c>
      <c r="F64" s="3">
        <v>8300</v>
      </c>
      <c r="G64" s="3">
        <v>5100</v>
      </c>
      <c r="H64" s="3">
        <v>4100</v>
      </c>
      <c r="I64" s="3">
        <v>0</v>
      </c>
      <c r="J64" s="3">
        <v>0</v>
      </c>
      <c r="K64" s="3">
        <v>17500</v>
      </c>
      <c r="L64" s="3">
        <v>0</v>
      </c>
      <c r="M64" s="3">
        <f t="shared" si="1"/>
        <v>17500</v>
      </c>
      <c r="N64" s="3">
        <f t="shared" si="6"/>
        <v>996</v>
      </c>
      <c r="O64" s="3">
        <f t="shared" si="4"/>
        <v>131</v>
      </c>
      <c r="Q64">
        <f t="shared" si="2"/>
        <v>8750</v>
      </c>
      <c r="R64" s="10">
        <f t="shared" si="3"/>
        <v>-450</v>
      </c>
      <c r="S64" s="11" t="s">
        <v>279</v>
      </c>
      <c r="T64" s="11" t="s">
        <v>278</v>
      </c>
      <c r="U64" t="s">
        <v>270</v>
      </c>
    </row>
    <row r="65" spans="1:21" x14ac:dyDescent="0.25">
      <c r="A65" s="1">
        <v>59</v>
      </c>
      <c r="B65" s="2" t="s">
        <v>141</v>
      </c>
      <c r="C65" s="2" t="s">
        <v>127</v>
      </c>
      <c r="D65" s="2" t="s">
        <v>19</v>
      </c>
      <c r="E65" s="2" t="s">
        <v>142</v>
      </c>
      <c r="F65" s="3">
        <v>7800</v>
      </c>
      <c r="G65" s="3">
        <v>4100</v>
      </c>
      <c r="H65" s="3">
        <v>3600</v>
      </c>
      <c r="I65" s="3">
        <v>0</v>
      </c>
      <c r="J65" s="3">
        <v>0</v>
      </c>
      <c r="K65" s="3">
        <v>15500</v>
      </c>
      <c r="L65" s="3">
        <v>0</v>
      </c>
      <c r="M65" s="3">
        <f t="shared" si="1"/>
        <v>15500</v>
      </c>
      <c r="N65" s="3">
        <f t="shared" si="6"/>
        <v>936</v>
      </c>
      <c r="O65" s="3">
        <f t="shared" si="4"/>
        <v>116</v>
      </c>
      <c r="Q65">
        <f t="shared" si="2"/>
        <v>7750</v>
      </c>
      <c r="R65" s="10">
        <f t="shared" si="3"/>
        <v>50</v>
      </c>
      <c r="S65" s="12" t="s">
        <v>269</v>
      </c>
      <c r="T65" s="12" t="s">
        <v>280</v>
      </c>
      <c r="U65" t="s">
        <v>270</v>
      </c>
    </row>
    <row r="66" spans="1:21" x14ac:dyDescent="0.25">
      <c r="A66" s="1">
        <v>60</v>
      </c>
      <c r="B66" s="2" t="s">
        <v>143</v>
      </c>
      <c r="C66" s="2" t="s">
        <v>127</v>
      </c>
      <c r="D66" s="2" t="s">
        <v>62</v>
      </c>
      <c r="E66" s="2" t="s">
        <v>144</v>
      </c>
      <c r="F66" s="3">
        <v>8150</v>
      </c>
      <c r="G66" s="3">
        <v>3800</v>
      </c>
      <c r="H66" s="3">
        <v>3800</v>
      </c>
      <c r="I66" s="3">
        <v>0</v>
      </c>
      <c r="J66" s="3">
        <v>0</v>
      </c>
      <c r="K66" s="3">
        <v>15750</v>
      </c>
      <c r="L66" s="3">
        <v>0</v>
      </c>
      <c r="M66" s="3">
        <f t="shared" si="1"/>
        <v>15750</v>
      </c>
      <c r="N66" s="3">
        <f t="shared" si="6"/>
        <v>978</v>
      </c>
      <c r="O66" s="3">
        <f t="shared" si="4"/>
        <v>118</v>
      </c>
      <c r="Q66">
        <f t="shared" si="2"/>
        <v>7875</v>
      </c>
      <c r="R66" s="10">
        <f t="shared" si="3"/>
        <v>275</v>
      </c>
      <c r="S66" s="12" t="s">
        <v>269</v>
      </c>
      <c r="T66" s="12" t="s">
        <v>280</v>
      </c>
      <c r="U66" t="s">
        <v>270</v>
      </c>
    </row>
    <row r="67" spans="1:21" x14ac:dyDescent="0.25">
      <c r="A67" s="1">
        <v>61</v>
      </c>
      <c r="B67" s="2" t="s">
        <v>145</v>
      </c>
      <c r="C67" s="2" t="s">
        <v>127</v>
      </c>
      <c r="D67" s="2" t="s">
        <v>52</v>
      </c>
      <c r="E67" s="2" t="s">
        <v>146</v>
      </c>
      <c r="F67" s="3">
        <v>20000</v>
      </c>
      <c r="G67" s="3">
        <v>0</v>
      </c>
      <c r="H67" s="3">
        <v>0</v>
      </c>
      <c r="I67" s="3">
        <v>0</v>
      </c>
      <c r="J67" s="3">
        <v>0</v>
      </c>
      <c r="K67" s="3">
        <v>20000</v>
      </c>
      <c r="L67" s="3">
        <v>0</v>
      </c>
      <c r="M67" s="3">
        <f t="shared" si="1"/>
        <v>20000</v>
      </c>
      <c r="N67" s="3">
        <v>0</v>
      </c>
      <c r="O67" s="3">
        <f t="shared" si="4"/>
        <v>150</v>
      </c>
      <c r="Q67">
        <f t="shared" si="2"/>
        <v>10000</v>
      </c>
      <c r="R67" s="10">
        <f t="shared" si="3"/>
        <v>10000</v>
      </c>
      <c r="S67" s="12" t="s">
        <v>272</v>
      </c>
      <c r="T67" s="12" t="s">
        <v>280</v>
      </c>
    </row>
    <row r="68" spans="1:21" x14ac:dyDescent="0.25">
      <c r="A68" s="1">
        <v>62</v>
      </c>
      <c r="B68" s="2" t="s">
        <v>147</v>
      </c>
      <c r="C68" s="2" t="s">
        <v>127</v>
      </c>
      <c r="D68" s="2" t="s">
        <v>52</v>
      </c>
      <c r="E68" s="2" t="s">
        <v>148</v>
      </c>
      <c r="F68" s="3">
        <v>20000</v>
      </c>
      <c r="G68" s="3">
        <v>0</v>
      </c>
      <c r="H68" s="3">
        <v>0</v>
      </c>
      <c r="I68" s="3">
        <v>0</v>
      </c>
      <c r="J68" s="3">
        <v>0</v>
      </c>
      <c r="K68" s="3">
        <v>20000</v>
      </c>
      <c r="L68" s="3">
        <v>0</v>
      </c>
      <c r="M68" s="3">
        <f t="shared" si="1"/>
        <v>20000</v>
      </c>
      <c r="N68" s="3">
        <v>0</v>
      </c>
      <c r="O68" s="3">
        <f t="shared" si="4"/>
        <v>150</v>
      </c>
      <c r="Q68">
        <f t="shared" si="2"/>
        <v>10000</v>
      </c>
      <c r="R68" s="10">
        <f t="shared" si="3"/>
        <v>10000</v>
      </c>
      <c r="S68" s="12" t="s">
        <v>272</v>
      </c>
      <c r="T68" s="12" t="s">
        <v>280</v>
      </c>
    </row>
    <row r="69" spans="1:21" x14ac:dyDescent="0.25">
      <c r="A69" s="1">
        <v>63</v>
      </c>
      <c r="B69" s="2" t="s">
        <v>149</v>
      </c>
      <c r="C69" s="2" t="s">
        <v>127</v>
      </c>
      <c r="D69" s="2" t="s">
        <v>52</v>
      </c>
      <c r="E69" s="2" t="s">
        <v>150</v>
      </c>
      <c r="F69" s="3">
        <v>21000</v>
      </c>
      <c r="G69" s="3">
        <v>0</v>
      </c>
      <c r="H69" s="3">
        <v>0</v>
      </c>
      <c r="I69" s="3">
        <v>0</v>
      </c>
      <c r="J69" s="3">
        <v>0</v>
      </c>
      <c r="K69" s="3">
        <v>21000</v>
      </c>
      <c r="L69" s="3">
        <v>0</v>
      </c>
      <c r="M69" s="3">
        <f t="shared" si="1"/>
        <v>21000</v>
      </c>
      <c r="N69" s="3">
        <v>0</v>
      </c>
      <c r="O69" s="3">
        <f t="shared" si="4"/>
        <v>158</v>
      </c>
      <c r="Q69">
        <f t="shared" si="2"/>
        <v>10500</v>
      </c>
      <c r="R69" s="10">
        <f t="shared" si="3"/>
        <v>10500</v>
      </c>
      <c r="S69" s="12" t="s">
        <v>272</v>
      </c>
      <c r="T69" s="12" t="s">
        <v>280</v>
      </c>
    </row>
    <row r="70" spans="1:21" x14ac:dyDescent="0.25">
      <c r="A70" s="1">
        <v>64</v>
      </c>
      <c r="B70" s="2" t="s">
        <v>151</v>
      </c>
      <c r="C70" s="2" t="s">
        <v>127</v>
      </c>
      <c r="D70" s="2" t="s">
        <v>52</v>
      </c>
      <c r="E70" s="2" t="s">
        <v>152</v>
      </c>
      <c r="F70" s="3">
        <v>20000</v>
      </c>
      <c r="G70" s="3">
        <v>0</v>
      </c>
      <c r="H70" s="3">
        <v>0</v>
      </c>
      <c r="I70" s="3">
        <v>0</v>
      </c>
      <c r="J70" s="3">
        <v>0</v>
      </c>
      <c r="K70" s="3">
        <v>20000</v>
      </c>
      <c r="L70" s="3">
        <v>0</v>
      </c>
      <c r="M70" s="3">
        <f t="shared" si="1"/>
        <v>20000</v>
      </c>
      <c r="N70" s="3">
        <v>0</v>
      </c>
      <c r="O70" s="3">
        <f t="shared" si="4"/>
        <v>150</v>
      </c>
      <c r="Q70">
        <f t="shared" si="2"/>
        <v>10000</v>
      </c>
      <c r="R70" s="10">
        <f t="shared" si="3"/>
        <v>10000</v>
      </c>
      <c r="S70" s="12" t="s">
        <v>272</v>
      </c>
      <c r="T70" s="12" t="s">
        <v>280</v>
      </c>
    </row>
    <row r="71" spans="1:21" x14ac:dyDescent="0.25">
      <c r="A71" s="1">
        <v>65</v>
      </c>
      <c r="B71" s="2" t="s">
        <v>153</v>
      </c>
      <c r="C71" s="2" t="s">
        <v>127</v>
      </c>
      <c r="D71" s="2" t="s">
        <v>52</v>
      </c>
      <c r="E71" s="2" t="s">
        <v>154</v>
      </c>
      <c r="F71" s="3">
        <v>20000</v>
      </c>
      <c r="G71" s="3">
        <v>0</v>
      </c>
      <c r="H71" s="3">
        <v>0</v>
      </c>
      <c r="I71" s="3">
        <v>0</v>
      </c>
      <c r="J71" s="3">
        <v>0</v>
      </c>
      <c r="K71" s="3">
        <v>20000</v>
      </c>
      <c r="L71" s="3">
        <v>0</v>
      </c>
      <c r="M71" s="3">
        <f t="shared" si="1"/>
        <v>20000</v>
      </c>
      <c r="N71" s="3">
        <v>0</v>
      </c>
      <c r="O71" s="3">
        <f t="shared" si="4"/>
        <v>150</v>
      </c>
      <c r="Q71">
        <f t="shared" si="2"/>
        <v>10000</v>
      </c>
      <c r="R71" s="10">
        <f t="shared" si="3"/>
        <v>10000</v>
      </c>
      <c r="S71" s="12" t="s">
        <v>272</v>
      </c>
      <c r="T71" s="12" t="s">
        <v>280</v>
      </c>
    </row>
    <row r="72" spans="1:21" x14ac:dyDescent="0.25">
      <c r="A72" s="1">
        <v>66</v>
      </c>
      <c r="B72" s="2" t="s">
        <v>155</v>
      </c>
      <c r="C72" s="2" t="s">
        <v>127</v>
      </c>
      <c r="D72" s="2" t="s">
        <v>59</v>
      </c>
      <c r="E72" s="2" t="s">
        <v>156</v>
      </c>
      <c r="F72" s="3">
        <v>7500</v>
      </c>
      <c r="G72" s="3">
        <v>2700</v>
      </c>
      <c r="H72" s="3">
        <v>2400</v>
      </c>
      <c r="I72" s="3">
        <v>0</v>
      </c>
      <c r="J72" s="3">
        <v>0</v>
      </c>
      <c r="K72" s="3">
        <v>12600</v>
      </c>
      <c r="L72" s="3">
        <v>0</v>
      </c>
      <c r="M72" s="3">
        <f t="shared" ref="M72:M125" si="7">K72+L72</f>
        <v>12600</v>
      </c>
      <c r="N72" s="3">
        <f t="shared" ref="N72" si="8">(ROUND(F72*12%,0))</f>
        <v>900</v>
      </c>
      <c r="O72" s="3">
        <f t="shared" si="4"/>
        <v>95</v>
      </c>
      <c r="Q72">
        <f t="shared" ref="Q72:Q125" si="9">ROUND(K72/2,0)</f>
        <v>6300</v>
      </c>
      <c r="R72" s="10">
        <f t="shared" ref="R72:R125" si="10">F72-Q72</f>
        <v>1200</v>
      </c>
      <c r="S72" s="12" t="s">
        <v>269</v>
      </c>
      <c r="T72" s="12" t="s">
        <v>280</v>
      </c>
      <c r="U72" t="s">
        <v>270</v>
      </c>
    </row>
    <row r="73" spans="1:21" x14ac:dyDescent="0.25">
      <c r="A73" s="1">
        <v>67</v>
      </c>
      <c r="B73" s="2" t="s">
        <v>157</v>
      </c>
      <c r="C73" s="2" t="s">
        <v>127</v>
      </c>
      <c r="D73" s="2" t="s">
        <v>52</v>
      </c>
      <c r="E73" s="2" t="s">
        <v>158</v>
      </c>
      <c r="F73" s="3">
        <v>20000</v>
      </c>
      <c r="G73" s="3">
        <v>0</v>
      </c>
      <c r="H73" s="3">
        <v>0</v>
      </c>
      <c r="I73" s="3">
        <v>0</v>
      </c>
      <c r="J73" s="3">
        <v>0</v>
      </c>
      <c r="K73" s="3">
        <v>20000</v>
      </c>
      <c r="L73" s="3">
        <v>0</v>
      </c>
      <c r="M73" s="3">
        <f t="shared" si="7"/>
        <v>20000</v>
      </c>
      <c r="N73" s="3">
        <v>0</v>
      </c>
      <c r="O73" s="3">
        <f t="shared" si="4"/>
        <v>150</v>
      </c>
      <c r="Q73">
        <f t="shared" si="9"/>
        <v>10000</v>
      </c>
      <c r="R73" s="10">
        <f t="shared" si="10"/>
        <v>10000</v>
      </c>
      <c r="S73" s="12" t="s">
        <v>272</v>
      </c>
      <c r="T73" s="12" t="s">
        <v>280</v>
      </c>
    </row>
    <row r="74" spans="1:21" x14ac:dyDescent="0.25">
      <c r="A74" s="1">
        <v>68</v>
      </c>
      <c r="B74" s="2" t="s">
        <v>159</v>
      </c>
      <c r="C74" s="2" t="s">
        <v>127</v>
      </c>
      <c r="D74" s="2" t="s">
        <v>59</v>
      </c>
      <c r="E74" s="2" t="s">
        <v>160</v>
      </c>
      <c r="F74" s="3">
        <v>7500</v>
      </c>
      <c r="G74" s="3">
        <v>2700</v>
      </c>
      <c r="H74" s="3">
        <v>2400</v>
      </c>
      <c r="I74" s="3">
        <v>0</v>
      </c>
      <c r="J74" s="3">
        <v>0</v>
      </c>
      <c r="K74" s="3">
        <v>12600</v>
      </c>
      <c r="L74" s="3">
        <v>0</v>
      </c>
      <c r="M74" s="3">
        <f t="shared" si="7"/>
        <v>12600</v>
      </c>
      <c r="N74" s="3">
        <f t="shared" ref="N74:N87" si="11">(ROUND(F74*12%,0))</f>
        <v>900</v>
      </c>
      <c r="O74" s="3">
        <f t="shared" si="4"/>
        <v>95</v>
      </c>
      <c r="Q74">
        <f t="shared" si="9"/>
        <v>6300</v>
      </c>
      <c r="R74" s="10">
        <f t="shared" si="10"/>
        <v>1200</v>
      </c>
      <c r="S74" s="12" t="s">
        <v>269</v>
      </c>
      <c r="T74" s="12" t="s">
        <v>280</v>
      </c>
      <c r="U74" t="s">
        <v>270</v>
      </c>
    </row>
    <row r="75" spans="1:21" x14ac:dyDescent="0.25">
      <c r="A75" s="1">
        <v>69</v>
      </c>
      <c r="B75" s="2" t="s">
        <v>161</v>
      </c>
      <c r="C75" s="2" t="s">
        <v>127</v>
      </c>
      <c r="D75" s="2" t="s">
        <v>59</v>
      </c>
      <c r="E75" s="2" t="s">
        <v>162</v>
      </c>
      <c r="F75" s="3">
        <v>7500</v>
      </c>
      <c r="G75" s="3">
        <v>2700</v>
      </c>
      <c r="H75" s="3">
        <v>2400</v>
      </c>
      <c r="I75" s="3">
        <v>0</v>
      </c>
      <c r="J75" s="3">
        <v>0</v>
      </c>
      <c r="K75" s="3">
        <v>12600</v>
      </c>
      <c r="L75" s="3">
        <v>0</v>
      </c>
      <c r="M75" s="3">
        <f t="shared" si="7"/>
        <v>12600</v>
      </c>
      <c r="N75" s="3">
        <f t="shared" si="11"/>
        <v>900</v>
      </c>
      <c r="O75" s="3">
        <f t="shared" si="4"/>
        <v>95</v>
      </c>
      <c r="Q75">
        <f t="shared" si="9"/>
        <v>6300</v>
      </c>
      <c r="R75" s="10">
        <f t="shared" si="10"/>
        <v>1200</v>
      </c>
      <c r="S75" s="12" t="s">
        <v>269</v>
      </c>
      <c r="T75" s="12" t="s">
        <v>280</v>
      </c>
      <c r="U75" t="s">
        <v>270</v>
      </c>
    </row>
    <row r="76" spans="1:21" x14ac:dyDescent="0.25">
      <c r="A76" s="1">
        <v>70</v>
      </c>
      <c r="B76" s="2" t="s">
        <v>163</v>
      </c>
      <c r="C76" s="2" t="s">
        <v>127</v>
      </c>
      <c r="D76" s="2" t="s">
        <v>59</v>
      </c>
      <c r="E76" s="2" t="s">
        <v>164</v>
      </c>
      <c r="F76" s="3">
        <v>7500</v>
      </c>
      <c r="G76" s="3">
        <v>2700</v>
      </c>
      <c r="H76" s="3">
        <v>2400</v>
      </c>
      <c r="I76" s="3">
        <v>0</v>
      </c>
      <c r="J76" s="3">
        <v>0</v>
      </c>
      <c r="K76" s="3">
        <v>12600</v>
      </c>
      <c r="L76" s="3">
        <v>0</v>
      </c>
      <c r="M76" s="3">
        <f t="shared" si="7"/>
        <v>12600</v>
      </c>
      <c r="N76" s="3">
        <f t="shared" si="11"/>
        <v>900</v>
      </c>
      <c r="O76" s="3">
        <f t="shared" si="4"/>
        <v>95</v>
      </c>
      <c r="Q76">
        <f t="shared" si="9"/>
        <v>6300</v>
      </c>
      <c r="R76" s="10">
        <f t="shared" si="10"/>
        <v>1200</v>
      </c>
      <c r="S76" s="12" t="s">
        <v>269</v>
      </c>
      <c r="T76" s="12" t="s">
        <v>280</v>
      </c>
      <c r="U76" t="s">
        <v>270</v>
      </c>
    </row>
    <row r="77" spans="1:21" x14ac:dyDescent="0.25">
      <c r="A77" s="1">
        <v>71</v>
      </c>
      <c r="B77" s="2" t="s">
        <v>165</v>
      </c>
      <c r="C77" s="2" t="s">
        <v>127</v>
      </c>
      <c r="D77" s="2" t="s">
        <v>62</v>
      </c>
      <c r="E77" s="2" t="s">
        <v>166</v>
      </c>
      <c r="F77" s="3">
        <v>8700</v>
      </c>
      <c r="G77" s="3">
        <v>4000</v>
      </c>
      <c r="H77" s="3">
        <v>3575</v>
      </c>
      <c r="I77" s="3">
        <v>0</v>
      </c>
      <c r="J77" s="3">
        <v>0</v>
      </c>
      <c r="K77" s="3">
        <v>16275</v>
      </c>
      <c r="L77" s="3">
        <v>0</v>
      </c>
      <c r="M77" s="3">
        <f t="shared" si="7"/>
        <v>16275</v>
      </c>
      <c r="N77" s="3">
        <f t="shared" si="11"/>
        <v>1044</v>
      </c>
      <c r="O77" s="3">
        <f t="shared" si="4"/>
        <v>122</v>
      </c>
      <c r="Q77">
        <f t="shared" si="9"/>
        <v>8138</v>
      </c>
      <c r="R77" s="10">
        <f t="shared" si="10"/>
        <v>562</v>
      </c>
      <c r="S77" s="12" t="s">
        <v>269</v>
      </c>
      <c r="T77" s="12" t="s">
        <v>280</v>
      </c>
      <c r="U77" t="s">
        <v>270</v>
      </c>
    </row>
    <row r="78" spans="1:21" x14ac:dyDescent="0.25">
      <c r="A78" s="1">
        <v>72</v>
      </c>
      <c r="B78" s="2" t="s">
        <v>167</v>
      </c>
      <c r="C78" s="2" t="s">
        <v>127</v>
      </c>
      <c r="D78" s="2" t="s">
        <v>62</v>
      </c>
      <c r="E78" s="2" t="s">
        <v>168</v>
      </c>
      <c r="F78" s="3">
        <v>8150</v>
      </c>
      <c r="G78" s="3">
        <v>2850</v>
      </c>
      <c r="H78" s="3">
        <v>2650</v>
      </c>
      <c r="I78" s="3">
        <v>0</v>
      </c>
      <c r="J78" s="3">
        <v>0</v>
      </c>
      <c r="K78" s="3">
        <v>13650</v>
      </c>
      <c r="L78" s="3">
        <v>0</v>
      </c>
      <c r="M78" s="3">
        <f t="shared" si="7"/>
        <v>13650</v>
      </c>
      <c r="N78" s="3">
        <f t="shared" si="11"/>
        <v>978</v>
      </c>
      <c r="O78" s="3">
        <f t="shared" si="4"/>
        <v>102</v>
      </c>
      <c r="Q78">
        <f t="shared" si="9"/>
        <v>6825</v>
      </c>
      <c r="R78" s="10">
        <f t="shared" si="10"/>
        <v>1325</v>
      </c>
      <c r="S78" s="12" t="s">
        <v>269</v>
      </c>
      <c r="T78" s="12" t="s">
        <v>280</v>
      </c>
      <c r="U78" t="s">
        <v>270</v>
      </c>
    </row>
    <row r="79" spans="1:21" x14ac:dyDescent="0.25">
      <c r="A79" s="1">
        <v>73</v>
      </c>
      <c r="B79" s="2" t="s">
        <v>169</v>
      </c>
      <c r="C79" s="2" t="s">
        <v>127</v>
      </c>
      <c r="D79" s="2" t="s">
        <v>52</v>
      </c>
      <c r="E79" s="2" t="s">
        <v>170</v>
      </c>
      <c r="F79" s="3">
        <v>21000</v>
      </c>
      <c r="G79" s="3">
        <v>0</v>
      </c>
      <c r="H79" s="3">
        <v>0</v>
      </c>
      <c r="I79" s="3">
        <v>0</v>
      </c>
      <c r="J79" s="3">
        <v>0</v>
      </c>
      <c r="K79" s="3">
        <v>21000</v>
      </c>
      <c r="L79" s="3">
        <v>0</v>
      </c>
      <c r="M79" s="3">
        <f t="shared" si="7"/>
        <v>21000</v>
      </c>
      <c r="N79" s="3">
        <v>0</v>
      </c>
      <c r="O79" s="3">
        <f t="shared" si="4"/>
        <v>158</v>
      </c>
      <c r="Q79">
        <f t="shared" si="9"/>
        <v>10500</v>
      </c>
      <c r="R79" s="10">
        <f t="shared" si="10"/>
        <v>10500</v>
      </c>
      <c r="S79" s="12" t="s">
        <v>272</v>
      </c>
      <c r="T79" s="12" t="s">
        <v>280</v>
      </c>
    </row>
    <row r="80" spans="1:21" x14ac:dyDescent="0.25">
      <c r="A80" s="1">
        <v>74</v>
      </c>
      <c r="B80" s="2" t="s">
        <v>171</v>
      </c>
      <c r="C80" s="2" t="s">
        <v>172</v>
      </c>
      <c r="D80" s="2" t="s">
        <v>19</v>
      </c>
      <c r="E80" s="2" t="s">
        <v>173</v>
      </c>
      <c r="F80" s="3">
        <v>9500</v>
      </c>
      <c r="G80" s="3">
        <v>5400</v>
      </c>
      <c r="H80" s="3">
        <v>5100</v>
      </c>
      <c r="I80" s="3">
        <v>0</v>
      </c>
      <c r="J80" s="3">
        <v>0</v>
      </c>
      <c r="K80" s="3">
        <v>20000</v>
      </c>
      <c r="L80" s="3">
        <v>0</v>
      </c>
      <c r="M80" s="3">
        <f t="shared" si="7"/>
        <v>20000</v>
      </c>
      <c r="N80" s="3">
        <f t="shared" si="11"/>
        <v>1140</v>
      </c>
      <c r="O80" s="3">
        <f t="shared" si="4"/>
        <v>150</v>
      </c>
      <c r="Q80">
        <f t="shared" si="9"/>
        <v>10000</v>
      </c>
      <c r="R80" s="10">
        <f t="shared" si="10"/>
        <v>-500</v>
      </c>
      <c r="S80" s="11" t="s">
        <v>279</v>
      </c>
      <c r="T80" s="11" t="s">
        <v>278</v>
      </c>
      <c r="U80" t="s">
        <v>270</v>
      </c>
    </row>
    <row r="81" spans="1:21" x14ac:dyDescent="0.25">
      <c r="A81" s="1">
        <v>75</v>
      </c>
      <c r="B81" s="2" t="s">
        <v>174</v>
      </c>
      <c r="C81" s="2" t="s">
        <v>172</v>
      </c>
      <c r="D81" s="2" t="s">
        <v>19</v>
      </c>
      <c r="E81" s="2" t="s">
        <v>175</v>
      </c>
      <c r="F81" s="3">
        <v>9700</v>
      </c>
      <c r="G81" s="3">
        <v>5800</v>
      </c>
      <c r="H81" s="3">
        <v>5500</v>
      </c>
      <c r="I81" s="3">
        <v>0</v>
      </c>
      <c r="J81" s="3">
        <v>0</v>
      </c>
      <c r="K81" s="3">
        <v>21000</v>
      </c>
      <c r="L81" s="3">
        <v>0</v>
      </c>
      <c r="M81" s="3">
        <f t="shared" si="7"/>
        <v>21000</v>
      </c>
      <c r="N81" s="3">
        <f t="shared" si="11"/>
        <v>1164</v>
      </c>
      <c r="O81" s="3">
        <f t="shared" si="4"/>
        <v>158</v>
      </c>
      <c r="Q81">
        <f t="shared" si="9"/>
        <v>10500</v>
      </c>
      <c r="R81" s="10">
        <f t="shared" si="10"/>
        <v>-800</v>
      </c>
      <c r="S81" s="11" t="s">
        <v>279</v>
      </c>
      <c r="T81" s="11" t="s">
        <v>278</v>
      </c>
      <c r="U81" t="s">
        <v>270</v>
      </c>
    </row>
    <row r="82" spans="1:21" x14ac:dyDescent="0.25">
      <c r="A82" s="1">
        <v>76</v>
      </c>
      <c r="B82" s="2" t="s">
        <v>176</v>
      </c>
      <c r="C82" s="2" t="s">
        <v>172</v>
      </c>
      <c r="D82" s="2" t="s">
        <v>19</v>
      </c>
      <c r="E82" s="2" t="s">
        <v>177</v>
      </c>
      <c r="F82" s="3">
        <v>7600</v>
      </c>
      <c r="G82" s="3">
        <v>5200</v>
      </c>
      <c r="H82" s="3">
        <v>4200</v>
      </c>
      <c r="I82" s="3">
        <v>0</v>
      </c>
      <c r="J82" s="3">
        <v>0</v>
      </c>
      <c r="K82" s="3">
        <v>17000</v>
      </c>
      <c r="L82" s="3">
        <v>0</v>
      </c>
      <c r="M82" s="3">
        <f t="shared" si="7"/>
        <v>17000</v>
      </c>
      <c r="N82" s="3">
        <f t="shared" si="11"/>
        <v>912</v>
      </c>
      <c r="O82" s="3">
        <f t="shared" si="4"/>
        <v>128</v>
      </c>
      <c r="Q82">
        <f t="shared" si="9"/>
        <v>8500</v>
      </c>
      <c r="R82" s="10">
        <f t="shared" si="10"/>
        <v>-900</v>
      </c>
      <c r="S82" s="11" t="s">
        <v>279</v>
      </c>
      <c r="T82" s="11" t="s">
        <v>278</v>
      </c>
      <c r="U82" t="s">
        <v>270</v>
      </c>
    </row>
    <row r="83" spans="1:21" x14ac:dyDescent="0.25">
      <c r="A83" s="1">
        <v>77</v>
      </c>
      <c r="B83" s="2" t="s">
        <v>178</v>
      </c>
      <c r="C83" s="2" t="s">
        <v>172</v>
      </c>
      <c r="D83" s="2" t="s">
        <v>19</v>
      </c>
      <c r="E83" s="2" t="s">
        <v>179</v>
      </c>
      <c r="F83" s="3">
        <v>36500</v>
      </c>
      <c r="G83" s="3">
        <v>0</v>
      </c>
      <c r="H83" s="3">
        <v>0</v>
      </c>
      <c r="I83" s="3">
        <v>0</v>
      </c>
      <c r="J83" s="3">
        <v>0</v>
      </c>
      <c r="K83" s="3">
        <v>36500</v>
      </c>
      <c r="L83" s="3">
        <v>0</v>
      </c>
      <c r="M83" s="3">
        <f t="shared" si="7"/>
        <v>36500</v>
      </c>
      <c r="N83" s="3">
        <v>0</v>
      </c>
      <c r="O83" s="3">
        <v>0</v>
      </c>
      <c r="Q83">
        <f t="shared" si="9"/>
        <v>18250</v>
      </c>
      <c r="R83" s="10">
        <f t="shared" si="10"/>
        <v>18250</v>
      </c>
      <c r="S83" s="12" t="s">
        <v>271</v>
      </c>
      <c r="T83" s="11" t="s">
        <v>275</v>
      </c>
    </row>
    <row r="84" spans="1:21" x14ac:dyDescent="0.25">
      <c r="A84" s="1">
        <v>78</v>
      </c>
      <c r="B84" s="2" t="s">
        <v>180</v>
      </c>
      <c r="C84" s="2" t="s">
        <v>172</v>
      </c>
      <c r="D84" s="2" t="s">
        <v>62</v>
      </c>
      <c r="E84" s="2" t="s">
        <v>181</v>
      </c>
      <c r="F84" s="3">
        <v>9200</v>
      </c>
      <c r="G84" s="3">
        <v>7400</v>
      </c>
      <c r="H84" s="3">
        <v>6400</v>
      </c>
      <c r="I84" s="3">
        <v>0</v>
      </c>
      <c r="J84" s="3">
        <v>0</v>
      </c>
      <c r="K84" s="3">
        <v>23000</v>
      </c>
      <c r="L84" s="3">
        <v>0</v>
      </c>
      <c r="M84" s="3">
        <f t="shared" si="7"/>
        <v>23000</v>
      </c>
      <c r="N84" s="3">
        <f t="shared" si="11"/>
        <v>1104</v>
      </c>
      <c r="O84" s="3">
        <f t="shared" si="4"/>
        <v>173</v>
      </c>
      <c r="Q84">
        <f t="shared" si="9"/>
        <v>11500</v>
      </c>
      <c r="R84" s="10">
        <f t="shared" si="10"/>
        <v>-2300</v>
      </c>
      <c r="S84" s="11" t="s">
        <v>279</v>
      </c>
      <c r="T84" s="11" t="s">
        <v>278</v>
      </c>
      <c r="U84" t="s">
        <v>270</v>
      </c>
    </row>
    <row r="85" spans="1:21" x14ac:dyDescent="0.25">
      <c r="A85" s="1">
        <v>79</v>
      </c>
      <c r="B85" s="2" t="s">
        <v>182</v>
      </c>
      <c r="C85" s="2" t="s">
        <v>172</v>
      </c>
      <c r="D85" s="2" t="s">
        <v>62</v>
      </c>
      <c r="E85" s="2" t="s">
        <v>183</v>
      </c>
      <c r="F85" s="3">
        <v>7900</v>
      </c>
      <c r="G85" s="3">
        <v>6300</v>
      </c>
      <c r="H85" s="3">
        <v>4800</v>
      </c>
      <c r="I85" s="3">
        <v>0</v>
      </c>
      <c r="J85" s="3">
        <v>0</v>
      </c>
      <c r="K85" s="3">
        <v>19000</v>
      </c>
      <c r="L85" s="3">
        <v>0</v>
      </c>
      <c r="M85" s="3">
        <f t="shared" si="7"/>
        <v>19000</v>
      </c>
      <c r="N85" s="3">
        <f t="shared" si="11"/>
        <v>948</v>
      </c>
      <c r="O85" s="3">
        <f t="shared" si="4"/>
        <v>143</v>
      </c>
      <c r="Q85">
        <f t="shared" si="9"/>
        <v>9500</v>
      </c>
      <c r="R85" s="10">
        <f t="shared" si="10"/>
        <v>-1600</v>
      </c>
      <c r="S85" s="11" t="s">
        <v>279</v>
      </c>
      <c r="T85" s="11" t="s">
        <v>278</v>
      </c>
      <c r="U85" t="s">
        <v>270</v>
      </c>
    </row>
    <row r="86" spans="1:21" x14ac:dyDescent="0.25">
      <c r="A86" s="1">
        <v>80</v>
      </c>
      <c r="B86" s="2" t="s">
        <v>184</v>
      </c>
      <c r="C86" s="2" t="s">
        <v>172</v>
      </c>
      <c r="D86" s="2" t="s">
        <v>52</v>
      </c>
      <c r="E86" s="2" t="s">
        <v>185</v>
      </c>
      <c r="F86" s="3">
        <v>23400</v>
      </c>
      <c r="G86" s="3">
        <v>0</v>
      </c>
      <c r="H86" s="3">
        <v>0</v>
      </c>
      <c r="I86" s="3">
        <v>0</v>
      </c>
      <c r="J86" s="3">
        <v>0</v>
      </c>
      <c r="K86" s="3">
        <v>23400</v>
      </c>
      <c r="L86" s="3">
        <v>0</v>
      </c>
      <c r="M86" s="3">
        <f t="shared" si="7"/>
        <v>23400</v>
      </c>
      <c r="N86" s="3">
        <v>0</v>
      </c>
      <c r="O86" s="3">
        <f t="shared" si="4"/>
        <v>176</v>
      </c>
      <c r="Q86">
        <f t="shared" si="9"/>
        <v>11700</v>
      </c>
      <c r="R86" s="10">
        <f t="shared" si="10"/>
        <v>11700</v>
      </c>
      <c r="S86" s="12" t="s">
        <v>272</v>
      </c>
      <c r="T86" s="12" t="s">
        <v>280</v>
      </c>
    </row>
    <row r="87" spans="1:21" x14ac:dyDescent="0.25">
      <c r="A87" s="1">
        <v>81</v>
      </c>
      <c r="B87" s="2" t="s">
        <v>186</v>
      </c>
      <c r="C87" s="2" t="s">
        <v>172</v>
      </c>
      <c r="D87" s="2" t="s">
        <v>70</v>
      </c>
      <c r="E87" s="2" t="s">
        <v>187</v>
      </c>
      <c r="F87" s="3">
        <v>8500</v>
      </c>
      <c r="G87" s="3">
        <v>4800</v>
      </c>
      <c r="H87" s="3">
        <v>3700</v>
      </c>
      <c r="I87" s="3">
        <v>0</v>
      </c>
      <c r="J87" s="3">
        <v>0</v>
      </c>
      <c r="K87" s="3">
        <v>17000</v>
      </c>
      <c r="L87" s="3">
        <v>0</v>
      </c>
      <c r="M87" s="3">
        <f t="shared" si="7"/>
        <v>17000</v>
      </c>
      <c r="N87" s="3">
        <f t="shared" si="11"/>
        <v>1020</v>
      </c>
      <c r="O87" s="3">
        <f t="shared" si="4"/>
        <v>128</v>
      </c>
      <c r="Q87">
        <f t="shared" si="9"/>
        <v>8500</v>
      </c>
      <c r="R87" s="10">
        <f t="shared" si="10"/>
        <v>0</v>
      </c>
      <c r="S87" s="13" t="s">
        <v>269</v>
      </c>
      <c r="T87" s="12" t="s">
        <v>280</v>
      </c>
      <c r="U87" t="s">
        <v>270</v>
      </c>
    </row>
    <row r="88" spans="1:21" x14ac:dyDescent="0.25">
      <c r="A88" s="1">
        <v>82</v>
      </c>
      <c r="B88" s="2" t="s">
        <v>188</v>
      </c>
      <c r="C88" s="2" t="s">
        <v>172</v>
      </c>
      <c r="D88" s="2" t="s">
        <v>52</v>
      </c>
      <c r="E88" s="2" t="s">
        <v>189</v>
      </c>
      <c r="F88" s="3">
        <v>21200</v>
      </c>
      <c r="G88" s="3">
        <v>0</v>
      </c>
      <c r="H88" s="3">
        <v>0</v>
      </c>
      <c r="I88" s="3">
        <v>0</v>
      </c>
      <c r="J88" s="3">
        <v>0</v>
      </c>
      <c r="K88" s="3">
        <v>21200</v>
      </c>
      <c r="L88" s="3">
        <v>0</v>
      </c>
      <c r="M88" s="3">
        <f t="shared" si="7"/>
        <v>21200</v>
      </c>
      <c r="N88" s="3">
        <v>0</v>
      </c>
      <c r="O88" s="3">
        <f t="shared" si="4"/>
        <v>159</v>
      </c>
      <c r="Q88">
        <f t="shared" si="9"/>
        <v>10600</v>
      </c>
      <c r="R88" s="10">
        <f t="shared" si="10"/>
        <v>10600</v>
      </c>
      <c r="S88" s="12" t="s">
        <v>272</v>
      </c>
      <c r="T88" s="12" t="s">
        <v>280</v>
      </c>
    </row>
    <row r="89" spans="1:21" x14ac:dyDescent="0.25">
      <c r="A89" s="1">
        <v>83</v>
      </c>
      <c r="B89" s="2" t="s">
        <v>190</v>
      </c>
      <c r="C89" s="2" t="s">
        <v>172</v>
      </c>
      <c r="D89" s="2" t="s">
        <v>52</v>
      </c>
      <c r="E89" s="2" t="s">
        <v>191</v>
      </c>
      <c r="F89" s="3">
        <v>21000</v>
      </c>
      <c r="G89" s="3">
        <v>0</v>
      </c>
      <c r="H89" s="3">
        <v>0</v>
      </c>
      <c r="I89" s="3">
        <v>0</v>
      </c>
      <c r="J89" s="3">
        <v>0</v>
      </c>
      <c r="K89" s="3">
        <v>21000</v>
      </c>
      <c r="L89" s="3">
        <v>0</v>
      </c>
      <c r="M89" s="3">
        <f t="shared" si="7"/>
        <v>21000</v>
      </c>
      <c r="N89" s="3">
        <v>0</v>
      </c>
      <c r="O89" s="3">
        <f t="shared" si="4"/>
        <v>158</v>
      </c>
      <c r="Q89">
        <f t="shared" si="9"/>
        <v>10500</v>
      </c>
      <c r="R89" s="10">
        <f t="shared" si="10"/>
        <v>10500</v>
      </c>
      <c r="S89" s="12" t="s">
        <v>272</v>
      </c>
      <c r="T89" s="12" t="s">
        <v>280</v>
      </c>
    </row>
    <row r="90" spans="1:21" x14ac:dyDescent="0.25">
      <c r="A90" s="1">
        <v>84</v>
      </c>
      <c r="B90" s="2" t="s">
        <v>192</v>
      </c>
      <c r="C90" s="2" t="s">
        <v>172</v>
      </c>
      <c r="D90" s="2" t="s">
        <v>59</v>
      </c>
      <c r="E90" s="2" t="s">
        <v>193</v>
      </c>
      <c r="F90" s="3">
        <v>7400</v>
      </c>
      <c r="G90" s="3">
        <v>3300</v>
      </c>
      <c r="H90" s="3">
        <v>2300</v>
      </c>
      <c r="I90" s="3">
        <v>0</v>
      </c>
      <c r="J90" s="3">
        <v>0</v>
      </c>
      <c r="K90" s="3">
        <v>13000</v>
      </c>
      <c r="L90" s="3">
        <v>0</v>
      </c>
      <c r="M90" s="3">
        <f t="shared" si="7"/>
        <v>13000</v>
      </c>
      <c r="N90" s="3">
        <f t="shared" ref="N90:N91" si="12">(ROUND(F90*12%,0))</f>
        <v>888</v>
      </c>
      <c r="O90" s="3">
        <f t="shared" si="4"/>
        <v>98</v>
      </c>
      <c r="Q90">
        <f t="shared" si="9"/>
        <v>6500</v>
      </c>
      <c r="R90" s="10">
        <f t="shared" si="10"/>
        <v>900</v>
      </c>
      <c r="S90" s="12" t="s">
        <v>269</v>
      </c>
      <c r="T90" s="12" t="s">
        <v>280</v>
      </c>
      <c r="U90" t="s">
        <v>270</v>
      </c>
    </row>
    <row r="91" spans="1:21" x14ac:dyDescent="0.25">
      <c r="A91" s="1">
        <v>85</v>
      </c>
      <c r="B91" s="2" t="s">
        <v>194</v>
      </c>
      <c r="C91" s="2" t="s">
        <v>172</v>
      </c>
      <c r="D91" s="2" t="s">
        <v>59</v>
      </c>
      <c r="E91" s="2" t="s">
        <v>195</v>
      </c>
      <c r="F91" s="3">
        <v>7400</v>
      </c>
      <c r="G91" s="3">
        <v>3300</v>
      </c>
      <c r="H91" s="3">
        <v>2300</v>
      </c>
      <c r="I91" s="3">
        <v>0</v>
      </c>
      <c r="J91" s="3">
        <v>0</v>
      </c>
      <c r="K91" s="3">
        <v>13000</v>
      </c>
      <c r="L91" s="3">
        <v>0</v>
      </c>
      <c r="M91" s="3">
        <f t="shared" si="7"/>
        <v>13000</v>
      </c>
      <c r="N91" s="3">
        <f t="shared" si="12"/>
        <v>888</v>
      </c>
      <c r="O91" s="3">
        <f t="shared" si="4"/>
        <v>98</v>
      </c>
      <c r="Q91">
        <f t="shared" si="9"/>
        <v>6500</v>
      </c>
      <c r="R91" s="10">
        <f t="shared" si="10"/>
        <v>900</v>
      </c>
      <c r="S91" s="12" t="s">
        <v>269</v>
      </c>
      <c r="T91" s="12" t="s">
        <v>280</v>
      </c>
      <c r="U91" t="s">
        <v>270</v>
      </c>
    </row>
    <row r="92" spans="1:21" x14ac:dyDescent="0.25">
      <c r="A92" s="1">
        <v>86</v>
      </c>
      <c r="B92" s="2" t="s">
        <v>196</v>
      </c>
      <c r="C92" s="2" t="s">
        <v>172</v>
      </c>
      <c r="D92" s="2" t="s">
        <v>52</v>
      </c>
      <c r="E92" s="2" t="s">
        <v>197</v>
      </c>
      <c r="F92" s="3">
        <v>21200</v>
      </c>
      <c r="G92" s="3">
        <v>0</v>
      </c>
      <c r="H92" s="3">
        <v>0</v>
      </c>
      <c r="I92" s="3">
        <v>0</v>
      </c>
      <c r="J92" s="3">
        <v>0</v>
      </c>
      <c r="K92" s="3">
        <v>21200</v>
      </c>
      <c r="L92" s="3">
        <v>0</v>
      </c>
      <c r="M92" s="3">
        <f t="shared" si="7"/>
        <v>21200</v>
      </c>
      <c r="N92" s="3">
        <v>0</v>
      </c>
      <c r="O92" s="3">
        <f t="shared" si="4"/>
        <v>159</v>
      </c>
      <c r="Q92">
        <f t="shared" si="9"/>
        <v>10600</v>
      </c>
      <c r="R92" s="10">
        <f t="shared" si="10"/>
        <v>10600</v>
      </c>
      <c r="S92" s="12" t="s">
        <v>272</v>
      </c>
      <c r="T92" s="12" t="s">
        <v>280</v>
      </c>
    </row>
    <row r="93" spans="1:21" x14ac:dyDescent="0.25">
      <c r="A93" s="1">
        <v>87</v>
      </c>
      <c r="B93" s="2" t="s">
        <v>198</v>
      </c>
      <c r="C93" s="2" t="s">
        <v>172</v>
      </c>
      <c r="D93" s="2" t="s">
        <v>52</v>
      </c>
      <c r="E93" s="2" t="s">
        <v>199</v>
      </c>
      <c r="F93" s="3">
        <v>21200</v>
      </c>
      <c r="G93" s="3">
        <v>0</v>
      </c>
      <c r="H93" s="3">
        <v>0</v>
      </c>
      <c r="I93" s="3">
        <v>0</v>
      </c>
      <c r="J93" s="3">
        <v>0</v>
      </c>
      <c r="K93" s="3">
        <v>21200</v>
      </c>
      <c r="L93" s="3">
        <v>0</v>
      </c>
      <c r="M93" s="3">
        <f t="shared" si="7"/>
        <v>21200</v>
      </c>
      <c r="N93" s="3">
        <v>0</v>
      </c>
      <c r="O93" s="3">
        <f t="shared" si="4"/>
        <v>159</v>
      </c>
      <c r="Q93">
        <f t="shared" si="9"/>
        <v>10600</v>
      </c>
      <c r="R93" s="10">
        <f t="shared" si="10"/>
        <v>10600</v>
      </c>
      <c r="S93" s="12" t="s">
        <v>272</v>
      </c>
      <c r="T93" s="12" t="s">
        <v>280</v>
      </c>
    </row>
    <row r="94" spans="1:21" x14ac:dyDescent="0.25">
      <c r="A94" s="1">
        <v>88</v>
      </c>
      <c r="B94" s="2" t="s">
        <v>200</v>
      </c>
      <c r="C94" s="2" t="s">
        <v>172</v>
      </c>
      <c r="D94" s="2" t="s">
        <v>52</v>
      </c>
      <c r="E94" s="2" t="s">
        <v>201</v>
      </c>
      <c r="F94" s="3">
        <v>21200</v>
      </c>
      <c r="G94" s="3">
        <v>0</v>
      </c>
      <c r="H94" s="3">
        <v>0</v>
      </c>
      <c r="I94" s="3">
        <v>0</v>
      </c>
      <c r="J94" s="3">
        <v>0</v>
      </c>
      <c r="K94" s="3">
        <v>21200</v>
      </c>
      <c r="L94" s="3">
        <v>0</v>
      </c>
      <c r="M94" s="3">
        <f t="shared" si="7"/>
        <v>21200</v>
      </c>
      <c r="N94" s="3">
        <v>0</v>
      </c>
      <c r="O94" s="3">
        <f t="shared" si="4"/>
        <v>159</v>
      </c>
      <c r="Q94">
        <f t="shared" si="9"/>
        <v>10600</v>
      </c>
      <c r="R94" s="10">
        <f t="shared" si="10"/>
        <v>10600</v>
      </c>
      <c r="S94" s="12" t="s">
        <v>272</v>
      </c>
      <c r="T94" s="12" t="s">
        <v>280</v>
      </c>
    </row>
    <row r="95" spans="1:21" x14ac:dyDescent="0.25">
      <c r="A95" s="1">
        <v>89</v>
      </c>
      <c r="B95" s="2" t="s">
        <v>202</v>
      </c>
      <c r="C95" s="2" t="s">
        <v>172</v>
      </c>
      <c r="D95" s="2" t="s">
        <v>52</v>
      </c>
      <c r="E95" s="2" t="s">
        <v>203</v>
      </c>
      <c r="F95" s="3">
        <v>21200</v>
      </c>
      <c r="G95" s="3">
        <v>0</v>
      </c>
      <c r="H95" s="3">
        <v>0</v>
      </c>
      <c r="I95" s="3">
        <v>0</v>
      </c>
      <c r="J95" s="3">
        <v>0</v>
      </c>
      <c r="K95" s="3">
        <v>21200</v>
      </c>
      <c r="L95" s="3">
        <v>0</v>
      </c>
      <c r="M95" s="3">
        <f t="shared" si="7"/>
        <v>21200</v>
      </c>
      <c r="N95" s="3">
        <v>0</v>
      </c>
      <c r="O95" s="3">
        <f t="shared" si="4"/>
        <v>159</v>
      </c>
      <c r="Q95">
        <f t="shared" si="9"/>
        <v>10600</v>
      </c>
      <c r="R95" s="10">
        <f t="shared" si="10"/>
        <v>10600</v>
      </c>
      <c r="S95" s="12" t="s">
        <v>272</v>
      </c>
      <c r="T95" s="12" t="s">
        <v>280</v>
      </c>
    </row>
    <row r="96" spans="1:21" x14ac:dyDescent="0.25">
      <c r="A96" s="1">
        <v>90</v>
      </c>
      <c r="B96" s="2" t="s">
        <v>204</v>
      </c>
      <c r="C96" s="2" t="s">
        <v>172</v>
      </c>
      <c r="D96" s="2" t="s">
        <v>62</v>
      </c>
      <c r="E96" s="2" t="s">
        <v>205</v>
      </c>
      <c r="F96" s="3">
        <v>8000</v>
      </c>
      <c r="G96" s="3">
        <v>5300</v>
      </c>
      <c r="H96" s="3">
        <v>4700</v>
      </c>
      <c r="I96" s="3">
        <v>0</v>
      </c>
      <c r="J96" s="3">
        <v>0</v>
      </c>
      <c r="K96" s="3">
        <v>18000</v>
      </c>
      <c r="L96" s="3">
        <v>0</v>
      </c>
      <c r="M96" s="3">
        <f t="shared" si="7"/>
        <v>18000</v>
      </c>
      <c r="N96" s="3">
        <f t="shared" ref="N96" si="13">(ROUND(F96*12%,0))</f>
        <v>960</v>
      </c>
      <c r="O96" s="3">
        <f t="shared" si="4"/>
        <v>135</v>
      </c>
      <c r="Q96">
        <f t="shared" si="9"/>
        <v>9000</v>
      </c>
      <c r="R96" s="10">
        <f t="shared" si="10"/>
        <v>-1000</v>
      </c>
      <c r="S96" s="11" t="s">
        <v>279</v>
      </c>
      <c r="T96" s="11" t="s">
        <v>278</v>
      </c>
      <c r="U96" t="s">
        <v>270</v>
      </c>
    </row>
    <row r="97" spans="1:21" x14ac:dyDescent="0.25">
      <c r="A97" s="1">
        <v>91</v>
      </c>
      <c r="B97" s="2" t="s">
        <v>206</v>
      </c>
      <c r="C97" s="2" t="s">
        <v>172</v>
      </c>
      <c r="D97" s="2" t="s">
        <v>52</v>
      </c>
      <c r="E97" s="2" t="s">
        <v>207</v>
      </c>
      <c r="F97" s="3">
        <v>23400</v>
      </c>
      <c r="G97" s="3">
        <v>0</v>
      </c>
      <c r="H97" s="3">
        <v>0</v>
      </c>
      <c r="I97" s="3">
        <v>0</v>
      </c>
      <c r="J97" s="3">
        <v>0</v>
      </c>
      <c r="K97" s="3">
        <v>23400</v>
      </c>
      <c r="L97" s="3">
        <v>0</v>
      </c>
      <c r="M97" s="3">
        <f t="shared" si="7"/>
        <v>23400</v>
      </c>
      <c r="N97" s="3">
        <v>0</v>
      </c>
      <c r="O97" s="3">
        <f t="shared" si="4"/>
        <v>176</v>
      </c>
      <c r="Q97">
        <f t="shared" si="9"/>
        <v>11700</v>
      </c>
      <c r="R97" s="10">
        <f t="shared" si="10"/>
        <v>11700</v>
      </c>
      <c r="S97" s="12" t="s">
        <v>272</v>
      </c>
      <c r="T97" s="12" t="s">
        <v>280</v>
      </c>
    </row>
    <row r="98" spans="1:21" x14ac:dyDescent="0.25">
      <c r="A98" s="1">
        <v>92</v>
      </c>
      <c r="B98" s="2" t="s">
        <v>208</v>
      </c>
      <c r="C98" s="2" t="s">
        <v>172</v>
      </c>
      <c r="D98" s="2" t="s">
        <v>52</v>
      </c>
      <c r="E98" s="2" t="s">
        <v>209</v>
      </c>
      <c r="F98" s="3">
        <v>21200</v>
      </c>
      <c r="G98" s="3">
        <v>0</v>
      </c>
      <c r="H98" s="3">
        <v>0</v>
      </c>
      <c r="I98" s="3">
        <v>0</v>
      </c>
      <c r="J98" s="3">
        <v>0</v>
      </c>
      <c r="K98" s="3">
        <v>21200</v>
      </c>
      <c r="L98" s="3">
        <v>0</v>
      </c>
      <c r="M98" s="3">
        <f t="shared" si="7"/>
        <v>21200</v>
      </c>
      <c r="N98" s="3">
        <v>0</v>
      </c>
      <c r="O98" s="3">
        <f t="shared" si="4"/>
        <v>159</v>
      </c>
      <c r="Q98">
        <f t="shared" si="9"/>
        <v>10600</v>
      </c>
      <c r="R98" s="10">
        <f t="shared" si="10"/>
        <v>10600</v>
      </c>
      <c r="S98" s="12" t="s">
        <v>272</v>
      </c>
      <c r="T98" s="12" t="s">
        <v>280</v>
      </c>
    </row>
    <row r="99" spans="1:21" x14ac:dyDescent="0.25">
      <c r="A99" s="1">
        <v>93</v>
      </c>
      <c r="B99" s="2" t="s">
        <v>210</v>
      </c>
      <c r="C99" s="2" t="s">
        <v>172</v>
      </c>
      <c r="D99" s="2" t="s">
        <v>59</v>
      </c>
      <c r="E99" s="2" t="s">
        <v>211</v>
      </c>
      <c r="F99" s="3">
        <v>7700</v>
      </c>
      <c r="G99" s="3">
        <v>3500</v>
      </c>
      <c r="H99" s="3">
        <v>2400</v>
      </c>
      <c r="I99" s="3">
        <v>0</v>
      </c>
      <c r="J99" s="3">
        <v>0</v>
      </c>
      <c r="K99" s="3">
        <v>13600</v>
      </c>
      <c r="L99" s="3">
        <v>0</v>
      </c>
      <c r="M99" s="3">
        <f t="shared" si="7"/>
        <v>13600</v>
      </c>
      <c r="N99" s="3">
        <f t="shared" ref="N99" si="14">(ROUND(F99*12%,0))</f>
        <v>924</v>
      </c>
      <c r="O99" s="3">
        <f t="shared" si="4"/>
        <v>102</v>
      </c>
      <c r="Q99">
        <f t="shared" si="9"/>
        <v>6800</v>
      </c>
      <c r="R99" s="10">
        <f t="shared" si="10"/>
        <v>900</v>
      </c>
      <c r="S99" s="12" t="s">
        <v>269</v>
      </c>
      <c r="T99" s="12" t="s">
        <v>280</v>
      </c>
      <c r="U99" t="s">
        <v>270</v>
      </c>
    </row>
    <row r="100" spans="1:21" x14ac:dyDescent="0.25">
      <c r="A100" s="1">
        <v>94</v>
      </c>
      <c r="B100" s="2" t="s">
        <v>212</v>
      </c>
      <c r="C100" s="2" t="s">
        <v>172</v>
      </c>
      <c r="D100" s="2" t="s">
        <v>52</v>
      </c>
      <c r="E100" s="2" t="s">
        <v>213</v>
      </c>
      <c r="F100" s="3">
        <v>21200</v>
      </c>
      <c r="G100" s="3">
        <v>0</v>
      </c>
      <c r="H100" s="3">
        <v>0</v>
      </c>
      <c r="I100" s="3">
        <v>0</v>
      </c>
      <c r="J100" s="3">
        <v>0</v>
      </c>
      <c r="K100" s="3">
        <v>21200</v>
      </c>
      <c r="L100" s="3">
        <v>0</v>
      </c>
      <c r="M100" s="3">
        <f t="shared" si="7"/>
        <v>21200</v>
      </c>
      <c r="N100" s="3">
        <v>0</v>
      </c>
      <c r="O100" s="3">
        <f t="shared" si="4"/>
        <v>159</v>
      </c>
      <c r="Q100">
        <f t="shared" si="9"/>
        <v>10600</v>
      </c>
      <c r="R100" s="10">
        <f t="shared" si="10"/>
        <v>10600</v>
      </c>
      <c r="S100" s="12" t="s">
        <v>272</v>
      </c>
      <c r="T100" s="12" t="s">
        <v>280</v>
      </c>
    </row>
    <row r="101" spans="1:21" x14ac:dyDescent="0.25">
      <c r="A101" s="1">
        <v>95</v>
      </c>
      <c r="B101" s="2" t="s">
        <v>214</v>
      </c>
      <c r="C101" s="2" t="s">
        <v>172</v>
      </c>
      <c r="D101" s="2" t="s">
        <v>52</v>
      </c>
      <c r="E101" s="2" t="s">
        <v>215</v>
      </c>
      <c r="F101" s="3">
        <v>21200</v>
      </c>
      <c r="G101" s="3">
        <v>0</v>
      </c>
      <c r="H101" s="3">
        <v>0</v>
      </c>
      <c r="I101" s="3">
        <v>0</v>
      </c>
      <c r="J101" s="3">
        <v>0</v>
      </c>
      <c r="K101" s="3">
        <v>21200</v>
      </c>
      <c r="L101" s="3">
        <v>0</v>
      </c>
      <c r="M101" s="3">
        <f t="shared" si="7"/>
        <v>21200</v>
      </c>
      <c r="N101" s="3">
        <v>0</v>
      </c>
      <c r="O101" s="3">
        <f t="shared" si="4"/>
        <v>159</v>
      </c>
      <c r="Q101">
        <f t="shared" si="9"/>
        <v>10600</v>
      </c>
      <c r="R101" s="10">
        <f t="shared" si="10"/>
        <v>10600</v>
      </c>
      <c r="S101" s="12" t="s">
        <v>272</v>
      </c>
      <c r="T101" s="12" t="s">
        <v>280</v>
      </c>
    </row>
    <row r="102" spans="1:21" x14ac:dyDescent="0.25">
      <c r="A102" s="1">
        <v>96</v>
      </c>
      <c r="B102" s="2" t="s">
        <v>216</v>
      </c>
      <c r="C102" s="2" t="s">
        <v>172</v>
      </c>
      <c r="D102" s="2" t="s">
        <v>52</v>
      </c>
      <c r="E102" s="2" t="s">
        <v>217</v>
      </c>
      <c r="F102" s="3">
        <v>21200</v>
      </c>
      <c r="G102" s="3">
        <v>0</v>
      </c>
      <c r="H102" s="3">
        <v>0</v>
      </c>
      <c r="I102" s="3">
        <v>0</v>
      </c>
      <c r="J102" s="3">
        <v>0</v>
      </c>
      <c r="K102" s="3">
        <v>21200</v>
      </c>
      <c r="L102" s="3">
        <v>0</v>
      </c>
      <c r="M102" s="3">
        <f t="shared" si="7"/>
        <v>21200</v>
      </c>
      <c r="N102" s="3">
        <v>0</v>
      </c>
      <c r="O102" s="3">
        <f t="shared" si="4"/>
        <v>159</v>
      </c>
      <c r="Q102">
        <f t="shared" si="9"/>
        <v>10600</v>
      </c>
      <c r="R102" s="10">
        <f t="shared" si="10"/>
        <v>10600</v>
      </c>
      <c r="S102" s="12" t="s">
        <v>272</v>
      </c>
      <c r="T102" s="12" t="s">
        <v>280</v>
      </c>
    </row>
    <row r="103" spans="1:21" x14ac:dyDescent="0.25">
      <c r="A103" s="1">
        <v>97</v>
      </c>
      <c r="B103" s="2" t="s">
        <v>218</v>
      </c>
      <c r="C103" s="2" t="s">
        <v>172</v>
      </c>
      <c r="D103" s="2" t="s">
        <v>52</v>
      </c>
      <c r="E103" s="2" t="s">
        <v>219</v>
      </c>
      <c r="F103" s="3">
        <v>21200</v>
      </c>
      <c r="G103" s="3">
        <v>0</v>
      </c>
      <c r="H103" s="3">
        <v>0</v>
      </c>
      <c r="I103" s="3">
        <v>0</v>
      </c>
      <c r="J103" s="3">
        <v>0</v>
      </c>
      <c r="K103" s="3">
        <v>21200</v>
      </c>
      <c r="L103" s="3">
        <v>0</v>
      </c>
      <c r="M103" s="3">
        <f t="shared" si="7"/>
        <v>21200</v>
      </c>
      <c r="N103" s="3">
        <v>0</v>
      </c>
      <c r="O103" s="3">
        <f t="shared" si="4"/>
        <v>159</v>
      </c>
      <c r="Q103">
        <f t="shared" si="9"/>
        <v>10600</v>
      </c>
      <c r="R103" s="10">
        <f t="shared" si="10"/>
        <v>10600</v>
      </c>
      <c r="S103" s="12" t="s">
        <v>272</v>
      </c>
      <c r="T103" s="12" t="s">
        <v>280</v>
      </c>
    </row>
    <row r="104" spans="1:21" x14ac:dyDescent="0.25">
      <c r="A104" s="1">
        <v>98</v>
      </c>
      <c r="B104" s="2" t="s">
        <v>220</v>
      </c>
      <c r="C104" s="2" t="s">
        <v>221</v>
      </c>
      <c r="D104" s="2" t="s">
        <v>222</v>
      </c>
      <c r="E104" s="2" t="s">
        <v>223</v>
      </c>
      <c r="F104" s="3">
        <v>17700</v>
      </c>
      <c r="G104" s="3">
        <v>6000</v>
      </c>
      <c r="H104" s="3">
        <v>0</v>
      </c>
      <c r="I104" s="3">
        <v>6000</v>
      </c>
      <c r="J104" s="3">
        <v>5200</v>
      </c>
      <c r="K104" s="3">
        <v>34900</v>
      </c>
      <c r="L104" s="3">
        <v>0</v>
      </c>
      <c r="M104" s="3">
        <f t="shared" si="7"/>
        <v>34900</v>
      </c>
      <c r="N104" s="3">
        <f t="shared" ref="N104:N106" si="15">(ROUND(F104*12%,0))</f>
        <v>2124</v>
      </c>
      <c r="O104" s="3">
        <v>0</v>
      </c>
      <c r="Q104">
        <f t="shared" si="9"/>
        <v>17450</v>
      </c>
      <c r="R104" s="10">
        <f t="shared" si="10"/>
        <v>250</v>
      </c>
      <c r="S104" s="12" t="s">
        <v>269</v>
      </c>
      <c r="T104" s="11" t="s">
        <v>275</v>
      </c>
    </row>
    <row r="105" spans="1:21" x14ac:dyDescent="0.25">
      <c r="A105" s="1">
        <v>99</v>
      </c>
      <c r="B105" s="2" t="s">
        <v>224</v>
      </c>
      <c r="C105" s="2" t="s">
        <v>221</v>
      </c>
      <c r="D105" s="2" t="s">
        <v>222</v>
      </c>
      <c r="E105" s="2" t="s">
        <v>225</v>
      </c>
      <c r="F105" s="3">
        <v>17700</v>
      </c>
      <c r="G105" s="3">
        <v>6000</v>
      </c>
      <c r="H105" s="3">
        <v>0</v>
      </c>
      <c r="I105" s="3">
        <v>6000</v>
      </c>
      <c r="J105" s="3">
        <v>5200</v>
      </c>
      <c r="K105" s="3">
        <v>34900</v>
      </c>
      <c r="L105" s="3">
        <v>0</v>
      </c>
      <c r="M105" s="3">
        <f t="shared" si="7"/>
        <v>34900</v>
      </c>
      <c r="N105" s="3">
        <f t="shared" si="15"/>
        <v>2124</v>
      </c>
      <c r="O105" s="3">
        <v>0</v>
      </c>
      <c r="Q105">
        <f t="shared" si="9"/>
        <v>17450</v>
      </c>
      <c r="R105" s="10">
        <f t="shared" si="10"/>
        <v>250</v>
      </c>
      <c r="S105" s="12" t="s">
        <v>269</v>
      </c>
      <c r="T105" s="11" t="s">
        <v>275</v>
      </c>
    </row>
    <row r="106" spans="1:21" x14ac:dyDescent="0.25">
      <c r="A106" s="1">
        <v>100</v>
      </c>
      <c r="B106" s="2" t="s">
        <v>226</v>
      </c>
      <c r="C106" s="2" t="s">
        <v>221</v>
      </c>
      <c r="D106" s="2" t="s">
        <v>222</v>
      </c>
      <c r="E106" s="2" t="s">
        <v>227</v>
      </c>
      <c r="F106" s="3">
        <v>14000</v>
      </c>
      <c r="G106" s="3">
        <v>4000</v>
      </c>
      <c r="H106" s="3">
        <v>0</v>
      </c>
      <c r="I106" s="3">
        <v>5000</v>
      </c>
      <c r="J106" s="3">
        <v>4850</v>
      </c>
      <c r="K106" s="3">
        <v>27850</v>
      </c>
      <c r="L106" s="3">
        <v>0</v>
      </c>
      <c r="M106" s="3">
        <f t="shared" si="7"/>
        <v>27850</v>
      </c>
      <c r="N106" s="3">
        <f t="shared" si="15"/>
        <v>1680</v>
      </c>
      <c r="O106" s="3">
        <v>0</v>
      </c>
      <c r="Q106">
        <f t="shared" si="9"/>
        <v>13925</v>
      </c>
      <c r="R106" s="10">
        <f t="shared" si="10"/>
        <v>75</v>
      </c>
      <c r="S106" s="12" t="s">
        <v>269</v>
      </c>
      <c r="T106" s="11" t="s">
        <v>275</v>
      </c>
    </row>
    <row r="107" spans="1:21" x14ac:dyDescent="0.25">
      <c r="A107" s="1">
        <v>101</v>
      </c>
      <c r="B107" s="2" t="s">
        <v>228</v>
      </c>
      <c r="C107" s="2" t="s">
        <v>221</v>
      </c>
      <c r="D107" s="2" t="s">
        <v>222</v>
      </c>
      <c r="E107" s="2" t="s">
        <v>229</v>
      </c>
      <c r="F107" s="3">
        <v>21000</v>
      </c>
      <c r="G107" s="3">
        <v>5000</v>
      </c>
      <c r="H107" s="3">
        <v>0</v>
      </c>
      <c r="I107" s="3">
        <v>4000</v>
      </c>
      <c r="J107" s="3">
        <v>5200</v>
      </c>
      <c r="K107" s="3">
        <v>35200</v>
      </c>
      <c r="L107" s="3">
        <v>0</v>
      </c>
      <c r="M107" s="3">
        <f t="shared" si="7"/>
        <v>35200</v>
      </c>
      <c r="N107" s="3">
        <v>0</v>
      </c>
      <c r="O107" s="3">
        <v>0</v>
      </c>
      <c r="Q107">
        <f t="shared" si="9"/>
        <v>17600</v>
      </c>
      <c r="R107" s="10">
        <f t="shared" si="10"/>
        <v>3400</v>
      </c>
      <c r="S107" s="12" t="s">
        <v>272</v>
      </c>
      <c r="T107" s="11" t="s">
        <v>275</v>
      </c>
    </row>
    <row r="108" spans="1:21" x14ac:dyDescent="0.25">
      <c r="A108" s="1">
        <v>102</v>
      </c>
      <c r="B108" s="2" t="s">
        <v>230</v>
      </c>
      <c r="C108" s="2" t="s">
        <v>221</v>
      </c>
      <c r="D108" s="2" t="s">
        <v>222</v>
      </c>
      <c r="E108" s="2" t="s">
        <v>231</v>
      </c>
      <c r="F108" s="3">
        <v>12700</v>
      </c>
      <c r="G108" s="3">
        <v>4500</v>
      </c>
      <c r="H108" s="3">
        <v>0</v>
      </c>
      <c r="I108" s="3">
        <v>3550</v>
      </c>
      <c r="J108" s="3">
        <v>4031</v>
      </c>
      <c r="K108" s="3">
        <v>24781</v>
      </c>
      <c r="L108" s="3">
        <v>0</v>
      </c>
      <c r="M108" s="3">
        <f t="shared" si="7"/>
        <v>24781</v>
      </c>
      <c r="N108" s="3">
        <f t="shared" ref="N108:N109" si="16">(ROUND(F108*12%,0))</f>
        <v>1524</v>
      </c>
      <c r="O108" s="3">
        <f t="shared" ref="O108:O124" si="17">(ROUND((F108+G108+H108+I108)*0.75%,0))</f>
        <v>156</v>
      </c>
      <c r="Q108">
        <f t="shared" si="9"/>
        <v>12391</v>
      </c>
      <c r="R108" s="10">
        <f t="shared" si="10"/>
        <v>309</v>
      </c>
      <c r="S108" s="12" t="s">
        <v>269</v>
      </c>
      <c r="T108" s="12" t="s">
        <v>280</v>
      </c>
    </row>
    <row r="109" spans="1:21" x14ac:dyDescent="0.25">
      <c r="A109" s="1">
        <v>103</v>
      </c>
      <c r="B109" s="2" t="s">
        <v>232</v>
      </c>
      <c r="C109" s="2" t="s">
        <v>221</v>
      </c>
      <c r="D109" s="2" t="s">
        <v>222</v>
      </c>
      <c r="E109" s="2" t="s">
        <v>233</v>
      </c>
      <c r="F109" s="3">
        <v>16500</v>
      </c>
      <c r="G109" s="3">
        <v>6000</v>
      </c>
      <c r="H109" s="3">
        <v>0</v>
      </c>
      <c r="I109" s="3">
        <v>5000</v>
      </c>
      <c r="J109" s="3">
        <v>4700</v>
      </c>
      <c r="K109" s="3">
        <v>32200</v>
      </c>
      <c r="L109" s="3">
        <v>0</v>
      </c>
      <c r="M109" s="3">
        <f t="shared" si="7"/>
        <v>32200</v>
      </c>
      <c r="N109" s="3">
        <f t="shared" si="16"/>
        <v>1980</v>
      </c>
      <c r="O109" s="3">
        <v>0</v>
      </c>
      <c r="Q109">
        <f t="shared" si="9"/>
        <v>16100</v>
      </c>
      <c r="R109" s="10">
        <f t="shared" si="10"/>
        <v>400</v>
      </c>
      <c r="S109" s="12" t="s">
        <v>269</v>
      </c>
      <c r="T109" s="11" t="s">
        <v>275</v>
      </c>
    </row>
    <row r="110" spans="1:21" x14ac:dyDescent="0.25">
      <c r="A110" s="1">
        <v>104</v>
      </c>
      <c r="B110" s="2" t="s">
        <v>234</v>
      </c>
      <c r="C110" s="2" t="s">
        <v>221</v>
      </c>
      <c r="D110" s="2" t="s">
        <v>222</v>
      </c>
      <c r="E110" s="2" t="s">
        <v>235</v>
      </c>
      <c r="F110" s="3">
        <v>29000</v>
      </c>
      <c r="G110" s="3">
        <v>8000</v>
      </c>
      <c r="H110" s="3">
        <v>0</v>
      </c>
      <c r="I110" s="3">
        <v>7000</v>
      </c>
      <c r="J110" s="3">
        <v>5500</v>
      </c>
      <c r="K110" s="3">
        <v>49500</v>
      </c>
      <c r="L110" s="3">
        <v>0</v>
      </c>
      <c r="M110" s="3">
        <f t="shared" si="7"/>
        <v>49500</v>
      </c>
      <c r="N110" s="3">
        <v>0</v>
      </c>
      <c r="O110" s="3">
        <v>0</v>
      </c>
      <c r="Q110">
        <f t="shared" si="9"/>
        <v>24750</v>
      </c>
      <c r="R110" s="10">
        <f t="shared" si="10"/>
        <v>4250</v>
      </c>
      <c r="S110" s="12" t="s">
        <v>272</v>
      </c>
      <c r="T110" s="14" t="s">
        <v>276</v>
      </c>
    </row>
    <row r="111" spans="1:21" x14ac:dyDescent="0.25">
      <c r="A111" s="1">
        <v>105</v>
      </c>
      <c r="B111" s="2" t="s">
        <v>236</v>
      </c>
      <c r="C111" s="2" t="s">
        <v>221</v>
      </c>
      <c r="D111" s="2" t="s">
        <v>222</v>
      </c>
      <c r="E111" s="2" t="s">
        <v>237</v>
      </c>
      <c r="F111" s="3">
        <v>12700</v>
      </c>
      <c r="G111" s="3">
        <v>4500</v>
      </c>
      <c r="H111" s="3">
        <v>0</v>
      </c>
      <c r="I111" s="3">
        <v>3550</v>
      </c>
      <c r="J111" s="3">
        <v>4031</v>
      </c>
      <c r="K111" s="3">
        <v>24781</v>
      </c>
      <c r="L111" s="3">
        <v>0</v>
      </c>
      <c r="M111" s="3">
        <f t="shared" si="7"/>
        <v>24781</v>
      </c>
      <c r="N111" s="3">
        <f t="shared" ref="N111" si="18">(ROUND(F111*12%,0))</f>
        <v>1524</v>
      </c>
      <c r="O111" s="3">
        <f t="shared" si="17"/>
        <v>156</v>
      </c>
      <c r="Q111">
        <f t="shared" si="9"/>
        <v>12391</v>
      </c>
      <c r="R111" s="10">
        <f t="shared" si="10"/>
        <v>309</v>
      </c>
      <c r="S111" s="12" t="s">
        <v>269</v>
      </c>
      <c r="T111" s="12" t="s">
        <v>280</v>
      </c>
    </row>
    <row r="112" spans="1:21" x14ac:dyDescent="0.25">
      <c r="A112" s="1">
        <v>106</v>
      </c>
      <c r="B112" s="2" t="s">
        <v>238</v>
      </c>
      <c r="C112" s="2" t="s">
        <v>221</v>
      </c>
      <c r="D112" s="2" t="s">
        <v>222</v>
      </c>
      <c r="E112" s="2" t="s">
        <v>239</v>
      </c>
      <c r="F112" s="3">
        <v>39000</v>
      </c>
      <c r="G112" s="3">
        <v>8000</v>
      </c>
      <c r="H112" s="3">
        <v>0</v>
      </c>
      <c r="I112" s="3">
        <v>8000</v>
      </c>
      <c r="J112" s="3">
        <v>7000</v>
      </c>
      <c r="K112" s="3">
        <v>62000</v>
      </c>
      <c r="L112" s="3">
        <v>0</v>
      </c>
      <c r="M112" s="3">
        <f t="shared" si="7"/>
        <v>62000</v>
      </c>
      <c r="N112" s="3">
        <v>0</v>
      </c>
      <c r="O112" s="3">
        <v>0</v>
      </c>
      <c r="Q112">
        <f t="shared" si="9"/>
        <v>31000</v>
      </c>
      <c r="R112" s="10">
        <f t="shared" si="10"/>
        <v>8000</v>
      </c>
      <c r="S112" s="12" t="s">
        <v>272</v>
      </c>
      <c r="T112" s="14" t="s">
        <v>276</v>
      </c>
    </row>
    <row r="113" spans="1:21" x14ac:dyDescent="0.25">
      <c r="A113" s="1">
        <v>107</v>
      </c>
      <c r="B113" s="2" t="s">
        <v>240</v>
      </c>
      <c r="C113" s="2" t="s">
        <v>221</v>
      </c>
      <c r="D113" s="2" t="s">
        <v>222</v>
      </c>
      <c r="E113" s="2" t="s">
        <v>241</v>
      </c>
      <c r="F113" s="3">
        <v>12000</v>
      </c>
      <c r="G113" s="3">
        <v>6350</v>
      </c>
      <c r="H113" s="3">
        <v>0</v>
      </c>
      <c r="I113" s="3">
        <v>3000</v>
      </c>
      <c r="J113" s="3">
        <v>0</v>
      </c>
      <c r="K113" s="3">
        <v>21350</v>
      </c>
      <c r="L113" s="3">
        <v>0</v>
      </c>
      <c r="M113" s="3">
        <f t="shared" si="7"/>
        <v>21350</v>
      </c>
      <c r="N113" s="3">
        <f t="shared" ref="N113" si="19">(ROUND(F113*12%,0))</f>
        <v>1440</v>
      </c>
      <c r="O113" s="3">
        <v>0</v>
      </c>
      <c r="Q113">
        <f t="shared" si="9"/>
        <v>10675</v>
      </c>
      <c r="R113" s="10">
        <f t="shared" si="10"/>
        <v>1325</v>
      </c>
      <c r="S113" s="12" t="s">
        <v>269</v>
      </c>
      <c r="T113" s="11" t="s">
        <v>275</v>
      </c>
    </row>
    <row r="114" spans="1:21" x14ac:dyDescent="0.25">
      <c r="A114" s="1">
        <v>108</v>
      </c>
      <c r="B114" s="2" t="s">
        <v>242</v>
      </c>
      <c r="C114" s="2" t="s">
        <v>221</v>
      </c>
      <c r="D114" s="2" t="s">
        <v>222</v>
      </c>
      <c r="E114" s="2" t="s">
        <v>243</v>
      </c>
      <c r="F114" s="3">
        <v>27000</v>
      </c>
      <c r="G114" s="3">
        <v>6000</v>
      </c>
      <c r="H114" s="3">
        <v>0</v>
      </c>
      <c r="I114" s="3">
        <v>5500</v>
      </c>
      <c r="J114" s="3">
        <v>6500</v>
      </c>
      <c r="K114" s="3">
        <v>45000</v>
      </c>
      <c r="L114" s="3">
        <v>0</v>
      </c>
      <c r="M114" s="3">
        <f t="shared" si="7"/>
        <v>45000</v>
      </c>
      <c r="N114" s="3">
        <v>0</v>
      </c>
      <c r="O114" s="3">
        <v>0</v>
      </c>
      <c r="Q114">
        <f t="shared" si="9"/>
        <v>22500</v>
      </c>
      <c r="R114" s="10">
        <f t="shared" si="10"/>
        <v>4500</v>
      </c>
      <c r="S114" s="12" t="s">
        <v>272</v>
      </c>
      <c r="T114" s="14" t="s">
        <v>276</v>
      </c>
    </row>
    <row r="115" spans="1:21" x14ac:dyDescent="0.25">
      <c r="A115" s="1">
        <v>109</v>
      </c>
      <c r="B115" s="2" t="s">
        <v>244</v>
      </c>
      <c r="C115" s="2" t="s">
        <v>221</v>
      </c>
      <c r="D115" s="2" t="s">
        <v>222</v>
      </c>
      <c r="E115" s="2" t="s">
        <v>245</v>
      </c>
      <c r="F115" s="3">
        <v>31300</v>
      </c>
      <c r="G115" s="3">
        <v>5000</v>
      </c>
      <c r="H115" s="3">
        <v>0</v>
      </c>
      <c r="I115" s="3">
        <v>3000</v>
      </c>
      <c r="J115" s="3">
        <v>2300</v>
      </c>
      <c r="K115" s="3">
        <v>41600</v>
      </c>
      <c r="L115" s="3">
        <v>0</v>
      </c>
      <c r="M115" s="3">
        <f t="shared" si="7"/>
        <v>41600</v>
      </c>
      <c r="N115" s="3">
        <v>0</v>
      </c>
      <c r="O115" s="3">
        <v>0</v>
      </c>
      <c r="Q115">
        <f t="shared" si="9"/>
        <v>20800</v>
      </c>
      <c r="R115" s="10">
        <f t="shared" si="10"/>
        <v>10500</v>
      </c>
      <c r="S115" s="12" t="s">
        <v>272</v>
      </c>
      <c r="T115" s="11" t="s">
        <v>275</v>
      </c>
    </row>
    <row r="116" spans="1:21" x14ac:dyDescent="0.25">
      <c r="A116" s="1">
        <v>110</v>
      </c>
      <c r="B116" s="2" t="s">
        <v>246</v>
      </c>
      <c r="C116" s="2" t="s">
        <v>221</v>
      </c>
      <c r="D116" s="2" t="s">
        <v>222</v>
      </c>
      <c r="E116" s="2" t="s">
        <v>247</v>
      </c>
      <c r="F116" s="3">
        <v>20000</v>
      </c>
      <c r="G116" s="3">
        <v>4000</v>
      </c>
      <c r="H116" s="3">
        <v>0</v>
      </c>
      <c r="I116" s="3">
        <v>5000</v>
      </c>
      <c r="J116" s="3">
        <v>3200</v>
      </c>
      <c r="K116" s="3">
        <v>32200</v>
      </c>
      <c r="L116" s="3">
        <v>0</v>
      </c>
      <c r="M116" s="3">
        <f t="shared" si="7"/>
        <v>32200</v>
      </c>
      <c r="N116" s="3">
        <v>0</v>
      </c>
      <c r="O116" s="3">
        <v>0</v>
      </c>
      <c r="Q116">
        <f t="shared" si="9"/>
        <v>16100</v>
      </c>
      <c r="R116" s="10">
        <f t="shared" si="10"/>
        <v>3900</v>
      </c>
      <c r="S116" s="12" t="s">
        <v>272</v>
      </c>
      <c r="T116" s="11" t="s">
        <v>275</v>
      </c>
    </row>
    <row r="117" spans="1:21" x14ac:dyDescent="0.25">
      <c r="A117" s="1">
        <v>111</v>
      </c>
      <c r="B117" s="2" t="s">
        <v>248</v>
      </c>
      <c r="C117" s="2" t="s">
        <v>221</v>
      </c>
      <c r="D117" s="2" t="s">
        <v>222</v>
      </c>
      <c r="E117" s="2" t="s">
        <v>249</v>
      </c>
      <c r="F117" s="3">
        <v>16000</v>
      </c>
      <c r="G117" s="3">
        <v>4500</v>
      </c>
      <c r="H117" s="3">
        <v>0</v>
      </c>
      <c r="I117" s="3">
        <v>4000</v>
      </c>
      <c r="J117" s="3">
        <v>3700</v>
      </c>
      <c r="K117" s="3">
        <v>28200</v>
      </c>
      <c r="L117" s="3">
        <v>0</v>
      </c>
      <c r="M117" s="3">
        <f t="shared" si="7"/>
        <v>28200</v>
      </c>
      <c r="N117" s="3">
        <v>0</v>
      </c>
      <c r="O117" s="3">
        <v>0</v>
      </c>
      <c r="Q117">
        <f t="shared" si="9"/>
        <v>14100</v>
      </c>
      <c r="R117" s="10">
        <f t="shared" si="10"/>
        <v>1900</v>
      </c>
      <c r="S117" s="12" t="s">
        <v>272</v>
      </c>
      <c r="T117" s="11" t="s">
        <v>275</v>
      </c>
    </row>
    <row r="118" spans="1:21" x14ac:dyDescent="0.25">
      <c r="A118" s="1">
        <v>112</v>
      </c>
      <c r="B118" s="2" t="s">
        <v>250</v>
      </c>
      <c r="C118" s="2" t="s">
        <v>221</v>
      </c>
      <c r="D118" s="2" t="s">
        <v>222</v>
      </c>
      <c r="E118" s="2" t="s">
        <v>251</v>
      </c>
      <c r="F118" s="3">
        <v>7100</v>
      </c>
      <c r="G118" s="3">
        <v>3500</v>
      </c>
      <c r="H118" s="3">
        <v>0</v>
      </c>
      <c r="I118" s="3">
        <v>2000</v>
      </c>
      <c r="J118" s="3">
        <v>1450</v>
      </c>
      <c r="K118" s="3">
        <v>14050</v>
      </c>
      <c r="L118" s="3">
        <v>0</v>
      </c>
      <c r="M118" s="3">
        <f t="shared" si="7"/>
        <v>14050</v>
      </c>
      <c r="N118" s="3">
        <f t="shared" ref="N118:N124" si="20">(ROUND(F118*12%,0))</f>
        <v>852</v>
      </c>
      <c r="O118" s="3">
        <f t="shared" si="17"/>
        <v>95</v>
      </c>
      <c r="Q118">
        <f t="shared" si="9"/>
        <v>7025</v>
      </c>
      <c r="R118" s="10">
        <f t="shared" si="10"/>
        <v>75</v>
      </c>
      <c r="S118" s="12" t="s">
        <v>269</v>
      </c>
      <c r="T118" s="12" t="s">
        <v>280</v>
      </c>
      <c r="U118" t="s">
        <v>270</v>
      </c>
    </row>
    <row r="119" spans="1:21" x14ac:dyDescent="0.25">
      <c r="A119" s="1">
        <v>113</v>
      </c>
      <c r="B119" s="2" t="s">
        <v>252</v>
      </c>
      <c r="C119" s="2" t="s">
        <v>221</v>
      </c>
      <c r="D119" s="2" t="s">
        <v>222</v>
      </c>
      <c r="E119" s="2" t="s">
        <v>253</v>
      </c>
      <c r="F119" s="3">
        <v>6600</v>
      </c>
      <c r="G119" s="3">
        <v>3500</v>
      </c>
      <c r="H119" s="3">
        <v>0</v>
      </c>
      <c r="I119" s="3">
        <v>2000</v>
      </c>
      <c r="J119" s="3">
        <v>1600</v>
      </c>
      <c r="K119" s="3">
        <v>13700</v>
      </c>
      <c r="L119" s="3">
        <v>0</v>
      </c>
      <c r="M119" s="3">
        <f t="shared" si="7"/>
        <v>13700</v>
      </c>
      <c r="N119" s="3">
        <f t="shared" si="20"/>
        <v>792</v>
      </c>
      <c r="O119" s="3">
        <f t="shared" si="17"/>
        <v>91</v>
      </c>
      <c r="Q119">
        <f t="shared" si="9"/>
        <v>6850</v>
      </c>
      <c r="R119" s="10">
        <f t="shared" si="10"/>
        <v>-250</v>
      </c>
      <c r="S119" s="11" t="s">
        <v>279</v>
      </c>
      <c r="T119" s="11" t="s">
        <v>278</v>
      </c>
      <c r="U119" t="s">
        <v>270</v>
      </c>
    </row>
    <row r="120" spans="1:21" x14ac:dyDescent="0.25">
      <c r="A120" s="1">
        <v>114</v>
      </c>
      <c r="B120" s="2" t="s">
        <v>254</v>
      </c>
      <c r="C120" s="2" t="s">
        <v>221</v>
      </c>
      <c r="D120" s="2" t="s">
        <v>222</v>
      </c>
      <c r="E120" s="2" t="s">
        <v>255</v>
      </c>
      <c r="F120" s="3">
        <v>6000</v>
      </c>
      <c r="G120" s="3">
        <v>3500</v>
      </c>
      <c r="H120" s="3">
        <v>0</v>
      </c>
      <c r="I120" s="3">
        <v>2000</v>
      </c>
      <c r="J120" s="3">
        <v>850</v>
      </c>
      <c r="K120" s="3">
        <v>12350</v>
      </c>
      <c r="L120" s="3">
        <v>0</v>
      </c>
      <c r="M120" s="3">
        <f t="shared" si="7"/>
        <v>12350</v>
      </c>
      <c r="N120" s="3">
        <f t="shared" si="20"/>
        <v>720</v>
      </c>
      <c r="O120" s="3">
        <f t="shared" si="17"/>
        <v>86</v>
      </c>
      <c r="Q120">
        <f t="shared" si="9"/>
        <v>6175</v>
      </c>
      <c r="R120" s="10">
        <f t="shared" si="10"/>
        <v>-175</v>
      </c>
      <c r="S120" s="11" t="s">
        <v>279</v>
      </c>
      <c r="T120" s="11" t="s">
        <v>278</v>
      </c>
      <c r="U120" t="s">
        <v>270</v>
      </c>
    </row>
    <row r="121" spans="1:21" x14ac:dyDescent="0.25">
      <c r="A121" s="1">
        <v>115</v>
      </c>
      <c r="B121" s="2" t="s">
        <v>256</v>
      </c>
      <c r="C121" s="2" t="s">
        <v>221</v>
      </c>
      <c r="D121" s="2" t="s">
        <v>222</v>
      </c>
      <c r="E121" s="2" t="s">
        <v>257</v>
      </c>
      <c r="F121" s="3">
        <v>6000</v>
      </c>
      <c r="G121" s="3">
        <v>3500</v>
      </c>
      <c r="H121" s="3">
        <v>0</v>
      </c>
      <c r="I121" s="3">
        <v>2000</v>
      </c>
      <c r="J121" s="3">
        <v>850</v>
      </c>
      <c r="K121" s="3">
        <v>12350</v>
      </c>
      <c r="L121" s="3">
        <v>0</v>
      </c>
      <c r="M121" s="3">
        <f t="shared" si="7"/>
        <v>12350</v>
      </c>
      <c r="N121" s="3">
        <f t="shared" si="20"/>
        <v>720</v>
      </c>
      <c r="O121" s="3">
        <f t="shared" si="17"/>
        <v>86</v>
      </c>
      <c r="Q121">
        <f t="shared" si="9"/>
        <v>6175</v>
      </c>
      <c r="R121" s="10">
        <f t="shared" si="10"/>
        <v>-175</v>
      </c>
      <c r="S121" s="11" t="s">
        <v>279</v>
      </c>
      <c r="T121" s="11" t="s">
        <v>278</v>
      </c>
      <c r="U121" t="s">
        <v>270</v>
      </c>
    </row>
    <row r="122" spans="1:21" x14ac:dyDescent="0.25">
      <c r="A122" s="1">
        <v>116</v>
      </c>
      <c r="B122" s="2" t="s">
        <v>258</v>
      </c>
      <c r="C122" s="2" t="s">
        <v>221</v>
      </c>
      <c r="D122" s="2" t="s">
        <v>222</v>
      </c>
      <c r="E122" s="2" t="s">
        <v>259</v>
      </c>
      <c r="F122" s="3">
        <v>6600</v>
      </c>
      <c r="G122" s="3">
        <v>3500</v>
      </c>
      <c r="H122" s="3">
        <v>0</v>
      </c>
      <c r="I122" s="3">
        <v>2000</v>
      </c>
      <c r="J122" s="3">
        <v>1600</v>
      </c>
      <c r="K122" s="3">
        <v>13700</v>
      </c>
      <c r="L122" s="3">
        <v>0</v>
      </c>
      <c r="M122" s="3">
        <f t="shared" si="7"/>
        <v>13700</v>
      </c>
      <c r="N122" s="3">
        <f t="shared" si="20"/>
        <v>792</v>
      </c>
      <c r="O122" s="3">
        <f t="shared" si="17"/>
        <v>91</v>
      </c>
      <c r="Q122">
        <f t="shared" si="9"/>
        <v>6850</v>
      </c>
      <c r="R122" s="10">
        <f t="shared" si="10"/>
        <v>-250</v>
      </c>
      <c r="S122" s="11" t="s">
        <v>279</v>
      </c>
      <c r="T122" s="11" t="s">
        <v>278</v>
      </c>
      <c r="U122" t="s">
        <v>270</v>
      </c>
    </row>
    <row r="123" spans="1:21" x14ac:dyDescent="0.25">
      <c r="A123" s="1">
        <v>117</v>
      </c>
      <c r="B123" s="2" t="s">
        <v>260</v>
      </c>
      <c r="C123" s="2" t="s">
        <v>221</v>
      </c>
      <c r="D123" s="2" t="s">
        <v>222</v>
      </c>
      <c r="E123" s="2" t="s">
        <v>261</v>
      </c>
      <c r="F123" s="3">
        <v>7500</v>
      </c>
      <c r="G123" s="3">
        <v>2000</v>
      </c>
      <c r="H123" s="3">
        <v>0</v>
      </c>
      <c r="I123" s="3">
        <v>1500</v>
      </c>
      <c r="J123" s="3">
        <v>2000</v>
      </c>
      <c r="K123" s="3">
        <v>13000</v>
      </c>
      <c r="L123" s="3">
        <v>0</v>
      </c>
      <c r="M123" s="3">
        <f t="shared" si="7"/>
        <v>13000</v>
      </c>
      <c r="N123" s="3">
        <f t="shared" si="20"/>
        <v>900</v>
      </c>
      <c r="O123" s="3">
        <f t="shared" si="17"/>
        <v>83</v>
      </c>
      <c r="Q123">
        <f t="shared" si="9"/>
        <v>6500</v>
      </c>
      <c r="R123" s="10">
        <f t="shared" si="10"/>
        <v>1000</v>
      </c>
      <c r="S123" s="12" t="s">
        <v>269</v>
      </c>
      <c r="T123" s="12" t="s">
        <v>280</v>
      </c>
      <c r="U123" t="s">
        <v>270</v>
      </c>
    </row>
    <row r="124" spans="1:21" x14ac:dyDescent="0.25">
      <c r="A124" s="1">
        <v>118</v>
      </c>
      <c r="B124" s="2" t="s">
        <v>262</v>
      </c>
      <c r="C124" s="2" t="s">
        <v>221</v>
      </c>
      <c r="D124" s="2" t="s">
        <v>222</v>
      </c>
      <c r="E124" s="2" t="s">
        <v>263</v>
      </c>
      <c r="F124" s="3">
        <v>7500</v>
      </c>
      <c r="G124" s="3">
        <v>2000</v>
      </c>
      <c r="H124" s="3">
        <v>0</v>
      </c>
      <c r="I124" s="3">
        <v>1500</v>
      </c>
      <c r="J124" s="3">
        <v>2000</v>
      </c>
      <c r="K124" s="3">
        <v>13000</v>
      </c>
      <c r="L124" s="3">
        <v>0</v>
      </c>
      <c r="M124" s="3">
        <f t="shared" si="7"/>
        <v>13000</v>
      </c>
      <c r="N124" s="3">
        <f t="shared" si="20"/>
        <v>900</v>
      </c>
      <c r="O124" s="3">
        <f t="shared" si="17"/>
        <v>83</v>
      </c>
      <c r="Q124">
        <f t="shared" si="9"/>
        <v>6500</v>
      </c>
      <c r="R124" s="10">
        <f t="shared" si="10"/>
        <v>1000</v>
      </c>
      <c r="S124" s="12" t="s">
        <v>269</v>
      </c>
      <c r="T124" s="12" t="s">
        <v>280</v>
      </c>
      <c r="U124" t="s">
        <v>270</v>
      </c>
    </row>
    <row r="125" spans="1:21" x14ac:dyDescent="0.25">
      <c r="A125" s="1">
        <v>119</v>
      </c>
      <c r="B125" s="2" t="s">
        <v>264</v>
      </c>
      <c r="C125" s="2" t="s">
        <v>221</v>
      </c>
      <c r="D125" s="2" t="s">
        <v>222</v>
      </c>
      <c r="E125" s="2" t="s">
        <v>265</v>
      </c>
      <c r="F125" s="3">
        <v>26000</v>
      </c>
      <c r="G125" s="3">
        <v>4000</v>
      </c>
      <c r="H125" s="3">
        <v>0</v>
      </c>
      <c r="I125" s="3">
        <v>3000</v>
      </c>
      <c r="J125" s="3">
        <v>3000</v>
      </c>
      <c r="K125" s="3">
        <v>36000</v>
      </c>
      <c r="L125" s="3">
        <v>0</v>
      </c>
      <c r="M125" s="3">
        <f t="shared" si="7"/>
        <v>36000</v>
      </c>
      <c r="N125" s="3">
        <v>0</v>
      </c>
      <c r="O125" s="3">
        <v>0</v>
      </c>
      <c r="Q125">
        <f t="shared" si="9"/>
        <v>18000</v>
      </c>
      <c r="R125" s="10">
        <f t="shared" si="10"/>
        <v>8000</v>
      </c>
      <c r="S125" s="12" t="s">
        <v>272</v>
      </c>
      <c r="T125" s="11" t="s">
        <v>275</v>
      </c>
    </row>
    <row r="126" spans="1:21" ht="15.75" x14ac:dyDescent="0.25">
      <c r="A126" s="2"/>
      <c r="B126" s="2"/>
      <c r="C126" s="2"/>
      <c r="D126" s="2"/>
      <c r="E126" s="4" t="s">
        <v>266</v>
      </c>
      <c r="F126" s="5">
        <f t="shared" ref="F126:Q126" si="21">SUM(F7:F125)</f>
        <v>1681620</v>
      </c>
      <c r="G126" s="5">
        <f t="shared" si="21"/>
        <v>380585</v>
      </c>
      <c r="H126" s="5">
        <f t="shared" si="21"/>
        <v>230295</v>
      </c>
      <c r="I126" s="5">
        <f t="shared" si="21"/>
        <v>84600</v>
      </c>
      <c r="J126" s="5">
        <f t="shared" si="21"/>
        <v>74762</v>
      </c>
      <c r="K126" s="5">
        <f t="shared" si="21"/>
        <v>2451862</v>
      </c>
      <c r="L126" s="5">
        <f t="shared" si="21"/>
        <v>0</v>
      </c>
      <c r="M126" s="5">
        <f t="shared" si="21"/>
        <v>2451862</v>
      </c>
      <c r="N126" s="5">
        <f t="shared" si="21"/>
        <v>87867</v>
      </c>
      <c r="O126" s="5">
        <f t="shared" si="21"/>
        <v>12465</v>
      </c>
      <c r="Q126" s="5">
        <f t="shared" si="21"/>
        <v>1225933</v>
      </c>
    </row>
  </sheetData>
  <mergeCells count="17">
    <mergeCell ref="N5:N6"/>
    <mergeCell ref="A2:O2"/>
    <mergeCell ref="A3:O3"/>
    <mergeCell ref="A5:A6"/>
    <mergeCell ref="B5:B6"/>
    <mergeCell ref="C5:C6"/>
    <mergeCell ref="D5:D6"/>
    <mergeCell ref="E5:E6"/>
    <mergeCell ref="F5:F6"/>
    <mergeCell ref="G5:G6"/>
    <mergeCell ref="H5:H6"/>
    <mergeCell ref="O5:O6"/>
    <mergeCell ref="I5:I6"/>
    <mergeCell ref="J5:J6"/>
    <mergeCell ref="K5:K6"/>
    <mergeCell ref="L5:L6"/>
    <mergeCell ref="M5:M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398E-282C-4019-A3E5-343890D41BDD}">
  <dimension ref="A2:T116"/>
  <sheetViews>
    <sheetView tabSelected="1" topLeftCell="A46" workbookViewId="0">
      <selection activeCell="N65" sqref="N65"/>
    </sheetView>
  </sheetViews>
  <sheetFormatPr defaultRowHeight="15" x14ac:dyDescent="0.25"/>
  <cols>
    <col min="2" max="2" width="11.42578125" bestFit="1" customWidth="1"/>
    <col min="3" max="3" width="12.42578125" bestFit="1" customWidth="1"/>
    <col min="4" max="4" width="16.140625" bestFit="1" customWidth="1"/>
    <col min="5" max="5" width="30.5703125" bestFit="1" customWidth="1"/>
    <col min="6" max="6" width="11.42578125" customWidth="1"/>
    <col min="7" max="7" width="11.85546875" bestFit="1" customWidth="1"/>
    <col min="8" max="9" width="10.7109375" bestFit="1" customWidth="1"/>
    <col min="10" max="10" width="11.85546875" bestFit="1" customWidth="1"/>
    <col min="11" max="11" width="16.28515625" customWidth="1"/>
    <col min="12" max="12" width="13" bestFit="1" customWidth="1"/>
    <col min="13" max="14" width="9.5703125" bestFit="1" customWidth="1"/>
    <col min="16" max="16" width="11.5703125" bestFit="1" customWidth="1"/>
    <col min="17" max="17" width="9.28515625" bestFit="1" customWidth="1"/>
    <col min="18" max="18" width="69.140625" customWidth="1"/>
    <col min="19" max="19" width="64.85546875" customWidth="1"/>
    <col min="20" max="20" width="33.42578125" bestFit="1" customWidth="1"/>
  </cols>
  <sheetData>
    <row r="2" spans="1:20" ht="23.25" x14ac:dyDescent="0.3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20" ht="18.75" x14ac:dyDescent="0.3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S3">
        <v>7000</v>
      </c>
    </row>
    <row r="4" spans="1:20" ht="17.25" customHeight="1" x14ac:dyDescent="0.25"/>
    <row r="5" spans="1:20" ht="15.75" x14ac:dyDescent="0.25">
      <c r="A5" s="20" t="s">
        <v>2</v>
      </c>
      <c r="B5" s="21" t="s">
        <v>3</v>
      </c>
      <c r="C5" s="20" t="s">
        <v>4</v>
      </c>
      <c r="D5" s="20" t="s">
        <v>5</v>
      </c>
      <c r="E5" s="20" t="s">
        <v>6</v>
      </c>
      <c r="F5" s="6"/>
      <c r="G5" s="23" t="s">
        <v>7</v>
      </c>
      <c r="H5" s="23" t="s">
        <v>8</v>
      </c>
      <c r="I5" s="23" t="s">
        <v>9</v>
      </c>
      <c r="J5" s="23" t="s">
        <v>12</v>
      </c>
      <c r="K5" s="25" t="s">
        <v>13</v>
      </c>
      <c r="L5" s="26" t="s">
        <v>14</v>
      </c>
      <c r="M5" s="20" t="s">
        <v>15</v>
      </c>
      <c r="N5" s="20" t="s">
        <v>16</v>
      </c>
      <c r="P5" s="8">
        <v>0.5</v>
      </c>
    </row>
    <row r="6" spans="1:20" ht="15.75" x14ac:dyDescent="0.25">
      <c r="A6" s="20"/>
      <c r="B6" s="22"/>
      <c r="C6" s="20"/>
      <c r="D6" s="20"/>
      <c r="E6" s="20"/>
      <c r="F6" s="7"/>
      <c r="G6" s="24"/>
      <c r="H6" s="24"/>
      <c r="I6" s="24"/>
      <c r="J6" s="24"/>
      <c r="K6" s="25"/>
      <c r="L6" s="26"/>
      <c r="M6" s="20"/>
      <c r="N6" s="20"/>
      <c r="P6" s="9" t="s">
        <v>267</v>
      </c>
      <c r="R6" s="16" t="s">
        <v>273</v>
      </c>
      <c r="S6" s="16" t="s">
        <v>274</v>
      </c>
      <c r="T6" s="17" t="s">
        <v>281</v>
      </c>
    </row>
    <row r="7" spans="1:20" x14ac:dyDescent="0.25">
      <c r="A7" s="1">
        <v>1</v>
      </c>
      <c r="B7" s="2" t="s">
        <v>17</v>
      </c>
      <c r="C7" s="2" t="s">
        <v>18</v>
      </c>
      <c r="D7" s="2" t="s">
        <v>19</v>
      </c>
      <c r="E7" s="2" t="s">
        <v>20</v>
      </c>
      <c r="F7" s="2"/>
      <c r="G7" s="3">
        <v>9125</v>
      </c>
      <c r="H7" s="3">
        <v>6325</v>
      </c>
      <c r="I7" s="3">
        <v>4550</v>
      </c>
      <c r="J7" s="3">
        <v>20000</v>
      </c>
      <c r="K7" s="3">
        <v>0</v>
      </c>
      <c r="L7" s="3">
        <f>J7+K7</f>
        <v>20000</v>
      </c>
      <c r="M7" s="3">
        <f>(ROUND(G7*12%,0))</f>
        <v>1095</v>
      </c>
      <c r="N7" s="3">
        <f>(ROUND(L7*0.75%,0))</f>
        <v>150</v>
      </c>
      <c r="P7">
        <f>ROUND(J7/2,0)</f>
        <v>10000</v>
      </c>
      <c r="Q7" s="10">
        <f>G7-P7</f>
        <v>-875</v>
      </c>
      <c r="R7" s="15" t="s">
        <v>279</v>
      </c>
      <c r="S7" s="15" t="s">
        <v>278</v>
      </c>
      <c r="T7" t="s">
        <v>270</v>
      </c>
    </row>
    <row r="8" spans="1:20" x14ac:dyDescent="0.25">
      <c r="A8" s="1">
        <v>2</v>
      </c>
      <c r="B8" s="2" t="s">
        <v>21</v>
      </c>
      <c r="C8" s="2" t="s">
        <v>18</v>
      </c>
      <c r="D8" s="2" t="s">
        <v>19</v>
      </c>
      <c r="E8" s="2" t="s">
        <v>22</v>
      </c>
      <c r="F8" s="2"/>
      <c r="G8" s="3">
        <v>11100</v>
      </c>
      <c r="H8" s="3">
        <v>8500</v>
      </c>
      <c r="I8" s="3">
        <v>8900</v>
      </c>
      <c r="J8" s="3">
        <v>28500</v>
      </c>
      <c r="K8" s="3">
        <v>0</v>
      </c>
      <c r="L8" s="3">
        <f t="shared" ref="L8:L57" si="0">J8+K8</f>
        <v>28500</v>
      </c>
      <c r="M8" s="3">
        <f>(ROUND(G8*12%,0))</f>
        <v>1332</v>
      </c>
      <c r="N8" s="3">
        <v>0</v>
      </c>
      <c r="P8">
        <f t="shared" ref="P8:P57" si="1">ROUND(J8/2,0)</f>
        <v>14250</v>
      </c>
      <c r="Q8" s="10">
        <f>G8-P8</f>
        <v>-3150</v>
      </c>
      <c r="R8" s="11" t="s">
        <v>268</v>
      </c>
      <c r="S8" s="11" t="s">
        <v>275</v>
      </c>
    </row>
    <row r="9" spans="1:20" x14ac:dyDescent="0.25">
      <c r="A9" s="1">
        <v>3</v>
      </c>
      <c r="B9" s="2" t="s">
        <v>23</v>
      </c>
      <c r="C9" s="2" t="s">
        <v>18</v>
      </c>
      <c r="D9" s="2" t="s">
        <v>19</v>
      </c>
      <c r="E9" s="2" t="s">
        <v>24</v>
      </c>
      <c r="F9" s="2"/>
      <c r="G9" s="3">
        <v>11700</v>
      </c>
      <c r="H9" s="3">
        <v>6200</v>
      </c>
      <c r="I9" s="3">
        <v>4600</v>
      </c>
      <c r="J9" s="3">
        <v>22500</v>
      </c>
      <c r="K9" s="3">
        <v>0</v>
      </c>
      <c r="L9" s="3">
        <f t="shared" si="0"/>
        <v>22500</v>
      </c>
      <c r="M9" s="3">
        <f>(ROUND(G9*12%,0))</f>
        <v>1404</v>
      </c>
      <c r="N9" s="3">
        <v>0</v>
      </c>
      <c r="P9">
        <f t="shared" si="1"/>
        <v>11250</v>
      </c>
      <c r="Q9" s="10">
        <f>G9-P9</f>
        <v>450</v>
      </c>
      <c r="R9" s="12" t="s">
        <v>269</v>
      </c>
      <c r="S9" s="11" t="s">
        <v>275</v>
      </c>
    </row>
    <row r="10" spans="1:20" x14ac:dyDescent="0.25">
      <c r="A10" s="1">
        <v>4</v>
      </c>
      <c r="B10" s="2" t="s">
        <v>25</v>
      </c>
      <c r="C10" s="2" t="s">
        <v>18</v>
      </c>
      <c r="D10" s="2" t="s">
        <v>19</v>
      </c>
      <c r="E10" s="2" t="s">
        <v>26</v>
      </c>
      <c r="F10" s="2"/>
      <c r="G10" s="3">
        <v>8200</v>
      </c>
      <c r="H10" s="3">
        <v>8150</v>
      </c>
      <c r="I10" s="3">
        <v>8150</v>
      </c>
      <c r="J10" s="3">
        <v>24500</v>
      </c>
      <c r="K10" s="3">
        <v>0</v>
      </c>
      <c r="L10" s="3">
        <f t="shared" si="0"/>
        <v>24500</v>
      </c>
      <c r="M10" s="3">
        <f>(ROUND(G10*12%,0))</f>
        <v>984</v>
      </c>
      <c r="N10" s="3">
        <v>0</v>
      </c>
      <c r="P10">
        <f t="shared" si="1"/>
        <v>12250</v>
      </c>
      <c r="Q10" s="10">
        <f>G10-P10</f>
        <v>-4050</v>
      </c>
      <c r="R10" s="11" t="s">
        <v>268</v>
      </c>
      <c r="S10" s="11" t="s">
        <v>275</v>
      </c>
      <c r="T10" t="s">
        <v>270</v>
      </c>
    </row>
    <row r="11" spans="1:20" x14ac:dyDescent="0.25">
      <c r="A11" s="1">
        <v>5</v>
      </c>
      <c r="B11" s="2" t="s">
        <v>27</v>
      </c>
      <c r="C11" s="2" t="s">
        <v>18</v>
      </c>
      <c r="D11" s="2" t="s">
        <v>19</v>
      </c>
      <c r="E11" s="2" t="s">
        <v>28</v>
      </c>
      <c r="F11" s="2"/>
      <c r="G11" s="3">
        <v>7100</v>
      </c>
      <c r="H11" s="3">
        <v>3400</v>
      </c>
      <c r="I11" s="3">
        <v>3500</v>
      </c>
      <c r="J11" s="3">
        <v>14000</v>
      </c>
      <c r="K11" s="3">
        <v>0</v>
      </c>
      <c r="L11" s="3">
        <f t="shared" si="0"/>
        <v>14000</v>
      </c>
      <c r="M11" s="3">
        <f>(ROUND(G11*12%,0))</f>
        <v>852</v>
      </c>
      <c r="N11" s="3">
        <f t="shared" ref="N11:N57" si="2">(ROUND(L11*0.75%,0))</f>
        <v>105</v>
      </c>
      <c r="P11">
        <f t="shared" si="1"/>
        <v>7000</v>
      </c>
      <c r="Q11" s="10">
        <f>G11-P11</f>
        <v>100</v>
      </c>
      <c r="R11" s="12" t="s">
        <v>269</v>
      </c>
      <c r="S11" s="12" t="s">
        <v>280</v>
      </c>
      <c r="T11" t="s">
        <v>270</v>
      </c>
    </row>
    <row r="12" spans="1:20" x14ac:dyDescent="0.25">
      <c r="A12" s="1">
        <v>6</v>
      </c>
      <c r="B12" s="2" t="s">
        <v>29</v>
      </c>
      <c r="C12" s="2" t="s">
        <v>18</v>
      </c>
      <c r="D12" s="2" t="s">
        <v>19</v>
      </c>
      <c r="E12" s="2" t="s">
        <v>30</v>
      </c>
      <c r="F12" s="2"/>
      <c r="G12" s="3">
        <v>8600</v>
      </c>
      <c r="H12" s="3">
        <v>4950</v>
      </c>
      <c r="I12" s="3">
        <v>4450</v>
      </c>
      <c r="J12" s="3">
        <v>18000</v>
      </c>
      <c r="K12" s="3">
        <v>0</v>
      </c>
      <c r="L12" s="3">
        <f t="shared" si="0"/>
        <v>18000</v>
      </c>
      <c r="M12" s="3">
        <f>(ROUND(G12*12%,0))</f>
        <v>1032</v>
      </c>
      <c r="N12" s="3">
        <f t="shared" si="2"/>
        <v>135</v>
      </c>
      <c r="P12">
        <f t="shared" si="1"/>
        <v>9000</v>
      </c>
      <c r="Q12" s="10">
        <f>G12-P12</f>
        <v>-400</v>
      </c>
      <c r="R12" s="11" t="s">
        <v>279</v>
      </c>
      <c r="S12" s="11" t="s">
        <v>278</v>
      </c>
      <c r="T12" t="s">
        <v>270</v>
      </c>
    </row>
    <row r="13" spans="1:20" x14ac:dyDescent="0.25">
      <c r="A13" s="1">
        <v>7</v>
      </c>
      <c r="B13" s="2" t="s">
        <v>31</v>
      </c>
      <c r="C13" s="2" t="s">
        <v>18</v>
      </c>
      <c r="D13" s="2" t="s">
        <v>19</v>
      </c>
      <c r="E13" s="2" t="s">
        <v>32</v>
      </c>
      <c r="F13" s="2"/>
      <c r="G13" s="3">
        <v>26000</v>
      </c>
      <c r="H13" s="3">
        <v>0</v>
      </c>
      <c r="I13" s="3">
        <v>0</v>
      </c>
      <c r="J13" s="3">
        <v>26000</v>
      </c>
      <c r="K13" s="3">
        <v>0</v>
      </c>
      <c r="L13" s="3">
        <f t="shared" si="0"/>
        <v>26000</v>
      </c>
      <c r="M13" s="3">
        <f>(ROUND(G13*12%,0))</f>
        <v>3120</v>
      </c>
      <c r="N13" s="3">
        <v>0</v>
      </c>
      <c r="P13">
        <f t="shared" si="1"/>
        <v>13000</v>
      </c>
      <c r="Q13" s="10">
        <f>G13-P13</f>
        <v>13000</v>
      </c>
      <c r="R13" s="12" t="s">
        <v>269</v>
      </c>
      <c r="S13" s="11" t="s">
        <v>275</v>
      </c>
    </row>
    <row r="14" spans="1:20" x14ac:dyDescent="0.25">
      <c r="A14" s="1">
        <v>8</v>
      </c>
      <c r="B14" s="2" t="s">
        <v>33</v>
      </c>
      <c r="C14" s="2" t="s">
        <v>18</v>
      </c>
      <c r="D14" s="2" t="s">
        <v>19</v>
      </c>
      <c r="E14" s="2" t="s">
        <v>34</v>
      </c>
      <c r="F14" s="2"/>
      <c r="G14" s="3">
        <v>8010</v>
      </c>
      <c r="H14" s="3">
        <v>5030</v>
      </c>
      <c r="I14" s="3">
        <v>3960</v>
      </c>
      <c r="J14" s="3">
        <v>17000</v>
      </c>
      <c r="K14" s="3">
        <v>0</v>
      </c>
      <c r="L14" s="3">
        <f t="shared" si="0"/>
        <v>17000</v>
      </c>
      <c r="M14" s="3">
        <f>(ROUND(G14*12%,0))</f>
        <v>961</v>
      </c>
      <c r="N14" s="3">
        <f t="shared" si="2"/>
        <v>128</v>
      </c>
      <c r="P14">
        <f t="shared" si="1"/>
        <v>8500</v>
      </c>
      <c r="Q14" s="10">
        <f>G14-P14</f>
        <v>-490</v>
      </c>
      <c r="R14" s="11" t="s">
        <v>279</v>
      </c>
      <c r="S14" s="11" t="s">
        <v>278</v>
      </c>
      <c r="T14" t="s">
        <v>270</v>
      </c>
    </row>
    <row r="15" spans="1:20" x14ac:dyDescent="0.25">
      <c r="A15" s="1">
        <v>9</v>
      </c>
      <c r="B15" s="2" t="s">
        <v>35</v>
      </c>
      <c r="C15" s="2" t="s">
        <v>18</v>
      </c>
      <c r="D15" s="2" t="s">
        <v>19</v>
      </c>
      <c r="E15" s="2" t="s">
        <v>36</v>
      </c>
      <c r="F15" s="2"/>
      <c r="G15" s="3">
        <v>5200</v>
      </c>
      <c r="H15" s="3">
        <v>3400</v>
      </c>
      <c r="I15" s="3">
        <v>2900</v>
      </c>
      <c r="J15" s="3">
        <v>11500</v>
      </c>
      <c r="K15" s="3">
        <v>0</v>
      </c>
      <c r="L15" s="3">
        <f t="shared" si="0"/>
        <v>11500</v>
      </c>
      <c r="M15" s="3">
        <f>(ROUND(G15*12%,0))</f>
        <v>624</v>
      </c>
      <c r="N15" s="3">
        <f t="shared" si="2"/>
        <v>86</v>
      </c>
      <c r="P15">
        <f t="shared" si="1"/>
        <v>5750</v>
      </c>
      <c r="Q15" s="10">
        <f>G15-P15</f>
        <v>-550</v>
      </c>
      <c r="R15" s="11" t="s">
        <v>279</v>
      </c>
      <c r="S15" s="11" t="s">
        <v>278</v>
      </c>
      <c r="T15" t="s">
        <v>270</v>
      </c>
    </row>
    <row r="16" spans="1:20" x14ac:dyDescent="0.25">
      <c r="A16" s="1">
        <v>10</v>
      </c>
      <c r="B16" s="2" t="s">
        <v>37</v>
      </c>
      <c r="C16" s="2" t="s">
        <v>18</v>
      </c>
      <c r="D16" s="2" t="s">
        <v>19</v>
      </c>
      <c r="E16" s="2" t="s">
        <v>38</v>
      </c>
      <c r="F16" s="2"/>
      <c r="G16" s="3">
        <v>7700</v>
      </c>
      <c r="H16" s="3">
        <v>6600</v>
      </c>
      <c r="I16" s="3">
        <v>5700</v>
      </c>
      <c r="J16" s="3">
        <v>20000</v>
      </c>
      <c r="K16" s="3">
        <v>0</v>
      </c>
      <c r="L16" s="3">
        <f t="shared" si="0"/>
        <v>20000</v>
      </c>
      <c r="M16" s="3">
        <f>(ROUND(G16*12%,0))</f>
        <v>924</v>
      </c>
      <c r="N16" s="3">
        <f t="shared" si="2"/>
        <v>150</v>
      </c>
      <c r="P16">
        <f t="shared" si="1"/>
        <v>10000</v>
      </c>
      <c r="Q16" s="10">
        <f>G16-P16</f>
        <v>-2300</v>
      </c>
      <c r="R16" s="11" t="s">
        <v>279</v>
      </c>
      <c r="S16" s="11" t="s">
        <v>278</v>
      </c>
      <c r="T16" t="s">
        <v>270</v>
      </c>
    </row>
    <row r="17" spans="1:20" x14ac:dyDescent="0.25">
      <c r="A17" s="1">
        <v>11</v>
      </c>
      <c r="B17" s="2" t="s">
        <v>39</v>
      </c>
      <c r="C17" s="2" t="s">
        <v>18</v>
      </c>
      <c r="D17" s="2" t="s">
        <v>19</v>
      </c>
      <c r="E17" s="2" t="s">
        <v>40</v>
      </c>
      <c r="F17" s="2"/>
      <c r="G17" s="3">
        <v>7600</v>
      </c>
      <c r="H17" s="3">
        <v>6700</v>
      </c>
      <c r="I17" s="3">
        <v>5700</v>
      </c>
      <c r="J17" s="3">
        <v>20000</v>
      </c>
      <c r="K17" s="3">
        <v>0</v>
      </c>
      <c r="L17" s="3">
        <f t="shared" si="0"/>
        <v>20000</v>
      </c>
      <c r="M17" s="3">
        <f>(ROUND(G17*12%,0))</f>
        <v>912</v>
      </c>
      <c r="N17" s="3">
        <f t="shared" si="2"/>
        <v>150</v>
      </c>
      <c r="P17">
        <f t="shared" si="1"/>
        <v>10000</v>
      </c>
      <c r="Q17" s="10">
        <f>G17-P17</f>
        <v>-2400</v>
      </c>
      <c r="R17" s="11" t="s">
        <v>279</v>
      </c>
      <c r="S17" s="11" t="s">
        <v>278</v>
      </c>
      <c r="T17" t="s">
        <v>270</v>
      </c>
    </row>
    <row r="18" spans="1:20" x14ac:dyDescent="0.25">
      <c r="A18" s="1">
        <v>12</v>
      </c>
      <c r="B18" s="2" t="s">
        <v>41</v>
      </c>
      <c r="C18" s="2" t="s">
        <v>18</v>
      </c>
      <c r="D18" s="2" t="s">
        <v>19</v>
      </c>
      <c r="E18" s="2" t="s">
        <v>42</v>
      </c>
      <c r="F18" s="2"/>
      <c r="G18" s="3">
        <v>7560</v>
      </c>
      <c r="H18" s="3">
        <v>4920</v>
      </c>
      <c r="I18" s="3">
        <v>4020</v>
      </c>
      <c r="J18" s="3">
        <v>16500</v>
      </c>
      <c r="K18" s="3">
        <v>0</v>
      </c>
      <c r="L18" s="3">
        <f t="shared" si="0"/>
        <v>16500</v>
      </c>
      <c r="M18" s="3">
        <f>(ROUND(G18*12%,0))</f>
        <v>907</v>
      </c>
      <c r="N18" s="3">
        <f t="shared" si="2"/>
        <v>124</v>
      </c>
      <c r="P18">
        <f t="shared" si="1"/>
        <v>8250</v>
      </c>
      <c r="Q18" s="10">
        <f>G18-P18</f>
        <v>-690</v>
      </c>
      <c r="R18" s="11" t="s">
        <v>279</v>
      </c>
      <c r="S18" s="11" t="s">
        <v>278</v>
      </c>
      <c r="T18" t="s">
        <v>270</v>
      </c>
    </row>
    <row r="19" spans="1:20" x14ac:dyDescent="0.25">
      <c r="A19" s="1">
        <v>13</v>
      </c>
      <c r="B19" s="2" t="s">
        <v>43</v>
      </c>
      <c r="C19" s="2" t="s">
        <v>18</v>
      </c>
      <c r="D19" s="2" t="s">
        <v>19</v>
      </c>
      <c r="E19" s="2" t="s">
        <v>44</v>
      </c>
      <c r="F19" s="2"/>
      <c r="G19" s="3">
        <v>25000</v>
      </c>
      <c r="H19" s="3">
        <v>0</v>
      </c>
      <c r="I19" s="3">
        <v>0</v>
      </c>
      <c r="J19" s="3">
        <v>25000</v>
      </c>
      <c r="K19" s="3">
        <v>0</v>
      </c>
      <c r="L19" s="3">
        <f t="shared" si="0"/>
        <v>25000</v>
      </c>
      <c r="M19" s="3">
        <f>(ROUND(G19*12%,0))</f>
        <v>3000</v>
      </c>
      <c r="N19" s="3">
        <v>0</v>
      </c>
      <c r="P19">
        <f t="shared" si="1"/>
        <v>12500</v>
      </c>
      <c r="Q19" s="10">
        <f>G19-P19</f>
        <v>12500</v>
      </c>
      <c r="R19" s="12" t="s">
        <v>269</v>
      </c>
      <c r="S19" s="11" t="s">
        <v>275</v>
      </c>
    </row>
    <row r="20" spans="1:20" x14ac:dyDescent="0.25">
      <c r="A20" s="1">
        <v>14</v>
      </c>
      <c r="B20" s="2" t="s">
        <v>45</v>
      </c>
      <c r="C20" s="2" t="s">
        <v>18</v>
      </c>
      <c r="D20" s="2" t="s">
        <v>19</v>
      </c>
      <c r="E20" s="2" t="s">
        <v>46</v>
      </c>
      <c r="F20" s="2"/>
      <c r="G20" s="3">
        <v>33000</v>
      </c>
      <c r="H20" s="3">
        <v>7000</v>
      </c>
      <c r="I20" s="3">
        <v>0</v>
      </c>
      <c r="J20" s="3">
        <v>40000</v>
      </c>
      <c r="K20" s="3">
        <v>0</v>
      </c>
      <c r="L20" s="3">
        <f t="shared" si="0"/>
        <v>40000</v>
      </c>
      <c r="M20" s="3">
        <f>(ROUND(G20*12%,0))</f>
        <v>3960</v>
      </c>
      <c r="N20" s="3">
        <v>0</v>
      </c>
      <c r="P20">
        <f t="shared" si="1"/>
        <v>20000</v>
      </c>
      <c r="Q20" s="10">
        <f>G20-P20</f>
        <v>13000</v>
      </c>
      <c r="R20" s="12" t="s">
        <v>269</v>
      </c>
      <c r="S20" s="11" t="s">
        <v>277</v>
      </c>
    </row>
    <row r="21" spans="1:20" x14ac:dyDescent="0.25">
      <c r="A21" s="1">
        <v>15</v>
      </c>
      <c r="B21" s="2" t="s">
        <v>47</v>
      </c>
      <c r="C21" s="2" t="s">
        <v>18</v>
      </c>
      <c r="D21" s="2" t="s">
        <v>19</v>
      </c>
      <c r="E21" s="2" t="s">
        <v>48</v>
      </c>
      <c r="F21" s="2"/>
      <c r="G21" s="3">
        <v>8200</v>
      </c>
      <c r="H21" s="3">
        <v>4400</v>
      </c>
      <c r="I21" s="3">
        <v>3900</v>
      </c>
      <c r="J21" s="3">
        <v>16500</v>
      </c>
      <c r="K21" s="3">
        <v>0</v>
      </c>
      <c r="L21" s="3">
        <f t="shared" si="0"/>
        <v>16500</v>
      </c>
      <c r="M21" s="3">
        <f>(ROUND(G21*12%,0))</f>
        <v>984</v>
      </c>
      <c r="N21" s="3">
        <f t="shared" si="2"/>
        <v>124</v>
      </c>
      <c r="P21">
        <f t="shared" si="1"/>
        <v>8250</v>
      </c>
      <c r="Q21" s="10">
        <f>G21-P21</f>
        <v>-50</v>
      </c>
      <c r="R21" s="11" t="s">
        <v>279</v>
      </c>
      <c r="S21" s="11" t="s">
        <v>278</v>
      </c>
      <c r="T21" t="s">
        <v>270</v>
      </c>
    </row>
    <row r="22" spans="1:20" x14ac:dyDescent="0.25">
      <c r="A22" s="1">
        <v>16</v>
      </c>
      <c r="B22" s="2" t="s">
        <v>49</v>
      </c>
      <c r="C22" s="2" t="s">
        <v>18</v>
      </c>
      <c r="D22" s="2" t="s">
        <v>19</v>
      </c>
      <c r="E22" s="2" t="s">
        <v>50</v>
      </c>
      <c r="F22" s="2"/>
      <c r="G22" s="3">
        <v>23000</v>
      </c>
      <c r="H22" s="3">
        <v>0</v>
      </c>
      <c r="I22" s="3">
        <v>0</v>
      </c>
      <c r="J22" s="3">
        <v>23000</v>
      </c>
      <c r="K22" s="3">
        <v>0</v>
      </c>
      <c r="L22" s="3">
        <f t="shared" si="0"/>
        <v>23000</v>
      </c>
      <c r="M22" s="3">
        <f>(ROUND(G22*12%,0))</f>
        <v>2760</v>
      </c>
      <c r="N22" s="3">
        <v>0</v>
      </c>
      <c r="P22">
        <f t="shared" si="1"/>
        <v>11500</v>
      </c>
      <c r="Q22" s="10">
        <f>G22-P22</f>
        <v>11500</v>
      </c>
      <c r="R22" s="12" t="s">
        <v>269</v>
      </c>
      <c r="S22" s="11" t="s">
        <v>275</v>
      </c>
    </row>
    <row r="23" spans="1:20" x14ac:dyDescent="0.25">
      <c r="A23" s="1">
        <v>17</v>
      </c>
      <c r="B23" s="2" t="s">
        <v>51</v>
      </c>
      <c r="C23" s="2" t="s">
        <v>18</v>
      </c>
      <c r="D23" s="2" t="s">
        <v>52</v>
      </c>
      <c r="E23" s="2" t="s">
        <v>53</v>
      </c>
      <c r="F23" s="2"/>
      <c r="G23" s="3">
        <v>20200</v>
      </c>
      <c r="H23" s="3">
        <v>0</v>
      </c>
      <c r="I23" s="3">
        <v>0</v>
      </c>
      <c r="J23" s="3">
        <v>20200</v>
      </c>
      <c r="K23" s="3">
        <v>0</v>
      </c>
      <c r="L23" s="3">
        <f t="shared" si="0"/>
        <v>20200</v>
      </c>
      <c r="M23" s="3">
        <v>0</v>
      </c>
      <c r="N23" s="3">
        <f t="shared" si="2"/>
        <v>152</v>
      </c>
      <c r="P23">
        <f t="shared" si="1"/>
        <v>10100</v>
      </c>
      <c r="Q23" s="10">
        <f>G23-P23</f>
        <v>10100</v>
      </c>
      <c r="R23" s="12" t="s">
        <v>272</v>
      </c>
      <c r="S23" s="12" t="s">
        <v>280</v>
      </c>
    </row>
    <row r="24" spans="1:20" x14ac:dyDescent="0.25">
      <c r="A24" s="1">
        <v>18</v>
      </c>
      <c r="B24" s="2" t="s">
        <v>54</v>
      </c>
      <c r="C24" s="2" t="s">
        <v>18</v>
      </c>
      <c r="D24" s="2" t="s">
        <v>52</v>
      </c>
      <c r="E24" s="2" t="s">
        <v>55</v>
      </c>
      <c r="F24" s="2"/>
      <c r="G24" s="3">
        <v>8400</v>
      </c>
      <c r="H24" s="3">
        <v>4900</v>
      </c>
      <c r="I24" s="3">
        <v>4000</v>
      </c>
      <c r="J24" s="3">
        <v>17300</v>
      </c>
      <c r="K24" s="3">
        <v>0</v>
      </c>
      <c r="L24" s="3">
        <f t="shared" si="0"/>
        <v>17300</v>
      </c>
      <c r="M24" s="3">
        <f t="shared" ref="M24:M31" si="3">(ROUND(G24*12%,0))</f>
        <v>1008</v>
      </c>
      <c r="N24" s="3">
        <f t="shared" si="2"/>
        <v>130</v>
      </c>
      <c r="P24">
        <f t="shared" si="1"/>
        <v>8650</v>
      </c>
      <c r="Q24" s="10">
        <f>G24-P24</f>
        <v>-250</v>
      </c>
      <c r="R24" s="11" t="s">
        <v>279</v>
      </c>
      <c r="S24" s="11" t="s">
        <v>278</v>
      </c>
      <c r="T24" t="s">
        <v>270</v>
      </c>
    </row>
    <row r="25" spans="1:20" x14ac:dyDescent="0.25">
      <c r="A25" s="1">
        <v>19</v>
      </c>
      <c r="B25" s="2" t="s">
        <v>56</v>
      </c>
      <c r="C25" s="2" t="s">
        <v>18</v>
      </c>
      <c r="D25" s="2" t="s">
        <v>52</v>
      </c>
      <c r="E25" s="2" t="s">
        <v>57</v>
      </c>
      <c r="F25" s="2"/>
      <c r="G25" s="3">
        <v>7950</v>
      </c>
      <c r="H25" s="3">
        <v>4150</v>
      </c>
      <c r="I25" s="3">
        <v>3800</v>
      </c>
      <c r="J25" s="3">
        <v>15900</v>
      </c>
      <c r="K25" s="3">
        <v>0</v>
      </c>
      <c r="L25" s="3">
        <f t="shared" si="0"/>
        <v>15900</v>
      </c>
      <c r="M25" s="3">
        <f t="shared" si="3"/>
        <v>954</v>
      </c>
      <c r="N25" s="3">
        <f t="shared" si="2"/>
        <v>119</v>
      </c>
      <c r="P25">
        <f t="shared" si="1"/>
        <v>7950</v>
      </c>
      <c r="Q25" s="10">
        <f>G25-P25</f>
        <v>0</v>
      </c>
      <c r="R25" s="13" t="s">
        <v>269</v>
      </c>
      <c r="S25" s="12" t="s">
        <v>280</v>
      </c>
      <c r="T25" t="s">
        <v>270</v>
      </c>
    </row>
    <row r="26" spans="1:20" x14ac:dyDescent="0.25">
      <c r="A26" s="1">
        <v>20</v>
      </c>
      <c r="B26" s="2" t="s">
        <v>58</v>
      </c>
      <c r="C26" s="2" t="s">
        <v>18</v>
      </c>
      <c r="D26" s="2" t="s">
        <v>59</v>
      </c>
      <c r="E26" s="2" t="s">
        <v>60</v>
      </c>
      <c r="F26" s="2"/>
      <c r="G26" s="3">
        <v>6400</v>
      </c>
      <c r="H26" s="3">
        <v>3250</v>
      </c>
      <c r="I26" s="3">
        <v>2550</v>
      </c>
      <c r="J26" s="3">
        <v>12200</v>
      </c>
      <c r="K26" s="3">
        <v>0</v>
      </c>
      <c r="L26" s="3">
        <f t="shared" si="0"/>
        <v>12200</v>
      </c>
      <c r="M26" s="3">
        <f t="shared" si="3"/>
        <v>768</v>
      </c>
      <c r="N26" s="3">
        <f t="shared" si="2"/>
        <v>92</v>
      </c>
      <c r="P26">
        <f t="shared" si="1"/>
        <v>6100</v>
      </c>
      <c r="Q26" s="10">
        <f>G26-P26</f>
        <v>300</v>
      </c>
      <c r="R26" s="12" t="s">
        <v>269</v>
      </c>
      <c r="S26" s="12" t="s">
        <v>280</v>
      </c>
      <c r="T26" t="s">
        <v>270</v>
      </c>
    </row>
    <row r="27" spans="1:20" x14ac:dyDescent="0.25">
      <c r="A27" s="1">
        <v>21</v>
      </c>
      <c r="B27" s="2" t="s">
        <v>61</v>
      </c>
      <c r="C27" s="2" t="s">
        <v>18</v>
      </c>
      <c r="D27" s="2" t="s">
        <v>62</v>
      </c>
      <c r="E27" s="2" t="s">
        <v>63</v>
      </c>
      <c r="F27" s="2"/>
      <c r="G27" s="3">
        <v>6645</v>
      </c>
      <c r="H27" s="3">
        <v>4490</v>
      </c>
      <c r="I27" s="3">
        <v>4090</v>
      </c>
      <c r="J27" s="3">
        <v>15225</v>
      </c>
      <c r="K27" s="3">
        <v>0</v>
      </c>
      <c r="L27" s="3">
        <f t="shared" si="0"/>
        <v>15225</v>
      </c>
      <c r="M27" s="3">
        <f t="shared" si="3"/>
        <v>797</v>
      </c>
      <c r="N27" s="3">
        <f t="shared" si="2"/>
        <v>114</v>
      </c>
      <c r="P27">
        <f t="shared" si="1"/>
        <v>7613</v>
      </c>
      <c r="Q27" s="10">
        <f>G27-P27</f>
        <v>-968</v>
      </c>
      <c r="R27" s="11" t="s">
        <v>279</v>
      </c>
      <c r="S27" s="11" t="s">
        <v>278</v>
      </c>
      <c r="T27" t="s">
        <v>270</v>
      </c>
    </row>
    <row r="28" spans="1:20" x14ac:dyDescent="0.25">
      <c r="A28" s="1">
        <v>22</v>
      </c>
      <c r="B28" s="2" t="s">
        <v>64</v>
      </c>
      <c r="C28" s="2" t="s">
        <v>18</v>
      </c>
      <c r="D28" s="2" t="s">
        <v>52</v>
      </c>
      <c r="E28" s="2" t="s">
        <v>65</v>
      </c>
      <c r="F28" s="2"/>
      <c r="G28" s="3">
        <v>7900</v>
      </c>
      <c r="H28" s="3">
        <v>4100</v>
      </c>
      <c r="I28" s="3">
        <v>3800</v>
      </c>
      <c r="J28" s="3">
        <v>15800</v>
      </c>
      <c r="K28" s="3">
        <v>0</v>
      </c>
      <c r="L28" s="3">
        <f t="shared" si="0"/>
        <v>15800</v>
      </c>
      <c r="M28" s="3">
        <f t="shared" si="3"/>
        <v>948</v>
      </c>
      <c r="N28" s="3">
        <f t="shared" si="2"/>
        <v>119</v>
      </c>
      <c r="P28">
        <f t="shared" si="1"/>
        <v>7900</v>
      </c>
      <c r="Q28" s="10">
        <f>G28-P28</f>
        <v>0</v>
      </c>
      <c r="R28" s="13" t="s">
        <v>269</v>
      </c>
      <c r="S28" s="12" t="s">
        <v>280</v>
      </c>
      <c r="T28" t="s">
        <v>270</v>
      </c>
    </row>
    <row r="29" spans="1:20" x14ac:dyDescent="0.25">
      <c r="A29" s="1">
        <v>23</v>
      </c>
      <c r="B29" s="2" t="s">
        <v>66</v>
      </c>
      <c r="C29" s="2" t="s">
        <v>18</v>
      </c>
      <c r="D29" s="2" t="s">
        <v>67</v>
      </c>
      <c r="E29" s="2" t="s">
        <v>68</v>
      </c>
      <c r="F29" s="2"/>
      <c r="G29" s="3">
        <v>7980</v>
      </c>
      <c r="H29" s="3">
        <v>3660</v>
      </c>
      <c r="I29" s="3">
        <v>3360</v>
      </c>
      <c r="J29" s="3">
        <v>15000</v>
      </c>
      <c r="K29" s="3">
        <v>0</v>
      </c>
      <c r="L29" s="3">
        <f t="shared" si="0"/>
        <v>15000</v>
      </c>
      <c r="M29" s="3">
        <f t="shared" si="3"/>
        <v>958</v>
      </c>
      <c r="N29" s="3">
        <f t="shared" si="2"/>
        <v>113</v>
      </c>
      <c r="P29">
        <f t="shared" si="1"/>
        <v>7500</v>
      </c>
      <c r="Q29" s="10">
        <f>G29-P29</f>
        <v>480</v>
      </c>
      <c r="R29" s="12" t="s">
        <v>269</v>
      </c>
      <c r="S29" s="12" t="s">
        <v>280</v>
      </c>
      <c r="T29" t="s">
        <v>270</v>
      </c>
    </row>
    <row r="30" spans="1:20" x14ac:dyDescent="0.25">
      <c r="A30" s="1">
        <v>24</v>
      </c>
      <c r="B30" s="2" t="s">
        <v>69</v>
      </c>
      <c r="C30" s="2" t="s">
        <v>18</v>
      </c>
      <c r="D30" s="2" t="s">
        <v>70</v>
      </c>
      <c r="E30" s="2" t="s">
        <v>71</v>
      </c>
      <c r="F30" s="2"/>
      <c r="G30" s="3">
        <v>8500</v>
      </c>
      <c r="H30" s="3">
        <v>4000</v>
      </c>
      <c r="I30" s="3">
        <v>3000</v>
      </c>
      <c r="J30" s="3">
        <v>15500</v>
      </c>
      <c r="K30" s="3">
        <v>0</v>
      </c>
      <c r="L30" s="3">
        <f t="shared" si="0"/>
        <v>15500</v>
      </c>
      <c r="M30" s="3">
        <f t="shared" si="3"/>
        <v>1020</v>
      </c>
      <c r="N30" s="3">
        <f t="shared" si="2"/>
        <v>116</v>
      </c>
      <c r="P30">
        <f t="shared" si="1"/>
        <v>7750</v>
      </c>
      <c r="Q30" s="10">
        <f>G30-P30</f>
        <v>750</v>
      </c>
      <c r="R30" s="12" t="s">
        <v>269</v>
      </c>
      <c r="S30" s="12" t="s">
        <v>280</v>
      </c>
      <c r="T30" t="s">
        <v>270</v>
      </c>
    </row>
    <row r="31" spans="1:20" x14ac:dyDescent="0.25">
      <c r="A31" s="1">
        <v>25</v>
      </c>
      <c r="B31" s="2" t="s">
        <v>72</v>
      </c>
      <c r="C31" s="2" t="s">
        <v>18</v>
      </c>
      <c r="D31" s="2" t="s">
        <v>52</v>
      </c>
      <c r="E31" s="2" t="s">
        <v>73</v>
      </c>
      <c r="F31" s="2"/>
      <c r="G31" s="3">
        <v>8400</v>
      </c>
      <c r="H31" s="3">
        <v>4900</v>
      </c>
      <c r="I31" s="3">
        <v>4000</v>
      </c>
      <c r="J31" s="3">
        <v>17300</v>
      </c>
      <c r="K31" s="3">
        <v>0</v>
      </c>
      <c r="L31" s="3">
        <f t="shared" si="0"/>
        <v>17300</v>
      </c>
      <c r="M31" s="3">
        <f t="shared" si="3"/>
        <v>1008</v>
      </c>
      <c r="N31" s="3">
        <f t="shared" si="2"/>
        <v>130</v>
      </c>
      <c r="P31">
        <f t="shared" si="1"/>
        <v>8650</v>
      </c>
      <c r="Q31" s="10">
        <f>G31-P31</f>
        <v>-250</v>
      </c>
      <c r="R31" s="11" t="s">
        <v>279</v>
      </c>
      <c r="S31" s="11" t="s">
        <v>278</v>
      </c>
      <c r="T31" t="s">
        <v>270</v>
      </c>
    </row>
    <row r="32" spans="1:20" x14ac:dyDescent="0.25">
      <c r="A32" s="1">
        <v>26</v>
      </c>
      <c r="B32" s="2" t="s">
        <v>74</v>
      </c>
      <c r="C32" s="2" t="s">
        <v>18</v>
      </c>
      <c r="D32" s="2" t="s">
        <v>52</v>
      </c>
      <c r="E32" s="2" t="s">
        <v>75</v>
      </c>
      <c r="F32" s="2"/>
      <c r="G32" s="3">
        <v>19000</v>
      </c>
      <c r="H32" s="3">
        <v>0</v>
      </c>
      <c r="I32" s="3">
        <v>0</v>
      </c>
      <c r="J32" s="3">
        <v>19000</v>
      </c>
      <c r="K32" s="3">
        <v>0</v>
      </c>
      <c r="L32" s="3">
        <f t="shared" si="0"/>
        <v>19000</v>
      </c>
      <c r="M32" s="3">
        <v>0</v>
      </c>
      <c r="N32" s="3">
        <f t="shared" si="2"/>
        <v>143</v>
      </c>
      <c r="P32">
        <f t="shared" si="1"/>
        <v>9500</v>
      </c>
      <c r="Q32" s="10">
        <f>G32-P32</f>
        <v>9500</v>
      </c>
      <c r="R32" s="12" t="s">
        <v>272</v>
      </c>
      <c r="S32" s="12" t="s">
        <v>280</v>
      </c>
    </row>
    <row r="33" spans="1:20" x14ac:dyDescent="0.25">
      <c r="A33" s="1">
        <v>27</v>
      </c>
      <c r="B33" s="2" t="s">
        <v>76</v>
      </c>
      <c r="C33" s="2" t="s">
        <v>18</v>
      </c>
      <c r="D33" s="2" t="s">
        <v>52</v>
      </c>
      <c r="E33" s="2" t="s">
        <v>77</v>
      </c>
      <c r="F33" s="2"/>
      <c r="G33" s="3">
        <v>20600</v>
      </c>
      <c r="H33" s="3">
        <v>0</v>
      </c>
      <c r="I33" s="3">
        <v>0</v>
      </c>
      <c r="J33" s="3">
        <v>20600</v>
      </c>
      <c r="K33" s="3">
        <v>0</v>
      </c>
      <c r="L33" s="3">
        <f t="shared" si="0"/>
        <v>20600</v>
      </c>
      <c r="M33" s="3">
        <v>0</v>
      </c>
      <c r="N33" s="3">
        <f t="shared" si="2"/>
        <v>155</v>
      </c>
      <c r="P33">
        <f t="shared" si="1"/>
        <v>10300</v>
      </c>
      <c r="Q33" s="10">
        <f>G33-P33</f>
        <v>10300</v>
      </c>
      <c r="R33" s="12" t="s">
        <v>272</v>
      </c>
      <c r="S33" s="12" t="s">
        <v>280</v>
      </c>
    </row>
    <row r="34" spans="1:20" x14ac:dyDescent="0.25">
      <c r="A34" s="1">
        <v>28</v>
      </c>
      <c r="B34" s="2" t="s">
        <v>78</v>
      </c>
      <c r="C34" s="2" t="s">
        <v>18</v>
      </c>
      <c r="D34" s="2" t="s">
        <v>52</v>
      </c>
      <c r="E34" s="2" t="s">
        <v>79</v>
      </c>
      <c r="F34" s="2"/>
      <c r="G34" s="3">
        <v>20000</v>
      </c>
      <c r="H34" s="3">
        <v>0</v>
      </c>
      <c r="I34" s="3">
        <v>0</v>
      </c>
      <c r="J34" s="3">
        <v>20000</v>
      </c>
      <c r="K34" s="3">
        <v>0</v>
      </c>
      <c r="L34" s="3">
        <f t="shared" si="0"/>
        <v>20000</v>
      </c>
      <c r="M34" s="3">
        <v>0</v>
      </c>
      <c r="N34" s="3">
        <f t="shared" si="2"/>
        <v>150</v>
      </c>
      <c r="P34">
        <f t="shared" si="1"/>
        <v>10000</v>
      </c>
      <c r="Q34" s="10">
        <f>G34-P34</f>
        <v>10000</v>
      </c>
      <c r="R34" s="12" t="s">
        <v>272</v>
      </c>
      <c r="S34" s="12" t="s">
        <v>280</v>
      </c>
    </row>
    <row r="35" spans="1:20" x14ac:dyDescent="0.25">
      <c r="A35" s="1">
        <v>29</v>
      </c>
      <c r="B35" s="2" t="s">
        <v>80</v>
      </c>
      <c r="C35" s="2" t="s">
        <v>18</v>
      </c>
      <c r="D35" s="2" t="s">
        <v>52</v>
      </c>
      <c r="E35" s="2" t="s">
        <v>81</v>
      </c>
      <c r="F35" s="2"/>
      <c r="G35" s="3">
        <v>7850</v>
      </c>
      <c r="H35" s="3">
        <v>4150</v>
      </c>
      <c r="I35" s="3">
        <v>3700</v>
      </c>
      <c r="J35" s="3">
        <v>15700</v>
      </c>
      <c r="K35" s="3">
        <v>0</v>
      </c>
      <c r="L35" s="3">
        <f t="shared" si="0"/>
        <v>15700</v>
      </c>
      <c r="M35" s="3">
        <f>(ROUND(G35*12%,0))</f>
        <v>942</v>
      </c>
      <c r="N35" s="3">
        <f t="shared" si="2"/>
        <v>118</v>
      </c>
      <c r="P35">
        <f t="shared" si="1"/>
        <v>7850</v>
      </c>
      <c r="Q35" s="10">
        <f>G35-P35</f>
        <v>0</v>
      </c>
      <c r="R35" s="13" t="s">
        <v>269</v>
      </c>
      <c r="S35" s="12" t="s">
        <v>280</v>
      </c>
      <c r="T35" t="s">
        <v>270</v>
      </c>
    </row>
    <row r="36" spans="1:20" x14ac:dyDescent="0.25">
      <c r="A36" s="1">
        <v>30</v>
      </c>
      <c r="B36" s="2" t="s">
        <v>82</v>
      </c>
      <c r="C36" s="2" t="s">
        <v>18</v>
      </c>
      <c r="D36" s="2" t="s">
        <v>59</v>
      </c>
      <c r="E36" s="2" t="s">
        <v>83</v>
      </c>
      <c r="F36" s="2"/>
      <c r="G36" s="3">
        <v>6420</v>
      </c>
      <c r="H36" s="3">
        <v>3440</v>
      </c>
      <c r="I36" s="3">
        <v>2740</v>
      </c>
      <c r="J36" s="3">
        <v>12600</v>
      </c>
      <c r="K36" s="3">
        <v>0</v>
      </c>
      <c r="L36" s="3">
        <f t="shared" si="0"/>
        <v>12600</v>
      </c>
      <c r="M36" s="3">
        <f>(ROUND(G36*12%,0))</f>
        <v>770</v>
      </c>
      <c r="N36" s="3">
        <f t="shared" si="2"/>
        <v>95</v>
      </c>
      <c r="P36">
        <f t="shared" si="1"/>
        <v>6300</v>
      </c>
      <c r="Q36" s="10">
        <f>G36-P36</f>
        <v>120</v>
      </c>
      <c r="R36" s="12" t="s">
        <v>269</v>
      </c>
      <c r="S36" s="12" t="s">
        <v>280</v>
      </c>
      <c r="T36" t="s">
        <v>270</v>
      </c>
    </row>
    <row r="37" spans="1:20" x14ac:dyDescent="0.25">
      <c r="A37" s="1">
        <v>31</v>
      </c>
      <c r="B37" s="2" t="s">
        <v>84</v>
      </c>
      <c r="C37" s="2" t="s">
        <v>18</v>
      </c>
      <c r="D37" s="2" t="s">
        <v>67</v>
      </c>
      <c r="E37" s="2" t="s">
        <v>85</v>
      </c>
      <c r="F37" s="2"/>
      <c r="G37" s="3">
        <v>6590</v>
      </c>
      <c r="H37" s="3">
        <v>4280</v>
      </c>
      <c r="I37" s="3">
        <v>3130</v>
      </c>
      <c r="J37" s="3">
        <v>14000</v>
      </c>
      <c r="K37" s="3">
        <v>0</v>
      </c>
      <c r="L37" s="3">
        <f t="shared" si="0"/>
        <v>14000</v>
      </c>
      <c r="M37" s="3">
        <f>(ROUND(G37*12%,0))</f>
        <v>791</v>
      </c>
      <c r="N37" s="3">
        <f t="shared" si="2"/>
        <v>105</v>
      </c>
      <c r="P37">
        <f t="shared" si="1"/>
        <v>7000</v>
      </c>
      <c r="Q37" s="10">
        <f>G37-P37</f>
        <v>-410</v>
      </c>
      <c r="R37" s="11" t="s">
        <v>279</v>
      </c>
      <c r="S37" s="11" t="s">
        <v>278</v>
      </c>
      <c r="T37" t="s">
        <v>270</v>
      </c>
    </row>
    <row r="38" spans="1:20" x14ac:dyDescent="0.25">
      <c r="A38" s="1">
        <v>32</v>
      </c>
      <c r="B38" s="2" t="s">
        <v>86</v>
      </c>
      <c r="C38" s="2" t="s">
        <v>18</v>
      </c>
      <c r="D38" s="2" t="s">
        <v>67</v>
      </c>
      <c r="E38" s="2" t="s">
        <v>87</v>
      </c>
      <c r="F38" s="2"/>
      <c r="G38" s="3">
        <v>7290</v>
      </c>
      <c r="H38" s="3">
        <v>4180</v>
      </c>
      <c r="I38" s="3">
        <v>3730</v>
      </c>
      <c r="J38" s="3">
        <v>15200</v>
      </c>
      <c r="K38" s="3">
        <v>0</v>
      </c>
      <c r="L38" s="3">
        <f t="shared" si="0"/>
        <v>15200</v>
      </c>
      <c r="M38" s="3">
        <f>(ROUND(G38*12%,0))</f>
        <v>875</v>
      </c>
      <c r="N38" s="3">
        <f t="shared" si="2"/>
        <v>114</v>
      </c>
      <c r="P38">
        <f t="shared" si="1"/>
        <v>7600</v>
      </c>
      <c r="Q38" s="10">
        <f>G38-P38</f>
        <v>-310</v>
      </c>
      <c r="R38" s="11" t="s">
        <v>279</v>
      </c>
      <c r="S38" s="11" t="s">
        <v>278</v>
      </c>
      <c r="T38" t="s">
        <v>270</v>
      </c>
    </row>
    <row r="39" spans="1:20" x14ac:dyDescent="0.25">
      <c r="A39" s="1">
        <v>33</v>
      </c>
      <c r="B39" s="2" t="s">
        <v>88</v>
      </c>
      <c r="C39" s="2" t="s">
        <v>18</v>
      </c>
      <c r="D39" s="2" t="s">
        <v>62</v>
      </c>
      <c r="E39" s="2" t="s">
        <v>89</v>
      </c>
      <c r="F39" s="2"/>
      <c r="G39" s="3">
        <v>6750</v>
      </c>
      <c r="H39" s="3">
        <v>5710</v>
      </c>
      <c r="I39" s="3">
        <v>4340</v>
      </c>
      <c r="J39" s="3">
        <v>16800</v>
      </c>
      <c r="K39" s="3">
        <v>0</v>
      </c>
      <c r="L39" s="3">
        <f t="shared" si="0"/>
        <v>16800</v>
      </c>
      <c r="M39" s="3">
        <f>(ROUND(G39*12%,0))</f>
        <v>810</v>
      </c>
      <c r="N39" s="3">
        <f t="shared" si="2"/>
        <v>126</v>
      </c>
      <c r="P39">
        <f t="shared" si="1"/>
        <v>8400</v>
      </c>
      <c r="Q39" s="10">
        <f>G39-P39</f>
        <v>-1650</v>
      </c>
      <c r="R39" s="11" t="s">
        <v>279</v>
      </c>
      <c r="S39" s="11" t="s">
        <v>278</v>
      </c>
      <c r="T39" t="s">
        <v>270</v>
      </c>
    </row>
    <row r="40" spans="1:20" x14ac:dyDescent="0.25">
      <c r="A40" s="1">
        <v>34</v>
      </c>
      <c r="B40" s="2" t="s">
        <v>90</v>
      </c>
      <c r="C40" s="2" t="s">
        <v>18</v>
      </c>
      <c r="D40" s="2" t="s">
        <v>52</v>
      </c>
      <c r="E40" s="2" t="s">
        <v>91</v>
      </c>
      <c r="F40" s="2"/>
      <c r="G40" s="3">
        <v>19000</v>
      </c>
      <c r="H40" s="3">
        <v>0</v>
      </c>
      <c r="I40" s="3">
        <v>0</v>
      </c>
      <c r="J40" s="3">
        <v>19000</v>
      </c>
      <c r="K40" s="3">
        <v>0</v>
      </c>
      <c r="L40" s="3">
        <f t="shared" si="0"/>
        <v>19000</v>
      </c>
      <c r="M40" s="3">
        <v>0</v>
      </c>
      <c r="N40" s="3">
        <f t="shared" si="2"/>
        <v>143</v>
      </c>
      <c r="P40">
        <f t="shared" si="1"/>
        <v>9500</v>
      </c>
      <c r="Q40" s="10">
        <f>G40-P40</f>
        <v>9500</v>
      </c>
      <c r="R40" s="12" t="s">
        <v>272</v>
      </c>
      <c r="S40" s="12" t="s">
        <v>280</v>
      </c>
    </row>
    <row r="41" spans="1:20" x14ac:dyDescent="0.25">
      <c r="A41" s="1">
        <v>35</v>
      </c>
      <c r="B41" s="2" t="s">
        <v>92</v>
      </c>
      <c r="C41" s="2" t="s">
        <v>18</v>
      </c>
      <c r="D41" s="2" t="s">
        <v>52</v>
      </c>
      <c r="E41" s="2" t="s">
        <v>93</v>
      </c>
      <c r="F41" s="2"/>
      <c r="G41" s="3">
        <v>21000</v>
      </c>
      <c r="H41" s="3">
        <v>0</v>
      </c>
      <c r="I41" s="3">
        <v>0</v>
      </c>
      <c r="J41" s="3">
        <v>21000</v>
      </c>
      <c r="K41" s="3">
        <v>0</v>
      </c>
      <c r="L41" s="3">
        <f t="shared" si="0"/>
        <v>21000</v>
      </c>
      <c r="M41" s="3">
        <v>0</v>
      </c>
      <c r="N41" s="3">
        <f t="shared" si="2"/>
        <v>158</v>
      </c>
      <c r="P41">
        <f t="shared" si="1"/>
        <v>10500</v>
      </c>
      <c r="Q41" s="10">
        <f>G41-P41</f>
        <v>10500</v>
      </c>
      <c r="R41" s="12" t="s">
        <v>272</v>
      </c>
      <c r="S41" s="12" t="s">
        <v>280</v>
      </c>
    </row>
    <row r="42" spans="1:20" x14ac:dyDescent="0.25">
      <c r="A42" s="1">
        <v>36</v>
      </c>
      <c r="B42" s="2" t="s">
        <v>94</v>
      </c>
      <c r="C42" s="2" t="s">
        <v>18</v>
      </c>
      <c r="D42" s="2" t="s">
        <v>52</v>
      </c>
      <c r="E42" s="2" t="s">
        <v>95</v>
      </c>
      <c r="F42" s="2"/>
      <c r="G42" s="3">
        <v>21000</v>
      </c>
      <c r="H42" s="3">
        <v>0</v>
      </c>
      <c r="I42" s="3">
        <v>0</v>
      </c>
      <c r="J42" s="3">
        <v>21000</v>
      </c>
      <c r="K42" s="3">
        <v>0</v>
      </c>
      <c r="L42" s="3">
        <f t="shared" si="0"/>
        <v>21000</v>
      </c>
      <c r="M42" s="3">
        <v>0</v>
      </c>
      <c r="N42" s="3">
        <f t="shared" si="2"/>
        <v>158</v>
      </c>
      <c r="P42">
        <f t="shared" si="1"/>
        <v>10500</v>
      </c>
      <c r="Q42" s="10">
        <f>G42-P42</f>
        <v>10500</v>
      </c>
      <c r="R42" s="12" t="s">
        <v>272</v>
      </c>
      <c r="S42" s="12" t="s">
        <v>280</v>
      </c>
    </row>
    <row r="43" spans="1:20" x14ac:dyDescent="0.25">
      <c r="A43" s="1">
        <v>37</v>
      </c>
      <c r="B43" s="2" t="s">
        <v>96</v>
      </c>
      <c r="C43" s="2" t="s">
        <v>18</v>
      </c>
      <c r="D43" s="2" t="s">
        <v>62</v>
      </c>
      <c r="E43" s="2" t="s">
        <v>97</v>
      </c>
      <c r="F43" s="2"/>
      <c r="G43" s="3">
        <v>9300</v>
      </c>
      <c r="H43" s="3">
        <v>5600</v>
      </c>
      <c r="I43" s="3">
        <v>4600</v>
      </c>
      <c r="J43" s="3">
        <v>19500</v>
      </c>
      <c r="K43" s="3">
        <v>0</v>
      </c>
      <c r="L43" s="3">
        <f t="shared" si="0"/>
        <v>19500</v>
      </c>
      <c r="M43" s="3">
        <f>(ROUND(G43*12%,0))</f>
        <v>1116</v>
      </c>
      <c r="N43" s="3">
        <f t="shared" si="2"/>
        <v>146</v>
      </c>
      <c r="P43">
        <f t="shared" si="1"/>
        <v>9750</v>
      </c>
      <c r="Q43" s="10">
        <f>G43-P43</f>
        <v>-450</v>
      </c>
      <c r="R43" s="11" t="s">
        <v>279</v>
      </c>
      <c r="S43" s="11" t="s">
        <v>278</v>
      </c>
      <c r="T43" t="s">
        <v>270</v>
      </c>
    </row>
    <row r="44" spans="1:20" x14ac:dyDescent="0.25">
      <c r="A44" s="1">
        <v>38</v>
      </c>
      <c r="B44" s="2" t="s">
        <v>98</v>
      </c>
      <c r="C44" s="2" t="s">
        <v>18</v>
      </c>
      <c r="D44" s="2" t="s">
        <v>70</v>
      </c>
      <c r="E44" s="2" t="s">
        <v>99</v>
      </c>
      <c r="F44" s="2"/>
      <c r="G44" s="3">
        <v>7980</v>
      </c>
      <c r="H44" s="3">
        <v>3560</v>
      </c>
      <c r="I44" s="3">
        <v>3460</v>
      </c>
      <c r="J44" s="3">
        <v>15000</v>
      </c>
      <c r="K44" s="3">
        <v>0</v>
      </c>
      <c r="L44" s="3">
        <f t="shared" si="0"/>
        <v>15000</v>
      </c>
      <c r="M44" s="3">
        <f>(ROUND(G44*12%,0))</f>
        <v>958</v>
      </c>
      <c r="N44" s="3">
        <f t="shared" si="2"/>
        <v>113</v>
      </c>
      <c r="P44">
        <f t="shared" si="1"/>
        <v>7500</v>
      </c>
      <c r="Q44" s="10">
        <f>G44-P44</f>
        <v>480</v>
      </c>
      <c r="R44" s="12" t="s">
        <v>269</v>
      </c>
      <c r="S44" s="12" t="s">
        <v>280</v>
      </c>
      <c r="T44" t="s">
        <v>270</v>
      </c>
    </row>
    <row r="45" spans="1:20" x14ac:dyDescent="0.25">
      <c r="A45" s="1">
        <v>39</v>
      </c>
      <c r="B45" s="2" t="s">
        <v>100</v>
      </c>
      <c r="C45" s="2" t="s">
        <v>18</v>
      </c>
      <c r="D45" s="2" t="s">
        <v>52</v>
      </c>
      <c r="E45" s="2" t="s">
        <v>101</v>
      </c>
      <c r="F45" s="2"/>
      <c r="G45" s="3">
        <v>21000</v>
      </c>
      <c r="H45" s="3">
        <v>0</v>
      </c>
      <c r="I45" s="3">
        <v>0</v>
      </c>
      <c r="J45" s="3">
        <v>21000</v>
      </c>
      <c r="K45" s="3">
        <v>0</v>
      </c>
      <c r="L45" s="3">
        <f t="shared" si="0"/>
        <v>21000</v>
      </c>
      <c r="M45" s="3">
        <v>0</v>
      </c>
      <c r="N45" s="3">
        <f t="shared" si="2"/>
        <v>158</v>
      </c>
      <c r="P45">
        <f t="shared" si="1"/>
        <v>10500</v>
      </c>
      <c r="Q45" s="10">
        <f>G45-P45</f>
        <v>10500</v>
      </c>
      <c r="R45" s="12" t="s">
        <v>272</v>
      </c>
      <c r="S45" s="12" t="s">
        <v>280</v>
      </c>
    </row>
    <row r="46" spans="1:20" x14ac:dyDescent="0.25">
      <c r="A46" s="1">
        <v>40</v>
      </c>
      <c r="B46" s="2" t="s">
        <v>102</v>
      </c>
      <c r="C46" s="2" t="s">
        <v>18</v>
      </c>
      <c r="D46" s="2" t="s">
        <v>52</v>
      </c>
      <c r="E46" s="2" t="s">
        <v>103</v>
      </c>
      <c r="F46" s="2"/>
      <c r="G46" s="3">
        <v>21000</v>
      </c>
      <c r="H46" s="3">
        <v>0</v>
      </c>
      <c r="I46" s="3">
        <v>0</v>
      </c>
      <c r="J46" s="3">
        <v>21000</v>
      </c>
      <c r="K46" s="3">
        <v>0</v>
      </c>
      <c r="L46" s="3">
        <f t="shared" si="0"/>
        <v>21000</v>
      </c>
      <c r="M46" s="3">
        <v>0</v>
      </c>
      <c r="N46" s="3">
        <f t="shared" si="2"/>
        <v>158</v>
      </c>
      <c r="P46">
        <f t="shared" si="1"/>
        <v>10500</v>
      </c>
      <c r="Q46" s="10">
        <f>G46-P46</f>
        <v>10500</v>
      </c>
      <c r="R46" s="12" t="s">
        <v>272</v>
      </c>
      <c r="S46" s="12" t="s">
        <v>280</v>
      </c>
    </row>
    <row r="47" spans="1:20" x14ac:dyDescent="0.25">
      <c r="A47" s="1">
        <v>41</v>
      </c>
      <c r="B47" s="2" t="s">
        <v>104</v>
      </c>
      <c r="C47" s="2" t="s">
        <v>18</v>
      </c>
      <c r="D47" s="2" t="s">
        <v>62</v>
      </c>
      <c r="E47" s="2" t="s">
        <v>105</v>
      </c>
      <c r="F47" s="2"/>
      <c r="G47" s="3">
        <v>7640</v>
      </c>
      <c r="H47" s="3">
        <v>4280</v>
      </c>
      <c r="I47" s="3">
        <v>2780</v>
      </c>
      <c r="J47" s="3">
        <v>14700</v>
      </c>
      <c r="K47" s="3">
        <v>0</v>
      </c>
      <c r="L47" s="3">
        <f t="shared" si="0"/>
        <v>14700</v>
      </c>
      <c r="M47" s="3">
        <f>(ROUND(G47*12%,0))</f>
        <v>917</v>
      </c>
      <c r="N47" s="3">
        <f t="shared" si="2"/>
        <v>110</v>
      </c>
      <c r="P47">
        <f t="shared" si="1"/>
        <v>7350</v>
      </c>
      <c r="Q47" s="10">
        <f>G47-P47</f>
        <v>290</v>
      </c>
      <c r="R47" s="12" t="s">
        <v>269</v>
      </c>
      <c r="S47" s="12" t="s">
        <v>280</v>
      </c>
      <c r="T47" t="s">
        <v>270</v>
      </c>
    </row>
    <row r="48" spans="1:20" x14ac:dyDescent="0.25">
      <c r="A48" s="1">
        <v>42</v>
      </c>
      <c r="B48" s="2" t="s">
        <v>106</v>
      </c>
      <c r="C48" s="2" t="s">
        <v>18</v>
      </c>
      <c r="D48" s="2" t="s">
        <v>59</v>
      </c>
      <c r="E48" s="2" t="s">
        <v>107</v>
      </c>
      <c r="F48" s="2"/>
      <c r="G48" s="3">
        <v>7700</v>
      </c>
      <c r="H48" s="3">
        <v>2300</v>
      </c>
      <c r="I48" s="3">
        <v>1800</v>
      </c>
      <c r="J48" s="3">
        <v>11800</v>
      </c>
      <c r="K48" s="3">
        <v>0</v>
      </c>
      <c r="L48" s="3">
        <f t="shared" si="0"/>
        <v>11800</v>
      </c>
      <c r="M48" s="3">
        <f>(ROUND(G48*12%,0))</f>
        <v>924</v>
      </c>
      <c r="N48" s="3">
        <f t="shared" si="2"/>
        <v>89</v>
      </c>
      <c r="P48">
        <f t="shared" si="1"/>
        <v>5900</v>
      </c>
      <c r="Q48" s="10">
        <f>G48-P48</f>
        <v>1800</v>
      </c>
      <c r="R48" s="12" t="s">
        <v>269</v>
      </c>
      <c r="S48" s="12" t="s">
        <v>280</v>
      </c>
      <c r="T48" t="s">
        <v>270</v>
      </c>
    </row>
    <row r="49" spans="1:20" x14ac:dyDescent="0.25">
      <c r="A49" s="1">
        <v>43</v>
      </c>
      <c r="B49" s="2" t="s">
        <v>108</v>
      </c>
      <c r="C49" s="2" t="s">
        <v>18</v>
      </c>
      <c r="D49" s="2" t="s">
        <v>52</v>
      </c>
      <c r="E49" s="2" t="s">
        <v>109</v>
      </c>
      <c r="F49" s="2"/>
      <c r="G49" s="3">
        <v>19000</v>
      </c>
      <c r="H49" s="3">
        <v>0</v>
      </c>
      <c r="I49" s="3">
        <v>0</v>
      </c>
      <c r="J49" s="3">
        <v>19000</v>
      </c>
      <c r="K49" s="3">
        <v>0</v>
      </c>
      <c r="L49" s="3">
        <f t="shared" si="0"/>
        <v>19000</v>
      </c>
      <c r="M49" s="3">
        <v>0</v>
      </c>
      <c r="N49" s="3">
        <f t="shared" si="2"/>
        <v>143</v>
      </c>
      <c r="P49">
        <f t="shared" si="1"/>
        <v>9500</v>
      </c>
      <c r="Q49" s="10">
        <f>G49-P49</f>
        <v>9500</v>
      </c>
      <c r="R49" s="12" t="s">
        <v>272</v>
      </c>
      <c r="S49" s="12" t="s">
        <v>280</v>
      </c>
    </row>
    <row r="50" spans="1:20" x14ac:dyDescent="0.25">
      <c r="A50" s="1">
        <v>44</v>
      </c>
      <c r="B50" s="2" t="s">
        <v>110</v>
      </c>
      <c r="C50" s="2" t="s">
        <v>18</v>
      </c>
      <c r="D50" s="2" t="s">
        <v>62</v>
      </c>
      <c r="E50" s="2" t="s">
        <v>111</v>
      </c>
      <c r="F50" s="2"/>
      <c r="G50" s="3">
        <v>7630</v>
      </c>
      <c r="H50" s="3">
        <v>3260</v>
      </c>
      <c r="I50" s="3">
        <v>2760</v>
      </c>
      <c r="J50" s="3">
        <v>13650</v>
      </c>
      <c r="K50" s="3">
        <v>0</v>
      </c>
      <c r="L50" s="3">
        <f t="shared" si="0"/>
        <v>13650</v>
      </c>
      <c r="M50" s="3">
        <f>(ROUND(G50*12%,0))</f>
        <v>916</v>
      </c>
      <c r="N50" s="3">
        <f t="shared" si="2"/>
        <v>102</v>
      </c>
      <c r="P50">
        <f t="shared" si="1"/>
        <v>6825</v>
      </c>
      <c r="Q50" s="10">
        <f>G50-P50</f>
        <v>805</v>
      </c>
      <c r="R50" s="12" t="s">
        <v>269</v>
      </c>
      <c r="S50" s="12" t="s">
        <v>280</v>
      </c>
      <c r="T50" t="s">
        <v>270</v>
      </c>
    </row>
    <row r="51" spans="1:20" x14ac:dyDescent="0.25">
      <c r="A51" s="1">
        <v>45</v>
      </c>
      <c r="B51" s="2" t="s">
        <v>112</v>
      </c>
      <c r="C51" s="2" t="s">
        <v>18</v>
      </c>
      <c r="D51" s="2" t="s">
        <v>52</v>
      </c>
      <c r="E51" s="2" t="s">
        <v>113</v>
      </c>
      <c r="F51" s="2"/>
      <c r="G51" s="3">
        <v>19000</v>
      </c>
      <c r="H51" s="3">
        <v>0</v>
      </c>
      <c r="I51" s="3">
        <v>0</v>
      </c>
      <c r="J51" s="3">
        <v>19000</v>
      </c>
      <c r="K51" s="3">
        <v>0</v>
      </c>
      <c r="L51" s="3">
        <f t="shared" si="0"/>
        <v>19000</v>
      </c>
      <c r="M51" s="3">
        <v>0</v>
      </c>
      <c r="N51" s="3">
        <f t="shared" si="2"/>
        <v>143</v>
      </c>
      <c r="P51">
        <f t="shared" si="1"/>
        <v>9500</v>
      </c>
      <c r="Q51" s="10">
        <f>G51-P51</f>
        <v>9500</v>
      </c>
      <c r="R51" s="12" t="s">
        <v>272</v>
      </c>
      <c r="S51" s="12" t="s">
        <v>280</v>
      </c>
    </row>
    <row r="52" spans="1:20" x14ac:dyDescent="0.25">
      <c r="A52" s="1">
        <v>46</v>
      </c>
      <c r="B52" s="2" t="s">
        <v>114</v>
      </c>
      <c r="C52" s="2" t="s">
        <v>18</v>
      </c>
      <c r="D52" s="2" t="s">
        <v>59</v>
      </c>
      <c r="E52" s="2" t="s">
        <v>115</v>
      </c>
      <c r="F52" s="2"/>
      <c r="G52" s="3">
        <v>7700</v>
      </c>
      <c r="H52" s="3">
        <v>2300</v>
      </c>
      <c r="I52" s="3">
        <v>1800</v>
      </c>
      <c r="J52" s="3">
        <v>11800</v>
      </c>
      <c r="K52" s="3">
        <v>0</v>
      </c>
      <c r="L52" s="3">
        <f t="shared" si="0"/>
        <v>11800</v>
      </c>
      <c r="M52" s="3">
        <f>(ROUND(G52*12%,0))</f>
        <v>924</v>
      </c>
      <c r="N52" s="3">
        <f t="shared" si="2"/>
        <v>89</v>
      </c>
      <c r="P52">
        <f t="shared" si="1"/>
        <v>5900</v>
      </c>
      <c r="Q52" s="10">
        <f>G52-P52</f>
        <v>1800</v>
      </c>
      <c r="R52" s="12" t="s">
        <v>269</v>
      </c>
      <c r="S52" s="12" t="s">
        <v>280</v>
      </c>
      <c r="T52" t="s">
        <v>270</v>
      </c>
    </row>
    <row r="53" spans="1:20" x14ac:dyDescent="0.25">
      <c r="A53" s="1">
        <v>47</v>
      </c>
      <c r="B53" s="2" t="s">
        <v>116</v>
      </c>
      <c r="C53" s="2" t="s">
        <v>18</v>
      </c>
      <c r="D53" s="2" t="s">
        <v>62</v>
      </c>
      <c r="E53" s="2" t="s">
        <v>117</v>
      </c>
      <c r="F53" s="2"/>
      <c r="G53" s="3">
        <v>7650</v>
      </c>
      <c r="H53" s="3">
        <v>4300</v>
      </c>
      <c r="I53" s="3">
        <v>3800</v>
      </c>
      <c r="J53" s="3">
        <v>15750</v>
      </c>
      <c r="K53" s="3">
        <v>0</v>
      </c>
      <c r="L53" s="3">
        <f t="shared" si="0"/>
        <v>15750</v>
      </c>
      <c r="M53" s="3">
        <f>(ROUND(G53*12%,0))</f>
        <v>918</v>
      </c>
      <c r="N53" s="3">
        <f t="shared" si="2"/>
        <v>118</v>
      </c>
      <c r="P53">
        <f t="shared" si="1"/>
        <v>7875</v>
      </c>
      <c r="Q53" s="10">
        <f>G53-P53</f>
        <v>-225</v>
      </c>
      <c r="R53" s="11" t="s">
        <v>279</v>
      </c>
      <c r="S53" s="11" t="s">
        <v>278</v>
      </c>
      <c r="T53" t="s">
        <v>270</v>
      </c>
    </row>
    <row r="54" spans="1:20" x14ac:dyDescent="0.25">
      <c r="A54" s="1">
        <v>48</v>
      </c>
      <c r="B54" s="2" t="s">
        <v>118</v>
      </c>
      <c r="C54" s="2" t="s">
        <v>18</v>
      </c>
      <c r="D54" s="2" t="s">
        <v>62</v>
      </c>
      <c r="E54" s="2" t="s">
        <v>119</v>
      </c>
      <c r="F54" s="2"/>
      <c r="G54" s="3">
        <v>7630</v>
      </c>
      <c r="H54" s="3">
        <v>3260</v>
      </c>
      <c r="I54" s="3">
        <v>2760</v>
      </c>
      <c r="J54" s="3">
        <v>13650</v>
      </c>
      <c r="K54" s="3">
        <v>0</v>
      </c>
      <c r="L54" s="3">
        <f t="shared" si="0"/>
        <v>13650</v>
      </c>
      <c r="M54" s="3">
        <f>(ROUND(G54*12%,0))</f>
        <v>916</v>
      </c>
      <c r="N54" s="3">
        <f t="shared" si="2"/>
        <v>102</v>
      </c>
      <c r="P54">
        <f t="shared" si="1"/>
        <v>6825</v>
      </c>
      <c r="Q54" s="10">
        <f>G54-P54</f>
        <v>805</v>
      </c>
      <c r="R54" s="12" t="s">
        <v>269</v>
      </c>
      <c r="S54" s="12" t="s">
        <v>280</v>
      </c>
      <c r="T54" t="s">
        <v>270</v>
      </c>
    </row>
    <row r="55" spans="1:20" x14ac:dyDescent="0.25">
      <c r="A55" s="1">
        <v>49</v>
      </c>
      <c r="B55" s="2" t="s">
        <v>120</v>
      </c>
      <c r="C55" s="2" t="s">
        <v>18</v>
      </c>
      <c r="D55" s="2" t="s">
        <v>52</v>
      </c>
      <c r="E55" s="2" t="s">
        <v>121</v>
      </c>
      <c r="F55" s="2"/>
      <c r="G55" s="3">
        <v>19000</v>
      </c>
      <c r="H55" s="3">
        <v>0</v>
      </c>
      <c r="I55" s="3">
        <v>0</v>
      </c>
      <c r="J55" s="3">
        <v>19000</v>
      </c>
      <c r="K55" s="3">
        <v>0</v>
      </c>
      <c r="L55" s="3">
        <f t="shared" si="0"/>
        <v>19000</v>
      </c>
      <c r="M55" s="3">
        <v>0</v>
      </c>
      <c r="N55" s="3">
        <f t="shared" si="2"/>
        <v>143</v>
      </c>
      <c r="P55">
        <f t="shared" si="1"/>
        <v>9500</v>
      </c>
      <c r="Q55" s="10">
        <f>G55-P55</f>
        <v>9500</v>
      </c>
      <c r="R55" s="12" t="s">
        <v>272</v>
      </c>
      <c r="S55" s="12" t="s">
        <v>280</v>
      </c>
    </row>
    <row r="56" spans="1:20" x14ac:dyDescent="0.25">
      <c r="A56" s="1">
        <v>50</v>
      </c>
      <c r="B56" s="2" t="s">
        <v>122</v>
      </c>
      <c r="C56" s="2" t="s">
        <v>18</v>
      </c>
      <c r="D56" s="2" t="s">
        <v>62</v>
      </c>
      <c r="E56" s="2" t="s">
        <v>123</v>
      </c>
      <c r="F56" s="2"/>
      <c r="G56" s="3">
        <v>7620</v>
      </c>
      <c r="H56" s="3">
        <v>2740</v>
      </c>
      <c r="I56" s="3">
        <v>2240</v>
      </c>
      <c r="J56" s="3">
        <v>12600</v>
      </c>
      <c r="K56" s="3">
        <v>0</v>
      </c>
      <c r="L56" s="3">
        <f t="shared" si="0"/>
        <v>12600</v>
      </c>
      <c r="M56" s="3">
        <f>(ROUND(G56*12%,0))</f>
        <v>914</v>
      </c>
      <c r="N56" s="3">
        <f t="shared" si="2"/>
        <v>95</v>
      </c>
      <c r="P56">
        <f t="shared" si="1"/>
        <v>6300</v>
      </c>
      <c r="Q56" s="10">
        <f>G56-P56</f>
        <v>1320</v>
      </c>
      <c r="R56" s="12" t="s">
        <v>269</v>
      </c>
      <c r="S56" s="12" t="s">
        <v>280</v>
      </c>
      <c r="T56" t="s">
        <v>270</v>
      </c>
    </row>
    <row r="57" spans="1:20" x14ac:dyDescent="0.25">
      <c r="A57" s="1">
        <v>51</v>
      </c>
      <c r="B57" s="2" t="s">
        <v>124</v>
      </c>
      <c r="C57" s="2" t="s">
        <v>18</v>
      </c>
      <c r="D57" s="2" t="s">
        <v>62</v>
      </c>
      <c r="E57" s="2" t="s">
        <v>125</v>
      </c>
      <c r="F57" s="2"/>
      <c r="G57" s="3">
        <v>8400</v>
      </c>
      <c r="H57" s="3">
        <v>5300</v>
      </c>
      <c r="I57" s="3">
        <v>4800</v>
      </c>
      <c r="J57" s="3">
        <v>18500</v>
      </c>
      <c r="K57" s="3">
        <v>0</v>
      </c>
      <c r="L57" s="3">
        <f t="shared" si="0"/>
        <v>18500</v>
      </c>
      <c r="M57" s="3">
        <f>(ROUND(G57*12%,0))</f>
        <v>1008</v>
      </c>
      <c r="N57" s="3">
        <f t="shared" si="2"/>
        <v>139</v>
      </c>
      <c r="P57">
        <f t="shared" si="1"/>
        <v>9250</v>
      </c>
      <c r="Q57" s="10">
        <f>G57-P57</f>
        <v>-850</v>
      </c>
      <c r="R57" s="11" t="s">
        <v>279</v>
      </c>
      <c r="S57" s="11" t="s">
        <v>278</v>
      </c>
      <c r="T57" t="s">
        <v>270</v>
      </c>
    </row>
    <row r="58" spans="1:20" ht="15.75" x14ac:dyDescent="0.25">
      <c r="A58" s="2"/>
      <c r="B58" s="2"/>
      <c r="C58" s="2"/>
      <c r="D58" s="2"/>
      <c r="E58" s="4" t="s">
        <v>266</v>
      </c>
      <c r="F58" s="4"/>
      <c r="G58" s="5">
        <f>SUM(G7:G57)</f>
        <v>623220</v>
      </c>
      <c r="H58" s="5">
        <f>SUM(H7:H57)</f>
        <v>167685</v>
      </c>
      <c r="I58" s="5">
        <f>SUM(I7:I57)</f>
        <v>137370</v>
      </c>
      <c r="J58" s="5">
        <f>SUM(J7:J57)</f>
        <v>928275</v>
      </c>
      <c r="K58" s="5">
        <f>SUM(K7:K57)</f>
        <v>0</v>
      </c>
      <c r="L58" s="5">
        <f>SUM(L7:L57)</f>
        <v>928275</v>
      </c>
      <c r="M58" s="5">
        <f>SUM(M7:M57)</f>
        <v>46011</v>
      </c>
      <c r="N58" s="5">
        <f>SUM(N7:N57)</f>
        <v>5550</v>
      </c>
      <c r="P58" s="5">
        <f>SUM(P7:P57)</f>
        <v>464138</v>
      </c>
    </row>
    <row r="60" spans="1:20" ht="23.25" x14ac:dyDescent="0.35">
      <c r="A60" s="18" t="s">
        <v>0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20" ht="18.75" x14ac:dyDescent="0.3">
      <c r="A61" s="19" t="s">
        <v>1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3" spans="1:20" ht="15.75" x14ac:dyDescent="0.25">
      <c r="A63" s="20" t="s">
        <v>2</v>
      </c>
      <c r="B63" s="21" t="s">
        <v>3</v>
      </c>
      <c r="C63" s="20" t="s">
        <v>4</v>
      </c>
      <c r="D63" s="20" t="s">
        <v>5</v>
      </c>
      <c r="E63" s="20" t="s">
        <v>6</v>
      </c>
      <c r="F63" s="6"/>
      <c r="G63" s="23" t="s">
        <v>7</v>
      </c>
      <c r="H63" s="23" t="s">
        <v>8</v>
      </c>
      <c r="I63" s="23" t="s">
        <v>9</v>
      </c>
      <c r="J63" s="23" t="s">
        <v>12</v>
      </c>
      <c r="K63" s="25" t="s">
        <v>13</v>
      </c>
      <c r="L63" s="26" t="s">
        <v>14</v>
      </c>
      <c r="M63" s="20" t="s">
        <v>15</v>
      </c>
      <c r="N63" s="20" t="s">
        <v>16</v>
      </c>
    </row>
    <row r="64" spans="1:20" ht="15.75" x14ac:dyDescent="0.25">
      <c r="A64" s="20"/>
      <c r="B64" s="22"/>
      <c r="C64" s="20"/>
      <c r="D64" s="20"/>
      <c r="E64" s="20"/>
      <c r="F64" s="7"/>
      <c r="G64" s="24"/>
      <c r="H64" s="24"/>
      <c r="I64" s="24"/>
      <c r="J64" s="24"/>
      <c r="K64" s="25"/>
      <c r="L64" s="26"/>
      <c r="M64" s="20"/>
      <c r="N64" s="20"/>
    </row>
    <row r="65" spans="1:14" x14ac:dyDescent="0.25">
      <c r="A65" s="1">
        <v>1</v>
      </c>
      <c r="B65" s="2" t="s">
        <v>17</v>
      </c>
      <c r="C65" s="2" t="s">
        <v>18</v>
      </c>
      <c r="D65" s="2" t="s">
        <v>19</v>
      </c>
      <c r="E65" s="2" t="s">
        <v>20</v>
      </c>
      <c r="F65" s="2"/>
      <c r="G65" s="3">
        <v>11700</v>
      </c>
      <c r="H65" s="3">
        <v>5000</v>
      </c>
      <c r="I65" s="3">
        <v>3300</v>
      </c>
      <c r="J65" s="3">
        <f>SUM(G65:I65)</f>
        <v>20000</v>
      </c>
      <c r="K65" s="3">
        <v>0</v>
      </c>
      <c r="L65" s="3">
        <f>J65+K65</f>
        <v>20000</v>
      </c>
      <c r="M65" s="3">
        <f>(ROUND(G65*12%,0))</f>
        <v>1404</v>
      </c>
      <c r="N65" s="3">
        <f>(ROUND(L65*0.75%,0))</f>
        <v>150</v>
      </c>
    </row>
    <row r="66" spans="1:14" x14ac:dyDescent="0.25">
      <c r="A66" s="1">
        <v>2</v>
      </c>
      <c r="B66" s="2" t="s">
        <v>21</v>
      </c>
      <c r="C66" s="2" t="s">
        <v>18</v>
      </c>
      <c r="D66" s="2" t="s">
        <v>19</v>
      </c>
      <c r="E66" s="2" t="s">
        <v>22</v>
      </c>
      <c r="F66" s="2"/>
      <c r="G66" s="3">
        <v>11100</v>
      </c>
      <c r="H66" s="3">
        <v>8500</v>
      </c>
      <c r="I66" s="3">
        <v>8900</v>
      </c>
      <c r="J66" s="3">
        <v>28500</v>
      </c>
      <c r="K66" s="3">
        <v>0</v>
      </c>
      <c r="L66" s="3">
        <f t="shared" ref="L66:L115" si="4">J66+K66</f>
        <v>28500</v>
      </c>
      <c r="M66" s="3">
        <f>(ROUND(G66*12%,0))</f>
        <v>1332</v>
      </c>
      <c r="N66" s="3">
        <v>0</v>
      </c>
    </row>
    <row r="67" spans="1:14" x14ac:dyDescent="0.25">
      <c r="A67" s="1">
        <v>3</v>
      </c>
      <c r="B67" s="2" t="s">
        <v>23</v>
      </c>
      <c r="C67" s="2" t="s">
        <v>18</v>
      </c>
      <c r="D67" s="2" t="s">
        <v>19</v>
      </c>
      <c r="E67" s="2" t="s">
        <v>24</v>
      </c>
      <c r="F67" s="2"/>
      <c r="G67" s="3">
        <v>11700</v>
      </c>
      <c r="H67" s="3">
        <v>6200</v>
      </c>
      <c r="I67" s="3">
        <v>4600</v>
      </c>
      <c r="J67" s="3">
        <v>22500</v>
      </c>
      <c r="K67" s="3">
        <v>0</v>
      </c>
      <c r="L67" s="3">
        <f t="shared" si="4"/>
        <v>22500</v>
      </c>
      <c r="M67" s="3">
        <f>(ROUND(G67*12%,0))</f>
        <v>1404</v>
      </c>
      <c r="N67" s="3">
        <v>0</v>
      </c>
    </row>
    <row r="68" spans="1:14" x14ac:dyDescent="0.25">
      <c r="A68" s="1">
        <v>4</v>
      </c>
      <c r="B68" s="2" t="s">
        <v>25</v>
      </c>
      <c r="C68" s="2" t="s">
        <v>18</v>
      </c>
      <c r="D68" s="2" t="s">
        <v>19</v>
      </c>
      <c r="E68" s="2" t="s">
        <v>26</v>
      </c>
      <c r="F68" s="2"/>
      <c r="G68" s="3">
        <v>8200</v>
      </c>
      <c r="H68" s="3">
        <v>8150</v>
      </c>
      <c r="I68" s="3">
        <v>8150</v>
      </c>
      <c r="J68" s="3">
        <v>24500</v>
      </c>
      <c r="K68" s="3">
        <v>0</v>
      </c>
      <c r="L68" s="3">
        <f t="shared" si="4"/>
        <v>24500</v>
      </c>
      <c r="M68" s="3">
        <f>(ROUND(G68*12%,0))</f>
        <v>984</v>
      </c>
      <c r="N68" s="3">
        <v>0</v>
      </c>
    </row>
    <row r="69" spans="1:14" x14ac:dyDescent="0.25">
      <c r="A69" s="1">
        <v>5</v>
      </c>
      <c r="B69" s="2" t="s">
        <v>27</v>
      </c>
      <c r="C69" s="2" t="s">
        <v>18</v>
      </c>
      <c r="D69" s="2" t="s">
        <v>19</v>
      </c>
      <c r="E69" s="2" t="s">
        <v>28</v>
      </c>
      <c r="F69" s="2"/>
      <c r="G69" s="3">
        <v>7100</v>
      </c>
      <c r="H69" s="3">
        <v>3400</v>
      </c>
      <c r="I69" s="3">
        <v>3500</v>
      </c>
      <c r="J69" s="3">
        <v>14000</v>
      </c>
      <c r="K69" s="3">
        <v>0</v>
      </c>
      <c r="L69" s="3">
        <f t="shared" si="4"/>
        <v>14000</v>
      </c>
      <c r="M69" s="3">
        <f>(ROUND(G69*12%,0))</f>
        <v>852</v>
      </c>
      <c r="N69" s="3">
        <f t="shared" ref="N69:N115" si="5">(ROUND(L69*0.75%,0))</f>
        <v>105</v>
      </c>
    </row>
    <row r="70" spans="1:14" x14ac:dyDescent="0.25">
      <c r="A70" s="1">
        <v>6</v>
      </c>
      <c r="B70" s="2" t="s">
        <v>29</v>
      </c>
      <c r="C70" s="2" t="s">
        <v>18</v>
      </c>
      <c r="D70" s="2" t="s">
        <v>19</v>
      </c>
      <c r="E70" s="2" t="s">
        <v>30</v>
      </c>
      <c r="F70" s="2"/>
      <c r="G70" s="3">
        <v>8600</v>
      </c>
      <c r="H70" s="3">
        <v>4950</v>
      </c>
      <c r="I70" s="3">
        <v>4450</v>
      </c>
      <c r="J70" s="3">
        <v>18000</v>
      </c>
      <c r="K70" s="3">
        <v>0</v>
      </c>
      <c r="L70" s="3">
        <f t="shared" si="4"/>
        <v>18000</v>
      </c>
      <c r="M70" s="3">
        <f>(ROUND(G70*12%,0))</f>
        <v>1032</v>
      </c>
      <c r="N70" s="3">
        <f t="shared" si="5"/>
        <v>135</v>
      </c>
    </row>
    <row r="71" spans="1:14" x14ac:dyDescent="0.25">
      <c r="A71" s="1">
        <v>7</v>
      </c>
      <c r="B71" s="2" t="s">
        <v>31</v>
      </c>
      <c r="C71" s="2" t="s">
        <v>18</v>
      </c>
      <c r="D71" s="2" t="s">
        <v>19</v>
      </c>
      <c r="E71" s="2" t="s">
        <v>32</v>
      </c>
      <c r="F71" s="2"/>
      <c r="G71" s="3">
        <v>26000</v>
      </c>
      <c r="H71" s="3">
        <v>0</v>
      </c>
      <c r="I71" s="3">
        <v>0</v>
      </c>
      <c r="J71" s="3">
        <v>26000</v>
      </c>
      <c r="K71" s="3">
        <v>0</v>
      </c>
      <c r="L71" s="3">
        <f t="shared" si="4"/>
        <v>26000</v>
      </c>
      <c r="M71" s="3">
        <f>(ROUND(G71*12%,0))</f>
        <v>3120</v>
      </c>
      <c r="N71" s="3">
        <v>0</v>
      </c>
    </row>
    <row r="72" spans="1:14" x14ac:dyDescent="0.25">
      <c r="A72" s="1">
        <v>8</v>
      </c>
      <c r="B72" s="2" t="s">
        <v>33</v>
      </c>
      <c r="C72" s="2" t="s">
        <v>18</v>
      </c>
      <c r="D72" s="2" t="s">
        <v>19</v>
      </c>
      <c r="E72" s="2" t="s">
        <v>34</v>
      </c>
      <c r="F72" s="2"/>
      <c r="G72" s="3">
        <v>8010</v>
      </c>
      <c r="H72" s="3">
        <v>5030</v>
      </c>
      <c r="I72" s="3">
        <v>3960</v>
      </c>
      <c r="J72" s="3">
        <v>17000</v>
      </c>
      <c r="K72" s="3">
        <v>0</v>
      </c>
      <c r="L72" s="3">
        <f t="shared" si="4"/>
        <v>17000</v>
      </c>
      <c r="M72" s="3">
        <f>(ROUND(G72*12%,0))</f>
        <v>961</v>
      </c>
      <c r="N72" s="3">
        <f t="shared" ref="N72:N116" si="6">(ROUND(L72*0.75%,0))</f>
        <v>128</v>
      </c>
    </row>
    <row r="73" spans="1:14" x14ac:dyDescent="0.25">
      <c r="A73" s="1">
        <v>9</v>
      </c>
      <c r="B73" s="2" t="s">
        <v>35</v>
      </c>
      <c r="C73" s="2" t="s">
        <v>18</v>
      </c>
      <c r="D73" s="2" t="s">
        <v>19</v>
      </c>
      <c r="E73" s="2" t="s">
        <v>36</v>
      </c>
      <c r="F73" s="2"/>
      <c r="G73" s="3">
        <v>5200</v>
      </c>
      <c r="H73" s="3">
        <v>3400</v>
      </c>
      <c r="I73" s="3">
        <v>2900</v>
      </c>
      <c r="J73" s="3">
        <v>11500</v>
      </c>
      <c r="K73" s="3">
        <v>0</v>
      </c>
      <c r="L73" s="3">
        <f t="shared" si="4"/>
        <v>11500</v>
      </c>
      <c r="M73" s="3">
        <f>(ROUND(G73*12%,0))</f>
        <v>624</v>
      </c>
      <c r="N73" s="3">
        <f t="shared" si="6"/>
        <v>86</v>
      </c>
    </row>
    <row r="74" spans="1:14" x14ac:dyDescent="0.25">
      <c r="A74" s="1">
        <v>10</v>
      </c>
      <c r="B74" s="2" t="s">
        <v>37</v>
      </c>
      <c r="C74" s="2" t="s">
        <v>18</v>
      </c>
      <c r="D74" s="2" t="s">
        <v>19</v>
      </c>
      <c r="E74" s="2" t="s">
        <v>38</v>
      </c>
      <c r="F74" s="2"/>
      <c r="G74" s="3">
        <v>7700</v>
      </c>
      <c r="H74" s="3">
        <v>6600</v>
      </c>
      <c r="I74" s="3">
        <v>5700</v>
      </c>
      <c r="J74" s="3">
        <v>20000</v>
      </c>
      <c r="K74" s="3">
        <v>0</v>
      </c>
      <c r="L74" s="3">
        <f t="shared" si="4"/>
        <v>20000</v>
      </c>
      <c r="M74" s="3">
        <f>(ROUND(G74*12%,0))</f>
        <v>924</v>
      </c>
      <c r="N74" s="3">
        <f t="shared" si="6"/>
        <v>150</v>
      </c>
    </row>
    <row r="75" spans="1:14" x14ac:dyDescent="0.25">
      <c r="A75" s="1">
        <v>11</v>
      </c>
      <c r="B75" s="2" t="s">
        <v>39</v>
      </c>
      <c r="C75" s="2" t="s">
        <v>18</v>
      </c>
      <c r="D75" s="2" t="s">
        <v>19</v>
      </c>
      <c r="E75" s="2" t="s">
        <v>40</v>
      </c>
      <c r="F75" s="2"/>
      <c r="G75" s="3">
        <v>7600</v>
      </c>
      <c r="H75" s="3">
        <v>6700</v>
      </c>
      <c r="I75" s="3">
        <v>5700</v>
      </c>
      <c r="J75" s="3">
        <v>20000</v>
      </c>
      <c r="K75" s="3">
        <v>0</v>
      </c>
      <c r="L75" s="3">
        <f t="shared" si="4"/>
        <v>20000</v>
      </c>
      <c r="M75" s="3">
        <f>(ROUND(G75*12%,0))</f>
        <v>912</v>
      </c>
      <c r="N75" s="3">
        <f t="shared" si="6"/>
        <v>150</v>
      </c>
    </row>
    <row r="76" spans="1:14" x14ac:dyDescent="0.25">
      <c r="A76" s="1">
        <v>12</v>
      </c>
      <c r="B76" s="2" t="s">
        <v>41</v>
      </c>
      <c r="C76" s="2" t="s">
        <v>18</v>
      </c>
      <c r="D76" s="2" t="s">
        <v>19</v>
      </c>
      <c r="E76" s="2" t="s">
        <v>42</v>
      </c>
      <c r="F76" s="2"/>
      <c r="G76" s="3">
        <v>7560</v>
      </c>
      <c r="H76" s="3">
        <v>4920</v>
      </c>
      <c r="I76" s="3">
        <v>4020</v>
      </c>
      <c r="J76" s="3">
        <v>16500</v>
      </c>
      <c r="K76" s="3">
        <v>0</v>
      </c>
      <c r="L76" s="3">
        <f t="shared" si="4"/>
        <v>16500</v>
      </c>
      <c r="M76" s="3">
        <f>(ROUND(G76*12%,0))</f>
        <v>907</v>
      </c>
      <c r="N76" s="3">
        <f t="shared" si="6"/>
        <v>124</v>
      </c>
    </row>
    <row r="77" spans="1:14" x14ac:dyDescent="0.25">
      <c r="A77" s="1">
        <v>13</v>
      </c>
      <c r="B77" s="2" t="s">
        <v>43</v>
      </c>
      <c r="C77" s="2" t="s">
        <v>18</v>
      </c>
      <c r="D77" s="2" t="s">
        <v>19</v>
      </c>
      <c r="E77" s="2" t="s">
        <v>44</v>
      </c>
      <c r="F77" s="2"/>
      <c r="G77" s="3">
        <v>25000</v>
      </c>
      <c r="H77" s="3">
        <v>0</v>
      </c>
      <c r="I77" s="3">
        <v>0</v>
      </c>
      <c r="J77" s="3">
        <v>25000</v>
      </c>
      <c r="K77" s="3">
        <v>0</v>
      </c>
      <c r="L77" s="3">
        <f t="shared" si="4"/>
        <v>25000</v>
      </c>
      <c r="M77" s="3">
        <f>(ROUND(G77*12%,0))</f>
        <v>3000</v>
      </c>
      <c r="N77" s="3">
        <v>0</v>
      </c>
    </row>
    <row r="78" spans="1:14" x14ac:dyDescent="0.25">
      <c r="A78" s="1">
        <v>14</v>
      </c>
      <c r="B78" s="2" t="s">
        <v>45</v>
      </c>
      <c r="C78" s="2" t="s">
        <v>18</v>
      </c>
      <c r="D78" s="2" t="s">
        <v>19</v>
      </c>
      <c r="E78" s="2" t="s">
        <v>46</v>
      </c>
      <c r="F78" s="2"/>
      <c r="G78" s="3">
        <v>33000</v>
      </c>
      <c r="H78" s="3">
        <v>7000</v>
      </c>
      <c r="I78" s="3">
        <v>0</v>
      </c>
      <c r="J78" s="3">
        <v>40000</v>
      </c>
      <c r="K78" s="3">
        <v>0</v>
      </c>
      <c r="L78" s="3">
        <f t="shared" si="4"/>
        <v>40000</v>
      </c>
      <c r="M78" s="3">
        <f>(ROUND(G78*12%,0))</f>
        <v>3960</v>
      </c>
      <c r="N78" s="3">
        <v>0</v>
      </c>
    </row>
    <row r="79" spans="1:14" x14ac:dyDescent="0.25">
      <c r="A79" s="1">
        <v>15</v>
      </c>
      <c r="B79" s="2" t="s">
        <v>47</v>
      </c>
      <c r="C79" s="2" t="s">
        <v>18</v>
      </c>
      <c r="D79" s="2" t="s">
        <v>19</v>
      </c>
      <c r="E79" s="2" t="s">
        <v>48</v>
      </c>
      <c r="F79" s="2"/>
      <c r="G79" s="3">
        <v>8200</v>
      </c>
      <c r="H79" s="3">
        <v>4400</v>
      </c>
      <c r="I79" s="3">
        <v>3900</v>
      </c>
      <c r="J79" s="3">
        <v>16500</v>
      </c>
      <c r="K79" s="3">
        <v>0</v>
      </c>
      <c r="L79" s="3">
        <f t="shared" si="4"/>
        <v>16500</v>
      </c>
      <c r="M79" s="3">
        <f>(ROUND(G79*12%,0))</f>
        <v>984</v>
      </c>
      <c r="N79" s="3">
        <f t="shared" ref="N79:N116" si="7">(ROUND(L79*0.75%,0))</f>
        <v>124</v>
      </c>
    </row>
    <row r="80" spans="1:14" x14ac:dyDescent="0.25">
      <c r="A80" s="1">
        <v>16</v>
      </c>
      <c r="B80" s="2" t="s">
        <v>49</v>
      </c>
      <c r="C80" s="2" t="s">
        <v>18</v>
      </c>
      <c r="D80" s="2" t="s">
        <v>19</v>
      </c>
      <c r="E80" s="2" t="s">
        <v>50</v>
      </c>
      <c r="F80" s="2"/>
      <c r="G80" s="3">
        <v>23000</v>
      </c>
      <c r="H80" s="3">
        <v>0</v>
      </c>
      <c r="I80" s="3">
        <v>0</v>
      </c>
      <c r="J80" s="3">
        <v>23000</v>
      </c>
      <c r="K80" s="3">
        <v>0</v>
      </c>
      <c r="L80" s="3">
        <f t="shared" si="4"/>
        <v>23000</v>
      </c>
      <c r="M80" s="3">
        <f>(ROUND(G80*12%,0))</f>
        <v>2760</v>
      </c>
      <c r="N80" s="3">
        <v>0</v>
      </c>
    </row>
    <row r="81" spans="1:14" x14ac:dyDescent="0.25">
      <c r="A81" s="1">
        <v>17</v>
      </c>
      <c r="B81" s="2" t="s">
        <v>51</v>
      </c>
      <c r="C81" s="2" t="s">
        <v>18</v>
      </c>
      <c r="D81" s="2" t="s">
        <v>52</v>
      </c>
      <c r="E81" s="2" t="s">
        <v>53</v>
      </c>
      <c r="F81" s="2"/>
      <c r="G81" s="3">
        <v>20200</v>
      </c>
      <c r="H81" s="3">
        <v>0</v>
      </c>
      <c r="I81" s="3">
        <v>0</v>
      </c>
      <c r="J81" s="3">
        <v>20200</v>
      </c>
      <c r="K81" s="3">
        <v>0</v>
      </c>
      <c r="L81" s="3">
        <f t="shared" si="4"/>
        <v>20200</v>
      </c>
      <c r="M81" s="3">
        <v>0</v>
      </c>
      <c r="N81" s="3">
        <f t="shared" ref="N81:N116" si="8">(ROUND(L81*0.75%,0))</f>
        <v>152</v>
      </c>
    </row>
    <row r="82" spans="1:14" x14ac:dyDescent="0.25">
      <c r="A82" s="1">
        <v>18</v>
      </c>
      <c r="B82" s="2" t="s">
        <v>54</v>
      </c>
      <c r="C82" s="2" t="s">
        <v>18</v>
      </c>
      <c r="D82" s="2" t="s">
        <v>52</v>
      </c>
      <c r="E82" s="2" t="s">
        <v>55</v>
      </c>
      <c r="F82" s="2"/>
      <c r="G82" s="3">
        <v>8400</v>
      </c>
      <c r="H82" s="3">
        <v>4900</v>
      </c>
      <c r="I82" s="3">
        <v>4000</v>
      </c>
      <c r="J82" s="3">
        <v>17300</v>
      </c>
      <c r="K82" s="3">
        <v>0</v>
      </c>
      <c r="L82" s="3">
        <f t="shared" si="4"/>
        <v>17300</v>
      </c>
      <c r="M82" s="3">
        <f t="shared" ref="M82:M89" si="9">(ROUND(G82*12%,0))</f>
        <v>1008</v>
      </c>
      <c r="N82" s="3">
        <f t="shared" si="8"/>
        <v>130</v>
      </c>
    </row>
    <row r="83" spans="1:14" x14ac:dyDescent="0.25">
      <c r="A83" s="1">
        <v>19</v>
      </c>
      <c r="B83" s="2" t="s">
        <v>56</v>
      </c>
      <c r="C83" s="2" t="s">
        <v>18</v>
      </c>
      <c r="D83" s="2" t="s">
        <v>52</v>
      </c>
      <c r="E83" s="2" t="s">
        <v>57</v>
      </c>
      <c r="F83" s="2"/>
      <c r="G83" s="3">
        <v>7950</v>
      </c>
      <c r="H83" s="3">
        <v>4150</v>
      </c>
      <c r="I83" s="3">
        <v>3800</v>
      </c>
      <c r="J83" s="3">
        <v>15900</v>
      </c>
      <c r="K83" s="3">
        <v>0</v>
      </c>
      <c r="L83" s="3">
        <f t="shared" si="4"/>
        <v>15900</v>
      </c>
      <c r="M83" s="3">
        <f t="shared" si="9"/>
        <v>954</v>
      </c>
      <c r="N83" s="3">
        <f t="shared" si="8"/>
        <v>119</v>
      </c>
    </row>
    <row r="84" spans="1:14" x14ac:dyDescent="0.25">
      <c r="A84" s="1">
        <v>20</v>
      </c>
      <c r="B84" s="2" t="s">
        <v>58</v>
      </c>
      <c r="C84" s="2" t="s">
        <v>18</v>
      </c>
      <c r="D84" s="2" t="s">
        <v>59</v>
      </c>
      <c r="E84" s="2" t="s">
        <v>60</v>
      </c>
      <c r="F84" s="2"/>
      <c r="G84" s="3">
        <v>6400</v>
      </c>
      <c r="H84" s="3">
        <v>3250</v>
      </c>
      <c r="I84" s="3">
        <v>2550</v>
      </c>
      <c r="J84" s="3">
        <v>12200</v>
      </c>
      <c r="K84" s="3">
        <v>0</v>
      </c>
      <c r="L84" s="3">
        <f t="shared" si="4"/>
        <v>12200</v>
      </c>
      <c r="M84" s="3">
        <f t="shared" si="9"/>
        <v>768</v>
      </c>
      <c r="N84" s="3">
        <f t="shared" si="8"/>
        <v>92</v>
      </c>
    </row>
    <row r="85" spans="1:14" x14ac:dyDescent="0.25">
      <c r="A85" s="1">
        <v>21</v>
      </c>
      <c r="B85" s="2" t="s">
        <v>61</v>
      </c>
      <c r="C85" s="2" t="s">
        <v>18</v>
      </c>
      <c r="D85" s="2" t="s">
        <v>62</v>
      </c>
      <c r="E85" s="2" t="s">
        <v>63</v>
      </c>
      <c r="F85" s="2"/>
      <c r="G85" s="3">
        <v>6645</v>
      </c>
      <c r="H85" s="3">
        <v>4490</v>
      </c>
      <c r="I85" s="3">
        <v>4090</v>
      </c>
      <c r="J85" s="3">
        <v>15225</v>
      </c>
      <c r="K85" s="3">
        <v>0</v>
      </c>
      <c r="L85" s="3">
        <f t="shared" si="4"/>
        <v>15225</v>
      </c>
      <c r="M85" s="3">
        <f t="shared" si="9"/>
        <v>797</v>
      </c>
      <c r="N85" s="3">
        <f t="shared" si="8"/>
        <v>114</v>
      </c>
    </row>
    <row r="86" spans="1:14" x14ac:dyDescent="0.25">
      <c r="A86" s="1">
        <v>22</v>
      </c>
      <c r="B86" s="2" t="s">
        <v>64</v>
      </c>
      <c r="C86" s="2" t="s">
        <v>18</v>
      </c>
      <c r="D86" s="2" t="s">
        <v>52</v>
      </c>
      <c r="E86" s="2" t="s">
        <v>65</v>
      </c>
      <c r="F86" s="2"/>
      <c r="G86" s="3">
        <v>7900</v>
      </c>
      <c r="H86" s="3">
        <v>4100</v>
      </c>
      <c r="I86" s="3">
        <v>3800</v>
      </c>
      <c r="J86" s="3">
        <v>15800</v>
      </c>
      <c r="K86" s="3">
        <v>0</v>
      </c>
      <c r="L86" s="3">
        <f t="shared" si="4"/>
        <v>15800</v>
      </c>
      <c r="M86" s="3">
        <f t="shared" si="9"/>
        <v>948</v>
      </c>
      <c r="N86" s="3">
        <f t="shared" si="8"/>
        <v>119</v>
      </c>
    </row>
    <row r="87" spans="1:14" x14ac:dyDescent="0.25">
      <c r="A87" s="1">
        <v>23</v>
      </c>
      <c r="B87" s="2" t="s">
        <v>66</v>
      </c>
      <c r="C87" s="2" t="s">
        <v>18</v>
      </c>
      <c r="D87" s="2" t="s">
        <v>67</v>
      </c>
      <c r="E87" s="2" t="s">
        <v>68</v>
      </c>
      <c r="F87" s="2"/>
      <c r="G87" s="3">
        <v>7980</v>
      </c>
      <c r="H87" s="3">
        <v>3660</v>
      </c>
      <c r="I87" s="3">
        <v>3360</v>
      </c>
      <c r="J87" s="3">
        <v>15000</v>
      </c>
      <c r="K87" s="3">
        <v>0</v>
      </c>
      <c r="L87" s="3">
        <f t="shared" si="4"/>
        <v>15000</v>
      </c>
      <c r="M87" s="3">
        <f t="shared" si="9"/>
        <v>958</v>
      </c>
      <c r="N87" s="3">
        <f t="shared" si="8"/>
        <v>113</v>
      </c>
    </row>
    <row r="88" spans="1:14" x14ac:dyDescent="0.25">
      <c r="A88" s="1">
        <v>24</v>
      </c>
      <c r="B88" s="2" t="s">
        <v>69</v>
      </c>
      <c r="C88" s="2" t="s">
        <v>18</v>
      </c>
      <c r="D88" s="2" t="s">
        <v>70</v>
      </c>
      <c r="E88" s="2" t="s">
        <v>71</v>
      </c>
      <c r="F88" s="2"/>
      <c r="G88" s="3">
        <v>8500</v>
      </c>
      <c r="H88" s="3">
        <v>4000</v>
      </c>
      <c r="I88" s="3">
        <v>3000</v>
      </c>
      <c r="J88" s="3">
        <v>15500</v>
      </c>
      <c r="K88" s="3">
        <v>0</v>
      </c>
      <c r="L88" s="3">
        <f t="shared" si="4"/>
        <v>15500</v>
      </c>
      <c r="M88" s="3">
        <f t="shared" si="9"/>
        <v>1020</v>
      </c>
      <c r="N88" s="3">
        <f t="shared" si="8"/>
        <v>116</v>
      </c>
    </row>
    <row r="89" spans="1:14" x14ac:dyDescent="0.25">
      <c r="A89" s="1">
        <v>25</v>
      </c>
      <c r="B89" s="2" t="s">
        <v>72</v>
      </c>
      <c r="C89" s="2" t="s">
        <v>18</v>
      </c>
      <c r="D89" s="2" t="s">
        <v>52</v>
      </c>
      <c r="E89" s="2" t="s">
        <v>73</v>
      </c>
      <c r="F89" s="2"/>
      <c r="G89" s="3">
        <v>8400</v>
      </c>
      <c r="H89" s="3">
        <v>4900</v>
      </c>
      <c r="I89" s="3">
        <v>4000</v>
      </c>
      <c r="J89" s="3">
        <v>17300</v>
      </c>
      <c r="K89" s="3">
        <v>0</v>
      </c>
      <c r="L89" s="3">
        <f t="shared" si="4"/>
        <v>17300</v>
      </c>
      <c r="M89" s="3">
        <f t="shared" si="9"/>
        <v>1008</v>
      </c>
      <c r="N89" s="3">
        <f t="shared" si="8"/>
        <v>130</v>
      </c>
    </row>
    <row r="90" spans="1:14" x14ac:dyDescent="0.25">
      <c r="A90" s="1">
        <v>26</v>
      </c>
      <c r="B90" s="2" t="s">
        <v>74</v>
      </c>
      <c r="C90" s="2" t="s">
        <v>18</v>
      </c>
      <c r="D90" s="2" t="s">
        <v>52</v>
      </c>
      <c r="E90" s="2" t="s">
        <v>75</v>
      </c>
      <c r="F90" s="2"/>
      <c r="G90" s="3">
        <v>19000</v>
      </c>
      <c r="H90" s="3">
        <v>0</v>
      </c>
      <c r="I90" s="3">
        <v>0</v>
      </c>
      <c r="J90" s="3">
        <v>19000</v>
      </c>
      <c r="K90" s="3">
        <v>0</v>
      </c>
      <c r="L90" s="3">
        <f t="shared" si="4"/>
        <v>19000</v>
      </c>
      <c r="M90" s="3">
        <v>0</v>
      </c>
      <c r="N90" s="3">
        <f t="shared" si="8"/>
        <v>143</v>
      </c>
    </row>
    <row r="91" spans="1:14" x14ac:dyDescent="0.25">
      <c r="A91" s="1">
        <v>27</v>
      </c>
      <c r="B91" s="2" t="s">
        <v>76</v>
      </c>
      <c r="C91" s="2" t="s">
        <v>18</v>
      </c>
      <c r="D91" s="2" t="s">
        <v>52</v>
      </c>
      <c r="E91" s="2" t="s">
        <v>77</v>
      </c>
      <c r="F91" s="2"/>
      <c r="G91" s="3">
        <v>20600</v>
      </c>
      <c r="H91" s="3">
        <v>0</v>
      </c>
      <c r="I91" s="3">
        <v>0</v>
      </c>
      <c r="J91" s="3">
        <v>20600</v>
      </c>
      <c r="K91" s="3">
        <v>0</v>
      </c>
      <c r="L91" s="3">
        <f t="shared" si="4"/>
        <v>20600</v>
      </c>
      <c r="M91" s="3">
        <v>0</v>
      </c>
      <c r="N91" s="3">
        <f t="shared" si="8"/>
        <v>155</v>
      </c>
    </row>
    <row r="92" spans="1:14" x14ac:dyDescent="0.25">
      <c r="A92" s="1">
        <v>28</v>
      </c>
      <c r="B92" s="2" t="s">
        <v>78</v>
      </c>
      <c r="C92" s="2" t="s">
        <v>18</v>
      </c>
      <c r="D92" s="2" t="s">
        <v>52</v>
      </c>
      <c r="E92" s="2" t="s">
        <v>79</v>
      </c>
      <c r="F92" s="2"/>
      <c r="G92" s="3">
        <v>20000</v>
      </c>
      <c r="H92" s="3">
        <v>0</v>
      </c>
      <c r="I92" s="3">
        <v>0</v>
      </c>
      <c r="J92" s="3">
        <v>20000</v>
      </c>
      <c r="K92" s="3">
        <v>0</v>
      </c>
      <c r="L92" s="3">
        <f t="shared" si="4"/>
        <v>20000</v>
      </c>
      <c r="M92" s="3">
        <v>0</v>
      </c>
      <c r="N92" s="3">
        <f t="shared" si="8"/>
        <v>150</v>
      </c>
    </row>
    <row r="93" spans="1:14" x14ac:dyDescent="0.25">
      <c r="A93" s="1">
        <v>29</v>
      </c>
      <c r="B93" s="2" t="s">
        <v>80</v>
      </c>
      <c r="C93" s="2" t="s">
        <v>18</v>
      </c>
      <c r="D93" s="2" t="s">
        <v>52</v>
      </c>
      <c r="E93" s="2" t="s">
        <v>81</v>
      </c>
      <c r="F93" s="2"/>
      <c r="G93" s="3">
        <v>7850</v>
      </c>
      <c r="H93" s="3">
        <v>4150</v>
      </c>
      <c r="I93" s="3">
        <v>3700</v>
      </c>
      <c r="J93" s="3">
        <v>15700</v>
      </c>
      <c r="K93" s="3">
        <v>0</v>
      </c>
      <c r="L93" s="3">
        <f t="shared" si="4"/>
        <v>15700</v>
      </c>
      <c r="M93" s="3">
        <f>(ROUND(G93*12%,0))</f>
        <v>942</v>
      </c>
      <c r="N93" s="3">
        <f t="shared" si="8"/>
        <v>118</v>
      </c>
    </row>
    <row r="94" spans="1:14" x14ac:dyDescent="0.25">
      <c r="A94" s="1">
        <v>30</v>
      </c>
      <c r="B94" s="2" t="s">
        <v>82</v>
      </c>
      <c r="C94" s="2" t="s">
        <v>18</v>
      </c>
      <c r="D94" s="2" t="s">
        <v>59</v>
      </c>
      <c r="E94" s="2" t="s">
        <v>83</v>
      </c>
      <c r="F94" s="2"/>
      <c r="G94" s="3">
        <v>6420</v>
      </c>
      <c r="H94" s="3">
        <v>3440</v>
      </c>
      <c r="I94" s="3">
        <v>2740</v>
      </c>
      <c r="J94" s="3">
        <v>12600</v>
      </c>
      <c r="K94" s="3">
        <v>0</v>
      </c>
      <c r="L94" s="3">
        <f t="shared" si="4"/>
        <v>12600</v>
      </c>
      <c r="M94" s="3">
        <f>(ROUND(G94*12%,0))</f>
        <v>770</v>
      </c>
      <c r="N94" s="3">
        <f t="shared" si="8"/>
        <v>95</v>
      </c>
    </row>
    <row r="95" spans="1:14" x14ac:dyDescent="0.25">
      <c r="A95" s="1">
        <v>31</v>
      </c>
      <c r="B95" s="2" t="s">
        <v>84</v>
      </c>
      <c r="C95" s="2" t="s">
        <v>18</v>
      </c>
      <c r="D95" s="2" t="s">
        <v>67</v>
      </c>
      <c r="E95" s="2" t="s">
        <v>85</v>
      </c>
      <c r="F95" s="2"/>
      <c r="G95" s="3">
        <v>6590</v>
      </c>
      <c r="H95" s="3">
        <v>4280</v>
      </c>
      <c r="I95" s="3">
        <v>3130</v>
      </c>
      <c r="J95" s="3">
        <v>14000</v>
      </c>
      <c r="K95" s="3">
        <v>0</v>
      </c>
      <c r="L95" s="3">
        <f t="shared" si="4"/>
        <v>14000</v>
      </c>
      <c r="M95" s="3">
        <f>(ROUND(G95*12%,0))</f>
        <v>791</v>
      </c>
      <c r="N95" s="3">
        <f t="shared" si="8"/>
        <v>105</v>
      </c>
    </row>
    <row r="96" spans="1:14" x14ac:dyDescent="0.25">
      <c r="A96" s="1">
        <v>32</v>
      </c>
      <c r="B96" s="2" t="s">
        <v>86</v>
      </c>
      <c r="C96" s="2" t="s">
        <v>18</v>
      </c>
      <c r="D96" s="2" t="s">
        <v>67</v>
      </c>
      <c r="E96" s="2" t="s">
        <v>87</v>
      </c>
      <c r="F96" s="2"/>
      <c r="G96" s="3">
        <v>7290</v>
      </c>
      <c r="H96" s="3">
        <v>4180</v>
      </c>
      <c r="I96" s="3">
        <v>3730</v>
      </c>
      <c r="J96" s="3">
        <v>15200</v>
      </c>
      <c r="K96" s="3">
        <v>0</v>
      </c>
      <c r="L96" s="3">
        <f t="shared" si="4"/>
        <v>15200</v>
      </c>
      <c r="M96" s="3">
        <f>(ROUND(G96*12%,0))</f>
        <v>875</v>
      </c>
      <c r="N96" s="3">
        <f t="shared" si="8"/>
        <v>114</v>
      </c>
    </row>
    <row r="97" spans="1:14" x14ac:dyDescent="0.25">
      <c r="A97" s="1">
        <v>33</v>
      </c>
      <c r="B97" s="2" t="s">
        <v>88</v>
      </c>
      <c r="C97" s="2" t="s">
        <v>18</v>
      </c>
      <c r="D97" s="2" t="s">
        <v>62</v>
      </c>
      <c r="E97" s="2" t="s">
        <v>89</v>
      </c>
      <c r="F97" s="2"/>
      <c r="G97" s="3">
        <v>6750</v>
      </c>
      <c r="H97" s="3">
        <v>5710</v>
      </c>
      <c r="I97" s="3">
        <v>4340</v>
      </c>
      <c r="J97" s="3">
        <v>16800</v>
      </c>
      <c r="K97" s="3">
        <v>0</v>
      </c>
      <c r="L97" s="3">
        <f t="shared" si="4"/>
        <v>16800</v>
      </c>
      <c r="M97" s="3">
        <f>(ROUND(G97*12%,0))</f>
        <v>810</v>
      </c>
      <c r="N97" s="3">
        <f t="shared" si="8"/>
        <v>126</v>
      </c>
    </row>
    <row r="98" spans="1:14" x14ac:dyDescent="0.25">
      <c r="A98" s="1">
        <v>34</v>
      </c>
      <c r="B98" s="2" t="s">
        <v>90</v>
      </c>
      <c r="C98" s="2" t="s">
        <v>18</v>
      </c>
      <c r="D98" s="2" t="s">
        <v>52</v>
      </c>
      <c r="E98" s="2" t="s">
        <v>91</v>
      </c>
      <c r="F98" s="2"/>
      <c r="G98" s="3">
        <v>19000</v>
      </c>
      <c r="H98" s="3">
        <v>0</v>
      </c>
      <c r="I98" s="3">
        <v>0</v>
      </c>
      <c r="J98" s="3">
        <v>19000</v>
      </c>
      <c r="K98" s="3">
        <v>0</v>
      </c>
      <c r="L98" s="3">
        <f t="shared" si="4"/>
        <v>19000</v>
      </c>
      <c r="M98" s="3">
        <v>0</v>
      </c>
      <c r="N98" s="3">
        <f t="shared" si="8"/>
        <v>143</v>
      </c>
    </row>
    <row r="99" spans="1:14" x14ac:dyDescent="0.25">
      <c r="A99" s="1">
        <v>35</v>
      </c>
      <c r="B99" s="2" t="s">
        <v>92</v>
      </c>
      <c r="C99" s="2" t="s">
        <v>18</v>
      </c>
      <c r="D99" s="2" t="s">
        <v>52</v>
      </c>
      <c r="E99" s="2" t="s">
        <v>93</v>
      </c>
      <c r="F99" s="2"/>
      <c r="G99" s="3">
        <v>21000</v>
      </c>
      <c r="H99" s="3">
        <v>0</v>
      </c>
      <c r="I99" s="3">
        <v>0</v>
      </c>
      <c r="J99" s="3">
        <v>21000</v>
      </c>
      <c r="K99" s="3">
        <v>0</v>
      </c>
      <c r="L99" s="3">
        <f t="shared" si="4"/>
        <v>21000</v>
      </c>
      <c r="M99" s="3">
        <v>0</v>
      </c>
      <c r="N99" s="3">
        <f t="shared" si="8"/>
        <v>158</v>
      </c>
    </row>
    <row r="100" spans="1:14" x14ac:dyDescent="0.25">
      <c r="A100" s="1">
        <v>36</v>
      </c>
      <c r="B100" s="2" t="s">
        <v>94</v>
      </c>
      <c r="C100" s="2" t="s">
        <v>18</v>
      </c>
      <c r="D100" s="2" t="s">
        <v>52</v>
      </c>
      <c r="E100" s="2" t="s">
        <v>95</v>
      </c>
      <c r="F100" s="2"/>
      <c r="G100" s="3">
        <v>21000</v>
      </c>
      <c r="H100" s="3">
        <v>0</v>
      </c>
      <c r="I100" s="3">
        <v>0</v>
      </c>
      <c r="J100" s="3">
        <v>21000</v>
      </c>
      <c r="K100" s="3">
        <v>0</v>
      </c>
      <c r="L100" s="3">
        <f t="shared" si="4"/>
        <v>21000</v>
      </c>
      <c r="M100" s="3">
        <v>0</v>
      </c>
      <c r="N100" s="3">
        <f t="shared" si="8"/>
        <v>158</v>
      </c>
    </row>
    <row r="101" spans="1:14" x14ac:dyDescent="0.25">
      <c r="A101" s="1">
        <v>37</v>
      </c>
      <c r="B101" s="2" t="s">
        <v>96</v>
      </c>
      <c r="C101" s="2" t="s">
        <v>18</v>
      </c>
      <c r="D101" s="2" t="s">
        <v>62</v>
      </c>
      <c r="E101" s="2" t="s">
        <v>97</v>
      </c>
      <c r="F101" s="2"/>
      <c r="G101" s="3">
        <v>9300</v>
      </c>
      <c r="H101" s="3">
        <v>5600</v>
      </c>
      <c r="I101" s="3">
        <v>4600</v>
      </c>
      <c r="J101" s="3">
        <v>19500</v>
      </c>
      <c r="K101" s="3">
        <v>0</v>
      </c>
      <c r="L101" s="3">
        <f t="shared" si="4"/>
        <v>19500</v>
      </c>
      <c r="M101" s="3">
        <f>(ROUND(G101*12%,0))</f>
        <v>1116</v>
      </c>
      <c r="N101" s="3">
        <f t="shared" si="8"/>
        <v>146</v>
      </c>
    </row>
    <row r="102" spans="1:14" x14ac:dyDescent="0.25">
      <c r="A102" s="1">
        <v>38</v>
      </c>
      <c r="B102" s="2" t="s">
        <v>98</v>
      </c>
      <c r="C102" s="2" t="s">
        <v>18</v>
      </c>
      <c r="D102" s="2" t="s">
        <v>70</v>
      </c>
      <c r="E102" s="2" t="s">
        <v>99</v>
      </c>
      <c r="F102" s="2"/>
      <c r="G102" s="3">
        <v>7980</v>
      </c>
      <c r="H102" s="3">
        <v>3560</v>
      </c>
      <c r="I102" s="3">
        <v>3460</v>
      </c>
      <c r="J102" s="3">
        <v>15000</v>
      </c>
      <c r="K102" s="3">
        <v>0</v>
      </c>
      <c r="L102" s="3">
        <f t="shared" si="4"/>
        <v>15000</v>
      </c>
      <c r="M102" s="3">
        <f>(ROUND(G102*12%,0))</f>
        <v>958</v>
      </c>
      <c r="N102" s="3">
        <f t="shared" si="8"/>
        <v>113</v>
      </c>
    </row>
    <row r="103" spans="1:14" x14ac:dyDescent="0.25">
      <c r="A103" s="1">
        <v>39</v>
      </c>
      <c r="B103" s="2" t="s">
        <v>100</v>
      </c>
      <c r="C103" s="2" t="s">
        <v>18</v>
      </c>
      <c r="D103" s="2" t="s">
        <v>52</v>
      </c>
      <c r="E103" s="2" t="s">
        <v>101</v>
      </c>
      <c r="F103" s="2"/>
      <c r="G103" s="3">
        <v>21000</v>
      </c>
      <c r="H103" s="3">
        <v>0</v>
      </c>
      <c r="I103" s="3">
        <v>0</v>
      </c>
      <c r="J103" s="3">
        <v>21000</v>
      </c>
      <c r="K103" s="3">
        <v>0</v>
      </c>
      <c r="L103" s="3">
        <f t="shared" si="4"/>
        <v>21000</v>
      </c>
      <c r="M103" s="3">
        <v>0</v>
      </c>
      <c r="N103" s="3">
        <f t="shared" si="8"/>
        <v>158</v>
      </c>
    </row>
    <row r="104" spans="1:14" x14ac:dyDescent="0.25">
      <c r="A104" s="1">
        <v>40</v>
      </c>
      <c r="B104" s="2" t="s">
        <v>102</v>
      </c>
      <c r="C104" s="2" t="s">
        <v>18</v>
      </c>
      <c r="D104" s="2" t="s">
        <v>52</v>
      </c>
      <c r="E104" s="2" t="s">
        <v>103</v>
      </c>
      <c r="F104" s="2"/>
      <c r="G104" s="3">
        <v>21000</v>
      </c>
      <c r="H104" s="3">
        <v>0</v>
      </c>
      <c r="I104" s="3">
        <v>0</v>
      </c>
      <c r="J104" s="3">
        <v>21000</v>
      </c>
      <c r="K104" s="3">
        <v>0</v>
      </c>
      <c r="L104" s="3">
        <f t="shared" si="4"/>
        <v>21000</v>
      </c>
      <c r="M104" s="3">
        <v>0</v>
      </c>
      <c r="N104" s="3">
        <f t="shared" si="8"/>
        <v>158</v>
      </c>
    </row>
    <row r="105" spans="1:14" x14ac:dyDescent="0.25">
      <c r="A105" s="1">
        <v>41</v>
      </c>
      <c r="B105" s="2" t="s">
        <v>104</v>
      </c>
      <c r="C105" s="2" t="s">
        <v>18</v>
      </c>
      <c r="D105" s="2" t="s">
        <v>62</v>
      </c>
      <c r="E105" s="2" t="s">
        <v>105</v>
      </c>
      <c r="F105" s="2"/>
      <c r="G105" s="3">
        <v>7640</v>
      </c>
      <c r="H105" s="3">
        <v>4280</v>
      </c>
      <c r="I105" s="3">
        <v>2780</v>
      </c>
      <c r="J105" s="3">
        <v>14700</v>
      </c>
      <c r="K105" s="3">
        <v>0</v>
      </c>
      <c r="L105" s="3">
        <f t="shared" si="4"/>
        <v>14700</v>
      </c>
      <c r="M105" s="3">
        <f>(ROUND(G105*12%,0))</f>
        <v>917</v>
      </c>
      <c r="N105" s="3">
        <f t="shared" si="8"/>
        <v>110</v>
      </c>
    </row>
    <row r="106" spans="1:14" x14ac:dyDescent="0.25">
      <c r="A106" s="1">
        <v>42</v>
      </c>
      <c r="B106" s="2" t="s">
        <v>106</v>
      </c>
      <c r="C106" s="2" t="s">
        <v>18</v>
      </c>
      <c r="D106" s="2" t="s">
        <v>59</v>
      </c>
      <c r="E106" s="2" t="s">
        <v>107</v>
      </c>
      <c r="F106" s="2"/>
      <c r="G106" s="3">
        <v>7700</v>
      </c>
      <c r="H106" s="3">
        <v>2300</v>
      </c>
      <c r="I106" s="3">
        <v>1800</v>
      </c>
      <c r="J106" s="3">
        <v>11800</v>
      </c>
      <c r="K106" s="3">
        <v>0</v>
      </c>
      <c r="L106" s="3">
        <f t="shared" si="4"/>
        <v>11800</v>
      </c>
      <c r="M106" s="3">
        <f>(ROUND(G106*12%,0))</f>
        <v>924</v>
      </c>
      <c r="N106" s="3">
        <f t="shared" si="8"/>
        <v>89</v>
      </c>
    </row>
    <row r="107" spans="1:14" x14ac:dyDescent="0.25">
      <c r="A107" s="1">
        <v>43</v>
      </c>
      <c r="B107" s="2" t="s">
        <v>108</v>
      </c>
      <c r="C107" s="2" t="s">
        <v>18</v>
      </c>
      <c r="D107" s="2" t="s">
        <v>52</v>
      </c>
      <c r="E107" s="2" t="s">
        <v>109</v>
      </c>
      <c r="F107" s="2"/>
      <c r="G107" s="3">
        <v>19000</v>
      </c>
      <c r="H107" s="3">
        <v>0</v>
      </c>
      <c r="I107" s="3">
        <v>0</v>
      </c>
      <c r="J107" s="3">
        <v>19000</v>
      </c>
      <c r="K107" s="3">
        <v>0</v>
      </c>
      <c r="L107" s="3">
        <f t="shared" si="4"/>
        <v>19000</v>
      </c>
      <c r="M107" s="3">
        <v>0</v>
      </c>
      <c r="N107" s="3">
        <f t="shared" si="8"/>
        <v>143</v>
      </c>
    </row>
    <row r="108" spans="1:14" x14ac:dyDescent="0.25">
      <c r="A108" s="1">
        <v>44</v>
      </c>
      <c r="B108" s="2" t="s">
        <v>110</v>
      </c>
      <c r="C108" s="2" t="s">
        <v>18</v>
      </c>
      <c r="D108" s="2" t="s">
        <v>62</v>
      </c>
      <c r="E108" s="2" t="s">
        <v>111</v>
      </c>
      <c r="F108" s="2"/>
      <c r="G108" s="3">
        <v>7630</v>
      </c>
      <c r="H108" s="3">
        <v>3260</v>
      </c>
      <c r="I108" s="3">
        <v>2760</v>
      </c>
      <c r="J108" s="3">
        <v>13650</v>
      </c>
      <c r="K108" s="3">
        <v>0</v>
      </c>
      <c r="L108" s="3">
        <f t="shared" si="4"/>
        <v>13650</v>
      </c>
      <c r="M108" s="3">
        <f>(ROUND(G108*12%,0))</f>
        <v>916</v>
      </c>
      <c r="N108" s="3">
        <f t="shared" si="8"/>
        <v>102</v>
      </c>
    </row>
    <row r="109" spans="1:14" x14ac:dyDescent="0.25">
      <c r="A109" s="1">
        <v>45</v>
      </c>
      <c r="B109" s="2" t="s">
        <v>112</v>
      </c>
      <c r="C109" s="2" t="s">
        <v>18</v>
      </c>
      <c r="D109" s="2" t="s">
        <v>52</v>
      </c>
      <c r="E109" s="2" t="s">
        <v>113</v>
      </c>
      <c r="F109" s="2"/>
      <c r="G109" s="3">
        <v>19000</v>
      </c>
      <c r="H109" s="3">
        <v>0</v>
      </c>
      <c r="I109" s="3">
        <v>0</v>
      </c>
      <c r="J109" s="3">
        <v>19000</v>
      </c>
      <c r="K109" s="3">
        <v>0</v>
      </c>
      <c r="L109" s="3">
        <f t="shared" si="4"/>
        <v>19000</v>
      </c>
      <c r="M109" s="3">
        <v>0</v>
      </c>
      <c r="N109" s="3">
        <f t="shared" si="8"/>
        <v>143</v>
      </c>
    </row>
    <row r="110" spans="1:14" x14ac:dyDescent="0.25">
      <c r="A110" s="1">
        <v>46</v>
      </c>
      <c r="B110" s="2" t="s">
        <v>114</v>
      </c>
      <c r="C110" s="2" t="s">
        <v>18</v>
      </c>
      <c r="D110" s="2" t="s">
        <v>59</v>
      </c>
      <c r="E110" s="2" t="s">
        <v>115</v>
      </c>
      <c r="F110" s="2"/>
      <c r="G110" s="3">
        <v>7700</v>
      </c>
      <c r="H110" s="3">
        <v>2300</v>
      </c>
      <c r="I110" s="3">
        <v>1800</v>
      </c>
      <c r="J110" s="3">
        <v>11800</v>
      </c>
      <c r="K110" s="3">
        <v>0</v>
      </c>
      <c r="L110" s="3">
        <f t="shared" si="4"/>
        <v>11800</v>
      </c>
      <c r="M110" s="3">
        <f>(ROUND(G110*12%,0))</f>
        <v>924</v>
      </c>
      <c r="N110" s="3">
        <f t="shared" si="8"/>
        <v>89</v>
      </c>
    </row>
    <row r="111" spans="1:14" x14ac:dyDescent="0.25">
      <c r="A111" s="1">
        <v>47</v>
      </c>
      <c r="B111" s="2" t="s">
        <v>116</v>
      </c>
      <c r="C111" s="2" t="s">
        <v>18</v>
      </c>
      <c r="D111" s="2" t="s">
        <v>62</v>
      </c>
      <c r="E111" s="2" t="s">
        <v>117</v>
      </c>
      <c r="F111" s="2"/>
      <c r="G111" s="3">
        <v>7650</v>
      </c>
      <c r="H111" s="3">
        <v>4300</v>
      </c>
      <c r="I111" s="3">
        <v>3800</v>
      </c>
      <c r="J111" s="3">
        <v>15750</v>
      </c>
      <c r="K111" s="3">
        <v>0</v>
      </c>
      <c r="L111" s="3">
        <f t="shared" si="4"/>
        <v>15750</v>
      </c>
      <c r="M111" s="3">
        <f>(ROUND(G111*12%,0))</f>
        <v>918</v>
      </c>
      <c r="N111" s="3">
        <f t="shared" si="8"/>
        <v>118</v>
      </c>
    </row>
    <row r="112" spans="1:14" x14ac:dyDescent="0.25">
      <c r="A112" s="1">
        <v>48</v>
      </c>
      <c r="B112" s="2" t="s">
        <v>118</v>
      </c>
      <c r="C112" s="2" t="s">
        <v>18</v>
      </c>
      <c r="D112" s="2" t="s">
        <v>62</v>
      </c>
      <c r="E112" s="2" t="s">
        <v>119</v>
      </c>
      <c r="F112" s="2"/>
      <c r="G112" s="3">
        <v>7630</v>
      </c>
      <c r="H112" s="3">
        <v>3260</v>
      </c>
      <c r="I112" s="3">
        <v>2760</v>
      </c>
      <c r="J112" s="3">
        <v>13650</v>
      </c>
      <c r="K112" s="3">
        <v>0</v>
      </c>
      <c r="L112" s="3">
        <f t="shared" si="4"/>
        <v>13650</v>
      </c>
      <c r="M112" s="3">
        <f>(ROUND(G112*12%,0))</f>
        <v>916</v>
      </c>
      <c r="N112" s="3">
        <f t="shared" si="8"/>
        <v>102</v>
      </c>
    </row>
    <row r="113" spans="1:14" x14ac:dyDescent="0.25">
      <c r="A113" s="1">
        <v>49</v>
      </c>
      <c r="B113" s="2" t="s">
        <v>120</v>
      </c>
      <c r="C113" s="2" t="s">
        <v>18</v>
      </c>
      <c r="D113" s="2" t="s">
        <v>52</v>
      </c>
      <c r="E113" s="2" t="s">
        <v>121</v>
      </c>
      <c r="F113" s="2"/>
      <c r="G113" s="3">
        <v>19000</v>
      </c>
      <c r="H113" s="3">
        <v>0</v>
      </c>
      <c r="I113" s="3">
        <v>0</v>
      </c>
      <c r="J113" s="3">
        <v>19000</v>
      </c>
      <c r="K113" s="3">
        <v>0</v>
      </c>
      <c r="L113" s="3">
        <f t="shared" si="4"/>
        <v>19000</v>
      </c>
      <c r="M113" s="3">
        <v>0</v>
      </c>
      <c r="N113" s="3">
        <f t="shared" si="8"/>
        <v>143</v>
      </c>
    </row>
    <row r="114" spans="1:14" x14ac:dyDescent="0.25">
      <c r="A114" s="1">
        <v>50</v>
      </c>
      <c r="B114" s="2" t="s">
        <v>122</v>
      </c>
      <c r="C114" s="2" t="s">
        <v>18</v>
      </c>
      <c r="D114" s="2" t="s">
        <v>62</v>
      </c>
      <c r="E114" s="2" t="s">
        <v>123</v>
      </c>
      <c r="F114" s="2"/>
      <c r="G114" s="3">
        <v>7620</v>
      </c>
      <c r="H114" s="3">
        <v>2740</v>
      </c>
      <c r="I114" s="3">
        <v>2240</v>
      </c>
      <c r="J114" s="3">
        <v>12600</v>
      </c>
      <c r="K114" s="3">
        <v>0</v>
      </c>
      <c r="L114" s="3">
        <f t="shared" si="4"/>
        <v>12600</v>
      </c>
      <c r="M114" s="3">
        <f>(ROUND(G114*12%,0))</f>
        <v>914</v>
      </c>
      <c r="N114" s="3">
        <f t="shared" si="8"/>
        <v>95</v>
      </c>
    </row>
    <row r="115" spans="1:14" x14ac:dyDescent="0.25">
      <c r="A115" s="1">
        <v>51</v>
      </c>
      <c r="B115" s="2" t="s">
        <v>124</v>
      </c>
      <c r="C115" s="2" t="s">
        <v>18</v>
      </c>
      <c r="D115" s="2" t="s">
        <v>62</v>
      </c>
      <c r="E115" s="2" t="s">
        <v>125</v>
      </c>
      <c r="F115" s="2"/>
      <c r="G115" s="3">
        <v>8400</v>
      </c>
      <c r="H115" s="3">
        <v>5300</v>
      </c>
      <c r="I115" s="3">
        <v>4800</v>
      </c>
      <c r="J115" s="3">
        <v>18500</v>
      </c>
      <c r="K115" s="3">
        <v>0</v>
      </c>
      <c r="L115" s="3">
        <f t="shared" si="4"/>
        <v>18500</v>
      </c>
      <c r="M115" s="3">
        <f>(ROUND(G115*12%,0))</f>
        <v>1008</v>
      </c>
      <c r="N115" s="3">
        <f t="shared" si="8"/>
        <v>139</v>
      </c>
    </row>
    <row r="116" spans="1:14" ht="15.75" x14ac:dyDescent="0.25">
      <c r="A116" s="2"/>
      <c r="B116" s="2"/>
      <c r="C116" s="2"/>
      <c r="D116" s="2"/>
      <c r="E116" s="4" t="s">
        <v>266</v>
      </c>
      <c r="F116" s="4"/>
      <c r="G116" s="5">
        <f>SUM(G65:G115)</f>
        <v>625795</v>
      </c>
      <c r="H116" s="5">
        <f>SUM(H65:H115)</f>
        <v>166360</v>
      </c>
      <c r="I116" s="5">
        <f>SUM(I65:I115)</f>
        <v>136120</v>
      </c>
      <c r="J116" s="5">
        <f>SUM(J65:J115)</f>
        <v>928275</v>
      </c>
      <c r="K116" s="5">
        <f>SUM(K65:K115)</f>
        <v>0</v>
      </c>
      <c r="L116" s="5">
        <f>SUM(L65:L115)</f>
        <v>928275</v>
      </c>
      <c r="M116" s="5">
        <f>SUM(M65:M115)</f>
        <v>46320</v>
      </c>
      <c r="N116" s="5">
        <f>SUM(N65:N115)</f>
        <v>5550</v>
      </c>
    </row>
  </sheetData>
  <mergeCells count="30">
    <mergeCell ref="I63:I64"/>
    <mergeCell ref="J63:J64"/>
    <mergeCell ref="K63:K64"/>
    <mergeCell ref="L63:L64"/>
    <mergeCell ref="M63:M64"/>
    <mergeCell ref="N63:N64"/>
    <mergeCell ref="N5:N6"/>
    <mergeCell ref="A60:N60"/>
    <mergeCell ref="A61:N61"/>
    <mergeCell ref="A63:A64"/>
    <mergeCell ref="B63:B64"/>
    <mergeCell ref="C63:C64"/>
    <mergeCell ref="D63:D64"/>
    <mergeCell ref="E63:E64"/>
    <mergeCell ref="G63:G64"/>
    <mergeCell ref="H63:H64"/>
    <mergeCell ref="J5:J6"/>
    <mergeCell ref="K5:K6"/>
    <mergeCell ref="L5:L6"/>
    <mergeCell ref="M5:M6"/>
    <mergeCell ref="A2:N2"/>
    <mergeCell ref="A3:N3"/>
    <mergeCell ref="A5:A6"/>
    <mergeCell ref="B5:B6"/>
    <mergeCell ref="C5:C6"/>
    <mergeCell ref="D5:D6"/>
    <mergeCell ref="E5:E6"/>
    <mergeCell ref="G5:G6"/>
    <mergeCell ref="H5:H6"/>
    <mergeCell ref="I5:I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C10"/>
  <sheetViews>
    <sheetView workbookViewId="0">
      <selection activeCell="I22" sqref="I22"/>
    </sheetView>
  </sheetViews>
  <sheetFormatPr defaultRowHeight="15" x14ac:dyDescent="0.25"/>
  <sheetData>
    <row r="5" spans="3:3" ht="18.75" x14ac:dyDescent="0.25">
      <c r="C5" s="27" t="s">
        <v>282</v>
      </c>
    </row>
    <row r="6" spans="3:3" x14ac:dyDescent="0.25">
      <c r="C6" s="28" t="s">
        <v>283</v>
      </c>
    </row>
    <row r="7" spans="3:3" ht="15.75" x14ac:dyDescent="0.25">
      <c r="C7" s="29" t="s">
        <v>284</v>
      </c>
    </row>
    <row r="8" spans="3:3" ht="15.75" x14ac:dyDescent="0.25">
      <c r="C8" s="29" t="s">
        <v>285</v>
      </c>
    </row>
    <row r="9" spans="3:3" ht="15.75" x14ac:dyDescent="0.25">
      <c r="C9" s="29" t="s">
        <v>286</v>
      </c>
    </row>
    <row r="10" spans="3:3" ht="15.75" x14ac:dyDescent="0.25">
      <c r="C10" s="29" t="s">
        <v>287</v>
      </c>
    </row>
  </sheetData>
  <hyperlinks>
    <hyperlink ref="C6" r:id="rId1" display="https://www.sgcms.com/regulatory-updates/minimum-rate-of-wages-west-bengal-july-2026/" xr:uid="{1508A3C4-941C-45DA-BAE4-60E7AE0F2B9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MASTER</vt:lpstr>
      <vt:lpstr>RAJARHAT</vt:lpstr>
      <vt:lpstr>MINIMUM WAGES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Manoj Kedia</cp:lastModifiedBy>
  <dcterms:created xsi:type="dcterms:W3CDTF">2026-07-22T06:54:59Z</dcterms:created>
  <dcterms:modified xsi:type="dcterms:W3CDTF">2026-07-31T06:23:54Z</dcterms:modified>
</cp:coreProperties>
</file>