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dvisor Mode" sheetId="2" state="visible" r:id="rId4"/>
    <sheet name="Assumptions" sheetId="3" state="visible" r:id="rId5"/>
    <sheet name="Monthly Engine" sheetId="4" state="visible" r:id="rId6"/>
    <sheet name="Annual Summary" sheetId="5" state="visible" r:id="rId7"/>
    <sheet name="Scenario Analysis" sheetId="6" state="visible" r:id="rId8"/>
    <sheet name="Monte Carlo" sheetId="7" state="visible" r:id="rId9"/>
    <sheet name="Instrument Guide" sheetId="8" state="visible" r:id="rId10"/>
    <sheet name="Delayed SWP Option" sheetId="9" state="visible" r:id="rId11"/>
    <sheet name="Gold as Legacy" sheetId="10" state="visible" r:id="rId12"/>
    <sheet name="5Cr Legacy Plan" sheetId="11" state="visible" r:id="rId13"/>
    <sheet name="Print Report" sheetId="12" state="visible" r:id="rId14"/>
  </sheets>
  <definedNames>
    <definedName function="false" hidden="false" localSheetId="11" name="_xlnm.Print_Area" vbProcedure="false">'Print Report'!$A$1:$I$37</definedName>
    <definedName function="false" hidden="false" name="Age" vbProcedure="false">'Advisor Mode'!$C$6</definedName>
    <definedName function="false" hidden="false" name="B1Pct" vbProcedure="false">Assumptions!$C$4</definedName>
    <definedName function="false" hidden="false" name="B1Ret" vbProcedure="false">Assumptions!$C$15</definedName>
    <definedName function="false" hidden="false" name="B2Pct" vbProcedure="false">Assumptions!$C$5</definedName>
    <definedName function="false" hidden="false" name="B2Ret" vbProcedure="false">Assumptions!$C$16</definedName>
    <definedName function="false" hidden="false" name="B3Pct" vbProcedure="false">Assumptions!$C$6</definedName>
    <definedName function="false" hidden="false" name="B3Ret" vbProcedure="false">Assumptions!$C$17</definedName>
    <definedName function="false" hidden="false" name="Corpus" vbProcedure="false">'Advisor Mode'!$C$7</definedName>
    <definedName function="false" hidden="false" name="GreenBand" vbProcedure="false">Assumptions!$C$35</definedName>
    <definedName function="false" hidden="false" name="GrowthReturn" vbProcedure="false">'Advisor Mode'!$C$10</definedName>
    <definedName function="false" hidden="false" name="Inflation" vbProcedure="false">'Advisor Mode'!$C$9</definedName>
    <definedName function="false" hidden="false" name="MonthlyExp" vbProcedure="false">'Advisor Mode'!$C$8</definedName>
    <definedName function="false" hidden="false" name="RetYears" vbProcedure="false">'Advisor Mode'!$C$11</definedName>
    <definedName function="false" hidden="false" name="YellowBand" vbProcedure="false">Assumptions!$C$36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<sst xmlns="http://schemas.openxmlformats.org/spreadsheetml/2006/main" count="310" uniqueCount="285">
  <si>
    <t xml:space="preserve">RETIREMENT DASHBOARD — 30-Year, 3-Bucket Plan (Age 62 → 92)</t>
  </si>
  <si>
    <t xml:space="preserve">Key Metrics</t>
  </si>
  <si>
    <t xml:space="preserve">Total Corpus Today (Gold ₹1Cr + Cash ₹1Cr)</t>
  </si>
  <si>
    <t xml:space="preserve">Monthly Income — Year 1</t>
  </si>
  <si>
    <t xml:space="preserve">Safe Withdrawal Rate — Year 1</t>
  </si>
  <si>
    <t xml:space="preserve">Retirement Duration</t>
  </si>
  <si>
    <t xml:space="preserve">Current Age → Age at Year 30</t>
  </si>
  <si>
    <t xml:space="preserve">Inflation Rate Assumed</t>
  </si>
  <si>
    <t xml:space="preserve">Bucket 1 Initial (Yrs 1-5, Liquid/FD)</t>
  </si>
  <si>
    <t xml:space="preserve">Bucket 2 Initial (Yrs 6-15, Debt/Hybrid)</t>
  </si>
  <si>
    <t xml:space="preserve">Bucket 3 Initial (Yrs 16-30, Equity+Gold)</t>
  </si>
  <si>
    <t xml:space="preserve">Projected Corpus after 30 Years</t>
  </si>
  <si>
    <t xml:space="preserve">Overall Plan Health (Year 30)</t>
  </si>
  <si>
    <t xml:space="preserve">Avg. Withdrawal Rate (30-yr avg)</t>
  </si>
  <si>
    <t xml:space="preserve">Charts</t>
  </si>
  <si>
    <t xml:space="preserve">See charts below — Corpus Growth · Nominal vs Real Income · Bucket Balances · Withdrawal vs Return</t>
  </si>
  <si>
    <t xml:space="preserve">ADVISOR MODE — Change these values, the entire plan updates automatically</t>
  </si>
  <si>
    <t xml:space="preserve">Change ONLY the yellow cells below. Every sheet in this workbook</t>
  </si>
  <si>
    <t xml:space="preserve">(Dashboard, 30-Year Engine, Scenarios, Monte Carlo) recalculates from these.</t>
  </si>
  <si>
    <t xml:space="preserve">Current Age (yrs)</t>
  </si>
  <si>
    <t xml:space="preserve">Named ranges used across workbook: Age, Corpus, MonthlyExp, Inflation, GrowthReturn, RetYears</t>
  </si>
  <si>
    <t xml:space="preserve">Total Retirement Corpus, ₹ (Gold ₹1 Cr + Cash ₹1 Cr)</t>
  </si>
  <si>
    <t xml:space="preserve">Desired Monthly Expense — today's value, ₹</t>
  </si>
  <si>
    <t xml:space="preserve">Expected Inflation Rate</t>
  </si>
  <si>
    <t xml:space="preserve">Expected Return — Growth/Equity Bucket (Bucket 3)</t>
  </si>
  <si>
    <t xml:space="preserve">Retirement Duration (Years)</t>
  </si>
  <si>
    <t xml:space="preserve">These 5 (+ age) are the ONLY cells you should ever need to touch:</t>
  </si>
  <si>
    <t xml:space="preserve">1) Total Corpus   2) Monthly Expense   3) Inflation   4) Expected Return   5) Retirement Years</t>
  </si>
  <si>
    <t xml:space="preserve">Example: if your corpus grows from ₹2 Cr to ₹3 Cr in future, just update C7 — Bucket splits,</t>
  </si>
  <si>
    <t xml:space="preserve">the 30-year cash-flow, scenarios and Monte Carlo results will all re-size automatically.</t>
  </si>
  <si>
    <t xml:space="preserve">ASSUMPTIONS — 3-Bucket Allocation, Returns &amp; Scenario Settings</t>
  </si>
  <si>
    <t xml:space="preserve">Bucket Allocation (% of Total Corpus) — editable</t>
  </si>
  <si>
    <t xml:space="preserve">Bucket 1 — Income Bucket (Yrs 1-5) %</t>
  </si>
  <si>
    <t xml:space="preserve">Bucket 2 — Refill Bucket (Yrs 6-15) %</t>
  </si>
  <si>
    <t xml:space="preserve">Bucket 3 — Growth Bucket (Yrs 16-30) %</t>
  </si>
  <si>
    <t xml:space="preserve">Check — must equal 100%</t>
  </si>
  <si>
    <t xml:space="preserve">Bucket Return Offsets vs Growth Rate (Advisor Mode C10) — editable</t>
  </si>
  <si>
    <t xml:space="preserve">Bucket 1 offset (Liquid/FD, safest)</t>
  </si>
  <si>
    <t xml:space="preserve">Bucket 2 offset (Debt/Hybrid)</t>
  </si>
  <si>
    <t xml:space="preserve">Bucket 3 offset (Equity + Gold, full growth rate)</t>
  </si>
  <si>
    <t xml:space="preserve">Resulting Bucket Returns (calculated, linked to Advisor Mode)</t>
  </si>
  <si>
    <t xml:space="preserve">Bucket 1 Return p.a. (FD / Liquid Fund)</t>
  </si>
  <si>
    <t xml:space="preserve">Bucket 2 Return p.a. (Debt / Hybrid Fund)</t>
  </si>
  <si>
    <t xml:space="preserve">Bucket 3 Return p.a. (Equity + Gold)</t>
  </si>
  <si>
    <t xml:space="preserve">Bucket Refill Schedule (fixed, per your design)</t>
  </si>
  <si>
    <t xml:space="preserve">Bucket 2 → Bucket 1 refills at End of Year</t>
  </si>
  <si>
    <t xml:space="preserve">5, 10, 15, 20, 25</t>
  </si>
  <si>
    <t xml:space="preserve">Bucket 3 → Bucket 2 refills at End of Year</t>
  </si>
  <si>
    <t xml:space="preserve">15, 20, 25</t>
  </si>
  <si>
    <t xml:space="preserve">Bucket 1 always holds ~5 years of expenses in reserve</t>
  </si>
  <si>
    <t xml:space="preserve">Scenario Analysis — Return Delta Applied to Blended Portfolio</t>
  </si>
  <si>
    <t xml:space="preserve">Weak / Bad Market Case — return delta</t>
  </si>
  <si>
    <t xml:space="preserve">Expected / Normal Case — return delta</t>
  </si>
  <si>
    <t xml:space="preserve">Best Case — return delta</t>
  </si>
  <si>
    <t xml:space="preserve">Monte Carlo Volatility Assumptions (std. deviation p.a.) — editable</t>
  </si>
  <si>
    <t xml:space="preserve">Bucket 1 Std. Deviation</t>
  </si>
  <si>
    <t xml:space="preserve">Bucket 2 Std. Deviation</t>
  </si>
  <si>
    <t xml:space="preserve">Bucket 3 Std. Deviation</t>
  </si>
  <si>
    <t xml:space="preserve">Safe Withdrawal Rate (SWR) Health-Check Bands</t>
  </si>
  <si>
    <t xml:space="preserve">Green: Annual Withdrawal / Opening Corpus  ≤</t>
  </si>
  <si>
    <t xml:space="preserve">Yellow: up to</t>
  </si>
  <si>
    <t xml:space="preserve">Red: above Yellow threshold</t>
  </si>
  <si>
    <t xml:space="preserve">→ See 'Instrument Guide' sheet for which actual instruments to hold in each Bucket.</t>
  </si>
  <si>
    <t xml:space="preserve">Month</t>
  </si>
  <si>
    <t xml:space="preserve">Year</t>
  </si>
  <si>
    <t xml:space="preserve">Age</t>
  </si>
  <si>
    <t xml:space="preserve">Monthly Expense (inflated)</t>
  </si>
  <si>
    <t xml:space="preserve">B1 Opening</t>
  </si>
  <si>
    <t xml:space="preserve">B1 Return</t>
  </si>
  <si>
    <t xml:space="preserve">B1 Withdrawal</t>
  </si>
  <si>
    <t xml:space="preserve">Transfer Trigger Amt</t>
  </si>
  <si>
    <t xml:space="preserve">B1 Transfer In</t>
  </si>
  <si>
    <t xml:space="preserve">B1 Closing</t>
  </si>
  <si>
    <t xml:space="preserve">B2 Opening</t>
  </si>
  <si>
    <t xml:space="preserve">B2 Return</t>
  </si>
  <si>
    <t xml:space="preserve">B2 Transfer Out</t>
  </si>
  <si>
    <t xml:space="preserve">B2 Transfer In</t>
  </si>
  <si>
    <t xml:space="preserve">B2 Closing</t>
  </si>
  <si>
    <t xml:space="preserve">B3 Opening</t>
  </si>
  <si>
    <t xml:space="preserve">B3 Return</t>
  </si>
  <si>
    <t xml:space="preserve">B3 Transfer Out</t>
  </si>
  <si>
    <t xml:space="preserve">B3 Closing</t>
  </si>
  <si>
    <t xml:space="preserve">Total Corpus</t>
  </si>
  <si>
    <t xml:space="preserve">Opening Total Corpus</t>
  </si>
  <si>
    <t xml:space="preserve">Annual Withdrawal
(inflation-adjusted)</t>
  </si>
  <si>
    <t xml:space="preserve">Avg Monthly Income
that Year</t>
  </si>
  <si>
    <t xml:space="preserve">Investment Return
(the year)</t>
  </si>
  <si>
    <t xml:space="preserve">Bucket 1 Closing</t>
  </si>
  <si>
    <t xml:space="preserve">Bucket 2 Closing</t>
  </si>
  <si>
    <t xml:space="preserve">Bucket 3 Closing</t>
  </si>
  <si>
    <t xml:space="preserve">Closing Total Corpus</t>
  </si>
  <si>
    <t xml:space="preserve">Withdrawal Rate
(of Opening Corpus)</t>
  </si>
  <si>
    <t xml:space="preserve">Health Status</t>
  </si>
  <si>
    <t xml:space="preserve">Note: Health Status compares each year's Withdrawal Rate to the SWR bands set in Assumptions (green ≤ 4%, yellow ≤ 6%, red above).</t>
  </si>
  <si>
    <t xml:space="preserve">SCENARIO ANALYSIS — Worst / Expected / Best Case (simplified blended-portfolio view)</t>
  </si>
  <si>
    <t xml:space="preserve">Note: This sheet uses ONE blended portfolio return (weighted avg of the 3 buckets) applied annually — a simplified approximation for quick comparison. The detailed, accurate model is the 3-bucket 'Monthly Engine' + 'Annual Summary'.</t>
  </si>
  <si>
    <t xml:space="preserve">Blended Portfolio Return (Expected)</t>
  </si>
  <si>
    <t xml:space="preserve">Weak Case
Closing Corpus</t>
  </si>
  <si>
    <t xml:space="preserve">Weak Case
Annual Withdrawal</t>
  </si>
  <si>
    <t xml:space="preserve">Expected Case
Closing Corpus</t>
  </si>
  <si>
    <t xml:space="preserve">Expected Case
Annual Withdrawal</t>
  </si>
  <si>
    <t xml:space="preserve">Best Case
Closing Corpus</t>
  </si>
  <si>
    <t xml:space="preserve">Best Case
Annual Withdrawal</t>
  </si>
  <si>
    <t xml:space="preserve">Ending Corpus after 30 Years:</t>
  </si>
  <si>
    <t xml:space="preserve">Corpus Lasts Full 30 Years?</t>
  </si>
  <si>
    <t xml:space="preserve">MONTE CARLO SIMULATION — Probability Analysis (40 random trials, press F9 to resample)</t>
  </si>
  <si>
    <t xml:space="preserve">Each trial draws a random annual portfolio return every year (Normal distribution, mean = blended expected return, std. dev. = blended volatility from Assumptions) and applies it to the same withdrawal schedule as the Expected Case. Corpus is floored at ₹0 (cannot go negative).</t>
  </si>
  <si>
    <t xml:space="preserve">Blended Expected Return</t>
  </si>
  <si>
    <t xml:space="preserve">Blended Volatility (std dev, approx.)</t>
  </si>
  <si>
    <t xml:space="preserve">Trial #</t>
  </si>
  <si>
    <t xml:space="preserve">Year 0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</si>
  <si>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</si>
  <si>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</si>
  <si>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</si>
  <si>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</si>
  <si>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</si>
  <si>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</si>
  <si>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</si>
  <si>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</si>
  <si>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Yr 9</t>
  </si>
  <si>
    <t xml:space="preserve">Yr 10</t>
  </si>
  <si>
    <t xml:space="preserve">Yr 11</t>
  </si>
  <si>
    <t xml:space="preserve">Yr 12</t>
  </si>
  <si>
    <t xml:space="preserve">Yr 13</t>
  </si>
  <si>
    <t xml:space="preserve">Yr 14</t>
  </si>
  <si>
    <t xml:space="preserve">Yr 15</t>
  </si>
  <si>
    <t xml:space="preserve">Yr 16</t>
  </si>
  <si>
    <t xml:space="preserve">Yr 17</t>
  </si>
  <si>
    <t xml:space="preserve">Yr 18</t>
  </si>
  <si>
    <t xml:space="preserve">Yr 19</t>
  </si>
  <si>
    <t xml:space="preserve">Yr 20</t>
  </si>
  <si>
    <t xml:space="preserve">Yr 21</t>
  </si>
  <si>
    <t xml:space="preserve">Yr 22</t>
  </si>
  <si>
    <t xml:space="preserve">Yr 23</t>
  </si>
  <si>
    <t xml:space="preserve">Yr 24</t>
  </si>
  <si>
    <t xml:space="preserve">Yr 25</t>
  </si>
  <si>
    <t xml:space="preserve">Yr 26</t>
  </si>
  <si>
    <t xml:space="preserve">Yr 27</t>
  </si>
  <si>
    <t xml:space="preserve">Yr 28</t>
  </si>
  <si>
    <t xml:space="preserve">Yr 29</t>
  </si>
  <si>
    <t xml:space="preserve">Yr 30</t>
  </si>
  <si>
    <t xml:space="preserve">Results Summary (based on the trials above)</t>
  </si>
  <si>
    <t xml:space="preserve">Probability of Success (corpus &gt; ₹0 after 30 yrs)</t>
  </si>
  <si>
    <t xml:space="preserve">Median Ending Corpus (Year 30)</t>
  </si>
  <si>
    <t xml:space="preserve">10th Percentile Ending Corpus (weak-market tail)</t>
  </si>
  <si>
    <t xml:space="preserve">90th Percentile Ending Corpus (strong-market tail)</t>
  </si>
  <si>
    <t xml:space="preserve">Best Trial — Ending Corpus</t>
  </si>
  <si>
    <t xml:space="preserve">Worst Trial — Ending Corpus</t>
  </si>
  <si>
    <t xml:space="preserve">INSTRUMENT GUIDE — What to hold in each Bucket (India, indicative)</t>
  </si>
  <si>
    <t xml:space="preserve">Indicative categories only — actual scheme selection, expense ratio and taxation should be checked with a SEBI-registered adviser. Returns shown are typical historical ranges, NOT guaranteed.</t>
  </si>
  <si>
    <t xml:space="preserve">BUCKET 1 — Income Bucket (Years 1-5)  |  Safety &amp; Liquidity first</t>
  </si>
  <si>
    <t xml:space="preserve">Instrument</t>
  </si>
  <si>
    <t xml:space="preserve">Suggested %
of this Bucket</t>
  </si>
  <si>
    <t xml:space="preserve">Typical
Return p.a.</t>
  </si>
  <si>
    <t xml:space="preserve">Why</t>
  </si>
  <si>
    <t xml:space="preserve">Senior Citizen Savings Scheme (SCSS)</t>
  </si>
  <si>
    <t xml:space="preserve">~8.2%</t>
  </si>
  <si>
    <t xml:space="preserve">Govt-backed, quarterly payout, max ₹30L/person</t>
  </si>
  <si>
    <t xml:space="preserve">Post Office Monthly Income Scheme (POMIS)</t>
  </si>
  <si>
    <t xml:space="preserve">~7.4%</t>
  </si>
  <si>
    <t xml:space="preserve">Govt-backed, fixed monthly income</t>
  </si>
  <si>
    <t xml:space="preserve">Bank FD (senior citizen rate, laddered)</t>
  </si>
  <si>
    <t xml:space="preserve">~7.0-7.5%</t>
  </si>
  <si>
    <t xml:space="preserve">Simple, fully liquid on maturity ladder</t>
  </si>
  <si>
    <t xml:space="preserve">Liquid / Overnight Mutual Fund</t>
  </si>
  <si>
    <t xml:space="preserve">~6.5-7.0%</t>
  </si>
  <si>
    <t xml:space="preserve">For the monthly SWP - instant liquidity</t>
  </si>
  <si>
    <t xml:space="preserve">BUCKET 2 — Refill Bucket (Years 6-15)  |  Moderate, steady growth</t>
  </si>
  <si>
    <t xml:space="preserve">Banking &amp; PSU Debt Fund</t>
  </si>
  <si>
    <t xml:space="preserve">~7.5-8.5%</t>
  </si>
  <si>
    <t xml:space="preserve">High credit quality, low volatility</t>
  </si>
  <si>
    <t xml:space="preserve">Target Maturity Debt Fund (matched to horizon)</t>
  </si>
  <si>
    <t xml:space="preserve">~7.5-8.0%</t>
  </si>
  <si>
    <t xml:space="preserve">Predictable, tax-efficient over 5+ yrs</t>
  </si>
  <si>
    <t xml:space="preserve">Conservative Hybrid Fund (75-90% debt)</t>
  </si>
  <si>
    <t xml:space="preserve">~9.0-10.0%</t>
  </si>
  <si>
    <t xml:space="preserve">Small equity kicker for slightly higher return</t>
  </si>
  <si>
    <t xml:space="preserve">Balanced Advantage Fund (BAF)</t>
  </si>
  <si>
    <t xml:space="preserve">~9.0-11.0%</t>
  </si>
  <si>
    <t xml:space="preserve">Auto equity-debt rebalancing, smooths volatility</t>
  </si>
  <si>
    <t xml:space="preserve">BUCKET 3 — Growth Bucket (Years 16-30)  |  Equity + Gold for long-term growth</t>
  </si>
  <si>
    <t xml:space="preserve">Nifty 50 / Sensex Index Fund</t>
  </si>
  <si>
    <t xml:space="preserve">~11-12%</t>
  </si>
  <si>
    <t xml:space="preserve">Low-cost, long-term equity core</t>
  </si>
  <si>
    <t xml:space="preserve">Flexicap / Large &amp; Midcap Mutual Fund</t>
  </si>
  <si>
    <t xml:space="preserve">~12-14%</t>
  </si>
  <si>
    <t xml:space="preserve">Higher growth potential, 15-yr+ horizon</t>
  </si>
  <si>
    <t xml:space="preserve">Sovereign Gold Bonds (convert existing physical gold)</t>
  </si>
  <si>
    <t xml:space="preserve">~8-10%</t>
  </si>
  <si>
    <t xml:space="preserve">Extra 2.5% interest vs physical gold, no GST/making charges</t>
  </si>
  <si>
    <t xml:space="preserve">Equity-oriented Hybrid Fund</t>
  </si>
  <si>
    <t xml:space="preserve">~10-11%</t>
  </si>
  <si>
    <t xml:space="preserve">Slightly lower volatility than pure equity</t>
  </si>
  <si>
    <t xml:space="preserve">Note: % columns are indicative sub-allocation WITHIN each bucket, not of total corpus.</t>
  </si>
  <si>
    <t xml:space="preserve">Rebalance/review once a year, and always re-check current rates before investing.</t>
  </si>
  <si>
    <t xml:space="preserve">DELAYED SWP OPTION — Growth Fund for 5 Years, then Withdraw (vs the 3-Bucket Plan)</t>
  </si>
  <si>
    <t xml:space="preserve">Assumes full corpus is put in ONE growth-oriented fund for the first 5 years with NO withdrawal (monthly expenses funded from elsewhere during this period). SWP then starts in Year 6, using the same inflation-adjusted withdrawal schedule as the main plan. Two variants shown: (A) stays 100% in the growth fund throughout, and (B) at Year 5 carves out a safety Buffer into liquid/FD before SWP starts.</t>
  </si>
  <si>
    <t xml:space="preserve">Buffer carved out at Year 5, for Variant B (editable)</t>
  </si>
  <si>
    <t xml:space="preserve">Annual
Withdrawal</t>
  </si>
  <si>
    <t xml:space="preserve">A: Growth
Fund Opening</t>
  </si>
  <si>
    <t xml:space="preserve">A: Return</t>
  </si>
  <si>
    <t xml:space="preserve">A: Closing (Total)</t>
  </si>
  <si>
    <t xml:space="preserve">B: Buffer
Opening</t>
  </si>
  <si>
    <t xml:space="preserve">B: Buffer
Return</t>
  </si>
  <si>
    <t xml:space="preserve">B: Buffer
Closing</t>
  </si>
  <si>
    <t xml:space="preserve">B: Growth
Opening</t>
  </si>
  <si>
    <t xml:space="preserve">B: Growth
Return</t>
  </si>
  <si>
    <t xml:space="preserve">B: Shortfall
(helper)</t>
  </si>
  <si>
    <t xml:space="preserve">B: Growth
Closing</t>
  </si>
  <si>
    <t xml:space="preserve">B: Closing (Total)</t>
  </si>
  <si>
    <t xml:space="preserve">3-Bucket Plan
Closing (ref)</t>
  </si>
  <si>
    <t xml:space="preserve">Summary Comparison — Expected Case</t>
  </si>
  <si>
    <t xml:space="preserve">A: Pure Delayed SWP</t>
  </si>
  <si>
    <t xml:space="preserve">B: Delayed SWP + Buffer</t>
  </si>
  <si>
    <t xml:space="preserve">3-Bucket Plan</t>
  </si>
  <si>
    <t xml:space="preserve">Ending Corpus after 30 Years</t>
  </si>
  <si>
    <t xml:space="preserve">Minimum Corpus reached, any year</t>
  </si>
  <si>
    <t xml:space="preserve">Ever ran out of money (₹0 or less)?</t>
  </si>
  <si>
    <t xml:space="preserve">Key takeaway: Variant A has zero cushion when SWP starts in Year 6 — a market dip right then hits the full corpus. Variant B softens that first shock with a small buffer, at the cost of a slightly lower long-run average return on the buffer portion. The 3-Bucket Plan (main model) spreads this protection across the whole 30 years, not just the Year-6 transition.</t>
  </si>
  <si>
    <t xml:space="preserve">GOLD AS LEGACY — Plan Using Only the ₹1 Cr Cash Corpus (Gold left untouched for inheritance)</t>
  </si>
  <si>
    <t xml:space="preserve">If Gold is never sold and kept purely as legacy, only the ₹1 Cr Cash corpus funds your retirement. This sheet re-runs the same 3-Bucket logic (annual approximation) on ₹1 Cr alone, so you can see what monthly income it can realistically sustain for 30 years.</t>
  </si>
  <si>
    <t xml:space="preserve">Local Inputs for this Scenario (editable)</t>
  </si>
  <si>
    <t xml:space="preserve">Cash Corpus Available (₹) — Gold excluded</t>
  </si>
  <si>
    <t xml:space="preserve">Desired Monthly Income — today's value (₹)</t>
  </si>
  <si>
    <t xml:space="preserve">Alternative / Sustainable Monthly Income to test (₹)</t>
  </si>
  <si>
    <t xml:space="preserve">← try reducing this until 'Ever ran out?' below says No</t>
  </si>
  <si>
    <t xml:space="preserve">Desired (₹50k-style)
Withdrawal</t>
  </si>
  <si>
    <t xml:space="preserve">Desired Plan
Closing Corpus</t>
  </si>
  <si>
    <t xml:space="preserve">Desired Plan
Status</t>
  </si>
  <si>
    <t xml:space="preserve">Alternative (lower ₹)
Withdrawal</t>
  </si>
  <si>
    <t xml:space="preserve">Alt Plan
Closing Corpus</t>
  </si>
  <si>
    <t xml:space="preserve">Alt Plan
Status</t>
  </si>
  <si>
    <t xml:space="preserve">D:B1</t>
  </si>
  <si>
    <t xml:space="preserve">D:B2</t>
  </si>
  <si>
    <t xml:space="preserve">D:B3</t>
  </si>
  <si>
    <t xml:space="preserve">A:B1</t>
  </si>
  <si>
    <t xml:space="preserve">A:B2</t>
  </si>
  <si>
    <t xml:space="preserve">A:B3</t>
  </si>
  <si>
    <t xml:space="preserve">Summary</t>
  </si>
  <si>
    <t xml:space="preserve">Ending Corpus after 30 Years (Desired Income)</t>
  </si>
  <si>
    <t xml:space="preserve">Ending Corpus after 30 Years (Alternative Income)</t>
  </si>
  <si>
    <t xml:space="preserve">Ever ran out of money? (Desired Income)</t>
  </si>
  <si>
    <t xml:space="preserve">Ever ran out of money? (Alternative Income)</t>
  </si>
  <si>
    <t xml:space="preserve">Key takeaway: with only the ₹1 Cr cash corpus (Gold held back as legacy), a ₹50,000/month withdrawal is too aggressive for a full 30-year runway at these assumptions (~6% starting withdrawal rate). Reduce the 'Alternative' cell above (try ₹40,000-₹43,000) until the status column turns fully green / says the plan lasts.</t>
  </si>
  <si>
    <t xml:space="preserve">5 CR LEGACY PLAN — ₹2.5L/month + Corpus that Grows for Future Generations</t>
  </si>
  <si>
    <t xml:space="preserve">Goal check over 60 years (~2 generations). Uses a growth-tilted 3-Bucket split (more in Bucket 3, since horizon is very long). Shows BOTH nominal ₹ and REAL (today's-rupee, inflation-adjusted) corpus — a plan can look 'growing' in nominal terms while actually shrinking in real purchasing power.</t>
  </si>
  <si>
    <t xml:space="preserve">Total Corpus (₹)</t>
  </si>
  <si>
    <t xml:space="preserve">Perpetual/Sustainable Monthly Income to test (₹)</t>
  </si>
  <si>
    <t xml:space="preserve">← lower this until Real Corpus keeps rising, not falling, in later decades</t>
  </si>
  <si>
    <t xml:space="preserve">Bucket 1 / Bucket 2 / Bucket 3 split (growth-tilted, editable)</t>
  </si>
  <si>
    <t xml:space="preserve">Desired ₹2.5L-style
Nominal Corpus</t>
  </si>
  <si>
    <t xml:space="preserve">Desired
Real Corpus (today ₹)</t>
  </si>
  <si>
    <t xml:space="preserve">Status</t>
  </si>
  <si>
    <t xml:space="preserve">Sustainable ₹
Nominal Corpus</t>
  </si>
  <si>
    <t xml:space="preserve">Sustainable
Real Corpus (today ₹)</t>
  </si>
  <si>
    <t xml:space="preserve">Year Desired-Income Corpus Runs Out</t>
  </si>
  <si>
    <t xml:space="preserve">Sustainable-Income: lasts full 60 yrs?</t>
  </si>
  <si>
    <t xml:space="preserve">Real Corpus (today's ₹) at Year 60 — Desired Income</t>
  </si>
  <si>
    <t xml:space="preserve">Real Corpus (today's ₹) at Year 60 — Sustainable Income</t>
  </si>
  <si>
    <t xml:space="preserve">Real Corpus (today's ₹) at Year 1, for comparison</t>
  </si>
  <si>
    <t xml:space="preserve">Key takeaway: ₹2.5L/month is a comfortable 30-year retirement number on ₹5 Cr, but it is NOT a perpetual/growing-legacy number — the withdrawal rate (~6%) exceeds the corpus's long-run real growth rate. For a corpus that truly compounds for future generations, bring the monthly draw down toward ~₹1.25-1.45L (~3-3.5% of corpus) — use the yellow 'Sustainable' cell above to fine-tune.</t>
  </si>
  <si>
    <t xml:space="preserve">ADVANCED RETIREMENT INCOME PLAN</t>
  </si>
  <si>
    <t xml:space="preserve">3-Bucket Strategy — 30-Year Projection</t>
  </si>
  <si>
    <t xml:space="preserve">1. Plan Inputs</t>
  </si>
  <si>
    <t xml:space="preserve">Total Retirement Corpus</t>
  </si>
  <si>
    <t xml:space="preserve">Monthly Expense Need (today's value)</t>
  </si>
  <si>
    <t xml:space="preserve">Inflation Assumption</t>
  </si>
  <si>
    <t xml:space="preserve">Expected Growth-Bucket Return</t>
  </si>
  <si>
    <t xml:space="preserve">Retirement Duration Planned</t>
  </si>
  <si>
    <t xml:space="preserve">2. The 3-Bucket Strategy</t>
  </si>
  <si>
    <t xml:space="preserve">Bucket 1 — Income (Years 1-5)</t>
  </si>
  <si>
    <t xml:space="preserve">Liquid Fund / FD — funds ₹50,000+/month, refilled every 5 yrs</t>
  </si>
  <si>
    <t xml:space="preserve">Bucket 2 — Refill (Years 6-15)</t>
  </si>
  <si>
    <t xml:space="preserve">Debt / Hybrid Fund — tops up Bucket 1 at Year 5 &amp; Year 10</t>
  </si>
  <si>
    <t xml:space="preserve">Bucket 3 — Growth (Years 16-30)</t>
  </si>
  <si>
    <t xml:space="preserve">Equity + Gold — feeds Bucket 2 at Yr 15/20/25, which feeds Bucket 1</t>
  </si>
  <si>
    <t xml:space="preserve">3. 30-Year Snapshot (every 5 years)</t>
  </si>
  <si>
    <t xml:space="preserve">Monthly Income
(that year)</t>
  </si>
  <si>
    <t xml:space="preserve">Closing Total
Corpus</t>
  </si>
  <si>
    <t xml:space="preserve">Withdrawal
Rate</t>
  </si>
  <si>
    <t xml:space="preserve">4. Retirement Health Score</t>
  </si>
  <si>
    <t xml:space="preserve">Probability of Success (Monte Carlo, 40 trials)</t>
  </si>
  <si>
    <t xml:space="preserve">Projected Corpus after 30 Years (Expected Case)</t>
  </si>
  <si>
    <t xml:space="preserve">Worst Case (Weak Market) — Corpus Lasts 30 Years?</t>
  </si>
  <si>
    <t xml:space="preserve">Disclaimer: This is an illustrative financial-planning model, not investment or tax advice. Actual returns, inflation and market conditions will differ from assumptions; the model uses fixed hypothetical rates of return and does not guarantee outcomes. Bucket returns, allocation % and withdrawal amounts are editable in 'Advisor Mode' and 'Assumptions'. Please review annually and consult a SEBI-registered investment adviser before acting.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</si>
</sst>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₹#,##0;&quot;(₹&quot;#,##0\);\-"/>
    <numFmt numFmtId="166" formatCode="0.00%"/>
    <numFmt numFmtId="167" formatCode="0&quot; years&quot;"/>
    <numFmt numFmtId="168" formatCode="@"/>
    <numFmt numFmtId="169" formatCode="0"/>
    <numFmt numFmtId="170" formatCode="#,##0,,\L"/>
    <numFmt numFmtId="171" formatCode="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FF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i val="true"/>
      <sz val="7"/>
      <color rgb="FF808080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b val="true"/>
      <sz val="18"/>
      <color rgb="FF1F3864"/>
      <name val="Calibri"/>
      <family val="0"/>
      <charset val="1"/>
    </font>
    <font>
      <sz val="12"/>
      <color rgb="FF595959"/>
      <name val="Calibri"/>
      <family val="0"/>
      <charset val="1"/>
    </font>
    <font>
      <b val="true"/>
      <sz val="12"/>
      <color rgb="FF1F3864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2E5395"/>
        <bgColor rgb="FF1F3864"/>
      </patternFill>
    </fill>
    <fill>
      <patternFill patternType="solid">
        <fgColor rgb="FFD9E1F2"/>
        <bgColor rgb="FFDDEBF7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6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9B49"/>
      <rgbColor rgb="FF7030A0"/>
      <rgbColor rgb="FF008080"/>
      <rgbColor rgb="FFBFBFBF"/>
      <rgbColor rgb="FF808080"/>
      <rgbColor rgb="FF93A9CE"/>
      <rgbColor rgb="FF9D3E3B"/>
      <rgbColor rgb="FFFFF2CC"/>
      <rgbColor rgb="FFDDEBF7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C5D6AC"/>
      <rgbColor rgb="FFD4A5A4"/>
      <rgbColor rgb="FFD9E1F2"/>
      <rgbColor rgb="FFFFC7CE"/>
      <rgbColor rgb="FF4A7EBB"/>
      <rgbColor rgb="FF33CCCC"/>
      <rgbColor rgb="FF9BBB59"/>
      <rgbColor rgb="FFFCE4D6"/>
      <rgbColor rgb="FFBF8F00"/>
      <rgbColor rgb="FFFF6600"/>
      <rgbColor rgb="FF4672A8"/>
      <rgbColor rgb="FF878787"/>
      <rgbColor rgb="FF1F3864"/>
      <rgbColor rgb="FF339966"/>
      <rgbColor rgb="FF003300"/>
      <rgbColor rgb="FF595959"/>
      <rgbColor rgb="FFBE4B48"/>
      <rgbColor rgb="FFAA433F"/>
      <rgbColor rgb="FF2E5395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Corpus Growth Over 30 Years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'Annual Summary'!J1</c:f>
              <c:strCache>
                <c:ptCount val="1"/>
                <c:pt idx="0">
                  <c:v>Closing Total Corpus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Summary'!$A$2:$A$31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'Annual Summary'!$J$2:$J$31</c:f>
              <c:numCache>
                <c:formatCode>\₹#,##0;"(₹"#,##0\);\-</c:formatCode>
                <c:ptCount val="30"/>
                <c:pt idx="0">
                  <c:v>21411077.6237357</c:v>
                </c:pt>
                <c:pt idx="1">
                  <c:v>22945172.3455563</c:v>
                </c:pt>
                <c:pt idx="2">
                  <c:v>24615281.7729641</c:v>
                </c:pt>
                <c:pt idx="3">
                  <c:v>26435927.8704648</c:v>
                </c:pt>
                <c:pt idx="4">
                  <c:v>28423341.8154933</c:v>
                </c:pt>
                <c:pt idx="5">
                  <c:v>30495295.1581563</c:v>
                </c:pt>
                <c:pt idx="6">
                  <c:v>32755788.4258415</c:v>
                </c:pt>
                <c:pt idx="7">
                  <c:v>35225439.117901</c:v>
                </c:pt>
                <c:pt idx="8">
                  <c:v>37927332.3830859</c:v>
                </c:pt>
                <c:pt idx="9">
                  <c:v>40887323.6659593</c:v>
                </c:pt>
                <c:pt idx="10">
                  <c:v>44012866.3777902</c:v>
                </c:pt>
                <c:pt idx="11">
                  <c:v>47437746.0754522</c:v>
                </c:pt>
                <c:pt idx="12">
                  <c:v>51195809.3644014</c:v>
                </c:pt>
                <c:pt idx="13">
                  <c:v>55325017.8650886</c:v>
                </c:pt>
                <c:pt idx="14">
                  <c:v>59867956.2111481</c:v>
                </c:pt>
                <c:pt idx="15">
                  <c:v>64528419.0909213</c:v>
                </c:pt>
                <c:pt idx="16">
                  <c:v>69639329.0843043</c:v>
                </c:pt>
                <c:pt idx="17">
                  <c:v>75251567.7649156</c:v>
                </c:pt>
                <c:pt idx="18">
                  <c:v>81422170.4070583</c:v>
                </c:pt>
                <c:pt idx="19">
                  <c:v>88215081.5399873</c:v>
                </c:pt>
                <c:pt idx="20">
                  <c:v>95219548.4428256</c:v>
                </c:pt>
                <c:pt idx="21">
                  <c:v>102907729.343354</c:v>
                </c:pt>
                <c:pt idx="22">
                  <c:v>111356791.309147</c:v>
                </c:pt>
                <c:pt idx="23">
                  <c:v>120653184.369716</c:v>
                </c:pt>
                <c:pt idx="24">
                  <c:v>130893774.854487</c:v>
                </c:pt>
                <c:pt idx="25">
                  <c:v>141510449.339362</c:v>
                </c:pt>
                <c:pt idx="26">
                  <c:v>153174321.659285</c:v>
                </c:pt>
                <c:pt idx="27">
                  <c:v>166003510.736076</c:v>
                </c:pt>
                <c:pt idx="28">
                  <c:v>180130269.128484</c:v>
                </c:pt>
                <c:pt idx="29">
                  <c:v>195702698.629876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001509"/>
        <c:axId val="45993698"/>
      </c:lineChart>
      <c:catAx>
        <c:axId val="360015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93698"/>
        <c:crosses val="autoZero"/>
        <c:auto val="1"/>
        <c:lblAlgn val="ctr"/>
        <c:lblOffset val="100"/>
        <c:noMultiLvlLbl val="0"/>
      </c:catAx>
      <c:valAx>
        <c:axId val="459936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015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Income: Nominal vs Inflation-Adjusted (Today's 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'Annual Summary'!E1</c:f>
              <c:strCache>
                <c:ptCount val="1"/>
                <c:pt idx="0">
                  <c:v>Avg Monthly Income
that Year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Summary'!$A$2:$A$31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'Annual Summary'!$E$2:$E$31</c:f>
              <c:numCache>
                <c:formatCode>\₹#,##0;"(₹"#,##0\);\-</c:formatCode>
                <c:ptCount val="30"/>
                <c:pt idx="0">
                  <c:v>50000</c:v>
                </c:pt>
                <c:pt idx="1">
                  <c:v>53500</c:v>
                </c:pt>
                <c:pt idx="2">
                  <c:v>57245</c:v>
                </c:pt>
                <c:pt idx="3">
                  <c:v>61252.15</c:v>
                </c:pt>
                <c:pt idx="4">
                  <c:v>65539.8005</c:v>
                </c:pt>
                <c:pt idx="5">
                  <c:v>70127.586535</c:v>
                </c:pt>
                <c:pt idx="6">
                  <c:v>75036.51759245</c:v>
                </c:pt>
                <c:pt idx="7">
                  <c:v>80289.0738239215</c:v>
                </c:pt>
                <c:pt idx="8">
                  <c:v>85909.308991596</c:v>
                </c:pt>
                <c:pt idx="9">
                  <c:v>91922.9606210078</c:v>
                </c:pt>
                <c:pt idx="10">
                  <c:v>98357.5678644783</c:v>
                </c:pt>
                <c:pt idx="11">
                  <c:v>105242.597614992</c:v>
                </c:pt>
                <c:pt idx="12">
                  <c:v>112609.579448041</c:v>
                </c:pt>
                <c:pt idx="13">
                  <c:v>120492.250009404</c:v>
                </c:pt>
                <c:pt idx="14">
                  <c:v>128926.707510062</c:v>
                </c:pt>
                <c:pt idx="15">
                  <c:v>137951.577035767</c:v>
                </c:pt>
                <c:pt idx="16">
                  <c:v>147608.187428271</c:v>
                </c:pt>
                <c:pt idx="17">
                  <c:v>157940.760548249</c:v>
                </c:pt>
                <c:pt idx="18">
                  <c:v>168996.613786627</c:v>
                </c:pt>
                <c:pt idx="19">
                  <c:v>180826.376751691</c:v>
                </c:pt>
                <c:pt idx="20">
                  <c:v>193484.223124309</c:v>
                </c:pt>
                <c:pt idx="21">
                  <c:v>207028.118743011</c:v>
                </c:pt>
                <c:pt idx="22">
                  <c:v>221520.087055022</c:v>
                </c:pt>
                <c:pt idx="23">
                  <c:v>237026.493148873</c:v>
                </c:pt>
                <c:pt idx="24">
                  <c:v>253618.347669294</c:v>
                </c:pt>
                <c:pt idx="25">
                  <c:v>271371.632006145</c:v>
                </c:pt>
                <c:pt idx="26">
                  <c:v>290367.646246575</c:v>
                </c:pt>
                <c:pt idx="27">
                  <c:v>310693.381483835</c:v>
                </c:pt>
                <c:pt idx="28">
                  <c:v>332441.918187704</c:v>
                </c:pt>
                <c:pt idx="29">
                  <c:v>355712.852460843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41714"/>
        <c:axId val="29760331"/>
      </c:lineChart>
      <c:catAx>
        <c:axId val="18417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60331"/>
        <c:crosses val="autoZero"/>
        <c:auto val="1"/>
        <c:lblAlgn val="ctr"/>
        <c:lblOffset val="100"/>
        <c:noMultiLvlLbl val="0"/>
      </c:catAx>
      <c:valAx>
        <c:axId val="29760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per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17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Bucket-wise Closing Balance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'Annual Summary'!G1</c:f>
              <c:strCache>
                <c:ptCount val="1"/>
                <c:pt idx="0">
                  <c:v>Bucket 1 Closing</c:v>
                </c:pt>
              </c:strCache>
            </c:strRef>
          </c:tx>
          <c:spPr>
            <a:solidFill>
              <a:srgbClr val="809b49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Summary'!$A$2:$A$31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'Annual Summary'!$G$2:$G$31</c:f>
              <c:numCache>
                <c:formatCode>\₹#,##0;"(₹"#,##0\);\-</c:formatCode>
                <c:ptCount val="30"/>
                <c:pt idx="0">
                  <c:v>2597240.97808669</c:v>
                </c:pt>
                <c:pt idx="1">
                  <c:v>2121992.42539994</c:v>
                </c:pt>
                <c:pt idx="2">
                  <c:v>1565977.88450296</c:v>
                </c:pt>
                <c:pt idx="3">
                  <c:v>920110.059343905</c:v>
                </c:pt>
                <c:pt idx="4">
                  <c:v>4839425.3707677</c:v>
                </c:pt>
                <c:pt idx="5">
                  <c:v>4320205.72482659</c:v>
                </c:pt>
                <c:pt idx="6">
                  <c:v>3702617.30188784</c:v>
                </c:pt>
                <c:pt idx="7">
                  <c:v>2975290.61083183</c:v>
                </c:pt>
                <c:pt idx="8">
                  <c:v>2125736.17080723</c:v>
                </c:pt>
                <c:pt idx="9">
                  <c:v>6787544.42936374</c:v>
                </c:pt>
                <c:pt idx="10">
                  <c:v>6059312.01633559</c:v>
                </c:pt>
                <c:pt idx="11">
                  <c:v>5193112.30488256</c:v>
                </c:pt>
                <c:pt idx="12">
                  <c:v>4172998.99555764</c:v>
                </c:pt>
                <c:pt idx="13">
                  <c:v>2981454.94537728</c:v>
                </c:pt>
                <c:pt idx="14">
                  <c:v>9519882.18660726</c:v>
                </c:pt>
                <c:pt idx="15">
                  <c:v>8498498.5553628</c:v>
                </c:pt>
                <c:pt idx="16">
                  <c:v>7283608.65093251</c:v>
                </c:pt>
                <c:pt idx="17">
                  <c:v>5852846.96342875</c:v>
                </c:pt>
                <c:pt idx="18">
                  <c:v>4181644.79364299</c:v>
                </c:pt>
                <c:pt idx="19">
                  <c:v>13352127.2368861</c:v>
                </c:pt>
                <c:pt idx="20">
                  <c:v>11919583.8571755</c:v>
                </c:pt>
                <c:pt idx="21">
                  <c:v>10215637.9191069</c:v>
                </c:pt>
                <c:pt idx="22">
                  <c:v>8208920.63807922</c:v>
                </c:pt>
                <c:pt idx="23">
                  <c:v>5864973.1424966</c:v>
                </c:pt>
                <c:pt idx="24">
                  <c:v>18727049.1646212</c:v>
                </c:pt>
                <c:pt idx="25">
                  <c:v>16717832.9681053</c:v>
                </c:pt>
                <c:pt idx="26">
                  <c:v>14327960.6436479</c:v>
                </c:pt>
                <c:pt idx="27">
                  <c:v>11513435.8481169</c:v>
                </c:pt>
                <c:pt idx="28">
                  <c:v>8225928.23151761</c:v>
                </c:pt>
                <c:pt idx="29">
                  <c:v>4412379.38574933</c:v>
                </c:pt>
              </c:numCache>
            </c:numRef>
          </c:val>
        </c:ser>
        <c:ser>
          <c:idx val="1"/>
          <c:order val="1"/>
          <c:tx>
            <c:strRef>
              <c:f>'Annual Summary'!H1</c:f>
              <c:strCache>
                <c:ptCount val="1"/>
                <c:pt idx="0">
                  <c:v>Bucket 2 Closing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Summary'!$A$2:$A$31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'Annual Summary'!$H$2:$H$31</c:f>
              <c:numCache>
                <c:formatCode>\₹#,##0;"(₹"#,##0\);\-</c:formatCode>
                <c:ptCount val="30"/>
                <c:pt idx="0">
                  <c:v>7656648.28369688</c:v>
                </c:pt>
                <c:pt idx="1">
                  <c:v>8374894.70574834</c:v>
                </c:pt>
                <c:pt idx="2">
                  <c:v>9160517.59641573</c:v>
                </c:pt>
                <c:pt idx="3">
                  <c:v>10019837.3331959</c:v>
                </c:pt>
                <c:pt idx="4">
                  <c:v>6294759.14019149</c:v>
                </c:pt>
                <c:pt idx="5">
                  <c:v>6885250.96671892</c:v>
                </c:pt>
                <c:pt idx="6">
                  <c:v>7531134.99959296</c:v>
                </c:pt>
                <c:pt idx="7">
                  <c:v>8237607.40984614</c:v>
                </c:pt>
                <c:pt idx="8">
                  <c:v>9010351.8051953</c:v>
                </c:pt>
                <c:pt idx="9">
                  <c:v>4208283.2065029</c:v>
                </c:pt>
                <c:pt idx="10">
                  <c:v>4603049.19862583</c:v>
                </c:pt>
                <c:pt idx="11">
                  <c:v>5034846.96377583</c:v>
                </c:pt>
                <c:pt idx="12">
                  <c:v>5507150.3376958</c:v>
                </c:pt>
                <c:pt idx="13">
                  <c:v>6023759.02588275</c:v>
                </c:pt>
                <c:pt idx="14">
                  <c:v>6588829.1724184</c:v>
                </c:pt>
                <c:pt idx="15">
                  <c:v>7206906.79636704</c:v>
                </c:pt>
                <c:pt idx="16">
                  <c:v>7882964.36473816</c:v>
                </c:pt>
                <c:pt idx="17">
                  <c:v>8622440.79624515</c:v>
                </c:pt>
                <c:pt idx="18">
                  <c:v>9431285.21769264</c:v>
                </c:pt>
                <c:pt idx="19">
                  <c:v>10316004.8250146</c:v>
                </c:pt>
                <c:pt idx="20">
                  <c:v>11283717.2340081</c:v>
                </c:pt>
                <c:pt idx="21">
                  <c:v>12342207.741927</c:v>
                </c:pt>
                <c:pt idx="22">
                  <c:v>13499991.960608</c:v>
                </c:pt>
                <c:pt idx="23">
                  <c:v>14766384.3250158</c:v>
                </c:pt>
                <c:pt idx="24">
                  <c:v>16151573.028363</c:v>
                </c:pt>
                <c:pt idx="25">
                  <c:v>17666701.98666</c:v>
                </c:pt>
                <c:pt idx="26">
                  <c:v>19323960.4921064</c:v>
                </c:pt>
                <c:pt idx="27">
                  <c:v>21136681.2765876</c:v>
                </c:pt>
                <c:pt idx="28">
                  <c:v>23119447.7742046</c:v>
                </c:pt>
                <c:pt idx="29">
                  <c:v>25288211.445769</c:v>
                </c:pt>
              </c:numCache>
            </c:numRef>
          </c:val>
        </c:ser>
        <c:ser>
          <c:idx val="2"/>
          <c:order val="2"/>
          <c:tx>
            <c:strRef>
              <c:f>'Annual Summary'!I1</c:f>
              <c:strCache>
                <c:ptCount val="1"/>
                <c:pt idx="0">
                  <c:v>Bucket 3 Closing</c:v>
                </c:pt>
              </c:strCache>
            </c:strRef>
          </c:tx>
          <c:spPr>
            <a:solidFill>
              <a:srgbClr val="c5d6ac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Summary'!$A$2:$A$31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'Annual Summary'!$I$2:$I$31</c:f>
              <c:numCache>
                <c:formatCode>\₹#,##0;"(₹"#,##0\);\-</c:formatCode>
                <c:ptCount val="30"/>
                <c:pt idx="0">
                  <c:v>11157188.3619521</c:v>
                </c:pt>
                <c:pt idx="1">
                  <c:v>12448285.214408</c:v>
                </c:pt>
                <c:pt idx="2">
                  <c:v>13888786.2920454</c:v>
                </c:pt>
                <c:pt idx="3">
                  <c:v>15495980.4779249</c:v>
                </c:pt>
                <c:pt idx="4">
                  <c:v>17289157.3045341</c:v>
                </c:pt>
                <c:pt idx="5">
                  <c:v>19289838.4666108</c:v>
                </c:pt>
                <c:pt idx="6">
                  <c:v>21522036.1243607</c:v>
                </c:pt>
                <c:pt idx="7">
                  <c:v>24012541.097223</c:v>
                </c:pt>
                <c:pt idx="8">
                  <c:v>26791244.4070834</c:v>
                </c:pt>
                <c:pt idx="9">
                  <c:v>29891496.0300926</c:v>
                </c:pt>
                <c:pt idx="10">
                  <c:v>33350505.1628288</c:v>
                </c:pt>
                <c:pt idx="11">
                  <c:v>37209786.8067938</c:v>
                </c:pt>
                <c:pt idx="12">
                  <c:v>41515660.031148</c:v>
                </c:pt>
                <c:pt idx="13">
                  <c:v>46319803.8938285</c:v>
                </c:pt>
                <c:pt idx="14">
                  <c:v>43759244.8521225</c:v>
                </c:pt>
                <c:pt idx="15">
                  <c:v>48823013.7391915</c:v>
                </c:pt>
                <c:pt idx="16">
                  <c:v>54472756.0686336</c:v>
                </c:pt>
                <c:pt idx="17">
                  <c:v>60776280.0052417</c:v>
                </c:pt>
                <c:pt idx="18">
                  <c:v>67809240.3957227</c:v>
                </c:pt>
                <c:pt idx="19">
                  <c:v>64546949.4780866</c:v>
                </c:pt>
                <c:pt idx="20">
                  <c:v>72016247.351642</c:v>
                </c:pt>
                <c:pt idx="21">
                  <c:v>80349883.6823206</c:v>
                </c:pt>
                <c:pt idx="22">
                  <c:v>89647878.7104595</c:v>
                </c:pt>
                <c:pt idx="23">
                  <c:v>100021826.902204</c:v>
                </c:pt>
                <c:pt idx="24">
                  <c:v>96015152.6615023</c:v>
                </c:pt>
                <c:pt idx="25">
                  <c:v>107125914.384597</c:v>
                </c:pt>
                <c:pt idx="26">
                  <c:v>119522400.523531</c:v>
                </c:pt>
                <c:pt idx="27">
                  <c:v>133353393.611372</c:v>
                </c:pt>
                <c:pt idx="28">
                  <c:v>148784893.122762</c:v>
                </c:pt>
                <c:pt idx="29">
                  <c:v>166002107.798357</c:v>
                </c:pt>
              </c:numCache>
            </c:numRef>
          </c:val>
        </c:ser>
        <c:axId val="97978128"/>
        <c:axId val="70341437"/>
      </c:areaChart>
      <c:catAx>
        <c:axId val="979781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341437"/>
        <c:crosses val="autoZero"/>
        <c:auto val="1"/>
        <c:lblAlgn val="ctr"/>
        <c:lblOffset val="100"/>
        <c:noMultiLvlLbl val="0"/>
      </c:catAx>
      <c:valAx>
        <c:axId val="70341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7812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Withdrawal vs Investment Return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'Annual Summary'!D1</c:f>
              <c:strCache>
                <c:ptCount val="1"/>
                <c:pt idx="0">
                  <c:v>Annual Withdrawal
(inflation-adjusted)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Summary'!$A$2:$A$31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'Annual Summary'!$D$2:$D$31</c:f>
              <c:numCache>
                <c:formatCode>\₹#,##0;"(₹"#,##0\);\-</c:formatCode>
                <c:ptCount val="30"/>
                <c:pt idx="0">
                  <c:v>600000</c:v>
                </c:pt>
                <c:pt idx="1">
                  <c:v>642000</c:v>
                </c:pt>
                <c:pt idx="2">
                  <c:v>686940</c:v>
                </c:pt>
                <c:pt idx="3">
                  <c:v>735025.8</c:v>
                </c:pt>
                <c:pt idx="4">
                  <c:v>786477.606</c:v>
                </c:pt>
                <c:pt idx="5">
                  <c:v>841531.03842</c:v>
                </c:pt>
                <c:pt idx="6">
                  <c:v>900438.2111094</c:v>
                </c:pt>
                <c:pt idx="7">
                  <c:v>963468.885887058</c:v>
                </c:pt>
                <c:pt idx="8">
                  <c:v>1030911.70789915</c:v>
                </c:pt>
                <c:pt idx="9">
                  <c:v>1103075.52745209</c:v>
                </c:pt>
                <c:pt idx="10">
                  <c:v>1180290.81437374</c:v>
                </c:pt>
                <c:pt idx="11">
                  <c:v>1262911.1713799</c:v>
                </c:pt>
                <c:pt idx="12">
                  <c:v>1351314.95337649</c:v>
                </c:pt>
                <c:pt idx="13">
                  <c:v>1445907.00011285</c:v>
                </c:pt>
                <c:pt idx="14">
                  <c:v>1547120.49012075</c:v>
                </c:pt>
                <c:pt idx="15">
                  <c:v>1655418.9244292</c:v>
                </c:pt>
                <c:pt idx="16">
                  <c:v>1771298.24913925</c:v>
                </c:pt>
                <c:pt idx="17">
                  <c:v>1895289.12657899</c:v>
                </c:pt>
                <c:pt idx="18">
                  <c:v>2027959.36543952</c:v>
                </c:pt>
                <c:pt idx="19">
                  <c:v>2169916.52102029</c:v>
                </c:pt>
                <c:pt idx="20">
                  <c:v>2321810.67749171</c:v>
                </c:pt>
                <c:pt idx="21">
                  <c:v>2484337.42491613</c:v>
                </c:pt>
                <c:pt idx="22">
                  <c:v>2658241.04466026</c:v>
                </c:pt>
                <c:pt idx="23">
                  <c:v>2844317.91778648</c:v>
                </c:pt>
                <c:pt idx="24">
                  <c:v>3043420.17203153</c:v>
                </c:pt>
                <c:pt idx="25">
                  <c:v>3256459.58407374</c:v>
                </c:pt>
                <c:pt idx="26">
                  <c:v>3484411.7549589</c:v>
                </c:pt>
                <c:pt idx="27">
                  <c:v>3728320.57780602</c:v>
                </c:pt>
                <c:pt idx="28">
                  <c:v>3989303.01825245</c:v>
                </c:pt>
                <c:pt idx="29">
                  <c:v>4268554.22953012</c:v>
                </c:pt>
              </c:numCache>
            </c:numRef>
          </c:val>
        </c:ser>
        <c:ser>
          <c:idx val="1"/>
          <c:order val="1"/>
          <c:tx>
            <c:strRef>
              <c:f>'Annual Summary'!F1</c:f>
              <c:strCache>
                <c:ptCount val="1"/>
                <c:pt idx="0">
                  <c:v>Investment Return
(the year)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Summary'!$A$2:$A$31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'Annual Summary'!$F$2:$F$31</c:f>
              <c:numCache>
                <c:formatCode>\₹#,##0;"(₹"#,##0\);\-</c:formatCode>
                <c:ptCount val="30"/>
                <c:pt idx="0">
                  <c:v>2011077.6237357</c:v>
                </c:pt>
                <c:pt idx="1">
                  <c:v>2176094.72182059</c:v>
                </c:pt>
                <c:pt idx="2">
                  <c:v>2357049.42740779</c:v>
                </c:pt>
                <c:pt idx="3">
                  <c:v>2555671.89750068</c:v>
                </c:pt>
                <c:pt idx="4">
                  <c:v>2773891.55102857</c:v>
                </c:pt>
                <c:pt idx="5">
                  <c:v>2913484.38108298</c:v>
                </c:pt>
                <c:pt idx="6">
                  <c:v>3160931.47879455</c:v>
                </c:pt>
                <c:pt idx="7">
                  <c:v>3433119.57794658</c:v>
                </c:pt>
                <c:pt idx="8">
                  <c:v>3732804.97308411</c:v>
                </c:pt>
                <c:pt idx="9">
                  <c:v>4063066.8103254</c:v>
                </c:pt>
                <c:pt idx="10">
                  <c:v>4305833.52620468</c:v>
                </c:pt>
                <c:pt idx="11">
                  <c:v>4687790.86904188</c:v>
                </c:pt>
                <c:pt idx="12">
                  <c:v>5109378.24232574</c:v>
                </c:pt>
                <c:pt idx="13">
                  <c:v>5575115.50080002</c:v>
                </c:pt>
                <c:pt idx="14">
                  <c:v>6090058.83618033</c:v>
                </c:pt>
                <c:pt idx="15">
                  <c:v>6315881.80420239</c:v>
                </c:pt>
                <c:pt idx="16">
                  <c:v>6882208.24252222</c:v>
                </c:pt>
                <c:pt idx="17">
                  <c:v>7507527.80719026</c:v>
                </c:pt>
                <c:pt idx="18">
                  <c:v>8198562.00758224</c:v>
                </c:pt>
                <c:pt idx="19">
                  <c:v>8962827.65394926</c:v>
                </c:pt>
                <c:pt idx="20">
                  <c:v>9326277.58033009</c:v>
                </c:pt>
                <c:pt idx="21">
                  <c:v>10172518.325445</c:v>
                </c:pt>
                <c:pt idx="22">
                  <c:v>11107303.0104525</c:v>
                </c:pt>
                <c:pt idx="23">
                  <c:v>12140710.9783557</c:v>
                </c:pt>
                <c:pt idx="24">
                  <c:v>13284010.6568021</c:v>
                </c:pt>
                <c:pt idx="25">
                  <c:v>13873134.0689497</c:v>
                </c:pt>
                <c:pt idx="26">
                  <c:v>15148284.0748815</c:v>
                </c:pt>
                <c:pt idx="27">
                  <c:v>16557509.6545974</c:v>
                </c:pt>
                <c:pt idx="28">
                  <c:v>18116061.4106603</c:v>
                </c:pt>
                <c:pt idx="29">
                  <c:v>19840983.7309216</c:v>
                </c:pt>
              </c:numCache>
            </c:numRef>
          </c:val>
        </c:ser>
        <c:gapWidth val="150"/>
        <c:overlap val="0"/>
        <c:axId val="62388670"/>
        <c:axId val="61324317"/>
      </c:barChart>
      <c:catAx>
        <c:axId val="623886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24317"/>
        <c:crosses val="autoZero"/>
        <c:auto val="1"/>
        <c:lblAlgn val="ctr"/>
        <c:lblOffset val="100"/>
        <c:noMultiLvlLbl val="0"/>
      </c:catAx>
      <c:valAx>
        <c:axId val="613243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886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Corpus — Weak vs Expected vs Best Case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'Scenario Analysis'!C7</c:f>
              <c:strCache>
                <c:ptCount val="1"/>
                <c:pt idx="0">
                  <c:v>Weak Case
Closing Corpus</c:v>
                </c:pt>
              </c:strCache>
            </c:strRef>
          </c:tx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Analysis'!$A$8:$A$37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'Scenario Analysis'!$C$8:$C$37</c:f>
              <c:numCache>
                <c:formatCode>\₹#,##0;"(₹"#,##0\);\-</c:formatCode>
                <c:ptCount val="30"/>
                <c:pt idx="0">
                  <c:v>20893800</c:v>
                </c:pt>
                <c:pt idx="1">
                  <c:v>21811188.6</c:v>
                </c:pt>
                <c:pt idx="2">
                  <c:v>22750815.7422</c:v>
                </c:pt>
                <c:pt idx="3">
                  <c:v>23711005.7677494</c:v>
                </c:pt>
                <c:pt idx="4">
                  <c:v>24689716.8302041</c:v>
                </c:pt>
                <c:pt idx="5">
                  <c:v>25684496.0977515</c:v>
                </c:pt>
                <c:pt idx="6">
                  <c:v>26692430.3439135</c:v>
                </c:pt>
                <c:pt idx="7">
                  <c:v>27710091.4902945</c:v>
                </c:pt>
                <c:pt idx="8">
                  <c:v>28733476.6256398</c:v>
                </c:pt>
                <c:pt idx="9">
                  <c:v>29757941.9827481</c:v>
                </c:pt>
                <c:pt idx="10">
                  <c:v>30778130.3083392</c:v>
                </c:pt>
                <c:pt idx="11">
                  <c:v>31787891.0105052</c:v>
                </c:pt>
                <c:pt idx="12">
                  <c:v>32780192.4135276</c:v>
                </c:pt>
                <c:pt idx="13">
                  <c:v>33747025.3902477</c:v>
                </c:pt>
                <c:pt idx="14">
                  <c:v>34679297.5774367</c:v>
                </c:pt>
                <c:pt idx="15">
                  <c:v>35566717.3092891</c:v>
                </c:pt>
                <c:pt idx="16">
                  <c:v>36397666.3277814</c:v>
                </c:pt>
                <c:pt idx="17">
                  <c:v>37159060.245695</c:v>
                </c:pt>
                <c:pt idx="18">
                  <c:v>37836195.6480351</c:v>
                </c:pt>
                <c:pt idx="19">
                  <c:v>38412582.6197949</c:v>
                </c:pt>
                <c:pt idx="20">
                  <c:v>38869761.3818606</c:v>
                </c:pt>
                <c:pt idx="21">
                  <c:v>39187101.6016292</c:v>
                </c:pt>
                <c:pt idx="22">
                  <c:v>39341582.8198555</c:v>
                </c:pt>
                <c:pt idx="23">
                  <c:v>39307554.2995283</c:v>
                </c:pt>
                <c:pt idx="24">
                  <c:v>39056472.4553141</c:v>
                </c:pt>
                <c:pt idx="25">
                  <c:v>38556613.8623258</c:v>
                </c:pt>
                <c:pt idx="26">
                  <c:v>37772761.6696342</c:v>
                </c:pt>
                <c:pt idx="27">
                  <c:v>36665863.0558989</c:v>
                </c:pt>
                <c:pt idx="28">
                  <c:v>35192655.1605453</c:v>
                </c:pt>
                <c:pt idx="29">
                  <c:v>33305256.7027033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'Scenario Analysis'!E7</c:f>
              <c:strCache>
                <c:ptCount val="1"/>
                <c:pt idx="0">
                  <c:v>Expected Case
Closing Corpus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Analysis'!$A$8:$A$37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'Scenario Analysis'!$E$8:$E$37</c:f>
              <c:numCache>
                <c:formatCode>\₹#,##0;"(₹"#,##0\);\-</c:formatCode>
                <c:ptCount val="30"/>
                <c:pt idx="0">
                  <c:v>21281800</c:v>
                </c:pt>
                <c:pt idx="1">
                  <c:v>22641860.6</c:v>
                </c:pt>
                <c:pt idx="2">
                  <c:v>24084547.8982</c:v>
                </c:pt>
                <c:pt idx="3">
                  <c:v>25614425.7417254</c:v>
                </c:pt>
                <c:pt idx="4">
                  <c:v>27236259.1048908</c:v>
                </c:pt>
                <c:pt idx="5">
                  <c:v>28955016.6889184</c:v>
                </c:pt>
                <c:pt idx="6">
                  <c:v>30775872.5901565</c:v>
                </c:pt>
                <c:pt idx="7">
                  <c:v>32704206.8635836</c:v>
                </c:pt>
                <c:pt idx="8">
                  <c:v>34745604.7857858</c:v>
                </c:pt>
                <c:pt idx="9">
                  <c:v>36905854.5963921</c:v>
                </c:pt>
                <c:pt idx="10">
                  <c:v>39190943.4688741</c:v>
                </c:pt>
                <c:pt idx="11">
                  <c:v>41607051.4303512</c:v>
                </c:pt>
                <c:pt idx="12">
                  <c:v>44160542.9152412</c:v>
                </c:pt>
                <c:pt idx="13">
                  <c:v>46857955.5988958</c:v>
                </c:pt>
                <c:pt idx="14">
                  <c:v>49705986.1143262</c:v>
                </c:pt>
                <c:pt idx="15">
                  <c:v>52711472.2073171</c:v>
                </c:pt>
                <c:pt idx="16">
                  <c:v>55881370.8321211</c:v>
                </c:pt>
                <c:pt idx="17">
                  <c:v>59222731.6309796</c:v>
                </c:pt>
                <c:pt idx="18">
                  <c:v>62742665.1752975</c:v>
                </c:pt>
                <c:pt idx="19">
                  <c:v>66448305.2737421</c:v>
                </c:pt>
                <c:pt idx="20">
                  <c:v>70346764.5720867</c:v>
                </c:pt>
                <c:pt idx="21">
                  <c:v>74445082.5804461</c:v>
                </c:pt>
                <c:pt idx="22">
                  <c:v>78750165.164757</c:v>
                </c:pt>
                <c:pt idx="23">
                  <c:v>83268714.4299267</c:v>
                </c:pt>
                <c:pt idx="24">
                  <c:v>88007147.800911</c:v>
                </c:pt>
                <c:pt idx="25">
                  <c:v>92971504.9738705</c:v>
                </c:pt>
                <c:pt idx="26">
                  <c:v>98167341.261146</c:v>
                </c:pt>
                <c:pt idx="27">
                  <c:v>103599605.689624</c:v>
                </c:pt>
                <c:pt idx="28">
                  <c:v>109272502.030495</c:v>
                </c:pt>
                <c:pt idx="29">
                  <c:v>115189330.737658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'Scenario Analysis'!G7</c:f>
              <c:strCache>
                <c:ptCount val="1"/>
                <c:pt idx="0">
                  <c:v>Best Case
Closing Corpus</c:v>
                </c:pt>
              </c:strCache>
            </c:strRef>
          </c:tx>
          <c:spPr>
            <a:solidFill>
              <a:srgbClr val="d4a5a4"/>
            </a:solidFill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Analysis'!$A$8:$A$37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'Scenario Analysis'!$G$8:$G$37</c:f>
              <c:numCache>
                <c:formatCode>\₹#,##0;"(₹"#,##0\);\-</c:formatCode>
                <c:ptCount val="30"/>
                <c:pt idx="0">
                  <c:v>21669800</c:v>
                </c:pt>
                <c:pt idx="1">
                  <c:v>23488052.6</c:v>
                </c:pt>
                <c:pt idx="2">
                  <c:v>25468842.7742</c:v>
                </c:pt>
                <c:pt idx="3">
                  <c:v>27627673.5601814</c:v>
                </c:pt>
                <c:pt idx="4">
                  <c:v>29981615.8808206</c:v>
                </c:pt>
                <c:pt idx="5">
                  <c:v>32549474.7689615</c:v>
                </c:pt>
                <c:pt idx="6">
                  <c:v>35351973.8351208</c:v>
                </c:pt>
                <c:pt idx="7">
                  <c:v>38411960.0282941</c:v>
                </c:pt>
                <c:pt idx="8">
                  <c:v>41754630.9738811</c:v>
                </c:pt>
                <c:pt idx="9">
                  <c:v>45407787.4336612</c:v>
                </c:pt>
                <c:pt idx="10">
                  <c:v>49402113.7237441</c:v>
                </c:pt>
                <c:pt idx="11">
                  <c:v>53771489.2509908</c:v>
                </c:pt>
                <c:pt idx="12">
                  <c:v>58553334.6904352</c:v>
                </c:pt>
                <c:pt idx="13">
                  <c:v>63788996.7300901</c:v>
                </c:pt>
                <c:pt idx="14">
                  <c:v>69524175.7600458</c:v>
                </c:pt>
                <c:pt idx="15">
                  <c:v>75809401.3853837</c:v>
                </c:pt>
                <c:pt idx="16">
                  <c:v>82700561.2031851</c:v>
                </c:pt>
                <c:pt idx="17">
                  <c:v>90259488.909569</c:v>
                </c:pt>
                <c:pt idx="18">
                  <c:v>98554618.5007926</c:v>
                </c:pt>
                <c:pt idx="19">
                  <c:v>107661712.111406</c:v>
                </c:pt>
                <c:pt idx="20">
                  <c:v>117664669.901682</c:v>
                </c:pt>
                <c:pt idx="21">
                  <c:v>128656431.376547</c:v>
                </c:pt>
                <c:pt idx="22">
                  <c:v>140739978.600718</c:v>
                </c:pt>
                <c:pt idx="23">
                  <c:v>154029452.982834</c:v>
                </c:pt>
                <c:pt idx="24">
                  <c:v>168651398.649667</c:v>
                </c:pt>
                <c:pt idx="25">
                  <c:v>184746146.936267</c:v>
                </c:pt>
                <c:pt idx="26">
                  <c:v>202469358.197522</c:v>
                </c:pt>
                <c:pt idx="27">
                  <c:v>221993739.021222</c:v>
                </c:pt>
                <c:pt idx="28">
                  <c:v>243510955.015317</c:v>
                </c:pt>
                <c:pt idx="29">
                  <c:v>267233761.677724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274910"/>
        <c:axId val="77437433"/>
      </c:lineChart>
      <c:catAx>
        <c:axId val="292749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37433"/>
        <c:crosses val="autoZero"/>
        <c:auto val="1"/>
        <c:lblAlgn val="ctr"/>
        <c:lblOffset val="100"/>
        <c:noMultiLvlLbl val="0"/>
      </c:catAx>
      <c:valAx>
        <c:axId val="77437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749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30-Year Corpus: Pure Delayed SWP vs Buffer Variant vs 3-Bucket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'Delayed SWP Option'!F8</c:f>
              <c:strCache>
                <c:ptCount val="1"/>
                <c:pt idx="0">
                  <c:v>A: Closing (Total)</c:v>
                </c:pt>
              </c:strCache>
            </c:strRef>
          </c:tx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'Delayed SWP Option'!$A$9:$A$38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'Delayed SWP Option'!$F$9:$F$38</c:f>
              <c:numCache>
                <c:formatCode>\₹#,##0;"(₹"#,##0\);\-</c:formatCode>
                <c:ptCount val="30"/>
                <c:pt idx="0">
                  <c:v>22200000</c:v>
                </c:pt>
                <c:pt idx="1">
                  <c:v>24642000</c:v>
                </c:pt>
                <c:pt idx="2">
                  <c:v>27352620</c:v>
                </c:pt>
                <c:pt idx="3">
                  <c:v>30361408.2</c:v>
                </c:pt>
                <c:pt idx="4">
                  <c:v>33701163.102</c:v>
                </c:pt>
                <c:pt idx="5">
                  <c:v>36566760.0048</c:v>
                </c:pt>
                <c:pt idx="6">
                  <c:v>39688665.3942186</c:v>
                </c:pt>
                <c:pt idx="7">
                  <c:v>43090949.7016956</c:v>
                </c:pt>
                <c:pt idx="8">
                  <c:v>46800042.460983</c:v>
                </c:pt>
                <c:pt idx="9">
                  <c:v>50844971.604239</c:v>
                </c:pt>
                <c:pt idx="10">
                  <c:v>55257627.6663315</c:v>
                </c:pt>
                <c:pt idx="11">
                  <c:v>60073055.5382481</c:v>
                </c:pt>
                <c:pt idx="12">
                  <c:v>65329776.6940789</c:v>
                </c:pt>
                <c:pt idx="13">
                  <c:v>71070145.1303147</c:v>
                </c:pt>
                <c:pt idx="14">
                  <c:v>77340740.6045286</c:v>
                </c:pt>
                <c:pt idx="15">
                  <c:v>84192803.1465976</c:v>
                </c:pt>
                <c:pt idx="16">
                  <c:v>91682713.243584</c:v>
                </c:pt>
                <c:pt idx="17">
                  <c:v>99872522.5737993</c:v>
                </c:pt>
                <c:pt idx="18">
                  <c:v>108830540.691478</c:v>
                </c:pt>
                <c:pt idx="19">
                  <c:v>118631983.64652</c:v>
                </c:pt>
                <c:pt idx="20">
                  <c:v>129359691.170145</c:v>
                </c:pt>
                <c:pt idx="21">
                  <c:v>141104919.773945</c:v>
                </c:pt>
                <c:pt idx="22">
                  <c:v>153968219.904419</c:v>
                </c:pt>
                <c:pt idx="23">
                  <c:v>168060406.176119</c:v>
                </c:pt>
                <c:pt idx="24">
                  <c:v>183503630.68346</c:v>
                </c:pt>
                <c:pt idx="25">
                  <c:v>200432570.474567</c:v>
                </c:pt>
                <c:pt idx="26">
                  <c:v>218995741.471811</c:v>
                </c:pt>
                <c:pt idx="27">
                  <c:v>239356952.455904</c:v>
                </c:pt>
                <c:pt idx="28">
                  <c:v>261696914.207801</c:v>
                </c:pt>
                <c:pt idx="29">
                  <c:v>286215020.541129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'Delayed SWP Option'!N8</c:f>
              <c:strCache>
                <c:ptCount val="1"/>
                <c:pt idx="0">
                  <c:v>B: Closing (Total)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'Delayed SWP Option'!$A$9:$A$38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'Delayed SWP Option'!$N$9:$N$38</c:f>
              <c:numCache>
                <c:formatCode>\₹#,##0;"(₹"#,##0\);\-</c:formatCode>
                <c:ptCount val="30"/>
                <c:pt idx="0">
                  <c:v>22200000</c:v>
                </c:pt>
                <c:pt idx="1">
                  <c:v>24642000</c:v>
                </c:pt>
                <c:pt idx="2">
                  <c:v>27352620</c:v>
                </c:pt>
                <c:pt idx="3">
                  <c:v>30361408.2</c:v>
                </c:pt>
                <c:pt idx="4">
                  <c:v>33701163.102</c:v>
                </c:pt>
                <c:pt idx="5">
                  <c:v>36297150.699984</c:v>
                </c:pt>
                <c:pt idx="6">
                  <c:v>39134578.3512565</c:v>
                </c:pt>
                <c:pt idx="7">
                  <c:v>42239272.4478126</c:v>
                </c:pt>
                <c:pt idx="8">
                  <c:v>45640013.9838796</c:v>
                </c:pt>
                <c:pt idx="9">
                  <c:v>49368883.0669064</c:v>
                </c:pt>
                <c:pt idx="10">
                  <c:v>53461643.4983003</c:v>
                </c:pt>
                <c:pt idx="11">
                  <c:v>57958172.0403049</c:v>
                </c:pt>
                <c:pt idx="12">
                  <c:v>62902937.5117885</c:v>
                </c:pt>
                <c:pt idx="13">
                  <c:v>68345535.4415639</c:v>
                </c:pt>
                <c:pt idx="14">
                  <c:v>74316423.8500152</c:v>
                </c:pt>
                <c:pt idx="15">
                  <c:v>80835811.5490877</c:v>
                </c:pt>
                <c:pt idx="16">
                  <c:v>87956452.5703481</c:v>
                </c:pt>
                <c:pt idx="17">
                  <c:v>95736373.2265074</c:v>
                </c:pt>
                <c:pt idx="18">
                  <c:v>104239414.915984</c:v>
                </c:pt>
                <c:pt idx="19">
                  <c:v>113535834.035722</c:v>
                </c:pt>
                <c:pt idx="20">
                  <c:v>123702965.102159</c:v>
                </c:pt>
                <c:pt idx="21">
                  <c:v>134825953.838481</c:v>
                </c:pt>
                <c:pt idx="22">
                  <c:v>146998567.716053</c:v>
                </c:pt>
                <c:pt idx="23">
                  <c:v>160324092.247033</c:v>
                </c:pt>
                <c:pt idx="24">
                  <c:v>174916322.222175</c:v>
                </c:pt>
                <c:pt idx="25">
                  <c:v>190900658.08254</c:v>
                </c:pt>
                <c:pt idx="26">
                  <c:v>208415318.716661</c:v>
                </c:pt>
                <c:pt idx="27">
                  <c:v>227612683.197687</c:v>
                </c:pt>
                <c:pt idx="28">
                  <c:v>248660775.33118</c:v>
                </c:pt>
                <c:pt idx="29">
                  <c:v>271744906.38808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'Delayed SWP Option'!O8</c:f>
              <c:strCache>
                <c:ptCount val="1"/>
                <c:pt idx="0">
                  <c:v>3-Bucket Plan
Closing (ref)</c:v>
                </c:pt>
              </c:strCache>
            </c:strRef>
          </c:tx>
          <c:spPr>
            <a:solidFill>
              <a:srgbClr val="d4a5a4"/>
            </a:solidFill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'Delayed SWP Option'!$A$9:$A$38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'Delayed SWP Option'!$O$9:$O$38</c:f>
              <c:numCache>
                <c:formatCode>\₹#,##0;"(₹"#,##0\);\-</c:formatCode>
                <c:ptCount val="30"/>
                <c:pt idx="0">
                  <c:v>21411077.6237357</c:v>
                </c:pt>
                <c:pt idx="1">
                  <c:v>22945172.3455563</c:v>
                </c:pt>
                <c:pt idx="2">
                  <c:v>24615281.7729641</c:v>
                </c:pt>
                <c:pt idx="3">
                  <c:v>26435927.8704648</c:v>
                </c:pt>
                <c:pt idx="4">
                  <c:v>28423341.8154933</c:v>
                </c:pt>
                <c:pt idx="5">
                  <c:v>30495295.1581563</c:v>
                </c:pt>
                <c:pt idx="6">
                  <c:v>32755788.4258415</c:v>
                </c:pt>
                <c:pt idx="7">
                  <c:v>35225439.117901</c:v>
                </c:pt>
                <c:pt idx="8">
                  <c:v>37927332.3830859</c:v>
                </c:pt>
                <c:pt idx="9">
                  <c:v>40887323.6659593</c:v>
                </c:pt>
                <c:pt idx="10">
                  <c:v>44012866.3777902</c:v>
                </c:pt>
                <c:pt idx="11">
                  <c:v>47437746.0754522</c:v>
                </c:pt>
                <c:pt idx="12">
                  <c:v>51195809.3644014</c:v>
                </c:pt>
                <c:pt idx="13">
                  <c:v>55325017.8650886</c:v>
                </c:pt>
                <c:pt idx="14">
                  <c:v>59867956.2111481</c:v>
                </c:pt>
                <c:pt idx="15">
                  <c:v>64528419.0909213</c:v>
                </c:pt>
                <c:pt idx="16">
                  <c:v>69639329.0843043</c:v>
                </c:pt>
                <c:pt idx="17">
                  <c:v>75251567.7649156</c:v>
                </c:pt>
                <c:pt idx="18">
                  <c:v>81422170.4070583</c:v>
                </c:pt>
                <c:pt idx="19">
                  <c:v>88215081.5399873</c:v>
                </c:pt>
                <c:pt idx="20">
                  <c:v>95219548.4428256</c:v>
                </c:pt>
                <c:pt idx="21">
                  <c:v>102907729.343354</c:v>
                </c:pt>
                <c:pt idx="22">
                  <c:v>111356791.309147</c:v>
                </c:pt>
                <c:pt idx="23">
                  <c:v>120653184.369716</c:v>
                </c:pt>
                <c:pt idx="24">
                  <c:v>130893774.854487</c:v>
                </c:pt>
                <c:pt idx="25">
                  <c:v>141510449.339362</c:v>
                </c:pt>
                <c:pt idx="26">
                  <c:v>153174321.659285</c:v>
                </c:pt>
                <c:pt idx="27">
                  <c:v>166003510.736076</c:v>
                </c:pt>
                <c:pt idx="28">
                  <c:v>180130269.128484</c:v>
                </c:pt>
                <c:pt idx="29">
                  <c:v>195702698.629876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944015"/>
        <c:axId val="868684"/>
      </c:lineChart>
      <c:catAx>
        <c:axId val="589440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684"/>
        <c:crosses val="autoZero"/>
        <c:auto val="1"/>
        <c:lblAlgn val="ctr"/>
        <c:lblOffset val="100"/>
        <c:noMultiLvlLbl val="0"/>
      </c:catAx>
      <c:valAx>
        <c:axId val="8686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9440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Corpus over 30 Years: Desired ₹ Income vs Alternative (Lower) Income — Cash-Only Corpus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'Gold as Legacy'!D12</c:f>
              <c:strCache>
                <c:ptCount val="1"/>
                <c:pt idx="0">
                  <c:v>Desired Plan
Closing Corpus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'Gold as Legacy'!$A$13:$A$42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'Gold as Legacy'!$D$13:$D$42</c:f>
              <c:numCache>
                <c:formatCode>\₹#,##0;"(₹"#,##0\);\-</c:formatCode>
                <c:ptCount val="30"/>
                <c:pt idx="0">
                  <c:v>10370000</c:v>
                </c:pt>
                <c:pt idx="1">
                  <c:v>10752200</c:v>
                </c:pt>
                <c:pt idx="2">
                  <c:v>11147501</c:v>
                </c:pt>
                <c:pt idx="3">
                  <c:v>11556978.5</c:v>
                </c:pt>
                <c:pt idx="4">
                  <c:v>11981914.1837</c:v>
                </c:pt>
                <c:pt idx="5">
                  <c:v>12316128.769159</c:v>
                </c:pt>
                <c:pt idx="6">
                  <c:v>12651902.4823229</c:v>
                </c:pt>
                <c:pt idx="7">
                  <c:v>12989298.8007782</c:v>
                </c:pt>
                <c:pt idx="8">
                  <c:v>13328545.5628771</c:v>
                </c:pt>
                <c:pt idx="9">
                  <c:v>13670075.6097037</c:v>
                </c:pt>
                <c:pt idx="10">
                  <c:v>14014574.285223</c:v>
                </c:pt>
                <c:pt idx="11">
                  <c:v>14363034.772716</c:v>
                </c:pt>
                <c:pt idx="12">
                  <c:v>14716822.3728168</c:v>
                </c:pt>
                <c:pt idx="13">
                  <c:v>15077748.9713208</c:v>
                </c:pt>
                <c:pt idx="14">
                  <c:v>15448159.1052894</c:v>
                </c:pt>
                <c:pt idx="15">
                  <c:v>15111242.3949778</c:v>
                </c:pt>
                <c:pt idx="16">
                  <c:v>14660946.6086764</c:v>
                </c:pt>
                <c:pt idx="17">
                  <c:v>14084092.9443651</c:v>
                </c:pt>
                <c:pt idx="18">
                  <c:v>13366327.8966541</c:v>
                </c:pt>
                <c:pt idx="19">
                  <c:v>12492035.9993011</c:v>
                </c:pt>
                <c:pt idx="20">
                  <c:v>11044667.8417605</c:v>
                </c:pt>
                <c:pt idx="21">
                  <c:v>9333457.16576761</c:v>
                </c:pt>
                <c:pt idx="22">
                  <c:v>7328558.12271108</c:v>
                </c:pt>
                <c:pt idx="23">
                  <c:v>4997239.27351438</c:v>
                </c:pt>
                <c:pt idx="24">
                  <c:v>2303625.85062885</c:v>
                </c:pt>
                <c:pt idx="25">
                  <c:v>-791579.923900864</c:v>
                </c:pt>
                <c:pt idx="26">
                  <c:v>-4331402.27353283</c:v>
                </c:pt>
                <c:pt idx="27">
                  <c:v>-8362921.01048615</c:v>
                </c:pt>
                <c:pt idx="28">
                  <c:v>-12937628.4994726</c:v>
                </c:pt>
                <c:pt idx="29">
                  <c:v>-18111816.7239658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'Gold as Legacy'!G12</c:f>
              <c:strCache>
                <c:ptCount val="1"/>
                <c:pt idx="0">
                  <c:v>Alt Plan
Closing Corpus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'Gold as Legacy'!$A$13:$A$42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'Gold as Legacy'!$G$13:$G$42</c:f>
              <c:numCache>
                <c:formatCode>\₹#,##0;"(₹"#,##0\);\-</c:formatCode>
                <c:ptCount val="30"/>
                <c:pt idx="0">
                  <c:v>10466000</c:v>
                </c:pt>
                <c:pt idx="1">
                  <c:v>10957640</c:v>
                </c:pt>
                <c:pt idx="2">
                  <c:v>11477232.2</c:v>
                </c:pt>
                <c:pt idx="3">
                  <c:v>12027395.012</c:v>
                </c:pt>
                <c:pt idx="4">
                  <c:v>12611096.2685</c:v>
                </c:pt>
                <c:pt idx="5">
                  <c:v>13126412.3296733</c:v>
                </c:pt>
                <c:pt idx="6">
                  <c:v>13665607.0082087</c:v>
                </c:pt>
                <c:pt idx="7">
                  <c:v>14230985.457788</c:v>
                </c:pt>
                <c:pt idx="8">
                  <c:v>14825222.0530428</c:v>
                </c:pt>
                <c:pt idx="9">
                  <c:v>15451418.7629259</c:v>
                </c:pt>
                <c:pt idx="10">
                  <c:v>16109457.9894706</c:v>
                </c:pt>
                <c:pt idx="11">
                  <c:v>16806626.1236817</c:v>
                </c:pt>
                <c:pt idx="12">
                  <c:v>17547675.5108903</c:v>
                </c:pt>
                <c:pt idx="13">
                  <c:v>18338106.9490775</c:v>
                </c:pt>
                <c:pt idx="14">
                  <c:v>19184281.4199084</c:v>
                </c:pt>
                <c:pt idx="15">
                  <c:v>19584132.4381078</c:v>
                </c:pt>
                <c:pt idx="16">
                  <c:v>19963859.7485106</c:v>
                </c:pt>
                <c:pt idx="17">
                  <c:v>20320655.7761836</c:v>
                </c:pt>
                <c:pt idx="18">
                  <c:v>20651635.0834272</c:v>
                </c:pt>
                <c:pt idx="19">
                  <c:v>20953861.0511768</c:v>
                </c:pt>
                <c:pt idx="20">
                  <c:v>20859833.3225539</c:v>
                </c:pt>
                <c:pt idx="21">
                  <c:v>20665548.7114485</c:v>
                </c:pt>
                <c:pt idx="22">
                  <c:v>20359145.8912376</c:v>
                </c:pt>
                <c:pt idx="23">
                  <c:v>19927782.7374111</c:v>
                </c:pt>
                <c:pt idx="24">
                  <c:v>19357577.8745711</c:v>
                </c:pt>
                <c:pt idx="25">
                  <c:v>18122256.5382207</c:v>
                </c:pt>
                <c:pt idx="26">
                  <c:v>16624941.0537179</c:v>
                </c:pt>
                <c:pt idx="27">
                  <c:v>14835643.6416269</c:v>
                </c:pt>
                <c:pt idx="28">
                  <c:v>12721532.2206602</c:v>
                </c:pt>
                <c:pt idx="29">
                  <c:v>10246686.8692923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997983"/>
        <c:axId val="78439689"/>
      </c:lineChart>
      <c:catAx>
        <c:axId val="589979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39689"/>
        <c:crosses val="autoZero"/>
        <c:auto val="1"/>
        <c:lblAlgn val="ctr"/>
        <c:lblOffset val="100"/>
        <c:noMultiLvlLbl val="0"/>
      </c:catAx>
      <c:valAx>
        <c:axId val="784396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9979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Real (Inflation-Adjusted, Today's ₹) Corpus — Desired ₹2.5L vs Sustainable Income, 60 Years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'5Cr Legacy Plan'!D13</c:f>
              <c:strCache>
                <c:ptCount val="1"/>
                <c:pt idx="0">
                  <c:v>Desired
Real Corpus (today ₹)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'5Cr Legacy Plan'!$A$14:$A$73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'5Cr Legacy Plan'!$D$14:$D$73</c:f>
              <c:numCache>
                <c:formatCode>\₹#,##0;"(₹"#,##0\);\-</c:formatCode>
                <c:ptCount val="60"/>
                <c:pt idx="0">
                  <c:v>48644859.8130841</c:v>
                </c:pt>
                <c:pt idx="1">
                  <c:v>47339505.6336798</c:v>
                </c:pt>
                <c:pt idx="2">
                  <c:v>46085716.9911587</c:v>
                </c:pt>
                <c:pt idx="3">
                  <c:v>44885338.4135644</c:v>
                </c:pt>
                <c:pt idx="4">
                  <c:v>43740281.8289503</c:v>
                </c:pt>
                <c:pt idx="5">
                  <c:v>42396216.5290216</c:v>
                </c:pt>
                <c:pt idx="6">
                  <c:v>41106718.4447127</c:v>
                </c:pt>
                <c:pt idx="7">
                  <c:v>39873827.4719345</c:v>
                </c:pt>
                <c:pt idx="8">
                  <c:v>38699659.7643892</c:v>
                </c:pt>
                <c:pt idx="9">
                  <c:v>37586410.5843285</c:v>
                </c:pt>
                <c:pt idx="10">
                  <c:v>36536357.2598825</c:v>
                </c:pt>
                <c:pt idx="11">
                  <c:v>35551862.2529435</c:v>
                </c:pt>
                <c:pt idx="12">
                  <c:v>34635376.3417361</c:v>
                </c:pt>
                <c:pt idx="13">
                  <c:v>33789441.9223622</c:v>
                </c:pt>
                <c:pt idx="14">
                  <c:v>33016696.4337691</c:v>
                </c:pt>
                <c:pt idx="15">
                  <c:v>30802284.4488632</c:v>
                </c:pt>
                <c:pt idx="16">
                  <c:v>28609903.3549051</c:v>
                </c:pt>
                <c:pt idx="17">
                  <c:v>26440376.736603</c:v>
                </c:pt>
                <c:pt idx="18">
                  <c:v>24294558.9668787</c:v>
                </c:pt>
                <c:pt idx="19">
                  <c:v>22173336.3578285</c:v>
                </c:pt>
                <c:pt idx="20">
                  <c:v>19553565.1177473</c:v>
                </c:pt>
                <c:pt idx="21">
                  <c:v>16940671.1515979</c:v>
                </c:pt>
                <c:pt idx="22">
                  <c:v>14334911.553733</c:v>
                </c:pt>
                <c:pt idx="23">
                  <c:v>11736553.0295088</c:v>
                </c:pt>
                <c:pt idx="24">
                  <c:v>9145872.25457561</c:v>
                </c:pt>
                <c:pt idx="25">
                  <c:v>6342133.9368186</c:v>
                </c:pt>
                <c:pt idx="26">
                  <c:v>3538395.61906159</c:v>
                </c:pt>
                <c:pt idx="27">
                  <c:v>734657.301304581</c:v>
                </c:pt>
                <c:pt idx="28">
                  <c:v>-2069081.01645243</c:v>
                </c:pt>
                <c:pt idx="29">
                  <c:v>-4872819.33420944</c:v>
                </c:pt>
                <c:pt idx="30">
                  <c:v>-7676557.65196645</c:v>
                </c:pt>
                <c:pt idx="31">
                  <c:v>-10480295.9697235</c:v>
                </c:pt>
                <c:pt idx="32">
                  <c:v>-13284034.2874805</c:v>
                </c:pt>
                <c:pt idx="33">
                  <c:v>-16087772.6052375</c:v>
                </c:pt>
                <c:pt idx="34">
                  <c:v>-18891510.9229945</c:v>
                </c:pt>
                <c:pt idx="35">
                  <c:v>-21695249.2407515</c:v>
                </c:pt>
                <c:pt idx="36">
                  <c:v>-24498987.5585085</c:v>
                </c:pt>
                <c:pt idx="37">
                  <c:v>-27302725.8762655</c:v>
                </c:pt>
                <c:pt idx="38">
                  <c:v>-30106464.1940225</c:v>
                </c:pt>
                <c:pt idx="39">
                  <c:v>-32910202.5117795</c:v>
                </c:pt>
                <c:pt idx="40">
                  <c:v>-35713940.8295365</c:v>
                </c:pt>
                <c:pt idx="41">
                  <c:v>-38517679.1472936</c:v>
                </c:pt>
                <c:pt idx="42">
                  <c:v>-41321417.4650506</c:v>
                </c:pt>
                <c:pt idx="43">
                  <c:v>-44125155.7828076</c:v>
                </c:pt>
                <c:pt idx="44">
                  <c:v>-46928894.1005646</c:v>
                </c:pt>
                <c:pt idx="45">
                  <c:v>-49732632.4183216</c:v>
                </c:pt>
                <c:pt idx="46">
                  <c:v>-52536370.7360786</c:v>
                </c:pt>
                <c:pt idx="47">
                  <c:v>-55340109.0538356</c:v>
                </c:pt>
                <c:pt idx="48">
                  <c:v>-58143847.3715926</c:v>
                </c:pt>
                <c:pt idx="49">
                  <c:v>-60947585.6893496</c:v>
                </c:pt>
                <c:pt idx="50">
                  <c:v>-63751324.0071066</c:v>
                </c:pt>
                <c:pt idx="51">
                  <c:v>-66555062.3248637</c:v>
                </c:pt>
                <c:pt idx="52">
                  <c:v>-69358800.6426207</c:v>
                </c:pt>
                <c:pt idx="53">
                  <c:v>-72162538.9603777</c:v>
                </c:pt>
                <c:pt idx="54">
                  <c:v>-74966277.2781347</c:v>
                </c:pt>
                <c:pt idx="55">
                  <c:v>-77770015.5958917</c:v>
                </c:pt>
                <c:pt idx="56">
                  <c:v>-80573753.9136487</c:v>
                </c:pt>
                <c:pt idx="57">
                  <c:v>-83377492.2314057</c:v>
                </c:pt>
                <c:pt idx="58">
                  <c:v>-86181230.5491627</c:v>
                </c:pt>
                <c:pt idx="59">
                  <c:v>-88984968.8669197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'5Cr Legacy Plan'!G13</c:f>
              <c:strCache>
                <c:ptCount val="1"/>
                <c:pt idx="0">
                  <c:v>Sustainable
Real Corpus (today ₹)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'5Cr Legacy Plan'!$A$14:$A$73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'5Cr Legacy Plan'!$G$14:$G$73</c:f>
              <c:numCache>
                <c:formatCode>\₹#,##0;"(₹"#,##0\);\-</c:formatCode>
                <c:ptCount val="60"/>
                <c:pt idx="0">
                  <c:v>49878504.6728972</c:v>
                </c:pt>
                <c:pt idx="1">
                  <c:v>49806795.353306</c:v>
                </c:pt>
                <c:pt idx="2">
                  <c:v>49786651.5705979</c:v>
                </c:pt>
                <c:pt idx="3">
                  <c:v>49819917.8528168</c:v>
                </c:pt>
                <c:pt idx="4">
                  <c:v>49908506.1280157</c:v>
                </c:pt>
                <c:pt idx="5">
                  <c:v>49820534.4984479</c:v>
                </c:pt>
                <c:pt idx="6">
                  <c:v>49787549.6884354</c:v>
                </c:pt>
                <c:pt idx="7">
                  <c:v>49811599.4369533</c:v>
                </c:pt>
                <c:pt idx="8">
                  <c:v>49894807.8873673</c:v>
                </c:pt>
                <c:pt idx="9">
                  <c:v>50039378.4409321</c:v>
                </c:pt>
                <c:pt idx="10">
                  <c:v>50222969.9762992</c:v>
                </c:pt>
                <c:pt idx="11">
                  <c:v>50472119.8291733</c:v>
                </c:pt>
                <c:pt idx="12">
                  <c:v>50789278.7777789</c:v>
                </c:pt>
                <c:pt idx="13">
                  <c:v>51176989.2182182</c:v>
                </c:pt>
                <c:pt idx="14">
                  <c:v>51637888.5894381</c:v>
                </c:pt>
                <c:pt idx="15">
                  <c:v>51637015.5820601</c:v>
                </c:pt>
                <c:pt idx="16">
                  <c:v>51694805.0214322</c:v>
                </c:pt>
                <c:pt idx="17">
                  <c:v>51813449.896218</c:v>
                </c:pt>
                <c:pt idx="18">
                  <c:v>51995225.1759656</c:v>
                </c:pt>
                <c:pt idx="19">
                  <c:v>52242490.8758139</c:v>
                </c:pt>
                <c:pt idx="20">
                  <c:v>52264219.8230668</c:v>
                </c:pt>
                <c:pt idx="21">
                  <c:v>52345456.1499532</c:v>
                </c:pt>
                <c:pt idx="22">
                  <c:v>52488424.4314126</c:v>
                </c:pt>
                <c:pt idx="23">
                  <c:v>52695432.4040648</c:v>
                </c:pt>
                <c:pt idx="24">
                  <c:v>52968874.075057</c:v>
                </c:pt>
                <c:pt idx="25">
                  <c:v>53017757.534431</c:v>
                </c:pt>
                <c:pt idx="26">
                  <c:v>53127163.4953871</c:v>
                </c:pt>
                <c:pt idx="27">
                  <c:v>53299354.4813488</c:v>
                </c:pt>
                <c:pt idx="28">
                  <c:v>53536677.5960546</c:v>
                </c:pt>
                <c:pt idx="29">
                  <c:v>53841567.6854389</c:v>
                </c:pt>
                <c:pt idx="30">
                  <c:v>53923075.2050142</c:v>
                </c:pt>
                <c:pt idx="31">
                  <c:v>54066324.817207</c:v>
                </c:pt>
                <c:pt idx="32">
                  <c:v>54273624.6376293</c:v>
                </c:pt>
                <c:pt idx="33">
                  <c:v>54547369.0665886</c:v>
                </c:pt>
                <c:pt idx="34">
                  <c:v>54890042.0146844</c:v>
                </c:pt>
                <c:pt idx="35">
                  <c:v>55010744.8362876</c:v>
                </c:pt>
                <c:pt idx="36">
                  <c:v>55194654.9954439</c:v>
                </c:pt>
                <c:pt idx="37">
                  <c:v>55444135.3832769</c:v>
                </c:pt>
                <c:pt idx="38">
                  <c:v>55761637.2232884</c:v>
                </c:pt>
                <c:pt idx="39">
                  <c:v>56149703.3735039</c:v>
                </c:pt>
                <c:pt idx="40">
                  <c:v>56317496.339362</c:v>
                </c:pt>
                <c:pt idx="41">
                  <c:v>56550257.0219977</c:v>
                </c:pt>
                <c:pt idx="42">
                  <c:v>56850414.1211037</c:v>
                </c:pt>
                <c:pt idx="43">
                  <c:v>57220487.1288845</c:v>
                </c:pt>
                <c:pt idx="44">
                  <c:v>57663089.724169</c:v>
                </c:pt>
                <c:pt idx="45">
                  <c:v>57887457.8807061</c:v>
                </c:pt>
                <c:pt idx="46">
                  <c:v>58178908.7144202</c:v>
                </c:pt>
                <c:pt idx="47">
                  <c:v>58539949.9889438</c:v>
                </c:pt>
                <c:pt idx="48">
                  <c:v>58973183.2160831</c:v>
                </c:pt>
                <c:pt idx="49">
                  <c:v>59481307.1604218</c:v>
                </c:pt>
                <c:pt idx="50">
                  <c:v>59773646.0622394</c:v>
                </c:pt>
                <c:pt idx="51">
                  <c:v>60135608.6036743</c:v>
                </c:pt>
                <c:pt idx="52">
                  <c:v>60569797.5376093</c:v>
                </c:pt>
                <c:pt idx="53">
                  <c:v>61078912.9161006</c:v>
                </c:pt>
                <c:pt idx="54">
                  <c:v>61665755.7277296</c:v>
                </c:pt>
                <c:pt idx="55">
                  <c:v>62039756.2582316</c:v>
                </c:pt>
                <c:pt idx="56">
                  <c:v>62486433.1995167</c:v>
                </c:pt>
                <c:pt idx="57">
                  <c:v>63008503.4267543</c:v>
                </c:pt>
                <c:pt idx="58">
                  <c:v>63608785.3805406</c:v>
                </c:pt>
                <c:pt idx="59">
                  <c:v>64290202.8637375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549119"/>
        <c:axId val="30840633"/>
      </c:lineChart>
      <c:catAx>
        <c:axId val="895491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40633"/>
        <c:crosses val="autoZero"/>
        <c:auto val="1"/>
        <c:lblAlgn val="ctr"/>
        <c:lblOffset val="100"/>
        <c:noMultiLvlLbl val="0"/>
      </c:catAx>
      <c:valAx>
        <c:axId val="308406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(today's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491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5</xdr:col>
      <xdr:colOff>754920</xdr:colOff>
      <xdr:row>33</xdr:row>
      <xdr:rowOff>21960</xdr:rowOff>
    </xdr:to>
    <xdr:graphicFrame>
      <xdr:nvGraphicFramePr>
        <xdr:cNvPr id="0" name="Chart 1"/>
        <xdr:cNvGraphicFramePr/>
      </xdr:nvGraphicFramePr>
      <xdr:xfrm>
        <a:off x="211320" y="45529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18</xdr:row>
      <xdr:rowOff>0</xdr:rowOff>
    </xdr:from>
    <xdr:to>
      <xdr:col>19</xdr:col>
      <xdr:colOff>255960</xdr:colOff>
      <xdr:row>33</xdr:row>
      <xdr:rowOff>21960</xdr:rowOff>
    </xdr:to>
    <xdr:graphicFrame>
      <xdr:nvGraphicFramePr>
        <xdr:cNvPr id="1" name="Chart 2"/>
        <xdr:cNvGraphicFramePr/>
      </xdr:nvGraphicFramePr>
      <xdr:xfrm>
        <a:off x="9726840" y="45529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5</xdr:col>
      <xdr:colOff>754920</xdr:colOff>
      <xdr:row>50</xdr:row>
      <xdr:rowOff>22320</xdr:rowOff>
    </xdr:to>
    <xdr:graphicFrame>
      <xdr:nvGraphicFramePr>
        <xdr:cNvPr id="2" name="Chart 3"/>
        <xdr:cNvGraphicFramePr/>
      </xdr:nvGraphicFramePr>
      <xdr:xfrm>
        <a:off x="211320" y="77914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35</xdr:row>
      <xdr:rowOff>0</xdr:rowOff>
    </xdr:from>
    <xdr:to>
      <xdr:col>19</xdr:col>
      <xdr:colOff>255960</xdr:colOff>
      <xdr:row>50</xdr:row>
      <xdr:rowOff>22320</xdr:rowOff>
    </xdr:to>
    <xdr:graphicFrame>
      <xdr:nvGraphicFramePr>
        <xdr:cNvPr id="3" name="Chart 4"/>
        <xdr:cNvGraphicFramePr/>
      </xdr:nvGraphicFramePr>
      <xdr:xfrm>
        <a:off x="9726840" y="77914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41</xdr:row>
      <xdr:rowOff>0</xdr:rowOff>
    </xdr:from>
    <xdr:to>
      <xdr:col>8</xdr:col>
      <xdr:colOff>362520</xdr:colOff>
      <xdr:row>59</xdr:row>
      <xdr:rowOff>170640</xdr:rowOff>
    </xdr:to>
    <xdr:graphicFrame>
      <xdr:nvGraphicFramePr>
        <xdr:cNvPr id="4" name="Chart 1"/>
        <xdr:cNvGraphicFramePr/>
      </xdr:nvGraphicFramePr>
      <xdr:xfrm>
        <a:off x="352440" y="82962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46</xdr:row>
      <xdr:rowOff>0</xdr:rowOff>
    </xdr:from>
    <xdr:to>
      <xdr:col>10</xdr:col>
      <xdr:colOff>166320</xdr:colOff>
      <xdr:row>64</xdr:row>
      <xdr:rowOff>170640</xdr:rowOff>
    </xdr:to>
    <xdr:graphicFrame>
      <xdr:nvGraphicFramePr>
        <xdr:cNvPr id="5" name="Chart 1"/>
        <xdr:cNvGraphicFramePr/>
      </xdr:nvGraphicFramePr>
      <xdr:xfrm>
        <a:off x="352440" y="91915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48</xdr:row>
      <xdr:rowOff>0</xdr:rowOff>
    </xdr:from>
    <xdr:to>
      <xdr:col>15</xdr:col>
      <xdr:colOff>95760</xdr:colOff>
      <xdr:row>66</xdr:row>
      <xdr:rowOff>170640</xdr:rowOff>
    </xdr:to>
    <xdr:graphicFrame>
      <xdr:nvGraphicFramePr>
        <xdr:cNvPr id="6" name="Chart 1"/>
        <xdr:cNvGraphicFramePr/>
      </xdr:nvGraphicFramePr>
      <xdr:xfrm>
        <a:off x="281880" y="960120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80</xdr:row>
      <xdr:rowOff>0</xdr:rowOff>
    </xdr:from>
    <xdr:to>
      <xdr:col>15</xdr:col>
      <xdr:colOff>95760</xdr:colOff>
      <xdr:row>98</xdr:row>
      <xdr:rowOff>170640</xdr:rowOff>
    </xdr:to>
    <xdr:graphicFrame>
      <xdr:nvGraphicFramePr>
        <xdr:cNvPr id="7" name="Chart 1"/>
        <xdr:cNvGraphicFramePr/>
      </xdr:nvGraphicFramePr>
      <xdr:xfrm>
        <a:off x="281880" y="156970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6"/>
    <col collapsed="false" customWidth="true" hidden="false" outlineLevel="0" max="10" min="10" style="0" width="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25.5" hidden="false" customHeight="true" outlineLevel="0" collapsed="false">
      <c r="B4" s="3" t="s">
        <v>2</v>
      </c>
      <c r="E4" s="3" t="s">
        <v>3</v>
      </c>
      <c r="H4" s="3" t="s">
        <v>4</v>
      </c>
    </row>
    <row r="5" customFormat="false" ht="21.75" hidden="false" customHeight="true" outlineLevel="0" collapsed="false">
      <c r="B5" s="4" t="n">
        <f aca="false">Corpus</f>
        <v>20000000</v>
      </c>
      <c r="E5" s="4" t="n">
        <f aca="false">MonthlyExp</f>
        <v>50000</v>
      </c>
      <c r="H5" s="5" t="n">
        <f aca="false">(MonthlyExp*12)/Corpus</f>
        <v>0.03</v>
      </c>
    </row>
    <row r="7" customFormat="false" ht="25.5" hidden="false" customHeight="true" outlineLevel="0" collapsed="false">
      <c r="B7" s="3" t="s">
        <v>5</v>
      </c>
      <c r="E7" s="3" t="s">
        <v>6</v>
      </c>
      <c r="H7" s="3" t="s">
        <v>7</v>
      </c>
    </row>
    <row r="8" customFormat="false" ht="21.75" hidden="false" customHeight="true" outlineLevel="0" collapsed="false">
      <c r="B8" s="6" t="n">
        <f aca="false">RetYears</f>
        <v>30</v>
      </c>
      <c r="E8" s="7" t="str">
        <f aca="false">Age&amp;" → "&amp;(Age+RetYears)</f>
        <v>62 → 92</v>
      </c>
      <c r="H8" s="5" t="n">
        <f aca="false">Inflation</f>
        <v>0.07</v>
      </c>
    </row>
    <row r="10" customFormat="false" ht="25.5" hidden="false" customHeight="true" outlineLevel="0" collapsed="false">
      <c r="B10" s="3" t="s">
        <v>8</v>
      </c>
      <c r="E10" s="3" t="s">
        <v>9</v>
      </c>
      <c r="H10" s="3" t="s">
        <v>10</v>
      </c>
    </row>
    <row r="11" customFormat="false" ht="21.75" hidden="false" customHeight="true" outlineLevel="0" collapsed="false">
      <c r="B11" s="4" t="n">
        <f aca="false">Corpus*B1Pct</f>
        <v>3000000</v>
      </c>
      <c r="E11" s="4" t="n">
        <f aca="false">Corpus*B2Pct</f>
        <v>7000000</v>
      </c>
      <c r="H11" s="4" t="n">
        <f aca="false">Corpus*B3Pct</f>
        <v>10000000</v>
      </c>
    </row>
    <row r="13" customFormat="false" ht="25.5" hidden="false" customHeight="true" outlineLevel="0" collapsed="false">
      <c r="B13" s="3" t="s">
        <v>11</v>
      </c>
      <c r="E13" s="3" t="s">
        <v>12</v>
      </c>
      <c r="H13" s="3" t="s">
        <v>13</v>
      </c>
    </row>
    <row r="14" customFormat="false" ht="21.75" hidden="false" customHeight="true" outlineLevel="0" collapsed="false">
      <c r="B14" s="4" t="n">
        <f aca="false">'Annual Summary'!J31</f>
        <v>195702698.629876</v>
      </c>
      <c r="E14" s="7" t="str">
        <f aca="false">'Annual Summary'!L31</f>
        <v>GREEN</v>
      </c>
      <c r="H14" s="5" t="n">
        <f aca="false">AVERAGE('Annual Summary'!K2:K31)</f>
        <v>0.0275060306699074</v>
      </c>
    </row>
    <row r="16" customFormat="false" ht="19.5" hidden="false" customHeight="true" outlineLevel="0" collapsed="false">
      <c r="B16" s="2" t="s">
        <v>14</v>
      </c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B17" s="8" t="s">
        <v>15</v>
      </c>
    </row>
  </sheetData>
  <mergeCells count="3">
    <mergeCell ref="A1:I1"/>
    <mergeCell ref="B3:I3"/>
    <mergeCell ref="B16:I16"/>
  </mergeCells>
  <conditionalFormatting sqref="E14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"YELLOW"</formula>
    </cfRule>
    <cfRule type="cellIs" priority="4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60"/>
  </cols>
  <sheetData>
    <row r="1" customFormat="false" ht="25.5" hidden="false" customHeight="tru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B3" s="8" t="s">
        <v>17</v>
      </c>
    </row>
    <row r="4" customFormat="false" ht="15" hidden="false" customHeight="false" outlineLevel="0" collapsed="false">
      <c r="B4" s="8" t="s">
        <v>18</v>
      </c>
    </row>
    <row r="6" customFormat="false" ht="18" hidden="false" customHeight="true" outlineLevel="0" collapsed="false">
      <c r="B6" s="9" t="s">
        <v>19</v>
      </c>
      <c r="C6" s="10" t="n">
        <v>62</v>
      </c>
      <c r="E6" s="8" t="s">
        <v>20</v>
      </c>
    </row>
    <row r="7" customFormat="false" ht="18" hidden="false" customHeight="true" outlineLevel="0" collapsed="false">
      <c r="B7" s="9" t="s">
        <v>21</v>
      </c>
      <c r="C7" s="11" t="n">
        <v>20000000</v>
      </c>
    </row>
    <row r="8" customFormat="false" ht="18" hidden="false" customHeight="true" outlineLevel="0" collapsed="false">
      <c r="B8" s="9" t="s">
        <v>22</v>
      </c>
      <c r="C8" s="11" t="n">
        <v>50000</v>
      </c>
    </row>
    <row r="9" customFormat="false" ht="18" hidden="false" customHeight="true" outlineLevel="0" collapsed="false">
      <c r="B9" s="9" t="s">
        <v>23</v>
      </c>
      <c r="C9" s="12" t="n">
        <v>0.07</v>
      </c>
    </row>
    <row r="10" customFormat="false" ht="18" hidden="false" customHeight="true" outlineLevel="0" collapsed="false">
      <c r="B10" s="9" t="s">
        <v>24</v>
      </c>
      <c r="C10" s="12" t="n">
        <v>0.11</v>
      </c>
    </row>
    <row r="11" customFormat="false" ht="18" hidden="false" customHeight="true" outlineLevel="0" collapsed="false">
      <c r="B11" s="9" t="s">
        <v>25</v>
      </c>
      <c r="C11" s="10" t="n">
        <v>30</v>
      </c>
    </row>
    <row r="13" customFormat="false" ht="15" hidden="false" customHeight="false" outlineLevel="0" collapsed="false">
      <c r="B13" s="13" t="s">
        <v>26</v>
      </c>
    </row>
    <row r="14" customFormat="false" ht="15" hidden="false" customHeight="false" outlineLevel="0" collapsed="false">
      <c r="B14" s="8" t="s">
        <v>27</v>
      </c>
    </row>
    <row r="17" customFormat="false" ht="15" hidden="false" customHeight="false" outlineLevel="0" collapsed="false">
      <c r="B17" s="8" t="s">
        <v>28</v>
      </c>
    </row>
    <row r="18" customFormat="false" ht="15" hidden="false" customHeight="false" outlineLevel="0" collapsed="false">
      <c r="B18" s="8" t="s">
        <v>29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46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30</v>
      </c>
      <c r="B1" s="1"/>
      <c r="C1" s="1"/>
      <c r="D1" s="1"/>
      <c r="E1" s="1"/>
      <c r="F1" s="1"/>
    </row>
    <row r="3" customFormat="false" ht="19.5" hidden="false" customHeight="true" outlineLevel="0" collapsed="false">
      <c r="B3" s="2" t="s">
        <v>31</v>
      </c>
      <c r="C3" s="2"/>
    </row>
    <row r="4" customFormat="false" ht="15" hidden="false" customHeight="false" outlineLevel="0" collapsed="false">
      <c r="B4" s="14" t="s">
        <v>32</v>
      </c>
      <c r="C4" s="12" t="n">
        <v>0.15</v>
      </c>
    </row>
    <row r="5" customFormat="false" ht="15" hidden="false" customHeight="false" outlineLevel="0" collapsed="false">
      <c r="B5" s="14" t="s">
        <v>33</v>
      </c>
      <c r="C5" s="12" t="n">
        <v>0.35</v>
      </c>
    </row>
    <row r="6" customFormat="false" ht="15" hidden="false" customHeight="false" outlineLevel="0" collapsed="false">
      <c r="B6" s="14" t="s">
        <v>34</v>
      </c>
      <c r="C6" s="12" t="n">
        <v>0.5</v>
      </c>
    </row>
    <row r="7" customFormat="false" ht="15" hidden="false" customHeight="false" outlineLevel="0" collapsed="false">
      <c r="B7" s="8" t="s">
        <v>35</v>
      </c>
      <c r="C7" s="15" t="n">
        <f aca="false">C4+C5+C6</f>
        <v>1</v>
      </c>
    </row>
    <row r="9" customFormat="false" ht="19.5" hidden="false" customHeight="true" outlineLevel="0" collapsed="false">
      <c r="B9" s="2" t="s">
        <v>36</v>
      </c>
      <c r="C9" s="2"/>
    </row>
    <row r="10" customFormat="false" ht="15" hidden="false" customHeight="false" outlineLevel="0" collapsed="false">
      <c r="B10" s="14" t="s">
        <v>37</v>
      </c>
      <c r="C10" s="12" t="n">
        <v>-0.04</v>
      </c>
    </row>
    <row r="11" customFormat="false" ht="15" hidden="false" customHeight="false" outlineLevel="0" collapsed="false">
      <c r="B11" s="14" t="s">
        <v>38</v>
      </c>
      <c r="C11" s="12" t="n">
        <v>-0.02</v>
      </c>
    </row>
    <row r="12" customFormat="false" ht="15" hidden="false" customHeight="false" outlineLevel="0" collapsed="false">
      <c r="B12" s="14" t="s">
        <v>39</v>
      </c>
      <c r="C12" s="12" t="n">
        <v>0</v>
      </c>
    </row>
    <row r="14" customFormat="false" ht="19.5" hidden="false" customHeight="true" outlineLevel="0" collapsed="false">
      <c r="B14" s="2" t="s">
        <v>40</v>
      </c>
      <c r="C14" s="2"/>
    </row>
    <row r="15" customFormat="false" ht="15" hidden="false" customHeight="false" outlineLevel="0" collapsed="false">
      <c r="B15" s="14" t="s">
        <v>41</v>
      </c>
      <c r="C15" s="16" t="n">
        <f aca="false">GrowthReturn+C10</f>
        <v>0.07</v>
      </c>
    </row>
    <row r="16" customFormat="false" ht="15" hidden="false" customHeight="false" outlineLevel="0" collapsed="false">
      <c r="B16" s="14" t="s">
        <v>42</v>
      </c>
      <c r="C16" s="16" t="n">
        <f aca="false">GrowthReturn+C11</f>
        <v>0.09</v>
      </c>
    </row>
    <row r="17" customFormat="false" ht="15" hidden="false" customHeight="false" outlineLevel="0" collapsed="false">
      <c r="B17" s="14" t="s">
        <v>43</v>
      </c>
      <c r="C17" s="16" t="n">
        <f aca="false">GrowthReturn+C12</f>
        <v>0.11</v>
      </c>
    </row>
    <row r="19" customFormat="false" ht="19.5" hidden="false" customHeight="true" outlineLevel="0" collapsed="false">
      <c r="B19" s="2" t="s">
        <v>44</v>
      </c>
      <c r="C19" s="2"/>
    </row>
    <row r="20" customFormat="false" ht="15" hidden="false" customHeight="false" outlineLevel="0" collapsed="false">
      <c r="B20" s="14" t="s">
        <v>45</v>
      </c>
      <c r="C20" s="14" t="s">
        <v>46</v>
      </c>
    </row>
    <row r="21" customFormat="false" ht="15" hidden="false" customHeight="false" outlineLevel="0" collapsed="false">
      <c r="B21" s="14" t="s">
        <v>47</v>
      </c>
      <c r="C21" s="14" t="s">
        <v>48</v>
      </c>
    </row>
    <row r="22" customFormat="false" ht="15" hidden="false" customHeight="false" outlineLevel="0" collapsed="false">
      <c r="B22" s="8" t="s">
        <v>49</v>
      </c>
    </row>
    <row r="24" customFormat="false" ht="19.5" hidden="false" customHeight="true" outlineLevel="0" collapsed="false">
      <c r="B24" s="2" t="s">
        <v>50</v>
      </c>
      <c r="C24" s="2"/>
    </row>
    <row r="25" customFormat="false" ht="15" hidden="false" customHeight="false" outlineLevel="0" collapsed="false">
      <c r="B25" s="14" t="s">
        <v>51</v>
      </c>
      <c r="C25" s="12" t="n">
        <v>-0.02</v>
      </c>
    </row>
    <row r="26" customFormat="false" ht="15" hidden="false" customHeight="false" outlineLevel="0" collapsed="false">
      <c r="B26" s="14" t="s">
        <v>52</v>
      </c>
      <c r="C26" s="12" t="n">
        <v>0</v>
      </c>
    </row>
    <row r="27" customFormat="false" ht="15" hidden="false" customHeight="false" outlineLevel="0" collapsed="false">
      <c r="B27" s="14" t="s">
        <v>53</v>
      </c>
      <c r="C27" s="12" t="n">
        <v>0.02</v>
      </c>
    </row>
    <row r="29" customFormat="false" ht="19.5" hidden="false" customHeight="true" outlineLevel="0" collapsed="false">
      <c r="B29" s="2" t="s">
        <v>54</v>
      </c>
      <c r="C29" s="2"/>
    </row>
    <row r="30" customFormat="false" ht="15" hidden="false" customHeight="false" outlineLevel="0" collapsed="false">
      <c r="B30" s="14" t="s">
        <v>55</v>
      </c>
      <c r="C30" s="12" t="n">
        <v>0.01</v>
      </c>
    </row>
    <row r="31" customFormat="false" ht="15" hidden="false" customHeight="false" outlineLevel="0" collapsed="false">
      <c r="B31" s="14" t="s">
        <v>56</v>
      </c>
      <c r="C31" s="12" t="n">
        <v>0.05</v>
      </c>
    </row>
    <row r="32" customFormat="false" ht="15" hidden="false" customHeight="false" outlineLevel="0" collapsed="false">
      <c r="B32" s="14" t="s">
        <v>57</v>
      </c>
      <c r="C32" s="12" t="n">
        <v>0.16</v>
      </c>
    </row>
    <row r="34" customFormat="false" ht="19.5" hidden="false" customHeight="true" outlineLevel="0" collapsed="false">
      <c r="B34" s="2" t="s">
        <v>58</v>
      </c>
      <c r="C34" s="2"/>
    </row>
    <row r="35" customFormat="false" ht="15" hidden="false" customHeight="false" outlineLevel="0" collapsed="false">
      <c r="B35" s="14" t="s">
        <v>59</v>
      </c>
      <c r="C35" s="12" t="n">
        <v>0.04</v>
      </c>
    </row>
    <row r="36" customFormat="false" ht="15" hidden="false" customHeight="false" outlineLevel="0" collapsed="false">
      <c r="B36" s="14" t="s">
        <v>60</v>
      </c>
      <c r="C36" s="12" t="n">
        <v>0.06</v>
      </c>
    </row>
    <row r="37" customFormat="false" ht="15" hidden="false" customHeight="false" outlineLevel="0" collapsed="false">
      <c r="B37" s="8" t="s">
        <v>61</v>
      </c>
    </row>
    <row r="39" customFormat="false" ht="15" hidden="false" customHeight="false" outlineLevel="0" collapsed="false">
      <c r="B39" s="17" t="s">
        <v>62</v>
      </c>
      <c r="C39" s="17"/>
      <c r="D39" s="17"/>
      <c r="E39" s="17"/>
      <c r="F39" s="17"/>
    </row>
  </sheetData>
  <mergeCells count="9">
    <mergeCell ref="A1:F1"/>
    <mergeCell ref="B3:C3"/>
    <mergeCell ref="B9:C9"/>
    <mergeCell ref="B14:C14"/>
    <mergeCell ref="B19:C19"/>
    <mergeCell ref="B24:C24"/>
    <mergeCell ref="B29:C29"/>
    <mergeCell ref="B34:C34"/>
    <mergeCell ref="B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T3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6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2" min="12" style="0" width="11"/>
    <col collapsed="false" customWidth="true" hidden="false" outlineLevel="0" max="16" min="13" style="0" width="13"/>
    <col collapsed="false" customWidth="true" hidden="false" outlineLevel="0" max="17" min="17" style="0" width="11"/>
    <col collapsed="false" customWidth="true" hidden="false" outlineLevel="0" max="19" min="18" style="0" width="13"/>
    <col collapsed="false" customWidth="true" hidden="false" outlineLevel="0" max="20" min="20" style="0" width="15"/>
  </cols>
  <sheetData>
    <row r="1" customFormat="false" ht="31.5" hidden="false" customHeight="true" outlineLevel="0" collapsed="false">
      <c r="A1" s="18" t="s">
        <v>63</v>
      </c>
      <c r="B1" s="18" t="s">
        <v>64</v>
      </c>
      <c r="C1" s="18" t="s">
        <v>65</v>
      </c>
      <c r="D1" s="18" t="s">
        <v>66</v>
      </c>
      <c r="E1" s="18" t="s">
        <v>67</v>
      </c>
      <c r="F1" s="18" t="s">
        <v>68</v>
      </c>
      <c r="G1" s="18" t="s">
        <v>69</v>
      </c>
      <c r="H1" s="18" t="s">
        <v>70</v>
      </c>
      <c r="I1" s="18" t="s">
        <v>71</v>
      </c>
      <c r="J1" s="18" t="s">
        <v>72</v>
      </c>
      <c r="K1" s="18" t="s">
        <v>73</v>
      </c>
      <c r="L1" s="18" t="s">
        <v>74</v>
      </c>
      <c r="M1" s="18" t="s">
        <v>75</v>
      </c>
      <c r="N1" s="18" t="s">
        <v>76</v>
      </c>
      <c r="O1" s="18" t="s">
        <v>77</v>
      </c>
      <c r="P1" s="18" t="s">
        <v>78</v>
      </c>
      <c r="Q1" s="18" t="s">
        <v>79</v>
      </c>
      <c r="R1" s="18" t="s">
        <v>80</v>
      </c>
      <c r="S1" s="18" t="s">
        <v>81</v>
      </c>
      <c r="T1" s="18" t="s">
        <v>82</v>
      </c>
    </row>
    <row r="2" customFormat="false" ht="15" hidden="false" customHeight="false" outlineLevel="0" collapsed="false">
      <c r="A2" s="19" t="n">
        <v>1</v>
      </c>
      <c r="B2" s="19" t="n">
        <f aca="false">ROUNDUP(A2/12,0)</f>
        <v>1</v>
      </c>
      <c r="C2" s="19" t="n">
        <f aca="false">Age+B2-1</f>
        <v>62</v>
      </c>
      <c r="D2" s="20" t="n">
        <f aca="false">MonthlyExp*(1+Inflation)^(B2-1)</f>
        <v>50000</v>
      </c>
      <c r="E2" s="20" t="n">
        <f aca="false">Corpus*B1Pct</f>
        <v>3000000</v>
      </c>
      <c r="F2" s="20" t="n">
        <f aca="false">E2*B1Ret/12</f>
        <v>17500</v>
      </c>
      <c r="G2" s="20" t="n">
        <f aca="false">D2</f>
        <v>50000</v>
      </c>
      <c r="H2" s="20" t="n">
        <v>0</v>
      </c>
      <c r="I2" s="20" t="n">
        <f aca="false">H2</f>
        <v>0</v>
      </c>
      <c r="J2" s="20" t="n">
        <f aca="false">E2+F2-G2+I2</f>
        <v>2967500</v>
      </c>
      <c r="K2" s="20" t="n">
        <f aca="false">Corpus*B2Pct</f>
        <v>7000000</v>
      </c>
      <c r="L2" s="20" t="n">
        <f aca="false">K2*B2Ret/12</f>
        <v>52500</v>
      </c>
      <c r="M2" s="20" t="n">
        <f aca="false">-I2</f>
        <v>-0</v>
      </c>
      <c r="N2" s="20" t="n">
        <v>0</v>
      </c>
      <c r="O2" s="20" t="n">
        <f aca="false">K2+L2+M2+N2</f>
        <v>7052500</v>
      </c>
      <c r="P2" s="20" t="n">
        <f aca="false">Corpus*B3Pct</f>
        <v>10000000</v>
      </c>
      <c r="Q2" s="20" t="n">
        <f aca="false">P2*B3Ret/12</f>
        <v>91666.6666666667</v>
      </c>
      <c r="R2" s="20" t="n">
        <f aca="false">-N2</f>
        <v>-0</v>
      </c>
      <c r="S2" s="20" t="n">
        <f aca="false">P2+Q2+R2</f>
        <v>10091666.6666667</v>
      </c>
      <c r="T2" s="20" t="n">
        <f aca="false">J2+O2+S2</f>
        <v>20111666.6666667</v>
      </c>
    </row>
    <row r="3" customFormat="false" ht="15" hidden="false" customHeight="false" outlineLevel="0" collapsed="false">
      <c r="A3" s="19" t="n">
        <v>2</v>
      </c>
      <c r="B3" s="19" t="n">
        <f aca="false">ROUNDUP(A3/12,0)</f>
        <v>1</v>
      </c>
      <c r="C3" s="19" t="n">
        <f aca="false">Age+B3-1</f>
        <v>62</v>
      </c>
      <c r="D3" s="20" t="n">
        <f aca="false">MonthlyExp*(1+Inflation)^(B3-1)</f>
        <v>50000</v>
      </c>
      <c r="E3" s="20" t="n">
        <f aca="false">J2</f>
        <v>2967500</v>
      </c>
      <c r="F3" s="20" t="n">
        <f aca="false">E3*B1Ret/12</f>
        <v>17310.4166666667</v>
      </c>
      <c r="G3" s="20" t="n">
        <f aca="false">D3</f>
        <v>50000</v>
      </c>
      <c r="H3" s="20" t="n">
        <v>0</v>
      </c>
      <c r="I3" s="20" t="n">
        <f aca="false">H3</f>
        <v>0</v>
      </c>
      <c r="J3" s="20" t="n">
        <f aca="false">E3+F3-G3+I3</f>
        <v>2934810.41666667</v>
      </c>
      <c r="K3" s="20" t="n">
        <f aca="false">O2</f>
        <v>7052500</v>
      </c>
      <c r="L3" s="20" t="n">
        <f aca="false">K3*B2Ret/12</f>
        <v>52893.75</v>
      </c>
      <c r="M3" s="20" t="n">
        <f aca="false">-I3</f>
        <v>-0</v>
      </c>
      <c r="N3" s="20" t="n">
        <v>0</v>
      </c>
      <c r="O3" s="20" t="n">
        <f aca="false">K3+L3+M3+N3</f>
        <v>7105393.75</v>
      </c>
      <c r="P3" s="20" t="n">
        <f aca="false">S2</f>
        <v>10091666.6666667</v>
      </c>
      <c r="Q3" s="20" t="n">
        <f aca="false">P3*B3Ret/12</f>
        <v>92506.9444444444</v>
      </c>
      <c r="R3" s="20" t="n">
        <f aca="false">-N3</f>
        <v>-0</v>
      </c>
      <c r="S3" s="20" t="n">
        <f aca="false">P3+Q3+R3</f>
        <v>10184173.6111111</v>
      </c>
      <c r="T3" s="20" t="n">
        <f aca="false">J3+O3+S3</f>
        <v>20224377.7777778</v>
      </c>
    </row>
    <row r="4" customFormat="false" ht="15" hidden="false" customHeight="false" outlineLevel="0" collapsed="false">
      <c r="A4" s="19" t="n">
        <v>3</v>
      </c>
      <c r="B4" s="19" t="n">
        <f aca="false">ROUNDUP(A4/12,0)</f>
        <v>1</v>
      </c>
      <c r="C4" s="19" t="n">
        <f aca="false">Age+B4-1</f>
        <v>62</v>
      </c>
      <c r="D4" s="20" t="n">
        <f aca="false">MonthlyExp*(1+Inflation)^(B4-1)</f>
        <v>50000</v>
      </c>
      <c r="E4" s="20" t="n">
        <f aca="false">J3</f>
        <v>2934810.41666667</v>
      </c>
      <c r="F4" s="20" t="n">
        <f aca="false">E4*B1Ret/12</f>
        <v>17119.7274305556</v>
      </c>
      <c r="G4" s="20" t="n">
        <f aca="false">D4</f>
        <v>50000</v>
      </c>
      <c r="H4" s="20" t="n">
        <v>0</v>
      </c>
      <c r="I4" s="20" t="n">
        <f aca="false">H4</f>
        <v>0</v>
      </c>
      <c r="J4" s="20" t="n">
        <f aca="false">E4+F4-G4+I4</f>
        <v>2901930.14409722</v>
      </c>
      <c r="K4" s="20" t="n">
        <f aca="false">O3</f>
        <v>7105393.75</v>
      </c>
      <c r="L4" s="20" t="n">
        <f aca="false">K4*B2Ret/12</f>
        <v>53290.453125</v>
      </c>
      <c r="M4" s="20" t="n">
        <f aca="false">-I4</f>
        <v>-0</v>
      </c>
      <c r="N4" s="20" t="n">
        <v>0</v>
      </c>
      <c r="O4" s="20" t="n">
        <f aca="false">K4+L4+M4+N4</f>
        <v>7158684.203125</v>
      </c>
      <c r="P4" s="20" t="n">
        <f aca="false">S3</f>
        <v>10184173.6111111</v>
      </c>
      <c r="Q4" s="20" t="n">
        <f aca="false">P4*B3Ret/12</f>
        <v>93354.9247685185</v>
      </c>
      <c r="R4" s="20" t="n">
        <f aca="false">-N4</f>
        <v>-0</v>
      </c>
      <c r="S4" s="20" t="n">
        <f aca="false">P4+Q4+R4</f>
        <v>10277528.5358796</v>
      </c>
      <c r="T4" s="20" t="n">
        <f aca="false">J4+O4+S4</f>
        <v>20338142.8831019</v>
      </c>
    </row>
    <row r="5" customFormat="false" ht="15" hidden="false" customHeight="false" outlineLevel="0" collapsed="false">
      <c r="A5" s="19" t="n">
        <v>4</v>
      </c>
      <c r="B5" s="19" t="n">
        <f aca="false">ROUNDUP(A5/12,0)</f>
        <v>1</v>
      </c>
      <c r="C5" s="19" t="n">
        <f aca="false">Age+B5-1</f>
        <v>62</v>
      </c>
      <c r="D5" s="20" t="n">
        <f aca="false">MonthlyExp*(1+Inflation)^(B5-1)</f>
        <v>50000</v>
      </c>
      <c r="E5" s="20" t="n">
        <f aca="false">J4</f>
        <v>2901930.14409722</v>
      </c>
      <c r="F5" s="20" t="n">
        <f aca="false">E5*B1Ret/12</f>
        <v>16927.9258405671</v>
      </c>
      <c r="G5" s="20" t="n">
        <f aca="false">D5</f>
        <v>50000</v>
      </c>
      <c r="H5" s="20" t="n">
        <v>0</v>
      </c>
      <c r="I5" s="20" t="n">
        <f aca="false">H5</f>
        <v>0</v>
      </c>
      <c r="J5" s="20" t="n">
        <f aca="false">E5+F5-G5+I5</f>
        <v>2868858.06993779</v>
      </c>
      <c r="K5" s="20" t="n">
        <f aca="false">O4</f>
        <v>7158684.203125</v>
      </c>
      <c r="L5" s="20" t="n">
        <f aca="false">K5*B2Ret/12</f>
        <v>53690.1315234375</v>
      </c>
      <c r="M5" s="20" t="n">
        <f aca="false">-I5</f>
        <v>-0</v>
      </c>
      <c r="N5" s="20" t="n">
        <v>0</v>
      </c>
      <c r="O5" s="20" t="n">
        <f aca="false">K5+L5+M5+N5</f>
        <v>7212374.33464844</v>
      </c>
      <c r="P5" s="20" t="n">
        <f aca="false">S4</f>
        <v>10277528.5358796</v>
      </c>
      <c r="Q5" s="20" t="n">
        <f aca="false">P5*B3Ret/12</f>
        <v>94210.6782455633</v>
      </c>
      <c r="R5" s="20" t="n">
        <f aca="false">-N5</f>
        <v>-0</v>
      </c>
      <c r="S5" s="20" t="n">
        <f aca="false">P5+Q5+R5</f>
        <v>10371739.2141252</v>
      </c>
      <c r="T5" s="20" t="n">
        <f aca="false">J5+O5+S5</f>
        <v>20452971.6187114</v>
      </c>
    </row>
    <row r="6" customFormat="false" ht="15" hidden="false" customHeight="false" outlineLevel="0" collapsed="false">
      <c r="A6" s="19" t="n">
        <v>5</v>
      </c>
      <c r="B6" s="19" t="n">
        <f aca="false">ROUNDUP(A6/12,0)</f>
        <v>1</v>
      </c>
      <c r="C6" s="19" t="n">
        <f aca="false">Age+B6-1</f>
        <v>62</v>
      </c>
      <c r="D6" s="20" t="n">
        <f aca="false">MonthlyExp*(1+Inflation)^(B6-1)</f>
        <v>50000</v>
      </c>
      <c r="E6" s="20" t="n">
        <f aca="false">J5</f>
        <v>2868858.06993779</v>
      </c>
      <c r="F6" s="20" t="n">
        <f aca="false">E6*B1Ret/12</f>
        <v>16735.0054079704</v>
      </c>
      <c r="G6" s="20" t="n">
        <f aca="false">D6</f>
        <v>50000</v>
      </c>
      <c r="H6" s="20" t="n">
        <v>0</v>
      </c>
      <c r="I6" s="20" t="n">
        <f aca="false">H6</f>
        <v>0</v>
      </c>
      <c r="J6" s="20" t="n">
        <f aca="false">E6+F6-G6+I6</f>
        <v>2835593.07534576</v>
      </c>
      <c r="K6" s="20" t="n">
        <f aca="false">O5</f>
        <v>7212374.33464844</v>
      </c>
      <c r="L6" s="20" t="n">
        <f aca="false">K6*B2Ret/12</f>
        <v>54092.8075098633</v>
      </c>
      <c r="M6" s="20" t="n">
        <f aca="false">-I6</f>
        <v>-0</v>
      </c>
      <c r="N6" s="20" t="n">
        <v>0</v>
      </c>
      <c r="O6" s="20" t="n">
        <f aca="false">K6+L6+M6+N6</f>
        <v>7266467.1421583</v>
      </c>
      <c r="P6" s="20" t="n">
        <f aca="false">S5</f>
        <v>10371739.2141252</v>
      </c>
      <c r="Q6" s="20" t="n">
        <f aca="false">P6*B3Ret/12</f>
        <v>95074.2761294809</v>
      </c>
      <c r="R6" s="20" t="n">
        <f aca="false">-N6</f>
        <v>-0</v>
      </c>
      <c r="S6" s="20" t="n">
        <f aca="false">P6+Q6+R6</f>
        <v>10466813.4902547</v>
      </c>
      <c r="T6" s="20" t="n">
        <f aca="false">J6+O6+S6</f>
        <v>20568873.7077587</v>
      </c>
    </row>
    <row r="7" customFormat="false" ht="15" hidden="false" customHeight="false" outlineLevel="0" collapsed="false">
      <c r="A7" s="19" t="n">
        <v>6</v>
      </c>
      <c r="B7" s="19" t="n">
        <f aca="false">ROUNDUP(A7/12,0)</f>
        <v>1</v>
      </c>
      <c r="C7" s="19" t="n">
        <f aca="false">Age+B7-1</f>
        <v>62</v>
      </c>
      <c r="D7" s="20" t="n">
        <f aca="false">MonthlyExp*(1+Inflation)^(B7-1)</f>
        <v>50000</v>
      </c>
      <c r="E7" s="20" t="n">
        <f aca="false">J6</f>
        <v>2835593.07534576</v>
      </c>
      <c r="F7" s="20" t="n">
        <f aca="false">E7*B1Ret/12</f>
        <v>16540.9596061836</v>
      </c>
      <c r="G7" s="20" t="n">
        <f aca="false">D7</f>
        <v>50000</v>
      </c>
      <c r="H7" s="20" t="n">
        <v>0</v>
      </c>
      <c r="I7" s="20" t="n">
        <f aca="false">H7</f>
        <v>0</v>
      </c>
      <c r="J7" s="20" t="n">
        <f aca="false">E7+F7-G7+I7</f>
        <v>2802134.03495194</v>
      </c>
      <c r="K7" s="20" t="n">
        <f aca="false">O6</f>
        <v>7266467.1421583</v>
      </c>
      <c r="L7" s="20" t="n">
        <f aca="false">K7*B2Ret/12</f>
        <v>54498.5035661873</v>
      </c>
      <c r="M7" s="20" t="n">
        <f aca="false">-I7</f>
        <v>-0</v>
      </c>
      <c r="N7" s="20" t="n">
        <v>0</v>
      </c>
      <c r="O7" s="20" t="n">
        <f aca="false">K7+L7+M7+N7</f>
        <v>7320965.64572449</v>
      </c>
      <c r="P7" s="20" t="n">
        <f aca="false">S6</f>
        <v>10466813.4902547</v>
      </c>
      <c r="Q7" s="20" t="n">
        <f aca="false">P7*B3Ret/12</f>
        <v>95945.7903273345</v>
      </c>
      <c r="R7" s="20" t="n">
        <f aca="false">-N7</f>
        <v>-0</v>
      </c>
      <c r="S7" s="20" t="n">
        <f aca="false">P7+Q7+R7</f>
        <v>10562759.280582</v>
      </c>
      <c r="T7" s="20" t="n">
        <f aca="false">J7+O7+S7</f>
        <v>20685858.9612584</v>
      </c>
    </row>
    <row r="8" customFormat="false" ht="15" hidden="false" customHeight="false" outlineLevel="0" collapsed="false">
      <c r="A8" s="19" t="n">
        <v>7</v>
      </c>
      <c r="B8" s="19" t="n">
        <f aca="false">ROUNDUP(A8/12,0)</f>
        <v>1</v>
      </c>
      <c r="C8" s="19" t="n">
        <f aca="false">Age+B8-1</f>
        <v>62</v>
      </c>
      <c r="D8" s="20" t="n">
        <f aca="false">MonthlyExp*(1+Inflation)^(B8-1)</f>
        <v>50000</v>
      </c>
      <c r="E8" s="20" t="n">
        <f aca="false">J7</f>
        <v>2802134.03495194</v>
      </c>
      <c r="F8" s="20" t="n">
        <f aca="false">E8*B1Ret/12</f>
        <v>16345.781870553</v>
      </c>
      <c r="G8" s="20" t="n">
        <f aca="false">D8</f>
        <v>50000</v>
      </c>
      <c r="H8" s="20" t="n">
        <v>0</v>
      </c>
      <c r="I8" s="20" t="n">
        <f aca="false">H8</f>
        <v>0</v>
      </c>
      <c r="J8" s="20" t="n">
        <f aca="false">E8+F8-G8+I8</f>
        <v>2768479.8168225</v>
      </c>
      <c r="K8" s="20" t="n">
        <f aca="false">O7</f>
        <v>7320965.64572449</v>
      </c>
      <c r="L8" s="20" t="n">
        <f aca="false">K8*B2Ret/12</f>
        <v>54907.2423429337</v>
      </c>
      <c r="M8" s="20" t="n">
        <f aca="false">-I8</f>
        <v>-0</v>
      </c>
      <c r="N8" s="20" t="n">
        <v>0</v>
      </c>
      <c r="O8" s="20" t="n">
        <f aca="false">K8+L8+M8+N8</f>
        <v>7375872.88806742</v>
      </c>
      <c r="P8" s="20" t="n">
        <f aca="false">S7</f>
        <v>10562759.280582</v>
      </c>
      <c r="Q8" s="20" t="n">
        <f aca="false">P8*B3Ret/12</f>
        <v>96825.2934053351</v>
      </c>
      <c r="R8" s="20" t="n">
        <f aca="false">-N8</f>
        <v>-0</v>
      </c>
      <c r="S8" s="20" t="n">
        <f aca="false">P8+Q8+R8</f>
        <v>10659584.5739873</v>
      </c>
      <c r="T8" s="20" t="n">
        <f aca="false">J8+O8+S8</f>
        <v>20803937.2788773</v>
      </c>
    </row>
    <row r="9" customFormat="false" ht="15" hidden="false" customHeight="false" outlineLevel="0" collapsed="false">
      <c r="A9" s="19" t="n">
        <v>8</v>
      </c>
      <c r="B9" s="19" t="n">
        <f aca="false">ROUNDUP(A9/12,0)</f>
        <v>1</v>
      </c>
      <c r="C9" s="19" t="n">
        <f aca="false">Age+B9-1</f>
        <v>62</v>
      </c>
      <c r="D9" s="20" t="n">
        <f aca="false">MonthlyExp*(1+Inflation)^(B9-1)</f>
        <v>50000</v>
      </c>
      <c r="E9" s="20" t="n">
        <f aca="false">J8</f>
        <v>2768479.8168225</v>
      </c>
      <c r="F9" s="20" t="n">
        <f aca="false">E9*B1Ret/12</f>
        <v>16149.4655981312</v>
      </c>
      <c r="G9" s="20" t="n">
        <f aca="false">D9</f>
        <v>50000</v>
      </c>
      <c r="H9" s="20" t="n">
        <v>0</v>
      </c>
      <c r="I9" s="20" t="n">
        <f aca="false">H9</f>
        <v>0</v>
      </c>
      <c r="J9" s="20" t="n">
        <f aca="false">E9+F9-G9+I9</f>
        <v>2734629.28242063</v>
      </c>
      <c r="K9" s="20" t="n">
        <f aca="false">O8</f>
        <v>7375872.88806742</v>
      </c>
      <c r="L9" s="20" t="n">
        <f aca="false">K9*B2Ret/12</f>
        <v>55319.0466605057</v>
      </c>
      <c r="M9" s="20" t="n">
        <f aca="false">-I9</f>
        <v>-0</v>
      </c>
      <c r="N9" s="20" t="n">
        <v>0</v>
      </c>
      <c r="O9" s="20" t="n">
        <f aca="false">K9+L9+M9+N9</f>
        <v>7431191.93472793</v>
      </c>
      <c r="P9" s="20" t="n">
        <f aca="false">S8</f>
        <v>10659584.5739873</v>
      </c>
      <c r="Q9" s="20" t="n">
        <f aca="false">P9*B3Ret/12</f>
        <v>97712.858594884</v>
      </c>
      <c r="R9" s="20" t="n">
        <f aca="false">-N9</f>
        <v>-0</v>
      </c>
      <c r="S9" s="20" t="n">
        <f aca="false">P9+Q9+R9</f>
        <v>10757297.4325822</v>
      </c>
      <c r="T9" s="20" t="n">
        <f aca="false">J9+O9+S9</f>
        <v>20923118.6497308</v>
      </c>
    </row>
    <row r="10" customFormat="false" ht="15" hidden="false" customHeight="false" outlineLevel="0" collapsed="false">
      <c r="A10" s="19" t="n">
        <v>9</v>
      </c>
      <c r="B10" s="19" t="n">
        <f aca="false">ROUNDUP(A10/12,0)</f>
        <v>1</v>
      </c>
      <c r="C10" s="19" t="n">
        <f aca="false">Age+B10-1</f>
        <v>62</v>
      </c>
      <c r="D10" s="20" t="n">
        <f aca="false">MonthlyExp*(1+Inflation)^(B10-1)</f>
        <v>50000</v>
      </c>
      <c r="E10" s="20" t="n">
        <f aca="false">J9</f>
        <v>2734629.28242063</v>
      </c>
      <c r="F10" s="20" t="n">
        <f aca="false">E10*B1Ret/12</f>
        <v>15952.0041474537</v>
      </c>
      <c r="G10" s="20" t="n">
        <f aca="false">D10</f>
        <v>50000</v>
      </c>
      <c r="H10" s="20" t="n">
        <v>0</v>
      </c>
      <c r="I10" s="20" t="n">
        <f aca="false">H10</f>
        <v>0</v>
      </c>
      <c r="J10" s="20" t="n">
        <f aca="false">E10+F10-G10+I10</f>
        <v>2700581.28656808</v>
      </c>
      <c r="K10" s="20" t="n">
        <f aca="false">O9</f>
        <v>7431191.93472793</v>
      </c>
      <c r="L10" s="20" t="n">
        <f aca="false">K10*B2Ret/12</f>
        <v>55733.9395104595</v>
      </c>
      <c r="M10" s="20" t="n">
        <f aca="false">-I10</f>
        <v>-0</v>
      </c>
      <c r="N10" s="20" t="n">
        <v>0</v>
      </c>
      <c r="O10" s="20" t="n">
        <f aca="false">K10+L10+M10+N10</f>
        <v>7486925.87423839</v>
      </c>
      <c r="P10" s="20" t="n">
        <f aca="false">S9</f>
        <v>10757297.4325822</v>
      </c>
      <c r="Q10" s="20" t="n">
        <f aca="false">P10*B3Ret/12</f>
        <v>98608.5597986704</v>
      </c>
      <c r="R10" s="20" t="n">
        <f aca="false">-N10</f>
        <v>-0</v>
      </c>
      <c r="S10" s="20" t="n">
        <f aca="false">P10+Q10+R10</f>
        <v>10855905.9923809</v>
      </c>
      <c r="T10" s="20" t="n">
        <f aca="false">J10+O10+S10</f>
        <v>21043413.1531874</v>
      </c>
    </row>
    <row r="11" customFormat="false" ht="15" hidden="false" customHeight="false" outlineLevel="0" collapsed="false">
      <c r="A11" s="19" t="n">
        <v>10</v>
      </c>
      <c r="B11" s="19" t="n">
        <f aca="false">ROUNDUP(A11/12,0)</f>
        <v>1</v>
      </c>
      <c r="C11" s="19" t="n">
        <f aca="false">Age+B11-1</f>
        <v>62</v>
      </c>
      <c r="D11" s="20" t="n">
        <f aca="false">MonthlyExp*(1+Inflation)^(B11-1)</f>
        <v>50000</v>
      </c>
      <c r="E11" s="20" t="n">
        <f aca="false">J10</f>
        <v>2700581.28656808</v>
      </c>
      <c r="F11" s="20" t="n">
        <f aca="false">E11*B1Ret/12</f>
        <v>15753.3908383138</v>
      </c>
      <c r="G11" s="20" t="n">
        <f aca="false">D11</f>
        <v>50000</v>
      </c>
      <c r="H11" s="20" t="n">
        <v>0</v>
      </c>
      <c r="I11" s="20" t="n">
        <f aca="false">H11</f>
        <v>0</v>
      </c>
      <c r="J11" s="20" t="n">
        <f aca="false">E11+F11-G11+I11</f>
        <v>2666334.6774064</v>
      </c>
      <c r="K11" s="20" t="n">
        <f aca="false">O10</f>
        <v>7486925.87423839</v>
      </c>
      <c r="L11" s="20" t="n">
        <f aca="false">K11*B2Ret/12</f>
        <v>56151.9440567879</v>
      </c>
      <c r="M11" s="20" t="n">
        <f aca="false">-I11</f>
        <v>-0</v>
      </c>
      <c r="N11" s="20" t="n">
        <v>0</v>
      </c>
      <c r="O11" s="20" t="n">
        <f aca="false">K11+L11+M11+N11</f>
        <v>7543077.81829517</v>
      </c>
      <c r="P11" s="20" t="n">
        <f aca="false">S10</f>
        <v>10855905.9923809</v>
      </c>
      <c r="Q11" s="20" t="n">
        <f aca="false">P11*B3Ret/12</f>
        <v>99512.4715968249</v>
      </c>
      <c r="R11" s="20" t="n">
        <f aca="false">-N11</f>
        <v>-0</v>
      </c>
      <c r="S11" s="20" t="n">
        <f aca="false">P11+Q11+R11</f>
        <v>10955418.4639777</v>
      </c>
      <c r="T11" s="20" t="n">
        <f aca="false">J11+O11+S11</f>
        <v>21164830.9596793</v>
      </c>
    </row>
    <row r="12" customFormat="false" ht="15" hidden="false" customHeight="false" outlineLevel="0" collapsed="false">
      <c r="A12" s="19" t="n">
        <v>11</v>
      </c>
      <c r="B12" s="19" t="n">
        <f aca="false">ROUNDUP(A12/12,0)</f>
        <v>1</v>
      </c>
      <c r="C12" s="19" t="n">
        <f aca="false">Age+B12-1</f>
        <v>62</v>
      </c>
      <c r="D12" s="20" t="n">
        <f aca="false">MonthlyExp*(1+Inflation)^(B12-1)</f>
        <v>50000</v>
      </c>
      <c r="E12" s="20" t="n">
        <f aca="false">J11</f>
        <v>2666334.6774064</v>
      </c>
      <c r="F12" s="20" t="n">
        <f aca="false">E12*B1Ret/12</f>
        <v>15553.6189515373</v>
      </c>
      <c r="G12" s="20" t="n">
        <f aca="false">D12</f>
        <v>50000</v>
      </c>
      <c r="H12" s="20" t="n">
        <v>0</v>
      </c>
      <c r="I12" s="20" t="n">
        <f aca="false">H12</f>
        <v>0</v>
      </c>
      <c r="J12" s="20" t="n">
        <f aca="false">E12+F12-G12+I12</f>
        <v>2631888.29635793</v>
      </c>
      <c r="K12" s="20" t="n">
        <f aca="false">O11</f>
        <v>7543077.81829517</v>
      </c>
      <c r="L12" s="20" t="n">
        <f aca="false">K12*B2Ret/12</f>
        <v>56573.0836372138</v>
      </c>
      <c r="M12" s="20" t="n">
        <f aca="false">-I12</f>
        <v>-0</v>
      </c>
      <c r="N12" s="20" t="n">
        <v>0</v>
      </c>
      <c r="O12" s="20" t="n">
        <f aca="false">K12+L12+M12+N12</f>
        <v>7599650.90193239</v>
      </c>
      <c r="P12" s="20" t="n">
        <f aca="false">S11</f>
        <v>10955418.4639777</v>
      </c>
      <c r="Q12" s="20" t="n">
        <f aca="false">P12*B3Ret/12</f>
        <v>100424.669253129</v>
      </c>
      <c r="R12" s="20" t="n">
        <f aca="false">-N12</f>
        <v>-0</v>
      </c>
      <c r="S12" s="20" t="n">
        <f aca="false">P12+Q12+R12</f>
        <v>11055843.1332309</v>
      </c>
      <c r="T12" s="20" t="n">
        <f aca="false">J12+O12+S12</f>
        <v>21287382.3315212</v>
      </c>
    </row>
    <row r="13" customFormat="false" ht="15" hidden="false" customHeight="false" outlineLevel="0" collapsed="false">
      <c r="A13" s="19" t="n">
        <v>12</v>
      </c>
      <c r="B13" s="19" t="n">
        <f aca="false">ROUNDUP(A13/12,0)</f>
        <v>1</v>
      </c>
      <c r="C13" s="19" t="n">
        <f aca="false">Age+B13-1</f>
        <v>62</v>
      </c>
      <c r="D13" s="20" t="n">
        <f aca="false">MonthlyExp*(1+Inflation)^(B13-1)</f>
        <v>50000</v>
      </c>
      <c r="E13" s="20" t="n">
        <f aca="false">J12</f>
        <v>2631888.29635793</v>
      </c>
      <c r="F13" s="20" t="n">
        <f aca="false">E13*B1Ret/12</f>
        <v>15352.6817287546</v>
      </c>
      <c r="G13" s="20" t="n">
        <f aca="false">D13</f>
        <v>50000</v>
      </c>
      <c r="H13" s="20" t="n">
        <v>0</v>
      </c>
      <c r="I13" s="20" t="n">
        <f aca="false">H13</f>
        <v>0</v>
      </c>
      <c r="J13" s="20" t="n">
        <f aca="false">E13+F13-G13+I13</f>
        <v>2597240.97808669</v>
      </c>
      <c r="K13" s="20" t="n">
        <f aca="false">O12</f>
        <v>7599650.90193239</v>
      </c>
      <c r="L13" s="20" t="n">
        <f aca="false">K13*B2Ret/12</f>
        <v>56997.3817644929</v>
      </c>
      <c r="M13" s="20" t="n">
        <f aca="false">-I13</f>
        <v>-0</v>
      </c>
      <c r="N13" s="20" t="n">
        <v>0</v>
      </c>
      <c r="O13" s="20" t="n">
        <f aca="false">K13+L13+M13+N13</f>
        <v>7656648.28369688</v>
      </c>
      <c r="P13" s="20" t="n">
        <f aca="false">S12</f>
        <v>11055843.1332309</v>
      </c>
      <c r="Q13" s="20" t="n">
        <f aca="false">P13*B3Ret/12</f>
        <v>101345.228721283</v>
      </c>
      <c r="R13" s="20" t="n">
        <f aca="false">-N13</f>
        <v>-0</v>
      </c>
      <c r="S13" s="20" t="n">
        <f aca="false">P13+Q13+R13</f>
        <v>11157188.3619521</v>
      </c>
      <c r="T13" s="20" t="n">
        <f aca="false">J13+O13+S13</f>
        <v>21411077.6237357</v>
      </c>
    </row>
    <row r="14" customFormat="false" ht="15" hidden="false" customHeight="false" outlineLevel="0" collapsed="false">
      <c r="A14" s="19" t="n">
        <v>13</v>
      </c>
      <c r="B14" s="19" t="n">
        <f aca="false">ROUNDUP(A14/12,0)</f>
        <v>2</v>
      </c>
      <c r="C14" s="19" t="n">
        <f aca="false">Age+B14-1</f>
        <v>63</v>
      </c>
      <c r="D14" s="20" t="n">
        <f aca="false">MonthlyExp*(1+Inflation)^(B14-1)</f>
        <v>53500</v>
      </c>
      <c r="E14" s="20" t="n">
        <f aca="false">J13</f>
        <v>2597240.97808669</v>
      </c>
      <c r="F14" s="20" t="n">
        <f aca="false">E14*B1Ret/12</f>
        <v>15150.5723721723</v>
      </c>
      <c r="G14" s="20" t="n">
        <f aca="false">D14</f>
        <v>53500</v>
      </c>
      <c r="H14" s="20" t="n">
        <v>0</v>
      </c>
      <c r="I14" s="20" t="n">
        <f aca="false">H14</f>
        <v>0</v>
      </c>
      <c r="J14" s="20" t="n">
        <f aca="false">E14+F14-G14+I14</f>
        <v>2558891.55045886</v>
      </c>
      <c r="K14" s="20" t="n">
        <f aca="false">O13</f>
        <v>7656648.28369688</v>
      </c>
      <c r="L14" s="20" t="n">
        <f aca="false">K14*B2Ret/12</f>
        <v>57424.8621277266</v>
      </c>
      <c r="M14" s="20" t="n">
        <f aca="false">-I14</f>
        <v>-0</v>
      </c>
      <c r="N14" s="20" t="n">
        <v>0</v>
      </c>
      <c r="O14" s="20" t="n">
        <f aca="false">K14+L14+M14+N14</f>
        <v>7714073.14582461</v>
      </c>
      <c r="P14" s="20" t="n">
        <f aca="false">S13</f>
        <v>11157188.3619521</v>
      </c>
      <c r="Q14" s="20" t="n">
        <f aca="false">P14*B3Ret/12</f>
        <v>102274.226651228</v>
      </c>
      <c r="R14" s="20" t="n">
        <f aca="false">-N14</f>
        <v>-0</v>
      </c>
      <c r="S14" s="20" t="n">
        <f aca="false">P14+Q14+R14</f>
        <v>11259462.5886034</v>
      </c>
      <c r="T14" s="20" t="n">
        <f aca="false">J14+O14+S14</f>
        <v>21532427.2848868</v>
      </c>
    </row>
    <row r="15" customFormat="false" ht="15" hidden="false" customHeight="false" outlineLevel="0" collapsed="false">
      <c r="A15" s="19" t="n">
        <v>14</v>
      </c>
      <c r="B15" s="19" t="n">
        <f aca="false">ROUNDUP(A15/12,0)</f>
        <v>2</v>
      </c>
      <c r="C15" s="19" t="n">
        <f aca="false">Age+B15-1</f>
        <v>63</v>
      </c>
      <c r="D15" s="20" t="n">
        <f aca="false">MonthlyExp*(1+Inflation)^(B15-1)</f>
        <v>53500</v>
      </c>
      <c r="E15" s="20" t="n">
        <f aca="false">J14</f>
        <v>2558891.55045886</v>
      </c>
      <c r="F15" s="20" t="n">
        <f aca="false">E15*B1Ret/12</f>
        <v>14926.8673776767</v>
      </c>
      <c r="G15" s="20" t="n">
        <f aca="false">D15</f>
        <v>53500</v>
      </c>
      <c r="H15" s="20" t="n">
        <v>0</v>
      </c>
      <c r="I15" s="20" t="n">
        <f aca="false">H15</f>
        <v>0</v>
      </c>
      <c r="J15" s="20" t="n">
        <f aca="false">E15+F15-G15+I15</f>
        <v>2520318.41783654</v>
      </c>
      <c r="K15" s="20" t="n">
        <f aca="false">O14</f>
        <v>7714073.14582461</v>
      </c>
      <c r="L15" s="20" t="n">
        <f aca="false">K15*B2Ret/12</f>
        <v>57855.5485936846</v>
      </c>
      <c r="M15" s="20" t="n">
        <f aca="false">-I15</f>
        <v>-0</v>
      </c>
      <c r="N15" s="20" t="n">
        <v>0</v>
      </c>
      <c r="O15" s="20" t="n">
        <f aca="false">K15+L15+M15+N15</f>
        <v>7771928.69441829</v>
      </c>
      <c r="P15" s="20" t="n">
        <f aca="false">S14</f>
        <v>11259462.5886034</v>
      </c>
      <c r="Q15" s="20" t="n">
        <f aca="false">P15*B3Ret/12</f>
        <v>103211.740395531</v>
      </c>
      <c r="R15" s="20" t="n">
        <f aca="false">-N15</f>
        <v>-0</v>
      </c>
      <c r="S15" s="20" t="n">
        <f aca="false">P15+Q15+R15</f>
        <v>11362674.3289989</v>
      </c>
      <c r="T15" s="20" t="n">
        <f aca="false">J15+O15+S15</f>
        <v>21654921.4412537</v>
      </c>
    </row>
    <row r="16" customFormat="false" ht="15" hidden="false" customHeight="false" outlineLevel="0" collapsed="false">
      <c r="A16" s="19" t="n">
        <v>15</v>
      </c>
      <c r="B16" s="19" t="n">
        <f aca="false">ROUNDUP(A16/12,0)</f>
        <v>2</v>
      </c>
      <c r="C16" s="19" t="n">
        <f aca="false">Age+B16-1</f>
        <v>63</v>
      </c>
      <c r="D16" s="20" t="n">
        <f aca="false">MonthlyExp*(1+Inflation)^(B16-1)</f>
        <v>53500</v>
      </c>
      <c r="E16" s="20" t="n">
        <f aca="false">J15</f>
        <v>2520318.41783654</v>
      </c>
      <c r="F16" s="20" t="n">
        <f aca="false">E16*B1Ret/12</f>
        <v>14701.8574373798</v>
      </c>
      <c r="G16" s="20" t="n">
        <f aca="false">D16</f>
        <v>53500</v>
      </c>
      <c r="H16" s="20" t="n">
        <v>0</v>
      </c>
      <c r="I16" s="20" t="n">
        <f aca="false">H16</f>
        <v>0</v>
      </c>
      <c r="J16" s="20" t="n">
        <f aca="false">E16+F16-G16+I16</f>
        <v>2481520.27527392</v>
      </c>
      <c r="K16" s="20" t="n">
        <f aca="false">O15</f>
        <v>7771928.69441829</v>
      </c>
      <c r="L16" s="20" t="n">
        <f aca="false">K16*B2Ret/12</f>
        <v>58289.4652081372</v>
      </c>
      <c r="M16" s="20" t="n">
        <f aca="false">-I16</f>
        <v>-0</v>
      </c>
      <c r="N16" s="20" t="n">
        <v>0</v>
      </c>
      <c r="O16" s="20" t="n">
        <f aca="false">K16+L16+M16+N16</f>
        <v>7830218.15962643</v>
      </c>
      <c r="P16" s="20" t="n">
        <f aca="false">S15</f>
        <v>11362674.3289989</v>
      </c>
      <c r="Q16" s="20" t="n">
        <f aca="false">P16*B3Ret/12</f>
        <v>104157.848015823</v>
      </c>
      <c r="R16" s="20" t="n">
        <f aca="false">-N16</f>
        <v>-0</v>
      </c>
      <c r="S16" s="20" t="n">
        <f aca="false">P16+Q16+R16</f>
        <v>11466832.1770147</v>
      </c>
      <c r="T16" s="20" t="n">
        <f aca="false">J16+O16+S16</f>
        <v>21778570.6119151</v>
      </c>
    </row>
    <row r="17" customFormat="false" ht="15" hidden="false" customHeight="false" outlineLevel="0" collapsed="false">
      <c r="A17" s="19" t="n">
        <v>16</v>
      </c>
      <c r="B17" s="19" t="n">
        <f aca="false">ROUNDUP(A17/12,0)</f>
        <v>2</v>
      </c>
      <c r="C17" s="19" t="n">
        <f aca="false">Age+B17-1</f>
        <v>63</v>
      </c>
      <c r="D17" s="20" t="n">
        <f aca="false">MonthlyExp*(1+Inflation)^(B17-1)</f>
        <v>53500</v>
      </c>
      <c r="E17" s="20" t="n">
        <f aca="false">J16</f>
        <v>2481520.27527392</v>
      </c>
      <c r="F17" s="20" t="n">
        <f aca="false">E17*B1Ret/12</f>
        <v>14475.5349390978</v>
      </c>
      <c r="G17" s="20" t="n">
        <f aca="false">D17</f>
        <v>53500</v>
      </c>
      <c r="H17" s="20" t="n">
        <v>0</v>
      </c>
      <c r="I17" s="20" t="n">
        <f aca="false">H17</f>
        <v>0</v>
      </c>
      <c r="J17" s="20" t="n">
        <f aca="false">E17+F17-G17+I17</f>
        <v>2442495.81021301</v>
      </c>
      <c r="K17" s="20" t="n">
        <f aca="false">O16</f>
        <v>7830218.15962643</v>
      </c>
      <c r="L17" s="20" t="n">
        <f aca="false">K17*B2Ret/12</f>
        <v>58726.6361971982</v>
      </c>
      <c r="M17" s="20" t="n">
        <f aca="false">-I17</f>
        <v>-0</v>
      </c>
      <c r="N17" s="20" t="n">
        <v>0</v>
      </c>
      <c r="O17" s="20" t="n">
        <f aca="false">K17+L17+M17+N17</f>
        <v>7888944.79582363</v>
      </c>
      <c r="P17" s="20" t="n">
        <f aca="false">S16</f>
        <v>11466832.1770147</v>
      </c>
      <c r="Q17" s="20" t="n">
        <f aca="false">P17*B3Ret/12</f>
        <v>105112.628289302</v>
      </c>
      <c r="R17" s="20" t="n">
        <f aca="false">-N17</f>
        <v>-0</v>
      </c>
      <c r="S17" s="20" t="n">
        <f aca="false">P17+Q17+R17</f>
        <v>11571944.805304</v>
      </c>
      <c r="T17" s="20" t="n">
        <f aca="false">J17+O17+S17</f>
        <v>21903385.4113407</v>
      </c>
    </row>
    <row r="18" customFormat="false" ht="15" hidden="false" customHeight="false" outlineLevel="0" collapsed="false">
      <c r="A18" s="19" t="n">
        <v>17</v>
      </c>
      <c r="B18" s="19" t="n">
        <f aca="false">ROUNDUP(A18/12,0)</f>
        <v>2</v>
      </c>
      <c r="C18" s="19" t="n">
        <f aca="false">Age+B18-1</f>
        <v>63</v>
      </c>
      <c r="D18" s="20" t="n">
        <f aca="false">MonthlyExp*(1+Inflation)^(B18-1)</f>
        <v>53500</v>
      </c>
      <c r="E18" s="20" t="n">
        <f aca="false">J17</f>
        <v>2442495.81021301</v>
      </c>
      <c r="F18" s="20" t="n">
        <f aca="false">E18*B1Ret/12</f>
        <v>14247.8922262426</v>
      </c>
      <c r="G18" s="20" t="n">
        <f aca="false">D18</f>
        <v>53500</v>
      </c>
      <c r="H18" s="20" t="n">
        <v>0</v>
      </c>
      <c r="I18" s="20" t="n">
        <f aca="false">H18</f>
        <v>0</v>
      </c>
      <c r="J18" s="20" t="n">
        <f aca="false">E18+F18-G18+I18</f>
        <v>2403243.70243926</v>
      </c>
      <c r="K18" s="20" t="n">
        <f aca="false">O17</f>
        <v>7888944.79582363</v>
      </c>
      <c r="L18" s="20" t="n">
        <f aca="false">K18*B2Ret/12</f>
        <v>59167.0859686772</v>
      </c>
      <c r="M18" s="20" t="n">
        <f aca="false">-I18</f>
        <v>-0</v>
      </c>
      <c r="N18" s="20" t="n">
        <v>0</v>
      </c>
      <c r="O18" s="20" t="n">
        <f aca="false">K18+L18+M18+N18</f>
        <v>7948111.88179231</v>
      </c>
      <c r="P18" s="20" t="n">
        <f aca="false">S17</f>
        <v>11571944.805304</v>
      </c>
      <c r="Q18" s="20" t="n">
        <f aca="false">P18*B3Ret/12</f>
        <v>106076.160715287</v>
      </c>
      <c r="R18" s="20" t="n">
        <f aca="false">-N18</f>
        <v>-0</v>
      </c>
      <c r="S18" s="20" t="n">
        <f aca="false">P18+Q18+R18</f>
        <v>11678020.9660193</v>
      </c>
      <c r="T18" s="20" t="n">
        <f aca="false">J18+O18+S18</f>
        <v>22029376.5502509</v>
      </c>
    </row>
    <row r="19" customFormat="false" ht="15" hidden="false" customHeight="false" outlineLevel="0" collapsed="false">
      <c r="A19" s="19" t="n">
        <v>18</v>
      </c>
      <c r="B19" s="19" t="n">
        <f aca="false">ROUNDUP(A19/12,0)</f>
        <v>2</v>
      </c>
      <c r="C19" s="19" t="n">
        <f aca="false">Age+B19-1</f>
        <v>63</v>
      </c>
      <c r="D19" s="20" t="n">
        <f aca="false">MonthlyExp*(1+Inflation)^(B19-1)</f>
        <v>53500</v>
      </c>
      <c r="E19" s="20" t="n">
        <f aca="false">J18</f>
        <v>2403243.70243926</v>
      </c>
      <c r="F19" s="20" t="n">
        <f aca="false">E19*B1Ret/12</f>
        <v>14018.9215975623</v>
      </c>
      <c r="G19" s="20" t="n">
        <f aca="false">D19</f>
        <v>53500</v>
      </c>
      <c r="H19" s="20" t="n">
        <v>0</v>
      </c>
      <c r="I19" s="20" t="n">
        <f aca="false">H19</f>
        <v>0</v>
      </c>
      <c r="J19" s="20" t="n">
        <f aca="false">E19+F19-G19+I19</f>
        <v>2363762.62403682</v>
      </c>
      <c r="K19" s="20" t="n">
        <f aca="false">O18</f>
        <v>7948111.88179231</v>
      </c>
      <c r="L19" s="20" t="n">
        <f aca="false">K19*B2Ret/12</f>
        <v>59610.8391134423</v>
      </c>
      <c r="M19" s="20" t="n">
        <f aca="false">-I19</f>
        <v>-0</v>
      </c>
      <c r="N19" s="20" t="n">
        <v>0</v>
      </c>
      <c r="O19" s="20" t="n">
        <f aca="false">K19+L19+M19+N19</f>
        <v>8007722.72090575</v>
      </c>
      <c r="P19" s="20" t="n">
        <f aca="false">S18</f>
        <v>11678020.9660193</v>
      </c>
      <c r="Q19" s="20" t="n">
        <f aca="false">P19*B3Ret/12</f>
        <v>107048.525521844</v>
      </c>
      <c r="R19" s="20" t="n">
        <f aca="false">-N19</f>
        <v>-0</v>
      </c>
      <c r="S19" s="20" t="n">
        <f aca="false">P19+Q19+R19</f>
        <v>11785069.4915411</v>
      </c>
      <c r="T19" s="20" t="n">
        <f aca="false">J19+O19+S19</f>
        <v>22156554.8364837</v>
      </c>
    </row>
    <row r="20" customFormat="false" ht="15" hidden="false" customHeight="false" outlineLevel="0" collapsed="false">
      <c r="A20" s="19" t="n">
        <v>19</v>
      </c>
      <c r="B20" s="19" t="n">
        <f aca="false">ROUNDUP(A20/12,0)</f>
        <v>2</v>
      </c>
      <c r="C20" s="19" t="n">
        <f aca="false">Age+B20-1</f>
        <v>63</v>
      </c>
      <c r="D20" s="20" t="n">
        <f aca="false">MonthlyExp*(1+Inflation)^(B20-1)</f>
        <v>53500</v>
      </c>
      <c r="E20" s="20" t="n">
        <f aca="false">J19</f>
        <v>2363762.62403682</v>
      </c>
      <c r="F20" s="20" t="n">
        <f aca="false">E20*B1Ret/12</f>
        <v>13788.6153068814</v>
      </c>
      <c r="G20" s="20" t="n">
        <f aca="false">D20</f>
        <v>53500</v>
      </c>
      <c r="H20" s="20" t="n">
        <v>0</v>
      </c>
      <c r="I20" s="20" t="n">
        <f aca="false">H20</f>
        <v>0</v>
      </c>
      <c r="J20" s="20" t="n">
        <f aca="false">E20+F20-G20+I20</f>
        <v>2324051.2393437</v>
      </c>
      <c r="K20" s="20" t="n">
        <f aca="false">O19</f>
        <v>8007722.72090575</v>
      </c>
      <c r="L20" s="20" t="n">
        <f aca="false">K20*B2Ret/12</f>
        <v>60057.9204067931</v>
      </c>
      <c r="M20" s="20" t="n">
        <f aca="false">-I20</f>
        <v>-0</v>
      </c>
      <c r="N20" s="20" t="n">
        <v>0</v>
      </c>
      <c r="O20" s="20" t="n">
        <f aca="false">K20+L20+M20+N20</f>
        <v>8067780.64131254</v>
      </c>
      <c r="P20" s="20" t="n">
        <f aca="false">S19</f>
        <v>11785069.4915411</v>
      </c>
      <c r="Q20" s="20" t="n">
        <f aca="false">P20*B3Ret/12</f>
        <v>108029.803672461</v>
      </c>
      <c r="R20" s="20" t="n">
        <f aca="false">-N20</f>
        <v>-0</v>
      </c>
      <c r="S20" s="20" t="n">
        <f aca="false">P20+Q20+R20</f>
        <v>11893099.2952136</v>
      </c>
      <c r="T20" s="20" t="n">
        <f aca="false">J20+O20+S20</f>
        <v>22284931.1758698</v>
      </c>
    </row>
    <row r="21" customFormat="false" ht="15" hidden="false" customHeight="false" outlineLevel="0" collapsed="false">
      <c r="A21" s="19" t="n">
        <v>20</v>
      </c>
      <c r="B21" s="19" t="n">
        <f aca="false">ROUNDUP(A21/12,0)</f>
        <v>2</v>
      </c>
      <c r="C21" s="19" t="n">
        <f aca="false">Age+B21-1</f>
        <v>63</v>
      </c>
      <c r="D21" s="20" t="n">
        <f aca="false">MonthlyExp*(1+Inflation)^(B21-1)</f>
        <v>53500</v>
      </c>
      <c r="E21" s="20" t="n">
        <f aca="false">J20</f>
        <v>2324051.2393437</v>
      </c>
      <c r="F21" s="20" t="n">
        <f aca="false">E21*B1Ret/12</f>
        <v>13556.9655628382</v>
      </c>
      <c r="G21" s="20" t="n">
        <f aca="false">D21</f>
        <v>53500</v>
      </c>
      <c r="H21" s="20" t="n">
        <v>0</v>
      </c>
      <c r="I21" s="20" t="n">
        <f aca="false">H21</f>
        <v>0</v>
      </c>
      <c r="J21" s="20" t="n">
        <f aca="false">E21+F21-G21+I21</f>
        <v>2284108.20490654</v>
      </c>
      <c r="K21" s="20" t="n">
        <f aca="false">O20</f>
        <v>8067780.64131254</v>
      </c>
      <c r="L21" s="20" t="n">
        <f aca="false">K21*B2Ret/12</f>
        <v>60508.3548098441</v>
      </c>
      <c r="M21" s="20" t="n">
        <f aca="false">-I21</f>
        <v>-0</v>
      </c>
      <c r="N21" s="20" t="n">
        <v>0</v>
      </c>
      <c r="O21" s="20" t="n">
        <f aca="false">K21+L21+M21+N21</f>
        <v>8128288.99612238</v>
      </c>
      <c r="P21" s="20" t="n">
        <f aca="false">S20</f>
        <v>11893099.2952136</v>
      </c>
      <c r="Q21" s="20" t="n">
        <f aca="false">P21*B3Ret/12</f>
        <v>109020.076872791</v>
      </c>
      <c r="R21" s="20" t="n">
        <f aca="false">-N21</f>
        <v>-0</v>
      </c>
      <c r="S21" s="20" t="n">
        <f aca="false">P21+Q21+R21</f>
        <v>12002119.3720864</v>
      </c>
      <c r="T21" s="20" t="n">
        <f aca="false">J21+O21+S21</f>
        <v>22414516.5731153</v>
      </c>
    </row>
    <row r="22" customFormat="false" ht="15" hidden="false" customHeight="false" outlineLevel="0" collapsed="false">
      <c r="A22" s="19" t="n">
        <v>21</v>
      </c>
      <c r="B22" s="19" t="n">
        <f aca="false">ROUNDUP(A22/12,0)</f>
        <v>2</v>
      </c>
      <c r="C22" s="19" t="n">
        <f aca="false">Age+B22-1</f>
        <v>63</v>
      </c>
      <c r="D22" s="20" t="n">
        <f aca="false">MonthlyExp*(1+Inflation)^(B22-1)</f>
        <v>53500</v>
      </c>
      <c r="E22" s="20" t="n">
        <f aca="false">J21</f>
        <v>2284108.20490654</v>
      </c>
      <c r="F22" s="20" t="n">
        <f aca="false">E22*B1Ret/12</f>
        <v>13323.9645286215</v>
      </c>
      <c r="G22" s="20" t="n">
        <f aca="false">D22</f>
        <v>53500</v>
      </c>
      <c r="H22" s="20" t="n">
        <v>0</v>
      </c>
      <c r="I22" s="20" t="n">
        <f aca="false">H22</f>
        <v>0</v>
      </c>
      <c r="J22" s="20" t="n">
        <f aca="false">E22+F22-G22+I22</f>
        <v>2243932.16943516</v>
      </c>
      <c r="K22" s="20" t="n">
        <f aca="false">O21</f>
        <v>8128288.99612238</v>
      </c>
      <c r="L22" s="20" t="n">
        <f aca="false">K22*B2Ret/12</f>
        <v>60962.1674709179</v>
      </c>
      <c r="M22" s="20" t="n">
        <f aca="false">-I22</f>
        <v>-0</v>
      </c>
      <c r="N22" s="20" t="n">
        <v>0</v>
      </c>
      <c r="O22" s="20" t="n">
        <f aca="false">K22+L22+M22+N22</f>
        <v>8189251.1635933</v>
      </c>
      <c r="P22" s="20" t="n">
        <f aca="false">S21</f>
        <v>12002119.3720864</v>
      </c>
      <c r="Q22" s="20" t="n">
        <f aca="false">P22*B3Ret/12</f>
        <v>110019.427577459</v>
      </c>
      <c r="R22" s="20" t="n">
        <f aca="false">-N22</f>
        <v>-0</v>
      </c>
      <c r="S22" s="20" t="n">
        <f aca="false">P22+Q22+R22</f>
        <v>12112138.7996639</v>
      </c>
      <c r="T22" s="20" t="n">
        <f aca="false">J22+O22+S22</f>
        <v>22545322.1326923</v>
      </c>
    </row>
    <row r="23" customFormat="false" ht="15" hidden="false" customHeight="false" outlineLevel="0" collapsed="false">
      <c r="A23" s="19" t="n">
        <v>22</v>
      </c>
      <c r="B23" s="19" t="n">
        <f aca="false">ROUNDUP(A23/12,0)</f>
        <v>2</v>
      </c>
      <c r="C23" s="19" t="n">
        <f aca="false">Age+B23-1</f>
        <v>63</v>
      </c>
      <c r="D23" s="20" t="n">
        <f aca="false">MonthlyExp*(1+Inflation)^(B23-1)</f>
        <v>53500</v>
      </c>
      <c r="E23" s="20" t="n">
        <f aca="false">J22</f>
        <v>2243932.16943516</v>
      </c>
      <c r="F23" s="20" t="n">
        <f aca="false">E23*B1Ret/12</f>
        <v>13089.6043217051</v>
      </c>
      <c r="G23" s="20" t="n">
        <f aca="false">D23</f>
        <v>53500</v>
      </c>
      <c r="H23" s="20" t="n">
        <v>0</v>
      </c>
      <c r="I23" s="20" t="n">
        <f aca="false">H23</f>
        <v>0</v>
      </c>
      <c r="J23" s="20" t="n">
        <f aca="false">E23+F23-G23+I23</f>
        <v>2203521.77375686</v>
      </c>
      <c r="K23" s="20" t="n">
        <f aca="false">O22</f>
        <v>8189251.1635933</v>
      </c>
      <c r="L23" s="20" t="n">
        <f aca="false">K23*B2Ret/12</f>
        <v>61419.3837269498</v>
      </c>
      <c r="M23" s="20" t="n">
        <f aca="false">-I23</f>
        <v>-0</v>
      </c>
      <c r="N23" s="20" t="n">
        <v>0</v>
      </c>
      <c r="O23" s="20" t="n">
        <f aca="false">K23+L23+M23+N23</f>
        <v>8250670.54732025</v>
      </c>
      <c r="P23" s="20" t="n">
        <f aca="false">S22</f>
        <v>12112138.7996639</v>
      </c>
      <c r="Q23" s="20" t="n">
        <f aca="false">P23*B3Ret/12</f>
        <v>111027.938996919</v>
      </c>
      <c r="R23" s="20" t="n">
        <f aca="false">-N23</f>
        <v>-0</v>
      </c>
      <c r="S23" s="20" t="n">
        <f aca="false">P23+Q23+R23</f>
        <v>12223166.7386608</v>
      </c>
      <c r="T23" s="20" t="n">
        <f aca="false">J23+O23+S23</f>
        <v>22677359.0597379</v>
      </c>
    </row>
    <row r="24" customFormat="false" ht="15" hidden="false" customHeight="false" outlineLevel="0" collapsed="false">
      <c r="A24" s="19" t="n">
        <v>23</v>
      </c>
      <c r="B24" s="19" t="n">
        <f aca="false">ROUNDUP(A24/12,0)</f>
        <v>2</v>
      </c>
      <c r="C24" s="19" t="n">
        <f aca="false">Age+B24-1</f>
        <v>63</v>
      </c>
      <c r="D24" s="20" t="n">
        <f aca="false">MonthlyExp*(1+Inflation)^(B24-1)</f>
        <v>53500</v>
      </c>
      <c r="E24" s="20" t="n">
        <f aca="false">J23</f>
        <v>2203521.77375686</v>
      </c>
      <c r="F24" s="20" t="n">
        <f aca="false">E24*B1Ret/12</f>
        <v>12853.8770135817</v>
      </c>
      <c r="G24" s="20" t="n">
        <f aca="false">D24</f>
        <v>53500</v>
      </c>
      <c r="H24" s="20" t="n">
        <v>0</v>
      </c>
      <c r="I24" s="20" t="n">
        <f aca="false">H24</f>
        <v>0</v>
      </c>
      <c r="J24" s="20" t="n">
        <f aca="false">E24+F24-G24+I24</f>
        <v>2162875.65077045</v>
      </c>
      <c r="K24" s="20" t="n">
        <f aca="false">O23</f>
        <v>8250670.54732025</v>
      </c>
      <c r="L24" s="20" t="n">
        <f aca="false">K24*B2Ret/12</f>
        <v>61880.0291049019</v>
      </c>
      <c r="M24" s="20" t="n">
        <f aca="false">-I24</f>
        <v>-0</v>
      </c>
      <c r="N24" s="20" t="n">
        <v>0</v>
      </c>
      <c r="O24" s="20" t="n">
        <f aca="false">K24+L24+M24+N24</f>
        <v>8312550.57642515</v>
      </c>
      <c r="P24" s="20" t="n">
        <f aca="false">S23</f>
        <v>12223166.7386608</v>
      </c>
      <c r="Q24" s="20" t="n">
        <f aca="false">P24*B3Ret/12</f>
        <v>112045.69510439</v>
      </c>
      <c r="R24" s="20" t="n">
        <f aca="false">-N24</f>
        <v>-0</v>
      </c>
      <c r="S24" s="20" t="n">
        <f aca="false">P24+Q24+R24</f>
        <v>12335212.4337652</v>
      </c>
      <c r="T24" s="20" t="n">
        <f aca="false">J24+O24+S24</f>
        <v>22810638.6609608</v>
      </c>
    </row>
    <row r="25" customFormat="false" ht="15" hidden="false" customHeight="false" outlineLevel="0" collapsed="false">
      <c r="A25" s="19" t="n">
        <v>24</v>
      </c>
      <c r="B25" s="19" t="n">
        <f aca="false">ROUNDUP(A25/12,0)</f>
        <v>2</v>
      </c>
      <c r="C25" s="19" t="n">
        <f aca="false">Age+B25-1</f>
        <v>63</v>
      </c>
      <c r="D25" s="20" t="n">
        <f aca="false">MonthlyExp*(1+Inflation)^(B25-1)</f>
        <v>53500</v>
      </c>
      <c r="E25" s="20" t="n">
        <f aca="false">J24</f>
        <v>2162875.65077045</v>
      </c>
      <c r="F25" s="20" t="n">
        <f aca="false">E25*B1Ret/12</f>
        <v>12616.7746294943</v>
      </c>
      <c r="G25" s="20" t="n">
        <f aca="false">D25</f>
        <v>53500</v>
      </c>
      <c r="H25" s="20" t="n">
        <v>0</v>
      </c>
      <c r="I25" s="20" t="n">
        <f aca="false">H25</f>
        <v>0</v>
      </c>
      <c r="J25" s="20" t="n">
        <f aca="false">E25+F25-G25+I25</f>
        <v>2121992.42539994</v>
      </c>
      <c r="K25" s="20" t="n">
        <f aca="false">O24</f>
        <v>8312550.57642515</v>
      </c>
      <c r="L25" s="20" t="n">
        <f aca="false">K25*B2Ret/12</f>
        <v>62344.1293231887</v>
      </c>
      <c r="M25" s="20" t="n">
        <f aca="false">-I25</f>
        <v>-0</v>
      </c>
      <c r="N25" s="20" t="n">
        <v>0</v>
      </c>
      <c r="O25" s="20" t="n">
        <f aca="false">K25+L25+M25+N25</f>
        <v>8374894.70574834</v>
      </c>
      <c r="P25" s="20" t="n">
        <f aca="false">S24</f>
        <v>12335212.4337652</v>
      </c>
      <c r="Q25" s="20" t="n">
        <f aca="false">P25*B3Ret/12</f>
        <v>113072.780642847</v>
      </c>
      <c r="R25" s="20" t="n">
        <f aca="false">-N25</f>
        <v>-0</v>
      </c>
      <c r="S25" s="20" t="n">
        <f aca="false">P25+Q25+R25</f>
        <v>12448285.214408</v>
      </c>
      <c r="T25" s="20" t="n">
        <f aca="false">J25+O25+S25</f>
        <v>22945172.3455563</v>
      </c>
    </row>
    <row r="26" customFormat="false" ht="15" hidden="false" customHeight="false" outlineLevel="0" collapsed="false">
      <c r="A26" s="19" t="n">
        <v>25</v>
      </c>
      <c r="B26" s="19" t="n">
        <f aca="false">ROUNDUP(A26/12,0)</f>
        <v>3</v>
      </c>
      <c r="C26" s="19" t="n">
        <f aca="false">Age+B26-1</f>
        <v>64</v>
      </c>
      <c r="D26" s="20" t="n">
        <f aca="false">MonthlyExp*(1+Inflation)^(B26-1)</f>
        <v>57245</v>
      </c>
      <c r="E26" s="20" t="n">
        <f aca="false">J25</f>
        <v>2121992.42539994</v>
      </c>
      <c r="F26" s="20" t="n">
        <f aca="false">E26*B1Ret/12</f>
        <v>12378.2891481663</v>
      </c>
      <c r="G26" s="20" t="n">
        <f aca="false">D26</f>
        <v>57245</v>
      </c>
      <c r="H26" s="20" t="n">
        <v>0</v>
      </c>
      <c r="I26" s="20" t="n">
        <f aca="false">H26</f>
        <v>0</v>
      </c>
      <c r="J26" s="20" t="n">
        <f aca="false">E26+F26-G26+I26</f>
        <v>2077125.71454811</v>
      </c>
      <c r="K26" s="20" t="n">
        <f aca="false">O25</f>
        <v>8374894.70574834</v>
      </c>
      <c r="L26" s="20" t="n">
        <f aca="false">K26*B2Ret/12</f>
        <v>62811.7102931126</v>
      </c>
      <c r="M26" s="20" t="n">
        <f aca="false">-I26</f>
        <v>-0</v>
      </c>
      <c r="N26" s="20" t="n">
        <v>0</v>
      </c>
      <c r="O26" s="20" t="n">
        <f aca="false">K26+L26+M26+N26</f>
        <v>8437706.41604145</v>
      </c>
      <c r="P26" s="20" t="n">
        <f aca="false">S25</f>
        <v>12448285.214408</v>
      </c>
      <c r="Q26" s="20" t="n">
        <f aca="false">P26*B3Ret/12</f>
        <v>114109.281132073</v>
      </c>
      <c r="R26" s="20" t="n">
        <f aca="false">-N26</f>
        <v>-0</v>
      </c>
      <c r="S26" s="20" t="n">
        <f aca="false">P26+Q26+R26</f>
        <v>12562394.4955401</v>
      </c>
      <c r="T26" s="20" t="n">
        <f aca="false">J26+O26+S26</f>
        <v>23077226.6261296</v>
      </c>
    </row>
    <row r="27" customFormat="false" ht="15" hidden="false" customHeight="false" outlineLevel="0" collapsed="false">
      <c r="A27" s="19" t="n">
        <v>26</v>
      </c>
      <c r="B27" s="19" t="n">
        <f aca="false">ROUNDUP(A27/12,0)</f>
        <v>3</v>
      </c>
      <c r="C27" s="19" t="n">
        <f aca="false">Age+B27-1</f>
        <v>64</v>
      </c>
      <c r="D27" s="20" t="n">
        <f aca="false">MonthlyExp*(1+Inflation)^(B27-1)</f>
        <v>57245</v>
      </c>
      <c r="E27" s="20" t="n">
        <f aca="false">J26</f>
        <v>2077125.71454811</v>
      </c>
      <c r="F27" s="20" t="n">
        <f aca="false">E27*B1Ret/12</f>
        <v>12116.5666681973</v>
      </c>
      <c r="G27" s="20" t="n">
        <f aca="false">D27</f>
        <v>57245</v>
      </c>
      <c r="H27" s="20" t="n">
        <v>0</v>
      </c>
      <c r="I27" s="20" t="n">
        <f aca="false">H27</f>
        <v>0</v>
      </c>
      <c r="J27" s="20" t="n">
        <f aca="false">E27+F27-G27+I27</f>
        <v>2031997.2812163</v>
      </c>
      <c r="K27" s="20" t="n">
        <f aca="false">O26</f>
        <v>8437706.41604145</v>
      </c>
      <c r="L27" s="20" t="n">
        <f aca="false">K27*B2Ret/12</f>
        <v>63282.7981203109</v>
      </c>
      <c r="M27" s="20" t="n">
        <f aca="false">-I27</f>
        <v>-0</v>
      </c>
      <c r="N27" s="20" t="n">
        <v>0</v>
      </c>
      <c r="O27" s="20" t="n">
        <f aca="false">K27+L27+M27+N27</f>
        <v>8500989.21416177</v>
      </c>
      <c r="P27" s="20" t="n">
        <f aca="false">S26</f>
        <v>12562394.4955401</v>
      </c>
      <c r="Q27" s="20" t="n">
        <f aca="false">P27*B3Ret/12</f>
        <v>115155.282875784</v>
      </c>
      <c r="R27" s="20" t="n">
        <f aca="false">-N27</f>
        <v>-0</v>
      </c>
      <c r="S27" s="20" t="n">
        <f aca="false">P27+Q27+R27</f>
        <v>12677549.7784159</v>
      </c>
      <c r="T27" s="20" t="n">
        <f aca="false">J27+O27+S27</f>
        <v>23210536.2737939</v>
      </c>
    </row>
    <row r="28" customFormat="false" ht="15" hidden="false" customHeight="false" outlineLevel="0" collapsed="false">
      <c r="A28" s="19" t="n">
        <v>27</v>
      </c>
      <c r="B28" s="19" t="n">
        <f aca="false">ROUNDUP(A28/12,0)</f>
        <v>3</v>
      </c>
      <c r="C28" s="19" t="n">
        <f aca="false">Age+B28-1</f>
        <v>64</v>
      </c>
      <c r="D28" s="20" t="n">
        <f aca="false">MonthlyExp*(1+Inflation)^(B28-1)</f>
        <v>57245</v>
      </c>
      <c r="E28" s="20" t="n">
        <f aca="false">J27</f>
        <v>2031997.2812163</v>
      </c>
      <c r="F28" s="20" t="n">
        <f aca="false">E28*B1Ret/12</f>
        <v>11853.3174737618</v>
      </c>
      <c r="G28" s="20" t="n">
        <f aca="false">D28</f>
        <v>57245</v>
      </c>
      <c r="H28" s="20" t="n">
        <v>0</v>
      </c>
      <c r="I28" s="20" t="n">
        <f aca="false">H28</f>
        <v>0</v>
      </c>
      <c r="J28" s="20" t="n">
        <f aca="false">E28+F28-G28+I28</f>
        <v>1986605.59869007</v>
      </c>
      <c r="K28" s="20" t="n">
        <f aca="false">O27</f>
        <v>8500989.21416177</v>
      </c>
      <c r="L28" s="20" t="n">
        <f aca="false">K28*B2Ret/12</f>
        <v>63757.4191062132</v>
      </c>
      <c r="M28" s="20" t="n">
        <f aca="false">-I28</f>
        <v>-0</v>
      </c>
      <c r="N28" s="20" t="n">
        <v>0</v>
      </c>
      <c r="O28" s="20" t="n">
        <f aca="false">K28+L28+M28+N28</f>
        <v>8564746.63326798</v>
      </c>
      <c r="P28" s="20" t="n">
        <f aca="false">S27</f>
        <v>12677549.7784159</v>
      </c>
      <c r="Q28" s="20" t="n">
        <f aca="false">P28*B3Ret/12</f>
        <v>116210.872968812</v>
      </c>
      <c r="R28" s="20" t="n">
        <f aca="false">-N28</f>
        <v>-0</v>
      </c>
      <c r="S28" s="20" t="n">
        <f aca="false">P28+Q28+R28</f>
        <v>12793760.6513847</v>
      </c>
      <c r="T28" s="20" t="n">
        <f aca="false">J28+O28+S28</f>
        <v>23345112.8833427</v>
      </c>
    </row>
    <row r="29" customFormat="false" ht="15" hidden="false" customHeight="false" outlineLevel="0" collapsed="false">
      <c r="A29" s="19" t="n">
        <v>28</v>
      </c>
      <c r="B29" s="19" t="n">
        <f aca="false">ROUNDUP(A29/12,0)</f>
        <v>3</v>
      </c>
      <c r="C29" s="19" t="n">
        <f aca="false">Age+B29-1</f>
        <v>64</v>
      </c>
      <c r="D29" s="20" t="n">
        <f aca="false">MonthlyExp*(1+Inflation)^(B29-1)</f>
        <v>57245</v>
      </c>
      <c r="E29" s="20" t="n">
        <f aca="false">J28</f>
        <v>1986605.59869007</v>
      </c>
      <c r="F29" s="20" t="n">
        <f aca="false">E29*B1Ret/12</f>
        <v>11588.5326590254</v>
      </c>
      <c r="G29" s="20" t="n">
        <f aca="false">D29</f>
        <v>57245</v>
      </c>
      <c r="H29" s="20" t="n">
        <v>0</v>
      </c>
      <c r="I29" s="20" t="n">
        <f aca="false">H29</f>
        <v>0</v>
      </c>
      <c r="J29" s="20" t="n">
        <f aca="false">E29+F29-G29+I29</f>
        <v>1940949.13134909</v>
      </c>
      <c r="K29" s="20" t="n">
        <f aca="false">O28</f>
        <v>8564746.63326798</v>
      </c>
      <c r="L29" s="20" t="n">
        <f aca="false">K29*B2Ret/12</f>
        <v>64235.5997495098</v>
      </c>
      <c r="M29" s="20" t="n">
        <f aca="false">-I29</f>
        <v>-0</v>
      </c>
      <c r="N29" s="20" t="n">
        <v>0</v>
      </c>
      <c r="O29" s="20" t="n">
        <f aca="false">K29+L29+M29+N29</f>
        <v>8628982.23301749</v>
      </c>
      <c r="P29" s="20" t="n">
        <f aca="false">S28</f>
        <v>12793760.6513847</v>
      </c>
      <c r="Q29" s="20" t="n">
        <f aca="false">P29*B3Ret/12</f>
        <v>117276.13930436</v>
      </c>
      <c r="R29" s="20" t="n">
        <f aca="false">-N29</f>
        <v>-0</v>
      </c>
      <c r="S29" s="20" t="n">
        <f aca="false">P29+Q29+R29</f>
        <v>12911036.790689</v>
      </c>
      <c r="T29" s="20" t="n">
        <f aca="false">J29+O29+S29</f>
        <v>23480968.1550556</v>
      </c>
    </row>
    <row r="30" customFormat="false" ht="15" hidden="false" customHeight="false" outlineLevel="0" collapsed="false">
      <c r="A30" s="19" t="n">
        <v>29</v>
      </c>
      <c r="B30" s="19" t="n">
        <f aca="false">ROUNDUP(A30/12,0)</f>
        <v>3</v>
      </c>
      <c r="C30" s="19" t="n">
        <f aca="false">Age+B30-1</f>
        <v>64</v>
      </c>
      <c r="D30" s="20" t="n">
        <f aca="false">MonthlyExp*(1+Inflation)^(B30-1)</f>
        <v>57245</v>
      </c>
      <c r="E30" s="20" t="n">
        <f aca="false">J29</f>
        <v>1940949.13134909</v>
      </c>
      <c r="F30" s="20" t="n">
        <f aca="false">E30*B1Ret/12</f>
        <v>11322.203266203</v>
      </c>
      <c r="G30" s="20" t="n">
        <f aca="false">D30</f>
        <v>57245</v>
      </c>
      <c r="H30" s="20" t="n">
        <v>0</v>
      </c>
      <c r="I30" s="20" t="n">
        <f aca="false">H30</f>
        <v>0</v>
      </c>
      <c r="J30" s="20" t="n">
        <f aca="false">E30+F30-G30+I30</f>
        <v>1895026.33461529</v>
      </c>
      <c r="K30" s="20" t="n">
        <f aca="false">O29</f>
        <v>8628982.23301749</v>
      </c>
      <c r="L30" s="20" t="n">
        <f aca="false">K30*B2Ret/12</f>
        <v>64717.3667476312</v>
      </c>
      <c r="M30" s="20" t="n">
        <f aca="false">-I30</f>
        <v>-0</v>
      </c>
      <c r="N30" s="20" t="n">
        <v>0</v>
      </c>
      <c r="O30" s="20" t="n">
        <f aca="false">K30+L30+M30+N30</f>
        <v>8693699.59976512</v>
      </c>
      <c r="P30" s="20" t="n">
        <f aca="false">S29</f>
        <v>12911036.790689</v>
      </c>
      <c r="Q30" s="20" t="n">
        <f aca="false">P30*B3Ret/12</f>
        <v>118351.170581316</v>
      </c>
      <c r="R30" s="20" t="n">
        <f aca="false">-N30</f>
        <v>-0</v>
      </c>
      <c r="S30" s="20" t="n">
        <f aca="false">P30+Q30+R30</f>
        <v>13029387.9612704</v>
      </c>
      <c r="T30" s="20" t="n">
        <f aca="false">J30+O30+S30</f>
        <v>23618113.8956508</v>
      </c>
    </row>
    <row r="31" customFormat="false" ht="15" hidden="false" customHeight="false" outlineLevel="0" collapsed="false">
      <c r="A31" s="19" t="n">
        <v>30</v>
      </c>
      <c r="B31" s="19" t="n">
        <f aca="false">ROUNDUP(A31/12,0)</f>
        <v>3</v>
      </c>
      <c r="C31" s="19" t="n">
        <f aca="false">Age+B31-1</f>
        <v>64</v>
      </c>
      <c r="D31" s="20" t="n">
        <f aca="false">MonthlyExp*(1+Inflation)^(B31-1)</f>
        <v>57245</v>
      </c>
      <c r="E31" s="20" t="n">
        <f aca="false">J30</f>
        <v>1895026.33461529</v>
      </c>
      <c r="F31" s="20" t="n">
        <f aca="false">E31*B1Ret/12</f>
        <v>11054.3202852559</v>
      </c>
      <c r="G31" s="20" t="n">
        <f aca="false">D31</f>
        <v>57245</v>
      </c>
      <c r="H31" s="20" t="n">
        <v>0</v>
      </c>
      <c r="I31" s="20" t="n">
        <f aca="false">H31</f>
        <v>0</v>
      </c>
      <c r="J31" s="20" t="n">
        <f aca="false">E31+F31-G31+I31</f>
        <v>1848835.65490055</v>
      </c>
      <c r="K31" s="20" t="n">
        <f aca="false">O30</f>
        <v>8693699.59976512</v>
      </c>
      <c r="L31" s="20" t="n">
        <f aca="false">K31*B2Ret/12</f>
        <v>65202.7469982384</v>
      </c>
      <c r="M31" s="20" t="n">
        <f aca="false">-I31</f>
        <v>-0</v>
      </c>
      <c r="N31" s="20" t="n">
        <v>0</v>
      </c>
      <c r="O31" s="20" t="n">
        <f aca="false">K31+L31+M31+N31</f>
        <v>8758902.34676336</v>
      </c>
      <c r="P31" s="20" t="n">
        <f aca="false">S30</f>
        <v>13029387.9612704</v>
      </c>
      <c r="Q31" s="20" t="n">
        <f aca="false">P31*B3Ret/12</f>
        <v>119436.056311645</v>
      </c>
      <c r="R31" s="20" t="n">
        <f aca="false">-N31</f>
        <v>-0</v>
      </c>
      <c r="S31" s="20" t="n">
        <f aca="false">P31+Q31+R31</f>
        <v>13148824.017582</v>
      </c>
      <c r="T31" s="20" t="n">
        <f aca="false">J31+O31+S31</f>
        <v>23756562.0192459</v>
      </c>
    </row>
    <row r="32" customFormat="false" ht="15" hidden="false" customHeight="false" outlineLevel="0" collapsed="false">
      <c r="A32" s="19" t="n">
        <v>31</v>
      </c>
      <c r="B32" s="19" t="n">
        <f aca="false">ROUNDUP(A32/12,0)</f>
        <v>3</v>
      </c>
      <c r="C32" s="19" t="n">
        <f aca="false">Age+B32-1</f>
        <v>64</v>
      </c>
      <c r="D32" s="20" t="n">
        <f aca="false">MonthlyExp*(1+Inflation)^(B32-1)</f>
        <v>57245</v>
      </c>
      <c r="E32" s="20" t="n">
        <f aca="false">J31</f>
        <v>1848835.65490055</v>
      </c>
      <c r="F32" s="20" t="n">
        <f aca="false">E32*B1Ret/12</f>
        <v>10784.8746535865</v>
      </c>
      <c r="G32" s="20" t="n">
        <f aca="false">D32</f>
        <v>57245</v>
      </c>
      <c r="H32" s="20" t="n">
        <v>0</v>
      </c>
      <c r="I32" s="20" t="n">
        <f aca="false">H32</f>
        <v>0</v>
      </c>
      <c r="J32" s="20" t="n">
        <f aca="false">E32+F32-G32+I32</f>
        <v>1802375.52955414</v>
      </c>
      <c r="K32" s="20" t="n">
        <f aca="false">O31</f>
        <v>8758902.34676336</v>
      </c>
      <c r="L32" s="20" t="n">
        <f aca="false">K32*B2Ret/12</f>
        <v>65691.7676007252</v>
      </c>
      <c r="M32" s="20" t="n">
        <f aca="false">-I32</f>
        <v>-0</v>
      </c>
      <c r="N32" s="20" t="n">
        <v>0</v>
      </c>
      <c r="O32" s="20" t="n">
        <f aca="false">K32+L32+M32+N32</f>
        <v>8824594.11436408</v>
      </c>
      <c r="P32" s="20" t="n">
        <f aca="false">S31</f>
        <v>13148824.017582</v>
      </c>
      <c r="Q32" s="20" t="n">
        <f aca="false">P32*B3Ret/12</f>
        <v>120530.886827835</v>
      </c>
      <c r="R32" s="20" t="n">
        <f aca="false">-N32</f>
        <v>-0</v>
      </c>
      <c r="S32" s="20" t="n">
        <f aca="false">P32+Q32+R32</f>
        <v>13269354.9044098</v>
      </c>
      <c r="T32" s="20" t="n">
        <f aca="false">J32+O32+S32</f>
        <v>23896324.5483281</v>
      </c>
    </row>
    <row r="33" customFormat="false" ht="15" hidden="false" customHeight="false" outlineLevel="0" collapsed="false">
      <c r="A33" s="19" t="n">
        <v>32</v>
      </c>
      <c r="B33" s="19" t="n">
        <f aca="false">ROUNDUP(A33/12,0)</f>
        <v>3</v>
      </c>
      <c r="C33" s="19" t="n">
        <f aca="false">Age+B33-1</f>
        <v>64</v>
      </c>
      <c r="D33" s="20" t="n">
        <f aca="false">MonthlyExp*(1+Inflation)^(B33-1)</f>
        <v>57245</v>
      </c>
      <c r="E33" s="20" t="n">
        <f aca="false">J32</f>
        <v>1802375.52955414</v>
      </c>
      <c r="F33" s="20" t="n">
        <f aca="false">E33*B1Ret/12</f>
        <v>10513.8572557325</v>
      </c>
      <c r="G33" s="20" t="n">
        <f aca="false">D33</f>
        <v>57245</v>
      </c>
      <c r="H33" s="20" t="n">
        <v>0</v>
      </c>
      <c r="I33" s="20" t="n">
        <f aca="false">H33</f>
        <v>0</v>
      </c>
      <c r="J33" s="20" t="n">
        <f aca="false">E33+F33-G33+I33</f>
        <v>1755644.38680987</v>
      </c>
      <c r="K33" s="20" t="n">
        <f aca="false">O32</f>
        <v>8824594.11436408</v>
      </c>
      <c r="L33" s="20" t="n">
        <f aca="false">K33*B2Ret/12</f>
        <v>66184.4558577306</v>
      </c>
      <c r="M33" s="20" t="n">
        <f aca="false">-I33</f>
        <v>-0</v>
      </c>
      <c r="N33" s="20" t="n">
        <v>0</v>
      </c>
      <c r="O33" s="20" t="n">
        <f aca="false">K33+L33+M33+N33</f>
        <v>8890778.57022181</v>
      </c>
      <c r="P33" s="20" t="n">
        <f aca="false">S32</f>
        <v>13269354.9044098</v>
      </c>
      <c r="Q33" s="20" t="n">
        <f aca="false">P33*B3Ret/12</f>
        <v>121635.753290424</v>
      </c>
      <c r="R33" s="20" t="n">
        <f aca="false">-N33</f>
        <v>-0</v>
      </c>
      <c r="S33" s="20" t="n">
        <f aca="false">P33+Q33+R33</f>
        <v>13390990.6577003</v>
      </c>
      <c r="T33" s="20" t="n">
        <f aca="false">J33+O33+S33</f>
        <v>24037413.6147319</v>
      </c>
    </row>
    <row r="34" customFormat="false" ht="15" hidden="false" customHeight="false" outlineLevel="0" collapsed="false">
      <c r="A34" s="19" t="n">
        <v>33</v>
      </c>
      <c r="B34" s="19" t="n">
        <f aca="false">ROUNDUP(A34/12,0)</f>
        <v>3</v>
      </c>
      <c r="C34" s="19" t="n">
        <f aca="false">Age+B34-1</f>
        <v>64</v>
      </c>
      <c r="D34" s="20" t="n">
        <f aca="false">MonthlyExp*(1+Inflation)^(B34-1)</f>
        <v>57245</v>
      </c>
      <c r="E34" s="20" t="n">
        <f aca="false">J33</f>
        <v>1755644.38680987</v>
      </c>
      <c r="F34" s="20" t="n">
        <f aca="false">E34*B1Ret/12</f>
        <v>10241.2589230576</v>
      </c>
      <c r="G34" s="20" t="n">
        <f aca="false">D34</f>
        <v>57245</v>
      </c>
      <c r="H34" s="20" t="n">
        <v>0</v>
      </c>
      <c r="I34" s="20" t="n">
        <f aca="false">H34</f>
        <v>0</v>
      </c>
      <c r="J34" s="20" t="n">
        <f aca="false">E34+F34-G34+I34</f>
        <v>1708640.64573293</v>
      </c>
      <c r="K34" s="20" t="n">
        <f aca="false">O33</f>
        <v>8890778.57022181</v>
      </c>
      <c r="L34" s="20" t="n">
        <f aca="false">K34*B2Ret/12</f>
        <v>66680.8392766636</v>
      </c>
      <c r="M34" s="20" t="n">
        <f aca="false">-I34</f>
        <v>-0</v>
      </c>
      <c r="N34" s="20" t="n">
        <v>0</v>
      </c>
      <c r="O34" s="20" t="n">
        <f aca="false">K34+L34+M34+N34</f>
        <v>8957459.40949848</v>
      </c>
      <c r="P34" s="20" t="n">
        <f aca="false">S33</f>
        <v>13390990.6577003</v>
      </c>
      <c r="Q34" s="20" t="n">
        <f aca="false">P34*B3Ret/12</f>
        <v>122750.747695586</v>
      </c>
      <c r="R34" s="20" t="n">
        <f aca="false">-N34</f>
        <v>-0</v>
      </c>
      <c r="S34" s="20" t="n">
        <f aca="false">P34+Q34+R34</f>
        <v>13513741.4053958</v>
      </c>
      <c r="T34" s="20" t="n">
        <f aca="false">J34+O34+S34</f>
        <v>24179841.4606273</v>
      </c>
    </row>
    <row r="35" customFormat="false" ht="15" hidden="false" customHeight="false" outlineLevel="0" collapsed="false">
      <c r="A35" s="19" t="n">
        <v>34</v>
      </c>
      <c r="B35" s="19" t="n">
        <f aca="false">ROUNDUP(A35/12,0)</f>
        <v>3</v>
      </c>
      <c r="C35" s="19" t="n">
        <f aca="false">Age+B35-1</f>
        <v>64</v>
      </c>
      <c r="D35" s="20" t="n">
        <f aca="false">MonthlyExp*(1+Inflation)^(B35-1)</f>
        <v>57245</v>
      </c>
      <c r="E35" s="20" t="n">
        <f aca="false">J34</f>
        <v>1708640.64573293</v>
      </c>
      <c r="F35" s="20" t="n">
        <f aca="false">E35*B1Ret/12</f>
        <v>9967.07043344207</v>
      </c>
      <c r="G35" s="20" t="n">
        <f aca="false">D35</f>
        <v>57245</v>
      </c>
      <c r="H35" s="20" t="n">
        <v>0</v>
      </c>
      <c r="I35" s="20" t="n">
        <f aca="false">H35</f>
        <v>0</v>
      </c>
      <c r="J35" s="20" t="n">
        <f aca="false">E35+F35-G35+I35</f>
        <v>1661362.71616637</v>
      </c>
      <c r="K35" s="20" t="n">
        <f aca="false">O34</f>
        <v>8957459.40949848</v>
      </c>
      <c r="L35" s="20" t="n">
        <f aca="false">K35*B2Ret/12</f>
        <v>67180.9455712386</v>
      </c>
      <c r="M35" s="20" t="n">
        <f aca="false">-I35</f>
        <v>-0</v>
      </c>
      <c r="N35" s="20" t="n">
        <v>0</v>
      </c>
      <c r="O35" s="20" t="n">
        <f aca="false">K35+L35+M35+N35</f>
        <v>9024640.35506972</v>
      </c>
      <c r="P35" s="20" t="n">
        <f aca="false">S34</f>
        <v>13513741.4053958</v>
      </c>
      <c r="Q35" s="20" t="n">
        <f aca="false">P35*B3Ret/12</f>
        <v>123875.962882795</v>
      </c>
      <c r="R35" s="20" t="n">
        <f aca="false">-N35</f>
        <v>-0</v>
      </c>
      <c r="S35" s="20" t="n">
        <f aca="false">P35+Q35+R35</f>
        <v>13637617.3682786</v>
      </c>
      <c r="T35" s="20" t="n">
        <f aca="false">J35+O35+S35</f>
        <v>24323620.4395147</v>
      </c>
    </row>
    <row r="36" customFormat="false" ht="15" hidden="false" customHeight="false" outlineLevel="0" collapsed="false">
      <c r="A36" s="19" t="n">
        <v>35</v>
      </c>
      <c r="B36" s="19" t="n">
        <f aca="false">ROUNDUP(A36/12,0)</f>
        <v>3</v>
      </c>
      <c r="C36" s="19" t="n">
        <f aca="false">Age+B36-1</f>
        <v>64</v>
      </c>
      <c r="D36" s="20" t="n">
        <f aca="false">MonthlyExp*(1+Inflation)^(B36-1)</f>
        <v>57245</v>
      </c>
      <c r="E36" s="20" t="n">
        <f aca="false">J35</f>
        <v>1661362.71616637</v>
      </c>
      <c r="F36" s="20" t="n">
        <f aca="false">E36*B1Ret/12</f>
        <v>9691.28251097048</v>
      </c>
      <c r="G36" s="20" t="n">
        <f aca="false">D36</f>
        <v>57245</v>
      </c>
      <c r="H36" s="20" t="n">
        <v>0</v>
      </c>
      <c r="I36" s="20" t="n">
        <f aca="false">H36</f>
        <v>0</v>
      </c>
      <c r="J36" s="20" t="n">
        <f aca="false">E36+F36-G36+I36</f>
        <v>1613808.99867734</v>
      </c>
      <c r="K36" s="20" t="n">
        <f aca="false">O35</f>
        <v>9024640.35506972</v>
      </c>
      <c r="L36" s="20" t="n">
        <f aca="false">K36*B2Ret/12</f>
        <v>67684.8026630229</v>
      </c>
      <c r="M36" s="20" t="n">
        <f aca="false">-I36</f>
        <v>-0</v>
      </c>
      <c r="N36" s="20" t="n">
        <v>0</v>
      </c>
      <c r="O36" s="20" t="n">
        <f aca="false">K36+L36+M36+N36</f>
        <v>9092325.15773274</v>
      </c>
      <c r="P36" s="20" t="n">
        <f aca="false">S35</f>
        <v>13637617.3682786</v>
      </c>
      <c r="Q36" s="20" t="n">
        <f aca="false">P36*B3Ret/12</f>
        <v>125011.492542554</v>
      </c>
      <c r="R36" s="20" t="n">
        <f aca="false">-N36</f>
        <v>-0</v>
      </c>
      <c r="S36" s="20" t="n">
        <f aca="false">P36+Q36+R36</f>
        <v>13762628.8608212</v>
      </c>
      <c r="T36" s="20" t="n">
        <f aca="false">J36+O36+S36</f>
        <v>24468763.0172313</v>
      </c>
    </row>
    <row r="37" customFormat="false" ht="15" hidden="false" customHeight="false" outlineLevel="0" collapsed="false">
      <c r="A37" s="19" t="n">
        <v>36</v>
      </c>
      <c r="B37" s="19" t="n">
        <f aca="false">ROUNDUP(A37/12,0)</f>
        <v>3</v>
      </c>
      <c r="C37" s="19" t="n">
        <f aca="false">Age+B37-1</f>
        <v>64</v>
      </c>
      <c r="D37" s="20" t="n">
        <f aca="false">MonthlyExp*(1+Inflation)^(B37-1)</f>
        <v>57245</v>
      </c>
      <c r="E37" s="20" t="n">
        <f aca="false">J36</f>
        <v>1613808.99867734</v>
      </c>
      <c r="F37" s="20" t="n">
        <f aca="false">E37*B1Ret/12</f>
        <v>9413.88582561781</v>
      </c>
      <c r="G37" s="20" t="n">
        <f aca="false">D37</f>
        <v>57245</v>
      </c>
      <c r="H37" s="20" t="n">
        <v>0</v>
      </c>
      <c r="I37" s="20" t="n">
        <f aca="false">H37</f>
        <v>0</v>
      </c>
      <c r="J37" s="20" t="n">
        <f aca="false">E37+F37-G37+I37</f>
        <v>1565977.88450296</v>
      </c>
      <c r="K37" s="20" t="n">
        <f aca="false">O36</f>
        <v>9092325.15773274</v>
      </c>
      <c r="L37" s="20" t="n">
        <f aca="false">K37*B2Ret/12</f>
        <v>68192.4386829955</v>
      </c>
      <c r="M37" s="20" t="n">
        <f aca="false">-I37</f>
        <v>-0</v>
      </c>
      <c r="N37" s="20" t="n">
        <v>0</v>
      </c>
      <c r="O37" s="20" t="n">
        <f aca="false">K37+L37+M37+N37</f>
        <v>9160517.59641573</v>
      </c>
      <c r="P37" s="20" t="n">
        <f aca="false">S36</f>
        <v>13762628.8608212</v>
      </c>
      <c r="Q37" s="20" t="n">
        <f aca="false">P37*B3Ret/12</f>
        <v>126157.431224194</v>
      </c>
      <c r="R37" s="20" t="n">
        <f aca="false">-N37</f>
        <v>-0</v>
      </c>
      <c r="S37" s="20" t="n">
        <f aca="false">P37+Q37+R37</f>
        <v>13888786.2920454</v>
      </c>
      <c r="T37" s="20" t="n">
        <f aca="false">J37+O37+S37</f>
        <v>24615281.7729641</v>
      </c>
    </row>
    <row r="38" customFormat="false" ht="15" hidden="false" customHeight="false" outlineLevel="0" collapsed="false">
      <c r="A38" s="19" t="n">
        <v>37</v>
      </c>
      <c r="B38" s="19" t="n">
        <f aca="false">ROUNDUP(A38/12,0)</f>
        <v>4</v>
      </c>
      <c r="C38" s="19" t="n">
        <f aca="false">Age+B38-1</f>
        <v>65</v>
      </c>
      <c r="D38" s="20" t="n">
        <f aca="false">MonthlyExp*(1+Inflation)^(B38-1)</f>
        <v>61252.15</v>
      </c>
      <c r="E38" s="20" t="n">
        <f aca="false">J37</f>
        <v>1565977.88450296</v>
      </c>
      <c r="F38" s="20" t="n">
        <f aca="false">E38*B1Ret/12</f>
        <v>9134.87099293391</v>
      </c>
      <c r="G38" s="20" t="n">
        <f aca="false">D38</f>
        <v>61252.15</v>
      </c>
      <c r="H38" s="20" t="n">
        <v>0</v>
      </c>
      <c r="I38" s="20" t="n">
        <f aca="false">H38</f>
        <v>0</v>
      </c>
      <c r="J38" s="20" t="n">
        <f aca="false">E38+F38-G38+I38</f>
        <v>1513860.60549589</v>
      </c>
      <c r="K38" s="20" t="n">
        <f aca="false">O37</f>
        <v>9160517.59641573</v>
      </c>
      <c r="L38" s="20" t="n">
        <f aca="false">K38*B2Ret/12</f>
        <v>68703.881973118</v>
      </c>
      <c r="M38" s="20" t="n">
        <f aca="false">-I38</f>
        <v>-0</v>
      </c>
      <c r="N38" s="20" t="n">
        <v>0</v>
      </c>
      <c r="O38" s="20" t="n">
        <f aca="false">K38+L38+M38+N38</f>
        <v>9229221.47838885</v>
      </c>
      <c r="P38" s="20" t="n">
        <f aca="false">S37</f>
        <v>13888786.2920454</v>
      </c>
      <c r="Q38" s="20" t="n">
        <f aca="false">P38*B3Ret/12</f>
        <v>127313.874343749</v>
      </c>
      <c r="R38" s="20" t="n">
        <f aca="false">-N38</f>
        <v>-0</v>
      </c>
      <c r="S38" s="20" t="n">
        <f aca="false">P38+Q38+R38</f>
        <v>14016100.1663891</v>
      </c>
      <c r="T38" s="20" t="n">
        <f aca="false">J38+O38+S38</f>
        <v>24759182.2502739</v>
      </c>
    </row>
    <row r="39" customFormat="false" ht="15" hidden="false" customHeight="false" outlineLevel="0" collapsed="false">
      <c r="A39" s="19" t="n">
        <v>38</v>
      </c>
      <c r="B39" s="19" t="n">
        <f aca="false">ROUNDUP(A39/12,0)</f>
        <v>4</v>
      </c>
      <c r="C39" s="19" t="n">
        <f aca="false">Age+B39-1</f>
        <v>65</v>
      </c>
      <c r="D39" s="20" t="n">
        <f aca="false">MonthlyExp*(1+Inflation)^(B39-1)</f>
        <v>61252.15</v>
      </c>
      <c r="E39" s="20" t="n">
        <f aca="false">J38</f>
        <v>1513860.60549589</v>
      </c>
      <c r="F39" s="20" t="n">
        <f aca="false">E39*B1Ret/12</f>
        <v>8830.85353205936</v>
      </c>
      <c r="G39" s="20" t="n">
        <f aca="false">D39</f>
        <v>61252.15</v>
      </c>
      <c r="H39" s="20" t="n">
        <v>0</v>
      </c>
      <c r="I39" s="20" t="n">
        <f aca="false">H39</f>
        <v>0</v>
      </c>
      <c r="J39" s="20" t="n">
        <f aca="false">E39+F39-G39+I39</f>
        <v>1461439.30902795</v>
      </c>
      <c r="K39" s="20" t="n">
        <f aca="false">O38</f>
        <v>9229221.47838885</v>
      </c>
      <c r="L39" s="20" t="n">
        <f aca="false">K39*B2Ret/12</f>
        <v>69219.1610879164</v>
      </c>
      <c r="M39" s="20" t="n">
        <f aca="false">-I39</f>
        <v>-0</v>
      </c>
      <c r="N39" s="20" t="n">
        <v>0</v>
      </c>
      <c r="O39" s="20" t="n">
        <f aca="false">K39+L39+M39+N39</f>
        <v>9298440.63947677</v>
      </c>
      <c r="P39" s="20" t="n">
        <f aca="false">S38</f>
        <v>14016100.1663891</v>
      </c>
      <c r="Q39" s="20" t="n">
        <f aca="false">P39*B3Ret/12</f>
        <v>128480.9181919</v>
      </c>
      <c r="R39" s="20" t="n">
        <f aca="false">-N39</f>
        <v>-0</v>
      </c>
      <c r="S39" s="20" t="n">
        <f aca="false">P39+Q39+R39</f>
        <v>14144581.084581</v>
      </c>
      <c r="T39" s="20" t="n">
        <f aca="false">J39+O39+S39</f>
        <v>24904461.0330858</v>
      </c>
    </row>
    <row r="40" customFormat="false" ht="15" hidden="false" customHeight="false" outlineLevel="0" collapsed="false">
      <c r="A40" s="19" t="n">
        <v>39</v>
      </c>
      <c r="B40" s="19" t="n">
        <f aca="false">ROUNDUP(A40/12,0)</f>
        <v>4</v>
      </c>
      <c r="C40" s="19" t="n">
        <f aca="false">Age+B40-1</f>
        <v>65</v>
      </c>
      <c r="D40" s="20" t="n">
        <f aca="false">MonthlyExp*(1+Inflation)^(B40-1)</f>
        <v>61252.15</v>
      </c>
      <c r="E40" s="20" t="n">
        <f aca="false">J39</f>
        <v>1461439.30902795</v>
      </c>
      <c r="F40" s="20" t="n">
        <f aca="false">E40*B1Ret/12</f>
        <v>8525.06263599637</v>
      </c>
      <c r="G40" s="20" t="n">
        <f aca="false">D40</f>
        <v>61252.15</v>
      </c>
      <c r="H40" s="20" t="n">
        <v>0</v>
      </c>
      <c r="I40" s="20" t="n">
        <f aca="false">H40</f>
        <v>0</v>
      </c>
      <c r="J40" s="20" t="n">
        <f aca="false">E40+F40-G40+I40</f>
        <v>1408712.22166395</v>
      </c>
      <c r="K40" s="20" t="n">
        <f aca="false">O39</f>
        <v>9298440.63947677</v>
      </c>
      <c r="L40" s="20" t="n">
        <f aca="false">K40*B2Ret/12</f>
        <v>69738.3047960758</v>
      </c>
      <c r="M40" s="20" t="n">
        <f aca="false">-I40</f>
        <v>-0</v>
      </c>
      <c r="N40" s="20" t="n">
        <v>0</v>
      </c>
      <c r="O40" s="20" t="n">
        <f aca="false">K40+L40+M40+N40</f>
        <v>9368178.94427284</v>
      </c>
      <c r="P40" s="20" t="n">
        <f aca="false">S39</f>
        <v>14144581.084581</v>
      </c>
      <c r="Q40" s="20" t="n">
        <f aca="false">P40*B3Ret/12</f>
        <v>129658.659941993</v>
      </c>
      <c r="R40" s="20" t="n">
        <f aca="false">-N40</f>
        <v>-0</v>
      </c>
      <c r="S40" s="20" t="n">
        <f aca="false">P40+Q40+R40</f>
        <v>14274239.744523</v>
      </c>
      <c r="T40" s="20" t="n">
        <f aca="false">J40+O40+S40</f>
        <v>25051130.9104598</v>
      </c>
    </row>
    <row r="41" customFormat="false" ht="15" hidden="false" customHeight="false" outlineLevel="0" collapsed="false">
      <c r="A41" s="19" t="n">
        <v>40</v>
      </c>
      <c r="B41" s="19" t="n">
        <f aca="false">ROUNDUP(A41/12,0)</f>
        <v>4</v>
      </c>
      <c r="C41" s="19" t="n">
        <f aca="false">Age+B41-1</f>
        <v>65</v>
      </c>
      <c r="D41" s="20" t="n">
        <f aca="false">MonthlyExp*(1+Inflation)^(B41-1)</f>
        <v>61252.15</v>
      </c>
      <c r="E41" s="20" t="n">
        <f aca="false">J40</f>
        <v>1408712.22166395</v>
      </c>
      <c r="F41" s="20" t="n">
        <f aca="false">E41*B1Ret/12</f>
        <v>8217.48795970635</v>
      </c>
      <c r="G41" s="20" t="n">
        <f aca="false">D41</f>
        <v>61252.15</v>
      </c>
      <c r="H41" s="20" t="n">
        <v>0</v>
      </c>
      <c r="I41" s="20" t="n">
        <f aca="false">H41</f>
        <v>0</v>
      </c>
      <c r="J41" s="20" t="n">
        <f aca="false">E41+F41-G41+I41</f>
        <v>1355677.55962365</v>
      </c>
      <c r="K41" s="20" t="n">
        <f aca="false">O40</f>
        <v>9368178.94427284</v>
      </c>
      <c r="L41" s="20" t="n">
        <f aca="false">K41*B2Ret/12</f>
        <v>70261.3420820463</v>
      </c>
      <c r="M41" s="20" t="n">
        <f aca="false">-I41</f>
        <v>-0</v>
      </c>
      <c r="N41" s="20" t="n">
        <v>0</v>
      </c>
      <c r="O41" s="20" t="n">
        <f aca="false">K41+L41+M41+N41</f>
        <v>9438440.28635489</v>
      </c>
      <c r="P41" s="20" t="n">
        <f aca="false">S40</f>
        <v>14274239.744523</v>
      </c>
      <c r="Q41" s="20" t="n">
        <f aca="false">P41*B3Ret/12</f>
        <v>130847.197658128</v>
      </c>
      <c r="R41" s="20" t="n">
        <f aca="false">-N41</f>
        <v>-0</v>
      </c>
      <c r="S41" s="20" t="n">
        <f aca="false">P41+Q41+R41</f>
        <v>14405086.9421812</v>
      </c>
      <c r="T41" s="20" t="n">
        <f aca="false">J41+O41+S41</f>
        <v>25199204.7881597</v>
      </c>
    </row>
    <row r="42" customFormat="false" ht="15" hidden="false" customHeight="false" outlineLevel="0" collapsed="false">
      <c r="A42" s="19" t="n">
        <v>41</v>
      </c>
      <c r="B42" s="19" t="n">
        <f aca="false">ROUNDUP(A42/12,0)</f>
        <v>4</v>
      </c>
      <c r="C42" s="19" t="n">
        <f aca="false">Age+B42-1</f>
        <v>65</v>
      </c>
      <c r="D42" s="20" t="n">
        <f aca="false">MonthlyExp*(1+Inflation)^(B42-1)</f>
        <v>61252.15</v>
      </c>
      <c r="E42" s="20" t="n">
        <f aca="false">J41</f>
        <v>1355677.55962365</v>
      </c>
      <c r="F42" s="20" t="n">
        <f aca="false">E42*B1Ret/12</f>
        <v>7908.11909780464</v>
      </c>
      <c r="G42" s="20" t="n">
        <f aca="false">D42</f>
        <v>61252.15</v>
      </c>
      <c r="H42" s="20" t="n">
        <v>0</v>
      </c>
      <c r="I42" s="20" t="n">
        <f aca="false">H42</f>
        <v>0</v>
      </c>
      <c r="J42" s="20" t="n">
        <f aca="false">E42+F42-G42+I42</f>
        <v>1302333.52872146</v>
      </c>
      <c r="K42" s="20" t="n">
        <f aca="false">O41</f>
        <v>9438440.28635489</v>
      </c>
      <c r="L42" s="20" t="n">
        <f aca="false">K42*B2Ret/12</f>
        <v>70788.3021476617</v>
      </c>
      <c r="M42" s="20" t="n">
        <f aca="false">-I42</f>
        <v>-0</v>
      </c>
      <c r="N42" s="20" t="n">
        <v>0</v>
      </c>
      <c r="O42" s="20" t="n">
        <f aca="false">K42+L42+M42+N42</f>
        <v>9509228.58850255</v>
      </c>
      <c r="P42" s="20" t="n">
        <f aca="false">S41</f>
        <v>14405086.9421812</v>
      </c>
      <c r="Q42" s="20" t="n">
        <f aca="false">P42*B3Ret/12</f>
        <v>132046.630303327</v>
      </c>
      <c r="R42" s="20" t="n">
        <f aca="false">-N42</f>
        <v>-0</v>
      </c>
      <c r="S42" s="20" t="n">
        <f aca="false">P42+Q42+R42</f>
        <v>14537133.5724845</v>
      </c>
      <c r="T42" s="20" t="n">
        <f aca="false">J42+O42+S42</f>
        <v>25348695.6897085</v>
      </c>
    </row>
    <row r="43" customFormat="false" ht="15" hidden="false" customHeight="false" outlineLevel="0" collapsed="false">
      <c r="A43" s="19" t="n">
        <v>42</v>
      </c>
      <c r="B43" s="19" t="n">
        <f aca="false">ROUNDUP(A43/12,0)</f>
        <v>4</v>
      </c>
      <c r="C43" s="19" t="n">
        <f aca="false">Age+B43-1</f>
        <v>65</v>
      </c>
      <c r="D43" s="20" t="n">
        <f aca="false">MonthlyExp*(1+Inflation)^(B43-1)</f>
        <v>61252.15</v>
      </c>
      <c r="E43" s="20" t="n">
        <f aca="false">J42</f>
        <v>1302333.52872146</v>
      </c>
      <c r="F43" s="20" t="n">
        <f aca="false">E43*B1Ret/12</f>
        <v>7596.9455842085</v>
      </c>
      <c r="G43" s="20" t="n">
        <f aca="false">D43</f>
        <v>61252.15</v>
      </c>
      <c r="H43" s="20" t="n">
        <v>0</v>
      </c>
      <c r="I43" s="20" t="n">
        <f aca="false">H43</f>
        <v>0</v>
      </c>
      <c r="J43" s="20" t="n">
        <f aca="false">E43+F43-G43+I43</f>
        <v>1248678.32430567</v>
      </c>
      <c r="K43" s="20" t="n">
        <f aca="false">O42</f>
        <v>9509228.58850255</v>
      </c>
      <c r="L43" s="20" t="n">
        <f aca="false">K43*B2Ret/12</f>
        <v>71319.2144137691</v>
      </c>
      <c r="M43" s="20" t="n">
        <f aca="false">-I43</f>
        <v>-0</v>
      </c>
      <c r="N43" s="20" t="n">
        <v>0</v>
      </c>
      <c r="O43" s="20" t="n">
        <f aca="false">K43+L43+M43+N43</f>
        <v>9580547.80291632</v>
      </c>
      <c r="P43" s="20" t="n">
        <f aca="false">S42</f>
        <v>14537133.5724845</v>
      </c>
      <c r="Q43" s="20" t="n">
        <f aca="false">P43*B3Ret/12</f>
        <v>133257.057747774</v>
      </c>
      <c r="R43" s="20" t="n">
        <f aca="false">-N43</f>
        <v>-0</v>
      </c>
      <c r="S43" s="20" t="n">
        <f aca="false">P43+Q43+R43</f>
        <v>14670390.6302323</v>
      </c>
      <c r="T43" s="20" t="n">
        <f aca="false">J43+O43+S43</f>
        <v>25499616.7574543</v>
      </c>
    </row>
    <row r="44" customFormat="false" ht="15" hidden="false" customHeight="false" outlineLevel="0" collapsed="false">
      <c r="A44" s="19" t="n">
        <v>43</v>
      </c>
      <c r="B44" s="19" t="n">
        <f aca="false">ROUNDUP(A44/12,0)</f>
        <v>4</v>
      </c>
      <c r="C44" s="19" t="n">
        <f aca="false">Age+B44-1</f>
        <v>65</v>
      </c>
      <c r="D44" s="20" t="n">
        <f aca="false">MonthlyExp*(1+Inflation)^(B44-1)</f>
        <v>61252.15</v>
      </c>
      <c r="E44" s="20" t="n">
        <f aca="false">J43</f>
        <v>1248678.32430567</v>
      </c>
      <c r="F44" s="20" t="n">
        <f aca="false">E44*B1Ret/12</f>
        <v>7283.95689178305</v>
      </c>
      <c r="G44" s="20" t="n">
        <f aca="false">D44</f>
        <v>61252.15</v>
      </c>
      <c r="H44" s="20" t="n">
        <v>0</v>
      </c>
      <c r="I44" s="20" t="n">
        <f aca="false">H44</f>
        <v>0</v>
      </c>
      <c r="J44" s="20" t="n">
        <f aca="false">E44+F44-G44+I44</f>
        <v>1194710.13119745</v>
      </c>
      <c r="K44" s="20" t="n">
        <f aca="false">O43</f>
        <v>9580547.80291632</v>
      </c>
      <c r="L44" s="20" t="n">
        <f aca="false">K44*B2Ret/12</f>
        <v>71854.1085218724</v>
      </c>
      <c r="M44" s="20" t="n">
        <f aca="false">-I44</f>
        <v>-0</v>
      </c>
      <c r="N44" s="20" t="n">
        <v>0</v>
      </c>
      <c r="O44" s="20" t="n">
        <f aca="false">K44+L44+M44+N44</f>
        <v>9652401.9114382</v>
      </c>
      <c r="P44" s="20" t="n">
        <f aca="false">S43</f>
        <v>14670390.6302323</v>
      </c>
      <c r="Q44" s="20" t="n">
        <f aca="false">P44*B3Ret/12</f>
        <v>134478.580777129</v>
      </c>
      <c r="R44" s="20" t="n">
        <f aca="false">-N44</f>
        <v>-0</v>
      </c>
      <c r="S44" s="20" t="n">
        <f aca="false">P44+Q44+R44</f>
        <v>14804869.2110094</v>
      </c>
      <c r="T44" s="20" t="n">
        <f aca="false">J44+O44+S44</f>
        <v>25651981.253645</v>
      </c>
    </row>
    <row r="45" customFormat="false" ht="15" hidden="false" customHeight="false" outlineLevel="0" collapsed="false">
      <c r="A45" s="19" t="n">
        <v>44</v>
      </c>
      <c r="B45" s="19" t="n">
        <f aca="false">ROUNDUP(A45/12,0)</f>
        <v>4</v>
      </c>
      <c r="C45" s="19" t="n">
        <f aca="false">Age+B45-1</f>
        <v>65</v>
      </c>
      <c r="D45" s="20" t="n">
        <f aca="false">MonthlyExp*(1+Inflation)^(B45-1)</f>
        <v>61252.15</v>
      </c>
      <c r="E45" s="20" t="n">
        <f aca="false">J44</f>
        <v>1194710.13119745</v>
      </c>
      <c r="F45" s="20" t="n">
        <f aca="false">E45*B1Ret/12</f>
        <v>6969.14243198512</v>
      </c>
      <c r="G45" s="20" t="n">
        <f aca="false">D45</f>
        <v>61252.15</v>
      </c>
      <c r="H45" s="20" t="n">
        <v>0</v>
      </c>
      <c r="I45" s="20" t="n">
        <f aca="false">H45</f>
        <v>0</v>
      </c>
      <c r="J45" s="20" t="n">
        <f aca="false">E45+F45-G45+I45</f>
        <v>1140427.12362943</v>
      </c>
      <c r="K45" s="20" t="n">
        <f aca="false">O44</f>
        <v>9652401.9114382</v>
      </c>
      <c r="L45" s="20" t="n">
        <f aca="false">K45*B2Ret/12</f>
        <v>72393.0143357865</v>
      </c>
      <c r="M45" s="20" t="n">
        <f aca="false">-I45</f>
        <v>-0</v>
      </c>
      <c r="N45" s="20" t="n">
        <v>0</v>
      </c>
      <c r="O45" s="20" t="n">
        <f aca="false">K45+L45+M45+N45</f>
        <v>9724794.92577398</v>
      </c>
      <c r="P45" s="20" t="n">
        <f aca="false">S44</f>
        <v>14804869.2110094</v>
      </c>
      <c r="Q45" s="20" t="n">
        <f aca="false">P45*B3Ret/12</f>
        <v>135711.301100919</v>
      </c>
      <c r="R45" s="20" t="n">
        <f aca="false">-N45</f>
        <v>-0</v>
      </c>
      <c r="S45" s="20" t="n">
        <f aca="false">P45+Q45+R45</f>
        <v>14940580.5121103</v>
      </c>
      <c r="T45" s="20" t="n">
        <f aca="false">J45+O45+S45</f>
        <v>25805802.5615137</v>
      </c>
    </row>
    <row r="46" customFormat="false" ht="15" hidden="false" customHeight="false" outlineLevel="0" collapsed="false">
      <c r="A46" s="19" t="n">
        <v>45</v>
      </c>
      <c r="B46" s="19" t="n">
        <f aca="false">ROUNDUP(A46/12,0)</f>
        <v>4</v>
      </c>
      <c r="C46" s="19" t="n">
        <f aca="false">Age+B46-1</f>
        <v>65</v>
      </c>
      <c r="D46" s="20" t="n">
        <f aca="false">MonthlyExp*(1+Inflation)^(B46-1)</f>
        <v>61252.15</v>
      </c>
      <c r="E46" s="20" t="n">
        <f aca="false">J45</f>
        <v>1140427.12362943</v>
      </c>
      <c r="F46" s="20" t="n">
        <f aca="false">E46*B1Ret/12</f>
        <v>6652.49155450503</v>
      </c>
      <c r="G46" s="20" t="n">
        <f aca="false">D46</f>
        <v>61252.15</v>
      </c>
      <c r="H46" s="20" t="n">
        <v>0</v>
      </c>
      <c r="I46" s="20" t="n">
        <f aca="false">H46</f>
        <v>0</v>
      </c>
      <c r="J46" s="20" t="n">
        <f aca="false">E46+F46-G46+I46</f>
        <v>1085827.46518394</v>
      </c>
      <c r="K46" s="20" t="n">
        <f aca="false">O45</f>
        <v>9724794.92577398</v>
      </c>
      <c r="L46" s="20" t="n">
        <f aca="false">K46*B2Ret/12</f>
        <v>72935.9619433049</v>
      </c>
      <c r="M46" s="20" t="n">
        <f aca="false">-I46</f>
        <v>-0</v>
      </c>
      <c r="N46" s="20" t="n">
        <v>0</v>
      </c>
      <c r="O46" s="20" t="n">
        <f aca="false">K46+L46+M46+N46</f>
        <v>9797730.88771729</v>
      </c>
      <c r="P46" s="20" t="n">
        <f aca="false">S45</f>
        <v>14940580.5121103</v>
      </c>
      <c r="Q46" s="20" t="n">
        <f aca="false">P46*B3Ret/12</f>
        <v>136955.321361011</v>
      </c>
      <c r="R46" s="20" t="n">
        <f aca="false">-N46</f>
        <v>-0</v>
      </c>
      <c r="S46" s="20" t="n">
        <f aca="false">P46+Q46+R46</f>
        <v>15077535.8334713</v>
      </c>
      <c r="T46" s="20" t="n">
        <f aca="false">J46+O46+S46</f>
        <v>25961094.1863726</v>
      </c>
    </row>
    <row r="47" customFormat="false" ht="15" hidden="false" customHeight="false" outlineLevel="0" collapsed="false">
      <c r="A47" s="19" t="n">
        <v>46</v>
      </c>
      <c r="B47" s="19" t="n">
        <f aca="false">ROUNDUP(A47/12,0)</f>
        <v>4</v>
      </c>
      <c r="C47" s="19" t="n">
        <f aca="false">Age+B47-1</f>
        <v>65</v>
      </c>
      <c r="D47" s="20" t="n">
        <f aca="false">MonthlyExp*(1+Inflation)^(B47-1)</f>
        <v>61252.15</v>
      </c>
      <c r="E47" s="20" t="n">
        <f aca="false">J46</f>
        <v>1085827.46518394</v>
      </c>
      <c r="F47" s="20" t="n">
        <f aca="false">E47*B1Ret/12</f>
        <v>6333.99354690631</v>
      </c>
      <c r="G47" s="20" t="n">
        <f aca="false">D47</f>
        <v>61252.15</v>
      </c>
      <c r="H47" s="20" t="n">
        <v>0</v>
      </c>
      <c r="I47" s="20" t="n">
        <f aca="false">H47</f>
        <v>0</v>
      </c>
      <c r="J47" s="20" t="n">
        <f aca="false">E47+F47-G47+I47</f>
        <v>1030909.30873085</v>
      </c>
      <c r="K47" s="20" t="n">
        <f aca="false">O46</f>
        <v>9797730.88771729</v>
      </c>
      <c r="L47" s="20" t="n">
        <f aca="false">K47*B2Ret/12</f>
        <v>73482.9816578797</v>
      </c>
      <c r="M47" s="20" t="n">
        <f aca="false">-I47</f>
        <v>-0</v>
      </c>
      <c r="N47" s="20" t="n">
        <v>0</v>
      </c>
      <c r="O47" s="20" t="n">
        <f aca="false">K47+L47+M47+N47</f>
        <v>9871213.86937517</v>
      </c>
      <c r="P47" s="20" t="n">
        <f aca="false">S46</f>
        <v>15077535.8334713</v>
      </c>
      <c r="Q47" s="20" t="n">
        <f aca="false">P47*B3Ret/12</f>
        <v>138210.745140154</v>
      </c>
      <c r="R47" s="20" t="n">
        <f aca="false">-N47</f>
        <v>-0</v>
      </c>
      <c r="S47" s="20" t="n">
        <f aca="false">P47+Q47+R47</f>
        <v>15215746.5786115</v>
      </c>
      <c r="T47" s="20" t="n">
        <f aca="false">J47+O47+S47</f>
        <v>26117869.7567175</v>
      </c>
    </row>
    <row r="48" customFormat="false" ht="15" hidden="false" customHeight="false" outlineLevel="0" collapsed="false">
      <c r="A48" s="19" t="n">
        <v>47</v>
      </c>
      <c r="B48" s="19" t="n">
        <f aca="false">ROUNDUP(A48/12,0)</f>
        <v>4</v>
      </c>
      <c r="C48" s="19" t="n">
        <f aca="false">Age+B48-1</f>
        <v>65</v>
      </c>
      <c r="D48" s="20" t="n">
        <f aca="false">MonthlyExp*(1+Inflation)^(B48-1)</f>
        <v>61252.15</v>
      </c>
      <c r="E48" s="20" t="n">
        <f aca="false">J47</f>
        <v>1030909.30873085</v>
      </c>
      <c r="F48" s="20" t="n">
        <f aca="false">E48*B1Ret/12</f>
        <v>6013.63763426327</v>
      </c>
      <c r="G48" s="20" t="n">
        <f aca="false">D48</f>
        <v>61252.15</v>
      </c>
      <c r="H48" s="20" t="n">
        <v>0</v>
      </c>
      <c r="I48" s="20" t="n">
        <f aca="false">H48</f>
        <v>0</v>
      </c>
      <c r="J48" s="20" t="n">
        <f aca="false">E48+F48-G48+I48</f>
        <v>975670.796365109</v>
      </c>
      <c r="K48" s="20" t="n">
        <f aca="false">O47</f>
        <v>9871213.86937517</v>
      </c>
      <c r="L48" s="20" t="n">
        <f aca="false">K48*B2Ret/12</f>
        <v>74034.1040203137</v>
      </c>
      <c r="M48" s="20" t="n">
        <f aca="false">-I48</f>
        <v>-0</v>
      </c>
      <c r="N48" s="20" t="n">
        <v>0</v>
      </c>
      <c r="O48" s="20" t="n">
        <f aca="false">K48+L48+M48+N48</f>
        <v>9945247.97339548</v>
      </c>
      <c r="P48" s="20" t="n">
        <f aca="false">S47</f>
        <v>15215746.5786115</v>
      </c>
      <c r="Q48" s="20" t="n">
        <f aca="false">P48*B3Ret/12</f>
        <v>139477.676970605</v>
      </c>
      <c r="R48" s="20" t="n">
        <f aca="false">-N48</f>
        <v>-0</v>
      </c>
      <c r="S48" s="20" t="n">
        <f aca="false">P48+Q48+R48</f>
        <v>15355224.2555821</v>
      </c>
      <c r="T48" s="20" t="n">
        <f aca="false">J48+O48+S48</f>
        <v>26276143.0253427</v>
      </c>
    </row>
    <row r="49" customFormat="false" ht="15" hidden="false" customHeight="false" outlineLevel="0" collapsed="false">
      <c r="A49" s="19" t="n">
        <v>48</v>
      </c>
      <c r="B49" s="19" t="n">
        <f aca="false">ROUNDUP(A49/12,0)</f>
        <v>4</v>
      </c>
      <c r="C49" s="19" t="n">
        <f aca="false">Age+B49-1</f>
        <v>65</v>
      </c>
      <c r="D49" s="20" t="n">
        <f aca="false">MonthlyExp*(1+Inflation)^(B49-1)</f>
        <v>61252.15</v>
      </c>
      <c r="E49" s="20" t="n">
        <f aca="false">J48</f>
        <v>975670.796365109</v>
      </c>
      <c r="F49" s="20" t="n">
        <f aca="false">E49*B1Ret/12</f>
        <v>5691.41297879647</v>
      </c>
      <c r="G49" s="20" t="n">
        <f aca="false">D49</f>
        <v>61252.15</v>
      </c>
      <c r="H49" s="20" t="n">
        <v>0</v>
      </c>
      <c r="I49" s="20" t="n">
        <f aca="false">H49</f>
        <v>0</v>
      </c>
      <c r="J49" s="20" t="n">
        <f aca="false">E49+F49-G49+I49</f>
        <v>920110.059343905</v>
      </c>
      <c r="K49" s="20" t="n">
        <f aca="false">O48</f>
        <v>9945247.97339548</v>
      </c>
      <c r="L49" s="20" t="n">
        <f aca="false">K49*B2Ret/12</f>
        <v>74589.3598004661</v>
      </c>
      <c r="M49" s="20" t="n">
        <f aca="false">-I49</f>
        <v>-0</v>
      </c>
      <c r="N49" s="20" t="n">
        <v>0</v>
      </c>
      <c r="O49" s="20" t="n">
        <f aca="false">K49+L49+M49+N49</f>
        <v>10019837.3331959</v>
      </c>
      <c r="P49" s="20" t="n">
        <f aca="false">S48</f>
        <v>15355224.2555821</v>
      </c>
      <c r="Q49" s="20" t="n">
        <f aca="false">P49*B3Ret/12</f>
        <v>140756.222342836</v>
      </c>
      <c r="R49" s="20" t="n">
        <f aca="false">-N49</f>
        <v>-0</v>
      </c>
      <c r="S49" s="20" t="n">
        <f aca="false">P49+Q49+R49</f>
        <v>15495980.4779249</v>
      </c>
      <c r="T49" s="20" t="n">
        <f aca="false">J49+O49+S49</f>
        <v>26435927.8704648</v>
      </c>
    </row>
    <row r="50" customFormat="false" ht="15" hidden="false" customHeight="false" outlineLevel="0" collapsed="false">
      <c r="A50" s="19" t="n">
        <v>49</v>
      </c>
      <c r="B50" s="19" t="n">
        <f aca="false">ROUNDUP(A50/12,0)</f>
        <v>5</v>
      </c>
      <c r="C50" s="19" t="n">
        <f aca="false">Age+B50-1</f>
        <v>66</v>
      </c>
      <c r="D50" s="20" t="n">
        <f aca="false">MonthlyExp*(1+Inflation)^(B50-1)</f>
        <v>65539.8005</v>
      </c>
      <c r="E50" s="20" t="n">
        <f aca="false">J49</f>
        <v>920110.059343905</v>
      </c>
      <c r="F50" s="20" t="n">
        <f aca="false">E50*B1Ret/12</f>
        <v>5367.30867950612</v>
      </c>
      <c r="G50" s="20" t="n">
        <f aca="false">D50</f>
        <v>65539.8005</v>
      </c>
      <c r="H50" s="20" t="n">
        <v>0</v>
      </c>
      <c r="I50" s="20" t="n">
        <f aca="false">H50</f>
        <v>0</v>
      </c>
      <c r="J50" s="20" t="n">
        <f aca="false">E50+F50-G50+I50</f>
        <v>859937.567523412</v>
      </c>
      <c r="K50" s="20" t="n">
        <f aca="false">O49</f>
        <v>10019837.3331959</v>
      </c>
      <c r="L50" s="20" t="n">
        <f aca="false">K50*B2Ret/12</f>
        <v>75148.7799989696</v>
      </c>
      <c r="M50" s="20" t="n">
        <f aca="false">-I50</f>
        <v>-0</v>
      </c>
      <c r="N50" s="20" t="n">
        <v>0</v>
      </c>
      <c r="O50" s="20" t="n">
        <f aca="false">K50+L50+M50+N50</f>
        <v>10094986.1131949</v>
      </c>
      <c r="P50" s="20" t="n">
        <f aca="false">S49</f>
        <v>15495980.4779249</v>
      </c>
      <c r="Q50" s="20" t="n">
        <f aca="false">P50*B3Ret/12</f>
        <v>142046.487714312</v>
      </c>
      <c r="R50" s="20" t="n">
        <f aca="false">-N50</f>
        <v>-0</v>
      </c>
      <c r="S50" s="20" t="n">
        <f aca="false">P50+Q50+R50</f>
        <v>15638026.9656392</v>
      </c>
      <c r="T50" s="20" t="n">
        <f aca="false">J50+O50+S50</f>
        <v>26592950.6463576</v>
      </c>
    </row>
    <row r="51" customFormat="false" ht="15" hidden="false" customHeight="false" outlineLevel="0" collapsed="false">
      <c r="A51" s="19" t="n">
        <v>50</v>
      </c>
      <c r="B51" s="19" t="n">
        <f aca="false">ROUNDUP(A51/12,0)</f>
        <v>5</v>
      </c>
      <c r="C51" s="19" t="n">
        <f aca="false">Age+B51-1</f>
        <v>66</v>
      </c>
      <c r="D51" s="20" t="n">
        <f aca="false">MonthlyExp*(1+Inflation)^(B51-1)</f>
        <v>65539.8005</v>
      </c>
      <c r="E51" s="20" t="n">
        <f aca="false">J50</f>
        <v>859937.567523412</v>
      </c>
      <c r="F51" s="20" t="n">
        <f aca="false">E51*B1Ret/12</f>
        <v>5016.3024772199</v>
      </c>
      <c r="G51" s="20" t="n">
        <f aca="false">D51</f>
        <v>65539.8005</v>
      </c>
      <c r="H51" s="20" t="n">
        <v>0</v>
      </c>
      <c r="I51" s="20" t="n">
        <f aca="false">H51</f>
        <v>0</v>
      </c>
      <c r="J51" s="20" t="n">
        <f aca="false">E51+F51-G51+I51</f>
        <v>799414.069500631</v>
      </c>
      <c r="K51" s="20" t="n">
        <f aca="false">O50</f>
        <v>10094986.1131949</v>
      </c>
      <c r="L51" s="20" t="n">
        <f aca="false">K51*B2Ret/12</f>
        <v>75712.3958489619</v>
      </c>
      <c r="M51" s="20" t="n">
        <f aca="false">-I51</f>
        <v>-0</v>
      </c>
      <c r="N51" s="20" t="n">
        <v>0</v>
      </c>
      <c r="O51" s="20" t="n">
        <f aca="false">K51+L51+M51+N51</f>
        <v>10170698.5090439</v>
      </c>
      <c r="P51" s="20" t="n">
        <f aca="false">S50</f>
        <v>15638026.9656392</v>
      </c>
      <c r="Q51" s="20" t="n">
        <f aca="false">P51*B3Ret/12</f>
        <v>143348.58051836</v>
      </c>
      <c r="R51" s="20" t="n">
        <f aca="false">-N51</f>
        <v>-0</v>
      </c>
      <c r="S51" s="20" t="n">
        <f aca="false">P51+Q51+R51</f>
        <v>15781375.5461576</v>
      </c>
      <c r="T51" s="20" t="n">
        <f aca="false">J51+O51+S51</f>
        <v>26751488.1247021</v>
      </c>
    </row>
    <row r="52" customFormat="false" ht="15" hidden="false" customHeight="false" outlineLevel="0" collapsed="false">
      <c r="A52" s="19" t="n">
        <v>51</v>
      </c>
      <c r="B52" s="19" t="n">
        <f aca="false">ROUNDUP(A52/12,0)</f>
        <v>5</v>
      </c>
      <c r="C52" s="19" t="n">
        <f aca="false">Age+B52-1</f>
        <v>66</v>
      </c>
      <c r="D52" s="20" t="n">
        <f aca="false">MonthlyExp*(1+Inflation)^(B52-1)</f>
        <v>65539.8005</v>
      </c>
      <c r="E52" s="20" t="n">
        <f aca="false">J51</f>
        <v>799414.069500631</v>
      </c>
      <c r="F52" s="20" t="n">
        <f aca="false">E52*B1Ret/12</f>
        <v>4663.24873875368</v>
      </c>
      <c r="G52" s="20" t="n">
        <f aca="false">D52</f>
        <v>65539.8005</v>
      </c>
      <c r="H52" s="20" t="n">
        <v>0</v>
      </c>
      <c r="I52" s="20" t="n">
        <f aca="false">H52</f>
        <v>0</v>
      </c>
      <c r="J52" s="20" t="n">
        <f aca="false">E52+F52-G52+I52</f>
        <v>738537.517739385</v>
      </c>
      <c r="K52" s="20" t="n">
        <f aca="false">O51</f>
        <v>10170698.5090439</v>
      </c>
      <c r="L52" s="20" t="n">
        <f aca="false">K52*B2Ret/12</f>
        <v>76280.2388178291</v>
      </c>
      <c r="M52" s="20" t="n">
        <f aca="false">-I52</f>
        <v>-0</v>
      </c>
      <c r="N52" s="20" t="n">
        <v>0</v>
      </c>
      <c r="O52" s="20" t="n">
        <f aca="false">K52+L52+M52+N52</f>
        <v>10246978.7478617</v>
      </c>
      <c r="P52" s="20" t="n">
        <f aca="false">S51</f>
        <v>15781375.5461576</v>
      </c>
      <c r="Q52" s="20" t="n">
        <f aca="false">P52*B3Ret/12</f>
        <v>144662.609173111</v>
      </c>
      <c r="R52" s="20" t="n">
        <f aca="false">-N52</f>
        <v>-0</v>
      </c>
      <c r="S52" s="20" t="n">
        <f aca="false">P52+Q52+R52</f>
        <v>15926038.1553307</v>
      </c>
      <c r="T52" s="20" t="n">
        <f aca="false">J52+O52+S52</f>
        <v>26911554.4209318</v>
      </c>
    </row>
    <row r="53" customFormat="false" ht="15" hidden="false" customHeight="false" outlineLevel="0" collapsed="false">
      <c r="A53" s="19" t="n">
        <v>52</v>
      </c>
      <c r="B53" s="19" t="n">
        <f aca="false">ROUNDUP(A53/12,0)</f>
        <v>5</v>
      </c>
      <c r="C53" s="19" t="n">
        <f aca="false">Age+B53-1</f>
        <v>66</v>
      </c>
      <c r="D53" s="20" t="n">
        <f aca="false">MonthlyExp*(1+Inflation)^(B53-1)</f>
        <v>65539.8005</v>
      </c>
      <c r="E53" s="20" t="n">
        <f aca="false">J52</f>
        <v>738537.517739385</v>
      </c>
      <c r="F53" s="20" t="n">
        <f aca="false">E53*B1Ret/12</f>
        <v>4308.13552014641</v>
      </c>
      <c r="G53" s="20" t="n">
        <f aca="false">D53</f>
        <v>65539.8005</v>
      </c>
      <c r="H53" s="20" t="n">
        <v>0</v>
      </c>
      <c r="I53" s="20" t="n">
        <f aca="false">H53</f>
        <v>0</v>
      </c>
      <c r="J53" s="20" t="n">
        <f aca="false">E53+F53-G53+I53</f>
        <v>677305.852759532</v>
      </c>
      <c r="K53" s="20" t="n">
        <f aca="false">O52</f>
        <v>10246978.7478617</v>
      </c>
      <c r="L53" s="20" t="n">
        <f aca="false">K53*B2Ret/12</f>
        <v>76852.3406089628</v>
      </c>
      <c r="M53" s="20" t="n">
        <f aca="false">-I53</f>
        <v>-0</v>
      </c>
      <c r="N53" s="20" t="n">
        <v>0</v>
      </c>
      <c r="O53" s="20" t="n">
        <f aca="false">K53+L53+M53+N53</f>
        <v>10323831.0884707</v>
      </c>
      <c r="P53" s="20" t="n">
        <f aca="false">S52</f>
        <v>15926038.1553307</v>
      </c>
      <c r="Q53" s="20" t="n">
        <f aca="false">P53*B3Ret/12</f>
        <v>145988.683090531</v>
      </c>
      <c r="R53" s="20" t="n">
        <f aca="false">-N53</f>
        <v>-0</v>
      </c>
      <c r="S53" s="20" t="n">
        <f aca="false">P53+Q53+R53</f>
        <v>16072026.8384212</v>
      </c>
      <c r="T53" s="20" t="n">
        <f aca="false">J53+O53+S53</f>
        <v>27073163.7796514</v>
      </c>
    </row>
    <row r="54" customFormat="false" ht="15" hidden="false" customHeight="false" outlineLevel="0" collapsed="false">
      <c r="A54" s="19" t="n">
        <v>53</v>
      </c>
      <c r="B54" s="19" t="n">
        <f aca="false">ROUNDUP(A54/12,0)</f>
        <v>5</v>
      </c>
      <c r="C54" s="19" t="n">
        <f aca="false">Age+B54-1</f>
        <v>66</v>
      </c>
      <c r="D54" s="20" t="n">
        <f aca="false">MonthlyExp*(1+Inflation)^(B54-1)</f>
        <v>65539.8005</v>
      </c>
      <c r="E54" s="20" t="n">
        <f aca="false">J53</f>
        <v>677305.852759532</v>
      </c>
      <c r="F54" s="20" t="n">
        <f aca="false">E54*B1Ret/12</f>
        <v>3950.95080776394</v>
      </c>
      <c r="G54" s="20" t="n">
        <f aca="false">D54</f>
        <v>65539.8005</v>
      </c>
      <c r="H54" s="20" t="n">
        <v>0</v>
      </c>
      <c r="I54" s="20" t="n">
        <f aca="false">H54</f>
        <v>0</v>
      </c>
      <c r="J54" s="20" t="n">
        <f aca="false">E54+F54-G54+I54</f>
        <v>615717.003067296</v>
      </c>
      <c r="K54" s="20" t="n">
        <f aca="false">O53</f>
        <v>10323831.0884707</v>
      </c>
      <c r="L54" s="20" t="n">
        <f aca="false">K54*B2Ret/12</f>
        <v>77428.73316353</v>
      </c>
      <c r="M54" s="20" t="n">
        <f aca="false">-I54</f>
        <v>-0</v>
      </c>
      <c r="N54" s="20" t="n">
        <v>0</v>
      </c>
      <c r="O54" s="20" t="n">
        <f aca="false">K54+L54+M54+N54</f>
        <v>10401259.8216342</v>
      </c>
      <c r="P54" s="20" t="n">
        <f aca="false">S53</f>
        <v>16072026.8384212</v>
      </c>
      <c r="Q54" s="20" t="n">
        <f aca="false">P54*B3Ret/12</f>
        <v>147326.912685528</v>
      </c>
      <c r="R54" s="20" t="n">
        <f aca="false">-N54</f>
        <v>-0</v>
      </c>
      <c r="S54" s="20" t="n">
        <f aca="false">P54+Q54+R54</f>
        <v>16219353.7511068</v>
      </c>
      <c r="T54" s="20" t="n">
        <f aca="false">J54+O54+S54</f>
        <v>27236330.5758083</v>
      </c>
    </row>
    <row r="55" customFormat="false" ht="15" hidden="false" customHeight="false" outlineLevel="0" collapsed="false">
      <c r="A55" s="19" t="n">
        <v>54</v>
      </c>
      <c r="B55" s="19" t="n">
        <f aca="false">ROUNDUP(A55/12,0)</f>
        <v>5</v>
      </c>
      <c r="C55" s="19" t="n">
        <f aca="false">Age+B55-1</f>
        <v>66</v>
      </c>
      <c r="D55" s="20" t="n">
        <f aca="false">MonthlyExp*(1+Inflation)^(B55-1)</f>
        <v>65539.8005</v>
      </c>
      <c r="E55" s="20" t="n">
        <f aca="false">J54</f>
        <v>615717.003067296</v>
      </c>
      <c r="F55" s="20" t="n">
        <f aca="false">E55*B1Ret/12</f>
        <v>3591.68251789256</v>
      </c>
      <c r="G55" s="20" t="n">
        <f aca="false">D55</f>
        <v>65539.8005</v>
      </c>
      <c r="H55" s="20" t="n">
        <v>0</v>
      </c>
      <c r="I55" s="20" t="n">
        <f aca="false">H55</f>
        <v>0</v>
      </c>
      <c r="J55" s="20" t="n">
        <f aca="false">E55+F55-G55+I55</f>
        <v>553768.885085188</v>
      </c>
      <c r="K55" s="20" t="n">
        <f aca="false">O54</f>
        <v>10401259.8216342</v>
      </c>
      <c r="L55" s="20" t="n">
        <f aca="false">K55*B2Ret/12</f>
        <v>78009.4486622565</v>
      </c>
      <c r="M55" s="20" t="n">
        <f aca="false">-I55</f>
        <v>-0</v>
      </c>
      <c r="N55" s="20" t="n">
        <v>0</v>
      </c>
      <c r="O55" s="20" t="n">
        <f aca="false">K55+L55+M55+N55</f>
        <v>10479269.2702965</v>
      </c>
      <c r="P55" s="20" t="n">
        <f aca="false">S54</f>
        <v>16219353.7511068</v>
      </c>
      <c r="Q55" s="20" t="n">
        <f aca="false">P55*B3Ret/12</f>
        <v>148677.409385145</v>
      </c>
      <c r="R55" s="20" t="n">
        <f aca="false">-N55</f>
        <v>-0</v>
      </c>
      <c r="S55" s="20" t="n">
        <f aca="false">P55+Q55+R55</f>
        <v>16368031.1604919</v>
      </c>
      <c r="T55" s="20" t="n">
        <f aca="false">J55+O55+S55</f>
        <v>27401069.3158735</v>
      </c>
    </row>
    <row r="56" customFormat="false" ht="15" hidden="false" customHeight="false" outlineLevel="0" collapsed="false">
      <c r="A56" s="19" t="n">
        <v>55</v>
      </c>
      <c r="B56" s="19" t="n">
        <f aca="false">ROUNDUP(A56/12,0)</f>
        <v>5</v>
      </c>
      <c r="C56" s="19" t="n">
        <f aca="false">Age+B56-1</f>
        <v>66</v>
      </c>
      <c r="D56" s="20" t="n">
        <f aca="false">MonthlyExp*(1+Inflation)^(B56-1)</f>
        <v>65539.8005</v>
      </c>
      <c r="E56" s="20" t="n">
        <f aca="false">J55</f>
        <v>553768.885085188</v>
      </c>
      <c r="F56" s="20" t="n">
        <f aca="false">E56*B1Ret/12</f>
        <v>3230.31849633026</v>
      </c>
      <c r="G56" s="20" t="n">
        <f aca="false">D56</f>
        <v>65539.8005</v>
      </c>
      <c r="H56" s="20" t="n">
        <v>0</v>
      </c>
      <c r="I56" s="20" t="n">
        <f aca="false">H56</f>
        <v>0</v>
      </c>
      <c r="J56" s="20" t="n">
        <f aca="false">E56+F56-G56+I56</f>
        <v>491459.403081518</v>
      </c>
      <c r="K56" s="20" t="n">
        <f aca="false">O55</f>
        <v>10479269.2702965</v>
      </c>
      <c r="L56" s="20" t="n">
        <f aca="false">K56*B2Ret/12</f>
        <v>78594.5195272234</v>
      </c>
      <c r="M56" s="20" t="n">
        <f aca="false">-I56</f>
        <v>-0</v>
      </c>
      <c r="N56" s="20" t="n">
        <v>0</v>
      </c>
      <c r="O56" s="20" t="n">
        <f aca="false">K56+L56+M56+N56</f>
        <v>10557863.7898237</v>
      </c>
      <c r="P56" s="20" t="n">
        <f aca="false">S55</f>
        <v>16368031.1604919</v>
      </c>
      <c r="Q56" s="20" t="n">
        <f aca="false">P56*B3Ret/12</f>
        <v>150040.285637842</v>
      </c>
      <c r="R56" s="20" t="n">
        <f aca="false">-N56</f>
        <v>-0</v>
      </c>
      <c r="S56" s="20" t="n">
        <f aca="false">P56+Q56+R56</f>
        <v>16518071.4461297</v>
      </c>
      <c r="T56" s="20" t="n">
        <f aca="false">J56+O56+S56</f>
        <v>27567394.6390349</v>
      </c>
    </row>
    <row r="57" customFormat="false" ht="15" hidden="false" customHeight="false" outlineLevel="0" collapsed="false">
      <c r="A57" s="19" t="n">
        <v>56</v>
      </c>
      <c r="B57" s="19" t="n">
        <f aca="false">ROUNDUP(A57/12,0)</f>
        <v>5</v>
      </c>
      <c r="C57" s="19" t="n">
        <f aca="false">Age+B57-1</f>
        <v>66</v>
      </c>
      <c r="D57" s="20" t="n">
        <f aca="false">MonthlyExp*(1+Inflation)^(B57-1)</f>
        <v>65539.8005</v>
      </c>
      <c r="E57" s="20" t="n">
        <f aca="false">J56</f>
        <v>491459.403081518</v>
      </c>
      <c r="F57" s="20" t="n">
        <f aca="false">E57*B1Ret/12</f>
        <v>2866.84651797552</v>
      </c>
      <c r="G57" s="20" t="n">
        <f aca="false">D57</f>
        <v>65539.8005</v>
      </c>
      <c r="H57" s="20" t="n">
        <v>0</v>
      </c>
      <c r="I57" s="20" t="n">
        <f aca="false">H57</f>
        <v>0</v>
      </c>
      <c r="J57" s="20" t="n">
        <f aca="false">E57+F57-G57+I57</f>
        <v>428786.449099494</v>
      </c>
      <c r="K57" s="20" t="n">
        <f aca="false">O56</f>
        <v>10557863.7898237</v>
      </c>
      <c r="L57" s="20" t="n">
        <f aca="false">K57*B2Ret/12</f>
        <v>79183.9784236776</v>
      </c>
      <c r="M57" s="20" t="n">
        <f aca="false">-I57</f>
        <v>-0</v>
      </c>
      <c r="N57" s="20" t="n">
        <v>0</v>
      </c>
      <c r="O57" s="20" t="n">
        <f aca="false">K57+L57+M57+N57</f>
        <v>10637047.7682474</v>
      </c>
      <c r="P57" s="20" t="n">
        <f aca="false">S56</f>
        <v>16518071.4461297</v>
      </c>
      <c r="Q57" s="20" t="n">
        <f aca="false">P57*B3Ret/12</f>
        <v>151415.654922856</v>
      </c>
      <c r="R57" s="20" t="n">
        <f aca="false">-N57</f>
        <v>-0</v>
      </c>
      <c r="S57" s="20" t="n">
        <f aca="false">P57+Q57+R57</f>
        <v>16669487.1010526</v>
      </c>
      <c r="T57" s="20" t="n">
        <f aca="false">J57+O57+S57</f>
        <v>27735321.3183995</v>
      </c>
    </row>
    <row r="58" customFormat="false" ht="15" hidden="false" customHeight="false" outlineLevel="0" collapsed="false">
      <c r="A58" s="19" t="n">
        <v>57</v>
      </c>
      <c r="B58" s="19" t="n">
        <f aca="false">ROUNDUP(A58/12,0)</f>
        <v>5</v>
      </c>
      <c r="C58" s="19" t="n">
        <f aca="false">Age+B58-1</f>
        <v>66</v>
      </c>
      <c r="D58" s="20" t="n">
        <f aca="false">MonthlyExp*(1+Inflation)^(B58-1)</f>
        <v>65539.8005</v>
      </c>
      <c r="E58" s="20" t="n">
        <f aca="false">J57</f>
        <v>428786.449099494</v>
      </c>
      <c r="F58" s="20" t="n">
        <f aca="false">E58*B1Ret/12</f>
        <v>2501.25428641371</v>
      </c>
      <c r="G58" s="20" t="n">
        <f aca="false">D58</f>
        <v>65539.8005</v>
      </c>
      <c r="H58" s="20" t="n">
        <v>0</v>
      </c>
      <c r="I58" s="20" t="n">
        <f aca="false">H58</f>
        <v>0</v>
      </c>
      <c r="J58" s="20" t="n">
        <f aca="false">E58+F58-G58+I58</f>
        <v>365747.902885908</v>
      </c>
      <c r="K58" s="20" t="n">
        <f aca="false">O57</f>
        <v>10637047.7682474</v>
      </c>
      <c r="L58" s="20" t="n">
        <f aca="false">K58*B2Ret/12</f>
        <v>79777.8582618552</v>
      </c>
      <c r="M58" s="20" t="n">
        <f aca="false">-I58</f>
        <v>-0</v>
      </c>
      <c r="N58" s="20" t="n">
        <v>0</v>
      </c>
      <c r="O58" s="20" t="n">
        <f aca="false">K58+L58+M58+N58</f>
        <v>10716825.6265092</v>
      </c>
      <c r="P58" s="20" t="n">
        <f aca="false">S57</f>
        <v>16669487.1010526</v>
      </c>
      <c r="Q58" s="20" t="n">
        <f aca="false">P58*B3Ret/12</f>
        <v>152803.631759649</v>
      </c>
      <c r="R58" s="20" t="n">
        <f aca="false">-N58</f>
        <v>-0</v>
      </c>
      <c r="S58" s="20" t="n">
        <f aca="false">P58+Q58+R58</f>
        <v>16822290.7328123</v>
      </c>
      <c r="T58" s="20" t="n">
        <f aca="false">J58+O58+S58</f>
        <v>27904864.2622074</v>
      </c>
    </row>
    <row r="59" customFormat="false" ht="15" hidden="false" customHeight="false" outlineLevel="0" collapsed="false">
      <c r="A59" s="19" t="n">
        <v>58</v>
      </c>
      <c r="B59" s="19" t="n">
        <f aca="false">ROUNDUP(A59/12,0)</f>
        <v>5</v>
      </c>
      <c r="C59" s="19" t="n">
        <f aca="false">Age+B59-1</f>
        <v>66</v>
      </c>
      <c r="D59" s="20" t="n">
        <f aca="false">MonthlyExp*(1+Inflation)^(B59-1)</f>
        <v>65539.8005</v>
      </c>
      <c r="E59" s="20" t="n">
        <f aca="false">J58</f>
        <v>365747.902885908</v>
      </c>
      <c r="F59" s="20" t="n">
        <f aca="false">E59*B1Ret/12</f>
        <v>2133.52943350113</v>
      </c>
      <c r="G59" s="20" t="n">
        <f aca="false">D59</f>
        <v>65539.8005</v>
      </c>
      <c r="H59" s="20" t="n">
        <v>0</v>
      </c>
      <c r="I59" s="20" t="n">
        <f aca="false">H59</f>
        <v>0</v>
      </c>
      <c r="J59" s="20" t="n">
        <f aca="false">E59+F59-G59+I59</f>
        <v>302341.631819409</v>
      </c>
      <c r="K59" s="20" t="n">
        <f aca="false">O58</f>
        <v>10716825.6265092</v>
      </c>
      <c r="L59" s="20" t="n">
        <f aca="false">K59*B2Ret/12</f>
        <v>80376.1921988191</v>
      </c>
      <c r="M59" s="20" t="n">
        <f aca="false">-I59</f>
        <v>-0</v>
      </c>
      <c r="N59" s="20" t="n">
        <v>0</v>
      </c>
      <c r="O59" s="20" t="n">
        <f aca="false">K59+L59+M59+N59</f>
        <v>10797201.818708</v>
      </c>
      <c r="P59" s="20" t="n">
        <f aca="false">S58</f>
        <v>16822290.7328123</v>
      </c>
      <c r="Q59" s="20" t="n">
        <f aca="false">P59*B3Ret/12</f>
        <v>154204.331717446</v>
      </c>
      <c r="R59" s="20" t="n">
        <f aca="false">-N59</f>
        <v>-0</v>
      </c>
      <c r="S59" s="20" t="n">
        <f aca="false">P59+Q59+R59</f>
        <v>16976495.0645297</v>
      </c>
      <c r="T59" s="20" t="n">
        <f aca="false">J59+O59+S59</f>
        <v>28076038.5150571</v>
      </c>
    </row>
    <row r="60" customFormat="false" ht="15" hidden="false" customHeight="false" outlineLevel="0" collapsed="false">
      <c r="A60" s="19" t="n">
        <v>59</v>
      </c>
      <c r="B60" s="19" t="n">
        <f aca="false">ROUNDUP(A60/12,0)</f>
        <v>5</v>
      </c>
      <c r="C60" s="19" t="n">
        <f aca="false">Age+B60-1</f>
        <v>66</v>
      </c>
      <c r="D60" s="20" t="n">
        <f aca="false">MonthlyExp*(1+Inflation)^(B60-1)</f>
        <v>65539.8005</v>
      </c>
      <c r="E60" s="20" t="n">
        <f aca="false">J59</f>
        <v>302341.631819409</v>
      </c>
      <c r="F60" s="20" t="n">
        <f aca="false">E60*B1Ret/12</f>
        <v>1763.65951894655</v>
      </c>
      <c r="G60" s="20" t="n">
        <f aca="false">D60</f>
        <v>65539.8005</v>
      </c>
      <c r="H60" s="20" t="n">
        <v>0</v>
      </c>
      <c r="I60" s="20" t="n">
        <f aca="false">H60</f>
        <v>0</v>
      </c>
      <c r="J60" s="20" t="n">
        <f aca="false">E60+F60-G60+I60</f>
        <v>238565.490838355</v>
      </c>
      <c r="K60" s="20" t="n">
        <f aca="false">O59</f>
        <v>10797201.818708</v>
      </c>
      <c r="L60" s="20" t="n">
        <f aca="false">K60*B2Ret/12</f>
        <v>80979.0136403102</v>
      </c>
      <c r="M60" s="20" t="n">
        <f aca="false">-I60</f>
        <v>-0</v>
      </c>
      <c r="N60" s="20" t="n">
        <v>0</v>
      </c>
      <c r="O60" s="20" t="n">
        <f aca="false">K60+L60+M60+N60</f>
        <v>10878180.8323483</v>
      </c>
      <c r="P60" s="20" t="n">
        <f aca="false">S59</f>
        <v>16976495.0645297</v>
      </c>
      <c r="Q60" s="20" t="n">
        <f aca="false">P60*B3Ret/12</f>
        <v>155617.871424856</v>
      </c>
      <c r="R60" s="20" t="n">
        <f aca="false">-N60</f>
        <v>-0</v>
      </c>
      <c r="S60" s="20" t="n">
        <f aca="false">P60+Q60+R60</f>
        <v>17132112.9359546</v>
      </c>
      <c r="T60" s="20" t="n">
        <f aca="false">J60+O60+S60</f>
        <v>28248859.2591412</v>
      </c>
    </row>
    <row r="61" customFormat="false" ht="15" hidden="false" customHeight="false" outlineLevel="0" collapsed="false">
      <c r="A61" s="19" t="n">
        <v>60</v>
      </c>
      <c r="B61" s="19" t="n">
        <f aca="false">ROUNDUP(A61/12,0)</f>
        <v>5</v>
      </c>
      <c r="C61" s="19" t="n">
        <f aca="false">Age+B61-1</f>
        <v>66</v>
      </c>
      <c r="D61" s="20" t="n">
        <f aca="false">MonthlyExp*(1+Inflation)^(B61-1)</f>
        <v>65539.8005</v>
      </c>
      <c r="E61" s="20" t="n">
        <f aca="false">J60</f>
        <v>238565.490838355</v>
      </c>
      <c r="F61" s="20" t="n">
        <f aca="false">E61*B1Ret/12</f>
        <v>1391.63202989041</v>
      </c>
      <c r="G61" s="20" t="n">
        <f aca="false">D61</f>
        <v>65539.8005</v>
      </c>
      <c r="H61" s="20" t="n">
        <f aca="false">MAX(SUM(D62:D121)-(E61+F61-G61),0)</f>
        <v>4665008.04839946</v>
      </c>
      <c r="I61" s="20" t="n">
        <f aca="false">H61</f>
        <v>4665008.04839946</v>
      </c>
      <c r="J61" s="20" t="n">
        <f aca="false">E61+F61-G61+I61</f>
        <v>4839425.3707677</v>
      </c>
      <c r="K61" s="20" t="n">
        <f aca="false">O60</f>
        <v>10878180.8323483</v>
      </c>
      <c r="L61" s="20" t="n">
        <f aca="false">K61*B2Ret/12</f>
        <v>81586.3562426125</v>
      </c>
      <c r="M61" s="20" t="n">
        <f aca="false">-I61</f>
        <v>-4665008.04839946</v>
      </c>
      <c r="N61" s="20" t="n">
        <v>0</v>
      </c>
      <c r="O61" s="20" t="n">
        <f aca="false">K61+L61+M61+N61</f>
        <v>6294759.14019149</v>
      </c>
      <c r="P61" s="20" t="n">
        <f aca="false">S60</f>
        <v>17132112.9359546</v>
      </c>
      <c r="Q61" s="20" t="n">
        <f aca="false">P61*B3Ret/12</f>
        <v>157044.368579583</v>
      </c>
      <c r="R61" s="20" t="n">
        <f aca="false">-N61</f>
        <v>-0</v>
      </c>
      <c r="S61" s="20" t="n">
        <f aca="false">P61+Q61+R61</f>
        <v>17289157.3045341</v>
      </c>
      <c r="T61" s="20" t="n">
        <f aca="false">J61+O61+S61</f>
        <v>28423341.8154933</v>
      </c>
    </row>
    <row r="62" customFormat="false" ht="15" hidden="false" customHeight="false" outlineLevel="0" collapsed="false">
      <c r="A62" s="19" t="n">
        <v>61</v>
      </c>
      <c r="B62" s="19" t="n">
        <f aca="false">ROUNDUP(A62/12,0)</f>
        <v>6</v>
      </c>
      <c r="C62" s="19" t="n">
        <f aca="false">Age+B62-1</f>
        <v>67</v>
      </c>
      <c r="D62" s="20" t="n">
        <f aca="false">MonthlyExp*(1+Inflation)^(B62-1)</f>
        <v>70127.586535</v>
      </c>
      <c r="E62" s="20" t="n">
        <f aca="false">J61</f>
        <v>4839425.3707677</v>
      </c>
      <c r="F62" s="20" t="n">
        <f aca="false">E62*B1Ret/12</f>
        <v>28229.9813294783</v>
      </c>
      <c r="G62" s="20" t="n">
        <f aca="false">D62</f>
        <v>70127.586535</v>
      </c>
      <c r="H62" s="20" t="n">
        <v>0</v>
      </c>
      <c r="I62" s="20" t="n">
        <f aca="false">H62</f>
        <v>0</v>
      </c>
      <c r="J62" s="20" t="n">
        <f aca="false">E62+F62-G62+I62</f>
        <v>4797527.76556218</v>
      </c>
      <c r="K62" s="20" t="n">
        <f aca="false">O61</f>
        <v>6294759.14019149</v>
      </c>
      <c r="L62" s="20" t="n">
        <f aca="false">K62*B2Ret/12</f>
        <v>47210.6935514362</v>
      </c>
      <c r="M62" s="20" t="n">
        <f aca="false">-I62</f>
        <v>-0</v>
      </c>
      <c r="N62" s="20" t="n">
        <v>0</v>
      </c>
      <c r="O62" s="20" t="n">
        <f aca="false">K62+L62+M62+N62</f>
        <v>6341969.83374293</v>
      </c>
      <c r="P62" s="20" t="n">
        <f aca="false">S61</f>
        <v>17289157.3045341</v>
      </c>
      <c r="Q62" s="20" t="n">
        <f aca="false">P62*B3Ret/12</f>
        <v>158483.94195823</v>
      </c>
      <c r="R62" s="20" t="n">
        <f aca="false">-N62</f>
        <v>-0</v>
      </c>
      <c r="S62" s="20" t="n">
        <f aca="false">P62+Q62+R62</f>
        <v>17447641.2464924</v>
      </c>
      <c r="T62" s="20" t="n">
        <f aca="false">J62+O62+S62</f>
        <v>28587138.8457975</v>
      </c>
    </row>
    <row r="63" customFormat="false" ht="15" hidden="false" customHeight="false" outlineLevel="0" collapsed="false">
      <c r="A63" s="19" t="n">
        <v>62</v>
      </c>
      <c r="B63" s="19" t="n">
        <f aca="false">ROUNDUP(A63/12,0)</f>
        <v>6</v>
      </c>
      <c r="C63" s="19" t="n">
        <f aca="false">Age+B63-1</f>
        <v>67</v>
      </c>
      <c r="D63" s="20" t="n">
        <f aca="false">MonthlyExp*(1+Inflation)^(B63-1)</f>
        <v>70127.586535</v>
      </c>
      <c r="E63" s="20" t="n">
        <f aca="false">J62</f>
        <v>4797527.76556218</v>
      </c>
      <c r="F63" s="20" t="n">
        <f aca="false">E63*B1Ret/12</f>
        <v>27985.5786324461</v>
      </c>
      <c r="G63" s="20" t="n">
        <f aca="false">D63</f>
        <v>70127.586535</v>
      </c>
      <c r="H63" s="20" t="n">
        <v>0</v>
      </c>
      <c r="I63" s="20" t="n">
        <f aca="false">H63</f>
        <v>0</v>
      </c>
      <c r="J63" s="20" t="n">
        <f aca="false">E63+F63-G63+I63</f>
        <v>4755385.75765963</v>
      </c>
      <c r="K63" s="20" t="n">
        <f aca="false">O62</f>
        <v>6341969.83374293</v>
      </c>
      <c r="L63" s="20" t="n">
        <f aca="false">K63*B2Ret/12</f>
        <v>47564.773753072</v>
      </c>
      <c r="M63" s="20" t="n">
        <f aca="false">-I63</f>
        <v>-0</v>
      </c>
      <c r="N63" s="20" t="n">
        <v>0</v>
      </c>
      <c r="O63" s="20" t="n">
        <f aca="false">K63+L63+M63+N63</f>
        <v>6389534.607496</v>
      </c>
      <c r="P63" s="20" t="n">
        <f aca="false">S62</f>
        <v>17447641.2464924</v>
      </c>
      <c r="Q63" s="20" t="n">
        <f aca="false">P63*B3Ret/12</f>
        <v>159936.71142618</v>
      </c>
      <c r="R63" s="20" t="n">
        <f aca="false">-N63</f>
        <v>-0</v>
      </c>
      <c r="S63" s="20" t="n">
        <f aca="false">P63+Q63+R63</f>
        <v>17607577.9579185</v>
      </c>
      <c r="T63" s="20" t="n">
        <f aca="false">J63+O63+S63</f>
        <v>28752498.3230742</v>
      </c>
    </row>
    <row r="64" customFormat="false" ht="15" hidden="false" customHeight="false" outlineLevel="0" collapsed="false">
      <c r="A64" s="19" t="n">
        <v>63</v>
      </c>
      <c r="B64" s="19" t="n">
        <f aca="false">ROUNDUP(A64/12,0)</f>
        <v>6</v>
      </c>
      <c r="C64" s="19" t="n">
        <f aca="false">Age+B64-1</f>
        <v>67</v>
      </c>
      <c r="D64" s="20" t="n">
        <f aca="false">MonthlyExp*(1+Inflation)^(B64-1)</f>
        <v>70127.586535</v>
      </c>
      <c r="E64" s="20" t="n">
        <f aca="false">J63</f>
        <v>4755385.75765963</v>
      </c>
      <c r="F64" s="20" t="n">
        <f aca="false">E64*B1Ret/12</f>
        <v>27739.7502530145</v>
      </c>
      <c r="G64" s="20" t="n">
        <f aca="false">D64</f>
        <v>70127.586535</v>
      </c>
      <c r="H64" s="20" t="n">
        <v>0</v>
      </c>
      <c r="I64" s="20" t="n">
        <f aca="false">H64</f>
        <v>0</v>
      </c>
      <c r="J64" s="20" t="n">
        <f aca="false">E64+F64-G64+I64</f>
        <v>4712997.92137764</v>
      </c>
      <c r="K64" s="20" t="n">
        <f aca="false">O63</f>
        <v>6389534.607496</v>
      </c>
      <c r="L64" s="20" t="n">
        <f aca="false">K64*B2Ret/12</f>
        <v>47921.50955622</v>
      </c>
      <c r="M64" s="20" t="n">
        <f aca="false">-I64</f>
        <v>-0</v>
      </c>
      <c r="N64" s="20" t="n">
        <v>0</v>
      </c>
      <c r="O64" s="20" t="n">
        <f aca="false">K64+L64+M64+N64</f>
        <v>6437456.11705222</v>
      </c>
      <c r="P64" s="20" t="n">
        <f aca="false">S63</f>
        <v>17607577.9579185</v>
      </c>
      <c r="Q64" s="20" t="n">
        <f aca="false">P64*B3Ret/12</f>
        <v>161402.797947587</v>
      </c>
      <c r="R64" s="20" t="n">
        <f aca="false">-N64</f>
        <v>-0</v>
      </c>
      <c r="S64" s="20" t="n">
        <f aca="false">P64+Q64+R64</f>
        <v>17768980.7558661</v>
      </c>
      <c r="T64" s="20" t="n">
        <f aca="false">J64+O64+S64</f>
        <v>28919434.794296</v>
      </c>
    </row>
    <row r="65" customFormat="false" ht="15" hidden="false" customHeight="false" outlineLevel="0" collapsed="false">
      <c r="A65" s="19" t="n">
        <v>64</v>
      </c>
      <c r="B65" s="19" t="n">
        <f aca="false">ROUNDUP(A65/12,0)</f>
        <v>6</v>
      </c>
      <c r="C65" s="19" t="n">
        <f aca="false">Age+B65-1</f>
        <v>67</v>
      </c>
      <c r="D65" s="20" t="n">
        <f aca="false">MonthlyExp*(1+Inflation)^(B65-1)</f>
        <v>70127.586535</v>
      </c>
      <c r="E65" s="20" t="n">
        <f aca="false">J64</f>
        <v>4712997.92137764</v>
      </c>
      <c r="F65" s="20" t="n">
        <f aca="false">E65*B1Ret/12</f>
        <v>27492.4878747029</v>
      </c>
      <c r="G65" s="20" t="n">
        <f aca="false">D65</f>
        <v>70127.586535</v>
      </c>
      <c r="H65" s="20" t="n">
        <v>0</v>
      </c>
      <c r="I65" s="20" t="n">
        <f aca="false">H65</f>
        <v>0</v>
      </c>
      <c r="J65" s="20" t="n">
        <f aca="false">E65+F65-G65+I65</f>
        <v>4670362.82271734</v>
      </c>
      <c r="K65" s="20" t="n">
        <f aca="false">O64</f>
        <v>6437456.11705222</v>
      </c>
      <c r="L65" s="20" t="n">
        <f aca="false">K65*B2Ret/12</f>
        <v>48280.9208778917</v>
      </c>
      <c r="M65" s="20" t="n">
        <f aca="false">-I65</f>
        <v>-0</v>
      </c>
      <c r="N65" s="20" t="n">
        <v>0</v>
      </c>
      <c r="O65" s="20" t="n">
        <f aca="false">K65+L65+M65+N65</f>
        <v>6485737.03793011</v>
      </c>
      <c r="P65" s="20" t="n">
        <f aca="false">S64</f>
        <v>17768980.7558661</v>
      </c>
      <c r="Q65" s="20" t="n">
        <f aca="false">P65*B3Ret/12</f>
        <v>162882.32359544</v>
      </c>
      <c r="R65" s="20" t="n">
        <f aca="false">-N65</f>
        <v>-0</v>
      </c>
      <c r="S65" s="20" t="n">
        <f aca="false">P65+Q65+R65</f>
        <v>17931863.0794616</v>
      </c>
      <c r="T65" s="20" t="n">
        <f aca="false">J65+O65+S65</f>
        <v>29087962.940109</v>
      </c>
    </row>
    <row r="66" customFormat="false" ht="15" hidden="false" customHeight="false" outlineLevel="0" collapsed="false">
      <c r="A66" s="19" t="n">
        <v>65</v>
      </c>
      <c r="B66" s="19" t="n">
        <f aca="false">ROUNDUP(A66/12,0)</f>
        <v>6</v>
      </c>
      <c r="C66" s="19" t="n">
        <f aca="false">Age+B66-1</f>
        <v>67</v>
      </c>
      <c r="D66" s="20" t="n">
        <f aca="false">MonthlyExp*(1+Inflation)^(B66-1)</f>
        <v>70127.586535</v>
      </c>
      <c r="E66" s="20" t="n">
        <f aca="false">J65</f>
        <v>4670362.82271734</v>
      </c>
      <c r="F66" s="20" t="n">
        <f aca="false">E66*B1Ret/12</f>
        <v>27243.7831325178</v>
      </c>
      <c r="G66" s="20" t="n">
        <f aca="false">D66</f>
        <v>70127.586535</v>
      </c>
      <c r="H66" s="20" t="n">
        <v>0</v>
      </c>
      <c r="I66" s="20" t="n">
        <f aca="false">H66</f>
        <v>0</v>
      </c>
      <c r="J66" s="20" t="n">
        <f aca="false">E66+F66-G66+I66</f>
        <v>4627479.01931486</v>
      </c>
      <c r="K66" s="20" t="n">
        <f aca="false">O65</f>
        <v>6485737.03793011</v>
      </c>
      <c r="L66" s="20" t="n">
        <f aca="false">K66*B2Ret/12</f>
        <v>48643.0277844758</v>
      </c>
      <c r="M66" s="20" t="n">
        <f aca="false">-I66</f>
        <v>-0</v>
      </c>
      <c r="N66" s="20" t="n">
        <v>0</v>
      </c>
      <c r="O66" s="20" t="n">
        <f aca="false">K66+L66+M66+N66</f>
        <v>6534380.06571459</v>
      </c>
      <c r="P66" s="20" t="n">
        <f aca="false">S65</f>
        <v>17931863.0794616</v>
      </c>
      <c r="Q66" s="20" t="n">
        <f aca="false">P66*B3Ret/12</f>
        <v>164375.411561731</v>
      </c>
      <c r="R66" s="20" t="n">
        <f aca="false">-N66</f>
        <v>-0</v>
      </c>
      <c r="S66" s="20" t="n">
        <f aca="false">P66+Q66+R66</f>
        <v>18096238.4910233</v>
      </c>
      <c r="T66" s="20" t="n">
        <f aca="false">J66+O66+S66</f>
        <v>29258097.5760527</v>
      </c>
    </row>
    <row r="67" customFormat="false" ht="15" hidden="false" customHeight="false" outlineLevel="0" collapsed="false">
      <c r="A67" s="19" t="n">
        <v>66</v>
      </c>
      <c r="B67" s="19" t="n">
        <f aca="false">ROUNDUP(A67/12,0)</f>
        <v>6</v>
      </c>
      <c r="C67" s="19" t="n">
        <f aca="false">Age+B67-1</f>
        <v>67</v>
      </c>
      <c r="D67" s="20" t="n">
        <f aca="false">MonthlyExp*(1+Inflation)^(B67-1)</f>
        <v>70127.586535</v>
      </c>
      <c r="E67" s="20" t="n">
        <f aca="false">J66</f>
        <v>4627479.01931486</v>
      </c>
      <c r="F67" s="20" t="n">
        <f aca="false">E67*B1Ret/12</f>
        <v>26993.62761267</v>
      </c>
      <c r="G67" s="20" t="n">
        <f aca="false">D67</f>
        <v>70127.586535</v>
      </c>
      <c r="H67" s="20" t="n">
        <v>0</v>
      </c>
      <c r="I67" s="20" t="n">
        <f aca="false">H67</f>
        <v>0</v>
      </c>
      <c r="J67" s="20" t="n">
        <f aca="false">E67+F67-G67+I67</f>
        <v>4584345.06039253</v>
      </c>
      <c r="K67" s="20" t="n">
        <f aca="false">O66</f>
        <v>6534380.06571459</v>
      </c>
      <c r="L67" s="20" t="n">
        <f aca="false">K67*B2Ret/12</f>
        <v>49007.8504928594</v>
      </c>
      <c r="M67" s="20" t="n">
        <f aca="false">-I67</f>
        <v>-0</v>
      </c>
      <c r="N67" s="20" t="n">
        <v>0</v>
      </c>
      <c r="O67" s="20" t="n">
        <f aca="false">K67+L67+M67+N67</f>
        <v>6583387.91620745</v>
      </c>
      <c r="P67" s="20" t="n">
        <f aca="false">S66</f>
        <v>18096238.4910233</v>
      </c>
      <c r="Q67" s="20" t="n">
        <f aca="false">P67*B3Ret/12</f>
        <v>165882.186167714</v>
      </c>
      <c r="R67" s="20" t="n">
        <f aca="false">-N67</f>
        <v>-0</v>
      </c>
      <c r="S67" s="20" t="n">
        <f aca="false">P67+Q67+R67</f>
        <v>18262120.677191</v>
      </c>
      <c r="T67" s="20" t="n">
        <f aca="false">J67+O67+S67</f>
        <v>29429853.653791</v>
      </c>
    </row>
    <row r="68" customFormat="false" ht="15" hidden="false" customHeight="false" outlineLevel="0" collapsed="false">
      <c r="A68" s="19" t="n">
        <v>67</v>
      </c>
      <c r="B68" s="19" t="n">
        <f aca="false">ROUNDUP(A68/12,0)</f>
        <v>6</v>
      </c>
      <c r="C68" s="19" t="n">
        <f aca="false">Age+B68-1</f>
        <v>67</v>
      </c>
      <c r="D68" s="20" t="n">
        <f aca="false">MonthlyExp*(1+Inflation)^(B68-1)</f>
        <v>70127.586535</v>
      </c>
      <c r="E68" s="20" t="n">
        <f aca="false">J67</f>
        <v>4584345.06039253</v>
      </c>
      <c r="F68" s="20" t="n">
        <f aca="false">E68*B1Ret/12</f>
        <v>26742.0128522898</v>
      </c>
      <c r="G68" s="20" t="n">
        <f aca="false">D68</f>
        <v>70127.586535</v>
      </c>
      <c r="H68" s="20" t="n">
        <v>0</v>
      </c>
      <c r="I68" s="20" t="n">
        <f aca="false">H68</f>
        <v>0</v>
      </c>
      <c r="J68" s="20" t="n">
        <f aca="false">E68+F68-G68+I68</f>
        <v>4540959.48670982</v>
      </c>
      <c r="K68" s="20" t="n">
        <f aca="false">O67</f>
        <v>6583387.91620745</v>
      </c>
      <c r="L68" s="20" t="n">
        <f aca="false">K68*B2Ret/12</f>
        <v>49375.4093715559</v>
      </c>
      <c r="M68" s="20" t="n">
        <f aca="false">-I68</f>
        <v>-0</v>
      </c>
      <c r="N68" s="20" t="n">
        <v>0</v>
      </c>
      <c r="O68" s="20" t="n">
        <f aca="false">K68+L68+M68+N68</f>
        <v>6632763.325579</v>
      </c>
      <c r="P68" s="20" t="n">
        <f aca="false">S67</f>
        <v>18262120.677191</v>
      </c>
      <c r="Q68" s="20" t="n">
        <f aca="false">P68*B3Ret/12</f>
        <v>167402.772874251</v>
      </c>
      <c r="R68" s="20" t="n">
        <f aca="false">-N68</f>
        <v>-0</v>
      </c>
      <c r="S68" s="20" t="n">
        <f aca="false">P68+Q68+R68</f>
        <v>18429523.4500653</v>
      </c>
      <c r="T68" s="20" t="n">
        <f aca="false">J68+O68+S68</f>
        <v>29603246.2623541</v>
      </c>
    </row>
    <row r="69" customFormat="false" ht="15" hidden="false" customHeight="false" outlineLevel="0" collapsed="false">
      <c r="A69" s="19" t="n">
        <v>68</v>
      </c>
      <c r="B69" s="19" t="n">
        <f aca="false">ROUNDUP(A69/12,0)</f>
        <v>6</v>
      </c>
      <c r="C69" s="19" t="n">
        <f aca="false">Age+B69-1</f>
        <v>67</v>
      </c>
      <c r="D69" s="20" t="n">
        <f aca="false">MonthlyExp*(1+Inflation)^(B69-1)</f>
        <v>70127.586535</v>
      </c>
      <c r="E69" s="20" t="n">
        <f aca="false">J68</f>
        <v>4540959.48670982</v>
      </c>
      <c r="F69" s="20" t="n">
        <f aca="false">E69*B1Ret/12</f>
        <v>26488.9303391406</v>
      </c>
      <c r="G69" s="20" t="n">
        <f aca="false">D69</f>
        <v>70127.586535</v>
      </c>
      <c r="H69" s="20" t="n">
        <v>0</v>
      </c>
      <c r="I69" s="20" t="n">
        <f aca="false">H69</f>
        <v>0</v>
      </c>
      <c r="J69" s="20" t="n">
        <f aca="false">E69+F69-G69+I69</f>
        <v>4497320.83051396</v>
      </c>
      <c r="K69" s="20" t="n">
        <f aca="false">O68</f>
        <v>6632763.325579</v>
      </c>
      <c r="L69" s="20" t="n">
        <f aca="false">K69*B2Ret/12</f>
        <v>49745.7249418425</v>
      </c>
      <c r="M69" s="20" t="n">
        <f aca="false">-I69</f>
        <v>-0</v>
      </c>
      <c r="N69" s="20" t="n">
        <v>0</v>
      </c>
      <c r="O69" s="20" t="n">
        <f aca="false">K69+L69+M69+N69</f>
        <v>6682509.05052085</v>
      </c>
      <c r="P69" s="20" t="n">
        <f aca="false">S68</f>
        <v>18429523.4500653</v>
      </c>
      <c r="Q69" s="20" t="n">
        <f aca="false">P69*B3Ret/12</f>
        <v>168937.298292265</v>
      </c>
      <c r="R69" s="20" t="n">
        <f aca="false">-N69</f>
        <v>-0</v>
      </c>
      <c r="S69" s="20" t="n">
        <f aca="false">P69+Q69+R69</f>
        <v>18598460.7483575</v>
      </c>
      <c r="T69" s="20" t="n">
        <f aca="false">J69+O69+S69</f>
        <v>29778290.6293923</v>
      </c>
    </row>
    <row r="70" customFormat="false" ht="15" hidden="false" customHeight="false" outlineLevel="0" collapsed="false">
      <c r="A70" s="19" t="n">
        <v>69</v>
      </c>
      <c r="B70" s="19" t="n">
        <f aca="false">ROUNDUP(A70/12,0)</f>
        <v>6</v>
      </c>
      <c r="C70" s="19" t="n">
        <f aca="false">Age+B70-1</f>
        <v>67</v>
      </c>
      <c r="D70" s="20" t="n">
        <f aca="false">MonthlyExp*(1+Inflation)^(B70-1)</f>
        <v>70127.586535</v>
      </c>
      <c r="E70" s="20" t="n">
        <f aca="false">J69</f>
        <v>4497320.83051396</v>
      </c>
      <c r="F70" s="20" t="n">
        <f aca="false">E70*B1Ret/12</f>
        <v>26234.3715113314</v>
      </c>
      <c r="G70" s="20" t="n">
        <f aca="false">D70</f>
        <v>70127.586535</v>
      </c>
      <c r="H70" s="20" t="n">
        <v>0</v>
      </c>
      <c r="I70" s="20" t="n">
        <f aca="false">H70</f>
        <v>0</v>
      </c>
      <c r="J70" s="20" t="n">
        <f aca="false">E70+F70-G70+I70</f>
        <v>4453427.61549029</v>
      </c>
      <c r="K70" s="20" t="n">
        <f aca="false">O69</f>
        <v>6682509.05052085</v>
      </c>
      <c r="L70" s="20" t="n">
        <f aca="false">K70*B2Ret/12</f>
        <v>50118.8178789063</v>
      </c>
      <c r="M70" s="20" t="n">
        <f aca="false">-I70</f>
        <v>-0</v>
      </c>
      <c r="N70" s="20" t="n">
        <v>0</v>
      </c>
      <c r="O70" s="20" t="n">
        <f aca="false">K70+L70+M70+N70</f>
        <v>6732627.86839975</v>
      </c>
      <c r="P70" s="20" t="n">
        <f aca="false">S69</f>
        <v>18598460.7483575</v>
      </c>
      <c r="Q70" s="20" t="n">
        <f aca="false">P70*B3Ret/12</f>
        <v>170485.890193277</v>
      </c>
      <c r="R70" s="20" t="n">
        <f aca="false">-N70</f>
        <v>-0</v>
      </c>
      <c r="S70" s="20" t="n">
        <f aca="false">P70+Q70+R70</f>
        <v>18768946.6385508</v>
      </c>
      <c r="T70" s="20" t="n">
        <f aca="false">J70+O70+S70</f>
        <v>29955002.1224409</v>
      </c>
    </row>
    <row r="71" customFormat="false" ht="15" hidden="false" customHeight="false" outlineLevel="0" collapsed="false">
      <c r="A71" s="19" t="n">
        <v>70</v>
      </c>
      <c r="B71" s="19" t="n">
        <f aca="false">ROUNDUP(A71/12,0)</f>
        <v>6</v>
      </c>
      <c r="C71" s="19" t="n">
        <f aca="false">Age+B71-1</f>
        <v>67</v>
      </c>
      <c r="D71" s="20" t="n">
        <f aca="false">MonthlyExp*(1+Inflation)^(B71-1)</f>
        <v>70127.586535</v>
      </c>
      <c r="E71" s="20" t="n">
        <f aca="false">J70</f>
        <v>4453427.61549029</v>
      </c>
      <c r="F71" s="20" t="n">
        <f aca="false">E71*B1Ret/12</f>
        <v>25978.3277570267</v>
      </c>
      <c r="G71" s="20" t="n">
        <f aca="false">D71</f>
        <v>70127.586535</v>
      </c>
      <c r="H71" s="20" t="n">
        <v>0</v>
      </c>
      <c r="I71" s="20" t="n">
        <f aca="false">H71</f>
        <v>0</v>
      </c>
      <c r="J71" s="20" t="n">
        <f aca="false">E71+F71-G71+I71</f>
        <v>4409278.35671232</v>
      </c>
      <c r="K71" s="20" t="n">
        <f aca="false">O70</f>
        <v>6732627.86839975</v>
      </c>
      <c r="L71" s="20" t="n">
        <f aca="false">K71*B2Ret/12</f>
        <v>50494.7090129981</v>
      </c>
      <c r="M71" s="20" t="n">
        <f aca="false">-I71</f>
        <v>-0</v>
      </c>
      <c r="N71" s="20" t="n">
        <v>0</v>
      </c>
      <c r="O71" s="20" t="n">
        <f aca="false">K71+L71+M71+N71</f>
        <v>6783122.57741275</v>
      </c>
      <c r="P71" s="20" t="n">
        <f aca="false">S70</f>
        <v>18768946.6385508</v>
      </c>
      <c r="Q71" s="20" t="n">
        <f aca="false">P71*B3Ret/12</f>
        <v>172048.677520049</v>
      </c>
      <c r="R71" s="20" t="n">
        <f aca="false">-N71</f>
        <v>-0</v>
      </c>
      <c r="S71" s="20" t="n">
        <f aca="false">P71+Q71+R71</f>
        <v>18940995.3160709</v>
      </c>
      <c r="T71" s="20" t="n">
        <f aca="false">J71+O71+S71</f>
        <v>30133396.2501959</v>
      </c>
    </row>
    <row r="72" customFormat="false" ht="15" hidden="false" customHeight="false" outlineLevel="0" collapsed="false">
      <c r="A72" s="19" t="n">
        <v>71</v>
      </c>
      <c r="B72" s="19" t="n">
        <f aca="false">ROUNDUP(A72/12,0)</f>
        <v>6</v>
      </c>
      <c r="C72" s="19" t="n">
        <f aca="false">Age+B72-1</f>
        <v>67</v>
      </c>
      <c r="D72" s="20" t="n">
        <f aca="false">MonthlyExp*(1+Inflation)^(B72-1)</f>
        <v>70127.586535</v>
      </c>
      <c r="E72" s="20" t="n">
        <f aca="false">J71</f>
        <v>4409278.35671232</v>
      </c>
      <c r="F72" s="20" t="n">
        <f aca="false">E72*B1Ret/12</f>
        <v>25720.7904141552</v>
      </c>
      <c r="G72" s="20" t="n">
        <f aca="false">D72</f>
        <v>70127.586535</v>
      </c>
      <c r="H72" s="20" t="n">
        <v>0</v>
      </c>
      <c r="I72" s="20" t="n">
        <f aca="false">H72</f>
        <v>0</v>
      </c>
      <c r="J72" s="20" t="n">
        <f aca="false">E72+F72-G72+I72</f>
        <v>4364871.56059148</v>
      </c>
      <c r="K72" s="20" t="n">
        <f aca="false">O71</f>
        <v>6783122.57741275</v>
      </c>
      <c r="L72" s="20" t="n">
        <f aca="false">K72*B2Ret/12</f>
        <v>50873.4193305956</v>
      </c>
      <c r="M72" s="20" t="n">
        <f aca="false">-I72</f>
        <v>-0</v>
      </c>
      <c r="N72" s="20" t="n">
        <v>0</v>
      </c>
      <c r="O72" s="20" t="n">
        <f aca="false">K72+L72+M72+N72</f>
        <v>6833995.99674335</v>
      </c>
      <c r="P72" s="20" t="n">
        <f aca="false">S71</f>
        <v>18940995.3160709</v>
      </c>
      <c r="Q72" s="20" t="n">
        <f aca="false">P72*B3Ret/12</f>
        <v>173625.790397316</v>
      </c>
      <c r="R72" s="20" t="n">
        <f aca="false">-N72</f>
        <v>-0</v>
      </c>
      <c r="S72" s="20" t="n">
        <f aca="false">P72+Q72+R72</f>
        <v>19114621.1064682</v>
      </c>
      <c r="T72" s="20" t="n">
        <f aca="false">J72+O72+S72</f>
        <v>30313488.663803</v>
      </c>
    </row>
    <row r="73" customFormat="false" ht="15" hidden="false" customHeight="false" outlineLevel="0" collapsed="false">
      <c r="A73" s="19" t="n">
        <v>72</v>
      </c>
      <c r="B73" s="19" t="n">
        <f aca="false">ROUNDUP(A73/12,0)</f>
        <v>6</v>
      </c>
      <c r="C73" s="19" t="n">
        <f aca="false">Age+B73-1</f>
        <v>67</v>
      </c>
      <c r="D73" s="20" t="n">
        <f aca="false">MonthlyExp*(1+Inflation)^(B73-1)</f>
        <v>70127.586535</v>
      </c>
      <c r="E73" s="20" t="n">
        <f aca="false">J72</f>
        <v>4364871.56059148</v>
      </c>
      <c r="F73" s="20" t="n">
        <f aca="false">E73*B1Ret/12</f>
        <v>25461.7507701169</v>
      </c>
      <c r="G73" s="20" t="n">
        <f aca="false">D73</f>
        <v>70127.586535</v>
      </c>
      <c r="H73" s="20" t="n">
        <v>0</v>
      </c>
      <c r="I73" s="20" t="n">
        <f aca="false">H73</f>
        <v>0</v>
      </c>
      <c r="J73" s="20" t="n">
        <f aca="false">E73+F73-G73+I73</f>
        <v>4320205.72482659</v>
      </c>
      <c r="K73" s="20" t="n">
        <f aca="false">O72</f>
        <v>6833995.99674335</v>
      </c>
      <c r="L73" s="20" t="n">
        <f aca="false">K73*B2Ret/12</f>
        <v>51254.9699755751</v>
      </c>
      <c r="M73" s="20" t="n">
        <f aca="false">-I73</f>
        <v>-0</v>
      </c>
      <c r="N73" s="20" t="n">
        <v>0</v>
      </c>
      <c r="O73" s="20" t="n">
        <f aca="false">K73+L73+M73+N73</f>
        <v>6885250.96671892</v>
      </c>
      <c r="P73" s="20" t="n">
        <f aca="false">S72</f>
        <v>19114621.1064682</v>
      </c>
      <c r="Q73" s="20" t="n">
        <f aca="false">P73*B3Ret/12</f>
        <v>175217.360142625</v>
      </c>
      <c r="R73" s="20" t="n">
        <f aca="false">-N73</f>
        <v>-0</v>
      </c>
      <c r="S73" s="20" t="n">
        <f aca="false">P73+Q73+R73</f>
        <v>19289838.4666108</v>
      </c>
      <c r="T73" s="20" t="n">
        <f aca="false">J73+O73+S73</f>
        <v>30495295.1581563</v>
      </c>
    </row>
    <row r="74" customFormat="false" ht="15" hidden="false" customHeight="false" outlineLevel="0" collapsed="false">
      <c r="A74" s="19" t="n">
        <v>73</v>
      </c>
      <c r="B74" s="19" t="n">
        <f aca="false">ROUNDUP(A74/12,0)</f>
        <v>7</v>
      </c>
      <c r="C74" s="19" t="n">
        <f aca="false">Age+B74-1</f>
        <v>68</v>
      </c>
      <c r="D74" s="20" t="n">
        <f aca="false">MonthlyExp*(1+Inflation)^(B74-1)</f>
        <v>75036.51759245</v>
      </c>
      <c r="E74" s="20" t="n">
        <f aca="false">J73</f>
        <v>4320205.72482659</v>
      </c>
      <c r="F74" s="20" t="n">
        <f aca="false">E74*B1Ret/12</f>
        <v>25201.2000614885</v>
      </c>
      <c r="G74" s="20" t="n">
        <f aca="false">D74</f>
        <v>75036.51759245</v>
      </c>
      <c r="H74" s="20" t="n">
        <v>0</v>
      </c>
      <c r="I74" s="20" t="n">
        <f aca="false">H74</f>
        <v>0</v>
      </c>
      <c r="J74" s="20" t="n">
        <f aca="false">E74+F74-G74+I74</f>
        <v>4270370.40729563</v>
      </c>
      <c r="K74" s="20" t="n">
        <f aca="false">O73</f>
        <v>6885250.96671892</v>
      </c>
      <c r="L74" s="20" t="n">
        <f aca="false">K74*B2Ret/12</f>
        <v>51639.3822503919</v>
      </c>
      <c r="M74" s="20" t="n">
        <f aca="false">-I74</f>
        <v>-0</v>
      </c>
      <c r="N74" s="20" t="n">
        <v>0</v>
      </c>
      <c r="O74" s="20" t="n">
        <f aca="false">K74+L74+M74+N74</f>
        <v>6936890.34896931</v>
      </c>
      <c r="P74" s="20" t="n">
        <f aca="false">S73</f>
        <v>19289838.4666108</v>
      </c>
      <c r="Q74" s="20" t="n">
        <f aca="false">P74*B3Ret/12</f>
        <v>176823.519277266</v>
      </c>
      <c r="R74" s="20" t="n">
        <f aca="false">-N74</f>
        <v>-0</v>
      </c>
      <c r="S74" s="20" t="n">
        <f aca="false">P74+Q74+R74</f>
        <v>19466661.9858881</v>
      </c>
      <c r="T74" s="20" t="n">
        <f aca="false">J74+O74+S74</f>
        <v>30673922.742153</v>
      </c>
    </row>
    <row r="75" customFormat="false" ht="15" hidden="false" customHeight="false" outlineLevel="0" collapsed="false">
      <c r="A75" s="19" t="n">
        <v>74</v>
      </c>
      <c r="B75" s="19" t="n">
        <f aca="false">ROUNDUP(A75/12,0)</f>
        <v>7</v>
      </c>
      <c r="C75" s="19" t="n">
        <f aca="false">Age+B75-1</f>
        <v>68</v>
      </c>
      <c r="D75" s="20" t="n">
        <f aca="false">MonthlyExp*(1+Inflation)^(B75-1)</f>
        <v>75036.51759245</v>
      </c>
      <c r="E75" s="20" t="n">
        <f aca="false">J74</f>
        <v>4270370.40729563</v>
      </c>
      <c r="F75" s="20" t="n">
        <f aca="false">E75*B1Ret/12</f>
        <v>24910.4940425579</v>
      </c>
      <c r="G75" s="20" t="n">
        <f aca="false">D75</f>
        <v>75036.51759245</v>
      </c>
      <c r="H75" s="20" t="n">
        <v>0</v>
      </c>
      <c r="I75" s="20" t="n">
        <f aca="false">H75</f>
        <v>0</v>
      </c>
      <c r="J75" s="20" t="n">
        <f aca="false">E75+F75-G75+I75</f>
        <v>4220244.38374574</v>
      </c>
      <c r="K75" s="20" t="n">
        <f aca="false">O74</f>
        <v>6936890.34896931</v>
      </c>
      <c r="L75" s="20" t="n">
        <f aca="false">K75*B2Ret/12</f>
        <v>52026.6776172699</v>
      </c>
      <c r="M75" s="20" t="n">
        <f aca="false">-I75</f>
        <v>-0</v>
      </c>
      <c r="N75" s="20" t="n">
        <v>0</v>
      </c>
      <c r="O75" s="20" t="n">
        <f aca="false">K75+L75+M75+N75</f>
        <v>6988917.02658658</v>
      </c>
      <c r="P75" s="20" t="n">
        <f aca="false">S74</f>
        <v>19466661.9858881</v>
      </c>
      <c r="Q75" s="20" t="n">
        <f aca="false">P75*B3Ret/12</f>
        <v>178444.401537307</v>
      </c>
      <c r="R75" s="20" t="n">
        <f aca="false">-N75</f>
        <v>-0</v>
      </c>
      <c r="S75" s="20" t="n">
        <f aca="false">P75+Q75+R75</f>
        <v>19645106.3874254</v>
      </c>
      <c r="T75" s="20" t="n">
        <f aca="false">J75+O75+S75</f>
        <v>30854267.7977577</v>
      </c>
    </row>
    <row r="76" customFormat="false" ht="15" hidden="false" customHeight="false" outlineLevel="0" collapsed="false">
      <c r="A76" s="19" t="n">
        <v>75</v>
      </c>
      <c r="B76" s="19" t="n">
        <f aca="false">ROUNDUP(A76/12,0)</f>
        <v>7</v>
      </c>
      <c r="C76" s="19" t="n">
        <f aca="false">Age+B76-1</f>
        <v>68</v>
      </c>
      <c r="D76" s="20" t="n">
        <f aca="false">MonthlyExp*(1+Inflation)^(B76-1)</f>
        <v>75036.51759245</v>
      </c>
      <c r="E76" s="20" t="n">
        <f aca="false">J75</f>
        <v>4220244.38374574</v>
      </c>
      <c r="F76" s="20" t="n">
        <f aca="false">E76*B1Ret/12</f>
        <v>24618.0922385168</v>
      </c>
      <c r="G76" s="20" t="n">
        <f aca="false">D76</f>
        <v>75036.51759245</v>
      </c>
      <c r="H76" s="20" t="n">
        <v>0</v>
      </c>
      <c r="I76" s="20" t="n">
        <f aca="false">H76</f>
        <v>0</v>
      </c>
      <c r="J76" s="20" t="n">
        <f aca="false">E76+F76-G76+I76</f>
        <v>4169825.95839181</v>
      </c>
      <c r="K76" s="20" t="n">
        <f aca="false">O75</f>
        <v>6988917.02658658</v>
      </c>
      <c r="L76" s="20" t="n">
        <f aca="false">K76*B2Ret/12</f>
        <v>52416.8776993994</v>
      </c>
      <c r="M76" s="20" t="n">
        <f aca="false">-I76</f>
        <v>-0</v>
      </c>
      <c r="N76" s="20" t="n">
        <v>0</v>
      </c>
      <c r="O76" s="20" t="n">
        <f aca="false">K76+L76+M76+N76</f>
        <v>7041333.90428598</v>
      </c>
      <c r="P76" s="20" t="n">
        <f aca="false">S75</f>
        <v>19645106.3874254</v>
      </c>
      <c r="Q76" s="20" t="n">
        <f aca="false">P76*B3Ret/12</f>
        <v>180080.141884733</v>
      </c>
      <c r="R76" s="20" t="n">
        <f aca="false">-N76</f>
        <v>-0</v>
      </c>
      <c r="S76" s="20" t="n">
        <f aca="false">P76+Q76+R76</f>
        <v>19825186.5293101</v>
      </c>
      <c r="T76" s="20" t="n">
        <f aca="false">J76+O76+S76</f>
        <v>31036346.3919879</v>
      </c>
    </row>
    <row r="77" customFormat="false" ht="15" hidden="false" customHeight="false" outlineLevel="0" collapsed="false">
      <c r="A77" s="19" t="n">
        <v>76</v>
      </c>
      <c r="B77" s="19" t="n">
        <f aca="false">ROUNDUP(A77/12,0)</f>
        <v>7</v>
      </c>
      <c r="C77" s="19" t="n">
        <f aca="false">Age+B77-1</f>
        <v>68</v>
      </c>
      <c r="D77" s="20" t="n">
        <f aca="false">MonthlyExp*(1+Inflation)^(B77-1)</f>
        <v>75036.51759245</v>
      </c>
      <c r="E77" s="20" t="n">
        <f aca="false">J76</f>
        <v>4169825.95839181</v>
      </c>
      <c r="F77" s="20" t="n">
        <f aca="false">E77*B1Ret/12</f>
        <v>24323.9847572855</v>
      </c>
      <c r="G77" s="20" t="n">
        <f aca="false">D77</f>
        <v>75036.51759245</v>
      </c>
      <c r="H77" s="20" t="n">
        <v>0</v>
      </c>
      <c r="I77" s="20" t="n">
        <f aca="false">H77</f>
        <v>0</v>
      </c>
      <c r="J77" s="20" t="n">
        <f aca="false">E77+F77-G77+I77</f>
        <v>4119113.42555664</v>
      </c>
      <c r="K77" s="20" t="n">
        <f aca="false">O76</f>
        <v>7041333.90428598</v>
      </c>
      <c r="L77" s="20" t="n">
        <f aca="false">K77*B2Ret/12</f>
        <v>52810.0042821449</v>
      </c>
      <c r="M77" s="20" t="n">
        <f aca="false">-I77</f>
        <v>-0</v>
      </c>
      <c r="N77" s="20" t="n">
        <v>0</v>
      </c>
      <c r="O77" s="20" t="n">
        <f aca="false">K77+L77+M77+N77</f>
        <v>7094143.90856813</v>
      </c>
      <c r="P77" s="20" t="n">
        <f aca="false">S76</f>
        <v>19825186.5293101</v>
      </c>
      <c r="Q77" s="20" t="n">
        <f aca="false">P77*B3Ret/12</f>
        <v>181730.876518676</v>
      </c>
      <c r="R77" s="20" t="n">
        <f aca="false">-N77</f>
        <v>-0</v>
      </c>
      <c r="S77" s="20" t="n">
        <f aca="false">P77+Q77+R77</f>
        <v>20006917.4058288</v>
      </c>
      <c r="T77" s="20" t="n">
        <f aca="false">J77+O77+S77</f>
        <v>31220174.7399535</v>
      </c>
    </row>
    <row r="78" customFormat="false" ht="15" hidden="false" customHeight="false" outlineLevel="0" collapsed="false">
      <c r="A78" s="19" t="n">
        <v>77</v>
      </c>
      <c r="B78" s="19" t="n">
        <f aca="false">ROUNDUP(A78/12,0)</f>
        <v>7</v>
      </c>
      <c r="C78" s="19" t="n">
        <f aca="false">Age+B78-1</f>
        <v>68</v>
      </c>
      <c r="D78" s="20" t="n">
        <f aca="false">MonthlyExp*(1+Inflation)^(B78-1)</f>
        <v>75036.51759245</v>
      </c>
      <c r="E78" s="20" t="n">
        <f aca="false">J77</f>
        <v>4119113.42555664</v>
      </c>
      <c r="F78" s="20" t="n">
        <f aca="false">E78*B1Ret/12</f>
        <v>24028.1616490804</v>
      </c>
      <c r="G78" s="20" t="n">
        <f aca="false">D78</f>
        <v>75036.51759245</v>
      </c>
      <c r="H78" s="20" t="n">
        <v>0</v>
      </c>
      <c r="I78" s="20" t="n">
        <f aca="false">H78</f>
        <v>0</v>
      </c>
      <c r="J78" s="20" t="n">
        <f aca="false">E78+F78-G78+I78</f>
        <v>4068105.06961327</v>
      </c>
      <c r="K78" s="20" t="n">
        <f aca="false">O77</f>
        <v>7094143.90856813</v>
      </c>
      <c r="L78" s="20" t="n">
        <f aca="false">K78*B2Ret/12</f>
        <v>53206.079314261</v>
      </c>
      <c r="M78" s="20" t="n">
        <f aca="false">-I78</f>
        <v>-0</v>
      </c>
      <c r="N78" s="20" t="n">
        <v>0</v>
      </c>
      <c r="O78" s="20" t="n">
        <f aca="false">K78+L78+M78+N78</f>
        <v>7147349.98788239</v>
      </c>
      <c r="P78" s="20" t="n">
        <f aca="false">S77</f>
        <v>20006917.4058288</v>
      </c>
      <c r="Q78" s="20" t="n">
        <f aca="false">P78*B3Ret/12</f>
        <v>183396.742886764</v>
      </c>
      <c r="R78" s="20" t="n">
        <f aca="false">-N78</f>
        <v>-0</v>
      </c>
      <c r="S78" s="20" t="n">
        <f aca="false">P78+Q78+R78</f>
        <v>20190314.1487155</v>
      </c>
      <c r="T78" s="20" t="n">
        <f aca="false">J78+O78+S78</f>
        <v>31405769.2062112</v>
      </c>
    </row>
    <row r="79" customFormat="false" ht="15" hidden="false" customHeight="false" outlineLevel="0" collapsed="false">
      <c r="A79" s="19" t="n">
        <v>78</v>
      </c>
      <c r="B79" s="19" t="n">
        <f aca="false">ROUNDUP(A79/12,0)</f>
        <v>7</v>
      </c>
      <c r="C79" s="19" t="n">
        <f aca="false">Age+B79-1</f>
        <v>68</v>
      </c>
      <c r="D79" s="20" t="n">
        <f aca="false">MonthlyExp*(1+Inflation)^(B79-1)</f>
        <v>75036.51759245</v>
      </c>
      <c r="E79" s="20" t="n">
        <f aca="false">J78</f>
        <v>4068105.06961327</v>
      </c>
      <c r="F79" s="20" t="n">
        <f aca="false">E79*B1Ret/12</f>
        <v>23730.6129060774</v>
      </c>
      <c r="G79" s="20" t="n">
        <f aca="false">D79</f>
        <v>75036.51759245</v>
      </c>
      <c r="H79" s="20" t="n">
        <v>0</v>
      </c>
      <c r="I79" s="20" t="n">
        <f aca="false">H79</f>
        <v>0</v>
      </c>
      <c r="J79" s="20" t="n">
        <f aca="false">E79+F79-G79+I79</f>
        <v>4016799.1649269</v>
      </c>
      <c r="K79" s="20" t="n">
        <f aca="false">O78</f>
        <v>7147349.98788239</v>
      </c>
      <c r="L79" s="20" t="n">
        <f aca="false">K79*B2Ret/12</f>
        <v>53605.1249091179</v>
      </c>
      <c r="M79" s="20" t="n">
        <f aca="false">-I79</f>
        <v>-0</v>
      </c>
      <c r="N79" s="20" t="n">
        <v>0</v>
      </c>
      <c r="O79" s="20" t="n">
        <f aca="false">K79+L79+M79+N79</f>
        <v>7200955.11279151</v>
      </c>
      <c r="P79" s="20" t="n">
        <f aca="false">S78</f>
        <v>20190314.1487155</v>
      </c>
      <c r="Q79" s="20" t="n">
        <f aca="false">P79*B3Ret/12</f>
        <v>185077.879696559</v>
      </c>
      <c r="R79" s="20" t="n">
        <f aca="false">-N79</f>
        <v>-0</v>
      </c>
      <c r="S79" s="20" t="n">
        <f aca="false">P79+Q79+R79</f>
        <v>20375392.0284121</v>
      </c>
      <c r="T79" s="20" t="n">
        <f aca="false">J79+O79+S79</f>
        <v>31593146.3061305</v>
      </c>
    </row>
    <row r="80" customFormat="false" ht="15" hidden="false" customHeight="false" outlineLevel="0" collapsed="false">
      <c r="A80" s="19" t="n">
        <v>79</v>
      </c>
      <c r="B80" s="19" t="n">
        <f aca="false">ROUNDUP(A80/12,0)</f>
        <v>7</v>
      </c>
      <c r="C80" s="19" t="n">
        <f aca="false">Age+B80-1</f>
        <v>68</v>
      </c>
      <c r="D80" s="20" t="n">
        <f aca="false">MonthlyExp*(1+Inflation)^(B80-1)</f>
        <v>75036.51759245</v>
      </c>
      <c r="E80" s="20" t="n">
        <f aca="false">J79</f>
        <v>4016799.1649269</v>
      </c>
      <c r="F80" s="20" t="n">
        <f aca="false">E80*B1Ret/12</f>
        <v>23431.3284620736</v>
      </c>
      <c r="G80" s="20" t="n">
        <f aca="false">D80</f>
        <v>75036.51759245</v>
      </c>
      <c r="H80" s="20" t="n">
        <v>0</v>
      </c>
      <c r="I80" s="20" t="n">
        <f aca="false">H80</f>
        <v>0</v>
      </c>
      <c r="J80" s="20" t="n">
        <f aca="false">E80+F80-G80+I80</f>
        <v>3965193.97579652</v>
      </c>
      <c r="K80" s="20" t="n">
        <f aca="false">O79</f>
        <v>7200955.11279151</v>
      </c>
      <c r="L80" s="20" t="n">
        <f aca="false">K80*B2Ret/12</f>
        <v>54007.1633459363</v>
      </c>
      <c r="M80" s="20" t="n">
        <f aca="false">-I80</f>
        <v>-0</v>
      </c>
      <c r="N80" s="20" t="n">
        <v>0</v>
      </c>
      <c r="O80" s="20" t="n">
        <f aca="false">K80+L80+M80+N80</f>
        <v>7254962.27613744</v>
      </c>
      <c r="P80" s="20" t="n">
        <f aca="false">S79</f>
        <v>20375392.0284121</v>
      </c>
      <c r="Q80" s="20" t="n">
        <f aca="false">P80*B3Ret/12</f>
        <v>186774.426927111</v>
      </c>
      <c r="R80" s="20" t="n">
        <f aca="false">-N80</f>
        <v>-0</v>
      </c>
      <c r="S80" s="20" t="n">
        <f aca="false">P80+Q80+R80</f>
        <v>20562166.4553392</v>
      </c>
      <c r="T80" s="20" t="n">
        <f aca="false">J80+O80+S80</f>
        <v>31782322.7072732</v>
      </c>
    </row>
    <row r="81" customFormat="false" ht="15" hidden="false" customHeight="false" outlineLevel="0" collapsed="false">
      <c r="A81" s="19" t="n">
        <v>80</v>
      </c>
      <c r="B81" s="19" t="n">
        <f aca="false">ROUNDUP(A81/12,0)</f>
        <v>7</v>
      </c>
      <c r="C81" s="19" t="n">
        <f aca="false">Age+B81-1</f>
        <v>68</v>
      </c>
      <c r="D81" s="20" t="n">
        <f aca="false">MonthlyExp*(1+Inflation)^(B81-1)</f>
        <v>75036.51759245</v>
      </c>
      <c r="E81" s="20" t="n">
        <f aca="false">J80</f>
        <v>3965193.97579652</v>
      </c>
      <c r="F81" s="20" t="n">
        <f aca="false">E81*B1Ret/12</f>
        <v>23130.2981921464</v>
      </c>
      <c r="G81" s="20" t="n">
        <f aca="false">D81</f>
        <v>75036.51759245</v>
      </c>
      <c r="H81" s="20" t="n">
        <v>0</v>
      </c>
      <c r="I81" s="20" t="n">
        <f aca="false">H81</f>
        <v>0</v>
      </c>
      <c r="J81" s="20" t="n">
        <f aca="false">E81+F81-G81+I81</f>
        <v>3913287.75639622</v>
      </c>
      <c r="K81" s="20" t="n">
        <f aca="false">O80</f>
        <v>7254962.27613744</v>
      </c>
      <c r="L81" s="20" t="n">
        <f aca="false">K81*B2Ret/12</f>
        <v>54412.2170710308</v>
      </c>
      <c r="M81" s="20" t="n">
        <f aca="false">-I81</f>
        <v>-0</v>
      </c>
      <c r="N81" s="20" t="n">
        <v>0</v>
      </c>
      <c r="O81" s="20" t="n">
        <f aca="false">K81+L81+M81+N81</f>
        <v>7309374.49320847</v>
      </c>
      <c r="P81" s="20" t="n">
        <f aca="false">S80</f>
        <v>20562166.4553392</v>
      </c>
      <c r="Q81" s="20" t="n">
        <f aca="false">P81*B3Ret/12</f>
        <v>188486.525840609</v>
      </c>
      <c r="R81" s="20" t="n">
        <f aca="false">-N81</f>
        <v>-0</v>
      </c>
      <c r="S81" s="20" t="n">
        <f aca="false">P81+Q81+R81</f>
        <v>20750652.9811798</v>
      </c>
      <c r="T81" s="20" t="n">
        <f aca="false">J81+O81+S81</f>
        <v>31973315.2307845</v>
      </c>
    </row>
    <row r="82" customFormat="false" ht="15" hidden="false" customHeight="false" outlineLevel="0" collapsed="false">
      <c r="A82" s="19" t="n">
        <v>81</v>
      </c>
      <c r="B82" s="19" t="n">
        <f aca="false">ROUNDUP(A82/12,0)</f>
        <v>7</v>
      </c>
      <c r="C82" s="19" t="n">
        <f aca="false">Age+B82-1</f>
        <v>68</v>
      </c>
      <c r="D82" s="20" t="n">
        <f aca="false">MonthlyExp*(1+Inflation)^(B82-1)</f>
        <v>75036.51759245</v>
      </c>
      <c r="E82" s="20" t="n">
        <f aca="false">J81</f>
        <v>3913287.75639622</v>
      </c>
      <c r="F82" s="20" t="n">
        <f aca="false">E82*B1Ret/12</f>
        <v>22827.5119123113</v>
      </c>
      <c r="G82" s="20" t="n">
        <f aca="false">D82</f>
        <v>75036.51759245</v>
      </c>
      <c r="H82" s="20" t="n">
        <v>0</v>
      </c>
      <c r="I82" s="20" t="n">
        <f aca="false">H82</f>
        <v>0</v>
      </c>
      <c r="J82" s="20" t="n">
        <f aca="false">E82+F82-G82+I82</f>
        <v>3861078.75071608</v>
      </c>
      <c r="K82" s="20" t="n">
        <f aca="false">O81</f>
        <v>7309374.49320847</v>
      </c>
      <c r="L82" s="20" t="n">
        <f aca="false">K82*B2Ret/12</f>
        <v>54820.3086990636</v>
      </c>
      <c r="M82" s="20" t="n">
        <f aca="false">-I82</f>
        <v>-0</v>
      </c>
      <c r="N82" s="20" t="n">
        <v>0</v>
      </c>
      <c r="O82" s="20" t="n">
        <f aca="false">K82+L82+M82+N82</f>
        <v>7364194.80190754</v>
      </c>
      <c r="P82" s="20" t="n">
        <f aca="false">S81</f>
        <v>20750652.9811798</v>
      </c>
      <c r="Q82" s="20" t="n">
        <f aca="false">P82*B3Ret/12</f>
        <v>190214.318994148</v>
      </c>
      <c r="R82" s="20" t="n">
        <f aca="false">-N82</f>
        <v>-0</v>
      </c>
      <c r="S82" s="20" t="n">
        <f aca="false">P82+Q82+R82</f>
        <v>20940867.300174</v>
      </c>
      <c r="T82" s="20" t="n">
        <f aca="false">J82+O82+S82</f>
        <v>32166140.8527976</v>
      </c>
    </row>
    <row r="83" customFormat="false" ht="15" hidden="false" customHeight="false" outlineLevel="0" collapsed="false">
      <c r="A83" s="19" t="n">
        <v>82</v>
      </c>
      <c r="B83" s="19" t="n">
        <f aca="false">ROUNDUP(A83/12,0)</f>
        <v>7</v>
      </c>
      <c r="C83" s="19" t="n">
        <f aca="false">Age+B83-1</f>
        <v>68</v>
      </c>
      <c r="D83" s="20" t="n">
        <f aca="false">MonthlyExp*(1+Inflation)^(B83-1)</f>
        <v>75036.51759245</v>
      </c>
      <c r="E83" s="20" t="n">
        <f aca="false">J82</f>
        <v>3861078.75071608</v>
      </c>
      <c r="F83" s="20" t="n">
        <f aca="false">E83*B1Ret/12</f>
        <v>22522.9593791771</v>
      </c>
      <c r="G83" s="20" t="n">
        <f aca="false">D83</f>
        <v>75036.51759245</v>
      </c>
      <c r="H83" s="20" t="n">
        <v>0</v>
      </c>
      <c r="I83" s="20" t="n">
        <f aca="false">H83</f>
        <v>0</v>
      </c>
      <c r="J83" s="20" t="n">
        <f aca="false">E83+F83-G83+I83</f>
        <v>3808565.19250281</v>
      </c>
      <c r="K83" s="20" t="n">
        <f aca="false">O82</f>
        <v>7364194.80190754</v>
      </c>
      <c r="L83" s="20" t="n">
        <f aca="false">K83*B2Ret/12</f>
        <v>55231.4610143065</v>
      </c>
      <c r="M83" s="20" t="n">
        <f aca="false">-I83</f>
        <v>-0</v>
      </c>
      <c r="N83" s="20" t="n">
        <v>0</v>
      </c>
      <c r="O83" s="20" t="n">
        <f aca="false">K83+L83+M83+N83</f>
        <v>7419426.26292184</v>
      </c>
      <c r="P83" s="20" t="n">
        <f aca="false">S82</f>
        <v>20940867.300174</v>
      </c>
      <c r="Q83" s="20" t="n">
        <f aca="false">P83*B3Ret/12</f>
        <v>191957.950251595</v>
      </c>
      <c r="R83" s="20" t="n">
        <f aca="false">-N83</f>
        <v>-0</v>
      </c>
      <c r="S83" s="20" t="n">
        <f aca="false">P83+Q83+R83</f>
        <v>21132825.2504256</v>
      </c>
      <c r="T83" s="20" t="n">
        <f aca="false">J83+O83+S83</f>
        <v>32360816.7058502</v>
      </c>
    </row>
    <row r="84" customFormat="false" ht="15" hidden="false" customHeight="false" outlineLevel="0" collapsed="false">
      <c r="A84" s="19" t="n">
        <v>83</v>
      </c>
      <c r="B84" s="19" t="n">
        <f aca="false">ROUNDUP(A84/12,0)</f>
        <v>7</v>
      </c>
      <c r="C84" s="19" t="n">
        <f aca="false">Age+B84-1</f>
        <v>68</v>
      </c>
      <c r="D84" s="20" t="n">
        <f aca="false">MonthlyExp*(1+Inflation)^(B84-1)</f>
        <v>75036.51759245</v>
      </c>
      <c r="E84" s="20" t="n">
        <f aca="false">J83</f>
        <v>3808565.19250281</v>
      </c>
      <c r="F84" s="20" t="n">
        <f aca="false">E84*B1Ret/12</f>
        <v>22216.6302895997</v>
      </c>
      <c r="G84" s="20" t="n">
        <f aca="false">D84</f>
        <v>75036.51759245</v>
      </c>
      <c r="H84" s="20" t="n">
        <v>0</v>
      </c>
      <c r="I84" s="20" t="n">
        <f aca="false">H84</f>
        <v>0</v>
      </c>
      <c r="J84" s="20" t="n">
        <f aca="false">E84+F84-G84+I84</f>
        <v>3755745.30519996</v>
      </c>
      <c r="K84" s="20" t="n">
        <f aca="false">O83</f>
        <v>7419426.26292184</v>
      </c>
      <c r="L84" s="20" t="n">
        <f aca="false">K84*B2Ret/12</f>
        <v>55645.6969719138</v>
      </c>
      <c r="M84" s="20" t="n">
        <f aca="false">-I84</f>
        <v>-0</v>
      </c>
      <c r="N84" s="20" t="n">
        <v>0</v>
      </c>
      <c r="O84" s="20" t="n">
        <f aca="false">K84+L84+M84+N84</f>
        <v>7475071.95989376</v>
      </c>
      <c r="P84" s="20" t="n">
        <f aca="false">S83</f>
        <v>21132825.2504256</v>
      </c>
      <c r="Q84" s="20" t="n">
        <f aca="false">P84*B3Ret/12</f>
        <v>193717.564795568</v>
      </c>
      <c r="R84" s="20" t="n">
        <f aca="false">-N84</f>
        <v>-0</v>
      </c>
      <c r="S84" s="20" t="n">
        <f aca="false">P84+Q84+R84</f>
        <v>21326542.8152211</v>
      </c>
      <c r="T84" s="20" t="n">
        <f aca="false">J84+O84+S84</f>
        <v>32557360.0803148</v>
      </c>
    </row>
    <row r="85" customFormat="false" ht="15" hidden="false" customHeight="false" outlineLevel="0" collapsed="false">
      <c r="A85" s="19" t="n">
        <v>84</v>
      </c>
      <c r="B85" s="19" t="n">
        <f aca="false">ROUNDUP(A85/12,0)</f>
        <v>7</v>
      </c>
      <c r="C85" s="19" t="n">
        <f aca="false">Age+B85-1</f>
        <v>68</v>
      </c>
      <c r="D85" s="20" t="n">
        <f aca="false">MonthlyExp*(1+Inflation)^(B85-1)</f>
        <v>75036.51759245</v>
      </c>
      <c r="E85" s="20" t="n">
        <f aca="false">J84</f>
        <v>3755745.30519996</v>
      </c>
      <c r="F85" s="20" t="n">
        <f aca="false">E85*B1Ret/12</f>
        <v>21908.5142803331</v>
      </c>
      <c r="G85" s="20" t="n">
        <f aca="false">D85</f>
        <v>75036.51759245</v>
      </c>
      <c r="H85" s="20" t="n">
        <v>0</v>
      </c>
      <c r="I85" s="20" t="n">
        <f aca="false">H85</f>
        <v>0</v>
      </c>
      <c r="J85" s="20" t="n">
        <f aca="false">E85+F85-G85+I85</f>
        <v>3702617.30188784</v>
      </c>
      <c r="K85" s="20" t="n">
        <f aca="false">O84</f>
        <v>7475071.95989376</v>
      </c>
      <c r="L85" s="20" t="n">
        <f aca="false">K85*B2Ret/12</f>
        <v>56063.0396992032</v>
      </c>
      <c r="M85" s="20" t="n">
        <f aca="false">-I85</f>
        <v>-0</v>
      </c>
      <c r="N85" s="20" t="n">
        <v>0</v>
      </c>
      <c r="O85" s="20" t="n">
        <f aca="false">K85+L85+M85+N85</f>
        <v>7531134.99959296</v>
      </c>
      <c r="P85" s="20" t="n">
        <f aca="false">S84</f>
        <v>21326542.8152211</v>
      </c>
      <c r="Q85" s="20" t="n">
        <f aca="false">P85*B3Ret/12</f>
        <v>195493.309139527</v>
      </c>
      <c r="R85" s="20" t="n">
        <f aca="false">-N85</f>
        <v>-0</v>
      </c>
      <c r="S85" s="20" t="n">
        <f aca="false">P85+Q85+R85</f>
        <v>21522036.1243607</v>
      </c>
      <c r="T85" s="20" t="n">
        <f aca="false">J85+O85+S85</f>
        <v>32755788.4258415</v>
      </c>
    </row>
    <row r="86" customFormat="false" ht="15" hidden="false" customHeight="false" outlineLevel="0" collapsed="false">
      <c r="A86" s="19" t="n">
        <v>85</v>
      </c>
      <c r="B86" s="19" t="n">
        <f aca="false">ROUNDUP(A86/12,0)</f>
        <v>8</v>
      </c>
      <c r="C86" s="19" t="n">
        <f aca="false">Age+B86-1</f>
        <v>69</v>
      </c>
      <c r="D86" s="20" t="n">
        <f aca="false">MonthlyExp*(1+Inflation)^(B86-1)</f>
        <v>80289.0738239215</v>
      </c>
      <c r="E86" s="20" t="n">
        <f aca="false">J85</f>
        <v>3702617.30188784</v>
      </c>
      <c r="F86" s="20" t="n">
        <f aca="false">E86*B1Ret/12</f>
        <v>21598.6009276791</v>
      </c>
      <c r="G86" s="20" t="n">
        <f aca="false">D86</f>
        <v>80289.0738239215</v>
      </c>
      <c r="H86" s="20" t="n">
        <v>0</v>
      </c>
      <c r="I86" s="20" t="n">
        <f aca="false">H86</f>
        <v>0</v>
      </c>
      <c r="J86" s="20" t="n">
        <f aca="false">E86+F86-G86+I86</f>
        <v>3643926.8289916</v>
      </c>
      <c r="K86" s="20" t="n">
        <f aca="false">O85</f>
        <v>7531134.99959296</v>
      </c>
      <c r="L86" s="20" t="n">
        <f aca="false">K86*B2Ret/12</f>
        <v>56483.5124969472</v>
      </c>
      <c r="M86" s="20" t="n">
        <f aca="false">-I86</f>
        <v>-0</v>
      </c>
      <c r="N86" s="20" t="n">
        <v>0</v>
      </c>
      <c r="O86" s="20" t="n">
        <f aca="false">K86+L86+M86+N86</f>
        <v>7587618.51208991</v>
      </c>
      <c r="P86" s="20" t="n">
        <f aca="false">S85</f>
        <v>21522036.1243607</v>
      </c>
      <c r="Q86" s="20" t="n">
        <f aca="false">P86*B3Ret/12</f>
        <v>197285.331139973</v>
      </c>
      <c r="R86" s="20" t="n">
        <f aca="false">-N86</f>
        <v>-0</v>
      </c>
      <c r="S86" s="20" t="n">
        <f aca="false">P86+Q86+R86</f>
        <v>21719321.4555006</v>
      </c>
      <c r="T86" s="20" t="n">
        <f aca="false">J86+O86+S86</f>
        <v>32950866.7965821</v>
      </c>
    </row>
    <row r="87" customFormat="false" ht="15" hidden="false" customHeight="false" outlineLevel="0" collapsed="false">
      <c r="A87" s="19" t="n">
        <v>86</v>
      </c>
      <c r="B87" s="19" t="n">
        <f aca="false">ROUNDUP(A87/12,0)</f>
        <v>8</v>
      </c>
      <c r="C87" s="19" t="n">
        <f aca="false">Age+B87-1</f>
        <v>69</v>
      </c>
      <c r="D87" s="20" t="n">
        <f aca="false">MonthlyExp*(1+Inflation)^(B87-1)</f>
        <v>80289.0738239215</v>
      </c>
      <c r="E87" s="20" t="n">
        <f aca="false">J86</f>
        <v>3643926.8289916</v>
      </c>
      <c r="F87" s="20" t="n">
        <f aca="false">E87*B1Ret/12</f>
        <v>21256.2398357843</v>
      </c>
      <c r="G87" s="20" t="n">
        <f aca="false">D87</f>
        <v>80289.0738239215</v>
      </c>
      <c r="H87" s="20" t="n">
        <v>0</v>
      </c>
      <c r="I87" s="20" t="n">
        <f aca="false">H87</f>
        <v>0</v>
      </c>
      <c r="J87" s="20" t="n">
        <f aca="false">E87+F87-G87+I87</f>
        <v>3584893.99500346</v>
      </c>
      <c r="K87" s="20" t="n">
        <f aca="false">O86</f>
        <v>7587618.51208991</v>
      </c>
      <c r="L87" s="20" t="n">
        <f aca="false">K87*B2Ret/12</f>
        <v>56907.1388406743</v>
      </c>
      <c r="M87" s="20" t="n">
        <f aca="false">-I87</f>
        <v>-0</v>
      </c>
      <c r="N87" s="20" t="n">
        <v>0</v>
      </c>
      <c r="O87" s="20" t="n">
        <f aca="false">K87+L87+M87+N87</f>
        <v>7644525.65093058</v>
      </c>
      <c r="P87" s="20" t="n">
        <f aca="false">S86</f>
        <v>21719321.4555006</v>
      </c>
      <c r="Q87" s="20" t="n">
        <f aca="false">P87*B3Ret/12</f>
        <v>199093.780008756</v>
      </c>
      <c r="R87" s="20" t="n">
        <f aca="false">-N87</f>
        <v>-0</v>
      </c>
      <c r="S87" s="20" t="n">
        <f aca="false">P87+Q87+R87</f>
        <v>21918415.2355094</v>
      </c>
      <c r="T87" s="20" t="n">
        <f aca="false">J87+O87+S87</f>
        <v>33147834.8814434</v>
      </c>
    </row>
    <row r="88" customFormat="false" ht="15" hidden="false" customHeight="false" outlineLevel="0" collapsed="false">
      <c r="A88" s="19" t="n">
        <v>87</v>
      </c>
      <c r="B88" s="19" t="n">
        <f aca="false">ROUNDUP(A88/12,0)</f>
        <v>8</v>
      </c>
      <c r="C88" s="19" t="n">
        <f aca="false">Age+B88-1</f>
        <v>69</v>
      </c>
      <c r="D88" s="20" t="n">
        <f aca="false">MonthlyExp*(1+Inflation)^(B88-1)</f>
        <v>80289.0738239215</v>
      </c>
      <c r="E88" s="20" t="n">
        <f aca="false">J87</f>
        <v>3584893.99500346</v>
      </c>
      <c r="F88" s="20" t="n">
        <f aca="false">E88*B1Ret/12</f>
        <v>20911.8816375202</v>
      </c>
      <c r="G88" s="20" t="n">
        <f aca="false">D88</f>
        <v>80289.0738239215</v>
      </c>
      <c r="H88" s="20" t="n">
        <v>0</v>
      </c>
      <c r="I88" s="20" t="n">
        <f aca="false">H88</f>
        <v>0</v>
      </c>
      <c r="J88" s="20" t="n">
        <f aca="false">E88+F88-G88+I88</f>
        <v>3525516.80281706</v>
      </c>
      <c r="K88" s="20" t="n">
        <f aca="false">O87</f>
        <v>7644525.65093058</v>
      </c>
      <c r="L88" s="20" t="n">
        <f aca="false">K88*B2Ret/12</f>
        <v>57333.9423819794</v>
      </c>
      <c r="M88" s="20" t="n">
        <f aca="false">-I88</f>
        <v>-0</v>
      </c>
      <c r="N88" s="20" t="n">
        <v>0</v>
      </c>
      <c r="O88" s="20" t="n">
        <f aca="false">K88+L88+M88+N88</f>
        <v>7701859.59331256</v>
      </c>
      <c r="P88" s="20" t="n">
        <f aca="false">S87</f>
        <v>21918415.2355094</v>
      </c>
      <c r="Q88" s="20" t="n">
        <f aca="false">P88*B3Ret/12</f>
        <v>200918.806325503</v>
      </c>
      <c r="R88" s="20" t="n">
        <f aca="false">-N88</f>
        <v>-0</v>
      </c>
      <c r="S88" s="20" t="n">
        <f aca="false">P88+Q88+R88</f>
        <v>22119334.0418349</v>
      </c>
      <c r="T88" s="20" t="n">
        <f aca="false">J88+O88+S88</f>
        <v>33346710.4379645</v>
      </c>
    </row>
    <row r="89" customFormat="false" ht="15" hidden="false" customHeight="false" outlineLevel="0" collapsed="false">
      <c r="A89" s="19" t="n">
        <v>88</v>
      </c>
      <c r="B89" s="19" t="n">
        <f aca="false">ROUNDUP(A89/12,0)</f>
        <v>8</v>
      </c>
      <c r="C89" s="19" t="n">
        <f aca="false">Age+B89-1</f>
        <v>69</v>
      </c>
      <c r="D89" s="20" t="n">
        <f aca="false">MonthlyExp*(1+Inflation)^(B89-1)</f>
        <v>80289.0738239215</v>
      </c>
      <c r="E89" s="20" t="n">
        <f aca="false">J88</f>
        <v>3525516.80281706</v>
      </c>
      <c r="F89" s="20" t="n">
        <f aca="false">E89*B1Ret/12</f>
        <v>20565.5146830995</v>
      </c>
      <c r="G89" s="20" t="n">
        <f aca="false">D89</f>
        <v>80289.0738239215</v>
      </c>
      <c r="H89" s="20" t="n">
        <v>0</v>
      </c>
      <c r="I89" s="20" t="n">
        <f aca="false">H89</f>
        <v>0</v>
      </c>
      <c r="J89" s="20" t="n">
        <f aca="false">E89+F89-G89+I89</f>
        <v>3465793.24367624</v>
      </c>
      <c r="K89" s="20" t="n">
        <f aca="false">O88</f>
        <v>7701859.59331256</v>
      </c>
      <c r="L89" s="20" t="n">
        <f aca="false">K89*B2Ret/12</f>
        <v>57763.9469498442</v>
      </c>
      <c r="M89" s="20" t="n">
        <f aca="false">-I89</f>
        <v>-0</v>
      </c>
      <c r="N89" s="20" t="n">
        <v>0</v>
      </c>
      <c r="O89" s="20" t="n">
        <f aca="false">K89+L89+M89+N89</f>
        <v>7759623.54026241</v>
      </c>
      <c r="P89" s="20" t="n">
        <f aca="false">S88</f>
        <v>22119334.0418349</v>
      </c>
      <c r="Q89" s="20" t="n">
        <f aca="false">P89*B3Ret/12</f>
        <v>202760.562050153</v>
      </c>
      <c r="R89" s="20" t="n">
        <f aca="false">-N89</f>
        <v>-0</v>
      </c>
      <c r="S89" s="20" t="n">
        <f aca="false">P89+Q89+R89</f>
        <v>22322094.603885</v>
      </c>
      <c r="T89" s="20" t="n">
        <f aca="false">J89+O89+S89</f>
        <v>33547511.3878237</v>
      </c>
    </row>
    <row r="90" customFormat="false" ht="15" hidden="false" customHeight="false" outlineLevel="0" collapsed="false">
      <c r="A90" s="19" t="n">
        <v>89</v>
      </c>
      <c r="B90" s="19" t="n">
        <f aca="false">ROUNDUP(A90/12,0)</f>
        <v>8</v>
      </c>
      <c r="C90" s="19" t="n">
        <f aca="false">Age+B90-1</f>
        <v>69</v>
      </c>
      <c r="D90" s="20" t="n">
        <f aca="false">MonthlyExp*(1+Inflation)^(B90-1)</f>
        <v>80289.0738239215</v>
      </c>
      <c r="E90" s="20" t="n">
        <f aca="false">J89</f>
        <v>3465793.24367624</v>
      </c>
      <c r="F90" s="20" t="n">
        <f aca="false">E90*B1Ret/12</f>
        <v>20217.127254778</v>
      </c>
      <c r="G90" s="20" t="n">
        <f aca="false">D90</f>
        <v>80289.0738239215</v>
      </c>
      <c r="H90" s="20" t="n">
        <v>0</v>
      </c>
      <c r="I90" s="20" t="n">
        <f aca="false">H90</f>
        <v>0</v>
      </c>
      <c r="J90" s="20" t="n">
        <f aca="false">E90+F90-G90+I90</f>
        <v>3405721.29710709</v>
      </c>
      <c r="K90" s="20" t="n">
        <f aca="false">O89</f>
        <v>7759623.54026241</v>
      </c>
      <c r="L90" s="20" t="n">
        <f aca="false">K90*B2Ret/12</f>
        <v>58197.176551968</v>
      </c>
      <c r="M90" s="20" t="n">
        <f aca="false">-I90</f>
        <v>-0</v>
      </c>
      <c r="N90" s="20" t="n">
        <v>0</v>
      </c>
      <c r="O90" s="20" t="n">
        <f aca="false">K90+L90+M90+N90</f>
        <v>7817820.71681437</v>
      </c>
      <c r="P90" s="20" t="n">
        <f aca="false">S89</f>
        <v>22322094.603885</v>
      </c>
      <c r="Q90" s="20" t="n">
        <f aca="false">P90*B3Ret/12</f>
        <v>204619.200535613</v>
      </c>
      <c r="R90" s="20" t="n">
        <f aca="false">-N90</f>
        <v>-0</v>
      </c>
      <c r="S90" s="20" t="n">
        <f aca="false">P90+Q90+R90</f>
        <v>22526713.8044207</v>
      </c>
      <c r="T90" s="20" t="n">
        <f aca="false">J90+O90+S90</f>
        <v>33750255.8183421</v>
      </c>
    </row>
    <row r="91" customFormat="false" ht="15" hidden="false" customHeight="false" outlineLevel="0" collapsed="false">
      <c r="A91" s="19" t="n">
        <v>90</v>
      </c>
      <c r="B91" s="19" t="n">
        <f aca="false">ROUNDUP(A91/12,0)</f>
        <v>8</v>
      </c>
      <c r="C91" s="19" t="n">
        <f aca="false">Age+B91-1</f>
        <v>69</v>
      </c>
      <c r="D91" s="20" t="n">
        <f aca="false">MonthlyExp*(1+Inflation)^(B91-1)</f>
        <v>80289.0738239215</v>
      </c>
      <c r="E91" s="20" t="n">
        <f aca="false">J90</f>
        <v>3405721.29710709</v>
      </c>
      <c r="F91" s="20" t="n">
        <f aca="false">E91*B1Ret/12</f>
        <v>19866.707566458</v>
      </c>
      <c r="G91" s="20" t="n">
        <f aca="false">D91</f>
        <v>80289.0738239215</v>
      </c>
      <c r="H91" s="20" t="n">
        <v>0</v>
      </c>
      <c r="I91" s="20" t="n">
        <f aca="false">H91</f>
        <v>0</v>
      </c>
      <c r="J91" s="20" t="n">
        <f aca="false">E91+F91-G91+I91</f>
        <v>3345298.93084963</v>
      </c>
      <c r="K91" s="20" t="n">
        <f aca="false">O90</f>
        <v>7817820.71681437</v>
      </c>
      <c r="L91" s="20" t="n">
        <f aca="false">K91*B2Ret/12</f>
        <v>58633.6553761078</v>
      </c>
      <c r="M91" s="20" t="n">
        <f aca="false">-I91</f>
        <v>-0</v>
      </c>
      <c r="N91" s="20" t="n">
        <v>0</v>
      </c>
      <c r="O91" s="20" t="n">
        <f aca="false">K91+L91+M91+N91</f>
        <v>7876454.37219048</v>
      </c>
      <c r="P91" s="20" t="n">
        <f aca="false">S90</f>
        <v>22526713.8044207</v>
      </c>
      <c r="Q91" s="20" t="n">
        <f aca="false">P91*B3Ret/12</f>
        <v>206494.876540523</v>
      </c>
      <c r="R91" s="20" t="n">
        <f aca="false">-N91</f>
        <v>-0</v>
      </c>
      <c r="S91" s="20" t="n">
        <f aca="false">P91+Q91+R91</f>
        <v>22733208.6809612</v>
      </c>
      <c r="T91" s="20" t="n">
        <f aca="false">J91+O91+S91</f>
        <v>33954961.9840013</v>
      </c>
    </row>
    <row r="92" customFormat="false" ht="15" hidden="false" customHeight="false" outlineLevel="0" collapsed="false">
      <c r="A92" s="19" t="n">
        <v>91</v>
      </c>
      <c r="B92" s="19" t="n">
        <f aca="false">ROUNDUP(A92/12,0)</f>
        <v>8</v>
      </c>
      <c r="C92" s="19" t="n">
        <f aca="false">Age+B92-1</f>
        <v>69</v>
      </c>
      <c r="D92" s="20" t="n">
        <f aca="false">MonthlyExp*(1+Inflation)^(B92-1)</f>
        <v>80289.0738239215</v>
      </c>
      <c r="E92" s="20" t="n">
        <f aca="false">J91</f>
        <v>3345298.93084963</v>
      </c>
      <c r="F92" s="20" t="n">
        <f aca="false">E92*B1Ret/12</f>
        <v>19514.2437632895</v>
      </c>
      <c r="G92" s="20" t="n">
        <f aca="false">D92</f>
        <v>80289.0738239215</v>
      </c>
      <c r="H92" s="20" t="n">
        <v>0</v>
      </c>
      <c r="I92" s="20" t="n">
        <f aca="false">H92</f>
        <v>0</v>
      </c>
      <c r="J92" s="20" t="n">
        <f aca="false">E92+F92-G92+I92</f>
        <v>3284524.100789</v>
      </c>
      <c r="K92" s="20" t="n">
        <f aca="false">O91</f>
        <v>7876454.37219048</v>
      </c>
      <c r="L92" s="20" t="n">
        <f aca="false">K92*B2Ret/12</f>
        <v>59073.4077914286</v>
      </c>
      <c r="M92" s="20" t="n">
        <f aca="false">-I92</f>
        <v>-0</v>
      </c>
      <c r="N92" s="20" t="n">
        <v>0</v>
      </c>
      <c r="O92" s="20" t="n">
        <f aca="false">K92+L92+M92+N92</f>
        <v>7935527.77998191</v>
      </c>
      <c r="P92" s="20" t="n">
        <f aca="false">S91</f>
        <v>22733208.6809612</v>
      </c>
      <c r="Q92" s="20" t="n">
        <f aca="false">P92*B3Ret/12</f>
        <v>208387.746242144</v>
      </c>
      <c r="R92" s="20" t="n">
        <f aca="false">-N92</f>
        <v>-0</v>
      </c>
      <c r="S92" s="20" t="n">
        <f aca="false">P92+Q92+R92</f>
        <v>22941596.4272033</v>
      </c>
      <c r="T92" s="20" t="n">
        <f aca="false">J92+O92+S92</f>
        <v>34161648.3079742</v>
      </c>
    </row>
    <row r="93" customFormat="false" ht="15" hidden="false" customHeight="false" outlineLevel="0" collapsed="false">
      <c r="A93" s="19" t="n">
        <v>92</v>
      </c>
      <c r="B93" s="19" t="n">
        <f aca="false">ROUNDUP(A93/12,0)</f>
        <v>8</v>
      </c>
      <c r="C93" s="19" t="n">
        <f aca="false">Age+B93-1</f>
        <v>69</v>
      </c>
      <c r="D93" s="20" t="n">
        <f aca="false">MonthlyExp*(1+Inflation)^(B93-1)</f>
        <v>80289.0738239215</v>
      </c>
      <c r="E93" s="20" t="n">
        <f aca="false">J92</f>
        <v>3284524.100789</v>
      </c>
      <c r="F93" s="20" t="n">
        <f aca="false">E93*B1Ret/12</f>
        <v>19159.7239212692</v>
      </c>
      <c r="G93" s="20" t="n">
        <f aca="false">D93</f>
        <v>80289.0738239215</v>
      </c>
      <c r="H93" s="20" t="n">
        <v>0</v>
      </c>
      <c r="I93" s="20" t="n">
        <f aca="false">H93</f>
        <v>0</v>
      </c>
      <c r="J93" s="20" t="n">
        <f aca="false">E93+F93-G93+I93</f>
        <v>3223394.75088635</v>
      </c>
      <c r="K93" s="20" t="n">
        <f aca="false">O92</f>
        <v>7935527.77998191</v>
      </c>
      <c r="L93" s="20" t="n">
        <f aca="false">K93*B2Ret/12</f>
        <v>59516.4583498643</v>
      </c>
      <c r="M93" s="20" t="n">
        <f aca="false">-I93</f>
        <v>-0</v>
      </c>
      <c r="N93" s="20" t="n">
        <v>0</v>
      </c>
      <c r="O93" s="20" t="n">
        <f aca="false">K93+L93+M93+N93</f>
        <v>7995044.23833177</v>
      </c>
      <c r="P93" s="20" t="n">
        <f aca="false">S92</f>
        <v>22941596.4272033</v>
      </c>
      <c r="Q93" s="20" t="n">
        <f aca="false">P93*B3Ret/12</f>
        <v>210297.967249364</v>
      </c>
      <c r="R93" s="20" t="n">
        <f aca="false">-N93</f>
        <v>-0</v>
      </c>
      <c r="S93" s="20" t="n">
        <f aca="false">P93+Q93+R93</f>
        <v>23151894.3944527</v>
      </c>
      <c r="T93" s="20" t="n">
        <f aca="false">J93+O93+S93</f>
        <v>34370333.3836708</v>
      </c>
    </row>
    <row r="94" customFormat="false" ht="15" hidden="false" customHeight="false" outlineLevel="0" collapsed="false">
      <c r="A94" s="19" t="n">
        <v>93</v>
      </c>
      <c r="B94" s="19" t="n">
        <f aca="false">ROUNDUP(A94/12,0)</f>
        <v>8</v>
      </c>
      <c r="C94" s="19" t="n">
        <f aca="false">Age+B94-1</f>
        <v>69</v>
      </c>
      <c r="D94" s="20" t="n">
        <f aca="false">MonthlyExp*(1+Inflation)^(B94-1)</f>
        <v>80289.0738239215</v>
      </c>
      <c r="E94" s="20" t="n">
        <f aca="false">J93</f>
        <v>3223394.75088635</v>
      </c>
      <c r="F94" s="20" t="n">
        <f aca="false">E94*B1Ret/12</f>
        <v>18803.136046837</v>
      </c>
      <c r="G94" s="20" t="n">
        <f aca="false">D94</f>
        <v>80289.0738239215</v>
      </c>
      <c r="H94" s="20" t="n">
        <v>0</v>
      </c>
      <c r="I94" s="20" t="n">
        <f aca="false">H94</f>
        <v>0</v>
      </c>
      <c r="J94" s="20" t="n">
        <f aca="false">E94+F94-G94+I94</f>
        <v>3161908.81310926</v>
      </c>
      <c r="K94" s="20" t="n">
        <f aca="false">O93</f>
        <v>7995044.23833177</v>
      </c>
      <c r="L94" s="20" t="n">
        <f aca="false">K94*B2Ret/12</f>
        <v>59962.8317874883</v>
      </c>
      <c r="M94" s="20" t="n">
        <f aca="false">-I94</f>
        <v>-0</v>
      </c>
      <c r="N94" s="20" t="n">
        <v>0</v>
      </c>
      <c r="O94" s="20" t="n">
        <f aca="false">K94+L94+M94+N94</f>
        <v>8055007.07011926</v>
      </c>
      <c r="P94" s="20" t="n">
        <f aca="false">S93</f>
        <v>23151894.3944527</v>
      </c>
      <c r="Q94" s="20" t="n">
        <f aca="false">P94*B3Ret/12</f>
        <v>212225.698615816</v>
      </c>
      <c r="R94" s="20" t="n">
        <f aca="false">-N94</f>
        <v>-0</v>
      </c>
      <c r="S94" s="20" t="n">
        <f aca="false">P94+Q94+R94</f>
        <v>23364120.0930685</v>
      </c>
      <c r="T94" s="20" t="n">
        <f aca="false">J94+O94+S94</f>
        <v>34581035.976297</v>
      </c>
    </row>
    <row r="95" customFormat="false" ht="15" hidden="false" customHeight="false" outlineLevel="0" collapsed="false">
      <c r="A95" s="19" t="n">
        <v>94</v>
      </c>
      <c r="B95" s="19" t="n">
        <f aca="false">ROUNDUP(A95/12,0)</f>
        <v>8</v>
      </c>
      <c r="C95" s="19" t="n">
        <f aca="false">Age+B95-1</f>
        <v>69</v>
      </c>
      <c r="D95" s="20" t="n">
        <f aca="false">MonthlyExp*(1+Inflation)^(B95-1)</f>
        <v>80289.0738239215</v>
      </c>
      <c r="E95" s="20" t="n">
        <f aca="false">J94</f>
        <v>3161908.81310926</v>
      </c>
      <c r="F95" s="20" t="n">
        <f aca="false">E95*B1Ret/12</f>
        <v>18444.4680764707</v>
      </c>
      <c r="G95" s="20" t="n">
        <f aca="false">D95</f>
        <v>80289.0738239215</v>
      </c>
      <c r="H95" s="20" t="n">
        <v>0</v>
      </c>
      <c r="I95" s="20" t="n">
        <f aca="false">H95</f>
        <v>0</v>
      </c>
      <c r="J95" s="20" t="n">
        <f aca="false">E95+F95-G95+I95</f>
        <v>3100064.20736181</v>
      </c>
      <c r="K95" s="20" t="n">
        <f aca="false">O94</f>
        <v>8055007.07011926</v>
      </c>
      <c r="L95" s="20" t="n">
        <f aca="false">K95*B2Ret/12</f>
        <v>60412.5530258945</v>
      </c>
      <c r="M95" s="20" t="n">
        <f aca="false">-I95</f>
        <v>-0</v>
      </c>
      <c r="N95" s="20" t="n">
        <v>0</v>
      </c>
      <c r="O95" s="20" t="n">
        <f aca="false">K95+L95+M95+N95</f>
        <v>8115419.62314516</v>
      </c>
      <c r="P95" s="20" t="n">
        <f aca="false">S94</f>
        <v>23364120.0930685</v>
      </c>
      <c r="Q95" s="20" t="n">
        <f aca="false">P95*B3Ret/12</f>
        <v>214171.100853128</v>
      </c>
      <c r="R95" s="20" t="n">
        <f aca="false">-N95</f>
        <v>-0</v>
      </c>
      <c r="S95" s="20" t="n">
        <f aca="false">P95+Q95+R95</f>
        <v>23578291.1939216</v>
      </c>
      <c r="T95" s="20" t="n">
        <f aca="false">J95+O95+S95</f>
        <v>34793775.0244286</v>
      </c>
    </row>
    <row r="96" customFormat="false" ht="15" hidden="false" customHeight="false" outlineLevel="0" collapsed="false">
      <c r="A96" s="19" t="n">
        <v>95</v>
      </c>
      <c r="B96" s="19" t="n">
        <f aca="false">ROUNDUP(A96/12,0)</f>
        <v>8</v>
      </c>
      <c r="C96" s="19" t="n">
        <f aca="false">Age+B96-1</f>
        <v>69</v>
      </c>
      <c r="D96" s="20" t="n">
        <f aca="false">MonthlyExp*(1+Inflation)^(B96-1)</f>
        <v>80289.0738239215</v>
      </c>
      <c r="E96" s="20" t="n">
        <f aca="false">J95</f>
        <v>3100064.20736181</v>
      </c>
      <c r="F96" s="20" t="n">
        <f aca="false">E96*B1Ret/12</f>
        <v>18083.7078762772</v>
      </c>
      <c r="G96" s="20" t="n">
        <f aca="false">D96</f>
        <v>80289.0738239215</v>
      </c>
      <c r="H96" s="20" t="n">
        <v>0</v>
      </c>
      <c r="I96" s="20" t="n">
        <f aca="false">H96</f>
        <v>0</v>
      </c>
      <c r="J96" s="20" t="n">
        <f aca="false">E96+F96-G96+I96</f>
        <v>3037858.84141417</v>
      </c>
      <c r="K96" s="20" t="n">
        <f aca="false">O95</f>
        <v>8115419.62314516</v>
      </c>
      <c r="L96" s="20" t="n">
        <f aca="false">K96*B2Ret/12</f>
        <v>60865.6471735887</v>
      </c>
      <c r="M96" s="20" t="n">
        <f aca="false">-I96</f>
        <v>-0</v>
      </c>
      <c r="N96" s="20" t="n">
        <v>0</v>
      </c>
      <c r="O96" s="20" t="n">
        <f aca="false">K96+L96+M96+N96</f>
        <v>8176285.27031875</v>
      </c>
      <c r="P96" s="20" t="n">
        <f aca="false">S95</f>
        <v>23578291.1939216</v>
      </c>
      <c r="Q96" s="20" t="n">
        <f aca="false">P96*B3Ret/12</f>
        <v>216134.335944282</v>
      </c>
      <c r="R96" s="20" t="n">
        <f aca="false">-N96</f>
        <v>-0</v>
      </c>
      <c r="S96" s="20" t="n">
        <f aca="false">P96+Q96+R96</f>
        <v>23794425.5298659</v>
      </c>
      <c r="T96" s="20" t="n">
        <f aca="false">J96+O96+S96</f>
        <v>35008569.6415988</v>
      </c>
    </row>
    <row r="97" customFormat="false" ht="15" hidden="false" customHeight="false" outlineLevel="0" collapsed="false">
      <c r="A97" s="19" t="n">
        <v>96</v>
      </c>
      <c r="B97" s="19" t="n">
        <f aca="false">ROUNDUP(A97/12,0)</f>
        <v>8</v>
      </c>
      <c r="C97" s="19" t="n">
        <f aca="false">Age+B97-1</f>
        <v>69</v>
      </c>
      <c r="D97" s="20" t="n">
        <f aca="false">MonthlyExp*(1+Inflation)^(B97-1)</f>
        <v>80289.0738239215</v>
      </c>
      <c r="E97" s="20" t="n">
        <f aca="false">J96</f>
        <v>3037858.84141417</v>
      </c>
      <c r="F97" s="20" t="n">
        <f aca="false">E97*B1Ret/12</f>
        <v>17720.8432415826</v>
      </c>
      <c r="G97" s="20" t="n">
        <f aca="false">D97</f>
        <v>80289.0738239215</v>
      </c>
      <c r="H97" s="20" t="n">
        <v>0</v>
      </c>
      <c r="I97" s="20" t="n">
        <f aca="false">H97</f>
        <v>0</v>
      </c>
      <c r="J97" s="20" t="n">
        <f aca="false">E97+F97-G97+I97</f>
        <v>2975290.61083183</v>
      </c>
      <c r="K97" s="20" t="n">
        <f aca="false">O96</f>
        <v>8176285.27031875</v>
      </c>
      <c r="L97" s="20" t="n">
        <f aca="false">K97*B2Ret/12</f>
        <v>61322.1395273906</v>
      </c>
      <c r="M97" s="20" t="n">
        <f aca="false">-I97</f>
        <v>-0</v>
      </c>
      <c r="N97" s="20" t="n">
        <v>0</v>
      </c>
      <c r="O97" s="20" t="n">
        <f aca="false">K97+L97+M97+N97</f>
        <v>8237607.40984614</v>
      </c>
      <c r="P97" s="20" t="n">
        <f aca="false">S96</f>
        <v>23794425.5298659</v>
      </c>
      <c r="Q97" s="20" t="n">
        <f aca="false">P97*B3Ret/12</f>
        <v>218115.567357104</v>
      </c>
      <c r="R97" s="20" t="n">
        <f aca="false">-N97</f>
        <v>-0</v>
      </c>
      <c r="S97" s="20" t="n">
        <f aca="false">P97+Q97+R97</f>
        <v>24012541.097223</v>
      </c>
      <c r="T97" s="20" t="n">
        <f aca="false">J97+O97+S97</f>
        <v>35225439.117901</v>
      </c>
    </row>
    <row r="98" customFormat="false" ht="15" hidden="false" customHeight="false" outlineLevel="0" collapsed="false">
      <c r="A98" s="19" t="n">
        <v>97</v>
      </c>
      <c r="B98" s="19" t="n">
        <f aca="false">ROUNDUP(A98/12,0)</f>
        <v>9</v>
      </c>
      <c r="C98" s="19" t="n">
        <f aca="false">Age+B98-1</f>
        <v>70</v>
      </c>
      <c r="D98" s="20" t="n">
        <f aca="false">MonthlyExp*(1+Inflation)^(B98-1)</f>
        <v>85909.308991596</v>
      </c>
      <c r="E98" s="20" t="n">
        <f aca="false">J97</f>
        <v>2975290.61083183</v>
      </c>
      <c r="F98" s="20" t="n">
        <f aca="false">E98*B1Ret/12</f>
        <v>17355.861896519</v>
      </c>
      <c r="G98" s="20" t="n">
        <f aca="false">D98</f>
        <v>85909.308991596</v>
      </c>
      <c r="H98" s="20" t="n">
        <v>0</v>
      </c>
      <c r="I98" s="20" t="n">
        <f aca="false">H98</f>
        <v>0</v>
      </c>
      <c r="J98" s="20" t="n">
        <f aca="false">E98+F98-G98+I98</f>
        <v>2906737.16373675</v>
      </c>
      <c r="K98" s="20" t="n">
        <f aca="false">O97</f>
        <v>8237607.40984614</v>
      </c>
      <c r="L98" s="20" t="n">
        <f aca="false">K98*B2Ret/12</f>
        <v>61782.055573846</v>
      </c>
      <c r="M98" s="20" t="n">
        <f aca="false">-I98</f>
        <v>-0</v>
      </c>
      <c r="N98" s="20" t="n">
        <v>0</v>
      </c>
      <c r="O98" s="20" t="n">
        <f aca="false">K98+L98+M98+N98</f>
        <v>8299389.46541998</v>
      </c>
      <c r="P98" s="20" t="n">
        <f aca="false">S97</f>
        <v>24012541.097223</v>
      </c>
      <c r="Q98" s="20" t="n">
        <f aca="false">P98*B3Ret/12</f>
        <v>220114.960057878</v>
      </c>
      <c r="R98" s="20" t="n">
        <f aca="false">-N98</f>
        <v>-0</v>
      </c>
      <c r="S98" s="20" t="n">
        <f aca="false">P98+Q98+R98</f>
        <v>24232656.0572809</v>
      </c>
      <c r="T98" s="20" t="n">
        <f aca="false">J98+O98+S98</f>
        <v>35438782.6864376</v>
      </c>
    </row>
    <row r="99" customFormat="false" ht="15" hidden="false" customHeight="false" outlineLevel="0" collapsed="false">
      <c r="A99" s="19" t="n">
        <v>98</v>
      </c>
      <c r="B99" s="19" t="n">
        <f aca="false">ROUNDUP(A99/12,0)</f>
        <v>9</v>
      </c>
      <c r="C99" s="19" t="n">
        <f aca="false">Age+B99-1</f>
        <v>70</v>
      </c>
      <c r="D99" s="20" t="n">
        <f aca="false">MonthlyExp*(1+Inflation)^(B99-1)</f>
        <v>85909.308991596</v>
      </c>
      <c r="E99" s="20" t="n">
        <f aca="false">J98</f>
        <v>2906737.16373675</v>
      </c>
      <c r="F99" s="20" t="n">
        <f aca="false">E99*B1Ret/12</f>
        <v>16955.9667884644</v>
      </c>
      <c r="G99" s="20" t="n">
        <f aca="false">D99</f>
        <v>85909.308991596</v>
      </c>
      <c r="H99" s="20" t="n">
        <v>0</v>
      </c>
      <c r="I99" s="20" t="n">
        <f aca="false">H99</f>
        <v>0</v>
      </c>
      <c r="J99" s="20" t="n">
        <f aca="false">E99+F99-G99+I99</f>
        <v>2837783.82153362</v>
      </c>
      <c r="K99" s="20" t="n">
        <f aca="false">O98</f>
        <v>8299389.46541998</v>
      </c>
      <c r="L99" s="20" t="n">
        <f aca="false">K99*B2Ret/12</f>
        <v>62245.4209906499</v>
      </c>
      <c r="M99" s="20" t="n">
        <f aca="false">-I99</f>
        <v>-0</v>
      </c>
      <c r="N99" s="20" t="n">
        <v>0</v>
      </c>
      <c r="O99" s="20" t="n">
        <f aca="false">K99+L99+M99+N99</f>
        <v>8361634.88641063</v>
      </c>
      <c r="P99" s="20" t="n">
        <f aca="false">S98</f>
        <v>24232656.0572809</v>
      </c>
      <c r="Q99" s="20" t="n">
        <f aca="false">P99*B3Ret/12</f>
        <v>222132.680525075</v>
      </c>
      <c r="R99" s="20" t="n">
        <f aca="false">-N99</f>
        <v>-0</v>
      </c>
      <c r="S99" s="20" t="n">
        <f aca="false">P99+Q99+R99</f>
        <v>24454788.737806</v>
      </c>
      <c r="T99" s="20" t="n">
        <f aca="false">J99+O99+S99</f>
        <v>35654207.4457502</v>
      </c>
    </row>
    <row r="100" customFormat="false" ht="15" hidden="false" customHeight="false" outlineLevel="0" collapsed="false">
      <c r="A100" s="19" t="n">
        <v>99</v>
      </c>
      <c r="B100" s="19" t="n">
        <f aca="false">ROUNDUP(A100/12,0)</f>
        <v>9</v>
      </c>
      <c r="C100" s="19" t="n">
        <f aca="false">Age+B100-1</f>
        <v>70</v>
      </c>
      <c r="D100" s="20" t="n">
        <f aca="false">MonthlyExp*(1+Inflation)^(B100-1)</f>
        <v>85909.308991596</v>
      </c>
      <c r="E100" s="20" t="n">
        <f aca="false">J99</f>
        <v>2837783.82153362</v>
      </c>
      <c r="F100" s="20" t="n">
        <f aca="false">E100*B1Ret/12</f>
        <v>16553.7389589461</v>
      </c>
      <c r="G100" s="20" t="n">
        <f aca="false">D100</f>
        <v>85909.308991596</v>
      </c>
      <c r="H100" s="20" t="n">
        <v>0</v>
      </c>
      <c r="I100" s="20" t="n">
        <f aca="false">H100</f>
        <v>0</v>
      </c>
      <c r="J100" s="20" t="n">
        <f aca="false">E100+F100-G100+I100</f>
        <v>2768428.25150097</v>
      </c>
      <c r="K100" s="20" t="n">
        <f aca="false">O99</f>
        <v>8361634.88641063</v>
      </c>
      <c r="L100" s="20" t="n">
        <f aca="false">K100*B2Ret/12</f>
        <v>62712.2616480797</v>
      </c>
      <c r="M100" s="20" t="n">
        <f aca="false">-I100</f>
        <v>-0</v>
      </c>
      <c r="N100" s="20" t="n">
        <v>0</v>
      </c>
      <c r="O100" s="20" t="n">
        <f aca="false">K100+L100+M100+N100</f>
        <v>8424347.14805871</v>
      </c>
      <c r="P100" s="20" t="n">
        <f aca="false">S99</f>
        <v>24454788.737806</v>
      </c>
      <c r="Q100" s="20" t="n">
        <f aca="false">P100*B3Ret/12</f>
        <v>224168.896763221</v>
      </c>
      <c r="R100" s="20" t="n">
        <f aca="false">-N100</f>
        <v>-0</v>
      </c>
      <c r="S100" s="20" t="n">
        <f aca="false">P100+Q100+R100</f>
        <v>24678957.6345692</v>
      </c>
      <c r="T100" s="20" t="n">
        <f aca="false">J100+O100+S100</f>
        <v>35871733.0341289</v>
      </c>
    </row>
    <row r="101" customFormat="false" ht="15" hidden="false" customHeight="false" outlineLevel="0" collapsed="false">
      <c r="A101" s="19" t="n">
        <v>100</v>
      </c>
      <c r="B101" s="19" t="n">
        <f aca="false">ROUNDUP(A101/12,0)</f>
        <v>9</v>
      </c>
      <c r="C101" s="19" t="n">
        <f aca="false">Age+B101-1</f>
        <v>70</v>
      </c>
      <c r="D101" s="20" t="n">
        <f aca="false">MonthlyExp*(1+Inflation)^(B101-1)</f>
        <v>85909.308991596</v>
      </c>
      <c r="E101" s="20" t="n">
        <f aca="false">J100</f>
        <v>2768428.25150097</v>
      </c>
      <c r="F101" s="20" t="n">
        <f aca="false">E101*B1Ret/12</f>
        <v>16149.1648004223</v>
      </c>
      <c r="G101" s="20" t="n">
        <f aca="false">D101</f>
        <v>85909.308991596</v>
      </c>
      <c r="H101" s="20" t="n">
        <v>0</v>
      </c>
      <c r="I101" s="20" t="n">
        <f aca="false">H101</f>
        <v>0</v>
      </c>
      <c r="J101" s="20" t="n">
        <f aca="false">E101+F101-G101+I101</f>
        <v>2698668.1073098</v>
      </c>
      <c r="K101" s="20" t="n">
        <f aca="false">O100</f>
        <v>8424347.14805871</v>
      </c>
      <c r="L101" s="20" t="n">
        <f aca="false">K101*B2Ret/12</f>
        <v>63182.6036104403</v>
      </c>
      <c r="M101" s="20" t="n">
        <f aca="false">-I101</f>
        <v>-0</v>
      </c>
      <c r="N101" s="20" t="n">
        <v>0</v>
      </c>
      <c r="O101" s="20" t="n">
        <f aca="false">K101+L101+M101+N101</f>
        <v>8487529.75166915</v>
      </c>
      <c r="P101" s="20" t="n">
        <f aca="false">S100</f>
        <v>24678957.6345692</v>
      </c>
      <c r="Q101" s="20" t="n">
        <f aca="false">P101*B3Ret/12</f>
        <v>226223.778316884</v>
      </c>
      <c r="R101" s="20" t="n">
        <f aca="false">-N101</f>
        <v>-0</v>
      </c>
      <c r="S101" s="20" t="n">
        <f aca="false">P101+Q101+R101</f>
        <v>24905181.4128861</v>
      </c>
      <c r="T101" s="20" t="n">
        <f aca="false">J101+O101+S101</f>
        <v>36091379.271865</v>
      </c>
    </row>
    <row r="102" customFormat="false" ht="15" hidden="false" customHeight="false" outlineLevel="0" collapsed="false">
      <c r="A102" s="19" t="n">
        <v>101</v>
      </c>
      <c r="B102" s="19" t="n">
        <f aca="false">ROUNDUP(A102/12,0)</f>
        <v>9</v>
      </c>
      <c r="C102" s="19" t="n">
        <f aca="false">Age+B102-1</f>
        <v>70</v>
      </c>
      <c r="D102" s="20" t="n">
        <f aca="false">MonthlyExp*(1+Inflation)^(B102-1)</f>
        <v>85909.308991596</v>
      </c>
      <c r="E102" s="20" t="n">
        <f aca="false">J101</f>
        <v>2698668.1073098</v>
      </c>
      <c r="F102" s="20" t="n">
        <f aca="false">E102*B1Ret/12</f>
        <v>15742.2306259738</v>
      </c>
      <c r="G102" s="20" t="n">
        <f aca="false">D102</f>
        <v>85909.308991596</v>
      </c>
      <c r="H102" s="20" t="n">
        <v>0</v>
      </c>
      <c r="I102" s="20" t="n">
        <f aca="false">H102</f>
        <v>0</v>
      </c>
      <c r="J102" s="20" t="n">
        <f aca="false">E102+F102-G102+I102</f>
        <v>2628501.02894417</v>
      </c>
      <c r="K102" s="20" t="n">
        <f aca="false">O101</f>
        <v>8487529.75166915</v>
      </c>
      <c r="L102" s="20" t="n">
        <f aca="false">K102*B2Ret/12</f>
        <v>63656.4731375187</v>
      </c>
      <c r="M102" s="20" t="n">
        <f aca="false">-I102</f>
        <v>-0</v>
      </c>
      <c r="N102" s="20" t="n">
        <v>0</v>
      </c>
      <c r="O102" s="20" t="n">
        <f aca="false">K102+L102+M102+N102</f>
        <v>8551186.22480667</v>
      </c>
      <c r="P102" s="20" t="n">
        <f aca="false">S101</f>
        <v>24905181.4128861</v>
      </c>
      <c r="Q102" s="20" t="n">
        <f aca="false">P102*B3Ret/12</f>
        <v>228297.496284789</v>
      </c>
      <c r="R102" s="20" t="n">
        <f aca="false">-N102</f>
        <v>-0</v>
      </c>
      <c r="S102" s="20" t="n">
        <f aca="false">P102+Q102+R102</f>
        <v>25133478.9091709</v>
      </c>
      <c r="T102" s="20" t="n">
        <f aca="false">J102+O102+S102</f>
        <v>36313166.1629217</v>
      </c>
    </row>
    <row r="103" customFormat="false" ht="15" hidden="false" customHeight="false" outlineLevel="0" collapsed="false">
      <c r="A103" s="19" t="n">
        <v>102</v>
      </c>
      <c r="B103" s="19" t="n">
        <f aca="false">ROUNDUP(A103/12,0)</f>
        <v>9</v>
      </c>
      <c r="C103" s="19" t="n">
        <f aca="false">Age+B103-1</f>
        <v>70</v>
      </c>
      <c r="D103" s="20" t="n">
        <f aca="false">MonthlyExp*(1+Inflation)^(B103-1)</f>
        <v>85909.308991596</v>
      </c>
      <c r="E103" s="20" t="n">
        <f aca="false">J102</f>
        <v>2628501.02894417</v>
      </c>
      <c r="F103" s="20" t="n">
        <f aca="false">E103*B1Ret/12</f>
        <v>15332.922668841</v>
      </c>
      <c r="G103" s="20" t="n">
        <f aca="false">D103</f>
        <v>85909.308991596</v>
      </c>
      <c r="H103" s="20" t="n">
        <v>0</v>
      </c>
      <c r="I103" s="20" t="n">
        <f aca="false">H103</f>
        <v>0</v>
      </c>
      <c r="J103" s="20" t="n">
        <f aca="false">E103+F103-G103+I103</f>
        <v>2557924.64262142</v>
      </c>
      <c r="K103" s="20" t="n">
        <f aca="false">O102</f>
        <v>8551186.22480667</v>
      </c>
      <c r="L103" s="20" t="n">
        <f aca="false">K103*B2Ret/12</f>
        <v>64133.89668605</v>
      </c>
      <c r="M103" s="20" t="n">
        <f aca="false">-I103</f>
        <v>-0</v>
      </c>
      <c r="N103" s="20" t="n">
        <v>0</v>
      </c>
      <c r="O103" s="20" t="n">
        <f aca="false">K103+L103+M103+N103</f>
        <v>8615320.12149272</v>
      </c>
      <c r="P103" s="20" t="n">
        <f aca="false">S102</f>
        <v>25133478.9091709</v>
      </c>
      <c r="Q103" s="20" t="n">
        <f aca="false">P103*B3Ret/12</f>
        <v>230390.223334066</v>
      </c>
      <c r="R103" s="20" t="n">
        <f aca="false">-N103</f>
        <v>-0</v>
      </c>
      <c r="S103" s="20" t="n">
        <f aca="false">P103+Q103+R103</f>
        <v>25363869.1325049</v>
      </c>
      <c r="T103" s="20" t="n">
        <f aca="false">J103+O103+S103</f>
        <v>36537113.8966191</v>
      </c>
    </row>
    <row r="104" customFormat="false" ht="15" hidden="false" customHeight="false" outlineLevel="0" collapsed="false">
      <c r="A104" s="19" t="n">
        <v>103</v>
      </c>
      <c r="B104" s="19" t="n">
        <f aca="false">ROUNDUP(A104/12,0)</f>
        <v>9</v>
      </c>
      <c r="C104" s="19" t="n">
        <f aca="false">Age+B104-1</f>
        <v>70</v>
      </c>
      <c r="D104" s="20" t="n">
        <f aca="false">MonthlyExp*(1+Inflation)^(B104-1)</f>
        <v>85909.308991596</v>
      </c>
      <c r="E104" s="20" t="n">
        <f aca="false">J103</f>
        <v>2557924.64262142</v>
      </c>
      <c r="F104" s="20" t="n">
        <f aca="false">E104*B1Ret/12</f>
        <v>14921.2270819583</v>
      </c>
      <c r="G104" s="20" t="n">
        <f aca="false">D104</f>
        <v>85909.308991596</v>
      </c>
      <c r="H104" s="20" t="n">
        <v>0</v>
      </c>
      <c r="I104" s="20" t="n">
        <f aca="false">H104</f>
        <v>0</v>
      </c>
      <c r="J104" s="20" t="n">
        <f aca="false">E104+F104-G104+I104</f>
        <v>2486936.56071178</v>
      </c>
      <c r="K104" s="20" t="n">
        <f aca="false">O103</f>
        <v>8615320.12149272</v>
      </c>
      <c r="L104" s="20" t="n">
        <f aca="false">K104*B2Ret/12</f>
        <v>64614.9009111954</v>
      </c>
      <c r="M104" s="20" t="n">
        <f aca="false">-I104</f>
        <v>-0</v>
      </c>
      <c r="N104" s="20" t="n">
        <v>0</v>
      </c>
      <c r="O104" s="20" t="n">
        <f aca="false">K104+L104+M104+N104</f>
        <v>8679935.02240392</v>
      </c>
      <c r="P104" s="20" t="n">
        <f aca="false">S103</f>
        <v>25363869.1325049</v>
      </c>
      <c r="Q104" s="20" t="n">
        <f aca="false">P104*B3Ret/12</f>
        <v>232502.133714629</v>
      </c>
      <c r="R104" s="20" t="n">
        <f aca="false">-N104</f>
        <v>-0</v>
      </c>
      <c r="S104" s="20" t="n">
        <f aca="false">P104+Q104+R104</f>
        <v>25596371.2662196</v>
      </c>
      <c r="T104" s="20" t="n">
        <f aca="false">J104+O104+S104</f>
        <v>36763242.8493353</v>
      </c>
    </row>
    <row r="105" customFormat="false" ht="15" hidden="false" customHeight="false" outlineLevel="0" collapsed="false">
      <c r="A105" s="19" t="n">
        <v>104</v>
      </c>
      <c r="B105" s="19" t="n">
        <f aca="false">ROUNDUP(A105/12,0)</f>
        <v>9</v>
      </c>
      <c r="C105" s="19" t="n">
        <f aca="false">Age+B105-1</f>
        <v>70</v>
      </c>
      <c r="D105" s="20" t="n">
        <f aca="false">MonthlyExp*(1+Inflation)^(B105-1)</f>
        <v>85909.308991596</v>
      </c>
      <c r="E105" s="20" t="n">
        <f aca="false">J104</f>
        <v>2486936.56071178</v>
      </c>
      <c r="F105" s="20" t="n">
        <f aca="false">E105*B1Ret/12</f>
        <v>14507.1299374854</v>
      </c>
      <c r="G105" s="20" t="n">
        <f aca="false">D105</f>
        <v>85909.308991596</v>
      </c>
      <c r="H105" s="20" t="n">
        <v>0</v>
      </c>
      <c r="I105" s="20" t="n">
        <f aca="false">H105</f>
        <v>0</v>
      </c>
      <c r="J105" s="20" t="n">
        <f aca="false">E105+F105-G105+I105</f>
        <v>2415534.38165767</v>
      </c>
      <c r="K105" s="20" t="n">
        <f aca="false">O104</f>
        <v>8679935.02240392</v>
      </c>
      <c r="L105" s="20" t="n">
        <f aca="false">K105*B2Ret/12</f>
        <v>65099.5126680294</v>
      </c>
      <c r="M105" s="20" t="n">
        <f aca="false">-I105</f>
        <v>-0</v>
      </c>
      <c r="N105" s="20" t="n">
        <v>0</v>
      </c>
      <c r="O105" s="20" t="n">
        <f aca="false">K105+L105+M105+N105</f>
        <v>8745034.53507195</v>
      </c>
      <c r="P105" s="20" t="n">
        <f aca="false">S104</f>
        <v>25596371.2662196</v>
      </c>
      <c r="Q105" s="20" t="n">
        <f aca="false">P105*B3Ret/12</f>
        <v>234633.403273679</v>
      </c>
      <c r="R105" s="20" t="n">
        <f aca="false">-N105</f>
        <v>-0</v>
      </c>
      <c r="S105" s="20" t="n">
        <f aca="false">P105+Q105+R105</f>
        <v>25831004.6694932</v>
      </c>
      <c r="T105" s="20" t="n">
        <f aca="false">J105+O105+S105</f>
        <v>36991573.5862229</v>
      </c>
    </row>
    <row r="106" customFormat="false" ht="15" hidden="false" customHeight="false" outlineLevel="0" collapsed="false">
      <c r="A106" s="19" t="n">
        <v>105</v>
      </c>
      <c r="B106" s="19" t="n">
        <f aca="false">ROUNDUP(A106/12,0)</f>
        <v>9</v>
      </c>
      <c r="C106" s="19" t="n">
        <f aca="false">Age+B106-1</f>
        <v>70</v>
      </c>
      <c r="D106" s="20" t="n">
        <f aca="false">MonthlyExp*(1+Inflation)^(B106-1)</f>
        <v>85909.308991596</v>
      </c>
      <c r="E106" s="20" t="n">
        <f aca="false">J105</f>
        <v>2415534.38165767</v>
      </c>
      <c r="F106" s="20" t="n">
        <f aca="false">E106*B1Ret/12</f>
        <v>14090.6172263364</v>
      </c>
      <c r="G106" s="20" t="n">
        <f aca="false">D106</f>
        <v>85909.308991596</v>
      </c>
      <c r="H106" s="20" t="n">
        <v>0</v>
      </c>
      <c r="I106" s="20" t="n">
        <f aca="false">H106</f>
        <v>0</v>
      </c>
      <c r="J106" s="20" t="n">
        <f aca="false">E106+F106-G106+I106</f>
        <v>2343715.68989241</v>
      </c>
      <c r="K106" s="20" t="n">
        <f aca="false">O105</f>
        <v>8745034.53507195</v>
      </c>
      <c r="L106" s="20" t="n">
        <f aca="false">K106*B2Ret/12</f>
        <v>65587.7590130396</v>
      </c>
      <c r="M106" s="20" t="n">
        <f aca="false">-I106</f>
        <v>-0</v>
      </c>
      <c r="N106" s="20" t="n">
        <v>0</v>
      </c>
      <c r="O106" s="20" t="n">
        <f aca="false">K106+L106+M106+N106</f>
        <v>8810622.29408499</v>
      </c>
      <c r="P106" s="20" t="n">
        <f aca="false">S105</f>
        <v>25831004.6694932</v>
      </c>
      <c r="Q106" s="20" t="n">
        <f aca="false">P106*B3Ret/12</f>
        <v>236784.209470355</v>
      </c>
      <c r="R106" s="20" t="n">
        <f aca="false">-N106</f>
        <v>-0</v>
      </c>
      <c r="S106" s="20" t="n">
        <f aca="false">P106+Q106+R106</f>
        <v>26067788.8789636</v>
      </c>
      <c r="T106" s="20" t="n">
        <f aca="false">J106+O106+S106</f>
        <v>37222126.862941</v>
      </c>
    </row>
    <row r="107" customFormat="false" ht="15" hidden="false" customHeight="false" outlineLevel="0" collapsed="false">
      <c r="A107" s="19" t="n">
        <v>106</v>
      </c>
      <c r="B107" s="19" t="n">
        <f aca="false">ROUNDUP(A107/12,0)</f>
        <v>9</v>
      </c>
      <c r="C107" s="19" t="n">
        <f aca="false">Age+B107-1</f>
        <v>70</v>
      </c>
      <c r="D107" s="20" t="n">
        <f aca="false">MonthlyExp*(1+Inflation)^(B107-1)</f>
        <v>85909.308991596</v>
      </c>
      <c r="E107" s="20" t="n">
        <f aca="false">J106</f>
        <v>2343715.68989241</v>
      </c>
      <c r="F107" s="20" t="n">
        <f aca="false">E107*B1Ret/12</f>
        <v>13671.6748577057</v>
      </c>
      <c r="G107" s="20" t="n">
        <f aca="false">D107</f>
        <v>85909.308991596</v>
      </c>
      <c r="H107" s="20" t="n">
        <v>0</v>
      </c>
      <c r="I107" s="20" t="n">
        <f aca="false">H107</f>
        <v>0</v>
      </c>
      <c r="J107" s="20" t="n">
        <f aca="false">E107+F107-G107+I107</f>
        <v>2271478.05575852</v>
      </c>
      <c r="K107" s="20" t="n">
        <f aca="false">O106</f>
        <v>8810622.29408499</v>
      </c>
      <c r="L107" s="20" t="n">
        <f aca="false">K107*B2Ret/12</f>
        <v>66079.6672056374</v>
      </c>
      <c r="M107" s="20" t="n">
        <f aca="false">-I107</f>
        <v>-0</v>
      </c>
      <c r="N107" s="20" t="n">
        <v>0</v>
      </c>
      <c r="O107" s="20" t="n">
        <f aca="false">K107+L107+M107+N107</f>
        <v>8876701.96129062</v>
      </c>
      <c r="P107" s="20" t="n">
        <f aca="false">S106</f>
        <v>26067788.8789636</v>
      </c>
      <c r="Q107" s="20" t="n">
        <f aca="false">P107*B3Ret/12</f>
        <v>238954.7313905</v>
      </c>
      <c r="R107" s="20" t="n">
        <f aca="false">-N107</f>
        <v>-0</v>
      </c>
      <c r="S107" s="20" t="n">
        <f aca="false">P107+Q107+R107</f>
        <v>26306743.6103541</v>
      </c>
      <c r="T107" s="20" t="n">
        <f aca="false">J107+O107+S107</f>
        <v>37454923.6274032</v>
      </c>
    </row>
    <row r="108" customFormat="false" ht="15" hidden="false" customHeight="false" outlineLevel="0" collapsed="false">
      <c r="A108" s="19" t="n">
        <v>107</v>
      </c>
      <c r="B108" s="19" t="n">
        <f aca="false">ROUNDUP(A108/12,0)</f>
        <v>9</v>
      </c>
      <c r="C108" s="19" t="n">
        <f aca="false">Age+B108-1</f>
        <v>70</v>
      </c>
      <c r="D108" s="20" t="n">
        <f aca="false">MonthlyExp*(1+Inflation)^(B108-1)</f>
        <v>85909.308991596</v>
      </c>
      <c r="E108" s="20" t="n">
        <f aca="false">J107</f>
        <v>2271478.05575852</v>
      </c>
      <c r="F108" s="20" t="n">
        <f aca="false">E108*B1Ret/12</f>
        <v>13250.2886585914</v>
      </c>
      <c r="G108" s="20" t="n">
        <f aca="false">D108</f>
        <v>85909.308991596</v>
      </c>
      <c r="H108" s="20" t="n">
        <v>0</v>
      </c>
      <c r="I108" s="20" t="n">
        <f aca="false">H108</f>
        <v>0</v>
      </c>
      <c r="J108" s="20" t="n">
        <f aca="false">E108+F108-G108+I108</f>
        <v>2198819.03542552</v>
      </c>
      <c r="K108" s="20" t="n">
        <f aca="false">O107</f>
        <v>8876701.96129062</v>
      </c>
      <c r="L108" s="20" t="n">
        <f aca="false">K108*B2Ret/12</f>
        <v>66575.2647096797</v>
      </c>
      <c r="M108" s="20" t="n">
        <f aca="false">-I108</f>
        <v>-0</v>
      </c>
      <c r="N108" s="20" t="n">
        <v>0</v>
      </c>
      <c r="O108" s="20" t="n">
        <f aca="false">K108+L108+M108+N108</f>
        <v>8943277.2260003</v>
      </c>
      <c r="P108" s="20" t="n">
        <f aca="false">S107</f>
        <v>26306743.6103541</v>
      </c>
      <c r="Q108" s="20" t="n">
        <f aca="false">P108*B3Ret/12</f>
        <v>241145.149761579</v>
      </c>
      <c r="R108" s="20" t="n">
        <f aca="false">-N108</f>
        <v>-0</v>
      </c>
      <c r="S108" s="20" t="n">
        <f aca="false">P108+Q108+R108</f>
        <v>26547888.7601157</v>
      </c>
      <c r="T108" s="20" t="n">
        <f aca="false">J108+O108+S108</f>
        <v>37689985.0215415</v>
      </c>
    </row>
    <row r="109" customFormat="false" ht="15" hidden="false" customHeight="false" outlineLevel="0" collapsed="false">
      <c r="A109" s="19" t="n">
        <v>108</v>
      </c>
      <c r="B109" s="19" t="n">
        <f aca="false">ROUNDUP(A109/12,0)</f>
        <v>9</v>
      </c>
      <c r="C109" s="19" t="n">
        <f aca="false">Age+B109-1</f>
        <v>70</v>
      </c>
      <c r="D109" s="20" t="n">
        <f aca="false">MonthlyExp*(1+Inflation)^(B109-1)</f>
        <v>85909.308991596</v>
      </c>
      <c r="E109" s="20" t="n">
        <f aca="false">J108</f>
        <v>2198819.03542552</v>
      </c>
      <c r="F109" s="20" t="n">
        <f aca="false">E109*B1Ret/12</f>
        <v>12826.4443733155</v>
      </c>
      <c r="G109" s="20" t="n">
        <f aca="false">D109</f>
        <v>85909.308991596</v>
      </c>
      <c r="H109" s="20" t="n">
        <v>0</v>
      </c>
      <c r="I109" s="20" t="n">
        <f aca="false">H109</f>
        <v>0</v>
      </c>
      <c r="J109" s="20" t="n">
        <f aca="false">E109+F109-G109+I109</f>
        <v>2125736.17080723</v>
      </c>
      <c r="K109" s="20" t="n">
        <f aca="false">O108</f>
        <v>8943277.2260003</v>
      </c>
      <c r="L109" s="20" t="n">
        <f aca="false">K109*B2Ret/12</f>
        <v>67074.5791950023</v>
      </c>
      <c r="M109" s="20" t="n">
        <f aca="false">-I109</f>
        <v>-0</v>
      </c>
      <c r="N109" s="20" t="n">
        <v>0</v>
      </c>
      <c r="O109" s="20" t="n">
        <f aca="false">K109+L109+M109+N109</f>
        <v>9010351.8051953</v>
      </c>
      <c r="P109" s="20" t="n">
        <f aca="false">S108</f>
        <v>26547888.7601157</v>
      </c>
      <c r="Q109" s="20" t="n">
        <f aca="false">P109*B3Ret/12</f>
        <v>243355.646967727</v>
      </c>
      <c r="R109" s="20" t="n">
        <f aca="false">-N109</f>
        <v>-0</v>
      </c>
      <c r="S109" s="20" t="n">
        <f aca="false">P109+Q109+R109</f>
        <v>26791244.4070834</v>
      </c>
      <c r="T109" s="20" t="n">
        <f aca="false">J109+O109+S109</f>
        <v>37927332.3830859</v>
      </c>
    </row>
    <row r="110" customFormat="false" ht="15" hidden="false" customHeight="false" outlineLevel="0" collapsed="false">
      <c r="A110" s="19" t="n">
        <v>109</v>
      </c>
      <c r="B110" s="19" t="n">
        <f aca="false">ROUNDUP(A110/12,0)</f>
        <v>10</v>
      </c>
      <c r="C110" s="19" t="n">
        <f aca="false">Age+B110-1</f>
        <v>71</v>
      </c>
      <c r="D110" s="20" t="n">
        <f aca="false">MonthlyExp*(1+Inflation)^(B110-1)</f>
        <v>91922.9606210078</v>
      </c>
      <c r="E110" s="20" t="n">
        <f aca="false">J109</f>
        <v>2125736.17080723</v>
      </c>
      <c r="F110" s="20" t="n">
        <f aca="false">E110*B1Ret/12</f>
        <v>12400.1276630422</v>
      </c>
      <c r="G110" s="20" t="n">
        <f aca="false">D110</f>
        <v>91922.9606210078</v>
      </c>
      <c r="H110" s="20" t="n">
        <v>0</v>
      </c>
      <c r="I110" s="20" t="n">
        <f aca="false">H110</f>
        <v>0</v>
      </c>
      <c r="J110" s="20" t="n">
        <f aca="false">E110+F110-G110+I110</f>
        <v>2046213.33784927</v>
      </c>
      <c r="K110" s="20" t="n">
        <f aca="false">O109</f>
        <v>9010351.8051953</v>
      </c>
      <c r="L110" s="20" t="n">
        <f aca="false">K110*B2Ret/12</f>
        <v>67577.6385389648</v>
      </c>
      <c r="M110" s="20" t="n">
        <f aca="false">-I110</f>
        <v>-0</v>
      </c>
      <c r="N110" s="20" t="n">
        <v>0</v>
      </c>
      <c r="O110" s="20" t="n">
        <f aca="false">K110+L110+M110+N110</f>
        <v>9077929.44373427</v>
      </c>
      <c r="P110" s="20" t="n">
        <f aca="false">S109</f>
        <v>26791244.4070834</v>
      </c>
      <c r="Q110" s="20" t="n">
        <f aca="false">P110*B3Ret/12</f>
        <v>245586.407064931</v>
      </c>
      <c r="R110" s="20" t="n">
        <f aca="false">-N110</f>
        <v>-0</v>
      </c>
      <c r="S110" s="20" t="n">
        <f aca="false">P110+Q110+R110</f>
        <v>27036830.8141483</v>
      </c>
      <c r="T110" s="20" t="n">
        <f aca="false">J110+O110+S110</f>
        <v>38160973.5957319</v>
      </c>
    </row>
    <row r="111" customFormat="false" ht="15" hidden="false" customHeight="false" outlineLevel="0" collapsed="false">
      <c r="A111" s="19" t="n">
        <v>110</v>
      </c>
      <c r="B111" s="19" t="n">
        <f aca="false">ROUNDUP(A111/12,0)</f>
        <v>10</v>
      </c>
      <c r="C111" s="19" t="n">
        <f aca="false">Age+B111-1</f>
        <v>71</v>
      </c>
      <c r="D111" s="20" t="n">
        <f aca="false">MonthlyExp*(1+Inflation)^(B111-1)</f>
        <v>91922.9606210078</v>
      </c>
      <c r="E111" s="20" t="n">
        <f aca="false">J110</f>
        <v>2046213.33784927</v>
      </c>
      <c r="F111" s="20" t="n">
        <f aca="false">E111*B1Ret/12</f>
        <v>11936.2444707874</v>
      </c>
      <c r="G111" s="20" t="n">
        <f aca="false">D111</f>
        <v>91922.9606210078</v>
      </c>
      <c r="H111" s="20" t="n">
        <v>0</v>
      </c>
      <c r="I111" s="20" t="n">
        <f aca="false">H111</f>
        <v>0</v>
      </c>
      <c r="J111" s="20" t="n">
        <f aca="false">E111+F111-G111+I111</f>
        <v>1966226.62169905</v>
      </c>
      <c r="K111" s="20" t="n">
        <f aca="false">O110</f>
        <v>9077929.44373427</v>
      </c>
      <c r="L111" s="20" t="n">
        <f aca="false">K111*B2Ret/12</f>
        <v>68084.470828007</v>
      </c>
      <c r="M111" s="20" t="n">
        <f aca="false">-I111</f>
        <v>-0</v>
      </c>
      <c r="N111" s="20" t="n">
        <v>0</v>
      </c>
      <c r="O111" s="20" t="n">
        <f aca="false">K111+L111+M111+N111</f>
        <v>9146013.91456228</v>
      </c>
      <c r="P111" s="20" t="n">
        <f aca="false">S110</f>
        <v>27036830.8141483</v>
      </c>
      <c r="Q111" s="20" t="n">
        <f aca="false">P111*B3Ret/12</f>
        <v>247837.61579636</v>
      </c>
      <c r="R111" s="20" t="n">
        <f aca="false">-N111</f>
        <v>-0</v>
      </c>
      <c r="S111" s="20" t="n">
        <f aca="false">P111+Q111+R111</f>
        <v>27284668.4299447</v>
      </c>
      <c r="T111" s="20" t="n">
        <f aca="false">J111+O111+S111</f>
        <v>38396908.966206</v>
      </c>
    </row>
    <row r="112" customFormat="false" ht="15" hidden="false" customHeight="false" outlineLevel="0" collapsed="false">
      <c r="A112" s="19" t="n">
        <v>111</v>
      </c>
      <c r="B112" s="19" t="n">
        <f aca="false">ROUNDUP(A112/12,0)</f>
        <v>10</v>
      </c>
      <c r="C112" s="19" t="n">
        <f aca="false">Age+B112-1</f>
        <v>71</v>
      </c>
      <c r="D112" s="20" t="n">
        <f aca="false">MonthlyExp*(1+Inflation)^(B112-1)</f>
        <v>91922.9606210078</v>
      </c>
      <c r="E112" s="20" t="n">
        <f aca="false">J111</f>
        <v>1966226.62169905</v>
      </c>
      <c r="F112" s="20" t="n">
        <f aca="false">E112*B1Ret/12</f>
        <v>11469.6552932445</v>
      </c>
      <c r="G112" s="20" t="n">
        <f aca="false">D112</f>
        <v>91922.9606210078</v>
      </c>
      <c r="H112" s="20" t="n">
        <v>0</v>
      </c>
      <c r="I112" s="20" t="n">
        <f aca="false">H112</f>
        <v>0</v>
      </c>
      <c r="J112" s="20" t="n">
        <f aca="false">E112+F112-G112+I112</f>
        <v>1885773.31637129</v>
      </c>
      <c r="K112" s="20" t="n">
        <f aca="false">O111</f>
        <v>9146013.91456228</v>
      </c>
      <c r="L112" s="20" t="n">
        <f aca="false">K112*B2Ret/12</f>
        <v>68595.1043592171</v>
      </c>
      <c r="M112" s="20" t="n">
        <f aca="false">-I112</f>
        <v>-0</v>
      </c>
      <c r="N112" s="20" t="n">
        <v>0</v>
      </c>
      <c r="O112" s="20" t="n">
        <f aca="false">K112+L112+M112+N112</f>
        <v>9214609.01892149</v>
      </c>
      <c r="P112" s="20" t="n">
        <f aca="false">S111</f>
        <v>27284668.4299447</v>
      </c>
      <c r="Q112" s="20" t="n">
        <f aca="false">P112*B3Ret/12</f>
        <v>250109.460607826</v>
      </c>
      <c r="R112" s="20" t="n">
        <f aca="false">-N112</f>
        <v>-0</v>
      </c>
      <c r="S112" s="20" t="n">
        <f aca="false">P112+Q112+R112</f>
        <v>27534777.8905525</v>
      </c>
      <c r="T112" s="20" t="n">
        <f aca="false">J112+O112+S112</f>
        <v>38635160.2258453</v>
      </c>
    </row>
    <row r="113" customFormat="false" ht="15" hidden="false" customHeight="false" outlineLevel="0" collapsed="false">
      <c r="A113" s="19" t="n">
        <v>112</v>
      </c>
      <c r="B113" s="19" t="n">
        <f aca="false">ROUNDUP(A113/12,0)</f>
        <v>10</v>
      </c>
      <c r="C113" s="19" t="n">
        <f aca="false">Age+B113-1</f>
        <v>71</v>
      </c>
      <c r="D113" s="20" t="n">
        <f aca="false">MonthlyExp*(1+Inflation)^(B113-1)</f>
        <v>91922.9606210078</v>
      </c>
      <c r="E113" s="20" t="n">
        <f aca="false">J112</f>
        <v>1885773.31637129</v>
      </c>
      <c r="F113" s="20" t="n">
        <f aca="false">E113*B1Ret/12</f>
        <v>11000.3443454992</v>
      </c>
      <c r="G113" s="20" t="n">
        <f aca="false">D113</f>
        <v>91922.9606210078</v>
      </c>
      <c r="H113" s="20" t="n">
        <v>0</v>
      </c>
      <c r="I113" s="20" t="n">
        <f aca="false">H113</f>
        <v>0</v>
      </c>
      <c r="J113" s="20" t="n">
        <f aca="false">E113+F113-G113+I113</f>
        <v>1804850.70009578</v>
      </c>
      <c r="K113" s="20" t="n">
        <f aca="false">O112</f>
        <v>9214609.01892149</v>
      </c>
      <c r="L113" s="20" t="n">
        <f aca="false">K113*B2Ret/12</f>
        <v>69109.5676419112</v>
      </c>
      <c r="M113" s="20" t="n">
        <f aca="false">-I113</f>
        <v>-0</v>
      </c>
      <c r="N113" s="20" t="n">
        <v>0</v>
      </c>
      <c r="O113" s="20" t="n">
        <f aca="false">K113+L113+M113+N113</f>
        <v>9283718.58656341</v>
      </c>
      <c r="P113" s="20" t="n">
        <f aca="false">S112</f>
        <v>27534777.8905525</v>
      </c>
      <c r="Q113" s="20" t="n">
        <f aca="false">P113*B3Ret/12</f>
        <v>252402.130663398</v>
      </c>
      <c r="R113" s="20" t="n">
        <f aca="false">-N113</f>
        <v>-0</v>
      </c>
      <c r="S113" s="20" t="n">
        <f aca="false">P113+Q113+R113</f>
        <v>27787180.0212159</v>
      </c>
      <c r="T113" s="20" t="n">
        <f aca="false">J113+O113+S113</f>
        <v>38875749.3078751</v>
      </c>
    </row>
    <row r="114" customFormat="false" ht="15" hidden="false" customHeight="false" outlineLevel="0" collapsed="false">
      <c r="A114" s="19" t="n">
        <v>113</v>
      </c>
      <c r="B114" s="19" t="n">
        <f aca="false">ROUNDUP(A114/12,0)</f>
        <v>10</v>
      </c>
      <c r="C114" s="19" t="n">
        <f aca="false">Age+B114-1</f>
        <v>71</v>
      </c>
      <c r="D114" s="20" t="n">
        <f aca="false">MonthlyExp*(1+Inflation)^(B114-1)</f>
        <v>91922.9606210078</v>
      </c>
      <c r="E114" s="20" t="n">
        <f aca="false">J113</f>
        <v>1804850.70009578</v>
      </c>
      <c r="F114" s="20" t="n">
        <f aca="false">E114*B1Ret/12</f>
        <v>10528.2957505587</v>
      </c>
      <c r="G114" s="20" t="n">
        <f aca="false">D114</f>
        <v>91922.9606210078</v>
      </c>
      <c r="H114" s="20" t="n">
        <v>0</v>
      </c>
      <c r="I114" s="20" t="n">
        <f aca="false">H114</f>
        <v>0</v>
      </c>
      <c r="J114" s="20" t="n">
        <f aca="false">E114+F114-G114+I114</f>
        <v>1723456.03522533</v>
      </c>
      <c r="K114" s="20" t="n">
        <f aca="false">O113</f>
        <v>9283718.58656341</v>
      </c>
      <c r="L114" s="20" t="n">
        <f aca="false">K114*B2Ret/12</f>
        <v>69627.8893992255</v>
      </c>
      <c r="M114" s="20" t="n">
        <f aca="false">-I114</f>
        <v>-0</v>
      </c>
      <c r="N114" s="20" t="n">
        <v>0</v>
      </c>
      <c r="O114" s="20" t="n">
        <f aca="false">K114+L114+M114+N114</f>
        <v>9353346.47596263</v>
      </c>
      <c r="P114" s="20" t="n">
        <f aca="false">S113</f>
        <v>27787180.0212159</v>
      </c>
      <c r="Q114" s="20" t="n">
        <f aca="false">P114*B3Ret/12</f>
        <v>254715.816861146</v>
      </c>
      <c r="R114" s="20" t="n">
        <f aca="false">-N114</f>
        <v>-0</v>
      </c>
      <c r="S114" s="20" t="n">
        <f aca="false">P114+Q114+R114</f>
        <v>28041895.8380771</v>
      </c>
      <c r="T114" s="20" t="n">
        <f aca="false">J114+O114+S114</f>
        <v>39118698.349265</v>
      </c>
    </row>
    <row r="115" customFormat="false" ht="15" hidden="false" customHeight="false" outlineLevel="0" collapsed="false">
      <c r="A115" s="19" t="n">
        <v>114</v>
      </c>
      <c r="B115" s="19" t="n">
        <f aca="false">ROUNDUP(A115/12,0)</f>
        <v>10</v>
      </c>
      <c r="C115" s="19" t="n">
        <f aca="false">Age+B115-1</f>
        <v>71</v>
      </c>
      <c r="D115" s="20" t="n">
        <f aca="false">MonthlyExp*(1+Inflation)^(B115-1)</f>
        <v>91922.9606210078</v>
      </c>
      <c r="E115" s="20" t="n">
        <f aca="false">J114</f>
        <v>1723456.03522533</v>
      </c>
      <c r="F115" s="20" t="n">
        <f aca="false">E115*B1Ret/12</f>
        <v>10053.4935388144</v>
      </c>
      <c r="G115" s="20" t="n">
        <f aca="false">D115</f>
        <v>91922.9606210078</v>
      </c>
      <c r="H115" s="20" t="n">
        <v>0</v>
      </c>
      <c r="I115" s="20" t="n">
        <f aca="false">H115</f>
        <v>0</v>
      </c>
      <c r="J115" s="20" t="n">
        <f aca="false">E115+F115-G115+I115</f>
        <v>1641586.56814313</v>
      </c>
      <c r="K115" s="20" t="n">
        <f aca="false">O114</f>
        <v>9353346.47596263</v>
      </c>
      <c r="L115" s="20" t="n">
        <f aca="false">K115*B2Ret/12</f>
        <v>70150.0985697197</v>
      </c>
      <c r="M115" s="20" t="n">
        <f aca="false">-I115</f>
        <v>-0</v>
      </c>
      <c r="N115" s="20" t="n">
        <v>0</v>
      </c>
      <c r="O115" s="20" t="n">
        <f aca="false">K115+L115+M115+N115</f>
        <v>9423496.57453235</v>
      </c>
      <c r="P115" s="20" t="n">
        <f aca="false">S114</f>
        <v>28041895.8380771</v>
      </c>
      <c r="Q115" s="20" t="n">
        <f aca="false">P115*B3Ret/12</f>
        <v>257050.71184904</v>
      </c>
      <c r="R115" s="20" t="n">
        <f aca="false">-N115</f>
        <v>-0</v>
      </c>
      <c r="S115" s="20" t="n">
        <f aca="false">P115+Q115+R115</f>
        <v>28298946.5499261</v>
      </c>
      <c r="T115" s="20" t="n">
        <f aca="false">J115+O115+S115</f>
        <v>39364029.6926016</v>
      </c>
    </row>
    <row r="116" customFormat="false" ht="15" hidden="false" customHeight="false" outlineLevel="0" collapsed="false">
      <c r="A116" s="19" t="n">
        <v>115</v>
      </c>
      <c r="B116" s="19" t="n">
        <f aca="false">ROUNDUP(A116/12,0)</f>
        <v>10</v>
      </c>
      <c r="C116" s="19" t="n">
        <f aca="false">Age+B116-1</f>
        <v>71</v>
      </c>
      <c r="D116" s="20" t="n">
        <f aca="false">MonthlyExp*(1+Inflation)^(B116-1)</f>
        <v>91922.9606210078</v>
      </c>
      <c r="E116" s="20" t="n">
        <f aca="false">J115</f>
        <v>1641586.56814313</v>
      </c>
      <c r="F116" s="20" t="n">
        <f aca="false">E116*B1Ret/12</f>
        <v>9575.92164750162</v>
      </c>
      <c r="G116" s="20" t="n">
        <f aca="false">D116</f>
        <v>91922.9606210078</v>
      </c>
      <c r="H116" s="20" t="n">
        <v>0</v>
      </c>
      <c r="I116" s="20" t="n">
        <f aca="false">H116</f>
        <v>0</v>
      </c>
      <c r="J116" s="20" t="n">
        <f aca="false">E116+F116-G116+I116</f>
        <v>1559239.52916963</v>
      </c>
      <c r="K116" s="20" t="n">
        <f aca="false">O115</f>
        <v>9423496.57453235</v>
      </c>
      <c r="L116" s="20" t="n">
        <f aca="false">K116*B2Ret/12</f>
        <v>70676.2243089926</v>
      </c>
      <c r="M116" s="20" t="n">
        <f aca="false">-I116</f>
        <v>-0</v>
      </c>
      <c r="N116" s="20" t="n">
        <v>0</v>
      </c>
      <c r="O116" s="20" t="n">
        <f aca="false">K116+L116+M116+N116</f>
        <v>9494172.79884134</v>
      </c>
      <c r="P116" s="20" t="n">
        <f aca="false">S115</f>
        <v>28298946.5499261</v>
      </c>
      <c r="Q116" s="20" t="n">
        <f aca="false">P116*B3Ret/12</f>
        <v>259407.010040989</v>
      </c>
      <c r="R116" s="20" t="n">
        <f aca="false">-N116</f>
        <v>-0</v>
      </c>
      <c r="S116" s="20" t="n">
        <f aca="false">P116+Q116+R116</f>
        <v>28558353.5599671</v>
      </c>
      <c r="T116" s="20" t="n">
        <f aca="false">J116+O116+S116</f>
        <v>39611765.8879781</v>
      </c>
    </row>
    <row r="117" customFormat="false" ht="15" hidden="false" customHeight="false" outlineLevel="0" collapsed="false">
      <c r="A117" s="19" t="n">
        <v>116</v>
      </c>
      <c r="B117" s="19" t="n">
        <f aca="false">ROUNDUP(A117/12,0)</f>
        <v>10</v>
      </c>
      <c r="C117" s="19" t="n">
        <f aca="false">Age+B117-1</f>
        <v>71</v>
      </c>
      <c r="D117" s="20" t="n">
        <f aca="false">MonthlyExp*(1+Inflation)^(B117-1)</f>
        <v>91922.9606210078</v>
      </c>
      <c r="E117" s="20" t="n">
        <f aca="false">J116</f>
        <v>1559239.52916963</v>
      </c>
      <c r="F117" s="20" t="n">
        <f aca="false">E117*B1Ret/12</f>
        <v>9095.56392015617</v>
      </c>
      <c r="G117" s="20" t="n">
        <f aca="false">D117</f>
        <v>91922.9606210078</v>
      </c>
      <c r="H117" s="20" t="n">
        <v>0</v>
      </c>
      <c r="I117" s="20" t="n">
        <f aca="false">H117</f>
        <v>0</v>
      </c>
      <c r="J117" s="20" t="n">
        <f aca="false">E117+F117-G117+I117</f>
        <v>1476412.13246878</v>
      </c>
      <c r="K117" s="20" t="n">
        <f aca="false">O116</f>
        <v>9494172.79884134</v>
      </c>
      <c r="L117" s="20" t="n">
        <f aca="false">K117*B2Ret/12</f>
        <v>71206.2959913101</v>
      </c>
      <c r="M117" s="20" t="n">
        <f aca="false">-I117</f>
        <v>-0</v>
      </c>
      <c r="N117" s="20" t="n">
        <v>0</v>
      </c>
      <c r="O117" s="20" t="n">
        <f aca="false">K117+L117+M117+N117</f>
        <v>9565379.09483265</v>
      </c>
      <c r="P117" s="20" t="n">
        <f aca="false">S116</f>
        <v>28558353.5599671</v>
      </c>
      <c r="Q117" s="20" t="n">
        <f aca="false">P117*B3Ret/12</f>
        <v>261784.907633032</v>
      </c>
      <c r="R117" s="20" t="n">
        <f aca="false">-N117</f>
        <v>-0</v>
      </c>
      <c r="S117" s="20" t="n">
        <f aca="false">P117+Q117+R117</f>
        <v>28820138.4676001</v>
      </c>
      <c r="T117" s="20" t="n">
        <f aca="false">J117+O117+S117</f>
        <v>39861929.6949016</v>
      </c>
    </row>
    <row r="118" customFormat="false" ht="15" hidden="false" customHeight="false" outlineLevel="0" collapsed="false">
      <c r="A118" s="19" t="n">
        <v>117</v>
      </c>
      <c r="B118" s="19" t="n">
        <f aca="false">ROUNDUP(A118/12,0)</f>
        <v>10</v>
      </c>
      <c r="C118" s="19" t="n">
        <f aca="false">Age+B118-1</f>
        <v>71</v>
      </c>
      <c r="D118" s="20" t="n">
        <f aca="false">MonthlyExp*(1+Inflation)^(B118-1)</f>
        <v>91922.9606210078</v>
      </c>
      <c r="E118" s="20" t="n">
        <f aca="false">J117</f>
        <v>1476412.13246878</v>
      </c>
      <c r="F118" s="20" t="n">
        <f aca="false">E118*B1Ret/12</f>
        <v>8612.40410606787</v>
      </c>
      <c r="G118" s="20" t="n">
        <f aca="false">D118</f>
        <v>91922.9606210078</v>
      </c>
      <c r="H118" s="20" t="n">
        <v>0</v>
      </c>
      <c r="I118" s="20" t="n">
        <f aca="false">H118</f>
        <v>0</v>
      </c>
      <c r="J118" s="20" t="n">
        <f aca="false">E118+F118-G118+I118</f>
        <v>1393101.57595384</v>
      </c>
      <c r="K118" s="20" t="n">
        <f aca="false">O117</f>
        <v>9565379.09483265</v>
      </c>
      <c r="L118" s="20" t="n">
        <f aca="false">K118*B2Ret/12</f>
        <v>71740.3432112449</v>
      </c>
      <c r="M118" s="20" t="n">
        <f aca="false">-I118</f>
        <v>-0</v>
      </c>
      <c r="N118" s="20" t="n">
        <v>0</v>
      </c>
      <c r="O118" s="20" t="n">
        <f aca="false">K118+L118+M118+N118</f>
        <v>9637119.4380439</v>
      </c>
      <c r="P118" s="20" t="n">
        <f aca="false">S117</f>
        <v>28820138.4676001</v>
      </c>
      <c r="Q118" s="20" t="n">
        <f aca="false">P118*B3Ret/12</f>
        <v>264184.602619668</v>
      </c>
      <c r="R118" s="20" t="n">
        <f aca="false">-N118</f>
        <v>-0</v>
      </c>
      <c r="S118" s="20" t="n">
        <f aca="false">P118+Q118+R118</f>
        <v>29084323.0702198</v>
      </c>
      <c r="T118" s="20" t="n">
        <f aca="false">J118+O118+S118</f>
        <v>40114544.0842175</v>
      </c>
    </row>
    <row r="119" customFormat="false" ht="15" hidden="false" customHeight="false" outlineLevel="0" collapsed="false">
      <c r="A119" s="19" t="n">
        <v>118</v>
      </c>
      <c r="B119" s="19" t="n">
        <f aca="false">ROUNDUP(A119/12,0)</f>
        <v>10</v>
      </c>
      <c r="C119" s="19" t="n">
        <f aca="false">Age+B119-1</f>
        <v>71</v>
      </c>
      <c r="D119" s="20" t="n">
        <f aca="false">MonthlyExp*(1+Inflation)^(B119-1)</f>
        <v>91922.9606210078</v>
      </c>
      <c r="E119" s="20" t="n">
        <f aca="false">J118</f>
        <v>1393101.57595384</v>
      </c>
      <c r="F119" s="20" t="n">
        <f aca="false">E119*B1Ret/12</f>
        <v>8126.42585973072</v>
      </c>
      <c r="G119" s="20" t="n">
        <f aca="false">D119</f>
        <v>91922.9606210078</v>
      </c>
      <c r="H119" s="20" t="n">
        <v>0</v>
      </c>
      <c r="I119" s="20" t="n">
        <f aca="false">H119</f>
        <v>0</v>
      </c>
      <c r="J119" s="20" t="n">
        <f aca="false">E119+F119-G119+I119</f>
        <v>1309305.04119256</v>
      </c>
      <c r="K119" s="20" t="n">
        <f aca="false">O118</f>
        <v>9637119.4380439</v>
      </c>
      <c r="L119" s="20" t="n">
        <f aca="false">K119*B2Ret/12</f>
        <v>72278.3957853292</v>
      </c>
      <c r="M119" s="20" t="n">
        <f aca="false">-I119</f>
        <v>-0</v>
      </c>
      <c r="N119" s="20" t="n">
        <v>0</v>
      </c>
      <c r="O119" s="20" t="n">
        <f aca="false">K119+L119+M119+N119</f>
        <v>9709397.83382923</v>
      </c>
      <c r="P119" s="20" t="n">
        <f aca="false">S118</f>
        <v>29084323.0702198</v>
      </c>
      <c r="Q119" s="20" t="n">
        <f aca="false">P119*B3Ret/12</f>
        <v>266606.294810348</v>
      </c>
      <c r="R119" s="20" t="n">
        <f aca="false">-N119</f>
        <v>-0</v>
      </c>
      <c r="S119" s="20" t="n">
        <f aca="false">P119+Q119+R119</f>
        <v>29350929.3650301</v>
      </c>
      <c r="T119" s="20" t="n">
        <f aca="false">J119+O119+S119</f>
        <v>40369632.2400519</v>
      </c>
    </row>
    <row r="120" customFormat="false" ht="15" hidden="false" customHeight="false" outlineLevel="0" collapsed="false">
      <c r="A120" s="19" t="n">
        <v>119</v>
      </c>
      <c r="B120" s="19" t="n">
        <f aca="false">ROUNDUP(A120/12,0)</f>
        <v>10</v>
      </c>
      <c r="C120" s="19" t="n">
        <f aca="false">Age+B120-1</f>
        <v>71</v>
      </c>
      <c r="D120" s="20" t="n">
        <f aca="false">MonthlyExp*(1+Inflation)^(B120-1)</f>
        <v>91922.9606210078</v>
      </c>
      <c r="E120" s="20" t="n">
        <f aca="false">J119</f>
        <v>1309305.04119256</v>
      </c>
      <c r="F120" s="20" t="n">
        <f aca="false">E120*B1Ret/12</f>
        <v>7637.61274028993</v>
      </c>
      <c r="G120" s="20" t="n">
        <f aca="false">D120</f>
        <v>91922.9606210078</v>
      </c>
      <c r="H120" s="20" t="n">
        <v>0</v>
      </c>
      <c r="I120" s="20" t="n">
        <f aca="false">H120</f>
        <v>0</v>
      </c>
      <c r="J120" s="20" t="n">
        <f aca="false">E120+F120-G120+I120</f>
        <v>1225019.69331184</v>
      </c>
      <c r="K120" s="20" t="n">
        <f aca="false">O119</f>
        <v>9709397.83382923</v>
      </c>
      <c r="L120" s="20" t="n">
        <f aca="false">K120*B2Ret/12</f>
        <v>72820.4837537192</v>
      </c>
      <c r="M120" s="20" t="n">
        <f aca="false">-I120</f>
        <v>-0</v>
      </c>
      <c r="N120" s="20" t="n">
        <v>0</v>
      </c>
      <c r="O120" s="20" t="n">
        <f aca="false">K120+L120+M120+N120</f>
        <v>9782218.31758294</v>
      </c>
      <c r="P120" s="20" t="n">
        <f aca="false">S119</f>
        <v>29350929.3650301</v>
      </c>
      <c r="Q120" s="20" t="n">
        <f aca="false">P120*B3Ret/12</f>
        <v>269050.18584611</v>
      </c>
      <c r="R120" s="20" t="n">
        <f aca="false">-N120</f>
        <v>-0</v>
      </c>
      <c r="S120" s="20" t="n">
        <f aca="false">P120+Q120+R120</f>
        <v>29619979.5508762</v>
      </c>
      <c r="T120" s="20" t="n">
        <f aca="false">J120+O120+S120</f>
        <v>40627217.561771</v>
      </c>
    </row>
    <row r="121" customFormat="false" ht="15" hidden="false" customHeight="false" outlineLevel="0" collapsed="false">
      <c r="A121" s="19" t="n">
        <v>120</v>
      </c>
      <c r="B121" s="19" t="n">
        <f aca="false">ROUNDUP(A121/12,0)</f>
        <v>10</v>
      </c>
      <c r="C121" s="19" t="n">
        <f aca="false">Age+B121-1</f>
        <v>71</v>
      </c>
      <c r="D121" s="20" t="n">
        <f aca="false">MonthlyExp*(1+Inflation)^(B121-1)</f>
        <v>91922.9606210078</v>
      </c>
      <c r="E121" s="20" t="n">
        <f aca="false">J120</f>
        <v>1225019.69331184</v>
      </c>
      <c r="F121" s="20" t="n">
        <f aca="false">E121*B1Ret/12</f>
        <v>7145.94821098575</v>
      </c>
      <c r="G121" s="20" t="n">
        <f aca="false">D121</f>
        <v>91922.9606210078</v>
      </c>
      <c r="H121" s="20" t="n">
        <f aca="false">MAX(SUM(D122:D181)-(E121+F121-G121),0)</f>
        <v>5647301.74846192</v>
      </c>
      <c r="I121" s="20" t="n">
        <f aca="false">H121</f>
        <v>5647301.74846192</v>
      </c>
      <c r="J121" s="20" t="n">
        <f aca="false">E121+F121-G121+I121</f>
        <v>6787544.42936374</v>
      </c>
      <c r="K121" s="20" t="n">
        <f aca="false">O120</f>
        <v>9782218.31758294</v>
      </c>
      <c r="L121" s="20" t="n">
        <f aca="false">K121*B2Ret/12</f>
        <v>73366.6373818721</v>
      </c>
      <c r="M121" s="20" t="n">
        <f aca="false">-I121</f>
        <v>-5647301.74846192</v>
      </c>
      <c r="N121" s="20" t="n">
        <v>0</v>
      </c>
      <c r="O121" s="20" t="n">
        <f aca="false">K121+L121+M121+N121</f>
        <v>4208283.2065029</v>
      </c>
      <c r="P121" s="20" t="n">
        <f aca="false">S120</f>
        <v>29619979.5508762</v>
      </c>
      <c r="Q121" s="20" t="n">
        <f aca="false">P121*B3Ret/12</f>
        <v>271516.479216366</v>
      </c>
      <c r="R121" s="20" t="n">
        <f aca="false">-N121</f>
        <v>-0</v>
      </c>
      <c r="S121" s="20" t="n">
        <f aca="false">P121+Q121+R121</f>
        <v>29891496.0300926</v>
      </c>
      <c r="T121" s="20" t="n">
        <f aca="false">J121+O121+S121</f>
        <v>40887323.6659593</v>
      </c>
    </row>
    <row r="122" customFormat="false" ht="15" hidden="false" customHeight="false" outlineLevel="0" collapsed="false">
      <c r="A122" s="19" t="n">
        <v>121</v>
      </c>
      <c r="B122" s="19" t="n">
        <f aca="false">ROUNDUP(A122/12,0)</f>
        <v>11</v>
      </c>
      <c r="C122" s="19" t="n">
        <f aca="false">Age+B122-1</f>
        <v>72</v>
      </c>
      <c r="D122" s="20" t="n">
        <f aca="false">MonthlyExp*(1+Inflation)^(B122-1)</f>
        <v>98357.5678644783</v>
      </c>
      <c r="E122" s="20" t="n">
        <f aca="false">J121</f>
        <v>6787544.42936374</v>
      </c>
      <c r="F122" s="20" t="n">
        <f aca="false">E122*B1Ret/12</f>
        <v>39594.0091712885</v>
      </c>
      <c r="G122" s="20" t="n">
        <f aca="false">D122</f>
        <v>98357.5678644783</v>
      </c>
      <c r="H122" s="20" t="n">
        <v>0</v>
      </c>
      <c r="I122" s="20" t="n">
        <f aca="false">H122</f>
        <v>0</v>
      </c>
      <c r="J122" s="20" t="n">
        <f aca="false">E122+F122-G122+I122</f>
        <v>6728780.87067055</v>
      </c>
      <c r="K122" s="20" t="n">
        <f aca="false">O121</f>
        <v>4208283.2065029</v>
      </c>
      <c r="L122" s="20" t="n">
        <f aca="false">K122*B2Ret/12</f>
        <v>31562.1240487718</v>
      </c>
      <c r="M122" s="20" t="n">
        <f aca="false">-I122</f>
        <v>-0</v>
      </c>
      <c r="N122" s="20" t="n">
        <v>0</v>
      </c>
      <c r="O122" s="20" t="n">
        <f aca="false">K122+L122+M122+N122</f>
        <v>4239845.33055167</v>
      </c>
      <c r="P122" s="20" t="n">
        <f aca="false">S121</f>
        <v>29891496.0300926</v>
      </c>
      <c r="Q122" s="20" t="n">
        <f aca="false">P122*B3Ret/12</f>
        <v>274005.380275849</v>
      </c>
      <c r="R122" s="20" t="n">
        <f aca="false">-N122</f>
        <v>-0</v>
      </c>
      <c r="S122" s="20" t="n">
        <f aca="false">P122+Q122+R122</f>
        <v>30165501.4103685</v>
      </c>
      <c r="T122" s="20" t="n">
        <f aca="false">J122+O122+S122</f>
        <v>41134127.6115907</v>
      </c>
    </row>
    <row r="123" customFormat="false" ht="15" hidden="false" customHeight="false" outlineLevel="0" collapsed="false">
      <c r="A123" s="19" t="n">
        <v>122</v>
      </c>
      <c r="B123" s="19" t="n">
        <f aca="false">ROUNDUP(A123/12,0)</f>
        <v>11</v>
      </c>
      <c r="C123" s="19" t="n">
        <f aca="false">Age+B123-1</f>
        <v>72</v>
      </c>
      <c r="D123" s="20" t="n">
        <f aca="false">MonthlyExp*(1+Inflation)^(B123-1)</f>
        <v>98357.5678644783</v>
      </c>
      <c r="E123" s="20" t="n">
        <f aca="false">J122</f>
        <v>6728780.87067055</v>
      </c>
      <c r="F123" s="20" t="n">
        <f aca="false">E123*B1Ret/12</f>
        <v>39251.2217455782</v>
      </c>
      <c r="G123" s="20" t="n">
        <f aca="false">D123</f>
        <v>98357.5678644783</v>
      </c>
      <c r="H123" s="20" t="n">
        <v>0</v>
      </c>
      <c r="I123" s="20" t="n">
        <f aca="false">H123</f>
        <v>0</v>
      </c>
      <c r="J123" s="20" t="n">
        <f aca="false">E123+F123-G123+I123</f>
        <v>6669674.52455165</v>
      </c>
      <c r="K123" s="20" t="n">
        <f aca="false">O122</f>
        <v>4239845.33055167</v>
      </c>
      <c r="L123" s="20" t="n">
        <f aca="false">K123*B2Ret/12</f>
        <v>31798.8399791375</v>
      </c>
      <c r="M123" s="20" t="n">
        <f aca="false">-I123</f>
        <v>-0</v>
      </c>
      <c r="N123" s="20" t="n">
        <v>0</v>
      </c>
      <c r="O123" s="20" t="n">
        <f aca="false">K123+L123+M123+N123</f>
        <v>4271644.17053081</v>
      </c>
      <c r="P123" s="20" t="n">
        <f aca="false">S122</f>
        <v>30165501.4103685</v>
      </c>
      <c r="Q123" s="20" t="n">
        <f aca="false">P123*B3Ret/12</f>
        <v>276517.096261711</v>
      </c>
      <c r="R123" s="20" t="n">
        <f aca="false">-N123</f>
        <v>-0</v>
      </c>
      <c r="S123" s="20" t="n">
        <f aca="false">P123+Q123+R123</f>
        <v>30442018.5066302</v>
      </c>
      <c r="T123" s="20" t="n">
        <f aca="false">J123+O123+S123</f>
        <v>41383337.2017126</v>
      </c>
    </row>
    <row r="124" customFormat="false" ht="15" hidden="false" customHeight="false" outlineLevel="0" collapsed="false">
      <c r="A124" s="19" t="n">
        <v>123</v>
      </c>
      <c r="B124" s="19" t="n">
        <f aca="false">ROUNDUP(A124/12,0)</f>
        <v>11</v>
      </c>
      <c r="C124" s="19" t="n">
        <f aca="false">Age+B124-1</f>
        <v>72</v>
      </c>
      <c r="D124" s="20" t="n">
        <f aca="false">MonthlyExp*(1+Inflation)^(B124-1)</f>
        <v>98357.5678644783</v>
      </c>
      <c r="E124" s="20" t="n">
        <f aca="false">J123</f>
        <v>6669674.52455165</v>
      </c>
      <c r="F124" s="20" t="n">
        <f aca="false">E124*B1Ret/12</f>
        <v>38906.4347265513</v>
      </c>
      <c r="G124" s="20" t="n">
        <f aca="false">D124</f>
        <v>98357.5678644783</v>
      </c>
      <c r="H124" s="20" t="n">
        <v>0</v>
      </c>
      <c r="I124" s="20" t="n">
        <f aca="false">H124</f>
        <v>0</v>
      </c>
      <c r="J124" s="20" t="n">
        <f aca="false">E124+F124-G124+I124</f>
        <v>6610223.39141372</v>
      </c>
      <c r="K124" s="20" t="n">
        <f aca="false">O123</f>
        <v>4271644.17053081</v>
      </c>
      <c r="L124" s="20" t="n">
        <f aca="false">K124*B2Ret/12</f>
        <v>32037.3312789811</v>
      </c>
      <c r="M124" s="20" t="n">
        <f aca="false">-I124</f>
        <v>-0</v>
      </c>
      <c r="N124" s="20" t="n">
        <v>0</v>
      </c>
      <c r="O124" s="20" t="n">
        <f aca="false">K124+L124+M124+N124</f>
        <v>4303681.50180979</v>
      </c>
      <c r="P124" s="20" t="n">
        <f aca="false">S123</f>
        <v>30442018.5066302</v>
      </c>
      <c r="Q124" s="20" t="n">
        <f aca="false">P124*B3Ret/12</f>
        <v>279051.836310777</v>
      </c>
      <c r="R124" s="20" t="n">
        <f aca="false">-N124</f>
        <v>-0</v>
      </c>
      <c r="S124" s="20" t="n">
        <f aca="false">P124+Q124+R124</f>
        <v>30721070.342941</v>
      </c>
      <c r="T124" s="20" t="n">
        <f aca="false">J124+O124+S124</f>
        <v>41634975.2361645</v>
      </c>
    </row>
    <row r="125" customFormat="false" ht="15" hidden="false" customHeight="false" outlineLevel="0" collapsed="false">
      <c r="A125" s="19" t="n">
        <v>124</v>
      </c>
      <c r="B125" s="19" t="n">
        <f aca="false">ROUNDUP(A125/12,0)</f>
        <v>11</v>
      </c>
      <c r="C125" s="19" t="n">
        <f aca="false">Age+B125-1</f>
        <v>72</v>
      </c>
      <c r="D125" s="20" t="n">
        <f aca="false">MonthlyExp*(1+Inflation)^(B125-1)</f>
        <v>98357.5678644783</v>
      </c>
      <c r="E125" s="20" t="n">
        <f aca="false">J124</f>
        <v>6610223.39141372</v>
      </c>
      <c r="F125" s="20" t="n">
        <f aca="false">E125*B1Ret/12</f>
        <v>38559.6364499134</v>
      </c>
      <c r="G125" s="20" t="n">
        <f aca="false">D125</f>
        <v>98357.5678644783</v>
      </c>
      <c r="H125" s="20" t="n">
        <v>0</v>
      </c>
      <c r="I125" s="20" t="n">
        <f aca="false">H125</f>
        <v>0</v>
      </c>
      <c r="J125" s="20" t="n">
        <f aca="false">E125+F125-G125+I125</f>
        <v>6550425.45999915</v>
      </c>
      <c r="K125" s="20" t="n">
        <f aca="false">O124</f>
        <v>4303681.50180979</v>
      </c>
      <c r="L125" s="20" t="n">
        <f aca="false">K125*B2Ret/12</f>
        <v>32277.6112635734</v>
      </c>
      <c r="M125" s="20" t="n">
        <f aca="false">-I125</f>
        <v>-0</v>
      </c>
      <c r="N125" s="20" t="n">
        <v>0</v>
      </c>
      <c r="O125" s="20" t="n">
        <f aca="false">K125+L125+M125+N125</f>
        <v>4335959.11307336</v>
      </c>
      <c r="P125" s="20" t="n">
        <f aca="false">S124</f>
        <v>30721070.342941</v>
      </c>
      <c r="Q125" s="20" t="n">
        <f aca="false">P125*B3Ret/12</f>
        <v>281609.811476959</v>
      </c>
      <c r="R125" s="20" t="n">
        <f aca="false">-N125</f>
        <v>-0</v>
      </c>
      <c r="S125" s="20" t="n">
        <f aca="false">P125+Q125+R125</f>
        <v>31002680.1544179</v>
      </c>
      <c r="T125" s="20" t="n">
        <f aca="false">J125+O125+S125</f>
        <v>41889064.7274904</v>
      </c>
    </row>
    <row r="126" customFormat="false" ht="15" hidden="false" customHeight="false" outlineLevel="0" collapsed="false">
      <c r="A126" s="19" t="n">
        <v>125</v>
      </c>
      <c r="B126" s="19" t="n">
        <f aca="false">ROUNDUP(A126/12,0)</f>
        <v>11</v>
      </c>
      <c r="C126" s="19" t="n">
        <f aca="false">Age+B126-1</f>
        <v>72</v>
      </c>
      <c r="D126" s="20" t="n">
        <f aca="false">MonthlyExp*(1+Inflation)^(B126-1)</f>
        <v>98357.5678644783</v>
      </c>
      <c r="E126" s="20" t="n">
        <f aca="false">J125</f>
        <v>6550425.45999915</v>
      </c>
      <c r="F126" s="20" t="n">
        <f aca="false">E126*B1Ret/12</f>
        <v>38210.8151833284</v>
      </c>
      <c r="G126" s="20" t="n">
        <f aca="false">D126</f>
        <v>98357.5678644783</v>
      </c>
      <c r="H126" s="20" t="n">
        <v>0</v>
      </c>
      <c r="I126" s="20" t="n">
        <f aca="false">H126</f>
        <v>0</v>
      </c>
      <c r="J126" s="20" t="n">
        <f aca="false">E126+F126-G126+I126</f>
        <v>6490278.707318</v>
      </c>
      <c r="K126" s="20" t="n">
        <f aca="false">O125</f>
        <v>4335959.11307336</v>
      </c>
      <c r="L126" s="20" t="n">
        <f aca="false">K126*B2Ret/12</f>
        <v>32519.6933480502</v>
      </c>
      <c r="M126" s="20" t="n">
        <f aca="false">-I126</f>
        <v>-0</v>
      </c>
      <c r="N126" s="20" t="n">
        <v>0</v>
      </c>
      <c r="O126" s="20" t="n">
        <f aca="false">K126+L126+M126+N126</f>
        <v>4368478.80642141</v>
      </c>
      <c r="P126" s="20" t="n">
        <f aca="false">S125</f>
        <v>31002680.1544179</v>
      </c>
      <c r="Q126" s="20" t="n">
        <f aca="false">P126*B3Ret/12</f>
        <v>284191.234748831</v>
      </c>
      <c r="R126" s="20" t="n">
        <f aca="false">-N126</f>
        <v>-0</v>
      </c>
      <c r="S126" s="20" t="n">
        <f aca="false">P126+Q126+R126</f>
        <v>31286871.3891667</v>
      </c>
      <c r="T126" s="20" t="n">
        <f aca="false">J126+O126+S126</f>
        <v>42145628.9029062</v>
      </c>
    </row>
    <row r="127" customFormat="false" ht="15" hidden="false" customHeight="false" outlineLevel="0" collapsed="false">
      <c r="A127" s="19" t="n">
        <v>126</v>
      </c>
      <c r="B127" s="19" t="n">
        <f aca="false">ROUNDUP(A127/12,0)</f>
        <v>11</v>
      </c>
      <c r="C127" s="19" t="n">
        <f aca="false">Age+B127-1</f>
        <v>72</v>
      </c>
      <c r="D127" s="20" t="n">
        <f aca="false">MonthlyExp*(1+Inflation)^(B127-1)</f>
        <v>98357.5678644783</v>
      </c>
      <c r="E127" s="20" t="n">
        <f aca="false">J126</f>
        <v>6490278.707318</v>
      </c>
      <c r="F127" s="20" t="n">
        <f aca="false">E127*B1Ret/12</f>
        <v>37859.9591260217</v>
      </c>
      <c r="G127" s="20" t="n">
        <f aca="false">D127</f>
        <v>98357.5678644783</v>
      </c>
      <c r="H127" s="20" t="n">
        <v>0</v>
      </c>
      <c r="I127" s="20" t="n">
        <f aca="false">H127</f>
        <v>0</v>
      </c>
      <c r="J127" s="20" t="n">
        <f aca="false">E127+F127-G127+I127</f>
        <v>6429781.09857955</v>
      </c>
      <c r="K127" s="20" t="n">
        <f aca="false">O126</f>
        <v>4368478.80642141</v>
      </c>
      <c r="L127" s="20" t="n">
        <f aca="false">K127*B2Ret/12</f>
        <v>32763.5910481606</v>
      </c>
      <c r="M127" s="20" t="n">
        <f aca="false">-I127</f>
        <v>-0</v>
      </c>
      <c r="N127" s="20" t="n">
        <v>0</v>
      </c>
      <c r="O127" s="20" t="n">
        <f aca="false">K127+L127+M127+N127</f>
        <v>4401242.39746958</v>
      </c>
      <c r="P127" s="20" t="n">
        <f aca="false">S126</f>
        <v>31286871.3891667</v>
      </c>
      <c r="Q127" s="20" t="n">
        <f aca="false">P127*B3Ret/12</f>
        <v>286796.321067362</v>
      </c>
      <c r="R127" s="20" t="n">
        <f aca="false">-N127</f>
        <v>-0</v>
      </c>
      <c r="S127" s="20" t="n">
        <f aca="false">P127+Q127+R127</f>
        <v>31573667.7102341</v>
      </c>
      <c r="T127" s="20" t="n">
        <f aca="false">J127+O127+S127</f>
        <v>42404691.2062832</v>
      </c>
    </row>
    <row r="128" customFormat="false" ht="15" hidden="false" customHeight="false" outlineLevel="0" collapsed="false">
      <c r="A128" s="19" t="n">
        <v>127</v>
      </c>
      <c r="B128" s="19" t="n">
        <f aca="false">ROUNDUP(A128/12,0)</f>
        <v>11</v>
      </c>
      <c r="C128" s="19" t="n">
        <f aca="false">Age+B128-1</f>
        <v>72</v>
      </c>
      <c r="D128" s="20" t="n">
        <f aca="false">MonthlyExp*(1+Inflation)^(B128-1)</f>
        <v>98357.5678644783</v>
      </c>
      <c r="E128" s="20" t="n">
        <f aca="false">J127</f>
        <v>6429781.09857955</v>
      </c>
      <c r="F128" s="20" t="n">
        <f aca="false">E128*B1Ret/12</f>
        <v>37507.0564083807</v>
      </c>
      <c r="G128" s="20" t="n">
        <f aca="false">D128</f>
        <v>98357.5678644783</v>
      </c>
      <c r="H128" s="20" t="n">
        <v>0</v>
      </c>
      <c r="I128" s="20" t="n">
        <f aca="false">H128</f>
        <v>0</v>
      </c>
      <c r="J128" s="20" t="n">
        <f aca="false">E128+F128-G128+I128</f>
        <v>6368930.58712345</v>
      </c>
      <c r="K128" s="20" t="n">
        <f aca="false">O127</f>
        <v>4401242.39746958</v>
      </c>
      <c r="L128" s="20" t="n">
        <f aca="false">K128*B2Ret/12</f>
        <v>33009.3179810218</v>
      </c>
      <c r="M128" s="20" t="n">
        <f aca="false">-I128</f>
        <v>-0</v>
      </c>
      <c r="N128" s="20" t="n">
        <v>0</v>
      </c>
      <c r="O128" s="20" t="n">
        <f aca="false">K128+L128+M128+N128</f>
        <v>4434251.7154506</v>
      </c>
      <c r="P128" s="20" t="n">
        <f aca="false">S127</f>
        <v>31573667.7102341</v>
      </c>
      <c r="Q128" s="20" t="n">
        <f aca="false">P128*B3Ret/12</f>
        <v>289425.287343813</v>
      </c>
      <c r="R128" s="20" t="n">
        <f aca="false">-N128</f>
        <v>-0</v>
      </c>
      <c r="S128" s="20" t="n">
        <f aca="false">P128+Q128+R128</f>
        <v>31863092.9975779</v>
      </c>
      <c r="T128" s="20" t="n">
        <f aca="false">J128+O128+S128</f>
        <v>42666275.300152</v>
      </c>
    </row>
    <row r="129" customFormat="false" ht="15" hidden="false" customHeight="false" outlineLevel="0" collapsed="false">
      <c r="A129" s="19" t="n">
        <v>128</v>
      </c>
      <c r="B129" s="19" t="n">
        <f aca="false">ROUNDUP(A129/12,0)</f>
        <v>11</v>
      </c>
      <c r="C129" s="19" t="n">
        <f aca="false">Age+B129-1</f>
        <v>72</v>
      </c>
      <c r="D129" s="20" t="n">
        <f aca="false">MonthlyExp*(1+Inflation)^(B129-1)</f>
        <v>98357.5678644783</v>
      </c>
      <c r="E129" s="20" t="n">
        <f aca="false">J128</f>
        <v>6368930.58712345</v>
      </c>
      <c r="F129" s="20" t="n">
        <f aca="false">E129*B1Ret/12</f>
        <v>37152.0950915535</v>
      </c>
      <c r="G129" s="20" t="n">
        <f aca="false">D129</f>
        <v>98357.5678644783</v>
      </c>
      <c r="H129" s="20" t="n">
        <v>0</v>
      </c>
      <c r="I129" s="20" t="n">
        <f aca="false">H129</f>
        <v>0</v>
      </c>
      <c r="J129" s="20" t="n">
        <f aca="false">E129+F129-G129+I129</f>
        <v>6307725.11435052</v>
      </c>
      <c r="K129" s="20" t="n">
        <f aca="false">O128</f>
        <v>4434251.7154506</v>
      </c>
      <c r="L129" s="20" t="n">
        <f aca="false">K129*B2Ret/12</f>
        <v>33256.8878658795</v>
      </c>
      <c r="M129" s="20" t="n">
        <f aca="false">-I129</f>
        <v>-0</v>
      </c>
      <c r="N129" s="20" t="n">
        <v>0</v>
      </c>
      <c r="O129" s="20" t="n">
        <f aca="false">K129+L129+M129+N129</f>
        <v>4467508.60331648</v>
      </c>
      <c r="P129" s="20" t="n">
        <f aca="false">S128</f>
        <v>31863092.9975779</v>
      </c>
      <c r="Q129" s="20" t="n">
        <f aca="false">P129*B3Ret/12</f>
        <v>292078.352477798</v>
      </c>
      <c r="R129" s="20" t="n">
        <f aca="false">-N129</f>
        <v>-0</v>
      </c>
      <c r="S129" s="20" t="n">
        <f aca="false">P129+Q129+R129</f>
        <v>32155171.3500557</v>
      </c>
      <c r="T129" s="20" t="n">
        <f aca="false">J129+O129+S129</f>
        <v>42930405.0677227</v>
      </c>
    </row>
    <row r="130" customFormat="false" ht="15" hidden="false" customHeight="false" outlineLevel="0" collapsed="false">
      <c r="A130" s="19" t="n">
        <v>129</v>
      </c>
      <c r="B130" s="19" t="n">
        <f aca="false">ROUNDUP(A130/12,0)</f>
        <v>11</v>
      </c>
      <c r="C130" s="19" t="n">
        <f aca="false">Age+B130-1</f>
        <v>72</v>
      </c>
      <c r="D130" s="20" t="n">
        <f aca="false">MonthlyExp*(1+Inflation)^(B130-1)</f>
        <v>98357.5678644783</v>
      </c>
      <c r="E130" s="20" t="n">
        <f aca="false">J129</f>
        <v>6307725.11435052</v>
      </c>
      <c r="F130" s="20" t="n">
        <f aca="false">E130*B1Ret/12</f>
        <v>36795.0631670447</v>
      </c>
      <c r="G130" s="20" t="n">
        <f aca="false">D130</f>
        <v>98357.5678644783</v>
      </c>
      <c r="H130" s="20" t="n">
        <v>0</v>
      </c>
      <c r="I130" s="20" t="n">
        <f aca="false">H130</f>
        <v>0</v>
      </c>
      <c r="J130" s="20" t="n">
        <f aca="false">E130+F130-G130+I130</f>
        <v>6246162.60965309</v>
      </c>
      <c r="K130" s="20" t="n">
        <f aca="false">O129</f>
        <v>4467508.60331648</v>
      </c>
      <c r="L130" s="20" t="n">
        <f aca="false">K130*B2Ret/12</f>
        <v>33506.3145248736</v>
      </c>
      <c r="M130" s="20" t="n">
        <f aca="false">-I130</f>
        <v>-0</v>
      </c>
      <c r="N130" s="20" t="n">
        <v>0</v>
      </c>
      <c r="O130" s="20" t="n">
        <f aca="false">K130+L130+M130+N130</f>
        <v>4501014.91784135</v>
      </c>
      <c r="P130" s="20" t="n">
        <f aca="false">S129</f>
        <v>32155171.3500557</v>
      </c>
      <c r="Q130" s="20" t="n">
        <f aca="false">P130*B3Ret/12</f>
        <v>294755.737375511</v>
      </c>
      <c r="R130" s="20" t="n">
        <f aca="false">-N130</f>
        <v>-0</v>
      </c>
      <c r="S130" s="20" t="n">
        <f aca="false">P130+Q130+R130</f>
        <v>32449927.0874312</v>
      </c>
      <c r="T130" s="20" t="n">
        <f aca="false">J130+O130+S130</f>
        <v>43197104.6149257</v>
      </c>
    </row>
    <row r="131" customFormat="false" ht="15" hidden="false" customHeight="false" outlineLevel="0" collapsed="false">
      <c r="A131" s="19" t="n">
        <v>130</v>
      </c>
      <c r="B131" s="19" t="n">
        <f aca="false">ROUNDUP(A131/12,0)</f>
        <v>11</v>
      </c>
      <c r="C131" s="19" t="n">
        <f aca="false">Age+B131-1</f>
        <v>72</v>
      </c>
      <c r="D131" s="20" t="n">
        <f aca="false">MonthlyExp*(1+Inflation)^(B131-1)</f>
        <v>98357.5678644783</v>
      </c>
      <c r="E131" s="20" t="n">
        <f aca="false">J130</f>
        <v>6246162.60965309</v>
      </c>
      <c r="F131" s="20" t="n">
        <f aca="false">E131*B1Ret/12</f>
        <v>36435.9485563097</v>
      </c>
      <c r="G131" s="20" t="n">
        <f aca="false">D131</f>
        <v>98357.5678644783</v>
      </c>
      <c r="H131" s="20" t="n">
        <v>0</v>
      </c>
      <c r="I131" s="20" t="n">
        <f aca="false">H131</f>
        <v>0</v>
      </c>
      <c r="J131" s="20" t="n">
        <f aca="false">E131+F131-G131+I131</f>
        <v>6184240.99034492</v>
      </c>
      <c r="K131" s="20" t="n">
        <f aca="false">O130</f>
        <v>4501014.91784135</v>
      </c>
      <c r="L131" s="20" t="n">
        <f aca="false">K131*B2Ret/12</f>
        <v>33757.6118838101</v>
      </c>
      <c r="M131" s="20" t="n">
        <f aca="false">-I131</f>
        <v>-0</v>
      </c>
      <c r="N131" s="20" t="n">
        <v>0</v>
      </c>
      <c r="O131" s="20" t="n">
        <f aca="false">K131+L131+M131+N131</f>
        <v>4534772.52972516</v>
      </c>
      <c r="P131" s="20" t="n">
        <f aca="false">S130</f>
        <v>32449927.0874312</v>
      </c>
      <c r="Q131" s="20" t="n">
        <f aca="false">P131*B3Ret/12</f>
        <v>297457.664968119</v>
      </c>
      <c r="R131" s="20" t="n">
        <f aca="false">-N131</f>
        <v>-0</v>
      </c>
      <c r="S131" s="20" t="n">
        <f aca="false">P131+Q131+R131</f>
        <v>32747384.7523993</v>
      </c>
      <c r="T131" s="20" t="n">
        <f aca="false">J131+O131+S131</f>
        <v>43466398.2724694</v>
      </c>
    </row>
    <row r="132" customFormat="false" ht="15" hidden="false" customHeight="false" outlineLevel="0" collapsed="false">
      <c r="A132" s="19" t="n">
        <v>131</v>
      </c>
      <c r="B132" s="19" t="n">
        <f aca="false">ROUNDUP(A132/12,0)</f>
        <v>11</v>
      </c>
      <c r="C132" s="19" t="n">
        <f aca="false">Age+B132-1</f>
        <v>72</v>
      </c>
      <c r="D132" s="20" t="n">
        <f aca="false">MonthlyExp*(1+Inflation)^(B132-1)</f>
        <v>98357.5678644783</v>
      </c>
      <c r="E132" s="20" t="n">
        <f aca="false">J131</f>
        <v>6184240.99034492</v>
      </c>
      <c r="F132" s="20" t="n">
        <f aca="false">E132*B1Ret/12</f>
        <v>36074.7391103454</v>
      </c>
      <c r="G132" s="20" t="n">
        <f aca="false">D132</f>
        <v>98357.5678644783</v>
      </c>
      <c r="H132" s="20" t="n">
        <v>0</v>
      </c>
      <c r="I132" s="20" t="n">
        <f aca="false">H132</f>
        <v>0</v>
      </c>
      <c r="J132" s="20" t="n">
        <f aca="false">E132+F132-G132+I132</f>
        <v>6121958.16159079</v>
      </c>
      <c r="K132" s="20" t="n">
        <f aca="false">O131</f>
        <v>4534772.52972516</v>
      </c>
      <c r="L132" s="20" t="n">
        <f aca="false">K132*B2Ret/12</f>
        <v>34010.7939729387</v>
      </c>
      <c r="M132" s="20" t="n">
        <f aca="false">-I132</f>
        <v>-0</v>
      </c>
      <c r="N132" s="20" t="n">
        <v>0</v>
      </c>
      <c r="O132" s="20" t="n">
        <f aca="false">K132+L132+M132+N132</f>
        <v>4568783.3236981</v>
      </c>
      <c r="P132" s="20" t="n">
        <f aca="false">S131</f>
        <v>32747384.7523993</v>
      </c>
      <c r="Q132" s="20" t="n">
        <f aca="false">P132*B3Ret/12</f>
        <v>300184.360230327</v>
      </c>
      <c r="R132" s="20" t="n">
        <f aca="false">-N132</f>
        <v>-0</v>
      </c>
      <c r="S132" s="20" t="n">
        <f aca="false">P132+Q132+R132</f>
        <v>33047569.1126297</v>
      </c>
      <c r="T132" s="20" t="n">
        <f aca="false">J132+O132+S132</f>
        <v>43738310.5979185</v>
      </c>
    </row>
    <row r="133" customFormat="false" ht="15" hidden="false" customHeight="false" outlineLevel="0" collapsed="false">
      <c r="A133" s="19" t="n">
        <v>132</v>
      </c>
      <c r="B133" s="19" t="n">
        <f aca="false">ROUNDUP(A133/12,0)</f>
        <v>11</v>
      </c>
      <c r="C133" s="19" t="n">
        <f aca="false">Age+B133-1</f>
        <v>72</v>
      </c>
      <c r="D133" s="20" t="n">
        <f aca="false">MonthlyExp*(1+Inflation)^(B133-1)</f>
        <v>98357.5678644783</v>
      </c>
      <c r="E133" s="20" t="n">
        <f aca="false">J132</f>
        <v>6121958.16159079</v>
      </c>
      <c r="F133" s="20" t="n">
        <f aca="false">E133*B1Ret/12</f>
        <v>35711.4226092796</v>
      </c>
      <c r="G133" s="20" t="n">
        <f aca="false">D133</f>
        <v>98357.5678644783</v>
      </c>
      <c r="H133" s="20" t="n">
        <v>0</v>
      </c>
      <c r="I133" s="20" t="n">
        <f aca="false">H133</f>
        <v>0</v>
      </c>
      <c r="J133" s="20" t="n">
        <f aca="false">E133+F133-G133+I133</f>
        <v>6059312.01633559</v>
      </c>
      <c r="K133" s="20" t="n">
        <f aca="false">O132</f>
        <v>4568783.3236981</v>
      </c>
      <c r="L133" s="20" t="n">
        <f aca="false">K133*B2Ret/12</f>
        <v>34265.8749277357</v>
      </c>
      <c r="M133" s="20" t="n">
        <f aca="false">-I133</f>
        <v>-0</v>
      </c>
      <c r="N133" s="20" t="n">
        <v>0</v>
      </c>
      <c r="O133" s="20" t="n">
        <f aca="false">K133+L133+M133+N133</f>
        <v>4603049.19862583</v>
      </c>
      <c r="P133" s="20" t="n">
        <f aca="false">S132</f>
        <v>33047569.1126297</v>
      </c>
      <c r="Q133" s="20" t="n">
        <f aca="false">P133*B3Ret/12</f>
        <v>302936.050199105</v>
      </c>
      <c r="R133" s="20" t="n">
        <f aca="false">-N133</f>
        <v>-0</v>
      </c>
      <c r="S133" s="20" t="n">
        <f aca="false">P133+Q133+R133</f>
        <v>33350505.1628288</v>
      </c>
      <c r="T133" s="20" t="n">
        <f aca="false">J133+O133+S133</f>
        <v>44012866.3777902</v>
      </c>
    </row>
    <row r="134" customFormat="false" ht="15" hidden="false" customHeight="false" outlineLevel="0" collapsed="false">
      <c r="A134" s="19" t="n">
        <v>133</v>
      </c>
      <c r="B134" s="19" t="n">
        <f aca="false">ROUNDUP(A134/12,0)</f>
        <v>12</v>
      </c>
      <c r="C134" s="19" t="n">
        <f aca="false">Age+B134-1</f>
        <v>73</v>
      </c>
      <c r="D134" s="20" t="n">
        <f aca="false">MonthlyExp*(1+Inflation)^(B134-1)</f>
        <v>105242.597614992</v>
      </c>
      <c r="E134" s="20" t="n">
        <f aca="false">J133</f>
        <v>6059312.01633559</v>
      </c>
      <c r="F134" s="20" t="n">
        <f aca="false">E134*B1Ret/12</f>
        <v>35345.9867619576</v>
      </c>
      <c r="G134" s="20" t="n">
        <f aca="false">D134</f>
        <v>105242.597614992</v>
      </c>
      <c r="H134" s="20" t="n">
        <v>0</v>
      </c>
      <c r="I134" s="20" t="n">
        <f aca="false">H134</f>
        <v>0</v>
      </c>
      <c r="J134" s="20" t="n">
        <f aca="false">E134+F134-G134+I134</f>
        <v>5989415.40548255</v>
      </c>
      <c r="K134" s="20" t="n">
        <f aca="false">O133</f>
        <v>4603049.19862583</v>
      </c>
      <c r="L134" s="20" t="n">
        <f aca="false">K134*B2Ret/12</f>
        <v>34522.8689896937</v>
      </c>
      <c r="M134" s="20" t="n">
        <f aca="false">-I134</f>
        <v>-0</v>
      </c>
      <c r="N134" s="20" t="n">
        <v>0</v>
      </c>
      <c r="O134" s="20" t="n">
        <f aca="false">K134+L134+M134+N134</f>
        <v>4637572.06761553</v>
      </c>
      <c r="P134" s="20" t="n">
        <f aca="false">S133</f>
        <v>33350505.1628288</v>
      </c>
      <c r="Q134" s="20" t="n">
        <f aca="false">P134*B3Ret/12</f>
        <v>305712.963992597</v>
      </c>
      <c r="R134" s="20" t="n">
        <f aca="false">-N134</f>
        <v>-0</v>
      </c>
      <c r="S134" s="20" t="n">
        <f aca="false">P134+Q134+R134</f>
        <v>33656218.1268214</v>
      </c>
      <c r="T134" s="20" t="n">
        <f aca="false">J134+O134+S134</f>
        <v>44283205.5999194</v>
      </c>
    </row>
    <row r="135" customFormat="false" ht="15" hidden="false" customHeight="false" outlineLevel="0" collapsed="false">
      <c r="A135" s="19" t="n">
        <v>134</v>
      </c>
      <c r="B135" s="19" t="n">
        <f aca="false">ROUNDUP(A135/12,0)</f>
        <v>12</v>
      </c>
      <c r="C135" s="19" t="n">
        <f aca="false">Age+B135-1</f>
        <v>73</v>
      </c>
      <c r="D135" s="20" t="n">
        <f aca="false">MonthlyExp*(1+Inflation)^(B135-1)</f>
        <v>105242.597614992</v>
      </c>
      <c r="E135" s="20" t="n">
        <f aca="false">J134</f>
        <v>5989415.40548255</v>
      </c>
      <c r="F135" s="20" t="n">
        <f aca="false">E135*B1Ret/12</f>
        <v>34938.2565319816</v>
      </c>
      <c r="G135" s="20" t="n">
        <f aca="false">D135</f>
        <v>105242.597614992</v>
      </c>
      <c r="H135" s="20" t="n">
        <v>0</v>
      </c>
      <c r="I135" s="20" t="n">
        <f aca="false">H135</f>
        <v>0</v>
      </c>
      <c r="J135" s="20" t="n">
        <f aca="false">E135+F135-G135+I135</f>
        <v>5919111.06439954</v>
      </c>
      <c r="K135" s="20" t="n">
        <f aca="false">O134</f>
        <v>4637572.06761553</v>
      </c>
      <c r="L135" s="20" t="n">
        <f aca="false">K135*B2Ret/12</f>
        <v>34781.7905071165</v>
      </c>
      <c r="M135" s="20" t="n">
        <f aca="false">-I135</f>
        <v>-0</v>
      </c>
      <c r="N135" s="20" t="n">
        <v>0</v>
      </c>
      <c r="O135" s="20" t="n">
        <f aca="false">K135+L135+M135+N135</f>
        <v>4672353.85812264</v>
      </c>
      <c r="P135" s="20" t="n">
        <f aca="false">S134</f>
        <v>33656218.1268214</v>
      </c>
      <c r="Q135" s="20" t="n">
        <f aca="false">P135*B3Ret/12</f>
        <v>308515.332829196</v>
      </c>
      <c r="R135" s="20" t="n">
        <f aca="false">-N135</f>
        <v>-0</v>
      </c>
      <c r="S135" s="20" t="n">
        <f aca="false">P135+Q135+R135</f>
        <v>33964733.4596506</v>
      </c>
      <c r="T135" s="20" t="n">
        <f aca="false">J135+O135+S135</f>
        <v>44556198.3821727</v>
      </c>
    </row>
    <row r="136" customFormat="false" ht="15" hidden="false" customHeight="false" outlineLevel="0" collapsed="false">
      <c r="A136" s="19" t="n">
        <v>135</v>
      </c>
      <c r="B136" s="19" t="n">
        <f aca="false">ROUNDUP(A136/12,0)</f>
        <v>12</v>
      </c>
      <c r="C136" s="19" t="n">
        <f aca="false">Age+B136-1</f>
        <v>73</v>
      </c>
      <c r="D136" s="20" t="n">
        <f aca="false">MonthlyExp*(1+Inflation)^(B136-1)</f>
        <v>105242.597614992</v>
      </c>
      <c r="E136" s="20" t="n">
        <f aca="false">J135</f>
        <v>5919111.06439954</v>
      </c>
      <c r="F136" s="20" t="n">
        <f aca="false">E136*B1Ret/12</f>
        <v>34528.147875664</v>
      </c>
      <c r="G136" s="20" t="n">
        <f aca="false">D136</f>
        <v>105242.597614992</v>
      </c>
      <c r="H136" s="20" t="n">
        <v>0</v>
      </c>
      <c r="I136" s="20" t="n">
        <f aca="false">H136</f>
        <v>0</v>
      </c>
      <c r="J136" s="20" t="n">
        <f aca="false">E136+F136-G136+I136</f>
        <v>5848396.61466022</v>
      </c>
      <c r="K136" s="20" t="n">
        <f aca="false">O135</f>
        <v>4672353.85812264</v>
      </c>
      <c r="L136" s="20" t="n">
        <f aca="false">K136*B2Ret/12</f>
        <v>35042.6539359198</v>
      </c>
      <c r="M136" s="20" t="n">
        <f aca="false">-I136</f>
        <v>-0</v>
      </c>
      <c r="N136" s="20" t="n">
        <v>0</v>
      </c>
      <c r="O136" s="20" t="n">
        <f aca="false">K136+L136+M136+N136</f>
        <v>4707396.51205856</v>
      </c>
      <c r="P136" s="20" t="n">
        <f aca="false">S135</f>
        <v>33964733.4596506</v>
      </c>
      <c r="Q136" s="20" t="n">
        <f aca="false">P136*B3Ret/12</f>
        <v>311343.390046797</v>
      </c>
      <c r="R136" s="20" t="n">
        <f aca="false">-N136</f>
        <v>-0</v>
      </c>
      <c r="S136" s="20" t="n">
        <f aca="false">P136+Q136+R136</f>
        <v>34276076.8496974</v>
      </c>
      <c r="T136" s="20" t="n">
        <f aca="false">J136+O136+S136</f>
        <v>44831869.9764161</v>
      </c>
    </row>
    <row r="137" customFormat="false" ht="15" hidden="false" customHeight="false" outlineLevel="0" collapsed="false">
      <c r="A137" s="19" t="n">
        <v>136</v>
      </c>
      <c r="B137" s="19" t="n">
        <f aca="false">ROUNDUP(A137/12,0)</f>
        <v>12</v>
      </c>
      <c r="C137" s="19" t="n">
        <f aca="false">Age+B137-1</f>
        <v>73</v>
      </c>
      <c r="D137" s="20" t="n">
        <f aca="false">MonthlyExp*(1+Inflation)^(B137-1)</f>
        <v>105242.597614992</v>
      </c>
      <c r="E137" s="20" t="n">
        <f aca="false">J136</f>
        <v>5848396.61466022</v>
      </c>
      <c r="F137" s="20" t="n">
        <f aca="false">E137*B1Ret/12</f>
        <v>34115.6469188513</v>
      </c>
      <c r="G137" s="20" t="n">
        <f aca="false">D137</f>
        <v>105242.597614992</v>
      </c>
      <c r="H137" s="20" t="n">
        <v>0</v>
      </c>
      <c r="I137" s="20" t="n">
        <f aca="false">H137</f>
        <v>0</v>
      </c>
      <c r="J137" s="20" t="n">
        <f aca="false">E137+F137-G137+I137</f>
        <v>5777269.66396408</v>
      </c>
      <c r="K137" s="20" t="n">
        <f aca="false">O136</f>
        <v>4707396.51205856</v>
      </c>
      <c r="L137" s="20" t="n">
        <f aca="false">K137*B2Ret/12</f>
        <v>35305.4738404392</v>
      </c>
      <c r="M137" s="20" t="n">
        <f aca="false">-I137</f>
        <v>-0</v>
      </c>
      <c r="N137" s="20" t="n">
        <v>0</v>
      </c>
      <c r="O137" s="20" t="n">
        <f aca="false">K137+L137+M137+N137</f>
        <v>4742701.985899</v>
      </c>
      <c r="P137" s="20" t="n">
        <f aca="false">S136</f>
        <v>34276076.8496974</v>
      </c>
      <c r="Q137" s="20" t="n">
        <f aca="false">P137*B3Ret/12</f>
        <v>314197.371122226</v>
      </c>
      <c r="R137" s="20" t="n">
        <f aca="false">-N137</f>
        <v>-0</v>
      </c>
      <c r="S137" s="20" t="n">
        <f aca="false">P137+Q137+R137</f>
        <v>34590274.2208196</v>
      </c>
      <c r="T137" s="20" t="n">
        <f aca="false">J137+O137+S137</f>
        <v>45110245.8706827</v>
      </c>
    </row>
    <row r="138" customFormat="false" ht="15" hidden="false" customHeight="false" outlineLevel="0" collapsed="false">
      <c r="A138" s="19" t="n">
        <v>137</v>
      </c>
      <c r="B138" s="19" t="n">
        <f aca="false">ROUNDUP(A138/12,0)</f>
        <v>12</v>
      </c>
      <c r="C138" s="19" t="n">
        <f aca="false">Age+B138-1</f>
        <v>73</v>
      </c>
      <c r="D138" s="20" t="n">
        <f aca="false">MonthlyExp*(1+Inflation)^(B138-1)</f>
        <v>105242.597614992</v>
      </c>
      <c r="E138" s="20" t="n">
        <f aca="false">J137</f>
        <v>5777269.66396408</v>
      </c>
      <c r="F138" s="20" t="n">
        <f aca="false">E138*B1Ret/12</f>
        <v>33700.7397064571</v>
      </c>
      <c r="G138" s="20" t="n">
        <f aca="false">D138</f>
        <v>105242.597614992</v>
      </c>
      <c r="H138" s="20" t="n">
        <v>0</v>
      </c>
      <c r="I138" s="20" t="n">
        <f aca="false">H138</f>
        <v>0</v>
      </c>
      <c r="J138" s="20" t="n">
        <f aca="false">E138+F138-G138+I138</f>
        <v>5705727.80605554</v>
      </c>
      <c r="K138" s="20" t="n">
        <f aca="false">O137</f>
        <v>4742701.985899</v>
      </c>
      <c r="L138" s="20" t="n">
        <f aca="false">K138*B2Ret/12</f>
        <v>35570.2648942425</v>
      </c>
      <c r="M138" s="20" t="n">
        <f aca="false">-I138</f>
        <v>-0</v>
      </c>
      <c r="N138" s="20" t="n">
        <v>0</v>
      </c>
      <c r="O138" s="20" t="n">
        <f aca="false">K138+L138+M138+N138</f>
        <v>4778272.25079324</v>
      </c>
      <c r="P138" s="20" t="n">
        <f aca="false">S137</f>
        <v>34590274.2208196</v>
      </c>
      <c r="Q138" s="20" t="n">
        <f aca="false">P138*B3Ret/12</f>
        <v>317077.513690846</v>
      </c>
      <c r="R138" s="20" t="n">
        <f aca="false">-N138</f>
        <v>-0</v>
      </c>
      <c r="S138" s="20" t="n">
        <f aca="false">P138+Q138+R138</f>
        <v>34907351.7345104</v>
      </c>
      <c r="T138" s="20" t="n">
        <f aca="false">J138+O138+S138</f>
        <v>45391351.7913592</v>
      </c>
    </row>
    <row r="139" customFormat="false" ht="15" hidden="false" customHeight="false" outlineLevel="0" collapsed="false">
      <c r="A139" s="19" t="n">
        <v>138</v>
      </c>
      <c r="B139" s="19" t="n">
        <f aca="false">ROUNDUP(A139/12,0)</f>
        <v>12</v>
      </c>
      <c r="C139" s="19" t="n">
        <f aca="false">Age+B139-1</f>
        <v>73</v>
      </c>
      <c r="D139" s="20" t="n">
        <f aca="false">MonthlyExp*(1+Inflation)^(B139-1)</f>
        <v>105242.597614992</v>
      </c>
      <c r="E139" s="20" t="n">
        <f aca="false">J138</f>
        <v>5705727.80605554</v>
      </c>
      <c r="F139" s="20" t="n">
        <f aca="false">E139*B1Ret/12</f>
        <v>33283.4122019907</v>
      </c>
      <c r="G139" s="20" t="n">
        <f aca="false">D139</f>
        <v>105242.597614992</v>
      </c>
      <c r="H139" s="20" t="n">
        <v>0</v>
      </c>
      <c r="I139" s="20" t="n">
        <f aca="false">H139</f>
        <v>0</v>
      </c>
      <c r="J139" s="20" t="n">
        <f aca="false">E139+F139-G139+I139</f>
        <v>5633768.62064254</v>
      </c>
      <c r="K139" s="20" t="n">
        <f aca="false">O138</f>
        <v>4778272.25079324</v>
      </c>
      <c r="L139" s="20" t="n">
        <f aca="false">K139*B2Ret/12</f>
        <v>35837.0418809493</v>
      </c>
      <c r="M139" s="20" t="n">
        <f aca="false">-I139</f>
        <v>-0</v>
      </c>
      <c r="N139" s="20" t="n">
        <v>0</v>
      </c>
      <c r="O139" s="20" t="n">
        <f aca="false">K139+L139+M139+N139</f>
        <v>4814109.29267419</v>
      </c>
      <c r="P139" s="20" t="n">
        <f aca="false">S138</f>
        <v>34907351.7345104</v>
      </c>
      <c r="Q139" s="20" t="n">
        <f aca="false">P139*B3Ret/12</f>
        <v>319984.057566346</v>
      </c>
      <c r="R139" s="20" t="n">
        <f aca="false">-N139</f>
        <v>-0</v>
      </c>
      <c r="S139" s="20" t="n">
        <f aca="false">P139+Q139+R139</f>
        <v>35227335.7920768</v>
      </c>
      <c r="T139" s="20" t="n">
        <f aca="false">J139+O139+S139</f>
        <v>45675213.7053935</v>
      </c>
    </row>
    <row r="140" customFormat="false" ht="15" hidden="false" customHeight="false" outlineLevel="0" collapsed="false">
      <c r="A140" s="19" t="n">
        <v>139</v>
      </c>
      <c r="B140" s="19" t="n">
        <f aca="false">ROUNDUP(A140/12,0)</f>
        <v>12</v>
      </c>
      <c r="C140" s="19" t="n">
        <f aca="false">Age+B140-1</f>
        <v>73</v>
      </c>
      <c r="D140" s="20" t="n">
        <f aca="false">MonthlyExp*(1+Inflation)^(B140-1)</f>
        <v>105242.597614992</v>
      </c>
      <c r="E140" s="20" t="n">
        <f aca="false">J139</f>
        <v>5633768.62064254</v>
      </c>
      <c r="F140" s="20" t="n">
        <f aca="false">E140*B1Ret/12</f>
        <v>32863.6502870815</v>
      </c>
      <c r="G140" s="20" t="n">
        <f aca="false">D140</f>
        <v>105242.597614992</v>
      </c>
      <c r="H140" s="20" t="n">
        <v>0</v>
      </c>
      <c r="I140" s="20" t="n">
        <f aca="false">H140</f>
        <v>0</v>
      </c>
      <c r="J140" s="20" t="n">
        <f aca="false">E140+F140-G140+I140</f>
        <v>5561389.67331463</v>
      </c>
      <c r="K140" s="20" t="n">
        <f aca="false">O139</f>
        <v>4814109.29267419</v>
      </c>
      <c r="L140" s="20" t="n">
        <f aca="false">K140*B2Ret/12</f>
        <v>36105.8196950564</v>
      </c>
      <c r="M140" s="20" t="n">
        <f aca="false">-I140</f>
        <v>-0</v>
      </c>
      <c r="N140" s="20" t="n">
        <v>0</v>
      </c>
      <c r="O140" s="20" t="n">
        <f aca="false">K140+L140+M140+N140</f>
        <v>4850215.11236925</v>
      </c>
      <c r="P140" s="20" t="n">
        <f aca="false">S139</f>
        <v>35227335.7920768</v>
      </c>
      <c r="Q140" s="20" t="n">
        <f aca="false">P140*B3Ret/12</f>
        <v>322917.244760704</v>
      </c>
      <c r="R140" s="20" t="n">
        <f aca="false">-N140</f>
        <v>-0</v>
      </c>
      <c r="S140" s="20" t="n">
        <f aca="false">P140+Q140+R140</f>
        <v>35550253.0368375</v>
      </c>
      <c r="T140" s="20" t="n">
        <f aca="false">J140+O140+S140</f>
        <v>45961857.8225214</v>
      </c>
    </row>
    <row r="141" customFormat="false" ht="15" hidden="false" customHeight="false" outlineLevel="0" collapsed="false">
      <c r="A141" s="19" t="n">
        <v>140</v>
      </c>
      <c r="B141" s="19" t="n">
        <f aca="false">ROUNDUP(A141/12,0)</f>
        <v>12</v>
      </c>
      <c r="C141" s="19" t="n">
        <f aca="false">Age+B141-1</f>
        <v>73</v>
      </c>
      <c r="D141" s="20" t="n">
        <f aca="false">MonthlyExp*(1+Inflation)^(B141-1)</f>
        <v>105242.597614992</v>
      </c>
      <c r="E141" s="20" t="n">
        <f aca="false">J140</f>
        <v>5561389.67331463</v>
      </c>
      <c r="F141" s="20" t="n">
        <f aca="false">E141*B1Ret/12</f>
        <v>32441.439761002</v>
      </c>
      <c r="G141" s="20" t="n">
        <f aca="false">D141</f>
        <v>105242.597614992</v>
      </c>
      <c r="H141" s="20" t="n">
        <v>0</v>
      </c>
      <c r="I141" s="20" t="n">
        <f aca="false">H141</f>
        <v>0</v>
      </c>
      <c r="J141" s="20" t="n">
        <f aca="false">E141+F141-G141+I141</f>
        <v>5488588.51546064</v>
      </c>
      <c r="K141" s="20" t="n">
        <f aca="false">O140</f>
        <v>4850215.11236925</v>
      </c>
      <c r="L141" s="20" t="n">
        <f aca="false">K141*B2Ret/12</f>
        <v>36376.6133427694</v>
      </c>
      <c r="M141" s="20" t="n">
        <f aca="false">-I141</f>
        <v>-0</v>
      </c>
      <c r="N141" s="20" t="n">
        <v>0</v>
      </c>
      <c r="O141" s="20" t="n">
        <f aca="false">K141+L141+M141+N141</f>
        <v>4886591.72571202</v>
      </c>
      <c r="P141" s="20" t="n">
        <f aca="false">S140</f>
        <v>35550253.0368375</v>
      </c>
      <c r="Q141" s="20" t="n">
        <f aca="false">P141*B3Ret/12</f>
        <v>325877.319504344</v>
      </c>
      <c r="R141" s="20" t="n">
        <f aca="false">-N141</f>
        <v>-0</v>
      </c>
      <c r="S141" s="20" t="n">
        <f aca="false">P141+Q141+R141</f>
        <v>35876130.3563418</v>
      </c>
      <c r="T141" s="20" t="n">
        <f aca="false">J141+O141+S141</f>
        <v>46251310.5975145</v>
      </c>
    </row>
    <row r="142" customFormat="false" ht="15" hidden="false" customHeight="false" outlineLevel="0" collapsed="false">
      <c r="A142" s="19" t="n">
        <v>141</v>
      </c>
      <c r="B142" s="19" t="n">
        <f aca="false">ROUNDUP(A142/12,0)</f>
        <v>12</v>
      </c>
      <c r="C142" s="19" t="n">
        <f aca="false">Age+B142-1</f>
        <v>73</v>
      </c>
      <c r="D142" s="20" t="n">
        <f aca="false">MonthlyExp*(1+Inflation)^(B142-1)</f>
        <v>105242.597614992</v>
      </c>
      <c r="E142" s="20" t="n">
        <f aca="false">J141</f>
        <v>5488588.51546064</v>
      </c>
      <c r="F142" s="20" t="n">
        <f aca="false">E142*B1Ret/12</f>
        <v>32016.7663401871</v>
      </c>
      <c r="G142" s="20" t="n">
        <f aca="false">D142</f>
        <v>105242.597614992</v>
      </c>
      <c r="H142" s="20" t="n">
        <v>0</v>
      </c>
      <c r="I142" s="20" t="n">
        <f aca="false">H142</f>
        <v>0</v>
      </c>
      <c r="J142" s="20" t="n">
        <f aca="false">E142+F142-G142+I142</f>
        <v>5415362.68418584</v>
      </c>
      <c r="K142" s="20" t="n">
        <f aca="false">O141</f>
        <v>4886591.72571202</v>
      </c>
      <c r="L142" s="20" t="n">
        <f aca="false">K142*B2Ret/12</f>
        <v>36649.4379428401</v>
      </c>
      <c r="M142" s="20" t="n">
        <f aca="false">-I142</f>
        <v>-0</v>
      </c>
      <c r="N142" s="20" t="n">
        <v>0</v>
      </c>
      <c r="O142" s="20" t="n">
        <f aca="false">K142+L142+M142+N142</f>
        <v>4923241.16365486</v>
      </c>
      <c r="P142" s="20" t="n">
        <f aca="false">S141</f>
        <v>35876130.3563418</v>
      </c>
      <c r="Q142" s="20" t="n">
        <f aca="false">P142*B3Ret/12</f>
        <v>328864.528266467</v>
      </c>
      <c r="R142" s="20" t="n">
        <f aca="false">-N142</f>
        <v>-0</v>
      </c>
      <c r="S142" s="20" t="n">
        <f aca="false">P142+Q142+R142</f>
        <v>36204994.8846083</v>
      </c>
      <c r="T142" s="20" t="n">
        <f aca="false">J142+O142+S142</f>
        <v>46543598.732449</v>
      </c>
    </row>
    <row r="143" customFormat="false" ht="15" hidden="false" customHeight="false" outlineLevel="0" collapsed="false">
      <c r="A143" s="19" t="n">
        <v>142</v>
      </c>
      <c r="B143" s="19" t="n">
        <f aca="false">ROUNDUP(A143/12,0)</f>
        <v>12</v>
      </c>
      <c r="C143" s="19" t="n">
        <f aca="false">Age+B143-1</f>
        <v>73</v>
      </c>
      <c r="D143" s="20" t="n">
        <f aca="false">MonthlyExp*(1+Inflation)^(B143-1)</f>
        <v>105242.597614992</v>
      </c>
      <c r="E143" s="20" t="n">
        <f aca="false">J142</f>
        <v>5415362.68418584</v>
      </c>
      <c r="F143" s="20" t="n">
        <f aca="false">E143*B1Ret/12</f>
        <v>31589.6156577507</v>
      </c>
      <c r="G143" s="20" t="n">
        <f aca="false">D143</f>
        <v>105242.597614992</v>
      </c>
      <c r="H143" s="20" t="n">
        <v>0</v>
      </c>
      <c r="I143" s="20" t="n">
        <f aca="false">H143</f>
        <v>0</v>
      </c>
      <c r="J143" s="20" t="n">
        <f aca="false">E143+F143-G143+I143</f>
        <v>5341709.7022286</v>
      </c>
      <c r="K143" s="20" t="n">
        <f aca="false">O142</f>
        <v>4923241.16365486</v>
      </c>
      <c r="L143" s="20" t="n">
        <f aca="false">K143*B2Ret/12</f>
        <v>36924.3087274114</v>
      </c>
      <c r="M143" s="20" t="n">
        <f aca="false">-I143</f>
        <v>-0</v>
      </c>
      <c r="N143" s="20" t="n">
        <v>0</v>
      </c>
      <c r="O143" s="20" t="n">
        <f aca="false">K143+L143+M143+N143</f>
        <v>4960165.47238227</v>
      </c>
      <c r="P143" s="20" t="n">
        <f aca="false">S142</f>
        <v>36204994.8846083</v>
      </c>
      <c r="Q143" s="20" t="n">
        <f aca="false">P143*B3Ret/12</f>
        <v>331879.119775576</v>
      </c>
      <c r="R143" s="20" t="n">
        <f aca="false">-N143</f>
        <v>-0</v>
      </c>
      <c r="S143" s="20" t="n">
        <f aca="false">P143+Q143+R143</f>
        <v>36536874.0043839</v>
      </c>
      <c r="T143" s="20" t="n">
        <f aca="false">J143+O143+S143</f>
        <v>46838749.1789947</v>
      </c>
    </row>
    <row r="144" customFormat="false" ht="15" hidden="false" customHeight="false" outlineLevel="0" collapsed="false">
      <c r="A144" s="19" t="n">
        <v>143</v>
      </c>
      <c r="B144" s="19" t="n">
        <f aca="false">ROUNDUP(A144/12,0)</f>
        <v>12</v>
      </c>
      <c r="C144" s="19" t="n">
        <f aca="false">Age+B144-1</f>
        <v>73</v>
      </c>
      <c r="D144" s="20" t="n">
        <f aca="false">MonthlyExp*(1+Inflation)^(B144-1)</f>
        <v>105242.597614992</v>
      </c>
      <c r="E144" s="20" t="n">
        <f aca="false">J143</f>
        <v>5341709.7022286</v>
      </c>
      <c r="F144" s="20" t="n">
        <f aca="false">E144*B1Ret/12</f>
        <v>31159.9732630001</v>
      </c>
      <c r="G144" s="20" t="n">
        <f aca="false">D144</f>
        <v>105242.597614992</v>
      </c>
      <c r="H144" s="20" t="n">
        <v>0</v>
      </c>
      <c r="I144" s="20" t="n">
        <f aca="false">H144</f>
        <v>0</v>
      </c>
      <c r="J144" s="20" t="n">
        <f aca="false">E144+F144-G144+I144</f>
        <v>5267627.0778766</v>
      </c>
      <c r="K144" s="20" t="n">
        <f aca="false">O143</f>
        <v>4960165.47238227</v>
      </c>
      <c r="L144" s="20" t="n">
        <f aca="false">K144*B2Ret/12</f>
        <v>37201.241042867</v>
      </c>
      <c r="M144" s="20" t="n">
        <f aca="false">-I144</f>
        <v>-0</v>
      </c>
      <c r="N144" s="20" t="n">
        <v>0</v>
      </c>
      <c r="O144" s="20" t="n">
        <f aca="false">K144+L144+M144+N144</f>
        <v>4997366.71342514</v>
      </c>
      <c r="P144" s="20" t="n">
        <f aca="false">S143</f>
        <v>36536874.0043839</v>
      </c>
      <c r="Q144" s="20" t="n">
        <f aca="false">P144*B3Ret/12</f>
        <v>334921.345040185</v>
      </c>
      <c r="R144" s="20" t="n">
        <f aca="false">-N144</f>
        <v>-0</v>
      </c>
      <c r="S144" s="20" t="n">
        <f aca="false">P144+Q144+R144</f>
        <v>36871795.3494241</v>
      </c>
      <c r="T144" s="20" t="n">
        <f aca="false">J144+O144+S144</f>
        <v>47136789.1407258</v>
      </c>
    </row>
    <row r="145" customFormat="false" ht="15" hidden="false" customHeight="false" outlineLevel="0" collapsed="false">
      <c r="A145" s="19" t="n">
        <v>144</v>
      </c>
      <c r="B145" s="19" t="n">
        <f aca="false">ROUNDUP(A145/12,0)</f>
        <v>12</v>
      </c>
      <c r="C145" s="19" t="n">
        <f aca="false">Age+B145-1</f>
        <v>73</v>
      </c>
      <c r="D145" s="20" t="n">
        <f aca="false">MonthlyExp*(1+Inflation)^(B145-1)</f>
        <v>105242.597614992</v>
      </c>
      <c r="E145" s="20" t="n">
        <f aca="false">J144</f>
        <v>5267627.0778766</v>
      </c>
      <c r="F145" s="20" t="n">
        <f aca="false">E145*B1Ret/12</f>
        <v>30727.8246209469</v>
      </c>
      <c r="G145" s="20" t="n">
        <f aca="false">D145</f>
        <v>105242.597614992</v>
      </c>
      <c r="H145" s="20" t="n">
        <v>0</v>
      </c>
      <c r="I145" s="20" t="n">
        <f aca="false">H145</f>
        <v>0</v>
      </c>
      <c r="J145" s="20" t="n">
        <f aca="false">E145+F145-G145+I145</f>
        <v>5193112.30488256</v>
      </c>
      <c r="K145" s="20" t="n">
        <f aca="false">O144</f>
        <v>4997366.71342514</v>
      </c>
      <c r="L145" s="20" t="n">
        <f aca="false">K145*B2Ret/12</f>
        <v>37480.2503506885</v>
      </c>
      <c r="M145" s="20" t="n">
        <f aca="false">-I145</f>
        <v>-0</v>
      </c>
      <c r="N145" s="20" t="n">
        <v>0</v>
      </c>
      <c r="O145" s="20" t="n">
        <f aca="false">K145+L145+M145+N145</f>
        <v>5034846.96377583</v>
      </c>
      <c r="P145" s="20" t="n">
        <f aca="false">S144</f>
        <v>36871795.3494241</v>
      </c>
      <c r="Q145" s="20" t="n">
        <f aca="false">P145*B3Ret/12</f>
        <v>337991.45736972</v>
      </c>
      <c r="R145" s="20" t="n">
        <f aca="false">-N145</f>
        <v>-0</v>
      </c>
      <c r="S145" s="20" t="n">
        <f aca="false">P145+Q145+R145</f>
        <v>37209786.8067938</v>
      </c>
      <c r="T145" s="20" t="n">
        <f aca="false">J145+O145+S145</f>
        <v>47437746.0754522</v>
      </c>
    </row>
    <row r="146" customFormat="false" ht="15" hidden="false" customHeight="false" outlineLevel="0" collapsed="false">
      <c r="A146" s="19" t="n">
        <v>145</v>
      </c>
      <c r="B146" s="19" t="n">
        <f aca="false">ROUNDUP(A146/12,0)</f>
        <v>13</v>
      </c>
      <c r="C146" s="19" t="n">
        <f aca="false">Age+B146-1</f>
        <v>74</v>
      </c>
      <c r="D146" s="20" t="n">
        <f aca="false">MonthlyExp*(1+Inflation)^(B146-1)</f>
        <v>112609.579448041</v>
      </c>
      <c r="E146" s="20" t="n">
        <f aca="false">J145</f>
        <v>5193112.30488256</v>
      </c>
      <c r="F146" s="20" t="n">
        <f aca="false">E146*B1Ret/12</f>
        <v>30293.1551118149</v>
      </c>
      <c r="G146" s="20" t="n">
        <f aca="false">D146</f>
        <v>112609.579448041</v>
      </c>
      <c r="H146" s="20" t="n">
        <v>0</v>
      </c>
      <c r="I146" s="20" t="n">
        <f aca="false">H146</f>
        <v>0</v>
      </c>
      <c r="J146" s="20" t="n">
        <f aca="false">E146+F146-G146+I146</f>
        <v>5110795.88054633</v>
      </c>
      <c r="K146" s="20" t="n">
        <f aca="false">O145</f>
        <v>5034846.96377583</v>
      </c>
      <c r="L146" s="20" t="n">
        <f aca="false">K146*B2Ret/12</f>
        <v>37761.3522283187</v>
      </c>
      <c r="M146" s="20" t="n">
        <f aca="false">-I146</f>
        <v>-0</v>
      </c>
      <c r="N146" s="20" t="n">
        <v>0</v>
      </c>
      <c r="O146" s="20" t="n">
        <f aca="false">K146+L146+M146+N146</f>
        <v>5072608.31600415</v>
      </c>
      <c r="P146" s="20" t="n">
        <f aca="false">S145</f>
        <v>37209786.8067938</v>
      </c>
      <c r="Q146" s="20" t="n">
        <f aca="false">P146*B3Ret/12</f>
        <v>341089.71239561</v>
      </c>
      <c r="R146" s="20" t="n">
        <f aca="false">-N146</f>
        <v>-0</v>
      </c>
      <c r="S146" s="20" t="n">
        <f aca="false">P146+Q146+R146</f>
        <v>37550876.5191894</v>
      </c>
      <c r="T146" s="20" t="n">
        <f aca="false">J146+O146+S146</f>
        <v>47734280.7157399</v>
      </c>
    </row>
    <row r="147" customFormat="false" ht="15" hidden="false" customHeight="false" outlineLevel="0" collapsed="false">
      <c r="A147" s="19" t="n">
        <v>146</v>
      </c>
      <c r="B147" s="19" t="n">
        <f aca="false">ROUNDUP(A147/12,0)</f>
        <v>13</v>
      </c>
      <c r="C147" s="19" t="n">
        <f aca="false">Age+B147-1</f>
        <v>74</v>
      </c>
      <c r="D147" s="20" t="n">
        <f aca="false">MonthlyExp*(1+Inflation)^(B147-1)</f>
        <v>112609.579448041</v>
      </c>
      <c r="E147" s="20" t="n">
        <f aca="false">J146</f>
        <v>5110795.88054633</v>
      </c>
      <c r="F147" s="20" t="n">
        <f aca="false">E147*B1Ret/12</f>
        <v>29812.9759698536</v>
      </c>
      <c r="G147" s="20" t="n">
        <f aca="false">D147</f>
        <v>112609.579448041</v>
      </c>
      <c r="H147" s="20" t="n">
        <v>0</v>
      </c>
      <c r="I147" s="20" t="n">
        <f aca="false">H147</f>
        <v>0</v>
      </c>
      <c r="J147" s="20" t="n">
        <f aca="false">E147+F147-G147+I147</f>
        <v>5027999.27706815</v>
      </c>
      <c r="K147" s="20" t="n">
        <f aca="false">O146</f>
        <v>5072608.31600415</v>
      </c>
      <c r="L147" s="20" t="n">
        <f aca="false">K147*B2Ret/12</f>
        <v>38044.5623700311</v>
      </c>
      <c r="M147" s="20" t="n">
        <f aca="false">-I147</f>
        <v>-0</v>
      </c>
      <c r="N147" s="20" t="n">
        <v>0</v>
      </c>
      <c r="O147" s="20" t="n">
        <f aca="false">K147+L147+M147+N147</f>
        <v>5110652.87837418</v>
      </c>
      <c r="P147" s="20" t="n">
        <f aca="false">S146</f>
        <v>37550876.5191894</v>
      </c>
      <c r="Q147" s="20" t="n">
        <f aca="false">P147*B3Ret/12</f>
        <v>344216.368092569</v>
      </c>
      <c r="R147" s="20" t="n">
        <f aca="false">-N147</f>
        <v>-0</v>
      </c>
      <c r="S147" s="20" t="n">
        <f aca="false">P147+Q147+R147</f>
        <v>37895092.887282</v>
      </c>
      <c r="T147" s="20" t="n">
        <f aca="false">J147+O147+S147</f>
        <v>48033745.0427243</v>
      </c>
    </row>
    <row r="148" customFormat="false" ht="15" hidden="false" customHeight="false" outlineLevel="0" collapsed="false">
      <c r="A148" s="19" t="n">
        <v>147</v>
      </c>
      <c r="B148" s="19" t="n">
        <f aca="false">ROUNDUP(A148/12,0)</f>
        <v>13</v>
      </c>
      <c r="C148" s="19" t="n">
        <f aca="false">Age+B148-1</f>
        <v>74</v>
      </c>
      <c r="D148" s="20" t="n">
        <f aca="false">MonthlyExp*(1+Inflation)^(B148-1)</f>
        <v>112609.579448041</v>
      </c>
      <c r="E148" s="20" t="n">
        <f aca="false">J147</f>
        <v>5027999.27706815</v>
      </c>
      <c r="F148" s="20" t="n">
        <f aca="false">E148*B1Ret/12</f>
        <v>29329.9957828975</v>
      </c>
      <c r="G148" s="20" t="n">
        <f aca="false">D148</f>
        <v>112609.579448041</v>
      </c>
      <c r="H148" s="20" t="n">
        <v>0</v>
      </c>
      <c r="I148" s="20" t="n">
        <f aca="false">H148</f>
        <v>0</v>
      </c>
      <c r="J148" s="20" t="n">
        <f aca="false">E148+F148-G148+I148</f>
        <v>4944719.693403</v>
      </c>
      <c r="K148" s="20" t="n">
        <f aca="false">O147</f>
        <v>5110652.87837418</v>
      </c>
      <c r="L148" s="20" t="n">
        <f aca="false">K148*B2Ret/12</f>
        <v>38329.8965878063</v>
      </c>
      <c r="M148" s="20" t="n">
        <f aca="false">-I148</f>
        <v>-0</v>
      </c>
      <c r="N148" s="20" t="n">
        <v>0</v>
      </c>
      <c r="O148" s="20" t="n">
        <f aca="false">K148+L148+M148+N148</f>
        <v>5148982.77496198</v>
      </c>
      <c r="P148" s="20" t="n">
        <f aca="false">S147</f>
        <v>37895092.887282</v>
      </c>
      <c r="Q148" s="20" t="n">
        <f aca="false">P148*B3Ret/12</f>
        <v>347371.684800085</v>
      </c>
      <c r="R148" s="20" t="n">
        <f aca="false">-N148</f>
        <v>-0</v>
      </c>
      <c r="S148" s="20" t="n">
        <f aca="false">P148+Q148+R148</f>
        <v>38242464.572082</v>
      </c>
      <c r="T148" s="20" t="n">
        <f aca="false">J148+O148+S148</f>
        <v>48336167.040447</v>
      </c>
    </row>
    <row r="149" customFormat="false" ht="15" hidden="false" customHeight="false" outlineLevel="0" collapsed="false">
      <c r="A149" s="19" t="n">
        <v>148</v>
      </c>
      <c r="B149" s="19" t="n">
        <f aca="false">ROUNDUP(A149/12,0)</f>
        <v>13</v>
      </c>
      <c r="C149" s="19" t="n">
        <f aca="false">Age+B149-1</f>
        <v>74</v>
      </c>
      <c r="D149" s="20" t="n">
        <f aca="false">MonthlyExp*(1+Inflation)^(B149-1)</f>
        <v>112609.579448041</v>
      </c>
      <c r="E149" s="20" t="n">
        <f aca="false">J148</f>
        <v>4944719.693403</v>
      </c>
      <c r="F149" s="20" t="n">
        <f aca="false">E149*B1Ret/12</f>
        <v>28844.1982115175</v>
      </c>
      <c r="G149" s="20" t="n">
        <f aca="false">D149</f>
        <v>112609.579448041</v>
      </c>
      <c r="H149" s="20" t="n">
        <v>0</v>
      </c>
      <c r="I149" s="20" t="n">
        <f aca="false">H149</f>
        <v>0</v>
      </c>
      <c r="J149" s="20" t="n">
        <f aca="false">E149+F149-G149+I149</f>
        <v>4860954.31216648</v>
      </c>
      <c r="K149" s="20" t="n">
        <f aca="false">O148</f>
        <v>5148982.77496198</v>
      </c>
      <c r="L149" s="20" t="n">
        <f aca="false">K149*B2Ret/12</f>
        <v>38617.3708122149</v>
      </c>
      <c r="M149" s="20" t="n">
        <f aca="false">-I149</f>
        <v>-0</v>
      </c>
      <c r="N149" s="20" t="n">
        <v>0</v>
      </c>
      <c r="O149" s="20" t="n">
        <f aca="false">K149+L149+M149+N149</f>
        <v>5187600.1457742</v>
      </c>
      <c r="P149" s="20" t="n">
        <f aca="false">S148</f>
        <v>38242464.572082</v>
      </c>
      <c r="Q149" s="20" t="n">
        <f aca="false">P149*B3Ret/12</f>
        <v>350555.925244085</v>
      </c>
      <c r="R149" s="20" t="n">
        <f aca="false">-N149</f>
        <v>-0</v>
      </c>
      <c r="S149" s="20" t="n">
        <f aca="false">P149+Q149+R149</f>
        <v>38593020.4973261</v>
      </c>
      <c r="T149" s="20" t="n">
        <f aca="false">J149+O149+S149</f>
        <v>48641574.9552668</v>
      </c>
    </row>
    <row r="150" customFormat="false" ht="15" hidden="false" customHeight="false" outlineLevel="0" collapsed="false">
      <c r="A150" s="19" t="n">
        <v>149</v>
      </c>
      <c r="B150" s="19" t="n">
        <f aca="false">ROUNDUP(A150/12,0)</f>
        <v>13</v>
      </c>
      <c r="C150" s="19" t="n">
        <f aca="false">Age+B150-1</f>
        <v>74</v>
      </c>
      <c r="D150" s="20" t="n">
        <f aca="false">MonthlyExp*(1+Inflation)^(B150-1)</f>
        <v>112609.579448041</v>
      </c>
      <c r="E150" s="20" t="n">
        <f aca="false">J149</f>
        <v>4860954.31216648</v>
      </c>
      <c r="F150" s="20" t="n">
        <f aca="false">E150*B1Ret/12</f>
        <v>28355.5668209711</v>
      </c>
      <c r="G150" s="20" t="n">
        <f aca="false">D150</f>
        <v>112609.579448041</v>
      </c>
      <c r="H150" s="20" t="n">
        <v>0</v>
      </c>
      <c r="I150" s="20" t="n">
        <f aca="false">H150</f>
        <v>0</v>
      </c>
      <c r="J150" s="20" t="n">
        <f aca="false">E150+F150-G150+I150</f>
        <v>4776700.29953941</v>
      </c>
      <c r="K150" s="20" t="n">
        <f aca="false">O149</f>
        <v>5187600.1457742</v>
      </c>
      <c r="L150" s="20" t="n">
        <f aca="false">K150*B2Ret/12</f>
        <v>38907.0010933065</v>
      </c>
      <c r="M150" s="20" t="n">
        <f aca="false">-I150</f>
        <v>-0</v>
      </c>
      <c r="N150" s="20" t="n">
        <v>0</v>
      </c>
      <c r="O150" s="20" t="n">
        <f aca="false">K150+L150+M150+N150</f>
        <v>5226507.1468675</v>
      </c>
      <c r="P150" s="20" t="n">
        <f aca="false">S149</f>
        <v>38593020.4973261</v>
      </c>
      <c r="Q150" s="20" t="n">
        <f aca="false">P150*B3Ret/12</f>
        <v>353769.354558823</v>
      </c>
      <c r="R150" s="20" t="n">
        <f aca="false">-N150</f>
        <v>-0</v>
      </c>
      <c r="S150" s="20" t="n">
        <f aca="false">P150+Q150+R150</f>
        <v>38946789.8518849</v>
      </c>
      <c r="T150" s="20" t="n">
        <f aca="false">J150+O150+S150</f>
        <v>48949997.2982919</v>
      </c>
    </row>
    <row r="151" customFormat="false" ht="15" hidden="false" customHeight="false" outlineLevel="0" collapsed="false">
      <c r="A151" s="19" t="n">
        <v>150</v>
      </c>
      <c r="B151" s="19" t="n">
        <f aca="false">ROUNDUP(A151/12,0)</f>
        <v>13</v>
      </c>
      <c r="C151" s="19" t="n">
        <f aca="false">Age+B151-1</f>
        <v>74</v>
      </c>
      <c r="D151" s="20" t="n">
        <f aca="false">MonthlyExp*(1+Inflation)^(B151-1)</f>
        <v>112609.579448041</v>
      </c>
      <c r="E151" s="20" t="n">
        <f aca="false">J150</f>
        <v>4776700.29953941</v>
      </c>
      <c r="F151" s="20" t="n">
        <f aca="false">E151*B1Ret/12</f>
        <v>27864.0850806465</v>
      </c>
      <c r="G151" s="20" t="n">
        <f aca="false">D151</f>
        <v>112609.579448041</v>
      </c>
      <c r="H151" s="20" t="n">
        <v>0</v>
      </c>
      <c r="I151" s="20" t="n">
        <f aca="false">H151</f>
        <v>0</v>
      </c>
      <c r="J151" s="20" t="n">
        <f aca="false">E151+F151-G151+I151</f>
        <v>4691954.80517201</v>
      </c>
      <c r="K151" s="20" t="n">
        <f aca="false">O150</f>
        <v>5226507.1468675</v>
      </c>
      <c r="L151" s="20" t="n">
        <f aca="false">K151*B2Ret/12</f>
        <v>39198.8036015063</v>
      </c>
      <c r="M151" s="20" t="n">
        <f aca="false">-I151</f>
        <v>-0</v>
      </c>
      <c r="N151" s="20" t="n">
        <v>0</v>
      </c>
      <c r="O151" s="20" t="n">
        <f aca="false">K151+L151+M151+N151</f>
        <v>5265705.95046901</v>
      </c>
      <c r="P151" s="20" t="n">
        <f aca="false">S150</f>
        <v>38946789.8518849</v>
      </c>
      <c r="Q151" s="20" t="n">
        <f aca="false">P151*B3Ret/12</f>
        <v>357012.240308945</v>
      </c>
      <c r="R151" s="20" t="n">
        <f aca="false">-N151</f>
        <v>-0</v>
      </c>
      <c r="S151" s="20" t="n">
        <f aca="false">P151+Q151+R151</f>
        <v>39303802.0921939</v>
      </c>
      <c r="T151" s="20" t="n">
        <f aca="false">J151+O151+S151</f>
        <v>49261462.8478349</v>
      </c>
    </row>
    <row r="152" customFormat="false" ht="15" hidden="false" customHeight="false" outlineLevel="0" collapsed="false">
      <c r="A152" s="19" t="n">
        <v>151</v>
      </c>
      <c r="B152" s="19" t="n">
        <f aca="false">ROUNDUP(A152/12,0)</f>
        <v>13</v>
      </c>
      <c r="C152" s="19" t="n">
        <f aca="false">Age+B152-1</f>
        <v>74</v>
      </c>
      <c r="D152" s="20" t="n">
        <f aca="false">MonthlyExp*(1+Inflation)^(B152-1)</f>
        <v>112609.579448041</v>
      </c>
      <c r="E152" s="20" t="n">
        <f aca="false">J151</f>
        <v>4691954.80517201</v>
      </c>
      <c r="F152" s="20" t="n">
        <f aca="false">E152*B1Ret/12</f>
        <v>27369.7363635034</v>
      </c>
      <c r="G152" s="20" t="n">
        <f aca="false">D152</f>
        <v>112609.579448041</v>
      </c>
      <c r="H152" s="20" t="n">
        <v>0</v>
      </c>
      <c r="I152" s="20" t="n">
        <f aca="false">H152</f>
        <v>0</v>
      </c>
      <c r="J152" s="20" t="n">
        <f aca="false">E152+F152-G152+I152</f>
        <v>4606714.96208747</v>
      </c>
      <c r="K152" s="20" t="n">
        <f aca="false">O151</f>
        <v>5265705.95046901</v>
      </c>
      <c r="L152" s="20" t="n">
        <f aca="false">K152*B2Ret/12</f>
        <v>39492.7946285176</v>
      </c>
      <c r="M152" s="20" t="n">
        <f aca="false">-I152</f>
        <v>-0</v>
      </c>
      <c r="N152" s="20" t="n">
        <v>0</v>
      </c>
      <c r="O152" s="20" t="n">
        <f aca="false">K152+L152+M152+N152</f>
        <v>5305198.74509753</v>
      </c>
      <c r="P152" s="20" t="n">
        <f aca="false">S151</f>
        <v>39303802.0921939</v>
      </c>
      <c r="Q152" s="20" t="n">
        <f aca="false">P152*B3Ret/12</f>
        <v>360284.852511777</v>
      </c>
      <c r="R152" s="20" t="n">
        <f aca="false">-N152</f>
        <v>-0</v>
      </c>
      <c r="S152" s="20" t="n">
        <f aca="false">P152+Q152+R152</f>
        <v>39664086.9447057</v>
      </c>
      <c r="T152" s="20" t="n">
        <f aca="false">J152+O152+S152</f>
        <v>49576000.6518907</v>
      </c>
    </row>
    <row r="153" customFormat="false" ht="15" hidden="false" customHeight="false" outlineLevel="0" collapsed="false">
      <c r="A153" s="19" t="n">
        <v>152</v>
      </c>
      <c r="B153" s="19" t="n">
        <f aca="false">ROUNDUP(A153/12,0)</f>
        <v>13</v>
      </c>
      <c r="C153" s="19" t="n">
        <f aca="false">Age+B153-1</f>
        <v>74</v>
      </c>
      <c r="D153" s="20" t="n">
        <f aca="false">MonthlyExp*(1+Inflation)^(B153-1)</f>
        <v>112609.579448041</v>
      </c>
      <c r="E153" s="20" t="n">
        <f aca="false">J152</f>
        <v>4606714.96208747</v>
      </c>
      <c r="F153" s="20" t="n">
        <f aca="false">E153*B1Ret/12</f>
        <v>26872.5039455103</v>
      </c>
      <c r="G153" s="20" t="n">
        <f aca="false">D153</f>
        <v>112609.579448041</v>
      </c>
      <c r="H153" s="20" t="n">
        <v>0</v>
      </c>
      <c r="I153" s="20" t="n">
        <f aca="false">H153</f>
        <v>0</v>
      </c>
      <c r="J153" s="20" t="n">
        <f aca="false">E153+F153-G153+I153</f>
        <v>4520977.88658494</v>
      </c>
      <c r="K153" s="20" t="n">
        <f aca="false">O152</f>
        <v>5305198.74509753</v>
      </c>
      <c r="L153" s="20" t="n">
        <f aca="false">K153*B2Ret/12</f>
        <v>39788.9905882315</v>
      </c>
      <c r="M153" s="20" t="n">
        <f aca="false">-I153</f>
        <v>-0</v>
      </c>
      <c r="N153" s="20" t="n">
        <v>0</v>
      </c>
      <c r="O153" s="20" t="n">
        <f aca="false">K153+L153+M153+N153</f>
        <v>5344987.73568576</v>
      </c>
      <c r="P153" s="20" t="n">
        <f aca="false">S152</f>
        <v>39664086.9447057</v>
      </c>
      <c r="Q153" s="20" t="n">
        <f aca="false">P153*B3Ret/12</f>
        <v>363587.463659802</v>
      </c>
      <c r="R153" s="20" t="n">
        <f aca="false">-N153</f>
        <v>-0</v>
      </c>
      <c r="S153" s="20" t="n">
        <f aca="false">P153+Q153+R153</f>
        <v>40027674.4083655</v>
      </c>
      <c r="T153" s="20" t="n">
        <f aca="false">J153+O153+S153</f>
        <v>49893640.0306362</v>
      </c>
    </row>
    <row r="154" customFormat="false" ht="15" hidden="false" customHeight="false" outlineLevel="0" collapsed="false">
      <c r="A154" s="19" t="n">
        <v>153</v>
      </c>
      <c r="B154" s="19" t="n">
        <f aca="false">ROUNDUP(A154/12,0)</f>
        <v>13</v>
      </c>
      <c r="C154" s="19" t="n">
        <f aca="false">Age+B154-1</f>
        <v>74</v>
      </c>
      <c r="D154" s="20" t="n">
        <f aca="false">MonthlyExp*(1+Inflation)^(B154-1)</f>
        <v>112609.579448041</v>
      </c>
      <c r="E154" s="20" t="n">
        <f aca="false">J153</f>
        <v>4520977.88658494</v>
      </c>
      <c r="F154" s="20" t="n">
        <f aca="false">E154*B1Ret/12</f>
        <v>26372.3710050788</v>
      </c>
      <c r="G154" s="20" t="n">
        <f aca="false">D154</f>
        <v>112609.579448041</v>
      </c>
      <c r="H154" s="20" t="n">
        <v>0</v>
      </c>
      <c r="I154" s="20" t="n">
        <f aca="false">H154</f>
        <v>0</v>
      </c>
      <c r="J154" s="20" t="n">
        <f aca="false">E154+F154-G154+I154</f>
        <v>4434740.67814198</v>
      </c>
      <c r="K154" s="20" t="n">
        <f aca="false">O153</f>
        <v>5344987.73568576</v>
      </c>
      <c r="L154" s="20" t="n">
        <f aca="false">K154*B2Ret/12</f>
        <v>40087.4080176432</v>
      </c>
      <c r="M154" s="20" t="n">
        <f aca="false">-I154</f>
        <v>-0</v>
      </c>
      <c r="N154" s="20" t="n">
        <v>0</v>
      </c>
      <c r="O154" s="20" t="n">
        <f aca="false">K154+L154+M154+N154</f>
        <v>5385075.1437034</v>
      </c>
      <c r="P154" s="20" t="n">
        <f aca="false">S153</f>
        <v>40027674.4083655</v>
      </c>
      <c r="Q154" s="20" t="n">
        <f aca="false">P154*B3Ret/12</f>
        <v>366920.34874335</v>
      </c>
      <c r="R154" s="20" t="n">
        <f aca="false">-N154</f>
        <v>-0</v>
      </c>
      <c r="S154" s="20" t="n">
        <f aca="false">P154+Q154+R154</f>
        <v>40394594.7571088</v>
      </c>
      <c r="T154" s="20" t="n">
        <f aca="false">J154+O154+S154</f>
        <v>50214410.5789542</v>
      </c>
    </row>
    <row r="155" customFormat="false" ht="15" hidden="false" customHeight="false" outlineLevel="0" collapsed="false">
      <c r="A155" s="19" t="n">
        <v>154</v>
      </c>
      <c r="B155" s="19" t="n">
        <f aca="false">ROUNDUP(A155/12,0)</f>
        <v>13</v>
      </c>
      <c r="C155" s="19" t="n">
        <f aca="false">Age+B155-1</f>
        <v>74</v>
      </c>
      <c r="D155" s="20" t="n">
        <f aca="false">MonthlyExp*(1+Inflation)^(B155-1)</f>
        <v>112609.579448041</v>
      </c>
      <c r="E155" s="20" t="n">
        <f aca="false">J154</f>
        <v>4434740.67814198</v>
      </c>
      <c r="F155" s="20" t="n">
        <f aca="false">E155*B1Ret/12</f>
        <v>25869.3206224949</v>
      </c>
      <c r="G155" s="20" t="n">
        <f aca="false">D155</f>
        <v>112609.579448041</v>
      </c>
      <c r="H155" s="20" t="n">
        <v>0</v>
      </c>
      <c r="I155" s="20" t="n">
        <f aca="false">H155</f>
        <v>0</v>
      </c>
      <c r="J155" s="20" t="n">
        <f aca="false">E155+F155-G155+I155</f>
        <v>4348000.41931643</v>
      </c>
      <c r="K155" s="20" t="n">
        <f aca="false">O154</f>
        <v>5385075.1437034</v>
      </c>
      <c r="L155" s="20" t="n">
        <f aca="false">K155*B2Ret/12</f>
        <v>40388.0635777755</v>
      </c>
      <c r="M155" s="20" t="n">
        <f aca="false">-I155</f>
        <v>-0</v>
      </c>
      <c r="N155" s="20" t="n">
        <v>0</v>
      </c>
      <c r="O155" s="20" t="n">
        <f aca="false">K155+L155+M155+N155</f>
        <v>5425463.20728118</v>
      </c>
      <c r="P155" s="20" t="n">
        <f aca="false">S154</f>
        <v>40394594.7571088</v>
      </c>
      <c r="Q155" s="20" t="n">
        <f aca="false">P155*B3Ret/12</f>
        <v>370283.785273497</v>
      </c>
      <c r="R155" s="20" t="n">
        <f aca="false">-N155</f>
        <v>-0</v>
      </c>
      <c r="S155" s="20" t="n">
        <f aca="false">P155+Q155+R155</f>
        <v>40764878.5423823</v>
      </c>
      <c r="T155" s="20" t="n">
        <f aca="false">J155+O155+S155</f>
        <v>50538342.1689799</v>
      </c>
    </row>
    <row r="156" customFormat="false" ht="15" hidden="false" customHeight="false" outlineLevel="0" collapsed="false">
      <c r="A156" s="19" t="n">
        <v>155</v>
      </c>
      <c r="B156" s="19" t="n">
        <f aca="false">ROUNDUP(A156/12,0)</f>
        <v>13</v>
      </c>
      <c r="C156" s="19" t="n">
        <f aca="false">Age+B156-1</f>
        <v>74</v>
      </c>
      <c r="D156" s="20" t="n">
        <f aca="false">MonthlyExp*(1+Inflation)^(B156-1)</f>
        <v>112609.579448041</v>
      </c>
      <c r="E156" s="20" t="n">
        <f aca="false">J155</f>
        <v>4348000.41931643</v>
      </c>
      <c r="F156" s="20" t="n">
        <f aca="false">E156*B1Ret/12</f>
        <v>25363.3357793459</v>
      </c>
      <c r="G156" s="20" t="n">
        <f aca="false">D156</f>
        <v>112609.579448041</v>
      </c>
      <c r="H156" s="20" t="n">
        <v>0</v>
      </c>
      <c r="I156" s="20" t="n">
        <f aca="false">H156</f>
        <v>0</v>
      </c>
      <c r="J156" s="20" t="n">
        <f aca="false">E156+F156-G156+I156</f>
        <v>4260754.17564774</v>
      </c>
      <c r="K156" s="20" t="n">
        <f aca="false">O155</f>
        <v>5425463.20728118</v>
      </c>
      <c r="L156" s="20" t="n">
        <f aca="false">K156*B2Ret/12</f>
        <v>40690.9740546088</v>
      </c>
      <c r="M156" s="20" t="n">
        <f aca="false">-I156</f>
        <v>-0</v>
      </c>
      <c r="N156" s="20" t="n">
        <v>0</v>
      </c>
      <c r="O156" s="20" t="n">
        <f aca="false">K156+L156+M156+N156</f>
        <v>5466154.18133579</v>
      </c>
      <c r="P156" s="20" t="n">
        <f aca="false">S155</f>
        <v>40764878.5423823</v>
      </c>
      <c r="Q156" s="20" t="n">
        <f aca="false">P156*B3Ret/12</f>
        <v>373678.053305171</v>
      </c>
      <c r="R156" s="20" t="n">
        <f aca="false">-N156</f>
        <v>-0</v>
      </c>
      <c r="S156" s="20" t="n">
        <f aca="false">P156+Q156+R156</f>
        <v>41138556.5956875</v>
      </c>
      <c r="T156" s="20" t="n">
        <f aca="false">J156+O156+S156</f>
        <v>50865464.952671</v>
      </c>
    </row>
    <row r="157" customFormat="false" ht="15" hidden="false" customHeight="false" outlineLevel="0" collapsed="false">
      <c r="A157" s="19" t="n">
        <v>156</v>
      </c>
      <c r="B157" s="19" t="n">
        <f aca="false">ROUNDUP(A157/12,0)</f>
        <v>13</v>
      </c>
      <c r="C157" s="19" t="n">
        <f aca="false">Age+B157-1</f>
        <v>74</v>
      </c>
      <c r="D157" s="20" t="n">
        <f aca="false">MonthlyExp*(1+Inflation)^(B157-1)</f>
        <v>112609.579448041</v>
      </c>
      <c r="E157" s="20" t="n">
        <f aca="false">J156</f>
        <v>4260754.17564774</v>
      </c>
      <c r="F157" s="20" t="n">
        <f aca="false">E157*B1Ret/12</f>
        <v>24854.3993579451</v>
      </c>
      <c r="G157" s="20" t="n">
        <f aca="false">D157</f>
        <v>112609.579448041</v>
      </c>
      <c r="H157" s="20" t="n">
        <v>0</v>
      </c>
      <c r="I157" s="20" t="n">
        <f aca="false">H157</f>
        <v>0</v>
      </c>
      <c r="J157" s="20" t="n">
        <f aca="false">E157+F157-G157+I157</f>
        <v>4172998.99555764</v>
      </c>
      <c r="K157" s="20" t="n">
        <f aca="false">O156</f>
        <v>5466154.18133579</v>
      </c>
      <c r="L157" s="20" t="n">
        <f aca="false">K157*B2Ret/12</f>
        <v>40996.1563600184</v>
      </c>
      <c r="M157" s="20" t="n">
        <f aca="false">-I157</f>
        <v>-0</v>
      </c>
      <c r="N157" s="20" t="n">
        <v>0</v>
      </c>
      <c r="O157" s="20" t="n">
        <f aca="false">K157+L157+M157+N157</f>
        <v>5507150.3376958</v>
      </c>
      <c r="P157" s="20" t="n">
        <f aca="false">S156</f>
        <v>41138556.5956875</v>
      </c>
      <c r="Q157" s="20" t="n">
        <f aca="false">P157*B3Ret/12</f>
        <v>377103.435460469</v>
      </c>
      <c r="R157" s="20" t="n">
        <f aca="false">-N157</f>
        <v>-0</v>
      </c>
      <c r="S157" s="20" t="n">
        <f aca="false">P157+Q157+R157</f>
        <v>41515660.031148</v>
      </c>
      <c r="T157" s="20" t="n">
        <f aca="false">J157+O157+S157</f>
        <v>51195809.3644014</v>
      </c>
    </row>
    <row r="158" customFormat="false" ht="15" hidden="false" customHeight="false" outlineLevel="0" collapsed="false">
      <c r="A158" s="19" t="n">
        <v>157</v>
      </c>
      <c r="B158" s="19" t="n">
        <f aca="false">ROUNDUP(A158/12,0)</f>
        <v>14</v>
      </c>
      <c r="C158" s="19" t="n">
        <f aca="false">Age+B158-1</f>
        <v>75</v>
      </c>
      <c r="D158" s="20" t="n">
        <f aca="false">MonthlyExp*(1+Inflation)^(B158-1)</f>
        <v>120492.250009404</v>
      </c>
      <c r="E158" s="20" t="n">
        <f aca="false">J157</f>
        <v>4172998.99555764</v>
      </c>
      <c r="F158" s="20" t="n">
        <f aca="false">E158*B1Ret/12</f>
        <v>24342.4941407529</v>
      </c>
      <c r="G158" s="20" t="n">
        <f aca="false">D158</f>
        <v>120492.250009404</v>
      </c>
      <c r="H158" s="20" t="n">
        <v>0</v>
      </c>
      <c r="I158" s="20" t="n">
        <f aca="false">H158</f>
        <v>0</v>
      </c>
      <c r="J158" s="20" t="n">
        <f aca="false">E158+F158-G158+I158</f>
        <v>4076849.23968899</v>
      </c>
      <c r="K158" s="20" t="n">
        <f aca="false">O157</f>
        <v>5507150.3376958</v>
      </c>
      <c r="L158" s="20" t="n">
        <f aca="false">K158*B2Ret/12</f>
        <v>41303.6275327185</v>
      </c>
      <c r="M158" s="20" t="n">
        <f aca="false">-I158</f>
        <v>-0</v>
      </c>
      <c r="N158" s="20" t="n">
        <v>0</v>
      </c>
      <c r="O158" s="20" t="n">
        <f aca="false">K158+L158+M158+N158</f>
        <v>5548453.96522852</v>
      </c>
      <c r="P158" s="20" t="n">
        <f aca="false">S157</f>
        <v>41515660.031148</v>
      </c>
      <c r="Q158" s="20" t="n">
        <f aca="false">P158*B3Ret/12</f>
        <v>380560.21695219</v>
      </c>
      <c r="R158" s="20" t="n">
        <f aca="false">-N158</f>
        <v>-0</v>
      </c>
      <c r="S158" s="20" t="n">
        <f aca="false">P158+Q158+R158</f>
        <v>41896220.2481002</v>
      </c>
      <c r="T158" s="20" t="n">
        <f aca="false">J158+O158+S158</f>
        <v>51521523.4530177</v>
      </c>
    </row>
    <row r="159" customFormat="false" ht="15" hidden="false" customHeight="false" outlineLevel="0" collapsed="false">
      <c r="A159" s="19" t="n">
        <v>158</v>
      </c>
      <c r="B159" s="19" t="n">
        <f aca="false">ROUNDUP(A159/12,0)</f>
        <v>14</v>
      </c>
      <c r="C159" s="19" t="n">
        <f aca="false">Age+B159-1</f>
        <v>75</v>
      </c>
      <c r="D159" s="20" t="n">
        <f aca="false">MonthlyExp*(1+Inflation)^(B159-1)</f>
        <v>120492.250009404</v>
      </c>
      <c r="E159" s="20" t="n">
        <f aca="false">J158</f>
        <v>4076849.23968899</v>
      </c>
      <c r="F159" s="20" t="n">
        <f aca="false">E159*B1Ret/12</f>
        <v>23781.6205648524</v>
      </c>
      <c r="G159" s="20" t="n">
        <f aca="false">D159</f>
        <v>120492.250009404</v>
      </c>
      <c r="H159" s="20" t="n">
        <v>0</v>
      </c>
      <c r="I159" s="20" t="n">
        <f aca="false">H159</f>
        <v>0</v>
      </c>
      <c r="J159" s="20" t="n">
        <f aca="false">E159+F159-G159+I159</f>
        <v>3980138.61024444</v>
      </c>
      <c r="K159" s="20" t="n">
        <f aca="false">O158</f>
        <v>5548453.96522852</v>
      </c>
      <c r="L159" s="20" t="n">
        <f aca="false">K159*B2Ret/12</f>
        <v>41613.4047392139</v>
      </c>
      <c r="M159" s="20" t="n">
        <f aca="false">-I159</f>
        <v>-0</v>
      </c>
      <c r="N159" s="20" t="n">
        <v>0</v>
      </c>
      <c r="O159" s="20" t="n">
        <f aca="false">K159+L159+M159+N159</f>
        <v>5590067.36996774</v>
      </c>
      <c r="P159" s="20" t="n">
        <f aca="false">S158</f>
        <v>41896220.2481002</v>
      </c>
      <c r="Q159" s="20" t="n">
        <f aca="false">P159*B3Ret/12</f>
        <v>384048.685607585</v>
      </c>
      <c r="R159" s="20" t="n">
        <f aca="false">-N159</f>
        <v>-0</v>
      </c>
      <c r="S159" s="20" t="n">
        <f aca="false">P159+Q159+R159</f>
        <v>42280268.9337077</v>
      </c>
      <c r="T159" s="20" t="n">
        <f aca="false">J159+O159+S159</f>
        <v>51850474.9139199</v>
      </c>
    </row>
    <row r="160" customFormat="false" ht="15" hidden="false" customHeight="false" outlineLevel="0" collapsed="false">
      <c r="A160" s="19" t="n">
        <v>159</v>
      </c>
      <c r="B160" s="19" t="n">
        <f aca="false">ROUNDUP(A160/12,0)</f>
        <v>14</v>
      </c>
      <c r="C160" s="19" t="n">
        <f aca="false">Age+B160-1</f>
        <v>75</v>
      </c>
      <c r="D160" s="20" t="n">
        <f aca="false">MonthlyExp*(1+Inflation)^(B160-1)</f>
        <v>120492.250009404</v>
      </c>
      <c r="E160" s="20" t="n">
        <f aca="false">J159</f>
        <v>3980138.61024444</v>
      </c>
      <c r="F160" s="20" t="n">
        <f aca="false">E160*B1Ret/12</f>
        <v>23217.4752264259</v>
      </c>
      <c r="G160" s="20" t="n">
        <f aca="false">D160</f>
        <v>120492.250009404</v>
      </c>
      <c r="H160" s="20" t="n">
        <v>0</v>
      </c>
      <c r="I160" s="20" t="n">
        <f aca="false">H160</f>
        <v>0</v>
      </c>
      <c r="J160" s="20" t="n">
        <f aca="false">E160+F160-G160+I160</f>
        <v>3882863.83546146</v>
      </c>
      <c r="K160" s="20" t="n">
        <f aca="false">O159</f>
        <v>5590067.36996774</v>
      </c>
      <c r="L160" s="20" t="n">
        <f aca="false">K160*B2Ret/12</f>
        <v>41925.505274758</v>
      </c>
      <c r="M160" s="20" t="n">
        <f aca="false">-I160</f>
        <v>-0</v>
      </c>
      <c r="N160" s="20" t="n">
        <v>0</v>
      </c>
      <c r="O160" s="20" t="n">
        <f aca="false">K160+L160+M160+N160</f>
        <v>5631992.8752425</v>
      </c>
      <c r="P160" s="20" t="n">
        <f aca="false">S159</f>
        <v>42280268.9337077</v>
      </c>
      <c r="Q160" s="20" t="n">
        <f aca="false">P160*B3Ret/12</f>
        <v>387569.131892321</v>
      </c>
      <c r="R160" s="20" t="n">
        <f aca="false">-N160</f>
        <v>-0</v>
      </c>
      <c r="S160" s="20" t="n">
        <f aca="false">P160+Q160+R160</f>
        <v>42667838.0656001</v>
      </c>
      <c r="T160" s="20" t="n">
        <f aca="false">J160+O160+S160</f>
        <v>52182694.776304</v>
      </c>
    </row>
    <row r="161" customFormat="false" ht="15" hidden="false" customHeight="false" outlineLevel="0" collapsed="false">
      <c r="A161" s="19" t="n">
        <v>160</v>
      </c>
      <c r="B161" s="19" t="n">
        <f aca="false">ROUNDUP(A161/12,0)</f>
        <v>14</v>
      </c>
      <c r="C161" s="19" t="n">
        <f aca="false">Age+B161-1</f>
        <v>75</v>
      </c>
      <c r="D161" s="20" t="n">
        <f aca="false">MonthlyExp*(1+Inflation)^(B161-1)</f>
        <v>120492.250009404</v>
      </c>
      <c r="E161" s="20" t="n">
        <f aca="false">J160</f>
        <v>3882863.83546146</v>
      </c>
      <c r="F161" s="20" t="n">
        <f aca="false">E161*B1Ret/12</f>
        <v>22650.0390401918</v>
      </c>
      <c r="G161" s="20" t="n">
        <f aca="false">D161</f>
        <v>120492.250009404</v>
      </c>
      <c r="H161" s="20" t="n">
        <v>0</v>
      </c>
      <c r="I161" s="20" t="n">
        <f aca="false">H161</f>
        <v>0</v>
      </c>
      <c r="J161" s="20" t="n">
        <f aca="false">E161+F161-G161+I161</f>
        <v>3785021.62449225</v>
      </c>
      <c r="K161" s="20" t="n">
        <f aca="false">O160</f>
        <v>5631992.8752425</v>
      </c>
      <c r="L161" s="20" t="n">
        <f aca="false">K161*B2Ret/12</f>
        <v>42239.9465643187</v>
      </c>
      <c r="M161" s="20" t="n">
        <f aca="false">-I161</f>
        <v>-0</v>
      </c>
      <c r="N161" s="20" t="n">
        <v>0</v>
      </c>
      <c r="O161" s="20" t="n">
        <f aca="false">K161+L161+M161+N161</f>
        <v>5674232.82180681</v>
      </c>
      <c r="P161" s="20" t="n">
        <f aca="false">S160</f>
        <v>42667838.0656001</v>
      </c>
      <c r="Q161" s="20" t="n">
        <f aca="false">P161*B3Ret/12</f>
        <v>391121.848934667</v>
      </c>
      <c r="R161" s="20" t="n">
        <f aca="false">-N161</f>
        <v>-0</v>
      </c>
      <c r="S161" s="20" t="n">
        <f aca="false">P161+Q161+R161</f>
        <v>43058959.9145347</v>
      </c>
      <c r="T161" s="20" t="n">
        <f aca="false">J161+O161+S161</f>
        <v>52518214.3608338</v>
      </c>
    </row>
    <row r="162" customFormat="false" ht="15" hidden="false" customHeight="false" outlineLevel="0" collapsed="false">
      <c r="A162" s="19" t="n">
        <v>161</v>
      </c>
      <c r="B162" s="19" t="n">
        <f aca="false">ROUNDUP(A162/12,0)</f>
        <v>14</v>
      </c>
      <c r="C162" s="19" t="n">
        <f aca="false">Age+B162-1</f>
        <v>75</v>
      </c>
      <c r="D162" s="20" t="n">
        <f aca="false">MonthlyExp*(1+Inflation)^(B162-1)</f>
        <v>120492.250009404</v>
      </c>
      <c r="E162" s="20" t="n">
        <f aca="false">J161</f>
        <v>3785021.62449225</v>
      </c>
      <c r="F162" s="20" t="n">
        <f aca="false">E162*B1Ret/12</f>
        <v>22079.2928095381</v>
      </c>
      <c r="G162" s="20" t="n">
        <f aca="false">D162</f>
        <v>120492.250009404</v>
      </c>
      <c r="H162" s="20" t="n">
        <v>0</v>
      </c>
      <c r="I162" s="20" t="n">
        <f aca="false">H162</f>
        <v>0</v>
      </c>
      <c r="J162" s="20" t="n">
        <f aca="false">E162+F162-G162+I162</f>
        <v>3686608.66729238</v>
      </c>
      <c r="K162" s="20" t="n">
        <f aca="false">O161</f>
        <v>5674232.82180681</v>
      </c>
      <c r="L162" s="20" t="n">
        <f aca="false">K162*B2Ret/12</f>
        <v>42556.7461635511</v>
      </c>
      <c r="M162" s="20" t="n">
        <f aca="false">-I162</f>
        <v>-0</v>
      </c>
      <c r="N162" s="20" t="n">
        <v>0</v>
      </c>
      <c r="O162" s="20" t="n">
        <f aca="false">K162+L162+M162+N162</f>
        <v>5716789.56797036</v>
      </c>
      <c r="P162" s="20" t="n">
        <f aca="false">S161</f>
        <v>43058959.9145347</v>
      </c>
      <c r="Q162" s="20" t="n">
        <f aca="false">P162*B3Ret/12</f>
        <v>394707.132549902</v>
      </c>
      <c r="R162" s="20" t="n">
        <f aca="false">-N162</f>
        <v>-0</v>
      </c>
      <c r="S162" s="20" t="n">
        <f aca="false">P162+Q162+R162</f>
        <v>43453667.0470846</v>
      </c>
      <c r="T162" s="20" t="n">
        <f aca="false">J162+O162+S162</f>
        <v>52857065.2823474</v>
      </c>
    </row>
    <row r="163" customFormat="false" ht="15" hidden="false" customHeight="false" outlineLevel="0" collapsed="false">
      <c r="A163" s="19" t="n">
        <v>162</v>
      </c>
      <c r="B163" s="19" t="n">
        <f aca="false">ROUNDUP(A163/12,0)</f>
        <v>14</v>
      </c>
      <c r="C163" s="19" t="n">
        <f aca="false">Age+B163-1</f>
        <v>75</v>
      </c>
      <c r="D163" s="20" t="n">
        <f aca="false">MonthlyExp*(1+Inflation)^(B163-1)</f>
        <v>120492.250009404</v>
      </c>
      <c r="E163" s="20" t="n">
        <f aca="false">J162</f>
        <v>3686608.66729238</v>
      </c>
      <c r="F163" s="20" t="n">
        <f aca="false">E163*B1Ret/12</f>
        <v>21505.2172258722</v>
      </c>
      <c r="G163" s="20" t="n">
        <f aca="false">D163</f>
        <v>120492.250009404</v>
      </c>
      <c r="H163" s="20" t="n">
        <v>0</v>
      </c>
      <c r="I163" s="20" t="n">
        <f aca="false">H163</f>
        <v>0</v>
      </c>
      <c r="J163" s="20" t="n">
        <f aca="false">E163+F163-G163+I163</f>
        <v>3587621.63450885</v>
      </c>
      <c r="K163" s="20" t="n">
        <f aca="false">O162</f>
        <v>5716789.56797036</v>
      </c>
      <c r="L163" s="20" t="n">
        <f aca="false">K163*B2Ret/12</f>
        <v>42875.9217597777</v>
      </c>
      <c r="M163" s="20" t="n">
        <f aca="false">-I163</f>
        <v>-0</v>
      </c>
      <c r="N163" s="20" t="n">
        <v>0</v>
      </c>
      <c r="O163" s="20" t="n">
        <f aca="false">K163+L163+M163+N163</f>
        <v>5759665.48973014</v>
      </c>
      <c r="P163" s="20" t="n">
        <f aca="false">S162</f>
        <v>43453667.0470846</v>
      </c>
      <c r="Q163" s="20" t="n">
        <f aca="false">P163*B3Ret/12</f>
        <v>398325.281264942</v>
      </c>
      <c r="R163" s="20" t="n">
        <f aca="false">-N163</f>
        <v>-0</v>
      </c>
      <c r="S163" s="20" t="n">
        <f aca="false">P163+Q163+R163</f>
        <v>43851992.3283496</v>
      </c>
      <c r="T163" s="20" t="n">
        <f aca="false">J163+O163+S163</f>
        <v>53199279.4525886</v>
      </c>
    </row>
    <row r="164" customFormat="false" ht="15" hidden="false" customHeight="false" outlineLevel="0" collapsed="false">
      <c r="A164" s="19" t="n">
        <v>163</v>
      </c>
      <c r="B164" s="19" t="n">
        <f aca="false">ROUNDUP(A164/12,0)</f>
        <v>14</v>
      </c>
      <c r="C164" s="19" t="n">
        <f aca="false">Age+B164-1</f>
        <v>75</v>
      </c>
      <c r="D164" s="20" t="n">
        <f aca="false">MonthlyExp*(1+Inflation)^(B164-1)</f>
        <v>120492.250009404</v>
      </c>
      <c r="E164" s="20" t="n">
        <f aca="false">J163</f>
        <v>3587621.63450885</v>
      </c>
      <c r="F164" s="20" t="n">
        <f aca="false">E164*B1Ret/12</f>
        <v>20927.7928679683</v>
      </c>
      <c r="G164" s="20" t="n">
        <f aca="false">D164</f>
        <v>120492.250009404</v>
      </c>
      <c r="H164" s="20" t="n">
        <v>0</v>
      </c>
      <c r="I164" s="20" t="n">
        <f aca="false">H164</f>
        <v>0</v>
      </c>
      <c r="J164" s="20" t="n">
        <f aca="false">E164+F164-G164+I164</f>
        <v>3488057.17736741</v>
      </c>
      <c r="K164" s="20" t="n">
        <f aca="false">O163</f>
        <v>5759665.48973014</v>
      </c>
      <c r="L164" s="20" t="n">
        <f aca="false">K164*B2Ret/12</f>
        <v>43197.4911729761</v>
      </c>
      <c r="M164" s="20" t="n">
        <f aca="false">-I164</f>
        <v>-0</v>
      </c>
      <c r="N164" s="20" t="n">
        <v>0</v>
      </c>
      <c r="O164" s="20" t="n">
        <f aca="false">K164+L164+M164+N164</f>
        <v>5802862.98090312</v>
      </c>
      <c r="P164" s="20" t="n">
        <f aca="false">S163</f>
        <v>43851992.3283496</v>
      </c>
      <c r="Q164" s="20" t="n">
        <f aca="false">P164*B3Ret/12</f>
        <v>401976.596343204</v>
      </c>
      <c r="R164" s="20" t="n">
        <f aca="false">-N164</f>
        <v>-0</v>
      </c>
      <c r="S164" s="20" t="n">
        <f aca="false">P164+Q164+R164</f>
        <v>44253968.9246928</v>
      </c>
      <c r="T164" s="20" t="n">
        <f aca="false">J164+O164+S164</f>
        <v>53544889.0829633</v>
      </c>
    </row>
    <row r="165" customFormat="false" ht="15" hidden="false" customHeight="false" outlineLevel="0" collapsed="false">
      <c r="A165" s="19" t="n">
        <v>164</v>
      </c>
      <c r="B165" s="19" t="n">
        <f aca="false">ROUNDUP(A165/12,0)</f>
        <v>14</v>
      </c>
      <c r="C165" s="19" t="n">
        <f aca="false">Age+B165-1</f>
        <v>75</v>
      </c>
      <c r="D165" s="20" t="n">
        <f aca="false">MonthlyExp*(1+Inflation)^(B165-1)</f>
        <v>120492.250009404</v>
      </c>
      <c r="E165" s="20" t="n">
        <f aca="false">J164</f>
        <v>3488057.17736741</v>
      </c>
      <c r="F165" s="20" t="n">
        <f aca="false">E165*B1Ret/12</f>
        <v>20347.0002013099</v>
      </c>
      <c r="G165" s="20" t="n">
        <f aca="false">D165</f>
        <v>120492.250009404</v>
      </c>
      <c r="H165" s="20" t="n">
        <v>0</v>
      </c>
      <c r="I165" s="20" t="n">
        <f aca="false">H165</f>
        <v>0</v>
      </c>
      <c r="J165" s="20" t="n">
        <f aca="false">E165+F165-G165+I165</f>
        <v>3387911.92755932</v>
      </c>
      <c r="K165" s="20" t="n">
        <f aca="false">O164</f>
        <v>5802862.98090312</v>
      </c>
      <c r="L165" s="20" t="n">
        <f aca="false">K165*B2Ret/12</f>
        <v>43521.4723567734</v>
      </c>
      <c r="M165" s="20" t="n">
        <f aca="false">-I165</f>
        <v>-0</v>
      </c>
      <c r="N165" s="20" t="n">
        <v>0</v>
      </c>
      <c r="O165" s="20" t="n">
        <f aca="false">K165+L165+M165+N165</f>
        <v>5846384.45325989</v>
      </c>
      <c r="P165" s="20" t="n">
        <f aca="false">S164</f>
        <v>44253968.9246928</v>
      </c>
      <c r="Q165" s="20" t="n">
        <f aca="false">P165*B3Ret/12</f>
        <v>405661.381809684</v>
      </c>
      <c r="R165" s="20" t="n">
        <f aca="false">-N165</f>
        <v>-0</v>
      </c>
      <c r="S165" s="20" t="n">
        <f aca="false">P165+Q165+R165</f>
        <v>44659630.3065025</v>
      </c>
      <c r="T165" s="20" t="n">
        <f aca="false">J165+O165+S165</f>
        <v>53893926.6873217</v>
      </c>
    </row>
    <row r="166" customFormat="false" ht="15" hidden="false" customHeight="false" outlineLevel="0" collapsed="false">
      <c r="A166" s="19" t="n">
        <v>165</v>
      </c>
      <c r="B166" s="19" t="n">
        <f aca="false">ROUNDUP(A166/12,0)</f>
        <v>14</v>
      </c>
      <c r="C166" s="19" t="n">
        <f aca="false">Age+B166-1</f>
        <v>75</v>
      </c>
      <c r="D166" s="20" t="n">
        <f aca="false">MonthlyExp*(1+Inflation)^(B166-1)</f>
        <v>120492.250009404</v>
      </c>
      <c r="E166" s="20" t="n">
        <f aca="false">J165</f>
        <v>3387911.92755932</v>
      </c>
      <c r="F166" s="20" t="n">
        <f aca="false">E166*B1Ret/12</f>
        <v>19762.8195774294</v>
      </c>
      <c r="G166" s="20" t="n">
        <f aca="false">D166</f>
        <v>120492.250009404</v>
      </c>
      <c r="H166" s="20" t="n">
        <v>0</v>
      </c>
      <c r="I166" s="20" t="n">
        <f aca="false">H166</f>
        <v>0</v>
      </c>
      <c r="J166" s="20" t="n">
        <f aca="false">E166+F166-G166+I166</f>
        <v>3287182.49712735</v>
      </c>
      <c r="K166" s="20" t="n">
        <f aca="false">O165</f>
        <v>5846384.45325989</v>
      </c>
      <c r="L166" s="20" t="n">
        <f aca="false">K166*B2Ret/12</f>
        <v>43847.8833994492</v>
      </c>
      <c r="M166" s="20" t="n">
        <f aca="false">-I166</f>
        <v>-0</v>
      </c>
      <c r="N166" s="20" t="n">
        <v>0</v>
      </c>
      <c r="O166" s="20" t="n">
        <f aca="false">K166+L166+M166+N166</f>
        <v>5890232.33665934</v>
      </c>
      <c r="P166" s="20" t="n">
        <f aca="false">S165</f>
        <v>44659630.3065025</v>
      </c>
      <c r="Q166" s="20" t="n">
        <f aca="false">P166*B3Ret/12</f>
        <v>409379.944476273</v>
      </c>
      <c r="R166" s="20" t="n">
        <f aca="false">-N166</f>
        <v>-0</v>
      </c>
      <c r="S166" s="20" t="n">
        <f aca="false">P166+Q166+R166</f>
        <v>45069010.2509787</v>
      </c>
      <c r="T166" s="20" t="n">
        <f aca="false">J166+O166+S166</f>
        <v>54246425.0847654</v>
      </c>
    </row>
    <row r="167" customFormat="false" ht="15" hidden="false" customHeight="false" outlineLevel="0" collapsed="false">
      <c r="A167" s="19" t="n">
        <v>166</v>
      </c>
      <c r="B167" s="19" t="n">
        <f aca="false">ROUNDUP(A167/12,0)</f>
        <v>14</v>
      </c>
      <c r="C167" s="19" t="n">
        <f aca="false">Age+B167-1</f>
        <v>75</v>
      </c>
      <c r="D167" s="20" t="n">
        <f aca="false">MonthlyExp*(1+Inflation)^(B167-1)</f>
        <v>120492.250009404</v>
      </c>
      <c r="E167" s="20" t="n">
        <f aca="false">J166</f>
        <v>3287182.49712735</v>
      </c>
      <c r="F167" s="20" t="n">
        <f aca="false">E167*B1Ret/12</f>
        <v>19175.2312332428</v>
      </c>
      <c r="G167" s="20" t="n">
        <f aca="false">D167</f>
        <v>120492.250009404</v>
      </c>
      <c r="H167" s="20" t="n">
        <v>0</v>
      </c>
      <c r="I167" s="20" t="n">
        <f aca="false">H167</f>
        <v>0</v>
      </c>
      <c r="J167" s="20" t="n">
        <f aca="false">E167+F167-G167+I167</f>
        <v>3185865.47835118</v>
      </c>
      <c r="K167" s="20" t="n">
        <f aca="false">O166</f>
        <v>5890232.33665934</v>
      </c>
      <c r="L167" s="20" t="n">
        <f aca="false">K167*B2Ret/12</f>
        <v>44176.7425249451</v>
      </c>
      <c r="M167" s="20" t="n">
        <f aca="false">-I167</f>
        <v>-0</v>
      </c>
      <c r="N167" s="20" t="n">
        <v>0</v>
      </c>
      <c r="O167" s="20" t="n">
        <f aca="false">K167+L167+M167+N167</f>
        <v>5934409.07918429</v>
      </c>
      <c r="P167" s="20" t="n">
        <f aca="false">S166</f>
        <v>45069010.2509787</v>
      </c>
      <c r="Q167" s="20" t="n">
        <f aca="false">P167*B3Ret/12</f>
        <v>413132.593967305</v>
      </c>
      <c r="R167" s="20" t="n">
        <f aca="false">-N167</f>
        <v>-0</v>
      </c>
      <c r="S167" s="20" t="n">
        <f aca="false">P167+Q167+R167</f>
        <v>45482142.844946</v>
      </c>
      <c r="T167" s="20" t="n">
        <f aca="false">J167+O167+S167</f>
        <v>54602417.4024815</v>
      </c>
    </row>
    <row r="168" customFormat="false" ht="15" hidden="false" customHeight="false" outlineLevel="0" collapsed="false">
      <c r="A168" s="19" t="n">
        <v>167</v>
      </c>
      <c r="B168" s="19" t="n">
        <f aca="false">ROUNDUP(A168/12,0)</f>
        <v>14</v>
      </c>
      <c r="C168" s="19" t="n">
        <f aca="false">Age+B168-1</f>
        <v>75</v>
      </c>
      <c r="D168" s="20" t="n">
        <f aca="false">MonthlyExp*(1+Inflation)^(B168-1)</f>
        <v>120492.250009404</v>
      </c>
      <c r="E168" s="20" t="n">
        <f aca="false">J167</f>
        <v>3185865.47835118</v>
      </c>
      <c r="F168" s="20" t="n">
        <f aca="false">E168*B1Ret/12</f>
        <v>18584.2152903819</v>
      </c>
      <c r="G168" s="20" t="n">
        <f aca="false">D168</f>
        <v>120492.250009404</v>
      </c>
      <c r="H168" s="20" t="n">
        <v>0</v>
      </c>
      <c r="I168" s="20" t="n">
        <f aca="false">H168</f>
        <v>0</v>
      </c>
      <c r="J168" s="20" t="n">
        <f aca="false">E168+F168-G168+I168</f>
        <v>3083957.44363216</v>
      </c>
      <c r="K168" s="20" t="n">
        <f aca="false">O167</f>
        <v>5934409.07918429</v>
      </c>
      <c r="L168" s="20" t="n">
        <f aca="false">K168*B2Ret/12</f>
        <v>44508.0680938821</v>
      </c>
      <c r="M168" s="20" t="n">
        <f aca="false">-I168</f>
        <v>-0</v>
      </c>
      <c r="N168" s="20" t="n">
        <v>0</v>
      </c>
      <c r="O168" s="20" t="n">
        <f aca="false">K168+L168+M168+N168</f>
        <v>5978917.14727817</v>
      </c>
      <c r="P168" s="20" t="n">
        <f aca="false">S167</f>
        <v>45482142.844946</v>
      </c>
      <c r="Q168" s="20" t="n">
        <f aca="false">P168*B3Ret/12</f>
        <v>416919.642745339</v>
      </c>
      <c r="R168" s="20" t="n">
        <f aca="false">-N168</f>
        <v>-0</v>
      </c>
      <c r="S168" s="20" t="n">
        <f aca="false">P168+Q168+R168</f>
        <v>45899062.4876914</v>
      </c>
      <c r="T168" s="20" t="n">
        <f aca="false">J168+O168+S168</f>
        <v>54961937.0786017</v>
      </c>
    </row>
    <row r="169" customFormat="false" ht="15" hidden="false" customHeight="false" outlineLevel="0" collapsed="false">
      <c r="A169" s="19" t="n">
        <v>168</v>
      </c>
      <c r="B169" s="19" t="n">
        <f aca="false">ROUNDUP(A169/12,0)</f>
        <v>14</v>
      </c>
      <c r="C169" s="19" t="n">
        <f aca="false">Age+B169-1</f>
        <v>75</v>
      </c>
      <c r="D169" s="20" t="n">
        <f aca="false">MonthlyExp*(1+Inflation)^(B169-1)</f>
        <v>120492.250009404</v>
      </c>
      <c r="E169" s="20" t="n">
        <f aca="false">J168</f>
        <v>3083957.44363216</v>
      </c>
      <c r="F169" s="20" t="n">
        <f aca="false">E169*B1Ret/12</f>
        <v>17989.7517545209</v>
      </c>
      <c r="G169" s="20" t="n">
        <f aca="false">D169</f>
        <v>120492.250009404</v>
      </c>
      <c r="H169" s="20" t="n">
        <v>0</v>
      </c>
      <c r="I169" s="20" t="n">
        <f aca="false">H169</f>
        <v>0</v>
      </c>
      <c r="J169" s="20" t="n">
        <f aca="false">E169+F169-G169+I169</f>
        <v>2981454.94537728</v>
      </c>
      <c r="K169" s="20" t="n">
        <f aca="false">O168</f>
        <v>5978917.14727817</v>
      </c>
      <c r="L169" s="20" t="n">
        <f aca="false">K169*B2Ret/12</f>
        <v>44841.8786045863</v>
      </c>
      <c r="M169" s="20" t="n">
        <f aca="false">-I169</f>
        <v>-0</v>
      </c>
      <c r="N169" s="20" t="n">
        <v>0</v>
      </c>
      <c r="O169" s="20" t="n">
        <f aca="false">K169+L169+M169+N169</f>
        <v>6023759.02588275</v>
      </c>
      <c r="P169" s="20" t="n">
        <f aca="false">S168</f>
        <v>45899062.4876914</v>
      </c>
      <c r="Q169" s="20" t="n">
        <f aca="false">P169*B3Ret/12</f>
        <v>420741.406137171</v>
      </c>
      <c r="R169" s="20" t="n">
        <f aca="false">-N169</f>
        <v>-0</v>
      </c>
      <c r="S169" s="20" t="n">
        <f aca="false">P169+Q169+R169</f>
        <v>46319803.8938285</v>
      </c>
      <c r="T169" s="20" t="n">
        <f aca="false">J169+O169+S169</f>
        <v>55325017.8650886</v>
      </c>
    </row>
    <row r="170" customFormat="false" ht="15" hidden="false" customHeight="false" outlineLevel="0" collapsed="false">
      <c r="A170" s="19" t="n">
        <v>169</v>
      </c>
      <c r="B170" s="19" t="n">
        <f aca="false">ROUNDUP(A170/12,0)</f>
        <v>15</v>
      </c>
      <c r="C170" s="19" t="n">
        <f aca="false">Age+B170-1</f>
        <v>76</v>
      </c>
      <c r="D170" s="20" t="n">
        <f aca="false">MonthlyExp*(1+Inflation)^(B170-1)</f>
        <v>128926.707510062</v>
      </c>
      <c r="E170" s="20" t="n">
        <f aca="false">J169</f>
        <v>2981454.94537728</v>
      </c>
      <c r="F170" s="20" t="n">
        <f aca="false">E170*B1Ret/12</f>
        <v>17391.8205147008</v>
      </c>
      <c r="G170" s="20" t="n">
        <f aca="false">D170</f>
        <v>128926.707510062</v>
      </c>
      <c r="H170" s="20" t="n">
        <v>0</v>
      </c>
      <c r="I170" s="20" t="n">
        <f aca="false">H170</f>
        <v>0</v>
      </c>
      <c r="J170" s="20" t="n">
        <f aca="false">E170+F170-G170+I170</f>
        <v>2869920.05838192</v>
      </c>
      <c r="K170" s="20" t="n">
        <f aca="false">O169</f>
        <v>6023759.02588275</v>
      </c>
      <c r="L170" s="20" t="n">
        <f aca="false">K170*B2Ret/12</f>
        <v>45178.1926941207</v>
      </c>
      <c r="M170" s="20" t="n">
        <f aca="false">-I170</f>
        <v>-0</v>
      </c>
      <c r="N170" s="20" t="n">
        <v>0</v>
      </c>
      <c r="O170" s="20" t="n">
        <f aca="false">K170+L170+M170+N170</f>
        <v>6068937.21857688</v>
      </c>
      <c r="P170" s="20" t="n">
        <f aca="false">S169</f>
        <v>46319803.8938285</v>
      </c>
      <c r="Q170" s="20" t="n">
        <f aca="false">P170*B3Ret/12</f>
        <v>424598.202360095</v>
      </c>
      <c r="R170" s="20" t="n">
        <f aca="false">-N170</f>
        <v>-0</v>
      </c>
      <c r="S170" s="20" t="n">
        <f aca="false">P170+Q170+R170</f>
        <v>46744402.0961886</v>
      </c>
      <c r="T170" s="20" t="n">
        <f aca="false">J170+O170+S170</f>
        <v>55683259.3731474</v>
      </c>
    </row>
    <row r="171" customFormat="false" ht="15" hidden="false" customHeight="false" outlineLevel="0" collapsed="false">
      <c r="A171" s="19" t="n">
        <v>170</v>
      </c>
      <c r="B171" s="19" t="n">
        <f aca="false">ROUNDUP(A171/12,0)</f>
        <v>15</v>
      </c>
      <c r="C171" s="19" t="n">
        <f aca="false">Age+B171-1</f>
        <v>76</v>
      </c>
      <c r="D171" s="20" t="n">
        <f aca="false">MonthlyExp*(1+Inflation)^(B171-1)</f>
        <v>128926.707510062</v>
      </c>
      <c r="E171" s="20" t="n">
        <f aca="false">J170</f>
        <v>2869920.05838192</v>
      </c>
      <c r="F171" s="20" t="n">
        <f aca="false">E171*B1Ret/12</f>
        <v>16741.2003405612</v>
      </c>
      <c r="G171" s="20" t="n">
        <f aca="false">D171</f>
        <v>128926.707510062</v>
      </c>
      <c r="H171" s="20" t="n">
        <v>0</v>
      </c>
      <c r="I171" s="20" t="n">
        <f aca="false">H171</f>
        <v>0</v>
      </c>
      <c r="J171" s="20" t="n">
        <f aca="false">E171+F171-G171+I171</f>
        <v>2757734.55121242</v>
      </c>
      <c r="K171" s="20" t="n">
        <f aca="false">O170</f>
        <v>6068937.21857688</v>
      </c>
      <c r="L171" s="20" t="n">
        <f aca="false">K171*B2Ret/12</f>
        <v>45517.0291393266</v>
      </c>
      <c r="M171" s="20" t="n">
        <f aca="false">-I171</f>
        <v>-0</v>
      </c>
      <c r="N171" s="20" t="n">
        <v>0</v>
      </c>
      <c r="O171" s="20" t="n">
        <f aca="false">K171+L171+M171+N171</f>
        <v>6114454.2477162</v>
      </c>
      <c r="P171" s="20" t="n">
        <f aca="false">S170</f>
        <v>46744402.0961886</v>
      </c>
      <c r="Q171" s="20" t="n">
        <f aca="false">P171*B3Ret/12</f>
        <v>428490.352548396</v>
      </c>
      <c r="R171" s="20" t="n">
        <f aca="false">-N171</f>
        <v>-0</v>
      </c>
      <c r="S171" s="20" t="n">
        <f aca="false">P171+Q171+R171</f>
        <v>47172892.448737</v>
      </c>
      <c r="T171" s="20" t="n">
        <f aca="false">J171+O171+S171</f>
        <v>56045081.2476656</v>
      </c>
    </row>
    <row r="172" customFormat="false" ht="15" hidden="false" customHeight="false" outlineLevel="0" collapsed="false">
      <c r="A172" s="19" t="n">
        <v>171</v>
      </c>
      <c r="B172" s="19" t="n">
        <f aca="false">ROUNDUP(A172/12,0)</f>
        <v>15</v>
      </c>
      <c r="C172" s="19" t="n">
        <f aca="false">Age+B172-1</f>
        <v>76</v>
      </c>
      <c r="D172" s="20" t="n">
        <f aca="false">MonthlyExp*(1+Inflation)^(B172-1)</f>
        <v>128926.707510062</v>
      </c>
      <c r="E172" s="20" t="n">
        <f aca="false">J171</f>
        <v>2757734.55121242</v>
      </c>
      <c r="F172" s="20" t="n">
        <f aca="false">E172*B1Ret/12</f>
        <v>16086.7848820724</v>
      </c>
      <c r="G172" s="20" t="n">
        <f aca="false">D172</f>
        <v>128926.707510062</v>
      </c>
      <c r="H172" s="20" t="n">
        <v>0</v>
      </c>
      <c r="I172" s="20" t="n">
        <f aca="false">H172</f>
        <v>0</v>
      </c>
      <c r="J172" s="20" t="n">
        <f aca="false">E172+F172-G172+I172</f>
        <v>2644894.62858443</v>
      </c>
      <c r="K172" s="20" t="n">
        <f aca="false">O171</f>
        <v>6114454.2477162</v>
      </c>
      <c r="L172" s="20" t="n">
        <f aca="false">K172*B2Ret/12</f>
        <v>45858.4068578715</v>
      </c>
      <c r="M172" s="20" t="n">
        <f aca="false">-I172</f>
        <v>-0</v>
      </c>
      <c r="N172" s="20" t="n">
        <v>0</v>
      </c>
      <c r="O172" s="20" t="n">
        <f aca="false">K172+L172+M172+N172</f>
        <v>6160312.65457407</v>
      </c>
      <c r="P172" s="20" t="n">
        <f aca="false">S171</f>
        <v>47172892.448737</v>
      </c>
      <c r="Q172" s="20" t="n">
        <f aca="false">P172*B3Ret/12</f>
        <v>432418.180780089</v>
      </c>
      <c r="R172" s="20" t="n">
        <f aca="false">-N172</f>
        <v>-0</v>
      </c>
      <c r="S172" s="20" t="n">
        <f aca="false">P172+Q172+R172</f>
        <v>47605310.6295171</v>
      </c>
      <c r="T172" s="20" t="n">
        <f aca="false">J172+O172+S172</f>
        <v>56410517.9126756</v>
      </c>
    </row>
    <row r="173" customFormat="false" ht="15" hidden="false" customHeight="false" outlineLevel="0" collapsed="false">
      <c r="A173" s="19" t="n">
        <v>172</v>
      </c>
      <c r="B173" s="19" t="n">
        <f aca="false">ROUNDUP(A173/12,0)</f>
        <v>15</v>
      </c>
      <c r="C173" s="19" t="n">
        <f aca="false">Age+B173-1</f>
        <v>76</v>
      </c>
      <c r="D173" s="20" t="n">
        <f aca="false">MonthlyExp*(1+Inflation)^(B173-1)</f>
        <v>128926.707510062</v>
      </c>
      <c r="E173" s="20" t="n">
        <f aca="false">J172</f>
        <v>2644894.62858443</v>
      </c>
      <c r="F173" s="20" t="n">
        <f aca="false">E173*B1Ret/12</f>
        <v>15428.5520000758</v>
      </c>
      <c r="G173" s="20" t="n">
        <f aca="false">D173</f>
        <v>128926.707510062</v>
      </c>
      <c r="H173" s="20" t="n">
        <v>0</v>
      </c>
      <c r="I173" s="20" t="n">
        <f aca="false">H173</f>
        <v>0</v>
      </c>
      <c r="J173" s="20" t="n">
        <f aca="false">E173+F173-G173+I173</f>
        <v>2531396.47307444</v>
      </c>
      <c r="K173" s="20" t="n">
        <f aca="false">O172</f>
        <v>6160312.65457407</v>
      </c>
      <c r="L173" s="20" t="n">
        <f aca="false">K173*B2Ret/12</f>
        <v>46202.3449093055</v>
      </c>
      <c r="M173" s="20" t="n">
        <f aca="false">-I173</f>
        <v>-0</v>
      </c>
      <c r="N173" s="20" t="n">
        <v>0</v>
      </c>
      <c r="O173" s="20" t="n">
        <f aca="false">K173+L173+M173+N173</f>
        <v>6206514.99948338</v>
      </c>
      <c r="P173" s="20" t="n">
        <f aca="false">S172</f>
        <v>47605310.6295171</v>
      </c>
      <c r="Q173" s="20" t="n">
        <f aca="false">P173*B3Ret/12</f>
        <v>436382.014103907</v>
      </c>
      <c r="R173" s="20" t="n">
        <f aca="false">-N173</f>
        <v>-0</v>
      </c>
      <c r="S173" s="20" t="n">
        <f aca="false">P173+Q173+R173</f>
        <v>48041692.643621</v>
      </c>
      <c r="T173" s="20" t="n">
        <f aca="false">J173+O173+S173</f>
        <v>56779604.1161788</v>
      </c>
    </row>
    <row r="174" customFormat="false" ht="15" hidden="false" customHeight="false" outlineLevel="0" collapsed="false">
      <c r="A174" s="19" t="n">
        <v>173</v>
      </c>
      <c r="B174" s="19" t="n">
        <f aca="false">ROUNDUP(A174/12,0)</f>
        <v>15</v>
      </c>
      <c r="C174" s="19" t="n">
        <f aca="false">Age+B174-1</f>
        <v>76</v>
      </c>
      <c r="D174" s="20" t="n">
        <f aca="false">MonthlyExp*(1+Inflation)^(B174-1)</f>
        <v>128926.707510062</v>
      </c>
      <c r="E174" s="20" t="n">
        <f aca="false">J173</f>
        <v>2531396.47307444</v>
      </c>
      <c r="F174" s="20" t="n">
        <f aca="false">E174*B1Ret/12</f>
        <v>14766.4794262676</v>
      </c>
      <c r="G174" s="20" t="n">
        <f aca="false">D174</f>
        <v>128926.707510062</v>
      </c>
      <c r="H174" s="20" t="n">
        <v>0</v>
      </c>
      <c r="I174" s="20" t="n">
        <f aca="false">H174</f>
        <v>0</v>
      </c>
      <c r="J174" s="20" t="n">
        <f aca="false">E174+F174-G174+I174</f>
        <v>2417236.24499064</v>
      </c>
      <c r="K174" s="20" t="n">
        <f aca="false">O173</f>
        <v>6206514.99948338</v>
      </c>
      <c r="L174" s="20" t="n">
        <f aca="false">K174*B2Ret/12</f>
        <v>46548.8624961253</v>
      </c>
      <c r="M174" s="20" t="n">
        <f aca="false">-I174</f>
        <v>-0</v>
      </c>
      <c r="N174" s="20" t="n">
        <v>0</v>
      </c>
      <c r="O174" s="20" t="n">
        <f aca="false">K174+L174+M174+N174</f>
        <v>6253063.8619795</v>
      </c>
      <c r="P174" s="20" t="n">
        <f aca="false">S173</f>
        <v>48041692.643621</v>
      </c>
      <c r="Q174" s="20" t="n">
        <f aca="false">P174*B3Ret/12</f>
        <v>440382.182566526</v>
      </c>
      <c r="R174" s="20" t="n">
        <f aca="false">-N174</f>
        <v>-0</v>
      </c>
      <c r="S174" s="20" t="n">
        <f aca="false">P174+Q174+R174</f>
        <v>48482074.8261875</v>
      </c>
      <c r="T174" s="20" t="n">
        <f aca="false">J174+O174+S174</f>
        <v>57152374.9331577</v>
      </c>
    </row>
    <row r="175" customFormat="false" ht="15" hidden="false" customHeight="false" outlineLevel="0" collapsed="false">
      <c r="A175" s="19" t="n">
        <v>174</v>
      </c>
      <c r="B175" s="19" t="n">
        <f aca="false">ROUNDUP(A175/12,0)</f>
        <v>15</v>
      </c>
      <c r="C175" s="19" t="n">
        <f aca="false">Age+B175-1</f>
        <v>76</v>
      </c>
      <c r="D175" s="20" t="n">
        <f aca="false">MonthlyExp*(1+Inflation)^(B175-1)</f>
        <v>128926.707510062</v>
      </c>
      <c r="E175" s="20" t="n">
        <f aca="false">J174</f>
        <v>2417236.24499064</v>
      </c>
      <c r="F175" s="20" t="n">
        <f aca="false">E175*B1Ret/12</f>
        <v>14100.5447624454</v>
      </c>
      <c r="G175" s="20" t="n">
        <f aca="false">D175</f>
        <v>128926.707510062</v>
      </c>
      <c r="H175" s="20" t="n">
        <v>0</v>
      </c>
      <c r="I175" s="20" t="n">
        <f aca="false">H175</f>
        <v>0</v>
      </c>
      <c r="J175" s="20" t="n">
        <f aca="false">E175+F175-G175+I175</f>
        <v>2302410.08224303</v>
      </c>
      <c r="K175" s="20" t="n">
        <f aca="false">O174</f>
        <v>6253063.8619795</v>
      </c>
      <c r="L175" s="20" t="n">
        <f aca="false">K175*B2Ret/12</f>
        <v>46897.9789648463</v>
      </c>
      <c r="M175" s="20" t="n">
        <f aca="false">-I175</f>
        <v>-0</v>
      </c>
      <c r="N175" s="20" t="n">
        <v>0</v>
      </c>
      <c r="O175" s="20" t="n">
        <f aca="false">K175+L175+M175+N175</f>
        <v>6299961.84094435</v>
      </c>
      <c r="P175" s="20" t="n">
        <f aca="false">S174</f>
        <v>48482074.8261875</v>
      </c>
      <c r="Q175" s="20" t="n">
        <f aca="false">P175*B3Ret/12</f>
        <v>444419.019240053</v>
      </c>
      <c r="R175" s="20" t="n">
        <f aca="false">-N175</f>
        <v>-0</v>
      </c>
      <c r="S175" s="20" t="n">
        <f aca="false">P175+Q175+R175</f>
        <v>48926493.8454276</v>
      </c>
      <c r="T175" s="20" t="n">
        <f aca="false">J175+O175+S175</f>
        <v>57528865.768615</v>
      </c>
    </row>
    <row r="176" customFormat="false" ht="15" hidden="false" customHeight="false" outlineLevel="0" collapsed="false">
      <c r="A176" s="19" t="n">
        <v>175</v>
      </c>
      <c r="B176" s="19" t="n">
        <f aca="false">ROUNDUP(A176/12,0)</f>
        <v>15</v>
      </c>
      <c r="C176" s="19" t="n">
        <f aca="false">Age+B176-1</f>
        <v>76</v>
      </c>
      <c r="D176" s="20" t="n">
        <f aca="false">MonthlyExp*(1+Inflation)^(B176-1)</f>
        <v>128926.707510062</v>
      </c>
      <c r="E176" s="20" t="n">
        <f aca="false">J175</f>
        <v>2302410.08224303</v>
      </c>
      <c r="F176" s="20" t="n">
        <f aca="false">E176*B1Ret/12</f>
        <v>13430.725479751</v>
      </c>
      <c r="G176" s="20" t="n">
        <f aca="false">D176</f>
        <v>128926.707510062</v>
      </c>
      <c r="H176" s="20" t="n">
        <v>0</v>
      </c>
      <c r="I176" s="20" t="n">
        <f aca="false">H176</f>
        <v>0</v>
      </c>
      <c r="J176" s="20" t="n">
        <f aca="false">E176+F176-G176+I176</f>
        <v>2186914.10021272</v>
      </c>
      <c r="K176" s="20" t="n">
        <f aca="false">O175</f>
        <v>6299961.84094435</v>
      </c>
      <c r="L176" s="20" t="n">
        <f aca="false">K176*B2Ret/12</f>
        <v>47249.7138070826</v>
      </c>
      <c r="M176" s="20" t="n">
        <f aca="false">-I176</f>
        <v>-0</v>
      </c>
      <c r="N176" s="20" t="n">
        <v>0</v>
      </c>
      <c r="O176" s="20" t="n">
        <f aca="false">K176+L176+M176+N176</f>
        <v>6347211.55475143</v>
      </c>
      <c r="P176" s="20" t="n">
        <f aca="false">S175</f>
        <v>48926493.8454276</v>
      </c>
      <c r="Q176" s="20" t="n">
        <f aca="false">P176*B3Ret/12</f>
        <v>448492.860249753</v>
      </c>
      <c r="R176" s="20" t="n">
        <f aca="false">-N176</f>
        <v>-0</v>
      </c>
      <c r="S176" s="20" t="n">
        <f aca="false">P176+Q176+R176</f>
        <v>49374986.7056773</v>
      </c>
      <c r="T176" s="20" t="n">
        <f aca="false">J176+O176+S176</f>
        <v>57909112.3606415</v>
      </c>
    </row>
    <row r="177" customFormat="false" ht="15" hidden="false" customHeight="false" outlineLevel="0" collapsed="false">
      <c r="A177" s="19" t="n">
        <v>176</v>
      </c>
      <c r="B177" s="19" t="n">
        <f aca="false">ROUNDUP(A177/12,0)</f>
        <v>15</v>
      </c>
      <c r="C177" s="19" t="n">
        <f aca="false">Age+B177-1</f>
        <v>76</v>
      </c>
      <c r="D177" s="20" t="n">
        <f aca="false">MonthlyExp*(1+Inflation)^(B177-1)</f>
        <v>128926.707510062</v>
      </c>
      <c r="E177" s="20" t="n">
        <f aca="false">J176</f>
        <v>2186914.10021272</v>
      </c>
      <c r="F177" s="20" t="n">
        <f aca="false">E177*B1Ret/12</f>
        <v>12756.9989179075</v>
      </c>
      <c r="G177" s="20" t="n">
        <f aca="false">D177</f>
        <v>128926.707510062</v>
      </c>
      <c r="H177" s="20" t="n">
        <v>0</v>
      </c>
      <c r="I177" s="20" t="n">
        <f aca="false">H177</f>
        <v>0</v>
      </c>
      <c r="J177" s="20" t="n">
        <f aca="false">E177+F177-G177+I177</f>
        <v>2070744.39162056</v>
      </c>
      <c r="K177" s="20" t="n">
        <f aca="false">O176</f>
        <v>6347211.55475143</v>
      </c>
      <c r="L177" s="20" t="n">
        <f aca="false">K177*B2Ret/12</f>
        <v>47604.0866606357</v>
      </c>
      <c r="M177" s="20" t="n">
        <f aca="false">-I177</f>
        <v>-0</v>
      </c>
      <c r="N177" s="20" t="n">
        <v>0</v>
      </c>
      <c r="O177" s="20" t="n">
        <f aca="false">K177+L177+M177+N177</f>
        <v>6394815.64141207</v>
      </c>
      <c r="P177" s="20" t="n">
        <f aca="false">S176</f>
        <v>49374986.7056773</v>
      </c>
      <c r="Q177" s="20" t="n">
        <f aca="false">P177*B3Ret/12</f>
        <v>452604.044802042</v>
      </c>
      <c r="R177" s="20" t="n">
        <f aca="false">-N177</f>
        <v>-0</v>
      </c>
      <c r="S177" s="20" t="n">
        <f aca="false">P177+Q177+R177</f>
        <v>49827590.7504794</v>
      </c>
      <c r="T177" s="20" t="n">
        <f aca="false">J177+O177+S177</f>
        <v>58293150.783512</v>
      </c>
    </row>
    <row r="178" customFormat="false" ht="15" hidden="false" customHeight="false" outlineLevel="0" collapsed="false">
      <c r="A178" s="19" t="n">
        <v>177</v>
      </c>
      <c r="B178" s="19" t="n">
        <f aca="false">ROUNDUP(A178/12,0)</f>
        <v>15</v>
      </c>
      <c r="C178" s="19" t="n">
        <f aca="false">Age+B178-1</f>
        <v>76</v>
      </c>
      <c r="D178" s="20" t="n">
        <f aca="false">MonthlyExp*(1+Inflation)^(B178-1)</f>
        <v>128926.707510062</v>
      </c>
      <c r="E178" s="20" t="n">
        <f aca="false">J177</f>
        <v>2070744.39162056</v>
      </c>
      <c r="F178" s="20" t="n">
        <f aca="false">E178*B1Ret/12</f>
        <v>12079.3422844533</v>
      </c>
      <c r="G178" s="20" t="n">
        <f aca="false">D178</f>
        <v>128926.707510062</v>
      </c>
      <c r="H178" s="20" t="n">
        <v>0</v>
      </c>
      <c r="I178" s="20" t="n">
        <f aca="false">H178</f>
        <v>0</v>
      </c>
      <c r="J178" s="20" t="n">
        <f aca="false">E178+F178-G178+I178</f>
        <v>1953897.02639495</v>
      </c>
      <c r="K178" s="20" t="n">
        <f aca="false">O177</f>
        <v>6394815.64141207</v>
      </c>
      <c r="L178" s="20" t="n">
        <f aca="false">K178*B2Ret/12</f>
        <v>47961.1173105905</v>
      </c>
      <c r="M178" s="20" t="n">
        <f aca="false">-I178</f>
        <v>-0</v>
      </c>
      <c r="N178" s="20" t="n">
        <v>0</v>
      </c>
      <c r="O178" s="20" t="n">
        <f aca="false">K178+L178+M178+N178</f>
        <v>6442776.75872266</v>
      </c>
      <c r="P178" s="20" t="n">
        <f aca="false">S177</f>
        <v>49827590.7504794</v>
      </c>
      <c r="Q178" s="20" t="n">
        <f aca="false">P178*B3Ret/12</f>
        <v>456752.915212728</v>
      </c>
      <c r="R178" s="20" t="n">
        <f aca="false">-N178</f>
        <v>-0</v>
      </c>
      <c r="S178" s="20" t="n">
        <f aca="false">P178+Q178+R178</f>
        <v>50284343.6656921</v>
      </c>
      <c r="T178" s="20" t="n">
        <f aca="false">J178+O178+S178</f>
        <v>58681017.4508097</v>
      </c>
    </row>
    <row r="179" customFormat="false" ht="15" hidden="false" customHeight="false" outlineLevel="0" collapsed="false">
      <c r="A179" s="19" t="n">
        <v>178</v>
      </c>
      <c r="B179" s="19" t="n">
        <f aca="false">ROUNDUP(A179/12,0)</f>
        <v>15</v>
      </c>
      <c r="C179" s="19" t="n">
        <f aca="false">Age+B179-1</f>
        <v>76</v>
      </c>
      <c r="D179" s="20" t="n">
        <f aca="false">MonthlyExp*(1+Inflation)^(B179-1)</f>
        <v>128926.707510062</v>
      </c>
      <c r="E179" s="20" t="n">
        <f aca="false">J178</f>
        <v>1953897.02639495</v>
      </c>
      <c r="F179" s="20" t="n">
        <f aca="false">E179*B1Ret/12</f>
        <v>11397.7326539706</v>
      </c>
      <c r="G179" s="20" t="n">
        <f aca="false">D179</f>
        <v>128926.707510062</v>
      </c>
      <c r="H179" s="20" t="n">
        <v>0</v>
      </c>
      <c r="I179" s="20" t="n">
        <f aca="false">H179</f>
        <v>0</v>
      </c>
      <c r="J179" s="20" t="n">
        <f aca="false">E179+F179-G179+I179</f>
        <v>1836368.05153886</v>
      </c>
      <c r="K179" s="20" t="n">
        <f aca="false">O178</f>
        <v>6442776.75872266</v>
      </c>
      <c r="L179" s="20" t="n">
        <f aca="false">K179*B2Ret/12</f>
        <v>48320.8256904199</v>
      </c>
      <c r="M179" s="20" t="n">
        <f aca="false">-I179</f>
        <v>-0</v>
      </c>
      <c r="N179" s="20" t="n">
        <v>0</v>
      </c>
      <c r="O179" s="20" t="n">
        <f aca="false">K179+L179+M179+N179</f>
        <v>6491097.58441308</v>
      </c>
      <c r="P179" s="20" t="n">
        <f aca="false">S178</f>
        <v>50284343.6656921</v>
      </c>
      <c r="Q179" s="20" t="n">
        <f aca="false">P179*B3Ret/12</f>
        <v>460939.816935511</v>
      </c>
      <c r="R179" s="20" t="n">
        <f aca="false">-N179</f>
        <v>-0</v>
      </c>
      <c r="S179" s="20" t="n">
        <f aca="false">P179+Q179+R179</f>
        <v>50745283.4826276</v>
      </c>
      <c r="T179" s="20" t="n">
        <f aca="false">J179+O179+S179</f>
        <v>59072749.1185796</v>
      </c>
    </row>
    <row r="180" customFormat="false" ht="15" hidden="false" customHeight="false" outlineLevel="0" collapsed="false">
      <c r="A180" s="19" t="n">
        <v>179</v>
      </c>
      <c r="B180" s="19" t="n">
        <f aca="false">ROUNDUP(A180/12,0)</f>
        <v>15</v>
      </c>
      <c r="C180" s="19" t="n">
        <f aca="false">Age+B180-1</f>
        <v>76</v>
      </c>
      <c r="D180" s="20" t="n">
        <f aca="false">MonthlyExp*(1+Inflation)^(B180-1)</f>
        <v>128926.707510062</v>
      </c>
      <c r="E180" s="20" t="n">
        <f aca="false">J179</f>
        <v>1836368.05153886</v>
      </c>
      <c r="F180" s="20" t="n">
        <f aca="false">E180*B1Ret/12</f>
        <v>10712.14696731</v>
      </c>
      <c r="G180" s="20" t="n">
        <f aca="false">D180</f>
        <v>128926.707510062</v>
      </c>
      <c r="H180" s="20" t="n">
        <v>0</v>
      </c>
      <c r="I180" s="20" t="n">
        <f aca="false">H180</f>
        <v>0</v>
      </c>
      <c r="J180" s="20" t="n">
        <f aca="false">E180+F180-G180+I180</f>
        <v>1718153.49099611</v>
      </c>
      <c r="K180" s="20" t="n">
        <f aca="false">O179</f>
        <v>6491097.58441308</v>
      </c>
      <c r="L180" s="20" t="n">
        <f aca="false">K180*B2Ret/12</f>
        <v>48683.2318830981</v>
      </c>
      <c r="M180" s="20" t="n">
        <f aca="false">-I180</f>
        <v>-0</v>
      </c>
      <c r="N180" s="20" t="n">
        <v>0</v>
      </c>
      <c r="O180" s="20" t="n">
        <f aca="false">K180+L180+M180+N180</f>
        <v>6539780.81629618</v>
      </c>
      <c r="P180" s="20" t="n">
        <f aca="false">S179</f>
        <v>50745283.4826276</v>
      </c>
      <c r="Q180" s="20" t="n">
        <f aca="false">P180*B3Ret/12</f>
        <v>465165.098590753</v>
      </c>
      <c r="R180" s="20" t="n">
        <f aca="false">-N180</f>
        <v>-0</v>
      </c>
      <c r="S180" s="20" t="n">
        <f aca="false">P180+Q180+R180</f>
        <v>51210448.5812184</v>
      </c>
      <c r="T180" s="20" t="n">
        <f aca="false">J180+O180+S180</f>
        <v>59468382.8885107</v>
      </c>
    </row>
    <row r="181" customFormat="false" ht="15" hidden="false" customHeight="false" outlineLevel="0" collapsed="false">
      <c r="A181" s="19" t="n">
        <v>180</v>
      </c>
      <c r="B181" s="19" t="n">
        <f aca="false">ROUNDUP(A181/12,0)</f>
        <v>15</v>
      </c>
      <c r="C181" s="19" t="n">
        <f aca="false">Age+B181-1</f>
        <v>76</v>
      </c>
      <c r="D181" s="20" t="n">
        <f aca="false">MonthlyExp*(1+Inflation)^(B181-1)</f>
        <v>128926.707510062</v>
      </c>
      <c r="E181" s="20" t="n">
        <f aca="false">J180</f>
        <v>1718153.49099611</v>
      </c>
      <c r="F181" s="20" t="n">
        <f aca="false">E181*B1Ret/12</f>
        <v>10022.5620308106</v>
      </c>
      <c r="G181" s="20" t="n">
        <f aca="false">D181</f>
        <v>128926.707510062</v>
      </c>
      <c r="H181" s="20" t="n">
        <f aca="false">MAX(SUM(D182:D241)-(E181+F181-G181),0)</f>
        <v>7920632.8410904</v>
      </c>
      <c r="I181" s="20" t="n">
        <f aca="false">H181</f>
        <v>7920632.8410904</v>
      </c>
      <c r="J181" s="20" t="n">
        <f aca="false">E181+F181-G181+I181</f>
        <v>9519882.18660726</v>
      </c>
      <c r="K181" s="20" t="n">
        <f aca="false">O180</f>
        <v>6539780.81629618</v>
      </c>
      <c r="L181" s="20" t="n">
        <f aca="false">K181*B2Ret/12</f>
        <v>49048.3561222213</v>
      </c>
      <c r="M181" s="20" t="n">
        <f aca="false">-I181</f>
        <v>-7920632.8410904</v>
      </c>
      <c r="N181" s="20" t="n">
        <f aca="false">H181</f>
        <v>7920632.8410904</v>
      </c>
      <c r="O181" s="20" t="n">
        <f aca="false">K181+L181+M181+N181</f>
        <v>6588829.1724184</v>
      </c>
      <c r="P181" s="20" t="n">
        <f aca="false">S180</f>
        <v>51210448.5812184</v>
      </c>
      <c r="Q181" s="20" t="n">
        <f aca="false">P181*B3Ret/12</f>
        <v>469429.111994502</v>
      </c>
      <c r="R181" s="20" t="n">
        <f aca="false">-N181</f>
        <v>-7920632.8410904</v>
      </c>
      <c r="S181" s="20" t="n">
        <f aca="false">P181+Q181+R181</f>
        <v>43759244.8521225</v>
      </c>
      <c r="T181" s="20" t="n">
        <f aca="false">J181+O181+S181</f>
        <v>59867956.2111481</v>
      </c>
    </row>
    <row r="182" customFormat="false" ht="15" hidden="false" customHeight="false" outlineLevel="0" collapsed="false">
      <c r="A182" s="19" t="n">
        <v>181</v>
      </c>
      <c r="B182" s="19" t="n">
        <f aca="false">ROUNDUP(A182/12,0)</f>
        <v>16</v>
      </c>
      <c r="C182" s="19" t="n">
        <f aca="false">Age+B182-1</f>
        <v>77</v>
      </c>
      <c r="D182" s="20" t="n">
        <f aca="false">MonthlyExp*(1+Inflation)^(B182-1)</f>
        <v>137951.577035767</v>
      </c>
      <c r="E182" s="20" t="n">
        <f aca="false">J181</f>
        <v>9519882.18660726</v>
      </c>
      <c r="F182" s="20" t="n">
        <f aca="false">E182*B1Ret/12</f>
        <v>55532.6460885423</v>
      </c>
      <c r="G182" s="20" t="n">
        <f aca="false">D182</f>
        <v>137951.577035767</v>
      </c>
      <c r="H182" s="20" t="n">
        <v>0</v>
      </c>
      <c r="I182" s="20" t="n">
        <f aca="false">H182</f>
        <v>0</v>
      </c>
      <c r="J182" s="20" t="n">
        <f aca="false">E182+F182-G182+I182</f>
        <v>9437463.25566003</v>
      </c>
      <c r="K182" s="20" t="n">
        <f aca="false">O181</f>
        <v>6588829.1724184</v>
      </c>
      <c r="L182" s="20" t="n">
        <f aca="false">K182*B2Ret/12</f>
        <v>49416.218793138</v>
      </c>
      <c r="M182" s="20" t="n">
        <f aca="false">-I182</f>
        <v>-0</v>
      </c>
      <c r="N182" s="20" t="n">
        <v>0</v>
      </c>
      <c r="O182" s="20" t="n">
        <f aca="false">K182+L182+M182+N182</f>
        <v>6638245.39121154</v>
      </c>
      <c r="P182" s="20" t="n">
        <f aca="false">S181</f>
        <v>43759244.8521225</v>
      </c>
      <c r="Q182" s="20" t="n">
        <f aca="false">P182*B3Ret/12</f>
        <v>401126.411144456</v>
      </c>
      <c r="R182" s="20" t="n">
        <f aca="false">-N182</f>
        <v>-0</v>
      </c>
      <c r="S182" s="20" t="n">
        <f aca="false">P182+Q182+R182</f>
        <v>44160371.2632669</v>
      </c>
      <c r="T182" s="20" t="n">
        <f aca="false">J182+O182+S182</f>
        <v>60236079.9101385</v>
      </c>
    </row>
    <row r="183" customFormat="false" ht="15" hidden="false" customHeight="false" outlineLevel="0" collapsed="false">
      <c r="A183" s="19" t="n">
        <v>182</v>
      </c>
      <c r="B183" s="19" t="n">
        <f aca="false">ROUNDUP(A183/12,0)</f>
        <v>16</v>
      </c>
      <c r="C183" s="19" t="n">
        <f aca="false">Age+B183-1</f>
        <v>77</v>
      </c>
      <c r="D183" s="20" t="n">
        <f aca="false">MonthlyExp*(1+Inflation)^(B183-1)</f>
        <v>137951.577035767</v>
      </c>
      <c r="E183" s="20" t="n">
        <f aca="false">J182</f>
        <v>9437463.25566003</v>
      </c>
      <c r="F183" s="20" t="n">
        <f aca="false">E183*B1Ret/12</f>
        <v>55051.8689913502</v>
      </c>
      <c r="G183" s="20" t="n">
        <f aca="false">D183</f>
        <v>137951.577035767</v>
      </c>
      <c r="H183" s="20" t="n">
        <v>0</v>
      </c>
      <c r="I183" s="20" t="n">
        <f aca="false">H183</f>
        <v>0</v>
      </c>
      <c r="J183" s="20" t="n">
        <f aca="false">E183+F183-G183+I183</f>
        <v>9354563.54761562</v>
      </c>
      <c r="K183" s="20" t="n">
        <f aca="false">O182</f>
        <v>6638245.39121154</v>
      </c>
      <c r="L183" s="20" t="n">
        <f aca="false">K183*B2Ret/12</f>
        <v>49786.8404340865</v>
      </c>
      <c r="M183" s="20" t="n">
        <f aca="false">-I183</f>
        <v>-0</v>
      </c>
      <c r="N183" s="20" t="n">
        <v>0</v>
      </c>
      <c r="O183" s="20" t="n">
        <f aca="false">K183+L183+M183+N183</f>
        <v>6688032.23164562</v>
      </c>
      <c r="P183" s="20" t="n">
        <f aca="false">S182</f>
        <v>44160371.2632669</v>
      </c>
      <c r="Q183" s="20" t="n">
        <f aca="false">P183*B3Ret/12</f>
        <v>404803.403246614</v>
      </c>
      <c r="R183" s="20" t="n">
        <f aca="false">-N183</f>
        <v>-0</v>
      </c>
      <c r="S183" s="20" t="n">
        <f aca="false">P183+Q183+R183</f>
        <v>44565174.6665136</v>
      </c>
      <c r="T183" s="20" t="n">
        <f aca="false">J183+O183+S183</f>
        <v>60607770.4457748</v>
      </c>
    </row>
    <row r="184" customFormat="false" ht="15" hidden="false" customHeight="false" outlineLevel="0" collapsed="false">
      <c r="A184" s="19" t="n">
        <v>183</v>
      </c>
      <c r="B184" s="19" t="n">
        <f aca="false">ROUNDUP(A184/12,0)</f>
        <v>16</v>
      </c>
      <c r="C184" s="19" t="n">
        <f aca="false">Age+B184-1</f>
        <v>77</v>
      </c>
      <c r="D184" s="20" t="n">
        <f aca="false">MonthlyExp*(1+Inflation)^(B184-1)</f>
        <v>137951.577035767</v>
      </c>
      <c r="E184" s="20" t="n">
        <f aca="false">J183</f>
        <v>9354563.54761562</v>
      </c>
      <c r="F184" s="20" t="n">
        <f aca="false">E184*B1Ret/12</f>
        <v>54568.2873610911</v>
      </c>
      <c r="G184" s="20" t="n">
        <f aca="false">D184</f>
        <v>137951.577035767</v>
      </c>
      <c r="H184" s="20" t="n">
        <v>0</v>
      </c>
      <c r="I184" s="20" t="n">
        <f aca="false">H184</f>
        <v>0</v>
      </c>
      <c r="J184" s="20" t="n">
        <f aca="false">E184+F184-G184+I184</f>
        <v>9271180.25794094</v>
      </c>
      <c r="K184" s="20" t="n">
        <f aca="false">O183</f>
        <v>6688032.23164562</v>
      </c>
      <c r="L184" s="20" t="n">
        <f aca="false">K184*B2Ret/12</f>
        <v>50160.2417373422</v>
      </c>
      <c r="M184" s="20" t="n">
        <f aca="false">-I184</f>
        <v>-0</v>
      </c>
      <c r="N184" s="20" t="n">
        <v>0</v>
      </c>
      <c r="O184" s="20" t="n">
        <f aca="false">K184+L184+M184+N184</f>
        <v>6738192.47338297</v>
      </c>
      <c r="P184" s="20" t="n">
        <f aca="false">S183</f>
        <v>44565174.6665136</v>
      </c>
      <c r="Q184" s="20" t="n">
        <f aca="false">P184*B3Ret/12</f>
        <v>408514.101109708</v>
      </c>
      <c r="R184" s="20" t="n">
        <f aca="false">-N184</f>
        <v>-0</v>
      </c>
      <c r="S184" s="20" t="n">
        <f aca="false">P184+Q184+R184</f>
        <v>44973688.7676233</v>
      </c>
      <c r="T184" s="20" t="n">
        <f aca="false">J184+O184+S184</f>
        <v>60983061.4989472</v>
      </c>
    </row>
    <row r="185" customFormat="false" ht="15" hidden="false" customHeight="false" outlineLevel="0" collapsed="false">
      <c r="A185" s="19" t="n">
        <v>184</v>
      </c>
      <c r="B185" s="19" t="n">
        <f aca="false">ROUNDUP(A185/12,0)</f>
        <v>16</v>
      </c>
      <c r="C185" s="19" t="n">
        <f aca="false">Age+B185-1</f>
        <v>77</v>
      </c>
      <c r="D185" s="20" t="n">
        <f aca="false">MonthlyExp*(1+Inflation)^(B185-1)</f>
        <v>137951.577035767</v>
      </c>
      <c r="E185" s="20" t="n">
        <f aca="false">J184</f>
        <v>9271180.25794094</v>
      </c>
      <c r="F185" s="20" t="n">
        <f aca="false">E185*B1Ret/12</f>
        <v>54081.8848379888</v>
      </c>
      <c r="G185" s="20" t="n">
        <f aca="false">D185</f>
        <v>137951.577035767</v>
      </c>
      <c r="H185" s="20" t="n">
        <v>0</v>
      </c>
      <c r="I185" s="20" t="n">
        <f aca="false">H185</f>
        <v>0</v>
      </c>
      <c r="J185" s="20" t="n">
        <f aca="false">E185+F185-G185+I185</f>
        <v>9187310.56574316</v>
      </c>
      <c r="K185" s="20" t="n">
        <f aca="false">O184</f>
        <v>6738192.47338297</v>
      </c>
      <c r="L185" s="20" t="n">
        <f aca="false">K185*B2Ret/12</f>
        <v>50536.4435503722</v>
      </c>
      <c r="M185" s="20" t="n">
        <f aca="false">-I185</f>
        <v>-0</v>
      </c>
      <c r="N185" s="20" t="n">
        <v>0</v>
      </c>
      <c r="O185" s="20" t="n">
        <f aca="false">K185+L185+M185+N185</f>
        <v>6788728.91693334</v>
      </c>
      <c r="P185" s="20" t="n">
        <f aca="false">S184</f>
        <v>44973688.7676233</v>
      </c>
      <c r="Q185" s="20" t="n">
        <f aca="false">P185*B3Ret/12</f>
        <v>412258.813703213</v>
      </c>
      <c r="R185" s="20" t="n">
        <f aca="false">-N185</f>
        <v>-0</v>
      </c>
      <c r="S185" s="20" t="n">
        <f aca="false">P185+Q185+R185</f>
        <v>45385947.5813265</v>
      </c>
      <c r="T185" s="20" t="n">
        <f aca="false">J185+O185+S185</f>
        <v>61361987.064003</v>
      </c>
    </row>
    <row r="186" customFormat="false" ht="15" hidden="false" customHeight="false" outlineLevel="0" collapsed="false">
      <c r="A186" s="19" t="n">
        <v>185</v>
      </c>
      <c r="B186" s="19" t="n">
        <f aca="false">ROUNDUP(A186/12,0)</f>
        <v>16</v>
      </c>
      <c r="C186" s="19" t="n">
        <f aca="false">Age+B186-1</f>
        <v>77</v>
      </c>
      <c r="D186" s="20" t="n">
        <f aca="false">MonthlyExp*(1+Inflation)^(B186-1)</f>
        <v>137951.577035767</v>
      </c>
      <c r="E186" s="20" t="n">
        <f aca="false">J185</f>
        <v>9187310.56574316</v>
      </c>
      <c r="F186" s="20" t="n">
        <f aca="false">E186*B1Ret/12</f>
        <v>53592.6449668351</v>
      </c>
      <c r="G186" s="20" t="n">
        <f aca="false">D186</f>
        <v>137951.577035767</v>
      </c>
      <c r="H186" s="20" t="n">
        <v>0</v>
      </c>
      <c r="I186" s="20" t="n">
        <f aca="false">H186</f>
        <v>0</v>
      </c>
      <c r="J186" s="20" t="n">
        <f aca="false">E186+F186-G186+I186</f>
        <v>9102951.63367423</v>
      </c>
      <c r="K186" s="20" t="n">
        <f aca="false">O185</f>
        <v>6788728.91693334</v>
      </c>
      <c r="L186" s="20" t="n">
        <f aca="false">K186*B2Ret/12</f>
        <v>50915.466877</v>
      </c>
      <c r="M186" s="20" t="n">
        <f aca="false">-I186</f>
        <v>-0</v>
      </c>
      <c r="N186" s="20" t="n">
        <v>0</v>
      </c>
      <c r="O186" s="20" t="n">
        <f aca="false">K186+L186+M186+N186</f>
        <v>6839644.38381034</v>
      </c>
      <c r="P186" s="20" t="n">
        <f aca="false">S185</f>
        <v>45385947.5813265</v>
      </c>
      <c r="Q186" s="20" t="n">
        <f aca="false">P186*B3Ret/12</f>
        <v>416037.852828826</v>
      </c>
      <c r="R186" s="20" t="n">
        <f aca="false">-N186</f>
        <v>-0</v>
      </c>
      <c r="S186" s="20" t="n">
        <f aca="false">P186+Q186+R186</f>
        <v>45801985.4341553</v>
      </c>
      <c r="T186" s="20" t="n">
        <f aca="false">J186+O186+S186</f>
        <v>61744581.4516399</v>
      </c>
    </row>
    <row r="187" customFormat="false" ht="15" hidden="false" customHeight="false" outlineLevel="0" collapsed="false">
      <c r="A187" s="19" t="n">
        <v>186</v>
      </c>
      <c r="B187" s="19" t="n">
        <f aca="false">ROUNDUP(A187/12,0)</f>
        <v>16</v>
      </c>
      <c r="C187" s="19" t="n">
        <f aca="false">Age+B187-1</f>
        <v>77</v>
      </c>
      <c r="D187" s="20" t="n">
        <f aca="false">MonthlyExp*(1+Inflation)^(B187-1)</f>
        <v>137951.577035767</v>
      </c>
      <c r="E187" s="20" t="n">
        <f aca="false">J186</f>
        <v>9102951.63367423</v>
      </c>
      <c r="F187" s="20" t="n">
        <f aca="false">E187*B1Ret/12</f>
        <v>53100.551196433</v>
      </c>
      <c r="G187" s="20" t="n">
        <f aca="false">D187</f>
        <v>137951.577035767</v>
      </c>
      <c r="H187" s="20" t="n">
        <v>0</v>
      </c>
      <c r="I187" s="20" t="n">
        <f aca="false">H187</f>
        <v>0</v>
      </c>
      <c r="J187" s="20" t="n">
        <f aca="false">E187+F187-G187+I187</f>
        <v>9018100.6078349</v>
      </c>
      <c r="K187" s="20" t="n">
        <f aca="false">O186</f>
        <v>6839644.38381034</v>
      </c>
      <c r="L187" s="20" t="n">
        <f aca="false">K187*B2Ret/12</f>
        <v>51297.3328785775</v>
      </c>
      <c r="M187" s="20" t="n">
        <f aca="false">-I187</f>
        <v>-0</v>
      </c>
      <c r="N187" s="20" t="n">
        <v>0</v>
      </c>
      <c r="O187" s="20" t="n">
        <f aca="false">K187+L187+M187+N187</f>
        <v>6890941.71668892</v>
      </c>
      <c r="P187" s="20" t="n">
        <f aca="false">S186</f>
        <v>45801985.4341553</v>
      </c>
      <c r="Q187" s="20" t="n">
        <f aca="false">P187*B3Ret/12</f>
        <v>419851.533146424</v>
      </c>
      <c r="R187" s="20" t="n">
        <f aca="false">-N187</f>
        <v>-0</v>
      </c>
      <c r="S187" s="20" t="n">
        <f aca="false">P187+Q187+R187</f>
        <v>46221836.9673017</v>
      </c>
      <c r="T187" s="20" t="n">
        <f aca="false">J187+O187+S187</f>
        <v>62130879.2918255</v>
      </c>
    </row>
    <row r="188" customFormat="false" ht="15" hidden="false" customHeight="false" outlineLevel="0" collapsed="false">
      <c r="A188" s="19" t="n">
        <v>187</v>
      </c>
      <c r="B188" s="19" t="n">
        <f aca="false">ROUNDUP(A188/12,0)</f>
        <v>16</v>
      </c>
      <c r="C188" s="19" t="n">
        <f aca="false">Age+B188-1</f>
        <v>77</v>
      </c>
      <c r="D188" s="20" t="n">
        <f aca="false">MonthlyExp*(1+Inflation)^(B188-1)</f>
        <v>137951.577035767</v>
      </c>
      <c r="E188" s="20" t="n">
        <f aca="false">J187</f>
        <v>9018100.6078349</v>
      </c>
      <c r="F188" s="20" t="n">
        <f aca="false">E188*B1Ret/12</f>
        <v>52605.5868790369</v>
      </c>
      <c r="G188" s="20" t="n">
        <f aca="false">D188</f>
        <v>137951.577035767</v>
      </c>
      <c r="H188" s="20" t="n">
        <v>0</v>
      </c>
      <c r="I188" s="20" t="n">
        <f aca="false">H188</f>
        <v>0</v>
      </c>
      <c r="J188" s="20" t="n">
        <f aca="false">E188+F188-G188+I188</f>
        <v>8932754.61767817</v>
      </c>
      <c r="K188" s="20" t="n">
        <f aca="false">O187</f>
        <v>6890941.71668892</v>
      </c>
      <c r="L188" s="20" t="n">
        <f aca="false">K188*B2Ret/12</f>
        <v>51682.0628751669</v>
      </c>
      <c r="M188" s="20" t="n">
        <f aca="false">-I188</f>
        <v>-0</v>
      </c>
      <c r="N188" s="20" t="n">
        <v>0</v>
      </c>
      <c r="O188" s="20" t="n">
        <f aca="false">K188+L188+M188+N188</f>
        <v>6942623.77956408</v>
      </c>
      <c r="P188" s="20" t="n">
        <f aca="false">S187</f>
        <v>46221836.9673017</v>
      </c>
      <c r="Q188" s="20" t="n">
        <f aca="false">P188*B3Ret/12</f>
        <v>423700.172200266</v>
      </c>
      <c r="R188" s="20" t="n">
        <f aca="false">-N188</f>
        <v>-0</v>
      </c>
      <c r="S188" s="20" t="n">
        <f aca="false">P188+Q188+R188</f>
        <v>46645537.139502</v>
      </c>
      <c r="T188" s="20" t="n">
        <f aca="false">J188+O188+S188</f>
        <v>62520915.5367442</v>
      </c>
    </row>
    <row r="189" customFormat="false" ht="15" hidden="false" customHeight="false" outlineLevel="0" collapsed="false">
      <c r="A189" s="19" t="n">
        <v>188</v>
      </c>
      <c r="B189" s="19" t="n">
        <f aca="false">ROUNDUP(A189/12,0)</f>
        <v>16</v>
      </c>
      <c r="C189" s="19" t="n">
        <f aca="false">Age+B189-1</f>
        <v>77</v>
      </c>
      <c r="D189" s="20" t="n">
        <f aca="false">MonthlyExp*(1+Inflation)^(B189-1)</f>
        <v>137951.577035767</v>
      </c>
      <c r="E189" s="20" t="n">
        <f aca="false">J188</f>
        <v>8932754.61767817</v>
      </c>
      <c r="F189" s="20" t="n">
        <f aca="false">E189*B1Ret/12</f>
        <v>52107.7352697893</v>
      </c>
      <c r="G189" s="20" t="n">
        <f aca="false">D189</f>
        <v>137951.577035767</v>
      </c>
      <c r="H189" s="20" t="n">
        <v>0</v>
      </c>
      <c r="I189" s="20" t="n">
        <f aca="false">H189</f>
        <v>0</v>
      </c>
      <c r="J189" s="20" t="n">
        <f aca="false">E189+F189-G189+I189</f>
        <v>8846910.77591219</v>
      </c>
      <c r="K189" s="20" t="n">
        <f aca="false">O188</f>
        <v>6942623.77956408</v>
      </c>
      <c r="L189" s="20" t="n">
        <f aca="false">K189*B2Ret/12</f>
        <v>52069.6783467306</v>
      </c>
      <c r="M189" s="20" t="n">
        <f aca="false">-I189</f>
        <v>-0</v>
      </c>
      <c r="N189" s="20" t="n">
        <v>0</v>
      </c>
      <c r="O189" s="20" t="n">
        <f aca="false">K189+L189+M189+N189</f>
        <v>6994693.45791081</v>
      </c>
      <c r="P189" s="20" t="n">
        <f aca="false">S188</f>
        <v>46645537.139502</v>
      </c>
      <c r="Q189" s="20" t="n">
        <f aca="false">P189*B3Ret/12</f>
        <v>427584.090445435</v>
      </c>
      <c r="R189" s="20" t="n">
        <f aca="false">-N189</f>
        <v>-0</v>
      </c>
      <c r="S189" s="20" t="n">
        <f aca="false">P189+Q189+R189</f>
        <v>47073121.2299474</v>
      </c>
      <c r="T189" s="20" t="n">
        <f aca="false">J189+O189+S189</f>
        <v>62914725.4637704</v>
      </c>
    </row>
    <row r="190" customFormat="false" ht="15" hidden="false" customHeight="false" outlineLevel="0" collapsed="false">
      <c r="A190" s="19" t="n">
        <v>189</v>
      </c>
      <c r="B190" s="19" t="n">
        <f aca="false">ROUNDUP(A190/12,0)</f>
        <v>16</v>
      </c>
      <c r="C190" s="19" t="n">
        <f aca="false">Age+B190-1</f>
        <v>77</v>
      </c>
      <c r="D190" s="20" t="n">
        <f aca="false">MonthlyExp*(1+Inflation)^(B190-1)</f>
        <v>137951.577035767</v>
      </c>
      <c r="E190" s="20" t="n">
        <f aca="false">J189</f>
        <v>8846910.77591219</v>
      </c>
      <c r="F190" s="20" t="n">
        <f aca="false">E190*B1Ret/12</f>
        <v>51606.9795261545</v>
      </c>
      <c r="G190" s="20" t="n">
        <f aca="false">D190</f>
        <v>137951.577035767</v>
      </c>
      <c r="H190" s="20" t="n">
        <v>0</v>
      </c>
      <c r="I190" s="20" t="n">
        <f aca="false">H190</f>
        <v>0</v>
      </c>
      <c r="J190" s="20" t="n">
        <f aca="false">E190+F190-G190+I190</f>
        <v>8760566.17840258</v>
      </c>
      <c r="K190" s="20" t="n">
        <f aca="false">O189</f>
        <v>6994693.45791081</v>
      </c>
      <c r="L190" s="20" t="n">
        <f aca="false">K190*B2Ret/12</f>
        <v>52460.2009343311</v>
      </c>
      <c r="M190" s="20" t="n">
        <f aca="false">-I190</f>
        <v>-0</v>
      </c>
      <c r="N190" s="20" t="n">
        <v>0</v>
      </c>
      <c r="O190" s="20" t="n">
        <f aca="false">K190+L190+M190+N190</f>
        <v>7047153.65884514</v>
      </c>
      <c r="P190" s="20" t="n">
        <f aca="false">S189</f>
        <v>47073121.2299474</v>
      </c>
      <c r="Q190" s="20" t="n">
        <f aca="false">P190*B3Ret/12</f>
        <v>431503.611274518</v>
      </c>
      <c r="R190" s="20" t="n">
        <f aca="false">-N190</f>
        <v>-0</v>
      </c>
      <c r="S190" s="20" t="n">
        <f aca="false">P190+Q190+R190</f>
        <v>47504624.8412219</v>
      </c>
      <c r="T190" s="20" t="n">
        <f aca="false">J190+O190+S190</f>
        <v>63312344.6784697</v>
      </c>
    </row>
    <row r="191" customFormat="false" ht="15" hidden="false" customHeight="false" outlineLevel="0" collapsed="false">
      <c r="A191" s="19" t="n">
        <v>190</v>
      </c>
      <c r="B191" s="19" t="n">
        <f aca="false">ROUNDUP(A191/12,0)</f>
        <v>16</v>
      </c>
      <c r="C191" s="19" t="n">
        <f aca="false">Age+B191-1</f>
        <v>77</v>
      </c>
      <c r="D191" s="20" t="n">
        <f aca="false">MonthlyExp*(1+Inflation)^(B191-1)</f>
        <v>137951.577035767</v>
      </c>
      <c r="E191" s="20" t="n">
        <f aca="false">J190</f>
        <v>8760566.17840258</v>
      </c>
      <c r="F191" s="20" t="n">
        <f aca="false">E191*B1Ret/12</f>
        <v>51103.3027073484</v>
      </c>
      <c r="G191" s="20" t="n">
        <f aca="false">D191</f>
        <v>137951.577035767</v>
      </c>
      <c r="H191" s="20" t="n">
        <v>0</v>
      </c>
      <c r="I191" s="20" t="n">
        <f aca="false">H191</f>
        <v>0</v>
      </c>
      <c r="J191" s="20" t="n">
        <f aca="false">E191+F191-G191+I191</f>
        <v>8673717.90407416</v>
      </c>
      <c r="K191" s="20" t="n">
        <f aca="false">O190</f>
        <v>7047153.65884514</v>
      </c>
      <c r="L191" s="20" t="n">
        <f aca="false">K191*B2Ret/12</f>
        <v>52853.6524413386</v>
      </c>
      <c r="M191" s="20" t="n">
        <f aca="false">-I191</f>
        <v>-0</v>
      </c>
      <c r="N191" s="20" t="n">
        <v>0</v>
      </c>
      <c r="O191" s="20" t="n">
        <f aca="false">K191+L191+M191+N191</f>
        <v>7100007.31128648</v>
      </c>
      <c r="P191" s="20" t="n">
        <f aca="false">S190</f>
        <v>47504624.8412219</v>
      </c>
      <c r="Q191" s="20" t="n">
        <f aca="false">P191*B3Ret/12</f>
        <v>435459.061044535</v>
      </c>
      <c r="R191" s="20" t="n">
        <f aca="false">-N191</f>
        <v>-0</v>
      </c>
      <c r="S191" s="20" t="n">
        <f aca="false">P191+Q191+R191</f>
        <v>47940083.9022665</v>
      </c>
      <c r="T191" s="20" t="n">
        <f aca="false">J191+O191+S191</f>
        <v>63713809.1176271</v>
      </c>
    </row>
    <row r="192" customFormat="false" ht="15" hidden="false" customHeight="false" outlineLevel="0" collapsed="false">
      <c r="A192" s="19" t="n">
        <v>191</v>
      </c>
      <c r="B192" s="19" t="n">
        <f aca="false">ROUNDUP(A192/12,0)</f>
        <v>16</v>
      </c>
      <c r="C192" s="19" t="n">
        <f aca="false">Age+B192-1</f>
        <v>77</v>
      </c>
      <c r="D192" s="20" t="n">
        <f aca="false">MonthlyExp*(1+Inflation)^(B192-1)</f>
        <v>137951.577035767</v>
      </c>
      <c r="E192" s="20" t="n">
        <f aca="false">J191</f>
        <v>8673717.90407416</v>
      </c>
      <c r="F192" s="20" t="n">
        <f aca="false">E192*B1Ret/12</f>
        <v>50596.687773766</v>
      </c>
      <c r="G192" s="20" t="n">
        <f aca="false">D192</f>
        <v>137951.577035767</v>
      </c>
      <c r="H192" s="20" t="n">
        <v>0</v>
      </c>
      <c r="I192" s="20" t="n">
        <f aca="false">H192</f>
        <v>0</v>
      </c>
      <c r="J192" s="20" t="n">
        <f aca="false">E192+F192-G192+I192</f>
        <v>8586363.01481216</v>
      </c>
      <c r="K192" s="20" t="n">
        <f aca="false">O191</f>
        <v>7100007.31128648</v>
      </c>
      <c r="L192" s="20" t="n">
        <f aca="false">K192*B2Ret/12</f>
        <v>53250.0548346486</v>
      </c>
      <c r="M192" s="20" t="n">
        <f aca="false">-I192</f>
        <v>-0</v>
      </c>
      <c r="N192" s="20" t="n">
        <v>0</v>
      </c>
      <c r="O192" s="20" t="n">
        <f aca="false">K192+L192+M192+N192</f>
        <v>7153257.36612113</v>
      </c>
      <c r="P192" s="20" t="n">
        <f aca="false">S191</f>
        <v>47940083.9022665</v>
      </c>
      <c r="Q192" s="20" t="n">
        <f aca="false">P192*B3Ret/12</f>
        <v>439450.769104109</v>
      </c>
      <c r="R192" s="20" t="n">
        <f aca="false">-N192</f>
        <v>-0</v>
      </c>
      <c r="S192" s="20" t="n">
        <f aca="false">P192+Q192+R192</f>
        <v>48379534.6713706</v>
      </c>
      <c r="T192" s="20" t="n">
        <f aca="false">J192+O192+S192</f>
        <v>64119155.0523039</v>
      </c>
    </row>
    <row r="193" customFormat="false" ht="15" hidden="false" customHeight="false" outlineLevel="0" collapsed="false">
      <c r="A193" s="19" t="n">
        <v>192</v>
      </c>
      <c r="B193" s="19" t="n">
        <f aca="false">ROUNDUP(A193/12,0)</f>
        <v>16</v>
      </c>
      <c r="C193" s="19" t="n">
        <f aca="false">Age+B193-1</f>
        <v>77</v>
      </c>
      <c r="D193" s="20" t="n">
        <f aca="false">MonthlyExp*(1+Inflation)^(B193-1)</f>
        <v>137951.577035767</v>
      </c>
      <c r="E193" s="20" t="n">
        <f aca="false">J192</f>
        <v>8586363.01481216</v>
      </c>
      <c r="F193" s="20" t="n">
        <f aca="false">E193*B1Ret/12</f>
        <v>50087.1175864043</v>
      </c>
      <c r="G193" s="20" t="n">
        <f aca="false">D193</f>
        <v>137951.577035767</v>
      </c>
      <c r="H193" s="20" t="n">
        <v>0</v>
      </c>
      <c r="I193" s="20" t="n">
        <f aca="false">H193</f>
        <v>0</v>
      </c>
      <c r="J193" s="20" t="n">
        <f aca="false">E193+F193-G193+I193</f>
        <v>8498498.5553628</v>
      </c>
      <c r="K193" s="20" t="n">
        <f aca="false">O192</f>
        <v>7153257.36612113</v>
      </c>
      <c r="L193" s="20" t="n">
        <f aca="false">K193*B2Ret/12</f>
        <v>53649.4302459085</v>
      </c>
      <c r="M193" s="20" t="n">
        <f aca="false">-I193</f>
        <v>-0</v>
      </c>
      <c r="N193" s="20" t="n">
        <v>0</v>
      </c>
      <c r="O193" s="20" t="n">
        <f aca="false">K193+L193+M193+N193</f>
        <v>7206906.79636704</v>
      </c>
      <c r="P193" s="20" t="n">
        <f aca="false">S192</f>
        <v>48379534.6713706</v>
      </c>
      <c r="Q193" s="20" t="n">
        <f aca="false">P193*B3Ret/12</f>
        <v>443479.067820897</v>
      </c>
      <c r="R193" s="20" t="n">
        <f aca="false">-N193</f>
        <v>-0</v>
      </c>
      <c r="S193" s="20" t="n">
        <f aca="false">P193+Q193+R193</f>
        <v>48823013.7391915</v>
      </c>
      <c r="T193" s="20" t="n">
        <f aca="false">J193+O193+S193</f>
        <v>64528419.0909213</v>
      </c>
    </row>
    <row r="194" customFormat="false" ht="15" hidden="false" customHeight="false" outlineLevel="0" collapsed="false">
      <c r="A194" s="19" t="n">
        <v>193</v>
      </c>
      <c r="B194" s="19" t="n">
        <f aca="false">ROUNDUP(A194/12,0)</f>
        <v>17</v>
      </c>
      <c r="C194" s="19" t="n">
        <f aca="false">Age+B194-1</f>
        <v>78</v>
      </c>
      <c r="D194" s="20" t="n">
        <f aca="false">MonthlyExp*(1+Inflation)^(B194-1)</f>
        <v>147608.187428271</v>
      </c>
      <c r="E194" s="20" t="n">
        <f aca="false">J193</f>
        <v>8498498.5553628</v>
      </c>
      <c r="F194" s="20" t="n">
        <f aca="false">E194*B1Ret/12</f>
        <v>49574.574906283</v>
      </c>
      <c r="G194" s="20" t="n">
        <f aca="false">D194</f>
        <v>147608.187428271</v>
      </c>
      <c r="H194" s="20" t="n">
        <v>0</v>
      </c>
      <c r="I194" s="20" t="n">
        <f aca="false">H194</f>
        <v>0</v>
      </c>
      <c r="J194" s="20" t="n">
        <f aca="false">E194+F194-G194+I194</f>
        <v>8400464.94284081</v>
      </c>
      <c r="K194" s="20" t="n">
        <f aca="false">O193</f>
        <v>7206906.79636704</v>
      </c>
      <c r="L194" s="20" t="n">
        <f aca="false">K194*B2Ret/12</f>
        <v>54051.8009727528</v>
      </c>
      <c r="M194" s="20" t="n">
        <f aca="false">-I194</f>
        <v>-0</v>
      </c>
      <c r="N194" s="20" t="n">
        <v>0</v>
      </c>
      <c r="O194" s="20" t="n">
        <f aca="false">K194+L194+M194+N194</f>
        <v>7260958.59733979</v>
      </c>
      <c r="P194" s="20" t="n">
        <f aca="false">S193</f>
        <v>48823013.7391915</v>
      </c>
      <c r="Q194" s="20" t="n">
        <f aca="false">P194*B3Ret/12</f>
        <v>447544.292609255</v>
      </c>
      <c r="R194" s="20" t="n">
        <f aca="false">-N194</f>
        <v>-0</v>
      </c>
      <c r="S194" s="20" t="n">
        <f aca="false">P194+Q194+R194</f>
        <v>49270558.0318007</v>
      </c>
      <c r="T194" s="20" t="n">
        <f aca="false">J194+O194+S194</f>
        <v>64931981.5719814</v>
      </c>
    </row>
    <row r="195" customFormat="false" ht="15" hidden="false" customHeight="false" outlineLevel="0" collapsed="false">
      <c r="A195" s="19" t="n">
        <v>194</v>
      </c>
      <c r="B195" s="19" t="n">
        <f aca="false">ROUNDUP(A195/12,0)</f>
        <v>17</v>
      </c>
      <c r="C195" s="19" t="n">
        <f aca="false">Age+B195-1</f>
        <v>78</v>
      </c>
      <c r="D195" s="20" t="n">
        <f aca="false">MonthlyExp*(1+Inflation)^(B195-1)</f>
        <v>147608.187428271</v>
      </c>
      <c r="E195" s="20" t="n">
        <f aca="false">J194</f>
        <v>8400464.94284081</v>
      </c>
      <c r="F195" s="20" t="n">
        <f aca="false">E195*B1Ret/12</f>
        <v>49002.7121665714</v>
      </c>
      <c r="G195" s="20" t="n">
        <f aca="false">D195</f>
        <v>147608.187428271</v>
      </c>
      <c r="H195" s="20" t="n">
        <v>0</v>
      </c>
      <c r="I195" s="20" t="n">
        <f aca="false">H195</f>
        <v>0</v>
      </c>
      <c r="J195" s="20" t="n">
        <f aca="false">E195+F195-G195+I195</f>
        <v>8301859.46757911</v>
      </c>
      <c r="K195" s="20" t="n">
        <f aca="false">O194</f>
        <v>7260958.59733979</v>
      </c>
      <c r="L195" s="20" t="n">
        <f aca="false">K195*B2Ret/12</f>
        <v>54457.1894800485</v>
      </c>
      <c r="M195" s="20" t="n">
        <f aca="false">-I195</f>
        <v>-0</v>
      </c>
      <c r="N195" s="20" t="n">
        <v>0</v>
      </c>
      <c r="O195" s="20" t="n">
        <f aca="false">K195+L195+M195+N195</f>
        <v>7315415.78681984</v>
      </c>
      <c r="P195" s="20" t="n">
        <f aca="false">S194</f>
        <v>49270558.0318007</v>
      </c>
      <c r="Q195" s="20" t="n">
        <f aca="false">P195*B3Ret/12</f>
        <v>451646.781958173</v>
      </c>
      <c r="R195" s="20" t="n">
        <f aca="false">-N195</f>
        <v>-0</v>
      </c>
      <c r="S195" s="20" t="n">
        <f aca="false">P195+Q195+R195</f>
        <v>49722204.8137589</v>
      </c>
      <c r="T195" s="20" t="n">
        <f aca="false">J195+O195+S195</f>
        <v>65339480.0681579</v>
      </c>
    </row>
    <row r="196" customFormat="false" ht="15" hidden="false" customHeight="false" outlineLevel="0" collapsed="false">
      <c r="A196" s="19" t="n">
        <v>195</v>
      </c>
      <c r="B196" s="19" t="n">
        <f aca="false">ROUNDUP(A196/12,0)</f>
        <v>17</v>
      </c>
      <c r="C196" s="19" t="n">
        <f aca="false">Age+B196-1</f>
        <v>78</v>
      </c>
      <c r="D196" s="20" t="n">
        <f aca="false">MonthlyExp*(1+Inflation)^(B196-1)</f>
        <v>147608.187428271</v>
      </c>
      <c r="E196" s="20" t="n">
        <f aca="false">J195</f>
        <v>8301859.46757911</v>
      </c>
      <c r="F196" s="20" t="n">
        <f aca="false">E196*B1Ret/12</f>
        <v>48427.5135608782</v>
      </c>
      <c r="G196" s="20" t="n">
        <f aca="false">D196</f>
        <v>147608.187428271</v>
      </c>
      <c r="H196" s="20" t="n">
        <v>0</v>
      </c>
      <c r="I196" s="20" t="n">
        <f aca="false">H196</f>
        <v>0</v>
      </c>
      <c r="J196" s="20" t="n">
        <f aca="false">E196+F196-G196+I196</f>
        <v>8202678.79371172</v>
      </c>
      <c r="K196" s="20" t="n">
        <f aca="false">O195</f>
        <v>7315415.78681984</v>
      </c>
      <c r="L196" s="20" t="n">
        <f aca="false">K196*B2Ret/12</f>
        <v>54865.6184011488</v>
      </c>
      <c r="M196" s="20" t="n">
        <f aca="false">-I196</f>
        <v>-0</v>
      </c>
      <c r="N196" s="20" t="n">
        <v>0</v>
      </c>
      <c r="O196" s="20" t="n">
        <f aca="false">K196+L196+M196+N196</f>
        <v>7370281.40522099</v>
      </c>
      <c r="P196" s="20" t="n">
        <f aca="false">S195</f>
        <v>49722204.8137589</v>
      </c>
      <c r="Q196" s="20" t="n">
        <f aca="false">P196*B3Ret/12</f>
        <v>455786.877459457</v>
      </c>
      <c r="R196" s="20" t="n">
        <f aca="false">-N196</f>
        <v>-0</v>
      </c>
      <c r="S196" s="20" t="n">
        <f aca="false">P196+Q196+R196</f>
        <v>50177991.6912184</v>
      </c>
      <c r="T196" s="20" t="n">
        <f aca="false">J196+O196+S196</f>
        <v>65750951.8901511</v>
      </c>
    </row>
    <row r="197" customFormat="false" ht="15" hidden="false" customHeight="false" outlineLevel="0" collapsed="false">
      <c r="A197" s="19" t="n">
        <v>196</v>
      </c>
      <c r="B197" s="19" t="n">
        <f aca="false">ROUNDUP(A197/12,0)</f>
        <v>17</v>
      </c>
      <c r="C197" s="19" t="n">
        <f aca="false">Age+B197-1</f>
        <v>78</v>
      </c>
      <c r="D197" s="20" t="n">
        <f aca="false">MonthlyExp*(1+Inflation)^(B197-1)</f>
        <v>147608.187428271</v>
      </c>
      <c r="E197" s="20" t="n">
        <f aca="false">J196</f>
        <v>8202678.79371172</v>
      </c>
      <c r="F197" s="20" t="n">
        <f aca="false">E197*B1Ret/12</f>
        <v>47848.959629985</v>
      </c>
      <c r="G197" s="20" t="n">
        <f aca="false">D197</f>
        <v>147608.187428271</v>
      </c>
      <c r="H197" s="20" t="n">
        <v>0</v>
      </c>
      <c r="I197" s="20" t="n">
        <f aca="false">H197</f>
        <v>0</v>
      </c>
      <c r="J197" s="20" t="n">
        <f aca="false">E197+F197-G197+I197</f>
        <v>8102919.56591344</v>
      </c>
      <c r="K197" s="20" t="n">
        <f aca="false">O196</f>
        <v>7370281.40522099</v>
      </c>
      <c r="L197" s="20" t="n">
        <f aca="false">K197*B2Ret/12</f>
        <v>55277.1105391574</v>
      </c>
      <c r="M197" s="20" t="n">
        <f aca="false">-I197</f>
        <v>-0</v>
      </c>
      <c r="N197" s="20" t="n">
        <v>0</v>
      </c>
      <c r="O197" s="20" t="n">
        <f aca="false">K197+L197+M197+N197</f>
        <v>7425558.51576015</v>
      </c>
      <c r="P197" s="20" t="n">
        <f aca="false">S196</f>
        <v>50177991.6912184</v>
      </c>
      <c r="Q197" s="20" t="n">
        <f aca="false">P197*B3Ret/12</f>
        <v>459964.923836168</v>
      </c>
      <c r="R197" s="20" t="n">
        <f aca="false">-N197</f>
        <v>-0</v>
      </c>
      <c r="S197" s="20" t="n">
        <f aca="false">P197+Q197+R197</f>
        <v>50637956.6150545</v>
      </c>
      <c r="T197" s="20" t="n">
        <f aca="false">J197+O197+S197</f>
        <v>66166434.6967281</v>
      </c>
    </row>
    <row r="198" customFormat="false" ht="15" hidden="false" customHeight="false" outlineLevel="0" collapsed="false">
      <c r="A198" s="19" t="n">
        <v>197</v>
      </c>
      <c r="B198" s="19" t="n">
        <f aca="false">ROUNDUP(A198/12,0)</f>
        <v>17</v>
      </c>
      <c r="C198" s="19" t="n">
        <f aca="false">Age+B198-1</f>
        <v>78</v>
      </c>
      <c r="D198" s="20" t="n">
        <f aca="false">MonthlyExp*(1+Inflation)^(B198-1)</f>
        <v>147608.187428271</v>
      </c>
      <c r="E198" s="20" t="n">
        <f aca="false">J197</f>
        <v>8102919.56591344</v>
      </c>
      <c r="F198" s="20" t="n">
        <f aca="false">E198*B1Ret/12</f>
        <v>47267.0308011617</v>
      </c>
      <c r="G198" s="20" t="n">
        <f aca="false">D198</f>
        <v>147608.187428271</v>
      </c>
      <c r="H198" s="20" t="n">
        <v>0</v>
      </c>
      <c r="I198" s="20" t="n">
        <f aca="false">H198</f>
        <v>0</v>
      </c>
      <c r="J198" s="20" t="n">
        <f aca="false">E198+F198-G198+I198</f>
        <v>8002578.40928633</v>
      </c>
      <c r="K198" s="20" t="n">
        <f aca="false">O197</f>
        <v>7425558.51576015</v>
      </c>
      <c r="L198" s="20" t="n">
        <f aca="false">K198*B2Ret/12</f>
        <v>55691.6888682011</v>
      </c>
      <c r="M198" s="20" t="n">
        <f aca="false">-I198</f>
        <v>-0</v>
      </c>
      <c r="N198" s="20" t="n">
        <v>0</v>
      </c>
      <c r="O198" s="20" t="n">
        <f aca="false">K198+L198+M198+N198</f>
        <v>7481250.20462835</v>
      </c>
      <c r="P198" s="20" t="n">
        <f aca="false">S197</f>
        <v>50637956.6150545</v>
      </c>
      <c r="Q198" s="20" t="n">
        <f aca="false">P198*B3Ret/12</f>
        <v>464181.268971333</v>
      </c>
      <c r="R198" s="20" t="n">
        <f aca="false">-N198</f>
        <v>-0</v>
      </c>
      <c r="S198" s="20" t="n">
        <f aca="false">P198+Q198+R198</f>
        <v>51102137.8840259</v>
      </c>
      <c r="T198" s="20" t="n">
        <f aca="false">J198+O198+S198</f>
        <v>66585966.4979406</v>
      </c>
    </row>
    <row r="199" customFormat="false" ht="15" hidden="false" customHeight="false" outlineLevel="0" collapsed="false">
      <c r="A199" s="19" t="n">
        <v>198</v>
      </c>
      <c r="B199" s="19" t="n">
        <f aca="false">ROUNDUP(A199/12,0)</f>
        <v>17</v>
      </c>
      <c r="C199" s="19" t="n">
        <f aca="false">Age+B199-1</f>
        <v>78</v>
      </c>
      <c r="D199" s="20" t="n">
        <f aca="false">MonthlyExp*(1+Inflation)^(B199-1)</f>
        <v>147608.187428271</v>
      </c>
      <c r="E199" s="20" t="n">
        <f aca="false">J198</f>
        <v>8002578.40928633</v>
      </c>
      <c r="F199" s="20" t="n">
        <f aca="false">E199*B1Ret/12</f>
        <v>46681.7073875036</v>
      </c>
      <c r="G199" s="20" t="n">
        <f aca="false">D199</f>
        <v>147608.187428271</v>
      </c>
      <c r="H199" s="20" t="n">
        <v>0</v>
      </c>
      <c r="I199" s="20" t="n">
        <f aca="false">H199</f>
        <v>0</v>
      </c>
      <c r="J199" s="20" t="n">
        <f aca="false">E199+F199-G199+I199</f>
        <v>7901651.92924556</v>
      </c>
      <c r="K199" s="20" t="n">
        <f aca="false">O198</f>
        <v>7481250.20462835</v>
      </c>
      <c r="L199" s="20" t="n">
        <f aca="false">K199*B2Ret/12</f>
        <v>56109.3765347126</v>
      </c>
      <c r="M199" s="20" t="n">
        <f aca="false">-I199</f>
        <v>-0</v>
      </c>
      <c r="N199" s="20" t="n">
        <v>0</v>
      </c>
      <c r="O199" s="20" t="n">
        <f aca="false">K199+L199+M199+N199</f>
        <v>7537359.58116306</v>
      </c>
      <c r="P199" s="20" t="n">
        <f aca="false">S198</f>
        <v>51102137.8840259</v>
      </c>
      <c r="Q199" s="20" t="n">
        <f aca="false">P199*B3Ret/12</f>
        <v>468436.263936904</v>
      </c>
      <c r="R199" s="20" t="n">
        <f aca="false">-N199</f>
        <v>-0</v>
      </c>
      <c r="S199" s="20" t="n">
        <f aca="false">P199+Q199+R199</f>
        <v>51570574.1479628</v>
      </c>
      <c r="T199" s="20" t="n">
        <f aca="false">J199+O199+S199</f>
        <v>67009585.6583714</v>
      </c>
    </row>
    <row r="200" customFormat="false" ht="15" hidden="false" customHeight="false" outlineLevel="0" collapsed="false">
      <c r="A200" s="19" t="n">
        <v>199</v>
      </c>
      <c r="B200" s="19" t="n">
        <f aca="false">ROUNDUP(A200/12,0)</f>
        <v>17</v>
      </c>
      <c r="C200" s="19" t="n">
        <f aca="false">Age+B200-1</f>
        <v>78</v>
      </c>
      <c r="D200" s="20" t="n">
        <f aca="false">MonthlyExp*(1+Inflation)^(B200-1)</f>
        <v>147608.187428271</v>
      </c>
      <c r="E200" s="20" t="n">
        <f aca="false">J199</f>
        <v>7901651.92924556</v>
      </c>
      <c r="F200" s="20" t="n">
        <f aca="false">E200*B1Ret/12</f>
        <v>46092.9695872658</v>
      </c>
      <c r="G200" s="20" t="n">
        <f aca="false">D200</f>
        <v>147608.187428271</v>
      </c>
      <c r="H200" s="20" t="n">
        <v>0</v>
      </c>
      <c r="I200" s="20" t="n">
        <f aca="false">H200</f>
        <v>0</v>
      </c>
      <c r="J200" s="20" t="n">
        <f aca="false">E200+F200-G200+I200</f>
        <v>7800136.71140456</v>
      </c>
      <c r="K200" s="20" t="n">
        <f aca="false">O199</f>
        <v>7537359.58116306</v>
      </c>
      <c r="L200" s="20" t="n">
        <f aca="false">K200*B2Ret/12</f>
        <v>56530.196858723</v>
      </c>
      <c r="M200" s="20" t="n">
        <f aca="false">-I200</f>
        <v>-0</v>
      </c>
      <c r="N200" s="20" t="n">
        <v>0</v>
      </c>
      <c r="O200" s="20" t="n">
        <f aca="false">K200+L200+M200+N200</f>
        <v>7593889.77802179</v>
      </c>
      <c r="P200" s="20" t="n">
        <f aca="false">S199</f>
        <v>51570574.1479628</v>
      </c>
      <c r="Q200" s="20" t="n">
        <f aca="false">P200*B3Ret/12</f>
        <v>472730.263022992</v>
      </c>
      <c r="R200" s="20" t="n">
        <f aca="false">-N200</f>
        <v>-0</v>
      </c>
      <c r="S200" s="20" t="n">
        <f aca="false">P200+Q200+R200</f>
        <v>52043304.4109858</v>
      </c>
      <c r="T200" s="20" t="n">
        <f aca="false">J200+O200+S200</f>
        <v>67437330.9004121</v>
      </c>
    </row>
    <row r="201" customFormat="false" ht="15" hidden="false" customHeight="false" outlineLevel="0" collapsed="false">
      <c r="A201" s="19" t="n">
        <v>200</v>
      </c>
      <c r="B201" s="19" t="n">
        <f aca="false">ROUNDUP(A201/12,0)</f>
        <v>17</v>
      </c>
      <c r="C201" s="19" t="n">
        <f aca="false">Age+B201-1</f>
        <v>78</v>
      </c>
      <c r="D201" s="20" t="n">
        <f aca="false">MonthlyExp*(1+Inflation)^(B201-1)</f>
        <v>147608.187428271</v>
      </c>
      <c r="E201" s="20" t="n">
        <f aca="false">J200</f>
        <v>7800136.71140456</v>
      </c>
      <c r="F201" s="20" t="n">
        <f aca="false">E201*B1Ret/12</f>
        <v>45500.7974831933</v>
      </c>
      <c r="G201" s="20" t="n">
        <f aca="false">D201</f>
        <v>147608.187428271</v>
      </c>
      <c r="H201" s="20" t="n">
        <v>0</v>
      </c>
      <c r="I201" s="20" t="n">
        <f aca="false">H201</f>
        <v>0</v>
      </c>
      <c r="J201" s="20" t="n">
        <f aca="false">E201+F201-G201+I201</f>
        <v>7698029.32145948</v>
      </c>
      <c r="K201" s="20" t="n">
        <f aca="false">O200</f>
        <v>7593889.77802179</v>
      </c>
      <c r="L201" s="20" t="n">
        <f aca="false">K201*B2Ret/12</f>
        <v>56954.1733351634</v>
      </c>
      <c r="M201" s="20" t="n">
        <f aca="false">-I201</f>
        <v>-0</v>
      </c>
      <c r="N201" s="20" t="n">
        <v>0</v>
      </c>
      <c r="O201" s="20" t="n">
        <f aca="false">K201+L201+M201+N201</f>
        <v>7650843.95135695</v>
      </c>
      <c r="P201" s="20" t="n">
        <f aca="false">S200</f>
        <v>52043304.4109858</v>
      </c>
      <c r="Q201" s="20" t="n">
        <f aca="false">P201*B3Ret/12</f>
        <v>477063.62376737</v>
      </c>
      <c r="R201" s="20" t="n">
        <f aca="false">-N201</f>
        <v>-0</v>
      </c>
      <c r="S201" s="20" t="n">
        <f aca="false">P201+Q201+R201</f>
        <v>52520368.0347531</v>
      </c>
      <c r="T201" s="20" t="n">
        <f aca="false">J201+O201+S201</f>
        <v>67869241.3075696</v>
      </c>
    </row>
    <row r="202" customFormat="false" ht="15" hidden="false" customHeight="false" outlineLevel="0" collapsed="false">
      <c r="A202" s="19" t="n">
        <v>201</v>
      </c>
      <c r="B202" s="19" t="n">
        <f aca="false">ROUNDUP(A202/12,0)</f>
        <v>17</v>
      </c>
      <c r="C202" s="19" t="n">
        <f aca="false">Age+B202-1</f>
        <v>78</v>
      </c>
      <c r="D202" s="20" t="n">
        <f aca="false">MonthlyExp*(1+Inflation)^(B202-1)</f>
        <v>147608.187428271</v>
      </c>
      <c r="E202" s="20" t="n">
        <f aca="false">J201</f>
        <v>7698029.32145948</v>
      </c>
      <c r="F202" s="20" t="n">
        <f aca="false">E202*B1Ret/12</f>
        <v>44905.171041847</v>
      </c>
      <c r="G202" s="20" t="n">
        <f aca="false">D202</f>
        <v>147608.187428271</v>
      </c>
      <c r="H202" s="20" t="n">
        <v>0</v>
      </c>
      <c r="I202" s="20" t="n">
        <f aca="false">H202</f>
        <v>0</v>
      </c>
      <c r="J202" s="20" t="n">
        <f aca="false">E202+F202-G202+I202</f>
        <v>7595326.30507306</v>
      </c>
      <c r="K202" s="20" t="n">
        <f aca="false">O201</f>
        <v>7650843.95135695</v>
      </c>
      <c r="L202" s="20" t="n">
        <f aca="false">K202*B2Ret/12</f>
        <v>57381.3296351771</v>
      </c>
      <c r="M202" s="20" t="n">
        <f aca="false">-I202</f>
        <v>-0</v>
      </c>
      <c r="N202" s="20" t="n">
        <v>0</v>
      </c>
      <c r="O202" s="20" t="n">
        <f aca="false">K202+L202+M202+N202</f>
        <v>7708225.28099213</v>
      </c>
      <c r="P202" s="20" t="n">
        <f aca="false">S201</f>
        <v>52520368.0347531</v>
      </c>
      <c r="Q202" s="20" t="n">
        <f aca="false">P202*B3Ret/12</f>
        <v>481436.706985237</v>
      </c>
      <c r="R202" s="20" t="n">
        <f aca="false">-N202</f>
        <v>-0</v>
      </c>
      <c r="S202" s="20" t="n">
        <f aca="false">P202+Q202+R202</f>
        <v>53001804.7417384</v>
      </c>
      <c r="T202" s="20" t="n">
        <f aca="false">J202+O202+S202</f>
        <v>68305356.3278036</v>
      </c>
    </row>
    <row r="203" customFormat="false" ht="15" hidden="false" customHeight="false" outlineLevel="0" collapsed="false">
      <c r="A203" s="19" t="n">
        <v>202</v>
      </c>
      <c r="B203" s="19" t="n">
        <f aca="false">ROUNDUP(A203/12,0)</f>
        <v>17</v>
      </c>
      <c r="C203" s="19" t="n">
        <f aca="false">Age+B203-1</f>
        <v>78</v>
      </c>
      <c r="D203" s="20" t="n">
        <f aca="false">MonthlyExp*(1+Inflation)^(B203-1)</f>
        <v>147608.187428271</v>
      </c>
      <c r="E203" s="20" t="n">
        <f aca="false">J202</f>
        <v>7595326.30507306</v>
      </c>
      <c r="F203" s="20" t="n">
        <f aca="false">E203*B1Ret/12</f>
        <v>44306.0701129262</v>
      </c>
      <c r="G203" s="20" t="n">
        <f aca="false">D203</f>
        <v>147608.187428271</v>
      </c>
      <c r="H203" s="20" t="n">
        <v>0</v>
      </c>
      <c r="I203" s="20" t="n">
        <f aca="false">H203</f>
        <v>0</v>
      </c>
      <c r="J203" s="20" t="n">
        <f aca="false">E203+F203-G203+I203</f>
        <v>7492024.18775771</v>
      </c>
      <c r="K203" s="20" t="n">
        <f aca="false">O202</f>
        <v>7708225.28099213</v>
      </c>
      <c r="L203" s="20" t="n">
        <f aca="false">K203*B2Ret/12</f>
        <v>57811.6896074409</v>
      </c>
      <c r="M203" s="20" t="n">
        <f aca="false">-I203</f>
        <v>-0</v>
      </c>
      <c r="N203" s="20" t="n">
        <v>0</v>
      </c>
      <c r="O203" s="20" t="n">
        <f aca="false">K203+L203+M203+N203</f>
        <v>7766036.97059957</v>
      </c>
      <c r="P203" s="20" t="n">
        <f aca="false">S202</f>
        <v>53001804.7417384</v>
      </c>
      <c r="Q203" s="20" t="n">
        <f aca="false">P203*B3Ret/12</f>
        <v>485849.876799268</v>
      </c>
      <c r="R203" s="20" t="n">
        <f aca="false">-N203</f>
        <v>-0</v>
      </c>
      <c r="S203" s="20" t="n">
        <f aca="false">P203+Q203+R203</f>
        <v>53487654.6185376</v>
      </c>
      <c r="T203" s="20" t="n">
        <f aca="false">J203+O203+S203</f>
        <v>68745715.7768949</v>
      </c>
    </row>
    <row r="204" customFormat="false" ht="15" hidden="false" customHeight="false" outlineLevel="0" collapsed="false">
      <c r="A204" s="19" t="n">
        <v>203</v>
      </c>
      <c r="B204" s="19" t="n">
        <f aca="false">ROUNDUP(A204/12,0)</f>
        <v>17</v>
      </c>
      <c r="C204" s="19" t="n">
        <f aca="false">Age+B204-1</f>
        <v>78</v>
      </c>
      <c r="D204" s="20" t="n">
        <f aca="false">MonthlyExp*(1+Inflation)^(B204-1)</f>
        <v>147608.187428271</v>
      </c>
      <c r="E204" s="20" t="n">
        <f aca="false">J203</f>
        <v>7492024.18775771</v>
      </c>
      <c r="F204" s="20" t="n">
        <f aca="false">E204*B1Ret/12</f>
        <v>43703.4744285867</v>
      </c>
      <c r="G204" s="20" t="n">
        <f aca="false">D204</f>
        <v>147608.187428271</v>
      </c>
      <c r="H204" s="20" t="n">
        <v>0</v>
      </c>
      <c r="I204" s="20" t="n">
        <f aca="false">H204</f>
        <v>0</v>
      </c>
      <c r="J204" s="20" t="n">
        <f aca="false">E204+F204-G204+I204</f>
        <v>7388119.47475803</v>
      </c>
      <c r="K204" s="20" t="n">
        <f aca="false">O203</f>
        <v>7766036.97059957</v>
      </c>
      <c r="L204" s="20" t="n">
        <f aca="false">K204*B2Ret/12</f>
        <v>58245.2772794967</v>
      </c>
      <c r="M204" s="20" t="n">
        <f aca="false">-I204</f>
        <v>-0</v>
      </c>
      <c r="N204" s="20" t="n">
        <v>0</v>
      </c>
      <c r="O204" s="20" t="n">
        <f aca="false">K204+L204+M204+N204</f>
        <v>7824282.24787906</v>
      </c>
      <c r="P204" s="20" t="n">
        <f aca="false">S203</f>
        <v>53487654.6185376</v>
      </c>
      <c r="Q204" s="20" t="n">
        <f aca="false">P204*B3Ret/12</f>
        <v>490303.500669928</v>
      </c>
      <c r="R204" s="20" t="n">
        <f aca="false">-N204</f>
        <v>-0</v>
      </c>
      <c r="S204" s="20" t="n">
        <f aca="false">P204+Q204+R204</f>
        <v>53977958.1192076</v>
      </c>
      <c r="T204" s="20" t="n">
        <f aca="false">J204+O204+S204</f>
        <v>69190359.8418447</v>
      </c>
    </row>
    <row r="205" customFormat="false" ht="15" hidden="false" customHeight="false" outlineLevel="0" collapsed="false">
      <c r="A205" s="19" t="n">
        <v>204</v>
      </c>
      <c r="B205" s="19" t="n">
        <f aca="false">ROUNDUP(A205/12,0)</f>
        <v>17</v>
      </c>
      <c r="C205" s="19" t="n">
        <f aca="false">Age+B205-1</f>
        <v>78</v>
      </c>
      <c r="D205" s="20" t="n">
        <f aca="false">MonthlyExp*(1+Inflation)^(B205-1)</f>
        <v>147608.187428271</v>
      </c>
      <c r="E205" s="20" t="n">
        <f aca="false">J204</f>
        <v>7388119.47475803</v>
      </c>
      <c r="F205" s="20" t="n">
        <f aca="false">E205*B1Ret/12</f>
        <v>43097.3636027552</v>
      </c>
      <c r="G205" s="20" t="n">
        <f aca="false">D205</f>
        <v>147608.187428271</v>
      </c>
      <c r="H205" s="20" t="n">
        <v>0</v>
      </c>
      <c r="I205" s="20" t="n">
        <f aca="false">H205</f>
        <v>0</v>
      </c>
      <c r="J205" s="20" t="n">
        <f aca="false">E205+F205-G205+I205</f>
        <v>7283608.65093251</v>
      </c>
      <c r="K205" s="20" t="n">
        <f aca="false">O204</f>
        <v>7824282.24787906</v>
      </c>
      <c r="L205" s="20" t="n">
        <f aca="false">K205*B2Ret/12</f>
        <v>58682.116859093</v>
      </c>
      <c r="M205" s="20" t="n">
        <f aca="false">-I205</f>
        <v>-0</v>
      </c>
      <c r="N205" s="20" t="n">
        <v>0</v>
      </c>
      <c r="O205" s="20" t="n">
        <f aca="false">K205+L205+M205+N205</f>
        <v>7882964.36473816</v>
      </c>
      <c r="P205" s="20" t="n">
        <f aca="false">S204</f>
        <v>53977958.1192076</v>
      </c>
      <c r="Q205" s="20" t="n">
        <f aca="false">P205*B3Ret/12</f>
        <v>494797.949426069</v>
      </c>
      <c r="R205" s="20" t="n">
        <f aca="false">-N205</f>
        <v>-0</v>
      </c>
      <c r="S205" s="20" t="n">
        <f aca="false">P205+Q205+R205</f>
        <v>54472756.0686336</v>
      </c>
      <c r="T205" s="20" t="n">
        <f aca="false">J205+O205+S205</f>
        <v>69639329.0843043</v>
      </c>
    </row>
    <row r="206" customFormat="false" ht="15" hidden="false" customHeight="false" outlineLevel="0" collapsed="false">
      <c r="A206" s="19" t="n">
        <v>205</v>
      </c>
      <c r="B206" s="19" t="n">
        <f aca="false">ROUNDUP(A206/12,0)</f>
        <v>18</v>
      </c>
      <c r="C206" s="19" t="n">
        <f aca="false">Age+B206-1</f>
        <v>79</v>
      </c>
      <c r="D206" s="20" t="n">
        <f aca="false">MonthlyExp*(1+Inflation)^(B206-1)</f>
        <v>157940.760548249</v>
      </c>
      <c r="E206" s="20" t="n">
        <f aca="false">J205</f>
        <v>7283608.65093251</v>
      </c>
      <c r="F206" s="20" t="n">
        <f aca="false">E206*B1Ret/12</f>
        <v>42487.7171304397</v>
      </c>
      <c r="G206" s="20" t="n">
        <f aca="false">D206</f>
        <v>157940.760548249</v>
      </c>
      <c r="H206" s="20" t="n">
        <v>0</v>
      </c>
      <c r="I206" s="20" t="n">
        <f aca="false">H206</f>
        <v>0</v>
      </c>
      <c r="J206" s="20" t="n">
        <f aca="false">E206+F206-G206+I206</f>
        <v>7168155.6075147</v>
      </c>
      <c r="K206" s="20" t="n">
        <f aca="false">O205</f>
        <v>7882964.36473816</v>
      </c>
      <c r="L206" s="20" t="n">
        <f aca="false">K206*B2Ret/12</f>
        <v>59122.2327355362</v>
      </c>
      <c r="M206" s="20" t="n">
        <f aca="false">-I206</f>
        <v>-0</v>
      </c>
      <c r="N206" s="20" t="n">
        <v>0</v>
      </c>
      <c r="O206" s="20" t="n">
        <f aca="false">K206+L206+M206+N206</f>
        <v>7942086.59747369</v>
      </c>
      <c r="P206" s="20" t="n">
        <f aca="false">S205</f>
        <v>54472756.0686336</v>
      </c>
      <c r="Q206" s="20" t="n">
        <f aca="false">P206*B3Ret/12</f>
        <v>499333.597295808</v>
      </c>
      <c r="R206" s="20" t="n">
        <f aca="false">-N206</f>
        <v>-0</v>
      </c>
      <c r="S206" s="20" t="n">
        <f aca="false">P206+Q206+R206</f>
        <v>54972089.6659294</v>
      </c>
      <c r="T206" s="20" t="n">
        <f aca="false">J206+O206+S206</f>
        <v>70082331.8709178</v>
      </c>
    </row>
    <row r="207" customFormat="false" ht="15" hidden="false" customHeight="false" outlineLevel="0" collapsed="false">
      <c r="A207" s="19" t="n">
        <v>206</v>
      </c>
      <c r="B207" s="19" t="n">
        <f aca="false">ROUNDUP(A207/12,0)</f>
        <v>18</v>
      </c>
      <c r="C207" s="19" t="n">
        <f aca="false">Age+B207-1</f>
        <v>79</v>
      </c>
      <c r="D207" s="20" t="n">
        <f aca="false">MonthlyExp*(1+Inflation)^(B207-1)</f>
        <v>157940.760548249</v>
      </c>
      <c r="E207" s="20" t="n">
        <f aca="false">J206</f>
        <v>7168155.6075147</v>
      </c>
      <c r="F207" s="20" t="n">
        <f aca="false">E207*B1Ret/12</f>
        <v>41814.2410438358</v>
      </c>
      <c r="G207" s="20" t="n">
        <f aca="false">D207</f>
        <v>157940.760548249</v>
      </c>
      <c r="H207" s="20" t="n">
        <v>0</v>
      </c>
      <c r="I207" s="20" t="n">
        <f aca="false">H207</f>
        <v>0</v>
      </c>
      <c r="J207" s="20" t="n">
        <f aca="false">E207+F207-G207+I207</f>
        <v>7052029.08801029</v>
      </c>
      <c r="K207" s="20" t="n">
        <f aca="false">O206</f>
        <v>7942086.59747369</v>
      </c>
      <c r="L207" s="20" t="n">
        <f aca="false">K207*B2Ret/12</f>
        <v>59565.6494810527</v>
      </c>
      <c r="M207" s="20" t="n">
        <f aca="false">-I207</f>
        <v>-0</v>
      </c>
      <c r="N207" s="20" t="n">
        <v>0</v>
      </c>
      <c r="O207" s="20" t="n">
        <f aca="false">K207+L207+M207+N207</f>
        <v>8001652.24695475</v>
      </c>
      <c r="P207" s="20" t="n">
        <f aca="false">S206</f>
        <v>54972089.6659294</v>
      </c>
      <c r="Q207" s="20" t="n">
        <f aca="false">P207*B3Ret/12</f>
        <v>503910.821937687</v>
      </c>
      <c r="R207" s="20" t="n">
        <f aca="false">-N207</f>
        <v>-0</v>
      </c>
      <c r="S207" s="20" t="n">
        <f aca="false">P207+Q207+R207</f>
        <v>55476000.4878671</v>
      </c>
      <c r="T207" s="20" t="n">
        <f aca="false">J207+O207+S207</f>
        <v>70529681.8228322</v>
      </c>
    </row>
    <row r="208" customFormat="false" ht="15" hidden="false" customHeight="false" outlineLevel="0" collapsed="false">
      <c r="A208" s="19" t="n">
        <v>207</v>
      </c>
      <c r="B208" s="19" t="n">
        <f aca="false">ROUNDUP(A208/12,0)</f>
        <v>18</v>
      </c>
      <c r="C208" s="19" t="n">
        <f aca="false">Age+B208-1</f>
        <v>79</v>
      </c>
      <c r="D208" s="20" t="n">
        <f aca="false">MonthlyExp*(1+Inflation)^(B208-1)</f>
        <v>157940.760548249</v>
      </c>
      <c r="E208" s="20" t="n">
        <f aca="false">J207</f>
        <v>7052029.08801029</v>
      </c>
      <c r="F208" s="20" t="n">
        <f aca="false">E208*B1Ret/12</f>
        <v>41136.8363467267</v>
      </c>
      <c r="G208" s="20" t="n">
        <f aca="false">D208</f>
        <v>157940.760548249</v>
      </c>
      <c r="H208" s="20" t="n">
        <v>0</v>
      </c>
      <c r="I208" s="20" t="n">
        <f aca="false">H208</f>
        <v>0</v>
      </c>
      <c r="J208" s="20" t="n">
        <f aca="false">E208+F208-G208+I208</f>
        <v>6935225.16380877</v>
      </c>
      <c r="K208" s="20" t="n">
        <f aca="false">O207</f>
        <v>8001652.24695475</v>
      </c>
      <c r="L208" s="20" t="n">
        <f aca="false">K208*B2Ret/12</f>
        <v>60012.3918521606</v>
      </c>
      <c r="M208" s="20" t="n">
        <f aca="false">-I208</f>
        <v>-0</v>
      </c>
      <c r="N208" s="20" t="n">
        <v>0</v>
      </c>
      <c r="O208" s="20" t="n">
        <f aca="false">K208+L208+M208+N208</f>
        <v>8061664.63880691</v>
      </c>
      <c r="P208" s="20" t="n">
        <f aca="false">S207</f>
        <v>55476000.4878671</v>
      </c>
      <c r="Q208" s="20" t="n">
        <f aca="false">P208*B3Ret/12</f>
        <v>508530.004472115</v>
      </c>
      <c r="R208" s="20" t="n">
        <f aca="false">-N208</f>
        <v>-0</v>
      </c>
      <c r="S208" s="20" t="n">
        <f aca="false">P208+Q208+R208</f>
        <v>55984530.4923392</v>
      </c>
      <c r="T208" s="20" t="n">
        <f aca="false">J208+O208+S208</f>
        <v>70981420.2949549</v>
      </c>
    </row>
    <row r="209" customFormat="false" ht="15" hidden="false" customHeight="false" outlineLevel="0" collapsed="false">
      <c r="A209" s="19" t="n">
        <v>208</v>
      </c>
      <c r="B209" s="19" t="n">
        <f aca="false">ROUNDUP(A209/12,0)</f>
        <v>18</v>
      </c>
      <c r="C209" s="19" t="n">
        <f aca="false">Age+B209-1</f>
        <v>79</v>
      </c>
      <c r="D209" s="20" t="n">
        <f aca="false">MonthlyExp*(1+Inflation)^(B209-1)</f>
        <v>157940.760548249</v>
      </c>
      <c r="E209" s="20" t="n">
        <f aca="false">J208</f>
        <v>6935225.16380877</v>
      </c>
      <c r="F209" s="20" t="n">
        <f aca="false">E209*B1Ret/12</f>
        <v>40455.4801222178</v>
      </c>
      <c r="G209" s="20" t="n">
        <f aca="false">D209</f>
        <v>157940.760548249</v>
      </c>
      <c r="H209" s="20" t="n">
        <v>0</v>
      </c>
      <c r="I209" s="20" t="n">
        <f aca="false">H209</f>
        <v>0</v>
      </c>
      <c r="J209" s="20" t="n">
        <f aca="false">E209+F209-G209+I209</f>
        <v>6817739.88338273</v>
      </c>
      <c r="K209" s="20" t="n">
        <f aca="false">O208</f>
        <v>8061664.63880691</v>
      </c>
      <c r="L209" s="20" t="n">
        <f aca="false">K209*B2Ret/12</f>
        <v>60462.4847910518</v>
      </c>
      <c r="M209" s="20" t="n">
        <f aca="false">-I209</f>
        <v>-0</v>
      </c>
      <c r="N209" s="20" t="n">
        <v>0</v>
      </c>
      <c r="O209" s="20" t="n">
        <f aca="false">K209+L209+M209+N209</f>
        <v>8122127.12359796</v>
      </c>
      <c r="P209" s="20" t="n">
        <f aca="false">S208</f>
        <v>55984530.4923392</v>
      </c>
      <c r="Q209" s="20" t="n">
        <f aca="false">P209*B3Ret/12</f>
        <v>513191.52951311</v>
      </c>
      <c r="R209" s="20" t="n">
        <f aca="false">-N209</f>
        <v>-0</v>
      </c>
      <c r="S209" s="20" t="n">
        <f aca="false">P209+Q209+R209</f>
        <v>56497722.0218524</v>
      </c>
      <c r="T209" s="20" t="n">
        <f aca="false">J209+O209+S209</f>
        <v>71437589.0288331</v>
      </c>
    </row>
    <row r="210" customFormat="false" ht="15" hidden="false" customHeight="false" outlineLevel="0" collapsed="false">
      <c r="A210" s="19" t="n">
        <v>209</v>
      </c>
      <c r="B210" s="19" t="n">
        <f aca="false">ROUNDUP(A210/12,0)</f>
        <v>18</v>
      </c>
      <c r="C210" s="19" t="n">
        <f aca="false">Age+B210-1</f>
        <v>79</v>
      </c>
      <c r="D210" s="20" t="n">
        <f aca="false">MonthlyExp*(1+Inflation)^(B210-1)</f>
        <v>157940.760548249</v>
      </c>
      <c r="E210" s="20" t="n">
        <f aca="false">J209</f>
        <v>6817739.88338273</v>
      </c>
      <c r="F210" s="20" t="n">
        <f aca="false">E210*B1Ret/12</f>
        <v>39770.1493197326</v>
      </c>
      <c r="G210" s="20" t="n">
        <f aca="false">D210</f>
        <v>157940.760548249</v>
      </c>
      <c r="H210" s="20" t="n">
        <v>0</v>
      </c>
      <c r="I210" s="20" t="n">
        <f aca="false">H210</f>
        <v>0</v>
      </c>
      <c r="J210" s="20" t="n">
        <f aca="false">E210+F210-G210+I210</f>
        <v>6699569.27215422</v>
      </c>
      <c r="K210" s="20" t="n">
        <f aca="false">O209</f>
        <v>8122127.12359796</v>
      </c>
      <c r="L210" s="20" t="n">
        <f aca="false">K210*B2Ret/12</f>
        <v>60915.9534269847</v>
      </c>
      <c r="M210" s="20" t="n">
        <f aca="false">-I210</f>
        <v>-0</v>
      </c>
      <c r="N210" s="20" t="n">
        <v>0</v>
      </c>
      <c r="O210" s="20" t="n">
        <f aca="false">K210+L210+M210+N210</f>
        <v>8183043.07702494</v>
      </c>
      <c r="P210" s="20" t="n">
        <f aca="false">S209</f>
        <v>56497722.0218524</v>
      </c>
      <c r="Q210" s="20" t="n">
        <f aca="false">P210*B3Ret/12</f>
        <v>517895.785200313</v>
      </c>
      <c r="R210" s="20" t="n">
        <f aca="false">-N210</f>
        <v>-0</v>
      </c>
      <c r="S210" s="20" t="n">
        <f aca="false">P210+Q210+R210</f>
        <v>57015617.8070527</v>
      </c>
      <c r="T210" s="20" t="n">
        <f aca="false">J210+O210+S210</f>
        <v>71898230.1562318</v>
      </c>
    </row>
    <row r="211" customFormat="false" ht="15" hidden="false" customHeight="false" outlineLevel="0" collapsed="false">
      <c r="A211" s="19" t="n">
        <v>210</v>
      </c>
      <c r="B211" s="19" t="n">
        <f aca="false">ROUNDUP(A211/12,0)</f>
        <v>18</v>
      </c>
      <c r="C211" s="19" t="n">
        <f aca="false">Age+B211-1</f>
        <v>79</v>
      </c>
      <c r="D211" s="20" t="n">
        <f aca="false">MonthlyExp*(1+Inflation)^(B211-1)</f>
        <v>157940.760548249</v>
      </c>
      <c r="E211" s="20" t="n">
        <f aca="false">J210</f>
        <v>6699569.27215422</v>
      </c>
      <c r="F211" s="20" t="n">
        <f aca="false">E211*B1Ret/12</f>
        <v>39080.8207542329</v>
      </c>
      <c r="G211" s="20" t="n">
        <f aca="false">D211</f>
        <v>157940.760548249</v>
      </c>
      <c r="H211" s="20" t="n">
        <v>0</v>
      </c>
      <c r="I211" s="20" t="n">
        <f aca="false">H211</f>
        <v>0</v>
      </c>
      <c r="J211" s="20" t="n">
        <f aca="false">E211+F211-G211+I211</f>
        <v>6580709.3323602</v>
      </c>
      <c r="K211" s="20" t="n">
        <f aca="false">O210</f>
        <v>8183043.07702494</v>
      </c>
      <c r="L211" s="20" t="n">
        <f aca="false">K211*B2Ret/12</f>
        <v>61372.8230776871</v>
      </c>
      <c r="M211" s="20" t="n">
        <f aca="false">-I211</f>
        <v>-0</v>
      </c>
      <c r="N211" s="20" t="n">
        <v>0</v>
      </c>
      <c r="O211" s="20" t="n">
        <f aca="false">K211+L211+M211+N211</f>
        <v>8244415.90010263</v>
      </c>
      <c r="P211" s="20" t="n">
        <f aca="false">S210</f>
        <v>57015617.8070527</v>
      </c>
      <c r="Q211" s="20" t="n">
        <f aca="false">P211*B3Ret/12</f>
        <v>522643.163231316</v>
      </c>
      <c r="R211" s="20" t="n">
        <f aca="false">-N211</f>
        <v>-0</v>
      </c>
      <c r="S211" s="20" t="n">
        <f aca="false">P211+Q211+R211</f>
        <v>57538260.970284</v>
      </c>
      <c r="T211" s="20" t="n">
        <f aca="false">J211+O211+S211</f>
        <v>72363386.2027468</v>
      </c>
    </row>
    <row r="212" customFormat="false" ht="15" hidden="false" customHeight="false" outlineLevel="0" collapsed="false">
      <c r="A212" s="19" t="n">
        <v>211</v>
      </c>
      <c r="B212" s="19" t="n">
        <f aca="false">ROUNDUP(A212/12,0)</f>
        <v>18</v>
      </c>
      <c r="C212" s="19" t="n">
        <f aca="false">Age+B212-1</f>
        <v>79</v>
      </c>
      <c r="D212" s="20" t="n">
        <f aca="false">MonthlyExp*(1+Inflation)^(B212-1)</f>
        <v>157940.760548249</v>
      </c>
      <c r="E212" s="20" t="n">
        <f aca="false">J211</f>
        <v>6580709.3323602</v>
      </c>
      <c r="F212" s="20" t="n">
        <f aca="false">E212*B1Ret/12</f>
        <v>38387.4711054345</v>
      </c>
      <c r="G212" s="20" t="n">
        <f aca="false">D212</f>
        <v>157940.760548249</v>
      </c>
      <c r="H212" s="20" t="n">
        <v>0</v>
      </c>
      <c r="I212" s="20" t="n">
        <f aca="false">H212</f>
        <v>0</v>
      </c>
      <c r="J212" s="20" t="n">
        <f aca="false">E212+F212-G212+I212</f>
        <v>6461156.04291739</v>
      </c>
      <c r="K212" s="20" t="n">
        <f aca="false">O211</f>
        <v>8244415.90010263</v>
      </c>
      <c r="L212" s="20" t="n">
        <f aca="false">K212*B2Ret/12</f>
        <v>61833.1192507697</v>
      </c>
      <c r="M212" s="20" t="n">
        <f aca="false">-I212</f>
        <v>-0</v>
      </c>
      <c r="N212" s="20" t="n">
        <v>0</v>
      </c>
      <c r="O212" s="20" t="n">
        <f aca="false">K212+L212+M212+N212</f>
        <v>8306249.0193534</v>
      </c>
      <c r="P212" s="20" t="n">
        <f aca="false">S211</f>
        <v>57538260.970284</v>
      </c>
      <c r="Q212" s="20" t="n">
        <f aca="false">P212*B3Ret/12</f>
        <v>527434.05889427</v>
      </c>
      <c r="R212" s="20" t="n">
        <f aca="false">-N212</f>
        <v>-0</v>
      </c>
      <c r="S212" s="20" t="n">
        <f aca="false">P212+Q212+R212</f>
        <v>58065695.0291783</v>
      </c>
      <c r="T212" s="20" t="n">
        <f aca="false">J212+O212+S212</f>
        <v>72833100.091449</v>
      </c>
    </row>
    <row r="213" customFormat="false" ht="15" hidden="false" customHeight="false" outlineLevel="0" collapsed="false">
      <c r="A213" s="19" t="n">
        <v>212</v>
      </c>
      <c r="B213" s="19" t="n">
        <f aca="false">ROUNDUP(A213/12,0)</f>
        <v>18</v>
      </c>
      <c r="C213" s="19" t="n">
        <f aca="false">Age+B213-1</f>
        <v>79</v>
      </c>
      <c r="D213" s="20" t="n">
        <f aca="false">MonthlyExp*(1+Inflation)^(B213-1)</f>
        <v>157940.760548249</v>
      </c>
      <c r="E213" s="20" t="n">
        <f aca="false">J212</f>
        <v>6461156.04291739</v>
      </c>
      <c r="F213" s="20" t="n">
        <f aca="false">E213*B1Ret/12</f>
        <v>37690.0769170181</v>
      </c>
      <c r="G213" s="20" t="n">
        <f aca="false">D213</f>
        <v>157940.760548249</v>
      </c>
      <c r="H213" s="20" t="n">
        <v>0</v>
      </c>
      <c r="I213" s="20" t="n">
        <f aca="false">H213</f>
        <v>0</v>
      </c>
      <c r="J213" s="20" t="n">
        <f aca="false">E213+F213-G213+I213</f>
        <v>6340905.35928615</v>
      </c>
      <c r="K213" s="20" t="n">
        <f aca="false">O212</f>
        <v>8306249.0193534</v>
      </c>
      <c r="L213" s="20" t="n">
        <f aca="false">K213*B2Ret/12</f>
        <v>62296.8676451505</v>
      </c>
      <c r="M213" s="20" t="n">
        <f aca="false">-I213</f>
        <v>-0</v>
      </c>
      <c r="N213" s="20" t="n">
        <v>0</v>
      </c>
      <c r="O213" s="20" t="n">
        <f aca="false">K213+L213+M213+N213</f>
        <v>8368545.88699855</v>
      </c>
      <c r="P213" s="20" t="n">
        <f aca="false">S212</f>
        <v>58065695.0291783</v>
      </c>
      <c r="Q213" s="20" t="n">
        <f aca="false">P213*B3Ret/12</f>
        <v>532268.871100801</v>
      </c>
      <c r="R213" s="20" t="n">
        <f aca="false">-N213</f>
        <v>-0</v>
      </c>
      <c r="S213" s="20" t="n">
        <f aca="false">P213+Q213+R213</f>
        <v>58597963.9002791</v>
      </c>
      <c r="T213" s="20" t="n">
        <f aca="false">J213+O213+S213</f>
        <v>73307415.1465638</v>
      </c>
    </row>
    <row r="214" customFormat="false" ht="15" hidden="false" customHeight="false" outlineLevel="0" collapsed="false">
      <c r="A214" s="19" t="n">
        <v>213</v>
      </c>
      <c r="B214" s="19" t="n">
        <f aca="false">ROUNDUP(A214/12,0)</f>
        <v>18</v>
      </c>
      <c r="C214" s="19" t="n">
        <f aca="false">Age+B214-1</f>
        <v>79</v>
      </c>
      <c r="D214" s="20" t="n">
        <f aca="false">MonthlyExp*(1+Inflation)^(B214-1)</f>
        <v>157940.760548249</v>
      </c>
      <c r="E214" s="20" t="n">
        <f aca="false">J213</f>
        <v>6340905.35928615</v>
      </c>
      <c r="F214" s="20" t="n">
        <f aca="false">E214*B1Ret/12</f>
        <v>36988.6145958359</v>
      </c>
      <c r="G214" s="20" t="n">
        <f aca="false">D214</f>
        <v>157940.760548249</v>
      </c>
      <c r="H214" s="20" t="n">
        <v>0</v>
      </c>
      <c r="I214" s="20" t="n">
        <f aca="false">H214</f>
        <v>0</v>
      </c>
      <c r="J214" s="20" t="n">
        <f aca="false">E214+F214-G214+I214</f>
        <v>6219953.21333374</v>
      </c>
      <c r="K214" s="20" t="n">
        <f aca="false">O213</f>
        <v>8368545.88699855</v>
      </c>
      <c r="L214" s="20" t="n">
        <f aca="false">K214*B2Ret/12</f>
        <v>62764.0941524891</v>
      </c>
      <c r="M214" s="20" t="n">
        <f aca="false">-I214</f>
        <v>-0</v>
      </c>
      <c r="N214" s="20" t="n">
        <v>0</v>
      </c>
      <c r="O214" s="20" t="n">
        <f aca="false">K214+L214+M214+N214</f>
        <v>8431309.98115104</v>
      </c>
      <c r="P214" s="20" t="n">
        <f aca="false">S213</f>
        <v>58597963.9002791</v>
      </c>
      <c r="Q214" s="20" t="n">
        <f aca="false">P214*B3Ret/12</f>
        <v>537148.002419225</v>
      </c>
      <c r="R214" s="20" t="n">
        <f aca="false">-N214</f>
        <v>-0</v>
      </c>
      <c r="S214" s="20" t="n">
        <f aca="false">P214+Q214+R214</f>
        <v>59135111.9026983</v>
      </c>
      <c r="T214" s="20" t="n">
        <f aca="false">J214+O214+S214</f>
        <v>73786375.0971831</v>
      </c>
    </row>
    <row r="215" customFormat="false" ht="15" hidden="false" customHeight="false" outlineLevel="0" collapsed="false">
      <c r="A215" s="19" t="n">
        <v>214</v>
      </c>
      <c r="B215" s="19" t="n">
        <f aca="false">ROUNDUP(A215/12,0)</f>
        <v>18</v>
      </c>
      <c r="C215" s="19" t="n">
        <f aca="false">Age+B215-1</f>
        <v>79</v>
      </c>
      <c r="D215" s="20" t="n">
        <f aca="false">MonthlyExp*(1+Inflation)^(B215-1)</f>
        <v>157940.760548249</v>
      </c>
      <c r="E215" s="20" t="n">
        <f aca="false">J214</f>
        <v>6219953.21333374</v>
      </c>
      <c r="F215" s="20" t="n">
        <f aca="false">E215*B1Ret/12</f>
        <v>36283.0604111135</v>
      </c>
      <c r="G215" s="20" t="n">
        <f aca="false">D215</f>
        <v>157940.760548249</v>
      </c>
      <c r="H215" s="20" t="n">
        <v>0</v>
      </c>
      <c r="I215" s="20" t="n">
        <f aca="false">H215</f>
        <v>0</v>
      </c>
      <c r="J215" s="20" t="n">
        <f aca="false">E215+F215-G215+I215</f>
        <v>6098295.5131966</v>
      </c>
      <c r="K215" s="20" t="n">
        <f aca="false">O214</f>
        <v>8431309.98115104</v>
      </c>
      <c r="L215" s="20" t="n">
        <f aca="false">K215*B2Ret/12</f>
        <v>63234.8248586328</v>
      </c>
      <c r="M215" s="20" t="n">
        <f aca="false">-I215</f>
        <v>-0</v>
      </c>
      <c r="N215" s="20" t="n">
        <v>0</v>
      </c>
      <c r="O215" s="20" t="n">
        <f aca="false">K215+L215+M215+N215</f>
        <v>8494544.80600967</v>
      </c>
      <c r="P215" s="20" t="n">
        <f aca="false">S214</f>
        <v>59135111.9026983</v>
      </c>
      <c r="Q215" s="20" t="n">
        <f aca="false">P215*B3Ret/12</f>
        <v>542071.859108068</v>
      </c>
      <c r="R215" s="20" t="n">
        <f aca="false">-N215</f>
        <v>-0</v>
      </c>
      <c r="S215" s="20" t="n">
        <f aca="false">P215+Q215+R215</f>
        <v>59677183.7618064</v>
      </c>
      <c r="T215" s="20" t="n">
        <f aca="false">J215+O215+S215</f>
        <v>74270024.0810126</v>
      </c>
    </row>
    <row r="216" customFormat="false" ht="15" hidden="false" customHeight="false" outlineLevel="0" collapsed="false">
      <c r="A216" s="19" t="n">
        <v>215</v>
      </c>
      <c r="B216" s="19" t="n">
        <f aca="false">ROUNDUP(A216/12,0)</f>
        <v>18</v>
      </c>
      <c r="C216" s="19" t="n">
        <f aca="false">Age+B216-1</f>
        <v>79</v>
      </c>
      <c r="D216" s="20" t="n">
        <f aca="false">MonthlyExp*(1+Inflation)^(B216-1)</f>
        <v>157940.760548249</v>
      </c>
      <c r="E216" s="20" t="n">
        <f aca="false">J215</f>
        <v>6098295.5131966</v>
      </c>
      <c r="F216" s="20" t="n">
        <f aca="false">E216*B1Ret/12</f>
        <v>35573.3904936469</v>
      </c>
      <c r="G216" s="20" t="n">
        <f aca="false">D216</f>
        <v>157940.760548249</v>
      </c>
      <c r="H216" s="20" t="n">
        <v>0</v>
      </c>
      <c r="I216" s="20" t="n">
        <f aca="false">H216</f>
        <v>0</v>
      </c>
      <c r="J216" s="20" t="n">
        <f aca="false">E216+F216-G216+I216</f>
        <v>5975928.143142</v>
      </c>
      <c r="K216" s="20" t="n">
        <f aca="false">O215</f>
        <v>8494544.80600967</v>
      </c>
      <c r="L216" s="20" t="n">
        <f aca="false">K216*B2Ret/12</f>
        <v>63709.0860450725</v>
      </c>
      <c r="M216" s="20" t="n">
        <f aca="false">-I216</f>
        <v>-0</v>
      </c>
      <c r="N216" s="20" t="n">
        <v>0</v>
      </c>
      <c r="O216" s="20" t="n">
        <f aca="false">K216+L216+M216+N216</f>
        <v>8558253.89205474</v>
      </c>
      <c r="P216" s="20" t="n">
        <f aca="false">S215</f>
        <v>59677183.7618064</v>
      </c>
      <c r="Q216" s="20" t="n">
        <f aca="false">P216*B3Ret/12</f>
        <v>547040.851149892</v>
      </c>
      <c r="R216" s="20" t="n">
        <f aca="false">-N216</f>
        <v>-0</v>
      </c>
      <c r="S216" s="20" t="n">
        <f aca="false">P216+Q216+R216</f>
        <v>60224224.6129562</v>
      </c>
      <c r="T216" s="20" t="n">
        <f aca="false">J216+O216+S216</f>
        <v>74758406.648153</v>
      </c>
    </row>
    <row r="217" customFormat="false" ht="15" hidden="false" customHeight="false" outlineLevel="0" collapsed="false">
      <c r="A217" s="19" t="n">
        <v>216</v>
      </c>
      <c r="B217" s="19" t="n">
        <f aca="false">ROUNDUP(A217/12,0)</f>
        <v>18</v>
      </c>
      <c r="C217" s="19" t="n">
        <f aca="false">Age+B217-1</f>
        <v>79</v>
      </c>
      <c r="D217" s="20" t="n">
        <f aca="false">MonthlyExp*(1+Inflation)^(B217-1)</f>
        <v>157940.760548249</v>
      </c>
      <c r="E217" s="20" t="n">
        <f aca="false">J216</f>
        <v>5975928.143142</v>
      </c>
      <c r="F217" s="20" t="n">
        <f aca="false">E217*B1Ret/12</f>
        <v>34859.580834995</v>
      </c>
      <c r="G217" s="20" t="n">
        <f aca="false">D217</f>
        <v>157940.760548249</v>
      </c>
      <c r="H217" s="20" t="n">
        <v>0</v>
      </c>
      <c r="I217" s="20" t="n">
        <f aca="false">H217</f>
        <v>0</v>
      </c>
      <c r="J217" s="20" t="n">
        <f aca="false">E217+F217-G217+I217</f>
        <v>5852846.96342875</v>
      </c>
      <c r="K217" s="20" t="n">
        <f aca="false">O216</f>
        <v>8558253.89205474</v>
      </c>
      <c r="L217" s="20" t="n">
        <f aca="false">K217*B2Ret/12</f>
        <v>64186.9041904106</v>
      </c>
      <c r="M217" s="20" t="n">
        <f aca="false">-I217</f>
        <v>-0</v>
      </c>
      <c r="N217" s="20" t="n">
        <v>0</v>
      </c>
      <c r="O217" s="20" t="n">
        <f aca="false">K217+L217+M217+N217</f>
        <v>8622440.79624515</v>
      </c>
      <c r="P217" s="20" t="n">
        <f aca="false">S216</f>
        <v>60224224.6129562</v>
      </c>
      <c r="Q217" s="20" t="n">
        <f aca="false">P217*B3Ret/12</f>
        <v>552055.392285432</v>
      </c>
      <c r="R217" s="20" t="n">
        <f aca="false">-N217</f>
        <v>-0</v>
      </c>
      <c r="S217" s="20" t="n">
        <f aca="false">P217+Q217+R217</f>
        <v>60776280.0052417</v>
      </c>
      <c r="T217" s="20" t="n">
        <f aca="false">J217+O217+S217</f>
        <v>75251567.7649156</v>
      </c>
    </row>
    <row r="218" customFormat="false" ht="15" hidden="false" customHeight="false" outlineLevel="0" collapsed="false">
      <c r="A218" s="19" t="n">
        <v>217</v>
      </c>
      <c r="B218" s="19" t="n">
        <f aca="false">ROUNDUP(A218/12,0)</f>
        <v>19</v>
      </c>
      <c r="C218" s="19" t="n">
        <f aca="false">Age+B218-1</f>
        <v>80</v>
      </c>
      <c r="D218" s="20" t="n">
        <f aca="false">MonthlyExp*(1+Inflation)^(B218-1)</f>
        <v>168996.613786627</v>
      </c>
      <c r="E218" s="20" t="n">
        <f aca="false">J217</f>
        <v>5852846.96342875</v>
      </c>
      <c r="F218" s="20" t="n">
        <f aca="false">E218*B1Ret/12</f>
        <v>34141.6072866677</v>
      </c>
      <c r="G218" s="20" t="n">
        <f aca="false">D218</f>
        <v>168996.613786627</v>
      </c>
      <c r="H218" s="20" t="n">
        <v>0</v>
      </c>
      <c r="I218" s="20" t="n">
        <f aca="false">H218</f>
        <v>0</v>
      </c>
      <c r="J218" s="20" t="n">
        <f aca="false">E218+F218-G218+I218</f>
        <v>5717991.95692879</v>
      </c>
      <c r="K218" s="20" t="n">
        <f aca="false">O217</f>
        <v>8622440.79624515</v>
      </c>
      <c r="L218" s="20" t="n">
        <f aca="false">K218*B2Ret/12</f>
        <v>64668.3059718387</v>
      </c>
      <c r="M218" s="20" t="n">
        <f aca="false">-I218</f>
        <v>-0</v>
      </c>
      <c r="N218" s="20" t="n">
        <v>0</v>
      </c>
      <c r="O218" s="20" t="n">
        <f aca="false">K218+L218+M218+N218</f>
        <v>8687109.10221699</v>
      </c>
      <c r="P218" s="20" t="n">
        <f aca="false">S217</f>
        <v>60776280.0052417</v>
      </c>
      <c r="Q218" s="20" t="n">
        <f aca="false">P218*B3Ret/12</f>
        <v>557115.900048049</v>
      </c>
      <c r="R218" s="20" t="n">
        <f aca="false">-N218</f>
        <v>-0</v>
      </c>
      <c r="S218" s="20" t="n">
        <f aca="false">P218+Q218+R218</f>
        <v>61333395.9052897</v>
      </c>
      <c r="T218" s="20" t="n">
        <f aca="false">J218+O218+S218</f>
        <v>75738496.9644355</v>
      </c>
    </row>
    <row r="219" customFormat="false" ht="15" hidden="false" customHeight="false" outlineLevel="0" collapsed="false">
      <c r="A219" s="19" t="n">
        <v>218</v>
      </c>
      <c r="B219" s="19" t="n">
        <f aca="false">ROUNDUP(A219/12,0)</f>
        <v>19</v>
      </c>
      <c r="C219" s="19" t="n">
        <f aca="false">Age+B219-1</f>
        <v>80</v>
      </c>
      <c r="D219" s="20" t="n">
        <f aca="false">MonthlyExp*(1+Inflation)^(B219-1)</f>
        <v>168996.613786627</v>
      </c>
      <c r="E219" s="20" t="n">
        <f aca="false">J218</f>
        <v>5717991.95692879</v>
      </c>
      <c r="F219" s="20" t="n">
        <f aca="false">E219*B1Ret/12</f>
        <v>33354.9530820846</v>
      </c>
      <c r="G219" s="20" t="n">
        <f aca="false">D219</f>
        <v>168996.613786627</v>
      </c>
      <c r="H219" s="20" t="n">
        <v>0</v>
      </c>
      <c r="I219" s="20" t="n">
        <f aca="false">H219</f>
        <v>0</v>
      </c>
      <c r="J219" s="20" t="n">
        <f aca="false">E219+F219-G219+I219</f>
        <v>5582350.29622424</v>
      </c>
      <c r="K219" s="20" t="n">
        <f aca="false">O218</f>
        <v>8687109.10221699</v>
      </c>
      <c r="L219" s="20" t="n">
        <f aca="false">K219*B2Ret/12</f>
        <v>65153.3182666274</v>
      </c>
      <c r="M219" s="20" t="n">
        <f aca="false">-I219</f>
        <v>-0</v>
      </c>
      <c r="N219" s="20" t="n">
        <v>0</v>
      </c>
      <c r="O219" s="20" t="n">
        <f aca="false">K219+L219+M219+N219</f>
        <v>8752262.42048362</v>
      </c>
      <c r="P219" s="20" t="n">
        <f aca="false">S218</f>
        <v>61333395.9052897</v>
      </c>
      <c r="Q219" s="20" t="n">
        <f aca="false">P219*B3Ret/12</f>
        <v>562222.795798489</v>
      </c>
      <c r="R219" s="20" t="n">
        <f aca="false">-N219</f>
        <v>-0</v>
      </c>
      <c r="S219" s="20" t="n">
        <f aca="false">P219+Q219+R219</f>
        <v>61895618.7010882</v>
      </c>
      <c r="T219" s="20" t="n">
        <f aca="false">J219+O219+S219</f>
        <v>76230231.4177961</v>
      </c>
    </row>
    <row r="220" customFormat="false" ht="15" hidden="false" customHeight="false" outlineLevel="0" collapsed="false">
      <c r="A220" s="19" t="n">
        <v>219</v>
      </c>
      <c r="B220" s="19" t="n">
        <f aca="false">ROUNDUP(A220/12,0)</f>
        <v>19</v>
      </c>
      <c r="C220" s="19" t="n">
        <f aca="false">Age+B220-1</f>
        <v>80</v>
      </c>
      <c r="D220" s="20" t="n">
        <f aca="false">MonthlyExp*(1+Inflation)^(B220-1)</f>
        <v>168996.613786627</v>
      </c>
      <c r="E220" s="20" t="n">
        <f aca="false">J219</f>
        <v>5582350.29622424</v>
      </c>
      <c r="F220" s="20" t="n">
        <f aca="false">E220*B1Ret/12</f>
        <v>32563.7100613081</v>
      </c>
      <c r="G220" s="20" t="n">
        <f aca="false">D220</f>
        <v>168996.613786627</v>
      </c>
      <c r="H220" s="20" t="n">
        <v>0</v>
      </c>
      <c r="I220" s="20" t="n">
        <f aca="false">H220</f>
        <v>0</v>
      </c>
      <c r="J220" s="20" t="n">
        <f aca="false">E220+F220-G220+I220</f>
        <v>5445917.39249893</v>
      </c>
      <c r="K220" s="20" t="n">
        <f aca="false">O219</f>
        <v>8752262.42048362</v>
      </c>
      <c r="L220" s="20" t="n">
        <f aca="false">K220*B2Ret/12</f>
        <v>65641.9681536272</v>
      </c>
      <c r="M220" s="20" t="n">
        <f aca="false">-I220</f>
        <v>-0</v>
      </c>
      <c r="N220" s="20" t="n">
        <v>0</v>
      </c>
      <c r="O220" s="20" t="n">
        <f aca="false">K220+L220+M220+N220</f>
        <v>8817904.38863725</v>
      </c>
      <c r="P220" s="20" t="n">
        <f aca="false">S219</f>
        <v>61895618.7010882</v>
      </c>
      <c r="Q220" s="20" t="n">
        <f aca="false">P220*B3Ret/12</f>
        <v>567376.504759975</v>
      </c>
      <c r="R220" s="20" t="n">
        <f aca="false">-N220</f>
        <v>-0</v>
      </c>
      <c r="S220" s="20" t="n">
        <f aca="false">P220+Q220+R220</f>
        <v>62462995.2058482</v>
      </c>
      <c r="T220" s="20" t="n">
        <f aca="false">J220+O220+S220</f>
        <v>76726816.9869844</v>
      </c>
    </row>
    <row r="221" customFormat="false" ht="15" hidden="false" customHeight="false" outlineLevel="0" collapsed="false">
      <c r="A221" s="19" t="n">
        <v>220</v>
      </c>
      <c r="B221" s="19" t="n">
        <f aca="false">ROUNDUP(A221/12,0)</f>
        <v>19</v>
      </c>
      <c r="C221" s="19" t="n">
        <f aca="false">Age+B221-1</f>
        <v>80</v>
      </c>
      <c r="D221" s="20" t="n">
        <f aca="false">MonthlyExp*(1+Inflation)^(B221-1)</f>
        <v>168996.613786627</v>
      </c>
      <c r="E221" s="20" t="n">
        <f aca="false">J220</f>
        <v>5445917.39249893</v>
      </c>
      <c r="F221" s="20" t="n">
        <f aca="false">E221*B1Ret/12</f>
        <v>31767.8514562437</v>
      </c>
      <c r="G221" s="20" t="n">
        <f aca="false">D221</f>
        <v>168996.613786627</v>
      </c>
      <c r="H221" s="20" t="n">
        <v>0</v>
      </c>
      <c r="I221" s="20" t="n">
        <f aca="false">H221</f>
        <v>0</v>
      </c>
      <c r="J221" s="20" t="n">
        <f aca="false">E221+F221-G221+I221</f>
        <v>5308688.63016854</v>
      </c>
      <c r="K221" s="20" t="n">
        <f aca="false">O220</f>
        <v>8817904.38863725</v>
      </c>
      <c r="L221" s="20" t="n">
        <f aca="false">K221*B2Ret/12</f>
        <v>66134.2829147794</v>
      </c>
      <c r="M221" s="20" t="n">
        <f aca="false">-I221</f>
        <v>-0</v>
      </c>
      <c r="N221" s="20" t="n">
        <v>0</v>
      </c>
      <c r="O221" s="20" t="n">
        <f aca="false">K221+L221+M221+N221</f>
        <v>8884038.67155203</v>
      </c>
      <c r="P221" s="20" t="n">
        <f aca="false">S220</f>
        <v>62462995.2058482</v>
      </c>
      <c r="Q221" s="20" t="n">
        <f aca="false">P221*B3Ret/12</f>
        <v>572577.456053608</v>
      </c>
      <c r="R221" s="20" t="n">
        <f aca="false">-N221</f>
        <v>-0</v>
      </c>
      <c r="S221" s="20" t="n">
        <f aca="false">P221+Q221+R221</f>
        <v>63035572.6619018</v>
      </c>
      <c r="T221" s="20" t="n">
        <f aca="false">J221+O221+S221</f>
        <v>77228299.9636224</v>
      </c>
    </row>
    <row r="222" customFormat="false" ht="15" hidden="false" customHeight="false" outlineLevel="0" collapsed="false">
      <c r="A222" s="19" t="n">
        <v>221</v>
      </c>
      <c r="B222" s="19" t="n">
        <f aca="false">ROUNDUP(A222/12,0)</f>
        <v>19</v>
      </c>
      <c r="C222" s="19" t="n">
        <f aca="false">Age+B222-1</f>
        <v>80</v>
      </c>
      <c r="D222" s="20" t="n">
        <f aca="false">MonthlyExp*(1+Inflation)^(B222-1)</f>
        <v>168996.613786627</v>
      </c>
      <c r="E222" s="20" t="n">
        <f aca="false">J221</f>
        <v>5308688.63016854</v>
      </c>
      <c r="F222" s="20" t="n">
        <f aca="false">E222*B1Ret/12</f>
        <v>30967.3503426498</v>
      </c>
      <c r="G222" s="20" t="n">
        <f aca="false">D222</f>
        <v>168996.613786627</v>
      </c>
      <c r="H222" s="20" t="n">
        <v>0</v>
      </c>
      <c r="I222" s="20" t="n">
        <f aca="false">H222</f>
        <v>0</v>
      </c>
      <c r="J222" s="20" t="n">
        <f aca="false">E222+F222-G222+I222</f>
        <v>5170659.36672457</v>
      </c>
      <c r="K222" s="20" t="n">
        <f aca="false">O221</f>
        <v>8884038.67155203</v>
      </c>
      <c r="L222" s="20" t="n">
        <f aca="false">K222*B2Ret/12</f>
        <v>66630.2900366402</v>
      </c>
      <c r="M222" s="20" t="n">
        <f aca="false">-I222</f>
        <v>-0</v>
      </c>
      <c r="N222" s="20" t="n">
        <v>0</v>
      </c>
      <c r="O222" s="20" t="n">
        <f aca="false">K222+L222+M222+N222</f>
        <v>8950668.96158867</v>
      </c>
      <c r="P222" s="20" t="n">
        <f aca="false">S221</f>
        <v>63035572.6619018</v>
      </c>
      <c r="Q222" s="20" t="n">
        <f aca="false">P222*B3Ret/12</f>
        <v>577826.0827341</v>
      </c>
      <c r="R222" s="20" t="n">
        <f aca="false">-N222</f>
        <v>-0</v>
      </c>
      <c r="S222" s="20" t="n">
        <f aca="false">P222+Q222+R222</f>
        <v>63613398.7446359</v>
      </c>
      <c r="T222" s="20" t="n">
        <f aca="false">J222+O222+S222</f>
        <v>77734727.0729491</v>
      </c>
    </row>
    <row r="223" customFormat="false" ht="15" hidden="false" customHeight="false" outlineLevel="0" collapsed="false">
      <c r="A223" s="19" t="n">
        <v>222</v>
      </c>
      <c r="B223" s="19" t="n">
        <f aca="false">ROUNDUP(A223/12,0)</f>
        <v>19</v>
      </c>
      <c r="C223" s="19" t="n">
        <f aca="false">Age+B223-1</f>
        <v>80</v>
      </c>
      <c r="D223" s="20" t="n">
        <f aca="false">MonthlyExp*(1+Inflation)^(B223-1)</f>
        <v>168996.613786627</v>
      </c>
      <c r="E223" s="20" t="n">
        <f aca="false">J222</f>
        <v>5170659.36672457</v>
      </c>
      <c r="F223" s="20" t="n">
        <f aca="false">E223*B1Ret/12</f>
        <v>30162.1796392266</v>
      </c>
      <c r="G223" s="20" t="n">
        <f aca="false">D223</f>
        <v>168996.613786627</v>
      </c>
      <c r="H223" s="20" t="n">
        <v>0</v>
      </c>
      <c r="I223" s="20" t="n">
        <f aca="false">H223</f>
        <v>0</v>
      </c>
      <c r="J223" s="20" t="n">
        <f aca="false">E223+F223-G223+I223</f>
        <v>5031824.93257717</v>
      </c>
      <c r="K223" s="20" t="n">
        <f aca="false">O222</f>
        <v>8950668.96158867</v>
      </c>
      <c r="L223" s="20" t="n">
        <f aca="false">K223*B2Ret/12</f>
        <v>67130.017211915</v>
      </c>
      <c r="M223" s="20" t="n">
        <f aca="false">-I223</f>
        <v>-0</v>
      </c>
      <c r="N223" s="20" t="n">
        <v>0</v>
      </c>
      <c r="O223" s="20" t="n">
        <f aca="false">K223+L223+M223+N223</f>
        <v>9017798.97880059</v>
      </c>
      <c r="P223" s="20" t="n">
        <f aca="false">S222</f>
        <v>63613398.7446359</v>
      </c>
      <c r="Q223" s="20" t="n">
        <f aca="false">P223*B3Ret/12</f>
        <v>583122.821825829</v>
      </c>
      <c r="R223" s="20" t="n">
        <f aca="false">-N223</f>
        <v>-0</v>
      </c>
      <c r="S223" s="20" t="n">
        <f aca="false">P223+Q223+R223</f>
        <v>64196521.5664617</v>
      </c>
      <c r="T223" s="20" t="n">
        <f aca="false">J223+O223+S223</f>
        <v>78246145.4778395</v>
      </c>
    </row>
    <row r="224" customFormat="false" ht="15" hidden="false" customHeight="false" outlineLevel="0" collapsed="false">
      <c r="A224" s="19" t="n">
        <v>223</v>
      </c>
      <c r="B224" s="19" t="n">
        <f aca="false">ROUNDUP(A224/12,0)</f>
        <v>19</v>
      </c>
      <c r="C224" s="19" t="n">
        <f aca="false">Age+B224-1</f>
        <v>80</v>
      </c>
      <c r="D224" s="20" t="n">
        <f aca="false">MonthlyExp*(1+Inflation)^(B224-1)</f>
        <v>168996.613786627</v>
      </c>
      <c r="E224" s="20" t="n">
        <f aca="false">J223</f>
        <v>5031824.93257717</v>
      </c>
      <c r="F224" s="20" t="n">
        <f aca="false">E224*B1Ret/12</f>
        <v>29352.3121067001</v>
      </c>
      <c r="G224" s="20" t="n">
        <f aca="false">D224</f>
        <v>168996.613786627</v>
      </c>
      <c r="H224" s="20" t="n">
        <v>0</v>
      </c>
      <c r="I224" s="20" t="n">
        <f aca="false">H224</f>
        <v>0</v>
      </c>
      <c r="J224" s="20" t="n">
        <f aca="false">E224+F224-G224+I224</f>
        <v>4892180.63089724</v>
      </c>
      <c r="K224" s="20" t="n">
        <f aca="false">O223</f>
        <v>9017798.97880059</v>
      </c>
      <c r="L224" s="20" t="n">
        <f aca="false">K224*B2Ret/12</f>
        <v>67633.4923410044</v>
      </c>
      <c r="M224" s="20" t="n">
        <f aca="false">-I224</f>
        <v>-0</v>
      </c>
      <c r="N224" s="20" t="n">
        <v>0</v>
      </c>
      <c r="O224" s="20" t="n">
        <f aca="false">K224+L224+M224+N224</f>
        <v>9085432.47114159</v>
      </c>
      <c r="P224" s="20" t="n">
        <f aca="false">S223</f>
        <v>64196521.5664617</v>
      </c>
      <c r="Q224" s="20" t="n">
        <f aca="false">P224*B3Ret/12</f>
        <v>588468.114359233</v>
      </c>
      <c r="R224" s="20" t="n">
        <f aca="false">-N224</f>
        <v>-0</v>
      </c>
      <c r="S224" s="20" t="n">
        <f aca="false">P224+Q224+R224</f>
        <v>64784989.680821</v>
      </c>
      <c r="T224" s="20" t="n">
        <f aca="false">J224+O224+S224</f>
        <v>78762602.7828598</v>
      </c>
    </row>
    <row r="225" customFormat="false" ht="15" hidden="false" customHeight="false" outlineLevel="0" collapsed="false">
      <c r="A225" s="19" t="n">
        <v>224</v>
      </c>
      <c r="B225" s="19" t="n">
        <f aca="false">ROUNDUP(A225/12,0)</f>
        <v>19</v>
      </c>
      <c r="C225" s="19" t="n">
        <f aca="false">Age+B225-1</f>
        <v>80</v>
      </c>
      <c r="D225" s="20" t="n">
        <f aca="false">MonthlyExp*(1+Inflation)^(B225-1)</f>
        <v>168996.613786627</v>
      </c>
      <c r="E225" s="20" t="n">
        <f aca="false">J224</f>
        <v>4892180.63089724</v>
      </c>
      <c r="F225" s="20" t="n">
        <f aca="false">E225*B1Ret/12</f>
        <v>28537.7203469006</v>
      </c>
      <c r="G225" s="20" t="n">
        <f aca="false">D225</f>
        <v>168996.613786627</v>
      </c>
      <c r="H225" s="20" t="n">
        <v>0</v>
      </c>
      <c r="I225" s="20" t="n">
        <f aca="false">H225</f>
        <v>0</v>
      </c>
      <c r="J225" s="20" t="n">
        <f aca="false">E225+F225-G225+I225</f>
        <v>4751721.73745751</v>
      </c>
      <c r="K225" s="20" t="n">
        <f aca="false">O224</f>
        <v>9085432.47114159</v>
      </c>
      <c r="L225" s="20" t="n">
        <f aca="false">K225*B2Ret/12</f>
        <v>68140.7435335619</v>
      </c>
      <c r="M225" s="20" t="n">
        <f aca="false">-I225</f>
        <v>-0</v>
      </c>
      <c r="N225" s="20" t="n">
        <v>0</v>
      </c>
      <c r="O225" s="20" t="n">
        <f aca="false">K225+L225+M225+N225</f>
        <v>9153573.21467515</v>
      </c>
      <c r="P225" s="20" t="n">
        <f aca="false">S224</f>
        <v>64784989.680821</v>
      </c>
      <c r="Q225" s="20" t="n">
        <f aca="false">P225*B3Ret/12</f>
        <v>593862.405407525</v>
      </c>
      <c r="R225" s="20" t="n">
        <f aca="false">-N225</f>
        <v>-0</v>
      </c>
      <c r="S225" s="20" t="n">
        <f aca="false">P225+Q225+R225</f>
        <v>65378852.0862285</v>
      </c>
      <c r="T225" s="20" t="n">
        <f aca="false">J225+O225+S225</f>
        <v>79284147.0383611</v>
      </c>
    </row>
    <row r="226" customFormat="false" ht="15" hidden="false" customHeight="false" outlineLevel="0" collapsed="false">
      <c r="A226" s="19" t="n">
        <v>225</v>
      </c>
      <c r="B226" s="19" t="n">
        <f aca="false">ROUNDUP(A226/12,0)</f>
        <v>19</v>
      </c>
      <c r="C226" s="19" t="n">
        <f aca="false">Age+B226-1</f>
        <v>80</v>
      </c>
      <c r="D226" s="20" t="n">
        <f aca="false">MonthlyExp*(1+Inflation)^(B226-1)</f>
        <v>168996.613786627</v>
      </c>
      <c r="E226" s="20" t="n">
        <f aca="false">J225</f>
        <v>4751721.73745751</v>
      </c>
      <c r="F226" s="20" t="n">
        <f aca="false">E226*B1Ret/12</f>
        <v>27718.3768018355</v>
      </c>
      <c r="G226" s="20" t="n">
        <f aca="false">D226</f>
        <v>168996.613786627</v>
      </c>
      <c r="H226" s="20" t="n">
        <v>0</v>
      </c>
      <c r="I226" s="20" t="n">
        <f aca="false">H226</f>
        <v>0</v>
      </c>
      <c r="J226" s="20" t="n">
        <f aca="false">E226+F226-G226+I226</f>
        <v>4610443.50047272</v>
      </c>
      <c r="K226" s="20" t="n">
        <f aca="false">O225</f>
        <v>9153573.21467515</v>
      </c>
      <c r="L226" s="20" t="n">
        <f aca="false">K226*B2Ret/12</f>
        <v>68651.7991100636</v>
      </c>
      <c r="M226" s="20" t="n">
        <f aca="false">-I226</f>
        <v>-0</v>
      </c>
      <c r="N226" s="20" t="n">
        <v>0</v>
      </c>
      <c r="O226" s="20" t="n">
        <f aca="false">K226+L226+M226+N226</f>
        <v>9222225.01378522</v>
      </c>
      <c r="P226" s="20" t="n">
        <f aca="false">S225</f>
        <v>65378852.0862285</v>
      </c>
      <c r="Q226" s="20" t="n">
        <f aca="false">P226*B3Ret/12</f>
        <v>599306.144123761</v>
      </c>
      <c r="R226" s="20" t="n">
        <f aca="false">-N226</f>
        <v>-0</v>
      </c>
      <c r="S226" s="20" t="n">
        <f aca="false">P226+Q226+R226</f>
        <v>65978158.2303522</v>
      </c>
      <c r="T226" s="20" t="n">
        <f aca="false">J226+O226+S226</f>
        <v>79810826.7446102</v>
      </c>
    </row>
    <row r="227" customFormat="false" ht="15" hidden="false" customHeight="false" outlineLevel="0" collapsed="false">
      <c r="A227" s="19" t="n">
        <v>226</v>
      </c>
      <c r="B227" s="19" t="n">
        <f aca="false">ROUNDUP(A227/12,0)</f>
        <v>19</v>
      </c>
      <c r="C227" s="19" t="n">
        <f aca="false">Age+B227-1</f>
        <v>80</v>
      </c>
      <c r="D227" s="20" t="n">
        <f aca="false">MonthlyExp*(1+Inflation)^(B227-1)</f>
        <v>168996.613786627</v>
      </c>
      <c r="E227" s="20" t="n">
        <f aca="false">J226</f>
        <v>4610443.50047272</v>
      </c>
      <c r="F227" s="20" t="n">
        <f aca="false">E227*B1Ret/12</f>
        <v>26894.2537527575</v>
      </c>
      <c r="G227" s="20" t="n">
        <f aca="false">D227</f>
        <v>168996.613786627</v>
      </c>
      <c r="H227" s="20" t="n">
        <v>0</v>
      </c>
      <c r="I227" s="20" t="n">
        <f aca="false">H227</f>
        <v>0</v>
      </c>
      <c r="J227" s="20" t="n">
        <f aca="false">E227+F227-G227+I227</f>
        <v>4468341.14043885</v>
      </c>
      <c r="K227" s="20" t="n">
        <f aca="false">O226</f>
        <v>9222225.01378522</v>
      </c>
      <c r="L227" s="20" t="n">
        <f aca="false">K227*B2Ret/12</f>
        <v>69166.6876033891</v>
      </c>
      <c r="M227" s="20" t="n">
        <f aca="false">-I227</f>
        <v>-0</v>
      </c>
      <c r="N227" s="20" t="n">
        <v>0</v>
      </c>
      <c r="O227" s="20" t="n">
        <f aca="false">K227+L227+M227+N227</f>
        <v>9291391.70138861</v>
      </c>
      <c r="P227" s="20" t="n">
        <f aca="false">S226</f>
        <v>65978158.2303522</v>
      </c>
      <c r="Q227" s="20" t="n">
        <f aca="false">P227*B3Ret/12</f>
        <v>604799.783778229</v>
      </c>
      <c r="R227" s="20" t="n">
        <f aca="false">-N227</f>
        <v>-0</v>
      </c>
      <c r="S227" s="20" t="n">
        <f aca="false">P227+Q227+R227</f>
        <v>66582958.0141305</v>
      </c>
      <c r="T227" s="20" t="n">
        <f aca="false">J227+O227+S227</f>
        <v>80342690.8559579</v>
      </c>
    </row>
    <row r="228" customFormat="false" ht="15" hidden="false" customHeight="false" outlineLevel="0" collapsed="false">
      <c r="A228" s="19" t="n">
        <v>227</v>
      </c>
      <c r="B228" s="19" t="n">
        <f aca="false">ROUNDUP(A228/12,0)</f>
        <v>19</v>
      </c>
      <c r="C228" s="19" t="n">
        <f aca="false">Age+B228-1</f>
        <v>80</v>
      </c>
      <c r="D228" s="20" t="n">
        <f aca="false">MonthlyExp*(1+Inflation)^(B228-1)</f>
        <v>168996.613786627</v>
      </c>
      <c r="E228" s="20" t="n">
        <f aca="false">J227</f>
        <v>4468341.14043885</v>
      </c>
      <c r="F228" s="20" t="n">
        <f aca="false">E228*B1Ret/12</f>
        <v>26065.3233192266</v>
      </c>
      <c r="G228" s="20" t="n">
        <f aca="false">D228</f>
        <v>168996.613786627</v>
      </c>
      <c r="H228" s="20" t="n">
        <v>0</v>
      </c>
      <c r="I228" s="20" t="n">
        <f aca="false">H228</f>
        <v>0</v>
      </c>
      <c r="J228" s="20" t="n">
        <f aca="false">E228+F228-G228+I228</f>
        <v>4325409.84997145</v>
      </c>
      <c r="K228" s="20" t="n">
        <f aca="false">O227</f>
        <v>9291391.70138861</v>
      </c>
      <c r="L228" s="20" t="n">
        <f aca="false">K228*B2Ret/12</f>
        <v>69685.4377604145</v>
      </c>
      <c r="M228" s="20" t="n">
        <f aca="false">-I228</f>
        <v>-0</v>
      </c>
      <c r="N228" s="20" t="n">
        <v>0</v>
      </c>
      <c r="O228" s="20" t="n">
        <f aca="false">K228+L228+M228+N228</f>
        <v>9361077.13914902</v>
      </c>
      <c r="P228" s="20" t="n">
        <f aca="false">S227</f>
        <v>66582958.0141305</v>
      </c>
      <c r="Q228" s="20" t="n">
        <f aca="false">P228*B3Ret/12</f>
        <v>610343.781796196</v>
      </c>
      <c r="R228" s="20" t="n">
        <f aca="false">-N228</f>
        <v>-0</v>
      </c>
      <c r="S228" s="20" t="n">
        <f aca="false">P228+Q228+R228</f>
        <v>67193301.7959267</v>
      </c>
      <c r="T228" s="20" t="n">
        <f aca="false">J228+O228+S228</f>
        <v>80879788.7850471</v>
      </c>
    </row>
    <row r="229" customFormat="false" ht="15" hidden="false" customHeight="false" outlineLevel="0" collapsed="false">
      <c r="A229" s="19" t="n">
        <v>228</v>
      </c>
      <c r="B229" s="19" t="n">
        <f aca="false">ROUNDUP(A229/12,0)</f>
        <v>19</v>
      </c>
      <c r="C229" s="19" t="n">
        <f aca="false">Age+B229-1</f>
        <v>80</v>
      </c>
      <c r="D229" s="20" t="n">
        <f aca="false">MonthlyExp*(1+Inflation)^(B229-1)</f>
        <v>168996.613786627</v>
      </c>
      <c r="E229" s="20" t="n">
        <f aca="false">J228</f>
        <v>4325409.84997145</v>
      </c>
      <c r="F229" s="20" t="n">
        <f aca="false">E229*B1Ret/12</f>
        <v>25231.5574581668</v>
      </c>
      <c r="G229" s="20" t="n">
        <f aca="false">D229</f>
        <v>168996.613786627</v>
      </c>
      <c r="H229" s="20" t="n">
        <v>0</v>
      </c>
      <c r="I229" s="20" t="n">
        <f aca="false">H229</f>
        <v>0</v>
      </c>
      <c r="J229" s="20" t="n">
        <f aca="false">E229+F229-G229+I229</f>
        <v>4181644.79364299</v>
      </c>
      <c r="K229" s="20" t="n">
        <f aca="false">O228</f>
        <v>9361077.13914902</v>
      </c>
      <c r="L229" s="20" t="n">
        <f aca="false">K229*B2Ret/12</f>
        <v>70208.0785436176</v>
      </c>
      <c r="M229" s="20" t="n">
        <f aca="false">-I229</f>
        <v>-0</v>
      </c>
      <c r="N229" s="20" t="n">
        <v>0</v>
      </c>
      <c r="O229" s="20" t="n">
        <f aca="false">K229+L229+M229+N229</f>
        <v>9431285.21769264</v>
      </c>
      <c r="P229" s="20" t="n">
        <f aca="false">S228</f>
        <v>67193301.7959267</v>
      </c>
      <c r="Q229" s="20" t="n">
        <f aca="false">P229*B3Ret/12</f>
        <v>615938.599795995</v>
      </c>
      <c r="R229" s="20" t="n">
        <f aca="false">-N229</f>
        <v>-0</v>
      </c>
      <c r="S229" s="20" t="n">
        <f aca="false">P229+Q229+R229</f>
        <v>67809240.3957227</v>
      </c>
      <c r="T229" s="20" t="n">
        <f aca="false">J229+O229+S229</f>
        <v>81422170.4070583</v>
      </c>
    </row>
    <row r="230" customFormat="false" ht="15" hidden="false" customHeight="false" outlineLevel="0" collapsed="false">
      <c r="A230" s="19" t="n">
        <v>229</v>
      </c>
      <c r="B230" s="19" t="n">
        <f aca="false">ROUNDUP(A230/12,0)</f>
        <v>20</v>
      </c>
      <c r="C230" s="19" t="n">
        <f aca="false">Age+B230-1</f>
        <v>81</v>
      </c>
      <c r="D230" s="20" t="n">
        <f aca="false">MonthlyExp*(1+Inflation)^(B230-1)</f>
        <v>180826.376751691</v>
      </c>
      <c r="E230" s="20" t="n">
        <f aca="false">J229</f>
        <v>4181644.79364299</v>
      </c>
      <c r="F230" s="20" t="n">
        <f aca="false">E230*B1Ret/12</f>
        <v>24392.9279629175</v>
      </c>
      <c r="G230" s="20" t="n">
        <f aca="false">D230</f>
        <v>180826.376751691</v>
      </c>
      <c r="H230" s="20" t="n">
        <v>0</v>
      </c>
      <c r="I230" s="20" t="n">
        <f aca="false">H230</f>
        <v>0</v>
      </c>
      <c r="J230" s="20" t="n">
        <f aca="false">E230+F230-G230+I230</f>
        <v>4025211.34485422</v>
      </c>
      <c r="K230" s="20" t="n">
        <f aca="false">O229</f>
        <v>9431285.21769264</v>
      </c>
      <c r="L230" s="20" t="n">
        <f aca="false">K230*B2Ret/12</f>
        <v>70734.6391326948</v>
      </c>
      <c r="M230" s="20" t="n">
        <f aca="false">-I230</f>
        <v>-0</v>
      </c>
      <c r="N230" s="20" t="n">
        <v>0</v>
      </c>
      <c r="O230" s="20" t="n">
        <f aca="false">K230+L230+M230+N230</f>
        <v>9502019.85682533</v>
      </c>
      <c r="P230" s="20" t="n">
        <f aca="false">S229</f>
        <v>67809240.3957227</v>
      </c>
      <c r="Q230" s="20" t="n">
        <f aca="false">P230*B3Ret/12</f>
        <v>621584.703627458</v>
      </c>
      <c r="R230" s="20" t="n">
        <f aca="false">-N230</f>
        <v>-0</v>
      </c>
      <c r="S230" s="20" t="n">
        <f aca="false">P230+Q230+R230</f>
        <v>68430825.0993501</v>
      </c>
      <c r="T230" s="20" t="n">
        <f aca="false">J230+O230+S230</f>
        <v>81958056.3010297</v>
      </c>
    </row>
    <row r="231" customFormat="false" ht="15" hidden="false" customHeight="false" outlineLevel="0" collapsed="false">
      <c r="A231" s="19" t="n">
        <v>230</v>
      </c>
      <c r="B231" s="19" t="n">
        <f aca="false">ROUNDUP(A231/12,0)</f>
        <v>20</v>
      </c>
      <c r="C231" s="19" t="n">
        <f aca="false">Age+B231-1</f>
        <v>81</v>
      </c>
      <c r="D231" s="20" t="n">
        <f aca="false">MonthlyExp*(1+Inflation)^(B231-1)</f>
        <v>180826.376751691</v>
      </c>
      <c r="E231" s="20" t="n">
        <f aca="false">J230</f>
        <v>4025211.34485422</v>
      </c>
      <c r="F231" s="20" t="n">
        <f aca="false">E231*B1Ret/12</f>
        <v>23480.3995116496</v>
      </c>
      <c r="G231" s="20" t="n">
        <f aca="false">D231</f>
        <v>180826.376751691</v>
      </c>
      <c r="H231" s="20" t="n">
        <v>0</v>
      </c>
      <c r="I231" s="20" t="n">
        <f aca="false">H231</f>
        <v>0</v>
      </c>
      <c r="J231" s="20" t="n">
        <f aca="false">E231+F231-G231+I231</f>
        <v>3867865.36761418</v>
      </c>
      <c r="K231" s="20" t="n">
        <f aca="false">O230</f>
        <v>9502019.85682533</v>
      </c>
      <c r="L231" s="20" t="n">
        <f aca="false">K231*B2Ret/12</f>
        <v>71265.14892619</v>
      </c>
      <c r="M231" s="20" t="n">
        <f aca="false">-I231</f>
        <v>-0</v>
      </c>
      <c r="N231" s="20" t="n">
        <v>0</v>
      </c>
      <c r="O231" s="20" t="n">
        <f aca="false">K231+L231+M231+N231</f>
        <v>9573285.00575152</v>
      </c>
      <c r="P231" s="20" t="n">
        <f aca="false">S230</f>
        <v>68430825.0993501</v>
      </c>
      <c r="Q231" s="20" t="n">
        <f aca="false">P231*B3Ret/12</f>
        <v>627282.563410709</v>
      </c>
      <c r="R231" s="20" t="n">
        <f aca="false">-N231</f>
        <v>-0</v>
      </c>
      <c r="S231" s="20" t="n">
        <f aca="false">P231+Q231+R231</f>
        <v>69058107.6627608</v>
      </c>
      <c r="T231" s="20" t="n">
        <f aca="false">J231+O231+S231</f>
        <v>82499258.0361265</v>
      </c>
    </row>
    <row r="232" customFormat="false" ht="15" hidden="false" customHeight="false" outlineLevel="0" collapsed="false">
      <c r="A232" s="19" t="n">
        <v>231</v>
      </c>
      <c r="B232" s="19" t="n">
        <f aca="false">ROUNDUP(A232/12,0)</f>
        <v>20</v>
      </c>
      <c r="C232" s="19" t="n">
        <f aca="false">Age+B232-1</f>
        <v>81</v>
      </c>
      <c r="D232" s="20" t="n">
        <f aca="false">MonthlyExp*(1+Inflation)^(B232-1)</f>
        <v>180826.376751691</v>
      </c>
      <c r="E232" s="20" t="n">
        <f aca="false">J231</f>
        <v>3867865.36761418</v>
      </c>
      <c r="F232" s="20" t="n">
        <f aca="false">E232*B1Ret/12</f>
        <v>22562.5479777494</v>
      </c>
      <c r="G232" s="20" t="n">
        <f aca="false">D232</f>
        <v>180826.376751691</v>
      </c>
      <c r="H232" s="20" t="n">
        <v>0</v>
      </c>
      <c r="I232" s="20" t="n">
        <f aca="false">H232</f>
        <v>0</v>
      </c>
      <c r="J232" s="20" t="n">
        <f aca="false">E232+F232-G232+I232</f>
        <v>3709601.53884024</v>
      </c>
      <c r="K232" s="20" t="n">
        <f aca="false">O231</f>
        <v>9573285.00575152</v>
      </c>
      <c r="L232" s="20" t="n">
        <f aca="false">K232*B2Ret/12</f>
        <v>71799.6375431364</v>
      </c>
      <c r="M232" s="20" t="n">
        <f aca="false">-I232</f>
        <v>-0</v>
      </c>
      <c r="N232" s="20" t="n">
        <v>0</v>
      </c>
      <c r="O232" s="20" t="n">
        <f aca="false">K232+L232+M232+N232</f>
        <v>9645084.64329466</v>
      </c>
      <c r="P232" s="20" t="n">
        <f aca="false">S231</f>
        <v>69058107.6627608</v>
      </c>
      <c r="Q232" s="20" t="n">
        <f aca="false">P232*B3Ret/12</f>
        <v>633032.653575308</v>
      </c>
      <c r="R232" s="20" t="n">
        <f aca="false">-N232</f>
        <v>-0</v>
      </c>
      <c r="S232" s="20" t="n">
        <f aca="false">P232+Q232+R232</f>
        <v>69691140.3163361</v>
      </c>
      <c r="T232" s="20" t="n">
        <f aca="false">J232+O232+S232</f>
        <v>83045826.498471</v>
      </c>
    </row>
    <row r="233" customFormat="false" ht="15" hidden="false" customHeight="false" outlineLevel="0" collapsed="false">
      <c r="A233" s="19" t="n">
        <v>232</v>
      </c>
      <c r="B233" s="19" t="n">
        <f aca="false">ROUNDUP(A233/12,0)</f>
        <v>20</v>
      </c>
      <c r="C233" s="19" t="n">
        <f aca="false">Age+B233-1</f>
        <v>81</v>
      </c>
      <c r="D233" s="20" t="n">
        <f aca="false">MonthlyExp*(1+Inflation)^(B233-1)</f>
        <v>180826.376751691</v>
      </c>
      <c r="E233" s="20" t="n">
        <f aca="false">J232</f>
        <v>3709601.53884024</v>
      </c>
      <c r="F233" s="20" t="n">
        <f aca="false">E233*B1Ret/12</f>
        <v>21639.3423099014</v>
      </c>
      <c r="G233" s="20" t="n">
        <f aca="false">D233</f>
        <v>180826.376751691</v>
      </c>
      <c r="H233" s="20" t="n">
        <v>0</v>
      </c>
      <c r="I233" s="20" t="n">
        <f aca="false">H233</f>
        <v>0</v>
      </c>
      <c r="J233" s="20" t="n">
        <f aca="false">E233+F233-G233+I233</f>
        <v>3550414.50439845</v>
      </c>
      <c r="K233" s="20" t="n">
        <f aca="false">O232</f>
        <v>9645084.64329466</v>
      </c>
      <c r="L233" s="20" t="n">
        <f aca="false">K233*B2Ret/12</f>
        <v>72338.1348247099</v>
      </c>
      <c r="M233" s="20" t="n">
        <f aca="false">-I233</f>
        <v>-0</v>
      </c>
      <c r="N233" s="20" t="n">
        <v>0</v>
      </c>
      <c r="O233" s="20" t="n">
        <f aca="false">K233+L233+M233+N233</f>
        <v>9717422.77811937</v>
      </c>
      <c r="P233" s="20" t="n">
        <f aca="false">S232</f>
        <v>69691140.3163361</v>
      </c>
      <c r="Q233" s="20" t="n">
        <f aca="false">P233*B3Ret/12</f>
        <v>638835.452899748</v>
      </c>
      <c r="R233" s="20" t="n">
        <f aca="false">-N233</f>
        <v>-0</v>
      </c>
      <c r="S233" s="20" t="n">
        <f aca="false">P233+Q233+R233</f>
        <v>70329975.7692359</v>
      </c>
      <c r="T233" s="20" t="n">
        <f aca="false">J233+O233+S233</f>
        <v>83597813.0517537</v>
      </c>
    </row>
    <row r="234" customFormat="false" ht="15" hidden="false" customHeight="false" outlineLevel="0" collapsed="false">
      <c r="A234" s="19" t="n">
        <v>233</v>
      </c>
      <c r="B234" s="19" t="n">
        <f aca="false">ROUNDUP(A234/12,0)</f>
        <v>20</v>
      </c>
      <c r="C234" s="19" t="n">
        <f aca="false">Age+B234-1</f>
        <v>81</v>
      </c>
      <c r="D234" s="20" t="n">
        <f aca="false">MonthlyExp*(1+Inflation)^(B234-1)</f>
        <v>180826.376751691</v>
      </c>
      <c r="E234" s="20" t="n">
        <f aca="false">J233</f>
        <v>3550414.50439845</v>
      </c>
      <c r="F234" s="20" t="n">
        <f aca="false">E234*B1Ret/12</f>
        <v>20710.7512756576</v>
      </c>
      <c r="G234" s="20" t="n">
        <f aca="false">D234</f>
        <v>180826.376751691</v>
      </c>
      <c r="H234" s="20" t="n">
        <v>0</v>
      </c>
      <c r="I234" s="20" t="n">
        <f aca="false">H234</f>
        <v>0</v>
      </c>
      <c r="J234" s="20" t="n">
        <f aca="false">E234+F234-G234+I234</f>
        <v>3390298.87892242</v>
      </c>
      <c r="K234" s="20" t="n">
        <f aca="false">O233</f>
        <v>9717422.77811937</v>
      </c>
      <c r="L234" s="20" t="n">
        <f aca="false">K234*B2Ret/12</f>
        <v>72880.6708358953</v>
      </c>
      <c r="M234" s="20" t="n">
        <f aca="false">-I234</f>
        <v>-0</v>
      </c>
      <c r="N234" s="20" t="n">
        <v>0</v>
      </c>
      <c r="O234" s="20" t="n">
        <f aca="false">K234+L234+M234+N234</f>
        <v>9790303.44895526</v>
      </c>
      <c r="P234" s="20" t="n">
        <f aca="false">S233</f>
        <v>70329975.7692359</v>
      </c>
      <c r="Q234" s="20" t="n">
        <f aca="false">P234*B3Ret/12</f>
        <v>644691.444551329</v>
      </c>
      <c r="R234" s="20" t="n">
        <f aca="false">-N234</f>
        <v>-0</v>
      </c>
      <c r="S234" s="20" t="n">
        <f aca="false">P234+Q234+R234</f>
        <v>70974667.2137872</v>
      </c>
      <c r="T234" s="20" t="n">
        <f aca="false">J234+O234+S234</f>
        <v>84155269.5416649</v>
      </c>
    </row>
    <row r="235" customFormat="false" ht="15" hidden="false" customHeight="false" outlineLevel="0" collapsed="false">
      <c r="A235" s="19" t="n">
        <v>234</v>
      </c>
      <c r="B235" s="19" t="n">
        <f aca="false">ROUNDUP(A235/12,0)</f>
        <v>20</v>
      </c>
      <c r="C235" s="19" t="n">
        <f aca="false">Age+B235-1</f>
        <v>81</v>
      </c>
      <c r="D235" s="20" t="n">
        <f aca="false">MonthlyExp*(1+Inflation)^(B235-1)</f>
        <v>180826.376751691</v>
      </c>
      <c r="E235" s="20" t="n">
        <f aca="false">J234</f>
        <v>3390298.87892242</v>
      </c>
      <c r="F235" s="20" t="n">
        <f aca="false">E235*B1Ret/12</f>
        <v>19776.7434603808</v>
      </c>
      <c r="G235" s="20" t="n">
        <f aca="false">D235</f>
        <v>180826.376751691</v>
      </c>
      <c r="H235" s="20" t="n">
        <v>0</v>
      </c>
      <c r="I235" s="20" t="n">
        <f aca="false">H235</f>
        <v>0</v>
      </c>
      <c r="J235" s="20" t="n">
        <f aca="false">E235+F235-G235+I235</f>
        <v>3229249.24563111</v>
      </c>
      <c r="K235" s="20" t="n">
        <f aca="false">O234</f>
        <v>9790303.44895526</v>
      </c>
      <c r="L235" s="20" t="n">
        <f aca="false">K235*B2Ret/12</f>
        <v>73427.2758671645</v>
      </c>
      <c r="M235" s="20" t="n">
        <f aca="false">-I235</f>
        <v>-0</v>
      </c>
      <c r="N235" s="20" t="n">
        <v>0</v>
      </c>
      <c r="O235" s="20" t="n">
        <f aca="false">K235+L235+M235+N235</f>
        <v>9863730.72482243</v>
      </c>
      <c r="P235" s="20" t="n">
        <f aca="false">S234</f>
        <v>70974667.2137872</v>
      </c>
      <c r="Q235" s="20" t="n">
        <f aca="false">P235*B3Ret/12</f>
        <v>650601.116126383</v>
      </c>
      <c r="R235" s="20" t="n">
        <f aca="false">-N235</f>
        <v>-0</v>
      </c>
      <c r="S235" s="20" t="n">
        <f aca="false">P235+Q235+R235</f>
        <v>71625268.3299136</v>
      </c>
      <c r="T235" s="20" t="n">
        <f aca="false">J235+O235+S235</f>
        <v>84718248.3003671</v>
      </c>
    </row>
    <row r="236" customFormat="false" ht="15" hidden="false" customHeight="false" outlineLevel="0" collapsed="false">
      <c r="A236" s="19" t="n">
        <v>235</v>
      </c>
      <c r="B236" s="19" t="n">
        <f aca="false">ROUNDUP(A236/12,0)</f>
        <v>20</v>
      </c>
      <c r="C236" s="19" t="n">
        <f aca="false">Age+B236-1</f>
        <v>81</v>
      </c>
      <c r="D236" s="20" t="n">
        <f aca="false">MonthlyExp*(1+Inflation)^(B236-1)</f>
        <v>180826.376751691</v>
      </c>
      <c r="E236" s="20" t="n">
        <f aca="false">J235</f>
        <v>3229249.24563111</v>
      </c>
      <c r="F236" s="20" t="n">
        <f aca="false">E236*B1Ret/12</f>
        <v>18837.2872661815</v>
      </c>
      <c r="G236" s="20" t="n">
        <f aca="false">D236</f>
        <v>180826.376751691</v>
      </c>
      <c r="H236" s="20" t="n">
        <v>0</v>
      </c>
      <c r="I236" s="20" t="n">
        <f aca="false">H236</f>
        <v>0</v>
      </c>
      <c r="J236" s="20" t="n">
        <f aca="false">E236+F236-G236+I236</f>
        <v>3067260.1561456</v>
      </c>
      <c r="K236" s="20" t="n">
        <f aca="false">O235</f>
        <v>9863730.72482243</v>
      </c>
      <c r="L236" s="20" t="n">
        <f aca="false">K236*B2Ret/12</f>
        <v>73977.9804361682</v>
      </c>
      <c r="M236" s="20" t="n">
        <f aca="false">-I236</f>
        <v>-0</v>
      </c>
      <c r="N236" s="20" t="n">
        <v>0</v>
      </c>
      <c r="O236" s="20" t="n">
        <f aca="false">K236+L236+M236+N236</f>
        <v>9937708.7052586</v>
      </c>
      <c r="P236" s="20" t="n">
        <f aca="false">S235</f>
        <v>71625268.3299136</v>
      </c>
      <c r="Q236" s="20" t="n">
        <f aca="false">P236*B3Ret/12</f>
        <v>656564.959690875</v>
      </c>
      <c r="R236" s="20" t="n">
        <f aca="false">-N236</f>
        <v>-0</v>
      </c>
      <c r="S236" s="20" t="n">
        <f aca="false">P236+Q236+R236</f>
        <v>72281833.2896045</v>
      </c>
      <c r="T236" s="20" t="n">
        <f aca="false">J236+O236+S236</f>
        <v>85286802.1510087</v>
      </c>
    </row>
    <row r="237" customFormat="false" ht="15" hidden="false" customHeight="false" outlineLevel="0" collapsed="false">
      <c r="A237" s="19" t="n">
        <v>236</v>
      </c>
      <c r="B237" s="19" t="n">
        <f aca="false">ROUNDUP(A237/12,0)</f>
        <v>20</v>
      </c>
      <c r="C237" s="19" t="n">
        <f aca="false">Age+B237-1</f>
        <v>81</v>
      </c>
      <c r="D237" s="20" t="n">
        <f aca="false">MonthlyExp*(1+Inflation)^(B237-1)</f>
        <v>180826.376751691</v>
      </c>
      <c r="E237" s="20" t="n">
        <f aca="false">J236</f>
        <v>3067260.1561456</v>
      </c>
      <c r="F237" s="20" t="n">
        <f aca="false">E237*B1Ret/12</f>
        <v>17892.3509108493</v>
      </c>
      <c r="G237" s="20" t="n">
        <f aca="false">D237</f>
        <v>180826.376751691</v>
      </c>
      <c r="H237" s="20" t="n">
        <v>0</v>
      </c>
      <c r="I237" s="20" t="n">
        <f aca="false">H237</f>
        <v>0</v>
      </c>
      <c r="J237" s="20" t="n">
        <f aca="false">E237+F237-G237+I237</f>
        <v>2904326.13030475</v>
      </c>
      <c r="K237" s="20" t="n">
        <f aca="false">O236</f>
        <v>9937708.7052586</v>
      </c>
      <c r="L237" s="20" t="n">
        <f aca="false">K237*B2Ret/12</f>
        <v>74532.8152894395</v>
      </c>
      <c r="M237" s="20" t="n">
        <f aca="false">-I237</f>
        <v>-0</v>
      </c>
      <c r="N237" s="20" t="n">
        <v>0</v>
      </c>
      <c r="O237" s="20" t="n">
        <f aca="false">K237+L237+M237+N237</f>
        <v>10012241.520548</v>
      </c>
      <c r="P237" s="20" t="n">
        <f aca="false">S236</f>
        <v>72281833.2896045</v>
      </c>
      <c r="Q237" s="20" t="n">
        <f aca="false">P237*B3Ret/12</f>
        <v>662583.471821374</v>
      </c>
      <c r="R237" s="20" t="n">
        <f aca="false">-N237</f>
        <v>-0</v>
      </c>
      <c r="S237" s="20" t="n">
        <f aca="false">P237+Q237+R237</f>
        <v>72944416.7614258</v>
      </c>
      <c r="T237" s="20" t="n">
        <f aca="false">J237+O237+S237</f>
        <v>85860984.4122786</v>
      </c>
    </row>
    <row r="238" customFormat="false" ht="15" hidden="false" customHeight="false" outlineLevel="0" collapsed="false">
      <c r="A238" s="19" t="n">
        <v>237</v>
      </c>
      <c r="B238" s="19" t="n">
        <f aca="false">ROUNDUP(A238/12,0)</f>
        <v>20</v>
      </c>
      <c r="C238" s="19" t="n">
        <f aca="false">Age+B238-1</f>
        <v>81</v>
      </c>
      <c r="D238" s="20" t="n">
        <f aca="false">MonthlyExp*(1+Inflation)^(B238-1)</f>
        <v>180826.376751691</v>
      </c>
      <c r="E238" s="20" t="n">
        <f aca="false">J237</f>
        <v>2904326.13030475</v>
      </c>
      <c r="F238" s="20" t="n">
        <f aca="false">E238*B1Ret/12</f>
        <v>16941.9024267777</v>
      </c>
      <c r="G238" s="20" t="n">
        <f aca="false">D238</f>
        <v>180826.376751691</v>
      </c>
      <c r="H238" s="20" t="n">
        <v>0</v>
      </c>
      <c r="I238" s="20" t="n">
        <f aca="false">H238</f>
        <v>0</v>
      </c>
      <c r="J238" s="20" t="n">
        <f aca="false">E238+F238-G238+I238</f>
        <v>2740441.65597984</v>
      </c>
      <c r="K238" s="20" t="n">
        <f aca="false">O237</f>
        <v>10012241.520548</v>
      </c>
      <c r="L238" s="20" t="n">
        <f aca="false">K238*B2Ret/12</f>
        <v>75091.8114041103</v>
      </c>
      <c r="M238" s="20" t="n">
        <f aca="false">-I238</f>
        <v>-0</v>
      </c>
      <c r="N238" s="20" t="n">
        <v>0</v>
      </c>
      <c r="O238" s="20" t="n">
        <f aca="false">K238+L238+M238+N238</f>
        <v>10087333.3319521</v>
      </c>
      <c r="P238" s="20" t="n">
        <f aca="false">S237</f>
        <v>72944416.7614258</v>
      </c>
      <c r="Q238" s="20" t="n">
        <f aca="false">P238*B3Ret/12</f>
        <v>668657.153646404</v>
      </c>
      <c r="R238" s="20" t="n">
        <f aca="false">-N238</f>
        <v>-0</v>
      </c>
      <c r="S238" s="20" t="n">
        <f aca="false">P238+Q238+R238</f>
        <v>73613073.9150723</v>
      </c>
      <c r="T238" s="20" t="n">
        <f aca="false">J238+O238+S238</f>
        <v>86440848.9030042</v>
      </c>
    </row>
    <row r="239" customFormat="false" ht="15" hidden="false" customHeight="false" outlineLevel="0" collapsed="false">
      <c r="A239" s="19" t="n">
        <v>238</v>
      </c>
      <c r="B239" s="19" t="n">
        <f aca="false">ROUNDUP(A239/12,0)</f>
        <v>20</v>
      </c>
      <c r="C239" s="19" t="n">
        <f aca="false">Age+B239-1</f>
        <v>81</v>
      </c>
      <c r="D239" s="20" t="n">
        <f aca="false">MonthlyExp*(1+Inflation)^(B239-1)</f>
        <v>180826.376751691</v>
      </c>
      <c r="E239" s="20" t="n">
        <f aca="false">J238</f>
        <v>2740441.65597984</v>
      </c>
      <c r="F239" s="20" t="n">
        <f aca="false">E239*B1Ret/12</f>
        <v>15985.9096598824</v>
      </c>
      <c r="G239" s="20" t="n">
        <f aca="false">D239</f>
        <v>180826.376751691</v>
      </c>
      <c r="H239" s="20" t="n">
        <v>0</v>
      </c>
      <c r="I239" s="20" t="n">
        <f aca="false">H239</f>
        <v>0</v>
      </c>
      <c r="J239" s="20" t="n">
        <f aca="false">E239+F239-G239+I239</f>
        <v>2575601.18888803</v>
      </c>
      <c r="K239" s="20" t="n">
        <f aca="false">O238</f>
        <v>10087333.3319521</v>
      </c>
      <c r="L239" s="20" t="n">
        <f aca="false">K239*B2Ret/12</f>
        <v>75654.9999896411</v>
      </c>
      <c r="M239" s="20" t="n">
        <f aca="false">-I239</f>
        <v>-0</v>
      </c>
      <c r="N239" s="20" t="n">
        <v>0</v>
      </c>
      <c r="O239" s="20" t="n">
        <f aca="false">K239+L239+M239+N239</f>
        <v>10162988.3319418</v>
      </c>
      <c r="P239" s="20" t="n">
        <f aca="false">S238</f>
        <v>73613073.9150723</v>
      </c>
      <c r="Q239" s="20" t="n">
        <f aca="false">P239*B3Ret/12</f>
        <v>674786.510888162</v>
      </c>
      <c r="R239" s="20" t="n">
        <f aca="false">-N239</f>
        <v>-0</v>
      </c>
      <c r="S239" s="20" t="n">
        <f aca="false">P239+Q239+R239</f>
        <v>74287860.4259604</v>
      </c>
      <c r="T239" s="20" t="n">
        <f aca="false">J239+O239+S239</f>
        <v>87026449.9467902</v>
      </c>
    </row>
    <row r="240" customFormat="false" ht="15" hidden="false" customHeight="false" outlineLevel="0" collapsed="false">
      <c r="A240" s="19" t="n">
        <v>239</v>
      </c>
      <c r="B240" s="19" t="n">
        <f aca="false">ROUNDUP(A240/12,0)</f>
        <v>20</v>
      </c>
      <c r="C240" s="19" t="n">
        <f aca="false">Age+B240-1</f>
        <v>81</v>
      </c>
      <c r="D240" s="20" t="n">
        <f aca="false">MonthlyExp*(1+Inflation)^(B240-1)</f>
        <v>180826.376751691</v>
      </c>
      <c r="E240" s="20" t="n">
        <f aca="false">J239</f>
        <v>2575601.18888803</v>
      </c>
      <c r="F240" s="20" t="n">
        <f aca="false">E240*B1Ret/12</f>
        <v>15024.3402685135</v>
      </c>
      <c r="G240" s="20" t="n">
        <f aca="false">D240</f>
        <v>180826.376751691</v>
      </c>
      <c r="H240" s="20" t="n">
        <v>0</v>
      </c>
      <c r="I240" s="20" t="n">
        <f aca="false">H240</f>
        <v>0</v>
      </c>
      <c r="J240" s="20" t="n">
        <f aca="false">E240+F240-G240+I240</f>
        <v>2409799.15240486</v>
      </c>
      <c r="K240" s="20" t="n">
        <f aca="false">O239</f>
        <v>10162988.3319418</v>
      </c>
      <c r="L240" s="20" t="n">
        <f aca="false">K240*B2Ret/12</f>
        <v>76222.4124895634</v>
      </c>
      <c r="M240" s="20" t="n">
        <f aca="false">-I240</f>
        <v>-0</v>
      </c>
      <c r="N240" s="20" t="n">
        <v>0</v>
      </c>
      <c r="O240" s="20" t="n">
        <f aca="false">K240+L240+M240+N240</f>
        <v>10239210.7444314</v>
      </c>
      <c r="P240" s="20" t="n">
        <f aca="false">S239</f>
        <v>74287860.4259604</v>
      </c>
      <c r="Q240" s="20" t="n">
        <f aca="false">P240*B3Ret/12</f>
        <v>680972.053904637</v>
      </c>
      <c r="R240" s="20" t="n">
        <f aca="false">-N240</f>
        <v>-0</v>
      </c>
      <c r="S240" s="20" t="n">
        <f aca="false">P240+Q240+R240</f>
        <v>74968832.479865</v>
      </c>
      <c r="T240" s="20" t="n">
        <f aca="false">J240+O240+S240</f>
        <v>87617842.3767013</v>
      </c>
    </row>
    <row r="241" customFormat="false" ht="15" hidden="false" customHeight="false" outlineLevel="0" collapsed="false">
      <c r="A241" s="19" t="n">
        <v>240</v>
      </c>
      <c r="B241" s="19" t="n">
        <f aca="false">ROUNDUP(A241/12,0)</f>
        <v>20</v>
      </c>
      <c r="C241" s="19" t="n">
        <f aca="false">Age+B241-1</f>
        <v>81</v>
      </c>
      <c r="D241" s="20" t="n">
        <f aca="false">MonthlyExp*(1+Inflation)^(B241-1)</f>
        <v>180826.376751691</v>
      </c>
      <c r="E241" s="20" t="n">
        <f aca="false">J240</f>
        <v>2409799.15240486</v>
      </c>
      <c r="F241" s="20" t="n">
        <f aca="false">E241*B1Ret/12</f>
        <v>14057.1617223617</v>
      </c>
      <c r="G241" s="20" t="n">
        <f aca="false">D241</f>
        <v>180826.376751691</v>
      </c>
      <c r="H241" s="20" t="n">
        <f aca="false">MAX(SUM(D242:D301)-(E241+F241-G241),0)</f>
        <v>11109097.2995106</v>
      </c>
      <c r="I241" s="20" t="n">
        <f aca="false">H241</f>
        <v>11109097.2995106</v>
      </c>
      <c r="J241" s="20" t="n">
        <f aca="false">E241+F241-G241+I241</f>
        <v>13352127.2368861</v>
      </c>
      <c r="K241" s="20" t="n">
        <f aca="false">O240</f>
        <v>10239210.7444314</v>
      </c>
      <c r="L241" s="20" t="n">
        <f aca="false">K241*B2Ret/12</f>
        <v>76794.0805832352</v>
      </c>
      <c r="M241" s="20" t="n">
        <f aca="false">-I241</f>
        <v>-11109097.2995106</v>
      </c>
      <c r="N241" s="20" t="n">
        <f aca="false">H241</f>
        <v>11109097.2995106</v>
      </c>
      <c r="O241" s="20" t="n">
        <f aca="false">K241+L241+M241+N241</f>
        <v>10316004.8250146</v>
      </c>
      <c r="P241" s="20" t="n">
        <f aca="false">S240</f>
        <v>74968832.479865</v>
      </c>
      <c r="Q241" s="20" t="n">
        <f aca="false">P241*B3Ret/12</f>
        <v>687214.297732096</v>
      </c>
      <c r="R241" s="20" t="n">
        <f aca="false">-N241</f>
        <v>-11109097.2995106</v>
      </c>
      <c r="S241" s="20" t="n">
        <f aca="false">P241+Q241+R241</f>
        <v>64546949.4780866</v>
      </c>
      <c r="T241" s="20" t="n">
        <f aca="false">J241+O241+S241</f>
        <v>88215081.5399873</v>
      </c>
    </row>
    <row r="242" customFormat="false" ht="15" hidden="false" customHeight="false" outlineLevel="0" collapsed="false">
      <c r="A242" s="19" t="n">
        <v>241</v>
      </c>
      <c r="B242" s="19" t="n">
        <f aca="false">ROUNDUP(A242/12,0)</f>
        <v>21</v>
      </c>
      <c r="C242" s="19" t="n">
        <f aca="false">Age+B242-1</f>
        <v>82</v>
      </c>
      <c r="D242" s="20" t="n">
        <f aca="false">MonthlyExp*(1+Inflation)^(B242-1)</f>
        <v>193484.223124309</v>
      </c>
      <c r="E242" s="20" t="n">
        <f aca="false">J241</f>
        <v>13352127.2368861</v>
      </c>
      <c r="F242" s="20" t="n">
        <f aca="false">E242*B1Ret/12</f>
        <v>77887.4088818356</v>
      </c>
      <c r="G242" s="20" t="n">
        <f aca="false">D242</f>
        <v>193484.223124309</v>
      </c>
      <c r="H242" s="20" t="n">
        <v>0</v>
      </c>
      <c r="I242" s="20" t="n">
        <f aca="false">H242</f>
        <v>0</v>
      </c>
      <c r="J242" s="20" t="n">
        <f aca="false">E242+F242-G242+I242</f>
        <v>13236530.4226436</v>
      </c>
      <c r="K242" s="20" t="n">
        <f aca="false">O241</f>
        <v>10316004.8250146</v>
      </c>
      <c r="L242" s="20" t="n">
        <f aca="false">K242*B2Ret/12</f>
        <v>77370.0361876094</v>
      </c>
      <c r="M242" s="20" t="n">
        <f aca="false">-I242</f>
        <v>-0</v>
      </c>
      <c r="N242" s="20" t="n">
        <v>0</v>
      </c>
      <c r="O242" s="20" t="n">
        <f aca="false">K242+L242+M242+N242</f>
        <v>10393374.8612022</v>
      </c>
      <c r="P242" s="20" t="n">
        <f aca="false">S241</f>
        <v>64546949.4780866</v>
      </c>
      <c r="Q242" s="20" t="n">
        <f aca="false">P242*B3Ret/12</f>
        <v>591680.370215794</v>
      </c>
      <c r="R242" s="20" t="n">
        <f aca="false">-N242</f>
        <v>-0</v>
      </c>
      <c r="S242" s="20" t="n">
        <f aca="false">P242+Q242+R242</f>
        <v>65138629.8483024</v>
      </c>
      <c r="T242" s="20" t="n">
        <f aca="false">J242+O242+S242</f>
        <v>88768535.1321482</v>
      </c>
    </row>
    <row r="243" customFormat="false" ht="15" hidden="false" customHeight="false" outlineLevel="0" collapsed="false">
      <c r="A243" s="19" t="n">
        <v>242</v>
      </c>
      <c r="B243" s="19" t="n">
        <f aca="false">ROUNDUP(A243/12,0)</f>
        <v>21</v>
      </c>
      <c r="C243" s="19" t="n">
        <f aca="false">Age+B243-1</f>
        <v>82</v>
      </c>
      <c r="D243" s="20" t="n">
        <f aca="false">MonthlyExp*(1+Inflation)^(B243-1)</f>
        <v>193484.223124309</v>
      </c>
      <c r="E243" s="20" t="n">
        <f aca="false">J242</f>
        <v>13236530.4226436</v>
      </c>
      <c r="F243" s="20" t="n">
        <f aca="false">E243*B1Ret/12</f>
        <v>77213.0941320879</v>
      </c>
      <c r="G243" s="20" t="n">
        <f aca="false">D243</f>
        <v>193484.223124309</v>
      </c>
      <c r="H243" s="20" t="n">
        <v>0</v>
      </c>
      <c r="I243" s="20" t="n">
        <f aca="false">H243</f>
        <v>0</v>
      </c>
      <c r="J243" s="20" t="n">
        <f aca="false">E243+F243-G243+I243</f>
        <v>13120259.2936514</v>
      </c>
      <c r="K243" s="20" t="n">
        <f aca="false">O242</f>
        <v>10393374.8612022</v>
      </c>
      <c r="L243" s="20" t="n">
        <f aca="false">K243*B2Ret/12</f>
        <v>77950.3114590165</v>
      </c>
      <c r="M243" s="20" t="n">
        <f aca="false">-I243</f>
        <v>-0</v>
      </c>
      <c r="N243" s="20" t="n">
        <v>0</v>
      </c>
      <c r="O243" s="20" t="n">
        <f aca="false">K243+L243+M243+N243</f>
        <v>10471325.1726612</v>
      </c>
      <c r="P243" s="20" t="n">
        <f aca="false">S242</f>
        <v>65138629.8483024</v>
      </c>
      <c r="Q243" s="20" t="n">
        <f aca="false">P243*B3Ret/12</f>
        <v>597104.106942772</v>
      </c>
      <c r="R243" s="20" t="n">
        <f aca="false">-N243</f>
        <v>-0</v>
      </c>
      <c r="S243" s="20" t="n">
        <f aca="false">P243+Q243+R243</f>
        <v>65735733.9552451</v>
      </c>
      <c r="T243" s="20" t="n">
        <f aca="false">J243+O243+S243</f>
        <v>89327318.4215578</v>
      </c>
    </row>
    <row r="244" customFormat="false" ht="15" hidden="false" customHeight="false" outlineLevel="0" collapsed="false">
      <c r="A244" s="19" t="n">
        <v>243</v>
      </c>
      <c r="B244" s="19" t="n">
        <f aca="false">ROUNDUP(A244/12,0)</f>
        <v>21</v>
      </c>
      <c r="C244" s="19" t="n">
        <f aca="false">Age+B244-1</f>
        <v>82</v>
      </c>
      <c r="D244" s="20" t="n">
        <f aca="false">MonthlyExp*(1+Inflation)^(B244-1)</f>
        <v>193484.223124309</v>
      </c>
      <c r="E244" s="20" t="n">
        <f aca="false">J243</f>
        <v>13120259.2936514</v>
      </c>
      <c r="F244" s="20" t="n">
        <f aca="false">E244*B1Ret/12</f>
        <v>76534.8458796333</v>
      </c>
      <c r="G244" s="20" t="n">
        <f aca="false">D244</f>
        <v>193484.223124309</v>
      </c>
      <c r="H244" s="20" t="n">
        <v>0</v>
      </c>
      <c r="I244" s="20" t="n">
        <f aca="false">H244</f>
        <v>0</v>
      </c>
      <c r="J244" s="20" t="n">
        <f aca="false">E244+F244-G244+I244</f>
        <v>13003309.9164067</v>
      </c>
      <c r="K244" s="20" t="n">
        <f aca="false">O243</f>
        <v>10471325.1726612</v>
      </c>
      <c r="L244" s="20" t="n">
        <f aca="false">K244*B2Ret/12</f>
        <v>78534.9387949591</v>
      </c>
      <c r="M244" s="20" t="n">
        <f aca="false">-I244</f>
        <v>-0</v>
      </c>
      <c r="N244" s="20" t="n">
        <v>0</v>
      </c>
      <c r="O244" s="20" t="n">
        <f aca="false">K244+L244+M244+N244</f>
        <v>10549860.1114562</v>
      </c>
      <c r="P244" s="20" t="n">
        <f aca="false">S243</f>
        <v>65735733.9552451</v>
      </c>
      <c r="Q244" s="20" t="n">
        <f aca="false">P244*B3Ret/12</f>
        <v>602577.561256414</v>
      </c>
      <c r="R244" s="20" t="n">
        <f aca="false">-N244</f>
        <v>-0</v>
      </c>
      <c r="S244" s="20" t="n">
        <f aca="false">P244+Q244+R244</f>
        <v>66338311.5165015</v>
      </c>
      <c r="T244" s="20" t="n">
        <f aca="false">J244+O244+S244</f>
        <v>89891481.5443645</v>
      </c>
    </row>
    <row r="245" customFormat="false" ht="15" hidden="false" customHeight="false" outlineLevel="0" collapsed="false">
      <c r="A245" s="19" t="n">
        <v>244</v>
      </c>
      <c r="B245" s="19" t="n">
        <f aca="false">ROUNDUP(A245/12,0)</f>
        <v>21</v>
      </c>
      <c r="C245" s="19" t="n">
        <f aca="false">Age+B245-1</f>
        <v>82</v>
      </c>
      <c r="D245" s="20" t="n">
        <f aca="false">MonthlyExp*(1+Inflation)^(B245-1)</f>
        <v>193484.223124309</v>
      </c>
      <c r="E245" s="20" t="n">
        <f aca="false">J244</f>
        <v>13003309.9164067</v>
      </c>
      <c r="F245" s="20" t="n">
        <f aca="false">E245*B1Ret/12</f>
        <v>75852.6411790393</v>
      </c>
      <c r="G245" s="20" t="n">
        <f aca="false">D245</f>
        <v>193484.223124309</v>
      </c>
      <c r="H245" s="20" t="n">
        <v>0</v>
      </c>
      <c r="I245" s="20" t="n">
        <f aca="false">H245</f>
        <v>0</v>
      </c>
      <c r="J245" s="20" t="n">
        <f aca="false">E245+F245-G245+I245</f>
        <v>12885678.3344615</v>
      </c>
      <c r="K245" s="20" t="n">
        <f aca="false">O244</f>
        <v>10549860.1114562</v>
      </c>
      <c r="L245" s="20" t="n">
        <f aca="false">K245*B2Ret/12</f>
        <v>79123.9508359213</v>
      </c>
      <c r="M245" s="20" t="n">
        <f aca="false">-I245</f>
        <v>-0</v>
      </c>
      <c r="N245" s="20" t="n">
        <v>0</v>
      </c>
      <c r="O245" s="20" t="n">
        <f aca="false">K245+L245+M245+N245</f>
        <v>10628984.0622921</v>
      </c>
      <c r="P245" s="20" t="n">
        <f aca="false">S244</f>
        <v>66338311.5165015</v>
      </c>
      <c r="Q245" s="20" t="n">
        <f aca="false">P245*B3Ret/12</f>
        <v>608101.188901264</v>
      </c>
      <c r="R245" s="20" t="n">
        <f aca="false">-N245</f>
        <v>-0</v>
      </c>
      <c r="S245" s="20" t="n">
        <f aca="false">P245+Q245+R245</f>
        <v>66946412.7054028</v>
      </c>
      <c r="T245" s="20" t="n">
        <f aca="false">J245+O245+S245</f>
        <v>90461075.1021564</v>
      </c>
    </row>
    <row r="246" customFormat="false" ht="15" hidden="false" customHeight="false" outlineLevel="0" collapsed="false">
      <c r="A246" s="19" t="n">
        <v>245</v>
      </c>
      <c r="B246" s="19" t="n">
        <f aca="false">ROUNDUP(A246/12,0)</f>
        <v>21</v>
      </c>
      <c r="C246" s="19" t="n">
        <f aca="false">Age+B246-1</f>
        <v>82</v>
      </c>
      <c r="D246" s="20" t="n">
        <f aca="false">MonthlyExp*(1+Inflation)^(B246-1)</f>
        <v>193484.223124309</v>
      </c>
      <c r="E246" s="20" t="n">
        <f aca="false">J245</f>
        <v>12885678.3344615</v>
      </c>
      <c r="F246" s="20" t="n">
        <f aca="false">E246*B1Ret/12</f>
        <v>75166.4569510253</v>
      </c>
      <c r="G246" s="20" t="n">
        <f aca="false">D246</f>
        <v>193484.223124309</v>
      </c>
      <c r="H246" s="20" t="n">
        <v>0</v>
      </c>
      <c r="I246" s="20" t="n">
        <f aca="false">H246</f>
        <v>0</v>
      </c>
      <c r="J246" s="20" t="n">
        <f aca="false">E246+F246-G246+I246</f>
        <v>12767360.5682882</v>
      </c>
      <c r="K246" s="20" t="n">
        <f aca="false">O245</f>
        <v>10628984.0622921</v>
      </c>
      <c r="L246" s="20" t="n">
        <f aca="false">K246*B2Ret/12</f>
        <v>79717.3804671907</v>
      </c>
      <c r="M246" s="20" t="n">
        <f aca="false">-I246</f>
        <v>-0</v>
      </c>
      <c r="N246" s="20" t="n">
        <v>0</v>
      </c>
      <c r="O246" s="20" t="n">
        <f aca="false">K246+L246+M246+N246</f>
        <v>10708701.4427593</v>
      </c>
      <c r="P246" s="20" t="n">
        <f aca="false">S245</f>
        <v>66946412.7054028</v>
      </c>
      <c r="Q246" s="20" t="n">
        <f aca="false">P246*B3Ret/12</f>
        <v>613675.449799526</v>
      </c>
      <c r="R246" s="20" t="n">
        <f aca="false">-N246</f>
        <v>-0</v>
      </c>
      <c r="S246" s="20" t="n">
        <f aca="false">P246+Q246+R246</f>
        <v>67560088.1552023</v>
      </c>
      <c r="T246" s="20" t="n">
        <f aca="false">J246+O246+S246</f>
        <v>91036150.1662498</v>
      </c>
    </row>
    <row r="247" customFormat="false" ht="15" hidden="false" customHeight="false" outlineLevel="0" collapsed="false">
      <c r="A247" s="19" t="n">
        <v>246</v>
      </c>
      <c r="B247" s="19" t="n">
        <f aca="false">ROUNDUP(A247/12,0)</f>
        <v>21</v>
      </c>
      <c r="C247" s="19" t="n">
        <f aca="false">Age+B247-1</f>
        <v>82</v>
      </c>
      <c r="D247" s="20" t="n">
        <f aca="false">MonthlyExp*(1+Inflation)^(B247-1)</f>
        <v>193484.223124309</v>
      </c>
      <c r="E247" s="20" t="n">
        <f aca="false">J246</f>
        <v>12767360.5682882</v>
      </c>
      <c r="F247" s="20" t="n">
        <f aca="false">E247*B1Ret/12</f>
        <v>74476.2699816811</v>
      </c>
      <c r="G247" s="20" t="n">
        <f aca="false">D247</f>
        <v>193484.223124309</v>
      </c>
      <c r="H247" s="20" t="n">
        <v>0</v>
      </c>
      <c r="I247" s="20" t="n">
        <f aca="false">H247</f>
        <v>0</v>
      </c>
      <c r="J247" s="20" t="n">
        <f aca="false">E247+F247-G247+I247</f>
        <v>12648352.6151456</v>
      </c>
      <c r="K247" s="20" t="n">
        <f aca="false">O246</f>
        <v>10708701.4427593</v>
      </c>
      <c r="L247" s="20" t="n">
        <f aca="false">K247*B2Ret/12</f>
        <v>80315.2608206946</v>
      </c>
      <c r="M247" s="20" t="n">
        <f aca="false">-I247</f>
        <v>-0</v>
      </c>
      <c r="N247" s="20" t="n">
        <v>0</v>
      </c>
      <c r="O247" s="20" t="n">
        <f aca="false">K247+L247+M247+N247</f>
        <v>10789016.70358</v>
      </c>
      <c r="P247" s="20" t="n">
        <f aca="false">S246</f>
        <v>67560088.1552023</v>
      </c>
      <c r="Q247" s="20" t="n">
        <f aca="false">P247*B3Ret/12</f>
        <v>619300.808089355</v>
      </c>
      <c r="R247" s="20" t="n">
        <f aca="false">-N247</f>
        <v>-0</v>
      </c>
      <c r="S247" s="20" t="n">
        <f aca="false">P247+Q247+R247</f>
        <v>68179388.9632917</v>
      </c>
      <c r="T247" s="20" t="n">
        <f aca="false">J247+O247+S247</f>
        <v>91616758.2820172</v>
      </c>
    </row>
    <row r="248" customFormat="false" ht="15" hidden="false" customHeight="false" outlineLevel="0" collapsed="false">
      <c r="A248" s="19" t="n">
        <v>247</v>
      </c>
      <c r="B248" s="19" t="n">
        <f aca="false">ROUNDUP(A248/12,0)</f>
        <v>21</v>
      </c>
      <c r="C248" s="19" t="n">
        <f aca="false">Age+B248-1</f>
        <v>82</v>
      </c>
      <c r="D248" s="20" t="n">
        <f aca="false">MonthlyExp*(1+Inflation)^(B248-1)</f>
        <v>193484.223124309</v>
      </c>
      <c r="E248" s="20" t="n">
        <f aca="false">J247</f>
        <v>12648352.6151456</v>
      </c>
      <c r="F248" s="20" t="n">
        <f aca="false">E248*B1Ret/12</f>
        <v>73782.0569216824</v>
      </c>
      <c r="G248" s="20" t="n">
        <f aca="false">D248</f>
        <v>193484.223124309</v>
      </c>
      <c r="H248" s="20" t="n">
        <v>0</v>
      </c>
      <c r="I248" s="20" t="n">
        <f aca="false">H248</f>
        <v>0</v>
      </c>
      <c r="J248" s="20" t="n">
        <f aca="false">E248+F248-G248+I248</f>
        <v>12528650.4489429</v>
      </c>
      <c r="K248" s="20" t="n">
        <f aca="false">O247</f>
        <v>10789016.70358</v>
      </c>
      <c r="L248" s="20" t="n">
        <f aca="false">K248*B2Ret/12</f>
        <v>80917.6252768498</v>
      </c>
      <c r="M248" s="20" t="n">
        <f aca="false">-I248</f>
        <v>-0</v>
      </c>
      <c r="N248" s="20" t="n">
        <v>0</v>
      </c>
      <c r="O248" s="20" t="n">
        <f aca="false">K248+L248+M248+N248</f>
        <v>10869934.3288568</v>
      </c>
      <c r="P248" s="20" t="n">
        <f aca="false">S247</f>
        <v>68179388.9632917</v>
      </c>
      <c r="Q248" s="20" t="n">
        <f aca="false">P248*B3Ret/12</f>
        <v>624977.732163507</v>
      </c>
      <c r="R248" s="20" t="n">
        <f aca="false">-N248</f>
        <v>-0</v>
      </c>
      <c r="S248" s="20" t="n">
        <f aca="false">P248+Q248+R248</f>
        <v>68804366.6954552</v>
      </c>
      <c r="T248" s="20" t="n">
        <f aca="false">J248+O248+S248</f>
        <v>92202951.473255</v>
      </c>
    </row>
    <row r="249" customFormat="false" ht="15" hidden="false" customHeight="false" outlineLevel="0" collapsed="false">
      <c r="A249" s="19" t="n">
        <v>248</v>
      </c>
      <c r="B249" s="19" t="n">
        <f aca="false">ROUNDUP(A249/12,0)</f>
        <v>21</v>
      </c>
      <c r="C249" s="19" t="n">
        <f aca="false">Age+B249-1</f>
        <v>82</v>
      </c>
      <c r="D249" s="20" t="n">
        <f aca="false">MonthlyExp*(1+Inflation)^(B249-1)</f>
        <v>193484.223124309</v>
      </c>
      <c r="E249" s="20" t="n">
        <f aca="false">J248</f>
        <v>12528650.4489429</v>
      </c>
      <c r="F249" s="20" t="n">
        <f aca="false">E249*B1Ret/12</f>
        <v>73083.7942855005</v>
      </c>
      <c r="G249" s="20" t="n">
        <f aca="false">D249</f>
        <v>193484.223124309</v>
      </c>
      <c r="H249" s="20" t="n">
        <v>0</v>
      </c>
      <c r="I249" s="20" t="n">
        <f aca="false">H249</f>
        <v>0</v>
      </c>
      <c r="J249" s="20" t="n">
        <f aca="false">E249+F249-G249+I249</f>
        <v>12408250.0201041</v>
      </c>
      <c r="K249" s="20" t="n">
        <f aca="false">O248</f>
        <v>10869934.3288568</v>
      </c>
      <c r="L249" s="20" t="n">
        <f aca="false">K249*B2Ret/12</f>
        <v>81524.5074664262</v>
      </c>
      <c r="M249" s="20" t="n">
        <f aca="false">-I249</f>
        <v>-0</v>
      </c>
      <c r="N249" s="20" t="n">
        <v>0</v>
      </c>
      <c r="O249" s="20" t="n">
        <f aca="false">K249+L249+M249+N249</f>
        <v>10951458.8363233</v>
      </c>
      <c r="P249" s="20" t="n">
        <f aca="false">S248</f>
        <v>68804366.6954552</v>
      </c>
      <c r="Q249" s="20" t="n">
        <f aca="false">P249*B3Ret/12</f>
        <v>630706.694708339</v>
      </c>
      <c r="R249" s="20" t="n">
        <f aca="false">-N249</f>
        <v>-0</v>
      </c>
      <c r="S249" s="20" t="n">
        <f aca="false">P249+Q249+R249</f>
        <v>69435073.3901635</v>
      </c>
      <c r="T249" s="20" t="n">
        <f aca="false">J249+O249+S249</f>
        <v>92794782.2465909</v>
      </c>
    </row>
    <row r="250" customFormat="false" ht="15" hidden="false" customHeight="false" outlineLevel="0" collapsed="false">
      <c r="A250" s="19" t="n">
        <v>249</v>
      </c>
      <c r="B250" s="19" t="n">
        <f aca="false">ROUNDUP(A250/12,0)</f>
        <v>21</v>
      </c>
      <c r="C250" s="19" t="n">
        <f aca="false">Age+B250-1</f>
        <v>82</v>
      </c>
      <c r="D250" s="20" t="n">
        <f aca="false">MonthlyExp*(1+Inflation)^(B250-1)</f>
        <v>193484.223124309</v>
      </c>
      <c r="E250" s="20" t="n">
        <f aca="false">J249</f>
        <v>12408250.0201041</v>
      </c>
      <c r="F250" s="20" t="n">
        <f aca="false">E250*B1Ret/12</f>
        <v>72381.4584506074</v>
      </c>
      <c r="G250" s="20" t="n">
        <f aca="false">D250</f>
        <v>193484.223124309</v>
      </c>
      <c r="H250" s="20" t="n">
        <v>0</v>
      </c>
      <c r="I250" s="20" t="n">
        <f aca="false">H250</f>
        <v>0</v>
      </c>
      <c r="J250" s="20" t="n">
        <f aca="false">E250+F250-G250+I250</f>
        <v>12287147.2554304</v>
      </c>
      <c r="K250" s="20" t="n">
        <f aca="false">O249</f>
        <v>10951458.8363233</v>
      </c>
      <c r="L250" s="20" t="n">
        <f aca="false">K250*B2Ret/12</f>
        <v>82135.9412724244</v>
      </c>
      <c r="M250" s="20" t="n">
        <f aca="false">-I250</f>
        <v>-0</v>
      </c>
      <c r="N250" s="20" t="n">
        <v>0</v>
      </c>
      <c r="O250" s="20" t="n">
        <f aca="false">K250+L250+M250+N250</f>
        <v>11033594.7775957</v>
      </c>
      <c r="P250" s="20" t="n">
        <f aca="false">S249</f>
        <v>69435073.3901635</v>
      </c>
      <c r="Q250" s="20" t="n">
        <f aca="false">P250*B3Ret/12</f>
        <v>636488.172743166</v>
      </c>
      <c r="R250" s="20" t="n">
        <f aca="false">-N250</f>
        <v>-0</v>
      </c>
      <c r="S250" s="20" t="n">
        <f aca="false">P250+Q250+R250</f>
        <v>70071561.5629067</v>
      </c>
      <c r="T250" s="20" t="n">
        <f aca="false">J250+O250+S250</f>
        <v>93392303.5959328</v>
      </c>
    </row>
    <row r="251" customFormat="false" ht="15" hidden="false" customHeight="false" outlineLevel="0" collapsed="false">
      <c r="A251" s="19" t="n">
        <v>250</v>
      </c>
      <c r="B251" s="19" t="n">
        <f aca="false">ROUNDUP(A251/12,0)</f>
        <v>21</v>
      </c>
      <c r="C251" s="19" t="n">
        <f aca="false">Age+B251-1</f>
        <v>82</v>
      </c>
      <c r="D251" s="20" t="n">
        <f aca="false">MonthlyExp*(1+Inflation)^(B251-1)</f>
        <v>193484.223124309</v>
      </c>
      <c r="E251" s="20" t="n">
        <f aca="false">J250</f>
        <v>12287147.2554304</v>
      </c>
      <c r="F251" s="20" t="n">
        <f aca="false">E251*B1Ret/12</f>
        <v>71675.0256566775</v>
      </c>
      <c r="G251" s="20" t="n">
        <f aca="false">D251</f>
        <v>193484.223124309</v>
      </c>
      <c r="H251" s="20" t="n">
        <v>0</v>
      </c>
      <c r="I251" s="20" t="n">
        <f aca="false">H251</f>
        <v>0</v>
      </c>
      <c r="J251" s="20" t="n">
        <f aca="false">E251+F251-G251+I251</f>
        <v>12165338.0579628</v>
      </c>
      <c r="K251" s="20" t="n">
        <f aca="false">O250</f>
        <v>11033594.7775957</v>
      </c>
      <c r="L251" s="20" t="n">
        <f aca="false">K251*B2Ret/12</f>
        <v>82751.9608319676</v>
      </c>
      <c r="M251" s="20" t="n">
        <f aca="false">-I251</f>
        <v>-0</v>
      </c>
      <c r="N251" s="20" t="n">
        <v>0</v>
      </c>
      <c r="O251" s="20" t="n">
        <f aca="false">K251+L251+M251+N251</f>
        <v>11116346.7384276</v>
      </c>
      <c r="P251" s="20" t="n">
        <f aca="false">S250</f>
        <v>70071561.5629067</v>
      </c>
      <c r="Q251" s="20" t="n">
        <f aca="false">P251*B3Ret/12</f>
        <v>642322.647659978</v>
      </c>
      <c r="R251" s="20" t="n">
        <f aca="false">-N251</f>
        <v>-0</v>
      </c>
      <c r="S251" s="20" t="n">
        <f aca="false">P251+Q251+R251</f>
        <v>70713884.2105667</v>
      </c>
      <c r="T251" s="20" t="n">
        <f aca="false">J251+O251+S251</f>
        <v>93995569.0069571</v>
      </c>
    </row>
    <row r="252" customFormat="false" ht="15" hidden="false" customHeight="false" outlineLevel="0" collapsed="false">
      <c r="A252" s="19" t="n">
        <v>251</v>
      </c>
      <c r="B252" s="19" t="n">
        <f aca="false">ROUNDUP(A252/12,0)</f>
        <v>21</v>
      </c>
      <c r="C252" s="19" t="n">
        <f aca="false">Age+B252-1</f>
        <v>82</v>
      </c>
      <c r="D252" s="20" t="n">
        <f aca="false">MonthlyExp*(1+Inflation)^(B252-1)</f>
        <v>193484.223124309</v>
      </c>
      <c r="E252" s="20" t="n">
        <f aca="false">J251</f>
        <v>12165338.0579628</v>
      </c>
      <c r="F252" s="20" t="n">
        <f aca="false">E252*B1Ret/12</f>
        <v>70964.472004783</v>
      </c>
      <c r="G252" s="20" t="n">
        <f aca="false">D252</f>
        <v>193484.223124309</v>
      </c>
      <c r="H252" s="20" t="n">
        <v>0</v>
      </c>
      <c r="I252" s="20" t="n">
        <f aca="false">H252</f>
        <v>0</v>
      </c>
      <c r="J252" s="20" t="n">
        <f aca="false">E252+F252-G252+I252</f>
        <v>12042818.3068433</v>
      </c>
      <c r="K252" s="20" t="n">
        <f aca="false">O251</f>
        <v>11116346.7384276</v>
      </c>
      <c r="L252" s="20" t="n">
        <f aca="false">K252*B2Ret/12</f>
        <v>83372.6005382074</v>
      </c>
      <c r="M252" s="20" t="n">
        <f aca="false">-I252</f>
        <v>-0</v>
      </c>
      <c r="N252" s="20" t="n">
        <v>0</v>
      </c>
      <c r="O252" s="20" t="n">
        <f aca="false">K252+L252+M252+N252</f>
        <v>11199719.3389659</v>
      </c>
      <c r="P252" s="20" t="n">
        <f aca="false">S251</f>
        <v>70713884.2105667</v>
      </c>
      <c r="Q252" s="20" t="n">
        <f aca="false">P252*B3Ret/12</f>
        <v>648210.605263528</v>
      </c>
      <c r="R252" s="20" t="n">
        <f aca="false">-N252</f>
        <v>-0</v>
      </c>
      <c r="S252" s="20" t="n">
        <f aca="false">P252+Q252+R252</f>
        <v>71362094.8158302</v>
      </c>
      <c r="T252" s="20" t="n">
        <f aca="false">J252+O252+S252</f>
        <v>94604632.4616393</v>
      </c>
    </row>
    <row r="253" customFormat="false" ht="15" hidden="false" customHeight="false" outlineLevel="0" collapsed="false">
      <c r="A253" s="19" t="n">
        <v>252</v>
      </c>
      <c r="B253" s="19" t="n">
        <f aca="false">ROUNDUP(A253/12,0)</f>
        <v>21</v>
      </c>
      <c r="C253" s="19" t="n">
        <f aca="false">Age+B253-1</f>
        <v>82</v>
      </c>
      <c r="D253" s="20" t="n">
        <f aca="false">MonthlyExp*(1+Inflation)^(B253-1)</f>
        <v>193484.223124309</v>
      </c>
      <c r="E253" s="20" t="n">
        <f aca="false">J252</f>
        <v>12042818.3068433</v>
      </c>
      <c r="F253" s="20" t="n">
        <f aca="false">E253*B1Ret/12</f>
        <v>70249.7734565857</v>
      </c>
      <c r="G253" s="20" t="n">
        <f aca="false">D253</f>
        <v>193484.223124309</v>
      </c>
      <c r="H253" s="20" t="n">
        <v>0</v>
      </c>
      <c r="I253" s="20" t="n">
        <f aca="false">H253</f>
        <v>0</v>
      </c>
      <c r="J253" s="20" t="n">
        <f aca="false">E253+F253-G253+I253</f>
        <v>11919583.8571755</v>
      </c>
      <c r="K253" s="20" t="n">
        <f aca="false">O252</f>
        <v>11199719.3389659</v>
      </c>
      <c r="L253" s="20" t="n">
        <f aca="false">K253*B2Ret/12</f>
        <v>83997.8950422439</v>
      </c>
      <c r="M253" s="20" t="n">
        <f aca="false">-I253</f>
        <v>-0</v>
      </c>
      <c r="N253" s="20" t="n">
        <v>0</v>
      </c>
      <c r="O253" s="20" t="n">
        <f aca="false">K253+L253+M253+N253</f>
        <v>11283717.2340081</v>
      </c>
      <c r="P253" s="20" t="n">
        <f aca="false">S252</f>
        <v>71362094.8158302</v>
      </c>
      <c r="Q253" s="20" t="n">
        <f aca="false">P253*B3Ret/12</f>
        <v>654152.535811777</v>
      </c>
      <c r="R253" s="20" t="n">
        <f aca="false">-N253</f>
        <v>-0</v>
      </c>
      <c r="S253" s="20" t="n">
        <f aca="false">P253+Q253+R253</f>
        <v>72016247.351642</v>
      </c>
      <c r="T253" s="20" t="n">
        <f aca="false">J253+O253+S253</f>
        <v>95219548.4428256</v>
      </c>
    </row>
    <row r="254" customFormat="false" ht="15" hidden="false" customHeight="false" outlineLevel="0" collapsed="false">
      <c r="A254" s="19" t="n">
        <v>253</v>
      </c>
      <c r="B254" s="19" t="n">
        <f aca="false">ROUNDUP(A254/12,0)</f>
        <v>22</v>
      </c>
      <c r="C254" s="19" t="n">
        <f aca="false">Age+B254-1</f>
        <v>83</v>
      </c>
      <c r="D254" s="20" t="n">
        <f aca="false">MonthlyExp*(1+Inflation)^(B254-1)</f>
        <v>207028.118743011</v>
      </c>
      <c r="E254" s="20" t="n">
        <f aca="false">J253</f>
        <v>11919583.8571755</v>
      </c>
      <c r="F254" s="20" t="n">
        <f aca="false">E254*B1Ret/12</f>
        <v>69530.905833524</v>
      </c>
      <c r="G254" s="20" t="n">
        <f aca="false">D254</f>
        <v>207028.118743011</v>
      </c>
      <c r="H254" s="20" t="n">
        <v>0</v>
      </c>
      <c r="I254" s="20" t="n">
        <f aca="false">H254</f>
        <v>0</v>
      </c>
      <c r="J254" s="20" t="n">
        <f aca="false">E254+F254-G254+I254</f>
        <v>11782086.6442661</v>
      </c>
      <c r="K254" s="20" t="n">
        <f aca="false">O253</f>
        <v>11283717.2340081</v>
      </c>
      <c r="L254" s="20" t="n">
        <f aca="false">K254*B2Ret/12</f>
        <v>84627.8792550608</v>
      </c>
      <c r="M254" s="20" t="n">
        <f aca="false">-I254</f>
        <v>-0</v>
      </c>
      <c r="N254" s="20" t="n">
        <v>0</v>
      </c>
      <c r="O254" s="20" t="n">
        <f aca="false">K254+L254+M254+N254</f>
        <v>11368345.1132632</v>
      </c>
      <c r="P254" s="20" t="n">
        <f aca="false">S253</f>
        <v>72016247.351642</v>
      </c>
      <c r="Q254" s="20" t="n">
        <f aca="false">P254*B3Ret/12</f>
        <v>660148.934056718</v>
      </c>
      <c r="R254" s="20" t="n">
        <f aca="false">-N254</f>
        <v>-0</v>
      </c>
      <c r="S254" s="20" t="n">
        <f aca="false">P254+Q254+R254</f>
        <v>72676396.2856987</v>
      </c>
      <c r="T254" s="20" t="n">
        <f aca="false">J254+O254+S254</f>
        <v>95826828.0432279</v>
      </c>
    </row>
    <row r="255" customFormat="false" ht="15" hidden="false" customHeight="false" outlineLevel="0" collapsed="false">
      <c r="A255" s="19" t="n">
        <v>254</v>
      </c>
      <c r="B255" s="19" t="n">
        <f aca="false">ROUNDUP(A255/12,0)</f>
        <v>22</v>
      </c>
      <c r="C255" s="19" t="n">
        <f aca="false">Age+B255-1</f>
        <v>83</v>
      </c>
      <c r="D255" s="20" t="n">
        <f aca="false">MonthlyExp*(1+Inflation)^(B255-1)</f>
        <v>207028.118743011</v>
      </c>
      <c r="E255" s="20" t="n">
        <f aca="false">J254</f>
        <v>11782086.6442661</v>
      </c>
      <c r="F255" s="20" t="n">
        <f aca="false">E255*B1Ret/12</f>
        <v>68728.8387582187</v>
      </c>
      <c r="G255" s="20" t="n">
        <f aca="false">D255</f>
        <v>207028.118743011</v>
      </c>
      <c r="H255" s="20" t="n">
        <v>0</v>
      </c>
      <c r="I255" s="20" t="n">
        <f aca="false">H255</f>
        <v>0</v>
      </c>
      <c r="J255" s="20" t="n">
        <f aca="false">E255+F255-G255+I255</f>
        <v>11643787.3642813</v>
      </c>
      <c r="K255" s="20" t="n">
        <f aca="false">O254</f>
        <v>11368345.1132632</v>
      </c>
      <c r="L255" s="20" t="n">
        <f aca="false">K255*B2Ret/12</f>
        <v>85262.5883494737</v>
      </c>
      <c r="M255" s="20" t="n">
        <f aca="false">-I255</f>
        <v>-0</v>
      </c>
      <c r="N255" s="20" t="n">
        <v>0</v>
      </c>
      <c r="O255" s="20" t="n">
        <f aca="false">K255+L255+M255+N255</f>
        <v>11453607.7016126</v>
      </c>
      <c r="P255" s="20" t="n">
        <f aca="false">S254</f>
        <v>72676396.2856987</v>
      </c>
      <c r="Q255" s="20" t="n">
        <f aca="false">P255*B3Ret/12</f>
        <v>666200.299285571</v>
      </c>
      <c r="R255" s="20" t="n">
        <f aca="false">-N255</f>
        <v>-0</v>
      </c>
      <c r="S255" s="20" t="n">
        <f aca="false">P255+Q255+R255</f>
        <v>73342596.5849843</v>
      </c>
      <c r="T255" s="20" t="n">
        <f aca="false">J255+O255+S255</f>
        <v>96439991.6508782</v>
      </c>
    </row>
    <row r="256" customFormat="false" ht="15" hidden="false" customHeight="false" outlineLevel="0" collapsed="false">
      <c r="A256" s="19" t="n">
        <v>255</v>
      </c>
      <c r="B256" s="19" t="n">
        <f aca="false">ROUNDUP(A256/12,0)</f>
        <v>22</v>
      </c>
      <c r="C256" s="19" t="n">
        <f aca="false">Age+B256-1</f>
        <v>83</v>
      </c>
      <c r="D256" s="20" t="n">
        <f aca="false">MonthlyExp*(1+Inflation)^(B256-1)</f>
        <v>207028.118743011</v>
      </c>
      <c r="E256" s="20" t="n">
        <f aca="false">J255</f>
        <v>11643787.3642813</v>
      </c>
      <c r="F256" s="20" t="n">
        <f aca="false">E256*B1Ret/12</f>
        <v>67922.0929583074</v>
      </c>
      <c r="G256" s="20" t="n">
        <f aca="false">D256</f>
        <v>207028.118743011</v>
      </c>
      <c r="H256" s="20" t="n">
        <v>0</v>
      </c>
      <c r="I256" s="20" t="n">
        <f aca="false">H256</f>
        <v>0</v>
      </c>
      <c r="J256" s="20" t="n">
        <f aca="false">E256+F256-G256+I256</f>
        <v>11504681.3384966</v>
      </c>
      <c r="K256" s="20" t="n">
        <f aca="false">O255</f>
        <v>11453607.7016126</v>
      </c>
      <c r="L256" s="20" t="n">
        <f aca="false">K256*B2Ret/12</f>
        <v>85902.0577620948</v>
      </c>
      <c r="M256" s="20" t="n">
        <f aca="false">-I256</f>
        <v>-0</v>
      </c>
      <c r="N256" s="20" t="n">
        <v>0</v>
      </c>
      <c r="O256" s="20" t="n">
        <f aca="false">K256+L256+M256+N256</f>
        <v>11539509.7593747</v>
      </c>
      <c r="P256" s="20" t="n">
        <f aca="false">S255</f>
        <v>73342596.5849843</v>
      </c>
      <c r="Q256" s="20" t="n">
        <f aca="false">P256*B3Ret/12</f>
        <v>672307.135362356</v>
      </c>
      <c r="R256" s="20" t="n">
        <f aca="false">-N256</f>
        <v>-0</v>
      </c>
      <c r="S256" s="20" t="n">
        <f aca="false">P256+Q256+R256</f>
        <v>74014903.7203466</v>
      </c>
      <c r="T256" s="20" t="n">
        <f aca="false">J256+O256+S256</f>
        <v>97059094.8182179</v>
      </c>
    </row>
    <row r="257" customFormat="false" ht="15" hidden="false" customHeight="false" outlineLevel="0" collapsed="false">
      <c r="A257" s="19" t="n">
        <v>256</v>
      </c>
      <c r="B257" s="19" t="n">
        <f aca="false">ROUNDUP(A257/12,0)</f>
        <v>22</v>
      </c>
      <c r="C257" s="19" t="n">
        <f aca="false">Age+B257-1</f>
        <v>83</v>
      </c>
      <c r="D257" s="20" t="n">
        <f aca="false">MonthlyExp*(1+Inflation)^(B257-1)</f>
        <v>207028.118743011</v>
      </c>
      <c r="E257" s="20" t="n">
        <f aca="false">J256</f>
        <v>11504681.3384966</v>
      </c>
      <c r="F257" s="20" t="n">
        <f aca="false">E257*B1Ret/12</f>
        <v>67110.6411412299</v>
      </c>
      <c r="G257" s="20" t="n">
        <f aca="false">D257</f>
        <v>207028.118743011</v>
      </c>
      <c r="H257" s="20" t="n">
        <v>0</v>
      </c>
      <c r="I257" s="20" t="n">
        <f aca="false">H257</f>
        <v>0</v>
      </c>
      <c r="J257" s="20" t="n">
        <f aca="false">E257+F257-G257+I257</f>
        <v>11364763.8608948</v>
      </c>
      <c r="K257" s="20" t="n">
        <f aca="false">O256</f>
        <v>11539509.7593747</v>
      </c>
      <c r="L257" s="20" t="n">
        <f aca="false">K257*B2Ret/12</f>
        <v>86546.3231953105</v>
      </c>
      <c r="M257" s="20" t="n">
        <f aca="false">-I257</f>
        <v>-0</v>
      </c>
      <c r="N257" s="20" t="n">
        <v>0</v>
      </c>
      <c r="O257" s="20" t="n">
        <f aca="false">K257+L257+M257+N257</f>
        <v>11626056.08257</v>
      </c>
      <c r="P257" s="20" t="n">
        <f aca="false">S256</f>
        <v>74014903.7203466</v>
      </c>
      <c r="Q257" s="20" t="n">
        <f aca="false">P257*B3Ret/12</f>
        <v>678469.950769844</v>
      </c>
      <c r="R257" s="20" t="n">
        <f aca="false">-N257</f>
        <v>-0</v>
      </c>
      <c r="S257" s="20" t="n">
        <f aca="false">P257+Q257+R257</f>
        <v>74693373.6711165</v>
      </c>
      <c r="T257" s="20" t="n">
        <f aca="false">J257+O257+S257</f>
        <v>97684193.6145813</v>
      </c>
    </row>
    <row r="258" customFormat="false" ht="15" hidden="false" customHeight="false" outlineLevel="0" collapsed="false">
      <c r="A258" s="19" t="n">
        <v>257</v>
      </c>
      <c r="B258" s="19" t="n">
        <f aca="false">ROUNDUP(A258/12,0)</f>
        <v>22</v>
      </c>
      <c r="C258" s="19" t="n">
        <f aca="false">Age+B258-1</f>
        <v>83</v>
      </c>
      <c r="D258" s="20" t="n">
        <f aca="false">MonthlyExp*(1+Inflation)^(B258-1)</f>
        <v>207028.118743011</v>
      </c>
      <c r="E258" s="20" t="n">
        <f aca="false">J257</f>
        <v>11364763.8608948</v>
      </c>
      <c r="F258" s="20" t="n">
        <f aca="false">E258*B1Ret/12</f>
        <v>66294.4558552196</v>
      </c>
      <c r="G258" s="20" t="n">
        <f aca="false">D258</f>
        <v>207028.118743011</v>
      </c>
      <c r="H258" s="20" t="n">
        <v>0</v>
      </c>
      <c r="I258" s="20" t="n">
        <f aca="false">H258</f>
        <v>0</v>
      </c>
      <c r="J258" s="20" t="n">
        <f aca="false">E258+F258-G258+I258</f>
        <v>11224030.198007</v>
      </c>
      <c r="K258" s="20" t="n">
        <f aca="false">O257</f>
        <v>11626056.08257</v>
      </c>
      <c r="L258" s="20" t="n">
        <f aca="false">K258*B2Ret/12</f>
        <v>87195.4206192753</v>
      </c>
      <c r="M258" s="20" t="n">
        <f aca="false">-I258</f>
        <v>-0</v>
      </c>
      <c r="N258" s="20" t="n">
        <v>0</v>
      </c>
      <c r="O258" s="20" t="n">
        <f aca="false">K258+L258+M258+N258</f>
        <v>11713251.5031893</v>
      </c>
      <c r="P258" s="20" t="n">
        <f aca="false">S257</f>
        <v>74693373.6711165</v>
      </c>
      <c r="Q258" s="20" t="n">
        <f aca="false">P258*B3Ret/12</f>
        <v>684689.258651901</v>
      </c>
      <c r="R258" s="20" t="n">
        <f aca="false">-N258</f>
        <v>-0</v>
      </c>
      <c r="S258" s="20" t="n">
        <f aca="false">P258+Q258+R258</f>
        <v>75378062.9297684</v>
      </c>
      <c r="T258" s="20" t="n">
        <f aca="false">J258+O258+S258</f>
        <v>98315344.6309647</v>
      </c>
    </row>
    <row r="259" customFormat="false" ht="15" hidden="false" customHeight="false" outlineLevel="0" collapsed="false">
      <c r="A259" s="19" t="n">
        <v>258</v>
      </c>
      <c r="B259" s="19" t="n">
        <f aca="false">ROUNDUP(A259/12,0)</f>
        <v>22</v>
      </c>
      <c r="C259" s="19" t="n">
        <f aca="false">Age+B259-1</f>
        <v>83</v>
      </c>
      <c r="D259" s="20" t="n">
        <f aca="false">MonthlyExp*(1+Inflation)^(B259-1)</f>
        <v>207028.118743011</v>
      </c>
      <c r="E259" s="20" t="n">
        <f aca="false">J258</f>
        <v>11224030.198007</v>
      </c>
      <c r="F259" s="20" t="n">
        <f aca="false">E259*B1Ret/12</f>
        <v>65473.5094883741</v>
      </c>
      <c r="G259" s="20" t="n">
        <f aca="false">D259</f>
        <v>207028.118743011</v>
      </c>
      <c r="H259" s="20" t="n">
        <v>0</v>
      </c>
      <c r="I259" s="20" t="n">
        <f aca="false">H259</f>
        <v>0</v>
      </c>
      <c r="J259" s="20" t="n">
        <f aca="false">E259+F259-G259+I259</f>
        <v>11082475.5887523</v>
      </c>
      <c r="K259" s="20" t="n">
        <f aca="false">O258</f>
        <v>11713251.5031893</v>
      </c>
      <c r="L259" s="20" t="n">
        <f aca="false">K259*B2Ret/12</f>
        <v>87849.3862739199</v>
      </c>
      <c r="M259" s="20" t="n">
        <f aca="false">-I259</f>
        <v>-0</v>
      </c>
      <c r="N259" s="20" t="n">
        <v>0</v>
      </c>
      <c r="O259" s="20" t="n">
        <f aca="false">K259+L259+M259+N259</f>
        <v>11801100.8894632</v>
      </c>
      <c r="P259" s="20" t="n">
        <f aca="false">S258</f>
        <v>75378062.9297684</v>
      </c>
      <c r="Q259" s="20" t="n">
        <f aca="false">P259*B3Ret/12</f>
        <v>690965.57685621</v>
      </c>
      <c r="R259" s="20" t="n">
        <f aca="false">-N259</f>
        <v>-0</v>
      </c>
      <c r="S259" s="20" t="n">
        <f aca="false">P259+Q259+R259</f>
        <v>76069028.5066246</v>
      </c>
      <c r="T259" s="20" t="n">
        <f aca="false">J259+O259+S259</f>
        <v>98952604.9848402</v>
      </c>
    </row>
    <row r="260" customFormat="false" ht="15" hidden="false" customHeight="false" outlineLevel="0" collapsed="false">
      <c r="A260" s="19" t="n">
        <v>259</v>
      </c>
      <c r="B260" s="19" t="n">
        <f aca="false">ROUNDUP(A260/12,0)</f>
        <v>22</v>
      </c>
      <c r="C260" s="19" t="n">
        <f aca="false">Age+B260-1</f>
        <v>83</v>
      </c>
      <c r="D260" s="20" t="n">
        <f aca="false">MonthlyExp*(1+Inflation)^(B260-1)</f>
        <v>207028.118743011</v>
      </c>
      <c r="E260" s="20" t="n">
        <f aca="false">J259</f>
        <v>11082475.5887523</v>
      </c>
      <c r="F260" s="20" t="n">
        <f aca="false">E260*B1Ret/12</f>
        <v>64647.774267722</v>
      </c>
      <c r="G260" s="20" t="n">
        <f aca="false">D260</f>
        <v>207028.118743011</v>
      </c>
      <c r="H260" s="20" t="n">
        <v>0</v>
      </c>
      <c r="I260" s="20" t="n">
        <f aca="false">H260</f>
        <v>0</v>
      </c>
      <c r="J260" s="20" t="n">
        <f aca="false">E260+F260-G260+I260</f>
        <v>10940095.2442771</v>
      </c>
      <c r="K260" s="20" t="n">
        <f aca="false">O259</f>
        <v>11801100.8894632</v>
      </c>
      <c r="L260" s="20" t="n">
        <f aca="false">K260*B2Ret/12</f>
        <v>88508.2566709743</v>
      </c>
      <c r="M260" s="20" t="n">
        <f aca="false">-I260</f>
        <v>-0</v>
      </c>
      <c r="N260" s="20" t="n">
        <v>0</v>
      </c>
      <c r="O260" s="20" t="n">
        <f aca="false">K260+L260+M260+N260</f>
        <v>11889609.1461342</v>
      </c>
      <c r="P260" s="20" t="n">
        <f aca="false">S259</f>
        <v>76069028.5066246</v>
      </c>
      <c r="Q260" s="20" t="n">
        <f aca="false">P260*B3Ret/12</f>
        <v>697299.427977392</v>
      </c>
      <c r="R260" s="20" t="n">
        <f aca="false">-N260</f>
        <v>-0</v>
      </c>
      <c r="S260" s="20" t="n">
        <f aca="false">P260+Q260+R260</f>
        <v>76766327.934602</v>
      </c>
      <c r="T260" s="20" t="n">
        <f aca="false">J260+O260+S260</f>
        <v>99596032.3250133</v>
      </c>
    </row>
    <row r="261" customFormat="false" ht="15" hidden="false" customHeight="false" outlineLevel="0" collapsed="false">
      <c r="A261" s="19" t="n">
        <v>260</v>
      </c>
      <c r="B261" s="19" t="n">
        <f aca="false">ROUNDUP(A261/12,0)</f>
        <v>22</v>
      </c>
      <c r="C261" s="19" t="n">
        <f aca="false">Age+B261-1</f>
        <v>83</v>
      </c>
      <c r="D261" s="20" t="n">
        <f aca="false">MonthlyExp*(1+Inflation)^(B261-1)</f>
        <v>207028.118743011</v>
      </c>
      <c r="E261" s="20" t="n">
        <f aca="false">J260</f>
        <v>10940095.2442771</v>
      </c>
      <c r="F261" s="20" t="n">
        <f aca="false">E261*B1Ret/12</f>
        <v>63817.2222582829</v>
      </c>
      <c r="G261" s="20" t="n">
        <f aca="false">D261</f>
        <v>207028.118743011</v>
      </c>
      <c r="H261" s="20" t="n">
        <v>0</v>
      </c>
      <c r="I261" s="20" t="n">
        <f aca="false">H261</f>
        <v>0</v>
      </c>
      <c r="J261" s="20" t="n">
        <f aca="false">E261+F261-G261+I261</f>
        <v>10796884.3477923</v>
      </c>
      <c r="K261" s="20" t="n">
        <f aca="false">O260</f>
        <v>11889609.1461342</v>
      </c>
      <c r="L261" s="20" t="n">
        <f aca="false">K261*B2Ret/12</f>
        <v>89172.0685960066</v>
      </c>
      <c r="M261" s="20" t="n">
        <f aca="false">-I261</f>
        <v>-0</v>
      </c>
      <c r="N261" s="20" t="n">
        <v>0</v>
      </c>
      <c r="O261" s="20" t="n">
        <f aca="false">K261+L261+M261+N261</f>
        <v>11978781.2147302</v>
      </c>
      <c r="P261" s="20" t="n">
        <f aca="false">S260</f>
        <v>76766327.934602</v>
      </c>
      <c r="Q261" s="20" t="n">
        <f aca="false">P261*B3Ret/12</f>
        <v>703691.339400518</v>
      </c>
      <c r="R261" s="20" t="n">
        <f aca="false">-N261</f>
        <v>-0</v>
      </c>
      <c r="S261" s="20" t="n">
        <f aca="false">P261+Q261+R261</f>
        <v>77470019.2740025</v>
      </c>
      <c r="T261" s="20" t="n">
        <f aca="false">J261+O261+S261</f>
        <v>100245684.836525</v>
      </c>
    </row>
    <row r="262" customFormat="false" ht="15" hidden="false" customHeight="false" outlineLevel="0" collapsed="false">
      <c r="A262" s="19" t="n">
        <v>261</v>
      </c>
      <c r="B262" s="19" t="n">
        <f aca="false">ROUNDUP(A262/12,0)</f>
        <v>22</v>
      </c>
      <c r="C262" s="19" t="n">
        <f aca="false">Age+B262-1</f>
        <v>83</v>
      </c>
      <c r="D262" s="20" t="n">
        <f aca="false">MonthlyExp*(1+Inflation)^(B262-1)</f>
        <v>207028.118743011</v>
      </c>
      <c r="E262" s="20" t="n">
        <f aca="false">J261</f>
        <v>10796884.3477923</v>
      </c>
      <c r="F262" s="20" t="n">
        <f aca="false">E262*B1Ret/12</f>
        <v>62981.8253621219</v>
      </c>
      <c r="G262" s="20" t="n">
        <f aca="false">D262</f>
        <v>207028.118743011</v>
      </c>
      <c r="H262" s="20" t="n">
        <v>0</v>
      </c>
      <c r="I262" s="20" t="n">
        <f aca="false">H262</f>
        <v>0</v>
      </c>
      <c r="J262" s="20" t="n">
        <f aca="false">E262+F262-G262+I262</f>
        <v>10652838.0544114</v>
      </c>
      <c r="K262" s="20" t="n">
        <f aca="false">O261</f>
        <v>11978781.2147302</v>
      </c>
      <c r="L262" s="20" t="n">
        <f aca="false">K262*B2Ret/12</f>
        <v>89840.8591104766</v>
      </c>
      <c r="M262" s="20" t="n">
        <f aca="false">-I262</f>
        <v>-0</v>
      </c>
      <c r="N262" s="20" t="n">
        <v>0</v>
      </c>
      <c r="O262" s="20" t="n">
        <f aca="false">K262+L262+M262+N262</f>
        <v>12068622.0738407</v>
      </c>
      <c r="P262" s="20" t="n">
        <f aca="false">S261</f>
        <v>77470019.2740025</v>
      </c>
      <c r="Q262" s="20" t="n">
        <f aca="false">P262*B3Ret/12</f>
        <v>710141.843345023</v>
      </c>
      <c r="R262" s="20" t="n">
        <f aca="false">-N262</f>
        <v>-0</v>
      </c>
      <c r="S262" s="20" t="n">
        <f aca="false">P262+Q262+R262</f>
        <v>78180161.1173475</v>
      </c>
      <c r="T262" s="20" t="n">
        <f aca="false">J262+O262+S262</f>
        <v>100901621.2456</v>
      </c>
    </row>
    <row r="263" customFormat="false" ht="15" hidden="false" customHeight="false" outlineLevel="0" collapsed="false">
      <c r="A263" s="19" t="n">
        <v>262</v>
      </c>
      <c r="B263" s="19" t="n">
        <f aca="false">ROUNDUP(A263/12,0)</f>
        <v>22</v>
      </c>
      <c r="C263" s="19" t="n">
        <f aca="false">Age+B263-1</f>
        <v>83</v>
      </c>
      <c r="D263" s="20" t="n">
        <f aca="false">MonthlyExp*(1+Inflation)^(B263-1)</f>
        <v>207028.118743011</v>
      </c>
      <c r="E263" s="20" t="n">
        <f aca="false">J262</f>
        <v>10652838.0544114</v>
      </c>
      <c r="F263" s="20" t="n">
        <f aca="false">E263*B1Ret/12</f>
        <v>62141.5553174001</v>
      </c>
      <c r="G263" s="20" t="n">
        <f aca="false">D263</f>
        <v>207028.118743011</v>
      </c>
      <c r="H263" s="20" t="n">
        <v>0</v>
      </c>
      <c r="I263" s="20" t="n">
        <f aca="false">H263</f>
        <v>0</v>
      </c>
      <c r="J263" s="20" t="n">
        <f aca="false">E263+F263-G263+I263</f>
        <v>10507951.4909858</v>
      </c>
      <c r="K263" s="20" t="n">
        <f aca="false">O262</f>
        <v>12068622.0738407</v>
      </c>
      <c r="L263" s="20" t="n">
        <f aca="false">K263*B2Ret/12</f>
        <v>90514.6655538052</v>
      </c>
      <c r="M263" s="20" t="n">
        <f aca="false">-I263</f>
        <v>-0</v>
      </c>
      <c r="N263" s="20" t="n">
        <v>0</v>
      </c>
      <c r="O263" s="20" t="n">
        <f aca="false">K263+L263+M263+N263</f>
        <v>12159136.7393945</v>
      </c>
      <c r="P263" s="20" t="n">
        <f aca="false">S262</f>
        <v>78180161.1173475</v>
      </c>
      <c r="Q263" s="20" t="n">
        <f aca="false">P263*B3Ret/12</f>
        <v>716651.476909019</v>
      </c>
      <c r="R263" s="20" t="n">
        <f aca="false">-N263</f>
        <v>-0</v>
      </c>
      <c r="S263" s="20" t="n">
        <f aca="false">P263+Q263+R263</f>
        <v>78896812.5942565</v>
      </c>
      <c r="T263" s="20" t="n">
        <f aca="false">J263+O263+S263</f>
        <v>101563900.824637</v>
      </c>
    </row>
    <row r="264" customFormat="false" ht="15" hidden="false" customHeight="false" outlineLevel="0" collapsed="false">
      <c r="A264" s="19" t="n">
        <v>263</v>
      </c>
      <c r="B264" s="19" t="n">
        <f aca="false">ROUNDUP(A264/12,0)</f>
        <v>22</v>
      </c>
      <c r="C264" s="19" t="n">
        <f aca="false">Age+B264-1</f>
        <v>83</v>
      </c>
      <c r="D264" s="20" t="n">
        <f aca="false">MonthlyExp*(1+Inflation)^(B264-1)</f>
        <v>207028.118743011</v>
      </c>
      <c r="E264" s="20" t="n">
        <f aca="false">J263</f>
        <v>10507951.4909858</v>
      </c>
      <c r="F264" s="20" t="n">
        <f aca="false">E264*B1Ret/12</f>
        <v>61296.3836974173</v>
      </c>
      <c r="G264" s="20" t="n">
        <f aca="false">D264</f>
        <v>207028.118743011</v>
      </c>
      <c r="H264" s="20" t="n">
        <v>0</v>
      </c>
      <c r="I264" s="20" t="n">
        <f aca="false">H264</f>
        <v>0</v>
      </c>
      <c r="J264" s="20" t="n">
        <f aca="false">E264+F264-G264+I264</f>
        <v>10362219.7559402</v>
      </c>
      <c r="K264" s="20" t="n">
        <f aca="false">O263</f>
        <v>12159136.7393945</v>
      </c>
      <c r="L264" s="20" t="n">
        <f aca="false">K264*B2Ret/12</f>
        <v>91193.5255454587</v>
      </c>
      <c r="M264" s="20" t="n">
        <f aca="false">-I264</f>
        <v>-0</v>
      </c>
      <c r="N264" s="20" t="n">
        <v>0</v>
      </c>
      <c r="O264" s="20" t="n">
        <f aca="false">K264+L264+M264+N264</f>
        <v>12250330.26494</v>
      </c>
      <c r="P264" s="20" t="n">
        <f aca="false">S263</f>
        <v>78896812.5942565</v>
      </c>
      <c r="Q264" s="20" t="n">
        <f aca="false">P264*B3Ret/12</f>
        <v>723220.782114018</v>
      </c>
      <c r="R264" s="20" t="n">
        <f aca="false">-N264</f>
        <v>-0</v>
      </c>
      <c r="S264" s="20" t="n">
        <f aca="false">P264+Q264+R264</f>
        <v>79620033.3763705</v>
      </c>
      <c r="T264" s="20" t="n">
        <f aca="false">J264+O264+S264</f>
        <v>102232583.397251</v>
      </c>
    </row>
    <row r="265" customFormat="false" ht="15" hidden="false" customHeight="false" outlineLevel="0" collapsed="false">
      <c r="A265" s="19" t="n">
        <v>264</v>
      </c>
      <c r="B265" s="19" t="n">
        <f aca="false">ROUNDUP(A265/12,0)</f>
        <v>22</v>
      </c>
      <c r="C265" s="19" t="n">
        <f aca="false">Age+B265-1</f>
        <v>83</v>
      </c>
      <c r="D265" s="20" t="n">
        <f aca="false">MonthlyExp*(1+Inflation)^(B265-1)</f>
        <v>207028.118743011</v>
      </c>
      <c r="E265" s="20" t="n">
        <f aca="false">J264</f>
        <v>10362219.7559402</v>
      </c>
      <c r="F265" s="20" t="n">
        <f aca="false">E265*B1Ret/12</f>
        <v>60446.2819096514</v>
      </c>
      <c r="G265" s="20" t="n">
        <f aca="false">D265</f>
        <v>207028.118743011</v>
      </c>
      <c r="H265" s="20" t="n">
        <v>0</v>
      </c>
      <c r="I265" s="20" t="n">
        <f aca="false">H265</f>
        <v>0</v>
      </c>
      <c r="J265" s="20" t="n">
        <f aca="false">E265+F265-G265+I265</f>
        <v>10215637.9191069</v>
      </c>
      <c r="K265" s="20" t="n">
        <f aca="false">O264</f>
        <v>12250330.26494</v>
      </c>
      <c r="L265" s="20" t="n">
        <f aca="false">K265*B2Ret/12</f>
        <v>91877.4769870497</v>
      </c>
      <c r="M265" s="20" t="n">
        <f aca="false">-I265</f>
        <v>-0</v>
      </c>
      <c r="N265" s="20" t="n">
        <v>0</v>
      </c>
      <c r="O265" s="20" t="n">
        <f aca="false">K265+L265+M265+N265</f>
        <v>12342207.741927</v>
      </c>
      <c r="P265" s="20" t="n">
        <f aca="false">S264</f>
        <v>79620033.3763705</v>
      </c>
      <c r="Q265" s="20" t="n">
        <f aca="false">P265*B3Ret/12</f>
        <v>729850.305950063</v>
      </c>
      <c r="R265" s="20" t="n">
        <f aca="false">-N265</f>
        <v>-0</v>
      </c>
      <c r="S265" s="20" t="n">
        <f aca="false">P265+Q265+R265</f>
        <v>80349883.6823206</v>
      </c>
      <c r="T265" s="20" t="n">
        <f aca="false">J265+O265+S265</f>
        <v>102907729.343354</v>
      </c>
    </row>
    <row r="266" customFormat="false" ht="15" hidden="false" customHeight="false" outlineLevel="0" collapsed="false">
      <c r="A266" s="19" t="n">
        <v>265</v>
      </c>
      <c r="B266" s="19" t="n">
        <f aca="false">ROUNDUP(A266/12,0)</f>
        <v>23</v>
      </c>
      <c r="C266" s="19" t="n">
        <f aca="false">Age+B266-1</f>
        <v>84</v>
      </c>
      <c r="D266" s="20" t="n">
        <f aca="false">MonthlyExp*(1+Inflation)^(B266-1)</f>
        <v>221520.087055022</v>
      </c>
      <c r="E266" s="20" t="n">
        <f aca="false">J265</f>
        <v>10215637.9191069</v>
      </c>
      <c r="F266" s="20" t="n">
        <f aca="false">E266*B1Ret/12</f>
        <v>59591.2211947901</v>
      </c>
      <c r="G266" s="20" t="n">
        <f aca="false">D266</f>
        <v>221520.087055022</v>
      </c>
      <c r="H266" s="20" t="n">
        <v>0</v>
      </c>
      <c r="I266" s="20" t="n">
        <f aca="false">H266</f>
        <v>0</v>
      </c>
      <c r="J266" s="20" t="n">
        <f aca="false">E266+F266-G266+I266</f>
        <v>10053709.0532466</v>
      </c>
      <c r="K266" s="20" t="n">
        <f aca="false">O265</f>
        <v>12342207.741927</v>
      </c>
      <c r="L266" s="20" t="n">
        <f aca="false">K266*B2Ret/12</f>
        <v>92566.5580644525</v>
      </c>
      <c r="M266" s="20" t="n">
        <f aca="false">-I266</f>
        <v>-0</v>
      </c>
      <c r="N266" s="20" t="n">
        <v>0</v>
      </c>
      <c r="O266" s="20" t="n">
        <f aca="false">K266+L266+M266+N266</f>
        <v>12434774.2999915</v>
      </c>
      <c r="P266" s="20" t="n">
        <f aca="false">S265</f>
        <v>80349883.6823206</v>
      </c>
      <c r="Q266" s="20" t="n">
        <f aca="false">P266*B3Ret/12</f>
        <v>736540.600421272</v>
      </c>
      <c r="R266" s="20" t="n">
        <f aca="false">-N266</f>
        <v>-0</v>
      </c>
      <c r="S266" s="20" t="n">
        <f aca="false">P266+Q266+R266</f>
        <v>81086424.2827419</v>
      </c>
      <c r="T266" s="20" t="n">
        <f aca="false">J266+O266+S266</f>
        <v>103574907.63598</v>
      </c>
    </row>
    <row r="267" customFormat="false" ht="15" hidden="false" customHeight="false" outlineLevel="0" collapsed="false">
      <c r="A267" s="19" t="n">
        <v>266</v>
      </c>
      <c r="B267" s="19" t="n">
        <f aca="false">ROUNDUP(A267/12,0)</f>
        <v>23</v>
      </c>
      <c r="C267" s="19" t="n">
        <f aca="false">Age+B267-1</f>
        <v>84</v>
      </c>
      <c r="D267" s="20" t="n">
        <f aca="false">MonthlyExp*(1+Inflation)^(B267-1)</f>
        <v>221520.087055022</v>
      </c>
      <c r="E267" s="20" t="n">
        <f aca="false">J266</f>
        <v>10053709.0532466</v>
      </c>
      <c r="F267" s="20" t="n">
        <f aca="false">E267*B1Ret/12</f>
        <v>58646.6361439388</v>
      </c>
      <c r="G267" s="20" t="n">
        <f aca="false">D267</f>
        <v>221520.087055022</v>
      </c>
      <c r="H267" s="20" t="n">
        <v>0</v>
      </c>
      <c r="I267" s="20" t="n">
        <f aca="false">H267</f>
        <v>0</v>
      </c>
      <c r="J267" s="20" t="n">
        <f aca="false">E267+F267-G267+I267</f>
        <v>9890835.60233556</v>
      </c>
      <c r="K267" s="20" t="n">
        <f aca="false">O266</f>
        <v>12434774.2999915</v>
      </c>
      <c r="L267" s="20" t="n">
        <f aca="false">K267*B2Ret/12</f>
        <v>93260.8072499359</v>
      </c>
      <c r="M267" s="20" t="n">
        <f aca="false">-I267</f>
        <v>-0</v>
      </c>
      <c r="N267" s="20" t="n">
        <v>0</v>
      </c>
      <c r="O267" s="20" t="n">
        <f aca="false">K267+L267+M267+N267</f>
        <v>12528035.1072414</v>
      </c>
      <c r="P267" s="20" t="n">
        <f aca="false">S266</f>
        <v>81086424.2827419</v>
      </c>
      <c r="Q267" s="20" t="n">
        <f aca="false">P267*B3Ret/12</f>
        <v>743292.222591801</v>
      </c>
      <c r="R267" s="20" t="n">
        <f aca="false">-N267</f>
        <v>-0</v>
      </c>
      <c r="S267" s="20" t="n">
        <f aca="false">P267+Q267+R267</f>
        <v>81829716.5053337</v>
      </c>
      <c r="T267" s="20" t="n">
        <f aca="false">J267+O267+S267</f>
        <v>104248587.214911</v>
      </c>
    </row>
    <row r="268" customFormat="false" ht="15" hidden="false" customHeight="false" outlineLevel="0" collapsed="false">
      <c r="A268" s="19" t="n">
        <v>267</v>
      </c>
      <c r="B268" s="19" t="n">
        <f aca="false">ROUNDUP(A268/12,0)</f>
        <v>23</v>
      </c>
      <c r="C268" s="19" t="n">
        <f aca="false">Age+B268-1</f>
        <v>84</v>
      </c>
      <c r="D268" s="20" t="n">
        <f aca="false">MonthlyExp*(1+Inflation)^(B268-1)</f>
        <v>221520.087055022</v>
      </c>
      <c r="E268" s="20" t="n">
        <f aca="false">J267</f>
        <v>9890835.60233556</v>
      </c>
      <c r="F268" s="20" t="n">
        <f aca="false">E268*B1Ret/12</f>
        <v>57696.5410136241</v>
      </c>
      <c r="G268" s="20" t="n">
        <f aca="false">D268</f>
        <v>221520.087055022</v>
      </c>
      <c r="H268" s="20" t="n">
        <v>0</v>
      </c>
      <c r="I268" s="20" t="n">
        <f aca="false">H268</f>
        <v>0</v>
      </c>
      <c r="J268" s="20" t="n">
        <f aca="false">E268+F268-G268+I268</f>
        <v>9727012.05629416</v>
      </c>
      <c r="K268" s="20" t="n">
        <f aca="false">O267</f>
        <v>12528035.1072414</v>
      </c>
      <c r="L268" s="20" t="n">
        <f aca="false">K268*B2Ret/12</f>
        <v>93960.2633043104</v>
      </c>
      <c r="M268" s="20" t="n">
        <f aca="false">-I268</f>
        <v>-0</v>
      </c>
      <c r="N268" s="20" t="n">
        <v>0</v>
      </c>
      <c r="O268" s="20" t="n">
        <f aca="false">K268+L268+M268+N268</f>
        <v>12621995.3705457</v>
      </c>
      <c r="P268" s="20" t="n">
        <f aca="false">S267</f>
        <v>81829716.5053337</v>
      </c>
      <c r="Q268" s="20" t="n">
        <f aca="false">P268*B3Ret/12</f>
        <v>750105.734632225</v>
      </c>
      <c r="R268" s="20" t="n">
        <f aca="false">-N268</f>
        <v>-0</v>
      </c>
      <c r="S268" s="20" t="n">
        <f aca="false">P268+Q268+R268</f>
        <v>82579822.2399659</v>
      </c>
      <c r="T268" s="20" t="n">
        <f aca="false">J268+O268+S268</f>
        <v>104928829.666806</v>
      </c>
    </row>
    <row r="269" customFormat="false" ht="15" hidden="false" customHeight="false" outlineLevel="0" collapsed="false">
      <c r="A269" s="19" t="n">
        <v>268</v>
      </c>
      <c r="B269" s="19" t="n">
        <f aca="false">ROUNDUP(A269/12,0)</f>
        <v>23</v>
      </c>
      <c r="C269" s="19" t="n">
        <f aca="false">Age+B269-1</f>
        <v>84</v>
      </c>
      <c r="D269" s="20" t="n">
        <f aca="false">MonthlyExp*(1+Inflation)^(B269-1)</f>
        <v>221520.087055022</v>
      </c>
      <c r="E269" s="20" t="n">
        <f aca="false">J268</f>
        <v>9727012.05629416</v>
      </c>
      <c r="F269" s="20" t="n">
        <f aca="false">E269*B1Ret/12</f>
        <v>56740.903661716</v>
      </c>
      <c r="G269" s="20" t="n">
        <f aca="false">D269</f>
        <v>221520.087055022</v>
      </c>
      <c r="H269" s="20" t="n">
        <v>0</v>
      </c>
      <c r="I269" s="20" t="n">
        <f aca="false">H269</f>
        <v>0</v>
      </c>
      <c r="J269" s="20" t="n">
        <f aca="false">E269+F269-G269+I269</f>
        <v>9562232.87290086</v>
      </c>
      <c r="K269" s="20" t="n">
        <f aca="false">O268</f>
        <v>12621995.3705457</v>
      </c>
      <c r="L269" s="20" t="n">
        <f aca="false">K269*B2Ret/12</f>
        <v>94664.9652790928</v>
      </c>
      <c r="M269" s="20" t="n">
        <f aca="false">-I269</f>
        <v>-0</v>
      </c>
      <c r="N269" s="20" t="n">
        <v>0</v>
      </c>
      <c r="O269" s="20" t="n">
        <f aca="false">K269+L269+M269+N269</f>
        <v>12716660.3358248</v>
      </c>
      <c r="P269" s="20" t="n">
        <f aca="false">S268</f>
        <v>82579822.2399659</v>
      </c>
      <c r="Q269" s="20" t="n">
        <f aca="false">P269*B3Ret/12</f>
        <v>756981.703866354</v>
      </c>
      <c r="R269" s="20" t="n">
        <f aca="false">-N269</f>
        <v>-0</v>
      </c>
      <c r="S269" s="20" t="n">
        <f aca="false">P269+Q269+R269</f>
        <v>83336803.9438322</v>
      </c>
      <c r="T269" s="20" t="n">
        <f aca="false">J269+O269+S269</f>
        <v>105615697.152558</v>
      </c>
    </row>
    <row r="270" customFormat="false" ht="15" hidden="false" customHeight="false" outlineLevel="0" collapsed="false">
      <c r="A270" s="19" t="n">
        <v>269</v>
      </c>
      <c r="B270" s="19" t="n">
        <f aca="false">ROUNDUP(A270/12,0)</f>
        <v>23</v>
      </c>
      <c r="C270" s="19" t="n">
        <f aca="false">Age+B270-1</f>
        <v>84</v>
      </c>
      <c r="D270" s="20" t="n">
        <f aca="false">MonthlyExp*(1+Inflation)^(B270-1)</f>
        <v>221520.087055022</v>
      </c>
      <c r="E270" s="20" t="n">
        <f aca="false">J269</f>
        <v>9562232.87290086</v>
      </c>
      <c r="F270" s="20" t="n">
        <f aca="false">E270*B1Ret/12</f>
        <v>55779.6917585883</v>
      </c>
      <c r="G270" s="20" t="n">
        <f aca="false">D270</f>
        <v>221520.087055022</v>
      </c>
      <c r="H270" s="20" t="n">
        <v>0</v>
      </c>
      <c r="I270" s="20" t="n">
        <f aca="false">H270</f>
        <v>0</v>
      </c>
      <c r="J270" s="20" t="n">
        <f aca="false">E270+F270-G270+I270</f>
        <v>9396492.47760442</v>
      </c>
      <c r="K270" s="20" t="n">
        <f aca="false">O269</f>
        <v>12716660.3358248</v>
      </c>
      <c r="L270" s="20" t="n">
        <f aca="false">K270*B2Ret/12</f>
        <v>95374.952518686</v>
      </c>
      <c r="M270" s="20" t="n">
        <f aca="false">-I270</f>
        <v>-0</v>
      </c>
      <c r="N270" s="20" t="n">
        <v>0</v>
      </c>
      <c r="O270" s="20" t="n">
        <f aca="false">K270+L270+M270+N270</f>
        <v>12812035.2883435</v>
      </c>
      <c r="P270" s="20" t="n">
        <f aca="false">S269</f>
        <v>83336803.9438322</v>
      </c>
      <c r="Q270" s="20" t="n">
        <f aca="false">P270*B3Ret/12</f>
        <v>763920.702818462</v>
      </c>
      <c r="R270" s="20" t="n">
        <f aca="false">-N270</f>
        <v>-0</v>
      </c>
      <c r="S270" s="20" t="n">
        <f aca="false">P270+Q270+R270</f>
        <v>84100724.6466507</v>
      </c>
      <c r="T270" s="20" t="n">
        <f aca="false">J270+O270+S270</f>
        <v>106309252.412599</v>
      </c>
    </row>
    <row r="271" customFormat="false" ht="15" hidden="false" customHeight="false" outlineLevel="0" collapsed="false">
      <c r="A271" s="19" t="n">
        <v>270</v>
      </c>
      <c r="B271" s="19" t="n">
        <f aca="false">ROUNDUP(A271/12,0)</f>
        <v>23</v>
      </c>
      <c r="C271" s="19" t="n">
        <f aca="false">Age+B271-1</f>
        <v>84</v>
      </c>
      <c r="D271" s="20" t="n">
        <f aca="false">MonthlyExp*(1+Inflation)^(B271-1)</f>
        <v>221520.087055022</v>
      </c>
      <c r="E271" s="20" t="n">
        <f aca="false">J270</f>
        <v>9396492.47760442</v>
      </c>
      <c r="F271" s="20" t="n">
        <f aca="false">E271*B1Ret/12</f>
        <v>54812.8727860258</v>
      </c>
      <c r="G271" s="20" t="n">
        <f aca="false">D271</f>
        <v>221520.087055022</v>
      </c>
      <c r="H271" s="20" t="n">
        <v>0</v>
      </c>
      <c r="I271" s="20" t="n">
        <f aca="false">H271</f>
        <v>0</v>
      </c>
      <c r="J271" s="20" t="n">
        <f aca="false">E271+F271-G271+I271</f>
        <v>9229785.26333543</v>
      </c>
      <c r="K271" s="20" t="n">
        <f aca="false">O270</f>
        <v>12812035.2883435</v>
      </c>
      <c r="L271" s="20" t="n">
        <f aca="false">K271*B2Ret/12</f>
        <v>96090.2646625761</v>
      </c>
      <c r="M271" s="20" t="n">
        <f aca="false">-I271</f>
        <v>-0</v>
      </c>
      <c r="N271" s="20" t="n">
        <v>0</v>
      </c>
      <c r="O271" s="20" t="n">
        <f aca="false">K271+L271+M271+N271</f>
        <v>12908125.5530061</v>
      </c>
      <c r="P271" s="20" t="n">
        <f aca="false">S270</f>
        <v>84100724.6466507</v>
      </c>
      <c r="Q271" s="20" t="n">
        <f aca="false">P271*B3Ret/12</f>
        <v>770923.309260965</v>
      </c>
      <c r="R271" s="20" t="n">
        <f aca="false">-N271</f>
        <v>-0</v>
      </c>
      <c r="S271" s="20" t="n">
        <f aca="false">P271+Q271+R271</f>
        <v>84871647.9559117</v>
      </c>
      <c r="T271" s="20" t="n">
        <f aca="false">J271+O271+S271</f>
        <v>107009558.772253</v>
      </c>
    </row>
    <row r="272" customFormat="false" ht="15" hidden="false" customHeight="false" outlineLevel="0" collapsed="false">
      <c r="A272" s="19" t="n">
        <v>271</v>
      </c>
      <c r="B272" s="19" t="n">
        <f aca="false">ROUNDUP(A272/12,0)</f>
        <v>23</v>
      </c>
      <c r="C272" s="19" t="n">
        <f aca="false">Age+B272-1</f>
        <v>84</v>
      </c>
      <c r="D272" s="20" t="n">
        <f aca="false">MonthlyExp*(1+Inflation)^(B272-1)</f>
        <v>221520.087055022</v>
      </c>
      <c r="E272" s="20" t="n">
        <f aca="false">J271</f>
        <v>9229785.26333543</v>
      </c>
      <c r="F272" s="20" t="n">
        <f aca="false">E272*B1Ret/12</f>
        <v>53840.4140361233</v>
      </c>
      <c r="G272" s="20" t="n">
        <f aca="false">D272</f>
        <v>221520.087055022</v>
      </c>
      <c r="H272" s="20" t="n">
        <v>0</v>
      </c>
      <c r="I272" s="20" t="n">
        <f aca="false">H272</f>
        <v>0</v>
      </c>
      <c r="J272" s="20" t="n">
        <f aca="false">E272+F272-G272+I272</f>
        <v>9062105.59031653</v>
      </c>
      <c r="K272" s="20" t="n">
        <f aca="false">O271</f>
        <v>12908125.5530061</v>
      </c>
      <c r="L272" s="20" t="n">
        <f aca="false">K272*B2Ret/12</f>
        <v>96810.9416475455</v>
      </c>
      <c r="M272" s="20" t="n">
        <f aca="false">-I272</f>
        <v>-0</v>
      </c>
      <c r="N272" s="20" t="n">
        <v>0</v>
      </c>
      <c r="O272" s="20" t="n">
        <f aca="false">K272+L272+M272+N272</f>
        <v>13004936.4946536</v>
      </c>
      <c r="P272" s="20" t="n">
        <f aca="false">S271</f>
        <v>84871647.9559117</v>
      </c>
      <c r="Q272" s="20" t="n">
        <f aca="false">P272*B3Ret/12</f>
        <v>777990.106262524</v>
      </c>
      <c r="R272" s="20" t="n">
        <f aca="false">-N272</f>
        <v>-0</v>
      </c>
      <c r="S272" s="20" t="n">
        <f aca="false">P272+Q272+R272</f>
        <v>85649638.0621742</v>
      </c>
      <c r="T272" s="20" t="n">
        <f aca="false">J272+O272+S272</f>
        <v>107716680.147144</v>
      </c>
    </row>
    <row r="273" customFormat="false" ht="15" hidden="false" customHeight="false" outlineLevel="0" collapsed="false">
      <c r="A273" s="19" t="n">
        <v>272</v>
      </c>
      <c r="B273" s="19" t="n">
        <f aca="false">ROUNDUP(A273/12,0)</f>
        <v>23</v>
      </c>
      <c r="C273" s="19" t="n">
        <f aca="false">Age+B273-1</f>
        <v>84</v>
      </c>
      <c r="D273" s="20" t="n">
        <f aca="false">MonthlyExp*(1+Inflation)^(B273-1)</f>
        <v>221520.087055022</v>
      </c>
      <c r="E273" s="20" t="n">
        <f aca="false">J272</f>
        <v>9062105.59031653</v>
      </c>
      <c r="F273" s="20" t="n">
        <f aca="false">E273*B1Ret/12</f>
        <v>52862.2826101798</v>
      </c>
      <c r="G273" s="20" t="n">
        <f aca="false">D273</f>
        <v>221520.087055022</v>
      </c>
      <c r="H273" s="20" t="n">
        <v>0</v>
      </c>
      <c r="I273" s="20" t="n">
        <f aca="false">H273</f>
        <v>0</v>
      </c>
      <c r="J273" s="20" t="n">
        <f aca="false">E273+F273-G273+I273</f>
        <v>8893447.78587169</v>
      </c>
      <c r="K273" s="20" t="n">
        <f aca="false">O272</f>
        <v>13004936.4946536</v>
      </c>
      <c r="L273" s="20" t="n">
        <f aca="false">K273*B2Ret/12</f>
        <v>97537.0237099021</v>
      </c>
      <c r="M273" s="20" t="n">
        <f aca="false">-I273</f>
        <v>-0</v>
      </c>
      <c r="N273" s="20" t="n">
        <v>0</v>
      </c>
      <c r="O273" s="20" t="n">
        <f aca="false">K273+L273+M273+N273</f>
        <v>13102473.5183635</v>
      </c>
      <c r="P273" s="20" t="n">
        <f aca="false">S272</f>
        <v>85649638.0621742</v>
      </c>
      <c r="Q273" s="20" t="n">
        <f aca="false">P273*B3Ret/12</f>
        <v>785121.682236597</v>
      </c>
      <c r="R273" s="20" t="n">
        <f aca="false">-N273</f>
        <v>-0</v>
      </c>
      <c r="S273" s="20" t="n">
        <f aca="false">P273+Q273+R273</f>
        <v>86434759.7444108</v>
      </c>
      <c r="T273" s="20" t="n">
        <f aca="false">J273+O273+S273</f>
        <v>108430681.048646</v>
      </c>
    </row>
    <row r="274" customFormat="false" ht="15" hidden="false" customHeight="false" outlineLevel="0" collapsed="false">
      <c r="A274" s="19" t="n">
        <v>273</v>
      </c>
      <c r="B274" s="19" t="n">
        <f aca="false">ROUNDUP(A274/12,0)</f>
        <v>23</v>
      </c>
      <c r="C274" s="19" t="n">
        <f aca="false">Age+B274-1</f>
        <v>84</v>
      </c>
      <c r="D274" s="20" t="n">
        <f aca="false">MonthlyExp*(1+Inflation)^(B274-1)</f>
        <v>221520.087055022</v>
      </c>
      <c r="E274" s="20" t="n">
        <f aca="false">J273</f>
        <v>8893447.78587169</v>
      </c>
      <c r="F274" s="20" t="n">
        <f aca="false">E274*B1Ret/12</f>
        <v>51878.4454175848</v>
      </c>
      <c r="G274" s="20" t="n">
        <f aca="false">D274</f>
        <v>221520.087055022</v>
      </c>
      <c r="H274" s="20" t="n">
        <v>0</v>
      </c>
      <c r="I274" s="20" t="n">
        <f aca="false">H274</f>
        <v>0</v>
      </c>
      <c r="J274" s="20" t="n">
        <f aca="false">E274+F274-G274+I274</f>
        <v>8723806.14423425</v>
      </c>
      <c r="K274" s="20" t="n">
        <f aca="false">O273</f>
        <v>13102473.5183635</v>
      </c>
      <c r="L274" s="20" t="n">
        <f aca="false">K274*B2Ret/12</f>
        <v>98268.5513877263</v>
      </c>
      <c r="M274" s="20" t="n">
        <f aca="false">-I274</f>
        <v>-0</v>
      </c>
      <c r="N274" s="20" t="n">
        <v>0</v>
      </c>
      <c r="O274" s="20" t="n">
        <f aca="false">K274+L274+M274+N274</f>
        <v>13200742.0697512</v>
      </c>
      <c r="P274" s="20" t="n">
        <f aca="false">S273</f>
        <v>86434759.7444108</v>
      </c>
      <c r="Q274" s="20" t="n">
        <f aca="false">P274*B3Ret/12</f>
        <v>792318.630990432</v>
      </c>
      <c r="R274" s="20" t="n">
        <f aca="false">-N274</f>
        <v>-0</v>
      </c>
      <c r="S274" s="20" t="n">
        <f aca="false">P274+Q274+R274</f>
        <v>87227078.3754012</v>
      </c>
      <c r="T274" s="20" t="n">
        <f aca="false">J274+O274+S274</f>
        <v>109151626.589387</v>
      </c>
    </row>
    <row r="275" customFormat="false" ht="15" hidden="false" customHeight="false" outlineLevel="0" collapsed="false">
      <c r="A275" s="19" t="n">
        <v>274</v>
      </c>
      <c r="B275" s="19" t="n">
        <f aca="false">ROUNDUP(A275/12,0)</f>
        <v>23</v>
      </c>
      <c r="C275" s="19" t="n">
        <f aca="false">Age+B275-1</f>
        <v>84</v>
      </c>
      <c r="D275" s="20" t="n">
        <f aca="false">MonthlyExp*(1+Inflation)^(B275-1)</f>
        <v>221520.087055022</v>
      </c>
      <c r="E275" s="20" t="n">
        <f aca="false">J274</f>
        <v>8723806.14423425</v>
      </c>
      <c r="F275" s="20" t="n">
        <f aca="false">E275*B1Ret/12</f>
        <v>50888.8691746998</v>
      </c>
      <c r="G275" s="20" t="n">
        <f aca="false">D275</f>
        <v>221520.087055022</v>
      </c>
      <c r="H275" s="20" t="n">
        <v>0</v>
      </c>
      <c r="I275" s="20" t="n">
        <f aca="false">H275</f>
        <v>0</v>
      </c>
      <c r="J275" s="20" t="n">
        <f aca="false">E275+F275-G275+I275</f>
        <v>8553174.92635393</v>
      </c>
      <c r="K275" s="20" t="n">
        <f aca="false">O274</f>
        <v>13200742.0697512</v>
      </c>
      <c r="L275" s="20" t="n">
        <f aca="false">K275*B2Ret/12</f>
        <v>99005.5655231343</v>
      </c>
      <c r="M275" s="20" t="n">
        <f aca="false">-I275</f>
        <v>-0</v>
      </c>
      <c r="N275" s="20" t="n">
        <v>0</v>
      </c>
      <c r="O275" s="20" t="n">
        <f aca="false">K275+L275+M275+N275</f>
        <v>13299747.6352744</v>
      </c>
      <c r="P275" s="20" t="n">
        <f aca="false">S274</f>
        <v>87227078.3754012</v>
      </c>
      <c r="Q275" s="20" t="n">
        <f aca="false">P275*B3Ret/12</f>
        <v>799581.551774511</v>
      </c>
      <c r="R275" s="20" t="n">
        <f aca="false">-N275</f>
        <v>-0</v>
      </c>
      <c r="S275" s="20" t="n">
        <f aca="false">P275+Q275+R275</f>
        <v>88026659.9271757</v>
      </c>
      <c r="T275" s="20" t="n">
        <f aca="false">J275+O275+S275</f>
        <v>109879582.488804</v>
      </c>
    </row>
    <row r="276" customFormat="false" ht="15" hidden="false" customHeight="false" outlineLevel="0" collapsed="false">
      <c r="A276" s="19" t="n">
        <v>275</v>
      </c>
      <c r="B276" s="19" t="n">
        <f aca="false">ROUNDUP(A276/12,0)</f>
        <v>23</v>
      </c>
      <c r="C276" s="19" t="n">
        <f aca="false">Age+B276-1</f>
        <v>84</v>
      </c>
      <c r="D276" s="20" t="n">
        <f aca="false">MonthlyExp*(1+Inflation)^(B276-1)</f>
        <v>221520.087055022</v>
      </c>
      <c r="E276" s="20" t="n">
        <f aca="false">J275</f>
        <v>8553174.92635393</v>
      </c>
      <c r="F276" s="20" t="n">
        <f aca="false">E276*B1Ret/12</f>
        <v>49893.5204037312</v>
      </c>
      <c r="G276" s="20" t="n">
        <f aca="false">D276</f>
        <v>221520.087055022</v>
      </c>
      <c r="H276" s="20" t="n">
        <v>0</v>
      </c>
      <c r="I276" s="20" t="n">
        <f aca="false">H276</f>
        <v>0</v>
      </c>
      <c r="J276" s="20" t="n">
        <f aca="false">E276+F276-G276+I276</f>
        <v>8381548.35970264</v>
      </c>
      <c r="K276" s="20" t="n">
        <f aca="false">O275</f>
        <v>13299747.6352744</v>
      </c>
      <c r="L276" s="20" t="n">
        <f aca="false">K276*B2Ret/12</f>
        <v>99748.1072645578</v>
      </c>
      <c r="M276" s="20" t="n">
        <f aca="false">-I276</f>
        <v>-0</v>
      </c>
      <c r="N276" s="20" t="n">
        <v>0</v>
      </c>
      <c r="O276" s="20" t="n">
        <f aca="false">K276+L276+M276+N276</f>
        <v>13399495.7425389</v>
      </c>
      <c r="P276" s="20" t="n">
        <f aca="false">S275</f>
        <v>88026659.9271757</v>
      </c>
      <c r="Q276" s="20" t="n">
        <f aca="false">P276*B3Ret/12</f>
        <v>806911.049332444</v>
      </c>
      <c r="R276" s="20" t="n">
        <f aca="false">-N276</f>
        <v>-0</v>
      </c>
      <c r="S276" s="20" t="n">
        <f aca="false">P276+Q276+R276</f>
        <v>88833570.9765082</v>
      </c>
      <c r="T276" s="20" t="n">
        <f aca="false">J276+O276+S276</f>
        <v>110614615.07875</v>
      </c>
    </row>
    <row r="277" customFormat="false" ht="15" hidden="false" customHeight="false" outlineLevel="0" collapsed="false">
      <c r="A277" s="19" t="n">
        <v>276</v>
      </c>
      <c r="B277" s="19" t="n">
        <f aca="false">ROUNDUP(A277/12,0)</f>
        <v>23</v>
      </c>
      <c r="C277" s="19" t="n">
        <f aca="false">Age+B277-1</f>
        <v>84</v>
      </c>
      <c r="D277" s="20" t="n">
        <f aca="false">MonthlyExp*(1+Inflation)^(B277-1)</f>
        <v>221520.087055022</v>
      </c>
      <c r="E277" s="20" t="n">
        <f aca="false">J276</f>
        <v>8381548.35970264</v>
      </c>
      <c r="F277" s="20" t="n">
        <f aca="false">E277*B1Ret/12</f>
        <v>48892.3654315987</v>
      </c>
      <c r="G277" s="20" t="n">
        <f aca="false">D277</f>
        <v>221520.087055022</v>
      </c>
      <c r="H277" s="20" t="n">
        <v>0</v>
      </c>
      <c r="I277" s="20" t="n">
        <f aca="false">H277</f>
        <v>0</v>
      </c>
      <c r="J277" s="20" t="n">
        <f aca="false">E277+F277-G277+I277</f>
        <v>8208920.63807922</v>
      </c>
      <c r="K277" s="20" t="n">
        <f aca="false">O276</f>
        <v>13399495.7425389</v>
      </c>
      <c r="L277" s="20" t="n">
        <f aca="false">K277*B2Ret/12</f>
        <v>100496.218069042</v>
      </c>
      <c r="M277" s="20" t="n">
        <f aca="false">-I277</f>
        <v>-0</v>
      </c>
      <c r="N277" s="20" t="n">
        <v>0</v>
      </c>
      <c r="O277" s="20" t="n">
        <f aca="false">K277+L277+M277+N277</f>
        <v>13499991.960608</v>
      </c>
      <c r="P277" s="20" t="n">
        <f aca="false">S276</f>
        <v>88833570.9765082</v>
      </c>
      <c r="Q277" s="20" t="n">
        <f aca="false">P277*B3Ret/12</f>
        <v>814307.733951325</v>
      </c>
      <c r="R277" s="20" t="n">
        <f aca="false">-N277</f>
        <v>-0</v>
      </c>
      <c r="S277" s="20" t="n">
        <f aca="false">P277+Q277+R277</f>
        <v>89647878.7104595</v>
      </c>
      <c r="T277" s="20" t="n">
        <f aca="false">J277+O277+S277</f>
        <v>111356791.309147</v>
      </c>
    </row>
    <row r="278" customFormat="false" ht="15" hidden="false" customHeight="false" outlineLevel="0" collapsed="false">
      <c r="A278" s="19" t="n">
        <v>277</v>
      </c>
      <c r="B278" s="19" t="n">
        <f aca="false">ROUNDUP(A278/12,0)</f>
        <v>24</v>
      </c>
      <c r="C278" s="19" t="n">
        <f aca="false">Age+B278-1</f>
        <v>85</v>
      </c>
      <c r="D278" s="20" t="n">
        <f aca="false">MonthlyExp*(1+Inflation)^(B278-1)</f>
        <v>237026.493148873</v>
      </c>
      <c r="E278" s="20" t="n">
        <f aca="false">J277</f>
        <v>8208920.63807922</v>
      </c>
      <c r="F278" s="20" t="n">
        <f aca="false">E278*B1Ret/12</f>
        <v>47885.3703887954</v>
      </c>
      <c r="G278" s="20" t="n">
        <f aca="false">D278</f>
        <v>237026.493148873</v>
      </c>
      <c r="H278" s="20" t="n">
        <v>0</v>
      </c>
      <c r="I278" s="20" t="n">
        <f aca="false">H278</f>
        <v>0</v>
      </c>
      <c r="J278" s="20" t="n">
        <f aca="false">E278+F278-G278+I278</f>
        <v>8019779.51531914</v>
      </c>
      <c r="K278" s="20" t="n">
        <f aca="false">O277</f>
        <v>13499991.960608</v>
      </c>
      <c r="L278" s="20" t="n">
        <f aca="false">K278*B2Ret/12</f>
        <v>101249.93970456</v>
      </c>
      <c r="M278" s="20" t="n">
        <f aca="false">-I278</f>
        <v>-0</v>
      </c>
      <c r="N278" s="20" t="n">
        <v>0</v>
      </c>
      <c r="O278" s="20" t="n">
        <f aca="false">K278+L278+M278+N278</f>
        <v>13601241.9003125</v>
      </c>
      <c r="P278" s="20" t="n">
        <f aca="false">S277</f>
        <v>89647878.7104595</v>
      </c>
      <c r="Q278" s="20" t="n">
        <f aca="false">P278*B3Ret/12</f>
        <v>821772.221512545</v>
      </c>
      <c r="R278" s="20" t="n">
        <f aca="false">-N278</f>
        <v>-0</v>
      </c>
      <c r="S278" s="20" t="n">
        <f aca="false">P278+Q278+R278</f>
        <v>90469650.931972</v>
      </c>
      <c r="T278" s="20" t="n">
        <f aca="false">J278+O278+S278</f>
        <v>112090672.347604</v>
      </c>
    </row>
    <row r="279" customFormat="false" ht="15" hidden="false" customHeight="false" outlineLevel="0" collapsed="false">
      <c r="A279" s="19" t="n">
        <v>278</v>
      </c>
      <c r="B279" s="19" t="n">
        <f aca="false">ROUNDUP(A279/12,0)</f>
        <v>24</v>
      </c>
      <c r="C279" s="19" t="n">
        <f aca="false">Age+B279-1</f>
        <v>85</v>
      </c>
      <c r="D279" s="20" t="n">
        <f aca="false">MonthlyExp*(1+Inflation)^(B279-1)</f>
        <v>237026.493148873</v>
      </c>
      <c r="E279" s="20" t="n">
        <f aca="false">J278</f>
        <v>8019779.51531914</v>
      </c>
      <c r="F279" s="20" t="n">
        <f aca="false">E279*B1Ret/12</f>
        <v>46782.047172695</v>
      </c>
      <c r="G279" s="20" t="n">
        <f aca="false">D279</f>
        <v>237026.493148873</v>
      </c>
      <c r="H279" s="20" t="n">
        <v>0</v>
      </c>
      <c r="I279" s="20" t="n">
        <f aca="false">H279</f>
        <v>0</v>
      </c>
      <c r="J279" s="20" t="n">
        <f aca="false">E279+F279-G279+I279</f>
        <v>7829535.06934296</v>
      </c>
      <c r="K279" s="20" t="n">
        <f aca="false">O278</f>
        <v>13601241.9003125</v>
      </c>
      <c r="L279" s="20" t="n">
        <f aca="false">K279*B2Ret/12</f>
        <v>102009.314252344</v>
      </c>
      <c r="M279" s="20" t="n">
        <f aca="false">-I279</f>
        <v>-0</v>
      </c>
      <c r="N279" s="20" t="n">
        <v>0</v>
      </c>
      <c r="O279" s="20" t="n">
        <f aca="false">K279+L279+M279+N279</f>
        <v>13703251.2145649</v>
      </c>
      <c r="P279" s="20" t="n">
        <f aca="false">S278</f>
        <v>90469650.931972</v>
      </c>
      <c r="Q279" s="20" t="n">
        <f aca="false">P279*B3Ret/12</f>
        <v>829305.133543077</v>
      </c>
      <c r="R279" s="20" t="n">
        <f aca="false">-N279</f>
        <v>-0</v>
      </c>
      <c r="S279" s="20" t="n">
        <f aca="false">P279+Q279+R279</f>
        <v>91298956.0655151</v>
      </c>
      <c r="T279" s="20" t="n">
        <f aca="false">J279+O279+S279</f>
        <v>112831742.349423</v>
      </c>
    </row>
    <row r="280" customFormat="false" ht="15" hidden="false" customHeight="false" outlineLevel="0" collapsed="false">
      <c r="A280" s="19" t="n">
        <v>279</v>
      </c>
      <c r="B280" s="19" t="n">
        <f aca="false">ROUNDUP(A280/12,0)</f>
        <v>24</v>
      </c>
      <c r="C280" s="19" t="n">
        <f aca="false">Age+B280-1</f>
        <v>85</v>
      </c>
      <c r="D280" s="20" t="n">
        <f aca="false">MonthlyExp*(1+Inflation)^(B280-1)</f>
        <v>237026.493148873</v>
      </c>
      <c r="E280" s="20" t="n">
        <f aca="false">J279</f>
        <v>7829535.06934296</v>
      </c>
      <c r="F280" s="20" t="n">
        <f aca="false">E280*B1Ret/12</f>
        <v>45672.2879045006</v>
      </c>
      <c r="G280" s="20" t="n">
        <f aca="false">D280</f>
        <v>237026.493148873</v>
      </c>
      <c r="H280" s="20" t="n">
        <v>0</v>
      </c>
      <c r="I280" s="20" t="n">
        <f aca="false">H280</f>
        <v>0</v>
      </c>
      <c r="J280" s="20" t="n">
        <f aca="false">E280+F280-G280+I280</f>
        <v>7638180.86409859</v>
      </c>
      <c r="K280" s="20" t="n">
        <f aca="false">O279</f>
        <v>13703251.2145649</v>
      </c>
      <c r="L280" s="20" t="n">
        <f aca="false">K280*B2Ret/12</f>
        <v>102774.384109237</v>
      </c>
      <c r="M280" s="20" t="n">
        <f aca="false">-I280</f>
        <v>-0</v>
      </c>
      <c r="N280" s="20" t="n">
        <v>0</v>
      </c>
      <c r="O280" s="20" t="n">
        <f aca="false">K280+L280+M280+N280</f>
        <v>13806025.5986741</v>
      </c>
      <c r="P280" s="20" t="n">
        <f aca="false">S279</f>
        <v>91298956.0655151</v>
      </c>
      <c r="Q280" s="20" t="n">
        <f aca="false">P280*B3Ret/12</f>
        <v>836907.097267222</v>
      </c>
      <c r="R280" s="20" t="n">
        <f aca="false">-N280</f>
        <v>-0</v>
      </c>
      <c r="S280" s="20" t="n">
        <f aca="false">P280+Q280+R280</f>
        <v>92135863.1627823</v>
      </c>
      <c r="T280" s="20" t="n">
        <f aca="false">J280+O280+S280</f>
        <v>113580069.625555</v>
      </c>
    </row>
    <row r="281" customFormat="false" ht="15" hidden="false" customHeight="false" outlineLevel="0" collapsed="false">
      <c r="A281" s="19" t="n">
        <v>280</v>
      </c>
      <c r="B281" s="19" t="n">
        <f aca="false">ROUNDUP(A281/12,0)</f>
        <v>24</v>
      </c>
      <c r="C281" s="19" t="n">
        <f aca="false">Age+B281-1</f>
        <v>85</v>
      </c>
      <c r="D281" s="20" t="n">
        <f aca="false">MonthlyExp*(1+Inflation)^(B281-1)</f>
        <v>237026.493148873</v>
      </c>
      <c r="E281" s="20" t="n">
        <f aca="false">J280</f>
        <v>7638180.86409859</v>
      </c>
      <c r="F281" s="20" t="n">
        <f aca="false">E281*B1Ret/12</f>
        <v>44556.0550405751</v>
      </c>
      <c r="G281" s="20" t="n">
        <f aca="false">D281</f>
        <v>237026.493148873</v>
      </c>
      <c r="H281" s="20" t="n">
        <v>0</v>
      </c>
      <c r="I281" s="20" t="n">
        <f aca="false">H281</f>
        <v>0</v>
      </c>
      <c r="J281" s="20" t="n">
        <f aca="false">E281+F281-G281+I281</f>
        <v>7445710.42599029</v>
      </c>
      <c r="K281" s="20" t="n">
        <f aca="false">O280</f>
        <v>13806025.5986741</v>
      </c>
      <c r="L281" s="20" t="n">
        <f aca="false">K281*B2Ret/12</f>
        <v>103545.191990056</v>
      </c>
      <c r="M281" s="20" t="n">
        <f aca="false">-I281</f>
        <v>-0</v>
      </c>
      <c r="N281" s="20" t="n">
        <v>0</v>
      </c>
      <c r="O281" s="20" t="n">
        <f aca="false">K281+L281+M281+N281</f>
        <v>13909570.7906642</v>
      </c>
      <c r="P281" s="20" t="n">
        <f aca="false">S280</f>
        <v>92135863.1627823</v>
      </c>
      <c r="Q281" s="20" t="n">
        <f aca="false">P281*B3Ret/12</f>
        <v>844578.745658838</v>
      </c>
      <c r="R281" s="20" t="n">
        <f aca="false">-N281</f>
        <v>-0</v>
      </c>
      <c r="S281" s="20" t="n">
        <f aca="false">P281+Q281+R281</f>
        <v>92980441.9084412</v>
      </c>
      <c r="T281" s="20" t="n">
        <f aca="false">J281+O281+S281</f>
        <v>114335723.125096</v>
      </c>
    </row>
    <row r="282" customFormat="false" ht="15" hidden="false" customHeight="false" outlineLevel="0" collapsed="false">
      <c r="A282" s="19" t="n">
        <v>281</v>
      </c>
      <c r="B282" s="19" t="n">
        <f aca="false">ROUNDUP(A282/12,0)</f>
        <v>24</v>
      </c>
      <c r="C282" s="19" t="n">
        <f aca="false">Age+B282-1</f>
        <v>85</v>
      </c>
      <c r="D282" s="20" t="n">
        <f aca="false">MonthlyExp*(1+Inflation)^(B282-1)</f>
        <v>237026.493148873</v>
      </c>
      <c r="E282" s="20" t="n">
        <f aca="false">J281</f>
        <v>7445710.42599029</v>
      </c>
      <c r="F282" s="20" t="n">
        <f aca="false">E282*B1Ret/12</f>
        <v>43433.3108182767</v>
      </c>
      <c r="G282" s="20" t="n">
        <f aca="false">D282</f>
        <v>237026.493148873</v>
      </c>
      <c r="H282" s="20" t="n">
        <v>0</v>
      </c>
      <c r="I282" s="20" t="n">
        <f aca="false">H282</f>
        <v>0</v>
      </c>
      <c r="J282" s="20" t="n">
        <f aca="false">E282+F282-G282+I282</f>
        <v>7252117.24365969</v>
      </c>
      <c r="K282" s="20" t="n">
        <f aca="false">O281</f>
        <v>13909570.7906642</v>
      </c>
      <c r="L282" s="20" t="n">
        <f aca="false">K282*B2Ret/12</f>
        <v>104321.780929981</v>
      </c>
      <c r="M282" s="20" t="n">
        <f aca="false">-I282</f>
        <v>-0</v>
      </c>
      <c r="N282" s="20" t="n">
        <v>0</v>
      </c>
      <c r="O282" s="20" t="n">
        <f aca="false">K282+L282+M282+N282</f>
        <v>14013892.5715941</v>
      </c>
      <c r="P282" s="20" t="n">
        <f aca="false">S281</f>
        <v>92980441.9084412</v>
      </c>
      <c r="Q282" s="20" t="n">
        <f aca="false">P282*B3Ret/12</f>
        <v>852320.717494044</v>
      </c>
      <c r="R282" s="20" t="n">
        <f aca="false">-N282</f>
        <v>-0</v>
      </c>
      <c r="S282" s="20" t="n">
        <f aca="false">P282+Q282+R282</f>
        <v>93832762.6259352</v>
      </c>
      <c r="T282" s="20" t="n">
        <f aca="false">J282+O282+S282</f>
        <v>115098772.441189</v>
      </c>
    </row>
    <row r="283" customFormat="false" ht="15" hidden="false" customHeight="false" outlineLevel="0" collapsed="false">
      <c r="A283" s="19" t="n">
        <v>282</v>
      </c>
      <c r="B283" s="19" t="n">
        <f aca="false">ROUNDUP(A283/12,0)</f>
        <v>24</v>
      </c>
      <c r="C283" s="19" t="n">
        <f aca="false">Age+B283-1</f>
        <v>85</v>
      </c>
      <c r="D283" s="20" t="n">
        <f aca="false">MonthlyExp*(1+Inflation)^(B283-1)</f>
        <v>237026.493148873</v>
      </c>
      <c r="E283" s="20" t="n">
        <f aca="false">J282</f>
        <v>7252117.24365969</v>
      </c>
      <c r="F283" s="20" t="n">
        <f aca="false">E283*B1Ret/12</f>
        <v>42304.0172546815</v>
      </c>
      <c r="G283" s="20" t="n">
        <f aca="false">D283</f>
        <v>237026.493148873</v>
      </c>
      <c r="H283" s="20" t="n">
        <v>0</v>
      </c>
      <c r="I283" s="20" t="n">
        <f aca="false">H283</f>
        <v>0</v>
      </c>
      <c r="J283" s="20" t="n">
        <f aca="false">E283+F283-G283+I283</f>
        <v>7057394.7677655</v>
      </c>
      <c r="K283" s="20" t="n">
        <f aca="false">O282</f>
        <v>14013892.5715941</v>
      </c>
      <c r="L283" s="20" t="n">
        <f aca="false">K283*B2Ret/12</f>
        <v>105104.194286956</v>
      </c>
      <c r="M283" s="20" t="n">
        <f aca="false">-I283</f>
        <v>-0</v>
      </c>
      <c r="N283" s="20" t="n">
        <v>0</v>
      </c>
      <c r="O283" s="20" t="n">
        <f aca="false">K283+L283+M283+N283</f>
        <v>14118996.7658811</v>
      </c>
      <c r="P283" s="20" t="n">
        <f aca="false">S282</f>
        <v>93832762.6259352</v>
      </c>
      <c r="Q283" s="20" t="n">
        <f aca="false">P283*B3Ret/12</f>
        <v>860133.657404406</v>
      </c>
      <c r="R283" s="20" t="n">
        <f aca="false">-N283</f>
        <v>-0</v>
      </c>
      <c r="S283" s="20" t="n">
        <f aca="false">P283+Q283+R283</f>
        <v>94692896.2833396</v>
      </c>
      <c r="T283" s="20" t="n">
        <f aca="false">J283+O283+S283</f>
        <v>115869287.816986</v>
      </c>
    </row>
    <row r="284" customFormat="false" ht="15" hidden="false" customHeight="false" outlineLevel="0" collapsed="false">
      <c r="A284" s="19" t="n">
        <v>283</v>
      </c>
      <c r="B284" s="19" t="n">
        <f aca="false">ROUNDUP(A284/12,0)</f>
        <v>24</v>
      </c>
      <c r="C284" s="19" t="n">
        <f aca="false">Age+B284-1</f>
        <v>85</v>
      </c>
      <c r="D284" s="20" t="n">
        <f aca="false">MonthlyExp*(1+Inflation)^(B284-1)</f>
        <v>237026.493148873</v>
      </c>
      <c r="E284" s="20" t="n">
        <f aca="false">J283</f>
        <v>7057394.7677655</v>
      </c>
      <c r="F284" s="20" t="n">
        <f aca="false">E284*B1Ret/12</f>
        <v>41168.1361452987</v>
      </c>
      <c r="G284" s="20" t="n">
        <f aca="false">D284</f>
        <v>237026.493148873</v>
      </c>
      <c r="H284" s="20" t="n">
        <v>0</v>
      </c>
      <c r="I284" s="20" t="n">
        <f aca="false">H284</f>
        <v>0</v>
      </c>
      <c r="J284" s="20" t="n">
        <f aca="false">E284+F284-G284+I284</f>
        <v>6861536.41076192</v>
      </c>
      <c r="K284" s="20" t="n">
        <f aca="false">O283</f>
        <v>14118996.7658811</v>
      </c>
      <c r="L284" s="20" t="n">
        <f aca="false">K284*B2Ret/12</f>
        <v>105892.475744108</v>
      </c>
      <c r="M284" s="20" t="n">
        <f aca="false">-I284</f>
        <v>-0</v>
      </c>
      <c r="N284" s="20" t="n">
        <v>0</v>
      </c>
      <c r="O284" s="20" t="n">
        <f aca="false">K284+L284+M284+N284</f>
        <v>14224889.2416252</v>
      </c>
      <c r="P284" s="20" t="n">
        <f aca="false">S283</f>
        <v>94692896.2833396</v>
      </c>
      <c r="Q284" s="20" t="n">
        <f aca="false">P284*B3Ret/12</f>
        <v>868018.215930613</v>
      </c>
      <c r="R284" s="20" t="n">
        <f aca="false">-N284</f>
        <v>-0</v>
      </c>
      <c r="S284" s="20" t="n">
        <f aca="false">P284+Q284+R284</f>
        <v>95560914.4992703</v>
      </c>
      <c r="T284" s="20" t="n">
        <f aca="false">J284+O284+S284</f>
        <v>116647340.151657</v>
      </c>
    </row>
    <row r="285" customFormat="false" ht="15" hidden="false" customHeight="false" outlineLevel="0" collapsed="false">
      <c r="A285" s="19" t="n">
        <v>284</v>
      </c>
      <c r="B285" s="19" t="n">
        <f aca="false">ROUNDUP(A285/12,0)</f>
        <v>24</v>
      </c>
      <c r="C285" s="19" t="n">
        <f aca="false">Age+B285-1</f>
        <v>85</v>
      </c>
      <c r="D285" s="20" t="n">
        <f aca="false">MonthlyExp*(1+Inflation)^(B285-1)</f>
        <v>237026.493148873</v>
      </c>
      <c r="E285" s="20" t="n">
        <f aca="false">J284</f>
        <v>6861536.41076192</v>
      </c>
      <c r="F285" s="20" t="n">
        <f aca="false">E285*B1Ret/12</f>
        <v>40025.6290627779</v>
      </c>
      <c r="G285" s="20" t="n">
        <f aca="false">D285</f>
        <v>237026.493148873</v>
      </c>
      <c r="H285" s="20" t="n">
        <v>0</v>
      </c>
      <c r="I285" s="20" t="n">
        <f aca="false">H285</f>
        <v>0</v>
      </c>
      <c r="J285" s="20" t="n">
        <f aca="false">E285+F285-G285+I285</f>
        <v>6664535.54667583</v>
      </c>
      <c r="K285" s="20" t="n">
        <f aca="false">O284</f>
        <v>14224889.2416252</v>
      </c>
      <c r="L285" s="20" t="n">
        <f aca="false">K285*B2Ret/12</f>
        <v>106686.669312189</v>
      </c>
      <c r="M285" s="20" t="n">
        <f aca="false">-I285</f>
        <v>-0</v>
      </c>
      <c r="N285" s="20" t="n">
        <v>0</v>
      </c>
      <c r="O285" s="20" t="n">
        <f aca="false">K285+L285+M285+N285</f>
        <v>14331575.9109374</v>
      </c>
      <c r="P285" s="20" t="n">
        <f aca="false">S284</f>
        <v>95560914.4992703</v>
      </c>
      <c r="Q285" s="20" t="n">
        <f aca="false">P285*B3Ret/12</f>
        <v>875975.049576644</v>
      </c>
      <c r="R285" s="20" t="n">
        <f aca="false">-N285</f>
        <v>-0</v>
      </c>
      <c r="S285" s="20" t="n">
        <f aca="false">P285+Q285+R285</f>
        <v>96436889.5488469</v>
      </c>
      <c r="T285" s="20" t="n">
        <f aca="false">J285+O285+S285</f>
        <v>117433001.00646</v>
      </c>
    </row>
    <row r="286" customFormat="false" ht="15" hidden="false" customHeight="false" outlineLevel="0" collapsed="false">
      <c r="A286" s="19" t="n">
        <v>285</v>
      </c>
      <c r="B286" s="19" t="n">
        <f aca="false">ROUNDUP(A286/12,0)</f>
        <v>24</v>
      </c>
      <c r="C286" s="19" t="n">
        <f aca="false">Age+B286-1</f>
        <v>85</v>
      </c>
      <c r="D286" s="20" t="n">
        <f aca="false">MonthlyExp*(1+Inflation)^(B286-1)</f>
        <v>237026.493148873</v>
      </c>
      <c r="E286" s="20" t="n">
        <f aca="false">J285</f>
        <v>6664535.54667583</v>
      </c>
      <c r="F286" s="20" t="n">
        <f aca="false">E286*B1Ret/12</f>
        <v>38876.457355609</v>
      </c>
      <c r="G286" s="20" t="n">
        <f aca="false">D286</f>
        <v>237026.493148873</v>
      </c>
      <c r="H286" s="20" t="n">
        <v>0</v>
      </c>
      <c r="I286" s="20" t="n">
        <f aca="false">H286</f>
        <v>0</v>
      </c>
      <c r="J286" s="20" t="n">
        <f aca="false">E286+F286-G286+I286</f>
        <v>6466385.51088256</v>
      </c>
      <c r="K286" s="20" t="n">
        <f aca="false">O285</f>
        <v>14331575.9109374</v>
      </c>
      <c r="L286" s="20" t="n">
        <f aca="false">K286*B2Ret/12</f>
        <v>107486.81933203</v>
      </c>
      <c r="M286" s="20" t="n">
        <f aca="false">-I286</f>
        <v>-0</v>
      </c>
      <c r="N286" s="20" t="n">
        <v>0</v>
      </c>
      <c r="O286" s="20" t="n">
        <f aca="false">K286+L286+M286+N286</f>
        <v>14439062.7302694</v>
      </c>
      <c r="P286" s="20" t="n">
        <f aca="false">S285</f>
        <v>96436889.5488469</v>
      </c>
      <c r="Q286" s="20" t="n">
        <f aca="false">P286*B3Ret/12</f>
        <v>884004.82086443</v>
      </c>
      <c r="R286" s="20" t="n">
        <f aca="false">-N286</f>
        <v>-0</v>
      </c>
      <c r="S286" s="20" t="n">
        <f aca="false">P286+Q286+R286</f>
        <v>97320894.3697113</v>
      </c>
      <c r="T286" s="20" t="n">
        <f aca="false">J286+O286+S286</f>
        <v>118226342.610863</v>
      </c>
    </row>
    <row r="287" customFormat="false" ht="15" hidden="false" customHeight="false" outlineLevel="0" collapsed="false">
      <c r="A287" s="19" t="n">
        <v>286</v>
      </c>
      <c r="B287" s="19" t="n">
        <f aca="false">ROUNDUP(A287/12,0)</f>
        <v>24</v>
      </c>
      <c r="C287" s="19" t="n">
        <f aca="false">Age+B287-1</f>
        <v>85</v>
      </c>
      <c r="D287" s="20" t="n">
        <f aca="false">MonthlyExp*(1+Inflation)^(B287-1)</f>
        <v>237026.493148873</v>
      </c>
      <c r="E287" s="20" t="n">
        <f aca="false">J286</f>
        <v>6466385.51088256</v>
      </c>
      <c r="F287" s="20" t="n">
        <f aca="false">E287*B1Ret/12</f>
        <v>37720.582146815</v>
      </c>
      <c r="G287" s="20" t="n">
        <f aca="false">D287</f>
        <v>237026.493148873</v>
      </c>
      <c r="H287" s="20" t="n">
        <v>0</v>
      </c>
      <c r="I287" s="20" t="n">
        <f aca="false">H287</f>
        <v>0</v>
      </c>
      <c r="J287" s="20" t="n">
        <f aca="false">E287+F287-G287+I287</f>
        <v>6267079.5998805</v>
      </c>
      <c r="K287" s="20" t="n">
        <f aca="false">O286</f>
        <v>14439062.7302694</v>
      </c>
      <c r="L287" s="20" t="n">
        <f aca="false">K287*B2Ret/12</f>
        <v>108292.970477021</v>
      </c>
      <c r="M287" s="20" t="n">
        <f aca="false">-I287</f>
        <v>-0</v>
      </c>
      <c r="N287" s="20" t="n">
        <v>0</v>
      </c>
      <c r="O287" s="20" t="n">
        <f aca="false">K287+L287+M287+N287</f>
        <v>14547355.7007464</v>
      </c>
      <c r="P287" s="20" t="n">
        <f aca="false">S286</f>
        <v>97320894.3697113</v>
      </c>
      <c r="Q287" s="20" t="n">
        <f aca="false">P287*B3Ret/12</f>
        <v>892108.19838902</v>
      </c>
      <c r="R287" s="20" t="n">
        <f aca="false">-N287</f>
        <v>-0</v>
      </c>
      <c r="S287" s="20" t="n">
        <f aca="false">P287+Q287+R287</f>
        <v>98213002.5681003</v>
      </c>
      <c r="T287" s="20" t="n">
        <f aca="false">J287+O287+S287</f>
        <v>119027437.868727</v>
      </c>
    </row>
    <row r="288" customFormat="false" ht="15" hidden="false" customHeight="false" outlineLevel="0" collapsed="false">
      <c r="A288" s="19" t="n">
        <v>287</v>
      </c>
      <c r="B288" s="19" t="n">
        <f aca="false">ROUNDUP(A288/12,0)</f>
        <v>24</v>
      </c>
      <c r="C288" s="19" t="n">
        <f aca="false">Age+B288-1</f>
        <v>85</v>
      </c>
      <c r="D288" s="20" t="n">
        <f aca="false">MonthlyExp*(1+Inflation)^(B288-1)</f>
        <v>237026.493148873</v>
      </c>
      <c r="E288" s="20" t="n">
        <f aca="false">J287</f>
        <v>6267079.5998805</v>
      </c>
      <c r="F288" s="20" t="n">
        <f aca="false">E288*B1Ret/12</f>
        <v>36557.9643326363</v>
      </c>
      <c r="G288" s="20" t="n">
        <f aca="false">D288</f>
        <v>237026.493148873</v>
      </c>
      <c r="H288" s="20" t="n">
        <v>0</v>
      </c>
      <c r="I288" s="20" t="n">
        <f aca="false">H288</f>
        <v>0</v>
      </c>
      <c r="J288" s="20" t="n">
        <f aca="false">E288+F288-G288+I288</f>
        <v>6066611.07106427</v>
      </c>
      <c r="K288" s="20" t="n">
        <f aca="false">O287</f>
        <v>14547355.7007464</v>
      </c>
      <c r="L288" s="20" t="n">
        <f aca="false">K288*B2Ret/12</f>
        <v>109105.167755598</v>
      </c>
      <c r="M288" s="20" t="n">
        <f aca="false">-I288</f>
        <v>-0</v>
      </c>
      <c r="N288" s="20" t="n">
        <v>0</v>
      </c>
      <c r="O288" s="20" t="n">
        <f aca="false">K288+L288+M288+N288</f>
        <v>14656460.868502</v>
      </c>
      <c r="P288" s="20" t="n">
        <f aca="false">S287</f>
        <v>98213002.5681003</v>
      </c>
      <c r="Q288" s="20" t="n">
        <f aca="false">P288*B3Ret/12</f>
        <v>900285.856874253</v>
      </c>
      <c r="R288" s="20" t="n">
        <f aca="false">-N288</f>
        <v>-0</v>
      </c>
      <c r="S288" s="20" t="n">
        <f aca="false">P288+Q288+R288</f>
        <v>99113288.4249746</v>
      </c>
      <c r="T288" s="20" t="n">
        <f aca="false">J288+O288+S288</f>
        <v>119836360.364541</v>
      </c>
    </row>
    <row r="289" customFormat="false" ht="15" hidden="false" customHeight="false" outlineLevel="0" collapsed="false">
      <c r="A289" s="19" t="n">
        <v>288</v>
      </c>
      <c r="B289" s="19" t="n">
        <f aca="false">ROUNDUP(A289/12,0)</f>
        <v>24</v>
      </c>
      <c r="C289" s="19" t="n">
        <f aca="false">Age+B289-1</f>
        <v>85</v>
      </c>
      <c r="D289" s="20" t="n">
        <f aca="false">MonthlyExp*(1+Inflation)^(B289-1)</f>
        <v>237026.493148873</v>
      </c>
      <c r="E289" s="20" t="n">
        <f aca="false">J288</f>
        <v>6066611.07106427</v>
      </c>
      <c r="F289" s="20" t="n">
        <f aca="false">E289*B1Ret/12</f>
        <v>35388.5645812082</v>
      </c>
      <c r="G289" s="20" t="n">
        <f aca="false">D289</f>
        <v>237026.493148873</v>
      </c>
      <c r="H289" s="20" t="n">
        <v>0</v>
      </c>
      <c r="I289" s="20" t="n">
        <f aca="false">H289</f>
        <v>0</v>
      </c>
      <c r="J289" s="20" t="n">
        <f aca="false">E289+F289-G289+I289</f>
        <v>5864973.1424966</v>
      </c>
      <c r="K289" s="20" t="n">
        <f aca="false">O288</f>
        <v>14656460.868502</v>
      </c>
      <c r="L289" s="20" t="n">
        <f aca="false">K289*B2Ret/12</f>
        <v>109923.456513765</v>
      </c>
      <c r="M289" s="20" t="n">
        <f aca="false">-I289</f>
        <v>-0</v>
      </c>
      <c r="N289" s="20" t="n">
        <v>0</v>
      </c>
      <c r="O289" s="20" t="n">
        <f aca="false">K289+L289+M289+N289</f>
        <v>14766384.3250158</v>
      </c>
      <c r="P289" s="20" t="n">
        <f aca="false">S288</f>
        <v>99113288.4249746</v>
      </c>
      <c r="Q289" s="20" t="n">
        <f aca="false">P289*B3Ret/12</f>
        <v>908538.477228934</v>
      </c>
      <c r="R289" s="20" t="n">
        <f aca="false">-N289</f>
        <v>-0</v>
      </c>
      <c r="S289" s="20" t="n">
        <f aca="false">P289+Q289+R289</f>
        <v>100021826.902204</v>
      </c>
      <c r="T289" s="20" t="n">
        <f aca="false">J289+O289+S289</f>
        <v>120653184.369716</v>
      </c>
    </row>
    <row r="290" customFormat="false" ht="15" hidden="false" customHeight="false" outlineLevel="0" collapsed="false">
      <c r="A290" s="19" t="n">
        <v>289</v>
      </c>
      <c r="B290" s="19" t="n">
        <f aca="false">ROUNDUP(A290/12,0)</f>
        <v>25</v>
      </c>
      <c r="C290" s="19" t="n">
        <f aca="false">Age+B290-1</f>
        <v>86</v>
      </c>
      <c r="D290" s="20" t="n">
        <f aca="false">MonthlyExp*(1+Inflation)^(B290-1)</f>
        <v>253618.347669294</v>
      </c>
      <c r="E290" s="20" t="n">
        <f aca="false">J289</f>
        <v>5864973.1424966</v>
      </c>
      <c r="F290" s="20" t="n">
        <f aca="false">E290*B1Ret/12</f>
        <v>34212.3433312302</v>
      </c>
      <c r="G290" s="20" t="n">
        <f aca="false">D290</f>
        <v>253618.347669294</v>
      </c>
      <c r="H290" s="20" t="n">
        <v>0</v>
      </c>
      <c r="I290" s="20" t="n">
        <f aca="false">H290</f>
        <v>0</v>
      </c>
      <c r="J290" s="20" t="n">
        <f aca="false">E290+F290-G290+I290</f>
        <v>5645567.13815854</v>
      </c>
      <c r="K290" s="20" t="n">
        <f aca="false">O289</f>
        <v>14766384.3250158</v>
      </c>
      <c r="L290" s="20" t="n">
        <f aca="false">K290*B2Ret/12</f>
        <v>110747.882437619</v>
      </c>
      <c r="M290" s="20" t="n">
        <f aca="false">-I290</f>
        <v>-0</v>
      </c>
      <c r="N290" s="20" t="n">
        <v>0</v>
      </c>
      <c r="O290" s="20" t="n">
        <f aca="false">K290+L290+M290+N290</f>
        <v>14877132.2074534</v>
      </c>
      <c r="P290" s="20" t="n">
        <f aca="false">S289</f>
        <v>100021826.902204</v>
      </c>
      <c r="Q290" s="20" t="n">
        <f aca="false">P290*B3Ret/12</f>
        <v>916866.746603532</v>
      </c>
      <c r="R290" s="20" t="n">
        <f aca="false">-N290</f>
        <v>-0</v>
      </c>
      <c r="S290" s="20" t="n">
        <f aca="false">P290+Q290+R290</f>
        <v>100938693.648807</v>
      </c>
      <c r="T290" s="20" t="n">
        <f aca="false">J290+O290+S290</f>
        <v>121461392.994419</v>
      </c>
    </row>
    <row r="291" customFormat="false" ht="15" hidden="false" customHeight="false" outlineLevel="0" collapsed="false">
      <c r="A291" s="19" t="n">
        <v>290</v>
      </c>
      <c r="B291" s="19" t="n">
        <f aca="false">ROUNDUP(A291/12,0)</f>
        <v>25</v>
      </c>
      <c r="C291" s="19" t="n">
        <f aca="false">Age+B291-1</f>
        <v>86</v>
      </c>
      <c r="D291" s="20" t="n">
        <f aca="false">MonthlyExp*(1+Inflation)^(B291-1)</f>
        <v>253618.347669294</v>
      </c>
      <c r="E291" s="20" t="n">
        <f aca="false">J290</f>
        <v>5645567.13815854</v>
      </c>
      <c r="F291" s="20" t="n">
        <f aca="false">E291*B1Ret/12</f>
        <v>32932.4749725915</v>
      </c>
      <c r="G291" s="20" t="n">
        <f aca="false">D291</f>
        <v>253618.347669294</v>
      </c>
      <c r="H291" s="20" t="n">
        <v>0</v>
      </c>
      <c r="I291" s="20" t="n">
        <f aca="false">H291</f>
        <v>0</v>
      </c>
      <c r="J291" s="20" t="n">
        <f aca="false">E291+F291-G291+I291</f>
        <v>5424881.26546184</v>
      </c>
      <c r="K291" s="20" t="n">
        <f aca="false">O290</f>
        <v>14877132.2074534</v>
      </c>
      <c r="L291" s="20" t="n">
        <f aca="false">K291*B2Ret/12</f>
        <v>111578.491555901</v>
      </c>
      <c r="M291" s="20" t="n">
        <f aca="false">-I291</f>
        <v>-0</v>
      </c>
      <c r="N291" s="20" t="n">
        <v>0</v>
      </c>
      <c r="O291" s="20" t="n">
        <f aca="false">K291+L291+M291+N291</f>
        <v>14988710.6990093</v>
      </c>
      <c r="P291" s="20" t="n">
        <f aca="false">S290</f>
        <v>100938693.648807</v>
      </c>
      <c r="Q291" s="20" t="n">
        <f aca="false">P291*B3Ret/12</f>
        <v>925271.358447398</v>
      </c>
      <c r="R291" s="20" t="n">
        <f aca="false">-N291</f>
        <v>-0</v>
      </c>
      <c r="S291" s="20" t="n">
        <f aca="false">P291+Q291+R291</f>
        <v>101863965.007254</v>
      </c>
      <c r="T291" s="20" t="n">
        <f aca="false">J291+O291+S291</f>
        <v>122277556.971726</v>
      </c>
    </row>
    <row r="292" customFormat="false" ht="15" hidden="false" customHeight="false" outlineLevel="0" collapsed="false">
      <c r="A292" s="19" t="n">
        <v>291</v>
      </c>
      <c r="B292" s="19" t="n">
        <f aca="false">ROUNDUP(A292/12,0)</f>
        <v>25</v>
      </c>
      <c r="C292" s="19" t="n">
        <f aca="false">Age+B292-1</f>
        <v>86</v>
      </c>
      <c r="D292" s="20" t="n">
        <f aca="false">MonthlyExp*(1+Inflation)^(B292-1)</f>
        <v>253618.347669294</v>
      </c>
      <c r="E292" s="20" t="n">
        <f aca="false">J291</f>
        <v>5424881.26546184</v>
      </c>
      <c r="F292" s="20" t="n">
        <f aca="false">E292*B1Ret/12</f>
        <v>31645.140715194</v>
      </c>
      <c r="G292" s="20" t="n">
        <f aca="false">D292</f>
        <v>253618.347669294</v>
      </c>
      <c r="H292" s="20" t="n">
        <v>0</v>
      </c>
      <c r="I292" s="20" t="n">
        <f aca="false">H292</f>
        <v>0</v>
      </c>
      <c r="J292" s="20" t="n">
        <f aca="false">E292+F292-G292+I292</f>
        <v>5202908.05850774</v>
      </c>
      <c r="K292" s="20" t="n">
        <f aca="false">O291</f>
        <v>14988710.6990093</v>
      </c>
      <c r="L292" s="20" t="n">
        <f aca="false">K292*B2Ret/12</f>
        <v>112415.33024257</v>
      </c>
      <c r="M292" s="20" t="n">
        <f aca="false">-I292</f>
        <v>-0</v>
      </c>
      <c r="N292" s="20" t="n">
        <v>0</v>
      </c>
      <c r="O292" s="20" t="n">
        <f aca="false">K292+L292+M292+N292</f>
        <v>15101126.0292519</v>
      </c>
      <c r="P292" s="20" t="n">
        <f aca="false">S291</f>
        <v>101863965.007254</v>
      </c>
      <c r="Q292" s="20" t="n">
        <f aca="false">P292*B3Ret/12</f>
        <v>933753.012566499</v>
      </c>
      <c r="R292" s="20" t="n">
        <f aca="false">-N292</f>
        <v>-0</v>
      </c>
      <c r="S292" s="20" t="n">
        <f aca="false">P292+Q292+R292</f>
        <v>102797718.019821</v>
      </c>
      <c r="T292" s="20" t="n">
        <f aca="false">J292+O292+S292</f>
        <v>123101752.107581</v>
      </c>
    </row>
    <row r="293" customFormat="false" ht="15" hidden="false" customHeight="false" outlineLevel="0" collapsed="false">
      <c r="A293" s="19" t="n">
        <v>292</v>
      </c>
      <c r="B293" s="19" t="n">
        <f aca="false">ROUNDUP(A293/12,0)</f>
        <v>25</v>
      </c>
      <c r="C293" s="19" t="n">
        <f aca="false">Age+B293-1</f>
        <v>86</v>
      </c>
      <c r="D293" s="20" t="n">
        <f aca="false">MonthlyExp*(1+Inflation)^(B293-1)</f>
        <v>253618.347669294</v>
      </c>
      <c r="E293" s="20" t="n">
        <f aca="false">J292</f>
        <v>5202908.05850774</v>
      </c>
      <c r="F293" s="20" t="n">
        <f aca="false">E293*B1Ret/12</f>
        <v>30350.2970079618</v>
      </c>
      <c r="G293" s="20" t="n">
        <f aca="false">D293</f>
        <v>253618.347669294</v>
      </c>
      <c r="H293" s="20" t="n">
        <v>0</v>
      </c>
      <c r="I293" s="20" t="n">
        <f aca="false">H293</f>
        <v>0</v>
      </c>
      <c r="J293" s="20" t="n">
        <f aca="false">E293+F293-G293+I293</f>
        <v>4979640.0078464</v>
      </c>
      <c r="K293" s="20" t="n">
        <f aca="false">O292</f>
        <v>15101126.0292519</v>
      </c>
      <c r="L293" s="20" t="n">
        <f aca="false">K293*B2Ret/12</f>
        <v>113258.445219389</v>
      </c>
      <c r="M293" s="20" t="n">
        <f aca="false">-I293</f>
        <v>-0</v>
      </c>
      <c r="N293" s="20" t="n">
        <v>0</v>
      </c>
      <c r="O293" s="20" t="n">
        <f aca="false">K293+L293+M293+N293</f>
        <v>15214384.4744713</v>
      </c>
      <c r="P293" s="20" t="n">
        <f aca="false">S292</f>
        <v>102797718.019821</v>
      </c>
      <c r="Q293" s="20" t="n">
        <f aca="false">P293*B3Ret/12</f>
        <v>942312.415181692</v>
      </c>
      <c r="R293" s="20" t="n">
        <f aca="false">-N293</f>
        <v>-0</v>
      </c>
      <c r="S293" s="20" t="n">
        <f aca="false">P293+Q293+R293</f>
        <v>103740030.435003</v>
      </c>
      <c r="T293" s="20" t="n">
        <f aca="false">J293+O293+S293</f>
        <v>123934054.91732</v>
      </c>
    </row>
    <row r="294" customFormat="false" ht="15" hidden="false" customHeight="false" outlineLevel="0" collapsed="false">
      <c r="A294" s="19" t="n">
        <v>293</v>
      </c>
      <c r="B294" s="19" t="n">
        <f aca="false">ROUNDUP(A294/12,0)</f>
        <v>25</v>
      </c>
      <c r="C294" s="19" t="n">
        <f aca="false">Age+B294-1</f>
        <v>86</v>
      </c>
      <c r="D294" s="20" t="n">
        <f aca="false">MonthlyExp*(1+Inflation)^(B294-1)</f>
        <v>253618.347669294</v>
      </c>
      <c r="E294" s="20" t="n">
        <f aca="false">J293</f>
        <v>4979640.0078464</v>
      </c>
      <c r="F294" s="20" t="n">
        <f aca="false">E294*B1Ret/12</f>
        <v>29047.9000457707</v>
      </c>
      <c r="G294" s="20" t="n">
        <f aca="false">D294</f>
        <v>253618.347669294</v>
      </c>
      <c r="H294" s="20" t="n">
        <v>0</v>
      </c>
      <c r="I294" s="20" t="n">
        <f aca="false">H294</f>
        <v>0</v>
      </c>
      <c r="J294" s="20" t="n">
        <f aca="false">E294+F294-G294+I294</f>
        <v>4755069.56022288</v>
      </c>
      <c r="K294" s="20" t="n">
        <f aca="false">O293</f>
        <v>15214384.4744713</v>
      </c>
      <c r="L294" s="20" t="n">
        <f aca="false">K294*B2Ret/12</f>
        <v>114107.883558535</v>
      </c>
      <c r="M294" s="20" t="n">
        <f aca="false">-I294</f>
        <v>-0</v>
      </c>
      <c r="N294" s="20" t="n">
        <v>0</v>
      </c>
      <c r="O294" s="20" t="n">
        <f aca="false">K294+L294+M294+N294</f>
        <v>15328492.3580298</v>
      </c>
      <c r="P294" s="20" t="n">
        <f aca="false">S293</f>
        <v>103740030.435003</v>
      </c>
      <c r="Q294" s="20" t="n">
        <f aca="false">P294*B3Ret/12</f>
        <v>950950.278987524</v>
      </c>
      <c r="R294" s="20" t="n">
        <f aca="false">-N294</f>
        <v>-0</v>
      </c>
      <c r="S294" s="20" t="n">
        <f aca="false">P294+Q294+R294</f>
        <v>104690980.71399</v>
      </c>
      <c r="T294" s="20" t="n">
        <f aca="false">J294+O294+S294</f>
        <v>124774542.632243</v>
      </c>
    </row>
    <row r="295" customFormat="false" ht="15" hidden="false" customHeight="false" outlineLevel="0" collapsed="false">
      <c r="A295" s="19" t="n">
        <v>294</v>
      </c>
      <c r="B295" s="19" t="n">
        <f aca="false">ROUNDUP(A295/12,0)</f>
        <v>25</v>
      </c>
      <c r="C295" s="19" t="n">
        <f aca="false">Age+B295-1</f>
        <v>86</v>
      </c>
      <c r="D295" s="20" t="n">
        <f aca="false">MonthlyExp*(1+Inflation)^(B295-1)</f>
        <v>253618.347669294</v>
      </c>
      <c r="E295" s="20" t="n">
        <f aca="false">J294</f>
        <v>4755069.56022288</v>
      </c>
      <c r="F295" s="20" t="n">
        <f aca="false">E295*B1Ret/12</f>
        <v>27737.9057679668</v>
      </c>
      <c r="G295" s="20" t="n">
        <f aca="false">D295</f>
        <v>253618.347669294</v>
      </c>
      <c r="H295" s="20" t="n">
        <v>0</v>
      </c>
      <c r="I295" s="20" t="n">
        <f aca="false">H295</f>
        <v>0</v>
      </c>
      <c r="J295" s="20" t="n">
        <f aca="false">E295+F295-G295+I295</f>
        <v>4529189.11832155</v>
      </c>
      <c r="K295" s="20" t="n">
        <f aca="false">O294</f>
        <v>15328492.3580298</v>
      </c>
      <c r="L295" s="20" t="n">
        <f aca="false">K295*B2Ret/12</f>
        <v>114963.692685224</v>
      </c>
      <c r="M295" s="20" t="n">
        <f aca="false">-I295</f>
        <v>-0</v>
      </c>
      <c r="N295" s="20" t="n">
        <v>0</v>
      </c>
      <c r="O295" s="20" t="n">
        <f aca="false">K295+L295+M295+N295</f>
        <v>15443456.050715</v>
      </c>
      <c r="P295" s="20" t="n">
        <f aca="false">S294</f>
        <v>104690980.71399</v>
      </c>
      <c r="Q295" s="20" t="n">
        <f aca="false">P295*B3Ret/12</f>
        <v>959667.323211577</v>
      </c>
      <c r="R295" s="20" t="n">
        <f aca="false">-N295</f>
        <v>-0</v>
      </c>
      <c r="S295" s="20" t="n">
        <f aca="false">P295+Q295+R295</f>
        <v>105650648.037202</v>
      </c>
      <c r="T295" s="20" t="n">
        <f aca="false">J295+O295+S295</f>
        <v>125623293.206238</v>
      </c>
    </row>
    <row r="296" customFormat="false" ht="15" hidden="false" customHeight="false" outlineLevel="0" collapsed="false">
      <c r="A296" s="19" t="n">
        <v>295</v>
      </c>
      <c r="B296" s="19" t="n">
        <f aca="false">ROUNDUP(A296/12,0)</f>
        <v>25</v>
      </c>
      <c r="C296" s="19" t="n">
        <f aca="false">Age+B296-1</f>
        <v>86</v>
      </c>
      <c r="D296" s="20" t="n">
        <f aca="false">MonthlyExp*(1+Inflation)^(B296-1)</f>
        <v>253618.347669294</v>
      </c>
      <c r="E296" s="20" t="n">
        <f aca="false">J295</f>
        <v>4529189.11832155</v>
      </c>
      <c r="F296" s="20" t="n">
        <f aca="false">E296*B1Ret/12</f>
        <v>26420.2698568757</v>
      </c>
      <c r="G296" s="20" t="n">
        <f aca="false">D296</f>
        <v>253618.347669294</v>
      </c>
      <c r="H296" s="20" t="n">
        <v>0</v>
      </c>
      <c r="I296" s="20" t="n">
        <f aca="false">H296</f>
        <v>0</v>
      </c>
      <c r="J296" s="20" t="n">
        <f aca="false">E296+F296-G296+I296</f>
        <v>4301991.04050913</v>
      </c>
      <c r="K296" s="20" t="n">
        <f aca="false">O295</f>
        <v>15443456.050715</v>
      </c>
      <c r="L296" s="20" t="n">
        <f aca="false">K296*B2Ret/12</f>
        <v>115825.920380363</v>
      </c>
      <c r="M296" s="20" t="n">
        <f aca="false">-I296</f>
        <v>-0</v>
      </c>
      <c r="N296" s="20" t="n">
        <v>0</v>
      </c>
      <c r="O296" s="20" t="n">
        <f aca="false">K296+L296+M296+N296</f>
        <v>15559281.9710954</v>
      </c>
      <c r="P296" s="20" t="n">
        <f aca="false">S295</f>
        <v>105650648.037202</v>
      </c>
      <c r="Q296" s="20" t="n">
        <f aca="false">P296*B3Ret/12</f>
        <v>968464.273674349</v>
      </c>
      <c r="R296" s="20" t="n">
        <f aca="false">-N296</f>
        <v>-0</v>
      </c>
      <c r="S296" s="20" t="n">
        <f aca="false">P296+Q296+R296</f>
        <v>106619112.310876</v>
      </c>
      <c r="T296" s="20" t="n">
        <f aca="false">J296+O296+S296</f>
        <v>126480385.322481</v>
      </c>
    </row>
    <row r="297" customFormat="false" ht="15" hidden="false" customHeight="false" outlineLevel="0" collapsed="false">
      <c r="A297" s="19" t="n">
        <v>296</v>
      </c>
      <c r="B297" s="19" t="n">
        <f aca="false">ROUNDUP(A297/12,0)</f>
        <v>25</v>
      </c>
      <c r="C297" s="19" t="n">
        <f aca="false">Age+B297-1</f>
        <v>86</v>
      </c>
      <c r="D297" s="20" t="n">
        <f aca="false">MonthlyExp*(1+Inflation)^(B297-1)</f>
        <v>253618.347669294</v>
      </c>
      <c r="E297" s="20" t="n">
        <f aca="false">J296</f>
        <v>4301991.04050913</v>
      </c>
      <c r="F297" s="20" t="n">
        <f aca="false">E297*B1Ret/12</f>
        <v>25094.9477363033</v>
      </c>
      <c r="G297" s="20" t="n">
        <f aca="false">D297</f>
        <v>253618.347669294</v>
      </c>
      <c r="H297" s="20" t="n">
        <v>0</v>
      </c>
      <c r="I297" s="20" t="n">
        <f aca="false">H297</f>
        <v>0</v>
      </c>
      <c r="J297" s="20" t="n">
        <f aca="false">E297+F297-G297+I297</f>
        <v>4073467.64057614</v>
      </c>
      <c r="K297" s="20" t="n">
        <f aca="false">O296</f>
        <v>15559281.9710954</v>
      </c>
      <c r="L297" s="20" t="n">
        <f aca="false">K297*B2Ret/12</f>
        <v>116694.614783216</v>
      </c>
      <c r="M297" s="20" t="n">
        <f aca="false">-I297</f>
        <v>-0</v>
      </c>
      <c r="N297" s="20" t="n">
        <v>0</v>
      </c>
      <c r="O297" s="20" t="n">
        <f aca="false">K297+L297+M297+N297</f>
        <v>15675976.5858786</v>
      </c>
      <c r="P297" s="20" t="n">
        <f aca="false">S296</f>
        <v>106619112.310876</v>
      </c>
      <c r="Q297" s="20" t="n">
        <f aca="false">P297*B3Ret/12</f>
        <v>977341.862849698</v>
      </c>
      <c r="R297" s="20" t="n">
        <f aca="false">-N297</f>
        <v>-0</v>
      </c>
      <c r="S297" s="20" t="n">
        <f aca="false">P297+Q297+R297</f>
        <v>107596454.173726</v>
      </c>
      <c r="T297" s="20" t="n">
        <f aca="false">J297+O297+S297</f>
        <v>127345898.400181</v>
      </c>
    </row>
    <row r="298" customFormat="false" ht="15" hidden="false" customHeight="false" outlineLevel="0" collapsed="false">
      <c r="A298" s="19" t="n">
        <v>297</v>
      </c>
      <c r="B298" s="19" t="n">
        <f aca="false">ROUNDUP(A298/12,0)</f>
        <v>25</v>
      </c>
      <c r="C298" s="19" t="n">
        <f aca="false">Age+B298-1</f>
        <v>86</v>
      </c>
      <c r="D298" s="20" t="n">
        <f aca="false">MonthlyExp*(1+Inflation)^(B298-1)</f>
        <v>253618.347669294</v>
      </c>
      <c r="E298" s="20" t="n">
        <f aca="false">J297</f>
        <v>4073467.64057614</v>
      </c>
      <c r="F298" s="20" t="n">
        <f aca="false">E298*B1Ret/12</f>
        <v>23761.8945700275</v>
      </c>
      <c r="G298" s="20" t="n">
        <f aca="false">D298</f>
        <v>253618.347669294</v>
      </c>
      <c r="H298" s="20" t="n">
        <v>0</v>
      </c>
      <c r="I298" s="20" t="n">
        <f aca="false">H298</f>
        <v>0</v>
      </c>
      <c r="J298" s="20" t="n">
        <f aca="false">E298+F298-G298+I298</f>
        <v>3843611.18747688</v>
      </c>
      <c r="K298" s="20" t="n">
        <f aca="false">O297</f>
        <v>15675976.5858786</v>
      </c>
      <c r="L298" s="20" t="n">
        <f aca="false">K298*B2Ret/12</f>
        <v>117569.82439409</v>
      </c>
      <c r="M298" s="20" t="n">
        <f aca="false">-I298</f>
        <v>-0</v>
      </c>
      <c r="N298" s="20" t="n">
        <v>0</v>
      </c>
      <c r="O298" s="20" t="n">
        <f aca="false">K298+L298+M298+N298</f>
        <v>15793546.4102727</v>
      </c>
      <c r="P298" s="20" t="n">
        <f aca="false">S297</f>
        <v>107596454.173726</v>
      </c>
      <c r="Q298" s="20" t="n">
        <f aca="false">P298*B3Ret/12</f>
        <v>986300.82992582</v>
      </c>
      <c r="R298" s="20" t="n">
        <f aca="false">-N298</f>
        <v>-0</v>
      </c>
      <c r="S298" s="20" t="n">
        <f aca="false">P298+Q298+R298</f>
        <v>108582755.003652</v>
      </c>
      <c r="T298" s="20" t="n">
        <f aca="false">J298+O298+S298</f>
        <v>128219912.601401</v>
      </c>
    </row>
    <row r="299" customFormat="false" ht="15" hidden="false" customHeight="false" outlineLevel="0" collapsed="false">
      <c r="A299" s="19" t="n">
        <v>298</v>
      </c>
      <c r="B299" s="19" t="n">
        <f aca="false">ROUNDUP(A299/12,0)</f>
        <v>25</v>
      </c>
      <c r="C299" s="19" t="n">
        <f aca="false">Age+B299-1</f>
        <v>86</v>
      </c>
      <c r="D299" s="20" t="n">
        <f aca="false">MonthlyExp*(1+Inflation)^(B299-1)</f>
        <v>253618.347669294</v>
      </c>
      <c r="E299" s="20" t="n">
        <f aca="false">J298</f>
        <v>3843611.18747688</v>
      </c>
      <c r="F299" s="20" t="n">
        <f aca="false">E299*B1Ret/12</f>
        <v>22421.0652602818</v>
      </c>
      <c r="G299" s="20" t="n">
        <f aca="false">D299</f>
        <v>253618.347669294</v>
      </c>
      <c r="H299" s="20" t="n">
        <v>0</v>
      </c>
      <c r="I299" s="20" t="n">
        <f aca="false">H299</f>
        <v>0</v>
      </c>
      <c r="J299" s="20" t="n">
        <f aca="false">E299+F299-G299+I299</f>
        <v>3612413.90506786</v>
      </c>
      <c r="K299" s="20" t="n">
        <f aca="false">O298</f>
        <v>15793546.4102727</v>
      </c>
      <c r="L299" s="20" t="n">
        <f aca="false">K299*B2Ret/12</f>
        <v>118451.598077045</v>
      </c>
      <c r="M299" s="20" t="n">
        <f aca="false">-I299</f>
        <v>-0</v>
      </c>
      <c r="N299" s="20" t="n">
        <v>0</v>
      </c>
      <c r="O299" s="20" t="n">
        <f aca="false">K299+L299+M299+N299</f>
        <v>15911998.0083498</v>
      </c>
      <c r="P299" s="20" t="n">
        <f aca="false">S298</f>
        <v>108582755.003652</v>
      </c>
      <c r="Q299" s="20" t="n">
        <f aca="false">P299*B3Ret/12</f>
        <v>995341.920866807</v>
      </c>
      <c r="R299" s="20" t="n">
        <f aca="false">-N299</f>
        <v>-0</v>
      </c>
      <c r="S299" s="20" t="n">
        <f aca="false">P299+Q299+R299</f>
        <v>109578096.924518</v>
      </c>
      <c r="T299" s="20" t="n">
        <f aca="false">J299+O299+S299</f>
        <v>129102508.837936</v>
      </c>
    </row>
    <row r="300" customFormat="false" ht="15" hidden="false" customHeight="false" outlineLevel="0" collapsed="false">
      <c r="A300" s="19" t="n">
        <v>299</v>
      </c>
      <c r="B300" s="19" t="n">
        <f aca="false">ROUNDUP(A300/12,0)</f>
        <v>25</v>
      </c>
      <c r="C300" s="19" t="n">
        <f aca="false">Age+B300-1</f>
        <v>86</v>
      </c>
      <c r="D300" s="20" t="n">
        <f aca="false">MonthlyExp*(1+Inflation)^(B300-1)</f>
        <v>253618.347669294</v>
      </c>
      <c r="E300" s="20" t="n">
        <f aca="false">J299</f>
        <v>3612413.90506786</v>
      </c>
      <c r="F300" s="20" t="n">
        <f aca="false">E300*B1Ret/12</f>
        <v>21072.4144462292</v>
      </c>
      <c r="G300" s="20" t="n">
        <f aca="false">D300</f>
        <v>253618.347669294</v>
      </c>
      <c r="H300" s="20" t="n">
        <v>0</v>
      </c>
      <c r="I300" s="20" t="n">
        <f aca="false">H300</f>
        <v>0</v>
      </c>
      <c r="J300" s="20" t="n">
        <f aca="false">E300+F300-G300+I300</f>
        <v>3379867.9718448</v>
      </c>
      <c r="K300" s="20" t="n">
        <f aca="false">O299</f>
        <v>15911998.0083498</v>
      </c>
      <c r="L300" s="20" t="n">
        <f aca="false">K300*B2Ret/12</f>
        <v>119339.985062623</v>
      </c>
      <c r="M300" s="20" t="n">
        <f aca="false">-I300</f>
        <v>-0</v>
      </c>
      <c r="N300" s="20" t="n">
        <v>0</v>
      </c>
      <c r="O300" s="20" t="n">
        <f aca="false">K300+L300+M300+N300</f>
        <v>16031337.9934124</v>
      </c>
      <c r="P300" s="20" t="n">
        <f aca="false">S299</f>
        <v>109578096.924518</v>
      </c>
      <c r="Q300" s="20" t="n">
        <f aca="false">P300*B3Ret/12</f>
        <v>1004465.88847475</v>
      </c>
      <c r="R300" s="20" t="n">
        <f aca="false">-N300</f>
        <v>-0</v>
      </c>
      <c r="S300" s="20" t="n">
        <f aca="false">P300+Q300+R300</f>
        <v>110582562.812993</v>
      </c>
      <c r="T300" s="20" t="n">
        <f aca="false">J300+O300+S300</f>
        <v>129993768.77825</v>
      </c>
    </row>
    <row r="301" customFormat="false" ht="15" hidden="false" customHeight="false" outlineLevel="0" collapsed="false">
      <c r="A301" s="19" t="n">
        <v>300</v>
      </c>
      <c r="B301" s="19" t="n">
        <f aca="false">ROUNDUP(A301/12,0)</f>
        <v>25</v>
      </c>
      <c r="C301" s="19" t="n">
        <f aca="false">Age+B301-1</f>
        <v>86</v>
      </c>
      <c r="D301" s="20" t="n">
        <f aca="false">MonthlyExp*(1+Inflation)^(B301-1)</f>
        <v>253618.347669294</v>
      </c>
      <c r="E301" s="20" t="n">
        <f aca="false">J300</f>
        <v>3379867.9718448</v>
      </c>
      <c r="F301" s="20" t="n">
        <f aca="false">E301*B1Ret/12</f>
        <v>19715.896502428</v>
      </c>
      <c r="G301" s="20" t="n">
        <f aca="false">D301</f>
        <v>253618.347669294</v>
      </c>
      <c r="H301" s="20" t="n">
        <f aca="false">MAX(SUM(D302:D361)-(E301+F301-G301),0)</f>
        <v>15581083.6439433</v>
      </c>
      <c r="I301" s="20" t="n">
        <f aca="false">H301</f>
        <v>15581083.6439433</v>
      </c>
      <c r="J301" s="20" t="n">
        <f aca="false">E301+F301-G301+I301</f>
        <v>18727049.1646212</v>
      </c>
      <c r="K301" s="20" t="n">
        <f aca="false">O300</f>
        <v>16031337.9934124</v>
      </c>
      <c r="L301" s="20" t="n">
        <f aca="false">K301*B2Ret/12</f>
        <v>120235.034950593</v>
      </c>
      <c r="M301" s="20" t="n">
        <f aca="false">-I301</f>
        <v>-15581083.6439433</v>
      </c>
      <c r="N301" s="20" t="n">
        <f aca="false">H301</f>
        <v>15581083.6439433</v>
      </c>
      <c r="O301" s="20" t="n">
        <f aca="false">K301+L301+M301+N301</f>
        <v>16151573.028363</v>
      </c>
      <c r="P301" s="20" t="n">
        <f aca="false">S300</f>
        <v>110582562.812993</v>
      </c>
      <c r="Q301" s="20" t="n">
        <f aca="false">P301*B3Ret/12</f>
        <v>1013673.49245244</v>
      </c>
      <c r="R301" s="20" t="n">
        <f aca="false">-N301</f>
        <v>-15581083.6439433</v>
      </c>
      <c r="S301" s="20" t="n">
        <f aca="false">P301+Q301+R301</f>
        <v>96015152.6615023</v>
      </c>
      <c r="T301" s="20" t="n">
        <f aca="false">J301+O301+S301</f>
        <v>130893774.854487</v>
      </c>
    </row>
    <row r="302" customFormat="false" ht="15" hidden="false" customHeight="false" outlineLevel="0" collapsed="false">
      <c r="A302" s="19" t="n">
        <v>301</v>
      </c>
      <c r="B302" s="19" t="n">
        <f aca="false">ROUNDUP(A302/12,0)</f>
        <v>26</v>
      </c>
      <c r="C302" s="19" t="n">
        <f aca="false">Age+B302-1</f>
        <v>87</v>
      </c>
      <c r="D302" s="20" t="n">
        <f aca="false">MonthlyExp*(1+Inflation)^(B302-1)</f>
        <v>271371.632006145</v>
      </c>
      <c r="E302" s="20" t="n">
        <f aca="false">J301</f>
        <v>18727049.1646212</v>
      </c>
      <c r="F302" s="20" t="n">
        <f aca="false">E302*B1Ret/12</f>
        <v>109241.120126957</v>
      </c>
      <c r="G302" s="20" t="n">
        <f aca="false">D302</f>
        <v>271371.632006145</v>
      </c>
      <c r="H302" s="20" t="n">
        <v>0</v>
      </c>
      <c r="I302" s="20" t="n">
        <f aca="false">H302</f>
        <v>0</v>
      </c>
      <c r="J302" s="20" t="n">
        <f aca="false">E302+F302-G302+I302</f>
        <v>18564918.652742</v>
      </c>
      <c r="K302" s="20" t="n">
        <f aca="false">O301</f>
        <v>16151573.028363</v>
      </c>
      <c r="L302" s="20" t="n">
        <f aca="false">K302*B2Ret/12</f>
        <v>121136.797712722</v>
      </c>
      <c r="M302" s="20" t="n">
        <f aca="false">-I302</f>
        <v>-0</v>
      </c>
      <c r="N302" s="20" t="n">
        <v>0</v>
      </c>
      <c r="O302" s="20" t="n">
        <f aca="false">K302+L302+M302+N302</f>
        <v>16272709.8260757</v>
      </c>
      <c r="P302" s="20" t="n">
        <f aca="false">S301</f>
        <v>96015152.6615023</v>
      </c>
      <c r="Q302" s="20" t="n">
        <f aca="false">P302*B3Ret/12</f>
        <v>880138.899397105</v>
      </c>
      <c r="R302" s="20" t="n">
        <f aca="false">-N302</f>
        <v>-0</v>
      </c>
      <c r="S302" s="20" t="n">
        <f aca="false">P302+Q302+R302</f>
        <v>96895291.5608994</v>
      </c>
      <c r="T302" s="20" t="n">
        <f aca="false">J302+O302+S302</f>
        <v>131732920.039717</v>
      </c>
    </row>
    <row r="303" customFormat="false" ht="15" hidden="false" customHeight="false" outlineLevel="0" collapsed="false">
      <c r="A303" s="19" t="n">
        <v>302</v>
      </c>
      <c r="B303" s="19" t="n">
        <f aca="false">ROUNDUP(A303/12,0)</f>
        <v>26</v>
      </c>
      <c r="C303" s="19" t="n">
        <f aca="false">Age+B303-1</f>
        <v>87</v>
      </c>
      <c r="D303" s="20" t="n">
        <f aca="false">MonthlyExp*(1+Inflation)^(B303-1)</f>
        <v>271371.632006145</v>
      </c>
      <c r="E303" s="20" t="n">
        <f aca="false">J302</f>
        <v>18564918.652742</v>
      </c>
      <c r="F303" s="20" t="n">
        <f aca="false">E303*B1Ret/12</f>
        <v>108295.358807662</v>
      </c>
      <c r="G303" s="20" t="n">
        <f aca="false">D303</f>
        <v>271371.632006145</v>
      </c>
      <c r="H303" s="20" t="n">
        <v>0</v>
      </c>
      <c r="I303" s="20" t="n">
        <f aca="false">H303</f>
        <v>0</v>
      </c>
      <c r="J303" s="20" t="n">
        <f aca="false">E303+F303-G303+I303</f>
        <v>18401842.3795436</v>
      </c>
      <c r="K303" s="20" t="n">
        <f aca="false">O302</f>
        <v>16272709.8260757</v>
      </c>
      <c r="L303" s="20" t="n">
        <f aca="false">K303*B2Ret/12</f>
        <v>122045.323695568</v>
      </c>
      <c r="M303" s="20" t="n">
        <f aca="false">-I303</f>
        <v>-0</v>
      </c>
      <c r="N303" s="20" t="n">
        <v>0</v>
      </c>
      <c r="O303" s="20" t="n">
        <f aca="false">K303+L303+M303+N303</f>
        <v>16394755.1497713</v>
      </c>
      <c r="P303" s="20" t="n">
        <f aca="false">S302</f>
        <v>96895291.5608994</v>
      </c>
      <c r="Q303" s="20" t="n">
        <f aca="false">P303*B3Ret/12</f>
        <v>888206.839308245</v>
      </c>
      <c r="R303" s="20" t="n">
        <f aca="false">-N303</f>
        <v>-0</v>
      </c>
      <c r="S303" s="20" t="n">
        <f aca="false">P303+Q303+R303</f>
        <v>97783498.4002077</v>
      </c>
      <c r="T303" s="20" t="n">
        <f aca="false">J303+O303+S303</f>
        <v>132580095.929523</v>
      </c>
    </row>
    <row r="304" customFormat="false" ht="15" hidden="false" customHeight="false" outlineLevel="0" collapsed="false">
      <c r="A304" s="19" t="n">
        <v>303</v>
      </c>
      <c r="B304" s="19" t="n">
        <f aca="false">ROUNDUP(A304/12,0)</f>
        <v>26</v>
      </c>
      <c r="C304" s="19" t="n">
        <f aca="false">Age+B304-1</f>
        <v>87</v>
      </c>
      <c r="D304" s="20" t="n">
        <f aca="false">MonthlyExp*(1+Inflation)^(B304-1)</f>
        <v>271371.632006145</v>
      </c>
      <c r="E304" s="20" t="n">
        <f aca="false">J303</f>
        <v>18401842.3795436</v>
      </c>
      <c r="F304" s="20" t="n">
        <f aca="false">E304*B1Ret/12</f>
        <v>107344.080547337</v>
      </c>
      <c r="G304" s="20" t="n">
        <f aca="false">D304</f>
        <v>271371.632006145</v>
      </c>
      <c r="H304" s="20" t="n">
        <v>0</v>
      </c>
      <c r="I304" s="20" t="n">
        <f aca="false">H304</f>
        <v>0</v>
      </c>
      <c r="J304" s="20" t="n">
        <f aca="false">E304+F304-G304+I304</f>
        <v>18237814.8280847</v>
      </c>
      <c r="K304" s="20" t="n">
        <f aca="false">O303</f>
        <v>16394755.1497713</v>
      </c>
      <c r="L304" s="20" t="n">
        <f aca="false">K304*B2Ret/12</f>
        <v>122960.663623285</v>
      </c>
      <c r="M304" s="20" t="n">
        <f aca="false">-I304</f>
        <v>-0</v>
      </c>
      <c r="N304" s="20" t="n">
        <v>0</v>
      </c>
      <c r="O304" s="20" t="n">
        <f aca="false">K304+L304+M304+N304</f>
        <v>16517715.8133946</v>
      </c>
      <c r="P304" s="20" t="n">
        <f aca="false">S303</f>
        <v>97783498.4002077</v>
      </c>
      <c r="Q304" s="20" t="n">
        <f aca="false">P304*B3Ret/12</f>
        <v>896348.735335237</v>
      </c>
      <c r="R304" s="20" t="n">
        <f aca="false">-N304</f>
        <v>-0</v>
      </c>
      <c r="S304" s="20" t="n">
        <f aca="false">P304+Q304+R304</f>
        <v>98679847.1355429</v>
      </c>
      <c r="T304" s="20" t="n">
        <f aca="false">J304+O304+S304</f>
        <v>133435377.777022</v>
      </c>
    </row>
    <row r="305" customFormat="false" ht="15" hidden="false" customHeight="false" outlineLevel="0" collapsed="false">
      <c r="A305" s="19" t="n">
        <v>304</v>
      </c>
      <c r="B305" s="19" t="n">
        <f aca="false">ROUNDUP(A305/12,0)</f>
        <v>26</v>
      </c>
      <c r="C305" s="19" t="n">
        <f aca="false">Age+B305-1</f>
        <v>87</v>
      </c>
      <c r="D305" s="20" t="n">
        <f aca="false">MonthlyExp*(1+Inflation)^(B305-1)</f>
        <v>271371.632006145</v>
      </c>
      <c r="E305" s="20" t="n">
        <f aca="false">J304</f>
        <v>18237814.8280847</v>
      </c>
      <c r="F305" s="20" t="n">
        <f aca="false">E305*B1Ret/12</f>
        <v>106387.253163828</v>
      </c>
      <c r="G305" s="20" t="n">
        <f aca="false">D305</f>
        <v>271371.632006145</v>
      </c>
      <c r="H305" s="20" t="n">
        <v>0</v>
      </c>
      <c r="I305" s="20" t="n">
        <f aca="false">H305</f>
        <v>0</v>
      </c>
      <c r="J305" s="20" t="n">
        <f aca="false">E305+F305-G305+I305</f>
        <v>18072830.4492424</v>
      </c>
      <c r="K305" s="20" t="n">
        <f aca="false">O304</f>
        <v>16517715.8133946</v>
      </c>
      <c r="L305" s="20" t="n">
        <f aca="false">K305*B2Ret/12</f>
        <v>123882.868600459</v>
      </c>
      <c r="M305" s="20" t="n">
        <f aca="false">-I305</f>
        <v>-0</v>
      </c>
      <c r="N305" s="20" t="n">
        <v>0</v>
      </c>
      <c r="O305" s="20" t="n">
        <f aca="false">K305+L305+M305+N305</f>
        <v>16641598.681995</v>
      </c>
      <c r="P305" s="20" t="n">
        <f aca="false">S304</f>
        <v>98679847.1355429</v>
      </c>
      <c r="Q305" s="20" t="n">
        <f aca="false">P305*B3Ret/12</f>
        <v>904565.265409143</v>
      </c>
      <c r="R305" s="20" t="n">
        <f aca="false">-N305</f>
        <v>-0</v>
      </c>
      <c r="S305" s="20" t="n">
        <f aca="false">P305+Q305+R305</f>
        <v>99584412.4009521</v>
      </c>
      <c r="T305" s="20" t="n">
        <f aca="false">J305+O305+S305</f>
        <v>134298841.53219</v>
      </c>
    </row>
    <row r="306" customFormat="false" ht="15" hidden="false" customHeight="false" outlineLevel="0" collapsed="false">
      <c r="A306" s="19" t="n">
        <v>305</v>
      </c>
      <c r="B306" s="19" t="n">
        <f aca="false">ROUNDUP(A306/12,0)</f>
        <v>26</v>
      </c>
      <c r="C306" s="19" t="n">
        <f aca="false">Age+B306-1</f>
        <v>87</v>
      </c>
      <c r="D306" s="20" t="n">
        <f aca="false">MonthlyExp*(1+Inflation)^(B306-1)</f>
        <v>271371.632006145</v>
      </c>
      <c r="E306" s="20" t="n">
        <f aca="false">J305</f>
        <v>18072830.4492424</v>
      </c>
      <c r="F306" s="20" t="n">
        <f aca="false">E306*B1Ret/12</f>
        <v>105424.844287248</v>
      </c>
      <c r="G306" s="20" t="n">
        <f aca="false">D306</f>
        <v>271371.632006145</v>
      </c>
      <c r="H306" s="20" t="n">
        <v>0</v>
      </c>
      <c r="I306" s="20" t="n">
        <f aca="false">H306</f>
        <v>0</v>
      </c>
      <c r="J306" s="20" t="n">
        <f aca="false">E306+F306-G306+I306</f>
        <v>17906883.6615235</v>
      </c>
      <c r="K306" s="20" t="n">
        <f aca="false">O305</f>
        <v>16641598.681995</v>
      </c>
      <c r="L306" s="20" t="n">
        <f aca="false">K306*B2Ret/12</f>
        <v>124811.990114963</v>
      </c>
      <c r="M306" s="20" t="n">
        <f aca="false">-I306</f>
        <v>-0</v>
      </c>
      <c r="N306" s="20" t="n">
        <v>0</v>
      </c>
      <c r="O306" s="20" t="n">
        <f aca="false">K306+L306+M306+N306</f>
        <v>16766410.67211</v>
      </c>
      <c r="P306" s="20" t="n">
        <f aca="false">S305</f>
        <v>99584412.4009521</v>
      </c>
      <c r="Q306" s="20" t="n">
        <f aca="false">P306*B3Ret/12</f>
        <v>912857.113675394</v>
      </c>
      <c r="R306" s="20" t="n">
        <f aca="false">-N306</f>
        <v>-0</v>
      </c>
      <c r="S306" s="20" t="n">
        <f aca="false">P306+Q306+R306</f>
        <v>100497269.514627</v>
      </c>
      <c r="T306" s="20" t="n">
        <f aca="false">J306+O306+S306</f>
        <v>135170563.848261</v>
      </c>
    </row>
    <row r="307" customFormat="false" ht="15" hidden="false" customHeight="false" outlineLevel="0" collapsed="false">
      <c r="A307" s="19" t="n">
        <v>306</v>
      </c>
      <c r="B307" s="19" t="n">
        <f aca="false">ROUNDUP(A307/12,0)</f>
        <v>26</v>
      </c>
      <c r="C307" s="19" t="n">
        <f aca="false">Age+B307-1</f>
        <v>87</v>
      </c>
      <c r="D307" s="20" t="n">
        <f aca="false">MonthlyExp*(1+Inflation)^(B307-1)</f>
        <v>271371.632006145</v>
      </c>
      <c r="E307" s="20" t="n">
        <f aca="false">J306</f>
        <v>17906883.6615235</v>
      </c>
      <c r="F307" s="20" t="n">
        <f aca="false">E307*B1Ret/12</f>
        <v>104456.821358887</v>
      </c>
      <c r="G307" s="20" t="n">
        <f aca="false">D307</f>
        <v>271371.632006145</v>
      </c>
      <c r="H307" s="20" t="n">
        <v>0</v>
      </c>
      <c r="I307" s="20" t="n">
        <f aca="false">H307</f>
        <v>0</v>
      </c>
      <c r="J307" s="20" t="n">
        <f aca="false">E307+F307-G307+I307</f>
        <v>17739968.8508763</v>
      </c>
      <c r="K307" s="20" t="n">
        <f aca="false">O306</f>
        <v>16766410.67211</v>
      </c>
      <c r="L307" s="20" t="n">
        <f aca="false">K307*B2Ret/12</f>
        <v>125748.080040825</v>
      </c>
      <c r="M307" s="20" t="n">
        <f aca="false">-I307</f>
        <v>-0</v>
      </c>
      <c r="N307" s="20" t="n">
        <v>0</v>
      </c>
      <c r="O307" s="20" t="n">
        <f aca="false">K307+L307+M307+N307</f>
        <v>16892158.7521508</v>
      </c>
      <c r="P307" s="20" t="n">
        <f aca="false">S306</f>
        <v>100497269.514627</v>
      </c>
      <c r="Q307" s="20" t="n">
        <f aca="false">P307*B3Ret/12</f>
        <v>921224.970550752</v>
      </c>
      <c r="R307" s="20" t="n">
        <f aca="false">-N307</f>
        <v>-0</v>
      </c>
      <c r="S307" s="20" t="n">
        <f aca="false">P307+Q307+R307</f>
        <v>101418494.485178</v>
      </c>
      <c r="T307" s="20" t="n">
        <f aca="false">J307+O307+S307</f>
        <v>136050622.088205</v>
      </c>
    </row>
    <row r="308" customFormat="false" ht="15" hidden="false" customHeight="false" outlineLevel="0" collapsed="false">
      <c r="A308" s="19" t="n">
        <v>307</v>
      </c>
      <c r="B308" s="19" t="n">
        <f aca="false">ROUNDUP(A308/12,0)</f>
        <v>26</v>
      </c>
      <c r="C308" s="19" t="n">
        <f aca="false">Age+B308-1</f>
        <v>87</v>
      </c>
      <c r="D308" s="20" t="n">
        <f aca="false">MonthlyExp*(1+Inflation)^(B308-1)</f>
        <v>271371.632006145</v>
      </c>
      <c r="E308" s="20" t="n">
        <f aca="false">J307</f>
        <v>17739968.8508763</v>
      </c>
      <c r="F308" s="20" t="n">
        <f aca="false">E308*B1Ret/12</f>
        <v>103483.151630112</v>
      </c>
      <c r="G308" s="20" t="n">
        <f aca="false">D308</f>
        <v>271371.632006145</v>
      </c>
      <c r="H308" s="20" t="n">
        <v>0</v>
      </c>
      <c r="I308" s="20" t="n">
        <f aca="false">H308</f>
        <v>0</v>
      </c>
      <c r="J308" s="20" t="n">
        <f aca="false">E308+F308-G308+I308</f>
        <v>17572080.3705002</v>
      </c>
      <c r="K308" s="20" t="n">
        <f aca="false">O307</f>
        <v>16892158.7521508</v>
      </c>
      <c r="L308" s="20" t="n">
        <f aca="false">K308*B2Ret/12</f>
        <v>126691.190641131</v>
      </c>
      <c r="M308" s="20" t="n">
        <f aca="false">-I308</f>
        <v>-0</v>
      </c>
      <c r="N308" s="20" t="n">
        <v>0</v>
      </c>
      <c r="O308" s="20" t="n">
        <f aca="false">K308+L308+M308+N308</f>
        <v>17018849.9427919</v>
      </c>
      <c r="P308" s="20" t="n">
        <f aca="false">S307</f>
        <v>101418494.485178</v>
      </c>
      <c r="Q308" s="20" t="n">
        <f aca="false">P308*B3Ret/12</f>
        <v>929669.5327808</v>
      </c>
      <c r="R308" s="20" t="n">
        <f aca="false">-N308</f>
        <v>-0</v>
      </c>
      <c r="S308" s="20" t="n">
        <f aca="false">P308+Q308+R308</f>
        <v>102348164.017959</v>
      </c>
      <c r="T308" s="20" t="n">
        <f aca="false">J308+O308+S308</f>
        <v>136939094.331251</v>
      </c>
    </row>
    <row r="309" customFormat="false" ht="15" hidden="false" customHeight="false" outlineLevel="0" collapsed="false">
      <c r="A309" s="19" t="n">
        <v>308</v>
      </c>
      <c r="B309" s="19" t="n">
        <f aca="false">ROUNDUP(A309/12,0)</f>
        <v>26</v>
      </c>
      <c r="C309" s="19" t="n">
        <f aca="false">Age+B309-1</f>
        <v>87</v>
      </c>
      <c r="D309" s="20" t="n">
        <f aca="false">MonthlyExp*(1+Inflation)^(B309-1)</f>
        <v>271371.632006145</v>
      </c>
      <c r="E309" s="20" t="n">
        <f aca="false">J308</f>
        <v>17572080.3705002</v>
      </c>
      <c r="F309" s="20" t="n">
        <f aca="false">E309*B1Ret/12</f>
        <v>102503.802161251</v>
      </c>
      <c r="G309" s="20" t="n">
        <f aca="false">D309</f>
        <v>271371.632006145</v>
      </c>
      <c r="H309" s="20" t="n">
        <v>0</v>
      </c>
      <c r="I309" s="20" t="n">
        <f aca="false">H309</f>
        <v>0</v>
      </c>
      <c r="J309" s="20" t="n">
        <f aca="false">E309+F309-G309+I309</f>
        <v>17403212.5406553</v>
      </c>
      <c r="K309" s="20" t="n">
        <f aca="false">O308</f>
        <v>17018849.9427919</v>
      </c>
      <c r="L309" s="20" t="n">
        <f aca="false">K309*B2Ret/12</f>
        <v>127641.37457094</v>
      </c>
      <c r="M309" s="20" t="n">
        <f aca="false">-I309</f>
        <v>-0</v>
      </c>
      <c r="N309" s="20" t="n">
        <v>0</v>
      </c>
      <c r="O309" s="20" t="n">
        <f aca="false">K309+L309+M309+N309</f>
        <v>17146491.3173629</v>
      </c>
      <c r="P309" s="20" t="n">
        <f aca="false">S308</f>
        <v>102348164.017959</v>
      </c>
      <c r="Q309" s="20" t="n">
        <f aca="false">P309*B3Ret/12</f>
        <v>938191.503497958</v>
      </c>
      <c r="R309" s="20" t="n">
        <f aca="false">-N309</f>
        <v>-0</v>
      </c>
      <c r="S309" s="20" t="n">
        <f aca="false">P309+Q309+R309</f>
        <v>103286355.521457</v>
      </c>
      <c r="T309" s="20" t="n">
        <f aca="false">J309+O309+S309</f>
        <v>137836059.379475</v>
      </c>
    </row>
    <row r="310" customFormat="false" ht="15" hidden="false" customHeight="false" outlineLevel="0" collapsed="false">
      <c r="A310" s="19" t="n">
        <v>309</v>
      </c>
      <c r="B310" s="19" t="n">
        <f aca="false">ROUNDUP(A310/12,0)</f>
        <v>26</v>
      </c>
      <c r="C310" s="19" t="n">
        <f aca="false">Age+B310-1</f>
        <v>87</v>
      </c>
      <c r="D310" s="20" t="n">
        <f aca="false">MonthlyExp*(1+Inflation)^(B310-1)</f>
        <v>271371.632006145</v>
      </c>
      <c r="E310" s="20" t="n">
        <f aca="false">J309</f>
        <v>17403212.5406553</v>
      </c>
      <c r="F310" s="20" t="n">
        <f aca="false">E310*B1Ret/12</f>
        <v>101518.739820489</v>
      </c>
      <c r="G310" s="20" t="n">
        <f aca="false">D310</f>
        <v>271371.632006145</v>
      </c>
      <c r="H310" s="20" t="n">
        <v>0</v>
      </c>
      <c r="I310" s="20" t="n">
        <f aca="false">H310</f>
        <v>0</v>
      </c>
      <c r="J310" s="20" t="n">
        <f aca="false">E310+F310-G310+I310</f>
        <v>17233359.6484697</v>
      </c>
      <c r="K310" s="20" t="n">
        <f aca="false">O309</f>
        <v>17146491.3173629</v>
      </c>
      <c r="L310" s="20" t="n">
        <f aca="false">K310*B2Ret/12</f>
        <v>128598.684880222</v>
      </c>
      <c r="M310" s="20" t="n">
        <f aca="false">-I310</f>
        <v>-0</v>
      </c>
      <c r="N310" s="20" t="n">
        <v>0</v>
      </c>
      <c r="O310" s="20" t="n">
        <f aca="false">K310+L310+M310+N310</f>
        <v>17275090.0022431</v>
      </c>
      <c r="P310" s="20" t="n">
        <f aca="false">S309</f>
        <v>103286355.521457</v>
      </c>
      <c r="Q310" s="20" t="n">
        <f aca="false">P310*B3Ret/12</f>
        <v>946791.592280022</v>
      </c>
      <c r="R310" s="20" t="n">
        <f aca="false">-N310</f>
        <v>-0</v>
      </c>
      <c r="S310" s="20" t="n">
        <f aca="false">P310+Q310+R310</f>
        <v>104233147.113737</v>
      </c>
      <c r="T310" s="20" t="n">
        <f aca="false">J310+O310+S310</f>
        <v>138741596.76445</v>
      </c>
    </row>
    <row r="311" customFormat="false" ht="15" hidden="false" customHeight="false" outlineLevel="0" collapsed="false">
      <c r="A311" s="19" t="n">
        <v>310</v>
      </c>
      <c r="B311" s="19" t="n">
        <f aca="false">ROUNDUP(A311/12,0)</f>
        <v>26</v>
      </c>
      <c r="C311" s="19" t="n">
        <f aca="false">Age+B311-1</f>
        <v>87</v>
      </c>
      <c r="D311" s="20" t="n">
        <f aca="false">MonthlyExp*(1+Inflation)^(B311-1)</f>
        <v>271371.632006145</v>
      </c>
      <c r="E311" s="20" t="n">
        <f aca="false">J310</f>
        <v>17233359.6484697</v>
      </c>
      <c r="F311" s="20" t="n">
        <f aca="false">E311*B1Ret/12</f>
        <v>100527.93128274</v>
      </c>
      <c r="G311" s="20" t="n">
        <f aca="false">D311</f>
        <v>271371.632006145</v>
      </c>
      <c r="H311" s="20" t="n">
        <v>0</v>
      </c>
      <c r="I311" s="20" t="n">
        <f aca="false">H311</f>
        <v>0</v>
      </c>
      <c r="J311" s="20" t="n">
        <f aca="false">E311+F311-G311+I311</f>
        <v>17062515.9477463</v>
      </c>
      <c r="K311" s="20" t="n">
        <f aca="false">O310</f>
        <v>17275090.0022431</v>
      </c>
      <c r="L311" s="20" t="n">
        <f aca="false">K311*B2Ret/12</f>
        <v>129563.175016823</v>
      </c>
      <c r="M311" s="20" t="n">
        <f aca="false">-I311</f>
        <v>-0</v>
      </c>
      <c r="N311" s="20" t="n">
        <v>0</v>
      </c>
      <c r="O311" s="20" t="n">
        <f aca="false">K311+L311+M311+N311</f>
        <v>17404653.1772599</v>
      </c>
      <c r="P311" s="20" t="n">
        <f aca="false">S310</f>
        <v>104233147.113737</v>
      </c>
      <c r="Q311" s="20" t="n">
        <f aca="false">P311*B3Ret/12</f>
        <v>955470.515209256</v>
      </c>
      <c r="R311" s="20" t="n">
        <f aca="false">-N311</f>
        <v>-0</v>
      </c>
      <c r="S311" s="20" t="n">
        <f aca="false">P311+Q311+R311</f>
        <v>105188617.628946</v>
      </c>
      <c r="T311" s="20" t="n">
        <f aca="false">J311+O311+S311</f>
        <v>139655786.753952</v>
      </c>
    </row>
    <row r="312" customFormat="false" ht="15" hidden="false" customHeight="false" outlineLevel="0" collapsed="false">
      <c r="A312" s="19" t="n">
        <v>311</v>
      </c>
      <c r="B312" s="19" t="n">
        <f aca="false">ROUNDUP(A312/12,0)</f>
        <v>26</v>
      </c>
      <c r="C312" s="19" t="n">
        <f aca="false">Age+B312-1</f>
        <v>87</v>
      </c>
      <c r="D312" s="20" t="n">
        <f aca="false">MonthlyExp*(1+Inflation)^(B312-1)</f>
        <v>271371.632006145</v>
      </c>
      <c r="E312" s="20" t="n">
        <f aca="false">J311</f>
        <v>17062515.9477463</v>
      </c>
      <c r="F312" s="20" t="n">
        <f aca="false">E312*B1Ret/12</f>
        <v>99531.3430285199</v>
      </c>
      <c r="G312" s="20" t="n">
        <f aca="false">D312</f>
        <v>271371.632006145</v>
      </c>
      <c r="H312" s="20" t="n">
        <v>0</v>
      </c>
      <c r="I312" s="20" t="n">
        <f aca="false">H312</f>
        <v>0</v>
      </c>
      <c r="J312" s="20" t="n">
        <f aca="false">E312+F312-G312+I312</f>
        <v>16890675.6587686</v>
      </c>
      <c r="K312" s="20" t="n">
        <f aca="false">O311</f>
        <v>17404653.1772599</v>
      </c>
      <c r="L312" s="20" t="n">
        <f aca="false">K312*B2Ret/12</f>
        <v>130534.898829449</v>
      </c>
      <c r="M312" s="20" t="n">
        <f aca="false">-I312</f>
        <v>-0</v>
      </c>
      <c r="N312" s="20" t="n">
        <v>0</v>
      </c>
      <c r="O312" s="20" t="n">
        <f aca="false">K312+L312+M312+N312</f>
        <v>17535188.0760894</v>
      </c>
      <c r="P312" s="20" t="n">
        <f aca="false">S311</f>
        <v>105188617.628946</v>
      </c>
      <c r="Q312" s="20" t="n">
        <f aca="false">P312*B3Ret/12</f>
        <v>964228.994932007</v>
      </c>
      <c r="R312" s="20" t="n">
        <f aca="false">-N312</f>
        <v>-0</v>
      </c>
      <c r="S312" s="20" t="n">
        <f aca="false">P312+Q312+R312</f>
        <v>106152846.623878</v>
      </c>
      <c r="T312" s="20" t="n">
        <f aca="false">J312+O312+S312</f>
        <v>140578710.358736</v>
      </c>
    </row>
    <row r="313" customFormat="false" ht="15" hidden="false" customHeight="false" outlineLevel="0" collapsed="false">
      <c r="A313" s="19" t="n">
        <v>312</v>
      </c>
      <c r="B313" s="19" t="n">
        <f aca="false">ROUNDUP(A313/12,0)</f>
        <v>26</v>
      </c>
      <c r="C313" s="19" t="n">
        <f aca="false">Age+B313-1</f>
        <v>87</v>
      </c>
      <c r="D313" s="20" t="n">
        <f aca="false">MonthlyExp*(1+Inflation)^(B313-1)</f>
        <v>271371.632006145</v>
      </c>
      <c r="E313" s="20" t="n">
        <f aca="false">J312</f>
        <v>16890675.6587686</v>
      </c>
      <c r="F313" s="20" t="n">
        <f aca="false">E313*B1Ret/12</f>
        <v>98528.9413428171</v>
      </c>
      <c r="G313" s="20" t="n">
        <f aca="false">D313</f>
        <v>271371.632006145</v>
      </c>
      <c r="H313" s="20" t="n">
        <v>0</v>
      </c>
      <c r="I313" s="20" t="n">
        <f aca="false">H313</f>
        <v>0</v>
      </c>
      <c r="J313" s="20" t="n">
        <f aca="false">E313+F313-G313+I313</f>
        <v>16717832.9681053</v>
      </c>
      <c r="K313" s="20" t="n">
        <f aca="false">O312</f>
        <v>17535188.0760894</v>
      </c>
      <c r="L313" s="20" t="n">
        <f aca="false">K313*B2Ret/12</f>
        <v>131513.91057067</v>
      </c>
      <c r="M313" s="20" t="n">
        <f aca="false">-I313</f>
        <v>-0</v>
      </c>
      <c r="N313" s="20" t="n">
        <v>0</v>
      </c>
      <c r="O313" s="20" t="n">
        <f aca="false">K313+L313+M313+N313</f>
        <v>17666701.98666</v>
      </c>
      <c r="P313" s="20" t="n">
        <f aca="false">S312</f>
        <v>106152846.623878</v>
      </c>
      <c r="Q313" s="20" t="n">
        <f aca="false">P313*B3Ret/12</f>
        <v>973067.760718884</v>
      </c>
      <c r="R313" s="20" t="n">
        <f aca="false">-N313</f>
        <v>-0</v>
      </c>
      <c r="S313" s="20" t="n">
        <f aca="false">P313+Q313+R313</f>
        <v>107125914.384597</v>
      </c>
      <c r="T313" s="20" t="n">
        <f aca="false">J313+O313+S313</f>
        <v>141510449.339362</v>
      </c>
    </row>
    <row r="314" customFormat="false" ht="15" hidden="false" customHeight="false" outlineLevel="0" collapsed="false">
      <c r="A314" s="19" t="n">
        <v>313</v>
      </c>
      <c r="B314" s="19" t="n">
        <f aca="false">ROUNDUP(A314/12,0)</f>
        <v>27</v>
      </c>
      <c r="C314" s="19" t="n">
        <f aca="false">Age+B314-1</f>
        <v>88</v>
      </c>
      <c r="D314" s="20" t="n">
        <f aca="false">MonthlyExp*(1+Inflation)^(B314-1)</f>
        <v>290367.646246575</v>
      </c>
      <c r="E314" s="20" t="n">
        <f aca="false">J313</f>
        <v>16717832.9681053</v>
      </c>
      <c r="F314" s="20" t="n">
        <f aca="false">E314*B1Ret/12</f>
        <v>97520.6923139477</v>
      </c>
      <c r="G314" s="20" t="n">
        <f aca="false">D314</f>
        <v>290367.646246575</v>
      </c>
      <c r="H314" s="20" t="n">
        <v>0</v>
      </c>
      <c r="I314" s="20" t="n">
        <f aca="false">H314</f>
        <v>0</v>
      </c>
      <c r="J314" s="20" t="n">
        <f aca="false">E314+F314-G314+I314</f>
        <v>16524986.0141727</v>
      </c>
      <c r="K314" s="20" t="n">
        <f aca="false">O313</f>
        <v>17666701.98666</v>
      </c>
      <c r="L314" s="20" t="n">
        <f aca="false">K314*B2Ret/12</f>
        <v>132500.26489995</v>
      </c>
      <c r="M314" s="20" t="n">
        <f aca="false">-I314</f>
        <v>-0</v>
      </c>
      <c r="N314" s="20" t="n">
        <v>0</v>
      </c>
      <c r="O314" s="20" t="n">
        <f aca="false">K314+L314+M314+N314</f>
        <v>17799202.25156</v>
      </c>
      <c r="P314" s="20" t="n">
        <f aca="false">S313</f>
        <v>107125914.384597</v>
      </c>
      <c r="Q314" s="20" t="n">
        <f aca="false">P314*B3Ret/12</f>
        <v>981987.548525474</v>
      </c>
      <c r="R314" s="20" t="n">
        <f aca="false">-N314</f>
        <v>-0</v>
      </c>
      <c r="S314" s="20" t="n">
        <f aca="false">P314+Q314+R314</f>
        <v>108107901.933123</v>
      </c>
      <c r="T314" s="20" t="n">
        <f aca="false">J314+O314+S314</f>
        <v>142432090.198855</v>
      </c>
    </row>
    <row r="315" customFormat="false" ht="15" hidden="false" customHeight="false" outlineLevel="0" collapsed="false">
      <c r="A315" s="19" t="n">
        <v>314</v>
      </c>
      <c r="B315" s="19" t="n">
        <f aca="false">ROUNDUP(A315/12,0)</f>
        <v>27</v>
      </c>
      <c r="C315" s="19" t="n">
        <f aca="false">Age+B315-1</f>
        <v>88</v>
      </c>
      <c r="D315" s="20" t="n">
        <f aca="false">MonthlyExp*(1+Inflation)^(B315-1)</f>
        <v>290367.646246575</v>
      </c>
      <c r="E315" s="20" t="n">
        <f aca="false">J314</f>
        <v>16524986.0141727</v>
      </c>
      <c r="F315" s="20" t="n">
        <f aca="false">E315*B1Ret/12</f>
        <v>96395.7517493407</v>
      </c>
      <c r="G315" s="20" t="n">
        <f aca="false">D315</f>
        <v>290367.646246575</v>
      </c>
      <c r="H315" s="20" t="n">
        <v>0</v>
      </c>
      <c r="I315" s="20" t="n">
        <f aca="false">H315</f>
        <v>0</v>
      </c>
      <c r="J315" s="20" t="n">
        <f aca="false">E315+F315-G315+I315</f>
        <v>16331014.1196755</v>
      </c>
      <c r="K315" s="20" t="n">
        <f aca="false">O314</f>
        <v>17799202.25156</v>
      </c>
      <c r="L315" s="20" t="n">
        <f aca="false">K315*B2Ret/12</f>
        <v>133494.0168867</v>
      </c>
      <c r="M315" s="20" t="n">
        <f aca="false">-I315</f>
        <v>-0</v>
      </c>
      <c r="N315" s="20" t="n">
        <v>0</v>
      </c>
      <c r="O315" s="20" t="n">
        <f aca="false">K315+L315+M315+N315</f>
        <v>17932696.2684467</v>
      </c>
      <c r="P315" s="20" t="n">
        <f aca="false">S314</f>
        <v>108107901.933123</v>
      </c>
      <c r="Q315" s="20" t="n">
        <f aca="false">P315*B3Ret/12</f>
        <v>990989.101053624</v>
      </c>
      <c r="R315" s="20" t="n">
        <f aca="false">-N315</f>
        <v>-0</v>
      </c>
      <c r="S315" s="20" t="n">
        <f aca="false">P315+Q315+R315</f>
        <v>109098891.034176</v>
      </c>
      <c r="T315" s="20" t="n">
        <f aca="false">J315+O315+S315</f>
        <v>143362601.422298</v>
      </c>
    </row>
    <row r="316" customFormat="false" ht="15" hidden="false" customHeight="false" outlineLevel="0" collapsed="false">
      <c r="A316" s="19" t="n">
        <v>315</v>
      </c>
      <c r="B316" s="19" t="n">
        <f aca="false">ROUNDUP(A316/12,0)</f>
        <v>27</v>
      </c>
      <c r="C316" s="19" t="n">
        <f aca="false">Age+B316-1</f>
        <v>88</v>
      </c>
      <c r="D316" s="20" t="n">
        <f aca="false">MonthlyExp*(1+Inflation)^(B316-1)</f>
        <v>290367.646246575</v>
      </c>
      <c r="E316" s="20" t="n">
        <f aca="false">J315</f>
        <v>16331014.1196755</v>
      </c>
      <c r="F316" s="20" t="n">
        <f aca="false">E316*B1Ret/12</f>
        <v>95264.2490314402</v>
      </c>
      <c r="G316" s="20" t="n">
        <f aca="false">D316</f>
        <v>290367.646246575</v>
      </c>
      <c r="H316" s="20" t="n">
        <v>0</v>
      </c>
      <c r="I316" s="20" t="n">
        <f aca="false">H316</f>
        <v>0</v>
      </c>
      <c r="J316" s="20" t="n">
        <f aca="false">E316+F316-G316+I316</f>
        <v>16135910.7224603</v>
      </c>
      <c r="K316" s="20" t="n">
        <f aca="false">O315</f>
        <v>17932696.2684467</v>
      </c>
      <c r="L316" s="20" t="n">
        <f aca="false">K316*B2Ret/12</f>
        <v>134495.22201335</v>
      </c>
      <c r="M316" s="20" t="n">
        <f aca="false">-I316</f>
        <v>-0</v>
      </c>
      <c r="N316" s="20" t="n">
        <v>0</v>
      </c>
      <c r="O316" s="20" t="n">
        <f aca="false">K316+L316+M316+N316</f>
        <v>18067191.49046</v>
      </c>
      <c r="P316" s="20" t="n">
        <f aca="false">S315</f>
        <v>109098891.034176</v>
      </c>
      <c r="Q316" s="20" t="n">
        <f aca="false">P316*B3Ret/12</f>
        <v>1000073.16781328</v>
      </c>
      <c r="R316" s="20" t="n">
        <f aca="false">-N316</f>
        <v>-0</v>
      </c>
      <c r="S316" s="20" t="n">
        <f aca="false">P316+Q316+R316</f>
        <v>110098964.20199</v>
      </c>
      <c r="T316" s="20" t="n">
        <f aca="false">J316+O316+S316</f>
        <v>144302066.41491</v>
      </c>
    </row>
    <row r="317" customFormat="false" ht="15" hidden="false" customHeight="false" outlineLevel="0" collapsed="false">
      <c r="A317" s="19" t="n">
        <v>316</v>
      </c>
      <c r="B317" s="19" t="n">
        <f aca="false">ROUNDUP(A317/12,0)</f>
        <v>27</v>
      </c>
      <c r="C317" s="19" t="n">
        <f aca="false">Age+B317-1</f>
        <v>88</v>
      </c>
      <c r="D317" s="20" t="n">
        <f aca="false">MonthlyExp*(1+Inflation)^(B317-1)</f>
        <v>290367.646246575</v>
      </c>
      <c r="E317" s="20" t="n">
        <f aca="false">J316</f>
        <v>16135910.7224603</v>
      </c>
      <c r="F317" s="20" t="n">
        <f aca="false">E317*B1Ret/12</f>
        <v>94126.1458810186</v>
      </c>
      <c r="G317" s="20" t="n">
        <f aca="false">D317</f>
        <v>290367.646246575</v>
      </c>
      <c r="H317" s="20" t="n">
        <v>0</v>
      </c>
      <c r="I317" s="20" t="n">
        <f aca="false">H317</f>
        <v>0</v>
      </c>
      <c r="J317" s="20" t="n">
        <f aca="false">E317+F317-G317+I317</f>
        <v>15939669.2220948</v>
      </c>
      <c r="K317" s="20" t="n">
        <f aca="false">O316</f>
        <v>18067191.49046</v>
      </c>
      <c r="L317" s="20" t="n">
        <f aca="false">K317*B2Ret/12</f>
        <v>135503.93617845</v>
      </c>
      <c r="M317" s="20" t="n">
        <f aca="false">-I317</f>
        <v>-0</v>
      </c>
      <c r="N317" s="20" t="n">
        <v>0</v>
      </c>
      <c r="O317" s="20" t="n">
        <f aca="false">K317+L317+M317+N317</f>
        <v>18202695.4266385</v>
      </c>
      <c r="P317" s="20" t="n">
        <f aca="false">S316</f>
        <v>110098964.20199</v>
      </c>
      <c r="Q317" s="20" t="n">
        <f aca="false">P317*B3Ret/12</f>
        <v>1009240.5051849</v>
      </c>
      <c r="R317" s="20" t="n">
        <f aca="false">-N317</f>
        <v>-0</v>
      </c>
      <c r="S317" s="20" t="n">
        <f aca="false">P317+Q317+R317</f>
        <v>111108204.707174</v>
      </c>
      <c r="T317" s="20" t="n">
        <f aca="false">J317+O317+S317</f>
        <v>145250569.355908</v>
      </c>
    </row>
    <row r="318" customFormat="false" ht="15" hidden="false" customHeight="false" outlineLevel="0" collapsed="false">
      <c r="A318" s="19" t="n">
        <v>317</v>
      </c>
      <c r="B318" s="19" t="n">
        <f aca="false">ROUNDUP(A318/12,0)</f>
        <v>27</v>
      </c>
      <c r="C318" s="19" t="n">
        <f aca="false">Age+B318-1</f>
        <v>88</v>
      </c>
      <c r="D318" s="20" t="n">
        <f aca="false">MonthlyExp*(1+Inflation)^(B318-1)</f>
        <v>290367.646246575</v>
      </c>
      <c r="E318" s="20" t="n">
        <f aca="false">J317</f>
        <v>15939669.2220948</v>
      </c>
      <c r="F318" s="20" t="n">
        <f aca="false">E318*B1Ret/12</f>
        <v>92981.4037955528</v>
      </c>
      <c r="G318" s="20" t="n">
        <f aca="false">D318</f>
        <v>290367.646246575</v>
      </c>
      <c r="H318" s="20" t="n">
        <v>0</v>
      </c>
      <c r="I318" s="20" t="n">
        <f aca="false">H318</f>
        <v>0</v>
      </c>
      <c r="J318" s="20" t="n">
        <f aca="false">E318+F318-G318+I318</f>
        <v>15742282.9796437</v>
      </c>
      <c r="K318" s="20" t="n">
        <f aca="false">O317</f>
        <v>18202695.4266385</v>
      </c>
      <c r="L318" s="20" t="n">
        <f aca="false">K318*B2Ret/12</f>
        <v>136520.215699789</v>
      </c>
      <c r="M318" s="20" t="n">
        <f aca="false">-I318</f>
        <v>-0</v>
      </c>
      <c r="N318" s="20" t="n">
        <v>0</v>
      </c>
      <c r="O318" s="20" t="n">
        <f aca="false">K318+L318+M318+N318</f>
        <v>18339215.6423383</v>
      </c>
      <c r="P318" s="20" t="n">
        <f aca="false">S317</f>
        <v>111108204.707174</v>
      </c>
      <c r="Q318" s="20" t="n">
        <f aca="false">P318*B3Ret/12</f>
        <v>1018491.87648243</v>
      </c>
      <c r="R318" s="20" t="n">
        <f aca="false">-N318</f>
        <v>-0</v>
      </c>
      <c r="S318" s="20" t="n">
        <f aca="false">P318+Q318+R318</f>
        <v>112126696.583657</v>
      </c>
      <c r="T318" s="20" t="n">
        <f aca="false">J318+O318+S318</f>
        <v>146208195.205639</v>
      </c>
    </row>
    <row r="319" customFormat="false" ht="15" hidden="false" customHeight="false" outlineLevel="0" collapsed="false">
      <c r="A319" s="19" t="n">
        <v>318</v>
      </c>
      <c r="B319" s="19" t="n">
        <f aca="false">ROUNDUP(A319/12,0)</f>
        <v>27</v>
      </c>
      <c r="C319" s="19" t="n">
        <f aca="false">Age+B319-1</f>
        <v>88</v>
      </c>
      <c r="D319" s="20" t="n">
        <f aca="false">MonthlyExp*(1+Inflation)^(B319-1)</f>
        <v>290367.646246575</v>
      </c>
      <c r="E319" s="20" t="n">
        <f aca="false">J318</f>
        <v>15742282.9796437</v>
      </c>
      <c r="F319" s="20" t="n">
        <f aca="false">E319*B1Ret/12</f>
        <v>91829.9840479218</v>
      </c>
      <c r="G319" s="20" t="n">
        <f aca="false">D319</f>
        <v>290367.646246575</v>
      </c>
      <c r="H319" s="20" t="n">
        <v>0</v>
      </c>
      <c r="I319" s="20" t="n">
        <f aca="false">H319</f>
        <v>0</v>
      </c>
      <c r="J319" s="20" t="n">
        <f aca="false">E319+F319-G319+I319</f>
        <v>15543745.3174451</v>
      </c>
      <c r="K319" s="20" t="n">
        <f aca="false">O318</f>
        <v>18339215.6423383</v>
      </c>
      <c r="L319" s="20" t="n">
        <f aca="false">K319*B2Ret/12</f>
        <v>137544.117317537</v>
      </c>
      <c r="M319" s="20" t="n">
        <f aca="false">-I319</f>
        <v>-0</v>
      </c>
      <c r="N319" s="20" t="n">
        <v>0</v>
      </c>
      <c r="O319" s="20" t="n">
        <f aca="false">K319+L319+M319+N319</f>
        <v>18476759.7596558</v>
      </c>
      <c r="P319" s="20" t="n">
        <f aca="false">S318</f>
        <v>112126696.583657</v>
      </c>
      <c r="Q319" s="20" t="n">
        <f aca="false">P319*B3Ret/12</f>
        <v>1027828.05201685</v>
      </c>
      <c r="R319" s="20" t="n">
        <f aca="false">-N319</f>
        <v>-0</v>
      </c>
      <c r="S319" s="20" t="n">
        <f aca="false">P319+Q319+R319</f>
        <v>113154524.635674</v>
      </c>
      <c r="T319" s="20" t="n">
        <f aca="false">J319+O319+S319</f>
        <v>147175029.712775</v>
      </c>
    </row>
    <row r="320" customFormat="false" ht="15" hidden="false" customHeight="false" outlineLevel="0" collapsed="false">
      <c r="A320" s="19" t="n">
        <v>319</v>
      </c>
      <c r="B320" s="19" t="n">
        <f aca="false">ROUNDUP(A320/12,0)</f>
        <v>27</v>
      </c>
      <c r="C320" s="19" t="n">
        <f aca="false">Age+B320-1</f>
        <v>88</v>
      </c>
      <c r="D320" s="20" t="n">
        <f aca="false">MonthlyExp*(1+Inflation)^(B320-1)</f>
        <v>290367.646246575</v>
      </c>
      <c r="E320" s="20" t="n">
        <f aca="false">J319</f>
        <v>15543745.3174451</v>
      </c>
      <c r="F320" s="20" t="n">
        <f aca="false">E320*B1Ret/12</f>
        <v>90671.8476850964</v>
      </c>
      <c r="G320" s="20" t="n">
        <f aca="false">D320</f>
        <v>290367.646246575</v>
      </c>
      <c r="H320" s="20" t="n">
        <v>0</v>
      </c>
      <c r="I320" s="20" t="n">
        <f aca="false">H320</f>
        <v>0</v>
      </c>
      <c r="J320" s="20" t="n">
        <f aca="false">E320+F320-G320+I320</f>
        <v>15344049.5188836</v>
      </c>
      <c r="K320" s="20" t="n">
        <f aca="false">O319</f>
        <v>18476759.7596558</v>
      </c>
      <c r="L320" s="20" t="n">
        <f aca="false">K320*B2Ret/12</f>
        <v>138575.698197419</v>
      </c>
      <c r="M320" s="20" t="n">
        <f aca="false">-I320</f>
        <v>-0</v>
      </c>
      <c r="N320" s="20" t="n">
        <v>0</v>
      </c>
      <c r="O320" s="20" t="n">
        <f aca="false">K320+L320+M320+N320</f>
        <v>18615335.4578532</v>
      </c>
      <c r="P320" s="20" t="n">
        <f aca="false">S319</f>
        <v>113154524.635674</v>
      </c>
      <c r="Q320" s="20" t="n">
        <f aca="false">P320*B3Ret/12</f>
        <v>1037249.80916034</v>
      </c>
      <c r="R320" s="20" t="n">
        <f aca="false">-N320</f>
        <v>-0</v>
      </c>
      <c r="S320" s="20" t="n">
        <f aca="false">P320+Q320+R320</f>
        <v>114191774.444834</v>
      </c>
      <c r="T320" s="20" t="n">
        <f aca="false">J320+O320+S320</f>
        <v>148151159.421571</v>
      </c>
    </row>
    <row r="321" customFormat="false" ht="15" hidden="false" customHeight="false" outlineLevel="0" collapsed="false">
      <c r="A321" s="19" t="n">
        <v>320</v>
      </c>
      <c r="B321" s="19" t="n">
        <f aca="false">ROUNDUP(A321/12,0)</f>
        <v>27</v>
      </c>
      <c r="C321" s="19" t="n">
        <f aca="false">Age+B321-1</f>
        <v>88</v>
      </c>
      <c r="D321" s="20" t="n">
        <f aca="false">MonthlyExp*(1+Inflation)^(B321-1)</f>
        <v>290367.646246575</v>
      </c>
      <c r="E321" s="20" t="n">
        <f aca="false">J320</f>
        <v>15344049.5188836</v>
      </c>
      <c r="F321" s="20" t="n">
        <f aca="false">E321*B1Ret/12</f>
        <v>89506.9555268211</v>
      </c>
      <c r="G321" s="20" t="n">
        <f aca="false">D321</f>
        <v>290367.646246575</v>
      </c>
      <c r="H321" s="20" t="n">
        <v>0</v>
      </c>
      <c r="I321" s="20" t="n">
        <f aca="false">H321</f>
        <v>0</v>
      </c>
      <c r="J321" s="20" t="n">
        <f aca="false">E321+F321-G321+I321</f>
        <v>15143188.8281639</v>
      </c>
      <c r="K321" s="20" t="n">
        <f aca="false">O320</f>
        <v>18615335.4578532</v>
      </c>
      <c r="L321" s="20" t="n">
        <f aca="false">K321*B2Ret/12</f>
        <v>139615.015933899</v>
      </c>
      <c r="M321" s="20" t="n">
        <f aca="false">-I321</f>
        <v>-0</v>
      </c>
      <c r="N321" s="20" t="n">
        <v>0</v>
      </c>
      <c r="O321" s="20" t="n">
        <f aca="false">K321+L321+M321+N321</f>
        <v>18754950.4737871</v>
      </c>
      <c r="P321" s="20" t="n">
        <f aca="false">S320</f>
        <v>114191774.444834</v>
      </c>
      <c r="Q321" s="20" t="n">
        <f aca="false">P321*B3Ret/12</f>
        <v>1046757.93241098</v>
      </c>
      <c r="R321" s="20" t="n">
        <f aca="false">-N321</f>
        <v>-0</v>
      </c>
      <c r="S321" s="20" t="n">
        <f aca="false">P321+Q321+R321</f>
        <v>115238532.377245</v>
      </c>
      <c r="T321" s="20" t="n">
        <f aca="false">J321+O321+S321</f>
        <v>149136671.679196</v>
      </c>
    </row>
    <row r="322" customFormat="false" ht="15" hidden="false" customHeight="false" outlineLevel="0" collapsed="false">
      <c r="A322" s="19" t="n">
        <v>321</v>
      </c>
      <c r="B322" s="19" t="n">
        <f aca="false">ROUNDUP(A322/12,0)</f>
        <v>27</v>
      </c>
      <c r="C322" s="19" t="n">
        <f aca="false">Age+B322-1</f>
        <v>88</v>
      </c>
      <c r="D322" s="20" t="n">
        <f aca="false">MonthlyExp*(1+Inflation)^(B322-1)</f>
        <v>290367.646246575</v>
      </c>
      <c r="E322" s="20" t="n">
        <f aca="false">J321</f>
        <v>15143188.8281639</v>
      </c>
      <c r="F322" s="20" t="n">
        <f aca="false">E322*B1Ret/12</f>
        <v>88335.2681642892</v>
      </c>
      <c r="G322" s="20" t="n">
        <f aca="false">D322</f>
        <v>290367.646246575</v>
      </c>
      <c r="H322" s="20" t="n">
        <v>0</v>
      </c>
      <c r="I322" s="20" t="n">
        <f aca="false">H322</f>
        <v>0</v>
      </c>
      <c r="J322" s="20" t="n">
        <f aca="false">E322+F322-G322+I322</f>
        <v>14941156.4500816</v>
      </c>
      <c r="K322" s="20" t="n">
        <f aca="false">O321</f>
        <v>18754950.4737871</v>
      </c>
      <c r="L322" s="20" t="n">
        <f aca="false">K322*B2Ret/12</f>
        <v>140662.128553404</v>
      </c>
      <c r="M322" s="20" t="n">
        <f aca="false">-I322</f>
        <v>-0</v>
      </c>
      <c r="N322" s="20" t="n">
        <v>0</v>
      </c>
      <c r="O322" s="20" t="n">
        <f aca="false">K322+L322+M322+N322</f>
        <v>18895612.6023405</v>
      </c>
      <c r="P322" s="20" t="n">
        <f aca="false">S321</f>
        <v>115238532.377245</v>
      </c>
      <c r="Q322" s="20" t="n">
        <f aca="false">P322*B3Ret/12</f>
        <v>1056353.21345808</v>
      </c>
      <c r="R322" s="20" t="n">
        <f aca="false">-N322</f>
        <v>-0</v>
      </c>
      <c r="S322" s="20" t="n">
        <f aca="false">P322+Q322+R322</f>
        <v>116294885.590703</v>
      </c>
      <c r="T322" s="20" t="n">
        <f aca="false">J322+O322+S322</f>
        <v>150131654.643125</v>
      </c>
    </row>
    <row r="323" customFormat="false" ht="15" hidden="false" customHeight="false" outlineLevel="0" collapsed="false">
      <c r="A323" s="19" t="n">
        <v>322</v>
      </c>
      <c r="B323" s="19" t="n">
        <f aca="false">ROUNDUP(A323/12,0)</f>
        <v>27</v>
      </c>
      <c r="C323" s="19" t="n">
        <f aca="false">Age+B323-1</f>
        <v>88</v>
      </c>
      <c r="D323" s="20" t="n">
        <f aca="false">MonthlyExp*(1+Inflation)^(B323-1)</f>
        <v>290367.646246575</v>
      </c>
      <c r="E323" s="20" t="n">
        <f aca="false">J322</f>
        <v>14941156.4500816</v>
      </c>
      <c r="F323" s="20" t="n">
        <f aca="false">E323*B1Ret/12</f>
        <v>87156.7459588092</v>
      </c>
      <c r="G323" s="20" t="n">
        <f aca="false">D323</f>
        <v>290367.646246575</v>
      </c>
      <c r="H323" s="20" t="n">
        <v>0</v>
      </c>
      <c r="I323" s="20" t="n">
        <f aca="false">H323</f>
        <v>0</v>
      </c>
      <c r="J323" s="20" t="n">
        <f aca="false">E323+F323-G323+I323</f>
        <v>14737945.5497938</v>
      </c>
      <c r="K323" s="20" t="n">
        <f aca="false">O322</f>
        <v>18895612.6023405</v>
      </c>
      <c r="L323" s="20" t="n">
        <f aca="false">K323*B2Ret/12</f>
        <v>141717.094517554</v>
      </c>
      <c r="M323" s="20" t="n">
        <f aca="false">-I323</f>
        <v>-0</v>
      </c>
      <c r="N323" s="20" t="n">
        <v>0</v>
      </c>
      <c r="O323" s="20" t="n">
        <f aca="false">K323+L323+M323+N323</f>
        <v>19037329.6968581</v>
      </c>
      <c r="P323" s="20" t="n">
        <f aca="false">S322</f>
        <v>116294885.590703</v>
      </c>
      <c r="Q323" s="20" t="n">
        <f aca="false">P323*B3Ret/12</f>
        <v>1066036.45124811</v>
      </c>
      <c r="R323" s="20" t="n">
        <f aca="false">-N323</f>
        <v>-0</v>
      </c>
      <c r="S323" s="20" t="n">
        <f aca="false">P323+Q323+R323</f>
        <v>117360922.041951</v>
      </c>
      <c r="T323" s="20" t="n">
        <f aca="false">J323+O323+S323</f>
        <v>151136197.288603</v>
      </c>
    </row>
    <row r="324" customFormat="false" ht="15" hidden="false" customHeight="false" outlineLevel="0" collapsed="false">
      <c r="A324" s="19" t="n">
        <v>323</v>
      </c>
      <c r="B324" s="19" t="n">
        <f aca="false">ROUNDUP(A324/12,0)</f>
        <v>27</v>
      </c>
      <c r="C324" s="19" t="n">
        <f aca="false">Age+B324-1</f>
        <v>88</v>
      </c>
      <c r="D324" s="20" t="n">
        <f aca="false">MonthlyExp*(1+Inflation)^(B324-1)</f>
        <v>290367.646246575</v>
      </c>
      <c r="E324" s="20" t="n">
        <f aca="false">J323</f>
        <v>14737945.5497938</v>
      </c>
      <c r="F324" s="20" t="n">
        <f aca="false">E324*B1Ret/12</f>
        <v>85971.3490404639</v>
      </c>
      <c r="G324" s="20" t="n">
        <f aca="false">D324</f>
        <v>290367.646246575</v>
      </c>
      <c r="H324" s="20" t="n">
        <v>0</v>
      </c>
      <c r="I324" s="20" t="n">
        <f aca="false">H324</f>
        <v>0</v>
      </c>
      <c r="J324" s="20" t="n">
        <f aca="false">E324+F324-G324+I324</f>
        <v>14533549.2525877</v>
      </c>
      <c r="K324" s="20" t="n">
        <f aca="false">O323</f>
        <v>19037329.6968581</v>
      </c>
      <c r="L324" s="20" t="n">
        <f aca="false">K324*B2Ret/12</f>
        <v>142779.972726436</v>
      </c>
      <c r="M324" s="20" t="n">
        <f aca="false">-I324</f>
        <v>-0</v>
      </c>
      <c r="N324" s="20" t="n">
        <v>0</v>
      </c>
      <c r="O324" s="20" t="n">
        <f aca="false">K324+L324+M324+N324</f>
        <v>19180109.6695845</v>
      </c>
      <c r="P324" s="20" t="n">
        <f aca="false">S323</f>
        <v>117360922.041951</v>
      </c>
      <c r="Q324" s="20" t="n">
        <f aca="false">P324*B3Ret/12</f>
        <v>1075808.45205122</v>
      </c>
      <c r="R324" s="20" t="n">
        <f aca="false">-N324</f>
        <v>-0</v>
      </c>
      <c r="S324" s="20" t="n">
        <f aca="false">P324+Q324+R324</f>
        <v>118436730.494002</v>
      </c>
      <c r="T324" s="20" t="n">
        <f aca="false">J324+O324+S324</f>
        <v>152150389.416175</v>
      </c>
    </row>
    <row r="325" customFormat="false" ht="15" hidden="false" customHeight="false" outlineLevel="0" collapsed="false">
      <c r="A325" s="19" t="n">
        <v>324</v>
      </c>
      <c r="B325" s="19" t="n">
        <f aca="false">ROUNDUP(A325/12,0)</f>
        <v>27</v>
      </c>
      <c r="C325" s="19" t="n">
        <f aca="false">Age+B325-1</f>
        <v>88</v>
      </c>
      <c r="D325" s="20" t="n">
        <f aca="false">MonthlyExp*(1+Inflation)^(B325-1)</f>
        <v>290367.646246575</v>
      </c>
      <c r="E325" s="20" t="n">
        <f aca="false">J324</f>
        <v>14533549.2525877</v>
      </c>
      <c r="F325" s="20" t="n">
        <f aca="false">E325*B1Ret/12</f>
        <v>84779.0373067616</v>
      </c>
      <c r="G325" s="20" t="n">
        <f aca="false">D325</f>
        <v>290367.646246575</v>
      </c>
      <c r="H325" s="20" t="n">
        <v>0</v>
      </c>
      <c r="I325" s="20" t="n">
        <f aca="false">H325</f>
        <v>0</v>
      </c>
      <c r="J325" s="20" t="n">
        <f aca="false">E325+F325-G325+I325</f>
        <v>14327960.6436479</v>
      </c>
      <c r="K325" s="20" t="n">
        <f aca="false">O324</f>
        <v>19180109.6695845</v>
      </c>
      <c r="L325" s="20" t="n">
        <f aca="false">K325*B2Ret/12</f>
        <v>143850.822521884</v>
      </c>
      <c r="M325" s="20" t="n">
        <f aca="false">-I325</f>
        <v>-0</v>
      </c>
      <c r="N325" s="20" t="n">
        <v>0</v>
      </c>
      <c r="O325" s="20" t="n">
        <f aca="false">K325+L325+M325+N325</f>
        <v>19323960.4921064</v>
      </c>
      <c r="P325" s="20" t="n">
        <f aca="false">S324</f>
        <v>118436730.494002</v>
      </c>
      <c r="Q325" s="20" t="n">
        <f aca="false">P325*B3Ret/12</f>
        <v>1085670.02952836</v>
      </c>
      <c r="R325" s="20" t="n">
        <f aca="false">-N325</f>
        <v>-0</v>
      </c>
      <c r="S325" s="20" t="n">
        <f aca="false">P325+Q325+R325</f>
        <v>119522400.523531</v>
      </c>
      <c r="T325" s="20" t="n">
        <f aca="false">J325+O325+S325</f>
        <v>153174321.659285</v>
      </c>
    </row>
    <row r="326" customFormat="false" ht="15" hidden="false" customHeight="false" outlineLevel="0" collapsed="false">
      <c r="A326" s="19" t="n">
        <v>325</v>
      </c>
      <c r="B326" s="19" t="n">
        <f aca="false">ROUNDUP(A326/12,0)</f>
        <v>28</v>
      </c>
      <c r="C326" s="19" t="n">
        <f aca="false">Age+B326-1</f>
        <v>89</v>
      </c>
      <c r="D326" s="20" t="n">
        <f aca="false">MonthlyExp*(1+Inflation)^(B326-1)</f>
        <v>310693.381483835</v>
      </c>
      <c r="E326" s="20" t="n">
        <f aca="false">J325</f>
        <v>14327960.6436479</v>
      </c>
      <c r="F326" s="20" t="n">
        <f aca="false">E326*B1Ret/12</f>
        <v>83579.7704212793</v>
      </c>
      <c r="G326" s="20" t="n">
        <f aca="false">D326</f>
        <v>310693.381483835</v>
      </c>
      <c r="H326" s="20" t="n">
        <v>0</v>
      </c>
      <c r="I326" s="20" t="n">
        <f aca="false">H326</f>
        <v>0</v>
      </c>
      <c r="J326" s="20" t="n">
        <f aca="false">E326+F326-G326+I326</f>
        <v>14100847.0325853</v>
      </c>
      <c r="K326" s="20" t="n">
        <f aca="false">O325</f>
        <v>19323960.4921064</v>
      </c>
      <c r="L326" s="20" t="n">
        <f aca="false">K326*B2Ret/12</f>
        <v>144929.703690798</v>
      </c>
      <c r="M326" s="20" t="n">
        <f aca="false">-I326</f>
        <v>-0</v>
      </c>
      <c r="N326" s="20" t="n">
        <v>0</v>
      </c>
      <c r="O326" s="20" t="n">
        <f aca="false">K326+L326+M326+N326</f>
        <v>19468890.1957972</v>
      </c>
      <c r="P326" s="20" t="n">
        <f aca="false">S325</f>
        <v>119522400.523531</v>
      </c>
      <c r="Q326" s="20" t="n">
        <f aca="false">P326*B3Ret/12</f>
        <v>1095622.00479903</v>
      </c>
      <c r="R326" s="20" t="n">
        <f aca="false">-N326</f>
        <v>-0</v>
      </c>
      <c r="S326" s="20" t="n">
        <f aca="false">P326+Q326+R326</f>
        <v>120618022.52833</v>
      </c>
      <c r="T326" s="20" t="n">
        <f aca="false">J326+O326+S326</f>
        <v>154187759.756712</v>
      </c>
    </row>
    <row r="327" customFormat="false" ht="15" hidden="false" customHeight="false" outlineLevel="0" collapsed="false">
      <c r="A327" s="19" t="n">
        <v>326</v>
      </c>
      <c r="B327" s="19" t="n">
        <f aca="false">ROUNDUP(A327/12,0)</f>
        <v>28</v>
      </c>
      <c r="C327" s="19" t="n">
        <f aca="false">Age+B327-1</f>
        <v>89</v>
      </c>
      <c r="D327" s="20" t="n">
        <f aca="false">MonthlyExp*(1+Inflation)^(B327-1)</f>
        <v>310693.381483835</v>
      </c>
      <c r="E327" s="20" t="n">
        <f aca="false">J326</f>
        <v>14100847.0325853</v>
      </c>
      <c r="F327" s="20" t="n">
        <f aca="false">E327*B1Ret/12</f>
        <v>82254.9410234144</v>
      </c>
      <c r="G327" s="20" t="n">
        <f aca="false">D327</f>
        <v>310693.381483835</v>
      </c>
      <c r="H327" s="20" t="n">
        <v>0</v>
      </c>
      <c r="I327" s="20" t="n">
        <f aca="false">H327</f>
        <v>0</v>
      </c>
      <c r="J327" s="20" t="n">
        <f aca="false">E327+F327-G327+I327</f>
        <v>13872408.5921249</v>
      </c>
      <c r="K327" s="20" t="n">
        <f aca="false">O326</f>
        <v>19468890.1957972</v>
      </c>
      <c r="L327" s="20" t="n">
        <f aca="false">K327*B2Ret/12</f>
        <v>146016.676468479</v>
      </c>
      <c r="M327" s="20" t="n">
        <f aca="false">-I327</f>
        <v>-0</v>
      </c>
      <c r="N327" s="20" t="n">
        <v>0</v>
      </c>
      <c r="O327" s="20" t="n">
        <f aca="false">K327+L327+M327+N327</f>
        <v>19614906.8722657</v>
      </c>
      <c r="P327" s="20" t="n">
        <f aca="false">S326</f>
        <v>120618022.52833</v>
      </c>
      <c r="Q327" s="20" t="n">
        <f aca="false">P327*B3Ret/12</f>
        <v>1105665.20650969</v>
      </c>
      <c r="R327" s="20" t="n">
        <f aca="false">-N327</f>
        <v>-0</v>
      </c>
      <c r="S327" s="20" t="n">
        <f aca="false">P327+Q327+R327</f>
        <v>121723687.73484</v>
      </c>
      <c r="T327" s="20" t="n">
        <f aca="false">J327+O327+S327</f>
        <v>155211003.19923</v>
      </c>
    </row>
    <row r="328" customFormat="false" ht="15" hidden="false" customHeight="false" outlineLevel="0" collapsed="false">
      <c r="A328" s="19" t="n">
        <v>327</v>
      </c>
      <c r="B328" s="19" t="n">
        <f aca="false">ROUNDUP(A328/12,0)</f>
        <v>28</v>
      </c>
      <c r="C328" s="19" t="n">
        <f aca="false">Age+B328-1</f>
        <v>89</v>
      </c>
      <c r="D328" s="20" t="n">
        <f aca="false">MonthlyExp*(1+Inflation)^(B328-1)</f>
        <v>310693.381483835</v>
      </c>
      <c r="E328" s="20" t="n">
        <f aca="false">J327</f>
        <v>13872408.5921249</v>
      </c>
      <c r="F328" s="20" t="n">
        <f aca="false">E328*B1Ret/12</f>
        <v>80922.3834540619</v>
      </c>
      <c r="G328" s="20" t="n">
        <f aca="false">D328</f>
        <v>310693.381483835</v>
      </c>
      <c r="H328" s="20" t="n">
        <v>0</v>
      </c>
      <c r="I328" s="20" t="n">
        <f aca="false">H328</f>
        <v>0</v>
      </c>
      <c r="J328" s="20" t="n">
        <f aca="false">E328+F328-G328+I328</f>
        <v>13642637.5940951</v>
      </c>
      <c r="K328" s="20" t="n">
        <f aca="false">O327</f>
        <v>19614906.8722657</v>
      </c>
      <c r="L328" s="20" t="n">
        <f aca="false">K328*B2Ret/12</f>
        <v>147111.801541993</v>
      </c>
      <c r="M328" s="20" t="n">
        <f aca="false">-I328</f>
        <v>-0</v>
      </c>
      <c r="N328" s="20" t="n">
        <v>0</v>
      </c>
      <c r="O328" s="20" t="n">
        <f aca="false">K328+L328+M328+N328</f>
        <v>19762018.6738077</v>
      </c>
      <c r="P328" s="20" t="n">
        <f aca="false">S327</f>
        <v>121723687.73484</v>
      </c>
      <c r="Q328" s="20" t="n">
        <f aca="false">P328*B3Ret/12</f>
        <v>1115800.4709027</v>
      </c>
      <c r="R328" s="20" t="n">
        <f aca="false">-N328</f>
        <v>-0</v>
      </c>
      <c r="S328" s="20" t="n">
        <f aca="false">P328+Q328+R328</f>
        <v>122839488.205742</v>
      </c>
      <c r="T328" s="20" t="n">
        <f aca="false">J328+O328+S328</f>
        <v>156244144.473645</v>
      </c>
    </row>
    <row r="329" customFormat="false" ht="15" hidden="false" customHeight="false" outlineLevel="0" collapsed="false">
      <c r="A329" s="19" t="n">
        <v>328</v>
      </c>
      <c r="B329" s="19" t="n">
        <f aca="false">ROUNDUP(A329/12,0)</f>
        <v>28</v>
      </c>
      <c r="C329" s="19" t="n">
        <f aca="false">Age+B329-1</f>
        <v>89</v>
      </c>
      <c r="D329" s="20" t="n">
        <f aca="false">MonthlyExp*(1+Inflation)^(B329-1)</f>
        <v>310693.381483835</v>
      </c>
      <c r="E329" s="20" t="n">
        <f aca="false">J328</f>
        <v>13642637.5940951</v>
      </c>
      <c r="F329" s="20" t="n">
        <f aca="false">E329*B1Ret/12</f>
        <v>79582.0526322216</v>
      </c>
      <c r="G329" s="20" t="n">
        <f aca="false">D329</f>
        <v>310693.381483835</v>
      </c>
      <c r="H329" s="20" t="n">
        <v>0</v>
      </c>
      <c r="I329" s="20" t="n">
        <f aca="false">H329</f>
        <v>0</v>
      </c>
      <c r="J329" s="20" t="n">
        <f aca="false">E329+F329-G329+I329</f>
        <v>13411526.2652435</v>
      </c>
      <c r="K329" s="20" t="n">
        <f aca="false">O328</f>
        <v>19762018.6738077</v>
      </c>
      <c r="L329" s="20" t="n">
        <f aca="false">K329*B2Ret/12</f>
        <v>148215.140053558</v>
      </c>
      <c r="M329" s="20" t="n">
        <f aca="false">-I329</f>
        <v>-0</v>
      </c>
      <c r="N329" s="20" t="n">
        <v>0</v>
      </c>
      <c r="O329" s="20" t="n">
        <f aca="false">K329+L329+M329+N329</f>
        <v>19910233.8138612</v>
      </c>
      <c r="P329" s="20" t="n">
        <f aca="false">S328</f>
        <v>122839488.205742</v>
      </c>
      <c r="Q329" s="20" t="n">
        <f aca="false">P329*B3Ret/12</f>
        <v>1126028.64188597</v>
      </c>
      <c r="R329" s="20" t="n">
        <f aca="false">-N329</f>
        <v>-0</v>
      </c>
      <c r="S329" s="20" t="n">
        <f aca="false">P329+Q329+R329</f>
        <v>123965516.847628</v>
      </c>
      <c r="T329" s="20" t="n">
        <f aca="false">J329+O329+S329</f>
        <v>157287276.926733</v>
      </c>
    </row>
    <row r="330" customFormat="false" ht="15" hidden="false" customHeight="false" outlineLevel="0" collapsed="false">
      <c r="A330" s="19" t="n">
        <v>329</v>
      </c>
      <c r="B330" s="19" t="n">
        <f aca="false">ROUNDUP(A330/12,0)</f>
        <v>28</v>
      </c>
      <c r="C330" s="19" t="n">
        <f aca="false">Age+B330-1</f>
        <v>89</v>
      </c>
      <c r="D330" s="20" t="n">
        <f aca="false">MonthlyExp*(1+Inflation)^(B330-1)</f>
        <v>310693.381483835</v>
      </c>
      <c r="E330" s="20" t="n">
        <f aca="false">J329</f>
        <v>13411526.2652435</v>
      </c>
      <c r="F330" s="20" t="n">
        <f aca="false">E330*B1Ret/12</f>
        <v>78233.9032139205</v>
      </c>
      <c r="G330" s="20" t="n">
        <f aca="false">D330</f>
        <v>310693.381483835</v>
      </c>
      <c r="H330" s="20" t="n">
        <v>0</v>
      </c>
      <c r="I330" s="20" t="n">
        <f aca="false">H330</f>
        <v>0</v>
      </c>
      <c r="J330" s="20" t="n">
        <f aca="false">E330+F330-G330+I330</f>
        <v>13179066.7869736</v>
      </c>
      <c r="K330" s="20" t="n">
        <f aca="false">O329</f>
        <v>19910233.8138612</v>
      </c>
      <c r="L330" s="20" t="n">
        <f aca="false">K330*B2Ret/12</f>
        <v>149326.753603959</v>
      </c>
      <c r="M330" s="20" t="n">
        <f aca="false">-I330</f>
        <v>-0</v>
      </c>
      <c r="N330" s="20" t="n">
        <v>0</v>
      </c>
      <c r="O330" s="20" t="n">
        <f aca="false">K330+L330+M330+N330</f>
        <v>20059560.5674652</v>
      </c>
      <c r="P330" s="20" t="n">
        <f aca="false">S329</f>
        <v>123965516.847628</v>
      </c>
      <c r="Q330" s="20" t="n">
        <f aca="false">P330*B3Ret/12</f>
        <v>1136350.57110326</v>
      </c>
      <c r="R330" s="20" t="n">
        <f aca="false">-N330</f>
        <v>-0</v>
      </c>
      <c r="S330" s="20" t="n">
        <f aca="false">P330+Q330+R330</f>
        <v>125101867.418731</v>
      </c>
      <c r="T330" s="20" t="n">
        <f aca="false">J330+O330+S330</f>
        <v>158340494.77317</v>
      </c>
    </row>
    <row r="331" customFormat="false" ht="15" hidden="false" customHeight="false" outlineLevel="0" collapsed="false">
      <c r="A331" s="19" t="n">
        <v>330</v>
      </c>
      <c r="B331" s="19" t="n">
        <f aca="false">ROUNDUP(A331/12,0)</f>
        <v>28</v>
      </c>
      <c r="C331" s="19" t="n">
        <f aca="false">Age+B331-1</f>
        <v>89</v>
      </c>
      <c r="D331" s="20" t="n">
        <f aca="false">MonthlyExp*(1+Inflation)^(B331-1)</f>
        <v>310693.381483835</v>
      </c>
      <c r="E331" s="20" t="n">
        <f aca="false">J330</f>
        <v>13179066.7869736</v>
      </c>
      <c r="F331" s="20" t="n">
        <f aca="false">E331*B1Ret/12</f>
        <v>76877.8895906793</v>
      </c>
      <c r="G331" s="20" t="n">
        <f aca="false">D331</f>
        <v>310693.381483835</v>
      </c>
      <c r="H331" s="20" t="n">
        <v>0</v>
      </c>
      <c r="I331" s="20" t="n">
        <f aca="false">H331</f>
        <v>0</v>
      </c>
      <c r="J331" s="20" t="n">
        <f aca="false">E331+F331-G331+I331</f>
        <v>12945251.2950804</v>
      </c>
      <c r="K331" s="20" t="n">
        <f aca="false">O330</f>
        <v>20059560.5674652</v>
      </c>
      <c r="L331" s="20" t="n">
        <f aca="false">K331*B2Ret/12</f>
        <v>150446.704255989</v>
      </c>
      <c r="M331" s="20" t="n">
        <f aca="false">-I331</f>
        <v>-0</v>
      </c>
      <c r="N331" s="20" t="n">
        <v>0</v>
      </c>
      <c r="O331" s="20" t="n">
        <f aca="false">K331+L331+M331+N331</f>
        <v>20210007.2717212</v>
      </c>
      <c r="P331" s="20" t="n">
        <f aca="false">S330</f>
        <v>125101867.418731</v>
      </c>
      <c r="Q331" s="20" t="n">
        <f aca="false">P331*B3Ret/12</f>
        <v>1146767.11800504</v>
      </c>
      <c r="R331" s="20" t="n">
        <f aca="false">-N331</f>
        <v>-0</v>
      </c>
      <c r="S331" s="20" t="n">
        <f aca="false">P331+Q331+R331</f>
        <v>126248634.536736</v>
      </c>
      <c r="T331" s="20" t="n">
        <f aca="false">J331+O331+S331</f>
        <v>159403893.103538</v>
      </c>
    </row>
    <row r="332" customFormat="false" ht="15" hidden="false" customHeight="false" outlineLevel="0" collapsed="false">
      <c r="A332" s="19" t="n">
        <v>331</v>
      </c>
      <c r="B332" s="19" t="n">
        <f aca="false">ROUNDUP(A332/12,0)</f>
        <v>28</v>
      </c>
      <c r="C332" s="19" t="n">
        <f aca="false">Age+B332-1</f>
        <v>89</v>
      </c>
      <c r="D332" s="20" t="n">
        <f aca="false">MonthlyExp*(1+Inflation)^(B332-1)</f>
        <v>310693.381483835</v>
      </c>
      <c r="E332" s="20" t="n">
        <f aca="false">J331</f>
        <v>12945251.2950804</v>
      </c>
      <c r="F332" s="20" t="n">
        <f aca="false">E332*B1Ret/12</f>
        <v>75513.9658879693</v>
      </c>
      <c r="G332" s="20" t="n">
        <f aca="false">D332</f>
        <v>310693.381483835</v>
      </c>
      <c r="H332" s="20" t="n">
        <v>0</v>
      </c>
      <c r="I332" s="20" t="n">
        <f aca="false">H332</f>
        <v>0</v>
      </c>
      <c r="J332" s="20" t="n">
        <f aca="false">E332+F332-G332+I332</f>
        <v>12710071.8794846</v>
      </c>
      <c r="K332" s="20" t="n">
        <f aca="false">O331</f>
        <v>20210007.2717212</v>
      </c>
      <c r="L332" s="20" t="n">
        <f aca="false">K332*B2Ret/12</f>
        <v>151575.054537909</v>
      </c>
      <c r="M332" s="20" t="n">
        <f aca="false">-I332</f>
        <v>-0</v>
      </c>
      <c r="N332" s="20" t="n">
        <v>0</v>
      </c>
      <c r="O332" s="20" t="n">
        <f aca="false">K332+L332+M332+N332</f>
        <v>20361582.3262591</v>
      </c>
      <c r="P332" s="20" t="n">
        <f aca="false">S331</f>
        <v>126248634.536736</v>
      </c>
      <c r="Q332" s="20" t="n">
        <f aca="false">P332*B3Ret/12</f>
        <v>1157279.14992008</v>
      </c>
      <c r="R332" s="20" t="n">
        <f aca="false">-N332</f>
        <v>-0</v>
      </c>
      <c r="S332" s="20" t="n">
        <f aca="false">P332+Q332+R332</f>
        <v>127405913.686657</v>
      </c>
      <c r="T332" s="20" t="n">
        <f aca="false">J332+O332+S332</f>
        <v>160477567.8924</v>
      </c>
    </row>
    <row r="333" customFormat="false" ht="15" hidden="false" customHeight="false" outlineLevel="0" collapsed="false">
      <c r="A333" s="19" t="n">
        <v>332</v>
      </c>
      <c r="B333" s="19" t="n">
        <f aca="false">ROUNDUP(A333/12,0)</f>
        <v>28</v>
      </c>
      <c r="C333" s="19" t="n">
        <f aca="false">Age+B333-1</f>
        <v>89</v>
      </c>
      <c r="D333" s="20" t="n">
        <f aca="false">MonthlyExp*(1+Inflation)^(B333-1)</f>
        <v>310693.381483835</v>
      </c>
      <c r="E333" s="20" t="n">
        <f aca="false">J332</f>
        <v>12710071.8794846</v>
      </c>
      <c r="F333" s="20" t="n">
        <f aca="false">E333*B1Ret/12</f>
        <v>74142.08596366</v>
      </c>
      <c r="G333" s="20" t="n">
        <f aca="false">D333</f>
        <v>310693.381483835</v>
      </c>
      <c r="H333" s="20" t="n">
        <v>0</v>
      </c>
      <c r="I333" s="20" t="n">
        <f aca="false">H333</f>
        <v>0</v>
      </c>
      <c r="J333" s="20" t="n">
        <f aca="false">E333+F333-G333+I333</f>
        <v>12473520.5839644</v>
      </c>
      <c r="K333" s="20" t="n">
        <f aca="false">O332</f>
        <v>20361582.3262591</v>
      </c>
      <c r="L333" s="20" t="n">
        <f aca="false">K333*B2Ret/12</f>
        <v>152711.867446943</v>
      </c>
      <c r="M333" s="20" t="n">
        <f aca="false">-I333</f>
        <v>-0</v>
      </c>
      <c r="N333" s="20" t="n">
        <v>0</v>
      </c>
      <c r="O333" s="20" t="n">
        <f aca="false">K333+L333+M333+N333</f>
        <v>20514294.193706</v>
      </c>
      <c r="P333" s="20" t="n">
        <f aca="false">S332</f>
        <v>127405913.686657</v>
      </c>
      <c r="Q333" s="20" t="n">
        <f aca="false">P333*B3Ret/12</f>
        <v>1167887.54212769</v>
      </c>
      <c r="R333" s="20" t="n">
        <f aca="false">-N333</f>
        <v>-0</v>
      </c>
      <c r="S333" s="20" t="n">
        <f aca="false">P333+Q333+R333</f>
        <v>128573801.228784</v>
      </c>
      <c r="T333" s="20" t="n">
        <f aca="false">J333+O333+S333</f>
        <v>161561616.006455</v>
      </c>
    </row>
    <row r="334" customFormat="false" ht="15" hidden="false" customHeight="false" outlineLevel="0" collapsed="false">
      <c r="A334" s="19" t="n">
        <v>333</v>
      </c>
      <c r="B334" s="19" t="n">
        <f aca="false">ROUNDUP(A334/12,0)</f>
        <v>28</v>
      </c>
      <c r="C334" s="19" t="n">
        <f aca="false">Age+B334-1</f>
        <v>89</v>
      </c>
      <c r="D334" s="20" t="n">
        <f aca="false">MonthlyExp*(1+Inflation)^(B334-1)</f>
        <v>310693.381483835</v>
      </c>
      <c r="E334" s="20" t="n">
        <f aca="false">J333</f>
        <v>12473520.5839644</v>
      </c>
      <c r="F334" s="20" t="n">
        <f aca="false">E334*B1Ret/12</f>
        <v>72762.203406459</v>
      </c>
      <c r="G334" s="20" t="n">
        <f aca="false">D334</f>
        <v>310693.381483835</v>
      </c>
      <c r="H334" s="20" t="n">
        <v>0</v>
      </c>
      <c r="I334" s="20" t="n">
        <f aca="false">H334</f>
        <v>0</v>
      </c>
      <c r="J334" s="20" t="n">
        <f aca="false">E334+F334-G334+I334</f>
        <v>12235589.405887</v>
      </c>
      <c r="K334" s="20" t="n">
        <f aca="false">O333</f>
        <v>20514294.193706</v>
      </c>
      <c r="L334" s="20" t="n">
        <f aca="false">K334*B2Ret/12</f>
        <v>153857.206452795</v>
      </c>
      <c r="M334" s="20" t="n">
        <f aca="false">-I334</f>
        <v>-0</v>
      </c>
      <c r="N334" s="20" t="n">
        <v>0</v>
      </c>
      <c r="O334" s="20" t="n">
        <f aca="false">K334+L334+M334+N334</f>
        <v>20668151.4001588</v>
      </c>
      <c r="P334" s="20" t="n">
        <f aca="false">S333</f>
        <v>128573801.228784</v>
      </c>
      <c r="Q334" s="20" t="n">
        <f aca="false">P334*B3Ret/12</f>
        <v>1178593.17793052</v>
      </c>
      <c r="R334" s="20" t="n">
        <f aca="false">-N334</f>
        <v>-0</v>
      </c>
      <c r="S334" s="20" t="n">
        <f aca="false">P334+Q334+R334</f>
        <v>129752394.406715</v>
      </c>
      <c r="T334" s="20" t="n">
        <f aca="false">J334+O334+S334</f>
        <v>162656135.212761</v>
      </c>
    </row>
    <row r="335" customFormat="false" ht="15" hidden="false" customHeight="false" outlineLevel="0" collapsed="false">
      <c r="A335" s="19" t="n">
        <v>334</v>
      </c>
      <c r="B335" s="19" t="n">
        <f aca="false">ROUNDUP(A335/12,0)</f>
        <v>28</v>
      </c>
      <c r="C335" s="19" t="n">
        <f aca="false">Age+B335-1</f>
        <v>89</v>
      </c>
      <c r="D335" s="20" t="n">
        <f aca="false">MonthlyExp*(1+Inflation)^(B335-1)</f>
        <v>310693.381483835</v>
      </c>
      <c r="E335" s="20" t="n">
        <f aca="false">J334</f>
        <v>12235589.405887</v>
      </c>
      <c r="F335" s="20" t="n">
        <f aca="false">E335*B1Ret/12</f>
        <v>71374.271534341</v>
      </c>
      <c r="G335" s="20" t="n">
        <f aca="false">D335</f>
        <v>310693.381483835</v>
      </c>
      <c r="H335" s="20" t="n">
        <v>0</v>
      </c>
      <c r="I335" s="20" t="n">
        <f aca="false">H335</f>
        <v>0</v>
      </c>
      <c r="J335" s="20" t="n">
        <f aca="false">E335+F335-G335+I335</f>
        <v>11996270.2959375</v>
      </c>
      <c r="K335" s="20" t="n">
        <f aca="false">O334</f>
        <v>20668151.4001588</v>
      </c>
      <c r="L335" s="20" t="n">
        <f aca="false">K335*B2Ret/12</f>
        <v>155011.135501191</v>
      </c>
      <c r="M335" s="20" t="n">
        <f aca="false">-I335</f>
        <v>-0</v>
      </c>
      <c r="N335" s="20" t="n">
        <v>0</v>
      </c>
      <c r="O335" s="20" t="n">
        <f aca="false">K335+L335+M335+N335</f>
        <v>20823162.53566</v>
      </c>
      <c r="P335" s="20" t="n">
        <f aca="false">S334</f>
        <v>129752394.406715</v>
      </c>
      <c r="Q335" s="20" t="n">
        <f aca="false">P335*B3Ret/12</f>
        <v>1189396.94872822</v>
      </c>
      <c r="R335" s="20" t="n">
        <f aca="false">-N335</f>
        <v>-0</v>
      </c>
      <c r="S335" s="20" t="n">
        <f aca="false">P335+Q335+R335</f>
        <v>130941791.355443</v>
      </c>
      <c r="T335" s="20" t="n">
        <f aca="false">J335+O335+S335</f>
        <v>163761224.187041</v>
      </c>
    </row>
    <row r="336" customFormat="false" ht="15" hidden="false" customHeight="false" outlineLevel="0" collapsed="false">
      <c r="A336" s="19" t="n">
        <v>335</v>
      </c>
      <c r="B336" s="19" t="n">
        <f aca="false">ROUNDUP(A336/12,0)</f>
        <v>28</v>
      </c>
      <c r="C336" s="19" t="n">
        <f aca="false">Age+B336-1</f>
        <v>89</v>
      </c>
      <c r="D336" s="20" t="n">
        <f aca="false">MonthlyExp*(1+Inflation)^(B336-1)</f>
        <v>310693.381483835</v>
      </c>
      <c r="E336" s="20" t="n">
        <f aca="false">J335</f>
        <v>11996270.2959375</v>
      </c>
      <c r="F336" s="20" t="n">
        <f aca="false">E336*B1Ret/12</f>
        <v>69978.2433929689</v>
      </c>
      <c r="G336" s="20" t="n">
        <f aca="false">D336</f>
        <v>310693.381483835</v>
      </c>
      <c r="H336" s="20" t="n">
        <v>0</v>
      </c>
      <c r="I336" s="20" t="n">
        <f aca="false">H336</f>
        <v>0</v>
      </c>
      <c r="J336" s="20" t="n">
        <f aca="false">E336+F336-G336+I336</f>
        <v>11755555.1578467</v>
      </c>
      <c r="K336" s="20" t="n">
        <f aca="false">O335</f>
        <v>20823162.53566</v>
      </c>
      <c r="L336" s="20" t="n">
        <f aca="false">K336*B2Ret/12</f>
        <v>156173.71901745</v>
      </c>
      <c r="M336" s="20" t="n">
        <f aca="false">-I336</f>
        <v>-0</v>
      </c>
      <c r="N336" s="20" t="n">
        <v>0</v>
      </c>
      <c r="O336" s="20" t="n">
        <f aca="false">K336+L336+M336+N336</f>
        <v>20979336.2546775</v>
      </c>
      <c r="P336" s="20" t="n">
        <f aca="false">S335</f>
        <v>130941791.355443</v>
      </c>
      <c r="Q336" s="20" t="n">
        <f aca="false">P336*B3Ret/12</f>
        <v>1200299.75409156</v>
      </c>
      <c r="R336" s="20" t="n">
        <f aca="false">-N336</f>
        <v>-0</v>
      </c>
      <c r="S336" s="20" t="n">
        <f aca="false">P336+Q336+R336</f>
        <v>132142091.109535</v>
      </c>
      <c r="T336" s="20" t="n">
        <f aca="false">J336+O336+S336</f>
        <v>164876982.522059</v>
      </c>
    </row>
    <row r="337" customFormat="false" ht="15" hidden="false" customHeight="false" outlineLevel="0" collapsed="false">
      <c r="A337" s="19" t="n">
        <v>336</v>
      </c>
      <c r="B337" s="19" t="n">
        <f aca="false">ROUNDUP(A337/12,0)</f>
        <v>28</v>
      </c>
      <c r="C337" s="19" t="n">
        <f aca="false">Age+B337-1</f>
        <v>89</v>
      </c>
      <c r="D337" s="20" t="n">
        <f aca="false">MonthlyExp*(1+Inflation)^(B337-1)</f>
        <v>310693.381483835</v>
      </c>
      <c r="E337" s="20" t="n">
        <f aca="false">J336</f>
        <v>11755555.1578467</v>
      </c>
      <c r="F337" s="20" t="n">
        <f aca="false">E337*B1Ret/12</f>
        <v>68574.0717541055</v>
      </c>
      <c r="G337" s="20" t="n">
        <f aca="false">D337</f>
        <v>310693.381483835</v>
      </c>
      <c r="H337" s="20" t="n">
        <v>0</v>
      </c>
      <c r="I337" s="20" t="n">
        <f aca="false">H337</f>
        <v>0</v>
      </c>
      <c r="J337" s="20" t="n">
        <f aca="false">E337+F337-G337+I337</f>
        <v>11513435.8481169</v>
      </c>
      <c r="K337" s="20" t="n">
        <f aca="false">O336</f>
        <v>20979336.2546775</v>
      </c>
      <c r="L337" s="20" t="n">
        <f aca="false">K337*B2Ret/12</f>
        <v>157345.021910081</v>
      </c>
      <c r="M337" s="20" t="n">
        <f aca="false">-I337</f>
        <v>-0</v>
      </c>
      <c r="N337" s="20" t="n">
        <v>0</v>
      </c>
      <c r="O337" s="20" t="n">
        <f aca="false">K337+L337+M337+N337</f>
        <v>21136681.2765876</v>
      </c>
      <c r="P337" s="20" t="n">
        <f aca="false">S336</f>
        <v>132142091.109535</v>
      </c>
      <c r="Q337" s="20" t="n">
        <f aca="false">P337*B3Ret/12</f>
        <v>1211302.5018374</v>
      </c>
      <c r="R337" s="20" t="n">
        <f aca="false">-N337</f>
        <v>-0</v>
      </c>
      <c r="S337" s="20" t="n">
        <f aca="false">P337+Q337+R337</f>
        <v>133353393.611372</v>
      </c>
      <c r="T337" s="20" t="n">
        <f aca="false">J337+O337+S337</f>
        <v>166003510.736076</v>
      </c>
    </row>
    <row r="338" customFormat="false" ht="15" hidden="false" customHeight="false" outlineLevel="0" collapsed="false">
      <c r="A338" s="19" t="n">
        <v>337</v>
      </c>
      <c r="B338" s="19" t="n">
        <f aca="false">ROUNDUP(A338/12,0)</f>
        <v>29</v>
      </c>
      <c r="C338" s="19" t="n">
        <f aca="false">Age+B338-1</f>
        <v>90</v>
      </c>
      <c r="D338" s="20" t="n">
        <f aca="false">MonthlyExp*(1+Inflation)^(B338-1)</f>
        <v>332441.918187704</v>
      </c>
      <c r="E338" s="20" t="n">
        <f aca="false">J337</f>
        <v>11513435.8481169</v>
      </c>
      <c r="F338" s="20" t="n">
        <f aca="false">E338*B1Ret/12</f>
        <v>67161.7091140154</v>
      </c>
      <c r="G338" s="20" t="n">
        <f aca="false">D338</f>
        <v>332441.918187704</v>
      </c>
      <c r="H338" s="20" t="n">
        <v>0</v>
      </c>
      <c r="I338" s="20" t="n">
        <f aca="false">H338</f>
        <v>0</v>
      </c>
      <c r="J338" s="20" t="n">
        <f aca="false">E338+F338-G338+I338</f>
        <v>11248155.6390432</v>
      </c>
      <c r="K338" s="20" t="n">
        <f aca="false">O337</f>
        <v>21136681.2765876</v>
      </c>
      <c r="L338" s="20" t="n">
        <f aca="false">K338*B2Ret/12</f>
        <v>158525.109574407</v>
      </c>
      <c r="M338" s="20" t="n">
        <f aca="false">-I338</f>
        <v>-0</v>
      </c>
      <c r="N338" s="20" t="n">
        <v>0</v>
      </c>
      <c r="O338" s="20" t="n">
        <f aca="false">K338+L338+M338+N338</f>
        <v>21295206.386162</v>
      </c>
      <c r="P338" s="20" t="n">
        <f aca="false">S337</f>
        <v>133353393.611372</v>
      </c>
      <c r="Q338" s="20" t="n">
        <f aca="false">P338*B3Ret/12</f>
        <v>1222406.10810424</v>
      </c>
      <c r="R338" s="20" t="n">
        <f aca="false">-N338</f>
        <v>-0</v>
      </c>
      <c r="S338" s="20" t="n">
        <f aca="false">P338+Q338+R338</f>
        <v>134575799.719476</v>
      </c>
      <c r="T338" s="20" t="n">
        <f aca="false">J338+O338+S338</f>
        <v>167119161.744681</v>
      </c>
    </row>
    <row r="339" customFormat="false" ht="15" hidden="false" customHeight="false" outlineLevel="0" collapsed="false">
      <c r="A339" s="19" t="n">
        <v>338</v>
      </c>
      <c r="B339" s="19" t="n">
        <f aca="false">ROUNDUP(A339/12,0)</f>
        <v>29</v>
      </c>
      <c r="C339" s="19" t="n">
        <f aca="false">Age+B339-1</f>
        <v>90</v>
      </c>
      <c r="D339" s="20" t="n">
        <f aca="false">MonthlyExp*(1+Inflation)^(B339-1)</f>
        <v>332441.918187704</v>
      </c>
      <c r="E339" s="20" t="n">
        <f aca="false">J338</f>
        <v>11248155.6390432</v>
      </c>
      <c r="F339" s="20" t="n">
        <f aca="false">E339*B1Ret/12</f>
        <v>65614.2412277522</v>
      </c>
      <c r="G339" s="20" t="n">
        <f aca="false">D339</f>
        <v>332441.918187704</v>
      </c>
      <c r="H339" s="20" t="n">
        <v>0</v>
      </c>
      <c r="I339" s="20" t="n">
        <f aca="false">H339</f>
        <v>0</v>
      </c>
      <c r="J339" s="20" t="n">
        <f aca="false">E339+F339-G339+I339</f>
        <v>10981327.9620833</v>
      </c>
      <c r="K339" s="20" t="n">
        <f aca="false">O338</f>
        <v>21295206.386162</v>
      </c>
      <c r="L339" s="20" t="n">
        <f aca="false">K339*B2Ret/12</f>
        <v>159714.047896215</v>
      </c>
      <c r="M339" s="20" t="n">
        <f aca="false">-I339</f>
        <v>-0</v>
      </c>
      <c r="N339" s="20" t="n">
        <v>0</v>
      </c>
      <c r="O339" s="20" t="n">
        <f aca="false">K339+L339+M339+N339</f>
        <v>21454920.4340582</v>
      </c>
      <c r="P339" s="20" t="n">
        <f aca="false">S338</f>
        <v>134575799.719476</v>
      </c>
      <c r="Q339" s="20" t="n">
        <f aca="false">P339*B3Ret/12</f>
        <v>1233611.49742853</v>
      </c>
      <c r="R339" s="20" t="n">
        <f aca="false">-N339</f>
        <v>-0</v>
      </c>
      <c r="S339" s="20" t="n">
        <f aca="false">P339+Q339+R339</f>
        <v>135809411.216905</v>
      </c>
      <c r="T339" s="20" t="n">
        <f aca="false">J339+O339+S339</f>
        <v>168245659.613046</v>
      </c>
    </row>
    <row r="340" customFormat="false" ht="15" hidden="false" customHeight="false" outlineLevel="0" collapsed="false">
      <c r="A340" s="19" t="n">
        <v>339</v>
      </c>
      <c r="B340" s="19" t="n">
        <f aca="false">ROUNDUP(A340/12,0)</f>
        <v>29</v>
      </c>
      <c r="C340" s="19" t="n">
        <f aca="false">Age+B340-1</f>
        <v>90</v>
      </c>
      <c r="D340" s="20" t="n">
        <f aca="false">MonthlyExp*(1+Inflation)^(B340-1)</f>
        <v>332441.918187704</v>
      </c>
      <c r="E340" s="20" t="n">
        <f aca="false">J339</f>
        <v>10981327.9620833</v>
      </c>
      <c r="F340" s="20" t="n">
        <f aca="false">E340*B1Ret/12</f>
        <v>64057.7464454859</v>
      </c>
      <c r="G340" s="20" t="n">
        <f aca="false">D340</f>
        <v>332441.918187704</v>
      </c>
      <c r="H340" s="20" t="n">
        <v>0</v>
      </c>
      <c r="I340" s="20" t="n">
        <f aca="false">H340</f>
        <v>0</v>
      </c>
      <c r="J340" s="20" t="n">
        <f aca="false">E340+F340-G340+I340</f>
        <v>10712943.7903411</v>
      </c>
      <c r="K340" s="20" t="n">
        <f aca="false">O339</f>
        <v>21454920.4340582</v>
      </c>
      <c r="L340" s="20" t="n">
        <f aca="false">K340*B2Ret/12</f>
        <v>160911.903255436</v>
      </c>
      <c r="M340" s="20" t="n">
        <f aca="false">-I340</f>
        <v>-0</v>
      </c>
      <c r="N340" s="20" t="n">
        <v>0</v>
      </c>
      <c r="O340" s="20" t="n">
        <f aca="false">K340+L340+M340+N340</f>
        <v>21615832.3373136</v>
      </c>
      <c r="P340" s="20" t="n">
        <f aca="false">S339</f>
        <v>135809411.216905</v>
      </c>
      <c r="Q340" s="20" t="n">
        <f aca="false">P340*B3Ret/12</f>
        <v>1244919.60282163</v>
      </c>
      <c r="R340" s="20" t="n">
        <f aca="false">-N340</f>
        <v>-0</v>
      </c>
      <c r="S340" s="20" t="n">
        <f aca="false">P340+Q340+R340</f>
        <v>137054330.819726</v>
      </c>
      <c r="T340" s="20" t="n">
        <f aca="false">J340+O340+S340</f>
        <v>169383106.947381</v>
      </c>
    </row>
    <row r="341" customFormat="false" ht="15" hidden="false" customHeight="false" outlineLevel="0" collapsed="false">
      <c r="A341" s="19" t="n">
        <v>340</v>
      </c>
      <c r="B341" s="19" t="n">
        <f aca="false">ROUNDUP(A341/12,0)</f>
        <v>29</v>
      </c>
      <c r="C341" s="19" t="n">
        <f aca="false">Age+B341-1</f>
        <v>90</v>
      </c>
      <c r="D341" s="20" t="n">
        <f aca="false">MonthlyExp*(1+Inflation)^(B341-1)</f>
        <v>332441.918187704</v>
      </c>
      <c r="E341" s="20" t="n">
        <f aca="false">J340</f>
        <v>10712943.7903411</v>
      </c>
      <c r="F341" s="20" t="n">
        <f aca="false">E341*B1Ret/12</f>
        <v>62492.1721103229</v>
      </c>
      <c r="G341" s="20" t="n">
        <f aca="false">D341</f>
        <v>332441.918187704</v>
      </c>
      <c r="H341" s="20" t="n">
        <v>0</v>
      </c>
      <c r="I341" s="20" t="n">
        <f aca="false">H341</f>
        <v>0</v>
      </c>
      <c r="J341" s="20" t="n">
        <f aca="false">E341+F341-G341+I341</f>
        <v>10442994.0442637</v>
      </c>
      <c r="K341" s="20" t="n">
        <f aca="false">O340</f>
        <v>21615832.3373136</v>
      </c>
      <c r="L341" s="20" t="n">
        <f aca="false">K341*B2Ret/12</f>
        <v>162118.742529852</v>
      </c>
      <c r="M341" s="20" t="n">
        <f aca="false">-I341</f>
        <v>-0</v>
      </c>
      <c r="N341" s="20" t="n">
        <v>0</v>
      </c>
      <c r="O341" s="20" t="n">
        <f aca="false">K341+L341+M341+N341</f>
        <v>21777951.0798435</v>
      </c>
      <c r="P341" s="20" t="n">
        <f aca="false">S340</f>
        <v>137054330.819726</v>
      </c>
      <c r="Q341" s="20" t="n">
        <f aca="false">P341*B3Ret/12</f>
        <v>1256331.36584749</v>
      </c>
      <c r="R341" s="20" t="n">
        <f aca="false">-N341</f>
        <v>-0</v>
      </c>
      <c r="S341" s="20" t="n">
        <f aca="false">P341+Q341+R341</f>
        <v>138310662.185574</v>
      </c>
      <c r="T341" s="20" t="n">
        <f aca="false">J341+O341+S341</f>
        <v>170531607.309681</v>
      </c>
    </row>
    <row r="342" customFormat="false" ht="15" hidden="false" customHeight="false" outlineLevel="0" collapsed="false">
      <c r="A342" s="19" t="n">
        <v>341</v>
      </c>
      <c r="B342" s="19" t="n">
        <f aca="false">ROUNDUP(A342/12,0)</f>
        <v>29</v>
      </c>
      <c r="C342" s="19" t="n">
        <f aca="false">Age+B342-1</f>
        <v>90</v>
      </c>
      <c r="D342" s="20" t="n">
        <f aca="false">MonthlyExp*(1+Inflation)^(B342-1)</f>
        <v>332441.918187704</v>
      </c>
      <c r="E342" s="20" t="n">
        <f aca="false">J341</f>
        <v>10442994.0442637</v>
      </c>
      <c r="F342" s="20" t="n">
        <f aca="false">E342*B1Ret/12</f>
        <v>60917.4652582049</v>
      </c>
      <c r="G342" s="20" t="n">
        <f aca="false">D342</f>
        <v>332441.918187704</v>
      </c>
      <c r="H342" s="20" t="n">
        <v>0</v>
      </c>
      <c r="I342" s="20" t="n">
        <f aca="false">H342</f>
        <v>0</v>
      </c>
      <c r="J342" s="20" t="n">
        <f aca="false">E342+F342-G342+I342</f>
        <v>10171469.5913342</v>
      </c>
      <c r="K342" s="20" t="n">
        <f aca="false">O341</f>
        <v>21777951.0798435</v>
      </c>
      <c r="L342" s="20" t="n">
        <f aca="false">K342*B2Ret/12</f>
        <v>163334.633098826</v>
      </c>
      <c r="M342" s="20" t="n">
        <f aca="false">-I342</f>
        <v>-0</v>
      </c>
      <c r="N342" s="20" t="n">
        <v>0</v>
      </c>
      <c r="O342" s="20" t="n">
        <f aca="false">K342+L342+M342+N342</f>
        <v>21941285.7129423</v>
      </c>
      <c r="P342" s="20" t="n">
        <f aca="false">S341</f>
        <v>138310662.185574</v>
      </c>
      <c r="Q342" s="20" t="n">
        <f aca="false">P342*B3Ret/12</f>
        <v>1267847.73670109</v>
      </c>
      <c r="R342" s="20" t="n">
        <f aca="false">-N342</f>
        <v>-0</v>
      </c>
      <c r="S342" s="20" t="n">
        <f aca="false">P342+Q342+R342</f>
        <v>139578509.922275</v>
      </c>
      <c r="T342" s="20" t="n">
        <f aca="false">J342+O342+S342</f>
        <v>171691265.226551</v>
      </c>
    </row>
    <row r="343" customFormat="false" ht="15" hidden="false" customHeight="false" outlineLevel="0" collapsed="false">
      <c r="A343" s="19" t="n">
        <v>342</v>
      </c>
      <c r="B343" s="19" t="n">
        <f aca="false">ROUNDUP(A343/12,0)</f>
        <v>29</v>
      </c>
      <c r="C343" s="19" t="n">
        <f aca="false">Age+B343-1</f>
        <v>90</v>
      </c>
      <c r="D343" s="20" t="n">
        <f aca="false">MonthlyExp*(1+Inflation)^(B343-1)</f>
        <v>332441.918187704</v>
      </c>
      <c r="E343" s="20" t="n">
        <f aca="false">J342</f>
        <v>10171469.5913342</v>
      </c>
      <c r="F343" s="20" t="n">
        <f aca="false">E343*B1Ret/12</f>
        <v>59333.5726161161</v>
      </c>
      <c r="G343" s="20" t="n">
        <f aca="false">D343</f>
        <v>332441.918187704</v>
      </c>
      <c r="H343" s="20" t="n">
        <v>0</v>
      </c>
      <c r="I343" s="20" t="n">
        <f aca="false">H343</f>
        <v>0</v>
      </c>
      <c r="J343" s="20" t="n">
        <f aca="false">E343+F343-G343+I343</f>
        <v>9898361.2457626</v>
      </c>
      <c r="K343" s="20" t="n">
        <f aca="false">O342</f>
        <v>21941285.7129423</v>
      </c>
      <c r="L343" s="20" t="n">
        <f aca="false">K343*B2Ret/12</f>
        <v>164559.642847067</v>
      </c>
      <c r="M343" s="20" t="n">
        <f aca="false">-I343</f>
        <v>-0</v>
      </c>
      <c r="N343" s="20" t="n">
        <v>0</v>
      </c>
      <c r="O343" s="20" t="n">
        <f aca="false">K343+L343+M343+N343</f>
        <v>22105845.3557894</v>
      </c>
      <c r="P343" s="20" t="n">
        <f aca="false">S342</f>
        <v>139578509.922275</v>
      </c>
      <c r="Q343" s="20" t="n">
        <f aca="false">P343*B3Ret/12</f>
        <v>1279469.67428752</v>
      </c>
      <c r="R343" s="20" t="n">
        <f aca="false">-N343</f>
        <v>-0</v>
      </c>
      <c r="S343" s="20" t="n">
        <f aca="false">P343+Q343+R343</f>
        <v>140857979.596562</v>
      </c>
      <c r="T343" s="20" t="n">
        <f aca="false">J343+O343+S343</f>
        <v>172862186.198114</v>
      </c>
    </row>
    <row r="344" customFormat="false" ht="15" hidden="false" customHeight="false" outlineLevel="0" collapsed="false">
      <c r="A344" s="19" t="n">
        <v>343</v>
      </c>
      <c r="B344" s="19" t="n">
        <f aca="false">ROUNDUP(A344/12,0)</f>
        <v>29</v>
      </c>
      <c r="C344" s="19" t="n">
        <f aca="false">Age+B344-1</f>
        <v>90</v>
      </c>
      <c r="D344" s="20" t="n">
        <f aca="false">MonthlyExp*(1+Inflation)^(B344-1)</f>
        <v>332441.918187704</v>
      </c>
      <c r="E344" s="20" t="n">
        <f aca="false">J343</f>
        <v>9898361.2457626</v>
      </c>
      <c r="F344" s="20" t="n">
        <f aca="false">E344*B1Ret/12</f>
        <v>57740.4406002818</v>
      </c>
      <c r="G344" s="20" t="n">
        <f aca="false">D344</f>
        <v>332441.918187704</v>
      </c>
      <c r="H344" s="20" t="n">
        <v>0</v>
      </c>
      <c r="I344" s="20" t="n">
        <f aca="false">H344</f>
        <v>0</v>
      </c>
      <c r="J344" s="20" t="n">
        <f aca="false">E344+F344-G344+I344</f>
        <v>9623659.76817518</v>
      </c>
      <c r="K344" s="20" t="n">
        <f aca="false">O343</f>
        <v>22105845.3557894</v>
      </c>
      <c r="L344" s="20" t="n">
        <f aca="false">K344*B2Ret/12</f>
        <v>165793.84016842</v>
      </c>
      <c r="M344" s="20" t="n">
        <f aca="false">-I344</f>
        <v>-0</v>
      </c>
      <c r="N344" s="20" t="n">
        <v>0</v>
      </c>
      <c r="O344" s="20" t="n">
        <f aca="false">K344+L344+M344+N344</f>
        <v>22271639.1959578</v>
      </c>
      <c r="P344" s="20" t="n">
        <f aca="false">S343</f>
        <v>140857979.596562</v>
      </c>
      <c r="Q344" s="20" t="n">
        <f aca="false">P344*B3Ret/12</f>
        <v>1291198.14630182</v>
      </c>
      <c r="R344" s="20" t="n">
        <f aca="false">-N344</f>
        <v>-0</v>
      </c>
      <c r="S344" s="20" t="n">
        <f aca="false">P344+Q344+R344</f>
        <v>142149177.742864</v>
      </c>
      <c r="T344" s="20" t="n">
        <f aca="false">J344+O344+S344</f>
        <v>174044476.706997</v>
      </c>
    </row>
    <row r="345" customFormat="false" ht="15" hidden="false" customHeight="false" outlineLevel="0" collapsed="false">
      <c r="A345" s="19" t="n">
        <v>344</v>
      </c>
      <c r="B345" s="19" t="n">
        <f aca="false">ROUNDUP(A345/12,0)</f>
        <v>29</v>
      </c>
      <c r="C345" s="19" t="n">
        <f aca="false">Age+B345-1</f>
        <v>90</v>
      </c>
      <c r="D345" s="20" t="n">
        <f aca="false">MonthlyExp*(1+Inflation)^(B345-1)</f>
        <v>332441.918187704</v>
      </c>
      <c r="E345" s="20" t="n">
        <f aca="false">J344</f>
        <v>9623659.76817518</v>
      </c>
      <c r="F345" s="20" t="n">
        <f aca="false">E345*B1Ret/12</f>
        <v>56138.0153143552</v>
      </c>
      <c r="G345" s="20" t="n">
        <f aca="false">D345</f>
        <v>332441.918187704</v>
      </c>
      <c r="H345" s="20" t="n">
        <v>0</v>
      </c>
      <c r="I345" s="20" t="n">
        <f aca="false">H345</f>
        <v>0</v>
      </c>
      <c r="J345" s="20" t="n">
        <f aca="false">E345+F345-G345+I345</f>
        <v>9347355.86530183</v>
      </c>
      <c r="K345" s="20" t="n">
        <f aca="false">O344</f>
        <v>22271639.1959578</v>
      </c>
      <c r="L345" s="20" t="n">
        <f aca="false">K345*B2Ret/12</f>
        <v>167037.293969683</v>
      </c>
      <c r="M345" s="20" t="n">
        <f aca="false">-I345</f>
        <v>-0</v>
      </c>
      <c r="N345" s="20" t="n">
        <v>0</v>
      </c>
      <c r="O345" s="20" t="n">
        <f aca="false">K345+L345+M345+N345</f>
        <v>22438676.4899275</v>
      </c>
      <c r="P345" s="20" t="n">
        <f aca="false">S344</f>
        <v>142149177.742864</v>
      </c>
      <c r="Q345" s="20" t="n">
        <f aca="false">P345*B3Ret/12</f>
        <v>1303034.12930959</v>
      </c>
      <c r="R345" s="20" t="n">
        <f aca="false">-N345</f>
        <v>-0</v>
      </c>
      <c r="S345" s="20" t="n">
        <f aca="false">P345+Q345+R345</f>
        <v>143452211.872174</v>
      </c>
      <c r="T345" s="20" t="n">
        <f aca="false">J345+O345+S345</f>
        <v>175238244.227403</v>
      </c>
    </row>
    <row r="346" customFormat="false" ht="15" hidden="false" customHeight="false" outlineLevel="0" collapsed="false">
      <c r="A346" s="19" t="n">
        <v>345</v>
      </c>
      <c r="B346" s="19" t="n">
        <f aca="false">ROUNDUP(A346/12,0)</f>
        <v>29</v>
      </c>
      <c r="C346" s="19" t="n">
        <f aca="false">Age+B346-1</f>
        <v>90</v>
      </c>
      <c r="D346" s="20" t="n">
        <f aca="false">MonthlyExp*(1+Inflation)^(B346-1)</f>
        <v>332441.918187704</v>
      </c>
      <c r="E346" s="20" t="n">
        <f aca="false">J345</f>
        <v>9347355.86530183</v>
      </c>
      <c r="F346" s="20" t="n">
        <f aca="false">E346*B1Ret/12</f>
        <v>54526.242547594</v>
      </c>
      <c r="G346" s="20" t="n">
        <f aca="false">D346</f>
        <v>332441.918187704</v>
      </c>
      <c r="H346" s="20" t="n">
        <v>0</v>
      </c>
      <c r="I346" s="20" t="n">
        <f aca="false">H346</f>
        <v>0</v>
      </c>
      <c r="J346" s="20" t="n">
        <f aca="false">E346+F346-G346+I346</f>
        <v>9069440.18966172</v>
      </c>
      <c r="K346" s="20" t="n">
        <f aca="false">O345</f>
        <v>22438676.4899275</v>
      </c>
      <c r="L346" s="20" t="n">
        <f aca="false">K346*B2Ret/12</f>
        <v>168290.073674456</v>
      </c>
      <c r="M346" s="20" t="n">
        <f aca="false">-I346</f>
        <v>-0</v>
      </c>
      <c r="N346" s="20" t="n">
        <v>0</v>
      </c>
      <c r="O346" s="20" t="n">
        <f aca="false">K346+L346+M346+N346</f>
        <v>22606966.5636019</v>
      </c>
      <c r="P346" s="20" t="n">
        <f aca="false">S345</f>
        <v>143452211.872174</v>
      </c>
      <c r="Q346" s="20" t="n">
        <f aca="false">P346*B3Ret/12</f>
        <v>1314978.60882826</v>
      </c>
      <c r="R346" s="20" t="n">
        <f aca="false">-N346</f>
        <v>-0</v>
      </c>
      <c r="S346" s="20" t="n">
        <f aca="false">P346+Q346+R346</f>
        <v>144767190.481002</v>
      </c>
      <c r="T346" s="20" t="n">
        <f aca="false">J346+O346+S346</f>
        <v>176443597.234266</v>
      </c>
    </row>
    <row r="347" customFormat="false" ht="15" hidden="false" customHeight="false" outlineLevel="0" collapsed="false">
      <c r="A347" s="19" t="n">
        <v>346</v>
      </c>
      <c r="B347" s="19" t="n">
        <f aca="false">ROUNDUP(A347/12,0)</f>
        <v>29</v>
      </c>
      <c r="C347" s="19" t="n">
        <f aca="false">Age+B347-1</f>
        <v>90</v>
      </c>
      <c r="D347" s="20" t="n">
        <f aca="false">MonthlyExp*(1+Inflation)^(B347-1)</f>
        <v>332441.918187704</v>
      </c>
      <c r="E347" s="20" t="n">
        <f aca="false">J346</f>
        <v>9069440.18966172</v>
      </c>
      <c r="F347" s="20" t="n">
        <f aca="false">E347*B1Ret/12</f>
        <v>52905.0677730267</v>
      </c>
      <c r="G347" s="20" t="n">
        <f aca="false">D347</f>
        <v>332441.918187704</v>
      </c>
      <c r="H347" s="20" t="n">
        <v>0</v>
      </c>
      <c r="I347" s="20" t="n">
        <f aca="false">H347</f>
        <v>0</v>
      </c>
      <c r="J347" s="20" t="n">
        <f aca="false">E347+F347-G347+I347</f>
        <v>8789903.33924704</v>
      </c>
      <c r="K347" s="20" t="n">
        <f aca="false">O346</f>
        <v>22606966.5636019</v>
      </c>
      <c r="L347" s="20" t="n">
        <f aca="false">K347*B2Ret/12</f>
        <v>169552.249227014</v>
      </c>
      <c r="M347" s="20" t="n">
        <f aca="false">-I347</f>
        <v>-0</v>
      </c>
      <c r="N347" s="20" t="n">
        <v>0</v>
      </c>
      <c r="O347" s="20" t="n">
        <f aca="false">K347+L347+M347+N347</f>
        <v>22776518.8128289</v>
      </c>
      <c r="P347" s="20" t="n">
        <f aca="false">S346</f>
        <v>144767190.481002</v>
      </c>
      <c r="Q347" s="20" t="n">
        <f aca="false">P347*B3Ret/12</f>
        <v>1327032.57940919</v>
      </c>
      <c r="R347" s="20" t="n">
        <f aca="false">-N347</f>
        <v>-0</v>
      </c>
      <c r="S347" s="20" t="n">
        <f aca="false">P347+Q347+R347</f>
        <v>146094223.060411</v>
      </c>
      <c r="T347" s="20" t="n">
        <f aca="false">J347+O347+S347</f>
        <v>177660645.212487</v>
      </c>
    </row>
    <row r="348" customFormat="false" ht="15" hidden="false" customHeight="false" outlineLevel="0" collapsed="false">
      <c r="A348" s="19" t="n">
        <v>347</v>
      </c>
      <c r="B348" s="19" t="n">
        <f aca="false">ROUNDUP(A348/12,0)</f>
        <v>29</v>
      </c>
      <c r="C348" s="19" t="n">
        <f aca="false">Age+B348-1</f>
        <v>90</v>
      </c>
      <c r="D348" s="20" t="n">
        <f aca="false">MonthlyExp*(1+Inflation)^(B348-1)</f>
        <v>332441.918187704</v>
      </c>
      <c r="E348" s="20" t="n">
        <f aca="false">J347</f>
        <v>8789903.33924704</v>
      </c>
      <c r="F348" s="20" t="n">
        <f aca="false">E348*B1Ret/12</f>
        <v>51274.4361456078</v>
      </c>
      <c r="G348" s="20" t="n">
        <f aca="false">D348</f>
        <v>332441.918187704</v>
      </c>
      <c r="H348" s="20" t="n">
        <v>0</v>
      </c>
      <c r="I348" s="20" t="n">
        <f aca="false">H348</f>
        <v>0</v>
      </c>
      <c r="J348" s="20" t="n">
        <f aca="false">E348+F348-G348+I348</f>
        <v>8508735.85720495</v>
      </c>
      <c r="K348" s="20" t="n">
        <f aca="false">O347</f>
        <v>22776518.8128289</v>
      </c>
      <c r="L348" s="20" t="n">
        <f aca="false">K348*B2Ret/12</f>
        <v>170823.891096217</v>
      </c>
      <c r="M348" s="20" t="n">
        <f aca="false">-I348</f>
        <v>-0</v>
      </c>
      <c r="N348" s="20" t="n">
        <v>0</v>
      </c>
      <c r="O348" s="20" t="n">
        <f aca="false">K348+L348+M348+N348</f>
        <v>22947342.7039251</v>
      </c>
      <c r="P348" s="20" t="n">
        <f aca="false">S347</f>
        <v>146094223.060411</v>
      </c>
      <c r="Q348" s="20" t="n">
        <f aca="false">P348*B3Ret/12</f>
        <v>1339197.04472044</v>
      </c>
      <c r="R348" s="20" t="n">
        <f aca="false">-N348</f>
        <v>-0</v>
      </c>
      <c r="S348" s="20" t="n">
        <f aca="false">P348+Q348+R348</f>
        <v>147433420.105132</v>
      </c>
      <c r="T348" s="20" t="n">
        <f aca="false">J348+O348+S348</f>
        <v>178889498.666262</v>
      </c>
    </row>
    <row r="349" customFormat="false" ht="15" hidden="false" customHeight="false" outlineLevel="0" collapsed="false">
      <c r="A349" s="19" t="n">
        <v>348</v>
      </c>
      <c r="B349" s="19" t="n">
        <f aca="false">ROUNDUP(A349/12,0)</f>
        <v>29</v>
      </c>
      <c r="C349" s="19" t="n">
        <f aca="false">Age+B349-1</f>
        <v>90</v>
      </c>
      <c r="D349" s="20" t="n">
        <f aca="false">MonthlyExp*(1+Inflation)^(B349-1)</f>
        <v>332441.918187704</v>
      </c>
      <c r="E349" s="20" t="n">
        <f aca="false">J348</f>
        <v>8508735.85720495</v>
      </c>
      <c r="F349" s="20" t="n">
        <f aca="false">E349*B1Ret/12</f>
        <v>49634.2925003622</v>
      </c>
      <c r="G349" s="20" t="n">
        <f aca="false">D349</f>
        <v>332441.918187704</v>
      </c>
      <c r="H349" s="20" t="n">
        <v>0</v>
      </c>
      <c r="I349" s="20" t="n">
        <f aca="false">H349</f>
        <v>0</v>
      </c>
      <c r="J349" s="20" t="n">
        <f aca="false">E349+F349-G349+I349</f>
        <v>8225928.23151761</v>
      </c>
      <c r="K349" s="20" t="n">
        <f aca="false">O348</f>
        <v>22947342.7039251</v>
      </c>
      <c r="L349" s="20" t="n">
        <f aca="false">K349*B2Ret/12</f>
        <v>172105.070279439</v>
      </c>
      <c r="M349" s="20" t="n">
        <f aca="false">-I349</f>
        <v>-0</v>
      </c>
      <c r="N349" s="20" t="n">
        <v>0</v>
      </c>
      <c r="O349" s="20" t="n">
        <f aca="false">K349+L349+M349+N349</f>
        <v>23119447.7742046</v>
      </c>
      <c r="P349" s="20" t="n">
        <f aca="false">S348</f>
        <v>147433420.105132</v>
      </c>
      <c r="Q349" s="20" t="n">
        <f aca="false">P349*B3Ret/12</f>
        <v>1351473.01763037</v>
      </c>
      <c r="R349" s="20" t="n">
        <f aca="false">-N349</f>
        <v>-0</v>
      </c>
      <c r="S349" s="20" t="n">
        <f aca="false">P349+Q349+R349</f>
        <v>148784893.122762</v>
      </c>
      <c r="T349" s="20" t="n">
        <f aca="false">J349+O349+S349</f>
        <v>180130269.128484</v>
      </c>
    </row>
    <row r="350" customFormat="false" ht="15" hidden="false" customHeight="false" outlineLevel="0" collapsed="false">
      <c r="A350" s="19" t="n">
        <v>349</v>
      </c>
      <c r="B350" s="19" t="n">
        <f aca="false">ROUNDUP(A350/12,0)</f>
        <v>30</v>
      </c>
      <c r="C350" s="19" t="n">
        <f aca="false">Age+B350-1</f>
        <v>91</v>
      </c>
      <c r="D350" s="20" t="n">
        <f aca="false">MonthlyExp*(1+Inflation)^(B350-1)</f>
        <v>355712.852460843</v>
      </c>
      <c r="E350" s="20" t="n">
        <f aca="false">J349</f>
        <v>8225928.23151761</v>
      </c>
      <c r="F350" s="20" t="n">
        <f aca="false">E350*B1Ret/12</f>
        <v>47984.5813505194</v>
      </c>
      <c r="G350" s="20" t="n">
        <f aca="false">D350</f>
        <v>355712.852460843</v>
      </c>
      <c r="H350" s="20" t="n">
        <v>0</v>
      </c>
      <c r="I350" s="20" t="n">
        <f aca="false">H350</f>
        <v>0</v>
      </c>
      <c r="J350" s="20" t="n">
        <f aca="false">E350+F350-G350+I350</f>
        <v>7918199.96040728</v>
      </c>
      <c r="K350" s="20" t="n">
        <f aca="false">O349</f>
        <v>23119447.7742046</v>
      </c>
      <c r="L350" s="20" t="n">
        <f aca="false">K350*B2Ret/12</f>
        <v>173395.858306534</v>
      </c>
      <c r="M350" s="20" t="n">
        <f aca="false">-I350</f>
        <v>-0</v>
      </c>
      <c r="N350" s="20" t="n">
        <v>0</v>
      </c>
      <c r="O350" s="20" t="n">
        <f aca="false">K350+L350+M350+N350</f>
        <v>23292843.6325111</v>
      </c>
      <c r="P350" s="20" t="n">
        <f aca="false">S349</f>
        <v>148784893.122762</v>
      </c>
      <c r="Q350" s="20" t="n">
        <f aca="false">P350*B3Ret/12</f>
        <v>1363861.52029199</v>
      </c>
      <c r="R350" s="20" t="n">
        <f aca="false">-N350</f>
        <v>-0</v>
      </c>
      <c r="S350" s="20" t="n">
        <f aca="false">P350+Q350+R350</f>
        <v>150148754.643054</v>
      </c>
      <c r="T350" s="20" t="n">
        <f aca="false">J350+O350+S350</f>
        <v>181359798.235973</v>
      </c>
    </row>
    <row r="351" customFormat="false" ht="15" hidden="false" customHeight="false" outlineLevel="0" collapsed="false">
      <c r="A351" s="19" t="n">
        <v>350</v>
      </c>
      <c r="B351" s="19" t="n">
        <f aca="false">ROUNDUP(A351/12,0)</f>
        <v>30</v>
      </c>
      <c r="C351" s="19" t="n">
        <f aca="false">Age+B351-1</f>
        <v>91</v>
      </c>
      <c r="D351" s="20" t="n">
        <f aca="false">MonthlyExp*(1+Inflation)^(B351-1)</f>
        <v>355712.852460843</v>
      </c>
      <c r="E351" s="20" t="n">
        <f aca="false">J350</f>
        <v>7918199.96040728</v>
      </c>
      <c r="F351" s="20" t="n">
        <f aca="false">E351*B1Ret/12</f>
        <v>46189.4997690425</v>
      </c>
      <c r="G351" s="20" t="n">
        <f aca="false">D351</f>
        <v>355712.852460843</v>
      </c>
      <c r="H351" s="20" t="n">
        <v>0</v>
      </c>
      <c r="I351" s="20" t="n">
        <f aca="false">H351</f>
        <v>0</v>
      </c>
      <c r="J351" s="20" t="n">
        <f aca="false">E351+F351-G351+I351</f>
        <v>7608676.60771548</v>
      </c>
      <c r="K351" s="20" t="n">
        <f aca="false">O350</f>
        <v>23292843.6325111</v>
      </c>
      <c r="L351" s="20" t="n">
        <f aca="false">K351*B2Ret/12</f>
        <v>174696.327243833</v>
      </c>
      <c r="M351" s="20" t="n">
        <f aca="false">-I351</f>
        <v>-0</v>
      </c>
      <c r="N351" s="20" t="n">
        <v>0</v>
      </c>
      <c r="O351" s="20" t="n">
        <f aca="false">K351+L351+M351+N351</f>
        <v>23467539.959755</v>
      </c>
      <c r="P351" s="20" t="n">
        <f aca="false">S350</f>
        <v>150148754.643054</v>
      </c>
      <c r="Q351" s="20" t="n">
        <f aca="false">P351*B3Ret/12</f>
        <v>1376363.584228</v>
      </c>
      <c r="R351" s="20" t="n">
        <f aca="false">-N351</f>
        <v>-0</v>
      </c>
      <c r="S351" s="20" t="n">
        <f aca="false">P351+Q351+R351</f>
        <v>151525118.227282</v>
      </c>
      <c r="T351" s="20" t="n">
        <f aca="false">J351+O351+S351</f>
        <v>182601334.794753</v>
      </c>
    </row>
    <row r="352" customFormat="false" ht="15" hidden="false" customHeight="false" outlineLevel="0" collapsed="false">
      <c r="A352" s="19" t="n">
        <v>351</v>
      </c>
      <c r="B352" s="19" t="n">
        <f aca="false">ROUNDUP(A352/12,0)</f>
        <v>30</v>
      </c>
      <c r="C352" s="19" t="n">
        <f aca="false">Age+B352-1</f>
        <v>91</v>
      </c>
      <c r="D352" s="20" t="n">
        <f aca="false">MonthlyExp*(1+Inflation)^(B352-1)</f>
        <v>355712.852460843</v>
      </c>
      <c r="E352" s="20" t="n">
        <f aca="false">J351</f>
        <v>7608676.60771548</v>
      </c>
      <c r="F352" s="20" t="n">
        <f aca="false">E352*B1Ret/12</f>
        <v>44383.9468783403</v>
      </c>
      <c r="G352" s="20" t="n">
        <f aca="false">D352</f>
        <v>355712.852460843</v>
      </c>
      <c r="H352" s="20" t="n">
        <v>0</v>
      </c>
      <c r="I352" s="20" t="n">
        <f aca="false">H352</f>
        <v>0</v>
      </c>
      <c r="J352" s="20" t="n">
        <f aca="false">E352+F352-G352+I352</f>
        <v>7297347.70213298</v>
      </c>
      <c r="K352" s="20" t="n">
        <f aca="false">O351</f>
        <v>23467539.959755</v>
      </c>
      <c r="L352" s="20" t="n">
        <f aca="false">K352*B2Ret/12</f>
        <v>176006.549698162</v>
      </c>
      <c r="M352" s="20" t="n">
        <f aca="false">-I352</f>
        <v>-0</v>
      </c>
      <c r="N352" s="20" t="n">
        <v>0</v>
      </c>
      <c r="O352" s="20" t="n">
        <f aca="false">K352+L352+M352+N352</f>
        <v>23643546.5094531</v>
      </c>
      <c r="P352" s="20" t="n">
        <f aca="false">S351</f>
        <v>151525118.227282</v>
      </c>
      <c r="Q352" s="20" t="n">
        <f aca="false">P352*B3Ret/12</f>
        <v>1388980.25041675</v>
      </c>
      <c r="R352" s="20" t="n">
        <f aca="false">-N352</f>
        <v>-0</v>
      </c>
      <c r="S352" s="20" t="n">
        <f aca="false">P352+Q352+R352</f>
        <v>152914098.477699</v>
      </c>
      <c r="T352" s="20" t="n">
        <f aca="false">J352+O352+S352</f>
        <v>183854992.689285</v>
      </c>
    </row>
    <row r="353" customFormat="false" ht="15" hidden="false" customHeight="false" outlineLevel="0" collapsed="false">
      <c r="A353" s="19" t="n">
        <v>352</v>
      </c>
      <c r="B353" s="19" t="n">
        <f aca="false">ROUNDUP(A353/12,0)</f>
        <v>30</v>
      </c>
      <c r="C353" s="19" t="n">
        <f aca="false">Age+B353-1</f>
        <v>91</v>
      </c>
      <c r="D353" s="20" t="n">
        <f aca="false">MonthlyExp*(1+Inflation)^(B353-1)</f>
        <v>355712.852460843</v>
      </c>
      <c r="E353" s="20" t="n">
        <f aca="false">J352</f>
        <v>7297347.70213298</v>
      </c>
      <c r="F353" s="20" t="n">
        <f aca="false">E353*B1Ret/12</f>
        <v>42567.8615957757</v>
      </c>
      <c r="G353" s="20" t="n">
        <f aca="false">D353</f>
        <v>355712.852460843</v>
      </c>
      <c r="H353" s="20" t="n">
        <v>0</v>
      </c>
      <c r="I353" s="20" t="n">
        <f aca="false">H353</f>
        <v>0</v>
      </c>
      <c r="J353" s="20" t="n">
        <f aca="false">E353+F353-G353+I353</f>
        <v>6984202.71126791</v>
      </c>
      <c r="K353" s="20" t="n">
        <f aca="false">O352</f>
        <v>23643546.5094531</v>
      </c>
      <c r="L353" s="20" t="n">
        <f aca="false">K353*B2Ret/12</f>
        <v>177326.598820898</v>
      </c>
      <c r="M353" s="20" t="n">
        <f aca="false">-I353</f>
        <v>-0</v>
      </c>
      <c r="N353" s="20" t="n">
        <v>0</v>
      </c>
      <c r="O353" s="20" t="n">
        <f aca="false">K353+L353+M353+N353</f>
        <v>23820873.108274</v>
      </c>
      <c r="P353" s="20" t="n">
        <f aca="false">S352</f>
        <v>152914098.477699</v>
      </c>
      <c r="Q353" s="20" t="n">
        <f aca="false">P353*B3Ret/12</f>
        <v>1401712.56937891</v>
      </c>
      <c r="R353" s="20" t="n">
        <f aca="false">-N353</f>
        <v>-0</v>
      </c>
      <c r="S353" s="20" t="n">
        <f aca="false">P353+Q353+R353</f>
        <v>154315811.047078</v>
      </c>
      <c r="T353" s="20" t="n">
        <f aca="false">J353+O353+S353</f>
        <v>185120886.86662</v>
      </c>
    </row>
    <row r="354" customFormat="false" ht="15" hidden="false" customHeight="false" outlineLevel="0" collapsed="false">
      <c r="A354" s="19" t="n">
        <v>353</v>
      </c>
      <c r="B354" s="19" t="n">
        <f aca="false">ROUNDUP(A354/12,0)</f>
        <v>30</v>
      </c>
      <c r="C354" s="19" t="n">
        <f aca="false">Age+B354-1</f>
        <v>91</v>
      </c>
      <c r="D354" s="20" t="n">
        <f aca="false">MonthlyExp*(1+Inflation)^(B354-1)</f>
        <v>355712.852460843</v>
      </c>
      <c r="E354" s="20" t="n">
        <f aca="false">J353</f>
        <v>6984202.71126791</v>
      </c>
      <c r="F354" s="20" t="n">
        <f aca="false">E354*B1Ret/12</f>
        <v>40741.1824823961</v>
      </c>
      <c r="G354" s="20" t="n">
        <f aca="false">D354</f>
        <v>355712.852460843</v>
      </c>
      <c r="H354" s="20" t="n">
        <v>0</v>
      </c>
      <c r="I354" s="20" t="n">
        <f aca="false">H354</f>
        <v>0</v>
      </c>
      <c r="J354" s="20" t="n">
        <f aca="false">E354+F354-G354+I354</f>
        <v>6669231.04128946</v>
      </c>
      <c r="K354" s="20" t="n">
        <f aca="false">O353</f>
        <v>23820873.108274</v>
      </c>
      <c r="L354" s="20" t="n">
        <f aca="false">K354*B2Ret/12</f>
        <v>178656.548312055</v>
      </c>
      <c r="M354" s="20" t="n">
        <f aca="false">-I354</f>
        <v>-0</v>
      </c>
      <c r="N354" s="20" t="n">
        <v>0</v>
      </c>
      <c r="O354" s="20" t="n">
        <f aca="false">K354+L354+M354+N354</f>
        <v>23999529.6565861</v>
      </c>
      <c r="P354" s="20" t="n">
        <f aca="false">S353</f>
        <v>154315811.047078</v>
      </c>
      <c r="Q354" s="20" t="n">
        <f aca="false">P354*B3Ret/12</f>
        <v>1414561.60126488</v>
      </c>
      <c r="R354" s="20" t="n">
        <f aca="false">-N354</f>
        <v>-0</v>
      </c>
      <c r="S354" s="20" t="n">
        <f aca="false">P354+Q354+R354</f>
        <v>155730372.648343</v>
      </c>
      <c r="T354" s="20" t="n">
        <f aca="false">J354+O354+S354</f>
        <v>186399133.346218</v>
      </c>
    </row>
    <row r="355" customFormat="false" ht="15" hidden="false" customHeight="false" outlineLevel="0" collapsed="false">
      <c r="A355" s="19" t="n">
        <v>354</v>
      </c>
      <c r="B355" s="19" t="n">
        <f aca="false">ROUNDUP(A355/12,0)</f>
        <v>30</v>
      </c>
      <c r="C355" s="19" t="n">
        <f aca="false">Age+B355-1</f>
        <v>91</v>
      </c>
      <c r="D355" s="20" t="n">
        <f aca="false">MonthlyExp*(1+Inflation)^(B355-1)</f>
        <v>355712.852460843</v>
      </c>
      <c r="E355" s="20" t="n">
        <f aca="false">J354</f>
        <v>6669231.04128946</v>
      </c>
      <c r="F355" s="20" t="n">
        <f aca="false">E355*B1Ret/12</f>
        <v>38903.8477408552</v>
      </c>
      <c r="G355" s="20" t="n">
        <f aca="false">D355</f>
        <v>355712.852460843</v>
      </c>
      <c r="H355" s="20" t="n">
        <v>0</v>
      </c>
      <c r="I355" s="20" t="n">
        <f aca="false">H355</f>
        <v>0</v>
      </c>
      <c r="J355" s="20" t="n">
        <f aca="false">E355+F355-G355+I355</f>
        <v>6352422.03656947</v>
      </c>
      <c r="K355" s="20" t="n">
        <f aca="false">O354</f>
        <v>23999529.6565861</v>
      </c>
      <c r="L355" s="20" t="n">
        <f aca="false">K355*B2Ret/12</f>
        <v>179996.472424396</v>
      </c>
      <c r="M355" s="20" t="n">
        <f aca="false">-I355</f>
        <v>-0</v>
      </c>
      <c r="N355" s="20" t="n">
        <v>0</v>
      </c>
      <c r="O355" s="20" t="n">
        <f aca="false">K355+L355+M355+N355</f>
        <v>24179526.1290105</v>
      </c>
      <c r="P355" s="20" t="n">
        <f aca="false">S354</f>
        <v>155730372.648343</v>
      </c>
      <c r="Q355" s="20" t="n">
        <f aca="false">P355*B3Ret/12</f>
        <v>1427528.41594314</v>
      </c>
      <c r="R355" s="20" t="n">
        <f aca="false">-N355</f>
        <v>-0</v>
      </c>
      <c r="S355" s="20" t="n">
        <f aca="false">P355+Q355+R355</f>
        <v>157157901.064286</v>
      </c>
      <c r="T355" s="20" t="n">
        <f aca="false">J355+O355+S355</f>
        <v>187689849.229866</v>
      </c>
    </row>
    <row r="356" customFormat="false" ht="15" hidden="false" customHeight="false" outlineLevel="0" collapsed="false">
      <c r="A356" s="19" t="n">
        <v>355</v>
      </c>
      <c r="B356" s="19" t="n">
        <f aca="false">ROUNDUP(A356/12,0)</f>
        <v>30</v>
      </c>
      <c r="C356" s="19" t="n">
        <f aca="false">Age+B356-1</f>
        <v>91</v>
      </c>
      <c r="D356" s="20" t="n">
        <f aca="false">MonthlyExp*(1+Inflation)^(B356-1)</f>
        <v>355712.852460843</v>
      </c>
      <c r="E356" s="20" t="n">
        <f aca="false">J355</f>
        <v>6352422.03656947</v>
      </c>
      <c r="F356" s="20" t="n">
        <f aca="false">E356*B1Ret/12</f>
        <v>37055.7952133219</v>
      </c>
      <c r="G356" s="20" t="n">
        <f aca="false">D356</f>
        <v>355712.852460843</v>
      </c>
      <c r="H356" s="20" t="n">
        <v>0</v>
      </c>
      <c r="I356" s="20" t="n">
        <f aca="false">H356</f>
        <v>0</v>
      </c>
      <c r="J356" s="20" t="n">
        <f aca="false">E356+F356-G356+I356</f>
        <v>6033764.97932195</v>
      </c>
      <c r="K356" s="20" t="n">
        <f aca="false">O355</f>
        <v>24179526.1290105</v>
      </c>
      <c r="L356" s="20" t="n">
        <f aca="false">K356*B2Ret/12</f>
        <v>181346.445967579</v>
      </c>
      <c r="M356" s="20" t="n">
        <f aca="false">-I356</f>
        <v>-0</v>
      </c>
      <c r="N356" s="20" t="n">
        <v>0</v>
      </c>
      <c r="O356" s="20" t="n">
        <f aca="false">K356+L356+M356+N356</f>
        <v>24360872.574978</v>
      </c>
      <c r="P356" s="20" t="n">
        <f aca="false">S355</f>
        <v>157157901.064286</v>
      </c>
      <c r="Q356" s="20" t="n">
        <f aca="false">P356*B3Ret/12</f>
        <v>1440614.09308929</v>
      </c>
      <c r="R356" s="20" t="n">
        <f aca="false">-N356</f>
        <v>-0</v>
      </c>
      <c r="S356" s="20" t="n">
        <f aca="false">P356+Q356+R356</f>
        <v>158598515.157375</v>
      </c>
      <c r="T356" s="20" t="n">
        <f aca="false">J356+O356+S356</f>
        <v>188993152.711675</v>
      </c>
    </row>
    <row r="357" customFormat="false" ht="15" hidden="false" customHeight="false" outlineLevel="0" collapsed="false">
      <c r="A357" s="19" t="n">
        <v>356</v>
      </c>
      <c r="B357" s="19" t="n">
        <f aca="false">ROUNDUP(A357/12,0)</f>
        <v>30</v>
      </c>
      <c r="C357" s="19" t="n">
        <f aca="false">Age+B357-1</f>
        <v>91</v>
      </c>
      <c r="D357" s="20" t="n">
        <f aca="false">MonthlyExp*(1+Inflation)^(B357-1)</f>
        <v>355712.852460843</v>
      </c>
      <c r="E357" s="20" t="n">
        <f aca="false">J356</f>
        <v>6033764.97932195</v>
      </c>
      <c r="F357" s="20" t="n">
        <f aca="false">E357*B1Ret/12</f>
        <v>35196.9623793781</v>
      </c>
      <c r="G357" s="20" t="n">
        <f aca="false">D357</f>
        <v>355712.852460843</v>
      </c>
      <c r="H357" s="20" t="n">
        <v>0</v>
      </c>
      <c r="I357" s="20" t="n">
        <f aca="false">H357</f>
        <v>0</v>
      </c>
      <c r="J357" s="20" t="n">
        <f aca="false">E357+F357-G357+I357</f>
        <v>5713249.08924049</v>
      </c>
      <c r="K357" s="20" t="n">
        <f aca="false">O356</f>
        <v>24360872.574978</v>
      </c>
      <c r="L357" s="20" t="n">
        <f aca="false">K357*B2Ret/12</f>
        <v>182706.544312335</v>
      </c>
      <c r="M357" s="20" t="n">
        <f aca="false">-I357</f>
        <v>-0</v>
      </c>
      <c r="N357" s="20" t="n">
        <v>0</v>
      </c>
      <c r="O357" s="20" t="n">
        <f aca="false">K357+L357+M357+N357</f>
        <v>24543579.1192904</v>
      </c>
      <c r="P357" s="20" t="n">
        <f aca="false">S356</f>
        <v>158598515.157375</v>
      </c>
      <c r="Q357" s="20" t="n">
        <f aca="false">P357*B3Ret/12</f>
        <v>1453819.72227594</v>
      </c>
      <c r="R357" s="20" t="n">
        <f aca="false">-N357</f>
        <v>-0</v>
      </c>
      <c r="S357" s="20" t="n">
        <f aca="false">P357+Q357+R357</f>
        <v>160052334.879651</v>
      </c>
      <c r="T357" s="20" t="n">
        <f aca="false">J357+O357+S357</f>
        <v>190309163.088182</v>
      </c>
    </row>
    <row r="358" customFormat="false" ht="15" hidden="false" customHeight="false" outlineLevel="0" collapsed="false">
      <c r="A358" s="19" t="n">
        <v>357</v>
      </c>
      <c r="B358" s="19" t="n">
        <f aca="false">ROUNDUP(A358/12,0)</f>
        <v>30</v>
      </c>
      <c r="C358" s="19" t="n">
        <f aca="false">Age+B358-1</f>
        <v>91</v>
      </c>
      <c r="D358" s="20" t="n">
        <f aca="false">MonthlyExp*(1+Inflation)^(B358-1)</f>
        <v>355712.852460843</v>
      </c>
      <c r="E358" s="20" t="n">
        <f aca="false">J357</f>
        <v>5713249.08924049</v>
      </c>
      <c r="F358" s="20" t="n">
        <f aca="false">E358*B1Ret/12</f>
        <v>33327.2863539028</v>
      </c>
      <c r="G358" s="20" t="n">
        <f aca="false">D358</f>
        <v>355712.852460843</v>
      </c>
      <c r="H358" s="20" t="n">
        <v>0</v>
      </c>
      <c r="I358" s="20" t="n">
        <f aca="false">H358</f>
        <v>0</v>
      </c>
      <c r="J358" s="20" t="n">
        <f aca="false">E358+F358-G358+I358</f>
        <v>5390863.52313355</v>
      </c>
      <c r="K358" s="20" t="n">
        <f aca="false">O357</f>
        <v>24543579.1192904</v>
      </c>
      <c r="L358" s="20" t="n">
        <f aca="false">K358*B2Ret/12</f>
        <v>184076.843394678</v>
      </c>
      <c r="M358" s="20" t="n">
        <f aca="false">-I358</f>
        <v>-0</v>
      </c>
      <c r="N358" s="20" t="n">
        <v>0</v>
      </c>
      <c r="O358" s="20" t="n">
        <f aca="false">K358+L358+M358+N358</f>
        <v>24727655.9626851</v>
      </c>
      <c r="P358" s="20" t="n">
        <f aca="false">S357</f>
        <v>160052334.879651</v>
      </c>
      <c r="Q358" s="20" t="n">
        <f aca="false">P358*B3Ret/12</f>
        <v>1467146.40306347</v>
      </c>
      <c r="R358" s="20" t="n">
        <f aca="false">-N358</f>
        <v>-0</v>
      </c>
      <c r="S358" s="20" t="n">
        <f aca="false">P358+Q358+R358</f>
        <v>161519481.282715</v>
      </c>
      <c r="T358" s="20" t="n">
        <f aca="false">J358+O358+S358</f>
        <v>191638000.768533</v>
      </c>
    </row>
    <row r="359" customFormat="false" ht="15" hidden="false" customHeight="false" outlineLevel="0" collapsed="false">
      <c r="A359" s="19" t="n">
        <v>358</v>
      </c>
      <c r="B359" s="19" t="n">
        <f aca="false">ROUNDUP(A359/12,0)</f>
        <v>30</v>
      </c>
      <c r="C359" s="19" t="n">
        <f aca="false">Age+B359-1</f>
        <v>91</v>
      </c>
      <c r="D359" s="20" t="n">
        <f aca="false">MonthlyExp*(1+Inflation)^(B359-1)</f>
        <v>355712.852460843</v>
      </c>
      <c r="E359" s="20" t="n">
        <f aca="false">J358</f>
        <v>5390863.52313355</v>
      </c>
      <c r="F359" s="20" t="n">
        <f aca="false">E359*B1Ret/12</f>
        <v>31446.7038849457</v>
      </c>
      <c r="G359" s="20" t="n">
        <f aca="false">D359</f>
        <v>355712.852460843</v>
      </c>
      <c r="H359" s="20" t="n">
        <v>0</v>
      </c>
      <c r="I359" s="20" t="n">
        <f aca="false">H359</f>
        <v>0</v>
      </c>
      <c r="J359" s="20" t="n">
        <f aca="false">E359+F359-G359+I359</f>
        <v>5066597.37455765</v>
      </c>
      <c r="K359" s="20" t="n">
        <f aca="false">O358</f>
        <v>24727655.9626851</v>
      </c>
      <c r="L359" s="20" t="n">
        <f aca="false">K359*B2Ret/12</f>
        <v>185457.419720138</v>
      </c>
      <c r="M359" s="20" t="n">
        <f aca="false">-I359</f>
        <v>-0</v>
      </c>
      <c r="N359" s="20" t="n">
        <v>0</v>
      </c>
      <c r="O359" s="20" t="n">
        <f aca="false">K359+L359+M359+N359</f>
        <v>24913113.3824052</v>
      </c>
      <c r="P359" s="20" t="n">
        <f aca="false">S358</f>
        <v>161519481.282715</v>
      </c>
      <c r="Q359" s="20" t="n">
        <f aca="false">P359*B3Ret/12</f>
        <v>1480595.24509155</v>
      </c>
      <c r="R359" s="20" t="n">
        <f aca="false">-N359</f>
        <v>-0</v>
      </c>
      <c r="S359" s="20" t="n">
        <f aca="false">P359+Q359+R359</f>
        <v>163000076.527806</v>
      </c>
      <c r="T359" s="20" t="n">
        <f aca="false">J359+O359+S359</f>
        <v>192979787.284769</v>
      </c>
    </row>
    <row r="360" customFormat="false" ht="15" hidden="false" customHeight="false" outlineLevel="0" collapsed="false">
      <c r="A360" s="19" t="n">
        <v>359</v>
      </c>
      <c r="B360" s="19" t="n">
        <f aca="false">ROUNDUP(A360/12,0)</f>
        <v>30</v>
      </c>
      <c r="C360" s="19" t="n">
        <f aca="false">Age+B360-1</f>
        <v>91</v>
      </c>
      <c r="D360" s="20" t="n">
        <f aca="false">MonthlyExp*(1+Inflation)^(B360-1)</f>
        <v>355712.852460843</v>
      </c>
      <c r="E360" s="20" t="n">
        <f aca="false">J359</f>
        <v>5066597.37455765</v>
      </c>
      <c r="F360" s="20" t="n">
        <f aca="false">E360*B1Ret/12</f>
        <v>29555.1513515863</v>
      </c>
      <c r="G360" s="20" t="n">
        <f aca="false">D360</f>
        <v>355712.852460843</v>
      </c>
      <c r="H360" s="20" t="n">
        <v>0</v>
      </c>
      <c r="I360" s="20" t="n">
        <f aca="false">H360</f>
        <v>0</v>
      </c>
      <c r="J360" s="20" t="n">
        <f aca="false">E360+F360-G360+I360</f>
        <v>4740439.67344839</v>
      </c>
      <c r="K360" s="20" t="n">
        <f aca="false">O359</f>
        <v>24913113.3824052</v>
      </c>
      <c r="L360" s="20" t="n">
        <f aca="false">K360*B2Ret/12</f>
        <v>186848.350368039</v>
      </c>
      <c r="M360" s="20" t="n">
        <f aca="false">-I360</f>
        <v>-0</v>
      </c>
      <c r="N360" s="20" t="n">
        <v>0</v>
      </c>
      <c r="O360" s="20" t="n">
        <f aca="false">K360+L360+M360+N360</f>
        <v>25099961.7327732</v>
      </c>
      <c r="P360" s="20" t="n">
        <f aca="false">S359</f>
        <v>163000076.527806</v>
      </c>
      <c r="Q360" s="20" t="n">
        <f aca="false">P360*B3Ret/12</f>
        <v>1494167.36817156</v>
      </c>
      <c r="R360" s="20" t="n">
        <f aca="false">-N360</f>
        <v>-0</v>
      </c>
      <c r="S360" s="20" t="n">
        <f aca="false">P360+Q360+R360</f>
        <v>164494243.895978</v>
      </c>
      <c r="T360" s="20" t="n">
        <f aca="false">J360+O360+S360</f>
        <v>194334645.302199</v>
      </c>
    </row>
    <row r="361" customFormat="false" ht="15" hidden="false" customHeight="false" outlineLevel="0" collapsed="false">
      <c r="A361" s="19" t="n">
        <v>360</v>
      </c>
      <c r="B361" s="19" t="n">
        <f aca="false">ROUNDUP(A361/12,0)</f>
        <v>30</v>
      </c>
      <c r="C361" s="19" t="n">
        <f aca="false">Age+B361-1</f>
        <v>91</v>
      </c>
      <c r="D361" s="20" t="n">
        <f aca="false">MonthlyExp*(1+Inflation)^(B361-1)</f>
        <v>355712.852460843</v>
      </c>
      <c r="E361" s="20" t="n">
        <f aca="false">J360</f>
        <v>4740439.67344839</v>
      </c>
      <c r="F361" s="20" t="n">
        <f aca="false">E361*B1Ret/12</f>
        <v>27652.5647617823</v>
      </c>
      <c r="G361" s="20" t="n">
        <f aca="false">D361</f>
        <v>355712.852460843</v>
      </c>
      <c r="H361" s="20" t="n">
        <v>0</v>
      </c>
      <c r="I361" s="20" t="n">
        <f aca="false">H361</f>
        <v>0</v>
      </c>
      <c r="J361" s="20" t="n">
        <f aca="false">E361+F361-G361+I361</f>
        <v>4412379.38574933</v>
      </c>
      <c r="K361" s="20" t="n">
        <f aca="false">O360</f>
        <v>25099961.7327732</v>
      </c>
      <c r="L361" s="20" t="n">
        <f aca="false">K361*B2Ret/12</f>
        <v>188249.712995799</v>
      </c>
      <c r="M361" s="20" t="n">
        <f aca="false">-I361</f>
        <v>-0</v>
      </c>
      <c r="N361" s="20" t="n">
        <v>0</v>
      </c>
      <c r="O361" s="20" t="n">
        <f aca="false">K361+L361+M361+N361</f>
        <v>25288211.445769</v>
      </c>
      <c r="P361" s="20" t="n">
        <f aca="false">S360</f>
        <v>164494243.895978</v>
      </c>
      <c r="Q361" s="20" t="n">
        <f aca="false">P361*B3Ret/12</f>
        <v>1507863.9023798</v>
      </c>
      <c r="R361" s="20" t="n">
        <f aca="false">-N361</f>
        <v>-0</v>
      </c>
      <c r="S361" s="20" t="n">
        <f aca="false">P361+Q361+R361</f>
        <v>166002107.798357</v>
      </c>
      <c r="T361" s="20" t="n">
        <f aca="false">J361+O361+S361</f>
        <v>195702698.629876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4" min="3" style="0" width="16"/>
    <col collapsed="false" customWidth="true" hidden="false" outlineLevel="0" max="6" min="5" style="0" width="15"/>
    <col collapsed="false" customWidth="true" hidden="false" outlineLevel="0" max="9" min="7" style="0" width="14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13"/>
  </cols>
  <sheetData>
    <row r="1" customFormat="false" ht="33.75" hidden="false" customHeight="true" outlineLevel="0" collapsed="false">
      <c r="A1" s="18" t="s">
        <v>64</v>
      </c>
      <c r="B1" s="18" t="s">
        <v>65</v>
      </c>
      <c r="C1" s="18" t="s">
        <v>83</v>
      </c>
      <c r="D1" s="18" t="s">
        <v>84</v>
      </c>
      <c r="E1" s="18" t="s">
        <v>85</v>
      </c>
      <c r="F1" s="18" t="s">
        <v>86</v>
      </c>
      <c r="G1" s="18" t="s">
        <v>87</v>
      </c>
      <c r="H1" s="18" t="s">
        <v>88</v>
      </c>
      <c r="I1" s="18" t="s">
        <v>89</v>
      </c>
      <c r="J1" s="18" t="s">
        <v>90</v>
      </c>
      <c r="K1" s="18" t="s">
        <v>91</v>
      </c>
      <c r="L1" s="18" t="s">
        <v>92</v>
      </c>
    </row>
    <row r="2" customFormat="false" ht="15" hidden="false" customHeight="false" outlineLevel="0" collapsed="false">
      <c r="A2" s="21" t="n">
        <v>1</v>
      </c>
      <c r="B2" s="21" t="n">
        <f aca="false">Age+A2-1</f>
        <v>62</v>
      </c>
      <c r="C2" s="22" t="n">
        <f aca="false">Corpus</f>
        <v>20000000</v>
      </c>
      <c r="D2" s="22" t="n">
        <f aca="false">SUMIFS('Monthly Engine'!$D:$D,'Monthly Engine'!$B:$B,A2)</f>
        <v>600000</v>
      </c>
      <c r="E2" s="22" t="n">
        <f aca="false">D2/12</f>
        <v>50000</v>
      </c>
      <c r="F2" s="22" t="n">
        <f aca="false">J2-C2+D2</f>
        <v>2011077.6237357</v>
      </c>
      <c r="G2" s="22" t="n">
        <f aca="false">'Monthly Engine'!J13</f>
        <v>2597240.97808669</v>
      </c>
      <c r="H2" s="22" t="n">
        <f aca="false">'Monthly Engine'!O13</f>
        <v>7656648.28369688</v>
      </c>
      <c r="I2" s="22" t="n">
        <f aca="false">'Monthly Engine'!S13</f>
        <v>11157188.3619521</v>
      </c>
      <c r="J2" s="22" t="n">
        <f aca="false">G2+H2+I2</f>
        <v>21411077.6237357</v>
      </c>
      <c r="K2" s="23" t="n">
        <f aca="false">D2/C2</f>
        <v>0.03</v>
      </c>
      <c r="L2" s="24" t="str">
        <f aca="false">IF(K2&lt;=GreenBand,"GREEN",IF(K2&lt;=YellowBand,"YELLOW","RED"))</f>
        <v>GREEN</v>
      </c>
    </row>
    <row r="3" customFormat="false" ht="15" hidden="false" customHeight="false" outlineLevel="0" collapsed="false">
      <c r="A3" s="21" t="n">
        <v>2</v>
      </c>
      <c r="B3" s="21" t="n">
        <f aca="false">Age+A3-1</f>
        <v>63</v>
      </c>
      <c r="C3" s="22" t="n">
        <f aca="false">J2</f>
        <v>21411077.6237357</v>
      </c>
      <c r="D3" s="22" t="n">
        <f aca="false">SUMIFS('Monthly Engine'!$D:$D,'Monthly Engine'!$B:$B,A3)</f>
        <v>642000</v>
      </c>
      <c r="E3" s="22" t="n">
        <f aca="false">D3/12</f>
        <v>53500</v>
      </c>
      <c r="F3" s="22" t="n">
        <f aca="false">J3-C3+D3</f>
        <v>2176094.72182059</v>
      </c>
      <c r="G3" s="22" t="n">
        <f aca="false">'Monthly Engine'!J25</f>
        <v>2121992.42539994</v>
      </c>
      <c r="H3" s="22" t="n">
        <f aca="false">'Monthly Engine'!O25</f>
        <v>8374894.70574834</v>
      </c>
      <c r="I3" s="22" t="n">
        <f aca="false">'Monthly Engine'!S25</f>
        <v>12448285.214408</v>
      </c>
      <c r="J3" s="22" t="n">
        <f aca="false">G3+H3+I3</f>
        <v>22945172.3455563</v>
      </c>
      <c r="K3" s="23" t="n">
        <f aca="false">D3/C3</f>
        <v>0.0299844786554927</v>
      </c>
      <c r="L3" s="24" t="str">
        <f aca="false">IF(K3&lt;=GreenBand,"GREEN",IF(K3&lt;=YellowBand,"YELLOW","RED"))</f>
        <v>GREEN</v>
      </c>
    </row>
    <row r="4" customFormat="false" ht="15" hidden="false" customHeight="false" outlineLevel="0" collapsed="false">
      <c r="A4" s="21" t="n">
        <v>3</v>
      </c>
      <c r="B4" s="21" t="n">
        <f aca="false">Age+A4-1</f>
        <v>64</v>
      </c>
      <c r="C4" s="22" t="n">
        <f aca="false">J3</f>
        <v>22945172.3455563</v>
      </c>
      <c r="D4" s="22" t="n">
        <f aca="false">SUMIFS('Monthly Engine'!$D:$D,'Monthly Engine'!$B:$B,A4)</f>
        <v>686940</v>
      </c>
      <c r="E4" s="22" t="n">
        <f aca="false">D4/12</f>
        <v>57245</v>
      </c>
      <c r="F4" s="22" t="n">
        <f aca="false">J4-C4+D4</f>
        <v>2357049.42740779</v>
      </c>
      <c r="G4" s="22" t="n">
        <f aca="false">'Monthly Engine'!J37</f>
        <v>1565977.88450296</v>
      </c>
      <c r="H4" s="22" t="n">
        <f aca="false">'Monthly Engine'!O37</f>
        <v>9160517.59641573</v>
      </c>
      <c r="I4" s="22" t="n">
        <f aca="false">'Monthly Engine'!S37</f>
        <v>13888786.2920454</v>
      </c>
      <c r="J4" s="22" t="n">
        <f aca="false">G4+H4+I4</f>
        <v>24615281.7729641</v>
      </c>
      <c r="K4" s="23" t="n">
        <f aca="false">D4/C4</f>
        <v>0.0299383238292842</v>
      </c>
      <c r="L4" s="24" t="str">
        <f aca="false">IF(K4&lt;=GreenBand,"GREEN",IF(K4&lt;=YellowBand,"YELLOW","RED"))</f>
        <v>GREEN</v>
      </c>
    </row>
    <row r="5" customFormat="false" ht="15" hidden="false" customHeight="false" outlineLevel="0" collapsed="false">
      <c r="A5" s="21" t="n">
        <v>4</v>
      </c>
      <c r="B5" s="21" t="n">
        <f aca="false">Age+A5-1</f>
        <v>65</v>
      </c>
      <c r="C5" s="22" t="n">
        <f aca="false">J4</f>
        <v>24615281.7729641</v>
      </c>
      <c r="D5" s="22" t="n">
        <f aca="false">SUMIFS('Monthly Engine'!$D:$D,'Monthly Engine'!$B:$B,A5)</f>
        <v>735025.8</v>
      </c>
      <c r="E5" s="22" t="n">
        <f aca="false">D5/12</f>
        <v>61252.15</v>
      </c>
      <c r="F5" s="22" t="n">
        <f aca="false">J5-C5+D5</f>
        <v>2555671.89750068</v>
      </c>
      <c r="G5" s="22" t="n">
        <f aca="false">'Monthly Engine'!J49</f>
        <v>920110.059343905</v>
      </c>
      <c r="H5" s="22" t="n">
        <f aca="false">'Monthly Engine'!O49</f>
        <v>10019837.3331959</v>
      </c>
      <c r="I5" s="22" t="n">
        <f aca="false">'Monthly Engine'!S49</f>
        <v>15495980.4779249</v>
      </c>
      <c r="J5" s="22" t="n">
        <f aca="false">G5+H5+I5</f>
        <v>26435927.8704648</v>
      </c>
      <c r="K5" s="23" t="n">
        <f aca="false">D5/C5</f>
        <v>0.0298605478815728</v>
      </c>
      <c r="L5" s="24" t="str">
        <f aca="false">IF(K5&lt;=GreenBand,"GREEN",IF(K5&lt;=YellowBand,"YELLOW","RED"))</f>
        <v>GREEN</v>
      </c>
    </row>
    <row r="6" customFormat="false" ht="15" hidden="false" customHeight="false" outlineLevel="0" collapsed="false">
      <c r="A6" s="21" t="n">
        <v>5</v>
      </c>
      <c r="B6" s="21" t="n">
        <f aca="false">Age+A6-1</f>
        <v>66</v>
      </c>
      <c r="C6" s="22" t="n">
        <f aca="false">J5</f>
        <v>26435927.8704648</v>
      </c>
      <c r="D6" s="22" t="n">
        <f aca="false">SUMIFS('Monthly Engine'!$D:$D,'Monthly Engine'!$B:$B,A6)</f>
        <v>786477.606</v>
      </c>
      <c r="E6" s="22" t="n">
        <f aca="false">D6/12</f>
        <v>65539.8005</v>
      </c>
      <c r="F6" s="22" t="n">
        <f aca="false">J6-C6+D6</f>
        <v>2773891.55102857</v>
      </c>
      <c r="G6" s="22" t="n">
        <f aca="false">'Monthly Engine'!J61</f>
        <v>4839425.3707677</v>
      </c>
      <c r="H6" s="22" t="n">
        <f aca="false">'Monthly Engine'!O61</f>
        <v>6294759.14019149</v>
      </c>
      <c r="I6" s="22" t="n">
        <f aca="false">'Monthly Engine'!S61</f>
        <v>17289157.3045341</v>
      </c>
      <c r="J6" s="22" t="n">
        <f aca="false">G6+H6+I6</f>
        <v>28423341.8154933</v>
      </c>
      <c r="K6" s="23" t="n">
        <f aca="false">D6/C6</f>
        <v>0.0297503310590692</v>
      </c>
      <c r="L6" s="24" t="str">
        <f aca="false">IF(K6&lt;=GreenBand,"GREEN",IF(K6&lt;=YellowBand,"YELLOW","RED"))</f>
        <v>GREEN</v>
      </c>
    </row>
    <row r="7" customFormat="false" ht="15" hidden="false" customHeight="false" outlineLevel="0" collapsed="false">
      <c r="A7" s="21" t="n">
        <v>6</v>
      </c>
      <c r="B7" s="21" t="n">
        <f aca="false">Age+A7-1</f>
        <v>67</v>
      </c>
      <c r="C7" s="22" t="n">
        <f aca="false">J6</f>
        <v>28423341.8154933</v>
      </c>
      <c r="D7" s="22" t="n">
        <f aca="false">SUMIFS('Monthly Engine'!$D:$D,'Monthly Engine'!$B:$B,A7)</f>
        <v>841531.03842</v>
      </c>
      <c r="E7" s="22" t="n">
        <f aca="false">D7/12</f>
        <v>70127.586535</v>
      </c>
      <c r="F7" s="22" t="n">
        <f aca="false">J7-C7+D7</f>
        <v>2913484.38108298</v>
      </c>
      <c r="G7" s="22" t="n">
        <f aca="false">'Monthly Engine'!J73</f>
        <v>4320205.72482659</v>
      </c>
      <c r="H7" s="22" t="n">
        <f aca="false">'Monthly Engine'!O73</f>
        <v>6885250.96671892</v>
      </c>
      <c r="I7" s="22" t="n">
        <f aca="false">'Monthly Engine'!S73</f>
        <v>19289838.4666108</v>
      </c>
      <c r="J7" s="22" t="n">
        <f aca="false">G7+H7+I7</f>
        <v>30495295.1581563</v>
      </c>
      <c r="K7" s="23" t="n">
        <f aca="false">D7/C7</f>
        <v>0.0296070407161374</v>
      </c>
      <c r="L7" s="24" t="str">
        <f aca="false">IF(K7&lt;=GreenBand,"GREEN",IF(K7&lt;=YellowBand,"YELLOW","RED"))</f>
        <v>GREEN</v>
      </c>
    </row>
    <row r="8" customFormat="false" ht="15" hidden="false" customHeight="false" outlineLevel="0" collapsed="false">
      <c r="A8" s="21" t="n">
        <v>7</v>
      </c>
      <c r="B8" s="21" t="n">
        <f aca="false">Age+A8-1</f>
        <v>68</v>
      </c>
      <c r="C8" s="22" t="n">
        <f aca="false">J7</f>
        <v>30495295.1581563</v>
      </c>
      <c r="D8" s="22" t="n">
        <f aca="false">SUMIFS('Monthly Engine'!$D:$D,'Monthly Engine'!$B:$B,A8)</f>
        <v>900438.2111094</v>
      </c>
      <c r="E8" s="22" t="n">
        <f aca="false">D8/12</f>
        <v>75036.51759245</v>
      </c>
      <c r="F8" s="22" t="n">
        <f aca="false">J8-C8+D8</f>
        <v>3160931.47879455</v>
      </c>
      <c r="G8" s="22" t="n">
        <f aca="false">'Monthly Engine'!J85</f>
        <v>3702617.30188784</v>
      </c>
      <c r="H8" s="22" t="n">
        <f aca="false">'Monthly Engine'!O85</f>
        <v>7531134.99959296</v>
      </c>
      <c r="I8" s="22" t="n">
        <f aca="false">'Monthly Engine'!S85</f>
        <v>21522036.1243607</v>
      </c>
      <c r="J8" s="22" t="n">
        <f aca="false">G8+H8+I8</f>
        <v>32755788.4258415</v>
      </c>
      <c r="K8" s="23" t="n">
        <f aca="false">D8/C8</f>
        <v>0.0295271190667118</v>
      </c>
      <c r="L8" s="24" t="str">
        <f aca="false">IF(K8&lt;=GreenBand,"GREEN",IF(K8&lt;=YellowBand,"YELLOW","RED"))</f>
        <v>GREEN</v>
      </c>
    </row>
    <row r="9" customFormat="false" ht="15" hidden="false" customHeight="false" outlineLevel="0" collapsed="false">
      <c r="A9" s="21" t="n">
        <v>8</v>
      </c>
      <c r="B9" s="21" t="n">
        <f aca="false">Age+A9-1</f>
        <v>69</v>
      </c>
      <c r="C9" s="22" t="n">
        <f aca="false">J8</f>
        <v>32755788.4258415</v>
      </c>
      <c r="D9" s="22" t="n">
        <f aca="false">SUMIFS('Monthly Engine'!$D:$D,'Monthly Engine'!$B:$B,A9)</f>
        <v>963468.885887058</v>
      </c>
      <c r="E9" s="22" t="n">
        <f aca="false">D9/12</f>
        <v>80289.0738239215</v>
      </c>
      <c r="F9" s="22" t="n">
        <f aca="false">J9-C9+D9</f>
        <v>3433119.57794658</v>
      </c>
      <c r="G9" s="22" t="n">
        <f aca="false">'Monthly Engine'!J97</f>
        <v>2975290.61083183</v>
      </c>
      <c r="H9" s="22" t="n">
        <f aca="false">'Monthly Engine'!O97</f>
        <v>8237607.40984614</v>
      </c>
      <c r="I9" s="22" t="n">
        <f aca="false">'Monthly Engine'!S97</f>
        <v>24012541.097223</v>
      </c>
      <c r="J9" s="22" t="n">
        <f aca="false">G9+H9+I9</f>
        <v>35225439.117901</v>
      </c>
      <c r="K9" s="23" t="n">
        <f aca="false">D9/C9</f>
        <v>0.0294136985305158</v>
      </c>
      <c r="L9" s="24" t="str">
        <f aca="false">IF(K9&lt;=GreenBand,"GREEN",IF(K9&lt;=YellowBand,"YELLOW","RED"))</f>
        <v>GREEN</v>
      </c>
    </row>
    <row r="10" customFormat="false" ht="15" hidden="false" customHeight="false" outlineLevel="0" collapsed="false">
      <c r="A10" s="21" t="n">
        <v>9</v>
      </c>
      <c r="B10" s="21" t="n">
        <f aca="false">Age+A10-1</f>
        <v>70</v>
      </c>
      <c r="C10" s="22" t="n">
        <f aca="false">J9</f>
        <v>35225439.117901</v>
      </c>
      <c r="D10" s="22" t="n">
        <f aca="false">SUMIFS('Monthly Engine'!$D:$D,'Monthly Engine'!$B:$B,A10)</f>
        <v>1030911.70789915</v>
      </c>
      <c r="E10" s="22" t="n">
        <f aca="false">D10/12</f>
        <v>85909.308991596</v>
      </c>
      <c r="F10" s="22" t="n">
        <f aca="false">J10-C10+D10</f>
        <v>3732804.97308411</v>
      </c>
      <c r="G10" s="22" t="n">
        <f aca="false">'Monthly Engine'!J109</f>
        <v>2125736.17080723</v>
      </c>
      <c r="H10" s="22" t="n">
        <f aca="false">'Monthly Engine'!O109</f>
        <v>9010351.8051953</v>
      </c>
      <c r="I10" s="22" t="n">
        <f aca="false">'Monthly Engine'!S109</f>
        <v>26791244.4070834</v>
      </c>
      <c r="J10" s="22" t="n">
        <f aca="false">G10+H10+I10</f>
        <v>37927332.3830859</v>
      </c>
      <c r="K10" s="23" t="n">
        <f aca="false">D10/C10</f>
        <v>0.0292661137437818</v>
      </c>
      <c r="L10" s="24" t="str">
        <f aca="false">IF(K10&lt;=GreenBand,"GREEN",IF(K10&lt;=YellowBand,"YELLOW","RED"))</f>
        <v>GREEN</v>
      </c>
    </row>
    <row r="11" customFormat="false" ht="15" hidden="false" customHeight="false" outlineLevel="0" collapsed="false">
      <c r="A11" s="21" t="n">
        <v>10</v>
      </c>
      <c r="B11" s="21" t="n">
        <f aca="false">Age+A11-1</f>
        <v>71</v>
      </c>
      <c r="C11" s="22" t="n">
        <f aca="false">J10</f>
        <v>37927332.3830859</v>
      </c>
      <c r="D11" s="22" t="n">
        <f aca="false">SUMIFS('Monthly Engine'!$D:$D,'Monthly Engine'!$B:$B,A11)</f>
        <v>1103075.52745209</v>
      </c>
      <c r="E11" s="22" t="n">
        <f aca="false">D11/12</f>
        <v>91922.9606210078</v>
      </c>
      <c r="F11" s="22" t="n">
        <f aca="false">J11-C11+D11</f>
        <v>4063066.8103254</v>
      </c>
      <c r="G11" s="22" t="n">
        <f aca="false">'Monthly Engine'!J121</f>
        <v>6787544.42936374</v>
      </c>
      <c r="H11" s="22" t="n">
        <f aca="false">'Monthly Engine'!O121</f>
        <v>4208283.2065029</v>
      </c>
      <c r="I11" s="22" t="n">
        <f aca="false">'Monthly Engine'!S121</f>
        <v>29891496.0300926</v>
      </c>
      <c r="J11" s="22" t="n">
        <f aca="false">G11+H11+I11</f>
        <v>40887323.6659593</v>
      </c>
      <c r="K11" s="23" t="n">
        <f aca="false">D11/C11</f>
        <v>0.0290839207015788</v>
      </c>
      <c r="L11" s="24" t="str">
        <f aca="false">IF(K11&lt;=GreenBand,"GREEN",IF(K11&lt;=YellowBand,"YELLOW","RED"))</f>
        <v>GREEN</v>
      </c>
    </row>
    <row r="12" customFormat="false" ht="15" hidden="false" customHeight="false" outlineLevel="0" collapsed="false">
      <c r="A12" s="21" t="n">
        <v>11</v>
      </c>
      <c r="B12" s="21" t="n">
        <f aca="false">Age+A12-1</f>
        <v>72</v>
      </c>
      <c r="C12" s="22" t="n">
        <f aca="false">J11</f>
        <v>40887323.6659593</v>
      </c>
      <c r="D12" s="22" t="n">
        <f aca="false">SUMIFS('Monthly Engine'!$D:$D,'Monthly Engine'!$B:$B,A12)</f>
        <v>1180290.81437374</v>
      </c>
      <c r="E12" s="22" t="n">
        <f aca="false">D12/12</f>
        <v>98357.5678644783</v>
      </c>
      <c r="F12" s="22" t="n">
        <f aca="false">J12-C12+D12</f>
        <v>4305833.52620468</v>
      </c>
      <c r="G12" s="22" t="n">
        <f aca="false">'Monthly Engine'!J133</f>
        <v>6059312.01633559</v>
      </c>
      <c r="H12" s="22" t="n">
        <f aca="false">'Monthly Engine'!O133</f>
        <v>4603049.19862583</v>
      </c>
      <c r="I12" s="22" t="n">
        <f aca="false">'Monthly Engine'!S133</f>
        <v>33350505.1628288</v>
      </c>
      <c r="J12" s="22" t="n">
        <f aca="false">G12+H12+I12</f>
        <v>44012866.3777902</v>
      </c>
      <c r="K12" s="23" t="n">
        <f aca="false">D12/C12</f>
        <v>0.028866912983018</v>
      </c>
      <c r="L12" s="24" t="str">
        <f aca="false">IF(K12&lt;=GreenBand,"GREEN",IF(K12&lt;=YellowBand,"YELLOW","RED"))</f>
        <v>GREEN</v>
      </c>
    </row>
    <row r="13" customFormat="false" ht="15" hidden="false" customHeight="false" outlineLevel="0" collapsed="false">
      <c r="A13" s="21" t="n">
        <v>12</v>
      </c>
      <c r="B13" s="21" t="n">
        <f aca="false">Age+A13-1</f>
        <v>73</v>
      </c>
      <c r="C13" s="22" t="n">
        <f aca="false">J12</f>
        <v>44012866.3777902</v>
      </c>
      <c r="D13" s="22" t="n">
        <f aca="false">SUMIFS('Monthly Engine'!$D:$D,'Monthly Engine'!$B:$B,A13)</f>
        <v>1262911.1713799</v>
      </c>
      <c r="E13" s="22" t="n">
        <f aca="false">D13/12</f>
        <v>105242.597614992</v>
      </c>
      <c r="F13" s="22" t="n">
        <f aca="false">J13-C13+D13</f>
        <v>4687790.86904188</v>
      </c>
      <c r="G13" s="22" t="n">
        <f aca="false">'Monthly Engine'!J145</f>
        <v>5193112.30488256</v>
      </c>
      <c r="H13" s="22" t="n">
        <f aca="false">'Monthly Engine'!O145</f>
        <v>5034846.96377583</v>
      </c>
      <c r="I13" s="22" t="n">
        <f aca="false">'Monthly Engine'!S145</f>
        <v>37209786.8067938</v>
      </c>
      <c r="J13" s="22" t="n">
        <f aca="false">G13+H13+I13</f>
        <v>47437746.0754522</v>
      </c>
      <c r="K13" s="23" t="n">
        <f aca="false">D13/C13</f>
        <v>0.0286941359496911</v>
      </c>
      <c r="L13" s="24" t="str">
        <f aca="false">IF(K13&lt;=GreenBand,"GREEN",IF(K13&lt;=YellowBand,"YELLOW","RED"))</f>
        <v>GREEN</v>
      </c>
    </row>
    <row r="14" customFormat="false" ht="15" hidden="false" customHeight="false" outlineLevel="0" collapsed="false">
      <c r="A14" s="21" t="n">
        <v>13</v>
      </c>
      <c r="B14" s="21" t="n">
        <f aca="false">Age+A14-1</f>
        <v>74</v>
      </c>
      <c r="C14" s="22" t="n">
        <f aca="false">J13</f>
        <v>47437746.0754522</v>
      </c>
      <c r="D14" s="22" t="n">
        <f aca="false">SUMIFS('Monthly Engine'!$D:$D,'Monthly Engine'!$B:$B,A14)</f>
        <v>1351314.95337649</v>
      </c>
      <c r="E14" s="22" t="n">
        <f aca="false">D14/12</f>
        <v>112609.579448041</v>
      </c>
      <c r="F14" s="22" t="n">
        <f aca="false">J14-C14+D14</f>
        <v>5109378.24232574</v>
      </c>
      <c r="G14" s="22" t="n">
        <f aca="false">'Monthly Engine'!J157</f>
        <v>4172998.99555764</v>
      </c>
      <c r="H14" s="22" t="n">
        <f aca="false">'Monthly Engine'!O157</f>
        <v>5507150.3376958</v>
      </c>
      <c r="I14" s="22" t="n">
        <f aca="false">'Monthly Engine'!S157</f>
        <v>41515660.031148</v>
      </c>
      <c r="J14" s="22" t="n">
        <f aca="false">G14+H14+I14</f>
        <v>51195809.3644014</v>
      </c>
      <c r="K14" s="23" t="n">
        <f aca="false">D14/C14</f>
        <v>0.0284860699584495</v>
      </c>
      <c r="L14" s="24" t="str">
        <f aca="false">IF(K14&lt;=GreenBand,"GREEN",IF(K14&lt;=YellowBand,"YELLOW","RED"))</f>
        <v>GREEN</v>
      </c>
    </row>
    <row r="15" customFormat="false" ht="15" hidden="false" customHeight="false" outlineLevel="0" collapsed="false">
      <c r="A15" s="21" t="n">
        <v>14</v>
      </c>
      <c r="B15" s="21" t="n">
        <f aca="false">Age+A15-1</f>
        <v>75</v>
      </c>
      <c r="C15" s="22" t="n">
        <f aca="false">J14</f>
        <v>51195809.3644014</v>
      </c>
      <c r="D15" s="22" t="n">
        <f aca="false">SUMIFS('Monthly Engine'!$D:$D,'Monthly Engine'!$B:$B,A15)</f>
        <v>1445907.00011285</v>
      </c>
      <c r="E15" s="22" t="n">
        <f aca="false">D15/12</f>
        <v>120492.250009404</v>
      </c>
      <c r="F15" s="22" t="n">
        <f aca="false">J15-C15+D15</f>
        <v>5575115.50080002</v>
      </c>
      <c r="G15" s="22" t="n">
        <f aca="false">'Monthly Engine'!J169</f>
        <v>2981454.94537728</v>
      </c>
      <c r="H15" s="22" t="n">
        <f aca="false">'Monthly Engine'!O169</f>
        <v>6023759.02588275</v>
      </c>
      <c r="I15" s="22" t="n">
        <f aca="false">'Monthly Engine'!S169</f>
        <v>46319803.8938285</v>
      </c>
      <c r="J15" s="22" t="n">
        <f aca="false">G15+H15+I15</f>
        <v>55325017.8650886</v>
      </c>
      <c r="K15" s="23" t="n">
        <f aca="false">D15/C15</f>
        <v>0.0282426827129771</v>
      </c>
      <c r="L15" s="24" t="str">
        <f aca="false">IF(K15&lt;=GreenBand,"GREEN",IF(K15&lt;=YellowBand,"YELLOW","RED"))</f>
        <v>GREEN</v>
      </c>
    </row>
    <row r="16" customFormat="false" ht="15" hidden="false" customHeight="false" outlineLevel="0" collapsed="false">
      <c r="A16" s="21" t="n">
        <v>15</v>
      </c>
      <c r="B16" s="21" t="n">
        <f aca="false">Age+A16-1</f>
        <v>76</v>
      </c>
      <c r="C16" s="22" t="n">
        <f aca="false">J15</f>
        <v>55325017.8650886</v>
      </c>
      <c r="D16" s="22" t="n">
        <f aca="false">SUMIFS('Monthly Engine'!$D:$D,'Monthly Engine'!$B:$B,A16)</f>
        <v>1547120.49012075</v>
      </c>
      <c r="E16" s="22" t="n">
        <f aca="false">D16/12</f>
        <v>128926.707510062</v>
      </c>
      <c r="F16" s="22" t="n">
        <f aca="false">J16-C16+D16</f>
        <v>6090058.83618033</v>
      </c>
      <c r="G16" s="22" t="n">
        <f aca="false">'Monthly Engine'!J181</f>
        <v>9519882.18660726</v>
      </c>
      <c r="H16" s="22" t="n">
        <f aca="false">'Monthly Engine'!O181</f>
        <v>6588829.1724184</v>
      </c>
      <c r="I16" s="22" t="n">
        <f aca="false">'Monthly Engine'!S181</f>
        <v>43759244.8521225</v>
      </c>
      <c r="J16" s="22" t="n">
        <f aca="false">G16+H16+I16</f>
        <v>59867956.2111481</v>
      </c>
      <c r="K16" s="23" t="n">
        <f aca="false">D16/C16</f>
        <v>0.0279642113065999</v>
      </c>
      <c r="L16" s="24" t="str">
        <f aca="false">IF(K16&lt;=GreenBand,"GREEN",IF(K16&lt;=YellowBand,"YELLOW","RED"))</f>
        <v>GREEN</v>
      </c>
    </row>
    <row r="17" customFormat="false" ht="15" hidden="false" customHeight="false" outlineLevel="0" collapsed="false">
      <c r="A17" s="21" t="n">
        <v>16</v>
      </c>
      <c r="B17" s="21" t="n">
        <f aca="false">Age+A17-1</f>
        <v>77</v>
      </c>
      <c r="C17" s="22" t="n">
        <f aca="false">J16</f>
        <v>59867956.2111481</v>
      </c>
      <c r="D17" s="22" t="n">
        <f aca="false">SUMIFS('Monthly Engine'!$D:$D,'Monthly Engine'!$B:$B,A17)</f>
        <v>1655418.9244292</v>
      </c>
      <c r="E17" s="22" t="n">
        <f aca="false">D17/12</f>
        <v>137951.577035767</v>
      </c>
      <c r="F17" s="22" t="n">
        <f aca="false">J17-C17+D17</f>
        <v>6315881.80420239</v>
      </c>
      <c r="G17" s="22" t="n">
        <f aca="false">'Monthly Engine'!J193</f>
        <v>8498498.5553628</v>
      </c>
      <c r="H17" s="22" t="n">
        <f aca="false">'Monthly Engine'!O193</f>
        <v>7206906.79636704</v>
      </c>
      <c r="I17" s="22" t="n">
        <f aca="false">'Monthly Engine'!S193</f>
        <v>48823013.7391915</v>
      </c>
      <c r="J17" s="22" t="n">
        <f aca="false">G17+H17+I17</f>
        <v>64528419.0909213</v>
      </c>
      <c r="K17" s="23" t="n">
        <f aca="false">D17/C17</f>
        <v>0.0276511681573146</v>
      </c>
      <c r="L17" s="24" t="str">
        <f aca="false">IF(K17&lt;=GreenBand,"GREEN",IF(K17&lt;=YellowBand,"YELLOW","RED"))</f>
        <v>GREEN</v>
      </c>
    </row>
    <row r="18" customFormat="false" ht="15" hidden="false" customHeight="false" outlineLevel="0" collapsed="false">
      <c r="A18" s="21" t="n">
        <v>17</v>
      </c>
      <c r="B18" s="21" t="n">
        <f aca="false">Age+A18-1</f>
        <v>78</v>
      </c>
      <c r="C18" s="22" t="n">
        <f aca="false">J17</f>
        <v>64528419.0909213</v>
      </c>
      <c r="D18" s="22" t="n">
        <f aca="false">SUMIFS('Monthly Engine'!$D:$D,'Monthly Engine'!$B:$B,A18)</f>
        <v>1771298.24913925</v>
      </c>
      <c r="E18" s="22" t="n">
        <f aca="false">D18/12</f>
        <v>147608.187428271</v>
      </c>
      <c r="F18" s="22" t="n">
        <f aca="false">J18-C18+D18</f>
        <v>6882208.24252222</v>
      </c>
      <c r="G18" s="22" t="n">
        <f aca="false">'Monthly Engine'!J205</f>
        <v>7283608.65093251</v>
      </c>
      <c r="H18" s="22" t="n">
        <f aca="false">'Monthly Engine'!O205</f>
        <v>7882964.36473816</v>
      </c>
      <c r="I18" s="22" t="n">
        <f aca="false">'Monthly Engine'!S205</f>
        <v>54472756.0686336</v>
      </c>
      <c r="J18" s="22" t="n">
        <f aca="false">G18+H18+I18</f>
        <v>69639329.0843043</v>
      </c>
      <c r="K18" s="23" t="n">
        <f aca="false">D18/C18</f>
        <v>0.0274498937691851</v>
      </c>
      <c r="L18" s="24" t="str">
        <f aca="false">IF(K18&lt;=GreenBand,"GREEN",IF(K18&lt;=YellowBand,"YELLOW","RED"))</f>
        <v>GREEN</v>
      </c>
    </row>
    <row r="19" customFormat="false" ht="15" hidden="false" customHeight="false" outlineLevel="0" collapsed="false">
      <c r="A19" s="21" t="n">
        <v>18</v>
      </c>
      <c r="B19" s="21" t="n">
        <f aca="false">Age+A19-1</f>
        <v>79</v>
      </c>
      <c r="C19" s="22" t="n">
        <f aca="false">J18</f>
        <v>69639329.0843043</v>
      </c>
      <c r="D19" s="22" t="n">
        <f aca="false">SUMIFS('Monthly Engine'!$D:$D,'Monthly Engine'!$B:$B,A19)</f>
        <v>1895289.12657899</v>
      </c>
      <c r="E19" s="22" t="n">
        <f aca="false">D19/12</f>
        <v>157940.760548249</v>
      </c>
      <c r="F19" s="22" t="n">
        <f aca="false">J19-C19+D19</f>
        <v>7507527.80719026</v>
      </c>
      <c r="G19" s="22" t="n">
        <f aca="false">'Monthly Engine'!J217</f>
        <v>5852846.96342875</v>
      </c>
      <c r="H19" s="22" t="n">
        <f aca="false">'Monthly Engine'!O217</f>
        <v>8622440.79624515</v>
      </c>
      <c r="I19" s="22" t="n">
        <f aca="false">'Monthly Engine'!S217</f>
        <v>60776280.0052417</v>
      </c>
      <c r="J19" s="22" t="n">
        <f aca="false">G19+H19+I19</f>
        <v>75251567.7649156</v>
      </c>
      <c r="K19" s="23" t="n">
        <f aca="false">D19/C19</f>
        <v>0.0272157867041566</v>
      </c>
      <c r="L19" s="24" t="str">
        <f aca="false">IF(K19&lt;=GreenBand,"GREEN",IF(K19&lt;=YellowBand,"YELLOW","RED"))</f>
        <v>GREEN</v>
      </c>
    </row>
    <row r="20" customFormat="false" ht="15" hidden="false" customHeight="false" outlineLevel="0" collapsed="false">
      <c r="A20" s="21" t="n">
        <v>19</v>
      </c>
      <c r="B20" s="21" t="n">
        <f aca="false">Age+A20-1</f>
        <v>80</v>
      </c>
      <c r="C20" s="22" t="n">
        <f aca="false">J19</f>
        <v>75251567.7649156</v>
      </c>
      <c r="D20" s="22" t="n">
        <f aca="false">SUMIFS('Monthly Engine'!$D:$D,'Monthly Engine'!$B:$B,A20)</f>
        <v>2027959.36543952</v>
      </c>
      <c r="E20" s="22" t="n">
        <f aca="false">D20/12</f>
        <v>168996.613786627</v>
      </c>
      <c r="F20" s="22" t="n">
        <f aca="false">J20-C20+D20</f>
        <v>8198562.00758224</v>
      </c>
      <c r="G20" s="22" t="n">
        <f aca="false">'Monthly Engine'!J229</f>
        <v>4181644.79364299</v>
      </c>
      <c r="H20" s="22" t="n">
        <f aca="false">'Monthly Engine'!O229</f>
        <v>9431285.21769264</v>
      </c>
      <c r="I20" s="22" t="n">
        <f aca="false">'Monthly Engine'!S229</f>
        <v>67809240.3957227</v>
      </c>
      <c r="J20" s="22" t="n">
        <f aca="false">G20+H20+I20</f>
        <v>81422170.4070583</v>
      </c>
      <c r="K20" s="23" t="n">
        <f aca="false">D20/C20</f>
        <v>0.0269490646596869</v>
      </c>
      <c r="L20" s="24" t="str">
        <f aca="false">IF(K20&lt;=GreenBand,"GREEN",IF(K20&lt;=YellowBand,"YELLOW","RED"))</f>
        <v>GREEN</v>
      </c>
    </row>
    <row r="21" customFormat="false" ht="15" hidden="false" customHeight="false" outlineLevel="0" collapsed="false">
      <c r="A21" s="21" t="n">
        <v>20</v>
      </c>
      <c r="B21" s="21" t="n">
        <f aca="false">Age+A21-1</f>
        <v>81</v>
      </c>
      <c r="C21" s="22" t="n">
        <f aca="false">J20</f>
        <v>81422170.4070583</v>
      </c>
      <c r="D21" s="22" t="n">
        <f aca="false">SUMIFS('Monthly Engine'!$D:$D,'Monthly Engine'!$B:$B,A21)</f>
        <v>2169916.52102029</v>
      </c>
      <c r="E21" s="22" t="n">
        <f aca="false">D21/12</f>
        <v>180826.376751691</v>
      </c>
      <c r="F21" s="22" t="n">
        <f aca="false">J21-C21+D21</f>
        <v>8962827.65394926</v>
      </c>
      <c r="G21" s="22" t="n">
        <f aca="false">'Monthly Engine'!J241</f>
        <v>13352127.2368861</v>
      </c>
      <c r="H21" s="22" t="n">
        <f aca="false">'Monthly Engine'!O241</f>
        <v>10316004.8250146</v>
      </c>
      <c r="I21" s="22" t="n">
        <f aca="false">'Monthly Engine'!S241</f>
        <v>64546949.4780866</v>
      </c>
      <c r="J21" s="22" t="n">
        <f aca="false">G21+H21+I21</f>
        <v>88215081.5399873</v>
      </c>
      <c r="K21" s="23" t="n">
        <f aca="false">D21/C21</f>
        <v>0.0266501925725157</v>
      </c>
      <c r="L21" s="24" t="str">
        <f aca="false">IF(K21&lt;=GreenBand,"GREEN",IF(K21&lt;=YellowBand,"YELLOW","RED"))</f>
        <v>GREEN</v>
      </c>
    </row>
    <row r="22" customFormat="false" ht="15" hidden="false" customHeight="false" outlineLevel="0" collapsed="false">
      <c r="A22" s="21" t="n">
        <v>21</v>
      </c>
      <c r="B22" s="21" t="n">
        <f aca="false">Age+A22-1</f>
        <v>82</v>
      </c>
      <c r="C22" s="22" t="n">
        <f aca="false">J21</f>
        <v>88215081.5399873</v>
      </c>
      <c r="D22" s="22" t="n">
        <f aca="false">SUMIFS('Monthly Engine'!$D:$D,'Monthly Engine'!$B:$B,A22)</f>
        <v>2321810.67749171</v>
      </c>
      <c r="E22" s="22" t="n">
        <f aca="false">D22/12</f>
        <v>193484.223124309</v>
      </c>
      <c r="F22" s="22" t="n">
        <f aca="false">J22-C22+D22</f>
        <v>9326277.58033009</v>
      </c>
      <c r="G22" s="22" t="n">
        <f aca="false">'Monthly Engine'!J253</f>
        <v>11919583.8571755</v>
      </c>
      <c r="H22" s="22" t="n">
        <f aca="false">'Monthly Engine'!O253</f>
        <v>11283717.2340081</v>
      </c>
      <c r="I22" s="22" t="n">
        <f aca="false">'Monthly Engine'!S253</f>
        <v>72016247.351642</v>
      </c>
      <c r="J22" s="22" t="n">
        <f aca="false">G22+H22+I22</f>
        <v>95219548.4428256</v>
      </c>
      <c r="K22" s="23" t="n">
        <f aca="false">D22/C22</f>
        <v>0.026319883595406</v>
      </c>
      <c r="L22" s="24" t="str">
        <f aca="false">IF(K22&lt;=GreenBand,"GREEN",IF(K22&lt;=YellowBand,"YELLOW","RED"))</f>
        <v>GREEN</v>
      </c>
    </row>
    <row r="23" customFormat="false" ht="15" hidden="false" customHeight="false" outlineLevel="0" collapsed="false">
      <c r="A23" s="21" t="n">
        <v>22</v>
      </c>
      <c r="B23" s="21" t="n">
        <f aca="false">Age+A23-1</f>
        <v>83</v>
      </c>
      <c r="C23" s="22" t="n">
        <f aca="false">J22</f>
        <v>95219548.4428256</v>
      </c>
      <c r="D23" s="22" t="n">
        <f aca="false">SUMIFS('Monthly Engine'!$D:$D,'Monthly Engine'!$B:$B,A23)</f>
        <v>2484337.42491613</v>
      </c>
      <c r="E23" s="22" t="n">
        <f aca="false">D23/12</f>
        <v>207028.118743011</v>
      </c>
      <c r="F23" s="22" t="n">
        <f aca="false">J23-C23+D23</f>
        <v>10172518.325445</v>
      </c>
      <c r="G23" s="22" t="n">
        <f aca="false">'Monthly Engine'!J265</f>
        <v>10215637.9191069</v>
      </c>
      <c r="H23" s="22" t="n">
        <f aca="false">'Monthly Engine'!O265</f>
        <v>12342207.741927</v>
      </c>
      <c r="I23" s="22" t="n">
        <f aca="false">'Monthly Engine'!S265</f>
        <v>80349883.6823206</v>
      </c>
      <c r="J23" s="22" t="n">
        <f aca="false">G23+H23+I23</f>
        <v>102907729.343354</v>
      </c>
      <c r="K23" s="23" t="n">
        <f aca="false">D23/C23</f>
        <v>0.0260906238849457</v>
      </c>
      <c r="L23" s="24" t="str">
        <f aca="false">IF(K23&lt;=GreenBand,"GREEN",IF(K23&lt;=YellowBand,"YELLOW","RED"))</f>
        <v>GREEN</v>
      </c>
    </row>
    <row r="24" customFormat="false" ht="15" hidden="false" customHeight="false" outlineLevel="0" collapsed="false">
      <c r="A24" s="21" t="n">
        <v>23</v>
      </c>
      <c r="B24" s="21" t="n">
        <f aca="false">Age+A24-1</f>
        <v>84</v>
      </c>
      <c r="C24" s="22" t="n">
        <f aca="false">J23</f>
        <v>102907729.343354</v>
      </c>
      <c r="D24" s="22" t="n">
        <f aca="false">SUMIFS('Monthly Engine'!$D:$D,'Monthly Engine'!$B:$B,A24)</f>
        <v>2658241.04466026</v>
      </c>
      <c r="E24" s="22" t="n">
        <f aca="false">D24/12</f>
        <v>221520.087055022</v>
      </c>
      <c r="F24" s="22" t="n">
        <f aca="false">J24-C24+D24</f>
        <v>11107303.0104525</v>
      </c>
      <c r="G24" s="22" t="n">
        <f aca="false">'Monthly Engine'!J277</f>
        <v>8208920.63807922</v>
      </c>
      <c r="H24" s="22" t="n">
        <f aca="false">'Monthly Engine'!O277</f>
        <v>13499991.960608</v>
      </c>
      <c r="I24" s="22" t="n">
        <f aca="false">'Monthly Engine'!S277</f>
        <v>89647878.7104595</v>
      </c>
      <c r="J24" s="22" t="n">
        <f aca="false">G24+H24+I24</f>
        <v>111356791.309147</v>
      </c>
      <c r="K24" s="23" t="n">
        <f aca="false">D24/C24</f>
        <v>0.0258313059827699</v>
      </c>
      <c r="L24" s="24" t="str">
        <f aca="false">IF(K24&lt;=GreenBand,"GREEN",IF(K24&lt;=YellowBand,"YELLOW","RED"))</f>
        <v>GREEN</v>
      </c>
    </row>
    <row r="25" customFormat="false" ht="15" hidden="false" customHeight="false" outlineLevel="0" collapsed="false">
      <c r="A25" s="21" t="n">
        <v>24</v>
      </c>
      <c r="B25" s="21" t="n">
        <f aca="false">Age+A25-1</f>
        <v>85</v>
      </c>
      <c r="C25" s="22" t="n">
        <f aca="false">J24</f>
        <v>111356791.309147</v>
      </c>
      <c r="D25" s="22" t="n">
        <f aca="false">SUMIFS('Monthly Engine'!$D:$D,'Monthly Engine'!$B:$B,A25)</f>
        <v>2844317.91778648</v>
      </c>
      <c r="E25" s="22" t="n">
        <f aca="false">D25/12</f>
        <v>237026.493148873</v>
      </c>
      <c r="F25" s="22" t="n">
        <f aca="false">J25-C25+D25</f>
        <v>12140710.9783557</v>
      </c>
      <c r="G25" s="22" t="n">
        <f aca="false">'Monthly Engine'!J289</f>
        <v>5864973.1424966</v>
      </c>
      <c r="H25" s="22" t="n">
        <f aca="false">'Monthly Engine'!O289</f>
        <v>14766384.3250158</v>
      </c>
      <c r="I25" s="22" t="n">
        <f aca="false">'Monthly Engine'!S289</f>
        <v>100021826.902204</v>
      </c>
      <c r="J25" s="22" t="n">
        <f aca="false">G25+H25+I25</f>
        <v>120653184.369716</v>
      </c>
      <c r="K25" s="23" t="n">
        <f aca="false">D25/C25</f>
        <v>0.0255423839385793</v>
      </c>
      <c r="L25" s="24" t="str">
        <f aca="false">IF(K25&lt;=GreenBand,"GREEN",IF(K25&lt;=YellowBand,"YELLOW","RED"))</f>
        <v>GREEN</v>
      </c>
    </row>
    <row r="26" customFormat="false" ht="15" hidden="false" customHeight="false" outlineLevel="0" collapsed="false">
      <c r="A26" s="21" t="n">
        <v>25</v>
      </c>
      <c r="B26" s="21" t="n">
        <f aca="false">Age+A26-1</f>
        <v>86</v>
      </c>
      <c r="C26" s="22" t="n">
        <f aca="false">J25</f>
        <v>120653184.369716</v>
      </c>
      <c r="D26" s="22" t="n">
        <f aca="false">SUMIFS('Monthly Engine'!$D:$D,'Monthly Engine'!$B:$B,A26)</f>
        <v>3043420.17203153</v>
      </c>
      <c r="E26" s="22" t="n">
        <f aca="false">D26/12</f>
        <v>253618.347669294</v>
      </c>
      <c r="F26" s="22" t="n">
        <f aca="false">J26-C26+D26</f>
        <v>13284010.6568021</v>
      </c>
      <c r="G26" s="22" t="n">
        <f aca="false">'Monthly Engine'!J301</f>
        <v>18727049.1646212</v>
      </c>
      <c r="H26" s="22" t="n">
        <f aca="false">'Monthly Engine'!O301</f>
        <v>16151573.028363</v>
      </c>
      <c r="I26" s="22" t="n">
        <f aca="false">'Monthly Engine'!S301</f>
        <v>96015152.6615023</v>
      </c>
      <c r="J26" s="22" t="n">
        <f aca="false">G26+H26+I26</f>
        <v>130893774.854487</v>
      </c>
      <c r="K26" s="23" t="n">
        <f aca="false">D26/C26</f>
        <v>0.0252245325138342</v>
      </c>
      <c r="L26" s="24" t="str">
        <f aca="false">IF(K26&lt;=GreenBand,"GREEN",IF(K26&lt;=YellowBand,"YELLOW","RED"))</f>
        <v>GREEN</v>
      </c>
    </row>
    <row r="27" customFormat="false" ht="15" hidden="false" customHeight="false" outlineLevel="0" collapsed="false">
      <c r="A27" s="21" t="n">
        <v>26</v>
      </c>
      <c r="B27" s="21" t="n">
        <f aca="false">Age+A27-1</f>
        <v>87</v>
      </c>
      <c r="C27" s="22" t="n">
        <f aca="false">J26</f>
        <v>130893774.854487</v>
      </c>
      <c r="D27" s="22" t="n">
        <f aca="false">SUMIFS('Monthly Engine'!$D:$D,'Monthly Engine'!$B:$B,A27)</f>
        <v>3256459.58407374</v>
      </c>
      <c r="E27" s="22" t="n">
        <f aca="false">D27/12</f>
        <v>271371.632006145</v>
      </c>
      <c r="F27" s="22" t="n">
        <f aca="false">J27-C27+D27</f>
        <v>13873134.0689497</v>
      </c>
      <c r="G27" s="22" t="n">
        <f aca="false">'Monthly Engine'!J313</f>
        <v>16717832.9681053</v>
      </c>
      <c r="H27" s="22" t="n">
        <f aca="false">'Monthly Engine'!O313</f>
        <v>17666701.98666</v>
      </c>
      <c r="I27" s="22" t="n">
        <f aca="false">'Monthly Engine'!S313</f>
        <v>107125914.384597</v>
      </c>
      <c r="J27" s="22" t="n">
        <f aca="false">G27+H27+I27</f>
        <v>141510449.339362</v>
      </c>
      <c r="K27" s="23" t="n">
        <f aca="false">D27/C27</f>
        <v>0.0248786436764767</v>
      </c>
      <c r="L27" s="24" t="str">
        <f aca="false">IF(K27&lt;=GreenBand,"GREEN",IF(K27&lt;=YellowBand,"YELLOW","RED"))</f>
        <v>GREEN</v>
      </c>
    </row>
    <row r="28" customFormat="false" ht="15" hidden="false" customHeight="false" outlineLevel="0" collapsed="false">
      <c r="A28" s="21" t="n">
        <v>27</v>
      </c>
      <c r="B28" s="21" t="n">
        <f aca="false">Age+A28-1</f>
        <v>88</v>
      </c>
      <c r="C28" s="22" t="n">
        <f aca="false">J27</f>
        <v>141510449.339362</v>
      </c>
      <c r="D28" s="22" t="n">
        <f aca="false">SUMIFS('Monthly Engine'!$D:$D,'Monthly Engine'!$B:$B,A28)</f>
        <v>3484411.7549589</v>
      </c>
      <c r="E28" s="22" t="n">
        <f aca="false">D28/12</f>
        <v>290367.646246575</v>
      </c>
      <c r="F28" s="22" t="n">
        <f aca="false">J28-C28+D28</f>
        <v>15148284.0748815</v>
      </c>
      <c r="G28" s="22" t="n">
        <f aca="false">'Monthly Engine'!J325</f>
        <v>14327960.6436479</v>
      </c>
      <c r="H28" s="22" t="n">
        <f aca="false">'Monthly Engine'!O325</f>
        <v>19323960.4921064</v>
      </c>
      <c r="I28" s="22" t="n">
        <f aca="false">'Monthly Engine'!S325</f>
        <v>119522400.523531</v>
      </c>
      <c r="J28" s="22" t="n">
        <f aca="false">G28+H28+I28</f>
        <v>153174321.659285</v>
      </c>
      <c r="K28" s="23" t="n">
        <f aca="false">D28/C28</f>
        <v>0.0246229997235242</v>
      </c>
      <c r="L28" s="24" t="str">
        <f aca="false">IF(K28&lt;=GreenBand,"GREEN",IF(K28&lt;=YellowBand,"YELLOW","RED"))</f>
        <v>GREEN</v>
      </c>
    </row>
    <row r="29" customFormat="false" ht="15" hidden="false" customHeight="false" outlineLevel="0" collapsed="false">
      <c r="A29" s="21" t="n">
        <v>28</v>
      </c>
      <c r="B29" s="21" t="n">
        <f aca="false">Age+A29-1</f>
        <v>89</v>
      </c>
      <c r="C29" s="22" t="n">
        <f aca="false">J28</f>
        <v>153174321.659285</v>
      </c>
      <c r="D29" s="22" t="n">
        <f aca="false">SUMIFS('Monthly Engine'!$D:$D,'Monthly Engine'!$B:$B,A29)</f>
        <v>3728320.57780602</v>
      </c>
      <c r="E29" s="22" t="n">
        <f aca="false">D29/12</f>
        <v>310693.381483835</v>
      </c>
      <c r="F29" s="22" t="n">
        <f aca="false">J29-C29+D29</f>
        <v>16557509.6545974</v>
      </c>
      <c r="G29" s="22" t="n">
        <f aca="false">'Monthly Engine'!J337</f>
        <v>11513435.8481169</v>
      </c>
      <c r="H29" s="22" t="n">
        <f aca="false">'Monthly Engine'!O337</f>
        <v>21136681.2765876</v>
      </c>
      <c r="I29" s="22" t="n">
        <f aca="false">'Monthly Engine'!S337</f>
        <v>133353393.611372</v>
      </c>
      <c r="J29" s="22" t="n">
        <f aca="false">G29+H29+I29</f>
        <v>166003510.736076</v>
      </c>
      <c r="K29" s="23" t="n">
        <f aca="false">D29/C29</f>
        <v>0.0243403759678411</v>
      </c>
      <c r="L29" s="24" t="str">
        <f aca="false">IF(K29&lt;=GreenBand,"GREEN",IF(K29&lt;=YellowBand,"YELLOW","RED"))</f>
        <v>GREEN</v>
      </c>
    </row>
    <row r="30" customFormat="false" ht="15" hidden="false" customHeight="false" outlineLevel="0" collapsed="false">
      <c r="A30" s="21" t="n">
        <v>29</v>
      </c>
      <c r="B30" s="21" t="n">
        <f aca="false">Age+A30-1</f>
        <v>90</v>
      </c>
      <c r="C30" s="22" t="n">
        <f aca="false">J29</f>
        <v>166003510.736076</v>
      </c>
      <c r="D30" s="22" t="n">
        <f aca="false">SUMIFS('Monthly Engine'!$D:$D,'Monthly Engine'!$B:$B,A30)</f>
        <v>3989303.01825245</v>
      </c>
      <c r="E30" s="22" t="n">
        <f aca="false">D30/12</f>
        <v>332441.918187704</v>
      </c>
      <c r="F30" s="22" t="n">
        <f aca="false">J30-C30+D30</f>
        <v>18116061.4106603</v>
      </c>
      <c r="G30" s="22" t="n">
        <f aca="false">'Monthly Engine'!J349</f>
        <v>8225928.23151761</v>
      </c>
      <c r="H30" s="22" t="n">
        <f aca="false">'Monthly Engine'!O349</f>
        <v>23119447.7742046</v>
      </c>
      <c r="I30" s="22" t="n">
        <f aca="false">'Monthly Engine'!S349</f>
        <v>148784893.122762</v>
      </c>
      <c r="J30" s="22" t="n">
        <f aca="false">G30+H30+I30</f>
        <v>180130269.128484</v>
      </c>
      <c r="K30" s="23" t="n">
        <f aca="false">D30/C30</f>
        <v>0.0240314376519115</v>
      </c>
      <c r="L30" s="24" t="str">
        <f aca="false">IF(K30&lt;=GreenBand,"GREEN",IF(K30&lt;=YellowBand,"YELLOW","RED"))</f>
        <v>GREEN</v>
      </c>
    </row>
    <row r="31" customFormat="false" ht="15" hidden="false" customHeight="false" outlineLevel="0" collapsed="false">
      <c r="A31" s="21" t="n">
        <v>30</v>
      </c>
      <c r="B31" s="21" t="n">
        <f aca="false">Age+A31-1</f>
        <v>91</v>
      </c>
      <c r="C31" s="22" t="n">
        <f aca="false">J30</f>
        <v>180130269.128484</v>
      </c>
      <c r="D31" s="22" t="n">
        <f aca="false">SUMIFS('Monthly Engine'!$D:$D,'Monthly Engine'!$B:$B,A31)</f>
        <v>4268554.22953012</v>
      </c>
      <c r="E31" s="22" t="n">
        <f aca="false">D31/12</f>
        <v>355712.852460843</v>
      </c>
      <c r="F31" s="22" t="n">
        <f aca="false">J31-C31+D31</f>
        <v>19840983.7309216</v>
      </c>
      <c r="G31" s="22" t="n">
        <f aca="false">'Monthly Engine'!J361</f>
        <v>4412379.38574933</v>
      </c>
      <c r="H31" s="22" t="n">
        <f aca="false">'Monthly Engine'!O361</f>
        <v>25288211.445769</v>
      </c>
      <c r="I31" s="22" t="n">
        <f aca="false">'Monthly Engine'!S361</f>
        <v>166002107.798357</v>
      </c>
      <c r="J31" s="22" t="n">
        <f aca="false">G31+H31+I31</f>
        <v>195702698.629876</v>
      </c>
      <c r="K31" s="23" t="n">
        <f aca="false">D31/C31</f>
        <v>0.0236970402041948</v>
      </c>
      <c r="L31" s="24" t="str">
        <f aca="false">IF(K31&lt;=GreenBand,"GREEN",IF(K31&lt;=YellowBand,"YELLOW","RED"))</f>
        <v>GREEN</v>
      </c>
    </row>
    <row r="33" customFormat="false" ht="15" hidden="false" customHeight="false" outlineLevel="0" collapsed="false">
      <c r="A33" s="25" t="s">
        <v>93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</sheetData>
  <mergeCells count="1">
    <mergeCell ref="A33:L33"/>
  </mergeCells>
  <conditionalFormatting sqref="L2:L31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"YELLOW"</formula>
    </cfRule>
    <cfRule type="cellIs" priority="4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6"/>
  </cols>
  <sheetData>
    <row r="1" customFormat="false" ht="25.5" hidden="false" customHeight="true" outlineLevel="0" collapsed="false">
      <c r="A1" s="1" t="s">
        <v>94</v>
      </c>
      <c r="B1" s="1"/>
      <c r="C1" s="1"/>
      <c r="D1" s="1"/>
      <c r="E1" s="1"/>
      <c r="F1" s="1"/>
      <c r="G1" s="1"/>
      <c r="H1" s="1"/>
      <c r="I1" s="1"/>
    </row>
    <row r="3" customFormat="false" ht="27.75" hidden="false" customHeight="true" outlineLevel="0" collapsed="false">
      <c r="B3" s="25" t="s">
        <v>95</v>
      </c>
      <c r="C3" s="25"/>
      <c r="D3" s="25"/>
      <c r="E3" s="25"/>
      <c r="F3" s="25"/>
      <c r="G3" s="25"/>
      <c r="H3" s="25"/>
      <c r="I3" s="25"/>
    </row>
    <row r="5" customFormat="false" ht="15" hidden="false" customHeight="false" outlineLevel="0" collapsed="false">
      <c r="B5" s="14" t="s">
        <v>96</v>
      </c>
      <c r="C5" s="26" t="n">
        <f aca="false">B1Pct*B1Ret+B2Pct*B2Ret+B3Pct*B3Ret</f>
        <v>0.097</v>
      </c>
    </row>
    <row r="7" customFormat="false" ht="30" hidden="false" customHeight="true" outlineLevel="0" collapsed="false">
      <c r="A7" s="18" t="s">
        <v>64</v>
      </c>
      <c r="B7" s="18" t="s">
        <v>65</v>
      </c>
      <c r="C7" s="18" t="s">
        <v>97</v>
      </c>
      <c r="D7" s="18" t="s">
        <v>98</v>
      </c>
      <c r="E7" s="18" t="s">
        <v>99</v>
      </c>
      <c r="F7" s="18" t="s">
        <v>100</v>
      </c>
      <c r="G7" s="18" t="s">
        <v>101</v>
      </c>
      <c r="H7" s="18" t="s">
        <v>102</v>
      </c>
    </row>
    <row r="8" customFormat="false" ht="15" hidden="false" customHeight="false" outlineLevel="0" collapsed="false">
      <c r="A8" s="21" t="n">
        <v>1</v>
      </c>
      <c r="B8" s="21" t="n">
        <f aca="false">Age+A8-1</f>
        <v>62</v>
      </c>
      <c r="C8" s="22" t="n">
        <f aca="false">(Corpus-D8)*(1+$C$5+Assumptions!$C$25)</f>
        <v>20893800</v>
      </c>
      <c r="D8" s="22" t="n">
        <f aca="false">MonthlyExp*12*(1+Inflation)^(A8-1)</f>
        <v>600000</v>
      </c>
      <c r="E8" s="22" t="n">
        <f aca="false">(Corpus-F8)*(1+$C$5+Assumptions!$C$26)</f>
        <v>21281800</v>
      </c>
      <c r="F8" s="22" t="n">
        <f aca="false">MonthlyExp*12*(1+Inflation)^(A8-1)</f>
        <v>600000</v>
      </c>
      <c r="G8" s="22" t="n">
        <f aca="false">(Corpus-H8)*(1+$C$5+Assumptions!$C$27)</f>
        <v>21669800</v>
      </c>
      <c r="H8" s="22" t="n">
        <f aca="false">MonthlyExp*12*(1+Inflation)^(A8-1)</f>
        <v>600000</v>
      </c>
    </row>
    <row r="9" customFormat="false" ht="15" hidden="false" customHeight="false" outlineLevel="0" collapsed="false">
      <c r="A9" s="21" t="n">
        <v>2</v>
      </c>
      <c r="B9" s="21" t="n">
        <f aca="false">Age+A9-1</f>
        <v>63</v>
      </c>
      <c r="C9" s="22" t="n">
        <f aca="false">(C8-D9)*(1+$C$5+Assumptions!$C$25)</f>
        <v>21811188.6</v>
      </c>
      <c r="D9" s="22" t="n">
        <f aca="false">MonthlyExp*12*(1+Inflation)^(A9-1)</f>
        <v>642000</v>
      </c>
      <c r="E9" s="22" t="n">
        <f aca="false">(E8-F9)*(1+$C$5+Assumptions!$C$26)</f>
        <v>22641860.6</v>
      </c>
      <c r="F9" s="22" t="n">
        <f aca="false">MonthlyExp*12*(1+Inflation)^(A9-1)</f>
        <v>642000</v>
      </c>
      <c r="G9" s="22" t="n">
        <f aca="false">(G8-H9)*(1+$C$5+Assumptions!$C$27)</f>
        <v>23488052.6</v>
      </c>
      <c r="H9" s="22" t="n">
        <f aca="false">MonthlyExp*12*(1+Inflation)^(A9-1)</f>
        <v>642000</v>
      </c>
    </row>
    <row r="10" customFormat="false" ht="15" hidden="false" customHeight="false" outlineLevel="0" collapsed="false">
      <c r="A10" s="21" t="n">
        <v>3</v>
      </c>
      <c r="B10" s="21" t="n">
        <f aca="false">Age+A10-1</f>
        <v>64</v>
      </c>
      <c r="C10" s="22" t="n">
        <f aca="false">(C9-D10)*(1+$C$5+Assumptions!$C$25)</f>
        <v>22750815.7422</v>
      </c>
      <c r="D10" s="22" t="n">
        <f aca="false">MonthlyExp*12*(1+Inflation)^(A10-1)</f>
        <v>686940</v>
      </c>
      <c r="E10" s="22" t="n">
        <f aca="false">(E9-F10)*(1+$C$5+Assumptions!$C$26)</f>
        <v>24084547.8982</v>
      </c>
      <c r="F10" s="22" t="n">
        <f aca="false">MonthlyExp*12*(1+Inflation)^(A10-1)</f>
        <v>686940</v>
      </c>
      <c r="G10" s="22" t="n">
        <f aca="false">(G9-H10)*(1+$C$5+Assumptions!$C$27)</f>
        <v>25468842.7742</v>
      </c>
      <c r="H10" s="22" t="n">
        <f aca="false">MonthlyExp*12*(1+Inflation)^(A10-1)</f>
        <v>686940</v>
      </c>
    </row>
    <row r="11" customFormat="false" ht="15" hidden="false" customHeight="false" outlineLevel="0" collapsed="false">
      <c r="A11" s="21" t="n">
        <v>4</v>
      </c>
      <c r="B11" s="21" t="n">
        <f aca="false">Age+A11-1</f>
        <v>65</v>
      </c>
      <c r="C11" s="22" t="n">
        <f aca="false">(C10-D11)*(1+$C$5+Assumptions!$C$25)</f>
        <v>23711005.7677494</v>
      </c>
      <c r="D11" s="22" t="n">
        <f aca="false">MonthlyExp*12*(1+Inflation)^(A11-1)</f>
        <v>735025.8</v>
      </c>
      <c r="E11" s="22" t="n">
        <f aca="false">(E10-F11)*(1+$C$5+Assumptions!$C$26)</f>
        <v>25614425.7417254</v>
      </c>
      <c r="F11" s="22" t="n">
        <f aca="false">MonthlyExp*12*(1+Inflation)^(A11-1)</f>
        <v>735025.8</v>
      </c>
      <c r="G11" s="22" t="n">
        <f aca="false">(G10-H11)*(1+$C$5+Assumptions!$C$27)</f>
        <v>27627673.5601814</v>
      </c>
      <c r="H11" s="22" t="n">
        <f aca="false">MonthlyExp*12*(1+Inflation)^(A11-1)</f>
        <v>735025.8</v>
      </c>
    </row>
    <row r="12" customFormat="false" ht="15" hidden="false" customHeight="false" outlineLevel="0" collapsed="false">
      <c r="A12" s="21" t="n">
        <v>5</v>
      </c>
      <c r="B12" s="21" t="n">
        <f aca="false">Age+A12-1</f>
        <v>66</v>
      </c>
      <c r="C12" s="22" t="n">
        <f aca="false">(C11-D12)*(1+$C$5+Assumptions!$C$25)</f>
        <v>24689716.8302041</v>
      </c>
      <c r="D12" s="22" t="n">
        <f aca="false">MonthlyExp*12*(1+Inflation)^(A12-1)</f>
        <v>786477.606</v>
      </c>
      <c r="E12" s="22" t="n">
        <f aca="false">(E11-F12)*(1+$C$5+Assumptions!$C$26)</f>
        <v>27236259.1048908</v>
      </c>
      <c r="F12" s="22" t="n">
        <f aca="false">MonthlyExp*12*(1+Inflation)^(A12-1)</f>
        <v>786477.606</v>
      </c>
      <c r="G12" s="22" t="n">
        <f aca="false">(G11-H12)*(1+$C$5+Assumptions!$C$27)</f>
        <v>29981615.8808206</v>
      </c>
      <c r="H12" s="22" t="n">
        <f aca="false">MonthlyExp*12*(1+Inflation)^(A12-1)</f>
        <v>786477.606</v>
      </c>
    </row>
    <row r="13" customFormat="false" ht="15" hidden="false" customHeight="false" outlineLevel="0" collapsed="false">
      <c r="A13" s="21" t="n">
        <v>6</v>
      </c>
      <c r="B13" s="21" t="n">
        <f aca="false">Age+A13-1</f>
        <v>67</v>
      </c>
      <c r="C13" s="22" t="n">
        <f aca="false">(C12-D13)*(1+$C$5+Assumptions!$C$25)</f>
        <v>25684496.0977515</v>
      </c>
      <c r="D13" s="22" t="n">
        <f aca="false">MonthlyExp*12*(1+Inflation)^(A13-1)</f>
        <v>841531.03842</v>
      </c>
      <c r="E13" s="22" t="n">
        <f aca="false">(E12-F13)*(1+$C$5+Assumptions!$C$26)</f>
        <v>28955016.6889184</v>
      </c>
      <c r="F13" s="22" t="n">
        <f aca="false">MonthlyExp*12*(1+Inflation)^(A13-1)</f>
        <v>841531.03842</v>
      </c>
      <c r="G13" s="22" t="n">
        <f aca="false">(G12-H13)*(1+$C$5+Assumptions!$C$27)</f>
        <v>32549474.7689615</v>
      </c>
      <c r="H13" s="22" t="n">
        <f aca="false">MonthlyExp*12*(1+Inflation)^(A13-1)</f>
        <v>841531.03842</v>
      </c>
    </row>
    <row r="14" customFormat="false" ht="15" hidden="false" customHeight="false" outlineLevel="0" collapsed="false">
      <c r="A14" s="21" t="n">
        <v>7</v>
      </c>
      <c r="B14" s="21" t="n">
        <f aca="false">Age+A14-1</f>
        <v>68</v>
      </c>
      <c r="C14" s="22" t="n">
        <f aca="false">(C13-D14)*(1+$C$5+Assumptions!$C$25)</f>
        <v>26692430.3439135</v>
      </c>
      <c r="D14" s="22" t="n">
        <f aca="false">MonthlyExp*12*(1+Inflation)^(A14-1)</f>
        <v>900438.2111094</v>
      </c>
      <c r="E14" s="22" t="n">
        <f aca="false">(E13-F14)*(1+$C$5+Assumptions!$C$26)</f>
        <v>30775872.5901565</v>
      </c>
      <c r="F14" s="22" t="n">
        <f aca="false">MonthlyExp*12*(1+Inflation)^(A14-1)</f>
        <v>900438.2111094</v>
      </c>
      <c r="G14" s="22" t="n">
        <f aca="false">(G13-H14)*(1+$C$5+Assumptions!$C$27)</f>
        <v>35351973.8351208</v>
      </c>
      <c r="H14" s="22" t="n">
        <f aca="false">MonthlyExp*12*(1+Inflation)^(A14-1)</f>
        <v>900438.2111094</v>
      </c>
    </row>
    <row r="15" customFormat="false" ht="15" hidden="false" customHeight="false" outlineLevel="0" collapsed="false">
      <c r="A15" s="21" t="n">
        <v>8</v>
      </c>
      <c r="B15" s="21" t="n">
        <f aca="false">Age+A15-1</f>
        <v>69</v>
      </c>
      <c r="C15" s="22" t="n">
        <f aca="false">(C14-D15)*(1+$C$5+Assumptions!$C$25)</f>
        <v>27710091.4902945</v>
      </c>
      <c r="D15" s="22" t="n">
        <f aca="false">MonthlyExp*12*(1+Inflation)^(A15-1)</f>
        <v>963468.885887058</v>
      </c>
      <c r="E15" s="22" t="n">
        <f aca="false">(E14-F15)*(1+$C$5+Assumptions!$C$26)</f>
        <v>32704206.8635836</v>
      </c>
      <c r="F15" s="22" t="n">
        <f aca="false">MonthlyExp*12*(1+Inflation)^(A15-1)</f>
        <v>963468.885887058</v>
      </c>
      <c r="G15" s="22" t="n">
        <f aca="false">(G14-H15)*(1+$C$5+Assumptions!$C$27)</f>
        <v>38411960.0282941</v>
      </c>
      <c r="H15" s="22" t="n">
        <f aca="false">MonthlyExp*12*(1+Inflation)^(A15-1)</f>
        <v>963468.885887058</v>
      </c>
    </row>
    <row r="16" customFormat="false" ht="15" hidden="false" customHeight="false" outlineLevel="0" collapsed="false">
      <c r="A16" s="21" t="n">
        <v>9</v>
      </c>
      <c r="B16" s="21" t="n">
        <f aca="false">Age+A16-1</f>
        <v>70</v>
      </c>
      <c r="C16" s="22" t="n">
        <f aca="false">(C15-D16)*(1+$C$5+Assumptions!$C$25)</f>
        <v>28733476.6256398</v>
      </c>
      <c r="D16" s="22" t="n">
        <f aca="false">MonthlyExp*12*(1+Inflation)^(A16-1)</f>
        <v>1030911.70789915</v>
      </c>
      <c r="E16" s="22" t="n">
        <f aca="false">(E15-F16)*(1+$C$5+Assumptions!$C$26)</f>
        <v>34745604.7857858</v>
      </c>
      <c r="F16" s="22" t="n">
        <f aca="false">MonthlyExp*12*(1+Inflation)^(A16-1)</f>
        <v>1030911.70789915</v>
      </c>
      <c r="G16" s="22" t="n">
        <f aca="false">(G15-H16)*(1+$C$5+Assumptions!$C$27)</f>
        <v>41754630.9738811</v>
      </c>
      <c r="H16" s="22" t="n">
        <f aca="false">MonthlyExp*12*(1+Inflation)^(A16-1)</f>
        <v>1030911.70789915</v>
      </c>
    </row>
    <row r="17" customFormat="false" ht="15" hidden="false" customHeight="false" outlineLevel="0" collapsed="false">
      <c r="A17" s="21" t="n">
        <v>10</v>
      </c>
      <c r="B17" s="21" t="n">
        <f aca="false">Age+A17-1</f>
        <v>71</v>
      </c>
      <c r="C17" s="22" t="n">
        <f aca="false">(C16-D17)*(1+$C$5+Assumptions!$C$25)</f>
        <v>29757941.9827481</v>
      </c>
      <c r="D17" s="22" t="n">
        <f aca="false">MonthlyExp*12*(1+Inflation)^(A17-1)</f>
        <v>1103075.52745209</v>
      </c>
      <c r="E17" s="22" t="n">
        <f aca="false">(E16-F17)*(1+$C$5+Assumptions!$C$26)</f>
        <v>36905854.5963921</v>
      </c>
      <c r="F17" s="22" t="n">
        <f aca="false">MonthlyExp*12*(1+Inflation)^(A17-1)</f>
        <v>1103075.52745209</v>
      </c>
      <c r="G17" s="22" t="n">
        <f aca="false">(G16-H17)*(1+$C$5+Assumptions!$C$27)</f>
        <v>45407787.4336612</v>
      </c>
      <c r="H17" s="22" t="n">
        <f aca="false">MonthlyExp*12*(1+Inflation)^(A17-1)</f>
        <v>1103075.52745209</v>
      </c>
    </row>
    <row r="18" customFormat="false" ht="15" hidden="false" customHeight="false" outlineLevel="0" collapsed="false">
      <c r="A18" s="21" t="n">
        <v>11</v>
      </c>
      <c r="B18" s="21" t="n">
        <f aca="false">Age+A18-1</f>
        <v>72</v>
      </c>
      <c r="C18" s="22" t="n">
        <f aca="false">(C17-D18)*(1+$C$5+Assumptions!$C$25)</f>
        <v>30778130.3083392</v>
      </c>
      <c r="D18" s="22" t="n">
        <f aca="false">MonthlyExp*12*(1+Inflation)^(A18-1)</f>
        <v>1180290.81437374</v>
      </c>
      <c r="E18" s="22" t="n">
        <f aca="false">(E17-F18)*(1+$C$5+Assumptions!$C$26)</f>
        <v>39190943.4688741</v>
      </c>
      <c r="F18" s="22" t="n">
        <f aca="false">MonthlyExp*12*(1+Inflation)^(A18-1)</f>
        <v>1180290.81437374</v>
      </c>
      <c r="G18" s="22" t="n">
        <f aca="false">(G17-H18)*(1+$C$5+Assumptions!$C$27)</f>
        <v>49402113.7237441</v>
      </c>
      <c r="H18" s="22" t="n">
        <f aca="false">MonthlyExp*12*(1+Inflation)^(A18-1)</f>
        <v>1180290.81437374</v>
      </c>
    </row>
    <row r="19" customFormat="false" ht="15" hidden="false" customHeight="false" outlineLevel="0" collapsed="false">
      <c r="A19" s="21" t="n">
        <v>12</v>
      </c>
      <c r="B19" s="21" t="n">
        <f aca="false">Age+A19-1</f>
        <v>73</v>
      </c>
      <c r="C19" s="22" t="n">
        <f aca="false">(C18-D19)*(1+$C$5+Assumptions!$C$25)</f>
        <v>31787891.0105052</v>
      </c>
      <c r="D19" s="22" t="n">
        <f aca="false">MonthlyExp*12*(1+Inflation)^(A19-1)</f>
        <v>1262911.1713799</v>
      </c>
      <c r="E19" s="22" t="n">
        <f aca="false">(E18-F19)*(1+$C$5+Assumptions!$C$26)</f>
        <v>41607051.4303512</v>
      </c>
      <c r="F19" s="22" t="n">
        <f aca="false">MonthlyExp*12*(1+Inflation)^(A19-1)</f>
        <v>1262911.1713799</v>
      </c>
      <c r="G19" s="22" t="n">
        <f aca="false">(G18-H19)*(1+$C$5+Assumptions!$C$27)</f>
        <v>53771489.2509908</v>
      </c>
      <c r="H19" s="22" t="n">
        <f aca="false">MonthlyExp*12*(1+Inflation)^(A19-1)</f>
        <v>1262911.1713799</v>
      </c>
    </row>
    <row r="20" customFormat="false" ht="15" hidden="false" customHeight="false" outlineLevel="0" collapsed="false">
      <c r="A20" s="21" t="n">
        <v>13</v>
      </c>
      <c r="B20" s="21" t="n">
        <f aca="false">Age+A20-1</f>
        <v>74</v>
      </c>
      <c r="C20" s="22" t="n">
        <f aca="false">(C19-D20)*(1+$C$5+Assumptions!$C$25)</f>
        <v>32780192.4135276</v>
      </c>
      <c r="D20" s="22" t="n">
        <f aca="false">MonthlyExp*12*(1+Inflation)^(A20-1)</f>
        <v>1351314.95337649</v>
      </c>
      <c r="E20" s="22" t="n">
        <f aca="false">(E19-F20)*(1+$C$5+Assumptions!$C$26)</f>
        <v>44160542.9152412</v>
      </c>
      <c r="F20" s="22" t="n">
        <f aca="false">MonthlyExp*12*(1+Inflation)^(A20-1)</f>
        <v>1351314.95337649</v>
      </c>
      <c r="G20" s="22" t="n">
        <f aca="false">(G19-H20)*(1+$C$5+Assumptions!$C$27)</f>
        <v>58553334.6904352</v>
      </c>
      <c r="H20" s="22" t="n">
        <f aca="false">MonthlyExp*12*(1+Inflation)^(A20-1)</f>
        <v>1351314.95337649</v>
      </c>
    </row>
    <row r="21" customFormat="false" ht="15" hidden="false" customHeight="false" outlineLevel="0" collapsed="false">
      <c r="A21" s="21" t="n">
        <v>14</v>
      </c>
      <c r="B21" s="21" t="n">
        <f aca="false">Age+A21-1</f>
        <v>75</v>
      </c>
      <c r="C21" s="22" t="n">
        <f aca="false">(C20-D21)*(1+$C$5+Assumptions!$C$25)</f>
        <v>33747025.3902477</v>
      </c>
      <c r="D21" s="22" t="n">
        <f aca="false">MonthlyExp*12*(1+Inflation)^(A21-1)</f>
        <v>1445907.00011285</v>
      </c>
      <c r="E21" s="22" t="n">
        <f aca="false">(E20-F21)*(1+$C$5+Assumptions!$C$26)</f>
        <v>46857955.5988958</v>
      </c>
      <c r="F21" s="22" t="n">
        <f aca="false">MonthlyExp*12*(1+Inflation)^(A21-1)</f>
        <v>1445907.00011285</v>
      </c>
      <c r="G21" s="22" t="n">
        <f aca="false">(G20-H21)*(1+$C$5+Assumptions!$C$27)</f>
        <v>63788996.7300901</v>
      </c>
      <c r="H21" s="22" t="n">
        <f aca="false">MonthlyExp*12*(1+Inflation)^(A21-1)</f>
        <v>1445907.00011285</v>
      </c>
    </row>
    <row r="22" customFormat="false" ht="15" hidden="false" customHeight="false" outlineLevel="0" collapsed="false">
      <c r="A22" s="21" t="n">
        <v>15</v>
      </c>
      <c r="B22" s="21" t="n">
        <f aca="false">Age+A22-1</f>
        <v>76</v>
      </c>
      <c r="C22" s="22" t="n">
        <f aca="false">(C21-D22)*(1+$C$5+Assumptions!$C$25)</f>
        <v>34679297.5774367</v>
      </c>
      <c r="D22" s="22" t="n">
        <f aca="false">MonthlyExp*12*(1+Inflation)^(A22-1)</f>
        <v>1547120.49012075</v>
      </c>
      <c r="E22" s="22" t="n">
        <f aca="false">(E21-F22)*(1+$C$5+Assumptions!$C$26)</f>
        <v>49705986.1143262</v>
      </c>
      <c r="F22" s="22" t="n">
        <f aca="false">MonthlyExp*12*(1+Inflation)^(A22-1)</f>
        <v>1547120.49012075</v>
      </c>
      <c r="G22" s="22" t="n">
        <f aca="false">(G21-H22)*(1+$C$5+Assumptions!$C$27)</f>
        <v>69524175.7600458</v>
      </c>
      <c r="H22" s="22" t="n">
        <f aca="false">MonthlyExp*12*(1+Inflation)^(A22-1)</f>
        <v>1547120.49012075</v>
      </c>
    </row>
    <row r="23" customFormat="false" ht="15" hidden="false" customHeight="false" outlineLevel="0" collapsed="false">
      <c r="A23" s="21" t="n">
        <v>16</v>
      </c>
      <c r="B23" s="21" t="n">
        <f aca="false">Age+A23-1</f>
        <v>77</v>
      </c>
      <c r="C23" s="22" t="n">
        <f aca="false">(C22-D23)*(1+$C$5+Assumptions!$C$25)</f>
        <v>35566717.3092891</v>
      </c>
      <c r="D23" s="22" t="n">
        <f aca="false">MonthlyExp*12*(1+Inflation)^(A23-1)</f>
        <v>1655418.9244292</v>
      </c>
      <c r="E23" s="22" t="n">
        <f aca="false">(E22-F23)*(1+$C$5+Assumptions!$C$26)</f>
        <v>52711472.2073171</v>
      </c>
      <c r="F23" s="22" t="n">
        <f aca="false">MonthlyExp*12*(1+Inflation)^(A23-1)</f>
        <v>1655418.9244292</v>
      </c>
      <c r="G23" s="22" t="n">
        <f aca="false">(G22-H23)*(1+$C$5+Assumptions!$C$27)</f>
        <v>75809401.3853837</v>
      </c>
      <c r="H23" s="22" t="n">
        <f aca="false">MonthlyExp*12*(1+Inflation)^(A23-1)</f>
        <v>1655418.9244292</v>
      </c>
    </row>
    <row r="24" customFormat="false" ht="15" hidden="false" customHeight="false" outlineLevel="0" collapsed="false">
      <c r="A24" s="21" t="n">
        <v>17</v>
      </c>
      <c r="B24" s="21" t="n">
        <f aca="false">Age+A24-1</f>
        <v>78</v>
      </c>
      <c r="C24" s="22" t="n">
        <f aca="false">(C23-D24)*(1+$C$5+Assumptions!$C$25)</f>
        <v>36397666.3277814</v>
      </c>
      <c r="D24" s="22" t="n">
        <f aca="false">MonthlyExp*12*(1+Inflation)^(A24-1)</f>
        <v>1771298.24913925</v>
      </c>
      <c r="E24" s="22" t="n">
        <f aca="false">(E23-F24)*(1+$C$5+Assumptions!$C$26)</f>
        <v>55881370.8321211</v>
      </c>
      <c r="F24" s="22" t="n">
        <f aca="false">MonthlyExp*12*(1+Inflation)^(A24-1)</f>
        <v>1771298.24913925</v>
      </c>
      <c r="G24" s="22" t="n">
        <f aca="false">(G23-H24)*(1+$C$5+Assumptions!$C$27)</f>
        <v>82700561.2031851</v>
      </c>
      <c r="H24" s="22" t="n">
        <f aca="false">MonthlyExp*12*(1+Inflation)^(A24-1)</f>
        <v>1771298.24913925</v>
      </c>
    </row>
    <row r="25" customFormat="false" ht="15" hidden="false" customHeight="false" outlineLevel="0" collapsed="false">
      <c r="A25" s="21" t="n">
        <v>18</v>
      </c>
      <c r="B25" s="21" t="n">
        <f aca="false">Age+A25-1</f>
        <v>79</v>
      </c>
      <c r="C25" s="22" t="n">
        <f aca="false">(C24-D25)*(1+$C$5+Assumptions!$C$25)</f>
        <v>37159060.245695</v>
      </c>
      <c r="D25" s="22" t="n">
        <f aca="false">MonthlyExp*12*(1+Inflation)^(A25-1)</f>
        <v>1895289.12657899</v>
      </c>
      <c r="E25" s="22" t="n">
        <f aca="false">(E24-F25)*(1+$C$5+Assumptions!$C$26)</f>
        <v>59222731.6309796</v>
      </c>
      <c r="F25" s="22" t="n">
        <f aca="false">MonthlyExp*12*(1+Inflation)^(A25-1)</f>
        <v>1895289.12657899</v>
      </c>
      <c r="G25" s="22" t="n">
        <f aca="false">(G24-H25)*(1+$C$5+Assumptions!$C$27)</f>
        <v>90259488.909569</v>
      </c>
      <c r="H25" s="22" t="n">
        <f aca="false">MonthlyExp*12*(1+Inflation)^(A25-1)</f>
        <v>1895289.12657899</v>
      </c>
    </row>
    <row r="26" customFormat="false" ht="15" hidden="false" customHeight="false" outlineLevel="0" collapsed="false">
      <c r="A26" s="21" t="n">
        <v>19</v>
      </c>
      <c r="B26" s="21" t="n">
        <f aca="false">Age+A26-1</f>
        <v>80</v>
      </c>
      <c r="C26" s="22" t="n">
        <f aca="false">(C25-D26)*(1+$C$5+Assumptions!$C$25)</f>
        <v>37836195.6480351</v>
      </c>
      <c r="D26" s="22" t="n">
        <f aca="false">MonthlyExp*12*(1+Inflation)^(A26-1)</f>
        <v>2027959.36543952</v>
      </c>
      <c r="E26" s="22" t="n">
        <f aca="false">(E25-F26)*(1+$C$5+Assumptions!$C$26)</f>
        <v>62742665.1752975</v>
      </c>
      <c r="F26" s="22" t="n">
        <f aca="false">MonthlyExp*12*(1+Inflation)^(A26-1)</f>
        <v>2027959.36543952</v>
      </c>
      <c r="G26" s="22" t="n">
        <f aca="false">(G25-H26)*(1+$C$5+Assumptions!$C$27)</f>
        <v>98554618.5007926</v>
      </c>
      <c r="H26" s="22" t="n">
        <f aca="false">MonthlyExp*12*(1+Inflation)^(A26-1)</f>
        <v>2027959.36543952</v>
      </c>
    </row>
    <row r="27" customFormat="false" ht="15" hidden="false" customHeight="false" outlineLevel="0" collapsed="false">
      <c r="A27" s="21" t="n">
        <v>20</v>
      </c>
      <c r="B27" s="21" t="n">
        <f aca="false">Age+A27-1</f>
        <v>81</v>
      </c>
      <c r="C27" s="22" t="n">
        <f aca="false">(C26-D27)*(1+$C$5+Assumptions!$C$25)</f>
        <v>38412582.6197949</v>
      </c>
      <c r="D27" s="22" t="n">
        <f aca="false">MonthlyExp*12*(1+Inflation)^(A27-1)</f>
        <v>2169916.52102029</v>
      </c>
      <c r="E27" s="22" t="n">
        <f aca="false">(E26-F27)*(1+$C$5+Assumptions!$C$26)</f>
        <v>66448305.2737421</v>
      </c>
      <c r="F27" s="22" t="n">
        <f aca="false">MonthlyExp*12*(1+Inflation)^(A27-1)</f>
        <v>2169916.52102029</v>
      </c>
      <c r="G27" s="22" t="n">
        <f aca="false">(G26-H27)*(1+$C$5+Assumptions!$C$27)</f>
        <v>107661712.111406</v>
      </c>
      <c r="H27" s="22" t="n">
        <f aca="false">MonthlyExp*12*(1+Inflation)^(A27-1)</f>
        <v>2169916.52102029</v>
      </c>
    </row>
    <row r="28" customFormat="false" ht="15" hidden="false" customHeight="false" outlineLevel="0" collapsed="false">
      <c r="A28" s="21" t="n">
        <v>21</v>
      </c>
      <c r="B28" s="21" t="n">
        <f aca="false">Age+A28-1</f>
        <v>82</v>
      </c>
      <c r="C28" s="22" t="n">
        <f aca="false">(C27-D28)*(1+$C$5+Assumptions!$C$25)</f>
        <v>38869761.3818606</v>
      </c>
      <c r="D28" s="22" t="n">
        <f aca="false">MonthlyExp*12*(1+Inflation)^(A28-1)</f>
        <v>2321810.67749171</v>
      </c>
      <c r="E28" s="22" t="n">
        <f aca="false">(E27-F28)*(1+$C$5+Assumptions!$C$26)</f>
        <v>70346764.5720867</v>
      </c>
      <c r="F28" s="22" t="n">
        <f aca="false">MonthlyExp*12*(1+Inflation)^(A28-1)</f>
        <v>2321810.67749171</v>
      </c>
      <c r="G28" s="22" t="n">
        <f aca="false">(G27-H28)*(1+$C$5+Assumptions!$C$27)</f>
        <v>117664669.901682</v>
      </c>
      <c r="H28" s="22" t="n">
        <f aca="false">MonthlyExp*12*(1+Inflation)^(A28-1)</f>
        <v>2321810.67749171</v>
      </c>
    </row>
    <row r="29" customFormat="false" ht="15" hidden="false" customHeight="false" outlineLevel="0" collapsed="false">
      <c r="A29" s="21" t="n">
        <v>22</v>
      </c>
      <c r="B29" s="21" t="n">
        <f aca="false">Age+A29-1</f>
        <v>83</v>
      </c>
      <c r="C29" s="22" t="n">
        <f aca="false">(C28-D29)*(1+$C$5+Assumptions!$C$25)</f>
        <v>39187101.6016292</v>
      </c>
      <c r="D29" s="22" t="n">
        <f aca="false">MonthlyExp*12*(1+Inflation)^(A29-1)</f>
        <v>2484337.42491613</v>
      </c>
      <c r="E29" s="22" t="n">
        <f aca="false">(E28-F29)*(1+$C$5+Assumptions!$C$26)</f>
        <v>74445082.5804461</v>
      </c>
      <c r="F29" s="22" t="n">
        <f aca="false">MonthlyExp*12*(1+Inflation)^(A29-1)</f>
        <v>2484337.42491613</v>
      </c>
      <c r="G29" s="22" t="n">
        <f aca="false">(G28-H29)*(1+$C$5+Assumptions!$C$27)</f>
        <v>128656431.376547</v>
      </c>
      <c r="H29" s="22" t="n">
        <f aca="false">MonthlyExp*12*(1+Inflation)^(A29-1)</f>
        <v>2484337.42491613</v>
      </c>
    </row>
    <row r="30" customFormat="false" ht="15" hidden="false" customHeight="false" outlineLevel="0" collapsed="false">
      <c r="A30" s="21" t="n">
        <v>23</v>
      </c>
      <c r="B30" s="21" t="n">
        <f aca="false">Age+A30-1</f>
        <v>84</v>
      </c>
      <c r="C30" s="22" t="n">
        <f aca="false">(C29-D30)*(1+$C$5+Assumptions!$C$25)</f>
        <v>39341582.8198555</v>
      </c>
      <c r="D30" s="22" t="n">
        <f aca="false">MonthlyExp*12*(1+Inflation)^(A30-1)</f>
        <v>2658241.04466026</v>
      </c>
      <c r="E30" s="22" t="n">
        <f aca="false">(E29-F30)*(1+$C$5+Assumptions!$C$26)</f>
        <v>78750165.164757</v>
      </c>
      <c r="F30" s="22" t="n">
        <f aca="false">MonthlyExp*12*(1+Inflation)^(A30-1)</f>
        <v>2658241.04466026</v>
      </c>
      <c r="G30" s="22" t="n">
        <f aca="false">(G29-H30)*(1+$C$5+Assumptions!$C$27)</f>
        <v>140739978.600718</v>
      </c>
      <c r="H30" s="22" t="n">
        <f aca="false">MonthlyExp*12*(1+Inflation)^(A30-1)</f>
        <v>2658241.04466026</v>
      </c>
    </row>
    <row r="31" customFormat="false" ht="15" hidden="false" customHeight="false" outlineLevel="0" collapsed="false">
      <c r="A31" s="21" t="n">
        <v>24</v>
      </c>
      <c r="B31" s="21" t="n">
        <f aca="false">Age+A31-1</f>
        <v>85</v>
      </c>
      <c r="C31" s="22" t="n">
        <f aca="false">(C30-D31)*(1+$C$5+Assumptions!$C$25)</f>
        <v>39307554.2995283</v>
      </c>
      <c r="D31" s="22" t="n">
        <f aca="false">MonthlyExp*12*(1+Inflation)^(A31-1)</f>
        <v>2844317.91778648</v>
      </c>
      <c r="E31" s="22" t="n">
        <f aca="false">(E30-F31)*(1+$C$5+Assumptions!$C$26)</f>
        <v>83268714.4299267</v>
      </c>
      <c r="F31" s="22" t="n">
        <f aca="false">MonthlyExp*12*(1+Inflation)^(A31-1)</f>
        <v>2844317.91778648</v>
      </c>
      <c r="G31" s="22" t="n">
        <f aca="false">(G30-H31)*(1+$C$5+Assumptions!$C$27)</f>
        <v>154029452.982834</v>
      </c>
      <c r="H31" s="22" t="n">
        <f aca="false">MonthlyExp*12*(1+Inflation)^(A31-1)</f>
        <v>2844317.91778648</v>
      </c>
    </row>
    <row r="32" customFormat="false" ht="15" hidden="false" customHeight="false" outlineLevel="0" collapsed="false">
      <c r="A32" s="21" t="n">
        <v>25</v>
      </c>
      <c r="B32" s="21" t="n">
        <f aca="false">Age+A32-1</f>
        <v>86</v>
      </c>
      <c r="C32" s="22" t="n">
        <f aca="false">(C31-D32)*(1+$C$5+Assumptions!$C$25)</f>
        <v>39056472.4553141</v>
      </c>
      <c r="D32" s="22" t="n">
        <f aca="false">MonthlyExp*12*(1+Inflation)^(A32-1)</f>
        <v>3043420.17203153</v>
      </c>
      <c r="E32" s="22" t="n">
        <f aca="false">(E31-F32)*(1+$C$5+Assumptions!$C$26)</f>
        <v>88007147.800911</v>
      </c>
      <c r="F32" s="22" t="n">
        <f aca="false">MonthlyExp*12*(1+Inflation)^(A32-1)</f>
        <v>3043420.17203153</v>
      </c>
      <c r="G32" s="22" t="n">
        <f aca="false">(G31-H32)*(1+$C$5+Assumptions!$C$27)</f>
        <v>168651398.649667</v>
      </c>
      <c r="H32" s="22" t="n">
        <f aca="false">MonthlyExp*12*(1+Inflation)^(A32-1)</f>
        <v>3043420.17203153</v>
      </c>
    </row>
    <row r="33" customFormat="false" ht="15" hidden="false" customHeight="false" outlineLevel="0" collapsed="false">
      <c r="A33" s="21" t="n">
        <v>26</v>
      </c>
      <c r="B33" s="21" t="n">
        <f aca="false">Age+A33-1</f>
        <v>87</v>
      </c>
      <c r="C33" s="22" t="n">
        <f aca="false">(C32-D33)*(1+$C$5+Assumptions!$C$25)</f>
        <v>38556613.8623258</v>
      </c>
      <c r="D33" s="22" t="n">
        <f aca="false">MonthlyExp*12*(1+Inflation)^(A33-1)</f>
        <v>3256459.58407374</v>
      </c>
      <c r="E33" s="22" t="n">
        <f aca="false">(E32-F33)*(1+$C$5+Assumptions!$C$26)</f>
        <v>92971504.9738705</v>
      </c>
      <c r="F33" s="22" t="n">
        <f aca="false">MonthlyExp*12*(1+Inflation)^(A33-1)</f>
        <v>3256459.58407374</v>
      </c>
      <c r="G33" s="22" t="n">
        <f aca="false">(G32-H33)*(1+$C$5+Assumptions!$C$27)</f>
        <v>184746146.936267</v>
      </c>
      <c r="H33" s="22" t="n">
        <f aca="false">MonthlyExp*12*(1+Inflation)^(A33-1)</f>
        <v>3256459.58407374</v>
      </c>
    </row>
    <row r="34" customFormat="false" ht="15" hidden="false" customHeight="false" outlineLevel="0" collapsed="false">
      <c r="A34" s="21" t="n">
        <v>27</v>
      </c>
      <c r="B34" s="21" t="n">
        <f aca="false">Age+A34-1</f>
        <v>88</v>
      </c>
      <c r="C34" s="22" t="n">
        <f aca="false">(C33-D34)*(1+$C$5+Assumptions!$C$25)</f>
        <v>37772761.6696342</v>
      </c>
      <c r="D34" s="22" t="n">
        <f aca="false">MonthlyExp*12*(1+Inflation)^(A34-1)</f>
        <v>3484411.7549589</v>
      </c>
      <c r="E34" s="22" t="n">
        <f aca="false">(E33-F34)*(1+$C$5+Assumptions!$C$26)</f>
        <v>98167341.261146</v>
      </c>
      <c r="F34" s="22" t="n">
        <f aca="false">MonthlyExp*12*(1+Inflation)^(A34-1)</f>
        <v>3484411.7549589</v>
      </c>
      <c r="G34" s="22" t="n">
        <f aca="false">(G33-H34)*(1+$C$5+Assumptions!$C$27)</f>
        <v>202469358.197522</v>
      </c>
      <c r="H34" s="22" t="n">
        <f aca="false">MonthlyExp*12*(1+Inflation)^(A34-1)</f>
        <v>3484411.7549589</v>
      </c>
    </row>
    <row r="35" customFormat="false" ht="15" hidden="false" customHeight="false" outlineLevel="0" collapsed="false">
      <c r="A35" s="21" t="n">
        <v>28</v>
      </c>
      <c r="B35" s="21" t="n">
        <f aca="false">Age+A35-1</f>
        <v>89</v>
      </c>
      <c r="C35" s="22" t="n">
        <f aca="false">(C34-D35)*(1+$C$5+Assumptions!$C$25)</f>
        <v>36665863.0558989</v>
      </c>
      <c r="D35" s="22" t="n">
        <f aca="false">MonthlyExp*12*(1+Inflation)^(A35-1)</f>
        <v>3728320.57780602</v>
      </c>
      <c r="E35" s="22" t="n">
        <f aca="false">(E34-F35)*(1+$C$5+Assumptions!$C$26)</f>
        <v>103599605.689624</v>
      </c>
      <c r="F35" s="22" t="n">
        <f aca="false">MonthlyExp*12*(1+Inflation)^(A35-1)</f>
        <v>3728320.57780602</v>
      </c>
      <c r="G35" s="22" t="n">
        <f aca="false">(G34-H35)*(1+$C$5+Assumptions!$C$27)</f>
        <v>221993739.021222</v>
      </c>
      <c r="H35" s="22" t="n">
        <f aca="false">MonthlyExp*12*(1+Inflation)^(A35-1)</f>
        <v>3728320.57780602</v>
      </c>
    </row>
    <row r="36" customFormat="false" ht="15" hidden="false" customHeight="false" outlineLevel="0" collapsed="false">
      <c r="A36" s="21" t="n">
        <v>29</v>
      </c>
      <c r="B36" s="21" t="n">
        <f aca="false">Age+A36-1</f>
        <v>90</v>
      </c>
      <c r="C36" s="22" t="n">
        <f aca="false">(C35-D36)*(1+$C$5+Assumptions!$C$25)</f>
        <v>35192655.1605453</v>
      </c>
      <c r="D36" s="22" t="n">
        <f aca="false">MonthlyExp*12*(1+Inflation)^(A36-1)</f>
        <v>3989303.01825245</v>
      </c>
      <c r="E36" s="22" t="n">
        <f aca="false">(E35-F36)*(1+$C$5+Assumptions!$C$26)</f>
        <v>109272502.030495</v>
      </c>
      <c r="F36" s="22" t="n">
        <f aca="false">MonthlyExp*12*(1+Inflation)^(A36-1)</f>
        <v>3989303.01825245</v>
      </c>
      <c r="G36" s="22" t="n">
        <f aca="false">(G35-H36)*(1+$C$5+Assumptions!$C$27)</f>
        <v>243510955.015317</v>
      </c>
      <c r="H36" s="22" t="n">
        <f aca="false">MonthlyExp*12*(1+Inflation)^(A36-1)</f>
        <v>3989303.01825245</v>
      </c>
    </row>
    <row r="37" customFormat="false" ht="15" hidden="false" customHeight="false" outlineLevel="0" collapsed="false">
      <c r="A37" s="21" t="n">
        <v>30</v>
      </c>
      <c r="B37" s="21" t="n">
        <f aca="false">Age+A37-1</f>
        <v>91</v>
      </c>
      <c r="C37" s="22" t="n">
        <f aca="false">(C36-D37)*(1+$C$5+Assumptions!$C$25)</f>
        <v>33305256.7027033</v>
      </c>
      <c r="D37" s="22" t="n">
        <f aca="false">MonthlyExp*12*(1+Inflation)^(A37-1)</f>
        <v>4268554.22953012</v>
      </c>
      <c r="E37" s="22" t="n">
        <f aca="false">(E36-F37)*(1+$C$5+Assumptions!$C$26)</f>
        <v>115189330.737658</v>
      </c>
      <c r="F37" s="22" t="n">
        <f aca="false">MonthlyExp*12*(1+Inflation)^(A37-1)</f>
        <v>4268554.22953012</v>
      </c>
      <c r="G37" s="22" t="n">
        <f aca="false">(G36-H37)*(1+$C$5+Assumptions!$C$27)</f>
        <v>267233761.677724</v>
      </c>
      <c r="H37" s="22" t="n">
        <f aca="false">MonthlyExp*12*(1+Inflation)^(A37-1)</f>
        <v>4268554.22953012</v>
      </c>
    </row>
    <row r="39" customFormat="false" ht="15" hidden="false" customHeight="false" outlineLevel="0" collapsed="false">
      <c r="B39" s="27" t="s">
        <v>103</v>
      </c>
      <c r="C39" s="28" t="n">
        <f aca="false">C37</f>
        <v>33305256.7027033</v>
      </c>
      <c r="E39" s="28" t="n">
        <f aca="false">E37</f>
        <v>115189330.737658</v>
      </c>
      <c r="G39" s="28" t="n">
        <f aca="false">G37</f>
        <v>267233761.677724</v>
      </c>
    </row>
    <row r="40" customFormat="false" ht="15" hidden="false" customHeight="false" outlineLevel="0" collapsed="false">
      <c r="B40" s="27" t="s">
        <v>104</v>
      </c>
      <c r="C40" s="0" t="str">
        <f aca="false">IF(MIN(C8:C37)&gt;0,"YES","NO")</f>
        <v>YES</v>
      </c>
      <c r="E40" s="0" t="str">
        <f aca="false">IF(MIN(E8:E37)&gt;0,"YES","NO")</f>
        <v>YES</v>
      </c>
      <c r="G40" s="0" t="str">
        <f aca="false">IF(MIN(G8:G37)&gt;0,"YES","NO")</f>
        <v>YES</v>
      </c>
    </row>
  </sheetData>
  <mergeCells count="2">
    <mergeCell ref="A1:I1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AF5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3" min="2" style="0" width="11"/>
  </cols>
  <sheetData>
    <row r="1" customFormat="false" ht="25.5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true" outlineLevel="0" collapsed="false">
      <c r="B3" s="25" t="s">
        <v>106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customFormat="false" ht="15" hidden="false" customHeight="true" outlineLevel="0" collapsed="false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6" customFormat="false" ht="15" hidden="false" customHeight="false" outlineLevel="0" collapsed="false">
      <c r="B6" s="14" t="s">
        <v>107</v>
      </c>
      <c r="C6" s="26" t="n">
        <f aca="false">B1Pct*B1Ret+B2Pct*B2Ret+B3Pct*B3Ret</f>
        <v>0.097</v>
      </c>
      <c r="D6" s="14" t="s">
        <v>108</v>
      </c>
      <c r="E6" s="26" t="n">
        <f aca="false">SQRT((B1Pct*Assumptions!$C$30)^2+(B2Pct*Assumptions!$C$31)^2+(B3Pct*Assumptions!$C$32)^2)</f>
        <v>0.0819054332752107</v>
      </c>
    </row>
    <row r="8" customFormat="false" ht="15" hidden="false" customHeight="false" outlineLevel="0" collapsed="false">
      <c r="A8" s="29" t="s">
        <v>109</v>
      </c>
      <c r="B8" s="29" t="s">
        <v>110</v>
      </c>
      <c r="C8" s="29" t="s">
        <v>111</v>
      </c>
      <c r="D8" s="29" t="s">
        <v>112</v>
      </c>
      <c r="E8" s="29" t="s">
        <v>113</v>
      </c>
      <c r="F8" s="29" t="s">
        <v>114</v>
      </c>
      <c r="G8" s="29" t="s">
        <v>115</v>
      </c>
      <c r="H8" s="29" t="s">
        <v>116</v>
      </c>
      <c r="I8" s="29" t="s">
        <v>117</v>
      </c>
      <c r="J8" s="29" t="s">
        <v>118</v>
      </c>
      <c r="K8" s="29" t="s">
        <v>119</v>
      </c>
      <c r="L8" s="29" t="s">
        <v>120</v>
      </c>
      <c r="M8" s="29" t="s">
        <v>121</v>
      </c>
      <c r="N8" s="29" t="s">
        <v>122</v>
      </c>
      <c r="O8" s="29" t="s">
        <v>123</v>
      </c>
      <c r="P8" s="29" t="s">
        <v>124</v>
      </c>
      <c r="Q8" s="29" t="s">
        <v>125</v>
      </c>
      <c r="R8" s="29" t="s">
        <v>126</v>
      </c>
      <c r="S8" s="29" t="s">
        <v>127</v>
      </c>
      <c r="T8" s="29" t="s">
        <v>128</v>
      </c>
      <c r="U8" s="29" t="s">
        <v>129</v>
      </c>
      <c r="V8" s="29" t="s">
        <v>130</v>
      </c>
      <c r="W8" s="29" t="s">
        <v>131</v>
      </c>
      <c r="X8" s="29" t="s">
        <v>132</v>
      </c>
      <c r="Y8" s="29" t="s">
        <v>133</v>
      </c>
      <c r="Z8" s="29" t="s">
        <v>134</v>
      </c>
      <c r="AA8" s="29" t="s">
        <v>135</v>
      </c>
      <c r="AB8" s="29" t="s">
        <v>136</v>
      </c>
      <c r="AC8" s="29" t="s">
        <v>137</v>
      </c>
      <c r="AD8" s="29" t="s">
        <v>138</v>
      </c>
      <c r="AE8" s="29" t="s">
        <v>139</v>
      </c>
      <c r="AF8" s="29" t="s">
        <v>140</v>
      </c>
    </row>
    <row r="9" customFormat="false" ht="15" hidden="false" customHeight="false" outlineLevel="0" collapsed="false">
      <c r="A9" s="30" t="n">
        <v>1</v>
      </c>
      <c r="B9" s="31" t="n">
        <f aca="false">Corpus</f>
        <v>20000000</v>
      </c>
      <c r="C9" s="32" t="n">
        <f aca="true">MAX(B9*(1+NORMINV(RAND(),$C$6,$E$6))-MonthlyExp*12*(1+Inflation)^(1-1),0)</f>
        <v>21042406.8757672</v>
      </c>
      <c r="D9" s="32" t="n">
        <f aca="true">MAX(C9*(1+NORMINV(RAND(),$C$6,$E$6))-MonthlyExp*12*(1+Inflation)^(2-1),0)</f>
        <v>21464807.1029586</v>
      </c>
      <c r="E9" s="32" t="n">
        <f aca="true">MAX(D9*(1+NORMINV(RAND(),$C$6,$E$6))-MonthlyExp*12*(1+Inflation)^(3-1),0)</f>
        <v>23123504.6801864</v>
      </c>
      <c r="F9" s="32" t="n">
        <f aca="true">MAX(E9*(1+NORMINV(RAND(),$C$6,$E$6))-MonthlyExp*12*(1+Inflation)^(4-1),0)</f>
        <v>23335188.6349672</v>
      </c>
      <c r="G9" s="32" t="n">
        <f aca="true">MAX(F9*(1+NORMINV(RAND(),$C$6,$E$6))-MonthlyExp*12*(1+Inflation)^(5-1),0)</f>
        <v>21680300.4125726</v>
      </c>
      <c r="H9" s="32" t="n">
        <f aca="true">MAX(G9*(1+NORMINV(RAND(),$C$6,$E$6))-MonthlyExp*12*(1+Inflation)^(6-1),0)</f>
        <v>23613216.3026229</v>
      </c>
      <c r="I9" s="32" t="n">
        <f aca="true">MAX(H9*(1+NORMINV(RAND(),$C$6,$E$6))-MonthlyExp*12*(1+Inflation)^(7-1),0)</f>
        <v>25001599.47208</v>
      </c>
      <c r="J9" s="32" t="n">
        <f aca="true">MAX(I9*(1+NORMINV(RAND(),$C$6,$E$6))-MonthlyExp*12*(1+Inflation)^(8-1),0)</f>
        <v>28027599.1749883</v>
      </c>
      <c r="K9" s="32" t="n">
        <f aca="true">MAX(J9*(1+NORMINV(RAND(),$C$6,$E$6))-MonthlyExp*12*(1+Inflation)^(9-1),0)</f>
        <v>31190971.1111507</v>
      </c>
      <c r="L9" s="32" t="n">
        <f aca="true">MAX(K9*(1+NORMINV(RAND(),$C$6,$E$6))-MonthlyExp*12*(1+Inflation)^(10-1),0)</f>
        <v>32500616.0474271</v>
      </c>
      <c r="M9" s="32" t="n">
        <f aca="true">MAX(L9*(1+NORMINV(RAND(),$C$6,$E$6))-MonthlyExp*12*(1+Inflation)^(11-1),0)</f>
        <v>35565178.2060063</v>
      </c>
      <c r="N9" s="32" t="n">
        <f aca="true">MAX(M9*(1+NORMINV(RAND(),$C$6,$E$6))-MonthlyExp*12*(1+Inflation)^(12-1),0)</f>
        <v>35709513.5306324</v>
      </c>
      <c r="O9" s="32" t="n">
        <f aca="true">MAX(N9*(1+NORMINV(RAND(),$C$6,$E$6))-MonthlyExp*12*(1+Inflation)^(13-1),0)</f>
        <v>29383458.484248</v>
      </c>
      <c r="P9" s="32" t="n">
        <f aca="true">MAX(O9*(1+NORMINV(RAND(),$C$6,$E$6))-MonthlyExp*12*(1+Inflation)^(14-1),0)</f>
        <v>30046337.698919</v>
      </c>
      <c r="Q9" s="32" t="n">
        <f aca="true">MAX(P9*(1+NORMINV(RAND(),$C$6,$E$6))-MonthlyExp*12*(1+Inflation)^(15-1),0)</f>
        <v>29765284.5381008</v>
      </c>
      <c r="R9" s="32" t="n">
        <f aca="true">MAX(Q9*(1+NORMINV(RAND(),$C$6,$E$6))-MonthlyExp*12*(1+Inflation)^(16-1),0)</f>
        <v>34342415.7397521</v>
      </c>
      <c r="S9" s="32" t="n">
        <f aca="true">MAX(R9*(1+NORMINV(RAND(),$C$6,$E$6))-MonthlyExp*12*(1+Inflation)^(17-1),0)</f>
        <v>35589234.9654725</v>
      </c>
      <c r="T9" s="32" t="n">
        <f aca="true">MAX(S9*(1+NORMINV(RAND(),$C$6,$E$6))-MonthlyExp*12*(1+Inflation)^(18-1),0)</f>
        <v>36358974.1725739</v>
      </c>
      <c r="U9" s="32" t="n">
        <f aca="true">MAX(T9*(1+NORMINV(RAND(),$C$6,$E$6))-MonthlyExp*12*(1+Inflation)^(19-1),0)</f>
        <v>41879899.858064</v>
      </c>
      <c r="V9" s="32" t="n">
        <f aca="true">MAX(U9*(1+NORMINV(RAND(),$C$6,$E$6))-MonthlyExp*12*(1+Inflation)^(20-1),0)</f>
        <v>38797758.6017409</v>
      </c>
      <c r="W9" s="32" t="n">
        <f aca="true">MAX(V9*(1+NORMINV(RAND(),$C$6,$E$6))-MonthlyExp*12*(1+Inflation)^(21-1),0)</f>
        <v>42226483.5312443</v>
      </c>
      <c r="X9" s="32" t="n">
        <f aca="true">MAX(W9*(1+NORMINV(RAND(),$C$6,$E$6))-MonthlyExp*12*(1+Inflation)^(22-1),0)</f>
        <v>46148196.7293692</v>
      </c>
      <c r="Y9" s="32" t="n">
        <f aca="true">MAX(X9*(1+NORMINV(RAND(),$C$6,$E$6))-MonthlyExp*12*(1+Inflation)^(23-1),0)</f>
        <v>42465585.9422245</v>
      </c>
      <c r="Z9" s="32" t="n">
        <f aca="true">MAX(Y9*(1+NORMINV(RAND(),$C$6,$E$6))-MonthlyExp*12*(1+Inflation)^(24-1),0)</f>
        <v>39540427.2394378</v>
      </c>
      <c r="AA9" s="32" t="n">
        <f aca="true">MAX(Z9*(1+NORMINV(RAND(),$C$6,$E$6))-MonthlyExp*12*(1+Inflation)^(25-1),0)</f>
        <v>43397606.7416891</v>
      </c>
      <c r="AB9" s="32" t="n">
        <f aca="true">MAX(AA9*(1+NORMINV(RAND(),$C$6,$E$6))-MonthlyExp*12*(1+Inflation)^(26-1),0)</f>
        <v>51284321.696695</v>
      </c>
      <c r="AC9" s="32" t="n">
        <f aca="true">MAX(AB9*(1+NORMINV(RAND(),$C$6,$E$6))-MonthlyExp*12*(1+Inflation)^(27-1),0)</f>
        <v>48392875.9247565</v>
      </c>
      <c r="AD9" s="32" t="n">
        <f aca="true">MAX(AC9*(1+NORMINV(RAND(),$C$6,$E$6))-MonthlyExp*12*(1+Inflation)^(28-1),0)</f>
        <v>49594197.0632807</v>
      </c>
      <c r="AE9" s="32" t="n">
        <f aca="true">MAX(AD9*(1+NORMINV(RAND(),$C$6,$E$6))-MonthlyExp*12*(1+Inflation)^(29-1),0)</f>
        <v>58080027.1107658</v>
      </c>
      <c r="AF9" s="32" t="n">
        <f aca="true">MAX(AE9*(1+NORMINV(RAND(),$C$6,$E$6))-MonthlyExp*12*(1+Inflation)^(30-1),0)</f>
        <v>55651651.1255314</v>
      </c>
    </row>
    <row r="10" customFormat="false" ht="15" hidden="false" customHeight="false" outlineLevel="0" collapsed="false">
      <c r="A10" s="30" t="n">
        <v>2</v>
      </c>
      <c r="B10" s="31" t="n">
        <f aca="false">Corpus</f>
        <v>20000000</v>
      </c>
      <c r="C10" s="32" t="n">
        <f aca="true">MAX(B10*(1+NORMINV(RAND(),$C$6,$E$6))-MonthlyExp*12*(1+Inflation)^(1-1),0)</f>
        <v>21087292.7716006</v>
      </c>
      <c r="D10" s="32" t="n">
        <f aca="true">MAX(C10*(1+NORMINV(RAND(),$C$6,$E$6))-MonthlyExp*12*(1+Inflation)^(2-1),0)</f>
        <v>25694379.6288267</v>
      </c>
      <c r="E10" s="32" t="n">
        <f aca="true">MAX(D10*(1+NORMINV(RAND(),$C$6,$E$6))-MonthlyExp*12*(1+Inflation)^(3-1),0)</f>
        <v>26494552.8332424</v>
      </c>
      <c r="F10" s="32" t="n">
        <f aca="true">MAX(E10*(1+NORMINV(RAND(),$C$6,$E$6))-MonthlyExp*12*(1+Inflation)^(4-1),0)</f>
        <v>28652704.2170832</v>
      </c>
      <c r="G10" s="32" t="n">
        <f aca="true">MAX(F10*(1+NORMINV(RAND(),$C$6,$E$6))-MonthlyExp*12*(1+Inflation)^(5-1),0)</f>
        <v>29294269.6240094</v>
      </c>
      <c r="H10" s="32" t="n">
        <f aca="true">MAX(G10*(1+NORMINV(RAND(),$C$6,$E$6))-MonthlyExp*12*(1+Inflation)^(6-1),0)</f>
        <v>30651536.6528575</v>
      </c>
      <c r="I10" s="32" t="n">
        <f aca="true">MAX(H10*(1+NORMINV(RAND(),$C$6,$E$6))-MonthlyExp*12*(1+Inflation)^(7-1),0)</f>
        <v>30033239.5742238</v>
      </c>
      <c r="J10" s="32" t="n">
        <f aca="true">MAX(I10*(1+NORMINV(RAND(),$C$6,$E$6))-MonthlyExp*12*(1+Inflation)^(8-1),0)</f>
        <v>36478638.8775278</v>
      </c>
      <c r="K10" s="32" t="n">
        <f aca="true">MAX(J10*(1+NORMINV(RAND(),$C$6,$E$6))-MonthlyExp*12*(1+Inflation)^(9-1),0)</f>
        <v>37217126.103216</v>
      </c>
      <c r="L10" s="32" t="n">
        <f aca="true">MAX(K10*(1+NORMINV(RAND(),$C$6,$E$6))-MonthlyExp*12*(1+Inflation)^(10-1),0)</f>
        <v>38377529.9244689</v>
      </c>
      <c r="M10" s="32" t="n">
        <f aca="true">MAX(L10*(1+NORMINV(RAND(),$C$6,$E$6))-MonthlyExp*12*(1+Inflation)^(11-1),0)</f>
        <v>35293489.1830055</v>
      </c>
      <c r="N10" s="32" t="n">
        <f aca="true">MAX(M10*(1+NORMINV(RAND(),$C$6,$E$6))-MonthlyExp*12*(1+Inflation)^(12-1),0)</f>
        <v>37095333.0805658</v>
      </c>
      <c r="O10" s="32" t="n">
        <f aca="true">MAX(N10*(1+NORMINV(RAND(),$C$6,$E$6))-MonthlyExp*12*(1+Inflation)^(13-1),0)</f>
        <v>42844508.6212227</v>
      </c>
      <c r="P10" s="32" t="n">
        <f aca="true">MAX(O10*(1+NORMINV(RAND(),$C$6,$E$6))-MonthlyExp*12*(1+Inflation)^(14-1),0)</f>
        <v>46658766.3475676</v>
      </c>
      <c r="Q10" s="32" t="n">
        <f aca="true">MAX(P10*(1+NORMINV(RAND(),$C$6,$E$6))-MonthlyExp*12*(1+Inflation)^(15-1),0)</f>
        <v>58595068.8371997</v>
      </c>
      <c r="R10" s="32" t="n">
        <f aca="true">MAX(Q10*(1+NORMINV(RAND(),$C$6,$E$6))-MonthlyExp*12*(1+Inflation)^(16-1),0)</f>
        <v>64536365.0847583</v>
      </c>
      <c r="S10" s="32" t="n">
        <f aca="true">MAX(R10*(1+NORMINV(RAND(),$C$6,$E$6))-MonthlyExp*12*(1+Inflation)^(17-1),0)</f>
        <v>66685779.489417</v>
      </c>
      <c r="T10" s="32" t="n">
        <f aca="true">MAX(S10*(1+NORMINV(RAND(),$C$6,$E$6))-MonthlyExp*12*(1+Inflation)^(18-1),0)</f>
        <v>69624589.2178561</v>
      </c>
      <c r="U10" s="32" t="n">
        <f aca="true">MAX(T10*(1+NORMINV(RAND(),$C$6,$E$6))-MonthlyExp*12*(1+Inflation)^(19-1),0)</f>
        <v>67169341.8574455</v>
      </c>
      <c r="V10" s="32" t="n">
        <f aca="true">MAX(U10*(1+NORMINV(RAND(),$C$6,$E$6))-MonthlyExp*12*(1+Inflation)^(20-1),0)</f>
        <v>49338110.2799272</v>
      </c>
      <c r="W10" s="32" t="n">
        <f aca="true">MAX(V10*(1+NORMINV(RAND(),$C$6,$E$6))-MonthlyExp*12*(1+Inflation)^(21-1),0)</f>
        <v>56260847.3130535</v>
      </c>
      <c r="X10" s="32" t="n">
        <f aca="true">MAX(W10*(1+NORMINV(RAND(),$C$6,$E$6))-MonthlyExp*12*(1+Inflation)^(22-1),0)</f>
        <v>62292110.4304615</v>
      </c>
      <c r="Y10" s="32" t="n">
        <f aca="true">MAX(X10*(1+NORMINV(RAND(),$C$6,$E$6))-MonthlyExp*12*(1+Inflation)^(23-1),0)</f>
        <v>64451739.2235712</v>
      </c>
      <c r="Z10" s="32" t="n">
        <f aca="true">MAX(Y10*(1+NORMINV(RAND(),$C$6,$E$6))-MonthlyExp*12*(1+Inflation)^(24-1),0)</f>
        <v>71553735.5024288</v>
      </c>
      <c r="AA10" s="32" t="n">
        <f aca="true">MAX(Z10*(1+NORMINV(RAND(),$C$6,$E$6))-MonthlyExp*12*(1+Inflation)^(25-1),0)</f>
        <v>70061462.6164276</v>
      </c>
      <c r="AB10" s="32" t="n">
        <f aca="true">MAX(AA10*(1+NORMINV(RAND(),$C$6,$E$6))-MonthlyExp*12*(1+Inflation)^(26-1),0)</f>
        <v>77794609.6595437</v>
      </c>
      <c r="AC10" s="32" t="n">
        <f aca="true">MAX(AB10*(1+NORMINV(RAND(),$C$6,$E$6))-MonthlyExp*12*(1+Inflation)^(27-1),0)</f>
        <v>85398967.1564643</v>
      </c>
      <c r="AD10" s="32" t="n">
        <f aca="true">MAX(AC10*(1+NORMINV(RAND(),$C$6,$E$6))-MonthlyExp*12*(1+Inflation)^(28-1),0)</f>
        <v>88695128.6642654</v>
      </c>
      <c r="AE10" s="32" t="n">
        <f aca="true">MAX(AD10*(1+NORMINV(RAND(),$C$6,$E$6))-MonthlyExp*12*(1+Inflation)^(29-1),0)</f>
        <v>93860327.6050864</v>
      </c>
      <c r="AF10" s="32" t="n">
        <f aca="true">MAX(AE10*(1+NORMINV(RAND(),$C$6,$E$6))-MonthlyExp*12*(1+Inflation)^(30-1),0)</f>
        <v>114321848.210243</v>
      </c>
    </row>
    <row r="11" customFormat="false" ht="15" hidden="false" customHeight="false" outlineLevel="0" collapsed="false">
      <c r="A11" s="30" t="n">
        <v>3</v>
      </c>
      <c r="B11" s="31" t="n">
        <f aca="false">Corpus</f>
        <v>20000000</v>
      </c>
      <c r="C11" s="32" t="n">
        <f aca="true">MAX(B11*(1+NORMINV(RAND(),$C$6,$E$6))-MonthlyExp*12*(1+Inflation)^(1-1),0)</f>
        <v>23987538.5221502</v>
      </c>
      <c r="D11" s="32" t="n">
        <f aca="true">MAX(C11*(1+NORMINV(RAND(),$C$6,$E$6))-MonthlyExp*12*(1+Inflation)^(2-1),0)</f>
        <v>26762290.6281234</v>
      </c>
      <c r="E11" s="32" t="n">
        <f aca="true">MAX(D11*(1+NORMINV(RAND(),$C$6,$E$6))-MonthlyExp*12*(1+Inflation)^(3-1),0)</f>
        <v>28662026.7951245</v>
      </c>
      <c r="F11" s="32" t="n">
        <f aca="true">MAX(E11*(1+NORMINV(RAND(),$C$6,$E$6))-MonthlyExp*12*(1+Inflation)^(4-1),0)</f>
        <v>31289607.1808204</v>
      </c>
      <c r="G11" s="32" t="n">
        <f aca="true">MAX(F11*(1+NORMINV(RAND(),$C$6,$E$6))-MonthlyExp*12*(1+Inflation)^(5-1),0)</f>
        <v>34119791.871253</v>
      </c>
      <c r="H11" s="32" t="n">
        <f aca="true">MAX(G11*(1+NORMINV(RAND(),$C$6,$E$6))-MonthlyExp*12*(1+Inflation)^(6-1),0)</f>
        <v>36702351.7030814</v>
      </c>
      <c r="I11" s="32" t="n">
        <f aca="true">MAX(H11*(1+NORMINV(RAND(),$C$6,$E$6))-MonthlyExp*12*(1+Inflation)^(7-1),0)</f>
        <v>41825068.2112242</v>
      </c>
      <c r="J11" s="32" t="n">
        <f aca="true">MAX(I11*(1+NORMINV(RAND(),$C$6,$E$6))-MonthlyExp*12*(1+Inflation)^(8-1),0)</f>
        <v>43964298.1475253</v>
      </c>
      <c r="K11" s="32" t="n">
        <f aca="true">MAX(J11*(1+NORMINV(RAND(),$C$6,$E$6))-MonthlyExp*12*(1+Inflation)^(9-1),0)</f>
        <v>50475081.1940517</v>
      </c>
      <c r="L11" s="32" t="n">
        <f aca="true">MAX(K11*(1+NORMINV(RAND(),$C$6,$E$6))-MonthlyExp*12*(1+Inflation)^(10-1),0)</f>
        <v>54546039.8934733</v>
      </c>
      <c r="M11" s="32" t="n">
        <f aca="true">MAX(L11*(1+NORMINV(RAND(),$C$6,$E$6))-MonthlyExp*12*(1+Inflation)^(11-1),0)</f>
        <v>60459800.8967526</v>
      </c>
      <c r="N11" s="32" t="n">
        <f aca="true">MAX(M11*(1+NORMINV(RAND(),$C$6,$E$6))-MonthlyExp*12*(1+Inflation)^(12-1),0)</f>
        <v>69615159.8281008</v>
      </c>
      <c r="O11" s="32" t="n">
        <f aca="true">MAX(N11*(1+NORMINV(RAND(),$C$6,$E$6))-MonthlyExp*12*(1+Inflation)^(13-1),0)</f>
        <v>79340578.9197178</v>
      </c>
      <c r="P11" s="32" t="n">
        <f aca="true">MAX(O11*(1+NORMINV(RAND(),$C$6,$E$6))-MonthlyExp*12*(1+Inflation)^(14-1),0)</f>
        <v>79333424.408009</v>
      </c>
      <c r="Q11" s="32" t="n">
        <f aca="true">MAX(P11*(1+NORMINV(RAND(),$C$6,$E$6))-MonthlyExp*12*(1+Inflation)^(15-1),0)</f>
        <v>93344112.7023472</v>
      </c>
      <c r="R11" s="32" t="n">
        <f aca="true">MAX(Q11*(1+NORMINV(RAND(),$C$6,$E$6))-MonthlyExp*12*(1+Inflation)^(16-1),0)</f>
        <v>109434070.108503</v>
      </c>
      <c r="S11" s="32" t="n">
        <f aca="true">MAX(R11*(1+NORMINV(RAND(),$C$6,$E$6))-MonthlyExp*12*(1+Inflation)^(17-1),0)</f>
        <v>123959604.569515</v>
      </c>
      <c r="T11" s="32" t="n">
        <f aca="true">MAX(S11*(1+NORMINV(RAND(),$C$6,$E$6))-MonthlyExp*12*(1+Inflation)^(18-1),0)</f>
        <v>115415571.276163</v>
      </c>
      <c r="U11" s="32" t="n">
        <f aca="true">MAX(T11*(1+NORMINV(RAND(),$C$6,$E$6))-MonthlyExp*12*(1+Inflation)^(19-1),0)</f>
        <v>126212847.98737</v>
      </c>
      <c r="V11" s="32" t="n">
        <f aca="true">MAX(U11*(1+NORMINV(RAND(),$C$6,$E$6))-MonthlyExp*12*(1+Inflation)^(20-1),0)</f>
        <v>130786997.926793</v>
      </c>
      <c r="W11" s="32" t="n">
        <f aca="true">MAX(V11*(1+NORMINV(RAND(),$C$6,$E$6))-MonthlyExp*12*(1+Inflation)^(21-1),0)</f>
        <v>125517020.232095</v>
      </c>
      <c r="X11" s="32" t="n">
        <f aca="true">MAX(W11*(1+NORMINV(RAND(),$C$6,$E$6))-MonthlyExp*12*(1+Inflation)^(22-1),0)</f>
        <v>130636807.287868</v>
      </c>
      <c r="Y11" s="32" t="n">
        <f aca="true">MAX(X11*(1+NORMINV(RAND(),$C$6,$E$6))-MonthlyExp*12*(1+Inflation)^(23-1),0)</f>
        <v>133615028.894894</v>
      </c>
      <c r="Z11" s="32" t="n">
        <f aca="true">MAX(Y11*(1+NORMINV(RAND(),$C$6,$E$6))-MonthlyExp*12*(1+Inflation)^(24-1),0)</f>
        <v>139754349.751537</v>
      </c>
      <c r="AA11" s="32" t="n">
        <f aca="true">MAX(Z11*(1+NORMINV(RAND(),$C$6,$E$6))-MonthlyExp*12*(1+Inflation)^(25-1),0)</f>
        <v>146297005.033898</v>
      </c>
      <c r="AB11" s="32" t="n">
        <f aca="true">MAX(AA11*(1+NORMINV(RAND(),$C$6,$E$6))-MonthlyExp*12*(1+Inflation)^(26-1),0)</f>
        <v>142765696.476129</v>
      </c>
      <c r="AC11" s="32" t="n">
        <f aca="true">MAX(AB11*(1+NORMINV(RAND(),$C$6,$E$6))-MonthlyExp*12*(1+Inflation)^(27-1),0)</f>
        <v>134933923.225595</v>
      </c>
      <c r="AD11" s="32" t="n">
        <f aca="true">MAX(AC11*(1+NORMINV(RAND(),$C$6,$E$6))-MonthlyExp*12*(1+Inflation)^(28-1),0)</f>
        <v>133489703.547441</v>
      </c>
      <c r="AE11" s="32" t="n">
        <f aca="true">MAX(AD11*(1+NORMINV(RAND(),$C$6,$E$6))-MonthlyExp*12*(1+Inflation)^(29-1),0)</f>
        <v>131872512.156204</v>
      </c>
      <c r="AF11" s="32" t="n">
        <f aca="true">MAX(AE11*(1+NORMINV(RAND(),$C$6,$E$6))-MonthlyExp*12*(1+Inflation)^(30-1),0)</f>
        <v>144000925.641597</v>
      </c>
    </row>
    <row r="12" customFormat="false" ht="15" hidden="false" customHeight="false" outlineLevel="0" collapsed="false">
      <c r="A12" s="30" t="n">
        <v>4</v>
      </c>
      <c r="B12" s="31" t="n">
        <f aca="false">Corpus</f>
        <v>20000000</v>
      </c>
      <c r="C12" s="32" t="n">
        <f aca="true">MAX(B12*(1+NORMINV(RAND(),$C$6,$E$6))-MonthlyExp*12*(1+Inflation)^(1-1),0)</f>
        <v>20291984.6371229</v>
      </c>
      <c r="D12" s="32" t="n">
        <f aca="true">MAX(C12*(1+NORMINV(RAND(),$C$6,$E$6))-MonthlyExp*12*(1+Inflation)^(2-1),0)</f>
        <v>23601955.2443565</v>
      </c>
      <c r="E12" s="32" t="n">
        <f aca="true">MAX(D12*(1+NORMINV(RAND(),$C$6,$E$6))-MonthlyExp*12*(1+Inflation)^(3-1),0)</f>
        <v>24366721.6696279</v>
      </c>
      <c r="F12" s="32" t="n">
        <f aca="true">MAX(E12*(1+NORMINV(RAND(),$C$6,$E$6))-MonthlyExp*12*(1+Inflation)^(4-1),0)</f>
        <v>27609447.2998979</v>
      </c>
      <c r="G12" s="32" t="n">
        <f aca="true">MAX(F12*(1+NORMINV(RAND(),$C$6,$E$6))-MonthlyExp*12*(1+Inflation)^(5-1),0)</f>
        <v>30188769.6368277</v>
      </c>
      <c r="H12" s="32" t="n">
        <f aca="true">MAX(G12*(1+NORMINV(RAND(),$C$6,$E$6))-MonthlyExp*12*(1+Inflation)^(6-1),0)</f>
        <v>29831617.1974936</v>
      </c>
      <c r="I12" s="32" t="n">
        <f aca="true">MAX(H12*(1+NORMINV(RAND(),$C$6,$E$6))-MonthlyExp*12*(1+Inflation)^(7-1),0)</f>
        <v>34201786.3943811</v>
      </c>
      <c r="J12" s="32" t="n">
        <f aca="true">MAX(I12*(1+NORMINV(RAND(),$C$6,$E$6))-MonthlyExp*12*(1+Inflation)^(8-1),0)</f>
        <v>33463146.8532326</v>
      </c>
      <c r="K12" s="32" t="n">
        <f aca="true">MAX(J12*(1+NORMINV(RAND(),$C$6,$E$6))-MonthlyExp*12*(1+Inflation)^(9-1),0)</f>
        <v>39667618.3657308</v>
      </c>
      <c r="L12" s="32" t="n">
        <f aca="true">MAX(K12*(1+NORMINV(RAND(),$C$6,$E$6))-MonthlyExp*12*(1+Inflation)^(10-1),0)</f>
        <v>39557272.8280858</v>
      </c>
      <c r="M12" s="32" t="n">
        <f aca="true">MAX(L12*(1+NORMINV(RAND(),$C$6,$E$6))-MonthlyExp*12*(1+Inflation)^(11-1),0)</f>
        <v>42687473.7900427</v>
      </c>
      <c r="N12" s="32" t="n">
        <f aca="true">MAX(M12*(1+NORMINV(RAND(),$C$6,$E$6))-MonthlyExp*12*(1+Inflation)^(12-1),0)</f>
        <v>44854845.1965663</v>
      </c>
      <c r="O12" s="32" t="n">
        <f aca="true">MAX(N12*(1+NORMINV(RAND(),$C$6,$E$6))-MonthlyExp*12*(1+Inflation)^(13-1),0)</f>
        <v>47479850.8484258</v>
      </c>
      <c r="P12" s="32" t="n">
        <f aca="true">MAX(O12*(1+NORMINV(RAND(),$C$6,$E$6))-MonthlyExp*12*(1+Inflation)^(14-1),0)</f>
        <v>48797329.9762575</v>
      </c>
      <c r="Q12" s="32" t="n">
        <f aca="true">MAX(P12*(1+NORMINV(RAND(),$C$6,$E$6))-MonthlyExp*12*(1+Inflation)^(15-1),0)</f>
        <v>50563135.2328673</v>
      </c>
      <c r="R12" s="32" t="n">
        <f aca="true">MAX(Q12*(1+NORMINV(RAND(),$C$6,$E$6))-MonthlyExp*12*(1+Inflation)^(16-1),0)</f>
        <v>52304847.7624604</v>
      </c>
      <c r="S12" s="32" t="n">
        <f aca="true">MAX(R12*(1+NORMINV(RAND(),$C$6,$E$6))-MonthlyExp*12*(1+Inflation)^(17-1),0)</f>
        <v>52072362.2354633</v>
      </c>
      <c r="T12" s="32" t="n">
        <f aca="true">MAX(S12*(1+NORMINV(RAND(),$C$6,$E$6))-MonthlyExp*12*(1+Inflation)^(18-1),0)</f>
        <v>51754605.3748155</v>
      </c>
      <c r="U12" s="32" t="n">
        <f aca="true">MAX(T12*(1+NORMINV(RAND(),$C$6,$E$6))-MonthlyExp*12*(1+Inflation)^(19-1),0)</f>
        <v>55987372.0093071</v>
      </c>
      <c r="V12" s="32" t="n">
        <f aca="true">MAX(U12*(1+NORMINV(RAND(),$C$6,$E$6))-MonthlyExp*12*(1+Inflation)^(20-1),0)</f>
        <v>62196057.0637438</v>
      </c>
      <c r="W12" s="32" t="n">
        <f aca="true">MAX(V12*(1+NORMINV(RAND(),$C$6,$E$6))-MonthlyExp*12*(1+Inflation)^(21-1),0)</f>
        <v>64705316.4921357</v>
      </c>
      <c r="X12" s="32" t="n">
        <f aca="true">MAX(W12*(1+NORMINV(RAND(),$C$6,$E$6))-MonthlyExp*12*(1+Inflation)^(22-1),0)</f>
        <v>67450803.0625121</v>
      </c>
      <c r="Y12" s="32" t="n">
        <f aca="true">MAX(X12*(1+NORMINV(RAND(),$C$6,$E$6))-MonthlyExp*12*(1+Inflation)^(23-1),0)</f>
        <v>63478296.7905241</v>
      </c>
      <c r="Z12" s="32" t="n">
        <f aca="true">MAX(Y12*(1+NORMINV(RAND(),$C$6,$E$6))-MonthlyExp*12*(1+Inflation)^(24-1),0)</f>
        <v>68085723.8017955</v>
      </c>
      <c r="AA12" s="32" t="n">
        <f aca="true">MAX(Z12*(1+NORMINV(RAND(),$C$6,$E$6))-MonthlyExp*12*(1+Inflation)^(25-1),0)</f>
        <v>67584200.487356</v>
      </c>
      <c r="AB12" s="32" t="n">
        <f aca="true">MAX(AA12*(1+NORMINV(RAND(),$C$6,$E$6))-MonthlyExp*12*(1+Inflation)^(26-1),0)</f>
        <v>78802001.0536264</v>
      </c>
      <c r="AC12" s="32" t="n">
        <f aca="true">MAX(AB12*(1+NORMINV(RAND(),$C$6,$E$6))-MonthlyExp*12*(1+Inflation)^(27-1),0)</f>
        <v>74525514.8100097</v>
      </c>
      <c r="AD12" s="32" t="n">
        <f aca="true">MAX(AC12*(1+NORMINV(RAND(),$C$6,$E$6))-MonthlyExp*12*(1+Inflation)^(28-1),0)</f>
        <v>84243623.9037264</v>
      </c>
      <c r="AE12" s="32" t="n">
        <f aca="true">MAX(AD12*(1+NORMINV(RAND(),$C$6,$E$6))-MonthlyExp*12*(1+Inflation)^(29-1),0)</f>
        <v>89836224.3921463</v>
      </c>
      <c r="AF12" s="32" t="n">
        <f aca="true">MAX(AE12*(1+NORMINV(RAND(),$C$6,$E$6))-MonthlyExp*12*(1+Inflation)^(30-1),0)</f>
        <v>90668516.3428946</v>
      </c>
    </row>
    <row r="13" customFormat="false" ht="15" hidden="false" customHeight="false" outlineLevel="0" collapsed="false">
      <c r="A13" s="30" t="n">
        <v>5</v>
      </c>
      <c r="B13" s="31" t="n">
        <f aca="false">Corpus</f>
        <v>20000000</v>
      </c>
      <c r="C13" s="32" t="n">
        <f aca="true">MAX(B13*(1+NORMINV(RAND(),$C$6,$E$6))-MonthlyExp*12*(1+Inflation)^(1-1),0)</f>
        <v>19757891.3247407</v>
      </c>
      <c r="D13" s="32" t="n">
        <f aca="true">MAX(C13*(1+NORMINV(RAND(),$C$6,$E$6))-MonthlyExp*12*(1+Inflation)^(2-1),0)</f>
        <v>20357465.0269156</v>
      </c>
      <c r="E13" s="32" t="n">
        <f aca="true">MAX(D13*(1+NORMINV(RAND(),$C$6,$E$6))-MonthlyExp*12*(1+Inflation)^(3-1),0)</f>
        <v>20842480.5933254</v>
      </c>
      <c r="F13" s="32" t="n">
        <f aca="true">MAX(E13*(1+NORMINV(RAND(),$C$6,$E$6))-MonthlyExp*12*(1+Inflation)^(4-1),0)</f>
        <v>18390143.0426491</v>
      </c>
      <c r="G13" s="32" t="n">
        <f aca="true">MAX(F13*(1+NORMINV(RAND(),$C$6,$E$6))-MonthlyExp*12*(1+Inflation)^(5-1),0)</f>
        <v>20943617.4957113</v>
      </c>
      <c r="H13" s="32" t="n">
        <f aca="true">MAX(G13*(1+NORMINV(RAND(),$C$6,$E$6))-MonthlyExp*12*(1+Inflation)^(6-1),0)</f>
        <v>20256561.63626</v>
      </c>
      <c r="I13" s="32" t="n">
        <f aca="true">MAX(H13*(1+NORMINV(RAND(),$C$6,$E$6))-MonthlyExp*12*(1+Inflation)^(7-1),0)</f>
        <v>22157798.0625214</v>
      </c>
      <c r="J13" s="32" t="n">
        <f aca="true">MAX(I13*(1+NORMINV(RAND(),$C$6,$E$6))-MonthlyExp*12*(1+Inflation)^(8-1),0)</f>
        <v>26185625.8703816</v>
      </c>
      <c r="K13" s="32" t="n">
        <f aca="true">MAX(J13*(1+NORMINV(RAND(),$C$6,$E$6))-MonthlyExp*12*(1+Inflation)^(9-1),0)</f>
        <v>29265676.9503299</v>
      </c>
      <c r="L13" s="32" t="n">
        <f aca="true">MAX(K13*(1+NORMINV(RAND(),$C$6,$E$6))-MonthlyExp*12*(1+Inflation)^(10-1),0)</f>
        <v>32121253.7079159</v>
      </c>
      <c r="M13" s="32" t="n">
        <f aca="true">MAX(L13*(1+NORMINV(RAND(),$C$6,$E$6))-MonthlyExp*12*(1+Inflation)^(11-1),0)</f>
        <v>32175814.8936297</v>
      </c>
      <c r="N13" s="32" t="n">
        <f aca="true">MAX(M13*(1+NORMINV(RAND(),$C$6,$E$6))-MonthlyExp*12*(1+Inflation)^(12-1),0)</f>
        <v>32933019.206419</v>
      </c>
      <c r="O13" s="32" t="n">
        <f aca="true">MAX(N13*(1+NORMINV(RAND(),$C$6,$E$6))-MonthlyExp*12*(1+Inflation)^(13-1),0)</f>
        <v>34416996.7888369</v>
      </c>
      <c r="P13" s="32" t="n">
        <f aca="true">MAX(O13*(1+NORMINV(RAND(),$C$6,$E$6))-MonthlyExp*12*(1+Inflation)^(14-1),0)</f>
        <v>41257550.8063833</v>
      </c>
      <c r="Q13" s="32" t="n">
        <f aca="true">MAX(P13*(1+NORMINV(RAND(),$C$6,$E$6))-MonthlyExp*12*(1+Inflation)^(15-1),0)</f>
        <v>40943103.5723857</v>
      </c>
      <c r="R13" s="32" t="n">
        <f aca="true">MAX(Q13*(1+NORMINV(RAND(),$C$6,$E$6))-MonthlyExp*12*(1+Inflation)^(16-1),0)</f>
        <v>34596560.9493813</v>
      </c>
      <c r="S13" s="32" t="n">
        <f aca="true">MAX(R13*(1+NORMINV(RAND(),$C$6,$E$6))-MonthlyExp*12*(1+Inflation)^(17-1),0)</f>
        <v>35982582.9264853</v>
      </c>
      <c r="T13" s="32" t="n">
        <f aca="true">MAX(S13*(1+NORMINV(RAND(),$C$6,$E$6))-MonthlyExp*12*(1+Inflation)^(18-1),0)</f>
        <v>35342567.2449173</v>
      </c>
      <c r="U13" s="32" t="n">
        <f aca="true">MAX(T13*(1+NORMINV(RAND(),$C$6,$E$6))-MonthlyExp*12*(1+Inflation)^(19-1),0)</f>
        <v>37619651.519633</v>
      </c>
      <c r="V13" s="32" t="n">
        <f aca="true">MAX(U13*(1+NORMINV(RAND(),$C$6,$E$6))-MonthlyExp*12*(1+Inflation)^(20-1),0)</f>
        <v>38933130.4246703</v>
      </c>
      <c r="W13" s="32" t="n">
        <f aca="true">MAX(V13*(1+NORMINV(RAND(),$C$6,$E$6))-MonthlyExp*12*(1+Inflation)^(21-1),0)</f>
        <v>39781385.6740175</v>
      </c>
      <c r="X13" s="32" t="n">
        <f aca="true">MAX(W13*(1+NORMINV(RAND(),$C$6,$E$6))-MonthlyExp*12*(1+Inflation)^(22-1),0)</f>
        <v>40454159.2239552</v>
      </c>
      <c r="Y13" s="32" t="n">
        <f aca="true">MAX(X13*(1+NORMINV(RAND(),$C$6,$E$6))-MonthlyExp*12*(1+Inflation)^(23-1),0)</f>
        <v>40919931.2458203</v>
      </c>
      <c r="Z13" s="32" t="n">
        <f aca="true">MAX(Y13*(1+NORMINV(RAND(),$C$6,$E$6))-MonthlyExp*12*(1+Inflation)^(24-1),0)</f>
        <v>41296154.5929586</v>
      </c>
      <c r="AA13" s="32" t="n">
        <f aca="true">MAX(Z13*(1+NORMINV(RAND(),$C$6,$E$6))-MonthlyExp*12*(1+Inflation)^(25-1),0)</f>
        <v>44225579.7233056</v>
      </c>
      <c r="AB13" s="32" t="n">
        <f aca="true">MAX(AA13*(1+NORMINV(RAND(),$C$6,$E$6))-MonthlyExp*12*(1+Inflation)^(26-1),0)</f>
        <v>38483132.4598077</v>
      </c>
      <c r="AC13" s="32" t="n">
        <f aca="true">MAX(AB13*(1+NORMINV(RAND(),$C$6,$E$6))-MonthlyExp*12*(1+Inflation)^(27-1),0)</f>
        <v>32984091.7393199</v>
      </c>
      <c r="AD13" s="32" t="n">
        <f aca="true">MAX(AC13*(1+NORMINV(RAND(),$C$6,$E$6))-MonthlyExp*12*(1+Inflation)^(28-1),0)</f>
        <v>31106319.7398507</v>
      </c>
      <c r="AE13" s="32" t="n">
        <f aca="true">MAX(AD13*(1+NORMINV(RAND(),$C$6,$E$6))-MonthlyExp*12*(1+Inflation)^(29-1),0)</f>
        <v>30978463.3341784</v>
      </c>
      <c r="AF13" s="32" t="n">
        <f aca="true">MAX(AE13*(1+NORMINV(RAND(),$C$6,$E$6))-MonthlyExp*12*(1+Inflation)^(30-1),0)</f>
        <v>25817732.3390109</v>
      </c>
    </row>
    <row r="14" customFormat="false" ht="15" hidden="false" customHeight="false" outlineLevel="0" collapsed="false">
      <c r="A14" s="30" t="n">
        <v>6</v>
      </c>
      <c r="B14" s="31" t="n">
        <f aca="false">Corpus</f>
        <v>20000000</v>
      </c>
      <c r="C14" s="32" t="n">
        <f aca="true">MAX(B14*(1+NORMINV(RAND(),$C$6,$E$6))-MonthlyExp*12*(1+Inflation)^(1-1),0)</f>
        <v>20237807.9468073</v>
      </c>
      <c r="D14" s="32" t="n">
        <f aca="true">MAX(C14*(1+NORMINV(RAND(),$C$6,$E$6))-MonthlyExp*12*(1+Inflation)^(2-1),0)</f>
        <v>24758460.9779968</v>
      </c>
      <c r="E14" s="32" t="n">
        <f aca="true">MAX(D14*(1+NORMINV(RAND(),$C$6,$E$6))-MonthlyExp*12*(1+Inflation)^(3-1),0)</f>
        <v>25123109.8394326</v>
      </c>
      <c r="F14" s="32" t="n">
        <f aca="true">MAX(E14*(1+NORMINV(RAND(),$C$6,$E$6))-MonthlyExp*12*(1+Inflation)^(4-1),0)</f>
        <v>24794033.5391127</v>
      </c>
      <c r="G14" s="32" t="n">
        <f aca="true">MAX(F14*(1+NORMINV(RAND(),$C$6,$E$6))-MonthlyExp*12*(1+Inflation)^(5-1),0)</f>
        <v>27122096.1835689</v>
      </c>
      <c r="H14" s="32" t="n">
        <f aca="true">MAX(G14*(1+NORMINV(RAND(),$C$6,$E$6))-MonthlyExp*12*(1+Inflation)^(6-1),0)</f>
        <v>31101581.7318072</v>
      </c>
      <c r="I14" s="32" t="n">
        <f aca="true">MAX(H14*(1+NORMINV(RAND(),$C$6,$E$6))-MonthlyExp*12*(1+Inflation)^(7-1),0)</f>
        <v>30954258.7913318</v>
      </c>
      <c r="J14" s="32" t="n">
        <f aca="true">MAX(I14*(1+NORMINV(RAND(),$C$6,$E$6))-MonthlyExp*12*(1+Inflation)^(8-1),0)</f>
        <v>34868244.7712131</v>
      </c>
      <c r="K14" s="32" t="n">
        <f aca="true">MAX(J14*(1+NORMINV(RAND(),$C$6,$E$6))-MonthlyExp*12*(1+Inflation)^(9-1),0)</f>
        <v>32969232.8570921</v>
      </c>
      <c r="L14" s="32" t="n">
        <f aca="true">MAX(K14*(1+NORMINV(RAND(),$C$6,$E$6))-MonthlyExp*12*(1+Inflation)^(10-1),0)</f>
        <v>38364816.5539213</v>
      </c>
      <c r="M14" s="32" t="n">
        <f aca="true">MAX(L14*(1+NORMINV(RAND(),$C$6,$E$6))-MonthlyExp*12*(1+Inflation)^(11-1),0)</f>
        <v>40223261.9196852</v>
      </c>
      <c r="N14" s="32" t="n">
        <f aca="true">MAX(M14*(1+NORMINV(RAND(),$C$6,$E$6))-MonthlyExp*12*(1+Inflation)^(12-1),0)</f>
        <v>43979086.5234634</v>
      </c>
      <c r="O14" s="32" t="n">
        <f aca="true">MAX(N14*(1+NORMINV(RAND(),$C$6,$E$6))-MonthlyExp*12*(1+Inflation)^(13-1),0)</f>
        <v>48769587.3306359</v>
      </c>
      <c r="P14" s="32" t="n">
        <f aca="true">MAX(O14*(1+NORMINV(RAND(),$C$6,$E$6))-MonthlyExp*12*(1+Inflation)^(14-1),0)</f>
        <v>51344994.8862615</v>
      </c>
      <c r="Q14" s="32" t="n">
        <f aca="true">MAX(P14*(1+NORMINV(RAND(),$C$6,$E$6))-MonthlyExp*12*(1+Inflation)^(15-1),0)</f>
        <v>50930007.4340202</v>
      </c>
      <c r="R14" s="32" t="n">
        <f aca="true">MAX(Q14*(1+NORMINV(RAND(),$C$6,$E$6))-MonthlyExp*12*(1+Inflation)^(16-1),0)</f>
        <v>56329684.6803843</v>
      </c>
      <c r="S14" s="32" t="n">
        <f aca="true">MAX(R14*(1+NORMINV(RAND(),$C$6,$E$6))-MonthlyExp*12*(1+Inflation)^(17-1),0)</f>
        <v>63711732.2680655</v>
      </c>
      <c r="T14" s="32" t="n">
        <f aca="true">MAX(S14*(1+NORMINV(RAND(),$C$6,$E$6))-MonthlyExp*12*(1+Inflation)^(18-1),0)</f>
        <v>66499536.3577473</v>
      </c>
      <c r="U14" s="32" t="n">
        <f aca="true">MAX(T14*(1+NORMINV(RAND(),$C$6,$E$6))-MonthlyExp*12*(1+Inflation)^(19-1),0)</f>
        <v>68388416.615996</v>
      </c>
      <c r="V14" s="32" t="n">
        <f aca="true">MAX(U14*(1+NORMINV(RAND(),$C$6,$E$6))-MonthlyExp*12*(1+Inflation)^(20-1),0)</f>
        <v>76010814.5252132</v>
      </c>
      <c r="W14" s="32" t="n">
        <f aca="true">MAX(V14*(1+NORMINV(RAND(),$C$6,$E$6))-MonthlyExp*12*(1+Inflation)^(21-1),0)</f>
        <v>73271040.1632575</v>
      </c>
      <c r="X14" s="32" t="n">
        <f aca="true">MAX(W14*(1+NORMINV(RAND(),$C$6,$E$6))-MonthlyExp*12*(1+Inflation)^(22-1),0)</f>
        <v>78619657.8635185</v>
      </c>
      <c r="Y14" s="32" t="n">
        <f aca="true">MAX(X14*(1+NORMINV(RAND(),$C$6,$E$6))-MonthlyExp*12*(1+Inflation)^(23-1),0)</f>
        <v>84013325.8174795</v>
      </c>
      <c r="Z14" s="32" t="n">
        <f aca="true">MAX(Y14*(1+NORMINV(RAND(),$C$6,$E$6))-MonthlyExp*12*(1+Inflation)^(24-1),0)</f>
        <v>99277471.8114264</v>
      </c>
      <c r="AA14" s="32" t="n">
        <f aca="true">MAX(Z14*(1+NORMINV(RAND(),$C$6,$E$6))-MonthlyExp*12*(1+Inflation)^(25-1),0)</f>
        <v>116999112.45034</v>
      </c>
      <c r="AB14" s="32" t="n">
        <f aca="true">MAX(AA14*(1+NORMINV(RAND(),$C$6,$E$6))-MonthlyExp*12*(1+Inflation)^(26-1),0)</f>
        <v>135399238.624501</v>
      </c>
      <c r="AC14" s="32" t="n">
        <f aca="true">MAX(AB14*(1+NORMINV(RAND(),$C$6,$E$6))-MonthlyExp*12*(1+Inflation)^(27-1),0)</f>
        <v>128309275.422755</v>
      </c>
      <c r="AD14" s="32" t="n">
        <f aca="true">MAX(AC14*(1+NORMINV(RAND(),$C$6,$E$6))-MonthlyExp*12*(1+Inflation)^(28-1),0)</f>
        <v>121161530.218866</v>
      </c>
      <c r="AE14" s="32" t="n">
        <f aca="true">MAX(AD14*(1+NORMINV(RAND(),$C$6,$E$6))-MonthlyExp*12*(1+Inflation)^(29-1),0)</f>
        <v>119097053.968168</v>
      </c>
      <c r="AF14" s="32" t="n">
        <f aca="true">MAX(AE14*(1+NORMINV(RAND(),$C$6,$E$6))-MonthlyExp*12*(1+Inflation)^(30-1),0)</f>
        <v>135353173.684947</v>
      </c>
    </row>
    <row r="15" customFormat="false" ht="15" hidden="false" customHeight="false" outlineLevel="0" collapsed="false">
      <c r="A15" s="30" t="n">
        <v>7</v>
      </c>
      <c r="B15" s="31" t="n">
        <f aca="false">Corpus</f>
        <v>20000000</v>
      </c>
      <c r="C15" s="32" t="n">
        <f aca="true">MAX(B15*(1+NORMINV(RAND(),$C$6,$E$6))-MonthlyExp*12*(1+Inflation)^(1-1),0)</f>
        <v>16808276.9478066</v>
      </c>
      <c r="D15" s="32" t="n">
        <f aca="true">MAX(C15*(1+NORMINV(RAND(),$C$6,$E$6))-MonthlyExp*12*(1+Inflation)^(2-1),0)</f>
        <v>15431196.6761339</v>
      </c>
      <c r="E15" s="32" t="n">
        <f aca="true">MAX(D15*(1+NORMINV(RAND(),$C$6,$E$6))-MonthlyExp*12*(1+Inflation)^(3-1),0)</f>
        <v>17017036.5837003</v>
      </c>
      <c r="F15" s="32" t="n">
        <f aca="true">MAX(E15*(1+NORMINV(RAND(),$C$6,$E$6))-MonthlyExp*12*(1+Inflation)^(4-1),0)</f>
        <v>15581183.4328488</v>
      </c>
      <c r="G15" s="32" t="n">
        <f aca="true">MAX(F15*(1+NORMINV(RAND(),$C$6,$E$6))-MonthlyExp*12*(1+Inflation)^(5-1),0)</f>
        <v>14525585.4262177</v>
      </c>
      <c r="H15" s="32" t="n">
        <f aca="true">MAX(G15*(1+NORMINV(RAND(),$C$6,$E$6))-MonthlyExp*12*(1+Inflation)^(6-1),0)</f>
        <v>16852128.7986908</v>
      </c>
      <c r="I15" s="32" t="n">
        <f aca="true">MAX(H15*(1+NORMINV(RAND(),$C$6,$E$6))-MonthlyExp*12*(1+Inflation)^(7-1),0)</f>
        <v>18936068.1530246</v>
      </c>
      <c r="J15" s="32" t="n">
        <f aca="true">MAX(I15*(1+NORMINV(RAND(),$C$6,$E$6))-MonthlyExp*12*(1+Inflation)^(8-1),0)</f>
        <v>19064538.7959596</v>
      </c>
      <c r="K15" s="32" t="n">
        <f aca="true">MAX(J15*(1+NORMINV(RAND(),$C$6,$E$6))-MonthlyExp*12*(1+Inflation)^(9-1),0)</f>
        <v>22664644.7432208</v>
      </c>
      <c r="L15" s="32" t="n">
        <f aca="true">MAX(K15*(1+NORMINV(RAND(),$C$6,$E$6))-MonthlyExp*12*(1+Inflation)^(10-1),0)</f>
        <v>22466009.5122439</v>
      </c>
      <c r="M15" s="32" t="n">
        <f aca="true">MAX(L15*(1+NORMINV(RAND(),$C$6,$E$6))-MonthlyExp*12*(1+Inflation)^(11-1),0)</f>
        <v>25541087.5510618</v>
      </c>
      <c r="N15" s="32" t="n">
        <f aca="true">MAX(M15*(1+NORMINV(RAND(),$C$6,$E$6))-MonthlyExp*12*(1+Inflation)^(12-1),0)</f>
        <v>27434488.5611413</v>
      </c>
      <c r="O15" s="32" t="n">
        <f aca="true">MAX(N15*(1+NORMINV(RAND(),$C$6,$E$6))-MonthlyExp*12*(1+Inflation)^(13-1),0)</f>
        <v>30506837.4680035</v>
      </c>
      <c r="P15" s="32" t="n">
        <f aca="true">MAX(O15*(1+NORMINV(RAND(),$C$6,$E$6))-MonthlyExp*12*(1+Inflation)^(14-1),0)</f>
        <v>32658203.5953431</v>
      </c>
      <c r="Q15" s="32" t="n">
        <f aca="true">MAX(P15*(1+NORMINV(RAND(),$C$6,$E$6))-MonthlyExp*12*(1+Inflation)^(15-1),0)</f>
        <v>38144468.64424</v>
      </c>
      <c r="R15" s="32" t="n">
        <f aca="true">MAX(Q15*(1+NORMINV(RAND(),$C$6,$E$6))-MonthlyExp*12*(1+Inflation)^(16-1),0)</f>
        <v>40043901.0821608</v>
      </c>
      <c r="S15" s="32" t="n">
        <f aca="true">MAX(R15*(1+NORMINV(RAND(),$C$6,$E$6))-MonthlyExp*12*(1+Inflation)^(17-1),0)</f>
        <v>35901344.2262687</v>
      </c>
      <c r="T15" s="32" t="n">
        <f aca="true">MAX(S15*(1+NORMINV(RAND(),$C$6,$E$6))-MonthlyExp*12*(1+Inflation)^(18-1),0)</f>
        <v>34608294.4553803</v>
      </c>
      <c r="U15" s="32" t="n">
        <f aca="true">MAX(T15*(1+NORMINV(RAND(),$C$6,$E$6))-MonthlyExp*12*(1+Inflation)^(19-1),0)</f>
        <v>32682796.3886779</v>
      </c>
      <c r="V15" s="32" t="n">
        <f aca="true">MAX(U15*(1+NORMINV(RAND(),$C$6,$E$6))-MonthlyExp*12*(1+Inflation)^(20-1),0)</f>
        <v>33435459.6303041</v>
      </c>
      <c r="W15" s="32" t="n">
        <f aca="true">MAX(V15*(1+NORMINV(RAND(),$C$6,$E$6))-MonthlyExp*12*(1+Inflation)^(21-1),0)</f>
        <v>32518695.1369447</v>
      </c>
      <c r="X15" s="32" t="n">
        <f aca="true">MAX(W15*(1+NORMINV(RAND(),$C$6,$E$6))-MonthlyExp*12*(1+Inflation)^(22-1),0)</f>
        <v>32024714.5089774</v>
      </c>
      <c r="Y15" s="32" t="n">
        <f aca="true">MAX(X15*(1+NORMINV(RAND(),$C$6,$E$6))-MonthlyExp*12*(1+Inflation)^(23-1),0)</f>
        <v>29360384.0193145</v>
      </c>
      <c r="Z15" s="32" t="n">
        <f aca="true">MAX(Y15*(1+NORMINV(RAND(),$C$6,$E$6))-MonthlyExp*12*(1+Inflation)^(24-1),0)</f>
        <v>30313578.5282561</v>
      </c>
      <c r="AA15" s="32" t="n">
        <f aca="true">MAX(Z15*(1+NORMINV(RAND(),$C$6,$E$6))-MonthlyExp*12*(1+Inflation)^(25-1),0)</f>
        <v>28762272.8104146</v>
      </c>
      <c r="AB15" s="32" t="n">
        <f aca="true">MAX(AA15*(1+NORMINV(RAND(),$C$6,$E$6))-MonthlyExp*12*(1+Inflation)^(26-1),0)</f>
        <v>23261467.9969896</v>
      </c>
      <c r="AC15" s="32" t="n">
        <f aca="true">MAX(AB15*(1+NORMINV(RAND(),$C$6,$E$6))-MonthlyExp*12*(1+Inflation)^(27-1),0)</f>
        <v>21718365.2490383</v>
      </c>
      <c r="AD15" s="32" t="n">
        <f aca="true">MAX(AC15*(1+NORMINV(RAND(),$C$6,$E$6))-MonthlyExp*12*(1+Inflation)^(28-1),0)</f>
        <v>23223890.8413991</v>
      </c>
      <c r="AE15" s="32" t="n">
        <f aca="true">MAX(AD15*(1+NORMINV(RAND(),$C$6,$E$6))-MonthlyExp*12*(1+Inflation)^(29-1),0)</f>
        <v>20783597.7329383</v>
      </c>
      <c r="AF15" s="32" t="n">
        <f aca="true">MAX(AE15*(1+NORMINV(RAND(),$C$6,$E$6))-MonthlyExp*12*(1+Inflation)^(30-1),0)</f>
        <v>19464678.5228345</v>
      </c>
    </row>
    <row r="16" customFormat="false" ht="15" hidden="false" customHeight="false" outlineLevel="0" collapsed="false">
      <c r="A16" s="30" t="n">
        <v>8</v>
      </c>
      <c r="B16" s="31" t="n">
        <f aca="false">Corpus</f>
        <v>20000000</v>
      </c>
      <c r="C16" s="32" t="n">
        <f aca="true">MAX(B16*(1+NORMINV(RAND(),$C$6,$E$6))-MonthlyExp*12*(1+Inflation)^(1-1),0)</f>
        <v>22067236.3120727</v>
      </c>
      <c r="D16" s="32" t="n">
        <f aca="true">MAX(C16*(1+NORMINV(RAND(),$C$6,$E$6))-MonthlyExp*12*(1+Inflation)^(2-1),0)</f>
        <v>24046678.154528</v>
      </c>
      <c r="E16" s="32" t="n">
        <f aca="true">MAX(D16*(1+NORMINV(RAND(),$C$6,$E$6))-MonthlyExp*12*(1+Inflation)^(3-1),0)</f>
        <v>20907331.7313407</v>
      </c>
      <c r="F16" s="32" t="n">
        <f aca="true">MAX(E16*(1+NORMINV(RAND(),$C$6,$E$6))-MonthlyExp*12*(1+Inflation)^(4-1),0)</f>
        <v>23075473.9164369</v>
      </c>
      <c r="G16" s="32" t="n">
        <f aca="true">MAX(F16*(1+NORMINV(RAND(),$C$6,$E$6))-MonthlyExp*12*(1+Inflation)^(5-1),0)</f>
        <v>21570038.5985774</v>
      </c>
      <c r="H16" s="32" t="n">
        <f aca="true">MAX(G16*(1+NORMINV(RAND(),$C$6,$E$6))-MonthlyExp*12*(1+Inflation)^(6-1),0)</f>
        <v>24451961.6989889</v>
      </c>
      <c r="I16" s="32" t="n">
        <f aca="true">MAX(H16*(1+NORMINV(RAND(),$C$6,$E$6))-MonthlyExp*12*(1+Inflation)^(7-1),0)</f>
        <v>23565973.2361782</v>
      </c>
      <c r="J16" s="32" t="n">
        <f aca="true">MAX(I16*(1+NORMINV(RAND(),$C$6,$E$6))-MonthlyExp*12*(1+Inflation)^(8-1),0)</f>
        <v>22651541.8570183</v>
      </c>
      <c r="K16" s="32" t="n">
        <f aca="true">MAX(J16*(1+NORMINV(RAND(),$C$6,$E$6))-MonthlyExp*12*(1+Inflation)^(9-1),0)</f>
        <v>28432841.0153497</v>
      </c>
      <c r="L16" s="32" t="n">
        <f aca="true">MAX(K16*(1+NORMINV(RAND(),$C$6,$E$6))-MonthlyExp*12*(1+Inflation)^(10-1),0)</f>
        <v>30740437.5544731</v>
      </c>
      <c r="M16" s="32" t="n">
        <f aca="true">MAX(L16*(1+NORMINV(RAND(),$C$6,$E$6))-MonthlyExp*12*(1+Inflation)^(11-1),0)</f>
        <v>31328550.1424772</v>
      </c>
      <c r="N16" s="32" t="n">
        <f aca="true">MAX(M16*(1+NORMINV(RAND(),$C$6,$E$6))-MonthlyExp*12*(1+Inflation)^(12-1),0)</f>
        <v>33604094.685478</v>
      </c>
      <c r="O16" s="32" t="n">
        <f aca="true">MAX(N16*(1+NORMINV(RAND(),$C$6,$E$6))-MonthlyExp*12*(1+Inflation)^(13-1),0)</f>
        <v>38265025.9477783</v>
      </c>
      <c r="P16" s="32" t="n">
        <f aca="true">MAX(O16*(1+NORMINV(RAND(),$C$6,$E$6))-MonthlyExp*12*(1+Inflation)^(14-1),0)</f>
        <v>44547537.8333723</v>
      </c>
      <c r="Q16" s="32" t="n">
        <f aca="true">MAX(P16*(1+NORMINV(RAND(),$C$6,$E$6))-MonthlyExp*12*(1+Inflation)^(15-1),0)</f>
        <v>46296033.5350998</v>
      </c>
      <c r="R16" s="32" t="n">
        <f aca="true">MAX(Q16*(1+NORMINV(RAND(),$C$6,$E$6))-MonthlyExp*12*(1+Inflation)^(16-1),0)</f>
        <v>49124682.6145913</v>
      </c>
      <c r="S16" s="32" t="n">
        <f aca="true">MAX(R16*(1+NORMINV(RAND(),$C$6,$E$6))-MonthlyExp*12*(1+Inflation)^(17-1),0)</f>
        <v>55781083.4717326</v>
      </c>
      <c r="T16" s="32" t="n">
        <f aca="true">MAX(S16*(1+NORMINV(RAND(),$C$6,$E$6))-MonthlyExp*12*(1+Inflation)^(18-1),0)</f>
        <v>66841338.9347104</v>
      </c>
      <c r="U16" s="32" t="n">
        <f aca="true">MAX(T16*(1+NORMINV(RAND(),$C$6,$E$6))-MonthlyExp*12*(1+Inflation)^(19-1),0)</f>
        <v>57737639.172688</v>
      </c>
      <c r="V16" s="32" t="n">
        <f aca="true">MAX(U16*(1+NORMINV(RAND(),$C$6,$E$6))-MonthlyExp*12*(1+Inflation)^(20-1),0)</f>
        <v>58879051.0406532</v>
      </c>
      <c r="W16" s="32" t="n">
        <f aca="true">MAX(V16*(1+NORMINV(RAND(),$C$6,$E$6))-MonthlyExp*12*(1+Inflation)^(21-1),0)</f>
        <v>72252163.0791424</v>
      </c>
      <c r="X16" s="32" t="n">
        <f aca="true">MAX(W16*(1+NORMINV(RAND(),$C$6,$E$6))-MonthlyExp*12*(1+Inflation)^(22-1),0)</f>
        <v>72141398.8806335</v>
      </c>
      <c r="Y16" s="32" t="n">
        <f aca="true">MAX(X16*(1+NORMINV(RAND(),$C$6,$E$6))-MonthlyExp*12*(1+Inflation)^(23-1),0)</f>
        <v>75576490.7016944</v>
      </c>
      <c r="Z16" s="32" t="n">
        <f aca="true">MAX(Y16*(1+NORMINV(RAND(),$C$6,$E$6))-MonthlyExp*12*(1+Inflation)^(24-1),0)</f>
        <v>76541791.0068661</v>
      </c>
      <c r="AA16" s="32" t="n">
        <f aca="true">MAX(Z16*(1+NORMINV(RAND(),$C$6,$E$6))-MonthlyExp*12*(1+Inflation)^(25-1),0)</f>
        <v>81462664.2758606</v>
      </c>
      <c r="AB16" s="32" t="n">
        <f aca="true">MAX(AA16*(1+NORMINV(RAND(),$C$6,$E$6))-MonthlyExp*12*(1+Inflation)^(26-1),0)</f>
        <v>83683609.5815788</v>
      </c>
      <c r="AC16" s="32" t="n">
        <f aca="true">MAX(AB16*(1+NORMINV(RAND(),$C$6,$E$6))-MonthlyExp*12*(1+Inflation)^(27-1),0)</f>
        <v>95050964.5687595</v>
      </c>
      <c r="AD16" s="32" t="n">
        <f aca="true">MAX(AC16*(1+NORMINV(RAND(),$C$6,$E$6))-MonthlyExp*12*(1+Inflation)^(28-1),0)</f>
        <v>87257474.995603</v>
      </c>
      <c r="AE16" s="32" t="n">
        <f aca="true">MAX(AD16*(1+NORMINV(RAND(),$C$6,$E$6))-MonthlyExp*12*(1+Inflation)^(29-1),0)</f>
        <v>91113860.0010685</v>
      </c>
      <c r="AF16" s="32" t="n">
        <f aca="true">MAX(AE16*(1+NORMINV(RAND(),$C$6,$E$6))-MonthlyExp*12*(1+Inflation)^(30-1),0)</f>
        <v>110725090.362211</v>
      </c>
    </row>
    <row r="17" customFormat="false" ht="15" hidden="false" customHeight="false" outlineLevel="0" collapsed="false">
      <c r="A17" s="30" t="n">
        <v>9</v>
      </c>
      <c r="B17" s="31" t="n">
        <f aca="false">Corpus</f>
        <v>20000000</v>
      </c>
      <c r="C17" s="32" t="n">
        <f aca="true">MAX(B17*(1+NORMINV(RAND(),$C$6,$E$6))-MonthlyExp*12*(1+Inflation)^(1-1),0)</f>
        <v>20765322.2468834</v>
      </c>
      <c r="D17" s="32" t="n">
        <f aca="true">MAX(C17*(1+NORMINV(RAND(),$C$6,$E$6))-MonthlyExp*12*(1+Inflation)^(2-1),0)</f>
        <v>22146231.3627089</v>
      </c>
      <c r="E17" s="32" t="n">
        <f aca="true">MAX(D17*(1+NORMINV(RAND(),$C$6,$E$6))-MonthlyExp*12*(1+Inflation)^(3-1),0)</f>
        <v>25087788.4971249</v>
      </c>
      <c r="F17" s="32" t="n">
        <f aca="true">MAX(E17*(1+NORMINV(RAND(),$C$6,$E$6))-MonthlyExp*12*(1+Inflation)^(4-1),0)</f>
        <v>26621393.112527</v>
      </c>
      <c r="G17" s="32" t="n">
        <f aca="true">MAX(F17*(1+NORMINV(RAND(),$C$6,$E$6))-MonthlyExp*12*(1+Inflation)^(5-1),0)</f>
        <v>24254221.4900365</v>
      </c>
      <c r="H17" s="32" t="n">
        <f aca="true">MAX(G17*(1+NORMINV(RAND(),$C$6,$E$6))-MonthlyExp*12*(1+Inflation)^(6-1),0)</f>
        <v>25928301.1109768</v>
      </c>
      <c r="I17" s="32" t="n">
        <f aca="true">MAX(H17*(1+NORMINV(RAND(),$C$6,$E$6))-MonthlyExp*12*(1+Inflation)^(7-1),0)</f>
        <v>28729572.3279083</v>
      </c>
      <c r="J17" s="32" t="n">
        <f aca="true">MAX(I17*(1+NORMINV(RAND(),$C$6,$E$6))-MonthlyExp*12*(1+Inflation)^(8-1),0)</f>
        <v>29582286.215757</v>
      </c>
      <c r="K17" s="32" t="n">
        <f aca="true">MAX(J17*(1+NORMINV(RAND(),$C$6,$E$6))-MonthlyExp*12*(1+Inflation)^(9-1),0)</f>
        <v>33658259.6647378</v>
      </c>
      <c r="L17" s="32" t="n">
        <f aca="true">MAX(K17*(1+NORMINV(RAND(),$C$6,$E$6))-MonthlyExp*12*(1+Inflation)^(10-1),0)</f>
        <v>32392085.2825978</v>
      </c>
      <c r="M17" s="32" t="n">
        <f aca="true">MAX(L17*(1+NORMINV(RAND(),$C$6,$E$6))-MonthlyExp*12*(1+Inflation)^(11-1),0)</f>
        <v>29207138.6262247</v>
      </c>
      <c r="N17" s="32" t="n">
        <f aca="true">MAX(M17*(1+NORMINV(RAND(),$C$6,$E$6))-MonthlyExp*12*(1+Inflation)^(12-1),0)</f>
        <v>30327475.942847</v>
      </c>
      <c r="O17" s="32" t="n">
        <f aca="true">MAX(N17*(1+NORMINV(RAND(),$C$6,$E$6))-MonthlyExp*12*(1+Inflation)^(13-1),0)</f>
        <v>32171104.1702021</v>
      </c>
      <c r="P17" s="32" t="n">
        <f aca="true">MAX(O17*(1+NORMINV(RAND(),$C$6,$E$6))-MonthlyExp*12*(1+Inflation)^(14-1),0)</f>
        <v>35882871.2289216</v>
      </c>
      <c r="Q17" s="32" t="n">
        <f aca="true">MAX(P17*(1+NORMINV(RAND(),$C$6,$E$6))-MonthlyExp*12*(1+Inflation)^(15-1),0)</f>
        <v>40229620.390613</v>
      </c>
      <c r="R17" s="32" t="n">
        <f aca="true">MAX(Q17*(1+NORMINV(RAND(),$C$6,$E$6))-MonthlyExp*12*(1+Inflation)^(16-1),0)</f>
        <v>43825168.5233734</v>
      </c>
      <c r="S17" s="32" t="n">
        <f aca="true">MAX(R17*(1+NORMINV(RAND(),$C$6,$E$6))-MonthlyExp*12*(1+Inflation)^(17-1),0)</f>
        <v>50142772.7298348</v>
      </c>
      <c r="T17" s="32" t="n">
        <f aca="true">MAX(S17*(1+NORMINV(RAND(),$C$6,$E$6))-MonthlyExp*12*(1+Inflation)^(18-1),0)</f>
        <v>47434665.6556229</v>
      </c>
      <c r="U17" s="32" t="n">
        <f aca="true">MAX(T17*(1+NORMINV(RAND(),$C$6,$E$6))-MonthlyExp*12*(1+Inflation)^(19-1),0)</f>
        <v>48614788.754526</v>
      </c>
      <c r="V17" s="32" t="n">
        <f aca="true">MAX(U17*(1+NORMINV(RAND(),$C$6,$E$6))-MonthlyExp*12*(1+Inflation)^(20-1),0)</f>
        <v>52097071.7630648</v>
      </c>
      <c r="W17" s="32" t="n">
        <f aca="true">MAX(V17*(1+NORMINV(RAND(),$C$6,$E$6))-MonthlyExp*12*(1+Inflation)^(21-1),0)</f>
        <v>54621601.6484955</v>
      </c>
      <c r="X17" s="32" t="n">
        <f aca="true">MAX(W17*(1+NORMINV(RAND(),$C$6,$E$6))-MonthlyExp*12*(1+Inflation)^(22-1),0)</f>
        <v>59910420.867293</v>
      </c>
      <c r="Y17" s="32" t="n">
        <f aca="true">MAX(X17*(1+NORMINV(RAND(),$C$6,$E$6))-MonthlyExp*12*(1+Inflation)^(23-1),0)</f>
        <v>66355412.6992446</v>
      </c>
      <c r="Z17" s="32" t="n">
        <f aca="true">MAX(Y17*(1+NORMINV(RAND(),$C$6,$E$6))-MonthlyExp*12*(1+Inflation)^(24-1),0)</f>
        <v>59505761.8406228</v>
      </c>
      <c r="AA17" s="32" t="n">
        <f aca="true">MAX(Z17*(1+NORMINV(RAND(),$C$6,$E$6))-MonthlyExp*12*(1+Inflation)^(25-1),0)</f>
        <v>68987802.3032512</v>
      </c>
      <c r="AB17" s="32" t="n">
        <f aca="true">MAX(AA17*(1+NORMINV(RAND(),$C$6,$E$6))-MonthlyExp*12*(1+Inflation)^(26-1),0)</f>
        <v>64984904.4113765</v>
      </c>
      <c r="AC17" s="32" t="n">
        <f aca="true">MAX(AB17*(1+NORMINV(RAND(),$C$6,$E$6))-MonthlyExp*12*(1+Inflation)^(27-1),0)</f>
        <v>70229201.9633087</v>
      </c>
      <c r="AD17" s="32" t="n">
        <f aca="true">MAX(AC17*(1+NORMINV(RAND(),$C$6,$E$6))-MonthlyExp*12*(1+Inflation)^(28-1),0)</f>
        <v>64962813.2793809</v>
      </c>
      <c r="AE17" s="32" t="n">
        <f aca="true">MAX(AD17*(1+NORMINV(RAND(),$C$6,$E$6))-MonthlyExp*12*(1+Inflation)^(29-1),0)</f>
        <v>64278062.8804209</v>
      </c>
      <c r="AF17" s="32" t="n">
        <f aca="true">MAX(AE17*(1+NORMINV(RAND(),$C$6,$E$6))-MonthlyExp*12*(1+Inflation)^(30-1),0)</f>
        <v>66242255.4602496</v>
      </c>
    </row>
    <row r="18" customFormat="false" ht="15" hidden="false" customHeight="false" outlineLevel="0" collapsed="false">
      <c r="A18" s="30" t="n">
        <v>10</v>
      </c>
      <c r="B18" s="31" t="n">
        <f aca="false">Corpus</f>
        <v>20000000</v>
      </c>
      <c r="C18" s="32" t="n">
        <f aca="true">MAX(B18*(1+NORMINV(RAND(),$C$6,$E$6))-MonthlyExp*12*(1+Inflation)^(1-1),0)</f>
        <v>20349808.9266904</v>
      </c>
      <c r="D18" s="32" t="n">
        <f aca="true">MAX(C18*(1+NORMINV(RAND(),$C$6,$E$6))-MonthlyExp*12*(1+Inflation)^(2-1),0)</f>
        <v>21242288.2744702</v>
      </c>
      <c r="E18" s="32" t="n">
        <f aca="true">MAX(D18*(1+NORMINV(RAND(),$C$6,$E$6))-MonthlyExp*12*(1+Inflation)^(3-1),0)</f>
        <v>24539688.5949023</v>
      </c>
      <c r="F18" s="32" t="n">
        <f aca="true">MAX(E18*(1+NORMINV(RAND(),$C$6,$E$6))-MonthlyExp*12*(1+Inflation)^(4-1),0)</f>
        <v>25995580.6778603</v>
      </c>
      <c r="G18" s="32" t="n">
        <f aca="true">MAX(F18*(1+NORMINV(RAND(),$C$6,$E$6))-MonthlyExp*12*(1+Inflation)^(5-1),0)</f>
        <v>28414785.1697724</v>
      </c>
      <c r="H18" s="32" t="n">
        <f aca="true">MAX(G18*(1+NORMINV(RAND(),$C$6,$E$6))-MonthlyExp*12*(1+Inflation)^(6-1),0)</f>
        <v>28343122.3487334</v>
      </c>
      <c r="I18" s="32" t="n">
        <f aca="true">MAX(H18*(1+NORMINV(RAND(),$C$6,$E$6))-MonthlyExp*12*(1+Inflation)^(7-1),0)</f>
        <v>30517955.2367665</v>
      </c>
      <c r="J18" s="32" t="n">
        <f aca="true">MAX(I18*(1+NORMINV(RAND(),$C$6,$E$6))-MonthlyExp*12*(1+Inflation)^(8-1),0)</f>
        <v>32968577.0642896</v>
      </c>
      <c r="K18" s="32" t="n">
        <f aca="true">MAX(J18*(1+NORMINV(RAND(),$C$6,$E$6))-MonthlyExp*12*(1+Inflation)^(9-1),0)</f>
        <v>34420894.9044682</v>
      </c>
      <c r="L18" s="32" t="n">
        <f aca="true">MAX(K18*(1+NORMINV(RAND(),$C$6,$E$6))-MonthlyExp*12*(1+Inflation)^(10-1),0)</f>
        <v>39144023.0380336</v>
      </c>
      <c r="M18" s="32" t="n">
        <f aca="true">MAX(L18*(1+NORMINV(RAND(),$C$6,$E$6))-MonthlyExp*12*(1+Inflation)^(11-1),0)</f>
        <v>43010104.8709079</v>
      </c>
      <c r="N18" s="32" t="n">
        <f aca="true">MAX(M18*(1+NORMINV(RAND(),$C$6,$E$6))-MonthlyExp*12*(1+Inflation)^(12-1),0)</f>
        <v>44923781.6906454</v>
      </c>
      <c r="O18" s="32" t="n">
        <f aca="true">MAX(N18*(1+NORMINV(RAND(),$C$6,$E$6))-MonthlyExp*12*(1+Inflation)^(13-1),0)</f>
        <v>49204445.8913881</v>
      </c>
      <c r="P18" s="32" t="n">
        <f aca="true">MAX(O18*(1+NORMINV(RAND(),$C$6,$E$6))-MonthlyExp*12*(1+Inflation)^(14-1),0)</f>
        <v>53892074.0320476</v>
      </c>
      <c r="Q18" s="32" t="n">
        <f aca="true">MAX(P18*(1+NORMINV(RAND(),$C$6,$E$6))-MonthlyExp*12*(1+Inflation)^(15-1),0)</f>
        <v>60856856.4028074</v>
      </c>
      <c r="R18" s="32" t="n">
        <f aca="true">MAX(Q18*(1+NORMINV(RAND(),$C$6,$E$6))-MonthlyExp*12*(1+Inflation)^(16-1),0)</f>
        <v>61507125.0360681</v>
      </c>
      <c r="S18" s="32" t="n">
        <f aca="true">MAX(R18*(1+NORMINV(RAND(),$C$6,$E$6))-MonthlyExp*12*(1+Inflation)^(17-1),0)</f>
        <v>62496119.2676977</v>
      </c>
      <c r="T18" s="32" t="n">
        <f aca="true">MAX(S18*(1+NORMINV(RAND(),$C$6,$E$6))-MonthlyExp*12*(1+Inflation)^(18-1),0)</f>
        <v>62044737.3784736</v>
      </c>
      <c r="U18" s="32" t="n">
        <f aca="true">MAX(T18*(1+NORMINV(RAND(),$C$6,$E$6))-MonthlyExp*12*(1+Inflation)^(19-1),0)</f>
        <v>56818650.083221</v>
      </c>
      <c r="V18" s="32" t="n">
        <f aca="true">MAX(U18*(1+NORMINV(RAND(),$C$6,$E$6))-MonthlyExp*12*(1+Inflation)^(20-1),0)</f>
        <v>58961510.7554961</v>
      </c>
      <c r="W18" s="32" t="n">
        <f aca="true">MAX(V18*(1+NORMINV(RAND(),$C$6,$E$6))-MonthlyExp*12*(1+Inflation)^(21-1),0)</f>
        <v>72260132.0852542</v>
      </c>
      <c r="X18" s="32" t="n">
        <f aca="true">MAX(W18*(1+NORMINV(RAND(),$C$6,$E$6))-MonthlyExp*12*(1+Inflation)^(22-1),0)</f>
        <v>75625635.6987042</v>
      </c>
      <c r="Y18" s="32" t="n">
        <f aca="true">MAX(X18*(1+NORMINV(RAND(),$C$6,$E$6))-MonthlyExp*12*(1+Inflation)^(23-1),0)</f>
        <v>70878014.9772796</v>
      </c>
      <c r="Z18" s="32" t="n">
        <f aca="true">MAX(Y18*(1+NORMINV(RAND(),$C$6,$E$6))-MonthlyExp*12*(1+Inflation)^(24-1),0)</f>
        <v>75739180.493608</v>
      </c>
      <c r="AA18" s="32" t="n">
        <f aca="true">MAX(Z18*(1+NORMINV(RAND(),$C$6,$E$6))-MonthlyExp*12*(1+Inflation)^(25-1),0)</f>
        <v>79527333.2558238</v>
      </c>
      <c r="AB18" s="32" t="n">
        <f aca="true">MAX(AA18*(1+NORMINV(RAND(),$C$6,$E$6))-MonthlyExp*12*(1+Inflation)^(26-1),0)</f>
        <v>84930388.8398259</v>
      </c>
      <c r="AC18" s="32" t="n">
        <f aca="true">MAX(AB18*(1+NORMINV(RAND(),$C$6,$E$6))-MonthlyExp*12*(1+Inflation)^(27-1),0)</f>
        <v>87252541.9583549</v>
      </c>
      <c r="AD18" s="32" t="n">
        <f aca="true">MAX(AC18*(1+NORMINV(RAND(),$C$6,$E$6))-MonthlyExp*12*(1+Inflation)^(28-1),0)</f>
        <v>88127901.2192593</v>
      </c>
      <c r="AE18" s="32" t="n">
        <f aca="true">MAX(AD18*(1+NORMINV(RAND(),$C$6,$E$6))-MonthlyExp*12*(1+Inflation)^(29-1),0)</f>
        <v>85974302.6209255</v>
      </c>
      <c r="AF18" s="32" t="n">
        <f aca="true">MAX(AE18*(1+NORMINV(RAND(),$C$6,$E$6))-MonthlyExp*12*(1+Inflation)^(30-1),0)</f>
        <v>80679640.4501958</v>
      </c>
    </row>
    <row r="19" customFormat="false" ht="15" hidden="false" customHeight="false" outlineLevel="0" collapsed="false">
      <c r="A19" s="30" t="n">
        <v>11</v>
      </c>
      <c r="B19" s="31" t="n">
        <f aca="false">Corpus</f>
        <v>20000000</v>
      </c>
      <c r="C19" s="32" t="n">
        <f aca="true">MAX(B19*(1+NORMINV(RAND(),$C$6,$E$6))-MonthlyExp*12*(1+Inflation)^(1-1),0)</f>
        <v>21187136.6528064</v>
      </c>
      <c r="D19" s="32" t="n">
        <f aca="true">MAX(C19*(1+NORMINV(RAND(),$C$6,$E$6))-MonthlyExp*12*(1+Inflation)^(2-1),0)</f>
        <v>24654507.6855949</v>
      </c>
      <c r="E19" s="32" t="n">
        <f aca="true">MAX(D19*(1+NORMINV(RAND(),$C$6,$E$6))-MonthlyExp*12*(1+Inflation)^(3-1),0)</f>
        <v>22812305.7659637</v>
      </c>
      <c r="F19" s="32" t="n">
        <f aca="true">MAX(E19*(1+NORMINV(RAND(),$C$6,$E$6))-MonthlyExp*12*(1+Inflation)^(4-1),0)</f>
        <v>26375120.70923</v>
      </c>
      <c r="G19" s="32" t="n">
        <f aca="true">MAX(F19*(1+NORMINV(RAND(),$C$6,$E$6))-MonthlyExp*12*(1+Inflation)^(5-1),0)</f>
        <v>28769186.7467665</v>
      </c>
      <c r="H19" s="32" t="n">
        <f aca="true">MAX(G19*(1+NORMINV(RAND(),$C$6,$E$6))-MonthlyExp*12*(1+Inflation)^(6-1),0)</f>
        <v>32156952.1640128</v>
      </c>
      <c r="I19" s="32" t="n">
        <f aca="true">MAX(H19*(1+NORMINV(RAND(),$C$6,$E$6))-MonthlyExp*12*(1+Inflation)^(7-1),0)</f>
        <v>35457815.4946943</v>
      </c>
      <c r="J19" s="32" t="n">
        <f aca="true">MAX(I19*(1+NORMINV(RAND(),$C$6,$E$6))-MonthlyExp*12*(1+Inflation)^(8-1),0)</f>
        <v>34630361.3584256</v>
      </c>
      <c r="K19" s="32" t="n">
        <f aca="true">MAX(J19*(1+NORMINV(RAND(),$C$6,$E$6))-MonthlyExp*12*(1+Inflation)^(9-1),0)</f>
        <v>32063035.3508479</v>
      </c>
      <c r="L19" s="32" t="n">
        <f aca="true">MAX(K19*(1+NORMINV(RAND(),$C$6,$E$6))-MonthlyExp*12*(1+Inflation)^(10-1),0)</f>
        <v>27471912.8030142</v>
      </c>
      <c r="M19" s="32" t="n">
        <f aca="true">MAX(L19*(1+NORMINV(RAND(),$C$6,$E$6))-MonthlyExp*12*(1+Inflation)^(11-1),0)</f>
        <v>26349887.5984548</v>
      </c>
      <c r="N19" s="32" t="n">
        <f aca="true">MAX(M19*(1+NORMINV(RAND(),$C$6,$E$6))-MonthlyExp*12*(1+Inflation)^(12-1),0)</f>
        <v>27368703.9785065</v>
      </c>
      <c r="O19" s="32" t="n">
        <f aca="true">MAX(N19*(1+NORMINV(RAND(),$C$6,$E$6))-MonthlyExp*12*(1+Inflation)^(13-1),0)</f>
        <v>27272651.0788934</v>
      </c>
      <c r="P19" s="32" t="n">
        <f aca="true">MAX(O19*(1+NORMINV(RAND(),$C$6,$E$6))-MonthlyExp*12*(1+Inflation)^(14-1),0)</f>
        <v>26537368.365102</v>
      </c>
      <c r="Q19" s="32" t="n">
        <f aca="true">MAX(P19*(1+NORMINV(RAND(),$C$6,$E$6))-MonthlyExp*12*(1+Inflation)^(15-1),0)</f>
        <v>25829734.2427176</v>
      </c>
      <c r="R19" s="32" t="n">
        <f aca="true">MAX(Q19*(1+NORMINV(RAND(),$C$6,$E$6))-MonthlyExp*12*(1+Inflation)^(16-1),0)</f>
        <v>26703135.4766895</v>
      </c>
      <c r="S19" s="32" t="n">
        <f aca="true">MAX(R19*(1+NORMINV(RAND(),$C$6,$E$6))-MonthlyExp*12*(1+Inflation)^(17-1),0)</f>
        <v>27848461.2468978</v>
      </c>
      <c r="T19" s="32" t="n">
        <f aca="true">MAX(S19*(1+NORMINV(RAND(),$C$6,$E$6))-MonthlyExp*12*(1+Inflation)^(18-1),0)</f>
        <v>30970310.1087838</v>
      </c>
      <c r="U19" s="32" t="n">
        <f aca="true">MAX(T19*(1+NORMINV(RAND(),$C$6,$E$6))-MonthlyExp*12*(1+Inflation)^(19-1),0)</f>
        <v>31912888.2344717</v>
      </c>
      <c r="V19" s="32" t="n">
        <f aca="true">MAX(U19*(1+NORMINV(RAND(),$C$6,$E$6))-MonthlyExp*12*(1+Inflation)^(20-1),0)</f>
        <v>35228398.7816643</v>
      </c>
      <c r="W19" s="32" t="n">
        <f aca="true">MAX(V19*(1+NORMINV(RAND(),$C$6,$E$6))-MonthlyExp*12*(1+Inflation)^(21-1),0)</f>
        <v>34392691.6645493</v>
      </c>
      <c r="X19" s="32" t="n">
        <f aca="true">MAX(W19*(1+NORMINV(RAND(),$C$6,$E$6))-MonthlyExp*12*(1+Inflation)^(22-1),0)</f>
        <v>33377624.6041105</v>
      </c>
      <c r="Y19" s="32" t="n">
        <f aca="true">MAX(X19*(1+NORMINV(RAND(),$C$6,$E$6))-MonthlyExp*12*(1+Inflation)^(23-1),0)</f>
        <v>28970744.4281976</v>
      </c>
      <c r="Z19" s="32" t="n">
        <f aca="true">MAX(Y19*(1+NORMINV(RAND(),$C$6,$E$6))-MonthlyExp*12*(1+Inflation)^(24-1),0)</f>
        <v>28450646.8036898</v>
      </c>
      <c r="AA19" s="32" t="n">
        <f aca="true">MAX(Z19*(1+NORMINV(RAND(),$C$6,$E$6))-MonthlyExp*12*(1+Inflation)^(25-1),0)</f>
        <v>28960873.5978283</v>
      </c>
      <c r="AB19" s="32" t="n">
        <f aca="true">MAX(AA19*(1+NORMINV(RAND(),$C$6,$E$6))-MonthlyExp*12*(1+Inflation)^(26-1),0)</f>
        <v>33343293.211117</v>
      </c>
      <c r="AC19" s="32" t="n">
        <f aca="true">MAX(AB19*(1+NORMINV(RAND(),$C$6,$E$6))-MonthlyExp*12*(1+Inflation)^(27-1),0)</f>
        <v>35046586.0133703</v>
      </c>
      <c r="AD19" s="32" t="n">
        <f aca="true">MAX(AC19*(1+NORMINV(RAND(),$C$6,$E$6))-MonthlyExp*12*(1+Inflation)^(28-1),0)</f>
        <v>34394887.919911</v>
      </c>
      <c r="AE19" s="32" t="n">
        <f aca="true">MAX(AD19*(1+NORMINV(RAND(),$C$6,$E$6))-MonthlyExp*12*(1+Inflation)^(29-1),0)</f>
        <v>37060340.823929</v>
      </c>
      <c r="AF19" s="32" t="n">
        <f aca="true">MAX(AE19*(1+NORMINV(RAND(),$C$6,$E$6))-MonthlyExp*12*(1+Inflation)^(30-1),0)</f>
        <v>36580821.829362</v>
      </c>
    </row>
    <row r="20" customFormat="false" ht="15" hidden="false" customHeight="false" outlineLevel="0" collapsed="false">
      <c r="A20" s="30" t="n">
        <v>12</v>
      </c>
      <c r="B20" s="31" t="n">
        <f aca="false">Corpus</f>
        <v>20000000</v>
      </c>
      <c r="C20" s="32" t="n">
        <f aca="true">MAX(B20*(1+NORMINV(RAND(),$C$6,$E$6))-MonthlyExp*12*(1+Inflation)^(1-1),0)</f>
        <v>20234746.2470135</v>
      </c>
      <c r="D20" s="32" t="n">
        <f aca="true">MAX(C20*(1+NORMINV(RAND(),$C$6,$E$6))-MonthlyExp*12*(1+Inflation)^(2-1),0)</f>
        <v>20374683.8757987</v>
      </c>
      <c r="E20" s="32" t="n">
        <f aca="true">MAX(D20*(1+NORMINV(RAND(),$C$6,$E$6))-MonthlyExp*12*(1+Inflation)^(3-1),0)</f>
        <v>21591100.8562641</v>
      </c>
      <c r="F20" s="32" t="n">
        <f aca="true">MAX(E20*(1+NORMINV(RAND(),$C$6,$E$6))-MonthlyExp*12*(1+Inflation)^(4-1),0)</f>
        <v>23038987.7327165</v>
      </c>
      <c r="G20" s="32" t="n">
        <f aca="true">MAX(F20*(1+NORMINV(RAND(),$C$6,$E$6))-MonthlyExp*12*(1+Inflation)^(5-1),0)</f>
        <v>26332623.5979572</v>
      </c>
      <c r="H20" s="32" t="n">
        <f aca="true">MAX(G20*(1+NORMINV(RAND(),$C$6,$E$6))-MonthlyExp*12*(1+Inflation)^(6-1),0)</f>
        <v>29589885.0376796</v>
      </c>
      <c r="I20" s="32" t="n">
        <f aca="true">MAX(H20*(1+NORMINV(RAND(),$C$6,$E$6))-MonthlyExp*12*(1+Inflation)^(7-1),0)</f>
        <v>30267032.3243213</v>
      </c>
      <c r="J20" s="32" t="n">
        <f aca="true">MAX(I20*(1+NORMINV(RAND(),$C$6,$E$6))-MonthlyExp*12*(1+Inflation)^(8-1),0)</f>
        <v>27990895.0007494</v>
      </c>
      <c r="K20" s="32" t="n">
        <f aca="true">MAX(J20*(1+NORMINV(RAND(),$C$6,$E$6))-MonthlyExp*12*(1+Inflation)^(9-1),0)</f>
        <v>27829189.037955</v>
      </c>
      <c r="L20" s="32" t="n">
        <f aca="true">MAX(K20*(1+NORMINV(RAND(),$C$6,$E$6))-MonthlyExp*12*(1+Inflation)^(10-1),0)</f>
        <v>30160507.102885</v>
      </c>
      <c r="M20" s="32" t="n">
        <f aca="true">MAX(L20*(1+NORMINV(RAND(),$C$6,$E$6))-MonthlyExp*12*(1+Inflation)^(11-1),0)</f>
        <v>27612047.2832277</v>
      </c>
      <c r="N20" s="32" t="n">
        <f aca="true">MAX(M20*(1+NORMINV(RAND(),$C$6,$E$6))-MonthlyExp*12*(1+Inflation)^(12-1),0)</f>
        <v>29318670.5041237</v>
      </c>
      <c r="O20" s="32" t="n">
        <f aca="true">MAX(N20*(1+NORMINV(RAND(),$C$6,$E$6))-MonthlyExp*12*(1+Inflation)^(13-1),0)</f>
        <v>28635336.6668058</v>
      </c>
      <c r="P20" s="32" t="n">
        <f aca="true">MAX(O20*(1+NORMINV(RAND(),$C$6,$E$6))-MonthlyExp*12*(1+Inflation)^(14-1),0)</f>
        <v>27503861.0967257</v>
      </c>
      <c r="Q20" s="32" t="n">
        <f aca="true">MAX(P20*(1+NORMINV(RAND(),$C$6,$E$6))-MonthlyExp*12*(1+Inflation)^(15-1),0)</f>
        <v>29495377.0431407</v>
      </c>
      <c r="R20" s="32" t="n">
        <f aca="true">MAX(Q20*(1+NORMINV(RAND(),$C$6,$E$6))-MonthlyExp*12*(1+Inflation)^(16-1),0)</f>
        <v>28977369.1214162</v>
      </c>
      <c r="S20" s="32" t="n">
        <f aca="true">MAX(R20*(1+NORMINV(RAND(),$C$6,$E$6))-MonthlyExp*12*(1+Inflation)^(17-1),0)</f>
        <v>27591314.2682424</v>
      </c>
      <c r="T20" s="32" t="n">
        <f aca="true">MAX(S20*(1+NORMINV(RAND(),$C$6,$E$6))-MonthlyExp*12*(1+Inflation)^(18-1),0)</f>
        <v>28794672.1729115</v>
      </c>
      <c r="U20" s="32" t="n">
        <f aca="true">MAX(T20*(1+NORMINV(RAND(),$C$6,$E$6))-MonthlyExp*12*(1+Inflation)^(19-1),0)</f>
        <v>30786272.6196112</v>
      </c>
      <c r="V20" s="32" t="n">
        <f aca="true">MAX(U20*(1+NORMINV(RAND(),$C$6,$E$6))-MonthlyExp*12*(1+Inflation)^(20-1),0)</f>
        <v>32888607.9163916</v>
      </c>
      <c r="W20" s="32" t="n">
        <f aca="true">MAX(V20*(1+NORMINV(RAND(),$C$6,$E$6))-MonthlyExp*12*(1+Inflation)^(21-1),0)</f>
        <v>35099231.0944518</v>
      </c>
      <c r="X20" s="32" t="n">
        <f aca="true">MAX(W20*(1+NORMINV(RAND(),$C$6,$E$6))-MonthlyExp*12*(1+Inflation)^(22-1),0)</f>
        <v>33835818.7994095</v>
      </c>
      <c r="Y20" s="32" t="n">
        <f aca="true">MAX(X20*(1+NORMINV(RAND(),$C$6,$E$6))-MonthlyExp*12*(1+Inflation)^(23-1),0)</f>
        <v>36009142.5575812</v>
      </c>
      <c r="Z20" s="32" t="n">
        <f aca="true">MAX(Y20*(1+NORMINV(RAND(),$C$6,$E$6))-MonthlyExp*12*(1+Inflation)^(24-1),0)</f>
        <v>34990115.0351165</v>
      </c>
      <c r="AA20" s="32" t="n">
        <f aca="true">MAX(Z20*(1+NORMINV(RAND(),$C$6,$E$6))-MonthlyExp*12*(1+Inflation)^(25-1),0)</f>
        <v>30914956.3229208</v>
      </c>
      <c r="AB20" s="32" t="n">
        <f aca="true">MAX(AA20*(1+NORMINV(RAND(),$C$6,$E$6))-MonthlyExp*12*(1+Inflation)^(26-1),0)</f>
        <v>27056790.0371072</v>
      </c>
      <c r="AC20" s="32" t="n">
        <f aca="true">MAX(AB20*(1+NORMINV(RAND(),$C$6,$E$6))-MonthlyExp*12*(1+Inflation)^(27-1),0)</f>
        <v>23833817.0039086</v>
      </c>
      <c r="AD20" s="32" t="n">
        <f aca="true">MAX(AC20*(1+NORMINV(RAND(),$C$6,$E$6))-MonthlyExp*12*(1+Inflation)^(28-1),0)</f>
        <v>22400869.422404</v>
      </c>
      <c r="AE20" s="32" t="n">
        <f aca="true">MAX(AD20*(1+NORMINV(RAND(),$C$6,$E$6))-MonthlyExp*12*(1+Inflation)^(29-1),0)</f>
        <v>23381398.7768488</v>
      </c>
      <c r="AF20" s="32" t="n">
        <f aca="true">MAX(AE20*(1+NORMINV(RAND(),$C$6,$E$6))-MonthlyExp*12*(1+Inflation)^(30-1),0)</f>
        <v>20451361.9792317</v>
      </c>
    </row>
    <row r="21" customFormat="false" ht="15" hidden="false" customHeight="false" outlineLevel="0" collapsed="false">
      <c r="A21" s="30" t="n">
        <v>13</v>
      </c>
      <c r="B21" s="31" t="n">
        <f aca="false">Corpus</f>
        <v>20000000</v>
      </c>
      <c r="C21" s="32" t="n">
        <f aca="true">MAX(B21*(1+NORMINV(RAND(),$C$6,$E$6))-MonthlyExp*12*(1+Inflation)^(1-1),0)</f>
        <v>22799239.7967689</v>
      </c>
      <c r="D21" s="32" t="n">
        <f aca="true">MAX(C21*(1+NORMINV(RAND(),$C$6,$E$6))-MonthlyExp*12*(1+Inflation)^(2-1),0)</f>
        <v>23220848.6461733</v>
      </c>
      <c r="E21" s="32" t="n">
        <f aca="true">MAX(D21*(1+NORMINV(RAND(),$C$6,$E$6))-MonthlyExp*12*(1+Inflation)^(3-1),0)</f>
        <v>25658580.0654454</v>
      </c>
      <c r="F21" s="32" t="n">
        <f aca="true">MAX(E21*(1+NORMINV(RAND(),$C$6,$E$6))-MonthlyExp*12*(1+Inflation)^(4-1),0)</f>
        <v>27384697.1789357</v>
      </c>
      <c r="G21" s="32" t="n">
        <f aca="true">MAX(F21*(1+NORMINV(RAND(),$C$6,$E$6))-MonthlyExp*12*(1+Inflation)^(5-1),0)</f>
        <v>26475604.4425047</v>
      </c>
      <c r="H21" s="32" t="n">
        <f aca="true">MAX(G21*(1+NORMINV(RAND(),$C$6,$E$6))-MonthlyExp*12*(1+Inflation)^(6-1),0)</f>
        <v>29273426.6110492</v>
      </c>
      <c r="I21" s="32" t="n">
        <f aca="true">MAX(H21*(1+NORMINV(RAND(),$C$6,$E$6))-MonthlyExp*12*(1+Inflation)^(7-1),0)</f>
        <v>32789347.9723115</v>
      </c>
      <c r="J21" s="32" t="n">
        <f aca="true">MAX(I21*(1+NORMINV(RAND(),$C$6,$E$6))-MonthlyExp*12*(1+Inflation)^(8-1),0)</f>
        <v>32784173.8629172</v>
      </c>
      <c r="K21" s="32" t="n">
        <f aca="true">MAX(J21*(1+NORMINV(RAND(),$C$6,$E$6))-MonthlyExp*12*(1+Inflation)^(9-1),0)</f>
        <v>34864846.7658742</v>
      </c>
      <c r="L21" s="32" t="n">
        <f aca="true">MAX(K21*(1+NORMINV(RAND(),$C$6,$E$6))-MonthlyExp*12*(1+Inflation)^(10-1),0)</f>
        <v>32913687.3666556</v>
      </c>
      <c r="M21" s="32" t="n">
        <f aca="true">MAX(L21*(1+NORMINV(RAND(),$C$6,$E$6))-MonthlyExp*12*(1+Inflation)^(11-1),0)</f>
        <v>35871938.1855941</v>
      </c>
      <c r="N21" s="32" t="n">
        <f aca="true">MAX(M21*(1+NORMINV(RAND(),$C$6,$E$6))-MonthlyExp*12*(1+Inflation)^(12-1),0)</f>
        <v>36978753.3329314</v>
      </c>
      <c r="O21" s="32" t="n">
        <f aca="true">MAX(N21*(1+NORMINV(RAND(),$C$6,$E$6))-MonthlyExp*12*(1+Inflation)^(13-1),0)</f>
        <v>41060282.8156644</v>
      </c>
      <c r="P21" s="32" t="n">
        <f aca="true">MAX(O21*(1+NORMINV(RAND(),$C$6,$E$6))-MonthlyExp*12*(1+Inflation)^(14-1),0)</f>
        <v>45856150.8710966</v>
      </c>
      <c r="Q21" s="32" t="n">
        <f aca="true">MAX(P21*(1+NORMINV(RAND(),$C$6,$E$6))-MonthlyExp*12*(1+Inflation)^(15-1),0)</f>
        <v>52144218.647457</v>
      </c>
      <c r="R21" s="32" t="n">
        <f aca="true">MAX(Q21*(1+NORMINV(RAND(),$C$6,$E$6))-MonthlyExp*12*(1+Inflation)^(16-1),0)</f>
        <v>50343276.8860628</v>
      </c>
      <c r="S21" s="32" t="n">
        <f aca="true">MAX(R21*(1+NORMINV(RAND(),$C$6,$E$6))-MonthlyExp*12*(1+Inflation)^(17-1),0)</f>
        <v>51273430.1653604</v>
      </c>
      <c r="T21" s="32" t="n">
        <f aca="true">MAX(S21*(1+NORMINV(RAND(),$C$6,$E$6))-MonthlyExp*12*(1+Inflation)^(18-1),0)</f>
        <v>59542731.323395</v>
      </c>
      <c r="U21" s="32" t="n">
        <f aca="true">MAX(T21*(1+NORMINV(RAND(),$C$6,$E$6))-MonthlyExp*12*(1+Inflation)^(19-1),0)</f>
        <v>69525327.2213185</v>
      </c>
      <c r="V21" s="32" t="n">
        <f aca="true">MAX(U21*(1+NORMINV(RAND(),$C$6,$E$6))-MonthlyExp*12*(1+Inflation)^(20-1),0)</f>
        <v>80769572.7939613</v>
      </c>
      <c r="W21" s="32" t="n">
        <f aca="true">MAX(V21*(1+NORMINV(RAND(),$C$6,$E$6))-MonthlyExp*12*(1+Inflation)^(21-1),0)</f>
        <v>88923179.2171707</v>
      </c>
      <c r="X21" s="32" t="n">
        <f aca="true">MAX(W21*(1+NORMINV(RAND(),$C$6,$E$6))-MonthlyExp*12*(1+Inflation)^(22-1),0)</f>
        <v>102106822.565568</v>
      </c>
      <c r="Y21" s="32" t="n">
        <f aca="true">MAX(X21*(1+NORMINV(RAND(),$C$6,$E$6))-MonthlyExp*12*(1+Inflation)^(23-1),0)</f>
        <v>105436335.077461</v>
      </c>
      <c r="Z21" s="32" t="n">
        <f aca="true">MAX(Y21*(1+NORMINV(RAND(),$C$6,$E$6))-MonthlyExp*12*(1+Inflation)^(24-1),0)</f>
        <v>108823580.044005</v>
      </c>
      <c r="AA21" s="32" t="n">
        <f aca="true">MAX(Z21*(1+NORMINV(RAND(),$C$6,$E$6))-MonthlyExp*12*(1+Inflation)^(25-1),0)</f>
        <v>121886533.392952</v>
      </c>
      <c r="AB21" s="32" t="n">
        <f aca="true">MAX(AA21*(1+NORMINV(RAND(),$C$6,$E$6))-MonthlyExp*12*(1+Inflation)^(26-1),0)</f>
        <v>131226402.119987</v>
      </c>
      <c r="AC21" s="32" t="n">
        <f aca="true">MAX(AB21*(1+NORMINV(RAND(),$C$6,$E$6))-MonthlyExp*12*(1+Inflation)^(27-1),0)</f>
        <v>138655806.782426</v>
      </c>
      <c r="AD21" s="32" t="n">
        <f aca="true">MAX(AC21*(1+NORMINV(RAND(),$C$6,$E$6))-MonthlyExp*12*(1+Inflation)^(28-1),0)</f>
        <v>140652858.899308</v>
      </c>
      <c r="AE21" s="32" t="n">
        <f aca="true">MAX(AD21*(1+NORMINV(RAND(),$C$6,$E$6))-MonthlyExp*12*(1+Inflation)^(29-1),0)</f>
        <v>162651494.045429</v>
      </c>
      <c r="AF21" s="32" t="n">
        <f aca="true">MAX(AE21*(1+NORMINV(RAND(),$C$6,$E$6))-MonthlyExp*12*(1+Inflation)^(30-1),0)</f>
        <v>183750571.698197</v>
      </c>
    </row>
    <row r="22" customFormat="false" ht="15" hidden="false" customHeight="false" outlineLevel="0" collapsed="false">
      <c r="A22" s="30" t="n">
        <v>14</v>
      </c>
      <c r="B22" s="31" t="n">
        <f aca="false">Corpus</f>
        <v>20000000</v>
      </c>
      <c r="C22" s="32" t="n">
        <f aca="true">MAX(B22*(1+NORMINV(RAND(),$C$6,$E$6))-MonthlyExp*12*(1+Inflation)^(1-1),0)</f>
        <v>20961808.5515114</v>
      </c>
      <c r="D22" s="32" t="n">
        <f aca="true">MAX(C22*(1+NORMINV(RAND(),$C$6,$E$6))-MonthlyExp*12*(1+Inflation)^(2-1),0)</f>
        <v>21752671.029959</v>
      </c>
      <c r="E22" s="32" t="n">
        <f aca="true">MAX(D22*(1+NORMINV(RAND(),$C$6,$E$6))-MonthlyExp*12*(1+Inflation)^(3-1),0)</f>
        <v>23615429.6589282</v>
      </c>
      <c r="F22" s="32" t="n">
        <f aca="true">MAX(E22*(1+NORMINV(RAND(),$C$6,$E$6))-MonthlyExp*12*(1+Inflation)^(4-1),0)</f>
        <v>26408315.7639189</v>
      </c>
      <c r="G22" s="32" t="n">
        <f aca="true">MAX(F22*(1+NORMINV(RAND(),$C$6,$E$6))-MonthlyExp*12*(1+Inflation)^(5-1),0)</f>
        <v>22614634.3107804</v>
      </c>
      <c r="H22" s="32" t="n">
        <f aca="true">MAX(G22*(1+NORMINV(RAND(),$C$6,$E$6))-MonthlyExp*12*(1+Inflation)^(6-1),0)</f>
        <v>22227197.4204298</v>
      </c>
      <c r="I22" s="32" t="n">
        <f aca="true">MAX(H22*(1+NORMINV(RAND(),$C$6,$E$6))-MonthlyExp*12*(1+Inflation)^(7-1),0)</f>
        <v>24256872.8561164</v>
      </c>
      <c r="J22" s="32" t="n">
        <f aca="true">MAX(I22*(1+NORMINV(RAND(),$C$6,$E$6))-MonthlyExp*12*(1+Inflation)^(8-1),0)</f>
        <v>25975220.3556612</v>
      </c>
      <c r="K22" s="32" t="n">
        <f aca="true">MAX(J22*(1+NORMINV(RAND(),$C$6,$E$6))-MonthlyExp*12*(1+Inflation)^(9-1),0)</f>
        <v>27780915.2762129</v>
      </c>
      <c r="L22" s="32" t="n">
        <f aca="true">MAX(K22*(1+NORMINV(RAND(),$C$6,$E$6))-MonthlyExp*12*(1+Inflation)^(10-1),0)</f>
        <v>30991568.6504216</v>
      </c>
      <c r="M22" s="32" t="n">
        <f aca="true">MAX(L22*(1+NORMINV(RAND(),$C$6,$E$6))-MonthlyExp*12*(1+Inflation)^(11-1),0)</f>
        <v>33470998.1139082</v>
      </c>
      <c r="N22" s="32" t="n">
        <f aca="true">MAX(M22*(1+NORMINV(RAND(),$C$6,$E$6))-MonthlyExp*12*(1+Inflation)^(12-1),0)</f>
        <v>36635016.4193813</v>
      </c>
      <c r="O22" s="32" t="n">
        <f aca="true">MAX(N22*(1+NORMINV(RAND(),$C$6,$E$6))-MonthlyExp*12*(1+Inflation)^(13-1),0)</f>
        <v>36008444.5284682</v>
      </c>
      <c r="P22" s="32" t="n">
        <f aca="true">MAX(O22*(1+NORMINV(RAND(),$C$6,$E$6))-MonthlyExp*12*(1+Inflation)^(14-1),0)</f>
        <v>39559277.2011723</v>
      </c>
      <c r="Q22" s="32" t="n">
        <f aca="true">MAX(P22*(1+NORMINV(RAND(),$C$6,$E$6))-MonthlyExp*12*(1+Inflation)^(15-1),0)</f>
        <v>41406800.0249041</v>
      </c>
      <c r="R22" s="32" t="n">
        <f aca="true">MAX(Q22*(1+NORMINV(RAND(),$C$6,$E$6))-MonthlyExp*12*(1+Inflation)^(16-1),0)</f>
        <v>37875581.2098796</v>
      </c>
      <c r="S22" s="32" t="n">
        <f aca="true">MAX(R22*(1+NORMINV(RAND(),$C$6,$E$6))-MonthlyExp*12*(1+Inflation)^(17-1),0)</f>
        <v>46099193.3898285</v>
      </c>
      <c r="T22" s="32" t="n">
        <f aca="true">MAX(S22*(1+NORMINV(RAND(),$C$6,$E$6))-MonthlyExp*12*(1+Inflation)^(18-1),0)</f>
        <v>40894855.865746</v>
      </c>
      <c r="U22" s="32" t="n">
        <f aca="true">MAX(T22*(1+NORMINV(RAND(),$C$6,$E$6))-MonthlyExp*12*(1+Inflation)^(19-1),0)</f>
        <v>42917662.1749768</v>
      </c>
      <c r="V22" s="32" t="n">
        <f aca="true">MAX(U22*(1+NORMINV(RAND(),$C$6,$E$6))-MonthlyExp*12*(1+Inflation)^(20-1),0)</f>
        <v>48150859.3391373</v>
      </c>
      <c r="W22" s="32" t="n">
        <f aca="true">MAX(V22*(1+NORMINV(RAND(),$C$6,$E$6))-MonthlyExp*12*(1+Inflation)^(21-1),0)</f>
        <v>51670696.4729251</v>
      </c>
      <c r="X22" s="32" t="n">
        <f aca="true">MAX(W22*(1+NORMINV(RAND(),$C$6,$E$6))-MonthlyExp*12*(1+Inflation)^(22-1),0)</f>
        <v>57080552.3723423</v>
      </c>
      <c r="Y22" s="32" t="n">
        <f aca="true">MAX(X22*(1+NORMINV(RAND(),$C$6,$E$6))-MonthlyExp*12*(1+Inflation)^(23-1),0)</f>
        <v>57347050.8527444</v>
      </c>
      <c r="Z22" s="32" t="n">
        <f aca="true">MAX(Y22*(1+NORMINV(RAND(),$C$6,$E$6))-MonthlyExp*12*(1+Inflation)^(24-1),0)</f>
        <v>56591361.6165892</v>
      </c>
      <c r="AA22" s="32" t="n">
        <f aca="true">MAX(Z22*(1+NORMINV(RAND(),$C$6,$E$6))-MonthlyExp*12*(1+Inflation)^(25-1),0)</f>
        <v>66930714.4232812</v>
      </c>
      <c r="AB22" s="32" t="n">
        <f aca="true">MAX(AA22*(1+NORMINV(RAND(),$C$6,$E$6))-MonthlyExp*12*(1+Inflation)^(26-1),0)</f>
        <v>77141598.4029401</v>
      </c>
      <c r="AC22" s="32" t="n">
        <f aca="true">MAX(AB22*(1+NORMINV(RAND(),$C$6,$E$6))-MonthlyExp*12*(1+Inflation)^(27-1),0)</f>
        <v>77234379.5579548</v>
      </c>
      <c r="AD22" s="32" t="n">
        <f aca="true">MAX(AC22*(1+NORMINV(RAND(),$C$6,$E$6))-MonthlyExp*12*(1+Inflation)^(28-1),0)</f>
        <v>71742762.6106291</v>
      </c>
      <c r="AE22" s="32" t="n">
        <f aca="true">MAX(AD22*(1+NORMINV(RAND(),$C$6,$E$6))-MonthlyExp*12*(1+Inflation)^(29-1),0)</f>
        <v>85131304.1343149</v>
      </c>
      <c r="AF22" s="32" t="n">
        <f aca="true">MAX(AE22*(1+NORMINV(RAND(),$C$6,$E$6))-MonthlyExp*12*(1+Inflation)^(30-1),0)</f>
        <v>77709724.2796908</v>
      </c>
    </row>
    <row r="23" customFormat="false" ht="15" hidden="false" customHeight="false" outlineLevel="0" collapsed="false">
      <c r="A23" s="30" t="n">
        <v>15</v>
      </c>
      <c r="B23" s="31" t="n">
        <f aca="false">Corpus</f>
        <v>20000000</v>
      </c>
      <c r="C23" s="32" t="n">
        <f aca="true">MAX(B23*(1+NORMINV(RAND(),$C$6,$E$6))-MonthlyExp*12*(1+Inflation)^(1-1),0)</f>
        <v>21264480.9403368</v>
      </c>
      <c r="D23" s="32" t="n">
        <f aca="true">MAX(C23*(1+NORMINV(RAND(),$C$6,$E$6))-MonthlyExp*12*(1+Inflation)^(2-1),0)</f>
        <v>23134979.9700091</v>
      </c>
      <c r="E23" s="32" t="n">
        <f aca="true">MAX(D23*(1+NORMINV(RAND(),$C$6,$E$6))-MonthlyExp*12*(1+Inflation)^(3-1),0)</f>
        <v>22675961.9001361</v>
      </c>
      <c r="F23" s="32" t="n">
        <f aca="true">MAX(E23*(1+NORMINV(RAND(),$C$6,$E$6))-MonthlyExp*12*(1+Inflation)^(4-1),0)</f>
        <v>24989986.3648669</v>
      </c>
      <c r="G23" s="32" t="n">
        <f aca="true">MAX(F23*(1+NORMINV(RAND(),$C$6,$E$6))-MonthlyExp*12*(1+Inflation)^(5-1),0)</f>
        <v>24989807.0868201</v>
      </c>
      <c r="H23" s="32" t="n">
        <f aca="true">MAX(G23*(1+NORMINV(RAND(),$C$6,$E$6))-MonthlyExp*12*(1+Inflation)^(6-1),0)</f>
        <v>27225905.5503728</v>
      </c>
      <c r="I23" s="32" t="n">
        <f aca="true">MAX(H23*(1+NORMINV(RAND(),$C$6,$E$6))-MonthlyExp*12*(1+Inflation)^(7-1),0)</f>
        <v>27677244.042736</v>
      </c>
      <c r="J23" s="32" t="n">
        <f aca="true">MAX(I23*(1+NORMINV(RAND(),$C$6,$E$6))-MonthlyExp*12*(1+Inflation)^(8-1),0)</f>
        <v>25121726.7630017</v>
      </c>
      <c r="K23" s="32" t="n">
        <f aca="true">MAX(J23*(1+NORMINV(RAND(),$C$6,$E$6))-MonthlyExp*12*(1+Inflation)^(9-1),0)</f>
        <v>28593433.6719235</v>
      </c>
      <c r="L23" s="32" t="n">
        <f aca="true">MAX(K23*(1+NORMINV(RAND(),$C$6,$E$6))-MonthlyExp*12*(1+Inflation)^(10-1),0)</f>
        <v>31995349.7821509</v>
      </c>
      <c r="M23" s="32" t="n">
        <f aca="true">MAX(L23*(1+NORMINV(RAND(),$C$6,$E$6))-MonthlyExp*12*(1+Inflation)^(11-1),0)</f>
        <v>37953976.2113838</v>
      </c>
      <c r="N23" s="32" t="n">
        <f aca="true">MAX(M23*(1+NORMINV(RAND(),$C$6,$E$6))-MonthlyExp*12*(1+Inflation)^(12-1),0)</f>
        <v>43596130.0148167</v>
      </c>
      <c r="O23" s="32" t="n">
        <f aca="true">MAX(N23*(1+NORMINV(RAND(),$C$6,$E$6))-MonthlyExp*12*(1+Inflation)^(13-1),0)</f>
        <v>41219780.789871</v>
      </c>
      <c r="P23" s="32" t="n">
        <f aca="true">MAX(O23*(1+NORMINV(RAND(),$C$6,$E$6))-MonthlyExp*12*(1+Inflation)^(14-1),0)</f>
        <v>39936319.800394</v>
      </c>
      <c r="Q23" s="32" t="n">
        <f aca="true">MAX(P23*(1+NORMINV(RAND(),$C$6,$E$6))-MonthlyExp*12*(1+Inflation)^(15-1),0)</f>
        <v>41679199.6814199</v>
      </c>
      <c r="R23" s="32" t="n">
        <f aca="true">MAX(Q23*(1+NORMINV(RAND(),$C$6,$E$6))-MonthlyExp*12*(1+Inflation)^(16-1),0)</f>
        <v>45233298.0549084</v>
      </c>
      <c r="S23" s="32" t="n">
        <f aca="true">MAX(R23*(1+NORMINV(RAND(),$C$6,$E$6))-MonthlyExp*12*(1+Inflation)^(17-1),0)</f>
        <v>48627449.7135484</v>
      </c>
      <c r="T23" s="32" t="n">
        <f aca="true">MAX(S23*(1+NORMINV(RAND(),$C$6,$E$6))-MonthlyExp*12*(1+Inflation)^(18-1),0)</f>
        <v>51580480.2957963</v>
      </c>
      <c r="U23" s="32" t="n">
        <f aca="true">MAX(T23*(1+NORMINV(RAND(),$C$6,$E$6))-MonthlyExp*12*(1+Inflation)^(19-1),0)</f>
        <v>51885084.3812437</v>
      </c>
      <c r="V23" s="32" t="n">
        <f aca="true">MAX(U23*(1+NORMINV(RAND(),$C$6,$E$6))-MonthlyExp*12*(1+Inflation)^(20-1),0)</f>
        <v>55761597.1092494</v>
      </c>
      <c r="W23" s="32" t="n">
        <f aca="true">MAX(V23*(1+NORMINV(RAND(),$C$6,$E$6))-MonthlyExp*12*(1+Inflation)^(21-1),0)</f>
        <v>52746438.348936</v>
      </c>
      <c r="X23" s="32" t="n">
        <f aca="true">MAX(W23*(1+NORMINV(RAND(),$C$6,$E$6))-MonthlyExp*12*(1+Inflation)^(22-1),0)</f>
        <v>57999456.9417247</v>
      </c>
      <c r="Y23" s="32" t="n">
        <f aca="true">MAX(X23*(1+NORMINV(RAND(),$C$6,$E$6))-MonthlyExp*12*(1+Inflation)^(23-1),0)</f>
        <v>54330684.6032482</v>
      </c>
      <c r="Z23" s="32" t="n">
        <f aca="true">MAX(Y23*(1+NORMINV(RAND(),$C$6,$E$6))-MonthlyExp*12*(1+Inflation)^(24-1),0)</f>
        <v>57937562.3784399</v>
      </c>
      <c r="AA23" s="32" t="n">
        <f aca="true">MAX(Z23*(1+NORMINV(RAND(),$C$6,$E$6))-MonthlyExp*12*(1+Inflation)^(25-1),0)</f>
        <v>54142766.9717387</v>
      </c>
      <c r="AB23" s="32" t="n">
        <f aca="true">MAX(AA23*(1+NORMINV(RAND(),$C$6,$E$6))-MonthlyExp*12*(1+Inflation)^(26-1),0)</f>
        <v>58723011.9537601</v>
      </c>
      <c r="AC23" s="32" t="n">
        <f aca="true">MAX(AB23*(1+NORMINV(RAND(),$C$6,$E$6))-MonthlyExp*12*(1+Inflation)^(27-1),0)</f>
        <v>56253123.8504063</v>
      </c>
      <c r="AD23" s="32" t="n">
        <f aca="true">MAX(AC23*(1+NORMINV(RAND(),$C$6,$E$6))-MonthlyExp*12*(1+Inflation)^(28-1),0)</f>
        <v>61390040.5356184</v>
      </c>
      <c r="AE23" s="32" t="n">
        <f aca="true">MAX(AD23*(1+NORMINV(RAND(),$C$6,$E$6))-MonthlyExp*12*(1+Inflation)^(29-1),0)</f>
        <v>67570293.6473286</v>
      </c>
      <c r="AF23" s="32" t="n">
        <f aca="true">MAX(AE23*(1+NORMINV(RAND(),$C$6,$E$6))-MonthlyExp*12*(1+Inflation)^(30-1),0)</f>
        <v>65138998.9321411</v>
      </c>
    </row>
    <row r="24" customFormat="false" ht="15" hidden="false" customHeight="false" outlineLevel="0" collapsed="false">
      <c r="A24" s="30" t="n">
        <v>16</v>
      </c>
      <c r="B24" s="31" t="n">
        <f aca="false">Corpus</f>
        <v>20000000</v>
      </c>
      <c r="C24" s="32" t="n">
        <f aca="true">MAX(B24*(1+NORMINV(RAND(),$C$6,$E$6))-MonthlyExp*12*(1+Inflation)^(1-1),0)</f>
        <v>25252308.7829191</v>
      </c>
      <c r="D24" s="32" t="n">
        <f aca="true">MAX(C24*(1+NORMINV(RAND(),$C$6,$E$6))-MonthlyExp*12*(1+Inflation)^(2-1),0)</f>
        <v>28348867.5585033</v>
      </c>
      <c r="E24" s="32" t="n">
        <f aca="true">MAX(D24*(1+NORMINV(RAND(),$C$6,$E$6))-MonthlyExp*12*(1+Inflation)^(3-1),0)</f>
        <v>27103654.9937251</v>
      </c>
      <c r="F24" s="32" t="n">
        <f aca="true">MAX(E24*(1+NORMINV(RAND(),$C$6,$E$6))-MonthlyExp*12*(1+Inflation)^(4-1),0)</f>
        <v>30437219.2734918</v>
      </c>
      <c r="G24" s="32" t="n">
        <f aca="true">MAX(F24*(1+NORMINV(RAND(),$C$6,$E$6))-MonthlyExp*12*(1+Inflation)^(5-1),0)</f>
        <v>33444990.7611696</v>
      </c>
      <c r="H24" s="32" t="n">
        <f aca="true">MAX(G24*(1+NORMINV(RAND(),$C$6,$E$6))-MonthlyExp*12*(1+Inflation)^(6-1),0)</f>
        <v>30314141.3548685</v>
      </c>
      <c r="I24" s="32" t="n">
        <f aca="true">MAX(H24*(1+NORMINV(RAND(),$C$6,$E$6))-MonthlyExp*12*(1+Inflation)^(7-1),0)</f>
        <v>31474801.5472175</v>
      </c>
      <c r="J24" s="32" t="n">
        <f aca="true">MAX(I24*(1+NORMINV(RAND(),$C$6,$E$6))-MonthlyExp*12*(1+Inflation)^(8-1),0)</f>
        <v>36683842.6849419</v>
      </c>
      <c r="K24" s="32" t="n">
        <f aca="true">MAX(J24*(1+NORMINV(RAND(),$C$6,$E$6))-MonthlyExp*12*(1+Inflation)^(9-1),0)</f>
        <v>42739959.9229899</v>
      </c>
      <c r="L24" s="32" t="n">
        <f aca="true">MAX(K24*(1+NORMINV(RAND(),$C$6,$E$6))-MonthlyExp*12*(1+Inflation)^(10-1),0)</f>
        <v>41918141.5715769</v>
      </c>
      <c r="M24" s="32" t="n">
        <f aca="true">MAX(L24*(1+NORMINV(RAND(),$C$6,$E$6))-MonthlyExp*12*(1+Inflation)^(11-1),0)</f>
        <v>46433114.3917868</v>
      </c>
      <c r="N24" s="32" t="n">
        <f aca="true">MAX(M24*(1+NORMINV(RAND(),$C$6,$E$6))-MonthlyExp*12*(1+Inflation)^(12-1),0)</f>
        <v>45204570.6836149</v>
      </c>
      <c r="O24" s="32" t="n">
        <f aca="true">MAX(N24*(1+NORMINV(RAND(),$C$6,$E$6))-MonthlyExp*12*(1+Inflation)^(13-1),0)</f>
        <v>38960015.1538126</v>
      </c>
      <c r="P24" s="32" t="n">
        <f aca="true">MAX(O24*(1+NORMINV(RAND(),$C$6,$E$6))-MonthlyExp*12*(1+Inflation)^(14-1),0)</f>
        <v>38949546.6045799</v>
      </c>
      <c r="Q24" s="32" t="n">
        <f aca="true">MAX(P24*(1+NORMINV(RAND(),$C$6,$E$6))-MonthlyExp*12*(1+Inflation)^(15-1),0)</f>
        <v>39219522.0411181</v>
      </c>
      <c r="R24" s="32" t="n">
        <f aca="true">MAX(Q24*(1+NORMINV(RAND(),$C$6,$E$6))-MonthlyExp*12*(1+Inflation)^(16-1),0)</f>
        <v>40094959.6131474</v>
      </c>
      <c r="S24" s="32" t="n">
        <f aca="true">MAX(R24*(1+NORMINV(RAND(),$C$6,$E$6))-MonthlyExp*12*(1+Inflation)^(17-1),0)</f>
        <v>44638946.1628178</v>
      </c>
      <c r="T24" s="32" t="n">
        <f aca="true">MAX(S24*(1+NORMINV(RAND(),$C$6,$E$6))-MonthlyExp*12*(1+Inflation)^(18-1),0)</f>
        <v>41206195.2435254</v>
      </c>
      <c r="U24" s="32" t="n">
        <f aca="true">MAX(T24*(1+NORMINV(RAND(),$C$6,$E$6))-MonthlyExp*12*(1+Inflation)^(19-1),0)</f>
        <v>41548101.7353693</v>
      </c>
      <c r="V24" s="32" t="n">
        <f aca="true">MAX(U24*(1+NORMINV(RAND(),$C$6,$E$6))-MonthlyExp*12*(1+Inflation)^(20-1),0)</f>
        <v>41080183.3345241</v>
      </c>
      <c r="W24" s="32" t="n">
        <f aca="true">MAX(V24*(1+NORMINV(RAND(),$C$6,$E$6))-MonthlyExp*12*(1+Inflation)^(21-1),0)</f>
        <v>38452374.8426596</v>
      </c>
      <c r="X24" s="32" t="n">
        <f aca="true">MAX(W24*(1+NORMINV(RAND(),$C$6,$E$6))-MonthlyExp*12*(1+Inflation)^(22-1),0)</f>
        <v>32776214.6275695</v>
      </c>
      <c r="Y24" s="32" t="n">
        <f aca="true">MAX(X24*(1+NORMINV(RAND(),$C$6,$E$6))-MonthlyExp*12*(1+Inflation)^(23-1),0)</f>
        <v>36310101.1264005</v>
      </c>
      <c r="Z24" s="32" t="n">
        <f aca="true">MAX(Y24*(1+NORMINV(RAND(),$C$6,$E$6))-MonthlyExp*12*(1+Inflation)^(24-1),0)</f>
        <v>39314665.5795927</v>
      </c>
      <c r="AA24" s="32" t="n">
        <f aca="true">MAX(Z24*(1+NORMINV(RAND(),$C$6,$E$6))-MonthlyExp*12*(1+Inflation)^(25-1),0)</f>
        <v>43867502.2878019</v>
      </c>
      <c r="AB24" s="32" t="n">
        <f aca="true">MAX(AA24*(1+NORMINV(RAND(),$C$6,$E$6))-MonthlyExp*12*(1+Inflation)^(26-1),0)</f>
        <v>41609252.3908288</v>
      </c>
      <c r="AC24" s="32" t="n">
        <f aca="true">MAX(AB24*(1+NORMINV(RAND(),$C$6,$E$6))-MonthlyExp*12*(1+Inflation)^(27-1),0)</f>
        <v>34904856.5063711</v>
      </c>
      <c r="AD24" s="32" t="n">
        <f aca="true">MAX(AC24*(1+NORMINV(RAND(),$C$6,$E$6))-MonthlyExp*12*(1+Inflation)^(28-1),0)</f>
        <v>33746350.0095005</v>
      </c>
      <c r="AE24" s="32" t="n">
        <f aca="true">MAX(AD24*(1+NORMINV(RAND(),$C$6,$E$6))-MonthlyExp*12*(1+Inflation)^(29-1),0)</f>
        <v>31129300.1050812</v>
      </c>
      <c r="AF24" s="32" t="n">
        <f aca="true">MAX(AE24*(1+NORMINV(RAND(),$C$6,$E$6))-MonthlyExp*12*(1+Inflation)^(30-1),0)</f>
        <v>29093340.325315</v>
      </c>
    </row>
    <row r="25" customFormat="false" ht="15" hidden="false" customHeight="false" outlineLevel="0" collapsed="false">
      <c r="A25" s="30" t="n">
        <v>17</v>
      </c>
      <c r="B25" s="31" t="n">
        <f aca="false">Corpus</f>
        <v>20000000</v>
      </c>
      <c r="C25" s="32" t="n">
        <f aca="true">MAX(B25*(1+NORMINV(RAND(),$C$6,$E$6))-MonthlyExp*12*(1+Inflation)^(1-1),0)</f>
        <v>20498346.3185604</v>
      </c>
      <c r="D25" s="32" t="n">
        <f aca="true">MAX(C25*(1+NORMINV(RAND(),$C$6,$E$6))-MonthlyExp*12*(1+Inflation)^(2-1),0)</f>
        <v>24177163.5734178</v>
      </c>
      <c r="E25" s="32" t="n">
        <f aca="true">MAX(D25*(1+NORMINV(RAND(),$C$6,$E$6))-MonthlyExp*12*(1+Inflation)^(3-1),0)</f>
        <v>24124842.9658504</v>
      </c>
      <c r="F25" s="32" t="n">
        <f aca="true">MAX(E25*(1+NORMINV(RAND(),$C$6,$E$6))-MonthlyExp*12*(1+Inflation)^(4-1),0)</f>
        <v>27288150.2243876</v>
      </c>
      <c r="G25" s="32" t="n">
        <f aca="true">MAX(F25*(1+NORMINV(RAND(),$C$6,$E$6))-MonthlyExp*12*(1+Inflation)^(5-1),0)</f>
        <v>24693698.4032251</v>
      </c>
      <c r="H25" s="32" t="n">
        <f aca="true">MAX(G25*(1+NORMINV(RAND(),$C$6,$E$6))-MonthlyExp*12*(1+Inflation)^(6-1),0)</f>
        <v>28478227.0949898</v>
      </c>
      <c r="I25" s="32" t="n">
        <f aca="true">MAX(H25*(1+NORMINV(RAND(),$C$6,$E$6))-MonthlyExp*12*(1+Inflation)^(7-1),0)</f>
        <v>34136339.0789206</v>
      </c>
      <c r="J25" s="32" t="n">
        <f aca="true">MAX(I25*(1+NORMINV(RAND(),$C$6,$E$6))-MonthlyExp*12*(1+Inflation)^(8-1),0)</f>
        <v>38272465.4242592</v>
      </c>
      <c r="K25" s="32" t="n">
        <f aca="true">MAX(J25*(1+NORMINV(RAND(),$C$6,$E$6))-MonthlyExp*12*(1+Inflation)^(9-1),0)</f>
        <v>41352761.4665263</v>
      </c>
      <c r="L25" s="32" t="n">
        <f aca="true">MAX(K25*(1+NORMINV(RAND(),$C$6,$E$6))-MonthlyExp*12*(1+Inflation)^(10-1),0)</f>
        <v>46165447.3908407</v>
      </c>
      <c r="M25" s="32" t="n">
        <f aca="true">MAX(L25*(1+NORMINV(RAND(),$C$6,$E$6))-MonthlyExp*12*(1+Inflation)^(11-1),0)</f>
        <v>51297622.4015903</v>
      </c>
      <c r="N25" s="32" t="n">
        <f aca="true">MAX(M25*(1+NORMINV(RAND(),$C$6,$E$6))-MonthlyExp*12*(1+Inflation)^(12-1),0)</f>
        <v>53722004.9561248</v>
      </c>
      <c r="O25" s="32" t="n">
        <f aca="true">MAX(N25*(1+NORMINV(RAND(),$C$6,$E$6))-MonthlyExp*12*(1+Inflation)^(13-1),0)</f>
        <v>58983759.3024167</v>
      </c>
      <c r="P25" s="32" t="n">
        <f aca="true">MAX(O25*(1+NORMINV(RAND(),$C$6,$E$6))-MonthlyExp*12*(1+Inflation)^(14-1),0)</f>
        <v>65993911.2506277</v>
      </c>
      <c r="Q25" s="32" t="n">
        <f aca="true">MAX(P25*(1+NORMINV(RAND(),$C$6,$E$6))-MonthlyExp*12*(1+Inflation)^(15-1),0)</f>
        <v>68761107.6780711</v>
      </c>
      <c r="R25" s="32" t="n">
        <f aca="true">MAX(Q25*(1+NORMINV(RAND(),$C$6,$E$6))-MonthlyExp*12*(1+Inflation)^(16-1),0)</f>
        <v>75073628.6356958</v>
      </c>
      <c r="S25" s="32" t="n">
        <f aca="true">MAX(R25*(1+NORMINV(RAND(),$C$6,$E$6))-MonthlyExp*12*(1+Inflation)^(17-1),0)</f>
        <v>75335869.1008983</v>
      </c>
      <c r="T25" s="32" t="n">
        <f aca="true">MAX(S25*(1+NORMINV(RAND(),$C$6,$E$6))-MonthlyExp*12*(1+Inflation)^(18-1),0)</f>
        <v>76386910.3351691</v>
      </c>
      <c r="U25" s="32" t="n">
        <f aca="true">MAX(T25*(1+NORMINV(RAND(),$C$6,$E$6))-MonthlyExp*12*(1+Inflation)^(19-1),0)</f>
        <v>83570943.8729737</v>
      </c>
      <c r="V25" s="32" t="n">
        <f aca="true">MAX(U25*(1+NORMINV(RAND(),$C$6,$E$6))-MonthlyExp*12*(1+Inflation)^(20-1),0)</f>
        <v>92361305.3742058</v>
      </c>
      <c r="W25" s="32" t="n">
        <f aca="true">MAX(V25*(1+NORMINV(RAND(),$C$6,$E$6))-MonthlyExp*12*(1+Inflation)^(21-1),0)</f>
        <v>107641062.04955</v>
      </c>
      <c r="X25" s="32" t="n">
        <f aca="true">MAX(W25*(1+NORMINV(RAND(),$C$6,$E$6))-MonthlyExp*12*(1+Inflation)^(22-1),0)</f>
        <v>123850983.990889</v>
      </c>
      <c r="Y25" s="32" t="n">
        <f aca="true">MAX(X25*(1+NORMINV(RAND(),$C$6,$E$6))-MonthlyExp*12*(1+Inflation)^(23-1),0)</f>
        <v>115978037.110376</v>
      </c>
      <c r="Z25" s="32" t="n">
        <f aca="true">MAX(Y25*(1+NORMINV(RAND(),$C$6,$E$6))-MonthlyExp*12*(1+Inflation)^(24-1),0)</f>
        <v>126639255.817961</v>
      </c>
      <c r="AA25" s="32" t="n">
        <f aca="true">MAX(Z25*(1+NORMINV(RAND(),$C$6,$E$6))-MonthlyExp*12*(1+Inflation)^(25-1),0)</f>
        <v>140471954.765754</v>
      </c>
      <c r="AB25" s="32" t="n">
        <f aca="true">MAX(AA25*(1+NORMINV(RAND(),$C$6,$E$6))-MonthlyExp*12*(1+Inflation)^(26-1),0)</f>
        <v>170844966.795818</v>
      </c>
      <c r="AC25" s="32" t="n">
        <f aca="true">MAX(AB25*(1+NORMINV(RAND(),$C$6,$E$6))-MonthlyExp*12*(1+Inflation)^(27-1),0)</f>
        <v>181895228.163941</v>
      </c>
      <c r="AD25" s="32" t="n">
        <f aca="true">MAX(AC25*(1+NORMINV(RAND(),$C$6,$E$6))-MonthlyExp*12*(1+Inflation)^(28-1),0)</f>
        <v>214280030.927737</v>
      </c>
      <c r="AE25" s="32" t="n">
        <f aca="true">MAX(AD25*(1+NORMINV(RAND(),$C$6,$E$6))-MonthlyExp*12*(1+Inflation)^(29-1),0)</f>
        <v>220107356.070696</v>
      </c>
      <c r="AF25" s="32" t="n">
        <f aca="true">MAX(AE25*(1+NORMINV(RAND(),$C$6,$E$6))-MonthlyExp*12*(1+Inflation)^(30-1),0)</f>
        <v>244865886.642929</v>
      </c>
    </row>
    <row r="26" customFormat="false" ht="15" hidden="false" customHeight="false" outlineLevel="0" collapsed="false">
      <c r="A26" s="30" t="n">
        <v>18</v>
      </c>
      <c r="B26" s="31" t="n">
        <f aca="false">Corpus</f>
        <v>20000000</v>
      </c>
      <c r="C26" s="32" t="n">
        <f aca="true">MAX(B26*(1+NORMINV(RAND(),$C$6,$E$6))-MonthlyExp*12*(1+Inflation)^(1-1),0)</f>
        <v>19380238.2554293</v>
      </c>
      <c r="D26" s="32" t="n">
        <f aca="true">MAX(C26*(1+NORMINV(RAND(),$C$6,$E$6))-MonthlyExp*12*(1+Inflation)^(2-1),0)</f>
        <v>19799315.7455394</v>
      </c>
      <c r="E26" s="32" t="n">
        <f aca="true">MAX(D26*(1+NORMINV(RAND(),$C$6,$E$6))-MonthlyExp*12*(1+Inflation)^(3-1),0)</f>
        <v>22197871.485767</v>
      </c>
      <c r="F26" s="32" t="n">
        <f aca="true">MAX(E26*(1+NORMINV(RAND(),$C$6,$E$6))-MonthlyExp*12*(1+Inflation)^(4-1),0)</f>
        <v>25969325.438743</v>
      </c>
      <c r="G26" s="32" t="n">
        <f aca="true">MAX(F26*(1+NORMINV(RAND(),$C$6,$E$6))-MonthlyExp*12*(1+Inflation)^(5-1),0)</f>
        <v>28506726.3209973</v>
      </c>
      <c r="H26" s="32" t="n">
        <f aca="true">MAX(G26*(1+NORMINV(RAND(),$C$6,$E$6))-MonthlyExp*12*(1+Inflation)^(6-1),0)</f>
        <v>25509086.7360745</v>
      </c>
      <c r="I26" s="32" t="n">
        <f aca="true">MAX(H26*(1+NORMINV(RAND(),$C$6,$E$6))-MonthlyExp*12*(1+Inflation)^(7-1),0)</f>
        <v>29397435.7098482</v>
      </c>
      <c r="J26" s="32" t="n">
        <f aca="true">MAX(I26*(1+NORMINV(RAND(),$C$6,$E$6))-MonthlyExp*12*(1+Inflation)^(8-1),0)</f>
        <v>32927860.275202</v>
      </c>
      <c r="K26" s="32" t="n">
        <f aca="true">MAX(J26*(1+NORMINV(RAND(),$C$6,$E$6))-MonthlyExp*12*(1+Inflation)^(9-1),0)</f>
        <v>36387304.1716935</v>
      </c>
      <c r="L26" s="32" t="n">
        <f aca="true">MAX(K26*(1+NORMINV(RAND(),$C$6,$E$6))-MonthlyExp*12*(1+Inflation)^(10-1),0)</f>
        <v>34243921.8109593</v>
      </c>
      <c r="M26" s="32" t="n">
        <f aca="true">MAX(L26*(1+NORMINV(RAND(),$C$6,$E$6))-MonthlyExp*12*(1+Inflation)^(11-1),0)</f>
        <v>36471758.5624801</v>
      </c>
      <c r="N26" s="32" t="n">
        <f aca="true">MAX(M26*(1+NORMINV(RAND(),$C$6,$E$6))-MonthlyExp*12*(1+Inflation)^(12-1),0)</f>
        <v>39937902.8404352</v>
      </c>
      <c r="O26" s="32" t="n">
        <f aca="true">MAX(N26*(1+NORMINV(RAND(),$C$6,$E$6))-MonthlyExp*12*(1+Inflation)^(13-1),0)</f>
        <v>39121522.3126424</v>
      </c>
      <c r="P26" s="32" t="n">
        <f aca="true">MAX(O26*(1+NORMINV(RAND(),$C$6,$E$6))-MonthlyExp*12*(1+Inflation)^(14-1),0)</f>
        <v>44956283.6450799</v>
      </c>
      <c r="Q26" s="32" t="n">
        <f aca="true">MAX(P26*(1+NORMINV(RAND(),$C$6,$E$6))-MonthlyExp*12*(1+Inflation)^(15-1),0)</f>
        <v>48654509.7112427</v>
      </c>
      <c r="R26" s="32" t="n">
        <f aca="true">MAX(Q26*(1+NORMINV(RAND(),$C$6,$E$6))-MonthlyExp*12*(1+Inflation)^(16-1),0)</f>
        <v>57180336.154677</v>
      </c>
      <c r="S26" s="32" t="n">
        <f aca="true">MAX(R26*(1+NORMINV(RAND(),$C$6,$E$6))-MonthlyExp*12*(1+Inflation)^(17-1),0)</f>
        <v>57636933.3292041</v>
      </c>
      <c r="T26" s="32" t="n">
        <f aca="true">MAX(S26*(1+NORMINV(RAND(),$C$6,$E$6))-MonthlyExp*12*(1+Inflation)^(18-1),0)</f>
        <v>60125761.9368282</v>
      </c>
      <c r="U26" s="32" t="n">
        <f aca="true">MAX(T26*(1+NORMINV(RAND(),$C$6,$E$6))-MonthlyExp*12*(1+Inflation)^(19-1),0)</f>
        <v>66098662.2313203</v>
      </c>
      <c r="V26" s="32" t="n">
        <f aca="true">MAX(U26*(1+NORMINV(RAND(),$C$6,$E$6))-MonthlyExp*12*(1+Inflation)^(20-1),0)</f>
        <v>65762888.2845459</v>
      </c>
      <c r="W26" s="32" t="n">
        <f aca="true">MAX(V26*(1+NORMINV(RAND(),$C$6,$E$6))-MonthlyExp*12*(1+Inflation)^(21-1),0)</f>
        <v>67543429.9503922</v>
      </c>
      <c r="X26" s="32" t="n">
        <f aca="true">MAX(W26*(1+NORMINV(RAND(),$C$6,$E$6))-MonthlyExp*12*(1+Inflation)^(22-1),0)</f>
        <v>70827160.1884883</v>
      </c>
      <c r="Y26" s="32" t="n">
        <f aca="true">MAX(X26*(1+NORMINV(RAND(),$C$6,$E$6))-MonthlyExp*12*(1+Inflation)^(23-1),0)</f>
        <v>63278338.2843394</v>
      </c>
      <c r="Z26" s="32" t="n">
        <f aca="true">MAX(Y26*(1+NORMINV(RAND(),$C$6,$E$6))-MonthlyExp*12*(1+Inflation)^(24-1),0)</f>
        <v>65278245.1771074</v>
      </c>
      <c r="AA26" s="32" t="n">
        <f aca="true">MAX(Z26*(1+NORMINV(RAND(),$C$6,$E$6))-MonthlyExp*12*(1+Inflation)^(25-1),0)</f>
        <v>66907355.2591197</v>
      </c>
      <c r="AB26" s="32" t="n">
        <f aca="true">MAX(AA26*(1+NORMINV(RAND(),$C$6,$E$6))-MonthlyExp*12*(1+Inflation)^(26-1),0)</f>
        <v>70535135.0693251</v>
      </c>
      <c r="AC26" s="32" t="n">
        <f aca="true">MAX(AB26*(1+NORMINV(RAND(),$C$6,$E$6))-MonthlyExp*12*(1+Inflation)^(27-1),0)</f>
        <v>82042408.0664738</v>
      </c>
      <c r="AD26" s="32" t="n">
        <f aca="true">MAX(AC26*(1+NORMINV(RAND(),$C$6,$E$6))-MonthlyExp*12*(1+Inflation)^(28-1),0)</f>
        <v>87342380.0733234</v>
      </c>
      <c r="AE26" s="32" t="n">
        <f aca="true">MAX(AD26*(1+NORMINV(RAND(),$C$6,$E$6))-MonthlyExp*12*(1+Inflation)^(29-1),0)</f>
        <v>103547324.321489</v>
      </c>
      <c r="AF26" s="32" t="n">
        <f aca="true">MAX(AE26*(1+NORMINV(RAND(),$C$6,$E$6))-MonthlyExp*12*(1+Inflation)^(30-1),0)</f>
        <v>103469651.479125</v>
      </c>
    </row>
    <row r="27" customFormat="false" ht="15" hidden="false" customHeight="false" outlineLevel="0" collapsed="false">
      <c r="A27" s="30" t="n">
        <v>19</v>
      </c>
      <c r="B27" s="31" t="n">
        <f aca="false">Corpus</f>
        <v>20000000</v>
      </c>
      <c r="C27" s="32" t="n">
        <f aca="true">MAX(B27*(1+NORMINV(RAND(),$C$6,$E$6))-MonthlyExp*12*(1+Inflation)^(1-1),0)</f>
        <v>18562774.0536094</v>
      </c>
      <c r="D27" s="32" t="n">
        <f aca="true">MAX(C27*(1+NORMINV(RAND(),$C$6,$E$6))-MonthlyExp*12*(1+Inflation)^(2-1),0)</f>
        <v>19907149.3192926</v>
      </c>
      <c r="E27" s="32" t="n">
        <f aca="true">MAX(D27*(1+NORMINV(RAND(),$C$6,$E$6))-MonthlyExp*12*(1+Inflation)^(3-1),0)</f>
        <v>22361887.8202381</v>
      </c>
      <c r="F27" s="32" t="n">
        <f aca="true">MAX(E27*(1+NORMINV(RAND(),$C$6,$E$6))-MonthlyExp*12*(1+Inflation)^(4-1),0)</f>
        <v>22088803.7345869</v>
      </c>
      <c r="G27" s="32" t="n">
        <f aca="true">MAX(F27*(1+NORMINV(RAND(),$C$6,$E$6))-MonthlyExp*12*(1+Inflation)^(5-1),0)</f>
        <v>18677944.5410905</v>
      </c>
      <c r="H27" s="32" t="n">
        <f aca="true">MAX(G27*(1+NORMINV(RAND(),$C$6,$E$6))-MonthlyExp*12*(1+Inflation)^(6-1),0)</f>
        <v>19383142.4336115</v>
      </c>
      <c r="I27" s="32" t="n">
        <f aca="true">MAX(H27*(1+NORMINV(RAND(),$C$6,$E$6))-MonthlyExp*12*(1+Inflation)^(7-1),0)</f>
        <v>22015333.5753795</v>
      </c>
      <c r="J27" s="32" t="n">
        <f aca="true">MAX(I27*(1+NORMINV(RAND(),$C$6,$E$6))-MonthlyExp*12*(1+Inflation)^(8-1),0)</f>
        <v>21551113.1788774</v>
      </c>
      <c r="K27" s="32" t="n">
        <f aca="true">MAX(J27*(1+NORMINV(RAND(),$C$6,$E$6))-MonthlyExp*12*(1+Inflation)^(9-1),0)</f>
        <v>22892329.2301765</v>
      </c>
      <c r="L27" s="32" t="n">
        <f aca="true">MAX(K27*(1+NORMINV(RAND(),$C$6,$E$6))-MonthlyExp*12*(1+Inflation)^(10-1),0)</f>
        <v>24515169.3493993</v>
      </c>
      <c r="M27" s="32" t="n">
        <f aca="true">MAX(L27*(1+NORMINV(RAND(),$C$6,$E$6))-MonthlyExp*12*(1+Inflation)^(11-1),0)</f>
        <v>24966130.9757365</v>
      </c>
      <c r="N27" s="32" t="n">
        <f aca="true">MAX(M27*(1+NORMINV(RAND(),$C$6,$E$6))-MonthlyExp*12*(1+Inflation)^(12-1),0)</f>
        <v>22457198.7617465</v>
      </c>
      <c r="O27" s="32" t="n">
        <f aca="true">MAX(N27*(1+NORMINV(RAND(),$C$6,$E$6))-MonthlyExp*12*(1+Inflation)^(13-1),0)</f>
        <v>24399581.2246054</v>
      </c>
      <c r="P27" s="32" t="n">
        <f aca="true">MAX(O27*(1+NORMINV(RAND(),$C$6,$E$6))-MonthlyExp*12*(1+Inflation)^(14-1),0)</f>
        <v>26564415.3164776</v>
      </c>
      <c r="Q27" s="32" t="n">
        <f aca="true">MAX(P27*(1+NORMINV(RAND(),$C$6,$E$6))-MonthlyExp*12*(1+Inflation)^(15-1),0)</f>
        <v>26274194.0232169</v>
      </c>
      <c r="R27" s="32" t="n">
        <f aca="true">MAX(Q27*(1+NORMINV(RAND(),$C$6,$E$6))-MonthlyExp*12*(1+Inflation)^(16-1),0)</f>
        <v>29815212.7221195</v>
      </c>
      <c r="S27" s="32" t="n">
        <f aca="true">MAX(R27*(1+NORMINV(RAND(),$C$6,$E$6))-MonthlyExp*12*(1+Inflation)^(17-1),0)</f>
        <v>33766812.8616782</v>
      </c>
      <c r="T27" s="32" t="n">
        <f aca="true">MAX(S27*(1+NORMINV(RAND(),$C$6,$E$6))-MonthlyExp*12*(1+Inflation)^(18-1),0)</f>
        <v>37554467.8123837</v>
      </c>
      <c r="U27" s="32" t="n">
        <f aca="true">MAX(T27*(1+NORMINV(RAND(),$C$6,$E$6))-MonthlyExp*12*(1+Inflation)^(19-1),0)</f>
        <v>45419841.4425444</v>
      </c>
      <c r="V27" s="32" t="n">
        <f aca="true">MAX(U27*(1+NORMINV(RAND(),$C$6,$E$6))-MonthlyExp*12*(1+Inflation)^(20-1),0)</f>
        <v>52011886.2966135</v>
      </c>
      <c r="W27" s="32" t="n">
        <f aca="true">MAX(V27*(1+NORMINV(RAND(),$C$6,$E$6))-MonthlyExp*12*(1+Inflation)^(21-1),0)</f>
        <v>47847921.7674308</v>
      </c>
      <c r="X27" s="32" t="n">
        <f aca="true">MAX(W27*(1+NORMINV(RAND(),$C$6,$E$6))-MonthlyExp*12*(1+Inflation)^(22-1),0)</f>
        <v>52409058.4332708</v>
      </c>
      <c r="Y27" s="32" t="n">
        <f aca="true">MAX(X27*(1+NORMINV(RAND(),$C$6,$E$6))-MonthlyExp*12*(1+Inflation)^(23-1),0)</f>
        <v>55108839.9651855</v>
      </c>
      <c r="Z27" s="32" t="n">
        <f aca="true">MAX(Y27*(1+NORMINV(RAND(),$C$6,$E$6))-MonthlyExp*12*(1+Inflation)^(24-1),0)</f>
        <v>47794383.2777152</v>
      </c>
      <c r="AA27" s="32" t="n">
        <f aca="true">MAX(Z27*(1+NORMINV(RAND(),$C$6,$E$6))-MonthlyExp*12*(1+Inflation)^(25-1),0)</f>
        <v>53738527.0388644</v>
      </c>
      <c r="AB27" s="32" t="n">
        <f aca="true">MAX(AA27*(1+NORMINV(RAND(),$C$6,$E$6))-MonthlyExp*12*(1+Inflation)^(26-1),0)</f>
        <v>57393901.4798179</v>
      </c>
      <c r="AC27" s="32" t="n">
        <f aca="true">MAX(AB27*(1+NORMINV(RAND(),$C$6,$E$6))-MonthlyExp*12*(1+Inflation)^(27-1),0)</f>
        <v>59826740.1019208</v>
      </c>
      <c r="AD27" s="32" t="n">
        <f aca="true">MAX(AC27*(1+NORMINV(RAND(),$C$6,$E$6))-MonthlyExp*12*(1+Inflation)^(28-1),0)</f>
        <v>60315304.0150123</v>
      </c>
      <c r="AE27" s="32" t="n">
        <f aca="true">MAX(AD27*(1+NORMINV(RAND(),$C$6,$E$6))-MonthlyExp*12*(1+Inflation)^(29-1),0)</f>
        <v>60626944.5010677</v>
      </c>
      <c r="AF27" s="32" t="n">
        <f aca="true">MAX(AE27*(1+NORMINV(RAND(),$C$6,$E$6))-MonthlyExp*12*(1+Inflation)^(30-1),0)</f>
        <v>68254300.2443322</v>
      </c>
    </row>
    <row r="28" customFormat="false" ht="15" hidden="false" customHeight="false" outlineLevel="0" collapsed="false">
      <c r="A28" s="30" t="n">
        <v>20</v>
      </c>
      <c r="B28" s="31" t="n">
        <f aca="false">Corpus</f>
        <v>20000000</v>
      </c>
      <c r="C28" s="32" t="n">
        <f aca="true">MAX(B28*(1+NORMINV(RAND(),$C$6,$E$6))-MonthlyExp*12*(1+Inflation)^(1-1),0)</f>
        <v>23938267.3988548</v>
      </c>
      <c r="D28" s="32" t="n">
        <f aca="true">MAX(C28*(1+NORMINV(RAND(),$C$6,$E$6))-MonthlyExp*12*(1+Inflation)^(2-1),0)</f>
        <v>25786762.6201127</v>
      </c>
      <c r="E28" s="32" t="n">
        <f aca="true">MAX(D28*(1+NORMINV(RAND(),$C$6,$E$6))-MonthlyExp*12*(1+Inflation)^(3-1),0)</f>
        <v>23568700.7772012</v>
      </c>
      <c r="F28" s="32" t="n">
        <f aca="true">MAX(E28*(1+NORMINV(RAND(),$C$6,$E$6))-MonthlyExp*12*(1+Inflation)^(4-1),0)</f>
        <v>23312604.1196459</v>
      </c>
      <c r="G28" s="32" t="n">
        <f aca="true">MAX(F28*(1+NORMINV(RAND(),$C$6,$E$6))-MonthlyExp*12*(1+Inflation)^(5-1),0)</f>
        <v>26468972.8215637</v>
      </c>
      <c r="H28" s="32" t="n">
        <f aca="true">MAX(G28*(1+NORMINV(RAND(),$C$6,$E$6))-MonthlyExp*12*(1+Inflation)^(6-1),0)</f>
        <v>26806005.1175871</v>
      </c>
      <c r="I28" s="32" t="n">
        <f aca="true">MAX(H28*(1+NORMINV(RAND(),$C$6,$E$6))-MonthlyExp*12*(1+Inflation)^(7-1),0)</f>
        <v>25785014.0703848</v>
      </c>
      <c r="J28" s="32" t="n">
        <f aca="true">MAX(I28*(1+NORMINV(RAND(),$C$6,$E$6))-MonthlyExp*12*(1+Inflation)^(8-1),0)</f>
        <v>29525303.5680405</v>
      </c>
      <c r="K28" s="32" t="n">
        <f aca="true">MAX(J28*(1+NORMINV(RAND(),$C$6,$E$6))-MonthlyExp*12*(1+Inflation)^(9-1),0)</f>
        <v>33574270.5668079</v>
      </c>
      <c r="L28" s="32" t="n">
        <f aca="true">MAX(K28*(1+NORMINV(RAND(),$C$6,$E$6))-MonthlyExp*12*(1+Inflation)^(10-1),0)</f>
        <v>38167607.0687156</v>
      </c>
      <c r="M28" s="32" t="n">
        <f aca="true">MAX(L28*(1+NORMINV(RAND(),$C$6,$E$6))-MonthlyExp*12*(1+Inflation)^(11-1),0)</f>
        <v>40918221.0078252</v>
      </c>
      <c r="N28" s="32" t="n">
        <f aca="true">MAX(M28*(1+NORMINV(RAND(),$C$6,$E$6))-MonthlyExp*12*(1+Inflation)^(12-1),0)</f>
        <v>36765159.5902751</v>
      </c>
      <c r="O28" s="32" t="n">
        <f aca="true">MAX(N28*(1+NORMINV(RAND(),$C$6,$E$6))-MonthlyExp*12*(1+Inflation)^(13-1),0)</f>
        <v>42131452.4553228</v>
      </c>
      <c r="P28" s="32" t="n">
        <f aca="true">MAX(O28*(1+NORMINV(RAND(),$C$6,$E$6))-MonthlyExp*12*(1+Inflation)^(14-1),0)</f>
        <v>48100608.5028154</v>
      </c>
      <c r="Q28" s="32" t="n">
        <f aca="true">MAX(P28*(1+NORMINV(RAND(),$C$6,$E$6))-MonthlyExp*12*(1+Inflation)^(15-1),0)</f>
        <v>47981829.0179104</v>
      </c>
      <c r="R28" s="32" t="n">
        <f aca="true">MAX(Q28*(1+NORMINV(RAND(),$C$6,$E$6))-MonthlyExp*12*(1+Inflation)^(16-1),0)</f>
        <v>48348158.8921895</v>
      </c>
      <c r="S28" s="32" t="n">
        <f aca="true">MAX(R28*(1+NORMINV(RAND(),$C$6,$E$6))-MonthlyExp*12*(1+Inflation)^(17-1),0)</f>
        <v>55365673.7570875</v>
      </c>
      <c r="T28" s="32" t="n">
        <f aca="true">MAX(S28*(1+NORMINV(RAND(),$C$6,$E$6))-MonthlyExp*12*(1+Inflation)^(18-1),0)</f>
        <v>66404378.3208799</v>
      </c>
      <c r="U28" s="32" t="n">
        <f aca="true">MAX(T28*(1+NORMINV(RAND(),$C$6,$E$6))-MonthlyExp*12*(1+Inflation)^(19-1),0)</f>
        <v>71986304.4244281</v>
      </c>
      <c r="V28" s="32" t="n">
        <f aca="true">MAX(U28*(1+NORMINV(RAND(),$C$6,$E$6))-MonthlyExp*12*(1+Inflation)^(20-1),0)</f>
        <v>80233862.1173077</v>
      </c>
      <c r="W28" s="32" t="n">
        <f aca="true">MAX(V28*(1+NORMINV(RAND(),$C$6,$E$6))-MonthlyExp*12*(1+Inflation)^(21-1),0)</f>
        <v>84166671.7117409</v>
      </c>
      <c r="X28" s="32" t="n">
        <f aca="true">MAX(W28*(1+NORMINV(RAND(),$C$6,$E$6))-MonthlyExp*12*(1+Inflation)^(22-1),0)</f>
        <v>78214509.5439293</v>
      </c>
      <c r="Y28" s="32" t="n">
        <f aca="true">MAX(X28*(1+NORMINV(RAND(),$C$6,$E$6))-MonthlyExp*12*(1+Inflation)^(23-1),0)</f>
        <v>75850273.1277961</v>
      </c>
      <c r="Z28" s="32" t="n">
        <f aca="true">MAX(Y28*(1+NORMINV(RAND(),$C$6,$E$6))-MonthlyExp*12*(1+Inflation)^(24-1),0)</f>
        <v>85498369.8740611</v>
      </c>
      <c r="AA28" s="32" t="n">
        <f aca="true">MAX(Z28*(1+NORMINV(RAND(),$C$6,$E$6))-MonthlyExp*12*(1+Inflation)^(25-1),0)</f>
        <v>79665293.4154883</v>
      </c>
      <c r="AB28" s="32" t="n">
        <f aca="true">MAX(AA28*(1+NORMINV(RAND(),$C$6,$E$6))-MonthlyExp*12*(1+Inflation)^(26-1),0)</f>
        <v>81368382.046985</v>
      </c>
      <c r="AC28" s="32" t="n">
        <f aca="true">MAX(AB28*(1+NORMINV(RAND(),$C$6,$E$6))-MonthlyExp*12*(1+Inflation)^(27-1),0)</f>
        <v>89967894.2482251</v>
      </c>
      <c r="AD28" s="32" t="n">
        <f aca="true">MAX(AC28*(1+NORMINV(RAND(),$C$6,$E$6))-MonthlyExp*12*(1+Inflation)^(28-1),0)</f>
        <v>95657415.1614835</v>
      </c>
      <c r="AE28" s="32" t="n">
        <f aca="true">MAX(AD28*(1+NORMINV(RAND(),$C$6,$E$6))-MonthlyExp*12*(1+Inflation)^(29-1),0)</f>
        <v>104077280.405594</v>
      </c>
      <c r="AF28" s="32" t="n">
        <f aca="true">MAX(AE28*(1+NORMINV(RAND(),$C$6,$E$6))-MonthlyExp*12*(1+Inflation)^(30-1),0)</f>
        <v>98935070.944986</v>
      </c>
    </row>
    <row r="29" customFormat="false" ht="15" hidden="false" customHeight="false" outlineLevel="0" collapsed="false">
      <c r="A29" s="30" t="n">
        <v>21</v>
      </c>
      <c r="B29" s="31" t="n">
        <f aca="false">Corpus</f>
        <v>20000000</v>
      </c>
      <c r="C29" s="32" t="n">
        <f aca="true">MAX(B29*(1+NORMINV(RAND(),$C$6,$E$6))-MonthlyExp*12*(1+Inflation)^(1-1),0)</f>
        <v>20567257.0242857</v>
      </c>
      <c r="D29" s="32" t="n">
        <f aca="true">MAX(C29*(1+NORMINV(RAND(),$C$6,$E$6))-MonthlyExp*12*(1+Inflation)^(2-1),0)</f>
        <v>21136947.1504944</v>
      </c>
      <c r="E29" s="32" t="n">
        <f aca="true">MAX(D29*(1+NORMINV(RAND(),$C$6,$E$6))-MonthlyExp*12*(1+Inflation)^(3-1),0)</f>
        <v>23957467.9558956</v>
      </c>
      <c r="F29" s="32" t="n">
        <f aca="true">MAX(E29*(1+NORMINV(RAND(),$C$6,$E$6))-MonthlyExp*12*(1+Inflation)^(4-1),0)</f>
        <v>25389548.6683236</v>
      </c>
      <c r="G29" s="32" t="n">
        <f aca="true">MAX(F29*(1+NORMINV(RAND(),$C$6,$E$6))-MonthlyExp*12*(1+Inflation)^(5-1),0)</f>
        <v>27165277.878346</v>
      </c>
      <c r="H29" s="32" t="n">
        <f aca="true">MAX(G29*(1+NORMINV(RAND(),$C$6,$E$6))-MonthlyExp*12*(1+Inflation)^(6-1),0)</f>
        <v>28547668.791412</v>
      </c>
      <c r="I29" s="32" t="n">
        <f aca="true">MAX(H29*(1+NORMINV(RAND(),$C$6,$E$6))-MonthlyExp*12*(1+Inflation)^(7-1),0)</f>
        <v>29731060.9685978</v>
      </c>
      <c r="J29" s="32" t="n">
        <f aca="true">MAX(I29*(1+NORMINV(RAND(),$C$6,$E$6))-MonthlyExp*12*(1+Inflation)^(8-1),0)</f>
        <v>31019184.0872702</v>
      </c>
      <c r="K29" s="32" t="n">
        <f aca="true">MAX(J29*(1+NORMINV(RAND(),$C$6,$E$6))-MonthlyExp*12*(1+Inflation)^(9-1),0)</f>
        <v>35437015.7337366</v>
      </c>
      <c r="L29" s="32" t="n">
        <f aca="true">MAX(K29*(1+NORMINV(RAND(),$C$6,$E$6))-MonthlyExp*12*(1+Inflation)^(10-1),0)</f>
        <v>43426921.8868083</v>
      </c>
      <c r="M29" s="32" t="n">
        <f aca="true">MAX(L29*(1+NORMINV(RAND(),$C$6,$E$6))-MonthlyExp*12*(1+Inflation)^(11-1),0)</f>
        <v>48493969.9321341</v>
      </c>
      <c r="N29" s="32" t="n">
        <f aca="true">MAX(M29*(1+NORMINV(RAND(),$C$6,$E$6))-MonthlyExp*12*(1+Inflation)^(12-1),0)</f>
        <v>54775977.7317585</v>
      </c>
      <c r="O29" s="32" t="n">
        <f aca="true">MAX(N29*(1+NORMINV(RAND(),$C$6,$E$6))-MonthlyExp*12*(1+Inflation)^(13-1),0)</f>
        <v>58723383.1689732</v>
      </c>
      <c r="P29" s="32" t="n">
        <f aca="true">MAX(O29*(1+NORMINV(RAND(),$C$6,$E$6))-MonthlyExp*12*(1+Inflation)^(14-1),0)</f>
        <v>59208759.4894803</v>
      </c>
      <c r="Q29" s="32" t="n">
        <f aca="true">MAX(P29*(1+NORMINV(RAND(),$C$6,$E$6))-MonthlyExp*12*(1+Inflation)^(15-1),0)</f>
        <v>57763280.4056447</v>
      </c>
      <c r="R29" s="32" t="n">
        <f aca="true">MAX(Q29*(1+NORMINV(RAND(),$C$6,$E$6))-MonthlyExp*12*(1+Inflation)^(16-1),0)</f>
        <v>64727042.6553859</v>
      </c>
      <c r="S29" s="32" t="n">
        <f aca="true">MAX(R29*(1+NORMINV(RAND(),$C$6,$E$6))-MonthlyExp*12*(1+Inflation)^(17-1),0)</f>
        <v>65280099.0008274</v>
      </c>
      <c r="T29" s="32" t="n">
        <f aca="true">MAX(S29*(1+NORMINV(RAND(),$C$6,$E$6))-MonthlyExp*12*(1+Inflation)^(18-1),0)</f>
        <v>80342062.9327914</v>
      </c>
      <c r="U29" s="32" t="n">
        <f aca="true">MAX(T29*(1+NORMINV(RAND(),$C$6,$E$6))-MonthlyExp*12*(1+Inflation)^(19-1),0)</f>
        <v>84510092.1755494</v>
      </c>
      <c r="V29" s="32" t="n">
        <f aca="true">MAX(U29*(1+NORMINV(RAND(),$C$6,$E$6))-MonthlyExp*12*(1+Inflation)^(20-1),0)</f>
        <v>85565107.9736599</v>
      </c>
      <c r="W29" s="32" t="n">
        <f aca="true">MAX(V29*(1+NORMINV(RAND(),$C$6,$E$6))-MonthlyExp*12*(1+Inflation)^(21-1),0)</f>
        <v>96765539.0123754</v>
      </c>
      <c r="X29" s="32" t="n">
        <f aca="true">MAX(W29*(1+NORMINV(RAND(),$C$6,$E$6))-MonthlyExp*12*(1+Inflation)^(22-1),0)</f>
        <v>96854559.2101539</v>
      </c>
      <c r="Y29" s="32" t="n">
        <f aca="true">MAX(X29*(1+NORMINV(RAND(),$C$6,$E$6))-MonthlyExp*12*(1+Inflation)^(23-1),0)</f>
        <v>103779054.585657</v>
      </c>
      <c r="Z29" s="32" t="n">
        <f aca="true">MAX(Y29*(1+NORMINV(RAND(),$C$6,$E$6))-MonthlyExp*12*(1+Inflation)^(24-1),0)</f>
        <v>119061633.678452</v>
      </c>
      <c r="AA29" s="32" t="n">
        <f aca="true">MAX(Z29*(1+NORMINV(RAND(),$C$6,$E$6))-MonthlyExp*12*(1+Inflation)^(25-1),0)</f>
        <v>110799447.544316</v>
      </c>
      <c r="AB29" s="32" t="n">
        <f aca="true">MAX(AA29*(1+NORMINV(RAND(),$C$6,$E$6))-MonthlyExp*12*(1+Inflation)^(26-1),0)</f>
        <v>111065564.996303</v>
      </c>
      <c r="AC29" s="32" t="n">
        <f aca="true">MAX(AB29*(1+NORMINV(RAND(),$C$6,$E$6))-MonthlyExp*12*(1+Inflation)^(27-1),0)</f>
        <v>116228671.043486</v>
      </c>
      <c r="AD29" s="32" t="n">
        <f aca="true">MAX(AC29*(1+NORMINV(RAND(),$C$6,$E$6))-MonthlyExp*12*(1+Inflation)^(28-1),0)</f>
        <v>117673809.290156</v>
      </c>
      <c r="AE29" s="32" t="n">
        <f aca="true">MAX(AD29*(1+NORMINV(RAND(),$C$6,$E$6))-MonthlyExp*12*(1+Inflation)^(29-1),0)</f>
        <v>118845987.628989</v>
      </c>
      <c r="AF29" s="32" t="n">
        <f aca="true">MAX(AE29*(1+NORMINV(RAND(),$C$6,$E$6))-MonthlyExp*12*(1+Inflation)^(30-1),0)</f>
        <v>117507076.729852</v>
      </c>
    </row>
    <row r="30" customFormat="false" ht="15" hidden="false" customHeight="false" outlineLevel="0" collapsed="false">
      <c r="A30" s="30" t="n">
        <v>22</v>
      </c>
      <c r="B30" s="31" t="n">
        <f aca="false">Corpus</f>
        <v>20000000</v>
      </c>
      <c r="C30" s="32" t="n">
        <f aca="true">MAX(B30*(1+NORMINV(RAND(),$C$6,$E$6))-MonthlyExp*12*(1+Inflation)^(1-1),0)</f>
        <v>22174050.1209671</v>
      </c>
      <c r="D30" s="32" t="n">
        <f aca="true">MAX(C30*(1+NORMINV(RAND(),$C$6,$E$6))-MonthlyExp*12*(1+Inflation)^(2-1),0)</f>
        <v>25055842.294068</v>
      </c>
      <c r="E30" s="32" t="n">
        <f aca="true">MAX(D30*(1+NORMINV(RAND(),$C$6,$E$6))-MonthlyExp*12*(1+Inflation)^(3-1),0)</f>
        <v>24581071.8595054</v>
      </c>
      <c r="F30" s="32" t="n">
        <f aca="true">MAX(E30*(1+NORMINV(RAND(),$C$6,$E$6))-MonthlyExp*12*(1+Inflation)^(4-1),0)</f>
        <v>25726126.2626597</v>
      </c>
      <c r="G30" s="32" t="n">
        <f aca="true">MAX(F30*(1+NORMINV(RAND(),$C$6,$E$6))-MonthlyExp*12*(1+Inflation)^(5-1),0)</f>
        <v>24623065.3445807</v>
      </c>
      <c r="H30" s="32" t="n">
        <f aca="true">MAX(G30*(1+NORMINV(RAND(),$C$6,$E$6))-MonthlyExp*12*(1+Inflation)^(6-1),0)</f>
        <v>22156463.5423725</v>
      </c>
      <c r="I30" s="32" t="n">
        <f aca="true">MAX(H30*(1+NORMINV(RAND(),$C$6,$E$6))-MonthlyExp*12*(1+Inflation)^(7-1),0)</f>
        <v>21609783.3064161</v>
      </c>
      <c r="J30" s="32" t="n">
        <f aca="true">MAX(I30*(1+NORMINV(RAND(),$C$6,$E$6))-MonthlyExp*12*(1+Inflation)^(8-1),0)</f>
        <v>20018984.6038305</v>
      </c>
      <c r="K30" s="32" t="n">
        <f aca="true">MAX(J30*(1+NORMINV(RAND(),$C$6,$E$6))-MonthlyExp*12*(1+Inflation)^(9-1),0)</f>
        <v>21279608.6044371</v>
      </c>
      <c r="L30" s="32" t="n">
        <f aca="true">MAX(K30*(1+NORMINV(RAND(),$C$6,$E$6))-MonthlyExp*12*(1+Inflation)^(10-1),0)</f>
        <v>20144141.0146853</v>
      </c>
      <c r="M30" s="32" t="n">
        <f aca="true">MAX(L30*(1+NORMINV(RAND(),$C$6,$E$6))-MonthlyExp*12*(1+Inflation)^(11-1),0)</f>
        <v>21652433.7307872</v>
      </c>
      <c r="N30" s="32" t="n">
        <f aca="true">MAX(M30*(1+NORMINV(RAND(),$C$6,$E$6))-MonthlyExp*12*(1+Inflation)^(12-1),0)</f>
        <v>24214525.0653973</v>
      </c>
      <c r="O30" s="32" t="n">
        <f aca="true">MAX(N30*(1+NORMINV(RAND(),$C$6,$E$6))-MonthlyExp*12*(1+Inflation)^(13-1),0)</f>
        <v>25975756.7312885</v>
      </c>
      <c r="P30" s="32" t="n">
        <f aca="true">MAX(O30*(1+NORMINV(RAND(),$C$6,$E$6))-MonthlyExp*12*(1+Inflation)^(14-1),0)</f>
        <v>25426515.8376016</v>
      </c>
      <c r="Q30" s="32" t="n">
        <f aca="true">MAX(P30*(1+NORMINV(RAND(),$C$6,$E$6))-MonthlyExp*12*(1+Inflation)^(15-1),0)</f>
        <v>29404600.2369157</v>
      </c>
      <c r="R30" s="32" t="n">
        <f aca="true">MAX(Q30*(1+NORMINV(RAND(),$C$6,$E$6))-MonthlyExp*12*(1+Inflation)^(16-1),0)</f>
        <v>30776366.8644074</v>
      </c>
      <c r="S30" s="32" t="n">
        <f aca="true">MAX(R30*(1+NORMINV(RAND(),$C$6,$E$6))-MonthlyExp*12*(1+Inflation)^(17-1),0)</f>
        <v>28756434.3128128</v>
      </c>
      <c r="T30" s="32" t="n">
        <f aca="true">MAX(S30*(1+NORMINV(RAND(),$C$6,$E$6))-MonthlyExp*12*(1+Inflation)^(18-1),0)</f>
        <v>30418146.8470063</v>
      </c>
      <c r="U30" s="32" t="n">
        <f aca="true">MAX(T30*(1+NORMINV(RAND(),$C$6,$E$6))-MonthlyExp*12*(1+Inflation)^(19-1),0)</f>
        <v>30857067.840788</v>
      </c>
      <c r="V30" s="32" t="n">
        <f aca="true">MAX(U30*(1+NORMINV(RAND(),$C$6,$E$6))-MonthlyExp*12*(1+Inflation)^(20-1),0)</f>
        <v>32525256.4893649</v>
      </c>
      <c r="W30" s="32" t="n">
        <f aca="true">MAX(V30*(1+NORMINV(RAND(),$C$6,$E$6))-MonthlyExp*12*(1+Inflation)^(21-1),0)</f>
        <v>32620060.2274616</v>
      </c>
      <c r="X30" s="32" t="n">
        <f aca="true">MAX(W30*(1+NORMINV(RAND(),$C$6,$E$6))-MonthlyExp*12*(1+Inflation)^(22-1),0)</f>
        <v>38448288.7706605</v>
      </c>
      <c r="Y30" s="32" t="n">
        <f aca="true">MAX(X30*(1+NORMINV(RAND(),$C$6,$E$6))-MonthlyExp*12*(1+Inflation)^(23-1),0)</f>
        <v>43606032.8031447</v>
      </c>
      <c r="Z30" s="32" t="n">
        <f aca="true">MAX(Y30*(1+NORMINV(RAND(),$C$6,$E$6))-MonthlyExp*12*(1+Inflation)^(24-1),0)</f>
        <v>43710779.6630493</v>
      </c>
      <c r="AA30" s="32" t="n">
        <f aca="true">MAX(Z30*(1+NORMINV(RAND(),$C$6,$E$6))-MonthlyExp*12*(1+Inflation)^(25-1),0)</f>
        <v>42007902.8323246</v>
      </c>
      <c r="AB30" s="32" t="n">
        <f aca="true">MAX(AA30*(1+NORMINV(RAND(),$C$6,$E$6))-MonthlyExp*12*(1+Inflation)^(26-1),0)</f>
        <v>43004134.5290548</v>
      </c>
      <c r="AC30" s="32" t="n">
        <f aca="true">MAX(AB30*(1+NORMINV(RAND(),$C$6,$E$6))-MonthlyExp*12*(1+Inflation)^(27-1),0)</f>
        <v>41618713.5106749</v>
      </c>
      <c r="AD30" s="32" t="n">
        <f aca="true">MAX(AC30*(1+NORMINV(RAND(),$C$6,$E$6))-MonthlyExp*12*(1+Inflation)^(28-1),0)</f>
        <v>48214524.0032066</v>
      </c>
      <c r="AE30" s="32" t="n">
        <f aca="true">MAX(AD30*(1+NORMINV(RAND(),$C$6,$E$6))-MonthlyExp*12*(1+Inflation)^(29-1),0)</f>
        <v>49930387.8168977</v>
      </c>
      <c r="AF30" s="32" t="n">
        <f aca="true">MAX(AE30*(1+NORMINV(RAND(),$C$6,$E$6))-MonthlyExp*12*(1+Inflation)^(30-1),0)</f>
        <v>56547110.7732321</v>
      </c>
    </row>
    <row r="31" customFormat="false" ht="15" hidden="false" customHeight="false" outlineLevel="0" collapsed="false">
      <c r="A31" s="30" t="n">
        <v>23</v>
      </c>
      <c r="B31" s="31" t="n">
        <f aca="false">Corpus</f>
        <v>20000000</v>
      </c>
      <c r="C31" s="32" t="n">
        <f aca="true">MAX(B31*(1+NORMINV(RAND(),$C$6,$E$6))-MonthlyExp*12*(1+Inflation)^(1-1),0)</f>
        <v>20980889.8452792</v>
      </c>
      <c r="D31" s="32" t="n">
        <f aca="true">MAX(C31*(1+NORMINV(RAND(),$C$6,$E$6))-MonthlyExp*12*(1+Inflation)^(2-1),0)</f>
        <v>24418577.7493405</v>
      </c>
      <c r="E31" s="32" t="n">
        <f aca="true">MAX(D31*(1+NORMINV(RAND(),$C$6,$E$6))-MonthlyExp*12*(1+Inflation)^(3-1),0)</f>
        <v>23161114.5447482</v>
      </c>
      <c r="F31" s="32" t="n">
        <f aca="true">MAX(E31*(1+NORMINV(RAND(),$C$6,$E$6))-MonthlyExp*12*(1+Inflation)^(4-1),0)</f>
        <v>22281351.9169972</v>
      </c>
      <c r="G31" s="32" t="n">
        <f aca="true">MAX(F31*(1+NORMINV(RAND(),$C$6,$E$6))-MonthlyExp*12*(1+Inflation)^(5-1),0)</f>
        <v>24922118.7058443</v>
      </c>
      <c r="H31" s="32" t="n">
        <f aca="true">MAX(G31*(1+NORMINV(RAND(),$C$6,$E$6))-MonthlyExp*12*(1+Inflation)^(6-1),0)</f>
        <v>22644649.9491982</v>
      </c>
      <c r="I31" s="32" t="n">
        <f aca="true">MAX(H31*(1+NORMINV(RAND(),$C$6,$E$6))-MonthlyExp*12*(1+Inflation)^(7-1),0)</f>
        <v>26560548.2210911</v>
      </c>
      <c r="J31" s="32" t="n">
        <f aca="true">MAX(I31*(1+NORMINV(RAND(),$C$6,$E$6))-MonthlyExp*12*(1+Inflation)^(8-1),0)</f>
        <v>31922841.838575</v>
      </c>
      <c r="K31" s="32" t="n">
        <f aca="true">MAX(J31*(1+NORMINV(RAND(),$C$6,$E$6))-MonthlyExp*12*(1+Inflation)^(9-1),0)</f>
        <v>32959354.1042629</v>
      </c>
      <c r="L31" s="32" t="n">
        <f aca="true">MAX(K31*(1+NORMINV(RAND(),$C$6,$E$6))-MonthlyExp*12*(1+Inflation)^(10-1),0)</f>
        <v>36844440.719096</v>
      </c>
      <c r="M31" s="32" t="n">
        <f aca="true">MAX(L31*(1+NORMINV(RAND(),$C$6,$E$6))-MonthlyExp*12*(1+Inflation)^(11-1),0)</f>
        <v>33203181.4151665</v>
      </c>
      <c r="N31" s="32" t="n">
        <f aca="true">MAX(M31*(1+NORMINV(RAND(),$C$6,$E$6))-MonthlyExp*12*(1+Inflation)^(12-1),0)</f>
        <v>36215174.9195345</v>
      </c>
      <c r="O31" s="32" t="n">
        <f aca="true">MAX(N31*(1+NORMINV(RAND(),$C$6,$E$6))-MonthlyExp*12*(1+Inflation)^(13-1),0)</f>
        <v>39269658.2793353</v>
      </c>
      <c r="P31" s="32" t="n">
        <f aca="true">MAX(O31*(1+NORMINV(RAND(),$C$6,$E$6))-MonthlyExp*12*(1+Inflation)^(14-1),0)</f>
        <v>37165501.4430795</v>
      </c>
      <c r="Q31" s="32" t="n">
        <f aca="true">MAX(P31*(1+NORMINV(RAND(),$C$6,$E$6))-MonthlyExp*12*(1+Inflation)^(15-1),0)</f>
        <v>45801816.7779818</v>
      </c>
      <c r="R31" s="32" t="n">
        <f aca="true">MAX(Q31*(1+NORMINV(RAND(),$C$6,$E$6))-MonthlyExp*12*(1+Inflation)^(16-1),0)</f>
        <v>45076218.5719873</v>
      </c>
      <c r="S31" s="32" t="n">
        <f aca="true">MAX(R31*(1+NORMINV(RAND(),$C$6,$E$6))-MonthlyExp*12*(1+Inflation)^(17-1),0)</f>
        <v>48368002.2192032</v>
      </c>
      <c r="T31" s="32" t="n">
        <f aca="true">MAX(S31*(1+NORMINV(RAND(),$C$6,$E$6))-MonthlyExp*12*(1+Inflation)^(18-1),0)</f>
        <v>50256600.0880474</v>
      </c>
      <c r="U31" s="32" t="n">
        <f aca="true">MAX(T31*(1+NORMINV(RAND(),$C$6,$E$6))-MonthlyExp*12*(1+Inflation)^(19-1),0)</f>
        <v>52402047.1363359</v>
      </c>
      <c r="V31" s="32" t="n">
        <f aca="true">MAX(U31*(1+NORMINV(RAND(),$C$6,$E$6))-MonthlyExp*12*(1+Inflation)^(20-1),0)</f>
        <v>45992553.5145436</v>
      </c>
      <c r="W31" s="32" t="n">
        <f aca="true">MAX(V31*(1+NORMINV(RAND(),$C$6,$E$6))-MonthlyExp*12*(1+Inflation)^(21-1),0)</f>
        <v>46618618.0810021</v>
      </c>
      <c r="X31" s="32" t="n">
        <f aca="true">MAX(W31*(1+NORMINV(RAND(),$C$6,$E$6))-MonthlyExp*12*(1+Inflation)^(22-1),0)</f>
        <v>43988534.4411194</v>
      </c>
      <c r="Y31" s="32" t="n">
        <f aca="true">MAX(X31*(1+NORMINV(RAND(),$C$6,$E$6))-MonthlyExp*12*(1+Inflation)^(23-1),0)</f>
        <v>47583214.073363</v>
      </c>
      <c r="Z31" s="32" t="n">
        <f aca="true">MAX(Y31*(1+NORMINV(RAND(),$C$6,$E$6))-MonthlyExp*12*(1+Inflation)^(24-1),0)</f>
        <v>47931500.6383201</v>
      </c>
      <c r="AA31" s="32" t="n">
        <f aca="true">MAX(Z31*(1+NORMINV(RAND(),$C$6,$E$6))-MonthlyExp*12*(1+Inflation)^(25-1),0)</f>
        <v>50501198.6846456</v>
      </c>
      <c r="AB31" s="32" t="n">
        <f aca="true">MAX(AA31*(1+NORMINV(RAND(),$C$6,$E$6))-MonthlyExp*12*(1+Inflation)^(26-1),0)</f>
        <v>46173855.3083472</v>
      </c>
      <c r="AC31" s="32" t="n">
        <f aca="true">MAX(AB31*(1+NORMINV(RAND(),$C$6,$E$6))-MonthlyExp*12*(1+Inflation)^(27-1),0)</f>
        <v>55826653.244072</v>
      </c>
      <c r="AD31" s="32" t="n">
        <f aca="true">MAX(AC31*(1+NORMINV(RAND(),$C$6,$E$6))-MonthlyExp*12*(1+Inflation)^(28-1),0)</f>
        <v>61211241.3419611</v>
      </c>
      <c r="AE31" s="32" t="n">
        <f aca="true">MAX(AD31*(1+NORMINV(RAND(),$C$6,$E$6))-MonthlyExp*12*(1+Inflation)^(29-1),0)</f>
        <v>58708622.5879203</v>
      </c>
      <c r="AF31" s="32" t="n">
        <f aca="true">MAX(AE31*(1+NORMINV(RAND(),$C$6,$E$6))-MonthlyExp*12*(1+Inflation)^(30-1),0)</f>
        <v>53371770.5964808</v>
      </c>
    </row>
    <row r="32" customFormat="false" ht="15" hidden="false" customHeight="false" outlineLevel="0" collapsed="false">
      <c r="A32" s="30" t="n">
        <v>24</v>
      </c>
      <c r="B32" s="31" t="n">
        <f aca="false">Corpus</f>
        <v>20000000</v>
      </c>
      <c r="C32" s="32" t="n">
        <f aca="true">MAX(B32*(1+NORMINV(RAND(),$C$6,$E$6))-MonthlyExp*12*(1+Inflation)^(1-1),0)</f>
        <v>23414846.1465394</v>
      </c>
      <c r="D32" s="32" t="n">
        <f aca="true">MAX(C32*(1+NORMINV(RAND(),$C$6,$E$6))-MonthlyExp*12*(1+Inflation)^(2-1),0)</f>
        <v>25767932.8791865</v>
      </c>
      <c r="E32" s="32" t="n">
        <f aca="true">MAX(D32*(1+NORMINV(RAND(),$C$6,$E$6))-MonthlyExp*12*(1+Inflation)^(3-1),0)</f>
        <v>26325538.4301527</v>
      </c>
      <c r="F32" s="32" t="n">
        <f aca="true">MAX(E32*(1+NORMINV(RAND(),$C$6,$E$6))-MonthlyExp*12*(1+Inflation)^(4-1),0)</f>
        <v>26157902.9779506</v>
      </c>
      <c r="G32" s="32" t="n">
        <f aca="true">MAX(F32*(1+NORMINV(RAND(),$C$6,$E$6))-MonthlyExp*12*(1+Inflation)^(5-1),0)</f>
        <v>28786036.3140052</v>
      </c>
      <c r="H32" s="32" t="n">
        <f aca="true">MAX(G32*(1+NORMINV(RAND(),$C$6,$E$6))-MonthlyExp*12*(1+Inflation)^(6-1),0)</f>
        <v>31532811.7649349</v>
      </c>
      <c r="I32" s="32" t="n">
        <f aca="true">MAX(H32*(1+NORMINV(RAND(),$C$6,$E$6))-MonthlyExp*12*(1+Inflation)^(7-1),0)</f>
        <v>29292950.0311821</v>
      </c>
      <c r="J32" s="32" t="n">
        <f aca="true">MAX(I32*(1+NORMINV(RAND(),$C$6,$E$6))-MonthlyExp*12*(1+Inflation)^(8-1),0)</f>
        <v>32731039.3959324</v>
      </c>
      <c r="K32" s="32" t="n">
        <f aca="true">MAX(J32*(1+NORMINV(RAND(),$C$6,$E$6))-MonthlyExp*12*(1+Inflation)^(9-1),0)</f>
        <v>34991871.3894429</v>
      </c>
      <c r="L32" s="32" t="n">
        <f aca="true">MAX(K32*(1+NORMINV(RAND(),$C$6,$E$6))-MonthlyExp*12*(1+Inflation)^(10-1),0)</f>
        <v>40125350.5473652</v>
      </c>
      <c r="M32" s="32" t="n">
        <f aca="true">MAX(L32*(1+NORMINV(RAND(),$C$6,$E$6))-MonthlyExp*12*(1+Inflation)^(11-1),0)</f>
        <v>50053689.2405117</v>
      </c>
      <c r="N32" s="32" t="n">
        <f aca="true">MAX(M32*(1+NORMINV(RAND(),$C$6,$E$6))-MonthlyExp*12*(1+Inflation)^(12-1),0)</f>
        <v>57952826.0986119</v>
      </c>
      <c r="O32" s="32" t="n">
        <f aca="true">MAX(N32*(1+NORMINV(RAND(),$C$6,$E$6))-MonthlyExp*12*(1+Inflation)^(13-1),0)</f>
        <v>54244609.4113631</v>
      </c>
      <c r="P32" s="32" t="n">
        <f aca="true">MAX(O32*(1+NORMINV(RAND(),$C$6,$E$6))-MonthlyExp*12*(1+Inflation)^(14-1),0)</f>
        <v>66670722.9971297</v>
      </c>
      <c r="Q32" s="32" t="n">
        <f aca="true">MAX(P32*(1+NORMINV(RAND(),$C$6,$E$6))-MonthlyExp*12*(1+Inflation)^(15-1),0)</f>
        <v>69004620.5231037</v>
      </c>
      <c r="R32" s="32" t="n">
        <f aca="true">MAX(Q32*(1+NORMINV(RAND(),$C$6,$E$6))-MonthlyExp*12*(1+Inflation)^(16-1),0)</f>
        <v>78457339.7856201</v>
      </c>
      <c r="S32" s="32" t="n">
        <f aca="true">MAX(R32*(1+NORMINV(RAND(),$C$6,$E$6))-MonthlyExp*12*(1+Inflation)^(17-1),0)</f>
        <v>85051544.3694246</v>
      </c>
      <c r="T32" s="32" t="n">
        <f aca="true">MAX(S32*(1+NORMINV(RAND(),$C$6,$E$6))-MonthlyExp*12*(1+Inflation)^(18-1),0)</f>
        <v>81652598.3975261</v>
      </c>
      <c r="U32" s="32" t="n">
        <f aca="true">MAX(T32*(1+NORMINV(RAND(),$C$6,$E$6))-MonthlyExp*12*(1+Inflation)^(19-1),0)</f>
        <v>82489411.1151154</v>
      </c>
      <c r="V32" s="32" t="n">
        <f aca="true">MAX(U32*(1+NORMINV(RAND(),$C$6,$E$6))-MonthlyExp*12*(1+Inflation)^(20-1),0)</f>
        <v>94028832.0132371</v>
      </c>
      <c r="W32" s="32" t="n">
        <f aca="true">MAX(V32*(1+NORMINV(RAND(),$C$6,$E$6))-MonthlyExp*12*(1+Inflation)^(21-1),0)</f>
        <v>87052227.5791812</v>
      </c>
      <c r="X32" s="32" t="n">
        <f aca="true">MAX(W32*(1+NORMINV(RAND(),$C$6,$E$6))-MonthlyExp*12*(1+Inflation)^(22-1),0)</f>
        <v>96310594.6509798</v>
      </c>
      <c r="Y32" s="32" t="n">
        <f aca="true">MAX(X32*(1+NORMINV(RAND(),$C$6,$E$6))-MonthlyExp*12*(1+Inflation)^(23-1),0)</f>
        <v>96908524.4053736</v>
      </c>
      <c r="Z32" s="32" t="n">
        <f aca="true">MAX(Y32*(1+NORMINV(RAND(),$C$6,$E$6))-MonthlyExp*12*(1+Inflation)^(24-1),0)</f>
        <v>111450956.894577</v>
      </c>
      <c r="AA32" s="32" t="n">
        <f aca="true">MAX(Z32*(1+NORMINV(RAND(),$C$6,$E$6))-MonthlyExp*12*(1+Inflation)^(25-1),0)</f>
        <v>125593862.586872</v>
      </c>
      <c r="AB32" s="32" t="n">
        <f aca="true">MAX(AA32*(1+NORMINV(RAND(),$C$6,$E$6))-MonthlyExp*12*(1+Inflation)^(26-1),0)</f>
        <v>128135007.639701</v>
      </c>
      <c r="AC32" s="32" t="n">
        <f aca="true">MAX(AB32*(1+NORMINV(RAND(),$C$6,$E$6))-MonthlyExp*12*(1+Inflation)^(27-1),0)</f>
        <v>127845839.435537</v>
      </c>
      <c r="AD32" s="32" t="n">
        <f aca="true">MAX(AC32*(1+NORMINV(RAND(),$C$6,$E$6))-MonthlyExp*12*(1+Inflation)^(28-1),0)</f>
        <v>139984111.217642</v>
      </c>
      <c r="AE32" s="32" t="n">
        <f aca="true">MAX(AD32*(1+NORMINV(RAND(),$C$6,$E$6))-MonthlyExp*12*(1+Inflation)^(29-1),0)</f>
        <v>146659109.0481</v>
      </c>
      <c r="AF32" s="32" t="n">
        <f aca="true">MAX(AE32*(1+NORMINV(RAND(),$C$6,$E$6))-MonthlyExp*12*(1+Inflation)^(30-1),0)</f>
        <v>144646911.871847</v>
      </c>
    </row>
    <row r="33" customFormat="false" ht="15" hidden="false" customHeight="false" outlineLevel="0" collapsed="false">
      <c r="A33" s="30" t="n">
        <v>25</v>
      </c>
      <c r="B33" s="31" t="n">
        <f aca="false">Corpus</f>
        <v>20000000</v>
      </c>
      <c r="C33" s="32" t="n">
        <f aca="true">MAX(B33*(1+NORMINV(RAND(),$C$6,$E$6))-MonthlyExp*12*(1+Inflation)^(1-1),0)</f>
        <v>20298714.2780612</v>
      </c>
      <c r="D33" s="32" t="n">
        <f aca="true">MAX(C33*(1+NORMINV(RAND(),$C$6,$E$6))-MonthlyExp*12*(1+Inflation)^(2-1),0)</f>
        <v>20321277.7975385</v>
      </c>
      <c r="E33" s="32" t="n">
        <f aca="true">MAX(D33*(1+NORMINV(RAND(),$C$6,$E$6))-MonthlyExp*12*(1+Inflation)^(3-1),0)</f>
        <v>22261689.2958369</v>
      </c>
      <c r="F33" s="32" t="n">
        <f aca="true">MAX(E33*(1+NORMINV(RAND(),$C$6,$E$6))-MonthlyExp*12*(1+Inflation)^(4-1),0)</f>
        <v>24881875.7873489</v>
      </c>
      <c r="G33" s="32" t="n">
        <f aca="true">MAX(F33*(1+NORMINV(RAND(),$C$6,$E$6))-MonthlyExp*12*(1+Inflation)^(5-1),0)</f>
        <v>28145844.8470388</v>
      </c>
      <c r="H33" s="32" t="n">
        <f aca="true">MAX(G33*(1+NORMINV(RAND(),$C$6,$E$6))-MonthlyExp*12*(1+Inflation)^(6-1),0)</f>
        <v>31706158.2985053</v>
      </c>
      <c r="I33" s="32" t="n">
        <f aca="true">MAX(H33*(1+NORMINV(RAND(),$C$6,$E$6))-MonthlyExp*12*(1+Inflation)^(7-1),0)</f>
        <v>35432234.4832265</v>
      </c>
      <c r="J33" s="32" t="n">
        <f aca="true">MAX(I33*(1+NORMINV(RAND(),$C$6,$E$6))-MonthlyExp*12*(1+Inflation)^(8-1),0)</f>
        <v>34965720.076258</v>
      </c>
      <c r="K33" s="32" t="n">
        <f aca="true">MAX(J33*(1+NORMINV(RAND(),$C$6,$E$6))-MonthlyExp*12*(1+Inflation)^(9-1),0)</f>
        <v>35981743.1473357</v>
      </c>
      <c r="L33" s="32" t="n">
        <f aca="true">MAX(K33*(1+NORMINV(RAND(),$C$6,$E$6))-MonthlyExp*12*(1+Inflation)^(10-1),0)</f>
        <v>36772665.7800686</v>
      </c>
      <c r="M33" s="32" t="n">
        <f aca="true">MAX(L33*(1+NORMINV(RAND(),$C$6,$E$6))-MonthlyExp*12*(1+Inflation)^(11-1),0)</f>
        <v>31525249.3726025</v>
      </c>
      <c r="N33" s="32" t="n">
        <f aca="true">MAX(M33*(1+NORMINV(RAND(),$C$6,$E$6))-MonthlyExp*12*(1+Inflation)^(12-1),0)</f>
        <v>35589928.6983296</v>
      </c>
      <c r="O33" s="32" t="n">
        <f aca="true">MAX(N33*(1+NORMINV(RAND(),$C$6,$E$6))-MonthlyExp*12*(1+Inflation)^(13-1),0)</f>
        <v>38341335.5456355</v>
      </c>
      <c r="P33" s="32" t="n">
        <f aca="true">MAX(O33*(1+NORMINV(RAND(),$C$6,$E$6))-MonthlyExp*12*(1+Inflation)^(14-1),0)</f>
        <v>39338263.0504712</v>
      </c>
      <c r="Q33" s="32" t="n">
        <f aca="true">MAX(P33*(1+NORMINV(RAND(),$C$6,$E$6))-MonthlyExp*12*(1+Inflation)^(15-1),0)</f>
        <v>46662192.6535935</v>
      </c>
      <c r="R33" s="32" t="n">
        <f aca="true">MAX(Q33*(1+NORMINV(RAND(),$C$6,$E$6))-MonthlyExp*12*(1+Inflation)^(16-1),0)</f>
        <v>50238545.7060632</v>
      </c>
      <c r="S33" s="32" t="n">
        <f aca="true">MAX(R33*(1+NORMINV(RAND(),$C$6,$E$6))-MonthlyExp*12*(1+Inflation)^(17-1),0)</f>
        <v>46545222.8376176</v>
      </c>
      <c r="T33" s="32" t="n">
        <f aca="true">MAX(S33*(1+NORMINV(RAND(),$C$6,$E$6))-MonthlyExp*12*(1+Inflation)^(18-1),0)</f>
        <v>50353682.6813684</v>
      </c>
      <c r="U33" s="32" t="n">
        <f aca="true">MAX(T33*(1+NORMINV(RAND(),$C$6,$E$6))-MonthlyExp*12*(1+Inflation)^(19-1),0)</f>
        <v>46906542.8539687</v>
      </c>
      <c r="V33" s="32" t="n">
        <f aca="true">MAX(U33*(1+NORMINV(RAND(),$C$6,$E$6))-MonthlyExp*12*(1+Inflation)^(20-1),0)</f>
        <v>52145198.1205913</v>
      </c>
      <c r="W33" s="32" t="n">
        <f aca="true">MAX(V33*(1+NORMINV(RAND(),$C$6,$E$6))-MonthlyExp*12*(1+Inflation)^(21-1),0)</f>
        <v>62562428.9030416</v>
      </c>
      <c r="X33" s="32" t="n">
        <f aca="true">MAX(W33*(1+NORMINV(RAND(),$C$6,$E$6))-MonthlyExp*12*(1+Inflation)^(22-1),0)</f>
        <v>66761061.7317863</v>
      </c>
      <c r="Y33" s="32" t="n">
        <f aca="true">MAX(X33*(1+NORMINV(RAND(),$C$6,$E$6))-MonthlyExp*12*(1+Inflation)^(23-1),0)</f>
        <v>60449759.8533706</v>
      </c>
      <c r="Z33" s="32" t="n">
        <f aca="true">MAX(Y33*(1+NORMINV(RAND(),$C$6,$E$6))-MonthlyExp*12*(1+Inflation)^(24-1),0)</f>
        <v>68341560.7685114</v>
      </c>
      <c r="AA33" s="32" t="n">
        <f aca="true">MAX(Z33*(1+NORMINV(RAND(),$C$6,$E$6))-MonthlyExp*12*(1+Inflation)^(25-1),0)</f>
        <v>68320953.6921331</v>
      </c>
      <c r="AB33" s="32" t="n">
        <f aca="true">MAX(AA33*(1+NORMINV(RAND(),$C$6,$E$6))-MonthlyExp*12*(1+Inflation)^(26-1),0)</f>
        <v>69061849.2050866</v>
      </c>
      <c r="AC33" s="32" t="n">
        <f aca="true">MAX(AB33*(1+NORMINV(RAND(),$C$6,$E$6))-MonthlyExp*12*(1+Inflation)^(27-1),0)</f>
        <v>71523855.4566519</v>
      </c>
      <c r="AD33" s="32" t="n">
        <f aca="true">MAX(AC33*(1+NORMINV(RAND(),$C$6,$E$6))-MonthlyExp*12*(1+Inflation)^(28-1),0)</f>
        <v>66023119.2809493</v>
      </c>
      <c r="AE33" s="32" t="n">
        <f aca="true">MAX(AD33*(1+NORMINV(RAND(),$C$6,$E$6))-MonthlyExp*12*(1+Inflation)^(29-1),0)</f>
        <v>60424958.8623985</v>
      </c>
      <c r="AF33" s="32" t="n">
        <f aca="true">MAX(AE33*(1+NORMINV(RAND(),$C$6,$E$6))-MonthlyExp*12*(1+Inflation)^(30-1),0)</f>
        <v>64395813.0561721</v>
      </c>
    </row>
    <row r="34" customFormat="false" ht="15" hidden="false" customHeight="false" outlineLevel="0" collapsed="false">
      <c r="A34" s="30" t="n">
        <v>26</v>
      </c>
      <c r="B34" s="31" t="n">
        <f aca="false">Corpus</f>
        <v>20000000</v>
      </c>
      <c r="C34" s="32" t="n">
        <f aca="true">MAX(B34*(1+NORMINV(RAND(),$C$6,$E$6))-MonthlyExp*12*(1+Inflation)^(1-1),0)</f>
        <v>18818238.2723941</v>
      </c>
      <c r="D34" s="32" t="n">
        <f aca="true">MAX(C34*(1+NORMINV(RAND(),$C$6,$E$6))-MonthlyExp*12*(1+Inflation)^(2-1),0)</f>
        <v>20649559.679226</v>
      </c>
      <c r="E34" s="32" t="n">
        <f aca="true">MAX(D34*(1+NORMINV(RAND(),$C$6,$E$6))-MonthlyExp*12*(1+Inflation)^(3-1),0)</f>
        <v>23916245.4842774</v>
      </c>
      <c r="F34" s="32" t="n">
        <f aca="true">MAX(E34*(1+NORMINV(RAND(),$C$6,$E$6))-MonthlyExp*12*(1+Inflation)^(4-1),0)</f>
        <v>24234263.5671532</v>
      </c>
      <c r="G34" s="32" t="n">
        <f aca="true">MAX(F34*(1+NORMINV(RAND(),$C$6,$E$6))-MonthlyExp*12*(1+Inflation)^(5-1),0)</f>
        <v>25577422.7925541</v>
      </c>
      <c r="H34" s="32" t="n">
        <f aca="true">MAX(G34*(1+NORMINV(RAND(),$C$6,$E$6))-MonthlyExp*12*(1+Inflation)^(6-1),0)</f>
        <v>20354520.4816969</v>
      </c>
      <c r="I34" s="32" t="n">
        <f aca="true">MAX(H34*(1+NORMINV(RAND(),$C$6,$E$6))-MonthlyExp*12*(1+Inflation)^(7-1),0)</f>
        <v>19407275.9257295</v>
      </c>
      <c r="J34" s="32" t="n">
        <f aca="true">MAX(I34*(1+NORMINV(RAND(),$C$6,$E$6))-MonthlyExp*12*(1+Inflation)^(8-1),0)</f>
        <v>24226956.9518156</v>
      </c>
      <c r="K34" s="32" t="n">
        <f aca="true">MAX(J34*(1+NORMINV(RAND(),$C$6,$E$6))-MonthlyExp*12*(1+Inflation)^(9-1),0)</f>
        <v>24210714.0333943</v>
      </c>
      <c r="L34" s="32" t="n">
        <f aca="true">MAX(K34*(1+NORMINV(RAND(),$C$6,$E$6))-MonthlyExp*12*(1+Inflation)^(10-1),0)</f>
        <v>22166838.8640345</v>
      </c>
      <c r="M34" s="32" t="n">
        <f aca="true">MAX(L34*(1+NORMINV(RAND(),$C$6,$E$6))-MonthlyExp*12*(1+Inflation)^(11-1),0)</f>
        <v>26194206.8203165</v>
      </c>
      <c r="N34" s="32" t="n">
        <f aca="true">MAX(M34*(1+NORMINV(RAND(),$C$6,$E$6))-MonthlyExp*12*(1+Inflation)^(12-1),0)</f>
        <v>28906967.1026264</v>
      </c>
      <c r="O34" s="32" t="n">
        <f aca="true">MAX(N34*(1+NORMINV(RAND(),$C$6,$E$6))-MonthlyExp*12*(1+Inflation)^(13-1),0)</f>
        <v>31982356.246892</v>
      </c>
      <c r="P34" s="32" t="n">
        <f aca="true">MAX(O34*(1+NORMINV(RAND(),$C$6,$E$6))-MonthlyExp*12*(1+Inflation)^(14-1),0)</f>
        <v>31988448.315496</v>
      </c>
      <c r="Q34" s="32" t="n">
        <f aca="true">MAX(P34*(1+NORMINV(RAND(),$C$6,$E$6))-MonthlyExp*12*(1+Inflation)^(15-1),0)</f>
        <v>35461674.3244229</v>
      </c>
      <c r="R34" s="32" t="n">
        <f aca="true">MAX(Q34*(1+NORMINV(RAND(),$C$6,$E$6))-MonthlyExp*12*(1+Inflation)^(16-1),0)</f>
        <v>34030477.2301031</v>
      </c>
      <c r="S34" s="32" t="n">
        <f aca="true">MAX(R34*(1+NORMINV(RAND(),$C$6,$E$6))-MonthlyExp*12*(1+Inflation)^(17-1),0)</f>
        <v>32401626.8063478</v>
      </c>
      <c r="T34" s="32" t="n">
        <f aca="true">MAX(S34*(1+NORMINV(RAND(),$C$6,$E$6))-MonthlyExp*12*(1+Inflation)^(18-1),0)</f>
        <v>34836641.0829556</v>
      </c>
      <c r="U34" s="32" t="n">
        <f aca="true">MAX(T34*(1+NORMINV(RAND(),$C$6,$E$6))-MonthlyExp*12*(1+Inflation)^(19-1),0)</f>
        <v>39728965.1952274</v>
      </c>
      <c r="V34" s="32" t="n">
        <f aca="true">MAX(U34*(1+NORMINV(RAND(),$C$6,$E$6))-MonthlyExp*12*(1+Inflation)^(20-1),0)</f>
        <v>45082913.7768848</v>
      </c>
      <c r="W34" s="32" t="n">
        <f aca="true">MAX(V34*(1+NORMINV(RAND(),$C$6,$E$6))-MonthlyExp*12*(1+Inflation)^(21-1),0)</f>
        <v>45282888.8163109</v>
      </c>
      <c r="X34" s="32" t="n">
        <f aca="true">MAX(W34*(1+NORMINV(RAND(),$C$6,$E$6))-MonthlyExp*12*(1+Inflation)^(22-1),0)</f>
        <v>47432637.1186033</v>
      </c>
      <c r="Y34" s="32" t="n">
        <f aca="true">MAX(X34*(1+NORMINV(RAND(),$C$6,$E$6))-MonthlyExp*12*(1+Inflation)^(23-1),0)</f>
        <v>49612797.8642372</v>
      </c>
      <c r="Z34" s="32" t="n">
        <f aca="true">MAX(Y34*(1+NORMINV(RAND(),$C$6,$E$6))-MonthlyExp*12*(1+Inflation)^(24-1),0)</f>
        <v>58308735.0911244</v>
      </c>
      <c r="AA34" s="32" t="n">
        <f aca="true">MAX(Z34*(1+NORMINV(RAND(),$C$6,$E$6))-MonthlyExp*12*(1+Inflation)^(25-1),0)</f>
        <v>72629825.2280511</v>
      </c>
      <c r="AB34" s="32" t="n">
        <f aca="true">MAX(AA34*(1+NORMINV(RAND(),$C$6,$E$6))-MonthlyExp*12*(1+Inflation)^(26-1),0)</f>
        <v>87695884.6409821</v>
      </c>
      <c r="AC34" s="32" t="n">
        <f aca="true">MAX(AB34*(1+NORMINV(RAND(),$C$6,$E$6))-MonthlyExp*12*(1+Inflation)^(27-1),0)</f>
        <v>80883621.3196292</v>
      </c>
      <c r="AD34" s="32" t="n">
        <f aca="true">MAX(AC34*(1+NORMINV(RAND(),$C$6,$E$6))-MonthlyExp*12*(1+Inflation)^(28-1),0)</f>
        <v>84668699.8287981</v>
      </c>
      <c r="AE34" s="32" t="n">
        <f aca="true">MAX(AD34*(1+NORMINV(RAND(),$C$6,$E$6))-MonthlyExp*12*(1+Inflation)^(29-1),0)</f>
        <v>92023872.2273095</v>
      </c>
      <c r="AF34" s="32" t="n">
        <f aca="true">MAX(AE34*(1+NORMINV(RAND(),$C$6,$E$6))-MonthlyExp*12*(1+Inflation)^(30-1),0)</f>
        <v>92593338.533777</v>
      </c>
    </row>
    <row r="35" customFormat="false" ht="15" hidden="false" customHeight="false" outlineLevel="0" collapsed="false">
      <c r="A35" s="30" t="n">
        <v>27</v>
      </c>
      <c r="B35" s="31" t="n">
        <f aca="false">Corpus</f>
        <v>20000000</v>
      </c>
      <c r="C35" s="32" t="n">
        <f aca="true">MAX(B35*(1+NORMINV(RAND(),$C$6,$E$6))-MonthlyExp*12*(1+Inflation)^(1-1),0)</f>
        <v>22143495.4374773</v>
      </c>
      <c r="D35" s="32" t="n">
        <f aca="true">MAX(C35*(1+NORMINV(RAND(),$C$6,$E$6))-MonthlyExp*12*(1+Inflation)^(2-1),0)</f>
        <v>25430253.5248687</v>
      </c>
      <c r="E35" s="32" t="n">
        <f aca="true">MAX(D35*(1+NORMINV(RAND(),$C$6,$E$6))-MonthlyExp*12*(1+Inflation)^(3-1),0)</f>
        <v>27122485.7314176</v>
      </c>
      <c r="F35" s="32" t="n">
        <f aca="true">MAX(E35*(1+NORMINV(RAND(),$C$6,$E$6))-MonthlyExp*12*(1+Inflation)^(4-1),0)</f>
        <v>27859749.1010313</v>
      </c>
      <c r="G35" s="32" t="n">
        <f aca="true">MAX(F35*(1+NORMINV(RAND(),$C$6,$E$6))-MonthlyExp*12*(1+Inflation)^(5-1),0)</f>
        <v>29615361.8859765</v>
      </c>
      <c r="H35" s="32" t="n">
        <f aca="true">MAX(G35*(1+NORMINV(RAND(),$C$6,$E$6))-MonthlyExp*12*(1+Inflation)^(6-1),0)</f>
        <v>28724783.3358805</v>
      </c>
      <c r="I35" s="32" t="n">
        <f aca="true">MAX(H35*(1+NORMINV(RAND(),$C$6,$E$6))-MonthlyExp*12*(1+Inflation)^(7-1),0)</f>
        <v>30608028.7914295</v>
      </c>
      <c r="J35" s="32" t="n">
        <f aca="true">MAX(I35*(1+NORMINV(RAND(),$C$6,$E$6))-MonthlyExp*12*(1+Inflation)^(8-1),0)</f>
        <v>35929846.0302546</v>
      </c>
      <c r="K35" s="32" t="n">
        <f aca="true">MAX(J35*(1+NORMINV(RAND(),$C$6,$E$6))-MonthlyExp*12*(1+Inflation)^(9-1),0)</f>
        <v>38388128.8653348</v>
      </c>
      <c r="L35" s="32" t="n">
        <f aca="true">MAX(K35*(1+NORMINV(RAND(),$C$6,$E$6))-MonthlyExp*12*(1+Inflation)^(10-1),0)</f>
        <v>41073212.9638665</v>
      </c>
      <c r="M35" s="32" t="n">
        <f aca="true">MAX(L35*(1+NORMINV(RAND(),$C$6,$E$6))-MonthlyExp*12*(1+Inflation)^(11-1),0)</f>
        <v>38223013.5664604</v>
      </c>
      <c r="N35" s="32" t="n">
        <f aca="true">MAX(M35*(1+NORMINV(RAND(),$C$6,$E$6))-MonthlyExp*12*(1+Inflation)^(12-1),0)</f>
        <v>37887927.4341051</v>
      </c>
      <c r="O35" s="32" t="n">
        <f aca="true">MAX(N35*(1+NORMINV(RAND(),$C$6,$E$6))-MonthlyExp*12*(1+Inflation)^(13-1),0)</f>
        <v>38587514.2860642</v>
      </c>
      <c r="P35" s="32" t="n">
        <f aca="true">MAX(O35*(1+NORMINV(RAND(),$C$6,$E$6))-MonthlyExp*12*(1+Inflation)^(14-1),0)</f>
        <v>43841364.5834325</v>
      </c>
      <c r="Q35" s="32" t="n">
        <f aca="true">MAX(P35*(1+NORMINV(RAND(),$C$6,$E$6))-MonthlyExp*12*(1+Inflation)^(15-1),0)</f>
        <v>44801131.4511805</v>
      </c>
      <c r="R35" s="32" t="n">
        <f aca="true">MAX(Q35*(1+NORMINV(RAND(),$C$6,$E$6))-MonthlyExp*12*(1+Inflation)^(16-1),0)</f>
        <v>47178981.9224783</v>
      </c>
      <c r="S35" s="32" t="n">
        <f aca="true">MAX(R35*(1+NORMINV(RAND(),$C$6,$E$6))-MonthlyExp*12*(1+Inflation)^(17-1),0)</f>
        <v>58349062.9772518</v>
      </c>
      <c r="T35" s="32" t="n">
        <f aca="true">MAX(S35*(1+NORMINV(RAND(),$C$6,$E$6))-MonthlyExp*12*(1+Inflation)^(18-1),0)</f>
        <v>64855649.8791325</v>
      </c>
      <c r="U35" s="32" t="n">
        <f aca="true">MAX(T35*(1+NORMINV(RAND(),$C$6,$E$6))-MonthlyExp*12*(1+Inflation)^(19-1),0)</f>
        <v>65964950.8942405</v>
      </c>
      <c r="V35" s="32" t="n">
        <f aca="true">MAX(U35*(1+NORMINV(RAND(),$C$6,$E$6))-MonthlyExp*12*(1+Inflation)^(20-1),0)</f>
        <v>67991952.1295826</v>
      </c>
      <c r="W35" s="32" t="n">
        <f aca="true">MAX(V35*(1+NORMINV(RAND(),$C$6,$E$6))-MonthlyExp*12*(1+Inflation)^(21-1),0)</f>
        <v>77173751.7687597</v>
      </c>
      <c r="X35" s="32" t="n">
        <f aca="true">MAX(W35*(1+NORMINV(RAND(),$C$6,$E$6))-MonthlyExp*12*(1+Inflation)^(22-1),0)</f>
        <v>75128265.8511272</v>
      </c>
      <c r="Y35" s="32" t="n">
        <f aca="true">MAX(X35*(1+NORMINV(RAND(),$C$6,$E$6))-MonthlyExp*12*(1+Inflation)^(23-1),0)</f>
        <v>70566221.7597885</v>
      </c>
      <c r="Z35" s="32" t="n">
        <f aca="true">MAX(Y35*(1+NORMINV(RAND(),$C$6,$E$6))-MonthlyExp*12*(1+Inflation)^(24-1),0)</f>
        <v>73567005.7318442</v>
      </c>
      <c r="AA35" s="32" t="n">
        <f aca="true">MAX(Z35*(1+NORMINV(RAND(),$C$6,$E$6))-MonthlyExp*12*(1+Inflation)^(25-1),0)</f>
        <v>81177558.2951381</v>
      </c>
      <c r="AB35" s="32" t="n">
        <f aca="true">MAX(AA35*(1+NORMINV(RAND(),$C$6,$E$6))-MonthlyExp*12*(1+Inflation)^(26-1),0)</f>
        <v>83565640.0883587</v>
      </c>
      <c r="AC35" s="32" t="n">
        <f aca="true">MAX(AB35*(1+NORMINV(RAND(),$C$6,$E$6))-MonthlyExp*12*(1+Inflation)^(27-1),0)</f>
        <v>84281637.8334761</v>
      </c>
      <c r="AD35" s="32" t="n">
        <f aca="true">MAX(AC35*(1+NORMINV(RAND(),$C$6,$E$6))-MonthlyExp*12*(1+Inflation)^(28-1),0)</f>
        <v>88540897.9744414</v>
      </c>
      <c r="AE35" s="32" t="n">
        <f aca="true">MAX(AD35*(1+NORMINV(RAND(),$C$6,$E$6))-MonthlyExp*12*(1+Inflation)^(29-1),0)</f>
        <v>99360952.131873</v>
      </c>
      <c r="AF35" s="32" t="n">
        <f aca="true">MAX(AE35*(1+NORMINV(RAND(),$C$6,$E$6))-MonthlyExp*12*(1+Inflation)^(30-1),0)</f>
        <v>102485583.667537</v>
      </c>
    </row>
    <row r="36" customFormat="false" ht="15" hidden="false" customHeight="false" outlineLevel="0" collapsed="false">
      <c r="A36" s="30" t="n">
        <v>28</v>
      </c>
      <c r="B36" s="31" t="n">
        <f aca="false">Corpus</f>
        <v>20000000</v>
      </c>
      <c r="C36" s="32" t="n">
        <f aca="true">MAX(B36*(1+NORMINV(RAND(),$C$6,$E$6))-MonthlyExp*12*(1+Inflation)^(1-1),0)</f>
        <v>20223648.5526839</v>
      </c>
      <c r="D36" s="32" t="n">
        <f aca="true">MAX(C36*(1+NORMINV(RAND(),$C$6,$E$6))-MonthlyExp*12*(1+Inflation)^(2-1),0)</f>
        <v>23830719.9210343</v>
      </c>
      <c r="E36" s="32" t="n">
        <f aca="true">MAX(D36*(1+NORMINV(RAND(),$C$6,$E$6))-MonthlyExp*12*(1+Inflation)^(3-1),0)</f>
        <v>25438887.7734658</v>
      </c>
      <c r="F36" s="32" t="n">
        <f aca="true">MAX(E36*(1+NORMINV(RAND(),$C$6,$E$6))-MonthlyExp*12*(1+Inflation)^(4-1),0)</f>
        <v>26880071.0171397</v>
      </c>
      <c r="G36" s="32" t="n">
        <f aca="true">MAX(F36*(1+NORMINV(RAND(),$C$6,$E$6))-MonthlyExp*12*(1+Inflation)^(5-1),0)</f>
        <v>32206321.6819148</v>
      </c>
      <c r="H36" s="32" t="n">
        <f aca="true">MAX(G36*(1+NORMINV(RAND(),$C$6,$E$6))-MonthlyExp*12*(1+Inflation)^(6-1),0)</f>
        <v>33513350.8369381</v>
      </c>
      <c r="I36" s="32" t="n">
        <f aca="true">MAX(H36*(1+NORMINV(RAND(),$C$6,$E$6))-MonthlyExp*12*(1+Inflation)^(7-1),0)</f>
        <v>36102631.4939089</v>
      </c>
      <c r="J36" s="32" t="n">
        <f aca="true">MAX(I36*(1+NORMINV(RAND(),$C$6,$E$6))-MonthlyExp*12*(1+Inflation)^(8-1),0)</f>
        <v>42569168.6649869</v>
      </c>
      <c r="K36" s="32" t="n">
        <f aca="true">MAX(J36*(1+NORMINV(RAND(),$C$6,$E$6))-MonthlyExp*12*(1+Inflation)^(9-1),0)</f>
        <v>44663874.0508264</v>
      </c>
      <c r="L36" s="32" t="n">
        <f aca="true">MAX(K36*(1+NORMINV(RAND(),$C$6,$E$6))-MonthlyExp*12*(1+Inflation)^(10-1),0)</f>
        <v>53570371.7050459</v>
      </c>
      <c r="M36" s="32" t="n">
        <f aca="true">MAX(L36*(1+NORMINV(RAND(),$C$6,$E$6))-MonthlyExp*12*(1+Inflation)^(11-1),0)</f>
        <v>58126286.9757769</v>
      </c>
      <c r="N36" s="32" t="n">
        <f aca="true">MAX(M36*(1+NORMINV(RAND(),$C$6,$E$6))-MonthlyExp*12*(1+Inflation)^(12-1),0)</f>
        <v>66210843.3078963</v>
      </c>
      <c r="O36" s="32" t="n">
        <f aca="true">MAX(N36*(1+NORMINV(RAND(),$C$6,$E$6))-MonthlyExp*12*(1+Inflation)^(13-1),0)</f>
        <v>70634580.5886292</v>
      </c>
      <c r="P36" s="32" t="n">
        <f aca="true">MAX(O36*(1+NORMINV(RAND(),$C$6,$E$6))-MonthlyExp*12*(1+Inflation)^(14-1),0)</f>
        <v>79974350.3427528</v>
      </c>
      <c r="Q36" s="32" t="n">
        <f aca="true">MAX(P36*(1+NORMINV(RAND(),$C$6,$E$6))-MonthlyExp*12*(1+Inflation)^(15-1),0)</f>
        <v>91737610.9861612</v>
      </c>
      <c r="R36" s="32" t="n">
        <f aca="true">MAX(Q36*(1+NORMINV(RAND(),$C$6,$E$6))-MonthlyExp*12*(1+Inflation)^(16-1),0)</f>
        <v>95949857.6785288</v>
      </c>
      <c r="S36" s="32" t="n">
        <f aca="true">MAX(R36*(1+NORMINV(RAND(),$C$6,$E$6))-MonthlyExp*12*(1+Inflation)^(17-1),0)</f>
        <v>105310977.11085</v>
      </c>
      <c r="T36" s="32" t="n">
        <f aca="true">MAX(S36*(1+NORMINV(RAND(),$C$6,$E$6))-MonthlyExp*12*(1+Inflation)^(18-1),0)</f>
        <v>96631555.3237208</v>
      </c>
      <c r="U36" s="32" t="n">
        <f aca="true">MAX(T36*(1+NORMINV(RAND(),$C$6,$E$6))-MonthlyExp*12*(1+Inflation)^(19-1),0)</f>
        <v>106851061.89417</v>
      </c>
      <c r="V36" s="32" t="n">
        <f aca="true">MAX(U36*(1+NORMINV(RAND(),$C$6,$E$6))-MonthlyExp*12*(1+Inflation)^(20-1),0)</f>
        <v>120134404.768429</v>
      </c>
      <c r="W36" s="32" t="n">
        <f aca="true">MAX(V36*(1+NORMINV(RAND(),$C$6,$E$6))-MonthlyExp*12*(1+Inflation)^(21-1),0)</f>
        <v>128090569.985868</v>
      </c>
      <c r="X36" s="32" t="n">
        <f aca="true">MAX(W36*(1+NORMINV(RAND(),$C$6,$E$6))-MonthlyExp*12*(1+Inflation)^(22-1),0)</f>
        <v>130900141.224109</v>
      </c>
      <c r="Y36" s="32" t="n">
        <f aca="true">MAX(X36*(1+NORMINV(RAND(),$C$6,$E$6))-MonthlyExp*12*(1+Inflation)^(23-1),0)</f>
        <v>150166833.650079</v>
      </c>
      <c r="Z36" s="32" t="n">
        <f aca="true">MAX(Y36*(1+NORMINV(RAND(),$C$6,$E$6))-MonthlyExp*12*(1+Inflation)^(24-1),0)</f>
        <v>159770084.608545</v>
      </c>
      <c r="AA36" s="32" t="n">
        <f aca="true">MAX(Z36*(1+NORMINV(RAND(),$C$6,$E$6))-MonthlyExp*12*(1+Inflation)^(25-1),0)</f>
        <v>169471677.871231</v>
      </c>
      <c r="AB36" s="32" t="n">
        <f aca="true">MAX(AA36*(1+NORMINV(RAND(),$C$6,$E$6))-MonthlyExp*12*(1+Inflation)^(26-1),0)</f>
        <v>189472765.376241</v>
      </c>
      <c r="AC36" s="32" t="n">
        <f aca="true">MAX(AB36*(1+NORMINV(RAND(),$C$6,$E$6))-MonthlyExp*12*(1+Inflation)^(27-1),0)</f>
        <v>218814777.858287</v>
      </c>
      <c r="AD36" s="32" t="n">
        <f aca="true">MAX(AC36*(1+NORMINV(RAND(),$C$6,$E$6))-MonthlyExp*12*(1+Inflation)^(28-1),0)</f>
        <v>242692154.33334</v>
      </c>
      <c r="AE36" s="32" t="n">
        <f aca="true">MAX(AD36*(1+NORMINV(RAND(),$C$6,$E$6))-MonthlyExp*12*(1+Inflation)^(29-1),0)</f>
        <v>259997079.351354</v>
      </c>
      <c r="AF36" s="32" t="n">
        <f aca="true">MAX(AE36*(1+NORMINV(RAND(),$C$6,$E$6))-MonthlyExp*12*(1+Inflation)^(30-1),0)</f>
        <v>291738857.7405</v>
      </c>
    </row>
    <row r="37" customFormat="false" ht="15" hidden="false" customHeight="false" outlineLevel="0" collapsed="false">
      <c r="A37" s="30" t="n">
        <v>29</v>
      </c>
      <c r="B37" s="31" t="n">
        <f aca="false">Corpus</f>
        <v>20000000</v>
      </c>
      <c r="C37" s="32" t="n">
        <f aca="true">MAX(B37*(1+NORMINV(RAND(),$C$6,$E$6))-MonthlyExp*12*(1+Inflation)^(1-1),0)</f>
        <v>21289141.2105032</v>
      </c>
      <c r="D37" s="32" t="n">
        <f aca="true">MAX(C37*(1+NORMINV(RAND(),$C$6,$E$6))-MonthlyExp*12*(1+Inflation)^(2-1),0)</f>
        <v>23012755.7149063</v>
      </c>
      <c r="E37" s="32" t="n">
        <f aca="true">MAX(D37*(1+NORMINV(RAND(),$C$6,$E$6))-MonthlyExp*12*(1+Inflation)^(3-1),0)</f>
        <v>25014952.3866432</v>
      </c>
      <c r="F37" s="32" t="n">
        <f aca="true">MAX(E37*(1+NORMINV(RAND(),$C$6,$E$6))-MonthlyExp*12*(1+Inflation)^(4-1),0)</f>
        <v>24902658.8512864</v>
      </c>
      <c r="G37" s="32" t="n">
        <f aca="true">MAX(F37*(1+NORMINV(RAND(),$C$6,$E$6))-MonthlyExp*12*(1+Inflation)^(5-1),0)</f>
        <v>25819113.8520187</v>
      </c>
      <c r="H37" s="32" t="n">
        <f aca="true">MAX(G37*(1+NORMINV(RAND(),$C$6,$E$6))-MonthlyExp*12*(1+Inflation)^(6-1),0)</f>
        <v>25148329.0018089</v>
      </c>
      <c r="I37" s="32" t="n">
        <f aca="true">MAX(H37*(1+NORMINV(RAND(),$C$6,$E$6))-MonthlyExp*12*(1+Inflation)^(7-1),0)</f>
        <v>25916850.3555761</v>
      </c>
      <c r="J37" s="32" t="n">
        <f aca="true">MAX(I37*(1+NORMINV(RAND(),$C$6,$E$6))-MonthlyExp*12*(1+Inflation)^(8-1),0)</f>
        <v>27189987.0728954</v>
      </c>
      <c r="K37" s="32" t="n">
        <f aca="true">MAX(J37*(1+NORMINV(RAND(),$C$6,$E$6))-MonthlyExp*12*(1+Inflation)^(9-1),0)</f>
        <v>33028188.2959907</v>
      </c>
      <c r="L37" s="32" t="n">
        <f aca="true">MAX(K37*(1+NORMINV(RAND(),$C$6,$E$6))-MonthlyExp*12*(1+Inflation)^(10-1),0)</f>
        <v>36186864.651898</v>
      </c>
      <c r="M37" s="32" t="n">
        <f aca="true">MAX(L37*(1+NORMINV(RAND(),$C$6,$E$6))-MonthlyExp*12*(1+Inflation)^(11-1),0)</f>
        <v>37204881.1756628</v>
      </c>
      <c r="N37" s="32" t="n">
        <f aca="true">MAX(M37*(1+NORMINV(RAND(),$C$6,$E$6))-MonthlyExp*12*(1+Inflation)^(12-1),0)</f>
        <v>34855328.3193997</v>
      </c>
      <c r="O37" s="32" t="n">
        <f aca="true">MAX(N37*(1+NORMINV(RAND(),$C$6,$E$6))-MonthlyExp*12*(1+Inflation)^(13-1),0)</f>
        <v>32201806.9989432</v>
      </c>
      <c r="P37" s="32" t="n">
        <f aca="true">MAX(O37*(1+NORMINV(RAND(),$C$6,$E$6))-MonthlyExp*12*(1+Inflation)^(14-1),0)</f>
        <v>32563057.5959562</v>
      </c>
      <c r="Q37" s="32" t="n">
        <f aca="true">MAX(P37*(1+NORMINV(RAND(),$C$6,$E$6))-MonthlyExp*12*(1+Inflation)^(15-1),0)</f>
        <v>36961255.757315</v>
      </c>
      <c r="R37" s="32" t="n">
        <f aca="true">MAX(Q37*(1+NORMINV(RAND(),$C$6,$E$6))-MonthlyExp*12*(1+Inflation)^(16-1),0)</f>
        <v>38994552.8081103</v>
      </c>
      <c r="S37" s="32" t="n">
        <f aca="true">MAX(R37*(1+NORMINV(RAND(),$C$6,$E$6))-MonthlyExp*12*(1+Inflation)^(17-1),0)</f>
        <v>44306244.629757</v>
      </c>
      <c r="T37" s="32" t="n">
        <f aca="true">MAX(S37*(1+NORMINV(RAND(),$C$6,$E$6))-MonthlyExp*12*(1+Inflation)^(18-1),0)</f>
        <v>45179230.6019188</v>
      </c>
      <c r="U37" s="32" t="n">
        <f aca="true">MAX(T37*(1+NORMINV(RAND(),$C$6,$E$6))-MonthlyExp*12*(1+Inflation)^(19-1),0)</f>
        <v>52123569.1476536</v>
      </c>
      <c r="V37" s="32" t="n">
        <f aca="true">MAX(U37*(1+NORMINV(RAND(),$C$6,$E$6))-MonthlyExp*12*(1+Inflation)^(20-1),0)</f>
        <v>60302877.118577</v>
      </c>
      <c r="W37" s="32" t="n">
        <f aca="true">MAX(V37*(1+NORMINV(RAND(),$C$6,$E$6))-MonthlyExp*12*(1+Inflation)^(21-1),0)</f>
        <v>61999034.5565222</v>
      </c>
      <c r="X37" s="32" t="n">
        <f aca="true">MAX(W37*(1+NORMINV(RAND(),$C$6,$E$6))-MonthlyExp*12*(1+Inflation)^(22-1),0)</f>
        <v>64262574.9711171</v>
      </c>
      <c r="Y37" s="32" t="n">
        <f aca="true">MAX(X37*(1+NORMINV(RAND(),$C$6,$E$6))-MonthlyExp*12*(1+Inflation)^(23-1),0)</f>
        <v>62297625.7906177</v>
      </c>
      <c r="Z37" s="32" t="n">
        <f aca="true">MAX(Y37*(1+NORMINV(RAND(),$C$6,$E$6))-MonthlyExp*12*(1+Inflation)^(24-1),0)</f>
        <v>67188272.0564221</v>
      </c>
      <c r="AA37" s="32" t="n">
        <f aca="true">MAX(Z37*(1+NORMINV(RAND(),$C$6,$E$6))-MonthlyExp*12*(1+Inflation)^(25-1),0)</f>
        <v>63489626.9641347</v>
      </c>
      <c r="AB37" s="32" t="n">
        <f aca="true">MAX(AA37*(1+NORMINV(RAND(),$C$6,$E$6))-MonthlyExp*12*(1+Inflation)^(26-1),0)</f>
        <v>61641326.4372821</v>
      </c>
      <c r="AC37" s="32" t="n">
        <f aca="true">MAX(AB37*(1+NORMINV(RAND(),$C$6,$E$6))-MonthlyExp*12*(1+Inflation)^(27-1),0)</f>
        <v>72789282.9834226</v>
      </c>
      <c r="AD37" s="32" t="n">
        <f aca="true">MAX(AC37*(1+NORMINV(RAND(),$C$6,$E$6))-MonthlyExp*12*(1+Inflation)^(28-1),0)</f>
        <v>74702542.5157544</v>
      </c>
      <c r="AE37" s="32" t="n">
        <f aca="true">MAX(AD37*(1+NORMINV(RAND(),$C$6,$E$6))-MonthlyExp*12*(1+Inflation)^(29-1),0)</f>
        <v>89034071.5167078</v>
      </c>
      <c r="AF37" s="32" t="n">
        <f aca="true">MAX(AE37*(1+NORMINV(RAND(),$C$6,$E$6))-MonthlyExp*12*(1+Inflation)^(30-1),0)</f>
        <v>94938756.6386593</v>
      </c>
    </row>
    <row r="38" customFormat="false" ht="15" hidden="false" customHeight="false" outlineLevel="0" collapsed="false">
      <c r="A38" s="30" t="n">
        <v>30</v>
      </c>
      <c r="B38" s="31" t="n">
        <f aca="false">Corpus</f>
        <v>20000000</v>
      </c>
      <c r="C38" s="32" t="n">
        <f aca="true">MAX(B38*(1+NORMINV(RAND(),$C$6,$E$6))-MonthlyExp*12*(1+Inflation)^(1-1),0)</f>
        <v>19984221.9408775</v>
      </c>
      <c r="D38" s="32" t="n">
        <f aca="true">MAX(C38*(1+NORMINV(RAND(),$C$6,$E$6))-MonthlyExp*12*(1+Inflation)^(2-1),0)</f>
        <v>22555772.7213054</v>
      </c>
      <c r="E38" s="32" t="n">
        <f aca="true">MAX(D38*(1+NORMINV(RAND(),$C$6,$E$6))-MonthlyExp*12*(1+Inflation)^(3-1),0)</f>
        <v>23714067.3326216</v>
      </c>
      <c r="F38" s="32" t="n">
        <f aca="true">MAX(E38*(1+NORMINV(RAND(),$C$6,$E$6))-MonthlyExp*12*(1+Inflation)^(4-1),0)</f>
        <v>25998614.1179992</v>
      </c>
      <c r="G38" s="32" t="n">
        <f aca="true">MAX(F38*(1+NORMINV(RAND(),$C$6,$E$6))-MonthlyExp*12*(1+Inflation)^(5-1),0)</f>
        <v>28039759.1355861</v>
      </c>
      <c r="H38" s="32" t="n">
        <f aca="true">MAX(G38*(1+NORMINV(RAND(),$C$6,$E$6))-MonthlyExp*12*(1+Inflation)^(6-1),0)</f>
        <v>34031723.3454833</v>
      </c>
      <c r="I38" s="32" t="n">
        <f aca="true">MAX(H38*(1+NORMINV(RAND(),$C$6,$E$6))-MonthlyExp*12*(1+Inflation)^(7-1),0)</f>
        <v>34640103.9311832</v>
      </c>
      <c r="J38" s="32" t="n">
        <f aca="true">MAX(I38*(1+NORMINV(RAND(),$C$6,$E$6))-MonthlyExp*12*(1+Inflation)^(8-1),0)</f>
        <v>38659940.598893</v>
      </c>
      <c r="K38" s="32" t="n">
        <f aca="true">MAX(J38*(1+NORMINV(RAND(),$C$6,$E$6))-MonthlyExp*12*(1+Inflation)^(9-1),0)</f>
        <v>37979263.0587108</v>
      </c>
      <c r="L38" s="32" t="n">
        <f aca="true">MAX(K38*(1+NORMINV(RAND(),$C$6,$E$6))-MonthlyExp*12*(1+Inflation)^(10-1),0)</f>
        <v>44007513.7523888</v>
      </c>
      <c r="M38" s="32" t="n">
        <f aca="true">MAX(L38*(1+NORMINV(RAND(),$C$6,$E$6))-MonthlyExp*12*(1+Inflation)^(11-1),0)</f>
        <v>47694905.1919029</v>
      </c>
      <c r="N38" s="32" t="n">
        <f aca="true">MAX(M38*(1+NORMINV(RAND(),$C$6,$E$6))-MonthlyExp*12*(1+Inflation)^(12-1),0)</f>
        <v>55430454.1291849</v>
      </c>
      <c r="O38" s="32" t="n">
        <f aca="true">MAX(N38*(1+NORMINV(RAND(),$C$6,$E$6))-MonthlyExp*12*(1+Inflation)^(13-1),0)</f>
        <v>59259747.7485154</v>
      </c>
      <c r="P38" s="32" t="n">
        <f aca="true">MAX(O38*(1+NORMINV(RAND(),$C$6,$E$6))-MonthlyExp*12*(1+Inflation)^(14-1),0)</f>
        <v>61337775.803134</v>
      </c>
      <c r="Q38" s="32" t="n">
        <f aca="true">MAX(P38*(1+NORMINV(RAND(),$C$6,$E$6))-MonthlyExp*12*(1+Inflation)^(15-1),0)</f>
        <v>60943611.5113354</v>
      </c>
      <c r="R38" s="32" t="n">
        <f aca="true">MAX(Q38*(1+NORMINV(RAND(),$C$6,$E$6))-MonthlyExp*12*(1+Inflation)^(16-1),0)</f>
        <v>61638491.4656077</v>
      </c>
      <c r="S38" s="32" t="n">
        <f aca="true">MAX(R38*(1+NORMINV(RAND(),$C$6,$E$6))-MonthlyExp*12*(1+Inflation)^(17-1),0)</f>
        <v>69898449.6074971</v>
      </c>
      <c r="T38" s="32" t="n">
        <f aca="true">MAX(S38*(1+NORMINV(RAND(),$C$6,$E$6))-MonthlyExp*12*(1+Inflation)^(18-1),0)</f>
        <v>76609495.5054474</v>
      </c>
      <c r="U38" s="32" t="n">
        <f aca="true">MAX(T38*(1+NORMINV(RAND(),$C$6,$E$6))-MonthlyExp*12*(1+Inflation)^(19-1),0)</f>
        <v>84003362.6215048</v>
      </c>
      <c r="V38" s="32" t="n">
        <f aca="true">MAX(U38*(1+NORMINV(RAND(),$C$6,$E$6))-MonthlyExp*12*(1+Inflation)^(20-1),0)</f>
        <v>91833256.810137</v>
      </c>
      <c r="W38" s="32" t="n">
        <f aca="true">MAX(V38*(1+NORMINV(RAND(),$C$6,$E$6))-MonthlyExp*12*(1+Inflation)^(21-1),0)</f>
        <v>107533592.290643</v>
      </c>
      <c r="X38" s="32" t="n">
        <f aca="true">MAX(W38*(1+NORMINV(RAND(),$C$6,$E$6))-MonthlyExp*12*(1+Inflation)^(22-1),0)</f>
        <v>108517245.566935</v>
      </c>
      <c r="Y38" s="32" t="n">
        <f aca="true">MAX(X38*(1+NORMINV(RAND(),$C$6,$E$6))-MonthlyExp*12*(1+Inflation)^(23-1),0)</f>
        <v>116258313.091467</v>
      </c>
      <c r="Z38" s="32" t="n">
        <f aca="true">MAX(Y38*(1+NORMINV(RAND(),$C$6,$E$6))-MonthlyExp*12*(1+Inflation)^(24-1),0)</f>
        <v>131441647.133334</v>
      </c>
      <c r="AA38" s="32" t="n">
        <f aca="true">MAX(Z38*(1+NORMINV(RAND(),$C$6,$E$6))-MonthlyExp*12*(1+Inflation)^(25-1),0)</f>
        <v>165826726.616606</v>
      </c>
      <c r="AB38" s="32" t="n">
        <f aca="true">MAX(AA38*(1+NORMINV(RAND(),$C$6,$E$6))-MonthlyExp*12*(1+Inflation)^(26-1),0)</f>
        <v>177484694.329137</v>
      </c>
      <c r="AC38" s="32" t="n">
        <f aca="true">MAX(AB38*(1+NORMINV(RAND(),$C$6,$E$6))-MonthlyExp*12*(1+Inflation)^(27-1),0)</f>
        <v>200991321.427374</v>
      </c>
      <c r="AD38" s="32" t="n">
        <f aca="true">MAX(AC38*(1+NORMINV(RAND(),$C$6,$E$6))-MonthlyExp*12*(1+Inflation)^(28-1),0)</f>
        <v>211531384.212337</v>
      </c>
      <c r="AE38" s="32" t="n">
        <f aca="true">MAX(AD38*(1+NORMINV(RAND(),$C$6,$E$6))-MonthlyExp*12*(1+Inflation)^(29-1),0)</f>
        <v>239984974.62237</v>
      </c>
      <c r="AF38" s="32" t="n">
        <f aca="true">MAX(AE38*(1+NORMINV(RAND(),$C$6,$E$6))-MonthlyExp*12*(1+Inflation)^(30-1),0)</f>
        <v>258522501.897267</v>
      </c>
    </row>
    <row r="39" customFormat="false" ht="15" hidden="false" customHeight="false" outlineLevel="0" collapsed="false">
      <c r="A39" s="30" t="n">
        <v>31</v>
      </c>
      <c r="B39" s="31" t="n">
        <f aca="false">Corpus</f>
        <v>20000000</v>
      </c>
      <c r="C39" s="32" t="n">
        <f aca="true">MAX(B39*(1+NORMINV(RAND(),$C$6,$E$6))-MonthlyExp*12*(1+Inflation)^(1-1),0)</f>
        <v>24326656.8261834</v>
      </c>
      <c r="D39" s="32" t="n">
        <f aca="true">MAX(C39*(1+NORMINV(RAND(),$C$6,$E$6))-MonthlyExp*12*(1+Inflation)^(2-1),0)</f>
        <v>31811769.4768873</v>
      </c>
      <c r="E39" s="32" t="n">
        <f aca="true">MAX(D39*(1+NORMINV(RAND(),$C$6,$E$6))-MonthlyExp*12*(1+Inflation)^(3-1),0)</f>
        <v>35926252.8015541</v>
      </c>
      <c r="F39" s="32" t="n">
        <f aca="true">MAX(E39*(1+NORMINV(RAND(),$C$6,$E$6))-MonthlyExp*12*(1+Inflation)^(4-1),0)</f>
        <v>33013599.7026337</v>
      </c>
      <c r="G39" s="32" t="n">
        <f aca="true">MAX(F39*(1+NORMINV(RAND(),$C$6,$E$6))-MonthlyExp*12*(1+Inflation)^(5-1),0)</f>
        <v>36542636.9426873</v>
      </c>
      <c r="H39" s="32" t="n">
        <f aca="true">MAX(G39*(1+NORMINV(RAND(),$C$6,$E$6))-MonthlyExp*12*(1+Inflation)^(6-1),0)</f>
        <v>38801759.1601129</v>
      </c>
      <c r="I39" s="32" t="n">
        <f aca="true">MAX(H39*(1+NORMINV(RAND(),$C$6,$E$6))-MonthlyExp*12*(1+Inflation)^(7-1),0)</f>
        <v>37659893.4917089</v>
      </c>
      <c r="J39" s="32" t="n">
        <f aca="true">MAX(I39*(1+NORMINV(RAND(),$C$6,$E$6))-MonthlyExp*12*(1+Inflation)^(8-1),0)</f>
        <v>43646293.2872125</v>
      </c>
      <c r="K39" s="32" t="n">
        <f aca="true">MAX(J39*(1+NORMINV(RAND(),$C$6,$E$6))-MonthlyExp*12*(1+Inflation)^(9-1),0)</f>
        <v>48063689.3633497</v>
      </c>
      <c r="L39" s="32" t="n">
        <f aca="true">MAX(K39*(1+NORMINV(RAND(),$C$6,$E$6))-MonthlyExp*12*(1+Inflation)^(10-1),0)</f>
        <v>43232143.8780828</v>
      </c>
      <c r="M39" s="32" t="n">
        <f aca="true">MAX(L39*(1+NORMINV(RAND(),$C$6,$E$6))-MonthlyExp*12*(1+Inflation)^(11-1),0)</f>
        <v>49949049.3627803</v>
      </c>
      <c r="N39" s="32" t="n">
        <f aca="true">MAX(M39*(1+NORMINV(RAND(),$C$6,$E$6))-MonthlyExp*12*(1+Inflation)^(12-1),0)</f>
        <v>51750798.8808277</v>
      </c>
      <c r="O39" s="32" t="n">
        <f aca="true">MAX(N39*(1+NORMINV(RAND(),$C$6,$E$6))-MonthlyExp*12*(1+Inflation)^(13-1),0)</f>
        <v>56906684.7435528</v>
      </c>
      <c r="P39" s="32" t="n">
        <f aca="true">MAX(O39*(1+NORMINV(RAND(),$C$6,$E$6))-MonthlyExp*12*(1+Inflation)^(14-1),0)</f>
        <v>56029887.9708713</v>
      </c>
      <c r="Q39" s="32" t="n">
        <f aca="true">MAX(P39*(1+NORMINV(RAND(),$C$6,$E$6))-MonthlyExp*12*(1+Inflation)^(15-1),0)</f>
        <v>56133713.463398</v>
      </c>
      <c r="R39" s="32" t="n">
        <f aca="true">MAX(Q39*(1+NORMINV(RAND(),$C$6,$E$6))-MonthlyExp*12*(1+Inflation)^(16-1),0)</f>
        <v>57364797.3053786</v>
      </c>
      <c r="S39" s="32" t="n">
        <f aca="true">MAX(R39*(1+NORMINV(RAND(),$C$6,$E$6))-MonthlyExp*12*(1+Inflation)^(17-1),0)</f>
        <v>61253344.7598971</v>
      </c>
      <c r="T39" s="32" t="n">
        <f aca="true">MAX(S39*(1+NORMINV(RAND(),$C$6,$E$6))-MonthlyExp*12*(1+Inflation)^(18-1),0)</f>
        <v>63292271.3073581</v>
      </c>
      <c r="U39" s="32" t="n">
        <f aca="true">MAX(T39*(1+NORMINV(RAND(),$C$6,$E$6))-MonthlyExp*12*(1+Inflation)^(19-1),0)</f>
        <v>62888982.3210763</v>
      </c>
      <c r="V39" s="32" t="n">
        <f aca="true">MAX(U39*(1+NORMINV(RAND(),$C$6,$E$6))-MonthlyExp*12*(1+Inflation)^(20-1),0)</f>
        <v>72692723.117616</v>
      </c>
      <c r="W39" s="32" t="n">
        <f aca="true">MAX(V39*(1+NORMINV(RAND(),$C$6,$E$6))-MonthlyExp*12*(1+Inflation)^(21-1),0)</f>
        <v>84978479.8406247</v>
      </c>
      <c r="X39" s="32" t="n">
        <f aca="true">MAX(W39*(1+NORMINV(RAND(),$C$6,$E$6))-MonthlyExp*12*(1+Inflation)^(22-1),0)</f>
        <v>87209155.355273</v>
      </c>
      <c r="Y39" s="32" t="n">
        <f aca="true">MAX(X39*(1+NORMINV(RAND(),$C$6,$E$6))-MonthlyExp*12*(1+Inflation)^(23-1),0)</f>
        <v>87069912.2397374</v>
      </c>
      <c r="Z39" s="32" t="n">
        <f aca="true">MAX(Y39*(1+NORMINV(RAND(),$C$6,$E$6))-MonthlyExp*12*(1+Inflation)^(24-1),0)</f>
        <v>82601062.937945</v>
      </c>
      <c r="AA39" s="32" t="n">
        <f aca="true">MAX(Z39*(1+NORMINV(RAND(),$C$6,$E$6))-MonthlyExp*12*(1+Inflation)^(25-1),0)</f>
        <v>77653887.8666585</v>
      </c>
      <c r="AB39" s="32" t="n">
        <f aca="true">MAX(AA39*(1+NORMINV(RAND(),$C$6,$E$6))-MonthlyExp*12*(1+Inflation)^(26-1),0)</f>
        <v>96311608.4793768</v>
      </c>
      <c r="AC39" s="32" t="n">
        <f aca="true">MAX(AB39*(1+NORMINV(RAND(),$C$6,$E$6))-MonthlyExp*12*(1+Inflation)^(27-1),0)</f>
        <v>105432163.100578</v>
      </c>
      <c r="AD39" s="32" t="n">
        <f aca="true">MAX(AC39*(1+NORMINV(RAND(),$C$6,$E$6))-MonthlyExp*12*(1+Inflation)^(28-1),0)</f>
        <v>113637988.975448</v>
      </c>
      <c r="AE39" s="32" t="n">
        <f aca="true">MAX(AD39*(1+NORMINV(RAND(),$C$6,$E$6))-MonthlyExp*12*(1+Inflation)^(29-1),0)</f>
        <v>132500570.044789</v>
      </c>
      <c r="AF39" s="32" t="n">
        <f aca="true">MAX(AE39*(1+NORMINV(RAND(),$C$6,$E$6))-MonthlyExp*12*(1+Inflation)^(30-1),0)</f>
        <v>148840000.339418</v>
      </c>
    </row>
    <row r="40" customFormat="false" ht="15" hidden="false" customHeight="false" outlineLevel="0" collapsed="false">
      <c r="A40" s="30" t="n">
        <v>32</v>
      </c>
      <c r="B40" s="31" t="n">
        <f aca="false">Corpus</f>
        <v>20000000</v>
      </c>
      <c r="C40" s="32" t="n">
        <f aca="true">MAX(B40*(1+NORMINV(RAND(),$C$6,$E$6))-MonthlyExp*12*(1+Inflation)^(1-1),0)</f>
        <v>22634532.7731783</v>
      </c>
      <c r="D40" s="32" t="n">
        <f aca="true">MAX(C40*(1+NORMINV(RAND(),$C$6,$E$6))-MonthlyExp*12*(1+Inflation)^(2-1),0)</f>
        <v>24004742.2770766</v>
      </c>
      <c r="E40" s="32" t="n">
        <f aca="true">MAX(D40*(1+NORMINV(RAND(),$C$6,$E$6))-MonthlyExp*12*(1+Inflation)^(3-1),0)</f>
        <v>27728365.2493858</v>
      </c>
      <c r="F40" s="32" t="n">
        <f aca="true">MAX(E40*(1+NORMINV(RAND(),$C$6,$E$6))-MonthlyExp*12*(1+Inflation)^(4-1),0)</f>
        <v>31217137.6177141</v>
      </c>
      <c r="G40" s="32" t="n">
        <f aca="true">MAX(F40*(1+NORMINV(RAND(),$C$6,$E$6))-MonthlyExp*12*(1+Inflation)^(5-1),0)</f>
        <v>31007539.8164649</v>
      </c>
      <c r="H40" s="32" t="n">
        <f aca="true">MAX(G40*(1+NORMINV(RAND(),$C$6,$E$6))-MonthlyExp*12*(1+Inflation)^(6-1),0)</f>
        <v>32267952.6466314</v>
      </c>
      <c r="I40" s="32" t="n">
        <f aca="true">MAX(H40*(1+NORMINV(RAND(),$C$6,$E$6))-MonthlyExp*12*(1+Inflation)^(7-1),0)</f>
        <v>33726548.3793327</v>
      </c>
      <c r="J40" s="32" t="n">
        <f aca="true">MAX(I40*(1+NORMINV(RAND(),$C$6,$E$6))-MonthlyExp*12*(1+Inflation)^(8-1),0)</f>
        <v>33932545.1102827</v>
      </c>
      <c r="K40" s="32" t="n">
        <f aca="true">MAX(J40*(1+NORMINV(RAND(),$C$6,$E$6))-MonthlyExp*12*(1+Inflation)^(9-1),0)</f>
        <v>38479777.5631431</v>
      </c>
      <c r="L40" s="32" t="n">
        <f aca="true">MAX(K40*(1+NORMINV(RAND(),$C$6,$E$6))-MonthlyExp*12*(1+Inflation)^(10-1),0)</f>
        <v>41366037.1419887</v>
      </c>
      <c r="M40" s="32" t="n">
        <f aca="true">MAX(L40*(1+NORMINV(RAND(),$C$6,$E$6))-MonthlyExp*12*(1+Inflation)^(11-1),0)</f>
        <v>43478372.1857708</v>
      </c>
      <c r="N40" s="32" t="n">
        <f aca="true">MAX(M40*(1+NORMINV(RAND(),$C$6,$E$6))-MonthlyExp*12*(1+Inflation)^(12-1),0)</f>
        <v>44064263.1808676</v>
      </c>
      <c r="O40" s="32" t="n">
        <f aca="true">MAX(N40*(1+NORMINV(RAND(),$C$6,$E$6))-MonthlyExp*12*(1+Inflation)^(13-1),0)</f>
        <v>46639950.2451228</v>
      </c>
      <c r="P40" s="32" t="n">
        <f aca="true">MAX(O40*(1+NORMINV(RAND(),$C$6,$E$6))-MonthlyExp*12*(1+Inflation)^(14-1),0)</f>
        <v>49969004.370498</v>
      </c>
      <c r="Q40" s="32" t="n">
        <f aca="true">MAX(P40*(1+NORMINV(RAND(),$C$6,$E$6))-MonthlyExp*12*(1+Inflation)^(15-1),0)</f>
        <v>51924475.1385992</v>
      </c>
      <c r="R40" s="32" t="n">
        <f aca="true">MAX(Q40*(1+NORMINV(RAND(),$C$6,$E$6))-MonthlyExp*12*(1+Inflation)^(16-1),0)</f>
        <v>61609780.6686239</v>
      </c>
      <c r="S40" s="32" t="n">
        <f aca="true">MAX(R40*(1+NORMINV(RAND(),$C$6,$E$6))-MonthlyExp*12*(1+Inflation)^(17-1),0)</f>
        <v>72472796.746893</v>
      </c>
      <c r="T40" s="32" t="n">
        <f aca="true">MAX(S40*(1+NORMINV(RAND(),$C$6,$E$6))-MonthlyExp*12*(1+Inflation)^(18-1),0)</f>
        <v>69031488.1316017</v>
      </c>
      <c r="U40" s="32" t="n">
        <f aca="true">MAX(T40*(1+NORMINV(RAND(),$C$6,$E$6))-MonthlyExp*12*(1+Inflation)^(19-1),0)</f>
        <v>70824070.4389439</v>
      </c>
      <c r="V40" s="32" t="n">
        <f aca="true">MAX(U40*(1+NORMINV(RAND(),$C$6,$E$6))-MonthlyExp*12*(1+Inflation)^(20-1),0)</f>
        <v>67453690.3836433</v>
      </c>
      <c r="W40" s="32" t="n">
        <f aca="true">MAX(V40*(1+NORMINV(RAND(),$C$6,$E$6))-MonthlyExp*12*(1+Inflation)^(21-1),0)</f>
        <v>68695814.2077834</v>
      </c>
      <c r="X40" s="32" t="n">
        <f aca="true">MAX(W40*(1+NORMINV(RAND(),$C$6,$E$6))-MonthlyExp*12*(1+Inflation)^(22-1),0)</f>
        <v>75580481.0442704</v>
      </c>
      <c r="Y40" s="32" t="n">
        <f aca="true">MAX(X40*(1+NORMINV(RAND(),$C$6,$E$6))-MonthlyExp*12*(1+Inflation)^(23-1),0)</f>
        <v>84056263.246312</v>
      </c>
      <c r="Z40" s="32" t="n">
        <f aca="true">MAX(Y40*(1+NORMINV(RAND(),$C$6,$E$6))-MonthlyExp*12*(1+Inflation)^(24-1),0)</f>
        <v>86098392.3884869</v>
      </c>
      <c r="AA40" s="32" t="n">
        <f aca="true">MAX(Z40*(1+NORMINV(RAND(),$C$6,$E$6))-MonthlyExp*12*(1+Inflation)^(25-1),0)</f>
        <v>97632816.3981983</v>
      </c>
      <c r="AB40" s="32" t="n">
        <f aca="true">MAX(AA40*(1+NORMINV(RAND(),$C$6,$E$6))-MonthlyExp*12*(1+Inflation)^(26-1),0)</f>
        <v>101725784.520295</v>
      </c>
      <c r="AC40" s="32" t="n">
        <f aca="true">MAX(AB40*(1+NORMINV(RAND(),$C$6,$E$6))-MonthlyExp*12*(1+Inflation)^(27-1),0)</f>
        <v>111049252.366391</v>
      </c>
      <c r="AD40" s="32" t="n">
        <f aca="true">MAX(AC40*(1+NORMINV(RAND(),$C$6,$E$6))-MonthlyExp*12*(1+Inflation)^(28-1),0)</f>
        <v>130909258.434423</v>
      </c>
      <c r="AE40" s="32" t="n">
        <f aca="true">MAX(AD40*(1+NORMINV(RAND(),$C$6,$E$6))-MonthlyExp*12*(1+Inflation)^(29-1),0)</f>
        <v>140390466.623233</v>
      </c>
      <c r="AF40" s="32" t="n">
        <f aca="true">MAX(AE40*(1+NORMINV(RAND(),$C$6,$E$6))-MonthlyExp*12*(1+Inflation)^(30-1),0)</f>
        <v>141111188.428846</v>
      </c>
    </row>
    <row r="41" customFormat="false" ht="15" hidden="false" customHeight="false" outlineLevel="0" collapsed="false">
      <c r="A41" s="30" t="n">
        <v>33</v>
      </c>
      <c r="B41" s="31" t="n">
        <f aca="false">Corpus</f>
        <v>20000000</v>
      </c>
      <c r="C41" s="32" t="n">
        <f aca="true">MAX(B41*(1+NORMINV(RAND(),$C$6,$E$6))-MonthlyExp*12*(1+Inflation)^(1-1),0)</f>
        <v>21701467.5191843</v>
      </c>
      <c r="D41" s="32" t="n">
        <f aca="true">MAX(C41*(1+NORMINV(RAND(),$C$6,$E$6))-MonthlyExp*12*(1+Inflation)^(2-1),0)</f>
        <v>23024455.3331346</v>
      </c>
      <c r="E41" s="32" t="n">
        <f aca="true">MAX(D41*(1+NORMINV(RAND(),$C$6,$E$6))-MonthlyExp*12*(1+Inflation)^(3-1),0)</f>
        <v>24217818.227614</v>
      </c>
      <c r="F41" s="32" t="n">
        <f aca="true">MAX(E41*(1+NORMINV(RAND(),$C$6,$E$6))-MonthlyExp*12*(1+Inflation)^(4-1),0)</f>
        <v>24420447.7953197</v>
      </c>
      <c r="G41" s="32" t="n">
        <f aca="true">MAX(F41*(1+NORMINV(RAND(),$C$6,$E$6))-MonthlyExp*12*(1+Inflation)^(5-1),0)</f>
        <v>26538691.357632</v>
      </c>
      <c r="H41" s="32" t="n">
        <f aca="true">MAX(G41*(1+NORMINV(RAND(),$C$6,$E$6))-MonthlyExp*12*(1+Inflation)^(6-1),0)</f>
        <v>27910123.6635503</v>
      </c>
      <c r="I41" s="32" t="n">
        <f aca="true">MAX(H41*(1+NORMINV(RAND(),$C$6,$E$6))-MonthlyExp*12*(1+Inflation)^(7-1),0)</f>
        <v>33098519.0123378</v>
      </c>
      <c r="J41" s="32" t="n">
        <f aca="true">MAX(I41*(1+NORMINV(RAND(),$C$6,$E$6))-MonthlyExp*12*(1+Inflation)^(8-1),0)</f>
        <v>34486281.9108962</v>
      </c>
      <c r="K41" s="32" t="n">
        <f aca="true">MAX(J41*(1+NORMINV(RAND(),$C$6,$E$6))-MonthlyExp*12*(1+Inflation)^(9-1),0)</f>
        <v>34980646.1286715</v>
      </c>
      <c r="L41" s="32" t="n">
        <f aca="true">MAX(K41*(1+NORMINV(RAND(),$C$6,$E$6))-MonthlyExp*12*(1+Inflation)^(10-1),0)</f>
        <v>38395240.202068</v>
      </c>
      <c r="M41" s="32" t="n">
        <f aca="true">MAX(L41*(1+NORMINV(RAND(),$C$6,$E$6))-MonthlyExp*12*(1+Inflation)^(11-1),0)</f>
        <v>37107056.2039285</v>
      </c>
      <c r="N41" s="32" t="n">
        <f aca="true">MAX(M41*(1+NORMINV(RAND(),$C$6,$E$6))-MonthlyExp*12*(1+Inflation)^(12-1),0)</f>
        <v>35167055.8058653</v>
      </c>
      <c r="O41" s="32" t="n">
        <f aca="true">MAX(N41*(1+NORMINV(RAND(),$C$6,$E$6))-MonthlyExp*12*(1+Inflation)^(13-1),0)</f>
        <v>34243738.9868598</v>
      </c>
      <c r="P41" s="32" t="n">
        <f aca="true">MAX(O41*(1+NORMINV(RAND(),$C$6,$E$6))-MonthlyExp*12*(1+Inflation)^(14-1),0)</f>
        <v>31233433.6565673</v>
      </c>
      <c r="Q41" s="32" t="n">
        <f aca="true">MAX(P41*(1+NORMINV(RAND(),$C$6,$E$6))-MonthlyExp*12*(1+Inflation)^(15-1),0)</f>
        <v>32120941.9444938</v>
      </c>
      <c r="R41" s="32" t="n">
        <f aca="true">MAX(Q41*(1+NORMINV(RAND(),$C$6,$E$6))-MonthlyExp*12*(1+Inflation)^(16-1),0)</f>
        <v>35380546.7574296</v>
      </c>
      <c r="S41" s="32" t="n">
        <f aca="true">MAX(R41*(1+NORMINV(RAND(),$C$6,$E$6))-MonthlyExp*12*(1+Inflation)^(17-1),0)</f>
        <v>39717454.1257686</v>
      </c>
      <c r="T41" s="32" t="n">
        <f aca="true">MAX(S41*(1+NORMINV(RAND(),$C$6,$E$6))-MonthlyExp*12*(1+Inflation)^(18-1),0)</f>
        <v>41991641.1149357</v>
      </c>
      <c r="U41" s="32" t="n">
        <f aca="true">MAX(T41*(1+NORMINV(RAND(),$C$6,$E$6))-MonthlyExp*12*(1+Inflation)^(19-1),0)</f>
        <v>52100332.79524</v>
      </c>
      <c r="V41" s="32" t="n">
        <f aca="true">MAX(U41*(1+NORMINV(RAND(),$C$6,$E$6))-MonthlyExp*12*(1+Inflation)^(20-1),0)</f>
        <v>48365026.5475696</v>
      </c>
      <c r="W41" s="32" t="n">
        <f aca="true">MAX(V41*(1+NORMINV(RAND(),$C$6,$E$6))-MonthlyExp*12*(1+Inflation)^(21-1),0)</f>
        <v>52035327.8595085</v>
      </c>
      <c r="X41" s="32" t="n">
        <f aca="true">MAX(W41*(1+NORMINV(RAND(),$C$6,$E$6))-MonthlyExp*12*(1+Inflation)^(22-1),0)</f>
        <v>62774389.2235801</v>
      </c>
      <c r="Y41" s="32" t="n">
        <f aca="true">MAX(X41*(1+NORMINV(RAND(),$C$6,$E$6))-MonthlyExp*12*(1+Inflation)^(23-1),0)</f>
        <v>57119785.055676</v>
      </c>
      <c r="Z41" s="32" t="n">
        <f aca="true">MAX(Y41*(1+NORMINV(RAND(),$C$6,$E$6))-MonthlyExp*12*(1+Inflation)^(24-1),0)</f>
        <v>65728788.9206595</v>
      </c>
      <c r="AA41" s="32" t="n">
        <f aca="true">MAX(Z41*(1+NORMINV(RAND(),$C$6,$E$6))-MonthlyExp*12*(1+Inflation)^(25-1),0)</f>
        <v>57507984.5905309</v>
      </c>
      <c r="AB41" s="32" t="n">
        <f aca="true">MAX(AA41*(1+NORMINV(RAND(),$C$6,$E$6))-MonthlyExp*12*(1+Inflation)^(26-1),0)</f>
        <v>55864334.5038222</v>
      </c>
      <c r="AC41" s="32" t="n">
        <f aca="true">MAX(AB41*(1+NORMINV(RAND(),$C$6,$E$6))-MonthlyExp*12*(1+Inflation)^(27-1),0)</f>
        <v>63029656.5703007</v>
      </c>
      <c r="AD41" s="32" t="n">
        <f aca="true">MAX(AC41*(1+NORMINV(RAND(),$C$6,$E$6))-MonthlyExp*12*(1+Inflation)^(28-1),0)</f>
        <v>58248204.0263053</v>
      </c>
      <c r="AE41" s="32" t="n">
        <f aca="true">MAX(AD41*(1+NORMINV(RAND(),$C$6,$E$6))-MonthlyExp*12*(1+Inflation)^(29-1),0)</f>
        <v>61306230.6871704</v>
      </c>
      <c r="AF41" s="32" t="n">
        <f aca="true">MAX(AE41*(1+NORMINV(RAND(),$C$6,$E$6))-MonthlyExp*12*(1+Inflation)^(30-1),0)</f>
        <v>58323220.6259575</v>
      </c>
    </row>
    <row r="42" customFormat="false" ht="15" hidden="false" customHeight="false" outlineLevel="0" collapsed="false">
      <c r="A42" s="30" t="n">
        <v>34</v>
      </c>
      <c r="B42" s="31" t="n">
        <f aca="false">Corpus</f>
        <v>20000000</v>
      </c>
      <c r="C42" s="32" t="n">
        <f aca="true">MAX(B42*(1+NORMINV(RAND(),$C$6,$E$6))-MonthlyExp*12*(1+Inflation)^(1-1),0)</f>
        <v>20920956.1219889</v>
      </c>
      <c r="D42" s="32" t="n">
        <f aca="true">MAX(C42*(1+NORMINV(RAND(),$C$6,$E$6))-MonthlyExp*12*(1+Inflation)^(2-1),0)</f>
        <v>24057712.6533874</v>
      </c>
      <c r="E42" s="32" t="n">
        <f aca="true">MAX(D42*(1+NORMINV(RAND(),$C$6,$E$6))-MonthlyExp*12*(1+Inflation)^(3-1),0)</f>
        <v>25728371.058309</v>
      </c>
      <c r="F42" s="32" t="n">
        <f aca="true">MAX(E42*(1+NORMINV(RAND(),$C$6,$E$6))-MonthlyExp*12*(1+Inflation)^(4-1),0)</f>
        <v>24301154.7600171</v>
      </c>
      <c r="G42" s="32" t="n">
        <f aca="true">MAX(F42*(1+NORMINV(RAND(),$C$6,$E$6))-MonthlyExp*12*(1+Inflation)^(5-1),0)</f>
        <v>22500994.5322358</v>
      </c>
      <c r="H42" s="32" t="n">
        <f aca="true">MAX(G42*(1+NORMINV(RAND(),$C$6,$E$6))-MonthlyExp*12*(1+Inflation)^(6-1),0)</f>
        <v>24675224.3920799</v>
      </c>
      <c r="I42" s="32" t="n">
        <f aca="true">MAX(H42*(1+NORMINV(RAND(),$C$6,$E$6))-MonthlyExp*12*(1+Inflation)^(7-1),0)</f>
        <v>24135450.1969993</v>
      </c>
      <c r="J42" s="32" t="n">
        <f aca="true">MAX(I42*(1+NORMINV(RAND(),$C$6,$E$6))-MonthlyExp*12*(1+Inflation)^(8-1),0)</f>
        <v>25187130.004012</v>
      </c>
      <c r="K42" s="32" t="n">
        <f aca="true">MAX(J42*(1+NORMINV(RAND(),$C$6,$E$6))-MonthlyExp*12*(1+Inflation)^(9-1),0)</f>
        <v>29023365.2385314</v>
      </c>
      <c r="L42" s="32" t="n">
        <f aca="true">MAX(K42*(1+NORMINV(RAND(),$C$6,$E$6))-MonthlyExp*12*(1+Inflation)^(10-1),0)</f>
        <v>31383687.3671515</v>
      </c>
      <c r="M42" s="32" t="n">
        <f aca="true">MAX(L42*(1+NORMINV(RAND(),$C$6,$E$6))-MonthlyExp*12*(1+Inflation)^(11-1),0)</f>
        <v>35156749.5320554</v>
      </c>
      <c r="N42" s="32" t="n">
        <f aca="true">MAX(M42*(1+NORMINV(RAND(),$C$6,$E$6))-MonthlyExp*12*(1+Inflation)^(12-1),0)</f>
        <v>35894741.0776371</v>
      </c>
      <c r="O42" s="32" t="n">
        <f aca="true">MAX(N42*(1+NORMINV(RAND(),$C$6,$E$6))-MonthlyExp*12*(1+Inflation)^(13-1),0)</f>
        <v>43261467.6131474</v>
      </c>
      <c r="P42" s="32" t="n">
        <f aca="true">MAX(O42*(1+NORMINV(RAND(),$C$6,$E$6))-MonthlyExp*12*(1+Inflation)^(14-1),0)</f>
        <v>49205789.8934061</v>
      </c>
      <c r="Q42" s="32" t="n">
        <f aca="true">MAX(P42*(1+NORMINV(RAND(),$C$6,$E$6))-MonthlyExp*12*(1+Inflation)^(15-1),0)</f>
        <v>54386960.5877934</v>
      </c>
      <c r="R42" s="32" t="n">
        <f aca="true">MAX(Q42*(1+NORMINV(RAND(),$C$6,$E$6))-MonthlyExp*12*(1+Inflation)^(16-1),0)</f>
        <v>68209225.0782379</v>
      </c>
      <c r="S42" s="32" t="n">
        <f aca="true">MAX(R42*(1+NORMINV(RAND(),$C$6,$E$6))-MonthlyExp*12*(1+Inflation)^(17-1),0)</f>
        <v>71983053.5662874</v>
      </c>
      <c r="T42" s="32" t="n">
        <f aca="true">MAX(S42*(1+NORMINV(RAND(),$C$6,$E$6))-MonthlyExp*12*(1+Inflation)^(18-1),0)</f>
        <v>79747183.4226082</v>
      </c>
      <c r="U42" s="32" t="n">
        <f aca="true">MAX(T42*(1+NORMINV(RAND(),$C$6,$E$6))-MonthlyExp*12*(1+Inflation)^(19-1),0)</f>
        <v>81251564.3827178</v>
      </c>
      <c r="V42" s="32" t="n">
        <f aca="true">MAX(U42*(1+NORMINV(RAND(),$C$6,$E$6))-MonthlyExp*12*(1+Inflation)^(20-1),0)</f>
        <v>79074820.8873319</v>
      </c>
      <c r="W42" s="32" t="n">
        <f aca="true">MAX(V42*(1+NORMINV(RAND(),$C$6,$E$6))-MonthlyExp*12*(1+Inflation)^(21-1),0)</f>
        <v>95776622.788243</v>
      </c>
      <c r="X42" s="32" t="n">
        <f aca="true">MAX(W42*(1+NORMINV(RAND(),$C$6,$E$6))-MonthlyExp*12*(1+Inflation)^(22-1),0)</f>
        <v>104726356.284633</v>
      </c>
      <c r="Y42" s="32" t="n">
        <f aca="true">MAX(X42*(1+NORMINV(RAND(),$C$6,$E$6))-MonthlyExp*12*(1+Inflation)^(23-1),0)</f>
        <v>110638475.256618</v>
      </c>
      <c r="Z42" s="32" t="n">
        <f aca="true">MAX(Y42*(1+NORMINV(RAND(),$C$6,$E$6))-MonthlyExp*12*(1+Inflation)^(24-1),0)</f>
        <v>124687039.301951</v>
      </c>
      <c r="AA42" s="32" t="n">
        <f aca="true">MAX(Z42*(1+NORMINV(RAND(),$C$6,$E$6))-MonthlyExp*12*(1+Inflation)^(25-1),0)</f>
        <v>144612745.433308</v>
      </c>
      <c r="AB42" s="32" t="n">
        <f aca="true">MAX(AA42*(1+NORMINV(RAND(),$C$6,$E$6))-MonthlyExp*12*(1+Inflation)^(26-1),0)</f>
        <v>151284959.157537</v>
      </c>
      <c r="AC42" s="32" t="n">
        <f aca="true">MAX(AB42*(1+NORMINV(RAND(),$C$6,$E$6))-MonthlyExp*12*(1+Inflation)^(27-1),0)</f>
        <v>155442451.376267</v>
      </c>
      <c r="AD42" s="32" t="n">
        <f aca="true">MAX(AC42*(1+NORMINV(RAND(),$C$6,$E$6))-MonthlyExp*12*(1+Inflation)^(28-1),0)</f>
        <v>173283303.343826</v>
      </c>
      <c r="AE42" s="32" t="n">
        <f aca="true">MAX(AD42*(1+NORMINV(RAND(),$C$6,$E$6))-MonthlyExp*12*(1+Inflation)^(29-1),0)</f>
        <v>210443218.196576</v>
      </c>
      <c r="AF42" s="32" t="n">
        <f aca="true">MAX(AE42*(1+NORMINV(RAND(),$C$6,$E$6))-MonthlyExp*12*(1+Inflation)^(30-1),0)</f>
        <v>240589967.575681</v>
      </c>
    </row>
    <row r="43" customFormat="false" ht="15" hidden="false" customHeight="false" outlineLevel="0" collapsed="false">
      <c r="A43" s="30" t="n">
        <v>35</v>
      </c>
      <c r="B43" s="31" t="n">
        <f aca="false">Corpus</f>
        <v>20000000</v>
      </c>
      <c r="C43" s="32" t="n">
        <f aca="true">MAX(B43*(1+NORMINV(RAND(),$C$6,$E$6))-MonthlyExp*12*(1+Inflation)^(1-1),0)</f>
        <v>20722411.1834559</v>
      </c>
      <c r="D43" s="32" t="n">
        <f aca="true">MAX(C43*(1+NORMINV(RAND(),$C$6,$E$6))-MonthlyExp*12*(1+Inflation)^(2-1),0)</f>
        <v>22821167.8053367</v>
      </c>
      <c r="E43" s="32" t="n">
        <f aca="true">MAX(D43*(1+NORMINV(RAND(),$C$6,$E$6))-MonthlyExp*12*(1+Inflation)^(3-1),0)</f>
        <v>24698239.2853476</v>
      </c>
      <c r="F43" s="32" t="n">
        <f aca="true">MAX(E43*(1+NORMINV(RAND(),$C$6,$E$6))-MonthlyExp*12*(1+Inflation)^(4-1),0)</f>
        <v>25621871.4310809</v>
      </c>
      <c r="G43" s="32" t="n">
        <f aca="true">MAX(F43*(1+NORMINV(RAND(),$C$6,$E$6))-MonthlyExp*12*(1+Inflation)^(5-1),0)</f>
        <v>27913330.2171337</v>
      </c>
      <c r="H43" s="32" t="n">
        <f aca="true">MAX(G43*(1+NORMINV(RAND(),$C$6,$E$6))-MonthlyExp*12*(1+Inflation)^(6-1),0)</f>
        <v>29254372.2248743</v>
      </c>
      <c r="I43" s="32" t="n">
        <f aca="true">MAX(H43*(1+NORMINV(RAND(),$C$6,$E$6))-MonthlyExp*12*(1+Inflation)^(7-1),0)</f>
        <v>35646520.2284911</v>
      </c>
      <c r="J43" s="32" t="n">
        <f aca="true">MAX(I43*(1+NORMINV(RAND(),$C$6,$E$6))-MonthlyExp*12*(1+Inflation)^(8-1),0)</f>
        <v>43181145.7165706</v>
      </c>
      <c r="K43" s="32" t="n">
        <f aca="true">MAX(J43*(1+NORMINV(RAND(),$C$6,$E$6))-MonthlyExp*12*(1+Inflation)^(9-1),0)</f>
        <v>45031772.3717871</v>
      </c>
      <c r="L43" s="32" t="n">
        <f aca="true">MAX(K43*(1+NORMINV(RAND(),$C$6,$E$6))-MonthlyExp*12*(1+Inflation)^(10-1),0)</f>
        <v>59309492.4795599</v>
      </c>
      <c r="M43" s="32" t="n">
        <f aca="true">MAX(L43*(1+NORMINV(RAND(),$C$6,$E$6))-MonthlyExp*12*(1+Inflation)^(11-1),0)</f>
        <v>68288046.2828908</v>
      </c>
      <c r="N43" s="32" t="n">
        <f aca="true">MAX(M43*(1+NORMINV(RAND(),$C$6,$E$6))-MonthlyExp*12*(1+Inflation)^(12-1),0)</f>
        <v>76485010.6445277</v>
      </c>
      <c r="O43" s="32" t="n">
        <f aca="true">MAX(N43*(1+NORMINV(RAND(),$C$6,$E$6))-MonthlyExp*12*(1+Inflation)^(13-1),0)</f>
        <v>85382531.7527502</v>
      </c>
      <c r="P43" s="32" t="n">
        <f aca="true">MAX(O43*(1+NORMINV(RAND(),$C$6,$E$6))-MonthlyExp*12*(1+Inflation)^(14-1),0)</f>
        <v>88154085.1722111</v>
      </c>
      <c r="Q43" s="32" t="n">
        <f aca="true">MAX(P43*(1+NORMINV(RAND(),$C$6,$E$6))-MonthlyExp*12*(1+Inflation)^(15-1),0)</f>
        <v>92319732.371712</v>
      </c>
      <c r="R43" s="32" t="n">
        <f aca="true">MAX(Q43*(1+NORMINV(RAND(),$C$6,$E$6))-MonthlyExp*12*(1+Inflation)^(16-1),0)</f>
        <v>89042651.597486</v>
      </c>
      <c r="S43" s="32" t="n">
        <f aca="true">MAX(R43*(1+NORMINV(RAND(),$C$6,$E$6))-MonthlyExp*12*(1+Inflation)^(17-1),0)</f>
        <v>107650636.893482</v>
      </c>
      <c r="T43" s="32" t="n">
        <f aca="true">MAX(S43*(1+NORMINV(RAND(),$C$6,$E$6))-MonthlyExp*12*(1+Inflation)^(18-1),0)</f>
        <v>124556035.263139</v>
      </c>
      <c r="U43" s="32" t="n">
        <f aca="true">MAX(T43*(1+NORMINV(RAND(),$C$6,$E$6))-MonthlyExp*12*(1+Inflation)^(19-1),0)</f>
        <v>123732802.063536</v>
      </c>
      <c r="V43" s="32" t="n">
        <f aca="true">MAX(U43*(1+NORMINV(RAND(),$C$6,$E$6))-MonthlyExp*12*(1+Inflation)^(20-1),0)</f>
        <v>116518114.948323</v>
      </c>
      <c r="W43" s="32" t="n">
        <f aca="true">MAX(V43*(1+NORMINV(RAND(),$C$6,$E$6))-MonthlyExp*12*(1+Inflation)^(21-1),0)</f>
        <v>127182706.553592</v>
      </c>
      <c r="X43" s="32" t="n">
        <f aca="true">MAX(W43*(1+NORMINV(RAND(),$C$6,$E$6))-MonthlyExp*12*(1+Inflation)^(22-1),0)</f>
        <v>150349689.688805</v>
      </c>
      <c r="Y43" s="32" t="n">
        <f aca="true">MAX(X43*(1+NORMINV(RAND(),$C$6,$E$6))-MonthlyExp*12*(1+Inflation)^(23-1),0)</f>
        <v>147230682.334796</v>
      </c>
      <c r="Z43" s="32" t="n">
        <f aca="true">MAX(Y43*(1+NORMINV(RAND(),$C$6,$E$6))-MonthlyExp*12*(1+Inflation)^(24-1),0)</f>
        <v>152354502.093073</v>
      </c>
      <c r="AA43" s="32" t="n">
        <f aca="true">MAX(Z43*(1+NORMINV(RAND(),$C$6,$E$6))-MonthlyExp*12*(1+Inflation)^(25-1),0)</f>
        <v>140148926.181805</v>
      </c>
      <c r="AB43" s="32" t="n">
        <f aca="true">MAX(AA43*(1+NORMINV(RAND(),$C$6,$E$6))-MonthlyExp*12*(1+Inflation)^(26-1),0)</f>
        <v>157622515.709779</v>
      </c>
      <c r="AC43" s="32" t="n">
        <f aca="true">MAX(AB43*(1+NORMINV(RAND(),$C$6,$E$6))-MonthlyExp*12*(1+Inflation)^(27-1),0)</f>
        <v>181214051.916248</v>
      </c>
      <c r="AD43" s="32" t="n">
        <f aca="true">MAX(AC43*(1+NORMINV(RAND(),$C$6,$E$6))-MonthlyExp*12*(1+Inflation)^(28-1),0)</f>
        <v>211478254.759509</v>
      </c>
      <c r="AE43" s="32" t="n">
        <f aca="true">MAX(AD43*(1+NORMINV(RAND(),$C$6,$E$6))-MonthlyExp*12*(1+Inflation)^(29-1),0)</f>
        <v>250925880.327683</v>
      </c>
      <c r="AF43" s="32" t="n">
        <f aca="true">MAX(AE43*(1+NORMINV(RAND(),$C$6,$E$6))-MonthlyExp*12*(1+Inflation)^(30-1),0)</f>
        <v>249625828.581016</v>
      </c>
    </row>
    <row r="44" customFormat="false" ht="15" hidden="false" customHeight="false" outlineLevel="0" collapsed="false">
      <c r="A44" s="30" t="n">
        <v>36</v>
      </c>
      <c r="B44" s="31" t="n">
        <f aca="false">Corpus</f>
        <v>20000000</v>
      </c>
      <c r="C44" s="32" t="n">
        <f aca="true">MAX(B44*(1+NORMINV(RAND(),$C$6,$E$6))-MonthlyExp*12*(1+Inflation)^(1-1),0)</f>
        <v>17653638.9639376</v>
      </c>
      <c r="D44" s="32" t="n">
        <f aca="true">MAX(C44*(1+NORMINV(RAND(),$C$6,$E$6))-MonthlyExp*12*(1+Inflation)^(2-1),0)</f>
        <v>18360951.2042129</v>
      </c>
      <c r="E44" s="32" t="n">
        <f aca="true">MAX(D44*(1+NORMINV(RAND(),$C$6,$E$6))-MonthlyExp*12*(1+Inflation)^(3-1),0)</f>
        <v>19778250.7050561</v>
      </c>
      <c r="F44" s="32" t="n">
        <f aca="true">MAX(E44*(1+NORMINV(RAND(),$C$6,$E$6))-MonthlyExp*12*(1+Inflation)^(4-1),0)</f>
        <v>20566777.8115172</v>
      </c>
      <c r="G44" s="32" t="n">
        <f aca="true">MAX(F44*(1+NORMINV(RAND(),$C$6,$E$6))-MonthlyExp*12*(1+Inflation)^(5-1),0)</f>
        <v>21230098.6801895</v>
      </c>
      <c r="H44" s="32" t="n">
        <f aca="true">MAX(G44*(1+NORMINV(RAND(),$C$6,$E$6))-MonthlyExp*12*(1+Inflation)^(6-1),0)</f>
        <v>21450913.8542596</v>
      </c>
      <c r="I44" s="32" t="n">
        <f aca="true">MAX(H44*(1+NORMINV(RAND(),$C$6,$E$6))-MonthlyExp*12*(1+Inflation)^(7-1),0)</f>
        <v>24187952.0588121</v>
      </c>
      <c r="J44" s="32" t="n">
        <f aca="true">MAX(I44*(1+NORMINV(RAND(),$C$6,$E$6))-MonthlyExp*12*(1+Inflation)^(8-1),0)</f>
        <v>23916037.0614613</v>
      </c>
      <c r="K44" s="32" t="n">
        <f aca="true">MAX(J44*(1+NORMINV(RAND(),$C$6,$E$6))-MonthlyExp*12*(1+Inflation)^(9-1),0)</f>
        <v>25067272.5973765</v>
      </c>
      <c r="L44" s="32" t="n">
        <f aca="true">MAX(K44*(1+NORMINV(RAND(),$C$6,$E$6))-MonthlyExp*12*(1+Inflation)^(10-1),0)</f>
        <v>25956796.3390468</v>
      </c>
      <c r="M44" s="32" t="n">
        <f aca="true">MAX(L44*(1+NORMINV(RAND(),$C$6,$E$6))-MonthlyExp*12*(1+Inflation)^(11-1),0)</f>
        <v>28007081.1840887</v>
      </c>
      <c r="N44" s="32" t="n">
        <f aca="true">MAX(M44*(1+NORMINV(RAND(),$C$6,$E$6))-MonthlyExp*12*(1+Inflation)^(12-1),0)</f>
        <v>30572002.5100511</v>
      </c>
      <c r="O44" s="32" t="n">
        <f aca="true">MAX(N44*(1+NORMINV(RAND(),$C$6,$E$6))-MonthlyExp*12*(1+Inflation)^(13-1),0)</f>
        <v>35560795.0582743</v>
      </c>
      <c r="P44" s="32" t="n">
        <f aca="true">MAX(O44*(1+NORMINV(RAND(),$C$6,$E$6))-MonthlyExp*12*(1+Inflation)^(14-1),0)</f>
        <v>36847829.0718399</v>
      </c>
      <c r="Q44" s="32" t="n">
        <f aca="true">MAX(P44*(1+NORMINV(RAND(),$C$6,$E$6))-MonthlyExp*12*(1+Inflation)^(15-1),0)</f>
        <v>40121757.430063</v>
      </c>
      <c r="R44" s="32" t="n">
        <f aca="true">MAX(Q44*(1+NORMINV(RAND(),$C$6,$E$6))-MonthlyExp*12*(1+Inflation)^(16-1),0)</f>
        <v>41182480.1328094</v>
      </c>
      <c r="S44" s="32" t="n">
        <f aca="true">MAX(R44*(1+NORMINV(RAND(),$C$6,$E$6))-MonthlyExp*12*(1+Inflation)^(17-1),0)</f>
        <v>36076894.2225413</v>
      </c>
      <c r="T44" s="32" t="n">
        <f aca="true">MAX(S44*(1+NORMINV(RAND(),$C$6,$E$6))-MonthlyExp*12*(1+Inflation)^(18-1),0)</f>
        <v>35987491.9139668</v>
      </c>
      <c r="U44" s="32" t="n">
        <f aca="true">MAX(T44*(1+NORMINV(RAND(),$C$6,$E$6))-MonthlyExp*12*(1+Inflation)^(19-1),0)</f>
        <v>36984165.4954119</v>
      </c>
      <c r="V44" s="32" t="n">
        <f aca="true">MAX(U44*(1+NORMINV(RAND(),$C$6,$E$6))-MonthlyExp*12*(1+Inflation)^(20-1),0)</f>
        <v>35453944.8361323</v>
      </c>
      <c r="W44" s="32" t="n">
        <f aca="true">MAX(V44*(1+NORMINV(RAND(),$C$6,$E$6))-MonthlyExp*12*(1+Inflation)^(21-1),0)</f>
        <v>34971326.7855774</v>
      </c>
      <c r="X44" s="32" t="n">
        <f aca="true">MAX(W44*(1+NORMINV(RAND(),$C$6,$E$6))-MonthlyExp*12*(1+Inflation)^(22-1),0)</f>
        <v>36423844.6531531</v>
      </c>
      <c r="Y44" s="32" t="n">
        <f aca="true">MAX(X44*(1+NORMINV(RAND(),$C$6,$E$6))-MonthlyExp*12*(1+Inflation)^(23-1),0)</f>
        <v>36568012.3617936</v>
      </c>
      <c r="Z44" s="32" t="n">
        <f aca="true">MAX(Y44*(1+NORMINV(RAND(),$C$6,$E$6))-MonthlyExp*12*(1+Inflation)^(24-1),0)</f>
        <v>35161128.2131648</v>
      </c>
      <c r="AA44" s="32" t="n">
        <f aca="true">MAX(Z44*(1+NORMINV(RAND(),$C$6,$E$6))-MonthlyExp*12*(1+Inflation)^(25-1),0)</f>
        <v>39202677.7128736</v>
      </c>
      <c r="AB44" s="32" t="n">
        <f aca="true">MAX(AA44*(1+NORMINV(RAND(),$C$6,$E$6))-MonthlyExp*12*(1+Inflation)^(26-1),0)</f>
        <v>44393321.1124679</v>
      </c>
      <c r="AC44" s="32" t="n">
        <f aca="true">MAX(AB44*(1+NORMINV(RAND(),$C$6,$E$6))-MonthlyExp*12*(1+Inflation)^(27-1),0)</f>
        <v>44653663.8061664</v>
      </c>
      <c r="AD44" s="32" t="n">
        <f aca="true">MAX(AC44*(1+NORMINV(RAND(),$C$6,$E$6))-MonthlyExp*12*(1+Inflation)^(28-1),0)</f>
        <v>41257986.5891474</v>
      </c>
      <c r="AE44" s="32" t="n">
        <f aca="true">MAX(AD44*(1+NORMINV(RAND(),$C$6,$E$6))-MonthlyExp*12*(1+Inflation)^(29-1),0)</f>
        <v>39091337.0944342</v>
      </c>
      <c r="AF44" s="32" t="n">
        <f aca="true">MAX(AE44*(1+NORMINV(RAND(),$C$6,$E$6))-MonthlyExp*12*(1+Inflation)^(30-1),0)</f>
        <v>38573437.7526039</v>
      </c>
    </row>
    <row r="45" customFormat="false" ht="15" hidden="false" customHeight="false" outlineLevel="0" collapsed="false">
      <c r="A45" s="30" t="n">
        <v>37</v>
      </c>
      <c r="B45" s="31" t="n">
        <f aca="false">Corpus</f>
        <v>20000000</v>
      </c>
      <c r="C45" s="32" t="n">
        <f aca="true">MAX(B45*(1+NORMINV(RAND(),$C$6,$E$6))-MonthlyExp*12*(1+Inflation)^(1-1),0)</f>
        <v>21266921.830633</v>
      </c>
      <c r="D45" s="32" t="n">
        <f aca="true">MAX(C45*(1+NORMINV(RAND(),$C$6,$E$6))-MonthlyExp*12*(1+Inflation)^(2-1),0)</f>
        <v>24787777.0024484</v>
      </c>
      <c r="E45" s="32" t="n">
        <f aca="true">MAX(D45*(1+NORMINV(RAND(),$C$6,$E$6))-MonthlyExp*12*(1+Inflation)^(3-1),0)</f>
        <v>26407587.5517652</v>
      </c>
      <c r="F45" s="32" t="n">
        <f aca="true">MAX(E45*(1+NORMINV(RAND(),$C$6,$E$6))-MonthlyExp*12*(1+Inflation)^(4-1),0)</f>
        <v>30655857.5089873</v>
      </c>
      <c r="G45" s="32" t="n">
        <f aca="true">MAX(F45*(1+NORMINV(RAND(),$C$6,$E$6))-MonthlyExp*12*(1+Inflation)^(5-1),0)</f>
        <v>31476891.7271422</v>
      </c>
      <c r="H45" s="32" t="n">
        <f aca="true">MAX(G45*(1+NORMINV(RAND(),$C$6,$E$6))-MonthlyExp*12*(1+Inflation)^(6-1),0)</f>
        <v>36844035.700478</v>
      </c>
      <c r="I45" s="32" t="n">
        <f aca="true">MAX(H45*(1+NORMINV(RAND(),$C$6,$E$6))-MonthlyExp*12*(1+Inflation)^(7-1),0)</f>
        <v>37424122.6688901</v>
      </c>
      <c r="J45" s="32" t="n">
        <f aca="true">MAX(I45*(1+NORMINV(RAND(),$C$6,$E$6))-MonthlyExp*12*(1+Inflation)^(8-1),0)</f>
        <v>39991820.1206846</v>
      </c>
      <c r="K45" s="32" t="n">
        <f aca="true">MAX(J45*(1+NORMINV(RAND(),$C$6,$E$6))-MonthlyExp*12*(1+Inflation)^(9-1),0)</f>
        <v>44939341.239644</v>
      </c>
      <c r="L45" s="32" t="n">
        <f aca="true">MAX(K45*(1+NORMINV(RAND(),$C$6,$E$6))-MonthlyExp*12*(1+Inflation)^(10-1),0)</f>
        <v>52181452.8900454</v>
      </c>
      <c r="M45" s="32" t="n">
        <f aca="true">MAX(L45*(1+NORMINV(RAND(),$C$6,$E$6))-MonthlyExp*12*(1+Inflation)^(11-1),0)</f>
        <v>58783162.1402875</v>
      </c>
      <c r="N45" s="32" t="n">
        <f aca="true">MAX(M45*(1+NORMINV(RAND(),$C$6,$E$6))-MonthlyExp*12*(1+Inflation)^(12-1),0)</f>
        <v>60799548.514111</v>
      </c>
      <c r="O45" s="32" t="n">
        <f aca="true">MAX(N45*(1+NORMINV(RAND(),$C$6,$E$6))-MonthlyExp*12*(1+Inflation)^(13-1),0)</f>
        <v>71253407.3490949</v>
      </c>
      <c r="P45" s="32" t="n">
        <f aca="true">MAX(O45*(1+NORMINV(RAND(),$C$6,$E$6))-MonthlyExp*12*(1+Inflation)^(14-1),0)</f>
        <v>73271327.3477816</v>
      </c>
      <c r="Q45" s="32" t="n">
        <f aca="true">MAX(P45*(1+NORMINV(RAND(),$C$6,$E$6))-MonthlyExp*12*(1+Inflation)^(15-1),0)</f>
        <v>98336536.6919009</v>
      </c>
      <c r="R45" s="32" t="n">
        <f aca="true">MAX(Q45*(1+NORMINV(RAND(),$C$6,$E$6))-MonthlyExp*12*(1+Inflation)^(16-1),0)</f>
        <v>105674524.179349</v>
      </c>
      <c r="S45" s="32" t="n">
        <f aca="true">MAX(R45*(1+NORMINV(RAND(),$C$6,$E$6))-MonthlyExp*12*(1+Inflation)^(17-1),0)</f>
        <v>119626181.046549</v>
      </c>
      <c r="T45" s="32" t="n">
        <f aca="true">MAX(S45*(1+NORMINV(RAND(),$C$6,$E$6))-MonthlyExp*12*(1+Inflation)^(18-1),0)</f>
        <v>121164930.163195</v>
      </c>
      <c r="U45" s="32" t="n">
        <f aca="true">MAX(T45*(1+NORMINV(RAND(),$C$6,$E$6))-MonthlyExp*12*(1+Inflation)^(19-1),0)</f>
        <v>139905422.813453</v>
      </c>
      <c r="V45" s="32" t="n">
        <f aca="true">MAX(U45*(1+NORMINV(RAND(),$C$6,$E$6))-MonthlyExp*12*(1+Inflation)^(20-1),0)</f>
        <v>127797666.084917</v>
      </c>
      <c r="W45" s="32" t="n">
        <f aca="true">MAX(V45*(1+NORMINV(RAND(),$C$6,$E$6))-MonthlyExp*12*(1+Inflation)^(21-1),0)</f>
        <v>144405929.601693</v>
      </c>
      <c r="X45" s="32" t="n">
        <f aca="true">MAX(W45*(1+NORMINV(RAND(),$C$6,$E$6))-MonthlyExp*12*(1+Inflation)^(22-1),0)</f>
        <v>170944912.270469</v>
      </c>
      <c r="Y45" s="32" t="n">
        <f aca="true">MAX(X45*(1+NORMINV(RAND(),$C$6,$E$6))-MonthlyExp*12*(1+Inflation)^(23-1),0)</f>
        <v>194014530.989548</v>
      </c>
      <c r="Z45" s="32" t="n">
        <f aca="true">MAX(Y45*(1+NORMINV(RAND(),$C$6,$E$6))-MonthlyExp*12*(1+Inflation)^(24-1),0)</f>
        <v>187359207.250206</v>
      </c>
      <c r="AA45" s="32" t="n">
        <f aca="true">MAX(Z45*(1+NORMINV(RAND(),$C$6,$E$6))-MonthlyExp*12*(1+Inflation)^(25-1),0)</f>
        <v>215105964.054201</v>
      </c>
      <c r="AB45" s="32" t="n">
        <f aca="true">MAX(AA45*(1+NORMINV(RAND(),$C$6,$E$6))-MonthlyExp*12*(1+Inflation)^(26-1),0)</f>
        <v>242518377.184186</v>
      </c>
      <c r="AC45" s="32" t="n">
        <f aca="true">MAX(AB45*(1+NORMINV(RAND(),$C$6,$E$6))-MonthlyExp*12*(1+Inflation)^(27-1),0)</f>
        <v>292315763.676318</v>
      </c>
      <c r="AD45" s="32" t="n">
        <f aca="true">MAX(AC45*(1+NORMINV(RAND(),$C$6,$E$6))-MonthlyExp*12*(1+Inflation)^(28-1),0)</f>
        <v>333965265.429253</v>
      </c>
      <c r="AE45" s="32" t="n">
        <f aca="true">MAX(AD45*(1+NORMINV(RAND(),$C$6,$E$6))-MonthlyExp*12*(1+Inflation)^(29-1),0)</f>
        <v>336575519.38719</v>
      </c>
      <c r="AF45" s="32" t="n">
        <f aca="true">MAX(AE45*(1+NORMINV(RAND(),$C$6,$E$6))-MonthlyExp*12*(1+Inflation)^(30-1),0)</f>
        <v>368070520.272452</v>
      </c>
    </row>
    <row r="46" customFormat="false" ht="15" hidden="false" customHeight="false" outlineLevel="0" collapsed="false">
      <c r="A46" s="30" t="n">
        <v>38</v>
      </c>
      <c r="B46" s="31" t="n">
        <f aca="false">Corpus</f>
        <v>20000000</v>
      </c>
      <c r="C46" s="32" t="n">
        <f aca="true">MAX(B46*(1+NORMINV(RAND(),$C$6,$E$6))-MonthlyExp*12*(1+Inflation)^(1-1),0)</f>
        <v>20935446.8073999</v>
      </c>
      <c r="D46" s="32" t="n">
        <f aca="true">MAX(C46*(1+NORMINV(RAND(),$C$6,$E$6))-MonthlyExp*12*(1+Inflation)^(2-1),0)</f>
        <v>22409188.5080937</v>
      </c>
      <c r="E46" s="32" t="n">
        <f aca="true">MAX(D46*(1+NORMINV(RAND(),$C$6,$E$6))-MonthlyExp*12*(1+Inflation)^(3-1),0)</f>
        <v>22853919.9576106</v>
      </c>
      <c r="F46" s="32" t="n">
        <f aca="true">MAX(E46*(1+NORMINV(RAND(),$C$6,$E$6))-MonthlyExp*12*(1+Inflation)^(4-1),0)</f>
        <v>27701857.1632111</v>
      </c>
      <c r="G46" s="32" t="n">
        <f aca="true">MAX(F46*(1+NORMINV(RAND(),$C$6,$E$6))-MonthlyExp*12*(1+Inflation)^(5-1),0)</f>
        <v>32580351.768984</v>
      </c>
      <c r="H46" s="32" t="n">
        <f aca="true">MAX(G46*(1+NORMINV(RAND(),$C$6,$E$6))-MonthlyExp*12*(1+Inflation)^(6-1),0)</f>
        <v>37793799.4099585</v>
      </c>
      <c r="I46" s="32" t="n">
        <f aca="true">MAX(H46*(1+NORMINV(RAND(),$C$6,$E$6))-MonthlyExp*12*(1+Inflation)^(7-1),0)</f>
        <v>40243562.6436673</v>
      </c>
      <c r="J46" s="32" t="n">
        <f aca="true">MAX(I46*(1+NORMINV(RAND(),$C$6,$E$6))-MonthlyExp*12*(1+Inflation)^(8-1),0)</f>
        <v>39871676.1768791</v>
      </c>
      <c r="K46" s="32" t="n">
        <f aca="true">MAX(J46*(1+NORMINV(RAND(),$C$6,$E$6))-MonthlyExp*12*(1+Inflation)^(9-1),0)</f>
        <v>45617504.5475163</v>
      </c>
      <c r="L46" s="32" t="n">
        <f aca="true">MAX(K46*(1+NORMINV(RAND(),$C$6,$E$6))-MonthlyExp*12*(1+Inflation)^(10-1),0)</f>
        <v>55284258.2056133</v>
      </c>
      <c r="M46" s="32" t="n">
        <f aca="true">MAX(L46*(1+NORMINV(RAND(),$C$6,$E$6))-MonthlyExp*12*(1+Inflation)^(11-1),0)</f>
        <v>59084434.7803275</v>
      </c>
      <c r="N46" s="32" t="n">
        <f aca="true">MAX(M46*(1+NORMINV(RAND(),$C$6,$E$6))-MonthlyExp*12*(1+Inflation)^(12-1),0)</f>
        <v>64362988.6588277</v>
      </c>
      <c r="O46" s="32" t="n">
        <f aca="true">MAX(N46*(1+NORMINV(RAND(),$C$6,$E$6))-MonthlyExp*12*(1+Inflation)^(13-1),0)</f>
        <v>63130020.926537</v>
      </c>
      <c r="P46" s="32" t="n">
        <f aca="true">MAX(O46*(1+NORMINV(RAND(),$C$6,$E$6))-MonthlyExp*12*(1+Inflation)^(14-1),0)</f>
        <v>63297739.1281182</v>
      </c>
      <c r="Q46" s="32" t="n">
        <f aca="true">MAX(P46*(1+NORMINV(RAND(),$C$6,$E$6))-MonthlyExp*12*(1+Inflation)^(15-1),0)</f>
        <v>65114581.0210886</v>
      </c>
      <c r="R46" s="32" t="n">
        <f aca="true">MAX(Q46*(1+NORMINV(RAND(),$C$6,$E$6))-MonthlyExp*12*(1+Inflation)^(16-1),0)</f>
        <v>69110555.5334184</v>
      </c>
      <c r="S46" s="32" t="n">
        <f aca="true">MAX(R46*(1+NORMINV(RAND(),$C$6,$E$6))-MonthlyExp*12*(1+Inflation)^(17-1),0)</f>
        <v>73983318.9272213</v>
      </c>
      <c r="T46" s="32" t="n">
        <f aca="true">MAX(S46*(1+NORMINV(RAND(),$C$6,$E$6))-MonthlyExp*12*(1+Inflation)^(18-1),0)</f>
        <v>74743243.1324744</v>
      </c>
      <c r="U46" s="32" t="n">
        <f aca="true">MAX(T46*(1+NORMINV(RAND(),$C$6,$E$6))-MonthlyExp*12*(1+Inflation)^(19-1),0)</f>
        <v>80320564.9572665</v>
      </c>
      <c r="V46" s="32" t="n">
        <f aca="true">MAX(U46*(1+NORMINV(RAND(),$C$6,$E$6))-MonthlyExp*12*(1+Inflation)^(20-1),0)</f>
        <v>81458277.1243963</v>
      </c>
      <c r="W46" s="32" t="n">
        <f aca="true">MAX(V46*(1+NORMINV(RAND(),$C$6,$E$6))-MonthlyExp*12*(1+Inflation)^(21-1),0)</f>
        <v>86126128.992273</v>
      </c>
      <c r="X46" s="32" t="n">
        <f aca="true">MAX(W46*(1+NORMINV(RAND(),$C$6,$E$6))-MonthlyExp*12*(1+Inflation)^(22-1),0)</f>
        <v>93752166.4215518</v>
      </c>
      <c r="Y46" s="32" t="n">
        <f aca="true">MAX(X46*(1+NORMINV(RAND(),$C$6,$E$6))-MonthlyExp*12*(1+Inflation)^(23-1),0)</f>
        <v>97783236.1246713</v>
      </c>
      <c r="Z46" s="32" t="n">
        <f aca="true">MAX(Y46*(1+NORMINV(RAND(),$C$6,$E$6))-MonthlyExp*12*(1+Inflation)^(24-1),0)</f>
        <v>108356782.276326</v>
      </c>
      <c r="AA46" s="32" t="n">
        <f aca="true">MAX(Z46*(1+NORMINV(RAND(),$C$6,$E$6))-MonthlyExp*12*(1+Inflation)^(25-1),0)</f>
        <v>130803329.437156</v>
      </c>
      <c r="AB46" s="32" t="n">
        <f aca="true">MAX(AA46*(1+NORMINV(RAND(),$C$6,$E$6))-MonthlyExp*12*(1+Inflation)^(26-1),0)</f>
        <v>119150535.508216</v>
      </c>
      <c r="AC46" s="32" t="n">
        <f aca="true">MAX(AB46*(1+NORMINV(RAND(),$C$6,$E$6))-MonthlyExp*12*(1+Inflation)^(27-1),0)</f>
        <v>121763486.268037</v>
      </c>
      <c r="AD46" s="32" t="n">
        <f aca="true">MAX(AC46*(1+NORMINV(RAND(),$C$6,$E$6))-MonthlyExp*12*(1+Inflation)^(28-1),0)</f>
        <v>129386563.040411</v>
      </c>
      <c r="AE46" s="32" t="n">
        <f aca="true">MAX(AD46*(1+NORMINV(RAND(),$C$6,$E$6))-MonthlyExp*12*(1+Inflation)^(29-1),0)</f>
        <v>145668180.840285</v>
      </c>
      <c r="AF46" s="32" t="n">
        <f aca="true">MAX(AE46*(1+NORMINV(RAND(),$C$6,$E$6))-MonthlyExp*12*(1+Inflation)^(30-1),0)</f>
        <v>156646560.351614</v>
      </c>
    </row>
    <row r="47" customFormat="false" ht="15" hidden="false" customHeight="false" outlineLevel="0" collapsed="false">
      <c r="A47" s="30" t="n">
        <v>39</v>
      </c>
      <c r="B47" s="31" t="n">
        <f aca="false">Corpus</f>
        <v>20000000</v>
      </c>
      <c r="C47" s="32" t="n">
        <f aca="true">MAX(B47*(1+NORMINV(RAND(),$C$6,$E$6))-MonthlyExp*12*(1+Inflation)^(1-1),0)</f>
        <v>22617017.0872422</v>
      </c>
      <c r="D47" s="32" t="n">
        <f aca="true">MAX(C47*(1+NORMINV(RAND(),$C$6,$E$6))-MonthlyExp*12*(1+Inflation)^(2-1),0)</f>
        <v>25259952.5872345</v>
      </c>
      <c r="E47" s="32" t="n">
        <f aca="true">MAX(D47*(1+NORMINV(RAND(),$C$6,$E$6))-MonthlyExp*12*(1+Inflation)^(3-1),0)</f>
        <v>25116083.5830186</v>
      </c>
      <c r="F47" s="32" t="n">
        <f aca="true">MAX(E47*(1+NORMINV(RAND(),$C$6,$E$6))-MonthlyExp*12*(1+Inflation)^(4-1),0)</f>
        <v>29467507.6576174</v>
      </c>
      <c r="G47" s="32" t="n">
        <f aca="true">MAX(F47*(1+NORMINV(RAND(),$C$6,$E$6))-MonthlyExp*12*(1+Inflation)^(5-1),0)</f>
        <v>34192166.8660665</v>
      </c>
      <c r="H47" s="32" t="n">
        <f aca="true">MAX(G47*(1+NORMINV(RAND(),$C$6,$E$6))-MonthlyExp*12*(1+Inflation)^(6-1),0)</f>
        <v>39266941.0352554</v>
      </c>
      <c r="I47" s="32" t="n">
        <f aca="true">MAX(H47*(1+NORMINV(RAND(),$C$6,$E$6))-MonthlyExp*12*(1+Inflation)^(7-1),0)</f>
        <v>39517686.7034247</v>
      </c>
      <c r="J47" s="32" t="n">
        <f aca="true">MAX(I47*(1+NORMINV(RAND(),$C$6,$E$6))-MonthlyExp*12*(1+Inflation)^(8-1),0)</f>
        <v>44443872.8190635</v>
      </c>
      <c r="K47" s="32" t="n">
        <f aca="true">MAX(J47*(1+NORMINV(RAND(),$C$6,$E$6))-MonthlyExp*12*(1+Inflation)^(9-1),0)</f>
        <v>47331985.0840066</v>
      </c>
      <c r="L47" s="32" t="n">
        <f aca="true">MAX(K47*(1+NORMINV(RAND(),$C$6,$E$6))-MonthlyExp*12*(1+Inflation)^(10-1),0)</f>
        <v>49601403.9110692</v>
      </c>
      <c r="M47" s="32" t="n">
        <f aca="true">MAX(L47*(1+NORMINV(RAND(),$C$6,$E$6))-MonthlyExp*12*(1+Inflation)^(11-1),0)</f>
        <v>45882667.0877692</v>
      </c>
      <c r="N47" s="32" t="n">
        <f aca="true">MAX(M47*(1+NORMINV(RAND(),$C$6,$E$6))-MonthlyExp*12*(1+Inflation)^(12-1),0)</f>
        <v>54306638.2714008</v>
      </c>
      <c r="O47" s="32" t="n">
        <f aca="true">MAX(N47*(1+NORMINV(RAND(),$C$6,$E$6))-MonthlyExp*12*(1+Inflation)^(13-1),0)</f>
        <v>62231806.5446279</v>
      </c>
      <c r="P47" s="32" t="n">
        <f aca="true">MAX(O47*(1+NORMINV(RAND(),$C$6,$E$6))-MonthlyExp*12*(1+Inflation)^(14-1),0)</f>
        <v>64063702.4975521</v>
      </c>
      <c r="Q47" s="32" t="n">
        <f aca="true">MAX(P47*(1+NORMINV(RAND(),$C$6,$E$6))-MonthlyExp*12*(1+Inflation)^(15-1),0)</f>
        <v>61596718.4053816</v>
      </c>
      <c r="R47" s="32" t="n">
        <f aca="true">MAX(Q47*(1+NORMINV(RAND(),$C$6,$E$6))-MonthlyExp*12*(1+Inflation)^(16-1),0)</f>
        <v>65678532.7414069</v>
      </c>
      <c r="S47" s="32" t="n">
        <f aca="true">MAX(R47*(1+NORMINV(RAND(),$C$6,$E$6))-MonthlyExp*12*(1+Inflation)^(17-1),0)</f>
        <v>75210010.5197487</v>
      </c>
      <c r="T47" s="32" t="n">
        <f aca="true">MAX(S47*(1+NORMINV(RAND(),$C$6,$E$6))-MonthlyExp*12*(1+Inflation)^(18-1),0)</f>
        <v>75368857.0292494</v>
      </c>
      <c r="U47" s="32" t="n">
        <f aca="true">MAX(T47*(1+NORMINV(RAND(),$C$6,$E$6))-MonthlyExp*12*(1+Inflation)^(19-1),0)</f>
        <v>85423566.897558</v>
      </c>
      <c r="V47" s="32" t="n">
        <f aca="true">MAX(U47*(1+NORMINV(RAND(),$C$6,$E$6))-MonthlyExp*12*(1+Inflation)^(20-1),0)</f>
        <v>96079493.9781292</v>
      </c>
      <c r="W47" s="32" t="n">
        <f aca="true">MAX(V47*(1+NORMINV(RAND(),$C$6,$E$6))-MonthlyExp*12*(1+Inflation)^(21-1),0)</f>
        <v>91523330.377852</v>
      </c>
      <c r="X47" s="32" t="n">
        <f aca="true">MAX(W47*(1+NORMINV(RAND(),$C$6,$E$6))-MonthlyExp*12*(1+Inflation)^(22-1),0)</f>
        <v>89318164.2445101</v>
      </c>
      <c r="Y47" s="32" t="n">
        <f aca="true">MAX(X47*(1+NORMINV(RAND(),$C$6,$E$6))-MonthlyExp*12*(1+Inflation)^(23-1),0)</f>
        <v>89696309.8702832</v>
      </c>
      <c r="Z47" s="32" t="n">
        <f aca="true">MAX(Y47*(1+NORMINV(RAND(),$C$6,$E$6))-MonthlyExp*12*(1+Inflation)^(24-1),0)</f>
        <v>104688078.791877</v>
      </c>
      <c r="AA47" s="32" t="n">
        <f aca="true">MAX(Z47*(1+NORMINV(RAND(),$C$6,$E$6))-MonthlyExp*12*(1+Inflation)^(25-1),0)</f>
        <v>103946868.322813</v>
      </c>
      <c r="AB47" s="32" t="n">
        <f aca="true">MAX(AA47*(1+NORMINV(RAND(),$C$6,$E$6))-MonthlyExp*12*(1+Inflation)^(26-1),0)</f>
        <v>108970608.695491</v>
      </c>
      <c r="AC47" s="32" t="n">
        <f aca="true">MAX(AB47*(1+NORMINV(RAND(),$C$6,$E$6))-MonthlyExp*12*(1+Inflation)^(27-1),0)</f>
        <v>127078748.867647</v>
      </c>
      <c r="AD47" s="32" t="n">
        <f aca="true">MAX(AC47*(1+NORMINV(RAND(),$C$6,$E$6))-MonthlyExp*12*(1+Inflation)^(28-1),0)</f>
        <v>123970986.316619</v>
      </c>
      <c r="AE47" s="32" t="n">
        <f aca="true">MAX(AD47*(1+NORMINV(RAND(),$C$6,$E$6))-MonthlyExp*12*(1+Inflation)^(29-1),0)</f>
        <v>152643810.950117</v>
      </c>
      <c r="AF47" s="32" t="n">
        <f aca="true">MAX(AE47*(1+NORMINV(RAND(),$C$6,$E$6))-MonthlyExp*12*(1+Inflation)^(30-1),0)</f>
        <v>161953549.191007</v>
      </c>
    </row>
    <row r="48" customFormat="false" ht="15" hidden="false" customHeight="false" outlineLevel="0" collapsed="false">
      <c r="A48" s="30" t="n">
        <v>40</v>
      </c>
      <c r="B48" s="31" t="n">
        <f aca="false">Corpus</f>
        <v>20000000</v>
      </c>
      <c r="C48" s="32" t="n">
        <f aca="true">MAX(B48*(1+NORMINV(RAND(),$C$6,$E$6))-MonthlyExp*12*(1+Inflation)^(1-1),0)</f>
        <v>20821568.4406016</v>
      </c>
      <c r="D48" s="32" t="n">
        <f aca="true">MAX(C48*(1+NORMINV(RAND(),$C$6,$E$6))-MonthlyExp*12*(1+Inflation)^(2-1),0)</f>
        <v>21349136.0837294</v>
      </c>
      <c r="E48" s="32" t="n">
        <f aca="true">MAX(D48*(1+NORMINV(RAND(),$C$6,$E$6))-MonthlyExp*12*(1+Inflation)^(3-1),0)</f>
        <v>21093118.5060361</v>
      </c>
      <c r="F48" s="32" t="n">
        <f aca="true">MAX(E48*(1+NORMINV(RAND(),$C$6,$E$6))-MonthlyExp*12*(1+Inflation)^(4-1),0)</f>
        <v>20599296.1069074</v>
      </c>
      <c r="G48" s="32" t="n">
        <f aca="true">MAX(F48*(1+NORMINV(RAND(),$C$6,$E$6))-MonthlyExp*12*(1+Inflation)^(5-1),0)</f>
        <v>22582125.0998028</v>
      </c>
      <c r="H48" s="32" t="n">
        <f aca="true">MAX(G48*(1+NORMINV(RAND(),$C$6,$E$6))-MonthlyExp*12*(1+Inflation)^(6-1),0)</f>
        <v>18902407.5408647</v>
      </c>
      <c r="I48" s="32" t="n">
        <f aca="true">MAX(H48*(1+NORMINV(RAND(),$C$6,$E$6))-MonthlyExp*12*(1+Inflation)^(7-1),0)</f>
        <v>18519600.3324731</v>
      </c>
      <c r="J48" s="32" t="n">
        <f aca="true">MAX(I48*(1+NORMINV(RAND(),$C$6,$E$6))-MonthlyExp*12*(1+Inflation)^(8-1),0)</f>
        <v>18380775.3311498</v>
      </c>
      <c r="K48" s="32" t="n">
        <f aca="true">MAX(J48*(1+NORMINV(RAND(),$C$6,$E$6))-MonthlyExp*12*(1+Inflation)^(9-1),0)</f>
        <v>17917555.8047002</v>
      </c>
      <c r="L48" s="32" t="n">
        <f aca="true">MAX(K48*(1+NORMINV(RAND(),$C$6,$E$6))-MonthlyExp*12*(1+Inflation)^(10-1),0)</f>
        <v>18637756.6318102</v>
      </c>
      <c r="M48" s="32" t="n">
        <f aca="true">MAX(L48*(1+NORMINV(RAND(),$C$6,$E$6))-MonthlyExp*12*(1+Inflation)^(11-1),0)</f>
        <v>20129718.7337609</v>
      </c>
      <c r="N48" s="32" t="n">
        <f aca="true">MAX(M48*(1+NORMINV(RAND(),$C$6,$E$6))-MonthlyExp*12*(1+Inflation)^(12-1),0)</f>
        <v>21374728.5335248</v>
      </c>
      <c r="O48" s="32" t="n">
        <f aca="true">MAX(N48*(1+NORMINV(RAND(),$C$6,$E$6))-MonthlyExp*12*(1+Inflation)^(13-1),0)</f>
        <v>22381406.4810046</v>
      </c>
      <c r="P48" s="32" t="n">
        <f aca="true">MAX(O48*(1+NORMINV(RAND(),$C$6,$E$6))-MonthlyExp*12*(1+Inflation)^(14-1),0)</f>
        <v>23508191.4877229</v>
      </c>
      <c r="Q48" s="32" t="n">
        <f aca="true">MAX(P48*(1+NORMINV(RAND(),$C$6,$E$6))-MonthlyExp*12*(1+Inflation)^(15-1),0)</f>
        <v>25323137.0291755</v>
      </c>
      <c r="R48" s="32" t="n">
        <f aca="true">MAX(Q48*(1+NORMINV(RAND(),$C$6,$E$6))-MonthlyExp*12*(1+Inflation)^(16-1),0)</f>
        <v>22603269.9791053</v>
      </c>
      <c r="S48" s="32" t="n">
        <f aca="true">MAX(R48*(1+NORMINV(RAND(),$C$6,$E$6))-MonthlyExp*12*(1+Inflation)^(17-1),0)</f>
        <v>22324989.2126548</v>
      </c>
      <c r="T48" s="32" t="n">
        <f aca="true">MAX(S48*(1+NORMINV(RAND(),$C$6,$E$6))-MonthlyExp*12*(1+Inflation)^(18-1),0)</f>
        <v>19943862.0877732</v>
      </c>
      <c r="U48" s="32" t="n">
        <f aca="true">MAX(T48*(1+NORMINV(RAND(),$C$6,$E$6))-MonthlyExp*12*(1+Inflation)^(19-1),0)</f>
        <v>16240110.0370433</v>
      </c>
      <c r="V48" s="32" t="n">
        <f aca="true">MAX(U48*(1+NORMINV(RAND(),$C$6,$E$6))-MonthlyExp*12*(1+Inflation)^(20-1),0)</f>
        <v>17698669.0766492</v>
      </c>
      <c r="W48" s="32" t="n">
        <f aca="true">MAX(V48*(1+NORMINV(RAND(),$C$6,$E$6))-MonthlyExp*12*(1+Inflation)^(21-1),0)</f>
        <v>15220128.3423535</v>
      </c>
      <c r="X48" s="32" t="n">
        <f aca="true">MAX(W48*(1+NORMINV(RAND(),$C$6,$E$6))-MonthlyExp*12*(1+Inflation)^(22-1),0)</f>
        <v>14024783.1249135</v>
      </c>
      <c r="Y48" s="32" t="n">
        <f aca="true">MAX(X48*(1+NORMINV(RAND(),$C$6,$E$6))-MonthlyExp*12*(1+Inflation)^(23-1),0)</f>
        <v>12597615.0900409</v>
      </c>
      <c r="Z48" s="32" t="n">
        <f aca="true">MAX(Y48*(1+NORMINV(RAND(),$C$6,$E$6))-MonthlyExp*12*(1+Inflation)^(24-1),0)</f>
        <v>13242993.2889701</v>
      </c>
      <c r="AA48" s="32" t="n">
        <f aca="true">MAX(Z48*(1+NORMINV(RAND(),$C$6,$E$6))-MonthlyExp*12*(1+Inflation)^(25-1),0)</f>
        <v>11322775.249544</v>
      </c>
      <c r="AB48" s="32" t="n">
        <f aca="true">MAX(AA48*(1+NORMINV(RAND(),$C$6,$E$6))-MonthlyExp*12*(1+Inflation)^(26-1),0)</f>
        <v>8340636.75527558</v>
      </c>
      <c r="AC48" s="32" t="n">
        <f aca="true">MAX(AB48*(1+NORMINV(RAND(),$C$6,$E$6))-MonthlyExp*12*(1+Inflation)^(27-1),0)</f>
        <v>5190608.82093048</v>
      </c>
      <c r="AD48" s="32" t="n">
        <f aca="true">MAX(AC48*(1+NORMINV(RAND(),$C$6,$E$6))-MonthlyExp*12*(1+Inflation)^(28-1),0)</f>
        <v>1826154.29835919</v>
      </c>
      <c r="AE48" s="32" t="n">
        <f aca="true">MAX(AD48*(1+NORMINV(RAND(),$C$6,$E$6))-MonthlyExp*12*(1+Inflation)^(29-1),0)</f>
        <v>0</v>
      </c>
      <c r="AF48" s="32" t="n">
        <f aca="true">MAX(AE48*(1+NORMINV(RAND(),$C$6,$E$6))-MonthlyExp*12*(1+Inflation)^(30-1),0)</f>
        <v>0</v>
      </c>
    </row>
    <row r="50" customFormat="false" ht="19.5" hidden="false" customHeight="true" outlineLevel="0" collapsed="false">
      <c r="B50" s="2" t="s">
        <v>141</v>
      </c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B51" s="14" t="s">
        <v>142</v>
      </c>
      <c r="D51" s="33" t="n">
        <f aca="false">COUNTIF(AF9:AF48,"&gt;0")/40</f>
        <v>0.975</v>
      </c>
    </row>
    <row r="52" customFormat="false" ht="15" hidden="false" customHeight="false" outlineLevel="0" collapsed="false">
      <c r="B52" s="14" t="s">
        <v>143</v>
      </c>
      <c r="D52" s="28" t="n">
        <f aca="false">MEDIAN(AF9:AF48)</f>
        <v>96936913.7918226</v>
      </c>
    </row>
    <row r="53" customFormat="false" ht="15" hidden="false" customHeight="false" outlineLevel="0" collapsed="false">
      <c r="B53" s="14" t="s">
        <v>144</v>
      </c>
      <c r="D53" s="28" t="n">
        <f aca="false">PERCENTILE(AF9:AF48,0.1)</f>
        <v>28765779.5266846</v>
      </c>
    </row>
    <row r="54" customFormat="false" ht="15" hidden="false" customHeight="false" outlineLevel="0" collapsed="false">
      <c r="B54" s="14" t="s">
        <v>145</v>
      </c>
      <c r="D54" s="28" t="n">
        <f aca="false">PERCENTILE(AF9:AF48,0.9)</f>
        <v>245341880.836737</v>
      </c>
    </row>
    <row r="55" customFormat="false" ht="15" hidden="false" customHeight="false" outlineLevel="0" collapsed="false">
      <c r="B55" s="14" t="s">
        <v>146</v>
      </c>
      <c r="D55" s="28" t="n">
        <f aca="false">MAX(AF9:AF48)</f>
        <v>368070520.272452</v>
      </c>
    </row>
    <row r="56" customFormat="false" ht="15" hidden="false" customHeight="false" outlineLevel="0" collapsed="false">
      <c r="B56" s="14" t="s">
        <v>147</v>
      </c>
      <c r="D56" s="28" t="n">
        <f aca="false">MIN(AF9:AF48)</f>
        <v>0</v>
      </c>
    </row>
  </sheetData>
  <mergeCells count="3">
    <mergeCell ref="A1:L1"/>
    <mergeCell ref="B3:M4"/>
    <mergeCell ref="B50:I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3"/>
    <col collapsed="false" customWidth="true" hidden="false" outlineLevel="0" max="5" min="5" style="0" width="45"/>
    <col collapsed="false" customWidth="true" hidden="false" outlineLevel="0" max="6" min="6" style="0" width="3"/>
  </cols>
  <sheetData>
    <row r="1" customFormat="false" ht="25.5" hidden="false" customHeight="true" outlineLevel="0" collapsed="false">
      <c r="A1" s="1" t="s">
        <v>148</v>
      </c>
      <c r="B1" s="1"/>
      <c r="C1" s="1"/>
      <c r="D1" s="1"/>
      <c r="E1" s="1"/>
    </row>
    <row r="3" customFormat="false" ht="25.5" hidden="false" customHeight="true" outlineLevel="0" collapsed="false">
      <c r="B3" s="25" t="s">
        <v>149</v>
      </c>
      <c r="C3" s="25"/>
      <c r="D3" s="25"/>
      <c r="E3" s="25"/>
    </row>
    <row r="5" customFormat="false" ht="19.5" hidden="false" customHeight="true" outlineLevel="0" collapsed="false">
      <c r="B5" s="34" t="s">
        <v>150</v>
      </c>
      <c r="C5" s="34"/>
      <c r="D5" s="34"/>
      <c r="E5" s="34"/>
    </row>
    <row r="6" customFormat="false" ht="22.35" hidden="false" customHeight="false" outlineLevel="0" collapsed="false">
      <c r="B6" s="35" t="s">
        <v>151</v>
      </c>
      <c r="C6" s="35" t="s">
        <v>152</v>
      </c>
      <c r="D6" s="35" t="s">
        <v>153</v>
      </c>
      <c r="E6" s="35" t="s">
        <v>154</v>
      </c>
    </row>
    <row r="7" customFormat="false" ht="15" hidden="false" customHeight="false" outlineLevel="0" collapsed="false">
      <c r="B7" s="36" t="s">
        <v>155</v>
      </c>
      <c r="C7" s="37" t="n">
        <v>0.3</v>
      </c>
      <c r="D7" s="36" t="s">
        <v>156</v>
      </c>
      <c r="E7" s="38" t="s">
        <v>157</v>
      </c>
    </row>
    <row r="8" customFormat="false" ht="23.85" hidden="false" customHeight="false" outlineLevel="0" collapsed="false">
      <c r="B8" s="36" t="s">
        <v>158</v>
      </c>
      <c r="C8" s="37" t="n">
        <v>0.2</v>
      </c>
      <c r="D8" s="36" t="s">
        <v>159</v>
      </c>
      <c r="E8" s="38" t="s">
        <v>160</v>
      </c>
    </row>
    <row r="9" customFormat="false" ht="15" hidden="false" customHeight="false" outlineLevel="0" collapsed="false">
      <c r="B9" s="36" t="s">
        <v>161</v>
      </c>
      <c r="C9" s="37" t="n">
        <v>0.3</v>
      </c>
      <c r="D9" s="36" t="s">
        <v>162</v>
      </c>
      <c r="E9" s="38" t="s">
        <v>163</v>
      </c>
    </row>
    <row r="10" customFormat="false" ht="15" hidden="false" customHeight="false" outlineLevel="0" collapsed="false">
      <c r="B10" s="36" t="s">
        <v>164</v>
      </c>
      <c r="C10" s="37" t="n">
        <v>0.2</v>
      </c>
      <c r="D10" s="36" t="s">
        <v>165</v>
      </c>
      <c r="E10" s="38" t="s">
        <v>166</v>
      </c>
    </row>
    <row r="12" customFormat="false" ht="19.5" hidden="false" customHeight="true" outlineLevel="0" collapsed="false">
      <c r="B12" s="34" t="s">
        <v>167</v>
      </c>
      <c r="C12" s="34"/>
      <c r="D12" s="34"/>
      <c r="E12" s="34"/>
    </row>
    <row r="13" customFormat="false" ht="22.35" hidden="false" customHeight="false" outlineLevel="0" collapsed="false">
      <c r="B13" s="35" t="s">
        <v>151</v>
      </c>
      <c r="C13" s="35" t="s">
        <v>152</v>
      </c>
      <c r="D13" s="35" t="s">
        <v>153</v>
      </c>
      <c r="E13" s="35" t="s">
        <v>154</v>
      </c>
    </row>
    <row r="14" customFormat="false" ht="15" hidden="false" customHeight="false" outlineLevel="0" collapsed="false">
      <c r="B14" s="39" t="s">
        <v>168</v>
      </c>
      <c r="C14" s="40" t="n">
        <v>0.3</v>
      </c>
      <c r="D14" s="39" t="s">
        <v>169</v>
      </c>
      <c r="E14" s="41" t="s">
        <v>170</v>
      </c>
    </row>
    <row r="15" customFormat="false" ht="23.85" hidden="false" customHeight="false" outlineLevel="0" collapsed="false">
      <c r="B15" s="39" t="s">
        <v>171</v>
      </c>
      <c r="C15" s="40" t="n">
        <v>0.3</v>
      </c>
      <c r="D15" s="39" t="s">
        <v>172</v>
      </c>
      <c r="E15" s="41" t="s">
        <v>173</v>
      </c>
    </row>
    <row r="16" customFormat="false" ht="23.85" hidden="false" customHeight="false" outlineLevel="0" collapsed="false">
      <c r="B16" s="39" t="s">
        <v>174</v>
      </c>
      <c r="C16" s="40" t="n">
        <v>0.25</v>
      </c>
      <c r="D16" s="39" t="s">
        <v>175</v>
      </c>
      <c r="E16" s="41" t="s">
        <v>176</v>
      </c>
    </row>
    <row r="17" customFormat="false" ht="15" hidden="false" customHeight="false" outlineLevel="0" collapsed="false">
      <c r="B17" s="39" t="s">
        <v>177</v>
      </c>
      <c r="C17" s="40" t="n">
        <v>0.15</v>
      </c>
      <c r="D17" s="39" t="s">
        <v>178</v>
      </c>
      <c r="E17" s="41" t="s">
        <v>179</v>
      </c>
    </row>
    <row r="19" customFormat="false" ht="19.5" hidden="false" customHeight="true" outlineLevel="0" collapsed="false">
      <c r="B19" s="34" t="s">
        <v>180</v>
      </c>
      <c r="C19" s="34"/>
      <c r="D19" s="34"/>
      <c r="E19" s="34"/>
    </row>
    <row r="20" customFormat="false" ht="22.35" hidden="false" customHeight="false" outlineLevel="0" collapsed="false">
      <c r="B20" s="35" t="s">
        <v>151</v>
      </c>
      <c r="C20" s="35" t="s">
        <v>152</v>
      </c>
      <c r="D20" s="35" t="s">
        <v>153</v>
      </c>
      <c r="E20" s="35" t="s">
        <v>154</v>
      </c>
    </row>
    <row r="21" customFormat="false" ht="15" hidden="false" customHeight="false" outlineLevel="0" collapsed="false">
      <c r="B21" s="42" t="s">
        <v>181</v>
      </c>
      <c r="C21" s="43" t="n">
        <v>0.35</v>
      </c>
      <c r="D21" s="42" t="s">
        <v>182</v>
      </c>
      <c r="E21" s="44" t="s">
        <v>183</v>
      </c>
    </row>
    <row r="22" customFormat="false" ht="15" hidden="false" customHeight="false" outlineLevel="0" collapsed="false">
      <c r="B22" s="42" t="s">
        <v>184</v>
      </c>
      <c r="C22" s="43" t="n">
        <v>0.25</v>
      </c>
      <c r="D22" s="42" t="s">
        <v>185</v>
      </c>
      <c r="E22" s="44" t="s">
        <v>186</v>
      </c>
    </row>
    <row r="23" customFormat="false" ht="23.85" hidden="false" customHeight="false" outlineLevel="0" collapsed="false">
      <c r="B23" s="42" t="s">
        <v>187</v>
      </c>
      <c r="C23" s="43" t="n">
        <v>0.25</v>
      </c>
      <c r="D23" s="42" t="s">
        <v>188</v>
      </c>
      <c r="E23" s="44" t="s">
        <v>189</v>
      </c>
    </row>
    <row r="24" customFormat="false" ht="15" hidden="false" customHeight="false" outlineLevel="0" collapsed="false">
      <c r="B24" s="42" t="s">
        <v>190</v>
      </c>
      <c r="C24" s="43" t="n">
        <v>0.15</v>
      </c>
      <c r="D24" s="42" t="s">
        <v>191</v>
      </c>
      <c r="E24" s="44" t="s">
        <v>192</v>
      </c>
    </row>
    <row r="26" customFormat="false" ht="15" hidden="false" customHeight="false" outlineLevel="0" collapsed="false">
      <c r="B26" s="25" t="s">
        <v>193</v>
      </c>
      <c r="C26" s="25"/>
      <c r="D26" s="25"/>
      <c r="E26" s="25"/>
    </row>
    <row r="27" customFormat="false" ht="15" hidden="false" customHeight="false" outlineLevel="0" collapsed="false">
      <c r="B27" s="25" t="s">
        <v>194</v>
      </c>
      <c r="C27" s="25"/>
      <c r="D27" s="25"/>
      <c r="E27" s="25"/>
    </row>
  </sheetData>
  <mergeCells count="7">
    <mergeCell ref="A1:E1"/>
    <mergeCell ref="B3:E3"/>
    <mergeCell ref="B5:E5"/>
    <mergeCell ref="B12:E12"/>
    <mergeCell ref="B19:E19"/>
    <mergeCell ref="B26:E26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O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26" min="3" style="0" width="13"/>
  </cols>
  <sheetData>
    <row r="1" customFormat="false" ht="25.5" hidden="false" customHeight="true" outlineLevel="0" collapsed="false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true" outlineLevel="0" collapsed="false">
      <c r="B3" s="25" t="s">
        <v>196</v>
      </c>
      <c r="C3" s="25"/>
      <c r="D3" s="25"/>
      <c r="E3" s="25"/>
      <c r="F3" s="25"/>
      <c r="G3" s="25"/>
      <c r="H3" s="25"/>
      <c r="I3" s="25"/>
      <c r="J3" s="25"/>
      <c r="K3" s="25"/>
      <c r="L3" s="25"/>
    </row>
    <row r="4" customFormat="false" ht="15" hidden="false" customHeight="true" outlineLevel="0" collapsed="false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6" customFormat="false" ht="15" hidden="false" customHeight="false" outlineLevel="0" collapsed="false">
      <c r="B6" s="14" t="s">
        <v>197</v>
      </c>
      <c r="D6" s="12" t="n">
        <v>0.2</v>
      </c>
    </row>
    <row r="8" customFormat="false" ht="33.75" hidden="false" customHeight="true" outlineLevel="0" collapsed="false">
      <c r="A8" s="45" t="s">
        <v>64</v>
      </c>
      <c r="B8" s="45" t="s">
        <v>65</v>
      </c>
      <c r="C8" s="45" t="s">
        <v>198</v>
      </c>
      <c r="D8" s="45" t="s">
        <v>199</v>
      </c>
      <c r="E8" s="45" t="s">
        <v>200</v>
      </c>
      <c r="F8" s="45" t="s">
        <v>201</v>
      </c>
      <c r="G8" s="45" t="s">
        <v>202</v>
      </c>
      <c r="H8" s="45" t="s">
        <v>203</v>
      </c>
      <c r="I8" s="45" t="s">
        <v>204</v>
      </c>
      <c r="J8" s="45" t="s">
        <v>205</v>
      </c>
      <c r="K8" s="45" t="s">
        <v>206</v>
      </c>
      <c r="L8" s="45" t="s">
        <v>207</v>
      </c>
      <c r="M8" s="45" t="s">
        <v>208</v>
      </c>
      <c r="N8" s="45" t="s">
        <v>209</v>
      </c>
      <c r="O8" s="45" t="s">
        <v>210</v>
      </c>
    </row>
    <row r="9" customFormat="false" ht="15" hidden="false" customHeight="false" outlineLevel="0" collapsed="false">
      <c r="A9" s="46" t="n">
        <v>1</v>
      </c>
      <c r="B9" s="46" t="n">
        <f aca="false">Age+A9-1</f>
        <v>62</v>
      </c>
      <c r="C9" s="47" t="n">
        <f aca="false">IF(A9&lt;=5,0,MonthlyExp*12*(1+Inflation)^(A9-1))</f>
        <v>0</v>
      </c>
      <c r="D9" s="47" t="n">
        <f aca="false">Corpus</f>
        <v>20000000</v>
      </c>
      <c r="E9" s="47" t="n">
        <f aca="false">D9*GrowthReturn</f>
        <v>2200000</v>
      </c>
      <c r="F9" s="47" t="n">
        <f aca="false">D9+E9-C9</f>
        <v>22200000</v>
      </c>
      <c r="G9" s="47" t="n">
        <v>0</v>
      </c>
      <c r="H9" s="47" t="n">
        <f aca="false">G9*B1Ret</f>
        <v>0</v>
      </c>
      <c r="I9" s="47" t="n">
        <f aca="false">MAX(G9+H9-C9,0)</f>
        <v>0</v>
      </c>
      <c r="J9" s="47" t="n">
        <f aca="false">Corpus</f>
        <v>20000000</v>
      </c>
      <c r="K9" s="47" t="n">
        <f aca="false">J9*GrowthReturn</f>
        <v>2200000</v>
      </c>
      <c r="L9" s="47" t="n">
        <f aca="false">MAX(C9-(G9+H9),0)</f>
        <v>0</v>
      </c>
      <c r="M9" s="47" t="n">
        <f aca="false">J9+K9-L9</f>
        <v>22200000</v>
      </c>
      <c r="N9" s="47" t="n">
        <f aca="false">I9+M9</f>
        <v>22200000</v>
      </c>
      <c r="O9" s="47" t="n">
        <f aca="false">'Annual Summary'!J2</f>
        <v>21411077.6237357</v>
      </c>
    </row>
    <row r="10" customFormat="false" ht="15" hidden="false" customHeight="false" outlineLevel="0" collapsed="false">
      <c r="A10" s="46" t="n">
        <v>2</v>
      </c>
      <c r="B10" s="46" t="n">
        <f aca="false">Age+A10-1</f>
        <v>63</v>
      </c>
      <c r="C10" s="47" t="n">
        <f aca="false">IF(A10&lt;=5,0,MonthlyExp*12*(1+Inflation)^(A10-1))</f>
        <v>0</v>
      </c>
      <c r="D10" s="47" t="n">
        <f aca="false">F9</f>
        <v>22200000</v>
      </c>
      <c r="E10" s="47" t="n">
        <f aca="false">D10*GrowthReturn</f>
        <v>2442000</v>
      </c>
      <c r="F10" s="47" t="n">
        <f aca="false">D10+E10-C10</f>
        <v>24642000</v>
      </c>
      <c r="G10" s="47" t="n">
        <v>0</v>
      </c>
      <c r="H10" s="47" t="n">
        <f aca="false">G10*B1Ret</f>
        <v>0</v>
      </c>
      <c r="I10" s="47" t="n">
        <f aca="false">MAX(G10+H10-C10,0)</f>
        <v>0</v>
      </c>
      <c r="J10" s="47" t="n">
        <f aca="false">M9</f>
        <v>22200000</v>
      </c>
      <c r="K10" s="47" t="n">
        <f aca="false">J10*GrowthReturn</f>
        <v>2442000</v>
      </c>
      <c r="L10" s="47" t="n">
        <f aca="false">MAX(C10-(G10+H10),0)</f>
        <v>0</v>
      </c>
      <c r="M10" s="47" t="n">
        <f aca="false">J10+K10-L10</f>
        <v>24642000</v>
      </c>
      <c r="N10" s="47" t="n">
        <f aca="false">I10+M10</f>
        <v>24642000</v>
      </c>
      <c r="O10" s="47" t="n">
        <f aca="false">'Annual Summary'!J3</f>
        <v>22945172.3455563</v>
      </c>
    </row>
    <row r="11" customFormat="false" ht="15" hidden="false" customHeight="false" outlineLevel="0" collapsed="false">
      <c r="A11" s="46" t="n">
        <v>3</v>
      </c>
      <c r="B11" s="46" t="n">
        <f aca="false">Age+A11-1</f>
        <v>64</v>
      </c>
      <c r="C11" s="47" t="n">
        <f aca="false">IF(A11&lt;=5,0,MonthlyExp*12*(1+Inflation)^(A11-1))</f>
        <v>0</v>
      </c>
      <c r="D11" s="47" t="n">
        <f aca="false">F10</f>
        <v>24642000</v>
      </c>
      <c r="E11" s="47" t="n">
        <f aca="false">D11*GrowthReturn</f>
        <v>2710620</v>
      </c>
      <c r="F11" s="47" t="n">
        <f aca="false">D11+E11-C11</f>
        <v>27352620</v>
      </c>
      <c r="G11" s="47" t="n">
        <v>0</v>
      </c>
      <c r="H11" s="47" t="n">
        <f aca="false">G11*B1Ret</f>
        <v>0</v>
      </c>
      <c r="I11" s="47" t="n">
        <f aca="false">MAX(G11+H11-C11,0)</f>
        <v>0</v>
      </c>
      <c r="J11" s="47" t="n">
        <f aca="false">M10</f>
        <v>24642000</v>
      </c>
      <c r="K11" s="47" t="n">
        <f aca="false">J11*GrowthReturn</f>
        <v>2710620</v>
      </c>
      <c r="L11" s="47" t="n">
        <f aca="false">MAX(C11-(G11+H11),0)</f>
        <v>0</v>
      </c>
      <c r="M11" s="47" t="n">
        <f aca="false">J11+K11-L11</f>
        <v>27352620</v>
      </c>
      <c r="N11" s="47" t="n">
        <f aca="false">I11+M11</f>
        <v>27352620</v>
      </c>
      <c r="O11" s="47" t="n">
        <f aca="false">'Annual Summary'!J4</f>
        <v>24615281.7729641</v>
      </c>
    </row>
    <row r="12" customFormat="false" ht="15" hidden="false" customHeight="false" outlineLevel="0" collapsed="false">
      <c r="A12" s="46" t="n">
        <v>4</v>
      </c>
      <c r="B12" s="46" t="n">
        <f aca="false">Age+A12-1</f>
        <v>65</v>
      </c>
      <c r="C12" s="47" t="n">
        <f aca="false">IF(A12&lt;=5,0,MonthlyExp*12*(1+Inflation)^(A12-1))</f>
        <v>0</v>
      </c>
      <c r="D12" s="47" t="n">
        <f aca="false">F11</f>
        <v>27352620</v>
      </c>
      <c r="E12" s="47" t="n">
        <f aca="false">D12*GrowthReturn</f>
        <v>3008788.2</v>
      </c>
      <c r="F12" s="47" t="n">
        <f aca="false">D12+E12-C12</f>
        <v>30361408.2</v>
      </c>
      <c r="G12" s="47" t="n">
        <v>0</v>
      </c>
      <c r="H12" s="47" t="n">
        <f aca="false">G12*B1Ret</f>
        <v>0</v>
      </c>
      <c r="I12" s="47" t="n">
        <f aca="false">MAX(G12+H12-C12,0)</f>
        <v>0</v>
      </c>
      <c r="J12" s="47" t="n">
        <f aca="false">M11</f>
        <v>27352620</v>
      </c>
      <c r="K12" s="47" t="n">
        <f aca="false">J12*GrowthReturn</f>
        <v>3008788.2</v>
      </c>
      <c r="L12" s="47" t="n">
        <f aca="false">MAX(C12-(G12+H12),0)</f>
        <v>0</v>
      </c>
      <c r="M12" s="47" t="n">
        <f aca="false">J12+K12-L12</f>
        <v>30361408.2</v>
      </c>
      <c r="N12" s="47" t="n">
        <f aca="false">I12+M12</f>
        <v>30361408.2</v>
      </c>
      <c r="O12" s="47" t="n">
        <f aca="false">'Annual Summary'!J5</f>
        <v>26435927.8704648</v>
      </c>
    </row>
    <row r="13" customFormat="false" ht="15" hidden="false" customHeight="false" outlineLevel="0" collapsed="false">
      <c r="A13" s="46" t="n">
        <v>5</v>
      </c>
      <c r="B13" s="46" t="n">
        <f aca="false">Age+A13-1</f>
        <v>66</v>
      </c>
      <c r="C13" s="47" t="n">
        <f aca="false">IF(A13&lt;=5,0,MonthlyExp*12*(1+Inflation)^(A13-1))</f>
        <v>0</v>
      </c>
      <c r="D13" s="47" t="n">
        <f aca="false">F12</f>
        <v>30361408.2</v>
      </c>
      <c r="E13" s="47" t="n">
        <f aca="false">D13*GrowthReturn</f>
        <v>3339754.902</v>
      </c>
      <c r="F13" s="47" t="n">
        <f aca="false">D13+E13-C13</f>
        <v>33701163.102</v>
      </c>
      <c r="G13" s="47" t="n">
        <v>0</v>
      </c>
      <c r="H13" s="47" t="n">
        <f aca="false">G13*B1Ret</f>
        <v>0</v>
      </c>
      <c r="I13" s="47" t="n">
        <f aca="false">MAX(G13+H13-C13,0)</f>
        <v>0</v>
      </c>
      <c r="J13" s="47" t="n">
        <f aca="false">M12</f>
        <v>30361408.2</v>
      </c>
      <c r="K13" s="47" t="n">
        <f aca="false">J13*GrowthReturn</f>
        <v>3339754.902</v>
      </c>
      <c r="L13" s="47" t="n">
        <f aca="false">MAX(C13-(G13+H13),0)</f>
        <v>0</v>
      </c>
      <c r="M13" s="47" t="n">
        <f aca="false">J13+K13-L13</f>
        <v>33701163.102</v>
      </c>
      <c r="N13" s="47" t="n">
        <f aca="false">I13+M13</f>
        <v>33701163.102</v>
      </c>
      <c r="O13" s="47" t="n">
        <f aca="false">'Annual Summary'!J6</f>
        <v>28423341.8154933</v>
      </c>
    </row>
    <row r="14" customFormat="false" ht="15" hidden="false" customHeight="false" outlineLevel="0" collapsed="false">
      <c r="A14" s="46" t="n">
        <v>6</v>
      </c>
      <c r="B14" s="46" t="n">
        <f aca="false">Age+A14-1</f>
        <v>67</v>
      </c>
      <c r="C14" s="47" t="n">
        <f aca="false">IF(A14&lt;=5,0,MonthlyExp*12*(1+Inflation)^(A14-1))</f>
        <v>841531.03842</v>
      </c>
      <c r="D14" s="47" t="n">
        <f aca="false">F13</f>
        <v>33701163.102</v>
      </c>
      <c r="E14" s="47" t="n">
        <f aca="false">D14*GrowthReturn</f>
        <v>3707127.94122</v>
      </c>
      <c r="F14" s="47" t="n">
        <f aca="false">D14+E14-C14</f>
        <v>36566760.0048</v>
      </c>
      <c r="G14" s="47" t="n">
        <f aca="false">M13*$D$6</f>
        <v>6740232.6204</v>
      </c>
      <c r="H14" s="47" t="n">
        <f aca="false">G14*B1Ret</f>
        <v>471816.283428</v>
      </c>
      <c r="I14" s="47" t="n">
        <f aca="false">MAX(G14+H14-C14,0)</f>
        <v>6370517.865408</v>
      </c>
      <c r="J14" s="47" t="n">
        <f aca="false">M13*(1-$D$6)</f>
        <v>26960930.4816</v>
      </c>
      <c r="K14" s="47" t="n">
        <f aca="false">J14*GrowthReturn</f>
        <v>2965702.352976</v>
      </c>
      <c r="L14" s="47" t="n">
        <f aca="false">MAX(C14-(G14+H14),0)</f>
        <v>0</v>
      </c>
      <c r="M14" s="47" t="n">
        <f aca="false">J14+K14-L14</f>
        <v>29926632.834576</v>
      </c>
      <c r="N14" s="47" t="n">
        <f aca="false">I14+M14</f>
        <v>36297150.699984</v>
      </c>
      <c r="O14" s="47" t="n">
        <f aca="false">'Annual Summary'!J7</f>
        <v>30495295.1581563</v>
      </c>
    </row>
    <row r="15" customFormat="false" ht="15" hidden="false" customHeight="false" outlineLevel="0" collapsed="false">
      <c r="A15" s="46" t="n">
        <v>7</v>
      </c>
      <c r="B15" s="46" t="n">
        <f aca="false">Age+A15-1</f>
        <v>68</v>
      </c>
      <c r="C15" s="47" t="n">
        <f aca="false">IF(A15&lt;=5,0,MonthlyExp*12*(1+Inflation)^(A15-1))</f>
        <v>900438.2111094</v>
      </c>
      <c r="D15" s="47" t="n">
        <f aca="false">F14</f>
        <v>36566760.0048</v>
      </c>
      <c r="E15" s="47" t="n">
        <f aca="false">D15*GrowthReturn</f>
        <v>4022343.600528</v>
      </c>
      <c r="F15" s="47" t="n">
        <f aca="false">D15+E15-C15</f>
        <v>39688665.3942186</v>
      </c>
      <c r="G15" s="47" t="n">
        <f aca="false">I14</f>
        <v>6370517.865408</v>
      </c>
      <c r="H15" s="47" t="n">
        <f aca="false">G15*B1Ret</f>
        <v>445936.25057856</v>
      </c>
      <c r="I15" s="47" t="n">
        <f aca="false">MAX(G15+H15-C15,0)</f>
        <v>5916015.90487716</v>
      </c>
      <c r="J15" s="47" t="n">
        <f aca="false">M14</f>
        <v>29926632.834576</v>
      </c>
      <c r="K15" s="47" t="n">
        <f aca="false">J15*GrowthReturn</f>
        <v>3291929.61180336</v>
      </c>
      <c r="L15" s="47" t="n">
        <f aca="false">MAX(C15-(G15+H15),0)</f>
        <v>0</v>
      </c>
      <c r="M15" s="47" t="n">
        <f aca="false">J15+K15-L15</f>
        <v>33218562.4463794</v>
      </c>
      <c r="N15" s="47" t="n">
        <f aca="false">I15+M15</f>
        <v>39134578.3512565</v>
      </c>
      <c r="O15" s="47" t="n">
        <f aca="false">'Annual Summary'!J8</f>
        <v>32755788.4258415</v>
      </c>
    </row>
    <row r="16" customFormat="false" ht="15" hidden="false" customHeight="false" outlineLevel="0" collapsed="false">
      <c r="A16" s="46" t="n">
        <v>8</v>
      </c>
      <c r="B16" s="46" t="n">
        <f aca="false">Age+A16-1</f>
        <v>69</v>
      </c>
      <c r="C16" s="47" t="n">
        <f aca="false">IF(A16&lt;=5,0,MonthlyExp*12*(1+Inflation)^(A16-1))</f>
        <v>963468.885887058</v>
      </c>
      <c r="D16" s="47" t="n">
        <f aca="false">F15</f>
        <v>39688665.3942186</v>
      </c>
      <c r="E16" s="47" t="n">
        <f aca="false">D16*GrowthReturn</f>
        <v>4365753.19336405</v>
      </c>
      <c r="F16" s="47" t="n">
        <f aca="false">D16+E16-C16</f>
        <v>43090949.7016956</v>
      </c>
      <c r="G16" s="47" t="n">
        <f aca="false">I15</f>
        <v>5916015.90487716</v>
      </c>
      <c r="H16" s="47" t="n">
        <f aca="false">G16*B1Ret</f>
        <v>414121.113341401</v>
      </c>
      <c r="I16" s="47" t="n">
        <f aca="false">MAX(G16+H16-C16,0)</f>
        <v>5366668.1323315</v>
      </c>
      <c r="J16" s="47" t="n">
        <f aca="false">M15</f>
        <v>33218562.4463794</v>
      </c>
      <c r="K16" s="47" t="n">
        <f aca="false">J16*GrowthReturn</f>
        <v>3654041.86910173</v>
      </c>
      <c r="L16" s="47" t="n">
        <f aca="false">MAX(C16-(G16+H16),0)</f>
        <v>0</v>
      </c>
      <c r="M16" s="47" t="n">
        <f aca="false">J16+K16-L16</f>
        <v>36872604.3154811</v>
      </c>
      <c r="N16" s="47" t="n">
        <f aca="false">I16+M16</f>
        <v>42239272.4478126</v>
      </c>
      <c r="O16" s="47" t="n">
        <f aca="false">'Annual Summary'!J9</f>
        <v>35225439.117901</v>
      </c>
    </row>
    <row r="17" customFormat="false" ht="15" hidden="false" customHeight="false" outlineLevel="0" collapsed="false">
      <c r="A17" s="46" t="n">
        <v>9</v>
      </c>
      <c r="B17" s="46" t="n">
        <f aca="false">Age+A17-1</f>
        <v>70</v>
      </c>
      <c r="C17" s="47" t="n">
        <f aca="false">IF(A17&lt;=5,0,MonthlyExp*12*(1+Inflation)^(A17-1))</f>
        <v>1030911.70789915</v>
      </c>
      <c r="D17" s="47" t="n">
        <f aca="false">F16</f>
        <v>43090949.7016956</v>
      </c>
      <c r="E17" s="47" t="n">
        <f aca="false">D17*GrowthReturn</f>
        <v>4740004.46718652</v>
      </c>
      <c r="F17" s="47" t="n">
        <f aca="false">D17+E17-C17</f>
        <v>46800042.460983</v>
      </c>
      <c r="G17" s="47" t="n">
        <f aca="false">I16</f>
        <v>5366668.1323315</v>
      </c>
      <c r="H17" s="47" t="n">
        <f aca="false">G17*B1Ret</f>
        <v>375666.769263205</v>
      </c>
      <c r="I17" s="47" t="n">
        <f aca="false">MAX(G17+H17-C17,0)</f>
        <v>4711423.19369556</v>
      </c>
      <c r="J17" s="47" t="n">
        <f aca="false">M16</f>
        <v>36872604.3154811</v>
      </c>
      <c r="K17" s="47" t="n">
        <f aca="false">J17*GrowthReturn</f>
        <v>4055986.47470292</v>
      </c>
      <c r="L17" s="47" t="n">
        <f aca="false">MAX(C17-(G17+H17),0)</f>
        <v>0</v>
      </c>
      <c r="M17" s="47" t="n">
        <f aca="false">J17+K17-L17</f>
        <v>40928590.790184</v>
      </c>
      <c r="N17" s="47" t="n">
        <f aca="false">I17+M17</f>
        <v>45640013.9838796</v>
      </c>
      <c r="O17" s="47" t="n">
        <f aca="false">'Annual Summary'!J10</f>
        <v>37927332.3830859</v>
      </c>
    </row>
    <row r="18" customFormat="false" ht="15" hidden="false" customHeight="false" outlineLevel="0" collapsed="false">
      <c r="A18" s="46" t="n">
        <v>10</v>
      </c>
      <c r="B18" s="46" t="n">
        <f aca="false">Age+A18-1</f>
        <v>71</v>
      </c>
      <c r="C18" s="47" t="n">
        <f aca="false">IF(A18&lt;=5,0,MonthlyExp*12*(1+Inflation)^(A18-1))</f>
        <v>1103075.52745209</v>
      </c>
      <c r="D18" s="47" t="n">
        <f aca="false">F17</f>
        <v>46800042.460983</v>
      </c>
      <c r="E18" s="47" t="n">
        <f aca="false">D18*GrowthReturn</f>
        <v>5148004.67070813</v>
      </c>
      <c r="F18" s="47" t="n">
        <f aca="false">D18+E18-C18</f>
        <v>50844971.604239</v>
      </c>
      <c r="G18" s="47" t="n">
        <f aca="false">I17</f>
        <v>4711423.19369556</v>
      </c>
      <c r="H18" s="47" t="n">
        <f aca="false">G18*B1Ret</f>
        <v>329799.623558689</v>
      </c>
      <c r="I18" s="47" t="n">
        <f aca="false">MAX(G18+H18-C18,0)</f>
        <v>3938147.28980215</v>
      </c>
      <c r="J18" s="47" t="n">
        <f aca="false">M17</f>
        <v>40928590.790184</v>
      </c>
      <c r="K18" s="47" t="n">
        <f aca="false">J18*GrowthReturn</f>
        <v>4502144.98692024</v>
      </c>
      <c r="L18" s="47" t="n">
        <f aca="false">MAX(C18-(G18+H18),0)</f>
        <v>0</v>
      </c>
      <c r="M18" s="47" t="n">
        <f aca="false">J18+K18-L18</f>
        <v>45430735.7771043</v>
      </c>
      <c r="N18" s="47" t="n">
        <f aca="false">I18+M18</f>
        <v>49368883.0669064</v>
      </c>
      <c r="O18" s="47" t="n">
        <f aca="false">'Annual Summary'!J11</f>
        <v>40887323.6659593</v>
      </c>
    </row>
    <row r="19" customFormat="false" ht="15" hidden="false" customHeight="false" outlineLevel="0" collapsed="false">
      <c r="A19" s="46" t="n">
        <v>11</v>
      </c>
      <c r="B19" s="46" t="n">
        <f aca="false">Age+A19-1</f>
        <v>72</v>
      </c>
      <c r="C19" s="47" t="n">
        <f aca="false">IF(A19&lt;=5,0,MonthlyExp*12*(1+Inflation)^(A19-1))</f>
        <v>1180290.81437374</v>
      </c>
      <c r="D19" s="47" t="n">
        <f aca="false">F18</f>
        <v>50844971.604239</v>
      </c>
      <c r="E19" s="47" t="n">
        <f aca="false">D19*GrowthReturn</f>
        <v>5592946.87646629</v>
      </c>
      <c r="F19" s="47" t="n">
        <f aca="false">D19+E19-C19</f>
        <v>55257627.6663315</v>
      </c>
      <c r="G19" s="47" t="n">
        <f aca="false">I18</f>
        <v>3938147.28980215</v>
      </c>
      <c r="H19" s="47" t="n">
        <f aca="false">G19*B1Ret</f>
        <v>275670.310286151</v>
      </c>
      <c r="I19" s="47" t="n">
        <f aca="false">MAX(G19+H19-C19,0)</f>
        <v>3033526.78571456</v>
      </c>
      <c r="J19" s="47" t="n">
        <f aca="false">M18</f>
        <v>45430735.7771043</v>
      </c>
      <c r="K19" s="47" t="n">
        <f aca="false">J19*GrowthReturn</f>
        <v>4997380.93548147</v>
      </c>
      <c r="L19" s="47" t="n">
        <f aca="false">MAX(C19-(G19+H19),0)</f>
        <v>0</v>
      </c>
      <c r="M19" s="47" t="n">
        <f aca="false">J19+K19-L19</f>
        <v>50428116.7125857</v>
      </c>
      <c r="N19" s="47" t="n">
        <f aca="false">I19+M19</f>
        <v>53461643.4983003</v>
      </c>
      <c r="O19" s="47" t="n">
        <f aca="false">'Annual Summary'!J12</f>
        <v>44012866.3777902</v>
      </c>
    </row>
    <row r="20" customFormat="false" ht="15" hidden="false" customHeight="false" outlineLevel="0" collapsed="false">
      <c r="A20" s="46" t="n">
        <v>12</v>
      </c>
      <c r="B20" s="46" t="n">
        <f aca="false">Age+A20-1</f>
        <v>73</v>
      </c>
      <c r="C20" s="47" t="n">
        <f aca="false">IF(A20&lt;=5,0,MonthlyExp*12*(1+Inflation)^(A20-1))</f>
        <v>1262911.1713799</v>
      </c>
      <c r="D20" s="47" t="n">
        <f aca="false">F19</f>
        <v>55257627.6663315</v>
      </c>
      <c r="E20" s="47" t="n">
        <f aca="false">D20*GrowthReturn</f>
        <v>6078339.04329647</v>
      </c>
      <c r="F20" s="47" t="n">
        <f aca="false">D20+E20-C20</f>
        <v>60073055.5382481</v>
      </c>
      <c r="G20" s="47" t="n">
        <f aca="false">I19</f>
        <v>3033526.78571456</v>
      </c>
      <c r="H20" s="47" t="n">
        <f aca="false">G20*B1Ret</f>
        <v>212346.875000019</v>
      </c>
      <c r="I20" s="47" t="n">
        <f aca="false">MAX(G20+H20-C20,0)</f>
        <v>1982962.48933468</v>
      </c>
      <c r="J20" s="47" t="n">
        <f aca="false">M19</f>
        <v>50428116.7125857</v>
      </c>
      <c r="K20" s="47" t="n">
        <f aca="false">J20*GrowthReturn</f>
        <v>5547092.83838443</v>
      </c>
      <c r="L20" s="47" t="n">
        <f aca="false">MAX(C20-(G20+H20),0)</f>
        <v>0</v>
      </c>
      <c r="M20" s="47" t="n">
        <f aca="false">J20+K20-L20</f>
        <v>55975209.5509702</v>
      </c>
      <c r="N20" s="47" t="n">
        <f aca="false">I20+M20</f>
        <v>57958172.0403049</v>
      </c>
      <c r="O20" s="47" t="n">
        <f aca="false">'Annual Summary'!J13</f>
        <v>47437746.0754522</v>
      </c>
    </row>
    <row r="21" customFormat="false" ht="15" hidden="false" customHeight="false" outlineLevel="0" collapsed="false">
      <c r="A21" s="46" t="n">
        <v>13</v>
      </c>
      <c r="B21" s="46" t="n">
        <f aca="false">Age+A21-1</f>
        <v>74</v>
      </c>
      <c r="C21" s="47" t="n">
        <f aca="false">IF(A21&lt;=5,0,MonthlyExp*12*(1+Inflation)^(A21-1))</f>
        <v>1351314.95337649</v>
      </c>
      <c r="D21" s="47" t="n">
        <f aca="false">F20</f>
        <v>60073055.5382481</v>
      </c>
      <c r="E21" s="47" t="n">
        <f aca="false">D21*GrowthReturn</f>
        <v>6608036.10920729</v>
      </c>
      <c r="F21" s="47" t="n">
        <f aca="false">D21+E21-C21</f>
        <v>65329776.6940789</v>
      </c>
      <c r="G21" s="47" t="n">
        <f aca="false">I20</f>
        <v>1982962.48933468</v>
      </c>
      <c r="H21" s="47" t="n">
        <f aca="false">G21*B1Ret</f>
        <v>138807.374253428</v>
      </c>
      <c r="I21" s="47" t="n">
        <f aca="false">MAX(G21+H21-C21,0)</f>
        <v>770454.910211611</v>
      </c>
      <c r="J21" s="47" t="n">
        <f aca="false">M20</f>
        <v>55975209.5509702</v>
      </c>
      <c r="K21" s="47" t="n">
        <f aca="false">J21*GrowthReturn</f>
        <v>6157273.05060672</v>
      </c>
      <c r="L21" s="47" t="n">
        <f aca="false">MAX(C21-(G21+H21),0)</f>
        <v>0</v>
      </c>
      <c r="M21" s="47" t="n">
        <f aca="false">J21+K21-L21</f>
        <v>62132482.6015769</v>
      </c>
      <c r="N21" s="47" t="n">
        <f aca="false">I21+M21</f>
        <v>62902937.5117885</v>
      </c>
      <c r="O21" s="47" t="n">
        <f aca="false">'Annual Summary'!J14</f>
        <v>51195809.3644014</v>
      </c>
    </row>
    <row r="22" customFormat="false" ht="15" hidden="false" customHeight="false" outlineLevel="0" collapsed="false">
      <c r="A22" s="46" t="n">
        <v>14</v>
      </c>
      <c r="B22" s="46" t="n">
        <f aca="false">Age+A22-1</f>
        <v>75</v>
      </c>
      <c r="C22" s="47" t="n">
        <f aca="false">IF(A22&lt;=5,0,MonthlyExp*12*(1+Inflation)^(A22-1))</f>
        <v>1445907.00011285</v>
      </c>
      <c r="D22" s="47" t="n">
        <f aca="false">F21</f>
        <v>65329776.6940789</v>
      </c>
      <c r="E22" s="47" t="n">
        <f aca="false">D22*GrowthReturn</f>
        <v>7186275.43634868</v>
      </c>
      <c r="F22" s="47" t="n">
        <f aca="false">D22+E22-C22</f>
        <v>71070145.1303147</v>
      </c>
      <c r="G22" s="47" t="n">
        <f aca="false">I21</f>
        <v>770454.910211611</v>
      </c>
      <c r="H22" s="47" t="n">
        <f aca="false">G22*B1Ret</f>
        <v>53931.8437148128</v>
      </c>
      <c r="I22" s="47" t="n">
        <f aca="false">MAX(G22+H22-C22,0)</f>
        <v>0</v>
      </c>
      <c r="J22" s="47" t="n">
        <f aca="false">M21</f>
        <v>62132482.6015769</v>
      </c>
      <c r="K22" s="47" t="n">
        <f aca="false">J22*GrowthReturn</f>
        <v>6834573.08617346</v>
      </c>
      <c r="L22" s="47" t="n">
        <f aca="false">MAX(C22-(G22+H22),0)</f>
        <v>621520.246186426</v>
      </c>
      <c r="M22" s="47" t="n">
        <f aca="false">J22+K22-L22</f>
        <v>68345535.4415639</v>
      </c>
      <c r="N22" s="47" t="n">
        <f aca="false">I22+M22</f>
        <v>68345535.4415639</v>
      </c>
      <c r="O22" s="47" t="n">
        <f aca="false">'Annual Summary'!J15</f>
        <v>55325017.8650886</v>
      </c>
    </row>
    <row r="23" customFormat="false" ht="15" hidden="false" customHeight="false" outlineLevel="0" collapsed="false">
      <c r="A23" s="46" t="n">
        <v>15</v>
      </c>
      <c r="B23" s="46" t="n">
        <f aca="false">Age+A23-1</f>
        <v>76</v>
      </c>
      <c r="C23" s="47" t="n">
        <f aca="false">IF(A23&lt;=5,0,MonthlyExp*12*(1+Inflation)^(A23-1))</f>
        <v>1547120.49012075</v>
      </c>
      <c r="D23" s="47" t="n">
        <f aca="false">F22</f>
        <v>71070145.1303147</v>
      </c>
      <c r="E23" s="47" t="n">
        <f aca="false">D23*GrowthReturn</f>
        <v>7817715.96433462</v>
      </c>
      <c r="F23" s="47" t="n">
        <f aca="false">D23+E23-C23</f>
        <v>77340740.6045286</v>
      </c>
      <c r="G23" s="47" t="n">
        <f aca="false">I22</f>
        <v>0</v>
      </c>
      <c r="H23" s="47" t="n">
        <f aca="false">G23*B1Ret</f>
        <v>0</v>
      </c>
      <c r="I23" s="47" t="n">
        <f aca="false">MAX(G23+H23-C23,0)</f>
        <v>0</v>
      </c>
      <c r="J23" s="47" t="n">
        <f aca="false">M22</f>
        <v>68345535.4415639</v>
      </c>
      <c r="K23" s="47" t="n">
        <f aca="false">J23*GrowthReturn</f>
        <v>7518008.89857203</v>
      </c>
      <c r="L23" s="47" t="n">
        <f aca="false">MAX(C23-(G23+H23),0)</f>
        <v>1547120.49012075</v>
      </c>
      <c r="M23" s="47" t="n">
        <f aca="false">J23+K23-L23</f>
        <v>74316423.8500152</v>
      </c>
      <c r="N23" s="47" t="n">
        <f aca="false">I23+M23</f>
        <v>74316423.8500152</v>
      </c>
      <c r="O23" s="47" t="n">
        <f aca="false">'Annual Summary'!J16</f>
        <v>59867956.2111481</v>
      </c>
    </row>
    <row r="24" customFormat="false" ht="15" hidden="false" customHeight="false" outlineLevel="0" collapsed="false">
      <c r="A24" s="46" t="n">
        <v>16</v>
      </c>
      <c r="B24" s="46" t="n">
        <f aca="false">Age+A24-1</f>
        <v>77</v>
      </c>
      <c r="C24" s="47" t="n">
        <f aca="false">IF(A24&lt;=5,0,MonthlyExp*12*(1+Inflation)^(A24-1))</f>
        <v>1655418.9244292</v>
      </c>
      <c r="D24" s="47" t="n">
        <f aca="false">F23</f>
        <v>77340740.6045286</v>
      </c>
      <c r="E24" s="47" t="n">
        <f aca="false">D24*GrowthReturn</f>
        <v>8507481.46649815</v>
      </c>
      <c r="F24" s="47" t="n">
        <f aca="false">D24+E24-C24</f>
        <v>84192803.1465976</v>
      </c>
      <c r="G24" s="47" t="n">
        <f aca="false">I23</f>
        <v>0</v>
      </c>
      <c r="H24" s="47" t="n">
        <f aca="false">G24*B1Ret</f>
        <v>0</v>
      </c>
      <c r="I24" s="47" t="n">
        <f aca="false">MAX(G24+H24-C24,0)</f>
        <v>0</v>
      </c>
      <c r="J24" s="47" t="n">
        <f aca="false">M23</f>
        <v>74316423.8500152</v>
      </c>
      <c r="K24" s="47" t="n">
        <f aca="false">J24*GrowthReturn</f>
        <v>8174806.62350167</v>
      </c>
      <c r="L24" s="47" t="n">
        <f aca="false">MAX(C24-(G24+H24),0)</f>
        <v>1655418.9244292</v>
      </c>
      <c r="M24" s="47" t="n">
        <f aca="false">J24+K24-L24</f>
        <v>80835811.5490877</v>
      </c>
      <c r="N24" s="47" t="n">
        <f aca="false">I24+M24</f>
        <v>80835811.5490877</v>
      </c>
      <c r="O24" s="47" t="n">
        <f aca="false">'Annual Summary'!J17</f>
        <v>64528419.0909213</v>
      </c>
    </row>
    <row r="25" customFormat="false" ht="15" hidden="false" customHeight="false" outlineLevel="0" collapsed="false">
      <c r="A25" s="46" t="n">
        <v>17</v>
      </c>
      <c r="B25" s="46" t="n">
        <f aca="false">Age+A25-1</f>
        <v>78</v>
      </c>
      <c r="C25" s="47" t="n">
        <f aca="false">IF(A25&lt;=5,0,MonthlyExp*12*(1+Inflation)^(A25-1))</f>
        <v>1771298.24913925</v>
      </c>
      <c r="D25" s="47" t="n">
        <f aca="false">F24</f>
        <v>84192803.1465976</v>
      </c>
      <c r="E25" s="47" t="n">
        <f aca="false">D25*GrowthReturn</f>
        <v>9261208.34612573</v>
      </c>
      <c r="F25" s="47" t="n">
        <f aca="false">D25+E25-C25</f>
        <v>91682713.243584</v>
      </c>
      <c r="G25" s="47" t="n">
        <f aca="false">I24</f>
        <v>0</v>
      </c>
      <c r="H25" s="47" t="n">
        <f aca="false">G25*B1Ret</f>
        <v>0</v>
      </c>
      <c r="I25" s="47" t="n">
        <f aca="false">MAX(G25+H25-C25,0)</f>
        <v>0</v>
      </c>
      <c r="J25" s="47" t="n">
        <f aca="false">M24</f>
        <v>80835811.5490877</v>
      </c>
      <c r="K25" s="47" t="n">
        <f aca="false">J25*GrowthReturn</f>
        <v>8891939.27039964</v>
      </c>
      <c r="L25" s="47" t="n">
        <f aca="false">MAX(C25-(G25+H25),0)</f>
        <v>1771298.24913925</v>
      </c>
      <c r="M25" s="47" t="n">
        <f aca="false">J25+K25-L25</f>
        <v>87956452.5703481</v>
      </c>
      <c r="N25" s="47" t="n">
        <f aca="false">I25+M25</f>
        <v>87956452.5703481</v>
      </c>
      <c r="O25" s="47" t="n">
        <f aca="false">'Annual Summary'!J18</f>
        <v>69639329.0843043</v>
      </c>
    </row>
    <row r="26" customFormat="false" ht="15" hidden="false" customHeight="false" outlineLevel="0" collapsed="false">
      <c r="A26" s="46" t="n">
        <v>18</v>
      </c>
      <c r="B26" s="46" t="n">
        <f aca="false">Age+A26-1</f>
        <v>79</v>
      </c>
      <c r="C26" s="47" t="n">
        <f aca="false">IF(A26&lt;=5,0,MonthlyExp*12*(1+Inflation)^(A26-1))</f>
        <v>1895289.12657899</v>
      </c>
      <c r="D26" s="47" t="n">
        <f aca="false">F25</f>
        <v>91682713.243584</v>
      </c>
      <c r="E26" s="47" t="n">
        <f aca="false">D26*GrowthReturn</f>
        <v>10085098.4567942</v>
      </c>
      <c r="F26" s="47" t="n">
        <f aca="false">D26+E26-C26</f>
        <v>99872522.5737993</v>
      </c>
      <c r="G26" s="47" t="n">
        <f aca="false">I25</f>
        <v>0</v>
      </c>
      <c r="H26" s="47" t="n">
        <f aca="false">G26*B1Ret</f>
        <v>0</v>
      </c>
      <c r="I26" s="47" t="n">
        <f aca="false">MAX(G26+H26-C26,0)</f>
        <v>0</v>
      </c>
      <c r="J26" s="47" t="n">
        <f aca="false">M25</f>
        <v>87956452.5703481</v>
      </c>
      <c r="K26" s="47" t="n">
        <f aca="false">J26*GrowthReturn</f>
        <v>9675209.78273829</v>
      </c>
      <c r="L26" s="47" t="n">
        <f aca="false">MAX(C26-(G26+H26),0)</f>
        <v>1895289.12657899</v>
      </c>
      <c r="M26" s="47" t="n">
        <f aca="false">J26+K26-L26</f>
        <v>95736373.2265074</v>
      </c>
      <c r="N26" s="47" t="n">
        <f aca="false">I26+M26</f>
        <v>95736373.2265074</v>
      </c>
      <c r="O26" s="47" t="n">
        <f aca="false">'Annual Summary'!J19</f>
        <v>75251567.7649156</v>
      </c>
    </row>
    <row r="27" customFormat="false" ht="15" hidden="false" customHeight="false" outlineLevel="0" collapsed="false">
      <c r="A27" s="46" t="n">
        <v>19</v>
      </c>
      <c r="B27" s="46" t="n">
        <f aca="false">Age+A27-1</f>
        <v>80</v>
      </c>
      <c r="C27" s="47" t="n">
        <f aca="false">IF(A27&lt;=5,0,MonthlyExp*12*(1+Inflation)^(A27-1))</f>
        <v>2027959.36543952</v>
      </c>
      <c r="D27" s="47" t="n">
        <f aca="false">F26</f>
        <v>99872522.5737993</v>
      </c>
      <c r="E27" s="47" t="n">
        <f aca="false">D27*GrowthReturn</f>
        <v>10985977.4831179</v>
      </c>
      <c r="F27" s="47" t="n">
        <f aca="false">D27+E27-C27</f>
        <v>108830540.691478</v>
      </c>
      <c r="G27" s="47" t="n">
        <f aca="false">I26</f>
        <v>0</v>
      </c>
      <c r="H27" s="47" t="n">
        <f aca="false">G27*B1Ret</f>
        <v>0</v>
      </c>
      <c r="I27" s="47" t="n">
        <f aca="false">MAX(G27+H27-C27,0)</f>
        <v>0</v>
      </c>
      <c r="J27" s="47" t="n">
        <f aca="false">M26</f>
        <v>95736373.2265074</v>
      </c>
      <c r="K27" s="47" t="n">
        <f aca="false">J27*GrowthReturn</f>
        <v>10531001.0549158</v>
      </c>
      <c r="L27" s="47" t="n">
        <f aca="false">MAX(C27-(G27+H27),0)</f>
        <v>2027959.36543952</v>
      </c>
      <c r="M27" s="47" t="n">
        <f aca="false">J27+K27-L27</f>
        <v>104239414.915984</v>
      </c>
      <c r="N27" s="47" t="n">
        <f aca="false">I27+M27</f>
        <v>104239414.915984</v>
      </c>
      <c r="O27" s="47" t="n">
        <f aca="false">'Annual Summary'!J20</f>
        <v>81422170.4070583</v>
      </c>
    </row>
    <row r="28" customFormat="false" ht="15" hidden="false" customHeight="false" outlineLevel="0" collapsed="false">
      <c r="A28" s="46" t="n">
        <v>20</v>
      </c>
      <c r="B28" s="46" t="n">
        <f aca="false">Age+A28-1</f>
        <v>81</v>
      </c>
      <c r="C28" s="47" t="n">
        <f aca="false">IF(A28&lt;=5,0,MonthlyExp*12*(1+Inflation)^(A28-1))</f>
        <v>2169916.52102029</v>
      </c>
      <c r="D28" s="47" t="n">
        <f aca="false">F27</f>
        <v>108830540.691478</v>
      </c>
      <c r="E28" s="47" t="n">
        <f aca="false">D28*GrowthReturn</f>
        <v>11971359.4760625</v>
      </c>
      <c r="F28" s="47" t="n">
        <f aca="false">D28+E28-C28</f>
        <v>118631983.64652</v>
      </c>
      <c r="G28" s="47" t="n">
        <f aca="false">I27</f>
        <v>0</v>
      </c>
      <c r="H28" s="47" t="n">
        <f aca="false">G28*B1Ret</f>
        <v>0</v>
      </c>
      <c r="I28" s="47" t="n">
        <f aca="false">MAX(G28+H28-C28,0)</f>
        <v>0</v>
      </c>
      <c r="J28" s="47" t="n">
        <f aca="false">M27</f>
        <v>104239414.915984</v>
      </c>
      <c r="K28" s="47" t="n">
        <f aca="false">J28*GrowthReturn</f>
        <v>11466335.6407582</v>
      </c>
      <c r="L28" s="47" t="n">
        <f aca="false">MAX(C28-(G28+H28),0)</f>
        <v>2169916.52102029</v>
      </c>
      <c r="M28" s="47" t="n">
        <f aca="false">J28+K28-L28</f>
        <v>113535834.035722</v>
      </c>
      <c r="N28" s="47" t="n">
        <f aca="false">I28+M28</f>
        <v>113535834.035722</v>
      </c>
      <c r="O28" s="47" t="n">
        <f aca="false">'Annual Summary'!J21</f>
        <v>88215081.5399873</v>
      </c>
    </row>
    <row r="29" customFormat="false" ht="15" hidden="false" customHeight="false" outlineLevel="0" collapsed="false">
      <c r="A29" s="46" t="n">
        <v>21</v>
      </c>
      <c r="B29" s="46" t="n">
        <f aca="false">Age+A29-1</f>
        <v>82</v>
      </c>
      <c r="C29" s="47" t="n">
        <f aca="false">IF(A29&lt;=5,0,MonthlyExp*12*(1+Inflation)^(A29-1))</f>
        <v>2321810.67749171</v>
      </c>
      <c r="D29" s="47" t="n">
        <f aca="false">F28</f>
        <v>118631983.64652</v>
      </c>
      <c r="E29" s="47" t="n">
        <f aca="false">D29*GrowthReturn</f>
        <v>13049518.2011172</v>
      </c>
      <c r="F29" s="47" t="n">
        <f aca="false">D29+E29-C29</f>
        <v>129359691.170145</v>
      </c>
      <c r="G29" s="47" t="n">
        <f aca="false">I28</f>
        <v>0</v>
      </c>
      <c r="H29" s="47" t="n">
        <f aca="false">G29*B1Ret</f>
        <v>0</v>
      </c>
      <c r="I29" s="47" t="n">
        <f aca="false">MAX(G29+H29-C29,0)</f>
        <v>0</v>
      </c>
      <c r="J29" s="47" t="n">
        <f aca="false">M28</f>
        <v>113535834.035722</v>
      </c>
      <c r="K29" s="47" t="n">
        <f aca="false">J29*GrowthReturn</f>
        <v>12488941.7439294</v>
      </c>
      <c r="L29" s="47" t="n">
        <f aca="false">MAX(C29-(G29+H29),0)</f>
        <v>2321810.67749171</v>
      </c>
      <c r="M29" s="47" t="n">
        <f aca="false">J29+K29-L29</f>
        <v>123702965.102159</v>
      </c>
      <c r="N29" s="47" t="n">
        <f aca="false">I29+M29</f>
        <v>123702965.102159</v>
      </c>
      <c r="O29" s="47" t="n">
        <f aca="false">'Annual Summary'!J22</f>
        <v>95219548.4428256</v>
      </c>
    </row>
    <row r="30" customFormat="false" ht="15" hidden="false" customHeight="false" outlineLevel="0" collapsed="false">
      <c r="A30" s="46" t="n">
        <v>22</v>
      </c>
      <c r="B30" s="46" t="n">
        <f aca="false">Age+A30-1</f>
        <v>83</v>
      </c>
      <c r="C30" s="47" t="n">
        <f aca="false">IF(A30&lt;=5,0,MonthlyExp*12*(1+Inflation)^(A30-1))</f>
        <v>2484337.42491613</v>
      </c>
      <c r="D30" s="47" t="n">
        <f aca="false">F29</f>
        <v>129359691.170145</v>
      </c>
      <c r="E30" s="47" t="n">
        <f aca="false">D30*GrowthReturn</f>
        <v>14229566.028716</v>
      </c>
      <c r="F30" s="47" t="n">
        <f aca="false">D30+E30-C30</f>
        <v>141104919.773945</v>
      </c>
      <c r="G30" s="47" t="n">
        <f aca="false">I29</f>
        <v>0</v>
      </c>
      <c r="H30" s="47" t="n">
        <f aca="false">G30*B1Ret</f>
        <v>0</v>
      </c>
      <c r="I30" s="47" t="n">
        <f aca="false">MAX(G30+H30-C30,0)</f>
        <v>0</v>
      </c>
      <c r="J30" s="47" t="n">
        <f aca="false">M29</f>
        <v>123702965.102159</v>
      </c>
      <c r="K30" s="47" t="n">
        <f aca="false">J30*GrowthReturn</f>
        <v>13607326.1612375</v>
      </c>
      <c r="L30" s="47" t="n">
        <f aca="false">MAX(C30-(G30+H30),0)</f>
        <v>2484337.42491613</v>
      </c>
      <c r="M30" s="47" t="n">
        <f aca="false">J30+K30-L30</f>
        <v>134825953.838481</v>
      </c>
      <c r="N30" s="47" t="n">
        <f aca="false">I30+M30</f>
        <v>134825953.838481</v>
      </c>
      <c r="O30" s="47" t="n">
        <f aca="false">'Annual Summary'!J23</f>
        <v>102907729.343354</v>
      </c>
    </row>
    <row r="31" customFormat="false" ht="15" hidden="false" customHeight="false" outlineLevel="0" collapsed="false">
      <c r="A31" s="46" t="n">
        <v>23</v>
      </c>
      <c r="B31" s="46" t="n">
        <f aca="false">Age+A31-1</f>
        <v>84</v>
      </c>
      <c r="C31" s="47" t="n">
        <f aca="false">IF(A31&lt;=5,0,MonthlyExp*12*(1+Inflation)^(A31-1))</f>
        <v>2658241.04466026</v>
      </c>
      <c r="D31" s="47" t="n">
        <f aca="false">F30</f>
        <v>141104919.773945</v>
      </c>
      <c r="E31" s="47" t="n">
        <f aca="false">D31*GrowthReturn</f>
        <v>15521541.175134</v>
      </c>
      <c r="F31" s="47" t="n">
        <f aca="false">D31+E31-C31</f>
        <v>153968219.904419</v>
      </c>
      <c r="G31" s="47" t="n">
        <f aca="false">I30</f>
        <v>0</v>
      </c>
      <c r="H31" s="47" t="n">
        <f aca="false">G31*B1Ret</f>
        <v>0</v>
      </c>
      <c r="I31" s="47" t="n">
        <f aca="false">MAX(G31+H31-C31,0)</f>
        <v>0</v>
      </c>
      <c r="J31" s="47" t="n">
        <f aca="false">M30</f>
        <v>134825953.838481</v>
      </c>
      <c r="K31" s="47" t="n">
        <f aca="false">J31*GrowthReturn</f>
        <v>14830854.9222329</v>
      </c>
      <c r="L31" s="47" t="n">
        <f aca="false">MAX(C31-(G31+H31),0)</f>
        <v>2658241.04466026</v>
      </c>
      <c r="M31" s="47" t="n">
        <f aca="false">J31+K31-L31</f>
        <v>146998567.716053</v>
      </c>
      <c r="N31" s="47" t="n">
        <f aca="false">I31+M31</f>
        <v>146998567.716053</v>
      </c>
      <c r="O31" s="47" t="n">
        <f aca="false">'Annual Summary'!J24</f>
        <v>111356791.309147</v>
      </c>
    </row>
    <row r="32" customFormat="false" ht="15" hidden="false" customHeight="false" outlineLevel="0" collapsed="false">
      <c r="A32" s="46" t="n">
        <v>24</v>
      </c>
      <c r="B32" s="46" t="n">
        <f aca="false">Age+A32-1</f>
        <v>85</v>
      </c>
      <c r="C32" s="47" t="n">
        <f aca="false">IF(A32&lt;=5,0,MonthlyExp*12*(1+Inflation)^(A32-1))</f>
        <v>2844317.91778648</v>
      </c>
      <c r="D32" s="47" t="n">
        <f aca="false">F31</f>
        <v>153968219.904419</v>
      </c>
      <c r="E32" s="47" t="n">
        <f aca="false">D32*GrowthReturn</f>
        <v>16936504.1894861</v>
      </c>
      <c r="F32" s="47" t="n">
        <f aca="false">D32+E32-C32</f>
        <v>168060406.176119</v>
      </c>
      <c r="G32" s="47" t="n">
        <f aca="false">I31</f>
        <v>0</v>
      </c>
      <c r="H32" s="47" t="n">
        <f aca="false">G32*B1Ret</f>
        <v>0</v>
      </c>
      <c r="I32" s="47" t="n">
        <f aca="false">MAX(G32+H32-C32,0)</f>
        <v>0</v>
      </c>
      <c r="J32" s="47" t="n">
        <f aca="false">M31</f>
        <v>146998567.716053</v>
      </c>
      <c r="K32" s="47" t="n">
        <f aca="false">J32*GrowthReturn</f>
        <v>16169842.4487659</v>
      </c>
      <c r="L32" s="47" t="n">
        <f aca="false">MAX(C32-(G32+H32),0)</f>
        <v>2844317.91778648</v>
      </c>
      <c r="M32" s="47" t="n">
        <f aca="false">J32+K32-L32</f>
        <v>160324092.247033</v>
      </c>
      <c r="N32" s="47" t="n">
        <f aca="false">I32+M32</f>
        <v>160324092.247033</v>
      </c>
      <c r="O32" s="47" t="n">
        <f aca="false">'Annual Summary'!J25</f>
        <v>120653184.369716</v>
      </c>
    </row>
    <row r="33" customFormat="false" ht="15" hidden="false" customHeight="false" outlineLevel="0" collapsed="false">
      <c r="A33" s="46" t="n">
        <v>25</v>
      </c>
      <c r="B33" s="46" t="n">
        <f aca="false">Age+A33-1</f>
        <v>86</v>
      </c>
      <c r="C33" s="47" t="n">
        <f aca="false">IF(A33&lt;=5,0,MonthlyExp*12*(1+Inflation)^(A33-1))</f>
        <v>3043420.17203153</v>
      </c>
      <c r="D33" s="47" t="n">
        <f aca="false">F32</f>
        <v>168060406.176119</v>
      </c>
      <c r="E33" s="47" t="n">
        <f aca="false">D33*GrowthReturn</f>
        <v>18486644.6793731</v>
      </c>
      <c r="F33" s="47" t="n">
        <f aca="false">D33+E33-C33</f>
        <v>183503630.68346</v>
      </c>
      <c r="G33" s="47" t="n">
        <f aca="false">I32</f>
        <v>0</v>
      </c>
      <c r="H33" s="47" t="n">
        <f aca="false">G33*B1Ret</f>
        <v>0</v>
      </c>
      <c r="I33" s="47" t="n">
        <f aca="false">MAX(G33+H33-C33,0)</f>
        <v>0</v>
      </c>
      <c r="J33" s="47" t="n">
        <f aca="false">M32</f>
        <v>160324092.247033</v>
      </c>
      <c r="K33" s="47" t="n">
        <f aca="false">J33*GrowthReturn</f>
        <v>17635650.1471736</v>
      </c>
      <c r="L33" s="47" t="n">
        <f aca="false">MAX(C33-(G33+H33),0)</f>
        <v>3043420.17203153</v>
      </c>
      <c r="M33" s="47" t="n">
        <f aca="false">J33+K33-L33</f>
        <v>174916322.222175</v>
      </c>
      <c r="N33" s="47" t="n">
        <f aca="false">I33+M33</f>
        <v>174916322.222175</v>
      </c>
      <c r="O33" s="47" t="n">
        <f aca="false">'Annual Summary'!J26</f>
        <v>130893774.854487</v>
      </c>
    </row>
    <row r="34" customFormat="false" ht="15" hidden="false" customHeight="false" outlineLevel="0" collapsed="false">
      <c r="A34" s="46" t="n">
        <v>26</v>
      </c>
      <c r="B34" s="46" t="n">
        <f aca="false">Age+A34-1</f>
        <v>87</v>
      </c>
      <c r="C34" s="47" t="n">
        <f aca="false">IF(A34&lt;=5,0,MonthlyExp*12*(1+Inflation)^(A34-1))</f>
        <v>3256459.58407374</v>
      </c>
      <c r="D34" s="47" t="n">
        <f aca="false">F33</f>
        <v>183503630.68346</v>
      </c>
      <c r="E34" s="47" t="n">
        <f aca="false">D34*GrowthReturn</f>
        <v>20185399.3751806</v>
      </c>
      <c r="F34" s="47" t="n">
        <f aca="false">D34+E34-C34</f>
        <v>200432570.474567</v>
      </c>
      <c r="G34" s="47" t="n">
        <f aca="false">I33</f>
        <v>0</v>
      </c>
      <c r="H34" s="47" t="n">
        <f aca="false">G34*B1Ret</f>
        <v>0</v>
      </c>
      <c r="I34" s="47" t="n">
        <f aca="false">MAX(G34+H34-C34,0)</f>
        <v>0</v>
      </c>
      <c r="J34" s="47" t="n">
        <f aca="false">M33</f>
        <v>174916322.222175</v>
      </c>
      <c r="K34" s="47" t="n">
        <f aca="false">J34*GrowthReturn</f>
        <v>19240795.4444392</v>
      </c>
      <c r="L34" s="47" t="n">
        <f aca="false">MAX(C34-(G34+H34),0)</f>
        <v>3256459.58407374</v>
      </c>
      <c r="M34" s="47" t="n">
        <f aca="false">J34+K34-L34</f>
        <v>190900658.08254</v>
      </c>
      <c r="N34" s="47" t="n">
        <f aca="false">I34+M34</f>
        <v>190900658.08254</v>
      </c>
      <c r="O34" s="47" t="n">
        <f aca="false">'Annual Summary'!J27</f>
        <v>141510449.339362</v>
      </c>
    </row>
    <row r="35" customFormat="false" ht="15" hidden="false" customHeight="false" outlineLevel="0" collapsed="false">
      <c r="A35" s="46" t="n">
        <v>27</v>
      </c>
      <c r="B35" s="46" t="n">
        <f aca="false">Age+A35-1</f>
        <v>88</v>
      </c>
      <c r="C35" s="47" t="n">
        <f aca="false">IF(A35&lt;=5,0,MonthlyExp*12*(1+Inflation)^(A35-1))</f>
        <v>3484411.7549589</v>
      </c>
      <c r="D35" s="47" t="n">
        <f aca="false">F34</f>
        <v>200432570.474567</v>
      </c>
      <c r="E35" s="47" t="n">
        <f aca="false">D35*GrowthReturn</f>
        <v>22047582.7522024</v>
      </c>
      <c r="F35" s="47" t="n">
        <f aca="false">D35+E35-C35</f>
        <v>218995741.471811</v>
      </c>
      <c r="G35" s="47" t="n">
        <f aca="false">I34</f>
        <v>0</v>
      </c>
      <c r="H35" s="47" t="n">
        <f aca="false">G35*B1Ret</f>
        <v>0</v>
      </c>
      <c r="I35" s="47" t="n">
        <f aca="false">MAX(G35+H35-C35,0)</f>
        <v>0</v>
      </c>
      <c r="J35" s="47" t="n">
        <f aca="false">M34</f>
        <v>190900658.08254</v>
      </c>
      <c r="K35" s="47" t="n">
        <f aca="false">J35*GrowthReturn</f>
        <v>20999072.3890794</v>
      </c>
      <c r="L35" s="47" t="n">
        <f aca="false">MAX(C35-(G35+H35),0)</f>
        <v>3484411.7549589</v>
      </c>
      <c r="M35" s="47" t="n">
        <f aca="false">J35+K35-L35</f>
        <v>208415318.716661</v>
      </c>
      <c r="N35" s="47" t="n">
        <f aca="false">I35+M35</f>
        <v>208415318.716661</v>
      </c>
      <c r="O35" s="47" t="n">
        <f aca="false">'Annual Summary'!J28</f>
        <v>153174321.659285</v>
      </c>
    </row>
    <row r="36" customFormat="false" ht="15" hidden="false" customHeight="false" outlineLevel="0" collapsed="false">
      <c r="A36" s="46" t="n">
        <v>28</v>
      </c>
      <c r="B36" s="46" t="n">
        <f aca="false">Age+A36-1</f>
        <v>89</v>
      </c>
      <c r="C36" s="47" t="n">
        <f aca="false">IF(A36&lt;=5,0,MonthlyExp*12*(1+Inflation)^(A36-1))</f>
        <v>3728320.57780602</v>
      </c>
      <c r="D36" s="47" t="n">
        <f aca="false">F35</f>
        <v>218995741.471811</v>
      </c>
      <c r="E36" s="47" t="n">
        <f aca="false">D36*GrowthReturn</f>
        <v>24089531.5618992</v>
      </c>
      <c r="F36" s="47" t="n">
        <f aca="false">D36+E36-C36</f>
        <v>239356952.455904</v>
      </c>
      <c r="G36" s="47" t="n">
        <f aca="false">I35</f>
        <v>0</v>
      </c>
      <c r="H36" s="47" t="n">
        <f aca="false">G36*B1Ret</f>
        <v>0</v>
      </c>
      <c r="I36" s="47" t="n">
        <f aca="false">MAX(G36+H36-C36,0)</f>
        <v>0</v>
      </c>
      <c r="J36" s="47" t="n">
        <f aca="false">M35</f>
        <v>208415318.716661</v>
      </c>
      <c r="K36" s="47" t="n">
        <f aca="false">J36*GrowthReturn</f>
        <v>22925685.0588327</v>
      </c>
      <c r="L36" s="47" t="n">
        <f aca="false">MAX(C36-(G36+H36),0)</f>
        <v>3728320.57780602</v>
      </c>
      <c r="M36" s="47" t="n">
        <f aca="false">J36+K36-L36</f>
        <v>227612683.197687</v>
      </c>
      <c r="N36" s="47" t="n">
        <f aca="false">I36+M36</f>
        <v>227612683.197687</v>
      </c>
      <c r="O36" s="47" t="n">
        <f aca="false">'Annual Summary'!J29</f>
        <v>166003510.736076</v>
      </c>
    </row>
    <row r="37" customFormat="false" ht="15" hidden="false" customHeight="false" outlineLevel="0" collapsed="false">
      <c r="A37" s="46" t="n">
        <v>29</v>
      </c>
      <c r="B37" s="46" t="n">
        <f aca="false">Age+A37-1</f>
        <v>90</v>
      </c>
      <c r="C37" s="47" t="n">
        <f aca="false">IF(A37&lt;=5,0,MonthlyExp*12*(1+Inflation)^(A37-1))</f>
        <v>3989303.01825245</v>
      </c>
      <c r="D37" s="47" t="n">
        <f aca="false">F36</f>
        <v>239356952.455904</v>
      </c>
      <c r="E37" s="47" t="n">
        <f aca="false">D37*GrowthReturn</f>
        <v>26329264.7701494</v>
      </c>
      <c r="F37" s="47" t="n">
        <f aca="false">D37+E37-C37</f>
        <v>261696914.207801</v>
      </c>
      <c r="G37" s="47" t="n">
        <f aca="false">I36</f>
        <v>0</v>
      </c>
      <c r="H37" s="47" t="n">
        <f aca="false">G37*B1Ret</f>
        <v>0</v>
      </c>
      <c r="I37" s="47" t="n">
        <f aca="false">MAX(G37+H37-C37,0)</f>
        <v>0</v>
      </c>
      <c r="J37" s="47" t="n">
        <f aca="false">M36</f>
        <v>227612683.197687</v>
      </c>
      <c r="K37" s="47" t="n">
        <f aca="false">J37*GrowthReturn</f>
        <v>25037395.1517456</v>
      </c>
      <c r="L37" s="47" t="n">
        <f aca="false">MAX(C37-(G37+H37),0)</f>
        <v>3989303.01825245</v>
      </c>
      <c r="M37" s="47" t="n">
        <f aca="false">J37+K37-L37</f>
        <v>248660775.33118</v>
      </c>
      <c r="N37" s="47" t="n">
        <f aca="false">I37+M37</f>
        <v>248660775.33118</v>
      </c>
      <c r="O37" s="47" t="n">
        <f aca="false">'Annual Summary'!J30</f>
        <v>180130269.128484</v>
      </c>
    </row>
    <row r="38" customFormat="false" ht="15" hidden="false" customHeight="false" outlineLevel="0" collapsed="false">
      <c r="A38" s="46" t="n">
        <v>30</v>
      </c>
      <c r="B38" s="46" t="n">
        <f aca="false">Age+A38-1</f>
        <v>91</v>
      </c>
      <c r="C38" s="47" t="n">
        <f aca="false">IF(A38&lt;=5,0,MonthlyExp*12*(1+Inflation)^(A38-1))</f>
        <v>4268554.22953012</v>
      </c>
      <c r="D38" s="47" t="n">
        <f aca="false">F37</f>
        <v>261696914.207801</v>
      </c>
      <c r="E38" s="47" t="n">
        <f aca="false">D38*GrowthReturn</f>
        <v>28786660.5628581</v>
      </c>
      <c r="F38" s="47" t="n">
        <f aca="false">D38+E38-C38</f>
        <v>286215020.541129</v>
      </c>
      <c r="G38" s="47" t="n">
        <f aca="false">I37</f>
        <v>0</v>
      </c>
      <c r="H38" s="47" t="n">
        <f aca="false">G38*B1Ret</f>
        <v>0</v>
      </c>
      <c r="I38" s="47" t="n">
        <f aca="false">MAX(G38+H38-C38,0)</f>
        <v>0</v>
      </c>
      <c r="J38" s="47" t="n">
        <f aca="false">M37</f>
        <v>248660775.33118</v>
      </c>
      <c r="K38" s="47" t="n">
        <f aca="false">J38*GrowthReturn</f>
        <v>27352685.2864298</v>
      </c>
      <c r="L38" s="47" t="n">
        <f aca="false">MAX(C38-(G38+H38),0)</f>
        <v>4268554.22953012</v>
      </c>
      <c r="M38" s="47" t="n">
        <f aca="false">J38+K38-L38</f>
        <v>271744906.38808</v>
      </c>
      <c r="N38" s="47" t="n">
        <f aca="false">I38+M38</f>
        <v>271744906.38808</v>
      </c>
      <c r="O38" s="47" t="n">
        <f aca="false">'Annual Summary'!J31</f>
        <v>195702698.629876</v>
      </c>
    </row>
    <row r="40" customFormat="false" ht="19.5" hidden="false" customHeight="true" outlineLevel="0" collapsed="false">
      <c r="B40" s="2" t="s">
        <v>211</v>
      </c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C41" s="48" t="s">
        <v>212</v>
      </c>
      <c r="E41" s="48" t="s">
        <v>213</v>
      </c>
      <c r="G41" s="48" t="s">
        <v>214</v>
      </c>
    </row>
    <row r="42" customFormat="false" ht="15" hidden="false" customHeight="false" outlineLevel="0" collapsed="false">
      <c r="B42" s="14" t="s">
        <v>215</v>
      </c>
      <c r="C42" s="49" t="n">
        <f aca="false">F38</f>
        <v>286215020.541129</v>
      </c>
      <c r="E42" s="49" t="n">
        <f aca="false">N38</f>
        <v>271744906.38808</v>
      </c>
      <c r="G42" s="49" t="n">
        <f aca="false">'Annual Summary'!J31</f>
        <v>195702698.629876</v>
      </c>
    </row>
    <row r="43" customFormat="false" ht="15" hidden="false" customHeight="false" outlineLevel="0" collapsed="false">
      <c r="B43" s="14" t="s">
        <v>216</v>
      </c>
      <c r="C43" s="49" t="n">
        <f aca="false">MIN(F9:F38)</f>
        <v>22200000</v>
      </c>
      <c r="E43" s="49" t="n">
        <f aca="false">MIN(N9:N38)</f>
        <v>22200000</v>
      </c>
      <c r="G43" s="49" t="n">
        <f aca="false">MIN('Annual Summary'!J2:J31)</f>
        <v>21411077.6237357</v>
      </c>
    </row>
    <row r="44" customFormat="false" ht="15" hidden="false" customHeight="false" outlineLevel="0" collapsed="false">
      <c r="B44" s="14" t="s">
        <v>217</v>
      </c>
      <c r="C44" s="50" t="str">
        <f aca="false">IF(MIN(F9:F38)&lt;=0,"YES - RISK","No")</f>
        <v>No</v>
      </c>
      <c r="E44" s="50" t="str">
        <f aca="false">IF(MIN(N9:N38)&lt;=0,"YES - RISK","No")</f>
        <v>No</v>
      </c>
      <c r="G44" s="50" t="str">
        <f aca="false">IF(MIN('Annual Summary'!J2:J31)&lt;=0,"YES - RISK","No")</f>
        <v>No</v>
      </c>
    </row>
    <row r="71" customFormat="false" ht="15" hidden="false" customHeight="false" outlineLevel="0" collapsed="false">
      <c r="B71" s="25" t="s">
        <v>218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</row>
    <row r="72" customFormat="false" ht="15" hidden="false" customHeight="false" outlineLevel="0" collapsed="false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 customFormat="false" ht="15" hidden="false" customHeight="false" outlineLevel="0" collapsed="false"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</row>
  </sheetData>
  <mergeCells count="4">
    <mergeCell ref="A1:L1"/>
    <mergeCell ref="B3:L4"/>
    <mergeCell ref="B40:H40"/>
    <mergeCell ref="B71:L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O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9" min="3" style="0" width="13"/>
    <col collapsed="false" customWidth="true" hidden="true" outlineLevel="0" max="15" min="10" style="0" width="13"/>
  </cols>
  <sheetData>
    <row r="1" customFormat="false" ht="25.5" hidden="false" customHeight="true" outlineLevel="0" collapsed="false">
      <c r="A1" s="1" t="s">
        <v>219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true" outlineLevel="0" collapsed="false">
      <c r="B3" s="25" t="s">
        <v>220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customFormat="false" ht="15" hidden="false" customHeight="true" outlineLevel="0" collapsed="false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6" customFormat="false" ht="19.5" hidden="false" customHeight="true" outlineLevel="0" collapsed="false">
      <c r="B6" s="2" t="s">
        <v>221</v>
      </c>
      <c r="C6" s="2"/>
      <c r="D6" s="2"/>
      <c r="E6" s="2"/>
    </row>
    <row r="7" customFormat="false" ht="15" hidden="false" customHeight="false" outlineLevel="0" collapsed="false">
      <c r="B7" s="14" t="s">
        <v>222</v>
      </c>
      <c r="D7" s="11" t="n">
        <v>10000000</v>
      </c>
    </row>
    <row r="8" customFormat="false" ht="15" hidden="false" customHeight="false" outlineLevel="0" collapsed="false">
      <c r="B8" s="14" t="s">
        <v>223</v>
      </c>
      <c r="D8" s="11" t="n">
        <v>50000</v>
      </c>
    </row>
    <row r="9" customFormat="false" ht="15" hidden="false" customHeight="false" outlineLevel="0" collapsed="false">
      <c r="B9" s="14" t="s">
        <v>224</v>
      </c>
      <c r="D9" s="11" t="n">
        <v>42000</v>
      </c>
      <c r="F9" s="8" t="s">
        <v>225</v>
      </c>
    </row>
    <row r="12" customFormat="false" ht="31.5" hidden="false" customHeight="true" outlineLevel="0" collapsed="false">
      <c r="A12" s="45" t="s">
        <v>64</v>
      </c>
      <c r="B12" s="45" t="s">
        <v>65</v>
      </c>
      <c r="C12" s="45" t="s">
        <v>226</v>
      </c>
      <c r="D12" s="45" t="s">
        <v>227</v>
      </c>
      <c r="E12" s="45" t="s">
        <v>228</v>
      </c>
      <c r="F12" s="45" t="s">
        <v>229</v>
      </c>
      <c r="G12" s="45" t="s">
        <v>230</v>
      </c>
      <c r="H12" s="45" t="s">
        <v>231</v>
      </c>
      <c r="J12" s="51" t="s">
        <v>232</v>
      </c>
      <c r="K12" s="51" t="s">
        <v>233</v>
      </c>
      <c r="L12" s="51" t="s">
        <v>234</v>
      </c>
      <c r="M12" s="51" t="s">
        <v>235</v>
      </c>
      <c r="N12" s="51" t="s">
        <v>236</v>
      </c>
      <c r="O12" s="51" t="s">
        <v>237</v>
      </c>
    </row>
    <row r="13" customFormat="false" ht="15" hidden="false" customHeight="false" outlineLevel="0" collapsed="false">
      <c r="A13" s="46" t="n">
        <v>1</v>
      </c>
      <c r="B13" s="46" t="n">
        <f aca="false">Age+A13-1</f>
        <v>62</v>
      </c>
      <c r="C13" s="47" t="n">
        <f aca="false">$D$8*12*(1+Inflation)^(A13-1)</f>
        <v>600000</v>
      </c>
      <c r="D13" s="47" t="n">
        <f aca="false">J13+K13+L13</f>
        <v>10370000</v>
      </c>
      <c r="E13" s="52" t="str">
        <f aca="false">IF(D13&gt;0,"OK","OUT OF MONEY")</f>
        <v>OK</v>
      </c>
      <c r="F13" s="47" t="n">
        <f aca="false">$D$9*12*(1+Inflation)^(A13-1)</f>
        <v>504000</v>
      </c>
      <c r="G13" s="47" t="n">
        <f aca="false">M13+N13+O13</f>
        <v>10466000</v>
      </c>
      <c r="H13" s="52" t="str">
        <f aca="false">IF(G13&gt;0,"OK","OUT OF MONEY")</f>
        <v>OK</v>
      </c>
      <c r="I13" s="52"/>
      <c r="J13" s="52" t="n">
        <f aca="false">($D$7*B1Pct)*(1+B1Ret)-C13</f>
        <v>1005000</v>
      </c>
      <c r="K13" s="52" t="n">
        <f aca="false">($D$7*B2Pct)*(1+B2Ret)</f>
        <v>3815000</v>
      </c>
      <c r="L13" s="52" t="n">
        <f aca="false">($D$7*B3Pct)*(1+B3Ret)</f>
        <v>5550000</v>
      </c>
      <c r="M13" s="52" t="n">
        <f aca="false">($D$7*B1Pct)*(1+B1Ret)-F13</f>
        <v>1101000</v>
      </c>
      <c r="N13" s="52" t="n">
        <f aca="false">($D$7*B2Pct)*(1+B2Ret)</f>
        <v>3815000</v>
      </c>
      <c r="O13" s="52" t="n">
        <f aca="false">($D$7*B3Pct)*(1+B3Ret)</f>
        <v>5550000</v>
      </c>
    </row>
    <row r="14" customFormat="false" ht="15" hidden="false" customHeight="false" outlineLevel="0" collapsed="false">
      <c r="A14" s="46" t="n">
        <v>2</v>
      </c>
      <c r="B14" s="46" t="n">
        <f aca="false">Age+A14-1</f>
        <v>63</v>
      </c>
      <c r="C14" s="47" t="n">
        <f aca="false">$D$8*12*(1+Inflation)^(A14-1)</f>
        <v>642000</v>
      </c>
      <c r="D14" s="47" t="n">
        <f aca="false">J14+K14+L14</f>
        <v>10752200</v>
      </c>
      <c r="E14" s="52" t="str">
        <f aca="false">IF(D14&gt;0,"OK","OUT OF MONEY")</f>
        <v>OK</v>
      </c>
      <c r="F14" s="47" t="n">
        <f aca="false">$D$9*12*(1+Inflation)^(A14-1)</f>
        <v>539280</v>
      </c>
      <c r="G14" s="47" t="n">
        <f aca="false">M14+N14+O14</f>
        <v>10957640</v>
      </c>
      <c r="H14" s="52" t="str">
        <f aca="false">IF(G14&gt;0,"OK","OUT OF MONEY")</f>
        <v>OK</v>
      </c>
      <c r="I14" s="52"/>
      <c r="J14" s="52" t="n">
        <f aca="false">(J13)*(1+B1Ret)-C14</f>
        <v>433350</v>
      </c>
      <c r="K14" s="52" t="n">
        <f aca="false">(K13)*(1+B2Ret)</f>
        <v>4158350</v>
      </c>
      <c r="L14" s="52" t="n">
        <f aca="false">(L13)*(1+B3Ret)</f>
        <v>6160500</v>
      </c>
      <c r="M14" s="52" t="n">
        <f aca="false">(M13)*(1+B1Ret)-F14</f>
        <v>638790</v>
      </c>
      <c r="N14" s="52" t="n">
        <f aca="false">(N13)*(1+B2Ret)</f>
        <v>4158350</v>
      </c>
      <c r="O14" s="52" t="n">
        <f aca="false">(O13)*(1+B3Ret)</f>
        <v>6160500</v>
      </c>
    </row>
    <row r="15" customFormat="false" ht="15" hidden="false" customHeight="false" outlineLevel="0" collapsed="false">
      <c r="A15" s="46" t="n">
        <v>3</v>
      </c>
      <c r="B15" s="46" t="n">
        <f aca="false">Age+A15-1</f>
        <v>64</v>
      </c>
      <c r="C15" s="47" t="n">
        <f aca="false">$D$8*12*(1+Inflation)^(A15-1)</f>
        <v>686940</v>
      </c>
      <c r="D15" s="47" t="n">
        <f aca="false">J15+K15+L15</f>
        <v>11147501</v>
      </c>
      <c r="E15" s="52" t="str">
        <f aca="false">IF(D15&gt;0,"OK","OUT OF MONEY")</f>
        <v>OK</v>
      </c>
      <c r="F15" s="47" t="n">
        <f aca="false">$D$9*12*(1+Inflation)^(A15-1)</f>
        <v>577029.6</v>
      </c>
      <c r="G15" s="47" t="n">
        <f aca="false">M15+N15+O15</f>
        <v>11477232.2</v>
      </c>
      <c r="H15" s="52" t="str">
        <f aca="false">IF(G15&gt;0,"OK","OUT OF MONEY")</f>
        <v>OK</v>
      </c>
      <c r="I15" s="52"/>
      <c r="J15" s="52" t="n">
        <f aca="false">(J14)*(1+B1Ret)-C15</f>
        <v>-223255.5</v>
      </c>
      <c r="K15" s="52" t="n">
        <f aca="false">(K14)*(1+B2Ret)</f>
        <v>4532601.5</v>
      </c>
      <c r="L15" s="52" t="n">
        <f aca="false">(L14)*(1+B3Ret)</f>
        <v>6838155</v>
      </c>
      <c r="M15" s="52" t="n">
        <f aca="false">(M14)*(1+B1Ret)-F15</f>
        <v>106475.7</v>
      </c>
      <c r="N15" s="52" t="n">
        <f aca="false">(N14)*(1+B2Ret)</f>
        <v>4532601.5</v>
      </c>
      <c r="O15" s="52" t="n">
        <f aca="false">(O14)*(1+B3Ret)</f>
        <v>6838155</v>
      </c>
    </row>
    <row r="16" customFormat="false" ht="15" hidden="false" customHeight="false" outlineLevel="0" collapsed="false">
      <c r="A16" s="46" t="n">
        <v>4</v>
      </c>
      <c r="B16" s="46" t="n">
        <f aca="false">Age+A16-1</f>
        <v>65</v>
      </c>
      <c r="C16" s="47" t="n">
        <f aca="false">$D$8*12*(1+Inflation)^(A16-1)</f>
        <v>735025.8</v>
      </c>
      <c r="D16" s="47" t="n">
        <f aca="false">J16+K16+L16</f>
        <v>11556978.5</v>
      </c>
      <c r="E16" s="52" t="str">
        <f aca="false">IF(D16&gt;0,"OK","OUT OF MONEY")</f>
        <v>OK</v>
      </c>
      <c r="F16" s="47" t="n">
        <f aca="false">$D$9*12*(1+Inflation)^(A16-1)</f>
        <v>617421.672</v>
      </c>
      <c r="G16" s="47" t="n">
        <f aca="false">M16+N16+O16</f>
        <v>12027395.012</v>
      </c>
      <c r="H16" s="52" t="str">
        <f aca="false">IF(G16&gt;0,"OK","OUT OF MONEY")</f>
        <v>OK</v>
      </c>
      <c r="I16" s="52"/>
      <c r="J16" s="52" t="n">
        <f aca="false">(J15)*(1+B1Ret)-C16</f>
        <v>-973909.185</v>
      </c>
      <c r="K16" s="52" t="n">
        <f aca="false">(K15)*(1+B2Ret)</f>
        <v>4940535.635</v>
      </c>
      <c r="L16" s="52" t="n">
        <f aca="false">(L15)*(1+B3Ret)</f>
        <v>7590352.05</v>
      </c>
      <c r="M16" s="52" t="n">
        <f aca="false">(M15)*(1+B1Ret)-F16</f>
        <v>-503492.673</v>
      </c>
      <c r="N16" s="52" t="n">
        <f aca="false">(N15)*(1+B2Ret)</f>
        <v>4940535.635</v>
      </c>
      <c r="O16" s="52" t="n">
        <f aca="false">(O15)*(1+B3Ret)</f>
        <v>7590352.05</v>
      </c>
    </row>
    <row r="17" customFormat="false" ht="15" hidden="false" customHeight="false" outlineLevel="0" collapsed="false">
      <c r="A17" s="46" t="n">
        <v>5</v>
      </c>
      <c r="B17" s="46" t="n">
        <f aca="false">Age+A17-1</f>
        <v>66</v>
      </c>
      <c r="C17" s="47" t="n">
        <f aca="false">$D$8*12*(1+Inflation)^(A17-1)</f>
        <v>786477.606</v>
      </c>
      <c r="D17" s="47" t="n">
        <f aca="false">J17+K17+L17</f>
        <v>11981914.1837</v>
      </c>
      <c r="E17" s="52" t="str">
        <f aca="false">IF(D17&gt;0,"OK","OUT OF MONEY")</f>
        <v>OK</v>
      </c>
      <c r="F17" s="47" t="n">
        <f aca="false">$D$9*12*(1+Inflation)^(A17-1)</f>
        <v>660641.18904</v>
      </c>
      <c r="G17" s="47" t="n">
        <f aca="false">M17+N17+O17</f>
        <v>12611096.2685</v>
      </c>
      <c r="H17" s="52" t="str">
        <f aca="false">IF(G17&gt;0,"OK","OUT OF MONEY")</f>
        <v>OK</v>
      </c>
      <c r="I17" s="52"/>
      <c r="J17" s="52" t="n">
        <f aca="false">((J16)*(1+B1Ret)-C17)+(MIN(MAX(($D$8*12*(1+Inflation)^(5+1-1)+$D$8*12*(1+Inflation)^(5+2-1)+$D$8*12*(1+Inflation)^(5+3-1)+$D$8*12*(1+Inflation)^(5+4-1)+$D$8*12*(1+Inflation)^(5+5-1))-((J16)*(1+B1Ret)-C17),0),((K16)*(1+B2Ret))))</f>
        <v>3556623.4082</v>
      </c>
      <c r="K17" s="52" t="n">
        <f aca="false">((K16)*(1+B2Ret))-(MIN(MAX(($D$8*12*(1+Inflation)^(5+1-1)+$D$8*12*(1+Inflation)^(5+2-1)+$D$8*12*(1+Inflation)^(5+3-1)+$D$8*12*(1+Inflation)^(5+4-1)+$D$8*12*(1+Inflation)^(5+5-1))-((J16)*(1+B1Ret)-C17),0),((K16)*(1+B2Ret))))</f>
        <v>0</v>
      </c>
      <c r="L17" s="52" t="n">
        <f aca="false">(L16)*(1+B3Ret)</f>
        <v>8425290.77550001</v>
      </c>
      <c r="M17" s="52" t="n">
        <f aca="false">((M16)*(1+B1Ret)-F17)+(MIN(MAX(($D$9*12*(1+Inflation)^(5+1-1)+$D$9*12*(1+Inflation)^(5+2-1)+$D$9*12*(1+Inflation)^(5+3-1)+$D$9*12*(1+Inflation)^(5+4-1)+$D$9*12*(1+Inflation)^(5+5-1))-((M16)*(1+B1Ret)-F17),0),((N16)*(1+B2Ret))))</f>
        <v>4065117.31144487</v>
      </c>
      <c r="N17" s="52" t="n">
        <f aca="false">((N16)*(1+B2Ret))-(MIN(MAX(($D$9*12*(1+Inflation)^(5+1-1)+$D$9*12*(1+Inflation)^(5+2-1)+$D$9*12*(1+Inflation)^(5+3-1)+$D$9*12*(1+Inflation)^(5+4-1)+$D$9*12*(1+Inflation)^(5+5-1))-((M16)*(1+B1Ret)-F17),0),((N16)*(1+B2Ret))))</f>
        <v>120688.181555131</v>
      </c>
      <c r="O17" s="52" t="n">
        <f aca="false">(O16)*(1+B3Ret)</f>
        <v>8425290.77550001</v>
      </c>
    </row>
    <row r="18" customFormat="false" ht="15" hidden="false" customHeight="false" outlineLevel="0" collapsed="false">
      <c r="A18" s="46" t="n">
        <v>6</v>
      </c>
      <c r="B18" s="46" t="n">
        <f aca="false">Age+A18-1</f>
        <v>67</v>
      </c>
      <c r="C18" s="47" t="n">
        <f aca="false">$D$8*12*(1+Inflation)^(A18-1)</f>
        <v>841531.03842</v>
      </c>
      <c r="D18" s="47" t="n">
        <f aca="false">J18+K18+L18</f>
        <v>12316128.769159</v>
      </c>
      <c r="E18" s="52" t="str">
        <f aca="false">IF(D18&gt;0,"OK","OUT OF MONEY")</f>
        <v>OK</v>
      </c>
      <c r="F18" s="47" t="n">
        <f aca="false">$D$9*12*(1+Inflation)^(A18-1)</f>
        <v>706886.0722728</v>
      </c>
      <c r="G18" s="47" t="n">
        <f aca="false">M18+N18+O18</f>
        <v>13126412.3296733</v>
      </c>
      <c r="H18" s="52" t="str">
        <f aca="false">IF(G18&gt;0,"OK","OUT OF MONEY")</f>
        <v>OK</v>
      </c>
      <c r="I18" s="52"/>
      <c r="J18" s="52" t="n">
        <f aca="false">(J17)*(1+B1Ret)-C18</f>
        <v>2964056.008354</v>
      </c>
      <c r="K18" s="52" t="n">
        <f aca="false">(K17)*(1+B2Ret)</f>
        <v>0</v>
      </c>
      <c r="L18" s="52" t="n">
        <f aca="false">(L17)*(1+B3Ret)</f>
        <v>9352072.76080501</v>
      </c>
      <c r="M18" s="52" t="n">
        <f aca="false">(M17)*(1+B1Ret)-F18</f>
        <v>3642789.45097321</v>
      </c>
      <c r="N18" s="52" t="n">
        <f aca="false">(N17)*(1+B2Ret)</f>
        <v>131550.117895092</v>
      </c>
      <c r="O18" s="52" t="n">
        <f aca="false">(O17)*(1+B3Ret)</f>
        <v>9352072.76080501</v>
      </c>
    </row>
    <row r="19" customFormat="false" ht="15" hidden="false" customHeight="false" outlineLevel="0" collapsed="false">
      <c r="A19" s="46" t="n">
        <v>7</v>
      </c>
      <c r="B19" s="46" t="n">
        <f aca="false">Age+A19-1</f>
        <v>68</v>
      </c>
      <c r="C19" s="47" t="n">
        <f aca="false">$D$8*12*(1+Inflation)^(A19-1)</f>
        <v>900438.2111094</v>
      </c>
      <c r="D19" s="47" t="n">
        <f aca="false">J19+K19+L19</f>
        <v>12651902.4823229</v>
      </c>
      <c r="E19" s="52" t="str">
        <f aca="false">IF(D19&gt;0,"OK","OUT OF MONEY")</f>
        <v>OK</v>
      </c>
      <c r="F19" s="47" t="n">
        <f aca="false">$D$9*12*(1+Inflation)^(A19-1)</f>
        <v>756368.097331896</v>
      </c>
      <c r="G19" s="47" t="n">
        <f aca="false">M19+N19+O19</f>
        <v>13665607.0082087</v>
      </c>
      <c r="H19" s="52" t="str">
        <f aca="false">IF(G19&gt;0,"OK","OUT OF MONEY")</f>
        <v>OK</v>
      </c>
      <c r="I19" s="52"/>
      <c r="J19" s="52" t="n">
        <f aca="false">(J18)*(1+B1Ret)-C19</f>
        <v>2271101.71782938</v>
      </c>
      <c r="K19" s="52" t="n">
        <f aca="false">(K18)*(1+B2Ret)</f>
        <v>0</v>
      </c>
      <c r="L19" s="52" t="n">
        <f aca="false">(L18)*(1+B3Ret)</f>
        <v>10380800.7644936</v>
      </c>
      <c r="M19" s="52" t="n">
        <f aca="false">(M18)*(1+B1Ret)-F19</f>
        <v>3141416.61520944</v>
      </c>
      <c r="N19" s="52" t="n">
        <f aca="false">(N18)*(1+B2Ret)</f>
        <v>143389.628505651</v>
      </c>
      <c r="O19" s="52" t="n">
        <f aca="false">(O18)*(1+B3Ret)</f>
        <v>10380800.7644936</v>
      </c>
    </row>
    <row r="20" customFormat="false" ht="15" hidden="false" customHeight="false" outlineLevel="0" collapsed="false">
      <c r="A20" s="46" t="n">
        <v>8</v>
      </c>
      <c r="B20" s="46" t="n">
        <f aca="false">Age+A20-1</f>
        <v>69</v>
      </c>
      <c r="C20" s="47" t="n">
        <f aca="false">$D$8*12*(1+Inflation)^(A20-1)</f>
        <v>963468.885887058</v>
      </c>
      <c r="D20" s="47" t="n">
        <f aca="false">J20+K20+L20</f>
        <v>12989298.8007782</v>
      </c>
      <c r="E20" s="52" t="str">
        <f aca="false">IF(D20&gt;0,"OK","OUT OF MONEY")</f>
        <v>OK</v>
      </c>
      <c r="F20" s="47" t="n">
        <f aca="false">$D$9*12*(1+Inflation)^(A20-1)</f>
        <v>809313.864145129</v>
      </c>
      <c r="G20" s="47" t="n">
        <f aca="false">M20+N20+O20</f>
        <v>14230985.457788</v>
      </c>
      <c r="H20" s="52" t="str">
        <f aca="false">IF(G20&gt;0,"OK","OUT OF MONEY")</f>
        <v>OK</v>
      </c>
      <c r="I20" s="52"/>
      <c r="J20" s="52" t="n">
        <f aca="false">(J19)*(1+B1Ret)-C20</f>
        <v>1466609.95219038</v>
      </c>
      <c r="K20" s="52" t="n">
        <f aca="false">(K19)*(1+B2Ret)</f>
        <v>0</v>
      </c>
      <c r="L20" s="52" t="n">
        <f aca="false">(L19)*(1+B3Ret)</f>
        <v>11522688.8485879</v>
      </c>
      <c r="M20" s="52" t="n">
        <f aca="false">(M19)*(1+B1Ret)-F20</f>
        <v>2552001.91412897</v>
      </c>
      <c r="N20" s="52" t="n">
        <f aca="false">(N19)*(1+B2Ret)</f>
        <v>156294.695071159</v>
      </c>
      <c r="O20" s="52" t="n">
        <f aca="false">(O19)*(1+B3Ret)</f>
        <v>11522688.8485879</v>
      </c>
    </row>
    <row r="21" customFormat="false" ht="15" hidden="false" customHeight="false" outlineLevel="0" collapsed="false">
      <c r="A21" s="46" t="n">
        <v>9</v>
      </c>
      <c r="B21" s="46" t="n">
        <f aca="false">Age+A21-1</f>
        <v>70</v>
      </c>
      <c r="C21" s="47" t="n">
        <f aca="false">$D$8*12*(1+Inflation)^(A21-1)</f>
        <v>1030911.70789915</v>
      </c>
      <c r="D21" s="47" t="n">
        <f aca="false">J21+K21+L21</f>
        <v>13328545.5628771</v>
      </c>
      <c r="E21" s="52" t="str">
        <f aca="false">IF(D21&gt;0,"OK","OUT OF MONEY")</f>
        <v>OK</v>
      </c>
      <c r="F21" s="47" t="n">
        <f aca="false">$D$9*12*(1+Inflation)^(A21-1)</f>
        <v>865965.834635288</v>
      </c>
      <c r="G21" s="47" t="n">
        <f aca="false">M21+N21+O21</f>
        <v>14825222.0530428</v>
      </c>
      <c r="H21" s="52" t="str">
        <f aca="false">IF(G21&gt;0,"OK","OUT OF MONEY")</f>
        <v>OK</v>
      </c>
      <c r="I21" s="52"/>
      <c r="J21" s="52" t="n">
        <f aca="false">(J20)*(1+B1Ret)-C21</f>
        <v>538360.940944554</v>
      </c>
      <c r="K21" s="52" t="n">
        <f aca="false">(K20)*(1+B2Ret)</f>
        <v>0</v>
      </c>
      <c r="L21" s="52" t="n">
        <f aca="false">(L20)*(1+B3Ret)</f>
        <v>12790184.6219325</v>
      </c>
      <c r="M21" s="52" t="n">
        <f aca="false">(M20)*(1+B1Ret)-F21</f>
        <v>1864676.21348271</v>
      </c>
      <c r="N21" s="52" t="n">
        <f aca="false">(N20)*(1+B2Ret)</f>
        <v>170361.217627564</v>
      </c>
      <c r="O21" s="52" t="n">
        <f aca="false">(O20)*(1+B3Ret)</f>
        <v>12790184.6219325</v>
      </c>
    </row>
    <row r="22" customFormat="false" ht="15" hidden="false" customHeight="false" outlineLevel="0" collapsed="false">
      <c r="A22" s="46" t="n">
        <v>10</v>
      </c>
      <c r="B22" s="46" t="n">
        <f aca="false">Age+A22-1</f>
        <v>71</v>
      </c>
      <c r="C22" s="47" t="n">
        <f aca="false">$D$8*12*(1+Inflation)^(A22-1)</f>
        <v>1103075.52745209</v>
      </c>
      <c r="D22" s="47" t="n">
        <f aca="false">J22+K22+L22</f>
        <v>13670075.6097037</v>
      </c>
      <c r="E22" s="52" t="str">
        <f aca="false">IF(D22&gt;0,"OK","OUT OF MONEY")</f>
        <v>OK</v>
      </c>
      <c r="F22" s="47" t="n">
        <f aca="false">$D$9*12*(1+Inflation)^(A22-1)</f>
        <v>926583.443059758</v>
      </c>
      <c r="G22" s="47" t="n">
        <f aca="false">M22+N22+O22</f>
        <v>15451418.7629259</v>
      </c>
      <c r="H22" s="52" t="str">
        <f aca="false">IF(G22&gt;0,"OK","OUT OF MONEY")</f>
        <v>OK</v>
      </c>
      <c r="I22" s="52"/>
      <c r="J22" s="52" t="n">
        <f aca="false">((J21)*(1+B1Ret)-C22)+(MIN(MAX(($D$8*12*(1+Inflation)^(10+1-1)+$D$8*12*(1+Inflation)^(10+2-1)+$D$8*12*(1+Inflation)^(10+3-1)+$D$8*12*(1+Inflation)^(10+4-1)+$D$8*12*(1+Inflation)^(10+5-1))-((J21)*(1+B1Ret)-C22),0),((K21)*(1+B2Ret))))</f>
        <v>-527029.32064142</v>
      </c>
      <c r="K22" s="52" t="n">
        <f aca="false">((K21)*(1+B2Ret))-(MIN(MAX(($D$8*12*(1+Inflation)^(10+1-1)+$D$8*12*(1+Inflation)^(10+2-1)+$D$8*12*(1+Inflation)^(10+3-1)+$D$8*12*(1+Inflation)^(10+4-1)+$D$8*12*(1+Inflation)^(10+5-1))-((J21)*(1+B1Ret)-C22),0),((K21)*(1+B2Ret))))</f>
        <v>0</v>
      </c>
      <c r="L22" s="52" t="n">
        <f aca="false">(L21)*(1+B3Ret)</f>
        <v>14197104.9303451</v>
      </c>
      <c r="M22" s="52" t="n">
        <f aca="false">((M21)*(1+B1Ret)-F22)+(MIN(MAX(($D$9*12*(1+Inflation)^(10+1-1)+$D$9*12*(1+Inflation)^(10+2-1)+$D$9*12*(1+Inflation)^(10+3-1)+$D$9*12*(1+Inflation)^(10+4-1)+$D$9*12*(1+Inflation)^(10+5-1))-((M21)*(1+B1Ret)-F22),0),((N21)*(1+B2Ret))))</f>
        <v>1254313.83258079</v>
      </c>
      <c r="N22" s="52" t="n">
        <f aca="false">((N21)*(1+B2Ret))-(MIN(MAX(($D$9*12*(1+Inflation)^(10+1-1)+$D$9*12*(1+Inflation)^(10+2-1)+$D$9*12*(1+Inflation)^(10+3-1)+$D$9*12*(1+Inflation)^(10+4-1)+$D$9*12*(1+Inflation)^(10+5-1))-((M21)*(1+B1Ret)-F22),0),((N21)*(1+B2Ret))))</f>
        <v>0</v>
      </c>
      <c r="O22" s="52" t="n">
        <f aca="false">(O21)*(1+B3Ret)</f>
        <v>14197104.9303451</v>
      </c>
    </row>
    <row r="23" customFormat="false" ht="15" hidden="false" customHeight="false" outlineLevel="0" collapsed="false">
      <c r="A23" s="46" t="n">
        <v>11</v>
      </c>
      <c r="B23" s="46" t="n">
        <f aca="false">Age+A23-1</f>
        <v>72</v>
      </c>
      <c r="C23" s="47" t="n">
        <f aca="false">$D$8*12*(1+Inflation)^(A23-1)</f>
        <v>1180290.81437374</v>
      </c>
      <c r="D23" s="47" t="n">
        <f aca="false">J23+K23+L23</f>
        <v>14014574.285223</v>
      </c>
      <c r="E23" s="52" t="str">
        <f aca="false">IF(D23&gt;0,"OK","OUT OF MONEY")</f>
        <v>OK</v>
      </c>
      <c r="F23" s="47" t="n">
        <f aca="false">$D$9*12*(1+Inflation)^(A23-1)</f>
        <v>991444.284073942</v>
      </c>
      <c r="G23" s="47" t="n">
        <f aca="false">M23+N23+O23</f>
        <v>16109457.9894706</v>
      </c>
      <c r="H23" s="52" t="str">
        <f aca="false">IF(G23&gt;0,"OK","OUT OF MONEY")</f>
        <v>OK</v>
      </c>
      <c r="I23" s="52"/>
      <c r="J23" s="52" t="n">
        <f aca="false">(J22)*(1+B1Ret)-C23</f>
        <v>-1744212.18746006</v>
      </c>
      <c r="K23" s="52" t="n">
        <f aca="false">(K22)*(1+B2Ret)</f>
        <v>0</v>
      </c>
      <c r="L23" s="52" t="n">
        <f aca="false">(L22)*(1+B3Ret)</f>
        <v>15758786.4726831</v>
      </c>
      <c r="M23" s="52" t="n">
        <f aca="false">(M22)*(1+B1Ret)-F23</f>
        <v>350671.516787504</v>
      </c>
      <c r="N23" s="52" t="n">
        <f aca="false">(N22)*(1+B2Ret)</f>
        <v>0</v>
      </c>
      <c r="O23" s="52" t="n">
        <f aca="false">(O22)*(1+B3Ret)</f>
        <v>15758786.4726831</v>
      </c>
    </row>
    <row r="24" customFormat="false" ht="15" hidden="false" customHeight="false" outlineLevel="0" collapsed="false">
      <c r="A24" s="46" t="n">
        <v>12</v>
      </c>
      <c r="B24" s="46" t="n">
        <f aca="false">Age+A24-1</f>
        <v>73</v>
      </c>
      <c r="C24" s="47" t="n">
        <f aca="false">$D$8*12*(1+Inflation)^(A24-1)</f>
        <v>1262911.1713799</v>
      </c>
      <c r="D24" s="47" t="n">
        <f aca="false">J24+K24+L24</f>
        <v>14363034.772716</v>
      </c>
      <c r="E24" s="52" t="str">
        <f aca="false">IF(D24&gt;0,"OK","OUT OF MONEY")</f>
        <v>OK</v>
      </c>
      <c r="F24" s="47" t="n">
        <f aca="false">$D$9*12*(1+Inflation)^(A24-1)</f>
        <v>1060845.38395912</v>
      </c>
      <c r="G24" s="47" t="n">
        <f aca="false">M24+N24+O24</f>
        <v>16806626.1236817</v>
      </c>
      <c r="H24" s="52" t="str">
        <f aca="false">IF(G24&gt;0,"OK","OUT OF MONEY")</f>
        <v>OK</v>
      </c>
      <c r="I24" s="52"/>
      <c r="J24" s="52" t="n">
        <f aca="false">(J23)*(1+B1Ret)-C24</f>
        <v>-3129218.21196217</v>
      </c>
      <c r="K24" s="52" t="n">
        <f aca="false">(K23)*(1+B2Ret)</f>
        <v>0</v>
      </c>
      <c r="L24" s="52" t="n">
        <f aca="false">(L23)*(1+B3Ret)</f>
        <v>17492252.9846782</v>
      </c>
      <c r="M24" s="52" t="n">
        <f aca="false">(M23)*(1+B1Ret)-F24</f>
        <v>-685626.860996489</v>
      </c>
      <c r="N24" s="52" t="n">
        <f aca="false">(N23)*(1+B2Ret)</f>
        <v>0</v>
      </c>
      <c r="O24" s="52" t="n">
        <f aca="false">(O23)*(1+B3Ret)</f>
        <v>17492252.9846782</v>
      </c>
    </row>
    <row r="25" customFormat="false" ht="15" hidden="false" customHeight="false" outlineLevel="0" collapsed="false">
      <c r="A25" s="46" t="n">
        <v>13</v>
      </c>
      <c r="B25" s="46" t="n">
        <f aca="false">Age+A25-1</f>
        <v>74</v>
      </c>
      <c r="C25" s="47" t="n">
        <f aca="false">$D$8*12*(1+Inflation)^(A25-1)</f>
        <v>1351314.95337649</v>
      </c>
      <c r="D25" s="47" t="n">
        <f aca="false">J25+K25+L25</f>
        <v>14716822.3728168</v>
      </c>
      <c r="E25" s="52" t="str">
        <f aca="false">IF(D25&gt;0,"OK","OUT OF MONEY")</f>
        <v>OK</v>
      </c>
      <c r="F25" s="47" t="n">
        <f aca="false">$D$9*12*(1+Inflation)^(A25-1)</f>
        <v>1135104.56083626</v>
      </c>
      <c r="G25" s="47" t="n">
        <f aca="false">M25+N25+O25</f>
        <v>17547675.5108903</v>
      </c>
      <c r="H25" s="52" t="str">
        <f aca="false">IF(G25&gt;0,"OK","OUT OF MONEY")</f>
        <v>OK</v>
      </c>
      <c r="I25" s="52"/>
      <c r="J25" s="52" t="n">
        <f aca="false">(J24)*(1+B1Ret)-C25</f>
        <v>-4699578.44017601</v>
      </c>
      <c r="K25" s="52" t="n">
        <f aca="false">(K24)*(1+B2Ret)</f>
        <v>0</v>
      </c>
      <c r="L25" s="52" t="n">
        <f aca="false">(L24)*(1+B3Ret)</f>
        <v>19416400.8129928</v>
      </c>
      <c r="M25" s="52" t="n">
        <f aca="false">(M24)*(1+B1Ret)-F25</f>
        <v>-1868725.3021025</v>
      </c>
      <c r="N25" s="52" t="n">
        <f aca="false">(N24)*(1+B2Ret)</f>
        <v>0</v>
      </c>
      <c r="O25" s="52" t="n">
        <f aca="false">(O24)*(1+B3Ret)</f>
        <v>19416400.8129928</v>
      </c>
    </row>
    <row r="26" customFormat="false" ht="15" hidden="false" customHeight="false" outlineLevel="0" collapsed="false">
      <c r="A26" s="46" t="n">
        <v>14</v>
      </c>
      <c r="B26" s="46" t="n">
        <f aca="false">Age+A26-1</f>
        <v>75</v>
      </c>
      <c r="C26" s="47" t="n">
        <f aca="false">$D$8*12*(1+Inflation)^(A26-1)</f>
        <v>1445907.00011285</v>
      </c>
      <c r="D26" s="47" t="n">
        <f aca="false">J26+K26+L26</f>
        <v>15077748.9713208</v>
      </c>
      <c r="E26" s="52" t="str">
        <f aca="false">IF(D26&gt;0,"OK","OUT OF MONEY")</f>
        <v>OK</v>
      </c>
      <c r="F26" s="47" t="n">
        <f aca="false">$D$9*12*(1+Inflation)^(A26-1)</f>
        <v>1214561.88009479</v>
      </c>
      <c r="G26" s="47" t="n">
        <f aca="false">M26+N26+O26</f>
        <v>18338106.9490775</v>
      </c>
      <c r="H26" s="52" t="str">
        <f aca="false">IF(G26&gt;0,"OK","OUT OF MONEY")</f>
        <v>OK</v>
      </c>
      <c r="I26" s="52"/>
      <c r="J26" s="52" t="n">
        <f aca="false">(J25)*(1+B1Ret)-C26</f>
        <v>-6474455.93110118</v>
      </c>
      <c r="K26" s="52" t="n">
        <f aca="false">(K25)*(1+B2Ret)</f>
        <v>0</v>
      </c>
      <c r="L26" s="52" t="n">
        <f aca="false">(L25)*(1+B3Ret)</f>
        <v>21552204.902422</v>
      </c>
      <c r="M26" s="52" t="n">
        <f aca="false">(M25)*(1+B1Ret)-F26</f>
        <v>-3214097.95334447</v>
      </c>
      <c r="N26" s="52" t="n">
        <f aca="false">(N25)*(1+B2Ret)</f>
        <v>0</v>
      </c>
      <c r="O26" s="52" t="n">
        <f aca="false">(O25)*(1+B3Ret)</f>
        <v>21552204.902422</v>
      </c>
    </row>
    <row r="27" customFormat="false" ht="15" hidden="false" customHeight="false" outlineLevel="0" collapsed="false">
      <c r="A27" s="46" t="n">
        <v>15</v>
      </c>
      <c r="B27" s="46" t="n">
        <f aca="false">Age+A27-1</f>
        <v>76</v>
      </c>
      <c r="C27" s="47" t="n">
        <f aca="false">$D$8*12*(1+Inflation)^(A27-1)</f>
        <v>1547120.49012075</v>
      </c>
      <c r="D27" s="47" t="n">
        <f aca="false">J27+K27+L27</f>
        <v>15448159.1052894</v>
      </c>
      <c r="E27" s="52" t="str">
        <f aca="false">IF(D27&gt;0,"OK","OUT OF MONEY")</f>
        <v>OK</v>
      </c>
      <c r="F27" s="47" t="n">
        <f aca="false">$D$9*12*(1+Inflation)^(A27-1)</f>
        <v>1299581.21170143</v>
      </c>
      <c r="G27" s="47" t="n">
        <f aca="false">M27+N27+O27</f>
        <v>19184281.4199084</v>
      </c>
      <c r="H27" s="52" t="str">
        <f aca="false">IF(G27&gt;0,"OK","OUT OF MONEY")</f>
        <v>OK</v>
      </c>
      <c r="I27" s="52"/>
      <c r="J27" s="52" t="n">
        <f aca="false">((J26)*(1+B1Ret)-C27)+(MIN(MAX(($D$8*12*(1+Inflation)^(15+1-1)+$D$8*12*(1+Inflation)^(15+2-1)+$D$8*12*(1+Inflation)^(15+3-1)+$D$8*12*(1+Inflation)^(15+4-1)+$D$8*12*(1+Inflation)^(15+5-1))-((J26)*(1+B1Ret)-C27),0),(((K26)*(1+B2Ret))+(MIN(MAX(($D$8*12*(1+Inflation)^(15+1-1)+$D$8*12*(1+Inflation)^(15+2-1)+$D$8*12*(1+Inflation)^(15+3-1)+$D$8*12*(1+Inflation)^(15+4-1)+$D$8*12*(1+Inflation)^(15+5-1))-((J26)*(1+B1Ret)-C27),0),((L26)*(1+B3Ret)))))))</f>
        <v>9519882.18660725</v>
      </c>
      <c r="K27" s="52" t="n">
        <f aca="false">(((K26)*(1+B2Ret))+(MIN(MAX(($D$8*12*(1+Inflation)^(15+1-1)+$D$8*12*(1+Inflation)^(15+2-1)+$D$8*12*(1+Inflation)^(15+3-1)+$D$8*12*(1+Inflation)^(15+4-1)+$D$8*12*(1+Inflation)^(15+5-1))-((J26)*(1+B1Ret)-C27),0),((L26)*(1+B3Ret)))))-(MIN(MAX(($D$8*12*(1+Inflation)^(15+1-1)+$D$8*12*(1+Inflation)^(15+2-1)+$D$8*12*(1+Inflation)^(15+3-1)+$D$8*12*(1+Inflation)^(15+4-1)+$D$8*12*(1+Inflation)^(15+5-1))-((J26)*(1+B1Ret)-C27),0),(((K26)*(1+B2Ret))+(MIN(MAX(($D$8*12*(1+Inflation)^(15+1-1)+$D$8*12*(1+Inflation)^(15+2-1)+$D$8*12*(1+Inflation)^(15+3-1)+$D$8*12*(1+Inflation)^(15+4-1)+$D$8*12*(1+Inflation)^(15+5-1))-((J26)*(1+B1Ret)-C27),0),((L26)*(1+B3Ret)))))))</f>
        <v>0</v>
      </c>
      <c r="L27" s="52" t="n">
        <f aca="false">((L26)*(1+B3Ret))-(MIN(MAX(($D$8*12*(1+Inflation)^(15+1-1)+$D$8*12*(1+Inflation)^(15+2-1)+$D$8*12*(1+Inflation)^(15+3-1)+$D$8*12*(1+Inflation)^(15+4-1)+$D$8*12*(1+Inflation)^(15+5-1))-((J26)*(1+B1Ret)-C27),0),((L26)*(1+B3Ret))))</f>
        <v>5928276.91868216</v>
      </c>
      <c r="M27" s="52" t="n">
        <f aca="false">((M26)*(1+B1Ret)-F27)+(MIN(MAX(($D$9*12*(1+Inflation)^(15+1-1)+$D$9*12*(1+Inflation)^(15+2-1)+$D$9*12*(1+Inflation)^(15+3-1)+$D$9*12*(1+Inflation)^(15+4-1)+$D$9*12*(1+Inflation)^(15+5-1))-((M26)*(1+B1Ret)-F27),0),(((N26)*(1+B2Ret))+(MIN(MAX(($D$9*12*(1+Inflation)^(15+1-1)+$D$9*12*(1+Inflation)^(15+2-1)+$D$9*12*(1+Inflation)^(15+3-1)+$D$9*12*(1+Inflation)^(15+4-1)+$D$9*12*(1+Inflation)^(15+5-1))-((M26)*(1+B1Ret)-F27),0),((O26)*(1+B3Ret)))))))</f>
        <v>7996701.03675009</v>
      </c>
      <c r="N27" s="52" t="n">
        <f aca="false">(((N26)*(1+B2Ret))+(MIN(MAX(($D$9*12*(1+Inflation)^(15+1-1)+$D$9*12*(1+Inflation)^(15+2-1)+$D$9*12*(1+Inflation)^(15+3-1)+$D$9*12*(1+Inflation)^(15+4-1)+$D$9*12*(1+Inflation)^(15+5-1))-((M26)*(1+B1Ret)-F27),0),((O26)*(1+B3Ret)))))-(MIN(MAX(($D$9*12*(1+Inflation)^(15+1-1)+$D$9*12*(1+Inflation)^(15+2-1)+$D$9*12*(1+Inflation)^(15+3-1)+$D$9*12*(1+Inflation)^(15+4-1)+$D$9*12*(1+Inflation)^(15+5-1))-((M26)*(1+B1Ret)-F27),0),(((N26)*(1+B2Ret))+(MIN(MAX(($D$9*12*(1+Inflation)^(15+1-1)+$D$9*12*(1+Inflation)^(15+2-1)+$D$9*12*(1+Inflation)^(15+3-1)+$D$9*12*(1+Inflation)^(15+4-1)+$D$9*12*(1+Inflation)^(15+5-1))-((M26)*(1+B1Ret)-F27),0),((O26)*(1+B3Ret)))))))</f>
        <v>0</v>
      </c>
      <c r="O27" s="52" t="n">
        <f aca="false">((O26)*(1+B3Ret))-(MIN(MAX(($D$9*12*(1+Inflation)^(15+1-1)+$D$9*12*(1+Inflation)^(15+2-1)+$D$9*12*(1+Inflation)^(15+3-1)+$D$9*12*(1+Inflation)^(15+4-1)+$D$9*12*(1+Inflation)^(15+5-1))-((M26)*(1+B1Ret)-F27),0),((O26)*(1+B3Ret))))</f>
        <v>11187580.3831583</v>
      </c>
    </row>
    <row r="28" customFormat="false" ht="15" hidden="false" customHeight="false" outlineLevel="0" collapsed="false">
      <c r="A28" s="46" t="n">
        <v>16</v>
      </c>
      <c r="B28" s="46" t="n">
        <f aca="false">Age+A28-1</f>
        <v>77</v>
      </c>
      <c r="C28" s="47" t="n">
        <f aca="false">$D$8*12*(1+Inflation)^(A28-1)</f>
        <v>1655418.9244292</v>
      </c>
      <c r="D28" s="47" t="n">
        <f aca="false">J28+K28+L28</f>
        <v>15111242.3949778</v>
      </c>
      <c r="E28" s="52" t="str">
        <f aca="false">IF(D28&gt;0,"OK","OUT OF MONEY")</f>
        <v>OK</v>
      </c>
      <c r="F28" s="47" t="n">
        <f aca="false">$D$9*12*(1+Inflation)^(A28-1)</f>
        <v>1390551.89652053</v>
      </c>
      <c r="G28" s="47" t="n">
        <f aca="false">M28+N28+O28</f>
        <v>19584132.4381078</v>
      </c>
      <c r="H28" s="52" t="str">
        <f aca="false">IF(G28&gt;0,"OK","OUT OF MONEY")</f>
        <v>OK</v>
      </c>
      <c r="I28" s="52"/>
      <c r="J28" s="52" t="n">
        <f aca="false">(J27)*(1+B1Ret)-C28</f>
        <v>8530855.01524056</v>
      </c>
      <c r="K28" s="52" t="n">
        <f aca="false">(K27)*(1+B2Ret)</f>
        <v>0</v>
      </c>
      <c r="L28" s="52" t="n">
        <f aca="false">(L27)*(1+B3Ret)</f>
        <v>6580387.3797372</v>
      </c>
      <c r="M28" s="52" t="n">
        <f aca="false">(M27)*(1+B1Ret)-F28</f>
        <v>7165918.21280207</v>
      </c>
      <c r="N28" s="52" t="n">
        <f aca="false">(N27)*(1+B2Ret)</f>
        <v>0</v>
      </c>
      <c r="O28" s="52" t="n">
        <f aca="false">(O27)*(1+B3Ret)</f>
        <v>12418214.2253057</v>
      </c>
    </row>
    <row r="29" customFormat="false" ht="15" hidden="false" customHeight="false" outlineLevel="0" collapsed="false">
      <c r="A29" s="46" t="n">
        <v>17</v>
      </c>
      <c r="B29" s="46" t="n">
        <f aca="false">Age+A29-1</f>
        <v>78</v>
      </c>
      <c r="C29" s="47" t="n">
        <f aca="false">$D$8*12*(1+Inflation)^(A29-1)</f>
        <v>1771298.24913925</v>
      </c>
      <c r="D29" s="47" t="n">
        <f aca="false">J29+K29+L29</f>
        <v>14660946.6086764</v>
      </c>
      <c r="E29" s="52" t="str">
        <f aca="false">IF(D29&gt;0,"OK","OUT OF MONEY")</f>
        <v>OK</v>
      </c>
      <c r="F29" s="47" t="n">
        <f aca="false">$D$9*12*(1+Inflation)^(A29-1)</f>
        <v>1487890.52927697</v>
      </c>
      <c r="G29" s="47" t="n">
        <f aca="false">M29+N29+O29</f>
        <v>19963859.7485106</v>
      </c>
      <c r="H29" s="52" t="str">
        <f aca="false">IF(G29&gt;0,"OK","OUT OF MONEY")</f>
        <v>OK</v>
      </c>
      <c r="I29" s="52"/>
      <c r="J29" s="52" t="n">
        <f aca="false">(J28)*(1+B1Ret)-C29</f>
        <v>7356716.61716815</v>
      </c>
      <c r="K29" s="52" t="n">
        <f aca="false">(K28)*(1+B2Ret)</f>
        <v>0</v>
      </c>
      <c r="L29" s="52" t="n">
        <f aca="false">(L28)*(1+B3Ret)</f>
        <v>7304229.99150829</v>
      </c>
      <c r="M29" s="52" t="n">
        <f aca="false">(M28)*(1+B1Ret)-F29</f>
        <v>6179641.95842125</v>
      </c>
      <c r="N29" s="52" t="n">
        <f aca="false">(N28)*(1+B2Ret)</f>
        <v>0</v>
      </c>
      <c r="O29" s="52" t="n">
        <f aca="false">(O28)*(1+B3Ret)</f>
        <v>13784217.7900894</v>
      </c>
    </row>
    <row r="30" customFormat="false" ht="15" hidden="false" customHeight="false" outlineLevel="0" collapsed="false">
      <c r="A30" s="46" t="n">
        <v>18</v>
      </c>
      <c r="B30" s="46" t="n">
        <f aca="false">Age+A30-1</f>
        <v>79</v>
      </c>
      <c r="C30" s="47" t="n">
        <f aca="false">$D$8*12*(1+Inflation)^(A30-1)</f>
        <v>1895289.12657899</v>
      </c>
      <c r="D30" s="47" t="n">
        <f aca="false">J30+K30+L30</f>
        <v>14084092.9443651</v>
      </c>
      <c r="E30" s="52" t="str">
        <f aca="false">IF(D30&gt;0,"OK","OUT OF MONEY")</f>
        <v>OK</v>
      </c>
      <c r="F30" s="47" t="n">
        <f aca="false">$D$9*12*(1+Inflation)^(A30-1)</f>
        <v>1592042.86632635</v>
      </c>
      <c r="G30" s="47" t="n">
        <f aca="false">M30+N30+O30</f>
        <v>20320655.7761836</v>
      </c>
      <c r="H30" s="52" t="str">
        <f aca="false">IF(G30&gt;0,"OK","OUT OF MONEY")</f>
        <v>OK</v>
      </c>
      <c r="I30" s="52"/>
      <c r="J30" s="52" t="n">
        <f aca="false">(J29)*(1+B1Ret)-C30</f>
        <v>5976397.65379093</v>
      </c>
      <c r="K30" s="52" t="n">
        <f aca="false">(K29)*(1+B2Ret)</f>
        <v>0</v>
      </c>
      <c r="L30" s="52" t="n">
        <f aca="false">(L29)*(1+B3Ret)</f>
        <v>8107695.2905742</v>
      </c>
      <c r="M30" s="52" t="n">
        <f aca="false">(M29)*(1+B1Ret)-F30</f>
        <v>5020174.02918439</v>
      </c>
      <c r="N30" s="52" t="n">
        <f aca="false">(N29)*(1+B2Ret)</f>
        <v>0</v>
      </c>
      <c r="O30" s="52" t="n">
        <f aca="false">(O29)*(1+B3Ret)</f>
        <v>15300481.7469992</v>
      </c>
    </row>
    <row r="31" customFormat="false" ht="15" hidden="false" customHeight="false" outlineLevel="0" collapsed="false">
      <c r="A31" s="46" t="n">
        <v>19</v>
      </c>
      <c r="B31" s="46" t="n">
        <f aca="false">Age+A31-1</f>
        <v>80</v>
      </c>
      <c r="C31" s="47" t="n">
        <f aca="false">$D$8*12*(1+Inflation)^(A31-1)</f>
        <v>2027959.36543952</v>
      </c>
      <c r="D31" s="47" t="n">
        <f aca="false">J31+K31+L31</f>
        <v>13366327.8966541</v>
      </c>
      <c r="E31" s="52" t="str">
        <f aca="false">IF(D31&gt;0,"OK","OUT OF MONEY")</f>
        <v>OK</v>
      </c>
      <c r="F31" s="47" t="n">
        <f aca="false">$D$9*12*(1+Inflation)^(A31-1)</f>
        <v>1703485.8669692</v>
      </c>
      <c r="G31" s="47" t="n">
        <f aca="false">M31+N31+O31</f>
        <v>20651635.0834272</v>
      </c>
      <c r="H31" s="52" t="str">
        <f aca="false">IF(G31&gt;0,"OK","OUT OF MONEY")</f>
        <v>OK</v>
      </c>
      <c r="I31" s="52"/>
      <c r="J31" s="52" t="n">
        <f aca="false">(J30)*(1+B1Ret)-C31</f>
        <v>4366786.12411677</v>
      </c>
      <c r="K31" s="52" t="n">
        <f aca="false">(K30)*(1+B2Ret)</f>
        <v>0</v>
      </c>
      <c r="L31" s="52" t="n">
        <f aca="false">(L30)*(1+B3Ret)</f>
        <v>8999541.77253736</v>
      </c>
      <c r="M31" s="52" t="n">
        <f aca="false">(M30)*(1+B1Ret)-F31</f>
        <v>3668100.34425809</v>
      </c>
      <c r="N31" s="52" t="n">
        <f aca="false">(N30)*(1+B2Ret)</f>
        <v>0</v>
      </c>
      <c r="O31" s="52" t="n">
        <f aca="false">(O30)*(1+B3Ret)</f>
        <v>16983534.7391691</v>
      </c>
    </row>
    <row r="32" customFormat="false" ht="15" hidden="false" customHeight="false" outlineLevel="0" collapsed="false">
      <c r="A32" s="46" t="n">
        <v>20</v>
      </c>
      <c r="B32" s="46" t="n">
        <f aca="false">Age+A32-1</f>
        <v>81</v>
      </c>
      <c r="C32" s="47" t="n">
        <f aca="false">$D$8*12*(1+Inflation)^(A32-1)</f>
        <v>2169916.52102029</v>
      </c>
      <c r="D32" s="47" t="n">
        <f aca="false">J32+K32+L32</f>
        <v>12492035.9993011</v>
      </c>
      <c r="E32" s="52" t="str">
        <f aca="false">IF(D32&gt;0,"OK","OUT OF MONEY")</f>
        <v>OK</v>
      </c>
      <c r="F32" s="47" t="n">
        <f aca="false">$D$9*12*(1+Inflation)^(A32-1)</f>
        <v>1822729.87765704</v>
      </c>
      <c r="G32" s="47" t="n">
        <f aca="false">M32+N32+O32</f>
        <v>20953861.0511768</v>
      </c>
      <c r="H32" s="52" t="str">
        <f aca="false">IF(G32&gt;0,"OK","OUT OF MONEY")</f>
        <v>OK</v>
      </c>
      <c r="I32" s="52"/>
      <c r="J32" s="52" t="n">
        <f aca="false">((J31)*(1+B1Ret)-C32)+(MIN(MAX(($D$8*12*(1+Inflation)^(20+1-1)+$D$8*12*(1+Inflation)^(20+2-1)+$D$8*12*(1+Inflation)^(20+3-1)+$D$8*12*(1+Inflation)^(20+4-1)+$D$8*12*(1+Inflation)^(20+5-1))-((J31)*(1+B1Ret)-C32),0),(((K31)*(1+B2Ret))+(MIN(MAX(($D$8*12*(1+Inflation)^(20+1-1)+$D$8*12*(1+Inflation)^(20+2-1)+$D$8*12*(1+Inflation)^(20+3-1)+$D$8*12*(1+Inflation)^(20+4-1)+$D$8*12*(1+Inflation)^(20+5-1))-((J31)*(1+B1Ret)-C32),0),((L31)*(1+B3Ret)))))))</f>
        <v>12492035.9993011</v>
      </c>
      <c r="K32" s="52" t="n">
        <f aca="false">(((K31)*(1+B2Ret))+(MIN(MAX(($D$8*12*(1+Inflation)^(20+1-1)+$D$8*12*(1+Inflation)^(20+2-1)+$D$8*12*(1+Inflation)^(20+3-1)+$D$8*12*(1+Inflation)^(20+4-1)+$D$8*12*(1+Inflation)^(20+5-1))-((J31)*(1+B1Ret)-C32),0),((L31)*(1+B3Ret)))))-(MIN(MAX(($D$8*12*(1+Inflation)^(20+1-1)+$D$8*12*(1+Inflation)^(20+2-1)+$D$8*12*(1+Inflation)^(20+3-1)+$D$8*12*(1+Inflation)^(20+4-1)+$D$8*12*(1+Inflation)^(20+5-1))-((J31)*(1+B1Ret)-C32),0),(((K31)*(1+B2Ret))+(MIN(MAX(($D$8*12*(1+Inflation)^(20+1-1)+$D$8*12*(1+Inflation)^(20+2-1)+$D$8*12*(1+Inflation)^(20+3-1)+$D$8*12*(1+Inflation)^(20+4-1)+$D$8*12*(1+Inflation)^(20+5-1))-((J31)*(1+B1Ret)-C32),0),((L31)*(1+B3Ret)))))))</f>
        <v>0</v>
      </c>
      <c r="L32" s="52" t="n">
        <f aca="false">((L31)*(1+B3Ret))-(MIN(MAX(($D$8*12*(1+Inflation)^(20+1-1)+$D$8*12*(1+Inflation)^(20+2-1)+$D$8*12*(1+Inflation)^(20+3-1)+$D$8*12*(1+Inflation)^(20+4-1)+$D$8*12*(1+Inflation)^(20+5-1))-((J31)*(1+B1Ret)-C32),0),((L31)*(1+B3Ret))))</f>
        <v>0</v>
      </c>
      <c r="M32" s="52" t="n">
        <f aca="false">((M31)*(1+B1Ret)-F32)+(MIN(MAX(($D$9*12*(1+Inflation)^(20+1-1)+$D$9*12*(1+Inflation)^(20+2-1)+$D$9*12*(1+Inflation)^(20+3-1)+$D$9*12*(1+Inflation)^(20+4-1)+$D$9*12*(1+Inflation)^(20+5-1))-((M31)*(1+B1Ret)-F32),0),(((N31)*(1+B2Ret))+(MIN(MAX(($D$9*12*(1+Inflation)^(20+1-1)+$D$9*12*(1+Inflation)^(20+2-1)+$D$9*12*(1+Inflation)^(20+3-1)+$D$9*12*(1+Inflation)^(20+4-1)+$D$9*12*(1+Inflation)^(20+5-1))-((M31)*(1+B1Ret)-F32),0),((O31)*(1+B3Ret)))))))</f>
        <v>11215786.8789843</v>
      </c>
      <c r="N32" s="52" t="n">
        <f aca="false">(((N31)*(1+B2Ret))+(MIN(MAX(($D$9*12*(1+Inflation)^(20+1-1)+$D$9*12*(1+Inflation)^(20+2-1)+$D$9*12*(1+Inflation)^(20+3-1)+$D$9*12*(1+Inflation)^(20+4-1)+$D$9*12*(1+Inflation)^(20+5-1))-((M31)*(1+B1Ret)-F32),0),((O31)*(1+B3Ret)))))-(MIN(MAX(($D$9*12*(1+Inflation)^(20+1-1)+$D$9*12*(1+Inflation)^(20+2-1)+$D$9*12*(1+Inflation)^(20+3-1)+$D$9*12*(1+Inflation)^(20+4-1)+$D$9*12*(1+Inflation)^(20+5-1))-((M31)*(1+B1Ret)-F32),0),(((N31)*(1+B2Ret))+(MIN(MAX(($D$9*12*(1+Inflation)^(20+1-1)+$D$9*12*(1+Inflation)^(20+2-1)+$D$9*12*(1+Inflation)^(20+3-1)+$D$9*12*(1+Inflation)^(20+4-1)+$D$9*12*(1+Inflation)^(20+5-1))-((M31)*(1+B1Ret)-F32),0),((O31)*(1+B3Ret)))))))</f>
        <v>0</v>
      </c>
      <c r="O32" s="52" t="n">
        <f aca="false">((O31)*(1+B3Ret))-(MIN(MAX(($D$9*12*(1+Inflation)^(20+1-1)+$D$9*12*(1+Inflation)^(20+2-1)+$D$9*12*(1+Inflation)^(20+3-1)+$D$9*12*(1+Inflation)^(20+4-1)+$D$9*12*(1+Inflation)^(20+5-1))-((M31)*(1+B1Ret)-F32),0),((O31)*(1+B3Ret))))</f>
        <v>9738074.17219251</v>
      </c>
    </row>
    <row r="33" customFormat="false" ht="15" hidden="false" customHeight="false" outlineLevel="0" collapsed="false">
      <c r="A33" s="46" t="n">
        <v>21</v>
      </c>
      <c r="B33" s="46" t="n">
        <f aca="false">Age+A33-1</f>
        <v>82</v>
      </c>
      <c r="C33" s="47" t="n">
        <f aca="false">$D$8*12*(1+Inflation)^(A33-1)</f>
        <v>2321810.67749171</v>
      </c>
      <c r="D33" s="47" t="n">
        <f aca="false">J33+K33+L33</f>
        <v>11044667.8417605</v>
      </c>
      <c r="E33" s="52" t="str">
        <f aca="false">IF(D33&gt;0,"OK","OUT OF MONEY")</f>
        <v>OK</v>
      </c>
      <c r="F33" s="47" t="n">
        <f aca="false">$D$9*12*(1+Inflation)^(A33-1)</f>
        <v>1950320.96909304</v>
      </c>
      <c r="G33" s="47" t="n">
        <f aca="false">M33+N33+O33</f>
        <v>20859833.3225539</v>
      </c>
      <c r="H33" s="52" t="str">
        <f aca="false">IF(G33&gt;0,"OK","OUT OF MONEY")</f>
        <v>OK</v>
      </c>
      <c r="I33" s="52"/>
      <c r="J33" s="52" t="n">
        <f aca="false">(J32)*(1+B1Ret)-C33</f>
        <v>11044667.8417605</v>
      </c>
      <c r="K33" s="52" t="n">
        <f aca="false">(K32)*(1+B2Ret)</f>
        <v>0</v>
      </c>
      <c r="L33" s="52" t="n">
        <f aca="false">(L32)*(1+B3Ret)</f>
        <v>0</v>
      </c>
      <c r="M33" s="52" t="n">
        <f aca="false">(M32)*(1+B1Ret)-F33</f>
        <v>10050570.9914202</v>
      </c>
      <c r="N33" s="52" t="n">
        <f aca="false">(N32)*(1+B2Ret)</f>
        <v>0</v>
      </c>
      <c r="O33" s="52" t="n">
        <f aca="false">(O32)*(1+B3Ret)</f>
        <v>10809262.3311337</v>
      </c>
    </row>
    <row r="34" customFormat="false" ht="15" hidden="false" customHeight="false" outlineLevel="0" collapsed="false">
      <c r="A34" s="46" t="n">
        <v>22</v>
      </c>
      <c r="B34" s="46" t="n">
        <f aca="false">Age+A34-1</f>
        <v>83</v>
      </c>
      <c r="C34" s="47" t="n">
        <f aca="false">$D$8*12*(1+Inflation)^(A34-1)</f>
        <v>2484337.42491613</v>
      </c>
      <c r="D34" s="47" t="n">
        <f aca="false">J34+K34+L34</f>
        <v>9333457.16576761</v>
      </c>
      <c r="E34" s="52" t="str">
        <f aca="false">IF(D34&gt;0,"OK","OUT OF MONEY")</f>
        <v>OK</v>
      </c>
      <c r="F34" s="47" t="n">
        <f aca="false">$D$9*12*(1+Inflation)^(A34-1)</f>
        <v>2086843.43692955</v>
      </c>
      <c r="G34" s="47" t="n">
        <f aca="false">M34+N34+O34</f>
        <v>20665548.7114485</v>
      </c>
      <c r="H34" s="52" t="str">
        <f aca="false">IF(G34&gt;0,"OK","OUT OF MONEY")</f>
        <v>OK</v>
      </c>
      <c r="I34" s="52"/>
      <c r="J34" s="52" t="n">
        <f aca="false">(J33)*(1+B1Ret)-C34</f>
        <v>9333457.16576761</v>
      </c>
      <c r="K34" s="52" t="n">
        <f aca="false">(K33)*(1+B2Ret)</f>
        <v>0</v>
      </c>
      <c r="L34" s="52" t="n">
        <f aca="false">(L33)*(1+B3Ret)</f>
        <v>0</v>
      </c>
      <c r="M34" s="52" t="n">
        <f aca="false">(M33)*(1+B1Ret)-F34</f>
        <v>8667267.52389007</v>
      </c>
      <c r="N34" s="52" t="n">
        <f aca="false">(N33)*(1+B2Ret)</f>
        <v>0</v>
      </c>
      <c r="O34" s="52" t="n">
        <f aca="false">(O33)*(1+B3Ret)</f>
        <v>11998281.1875584</v>
      </c>
    </row>
    <row r="35" customFormat="false" ht="15" hidden="false" customHeight="false" outlineLevel="0" collapsed="false">
      <c r="A35" s="46" t="n">
        <v>23</v>
      </c>
      <c r="B35" s="46" t="n">
        <f aca="false">Age+A35-1</f>
        <v>84</v>
      </c>
      <c r="C35" s="47" t="n">
        <f aca="false">$D$8*12*(1+Inflation)^(A35-1)</f>
        <v>2658241.04466026</v>
      </c>
      <c r="D35" s="47" t="n">
        <f aca="false">J35+K35+L35</f>
        <v>7328558.12271108</v>
      </c>
      <c r="E35" s="52" t="str">
        <f aca="false">IF(D35&gt;0,"OK","OUT OF MONEY")</f>
        <v>OK</v>
      </c>
      <c r="F35" s="47" t="n">
        <f aca="false">$D$9*12*(1+Inflation)^(A35-1)</f>
        <v>2232922.47751462</v>
      </c>
      <c r="G35" s="47" t="n">
        <f aca="false">M35+N35+O35</f>
        <v>20359145.8912376</v>
      </c>
      <c r="H35" s="52" t="str">
        <f aca="false">IF(G35&gt;0,"OK","OUT OF MONEY")</f>
        <v>OK</v>
      </c>
      <c r="I35" s="52"/>
      <c r="J35" s="52" t="n">
        <f aca="false">(J34)*(1+B1Ret)-C35</f>
        <v>7328558.12271108</v>
      </c>
      <c r="K35" s="52" t="n">
        <f aca="false">(K34)*(1+B2Ret)</f>
        <v>0</v>
      </c>
      <c r="L35" s="52" t="n">
        <f aca="false">(L34)*(1+B3Ret)</f>
        <v>0</v>
      </c>
      <c r="M35" s="52" t="n">
        <f aca="false">(M34)*(1+B1Ret)-F35</f>
        <v>7041053.77304775</v>
      </c>
      <c r="N35" s="52" t="n">
        <f aca="false">(N34)*(1+B2Ret)</f>
        <v>0</v>
      </c>
      <c r="O35" s="52" t="n">
        <f aca="false">(O34)*(1+B3Ret)</f>
        <v>13318092.1181898</v>
      </c>
    </row>
    <row r="36" customFormat="false" ht="15" hidden="false" customHeight="false" outlineLevel="0" collapsed="false">
      <c r="A36" s="46" t="n">
        <v>24</v>
      </c>
      <c r="B36" s="46" t="n">
        <f aca="false">Age+A36-1</f>
        <v>85</v>
      </c>
      <c r="C36" s="47" t="n">
        <f aca="false">$D$8*12*(1+Inflation)^(A36-1)</f>
        <v>2844317.91778648</v>
      </c>
      <c r="D36" s="47" t="n">
        <f aca="false">J36+K36+L36</f>
        <v>4997239.27351438</v>
      </c>
      <c r="E36" s="52" t="str">
        <f aca="false">IF(D36&gt;0,"OK","OUT OF MONEY")</f>
        <v>OK</v>
      </c>
      <c r="F36" s="47" t="n">
        <f aca="false">$D$9*12*(1+Inflation)^(A36-1)</f>
        <v>2389227.05094064</v>
      </c>
      <c r="G36" s="47" t="n">
        <f aca="false">M36+N36+O36</f>
        <v>19927782.7374111</v>
      </c>
      <c r="H36" s="52" t="str">
        <f aca="false">IF(G36&gt;0,"OK","OUT OF MONEY")</f>
        <v>OK</v>
      </c>
      <c r="I36" s="52"/>
      <c r="J36" s="52" t="n">
        <f aca="false">(J35)*(1+B1Ret)-C36</f>
        <v>4997239.27351438</v>
      </c>
      <c r="K36" s="52" t="n">
        <f aca="false">(K35)*(1+B2Ret)</f>
        <v>0</v>
      </c>
      <c r="L36" s="52" t="n">
        <f aca="false">(L35)*(1+B3Ret)</f>
        <v>0</v>
      </c>
      <c r="M36" s="52" t="n">
        <f aca="false">(M35)*(1+B1Ret)-F36</f>
        <v>5144700.48622045</v>
      </c>
      <c r="N36" s="52" t="n">
        <f aca="false">(N35)*(1+B2Ret)</f>
        <v>0</v>
      </c>
      <c r="O36" s="52" t="n">
        <f aca="false">(O35)*(1+B3Ret)</f>
        <v>14783082.2511907</v>
      </c>
    </row>
    <row r="37" customFormat="false" ht="15" hidden="false" customHeight="false" outlineLevel="0" collapsed="false">
      <c r="A37" s="46" t="n">
        <v>25</v>
      </c>
      <c r="B37" s="46" t="n">
        <f aca="false">Age+A37-1</f>
        <v>86</v>
      </c>
      <c r="C37" s="47" t="n">
        <f aca="false">$D$8*12*(1+Inflation)^(A37-1)</f>
        <v>3043420.17203153</v>
      </c>
      <c r="D37" s="47" t="n">
        <f aca="false">J37+K37+L37</f>
        <v>2303625.85062885</v>
      </c>
      <c r="E37" s="52" t="str">
        <f aca="false">IF(D37&gt;0,"OK","OUT OF MONEY")</f>
        <v>OK</v>
      </c>
      <c r="F37" s="47" t="n">
        <f aca="false">$D$9*12*(1+Inflation)^(A37-1)</f>
        <v>2556472.94450649</v>
      </c>
      <c r="G37" s="47" t="n">
        <f aca="false">M37+N37+O37</f>
        <v>19357577.8745711</v>
      </c>
      <c r="H37" s="52" t="str">
        <f aca="false">IF(G37&gt;0,"OK","OUT OF MONEY")</f>
        <v>OK</v>
      </c>
      <c r="I37" s="52"/>
      <c r="J37" s="52" t="n">
        <f aca="false">((J36)*(1+B1Ret)-C37)+(MIN(MAX(($D$8*12*(1+Inflation)^(25+1-1)+$D$8*12*(1+Inflation)^(25+2-1)+$D$8*12*(1+Inflation)^(25+3-1)+$D$8*12*(1+Inflation)^(25+4-1)+$D$8*12*(1+Inflation)^(25+5-1))-((J36)*(1+B1Ret)-C37),0),(((K36)*(1+B2Ret))+(MIN(MAX(($D$8*12*(1+Inflation)^(25+1-1)+$D$8*12*(1+Inflation)^(25+2-1)+$D$8*12*(1+Inflation)^(25+3-1)+$D$8*12*(1+Inflation)^(25+4-1)+$D$8*12*(1+Inflation)^(25+5-1))-((J36)*(1+B1Ret)-C37),0),((L36)*(1+B3Ret)))))))</f>
        <v>2303625.85062885</v>
      </c>
      <c r="K37" s="52" t="n">
        <f aca="false">(((K36)*(1+B2Ret))+(MIN(MAX(($D$8*12*(1+Inflation)^(25+1-1)+$D$8*12*(1+Inflation)^(25+2-1)+$D$8*12*(1+Inflation)^(25+3-1)+$D$8*12*(1+Inflation)^(25+4-1)+$D$8*12*(1+Inflation)^(25+5-1))-((J36)*(1+B1Ret)-C37),0),((L36)*(1+B3Ret)))))-(MIN(MAX(($D$8*12*(1+Inflation)^(25+1-1)+$D$8*12*(1+Inflation)^(25+2-1)+$D$8*12*(1+Inflation)^(25+3-1)+$D$8*12*(1+Inflation)^(25+4-1)+$D$8*12*(1+Inflation)^(25+5-1))-((J36)*(1+B1Ret)-C37),0),(((K36)*(1+B2Ret))+(MIN(MAX(($D$8*12*(1+Inflation)^(25+1-1)+$D$8*12*(1+Inflation)^(25+2-1)+$D$8*12*(1+Inflation)^(25+3-1)+$D$8*12*(1+Inflation)^(25+4-1)+$D$8*12*(1+Inflation)^(25+5-1))-((J36)*(1+B1Ret)-C37),0),((L36)*(1+B3Ret)))))))</f>
        <v>0</v>
      </c>
      <c r="L37" s="52" t="n">
        <f aca="false">((L36)*(1+B3Ret))-(MIN(MAX(($D$8*12*(1+Inflation)^(25+1-1)+$D$8*12*(1+Inflation)^(25+2-1)+$D$8*12*(1+Inflation)^(25+3-1)+$D$8*12*(1+Inflation)^(25+4-1)+$D$8*12*(1+Inflation)^(25+5-1))-((J36)*(1+B1Ret)-C37),0),((L36)*(1+B3Ret))))</f>
        <v>0</v>
      </c>
      <c r="M37" s="52" t="n">
        <f aca="false">((M36)*(1+B1Ret)-F37)+(MIN(MAX(($D$9*12*(1+Inflation)^(25+1-1)+$D$9*12*(1+Inflation)^(25+2-1)+$D$9*12*(1+Inflation)^(25+3-1)+$D$9*12*(1+Inflation)^(25+4-1)+$D$9*12*(1+Inflation)^(25+5-1))-((M36)*(1+B1Ret)-F37),0),(((N36)*(1+B2Ret))+(MIN(MAX(($D$9*12*(1+Inflation)^(25+1-1)+$D$9*12*(1+Inflation)^(25+2-1)+$D$9*12*(1+Inflation)^(25+3-1)+$D$9*12*(1+Inflation)^(25+4-1)+$D$9*12*(1+Inflation)^(25+5-1))-((M36)*(1+B1Ret)-F37),0),((O36)*(1+B3Ret)))))))</f>
        <v>15730721.2982818</v>
      </c>
      <c r="N37" s="52" t="n">
        <f aca="false">(((N36)*(1+B2Ret))+(MIN(MAX(($D$9*12*(1+Inflation)^(25+1-1)+$D$9*12*(1+Inflation)^(25+2-1)+$D$9*12*(1+Inflation)^(25+3-1)+$D$9*12*(1+Inflation)^(25+4-1)+$D$9*12*(1+Inflation)^(25+5-1))-((M36)*(1+B1Ret)-F37),0),((O36)*(1+B3Ret)))))-(MIN(MAX(($D$9*12*(1+Inflation)^(25+1-1)+$D$9*12*(1+Inflation)^(25+2-1)+$D$9*12*(1+Inflation)^(25+3-1)+$D$9*12*(1+Inflation)^(25+4-1)+$D$9*12*(1+Inflation)^(25+5-1))-((M36)*(1+B1Ret)-F37),0),(((N36)*(1+B2Ret))+(MIN(MAX(($D$9*12*(1+Inflation)^(25+1-1)+$D$9*12*(1+Inflation)^(25+2-1)+$D$9*12*(1+Inflation)^(25+3-1)+$D$9*12*(1+Inflation)^(25+4-1)+$D$9*12*(1+Inflation)^(25+5-1))-((M36)*(1+B1Ret)-F37),0),((O36)*(1+B3Ret)))))))</f>
        <v>0</v>
      </c>
      <c r="O37" s="52" t="n">
        <f aca="false">((O36)*(1+B3Ret))-(MIN(MAX(($D$9*12*(1+Inflation)^(25+1-1)+$D$9*12*(1+Inflation)^(25+2-1)+$D$9*12*(1+Inflation)^(25+3-1)+$D$9*12*(1+Inflation)^(25+4-1)+$D$9*12*(1+Inflation)^(25+5-1))-((M36)*(1+B1Ret)-F37),0),((O36)*(1+B3Ret))))</f>
        <v>3626856.57628924</v>
      </c>
    </row>
    <row r="38" customFormat="false" ht="15" hidden="false" customHeight="false" outlineLevel="0" collapsed="false">
      <c r="A38" s="46" t="n">
        <v>26</v>
      </c>
      <c r="B38" s="46" t="n">
        <f aca="false">Age+A38-1</f>
        <v>87</v>
      </c>
      <c r="C38" s="47" t="n">
        <f aca="false">$D$8*12*(1+Inflation)^(A38-1)</f>
        <v>3256459.58407374</v>
      </c>
      <c r="D38" s="47" t="n">
        <f aca="false">J38+K38+L38</f>
        <v>-791579.923900864</v>
      </c>
      <c r="E38" s="52" t="str">
        <f aca="false">IF(D38&gt;0,"OK","OUT OF MONEY")</f>
        <v>OUT OF MONEY</v>
      </c>
      <c r="F38" s="47" t="n">
        <f aca="false">$D$9*12*(1+Inflation)^(A38-1)</f>
        <v>2735426.05062194</v>
      </c>
      <c r="G38" s="47" t="n">
        <f aca="false">M38+N38+O38</f>
        <v>18122256.5382207</v>
      </c>
      <c r="H38" s="52" t="str">
        <f aca="false">IF(G38&gt;0,"OK","OUT OF MONEY")</f>
        <v>OK</v>
      </c>
      <c r="I38" s="52"/>
      <c r="J38" s="52" t="n">
        <f aca="false">(J37)*(1+B1Ret)-C38</f>
        <v>-791579.923900864</v>
      </c>
      <c r="K38" s="52" t="n">
        <f aca="false">(K37)*(1+B2Ret)</f>
        <v>0</v>
      </c>
      <c r="L38" s="52" t="n">
        <f aca="false">(L37)*(1+B3Ret)</f>
        <v>0</v>
      </c>
      <c r="M38" s="52" t="n">
        <f aca="false">(M37)*(1+B1Ret)-F38</f>
        <v>14096445.7385396</v>
      </c>
      <c r="N38" s="52" t="n">
        <f aca="false">(N37)*(1+B2Ret)</f>
        <v>0</v>
      </c>
      <c r="O38" s="52" t="n">
        <f aca="false">(O37)*(1+B3Ret)</f>
        <v>4025810.79968106</v>
      </c>
    </row>
    <row r="39" customFormat="false" ht="15" hidden="false" customHeight="false" outlineLevel="0" collapsed="false">
      <c r="A39" s="46" t="n">
        <v>27</v>
      </c>
      <c r="B39" s="46" t="n">
        <f aca="false">Age+A39-1</f>
        <v>88</v>
      </c>
      <c r="C39" s="47" t="n">
        <f aca="false">$D$8*12*(1+Inflation)^(A39-1)</f>
        <v>3484411.7549589</v>
      </c>
      <c r="D39" s="47" t="n">
        <f aca="false">J39+K39+L39</f>
        <v>-4331402.27353283</v>
      </c>
      <c r="E39" s="52" t="str">
        <f aca="false">IF(D39&gt;0,"OK","OUT OF MONEY")</f>
        <v>OUT OF MONEY</v>
      </c>
      <c r="F39" s="47" t="n">
        <f aca="false">$D$9*12*(1+Inflation)^(A39-1)</f>
        <v>2926905.87416548</v>
      </c>
      <c r="G39" s="47" t="n">
        <f aca="false">M39+N39+O39</f>
        <v>16624941.0537179</v>
      </c>
      <c r="H39" s="52" t="str">
        <f aca="false">IF(G39&gt;0,"OK","OUT OF MONEY")</f>
        <v>OK</v>
      </c>
      <c r="I39" s="52"/>
      <c r="J39" s="52" t="n">
        <f aca="false">(J38)*(1+B1Ret)-C39</f>
        <v>-4331402.27353283</v>
      </c>
      <c r="K39" s="52" t="n">
        <f aca="false">(K38)*(1+B2Ret)</f>
        <v>0</v>
      </c>
      <c r="L39" s="52" t="n">
        <f aca="false">(L38)*(1+B3Ret)</f>
        <v>0</v>
      </c>
      <c r="M39" s="52" t="n">
        <f aca="false">(M38)*(1+B1Ret)-F39</f>
        <v>12156291.0660719</v>
      </c>
      <c r="N39" s="52" t="n">
        <f aca="false">(N38)*(1+B2Ret)</f>
        <v>0</v>
      </c>
      <c r="O39" s="52" t="n">
        <f aca="false">(O38)*(1+B3Ret)</f>
        <v>4468649.98764597</v>
      </c>
    </row>
    <row r="40" customFormat="false" ht="15" hidden="false" customHeight="false" outlineLevel="0" collapsed="false">
      <c r="A40" s="46" t="n">
        <v>28</v>
      </c>
      <c r="B40" s="46" t="n">
        <f aca="false">Age+A40-1</f>
        <v>89</v>
      </c>
      <c r="C40" s="47" t="n">
        <f aca="false">$D$8*12*(1+Inflation)^(A40-1)</f>
        <v>3728320.57780602</v>
      </c>
      <c r="D40" s="47" t="n">
        <f aca="false">J40+K40+L40</f>
        <v>-8362921.01048615</v>
      </c>
      <c r="E40" s="52" t="str">
        <f aca="false">IF(D40&gt;0,"OK","OUT OF MONEY")</f>
        <v>OUT OF MONEY</v>
      </c>
      <c r="F40" s="47" t="n">
        <f aca="false">$D$9*12*(1+Inflation)^(A40-1)</f>
        <v>3131789.28535706</v>
      </c>
      <c r="G40" s="47" t="n">
        <f aca="false">M40+N40+O40</f>
        <v>14835643.6416269</v>
      </c>
      <c r="H40" s="52" t="str">
        <f aca="false">IF(G40&gt;0,"OK","OUT OF MONEY")</f>
        <v>OK</v>
      </c>
      <c r="I40" s="52"/>
      <c r="J40" s="52" t="n">
        <f aca="false">(J39)*(1+B1Ret)-C40</f>
        <v>-8362921.01048615</v>
      </c>
      <c r="K40" s="52" t="n">
        <f aca="false">(K39)*(1+B2Ret)</f>
        <v>0</v>
      </c>
      <c r="L40" s="52" t="n">
        <f aca="false">(L39)*(1+B3Ret)</f>
        <v>0</v>
      </c>
      <c r="M40" s="52" t="n">
        <f aca="false">(M39)*(1+B1Ret)-F40</f>
        <v>9875442.15533989</v>
      </c>
      <c r="N40" s="52" t="n">
        <f aca="false">(N39)*(1+B2Ret)</f>
        <v>0</v>
      </c>
      <c r="O40" s="52" t="n">
        <f aca="false">(O39)*(1+B3Ret)</f>
        <v>4960201.48628703</v>
      </c>
    </row>
    <row r="41" customFormat="false" ht="15" hidden="false" customHeight="false" outlineLevel="0" collapsed="false">
      <c r="A41" s="46" t="n">
        <v>29</v>
      </c>
      <c r="B41" s="46" t="n">
        <f aca="false">Age+A41-1</f>
        <v>90</v>
      </c>
      <c r="C41" s="47" t="n">
        <f aca="false">$D$8*12*(1+Inflation)^(A41-1)</f>
        <v>3989303.01825245</v>
      </c>
      <c r="D41" s="47" t="n">
        <f aca="false">J41+K41+L41</f>
        <v>-12937628.4994726</v>
      </c>
      <c r="E41" s="52" t="str">
        <f aca="false">IF(D41&gt;0,"OK","OUT OF MONEY")</f>
        <v>OUT OF MONEY</v>
      </c>
      <c r="F41" s="47" t="n">
        <f aca="false">$D$9*12*(1+Inflation)^(A41-1)</f>
        <v>3351014.53533205</v>
      </c>
      <c r="G41" s="47" t="n">
        <f aca="false">M41+N41+O41</f>
        <v>12721532.2206602</v>
      </c>
      <c r="H41" s="52" t="str">
        <f aca="false">IF(G41&gt;0,"OK","OUT OF MONEY")</f>
        <v>OK</v>
      </c>
      <c r="I41" s="52"/>
      <c r="J41" s="52" t="n">
        <f aca="false">(J40)*(1+B1Ret)-C41</f>
        <v>-12937628.4994726</v>
      </c>
      <c r="K41" s="52" t="n">
        <f aca="false">(K40)*(1+B2Ret)</f>
        <v>0</v>
      </c>
      <c r="L41" s="52" t="n">
        <f aca="false">(L40)*(1+B3Ret)</f>
        <v>0</v>
      </c>
      <c r="M41" s="52" t="n">
        <f aca="false">(M40)*(1+B1Ret)-F41</f>
        <v>7215708.57088163</v>
      </c>
      <c r="N41" s="52" t="n">
        <f aca="false">(N40)*(1+B2Ret)</f>
        <v>0</v>
      </c>
      <c r="O41" s="52" t="n">
        <f aca="false">(O40)*(1+B3Ret)</f>
        <v>5505823.6497786</v>
      </c>
    </row>
    <row r="42" customFormat="false" ht="15" hidden="false" customHeight="false" outlineLevel="0" collapsed="false">
      <c r="A42" s="46" t="n">
        <v>30</v>
      </c>
      <c r="B42" s="46" t="n">
        <f aca="false">Age+A42-1</f>
        <v>91</v>
      </c>
      <c r="C42" s="47" t="n">
        <f aca="false">$D$8*12*(1+Inflation)^(A42-1)</f>
        <v>4268554.22953012</v>
      </c>
      <c r="D42" s="47" t="n">
        <f aca="false">J42+K42+L42</f>
        <v>-18111816.7239658</v>
      </c>
      <c r="E42" s="52" t="str">
        <f aca="false">IF(D42&gt;0,"OK","OUT OF MONEY")</f>
        <v>OUT OF MONEY</v>
      </c>
      <c r="F42" s="47" t="n">
        <f aca="false">$D$9*12*(1+Inflation)^(A42-1)</f>
        <v>3585585.5528053</v>
      </c>
      <c r="G42" s="47" t="n">
        <f aca="false">M42+N42+O42</f>
        <v>10246686.8692923</v>
      </c>
      <c r="H42" s="52" t="str">
        <f aca="false">IF(G42&gt;0,"OK","OUT OF MONEY")</f>
        <v>OK</v>
      </c>
      <c r="I42" s="52"/>
      <c r="J42" s="52" t="n">
        <f aca="false">(J41)*(1+B1Ret)-C42</f>
        <v>-18111816.7239658</v>
      </c>
      <c r="K42" s="52" t="n">
        <f aca="false">(K41)*(1+B2Ret)</f>
        <v>0</v>
      </c>
      <c r="L42" s="52" t="n">
        <f aca="false">(L41)*(1+B3Ret)</f>
        <v>0</v>
      </c>
      <c r="M42" s="52" t="n">
        <f aca="false">(M41)*(1+B1Ret)-F42</f>
        <v>4135222.61803805</v>
      </c>
      <c r="N42" s="52" t="n">
        <f aca="false">(N41)*(1+B2Ret)</f>
        <v>0</v>
      </c>
      <c r="O42" s="52" t="n">
        <f aca="false">(O41)*(1+B3Ret)</f>
        <v>6111464.25125425</v>
      </c>
    </row>
    <row r="44" customFormat="false" ht="19.5" hidden="false" customHeight="true" outlineLevel="0" collapsed="false">
      <c r="B44" s="2" t="s">
        <v>238</v>
      </c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B45" s="14" t="s">
        <v>239</v>
      </c>
      <c r="D45" s="28" t="n">
        <f aca="false">D42</f>
        <v>-18111816.7239658</v>
      </c>
      <c r="F45" s="14" t="s">
        <v>240</v>
      </c>
      <c r="G45" s="28" t="n">
        <f aca="false">G42</f>
        <v>10246686.8692923</v>
      </c>
    </row>
    <row r="46" customFormat="false" ht="15" hidden="false" customHeight="false" outlineLevel="0" collapsed="false">
      <c r="B46" s="14" t="s">
        <v>241</v>
      </c>
      <c r="D46" s="53" t="str">
        <f aca="false">IF(MIN(D13:D42)&lt;=0,"YES - RISK","No, lasts 30 yrs")</f>
        <v>YES - RISK</v>
      </c>
      <c r="F46" s="14" t="s">
        <v>242</v>
      </c>
      <c r="G46" s="54" t="str">
        <f aca="false">IF(MIN(G13:G42)&lt;=0,"YES - RISK","No, lasts 30 yrs")</f>
        <v>No, lasts 30 yrs</v>
      </c>
    </row>
    <row r="67" customFormat="false" ht="15" hidden="false" customHeight="false" outlineLevel="0" collapsed="false">
      <c r="B67" s="25" t="s">
        <v>243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</row>
    <row r="68" customFormat="false" ht="15" hidden="false" customHeight="false" outlineLevel="0" collapsed="false"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customFormat="false" ht="15" hidden="false" customHeight="false" outlineLevel="0" collapsed="false"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customFormat="false" ht="15" hidden="false" customHeight="false" outlineLevel="0" collapsed="false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</row>
  </sheetData>
  <mergeCells count="5">
    <mergeCell ref="A1:M1"/>
    <mergeCell ref="B3:M4"/>
    <mergeCell ref="B6:E6"/>
    <mergeCell ref="B44:H44"/>
    <mergeCell ref="B67:L70"/>
  </mergeCells>
  <conditionalFormatting sqref="E13:E42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2">
      <formula>"OUT OF MONEY"</formula>
    </cfRule>
  </conditionalFormatting>
  <conditionalFormatting sqref="H13:H42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2">
      <formula>"OUT OF MONEY"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O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9" min="3" style="0" width="13"/>
    <col collapsed="false" customWidth="true" hidden="true" outlineLevel="0" max="15" min="10" style="0" width="13"/>
  </cols>
  <sheetData>
    <row r="1" customFormat="false" ht="25.5" hidden="false" customHeight="true" outlineLevel="0" collapsed="false">
      <c r="A1" s="1" t="s">
        <v>244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true" outlineLevel="0" collapsed="false">
      <c r="B3" s="25" t="s">
        <v>245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customFormat="false" ht="15" hidden="false" customHeight="true" outlineLevel="0" collapsed="false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6" customFormat="false" ht="19.5" hidden="false" customHeight="true" outlineLevel="0" collapsed="false">
      <c r="B6" s="2" t="s">
        <v>221</v>
      </c>
      <c r="C6" s="2"/>
      <c r="D6" s="2"/>
      <c r="E6" s="2"/>
    </row>
    <row r="7" customFormat="false" ht="15" hidden="false" customHeight="false" outlineLevel="0" collapsed="false">
      <c r="B7" s="14" t="s">
        <v>246</v>
      </c>
      <c r="D7" s="11" t="n">
        <v>50000000</v>
      </c>
    </row>
    <row r="8" customFormat="false" ht="15" hidden="false" customHeight="false" outlineLevel="0" collapsed="false">
      <c r="B8" s="14" t="s">
        <v>223</v>
      </c>
      <c r="D8" s="11" t="n">
        <v>250000</v>
      </c>
    </row>
    <row r="9" customFormat="false" ht="15" hidden="false" customHeight="false" outlineLevel="0" collapsed="false">
      <c r="B9" s="14" t="s">
        <v>247</v>
      </c>
      <c r="D9" s="11" t="n">
        <v>140000</v>
      </c>
      <c r="F9" s="8" t="s">
        <v>248</v>
      </c>
    </row>
    <row r="10" customFormat="false" ht="15" hidden="false" customHeight="false" outlineLevel="0" collapsed="false">
      <c r="B10" s="14" t="s">
        <v>249</v>
      </c>
      <c r="D10" s="12" t="n">
        <v>0.1</v>
      </c>
      <c r="E10" s="12" t="n">
        <v>0.25</v>
      </c>
      <c r="F10" s="12" t="n">
        <v>0.65</v>
      </c>
    </row>
    <row r="13" customFormat="false" ht="31.5" hidden="false" customHeight="true" outlineLevel="0" collapsed="false">
      <c r="A13" s="45" t="s">
        <v>64</v>
      </c>
      <c r="B13" s="45" t="s">
        <v>65</v>
      </c>
      <c r="C13" s="45" t="s">
        <v>250</v>
      </c>
      <c r="D13" s="45" t="s">
        <v>251</v>
      </c>
      <c r="E13" s="45" t="s">
        <v>252</v>
      </c>
      <c r="F13" s="45" t="s">
        <v>253</v>
      </c>
      <c r="G13" s="45" t="s">
        <v>254</v>
      </c>
      <c r="H13" s="45" t="s">
        <v>252</v>
      </c>
    </row>
    <row r="14" customFormat="false" ht="15" hidden="false" customHeight="false" outlineLevel="0" collapsed="false">
      <c r="A14" s="46" t="n">
        <v>1</v>
      </c>
      <c r="B14" s="46" t="n">
        <f aca="false">Age+A14-1</f>
        <v>62</v>
      </c>
      <c r="C14" s="47" t="n">
        <f aca="false">J14+K14+L14</f>
        <v>52050000</v>
      </c>
      <c r="D14" s="47" t="n">
        <f aca="false">C14/(1+Inflation)^A14</f>
        <v>48644859.8130841</v>
      </c>
      <c r="E14" s="52" t="str">
        <f aca="false">IF(C14&gt;0,"OK","OUT OF MONEY")</f>
        <v>OK</v>
      </c>
      <c r="F14" s="47" t="n">
        <f aca="false">M14+N14+O14</f>
        <v>53370000</v>
      </c>
      <c r="G14" s="47" t="n">
        <f aca="false">F14/(1+Inflation)^A14</f>
        <v>49878504.6728972</v>
      </c>
      <c r="H14" s="52" t="str">
        <f aca="false">IF(F14&gt;0,"OK","OUT OF MONEY")</f>
        <v>OK</v>
      </c>
      <c r="I14" s="52"/>
      <c r="J14" s="52" t="n">
        <f aca="false">($D$7*$D$10)*(1+B1Ret)-($D$8*12*(1+Inflation)^(A14-1))</f>
        <v>2350000</v>
      </c>
      <c r="K14" s="52" t="n">
        <f aca="false">($D$7*$E$10)*(1+B2Ret)</f>
        <v>13625000</v>
      </c>
      <c r="L14" s="52" t="n">
        <f aca="false">($D$7*$F$10)*(1+B3Ret)</f>
        <v>36075000</v>
      </c>
      <c r="M14" s="52" t="n">
        <f aca="false">($D$7*$D$10)*(1+B1Ret)-($D$9*12*(1+Inflation)^(A14-1))</f>
        <v>3670000</v>
      </c>
      <c r="N14" s="52" t="n">
        <f aca="false">($D$7*$E$10)*(1+B2Ret)</f>
        <v>13625000</v>
      </c>
      <c r="O14" s="52" t="n">
        <f aca="false">($D$7*$F$10)*(1+B3Ret)</f>
        <v>36075000</v>
      </c>
    </row>
    <row r="15" customFormat="false" ht="15" hidden="false" customHeight="false" outlineLevel="0" collapsed="false">
      <c r="A15" s="46" t="n">
        <v>2</v>
      </c>
      <c r="B15" s="46" t="n">
        <f aca="false">Age+A15-1</f>
        <v>63</v>
      </c>
      <c r="C15" s="47" t="n">
        <f aca="false">J15+K15+L15</f>
        <v>54199000</v>
      </c>
      <c r="D15" s="47" t="n">
        <f aca="false">C15/(1+Inflation)^A15</f>
        <v>47339505.6336798</v>
      </c>
      <c r="E15" s="52" t="str">
        <f aca="false">IF(C15&gt;0,"OK","OUT OF MONEY")</f>
        <v>OK</v>
      </c>
      <c r="F15" s="47" t="n">
        <f aca="false">M15+N15+O15</f>
        <v>57023800</v>
      </c>
      <c r="G15" s="47" t="n">
        <f aca="false">F15/(1+Inflation)^A15</f>
        <v>49806795.353306</v>
      </c>
      <c r="H15" s="52" t="str">
        <f aca="false">IF(F15&gt;0,"OK","OUT OF MONEY")</f>
        <v>OK</v>
      </c>
      <c r="I15" s="52"/>
      <c r="J15" s="52" t="n">
        <f aca="false">(J14)*(1+B1Ret)-($D$8*12*(1+Inflation)^(A15-1))</f>
        <v>-695500</v>
      </c>
      <c r="K15" s="52" t="n">
        <f aca="false">(K14)*(1+B2Ret)</f>
        <v>14851250</v>
      </c>
      <c r="L15" s="52" t="n">
        <f aca="false">(L14)*(1+B3Ret)</f>
        <v>40043250</v>
      </c>
      <c r="M15" s="52" t="n">
        <f aca="false">(M14)*(1+B1Ret)-($D$9*12*(1+Inflation)^(A15-1))</f>
        <v>2129300</v>
      </c>
      <c r="N15" s="52" t="n">
        <f aca="false">(N14)*(1+B2Ret)</f>
        <v>14851250</v>
      </c>
      <c r="O15" s="52" t="n">
        <f aca="false">(O14)*(1+B3Ret)</f>
        <v>40043250</v>
      </c>
    </row>
    <row r="16" customFormat="false" ht="15" hidden="false" customHeight="false" outlineLevel="0" collapsed="false">
      <c r="A16" s="46" t="n">
        <v>3</v>
      </c>
      <c r="B16" s="46" t="n">
        <f aca="false">Age+A16-1</f>
        <v>64</v>
      </c>
      <c r="C16" s="47" t="n">
        <f aca="false">J16+K16+L16</f>
        <v>56456985</v>
      </c>
      <c r="D16" s="47" t="n">
        <f aca="false">C16/(1+Inflation)^A16</f>
        <v>46085716.9911587</v>
      </c>
      <c r="E16" s="52" t="str">
        <f aca="false">IF(C16&gt;0,"OK","OUT OF MONEY")</f>
        <v>OK</v>
      </c>
      <c r="F16" s="47" t="n">
        <f aca="false">M16+N16+O16</f>
        <v>60990789</v>
      </c>
      <c r="G16" s="47" t="n">
        <f aca="false">F16/(1+Inflation)^A16</f>
        <v>49786651.5705979</v>
      </c>
      <c r="H16" s="52" t="str">
        <f aca="false">IF(F16&gt;0,"OK","OUT OF MONEY")</f>
        <v>OK</v>
      </c>
      <c r="I16" s="52"/>
      <c r="J16" s="52" t="n">
        <f aca="false">(J15)*(1+B1Ret)-($D$8*12*(1+Inflation)^(A16-1))</f>
        <v>-4178885</v>
      </c>
      <c r="K16" s="52" t="n">
        <f aca="false">(K15)*(1+B2Ret)</f>
        <v>16187862.5</v>
      </c>
      <c r="L16" s="52" t="n">
        <f aca="false">(L15)*(1+B3Ret)</f>
        <v>44448007.5</v>
      </c>
      <c r="M16" s="52" t="n">
        <f aca="false">(M15)*(1+B1Ret)-($D$9*12*(1+Inflation)^(A16-1))</f>
        <v>354919</v>
      </c>
      <c r="N16" s="52" t="n">
        <f aca="false">(N15)*(1+B2Ret)</f>
        <v>16187862.5</v>
      </c>
      <c r="O16" s="52" t="n">
        <f aca="false">(O15)*(1+B3Ret)</f>
        <v>44448007.5</v>
      </c>
    </row>
    <row r="17" customFormat="false" ht="15" hidden="false" customHeight="false" outlineLevel="0" collapsed="false">
      <c r="A17" s="46" t="n">
        <v>4</v>
      </c>
      <c r="B17" s="46" t="n">
        <f aca="false">Age+A17-1</f>
        <v>65</v>
      </c>
      <c r="C17" s="47" t="n">
        <f aca="false">J17+K17+L17</f>
        <v>58835522.5</v>
      </c>
      <c r="D17" s="47" t="n">
        <f aca="false">C17/(1+Inflation)^A17</f>
        <v>44885338.4135644</v>
      </c>
      <c r="E17" s="52" t="str">
        <f aca="false">IF(C17&gt;0,"OK","OUT OF MONEY")</f>
        <v>OK</v>
      </c>
      <c r="F17" s="47" t="n">
        <f aca="false">M17+N17+O17</f>
        <v>65303749.54</v>
      </c>
      <c r="G17" s="47" t="n">
        <f aca="false">F17/(1+Inflation)^A17</f>
        <v>49819917.8528168</v>
      </c>
      <c r="H17" s="52" t="str">
        <f aca="false">IF(F17&gt;0,"OK","OUT OF MONEY")</f>
        <v>OK</v>
      </c>
      <c r="I17" s="52"/>
      <c r="J17" s="52" t="n">
        <f aca="false">(J16)*(1+B1Ret)-($D$8*12*(1+Inflation)^(A17-1))</f>
        <v>-8146535.95</v>
      </c>
      <c r="K17" s="52" t="n">
        <f aca="false">(K16)*(1+B2Ret)</f>
        <v>17644770.125</v>
      </c>
      <c r="L17" s="52" t="n">
        <f aca="false">(L16)*(1+B3Ret)</f>
        <v>49337288.325</v>
      </c>
      <c r="M17" s="52" t="n">
        <f aca="false">(M16)*(1+B1Ret)-($D$9*12*(1+Inflation)^(A17-1))</f>
        <v>-1678308.91</v>
      </c>
      <c r="N17" s="52" t="n">
        <f aca="false">(N16)*(1+B2Ret)</f>
        <v>17644770.125</v>
      </c>
      <c r="O17" s="52" t="n">
        <f aca="false">(O16)*(1+B3Ret)</f>
        <v>49337288.325</v>
      </c>
    </row>
    <row r="18" customFormat="false" ht="15" hidden="false" customHeight="false" outlineLevel="0" collapsed="false">
      <c r="A18" s="46" t="n">
        <v>5</v>
      </c>
      <c r="B18" s="46" t="n">
        <f aca="false">Age+A18-1</f>
        <v>66</v>
      </c>
      <c r="C18" s="47" t="n">
        <f aca="false">J18+K18+L18</f>
        <v>61348007.9805</v>
      </c>
      <c r="D18" s="47" t="n">
        <f aca="false">C18/(1+Inflation)^A18</f>
        <v>43740281.8289503</v>
      </c>
      <c r="E18" s="52" t="str">
        <f aca="false">IF(C18&gt;0,"OK","OUT OF MONEY")</f>
        <v>OK</v>
      </c>
      <c r="F18" s="47" t="n">
        <f aca="false">M18+N18+O18</f>
        <v>69999261.6465</v>
      </c>
      <c r="G18" s="47" t="n">
        <f aca="false">F18/(1+Inflation)^A18</f>
        <v>49908506.1280157</v>
      </c>
      <c r="H18" s="52" t="str">
        <f aca="false">IF(F18&gt;0,"OK","OUT OF MONEY")</f>
        <v>OK</v>
      </c>
      <c r="I18" s="52"/>
      <c r="J18" s="52" t="n">
        <f aca="false">((J17)*(1+B1Ret)-($D$8*12*(1+Inflation)^(A18-1)))+(MIN(MAX(($D$8*12*(1+Inflation)^(5+1-1)+$D$8*12*(1+Inflation)^(5+2-1)+$D$8*12*(1+Inflation)^(5+3-1)+$D$8*12*(1+Inflation)^(5+4-1)+$D$8*12*(1+Inflation)^(5+5-1))-((J17)*(1+B1Ret)-($D$8*12*(1+Inflation)^(A18-1))),0),((K17)*(1+B2Ret))))</f>
        <v>6583617.93975001</v>
      </c>
      <c r="K18" s="52" t="n">
        <f aca="false">((K17)*(1+B2Ret))-(MIN(MAX(($D$8*12*(1+Inflation)^(5+1-1)+$D$8*12*(1+Inflation)^(5+2-1)+$D$8*12*(1+Inflation)^(5+3-1)+$D$8*12*(1+Inflation)^(5+4-1)+$D$8*12*(1+Inflation)^(5+5-1))-((J17)*(1+B1Ret)-($D$8*12*(1+Inflation)^(A18-1))),0),((K17)*(1+B2Ret))))</f>
        <v>0</v>
      </c>
      <c r="L18" s="52" t="n">
        <f aca="false">(L17)*(1+B3Ret)</f>
        <v>54764390.04075</v>
      </c>
      <c r="M18" s="52" t="n">
        <f aca="false">((M17)*(1+B1Ret)-($D$9*12*(1+Inflation)^(A18-1)))+(MIN(MAX(($D$9*12*(1+Inflation)^(5+1-1)+$D$9*12*(1+Inflation)^(5+2-1)+$D$9*12*(1+Inflation)^(5+3-1)+$D$9*12*(1+Inflation)^(5+4-1)+$D$9*12*(1+Inflation)^(5+5-1))-((M17)*(1+B1Ret)-($D$9*12*(1+Inflation)^(A18-1))),0),((N17)*(1+B2Ret))))</f>
        <v>13550391.0381496</v>
      </c>
      <c r="N18" s="52" t="n">
        <f aca="false">((N17)*(1+B2Ret))-(MIN(MAX(($D$9*12*(1+Inflation)^(5+1-1)+$D$9*12*(1+Inflation)^(5+2-1)+$D$9*12*(1+Inflation)^(5+3-1)+$D$9*12*(1+Inflation)^(5+4-1)+$D$9*12*(1+Inflation)^(5+5-1))-((M17)*(1+B1Ret)-($D$9*12*(1+Inflation)^(A18-1))),0),((N17)*(1+B2Ret))))</f>
        <v>1684480.56760044</v>
      </c>
      <c r="O18" s="52" t="n">
        <f aca="false">(O17)*(1+B3Ret)</f>
        <v>54764390.04075</v>
      </c>
    </row>
    <row r="19" customFormat="false" ht="15" hidden="false" customHeight="false" outlineLevel="0" collapsed="false">
      <c r="A19" s="46" t="n">
        <v>6</v>
      </c>
      <c r="B19" s="46" t="n">
        <f aca="false">Age+A19-1</f>
        <v>67</v>
      </c>
      <c r="C19" s="47" t="n">
        <f aca="false">J19+K19+L19</f>
        <v>63625288.948665</v>
      </c>
      <c r="D19" s="47" t="n">
        <f aca="false">C19/(1+Inflation)^A19</f>
        <v>42396216.5290216</v>
      </c>
      <c r="E19" s="52" t="str">
        <f aca="false">IF(C19&gt;0,"OK","OUT OF MONEY")</f>
        <v>OK</v>
      </c>
      <c r="F19" s="47" t="n">
        <f aca="false">M19+N19+O19</f>
        <v>74767188.267161</v>
      </c>
      <c r="G19" s="47" t="n">
        <f aca="false">F19/(1+Inflation)^A19</f>
        <v>49820534.4984479</v>
      </c>
      <c r="H19" s="52" t="str">
        <f aca="false">IF(F19&gt;0,"OK","OUT OF MONEY")</f>
        <v>OK</v>
      </c>
      <c r="I19" s="52"/>
      <c r="J19" s="52" t="n">
        <f aca="false">(J18)*(1+B1Ret)-($D$8*12*(1+Inflation)^(A19-1))</f>
        <v>2836816.00343251</v>
      </c>
      <c r="K19" s="52" t="n">
        <f aca="false">(K18)*(1+B2Ret)</f>
        <v>0</v>
      </c>
      <c r="L19" s="52" t="n">
        <f aca="false">(L18)*(1+B3Ret)</f>
        <v>60788472.9452325</v>
      </c>
      <c r="M19" s="52" t="n">
        <f aca="false">(M18)*(1+B1Ret)-($D$9*12*(1+Inflation)^(A19-1))</f>
        <v>12142631.503244</v>
      </c>
      <c r="N19" s="52" t="n">
        <f aca="false">(N18)*(1+B2Ret)</f>
        <v>1836083.81868448</v>
      </c>
      <c r="O19" s="52" t="n">
        <f aca="false">(O18)*(1+B3Ret)</f>
        <v>60788472.9452325</v>
      </c>
    </row>
    <row r="20" customFormat="false" ht="15" hidden="false" customHeight="false" outlineLevel="0" collapsed="false">
      <c r="A20" s="46" t="n">
        <v>7</v>
      </c>
      <c r="B20" s="46" t="n">
        <f aca="false">Age+A20-1</f>
        <v>68</v>
      </c>
      <c r="C20" s="47" t="n">
        <f aca="false">J20+K20+L20</f>
        <v>66008407.0373339</v>
      </c>
      <c r="D20" s="47" t="n">
        <f aca="false">C20/(1+Inflation)^A20</f>
        <v>41106718.4447127</v>
      </c>
      <c r="E20" s="52" t="str">
        <f aca="false">IF(C20&gt;0,"OK","OUT OF MONEY")</f>
        <v>OK</v>
      </c>
      <c r="F20" s="47" t="n">
        <f aca="false">M20+N20+O20</f>
        <v>79947925.048939</v>
      </c>
      <c r="G20" s="47" t="n">
        <f aca="false">F20/(1+Inflation)^A20</f>
        <v>49787549.6884354</v>
      </c>
      <c r="H20" s="52" t="str">
        <f aca="false">IF(F20&gt;0,"OK","OUT OF MONEY")</f>
        <v>OK</v>
      </c>
      <c r="I20" s="52"/>
      <c r="J20" s="52" t="n">
        <f aca="false">(J19)*(1+B1Ret)-($D$8*12*(1+Inflation)^(A20-1))</f>
        <v>-1466797.93187422</v>
      </c>
      <c r="K20" s="52" t="n">
        <f aca="false">(K19)*(1+B2Ret)</f>
        <v>0</v>
      </c>
      <c r="L20" s="52" t="n">
        <f aca="false">(L19)*(1+B3Ret)</f>
        <v>67475204.9692081</v>
      </c>
      <c r="M20" s="52" t="n">
        <f aca="false">(M19)*(1+B1Ret)-($D$9*12*(1+Inflation)^(A20-1))</f>
        <v>10471388.7173648</v>
      </c>
      <c r="N20" s="52" t="n">
        <f aca="false">(N19)*(1+B2Ret)</f>
        <v>2001331.36236608</v>
      </c>
      <c r="O20" s="52" t="n">
        <f aca="false">(O19)*(1+B3Ret)</f>
        <v>67475204.9692081</v>
      </c>
    </row>
    <row r="21" customFormat="false" ht="15" hidden="false" customHeight="false" outlineLevel="0" collapsed="false">
      <c r="A21" s="46" t="n">
        <v>8</v>
      </c>
      <c r="B21" s="46" t="n">
        <f aca="false">Age+A21-1</f>
        <v>69</v>
      </c>
      <c r="C21" s="47" t="n">
        <f aca="false">J21+K21+L21</f>
        <v>68510659.2992803</v>
      </c>
      <c r="D21" s="47" t="n">
        <f aca="false">C21/(1+Inflation)^A21</f>
        <v>39873827.4719345</v>
      </c>
      <c r="E21" s="52" t="str">
        <f aca="false">IF(C21&gt;0,"OK","OUT OF MONEY")</f>
        <v>OK</v>
      </c>
      <c r="F21" s="47" t="n">
        <f aca="false">M21+N21+O21</f>
        <v>85585601.7478966</v>
      </c>
      <c r="G21" s="47" t="n">
        <f aca="false">F21/(1+Inflation)^A21</f>
        <v>49811599.4369533</v>
      </c>
      <c r="H21" s="52" t="str">
        <f aca="false">IF(F21&gt;0,"OK","OUT OF MONEY")</f>
        <v>OK</v>
      </c>
      <c r="I21" s="52"/>
      <c r="J21" s="52" t="n">
        <f aca="false">(J20)*(1+B1Ret)-($D$8*12*(1+Inflation)^(A21-1))</f>
        <v>-6386818.21654071</v>
      </c>
      <c r="K21" s="52" t="n">
        <f aca="false">(K20)*(1+B2Ret)</f>
        <v>0</v>
      </c>
      <c r="L21" s="52" t="n">
        <f aca="false">(L20)*(1+B3Ret)</f>
        <v>74897477.515821</v>
      </c>
      <c r="M21" s="52" t="n">
        <f aca="false">(M20)*(1+B1Ret)-($D$9*12*(1+Inflation)^(A21-1))</f>
        <v>8506673.04709658</v>
      </c>
      <c r="N21" s="52" t="n">
        <f aca="false">(N20)*(1+B2Ret)</f>
        <v>2181451.18497903</v>
      </c>
      <c r="O21" s="52" t="n">
        <f aca="false">(O20)*(1+B3Ret)</f>
        <v>74897477.515821</v>
      </c>
    </row>
    <row r="22" customFormat="false" ht="15" hidden="false" customHeight="false" outlineLevel="0" collapsed="false">
      <c r="A22" s="46" t="n">
        <v>9</v>
      </c>
      <c r="B22" s="46" t="n">
        <f aca="false">Age+A22-1</f>
        <v>70</v>
      </c>
      <c r="C22" s="47" t="n">
        <f aca="false">J22+K22+L22</f>
        <v>71147746.011367</v>
      </c>
      <c r="D22" s="47" t="n">
        <f aca="false">C22/(1+Inflation)^A22</f>
        <v>38699659.7643892</v>
      </c>
      <c r="E22" s="52" t="str">
        <f aca="false">IF(C22&gt;0,"OK","OUT OF MONEY")</f>
        <v>OK</v>
      </c>
      <c r="F22" s="47" t="n">
        <f aca="false">M22+N22+O22</f>
        <v>91729569.2124642</v>
      </c>
      <c r="G22" s="47" t="n">
        <f aca="false">F22/(1+Inflation)^A22</f>
        <v>49894807.8873673</v>
      </c>
      <c r="H22" s="52" t="str">
        <f aca="false">IF(F22&gt;0,"OK","OUT OF MONEY")</f>
        <v>OK</v>
      </c>
      <c r="I22" s="52"/>
      <c r="J22" s="52" t="n">
        <f aca="false">(J21)*(1+B1Ret)-($D$8*12*(1+Inflation)^(A22-1))</f>
        <v>-11988454.0311943</v>
      </c>
      <c r="K22" s="52" t="n">
        <f aca="false">(K21)*(1+B2Ret)</f>
        <v>0</v>
      </c>
      <c r="L22" s="52" t="n">
        <f aca="false">(L21)*(1+B3Ret)</f>
        <v>83136200.0425613</v>
      </c>
      <c r="M22" s="52" t="n">
        <f aca="false">(M21)*(1+B1Ret)-($D$9*12*(1+Inflation)^(A22-1))</f>
        <v>6215587.37827571</v>
      </c>
      <c r="N22" s="52" t="n">
        <f aca="false">(N21)*(1+B2Ret)</f>
        <v>2377781.79162714</v>
      </c>
      <c r="O22" s="52" t="n">
        <f aca="false">(O21)*(1+B3Ret)</f>
        <v>83136200.0425613</v>
      </c>
    </row>
    <row r="23" customFormat="false" ht="15" hidden="false" customHeight="false" outlineLevel="0" collapsed="false">
      <c r="A23" s="46" t="n">
        <v>10</v>
      </c>
      <c r="B23" s="46" t="n">
        <f aca="false">Age+A23-1</f>
        <v>71</v>
      </c>
      <c r="C23" s="47" t="n">
        <f aca="false">J23+K23+L23</f>
        <v>73938158.5966047</v>
      </c>
      <c r="D23" s="47" t="n">
        <f aca="false">C23/(1+Inflation)^A23</f>
        <v>37586410.5843285</v>
      </c>
      <c r="E23" s="52" t="str">
        <f aca="false">IF(C23&gt;0,"OK","OUT OF MONEY")</f>
        <v>OK</v>
      </c>
      <c r="F23" s="47" t="n">
        <f aca="false">M23+N23+O23</f>
        <v>98435031.2180058</v>
      </c>
      <c r="G23" s="47" t="n">
        <f aca="false">F23/(1+Inflation)^A23</f>
        <v>50039378.4409321</v>
      </c>
      <c r="H23" s="52" t="str">
        <f aca="false">IF(F23&gt;0,"OK","OUT OF MONEY")</f>
        <v>OK</v>
      </c>
      <c r="I23" s="52"/>
      <c r="J23" s="52" t="n">
        <f aca="false">((J22)*(1+B1Ret)-($D$8*12*(1+Inflation)^(A23-1)))+(MIN(MAX(($D$8*12*(1+Inflation)^(10+1-1)+$D$8*12*(1+Inflation)^(10+2-1)+$D$8*12*(1+Inflation)^(10+3-1)+$D$8*12*(1+Inflation)^(10+4-1)+$D$8*12*(1+Inflation)^(10+5-1))-((J22)*(1+B1Ret)-($D$8*12*(1+Inflation)^(A23-1))),0),((K22)*(1+B2Ret))))</f>
        <v>-18343023.4506384</v>
      </c>
      <c r="K23" s="52" t="n">
        <f aca="false">((K22)*(1+B2Ret))-(MIN(MAX(($D$8*12*(1+Inflation)^(10+1-1)+$D$8*12*(1+Inflation)^(10+2-1)+$D$8*12*(1+Inflation)^(10+3-1)+$D$8*12*(1+Inflation)^(10+4-1)+$D$8*12*(1+Inflation)^(10+5-1))-((J22)*(1+B1Ret)-($D$8*12*(1+Inflation)^(A23-1))),0),((K22)*(1+B2Ret))))</f>
        <v>0</v>
      </c>
      <c r="L23" s="52" t="n">
        <f aca="false">(L22)*(1+B3Ret)</f>
        <v>92281182.0472431</v>
      </c>
      <c r="M23" s="52" t="n">
        <f aca="false">((M22)*(1+B1Ret)-($D$9*12*(1+Inflation)^(A23-1)))+(MIN(MAX(($D$9*12*(1+Inflation)^(10+1-1)+$D$9*12*(1+Inflation)^(10+2-1)+$D$9*12*(1+Inflation)^(10+3-1)+$D$9*12*(1+Inflation)^(10+4-1)+$D$9*12*(1+Inflation)^(10+5-1))-((M22)*(1+B1Ret)-($D$9*12*(1+Inflation)^(A23-1))),0),((N22)*(1+B2Ret))))</f>
        <v>6153849.17076273</v>
      </c>
      <c r="N23" s="52" t="n">
        <f aca="false">((N22)*(1+B2Ret))-(MIN(MAX(($D$9*12*(1+Inflation)^(10+1-1)+$D$9*12*(1+Inflation)^(10+2-1)+$D$9*12*(1+Inflation)^(10+3-1)+$D$9*12*(1+Inflation)^(10+4-1)+$D$9*12*(1+Inflation)^(10+5-1))-((M22)*(1+B1Ret)-($D$9*12*(1+Inflation)^(A23-1))),0),((N22)*(1+B2Ret))))</f>
        <v>0</v>
      </c>
      <c r="O23" s="52" t="n">
        <f aca="false">(O22)*(1+B3Ret)</f>
        <v>92281182.0472431</v>
      </c>
    </row>
    <row r="24" customFormat="false" ht="15" hidden="false" customHeight="false" outlineLevel="0" collapsed="false">
      <c r="A24" s="46" t="n">
        <v>11</v>
      </c>
      <c r="B24" s="46" t="n">
        <f aca="false">Age+A24-1</f>
        <v>72</v>
      </c>
      <c r="C24" s="47" t="n">
        <f aca="false">J24+K24+L24</f>
        <v>76903622.9083881</v>
      </c>
      <c r="D24" s="47" t="n">
        <f aca="false">C24/(1+Inflation)^A24</f>
        <v>36536357.2598825</v>
      </c>
      <c r="E24" s="52" t="str">
        <f aca="false">IF(C24&gt;0,"OK","OUT OF MONEY")</f>
        <v>OK</v>
      </c>
      <c r="F24" s="47" t="n">
        <f aca="false">M24+N24+O24</f>
        <v>105711916.404909</v>
      </c>
      <c r="G24" s="47" t="n">
        <f aca="false">F24/(1+Inflation)^A24</f>
        <v>50222969.9762992</v>
      </c>
      <c r="H24" s="52" t="str">
        <f aca="false">IF(F24&gt;0,"OK","OUT OF MONEY")</f>
        <v>OK</v>
      </c>
      <c r="I24" s="52"/>
      <c r="J24" s="52" t="n">
        <f aca="false">(J23)*(1+B1Ret)-($D$8*12*(1+Inflation)^(A24-1))</f>
        <v>-25528489.1640518</v>
      </c>
      <c r="K24" s="52" t="n">
        <f aca="false">(K23)*(1+B2Ret)</f>
        <v>0</v>
      </c>
      <c r="L24" s="52" t="n">
        <f aca="false">(L23)*(1+B3Ret)</f>
        <v>102432112.07244</v>
      </c>
      <c r="M24" s="52" t="n">
        <f aca="false">(M23)*(1+B1Ret)-($D$9*12*(1+Inflation)^(A24-1))</f>
        <v>3279804.33246965</v>
      </c>
      <c r="N24" s="52" t="n">
        <f aca="false">(N23)*(1+B2Ret)</f>
        <v>0</v>
      </c>
      <c r="O24" s="52" t="n">
        <f aca="false">(O23)*(1+B3Ret)</f>
        <v>102432112.07244</v>
      </c>
    </row>
    <row r="25" customFormat="false" ht="15" hidden="false" customHeight="false" outlineLevel="0" collapsed="false">
      <c r="A25" s="46" t="n">
        <v>12</v>
      </c>
      <c r="B25" s="46" t="n">
        <f aca="false">Age+A25-1</f>
        <v>73</v>
      </c>
      <c r="C25" s="47" t="n">
        <f aca="false">J25+K25+L25</f>
        <v>80069605.1379733</v>
      </c>
      <c r="D25" s="47" t="n">
        <f aca="false">C25/(1+Inflation)^A25</f>
        <v>35551862.2529435</v>
      </c>
      <c r="E25" s="52" t="str">
        <f aca="false">IF(C25&gt;0,"OK","OUT OF MONEY")</f>
        <v>OK</v>
      </c>
      <c r="F25" s="47" t="n">
        <f aca="false">M25+N25+O25</f>
        <v>113672883.756287</v>
      </c>
      <c r="G25" s="47" t="n">
        <f aca="false">F25/(1+Inflation)^A25</f>
        <v>50472119.8291733</v>
      </c>
      <c r="H25" s="52" t="str">
        <f aca="false">IF(F25&gt;0,"OK","OUT OF MONEY")</f>
        <v>OK</v>
      </c>
      <c r="I25" s="52"/>
      <c r="J25" s="52" t="n">
        <f aca="false">(J24)*(1+B1Ret)-($D$8*12*(1+Inflation)^(A25-1))</f>
        <v>-33630039.2624349</v>
      </c>
      <c r="K25" s="52" t="n">
        <f aca="false">(K24)*(1+B2Ret)</f>
        <v>0</v>
      </c>
      <c r="L25" s="52" t="n">
        <f aca="false">(L24)*(1+B3Ret)</f>
        <v>113699644.400408</v>
      </c>
      <c r="M25" s="52" t="n">
        <f aca="false">(M24)*(1+B1Ret)-($D$9*12*(1+Inflation)^(A25-1))</f>
        <v>-26760.6441211952</v>
      </c>
      <c r="N25" s="52" t="n">
        <f aca="false">(N24)*(1+B2Ret)</f>
        <v>0</v>
      </c>
      <c r="O25" s="52" t="n">
        <f aca="false">(O24)*(1+B3Ret)</f>
        <v>113699644.400408</v>
      </c>
    </row>
    <row r="26" customFormat="false" ht="15" hidden="false" customHeight="false" outlineLevel="0" collapsed="false">
      <c r="A26" s="46" t="n">
        <v>13</v>
      </c>
      <c r="B26" s="46" t="n">
        <f aca="false">Age+A26-1</f>
        <v>74</v>
      </c>
      <c r="C26" s="47" t="n">
        <f aca="false">J26+K26+L26</f>
        <v>83465888.5067653</v>
      </c>
      <c r="D26" s="47" t="n">
        <f aca="false">C26/(1+Inflation)^A26</f>
        <v>34635376.3417361</v>
      </c>
      <c r="E26" s="52" t="str">
        <f aca="false">IF(C26&gt;0,"OK","OUT OF MONEY")</f>
        <v>OK</v>
      </c>
      <c r="F26" s="47" t="n">
        <f aca="false">M26+N26+O26</f>
        <v>122394289.525789</v>
      </c>
      <c r="G26" s="47" t="n">
        <f aca="false">F26/(1+Inflation)^A26</f>
        <v>50789278.7777789</v>
      </c>
      <c r="H26" s="52" t="str">
        <f aca="false">IF(F26&gt;0,"OK","OUT OF MONEY")</f>
        <v>OK</v>
      </c>
      <c r="I26" s="52"/>
      <c r="J26" s="52" t="n">
        <f aca="false">(J25)*(1+B1Ret)-($D$8*12*(1+Inflation)^(A26-1))</f>
        <v>-42740716.7776878</v>
      </c>
      <c r="K26" s="52" t="n">
        <f aca="false">(K25)*(1+B2Ret)</f>
        <v>0</v>
      </c>
      <c r="L26" s="52" t="n">
        <f aca="false">(L25)*(1+B3Ret)</f>
        <v>126206605.284453</v>
      </c>
      <c r="M26" s="52" t="n">
        <f aca="false">(M25)*(1+B1Ret)-($D$9*12*(1+Inflation)^(A26-1))</f>
        <v>-3812315.75866387</v>
      </c>
      <c r="N26" s="52" t="n">
        <f aca="false">(N25)*(1+B2Ret)</f>
        <v>0</v>
      </c>
      <c r="O26" s="52" t="n">
        <f aca="false">(O25)*(1+B3Ret)</f>
        <v>126206605.284453</v>
      </c>
    </row>
    <row r="27" customFormat="false" ht="15" hidden="false" customHeight="false" outlineLevel="0" collapsed="false">
      <c r="A27" s="46" t="n">
        <v>14</v>
      </c>
      <c r="B27" s="46" t="n">
        <f aca="false">Age+A27-1</f>
        <v>75</v>
      </c>
      <c r="C27" s="47" t="n">
        <f aca="false">J27+K27+L27</f>
        <v>87127229.9130528</v>
      </c>
      <c r="D27" s="47" t="n">
        <f aca="false">C27/(1+Inflation)^A27</f>
        <v>33789441.9223622</v>
      </c>
      <c r="E27" s="52" t="str">
        <f aca="false">IF(C27&gt;0,"OK","OUT OF MONEY")</f>
        <v>OK</v>
      </c>
      <c r="F27" s="47" t="n">
        <f aca="false">M27+N27+O27</f>
        <v>131961614.403657</v>
      </c>
      <c r="G27" s="47" t="n">
        <f aca="false">F27/(1+Inflation)^A27</f>
        <v>51176989.2182182</v>
      </c>
      <c r="H27" s="52" t="str">
        <f aca="false">IF(F27&gt;0,"OK","OUT OF MONEY")</f>
        <v>OK</v>
      </c>
      <c r="I27" s="52"/>
      <c r="J27" s="52" t="n">
        <f aca="false">(J26)*(1+B1Ret)-($D$8*12*(1+Inflation)^(A27-1))</f>
        <v>-52962101.9526902</v>
      </c>
      <c r="K27" s="52" t="n">
        <f aca="false">(K26)*(1+B2Ret)</f>
        <v>0</v>
      </c>
      <c r="L27" s="52" t="n">
        <f aca="false">(L26)*(1+B3Ret)</f>
        <v>140089331.865743</v>
      </c>
      <c r="M27" s="52" t="n">
        <f aca="false">(M26)*(1+B1Ret)-($D$9*12*(1+Inflation)^(A27-1))</f>
        <v>-8127717.46208631</v>
      </c>
      <c r="N27" s="52" t="n">
        <f aca="false">(N26)*(1+B2Ret)</f>
        <v>0</v>
      </c>
      <c r="O27" s="52" t="n">
        <f aca="false">(O26)*(1+B3Ret)</f>
        <v>140089331.865743</v>
      </c>
    </row>
    <row r="28" customFormat="false" ht="15" hidden="false" customHeight="false" outlineLevel="0" collapsed="false">
      <c r="A28" s="46" t="n">
        <v>15</v>
      </c>
      <c r="B28" s="46" t="n">
        <f aca="false">Age+A28-1</f>
        <v>76</v>
      </c>
      <c r="C28" s="47" t="n">
        <f aca="false">J28+K28+L28</f>
        <v>91094106.8309924</v>
      </c>
      <c r="D28" s="47" t="n">
        <f aca="false">C28/(1+Inflation)^A28</f>
        <v>33016696.4337691</v>
      </c>
      <c r="E28" s="52" t="str">
        <f aca="false">IF(C28&gt;0,"OK","OUT OF MONEY")</f>
        <v>OK</v>
      </c>
      <c r="F28" s="47" t="n">
        <f aca="false">M28+N28+O28</f>
        <v>142470563.314204</v>
      </c>
      <c r="G28" s="47" t="n">
        <f aca="false">F28/(1+Inflation)^A28</f>
        <v>51637888.5894381</v>
      </c>
      <c r="H28" s="52" t="str">
        <f aca="false">IF(F28&gt;0,"OK","OUT OF MONEY")</f>
        <v>OK</v>
      </c>
      <c r="I28" s="52"/>
      <c r="J28" s="52" t="n">
        <f aca="false">((J27)*(1+B1Ret)-($D$8*12*(1+Inflation)^(A28-1)))+(MIN(MAX(($D$8*12*(1+Inflation)^(15+1-1)+$D$8*12*(1+Inflation)^(15+2-1)+$D$8*12*(1+Inflation)^(15+3-1)+$D$8*12*(1+Inflation)^(15+4-1)+$D$8*12*(1+Inflation)^(15+5-1))-((J27)*(1+B1Ret)-($D$8*12*(1+Inflation)^(A28-1))),0),(((K27)*(1+B2Ret))+(MIN(MAX(($D$8*12*(1+Inflation)^(15+1-1)+$D$8*12*(1+Inflation)^(15+2-1)+$D$8*12*(1+Inflation)^(15+3-1)+$D$8*12*(1+Inflation)^(15+4-1)+$D$8*12*(1+Inflation)^(15+5-1))-((J27)*(1+B1Ret)-($D$8*12*(1+Inflation)^(A28-1))),0),((L27)*(1+B3Ret)))))))</f>
        <v>47599410.9330363</v>
      </c>
      <c r="K28" s="52" t="n">
        <f aca="false">(((K27)*(1+B2Ret))+(MIN(MAX(($D$8*12*(1+Inflation)^(15+1-1)+$D$8*12*(1+Inflation)^(15+2-1)+$D$8*12*(1+Inflation)^(15+3-1)+$D$8*12*(1+Inflation)^(15+4-1)+$D$8*12*(1+Inflation)^(15+5-1))-((J27)*(1+B1Ret)-($D$8*12*(1+Inflation)^(A28-1))),0),((L27)*(1+B3Ret)))))-(MIN(MAX(($D$8*12*(1+Inflation)^(15+1-1)+$D$8*12*(1+Inflation)^(15+2-1)+$D$8*12*(1+Inflation)^(15+3-1)+$D$8*12*(1+Inflation)^(15+4-1)+$D$8*12*(1+Inflation)^(15+5-1))-((J27)*(1+B1Ret)-($D$8*12*(1+Inflation)^(A28-1))),0),(((K27)*(1+B2Ret))+(MIN(MAX(($D$8*12*(1+Inflation)^(15+1-1)+$D$8*12*(1+Inflation)^(15+2-1)+$D$8*12*(1+Inflation)^(15+3-1)+$D$8*12*(1+Inflation)^(15+4-1)+$D$8*12*(1+Inflation)^(15+5-1))-((J27)*(1+B1Ret)-($D$8*12*(1+Inflation)^(A28-1))),0),((L27)*(1+B3Ret)))))))</f>
        <v>0</v>
      </c>
      <c r="L28" s="52" t="n">
        <f aca="false">((L27)*(1+B3Ret))-(MIN(MAX(($D$8*12*(1+Inflation)^(15+1-1)+$D$8*12*(1+Inflation)^(15+2-1)+$D$8*12*(1+Inflation)^(15+3-1)+$D$8*12*(1+Inflation)^(15+4-1)+$D$8*12*(1+Inflation)^(15+5-1))-((J27)*(1+B1Ret)-($D$8*12*(1+Inflation)^(A28-1))),0),((L27)*(1+B3Ret))))</f>
        <v>43494695.8979562</v>
      </c>
      <c r="M28" s="52" t="n">
        <f aca="false">((M27)*(1+B1Ret)-($D$9*12*(1+Inflation)^(A28-1)))+(MIN(MAX(($D$9*12*(1+Inflation)^(15+1-1)+$D$9*12*(1+Inflation)^(15+2-1)+$D$9*12*(1+Inflation)^(15+3-1)+$D$9*12*(1+Inflation)^(15+4-1)+$D$9*12*(1+Inflation)^(15+5-1))-((M27)*(1+B1Ret)-($D$9*12*(1+Inflation)^(A28-1))),0),(((N27)*(1+B2Ret))+(MIN(MAX(($D$9*12*(1+Inflation)^(15+1-1)+$D$9*12*(1+Inflation)^(15+2-1)+$D$9*12*(1+Inflation)^(15+3-1)+$D$9*12*(1+Inflation)^(15+4-1)+$D$9*12*(1+Inflation)^(15+5-1))-((M27)*(1+B1Ret)-($D$9*12*(1+Inflation)^(A28-1))),0),((O27)*(1+B3Ret)))))))</f>
        <v>26655670.1225003</v>
      </c>
      <c r="N28" s="52" t="n">
        <f aca="false">(((N27)*(1+B2Ret))+(MIN(MAX(($D$9*12*(1+Inflation)^(15+1-1)+$D$9*12*(1+Inflation)^(15+2-1)+$D$9*12*(1+Inflation)^(15+3-1)+$D$9*12*(1+Inflation)^(15+4-1)+$D$9*12*(1+Inflation)^(15+5-1))-((M27)*(1+B1Ret)-($D$9*12*(1+Inflation)^(A28-1))),0),((O27)*(1+B3Ret)))))-(MIN(MAX(($D$9*12*(1+Inflation)^(15+1-1)+$D$9*12*(1+Inflation)^(15+2-1)+$D$9*12*(1+Inflation)^(15+3-1)+$D$9*12*(1+Inflation)^(15+4-1)+$D$9*12*(1+Inflation)^(15+5-1))-((M27)*(1+B1Ret)-($D$9*12*(1+Inflation)^(A28-1))),0),(((N27)*(1+B2Ret))+(MIN(MAX(($D$9*12*(1+Inflation)^(15+1-1)+$D$9*12*(1+Inflation)^(15+2-1)+$D$9*12*(1+Inflation)^(15+3-1)+$D$9*12*(1+Inflation)^(15+4-1)+$D$9*12*(1+Inflation)^(15+5-1))-((M27)*(1+B1Ret)-($D$9*12*(1+Inflation)^(A28-1))),0),((O27)*(1+B3Ret)))))))</f>
        <v>0</v>
      </c>
      <c r="O28" s="52" t="n">
        <f aca="false">((O27)*(1+B3Ret))-(MIN(MAX(($D$9*12*(1+Inflation)^(15+1-1)+$D$9*12*(1+Inflation)^(15+2-1)+$D$9*12*(1+Inflation)^(15+3-1)+$D$9*12*(1+Inflation)^(15+4-1)+$D$9*12*(1+Inflation)^(15+5-1))-((M27)*(1+B1Ret)-($D$9*12*(1+Inflation)^(A28-1))),0),((O27)*(1+B3Ret))))</f>
        <v>115814893.191704</v>
      </c>
    </row>
    <row r="29" customFormat="false" ht="15" hidden="false" customHeight="false" outlineLevel="0" collapsed="false">
      <c r="A29" s="46" t="n">
        <v>16</v>
      </c>
      <c r="B29" s="46" t="n">
        <f aca="false">Age+A29-1</f>
        <v>77</v>
      </c>
      <c r="C29" s="47" t="n">
        <f aca="false">J29+K29+L29</f>
        <v>90933387.5229341</v>
      </c>
      <c r="D29" s="47" t="n">
        <f aca="false">C29/(1+Inflation)^A29</f>
        <v>30802284.4488632</v>
      </c>
      <c r="E29" s="52" t="str">
        <f aca="false">IF(C29&gt;0,"OK","OUT OF MONEY")</f>
        <v>OK</v>
      </c>
      <c r="F29" s="47" t="n">
        <f aca="false">M29+N29+O29</f>
        <v>152440925.485465</v>
      </c>
      <c r="G29" s="47" t="n">
        <f aca="false">F29/(1+Inflation)^A29</f>
        <v>51637015.5820601</v>
      </c>
      <c r="H29" s="52" t="str">
        <f aca="false">IF(F29&gt;0,"OK","OUT OF MONEY")</f>
        <v>OK</v>
      </c>
      <c r="I29" s="52"/>
      <c r="J29" s="52" t="n">
        <f aca="false">(J28)*(1+B1Ret)-($D$8*12*(1+Inflation)^(A29-1))</f>
        <v>42654275.0762028</v>
      </c>
      <c r="K29" s="52" t="n">
        <f aca="false">(K28)*(1+B2Ret)</f>
        <v>0</v>
      </c>
      <c r="L29" s="52" t="n">
        <f aca="false">(L28)*(1+B3Ret)</f>
        <v>48279112.4467313</v>
      </c>
      <c r="M29" s="52" t="n">
        <f aca="false">(M28)*(1+B1Ret)-($D$9*12*(1+Inflation)^(A29-1))</f>
        <v>23886394.0426736</v>
      </c>
      <c r="N29" s="52" t="n">
        <f aca="false">(N28)*(1+B2Ret)</f>
        <v>0</v>
      </c>
      <c r="O29" s="52" t="n">
        <f aca="false">(O28)*(1+B3Ret)</f>
        <v>128554531.442791</v>
      </c>
    </row>
    <row r="30" customFormat="false" ht="15" hidden="false" customHeight="false" outlineLevel="0" collapsed="false">
      <c r="A30" s="46" t="n">
        <v>17</v>
      </c>
      <c r="B30" s="46" t="n">
        <f aca="false">Age+A30-1</f>
        <v>78</v>
      </c>
      <c r="C30" s="47" t="n">
        <f aca="false">J30+K30+L30</f>
        <v>90373397.9017126</v>
      </c>
      <c r="D30" s="47" t="n">
        <f aca="false">C30/(1+Inflation)^A30</f>
        <v>28609903.3549051</v>
      </c>
      <c r="E30" s="52" t="str">
        <f aca="false">IF(C30&gt;0,"OK","OUT OF MONEY")</f>
        <v>OK</v>
      </c>
      <c r="F30" s="47" t="n">
        <f aca="false">M30+N30+O30</f>
        <v>163294336.429569</v>
      </c>
      <c r="G30" s="47" t="n">
        <f aca="false">F30/(1+Inflation)^A30</f>
        <v>51694805.0214322</v>
      </c>
      <c r="H30" s="52" t="str">
        <f aca="false">IF(F30&gt;0,"OK","OUT OF MONEY")</f>
        <v>OK</v>
      </c>
      <c r="I30" s="52"/>
      <c r="J30" s="52" t="n">
        <f aca="false">(J29)*(1+B1Ret)-($D$8*12*(1+Inflation)^(A30-1))</f>
        <v>36783583.0858408</v>
      </c>
      <c r="K30" s="52" t="n">
        <f aca="false">(K29)*(1+B2Ret)</f>
        <v>0</v>
      </c>
      <c r="L30" s="52" t="n">
        <f aca="false">(L29)*(1+B3Ret)</f>
        <v>53589814.8158718</v>
      </c>
      <c r="M30" s="52" t="n">
        <f aca="false">(M29)*(1+B1Ret)-($D$9*12*(1+Inflation)^(A30-1))</f>
        <v>20598806.5280708</v>
      </c>
      <c r="N30" s="52" t="n">
        <f aca="false">(N29)*(1+B2Ret)</f>
        <v>0</v>
      </c>
      <c r="O30" s="52" t="n">
        <f aca="false">(O29)*(1+B3Ret)</f>
        <v>142695529.901498</v>
      </c>
    </row>
    <row r="31" customFormat="false" ht="15" hidden="false" customHeight="false" outlineLevel="0" collapsed="false">
      <c r="A31" s="46" t="n">
        <v>18</v>
      </c>
      <c r="B31" s="46" t="n">
        <f aca="false">Age+A31-1</f>
        <v>79</v>
      </c>
      <c r="C31" s="47" t="n">
        <f aca="false">J31+K31+L31</f>
        <v>89366682.7145723</v>
      </c>
      <c r="D31" s="47" t="n">
        <f aca="false">C31/(1+Inflation)^A31</f>
        <v>26440376.736603</v>
      </c>
      <c r="E31" s="52" t="str">
        <f aca="false">IF(C31&gt;0,"OK","OUT OF MONEY")</f>
        <v>OK</v>
      </c>
      <c r="F31" s="47" t="n">
        <f aca="false">M31+N31+O31</f>
        <v>175125951.621278</v>
      </c>
      <c r="G31" s="47" t="n">
        <f aca="false">F31/(1+Inflation)^A31</f>
        <v>51813449.896218</v>
      </c>
      <c r="H31" s="52" t="str">
        <f aca="false">IF(F31&gt;0,"OK","OUT OF MONEY")</f>
        <v>OK</v>
      </c>
      <c r="I31" s="52"/>
      <c r="J31" s="52" t="n">
        <f aca="false">(J30)*(1+B1Ret)-($D$8*12*(1+Inflation)^(A31-1))</f>
        <v>29881988.2689546</v>
      </c>
      <c r="K31" s="52" t="n">
        <f aca="false">(K30)*(1+B2Ret)</f>
        <v>0</v>
      </c>
      <c r="L31" s="52" t="n">
        <f aca="false">(L30)*(1+B3Ret)</f>
        <v>59484694.4456177</v>
      </c>
      <c r="M31" s="52" t="n">
        <f aca="false">(M30)*(1+B1Ret)-($D$9*12*(1+Inflation)^(A31-1))</f>
        <v>16733913.4306146</v>
      </c>
      <c r="N31" s="52" t="n">
        <f aca="false">(N30)*(1+B2Ret)</f>
        <v>0</v>
      </c>
      <c r="O31" s="52" t="n">
        <f aca="false">(O30)*(1+B3Ret)</f>
        <v>158392038.190663</v>
      </c>
    </row>
    <row r="32" customFormat="false" ht="15" hidden="false" customHeight="false" outlineLevel="0" collapsed="false">
      <c r="A32" s="46" t="n">
        <v>19</v>
      </c>
      <c r="B32" s="46" t="n">
        <f aca="false">Age+A32-1</f>
        <v>80</v>
      </c>
      <c r="C32" s="47" t="n">
        <f aca="false">J32+K32+L32</f>
        <v>87861941.4552195</v>
      </c>
      <c r="D32" s="47" t="n">
        <f aca="false">C32/(1+Inflation)^A32</f>
        <v>24294558.9668787</v>
      </c>
      <c r="E32" s="52" t="str">
        <f aca="false">IF(C32&gt;0,"OK","OUT OF MONEY")</f>
        <v>OK</v>
      </c>
      <c r="F32" s="47" t="n">
        <f aca="false">M32+N32+O32</f>
        <v>188042163.539163</v>
      </c>
      <c r="G32" s="47" t="n">
        <f aca="false">F32/(1+Inflation)^A32</f>
        <v>51995225.1759656</v>
      </c>
      <c r="H32" s="52" t="str">
        <f aca="false">IF(F32&gt;0,"OK","OUT OF MONEY")</f>
        <v>OK</v>
      </c>
      <c r="I32" s="52"/>
      <c r="J32" s="52" t="n">
        <f aca="false">(J31)*(1+B1Ret)-($D$8*12*(1+Inflation)^(A32-1))</f>
        <v>21833930.6205839</v>
      </c>
      <c r="K32" s="52" t="n">
        <f aca="false">(K31)*(1+B2Ret)</f>
        <v>0</v>
      </c>
      <c r="L32" s="52" t="n">
        <f aca="false">(L31)*(1+B3Ret)</f>
        <v>66028010.8346357</v>
      </c>
      <c r="M32" s="52" t="n">
        <f aca="false">(M31)*(1+B1Ret)-($D$9*12*(1+Inflation)^(A32-1))</f>
        <v>12227001.147527</v>
      </c>
      <c r="N32" s="52" t="n">
        <f aca="false">(N31)*(1+B2Ret)</f>
        <v>0</v>
      </c>
      <c r="O32" s="52" t="n">
        <f aca="false">(O31)*(1+B3Ret)</f>
        <v>175815162.391636</v>
      </c>
    </row>
    <row r="33" customFormat="false" ht="15" hidden="false" customHeight="false" outlineLevel="0" collapsed="false">
      <c r="A33" s="46" t="n">
        <v>20</v>
      </c>
      <c r="B33" s="46" t="n">
        <f aca="false">Age+A33-1</f>
        <v>81</v>
      </c>
      <c r="C33" s="47" t="n">
        <f aca="false">J33+K33+L33</f>
        <v>85803815.1853689</v>
      </c>
      <c r="D33" s="47" t="n">
        <f aca="false">C33/(1+Inflation)^A33</f>
        <v>22173336.3578285</v>
      </c>
      <c r="E33" s="52" t="str">
        <f aca="false">IF(C33&gt;0,"OK","OUT OF MONEY")</f>
        <v>OK</v>
      </c>
      <c r="F33" s="47" t="n">
        <f aca="false">M33+N33+O33</f>
        <v>202161955.223713</v>
      </c>
      <c r="G33" s="47" t="n">
        <f aca="false">F33/(1+Inflation)^A33</f>
        <v>52242490.8758139</v>
      </c>
      <c r="H33" s="52" t="str">
        <f aca="false">IF(F33&gt;0,"OK","OUT OF MONEY")</f>
        <v>OK</v>
      </c>
      <c r="I33" s="52"/>
      <c r="J33" s="52" t="n">
        <f aca="false">((J32)*(1+B1Ret)-($D$8*12*(1+Inflation)^(A33-1)))+(MIN(MAX(($D$8*12*(1+Inflation)^(20+1-1)+$D$8*12*(1+Inflation)^(20+2-1)+$D$8*12*(1+Inflation)^(20+3-1)+$D$8*12*(1+Inflation)^(20+4-1)+$D$8*12*(1+Inflation)^(20+5-1))-((J32)*(1+B1Ret)-($D$8*12*(1+Inflation)^(A33-1))),0),(((K32)*(1+B2Ret))+(MIN(MAX(($D$8*12*(1+Inflation)^(20+1-1)+$D$8*12*(1+Inflation)^(20+2-1)+$D$8*12*(1+Inflation)^(20+3-1)+$D$8*12*(1+Inflation)^(20+4-1)+$D$8*12*(1+Inflation)^(20+5-1))-((J32)*(1+B1Ret)-($D$8*12*(1+Inflation)^(A33-1))),0),((L32)*(1+B3Ret)))))))</f>
        <v>66760636.1844305</v>
      </c>
      <c r="K33" s="52" t="n">
        <f aca="false">(((K32)*(1+B2Ret))+(MIN(MAX(($D$8*12*(1+Inflation)^(20+1-1)+$D$8*12*(1+Inflation)^(20+2-1)+$D$8*12*(1+Inflation)^(20+3-1)+$D$8*12*(1+Inflation)^(20+4-1)+$D$8*12*(1+Inflation)^(20+5-1))-((J32)*(1+B1Ret)-($D$8*12*(1+Inflation)^(A33-1))),0),((L32)*(1+B3Ret)))))-(MIN(MAX(($D$8*12*(1+Inflation)^(20+1-1)+$D$8*12*(1+Inflation)^(20+2-1)+$D$8*12*(1+Inflation)^(20+3-1)+$D$8*12*(1+Inflation)^(20+4-1)+$D$8*12*(1+Inflation)^(20+5-1))-((J32)*(1+B1Ret)-($D$8*12*(1+Inflation)^(A33-1))),0),(((K32)*(1+B2Ret))+(MIN(MAX(($D$8*12*(1+Inflation)^(20+1-1)+$D$8*12*(1+Inflation)^(20+2-1)+$D$8*12*(1+Inflation)^(20+3-1)+$D$8*12*(1+Inflation)^(20+4-1)+$D$8*12*(1+Inflation)^(20+5-1))-((J32)*(1+B1Ret)-($D$8*12*(1+Inflation)^(A33-1))),0),((L32)*(1+B3Ret)))))))</f>
        <v>0</v>
      </c>
      <c r="L33" s="52" t="n">
        <f aca="false">((L32)*(1+B3Ret))-(MIN(MAX(($D$8*12*(1+Inflation)^(20+1-1)+$D$8*12*(1+Inflation)^(20+2-1)+$D$8*12*(1+Inflation)^(20+3-1)+$D$8*12*(1+Inflation)^(20+4-1)+$D$8*12*(1+Inflation)^(20+5-1))-((J32)*(1+B1Ret)-($D$8*12*(1+Inflation)^(A33-1))),0),((L32)*(1+B3Ret))))</f>
        <v>19043179.0009383</v>
      </c>
      <c r="M33" s="52" t="n">
        <f aca="false">((M32)*(1+B1Ret)-($D$9*12*(1+Inflation)^(A33-1)))+(MIN(MAX(($D$9*12*(1+Inflation)^(20+1-1)+$D$9*12*(1+Inflation)^(20+2-1)+$D$9*12*(1+Inflation)^(20+3-1)+$D$9*12*(1+Inflation)^(20+4-1)+$D$9*12*(1+Inflation)^(20+5-1))-((M32)*(1+B1Ret)-($D$9*12*(1+Inflation)^(A33-1))),0),(((N32)*(1+B2Ret))+(MIN(MAX(($D$9*12*(1+Inflation)^(20+1-1)+$D$9*12*(1+Inflation)^(20+2-1)+$D$9*12*(1+Inflation)^(20+3-1)+$D$9*12*(1+Inflation)^(20+4-1)+$D$9*12*(1+Inflation)^(20+5-1))-((M32)*(1+B1Ret)-($D$9*12*(1+Inflation)^(A33-1))),0),((O32)*(1+B3Ret)))))))</f>
        <v>37385956.2632811</v>
      </c>
      <c r="N33" s="52" t="n">
        <f aca="false">(((N32)*(1+B2Ret))+(MIN(MAX(($D$9*12*(1+Inflation)^(20+1-1)+$D$9*12*(1+Inflation)^(20+2-1)+$D$9*12*(1+Inflation)^(20+3-1)+$D$9*12*(1+Inflation)^(20+4-1)+$D$9*12*(1+Inflation)^(20+5-1))-((M32)*(1+B1Ret)-($D$9*12*(1+Inflation)^(A33-1))),0),((O32)*(1+B3Ret)))))-(MIN(MAX(($D$9*12*(1+Inflation)^(20+1-1)+$D$9*12*(1+Inflation)^(20+2-1)+$D$9*12*(1+Inflation)^(20+3-1)+$D$9*12*(1+Inflation)^(20+4-1)+$D$9*12*(1+Inflation)^(20+5-1))-((M32)*(1+B1Ret)-($D$9*12*(1+Inflation)^(A33-1))),0),(((N32)*(1+B2Ret))+(MIN(MAX(($D$9*12*(1+Inflation)^(20+1-1)+$D$9*12*(1+Inflation)^(20+2-1)+$D$9*12*(1+Inflation)^(20+3-1)+$D$9*12*(1+Inflation)^(20+4-1)+$D$9*12*(1+Inflation)^(20+5-1))-((M32)*(1+B1Ret)-($D$9*12*(1+Inflation)^(A33-1))),0),((O32)*(1+B3Ret)))))))</f>
        <v>0</v>
      </c>
      <c r="O33" s="52" t="n">
        <f aca="false">((O32)*(1+B3Ret))-(MIN(MAX(($D$9*12*(1+Inflation)^(20+1-1)+$D$9*12*(1+Inflation)^(20+2-1)+$D$9*12*(1+Inflation)^(20+3-1)+$D$9*12*(1+Inflation)^(20+4-1)+$D$9*12*(1+Inflation)^(20+5-1))-((M32)*(1+B1Ret)-($D$9*12*(1+Inflation)^(A33-1))),0),((O32)*(1+B3Ret))))</f>
        <v>164775998.960432</v>
      </c>
    </row>
    <row r="34" customFormat="false" ht="15" hidden="false" customHeight="false" outlineLevel="0" collapsed="false">
      <c r="A34" s="46" t="n">
        <v>21</v>
      </c>
      <c r="B34" s="46" t="n">
        <f aca="false">Age+A34-1</f>
        <v>82</v>
      </c>
      <c r="C34" s="47" t="n">
        <f aca="false">J34+K34+L34</f>
        <v>80962756.0209237</v>
      </c>
      <c r="D34" s="47" t="n">
        <f aca="false">C34/(1+Inflation)^A34</f>
        <v>19553565.1177473</v>
      </c>
      <c r="E34" s="52" t="str">
        <f aca="false">IF(C34&gt;0,"OK","OUT OF MONEY")</f>
        <v>OK</v>
      </c>
      <c r="F34" s="47" t="n">
        <f aca="false">M34+N34+O34</f>
        <v>216403262.150814</v>
      </c>
      <c r="G34" s="47" t="n">
        <f aca="false">F34/(1+Inflation)^A34</f>
        <v>52264219.8230668</v>
      </c>
      <c r="H34" s="52" t="str">
        <f aca="false">IF(F34&gt;0,"OK","OUT OF MONEY")</f>
        <v>OK</v>
      </c>
      <c r="I34" s="52"/>
      <c r="J34" s="52" t="n">
        <f aca="false">(J33)*(1+B1Ret)-($D$8*12*(1+Inflation)^(A34-1))</f>
        <v>59824827.3298821</v>
      </c>
      <c r="K34" s="52" t="n">
        <f aca="false">(K33)*(1+B2Ret)</f>
        <v>0</v>
      </c>
      <c r="L34" s="52" t="n">
        <f aca="false">(L33)*(1+B3Ret)</f>
        <v>21137928.6910415</v>
      </c>
      <c r="M34" s="52" t="n">
        <f aca="false">(M33)*(1+B1Ret)-($D$9*12*(1+Inflation)^(A34-1))</f>
        <v>33501903.304734</v>
      </c>
      <c r="N34" s="52" t="n">
        <f aca="false">(N33)*(1+B2Ret)</f>
        <v>0</v>
      </c>
      <c r="O34" s="52" t="n">
        <f aca="false">(O33)*(1+B3Ret)</f>
        <v>182901358.84608</v>
      </c>
    </row>
    <row r="35" customFormat="false" ht="15" hidden="false" customHeight="false" outlineLevel="0" collapsed="false">
      <c r="A35" s="46" t="n">
        <v>22</v>
      </c>
      <c r="B35" s="46" t="n">
        <f aca="false">Age+A35-1</f>
        <v>83</v>
      </c>
      <c r="C35" s="47" t="n">
        <f aca="false">J35+K35+L35</f>
        <v>75053978.9654494</v>
      </c>
      <c r="D35" s="47" t="n">
        <f aca="false">C35/(1+Inflation)^A35</f>
        <v>16940671.1515979</v>
      </c>
      <c r="E35" s="52" t="str">
        <f aca="false">IF(C35&gt;0,"OK","OUT OF MONEY")</f>
        <v>OK</v>
      </c>
      <c r="F35" s="47" t="n">
        <f aca="false">M35+N35+O35</f>
        <v>231911400.065449</v>
      </c>
      <c r="G35" s="47" t="n">
        <f aca="false">F35/(1+Inflation)^A35</f>
        <v>52345456.1499532</v>
      </c>
      <c r="H35" s="52" t="str">
        <f aca="false">IF(F35&gt;0,"OK","OUT OF MONEY")</f>
        <v>OK</v>
      </c>
      <c r="I35" s="52"/>
      <c r="J35" s="52" t="n">
        <f aca="false">(J34)*(1+B1Ret)-($D$8*12*(1+Inflation)^(A35-1))</f>
        <v>51590878.1183932</v>
      </c>
      <c r="K35" s="52" t="n">
        <f aca="false">(K34)*(1+B2Ret)</f>
        <v>0</v>
      </c>
      <c r="L35" s="52" t="n">
        <f aca="false">(L34)*(1+B3Ret)</f>
        <v>23463100.8470561</v>
      </c>
      <c r="M35" s="52" t="n">
        <f aca="false">(M34)*(1+B1Ret)-($D$9*12*(1+Inflation)^(A35-1))</f>
        <v>28890891.7463002</v>
      </c>
      <c r="N35" s="52" t="n">
        <f aca="false">(N34)*(1+B2Ret)</f>
        <v>0</v>
      </c>
      <c r="O35" s="52" t="n">
        <f aca="false">(O34)*(1+B3Ret)</f>
        <v>203020508.319149</v>
      </c>
    </row>
    <row r="36" customFormat="false" ht="15" hidden="false" customHeight="false" outlineLevel="0" collapsed="false">
      <c r="A36" s="46" t="n">
        <v>23</v>
      </c>
      <c r="B36" s="46" t="n">
        <f aca="false">Age+A36-1</f>
        <v>84</v>
      </c>
      <c r="C36" s="47" t="n">
        <f aca="false">J36+K36+L36</f>
        <v>67955076.3036118</v>
      </c>
      <c r="D36" s="47" t="n">
        <f aca="false">C36/(1+Inflation)^A36</f>
        <v>14334911.553733</v>
      </c>
      <c r="E36" s="52" t="str">
        <f aca="false">IF(C36&gt;0,"OK","OUT OF MONEY")</f>
        <v>OK</v>
      </c>
      <c r="F36" s="47" t="n">
        <f aca="false">M36+N36+O36</f>
        <v>248822943.477747</v>
      </c>
      <c r="G36" s="47" t="n">
        <f aca="false">F36/(1+Inflation)^A36</f>
        <v>52488424.4314126</v>
      </c>
      <c r="H36" s="52" t="str">
        <f aca="false">IF(F36&gt;0,"OK","OUT OF MONEY")</f>
        <v>OK</v>
      </c>
      <c r="I36" s="52"/>
      <c r="J36" s="52" t="n">
        <f aca="false">(J35)*(1+B1Ret)-($D$8*12*(1+Inflation)^(A36-1))</f>
        <v>41911034.3633795</v>
      </c>
      <c r="K36" s="52" t="n">
        <f aca="false">(K35)*(1+B2Ret)</f>
        <v>0</v>
      </c>
      <c r="L36" s="52" t="n">
        <f aca="false">(L35)*(1+B3Ret)</f>
        <v>26044041.9402323</v>
      </c>
      <c r="M36" s="52" t="n">
        <f aca="false">(M35)*(1+B1Ret)-($D$9*12*(1+Inflation)^(A36-1))</f>
        <v>23470179.2434925</v>
      </c>
      <c r="N36" s="52" t="n">
        <f aca="false">(N35)*(1+B2Ret)</f>
        <v>0</v>
      </c>
      <c r="O36" s="52" t="n">
        <f aca="false">(O35)*(1+B3Ret)</f>
        <v>225352764.234255</v>
      </c>
    </row>
    <row r="37" customFormat="false" ht="15" hidden="false" customHeight="false" outlineLevel="0" collapsed="false">
      <c r="A37" s="46" t="n">
        <v>24</v>
      </c>
      <c r="B37" s="46" t="n">
        <f aca="false">Age+A37-1</f>
        <v>85</v>
      </c>
      <c r="C37" s="47" t="n">
        <f aca="false">J37+K37+L37</f>
        <v>59532103.7335415</v>
      </c>
      <c r="D37" s="47" t="n">
        <f aca="false">C37/(1+Inflation)^A37</f>
        <v>11736553.0295088</v>
      </c>
      <c r="E37" s="52" t="str">
        <f aca="false">IF(C37&gt;0,"OK","OUT OF MONEY")</f>
        <v>OK</v>
      </c>
      <c r="F37" s="47" t="n">
        <f aca="false">M37+N37+O37</f>
        <v>267290569.920758</v>
      </c>
      <c r="G37" s="47" t="n">
        <f aca="false">F37/(1+Inflation)^A37</f>
        <v>52695432.4040648</v>
      </c>
      <c r="H37" s="52" t="str">
        <f aca="false">IF(F37&gt;0,"OK","OUT OF MONEY")</f>
        <v>OK</v>
      </c>
      <c r="I37" s="52"/>
      <c r="J37" s="52" t="n">
        <f aca="false">(J36)*(1+B1Ret)-($D$8*12*(1+Inflation)^(A37-1))</f>
        <v>30623217.1798836</v>
      </c>
      <c r="K37" s="52" t="n">
        <f aca="false">(K36)*(1+B2Ret)</f>
        <v>0</v>
      </c>
      <c r="L37" s="52" t="n">
        <f aca="false">(L36)*(1+B3Ret)</f>
        <v>28908886.5536578</v>
      </c>
      <c r="M37" s="52" t="n">
        <f aca="false">(M36)*(1+B1Ret)-($D$9*12*(1+Inflation)^(A37-1))</f>
        <v>17149001.6207349</v>
      </c>
      <c r="N37" s="52" t="n">
        <f aca="false">(N36)*(1+B2Ret)</f>
        <v>0</v>
      </c>
      <c r="O37" s="52" t="n">
        <f aca="false">(O36)*(1+B3Ret)</f>
        <v>250141568.300023</v>
      </c>
    </row>
    <row r="38" customFormat="false" ht="15" hidden="false" customHeight="false" outlineLevel="0" collapsed="false">
      <c r="A38" s="46" t="n">
        <v>25</v>
      </c>
      <c r="B38" s="46" t="n">
        <f aca="false">Age+A38-1</f>
        <v>86</v>
      </c>
      <c r="C38" s="47" t="n">
        <f aca="false">J38+K38+L38</f>
        <v>49638605.5968781</v>
      </c>
      <c r="D38" s="47" t="n">
        <f aca="false">C38/(1+Inflation)^A38</f>
        <v>9145872.25457561</v>
      </c>
      <c r="E38" s="52" t="str">
        <f aca="false">IF(C38&gt;0,"OK","OUT OF MONEY")</f>
        <v>OK</v>
      </c>
      <c r="F38" s="47" t="n">
        <f aca="false">M38+N38+O38</f>
        <v>287484996.065524</v>
      </c>
      <c r="G38" s="47" t="n">
        <f aca="false">F38/(1+Inflation)^A38</f>
        <v>52968874.075057</v>
      </c>
      <c r="H38" s="52" t="str">
        <f aca="false">IF(F38&gt;0,"OK","OUT OF MONEY")</f>
        <v>OK</v>
      </c>
      <c r="I38" s="52"/>
      <c r="J38" s="52" t="n">
        <f aca="false">((J37)*(1+B1Ret)-($D$8*12*(1+Inflation)^(A38-1)))+(MIN(MAX(($D$8*12*(1+Inflation)^(25+1-1)+$D$8*12*(1+Inflation)^(25+2-1)+$D$8*12*(1+Inflation)^(25+3-1)+$D$8*12*(1+Inflation)^(25+4-1)+$D$8*12*(1+Inflation)^(25+5-1))-((J37)*(1+B1Ret)-($D$8*12*(1+Inflation)^(A38-1))),0),(((K37)*(1+B2Ret))+(MIN(MAX(($D$8*12*(1+Inflation)^(25+1-1)+$D$8*12*(1+Inflation)^(25+2-1)+$D$8*12*(1+Inflation)^(25+3-1)+$D$8*12*(1+Inflation)^(25+4-1)+$D$8*12*(1+Inflation)^(25+5-1))-((J37)*(1+B1Ret)-($D$8*12*(1+Inflation)^(A38-1))),0),((L37)*(1+B3Ret)))))))</f>
        <v>49638605.5968781</v>
      </c>
      <c r="K38" s="52" t="n">
        <f aca="false">(((K37)*(1+B2Ret))+(MIN(MAX(($D$8*12*(1+Inflation)^(25+1-1)+$D$8*12*(1+Inflation)^(25+2-1)+$D$8*12*(1+Inflation)^(25+3-1)+$D$8*12*(1+Inflation)^(25+4-1)+$D$8*12*(1+Inflation)^(25+5-1))-((J37)*(1+B1Ret)-($D$8*12*(1+Inflation)^(A38-1))),0),((L37)*(1+B3Ret)))))-(MIN(MAX(($D$8*12*(1+Inflation)^(25+1-1)+$D$8*12*(1+Inflation)^(25+2-1)+$D$8*12*(1+Inflation)^(25+3-1)+$D$8*12*(1+Inflation)^(25+4-1)+$D$8*12*(1+Inflation)^(25+5-1))-((J37)*(1+B1Ret)-($D$8*12*(1+Inflation)^(A38-1))),0),(((K37)*(1+B2Ret))+(MIN(MAX(($D$8*12*(1+Inflation)^(25+1-1)+$D$8*12*(1+Inflation)^(25+2-1)+$D$8*12*(1+Inflation)^(25+3-1)+$D$8*12*(1+Inflation)^(25+4-1)+$D$8*12*(1+Inflation)^(25+5-1))-((J37)*(1+B1Ret)-($D$8*12*(1+Inflation)^(A38-1))),0),((L37)*(1+B3Ret)))))))</f>
        <v>0</v>
      </c>
      <c r="L38" s="52" t="n">
        <f aca="false">((L37)*(1+B3Ret))-(MIN(MAX(($D$8*12*(1+Inflation)^(25+1-1)+$D$8*12*(1+Inflation)^(25+2-1)+$D$8*12*(1+Inflation)^(25+3-1)+$D$8*12*(1+Inflation)^(25+4-1)+$D$8*12*(1+Inflation)^(25+5-1))-((J37)*(1+B1Ret)-($D$8*12*(1+Inflation)^(A38-1))),0),((L37)*(1+B3Ret))))</f>
        <v>0</v>
      </c>
      <c r="M38" s="52" t="n">
        <f aca="false">((M37)*(1+B1Ret)-($D$9*12*(1+Inflation)^(A38-1)))+(MIN(MAX(($D$9*12*(1+Inflation)^(25+1-1)+$D$9*12*(1+Inflation)^(25+2-1)+$D$9*12*(1+Inflation)^(25+3-1)+$D$9*12*(1+Inflation)^(25+4-1)+$D$9*12*(1+Inflation)^(25+5-1))-((M37)*(1+B1Ret)-($D$9*12*(1+Inflation)^(A38-1))),0),(((N37)*(1+B2Ret))+(MIN(MAX(($D$9*12*(1+Inflation)^(25+1-1)+$D$9*12*(1+Inflation)^(25+2-1)+$D$9*12*(1+Inflation)^(25+3-1)+$D$9*12*(1+Inflation)^(25+4-1)+$D$9*12*(1+Inflation)^(25+5-1))-((M37)*(1+B1Ret)-($D$9*12*(1+Inflation)^(A38-1))),0),((O37)*(1+B3Ret)))))))</f>
        <v>52435737.6609394</v>
      </c>
      <c r="N38" s="52" t="n">
        <f aca="false">(((N37)*(1+B2Ret))+(MIN(MAX(($D$9*12*(1+Inflation)^(25+1-1)+$D$9*12*(1+Inflation)^(25+2-1)+$D$9*12*(1+Inflation)^(25+3-1)+$D$9*12*(1+Inflation)^(25+4-1)+$D$9*12*(1+Inflation)^(25+5-1))-((M37)*(1+B1Ret)-($D$9*12*(1+Inflation)^(A38-1))),0),((O37)*(1+B3Ret)))))-(MIN(MAX(($D$9*12*(1+Inflation)^(25+1-1)+$D$9*12*(1+Inflation)^(25+2-1)+$D$9*12*(1+Inflation)^(25+3-1)+$D$9*12*(1+Inflation)^(25+4-1)+$D$9*12*(1+Inflation)^(25+5-1))-((M37)*(1+B1Ret)-($D$9*12*(1+Inflation)^(A38-1))),0),(((N37)*(1+B2Ret))+(MIN(MAX(($D$9*12*(1+Inflation)^(25+1-1)+$D$9*12*(1+Inflation)^(25+2-1)+$D$9*12*(1+Inflation)^(25+3-1)+$D$9*12*(1+Inflation)^(25+4-1)+$D$9*12*(1+Inflation)^(25+5-1))-((M37)*(1+B1Ret)-($D$9*12*(1+Inflation)^(A38-1))),0),((O37)*(1+B3Ret)))))))</f>
        <v>0</v>
      </c>
      <c r="O38" s="52" t="n">
        <f aca="false">((O37)*(1+B3Ret))-(MIN(MAX(($D$9*12*(1+Inflation)^(25+1-1)+$D$9*12*(1+Inflation)^(25+2-1)+$D$9*12*(1+Inflation)^(25+3-1)+$D$9*12*(1+Inflation)^(25+4-1)+$D$9*12*(1+Inflation)^(25+5-1))-((M37)*(1+B1Ret)-($D$9*12*(1+Inflation)^(A38-1))),0),((O37)*(1+B3Ret))))</f>
        <v>235049258.404584</v>
      </c>
    </row>
    <row r="39" customFormat="false" ht="15" hidden="false" customHeight="false" outlineLevel="0" collapsed="false">
      <c r="A39" s="46" t="n">
        <v>26</v>
      </c>
      <c r="B39" s="46" t="n">
        <f aca="false">Age+A39-1</f>
        <v>87</v>
      </c>
      <c r="C39" s="47" t="n">
        <f aca="false">J39+K39+L39</f>
        <v>36831010.0682908</v>
      </c>
      <c r="D39" s="47" t="n">
        <f aca="false">C39/(1+Inflation)^A39</f>
        <v>6342133.9368186</v>
      </c>
      <c r="E39" s="52" t="str">
        <f aca="false">IF(C39&gt;0,"OK","OUT OF MONEY")</f>
        <v>OK</v>
      </c>
      <c r="F39" s="47" t="n">
        <f aca="false">M39+N39+O39</f>
        <v>307892829.290887</v>
      </c>
      <c r="G39" s="47" t="n">
        <f aca="false">F39/(1+Inflation)^A39</f>
        <v>53017757.534431</v>
      </c>
      <c r="H39" s="52" t="str">
        <f aca="false">IF(F39&gt;0,"OK","OUT OF MONEY")</f>
        <v>OK</v>
      </c>
      <c r="I39" s="52"/>
      <c r="J39" s="52" t="n">
        <f aca="false">(J38)*(1+B1Ret)-($D$8*12*(1+Inflation)^(A39-1))</f>
        <v>36831010.0682908</v>
      </c>
      <c r="K39" s="52" t="n">
        <f aca="false">(K38)*(1+B2Ret)</f>
        <v>0</v>
      </c>
      <c r="L39" s="52" t="n">
        <f aca="false">(L38)*(1+B3Ret)</f>
        <v>0</v>
      </c>
      <c r="M39" s="52" t="n">
        <f aca="false">(M38)*(1+B1Ret)-($D$9*12*(1+Inflation)^(A39-1))</f>
        <v>46988152.4617987</v>
      </c>
      <c r="N39" s="52" t="n">
        <f aca="false">(N38)*(1+B2Ret)</f>
        <v>0</v>
      </c>
      <c r="O39" s="52" t="n">
        <f aca="false">(O38)*(1+B3Ret)</f>
        <v>260904676.829088</v>
      </c>
    </row>
    <row r="40" customFormat="false" ht="15" hidden="false" customHeight="false" outlineLevel="0" collapsed="false">
      <c r="A40" s="46" t="n">
        <v>27</v>
      </c>
      <c r="B40" s="46" t="n">
        <f aca="false">Age+A40-1</f>
        <v>88</v>
      </c>
      <c r="C40" s="47" t="n">
        <f aca="false">J40+K40+L40</f>
        <v>21987121.9982767</v>
      </c>
      <c r="D40" s="47" t="n">
        <f aca="false">C40/(1+Inflation)^A40</f>
        <v>3538395.61906159</v>
      </c>
      <c r="E40" s="52" t="str">
        <f aca="false">IF(C40&gt;0,"OK","OUT OF MONEY")</f>
        <v>OK</v>
      </c>
      <c r="F40" s="47" t="n">
        <f aca="false">M40+N40+O40</f>
        <v>330125161.500528</v>
      </c>
      <c r="G40" s="47" t="n">
        <f aca="false">F40/(1+Inflation)^A40</f>
        <v>53127163.4953871</v>
      </c>
      <c r="H40" s="52" t="str">
        <f aca="false">IF(F40&gt;0,"OK","OUT OF MONEY")</f>
        <v>OK</v>
      </c>
      <c r="I40" s="52"/>
      <c r="J40" s="52" t="n">
        <f aca="false">(J39)*(1+B1Ret)-($D$8*12*(1+Inflation)^(A40-1))</f>
        <v>21987121.9982767</v>
      </c>
      <c r="K40" s="52" t="n">
        <f aca="false">(K39)*(1+B2Ret)</f>
        <v>0</v>
      </c>
      <c r="L40" s="52" t="n">
        <f aca="false">(L39)*(1+B3Ret)</f>
        <v>0</v>
      </c>
      <c r="M40" s="52" t="n">
        <f aca="false">(M39)*(1+B1Ret)-($D$9*12*(1+Inflation)^(A40-1))</f>
        <v>40520970.2202397</v>
      </c>
      <c r="N40" s="52" t="n">
        <f aca="false">(N39)*(1+B2Ret)</f>
        <v>0</v>
      </c>
      <c r="O40" s="52" t="n">
        <f aca="false">(O39)*(1+B3Ret)</f>
        <v>289604191.280288</v>
      </c>
    </row>
    <row r="41" customFormat="false" ht="15" hidden="false" customHeight="false" outlineLevel="0" collapsed="false">
      <c r="A41" s="46" t="n">
        <v>28</v>
      </c>
      <c r="B41" s="46" t="n">
        <f aca="false">Age+A41-1</f>
        <v>89</v>
      </c>
      <c r="C41" s="47" t="n">
        <f aca="false">J41+K41+L41</f>
        <v>4884617.64912593</v>
      </c>
      <c r="D41" s="47" t="n">
        <f aca="false">C41/(1+Inflation)^A41</f>
        <v>734657.301304581</v>
      </c>
      <c r="E41" s="52" t="str">
        <f aca="false">IF(C41&gt;0,"OK","OUT OF MONEY")</f>
        <v>OK</v>
      </c>
      <c r="F41" s="47" t="n">
        <f aca="false">M41+N41+O41</f>
        <v>354378792.83892</v>
      </c>
      <c r="G41" s="47" t="n">
        <f aca="false">F41/(1+Inflation)^A41</f>
        <v>53299354.4813488</v>
      </c>
      <c r="H41" s="52" t="str">
        <f aca="false">IF(F41&gt;0,"OK","OUT OF MONEY")</f>
        <v>OK</v>
      </c>
      <c r="I41" s="52"/>
      <c r="J41" s="52" t="n">
        <f aca="false">(J40)*(1+B1Ret)-($D$8*12*(1+Inflation)^(A41-1))</f>
        <v>4884617.64912593</v>
      </c>
      <c r="K41" s="52" t="n">
        <f aca="false">(K40)*(1+B2Ret)</f>
        <v>0</v>
      </c>
      <c r="L41" s="52" t="n">
        <f aca="false">(L40)*(1+B3Ret)</f>
        <v>0</v>
      </c>
      <c r="M41" s="52" t="n">
        <f aca="false">(M40)*(1+B1Ret)-($D$9*12*(1+Inflation)^(A41-1))</f>
        <v>32918140.5177996</v>
      </c>
      <c r="N41" s="52" t="n">
        <f aca="false">(N40)*(1+B2Ret)</f>
        <v>0</v>
      </c>
      <c r="O41" s="52" t="n">
        <f aca="false">(O40)*(1+B3Ret)</f>
        <v>321460652.32112</v>
      </c>
    </row>
    <row r="42" customFormat="false" ht="15" hidden="false" customHeight="false" outlineLevel="0" collapsed="false">
      <c r="A42" s="46" t="n">
        <v>29</v>
      </c>
      <c r="B42" s="46" t="n">
        <f aca="false">Age+A42-1</f>
        <v>90</v>
      </c>
      <c r="C42" s="47" t="n">
        <f aca="false">J42+K42+L42</f>
        <v>-14719974.2066975</v>
      </c>
      <c r="D42" s="47" t="n">
        <f aca="false">C42/(1+Inflation)^A42</f>
        <v>-2069081.01645243</v>
      </c>
      <c r="E42" s="52" t="str">
        <f aca="false">IF(C42&gt;0,"OK","OUT OF MONEY")</f>
        <v>OUT OF MONEY</v>
      </c>
      <c r="F42" s="47" t="n">
        <f aca="false">M42+N42+O42</f>
        <v>380873685.979382</v>
      </c>
      <c r="G42" s="47" t="n">
        <f aca="false">F42/(1+Inflation)^A42</f>
        <v>53536677.5960546</v>
      </c>
      <c r="H42" s="52" t="str">
        <f aca="false">IF(F42&gt;0,"OK","OUT OF MONEY")</f>
        <v>OK</v>
      </c>
      <c r="I42" s="52"/>
      <c r="J42" s="52" t="n">
        <f aca="false">(J41)*(1+B1Ret)-($D$8*12*(1+Inflation)^(A42-1))</f>
        <v>-14719974.2066975</v>
      </c>
      <c r="K42" s="52" t="n">
        <f aca="false">(K41)*(1+B2Ret)</f>
        <v>0</v>
      </c>
      <c r="L42" s="52" t="n">
        <f aca="false">(L41)*(1+B3Ret)</f>
        <v>0</v>
      </c>
      <c r="M42" s="52" t="n">
        <f aca="false">(M41)*(1+B1Ret)-($D$9*12*(1+Inflation)^(A42-1))</f>
        <v>24052361.9029388</v>
      </c>
      <c r="N42" s="52" t="n">
        <f aca="false">(N41)*(1+B2Ret)</f>
        <v>0</v>
      </c>
      <c r="O42" s="52" t="n">
        <f aca="false">(O41)*(1+B3Ret)</f>
        <v>356821324.076443</v>
      </c>
    </row>
    <row r="43" customFormat="false" ht="15" hidden="false" customHeight="false" outlineLevel="0" collapsed="false">
      <c r="A43" s="46" t="n">
        <v>30</v>
      </c>
      <c r="B43" s="46" t="n">
        <f aca="false">Age+A43-1</f>
        <v>91</v>
      </c>
      <c r="C43" s="47" t="n">
        <f aca="false">J43+K43+L43</f>
        <v>-37093143.5488169</v>
      </c>
      <c r="D43" s="47" t="n">
        <f aca="false">C43/(1+Inflation)^A43</f>
        <v>-4872819.33420944</v>
      </c>
      <c r="E43" s="52" t="str">
        <f aca="false">IF(C43&gt;0,"OK","OUT OF MONEY")</f>
        <v>OUT OF MONEY</v>
      </c>
      <c r="F43" s="47" t="n">
        <f aca="false">M43+N43+O43</f>
        <v>409855745.118312</v>
      </c>
      <c r="G43" s="47" t="n">
        <f aca="false">F43/(1+Inflation)^A43</f>
        <v>53841567.6854389</v>
      </c>
      <c r="H43" s="52" t="str">
        <f aca="false">IF(F43&gt;0,"OK","OUT OF MONEY")</f>
        <v>OK</v>
      </c>
      <c r="I43" s="52"/>
      <c r="J43" s="52" t="n">
        <f aca="false">((J42)*(1+B1Ret)-($D$8*12*(1+Inflation)^(A43-1)))+(MIN(MAX(($D$8*12*(1+Inflation)^(30+1-1)+$D$8*12*(1+Inflation)^(30+2-1)+$D$8*12*(1+Inflation)^(30+3-1)+$D$8*12*(1+Inflation)^(30+4-1)+$D$8*12*(1+Inflation)^(30+5-1))-((J42)*(1+B1Ret)-($D$8*12*(1+Inflation)^(A43-1))),0),(((K42)*(1+B2Ret))+(MIN(MAX(($D$8*12*(1+Inflation)^(30+1-1)+$D$8*12*(1+Inflation)^(30+2-1)+$D$8*12*(1+Inflation)^(30+3-1)+$D$8*12*(1+Inflation)^(30+4-1)+$D$8*12*(1+Inflation)^(30+5-1))-((J42)*(1+B1Ret)-($D$8*12*(1+Inflation)^(A43-1))),0),((L42)*(1+B3Ret)))))))</f>
        <v>-37093143.5488169</v>
      </c>
      <c r="K43" s="52" t="n">
        <f aca="false">(((K42)*(1+B2Ret))+(MIN(MAX(($D$8*12*(1+Inflation)^(30+1-1)+$D$8*12*(1+Inflation)^(30+2-1)+$D$8*12*(1+Inflation)^(30+3-1)+$D$8*12*(1+Inflation)^(30+4-1)+$D$8*12*(1+Inflation)^(30+5-1))-((J42)*(1+B1Ret)-($D$8*12*(1+Inflation)^(A43-1))),0),((L42)*(1+B3Ret)))))-(MIN(MAX(($D$8*12*(1+Inflation)^(30+1-1)+$D$8*12*(1+Inflation)^(30+2-1)+$D$8*12*(1+Inflation)^(30+3-1)+$D$8*12*(1+Inflation)^(30+4-1)+$D$8*12*(1+Inflation)^(30+5-1))-((J42)*(1+B1Ret)-($D$8*12*(1+Inflation)^(A43-1))),0),(((K42)*(1+B2Ret))+(MIN(MAX(($D$8*12*(1+Inflation)^(30+1-1)+$D$8*12*(1+Inflation)^(30+2-1)+$D$8*12*(1+Inflation)^(30+3-1)+$D$8*12*(1+Inflation)^(30+4-1)+$D$8*12*(1+Inflation)^(30+5-1))-((J42)*(1+B1Ret)-($D$8*12*(1+Inflation)^(A43-1))),0),((L42)*(1+B3Ret)))))))</f>
        <v>0</v>
      </c>
      <c r="L43" s="52" t="n">
        <f aca="false">((L42)*(1+B3Ret))-(MIN(MAX(($D$8*12*(1+Inflation)^(30+1-1)+$D$8*12*(1+Inflation)^(30+2-1)+$D$8*12*(1+Inflation)^(30+3-1)+$D$8*12*(1+Inflation)^(30+4-1)+$D$8*12*(1+Inflation)^(30+5-1))-((J42)*(1+B1Ret)-($D$8*12*(1+Inflation)^(A43-1))),0),((L42)*(1+B3Ret))))</f>
        <v>0</v>
      </c>
      <c r="M43" s="52" t="n">
        <f aca="false">((M42)*(1+B1Ret)-($D$9*12*(1+Inflation)^(A43-1)))+(MIN(MAX(($D$9*12*(1+Inflation)^(30+1-1)+$D$9*12*(1+Inflation)^(30+2-1)+$D$9*12*(1+Inflation)^(30+3-1)+$D$9*12*(1+Inflation)^(30+4-1)+$D$9*12*(1+Inflation)^(30+5-1))-((M42)*(1+B1Ret)-($D$9*12*(1+Inflation)^(A43-1))),0),(((N42)*(1+B2Ret))+(MIN(MAX(($D$9*12*(1+Inflation)^(30+1-1)+$D$9*12*(1+Inflation)^(30+2-1)+$D$9*12*(1+Inflation)^(30+3-1)+$D$9*12*(1+Inflation)^(30+4-1)+$D$9*12*(1+Inflation)^(30+5-1))-((M42)*(1+B1Ret)-($D$9*12*(1+Inflation)^(A43-1))),0),((O42)*(1+B3Ret)))))))</f>
        <v>73543834.6068818</v>
      </c>
      <c r="N43" s="52" t="n">
        <f aca="false">(((N42)*(1+B2Ret))+(MIN(MAX(($D$9*12*(1+Inflation)^(30+1-1)+$D$9*12*(1+Inflation)^(30+2-1)+$D$9*12*(1+Inflation)^(30+3-1)+$D$9*12*(1+Inflation)^(30+4-1)+$D$9*12*(1+Inflation)^(30+5-1))-((M42)*(1+B1Ret)-($D$9*12*(1+Inflation)^(A43-1))),0),((O42)*(1+B3Ret)))))-(MIN(MAX(($D$9*12*(1+Inflation)^(30+1-1)+$D$9*12*(1+Inflation)^(30+2-1)+$D$9*12*(1+Inflation)^(30+3-1)+$D$9*12*(1+Inflation)^(30+4-1)+$D$9*12*(1+Inflation)^(30+5-1))-((M42)*(1+B1Ret)-($D$9*12*(1+Inflation)^(A43-1))),0),(((N42)*(1+B2Ret))+(MIN(MAX(($D$9*12*(1+Inflation)^(30+1-1)+$D$9*12*(1+Inflation)^(30+2-1)+$D$9*12*(1+Inflation)^(30+3-1)+$D$9*12*(1+Inflation)^(30+4-1)+$D$9*12*(1+Inflation)^(30+5-1))-((M42)*(1+B1Ret)-($D$9*12*(1+Inflation)^(A43-1))),0),((O42)*(1+B3Ret)))))))</f>
        <v>0</v>
      </c>
      <c r="O43" s="52" t="n">
        <f aca="false">((O42)*(1+B3Ret))-(MIN(MAX(($D$9*12*(1+Inflation)^(30+1-1)+$D$9*12*(1+Inflation)^(30+2-1)+$D$9*12*(1+Inflation)^(30+3-1)+$D$9*12*(1+Inflation)^(30+4-1)+$D$9*12*(1+Inflation)^(30+5-1))-((M42)*(1+B1Ret)-($D$9*12*(1+Inflation)^(A43-1))),0),((O42)*(1+B3Ret))))</f>
        <v>336311910.51143</v>
      </c>
    </row>
    <row r="44" customFormat="false" ht="15" hidden="false" customHeight="false" outlineLevel="0" collapsed="false">
      <c r="A44" s="46" t="n">
        <v>31</v>
      </c>
      <c r="B44" s="46" t="n">
        <f aca="false">Age+A44-1</f>
        <v>92</v>
      </c>
      <c r="C44" s="47" t="n">
        <f aca="false">J44+K44+L44</f>
        <v>-62526428.7252202</v>
      </c>
      <c r="D44" s="47" t="n">
        <f aca="false">C44/(1+Inflation)^A44</f>
        <v>-7676557.65196645</v>
      </c>
      <c r="E44" s="52" t="str">
        <f aca="false">IF(C44&gt;0,"OK","OUT OF MONEY")</f>
        <v>OUT OF MONEY</v>
      </c>
      <c r="F44" s="47" t="n">
        <f aca="false">M44+N44+O44</f>
        <v>439209535.225379</v>
      </c>
      <c r="G44" s="47" t="n">
        <f aca="false">F44/(1+Inflation)^A44</f>
        <v>53923075.2050142</v>
      </c>
      <c r="H44" s="52" t="str">
        <f aca="false">IF(F44&gt;0,"OK","OUT OF MONEY")</f>
        <v>OK</v>
      </c>
      <c r="I44" s="52"/>
      <c r="J44" s="52" t="n">
        <f aca="false">(J43)*(1+B1Ret)-($D$8*12*(1+Inflation)^(A44-1))</f>
        <v>-62526428.7252202</v>
      </c>
      <c r="K44" s="52" t="n">
        <f aca="false">(K43)*(1+B2Ret)</f>
        <v>0</v>
      </c>
      <c r="L44" s="52" t="n">
        <f aca="false">(L43)*(1+B3Ret)</f>
        <v>0</v>
      </c>
      <c r="M44" s="52" t="n">
        <f aca="false">(M43)*(1+B1Ret)-($D$9*12*(1+Inflation)^(A44-1))</f>
        <v>65903314.5576913</v>
      </c>
      <c r="N44" s="52" t="n">
        <f aca="false">(N43)*(1+B2Ret)</f>
        <v>0</v>
      </c>
      <c r="O44" s="52" t="n">
        <f aca="false">(O43)*(1+B3Ret)</f>
        <v>373306220.667688</v>
      </c>
    </row>
    <row r="45" customFormat="false" ht="15" hidden="false" customHeight="false" outlineLevel="0" collapsed="false">
      <c r="A45" s="46" t="n">
        <v>32</v>
      </c>
      <c r="B45" s="46" t="n">
        <f aca="false">Age+A45-1</f>
        <v>93</v>
      </c>
      <c r="C45" s="47" t="n">
        <f aca="false">J45+K45+L45</f>
        <v>-91338617.4229308</v>
      </c>
      <c r="D45" s="47" t="n">
        <f aca="false">C45/(1+Inflation)^A45</f>
        <v>-10480295.9697235</v>
      </c>
      <c r="E45" s="52" t="str">
        <f aca="false">IF(C45&gt;0,"OK","OUT OF MONEY")</f>
        <v>OUT OF MONEY</v>
      </c>
      <c r="F45" s="47" t="n">
        <f aca="false">M45+N45+O45</f>
        <v>471202661.853174</v>
      </c>
      <c r="G45" s="47" t="n">
        <f aca="false">F45/(1+Inflation)^A45</f>
        <v>54066324.817207</v>
      </c>
      <c r="H45" s="52" t="str">
        <f aca="false">IF(F45&gt;0,"OK","OUT OF MONEY")</f>
        <v>OK</v>
      </c>
      <c r="I45" s="52"/>
      <c r="J45" s="52" t="n">
        <f aca="false">(J44)*(1+B1Ret)-($D$8*12*(1+Inflation)^(A45-1))</f>
        <v>-91338617.4229308</v>
      </c>
      <c r="K45" s="52" t="n">
        <f aca="false">(K44)*(1+B2Ret)</f>
        <v>0</v>
      </c>
      <c r="L45" s="52" t="n">
        <f aca="false">(L44)*(1+B3Ret)</f>
        <v>0</v>
      </c>
      <c r="M45" s="52" t="n">
        <f aca="false">(M44)*(1+B1Ret)-($D$9*12*(1+Inflation)^(A45-1))</f>
        <v>56832756.9120404</v>
      </c>
      <c r="N45" s="52" t="n">
        <f aca="false">(N44)*(1+B2Ret)</f>
        <v>0</v>
      </c>
      <c r="O45" s="52" t="n">
        <f aca="false">(O44)*(1+B3Ret)</f>
        <v>414369904.941133</v>
      </c>
    </row>
    <row r="46" customFormat="false" ht="15" hidden="false" customHeight="false" outlineLevel="0" collapsed="false">
      <c r="A46" s="46" t="n">
        <v>33</v>
      </c>
      <c r="B46" s="46" t="n">
        <f aca="false">Age+A46-1</f>
        <v>94</v>
      </c>
      <c r="C46" s="47" t="n">
        <f aca="false">J46+K46+L46</f>
        <v>-123878133.037567</v>
      </c>
      <c r="D46" s="47" t="n">
        <f aca="false">C46/(1+Inflation)^A46</f>
        <v>-13284034.2874805</v>
      </c>
      <c r="E46" s="52" t="str">
        <f aca="false">IF(C46&gt;0,"OK","OUT OF MONEY")</f>
        <v>OUT OF MONEY</v>
      </c>
      <c r="F46" s="47" t="n">
        <f aca="false">M46+N46+O46</f>
        <v>506119989.439324</v>
      </c>
      <c r="G46" s="47" t="n">
        <f aca="false">F46/(1+Inflation)^A46</f>
        <v>54273624.6376293</v>
      </c>
      <c r="H46" s="52" t="str">
        <f aca="false">IF(F46&gt;0,"OK","OUT OF MONEY")</f>
        <v>OK</v>
      </c>
      <c r="I46" s="52"/>
      <c r="J46" s="52" t="n">
        <f aca="false">(J45)*(1+B1Ret)-($D$8*12*(1+Inflation)^(A46-1))</f>
        <v>-123878133.037567</v>
      </c>
      <c r="K46" s="52" t="n">
        <f aca="false">(K45)*(1+B2Ret)</f>
        <v>0</v>
      </c>
      <c r="L46" s="52" t="n">
        <f aca="false">(L45)*(1+B3Ret)</f>
        <v>0</v>
      </c>
      <c r="M46" s="52" t="n">
        <f aca="false">(M45)*(1+B1Ret)-($D$9*12*(1+Inflation)^(A46-1))</f>
        <v>46169394.9546657</v>
      </c>
      <c r="N46" s="52" t="n">
        <f aca="false">(N45)*(1+B2Ret)</f>
        <v>0</v>
      </c>
      <c r="O46" s="52" t="n">
        <f aca="false">(O45)*(1+B3Ret)</f>
        <v>459950594.484658</v>
      </c>
    </row>
    <row r="47" customFormat="false" ht="15" hidden="false" customHeight="false" outlineLevel="0" collapsed="false">
      <c r="A47" s="46" t="n">
        <v>34</v>
      </c>
      <c r="B47" s="46" t="n">
        <f aca="false">Age+A47-1</f>
        <v>95</v>
      </c>
      <c r="C47" s="47" t="n">
        <f aca="false">J47+K47+L47</f>
        <v>-160525621.612881</v>
      </c>
      <c r="D47" s="47" t="n">
        <f aca="false">C47/(1+Inflation)^A47</f>
        <v>-16087772.6052375</v>
      </c>
      <c r="E47" s="52" t="str">
        <f aca="false">IF(C47&gt;0,"OK","OUT OF MONEY")</f>
        <v>OUT OF MONEY</v>
      </c>
      <c r="F47" s="47" t="n">
        <f aca="false">M47+N47+O47</f>
        <v>544279841.69236</v>
      </c>
      <c r="G47" s="47" t="n">
        <f aca="false">F47/(1+Inflation)^A47</f>
        <v>54547369.0665886</v>
      </c>
      <c r="H47" s="52" t="str">
        <f aca="false">IF(F47&gt;0,"OK","OUT OF MONEY")</f>
        <v>OK</v>
      </c>
      <c r="I47" s="52"/>
      <c r="J47" s="52" t="n">
        <f aca="false">(J46)*(1+B1Ret)-($D$8*12*(1+Inflation)^(A47-1))</f>
        <v>-160525621.612881</v>
      </c>
      <c r="K47" s="52" t="n">
        <f aca="false">(K46)*(1+B2Ret)</f>
        <v>0</v>
      </c>
      <c r="L47" s="52" t="n">
        <f aca="false">(L46)*(1+B3Ret)</f>
        <v>0</v>
      </c>
      <c r="M47" s="52" t="n">
        <f aca="false">(M46)*(1+B1Ret)-($D$9*12*(1+Inflation)^(A47-1))</f>
        <v>33734681.8143895</v>
      </c>
      <c r="N47" s="52" t="n">
        <f aca="false">(N46)*(1+B2Ret)</f>
        <v>0</v>
      </c>
      <c r="O47" s="52" t="n">
        <f aca="false">(O46)*(1+B3Ret)</f>
        <v>510545159.877971</v>
      </c>
    </row>
    <row r="48" customFormat="false" ht="15" hidden="false" customHeight="false" outlineLevel="0" collapsed="false">
      <c r="A48" s="46" t="n">
        <v>35</v>
      </c>
      <c r="B48" s="46" t="n">
        <f aca="false">Age+A48-1</f>
        <v>96</v>
      </c>
      <c r="C48" s="47" t="n">
        <f aca="false">J48+K48+L48</f>
        <v>-201696755.736853</v>
      </c>
      <c r="D48" s="47" t="n">
        <f aca="false">C48/(1+Inflation)^A48</f>
        <v>-18891510.9229945</v>
      </c>
      <c r="E48" s="52" t="str">
        <f aca="false">IF(C48&gt;0,"OK","OUT OF MONEY")</f>
        <v>OUT OF MONEY</v>
      </c>
      <c r="F48" s="47" t="n">
        <f aca="false">M48+N48+O48</f>
        <v>586038006.263744</v>
      </c>
      <c r="G48" s="47" t="n">
        <f aca="false">F48/(1+Inflation)^A48</f>
        <v>54890042.0146844</v>
      </c>
      <c r="H48" s="52" t="str">
        <f aca="false">IF(F48&gt;0,"OK","OUT OF MONEY")</f>
        <v>OK</v>
      </c>
      <c r="I48" s="52"/>
      <c r="J48" s="52" t="n">
        <f aca="false">((J47)*(1+B1Ret)-($D$8*12*(1+Inflation)^(A48-1)))+(MIN(MAX(($D$8*12*(1+Inflation)^(35+1-1)+$D$8*12*(1+Inflation)^(35+2-1)+$D$8*12*(1+Inflation)^(35+3-1)+$D$8*12*(1+Inflation)^(35+4-1)+$D$8*12*(1+Inflation)^(35+5-1))-((J47)*(1+B1Ret)-($D$8*12*(1+Inflation)^(A48-1))),0),(((K47)*(1+B2Ret))+(MIN(MAX(($D$8*12*(1+Inflation)^(35+1-1)+$D$8*12*(1+Inflation)^(35+2-1)+$D$8*12*(1+Inflation)^(35+3-1)+$D$8*12*(1+Inflation)^(35+4-1)+$D$8*12*(1+Inflation)^(35+5-1))-((J47)*(1+B1Ret)-($D$8*12*(1+Inflation)^(A48-1))),0),((L47)*(1+B3Ret)))))))</f>
        <v>-201696755.736853</v>
      </c>
      <c r="K48" s="52" t="n">
        <f aca="false">(((K47)*(1+B2Ret))+(MIN(MAX(($D$8*12*(1+Inflation)^(35+1-1)+$D$8*12*(1+Inflation)^(35+2-1)+$D$8*12*(1+Inflation)^(35+3-1)+$D$8*12*(1+Inflation)^(35+4-1)+$D$8*12*(1+Inflation)^(35+5-1))-((J47)*(1+B1Ret)-($D$8*12*(1+Inflation)^(A48-1))),0),((L47)*(1+B3Ret)))))-(MIN(MAX(($D$8*12*(1+Inflation)^(35+1-1)+$D$8*12*(1+Inflation)^(35+2-1)+$D$8*12*(1+Inflation)^(35+3-1)+$D$8*12*(1+Inflation)^(35+4-1)+$D$8*12*(1+Inflation)^(35+5-1))-((J47)*(1+B1Ret)-($D$8*12*(1+Inflation)^(A48-1))),0),(((K47)*(1+B2Ret))+(MIN(MAX(($D$8*12*(1+Inflation)^(35+1-1)+$D$8*12*(1+Inflation)^(35+2-1)+$D$8*12*(1+Inflation)^(35+3-1)+$D$8*12*(1+Inflation)^(35+4-1)+$D$8*12*(1+Inflation)^(35+5-1))-((J47)*(1+B1Ret)-($D$8*12*(1+Inflation)^(A48-1))),0),((L47)*(1+B3Ret)))))))</f>
        <v>0</v>
      </c>
      <c r="L48" s="52" t="n">
        <f aca="false">((L47)*(1+B3Ret))-(MIN(MAX(($D$8*12*(1+Inflation)^(35+1-1)+$D$8*12*(1+Inflation)^(35+2-1)+$D$8*12*(1+Inflation)^(35+3-1)+$D$8*12*(1+Inflation)^(35+4-1)+$D$8*12*(1+Inflation)^(35+5-1))-((J47)*(1+B1Ret)-($D$8*12*(1+Inflation)^(A48-1))),0),((L47)*(1+B3Ret))))</f>
        <v>0</v>
      </c>
      <c r="M48" s="52" t="n">
        <f aca="false">((M47)*(1+B1Ret)-($D$9*12*(1+Inflation)^(A48-1)))+(MIN(MAX(($D$9*12*(1+Inflation)^(35+1-1)+$D$9*12*(1+Inflation)^(35+2-1)+$D$9*12*(1+Inflation)^(35+3-1)+$D$9*12*(1+Inflation)^(35+4-1)+$D$9*12*(1+Inflation)^(35+5-1))-((M47)*(1+B1Ret)-($D$9*12*(1+Inflation)^(A48-1))),0),(((N47)*(1+B2Ret))+(MIN(MAX(($D$9*12*(1+Inflation)^(35+1-1)+$D$9*12*(1+Inflation)^(35+2-1)+$D$9*12*(1+Inflation)^(35+3-1)+$D$9*12*(1+Inflation)^(35+4-1)+$D$9*12*(1+Inflation)^(35+5-1))-((M47)*(1+B1Ret)-($D$9*12*(1+Inflation)^(A48-1))),0),((O47)*(1+B3Ret)))))))</f>
        <v>103149032.510197</v>
      </c>
      <c r="N48" s="52" t="n">
        <f aca="false">(((N47)*(1+B2Ret))+(MIN(MAX(($D$9*12*(1+Inflation)^(35+1-1)+$D$9*12*(1+Inflation)^(35+2-1)+$D$9*12*(1+Inflation)^(35+3-1)+$D$9*12*(1+Inflation)^(35+4-1)+$D$9*12*(1+Inflation)^(35+5-1))-((M47)*(1+B1Ret)-($D$9*12*(1+Inflation)^(A48-1))),0),((O47)*(1+B3Ret)))))-(MIN(MAX(($D$9*12*(1+Inflation)^(35+1-1)+$D$9*12*(1+Inflation)^(35+2-1)+$D$9*12*(1+Inflation)^(35+3-1)+$D$9*12*(1+Inflation)^(35+4-1)+$D$9*12*(1+Inflation)^(35+5-1))-((M47)*(1+B1Ret)-($D$9*12*(1+Inflation)^(A48-1))),0),(((N47)*(1+B2Ret))+(MIN(MAX(($D$9*12*(1+Inflation)^(35+1-1)+$D$9*12*(1+Inflation)^(35+2-1)+$D$9*12*(1+Inflation)^(35+3-1)+$D$9*12*(1+Inflation)^(35+4-1)+$D$9*12*(1+Inflation)^(35+5-1))-((M47)*(1+B1Ret)-($D$9*12*(1+Inflation)^(A48-1))),0),((O47)*(1+B3Ret)))))))</f>
        <v>0</v>
      </c>
      <c r="O48" s="52" t="n">
        <f aca="false">((O47)*(1+B3Ret))-(MIN(MAX(($D$9*12*(1+Inflation)^(35+1-1)+$D$9*12*(1+Inflation)^(35+2-1)+$D$9*12*(1+Inflation)^(35+3-1)+$D$9*12*(1+Inflation)^(35+4-1)+$D$9*12*(1+Inflation)^(35+5-1))-((M47)*(1+B1Ret)-($D$9*12*(1+Inflation)^(A48-1))),0),((O47)*(1+B3Ret))))</f>
        <v>482888973.753547</v>
      </c>
    </row>
    <row r="49" customFormat="false" ht="15" hidden="false" customHeight="false" outlineLevel="0" collapsed="false">
      <c r="A49" s="46" t="n">
        <v>36</v>
      </c>
      <c r="B49" s="46" t="n">
        <f aca="false">Age+A49-1</f>
        <v>97</v>
      </c>
      <c r="C49" s="47" t="n">
        <f aca="false">J49+K49+L49</f>
        <v>-247845273.09228</v>
      </c>
      <c r="D49" s="47" t="n">
        <f aca="false">C49/(1+Inflation)^A49</f>
        <v>-21695249.2407515</v>
      </c>
      <c r="E49" s="52" t="str">
        <f aca="false">IF(C49&gt;0,"OK","OUT OF MONEY")</f>
        <v>OUT OF MONEY</v>
      </c>
      <c r="F49" s="47" t="n">
        <f aca="false">M49+N49+O49</f>
        <v>628439568.758194</v>
      </c>
      <c r="G49" s="47" t="n">
        <f aca="false">F49/(1+Inflation)^A49</f>
        <v>55010744.8362876</v>
      </c>
      <c r="H49" s="52" t="str">
        <f aca="false">IF(F49&gt;0,"OK","OUT OF MONEY")</f>
        <v>OK</v>
      </c>
      <c r="I49" s="52"/>
      <c r="J49" s="52" t="n">
        <f aca="false">(J48)*(1+B1Ret)-($D$8*12*(1+Inflation)^(A49-1))</f>
        <v>-247845273.09228</v>
      </c>
      <c r="K49" s="52" t="n">
        <f aca="false">(K48)*(1+B2Ret)</f>
        <v>0</v>
      </c>
      <c r="L49" s="52" t="n">
        <f aca="false">(L48)*(1+B3Ret)</f>
        <v>0</v>
      </c>
      <c r="M49" s="52" t="n">
        <f aca="false">(M48)*(1+B1Ret)-($D$9*12*(1+Inflation)^(A49-1))</f>
        <v>92432807.8917565</v>
      </c>
      <c r="N49" s="52" t="n">
        <f aca="false">(N48)*(1+B2Ret)</f>
        <v>0</v>
      </c>
      <c r="O49" s="52" t="n">
        <f aca="false">(O48)*(1+B3Ret)</f>
        <v>536006760.866438</v>
      </c>
    </row>
    <row r="50" customFormat="false" ht="15" hidden="false" customHeight="false" outlineLevel="0" collapsed="false">
      <c r="A50" s="46" t="n">
        <v>37</v>
      </c>
      <c r="B50" s="46" t="n">
        <f aca="false">Age+A50-1</f>
        <v>98</v>
      </c>
      <c r="C50" s="47" t="n">
        <f aca="false">J50+K50+L50</f>
        <v>-299466268.774355</v>
      </c>
      <c r="D50" s="47" t="n">
        <f aca="false">C50/(1+Inflation)^A50</f>
        <v>-24498987.5585085</v>
      </c>
      <c r="E50" s="52" t="str">
        <f aca="false">IF(C50&gt;0,"OK","OUT OF MONEY")</f>
        <v>OUT OF MONEY</v>
      </c>
      <c r="F50" s="47" t="n">
        <f aca="false">M50+N50+O50</f>
        <v>674678386.129181</v>
      </c>
      <c r="G50" s="47" t="n">
        <f aca="false">F50/(1+Inflation)^A50</f>
        <v>55194654.9954439</v>
      </c>
      <c r="H50" s="52" t="str">
        <f aca="false">IF(F50&gt;0,"OK","OUT OF MONEY")</f>
        <v>OK</v>
      </c>
      <c r="I50" s="52"/>
      <c r="J50" s="52" t="n">
        <f aca="false">(J49)*(1+B1Ret)-($D$8*12*(1+Inflation)^(A50-1))</f>
        <v>-299466268.774355</v>
      </c>
      <c r="K50" s="52" t="n">
        <f aca="false">(K49)*(1+B2Ret)</f>
        <v>0</v>
      </c>
      <c r="L50" s="52" t="n">
        <f aca="false">(L49)*(1+B3Ret)</f>
        <v>0</v>
      </c>
      <c r="M50" s="52" t="n">
        <f aca="false">(M49)*(1+B1Ret)-($D$9*12*(1+Inflation)^(A50-1))</f>
        <v>79710881.5674347</v>
      </c>
      <c r="N50" s="52" t="n">
        <f aca="false">(N49)*(1+B2Ret)</f>
        <v>0</v>
      </c>
      <c r="O50" s="52" t="n">
        <f aca="false">(O49)*(1+B3Ret)</f>
        <v>594967504.561746</v>
      </c>
    </row>
    <row r="51" customFormat="false" ht="15" hidden="false" customHeight="false" outlineLevel="0" collapsed="false">
      <c r="A51" s="46" t="n">
        <v>38</v>
      </c>
      <c r="B51" s="46" t="n">
        <f aca="false">Age+A51-1</f>
        <v>99</v>
      </c>
      <c r="C51" s="47" t="n">
        <f aca="false">J51+K51+L51</f>
        <v>-357099762.013768</v>
      </c>
      <c r="D51" s="47" t="n">
        <f aca="false">C51/(1+Inflation)^A51</f>
        <v>-27302725.8762655</v>
      </c>
      <c r="E51" s="52" t="str">
        <f aca="false">IF(C51&gt;0,"OK","OUT OF MONEY")</f>
        <v>OUT OF MONEY</v>
      </c>
      <c r="F51" s="47" t="n">
        <f aca="false">M51+N51+O51</f>
        <v>725168894.862576</v>
      </c>
      <c r="G51" s="47" t="n">
        <f aca="false">F51/(1+Inflation)^A51</f>
        <v>55444135.3832769</v>
      </c>
      <c r="H51" s="52" t="str">
        <f aca="false">IF(F51&gt;0,"OK","OUT OF MONEY")</f>
        <v>OK</v>
      </c>
      <c r="I51" s="52"/>
      <c r="J51" s="52" t="n">
        <f aca="false">(J50)*(1+B1Ret)-($D$8*12*(1+Inflation)^(A51-1))</f>
        <v>-357099762.013768</v>
      </c>
      <c r="K51" s="52" t="n">
        <f aca="false">(K50)*(1+B2Ret)</f>
        <v>0</v>
      </c>
      <c r="L51" s="52" t="n">
        <f aca="false">(L50)*(1+B3Ret)</f>
        <v>0</v>
      </c>
      <c r="M51" s="52" t="n">
        <f aca="false">(M50)*(1+B1Ret)-($D$9*12*(1+Inflation)^(A51-1))</f>
        <v>64754964.7990382</v>
      </c>
      <c r="N51" s="52" t="n">
        <f aca="false">(N50)*(1+B2Ret)</f>
        <v>0</v>
      </c>
      <c r="O51" s="52" t="n">
        <f aca="false">(O50)*(1+B3Ret)</f>
        <v>660413930.063538</v>
      </c>
    </row>
    <row r="52" customFormat="false" ht="15" hidden="false" customHeight="false" outlineLevel="0" collapsed="false">
      <c r="A52" s="46" t="n">
        <v>39</v>
      </c>
      <c r="B52" s="46" t="n">
        <f aca="false">Age+A52-1</f>
        <v>100</v>
      </c>
      <c r="C52" s="47" t="n">
        <f aca="false">J52+K52+L52</f>
        <v>-421334559.589705</v>
      </c>
      <c r="D52" s="47" t="n">
        <f aca="false">C52/(1+Inflation)^A52</f>
        <v>-30106464.1940225</v>
      </c>
      <c r="E52" s="52" t="str">
        <f aca="false">IF(C52&gt;0,"OK","OUT OF MONEY")</f>
        <v>OUT OF MONEY</v>
      </c>
      <c r="F52" s="47" t="n">
        <f aca="false">M52+N52+O52</f>
        <v>780374098.733913</v>
      </c>
      <c r="G52" s="47" t="n">
        <f aca="false">F52/(1+Inflation)^A52</f>
        <v>55761637.2232884</v>
      </c>
      <c r="H52" s="52" t="str">
        <f aca="false">IF(F52&gt;0,"OK","OUT OF MONEY")</f>
        <v>OK</v>
      </c>
      <c r="I52" s="52"/>
      <c r="J52" s="52" t="n">
        <f aca="false">(J51)*(1+B1Ret)-($D$8*12*(1+Inflation)^(A52-1))</f>
        <v>-421334559.589705</v>
      </c>
      <c r="K52" s="52" t="n">
        <f aca="false">(K51)*(1+B2Ret)</f>
        <v>0</v>
      </c>
      <c r="L52" s="52" t="n">
        <f aca="false">(L51)*(1+B3Ret)</f>
        <v>0</v>
      </c>
      <c r="M52" s="52" t="n">
        <f aca="false">(M51)*(1+B1Ret)-($D$9*12*(1+Inflation)^(A52-1))</f>
        <v>47314636.3633859</v>
      </c>
      <c r="N52" s="52" t="n">
        <f aca="false">(N51)*(1+B2Ret)</f>
        <v>0</v>
      </c>
      <c r="O52" s="52" t="n">
        <f aca="false">(O51)*(1+B3Ret)</f>
        <v>733059462.370527</v>
      </c>
    </row>
    <row r="53" customFormat="false" ht="15" hidden="false" customHeight="false" outlineLevel="0" collapsed="false">
      <c r="A53" s="46" t="n">
        <v>40</v>
      </c>
      <c r="B53" s="46" t="n">
        <f aca="false">Age+A53-1</f>
        <v>101</v>
      </c>
      <c r="C53" s="47" t="n">
        <f aca="false">J53+K53+L53</f>
        <v>-492812439.992406</v>
      </c>
      <c r="D53" s="47" t="n">
        <f aca="false">C53/(1+Inflation)^A53</f>
        <v>-32910202.5117795</v>
      </c>
      <c r="E53" s="52" t="str">
        <f aca="false">IF(C53&gt;0,"OK","OUT OF MONEY")</f>
        <v>OUT OF MONEY</v>
      </c>
      <c r="F53" s="47" t="n">
        <f aca="false">M53+N53+O53</f>
        <v>840811365.850512</v>
      </c>
      <c r="G53" s="47" t="n">
        <f aca="false">F53/(1+Inflation)^A53</f>
        <v>56149703.3735039</v>
      </c>
      <c r="H53" s="52" t="str">
        <f aca="false">IF(F53&gt;0,"OK","OUT OF MONEY")</f>
        <v>OK</v>
      </c>
      <c r="I53" s="52"/>
      <c r="J53" s="52" t="n">
        <f aca="false">((J52)*(1+B1Ret)-($D$8*12*(1+Inflation)^(A53-1)))+(MIN(MAX(($D$8*12*(1+Inflation)^(40+1-1)+$D$8*12*(1+Inflation)^(40+2-1)+$D$8*12*(1+Inflation)^(40+3-1)+$D$8*12*(1+Inflation)^(40+4-1)+$D$8*12*(1+Inflation)^(40+5-1))-((J52)*(1+B1Ret)-($D$8*12*(1+Inflation)^(A53-1))),0),(((K52)*(1+B2Ret))+(MIN(MAX(($D$8*12*(1+Inflation)^(40+1-1)+$D$8*12*(1+Inflation)^(40+2-1)+$D$8*12*(1+Inflation)^(40+3-1)+$D$8*12*(1+Inflation)^(40+4-1)+$D$8*12*(1+Inflation)^(40+5-1))-((J52)*(1+B1Ret)-($D$8*12*(1+Inflation)^(A53-1))),0),((L52)*(1+B3Ret)))))))</f>
        <v>-492812439.992406</v>
      </c>
      <c r="K53" s="52" t="n">
        <f aca="false">(((K52)*(1+B2Ret))+(MIN(MAX(($D$8*12*(1+Inflation)^(40+1-1)+$D$8*12*(1+Inflation)^(40+2-1)+$D$8*12*(1+Inflation)^(40+3-1)+$D$8*12*(1+Inflation)^(40+4-1)+$D$8*12*(1+Inflation)^(40+5-1))-((J52)*(1+B1Ret)-($D$8*12*(1+Inflation)^(A53-1))),0),((L52)*(1+B3Ret)))))-(MIN(MAX(($D$8*12*(1+Inflation)^(40+1-1)+$D$8*12*(1+Inflation)^(40+2-1)+$D$8*12*(1+Inflation)^(40+3-1)+$D$8*12*(1+Inflation)^(40+4-1)+$D$8*12*(1+Inflation)^(40+5-1))-((J52)*(1+B1Ret)-($D$8*12*(1+Inflation)^(A53-1))),0),(((K52)*(1+B2Ret))+(MIN(MAX(($D$8*12*(1+Inflation)^(40+1-1)+$D$8*12*(1+Inflation)^(40+2-1)+$D$8*12*(1+Inflation)^(40+3-1)+$D$8*12*(1+Inflation)^(40+4-1)+$D$8*12*(1+Inflation)^(40+5-1))-((J52)*(1+B1Ret)-($D$8*12*(1+Inflation)^(A53-1))),0),((L52)*(1+B3Ret)))))))</f>
        <v>0</v>
      </c>
      <c r="L53" s="52" t="n">
        <f aca="false">((L52)*(1+B3Ret))-(MIN(MAX(($D$8*12*(1+Inflation)^(40+1-1)+$D$8*12*(1+Inflation)^(40+2-1)+$D$8*12*(1+Inflation)^(40+3-1)+$D$8*12*(1+Inflation)^(40+4-1)+$D$8*12*(1+Inflation)^(40+5-1))-((J52)*(1+B1Ret)-($D$8*12*(1+Inflation)^(A53-1))),0),((L52)*(1+B3Ret))))</f>
        <v>0</v>
      </c>
      <c r="M53" s="52" t="n">
        <f aca="false">((M52)*(1+B1Ret)-($D$9*12*(1+Inflation)^(A53-1)))+(MIN(MAX(($D$9*12*(1+Inflation)^(40+1-1)+$D$9*12*(1+Inflation)^(40+2-1)+$D$9*12*(1+Inflation)^(40+3-1)+$D$9*12*(1+Inflation)^(40+4-1)+$D$9*12*(1+Inflation)^(40+5-1))-((M52)*(1+B1Ret)-($D$9*12*(1+Inflation)^(A53-1))),0),(((N52)*(1+B2Ret))+(MIN(MAX(($D$9*12*(1+Inflation)^(40+1-1)+$D$9*12*(1+Inflation)^(40+2-1)+$D$9*12*(1+Inflation)^(40+3-1)+$D$9*12*(1+Inflation)^(40+4-1)+$D$9*12*(1+Inflation)^(40+5-1))-((M52)*(1+B1Ret)-($D$9*12*(1+Inflation)^(A53-1))),0),((O52)*(1+B3Ret)))))))</f>
        <v>144671854.067207</v>
      </c>
      <c r="N53" s="52" t="n">
        <f aca="false">(((N52)*(1+B2Ret))+(MIN(MAX(($D$9*12*(1+Inflation)^(40+1-1)+$D$9*12*(1+Inflation)^(40+2-1)+$D$9*12*(1+Inflation)^(40+3-1)+$D$9*12*(1+Inflation)^(40+4-1)+$D$9*12*(1+Inflation)^(40+5-1))-((M52)*(1+B1Ret)-($D$9*12*(1+Inflation)^(A53-1))),0),((O52)*(1+B3Ret)))))-(MIN(MAX(($D$9*12*(1+Inflation)^(40+1-1)+$D$9*12*(1+Inflation)^(40+2-1)+$D$9*12*(1+Inflation)^(40+3-1)+$D$9*12*(1+Inflation)^(40+4-1)+$D$9*12*(1+Inflation)^(40+5-1))-((M52)*(1+B1Ret)-($D$9*12*(1+Inflation)^(A53-1))),0),(((N52)*(1+B2Ret))+(MIN(MAX(($D$9*12*(1+Inflation)^(40+1-1)+$D$9*12*(1+Inflation)^(40+2-1)+$D$9*12*(1+Inflation)^(40+3-1)+$D$9*12*(1+Inflation)^(40+4-1)+$D$9*12*(1+Inflation)^(40+5-1))-((M52)*(1+B1Ret)-($D$9*12*(1+Inflation)^(A53-1))),0),((O52)*(1+B3Ret)))))))</f>
        <v>0</v>
      </c>
      <c r="O53" s="52" t="n">
        <f aca="false">((O52)*(1+B3Ret))-(MIN(MAX(($D$9*12*(1+Inflation)^(40+1-1)+$D$9*12*(1+Inflation)^(40+2-1)+$D$9*12*(1+Inflation)^(40+3-1)+$D$9*12*(1+Inflation)^(40+4-1)+$D$9*12*(1+Inflation)^(40+5-1))-((M52)*(1+B1Ret)-($D$9*12*(1+Inflation)^(A53-1))),0),((O52)*(1+B3Ret))))</f>
        <v>696139511.783305</v>
      </c>
    </row>
    <row r="54" customFormat="false" ht="15" hidden="false" customHeight="false" outlineLevel="0" collapsed="false">
      <c r="A54" s="46" t="n">
        <v>41</v>
      </c>
      <c r="B54" s="46" t="n">
        <f aca="false">Age+A54-1</f>
        <v>102</v>
      </c>
      <c r="C54" s="47" t="n">
        <f aca="false">J54+K54+L54</f>
        <v>-572232684.309496</v>
      </c>
      <c r="D54" s="47" t="n">
        <f aca="false">C54/(1+Inflation)^A54</f>
        <v>-35713940.8295365</v>
      </c>
      <c r="E54" s="52" t="str">
        <f aca="false">IF(C54&gt;0,"OK","OUT OF MONEY")</f>
        <v>OUT OF MONEY</v>
      </c>
      <c r="F54" s="47" t="n">
        <f aca="false">M54+N54+O54</f>
        <v>902356652.761513</v>
      </c>
      <c r="G54" s="47" t="n">
        <f aca="false">F54/(1+Inflation)^A54</f>
        <v>56317496.339362</v>
      </c>
      <c r="H54" s="52" t="str">
        <f aca="false">IF(F54&gt;0,"OK","OUT OF MONEY")</f>
        <v>OK</v>
      </c>
      <c r="I54" s="52"/>
      <c r="J54" s="52" t="n">
        <f aca="false">(J53)*(1+B1Ret)-($D$8*12*(1+Inflation)^(A54-1))</f>
        <v>-572232684.309496</v>
      </c>
      <c r="K54" s="52" t="n">
        <f aca="false">(K53)*(1+B2Ret)</f>
        <v>0</v>
      </c>
      <c r="L54" s="52" t="n">
        <f aca="false">(L53)*(1+B3Ret)</f>
        <v>0</v>
      </c>
      <c r="M54" s="52" t="n">
        <f aca="false">(M53)*(1+B1Ret)-($D$9*12*(1+Inflation)^(A54-1))</f>
        <v>129641794.682044</v>
      </c>
      <c r="N54" s="52" t="n">
        <f aca="false">(N53)*(1+B2Ret)</f>
        <v>0</v>
      </c>
      <c r="O54" s="52" t="n">
        <f aca="false">(O53)*(1+B3Ret)</f>
        <v>772714858.079469</v>
      </c>
    </row>
    <row r="55" customFormat="false" ht="15" hidden="false" customHeight="false" outlineLevel="0" collapsed="false">
      <c r="A55" s="46" t="n">
        <v>42</v>
      </c>
      <c r="B55" s="46" t="n">
        <f aca="false">Age+A55-1</f>
        <v>103</v>
      </c>
      <c r="C55" s="47" t="n">
        <f aca="false">J55+K55+L55</f>
        <v>-660356981.875015</v>
      </c>
      <c r="D55" s="47" t="n">
        <f aca="false">C55/(1+Inflation)^A55</f>
        <v>-38517679.1472936</v>
      </c>
      <c r="E55" s="52" t="str">
        <f aca="false">IF(C55&gt;0,"OK","OUT OF MONEY")</f>
        <v>OUT OF MONEY</v>
      </c>
      <c r="F55" s="47" t="n">
        <f aca="false">M55+N55+O55</f>
        <v>969512127.366239</v>
      </c>
      <c r="G55" s="47" t="n">
        <f aca="false">F55/(1+Inflation)^A55</f>
        <v>56550257.0219977</v>
      </c>
      <c r="H55" s="52" t="str">
        <f aca="false">IF(F55&gt;0,"OK","OUT OF MONEY")</f>
        <v>OK</v>
      </c>
      <c r="I55" s="52"/>
      <c r="J55" s="52" t="n">
        <f aca="false">(J54)*(1+B1Ret)-($D$8*12*(1+Inflation)^(A55-1))</f>
        <v>-660356981.875015</v>
      </c>
      <c r="K55" s="52" t="n">
        <f aca="false">(K54)*(1+B2Ret)</f>
        <v>0</v>
      </c>
      <c r="L55" s="52" t="n">
        <f aca="false">(L54)*(1+B3Ret)</f>
        <v>0</v>
      </c>
      <c r="M55" s="52" t="n">
        <f aca="false">(M54)*(1+B1Ret)-($D$9*12*(1+Inflation)^(A55-1))</f>
        <v>111798634.898028</v>
      </c>
      <c r="N55" s="52" t="n">
        <f aca="false">(N54)*(1+B2Ret)</f>
        <v>0</v>
      </c>
      <c r="O55" s="52" t="n">
        <f aca="false">(O54)*(1+B3Ret)</f>
        <v>857713492.468211</v>
      </c>
    </row>
    <row r="56" customFormat="false" ht="15" hidden="false" customHeight="false" outlineLevel="0" collapsed="false">
      <c r="A56" s="46" t="n">
        <v>43</v>
      </c>
      <c r="B56" s="46" t="n">
        <f aca="false">Age+A56-1</f>
        <v>104</v>
      </c>
      <c r="C56" s="47" t="n">
        <f aca="false">J56+K56+L56</f>
        <v>-758014740.94659</v>
      </c>
      <c r="D56" s="47" t="n">
        <f aca="false">C56/(1+Inflation)^A56</f>
        <v>-41321417.4650506</v>
      </c>
      <c r="E56" s="52" t="str">
        <f aca="false">IF(C56&gt;0,"OK","OUT OF MONEY")</f>
        <v>OUT OF MONEY</v>
      </c>
      <c r="F56" s="47" t="n">
        <f aca="false">M56+N56+O56</f>
        <v>1042884164.59002</v>
      </c>
      <c r="G56" s="47" t="n">
        <f aca="false">F56/(1+Inflation)^A56</f>
        <v>56850414.1211037</v>
      </c>
      <c r="H56" s="52" t="str">
        <f aca="false">IF(F56&gt;0,"OK","OUT OF MONEY")</f>
        <v>OK</v>
      </c>
      <c r="I56" s="52"/>
      <c r="J56" s="52" t="n">
        <f aca="false">(J55)*(1+B1Ret)-($D$8*12*(1+Inflation)^(A56-1))</f>
        <v>-758014740.94659</v>
      </c>
      <c r="K56" s="52" t="n">
        <f aca="false">(K55)*(1+B2Ret)</f>
        <v>0</v>
      </c>
      <c r="L56" s="52" t="n">
        <f aca="false">(L55)*(1+B3Ret)</f>
        <v>0</v>
      </c>
      <c r="M56" s="52" t="n">
        <f aca="false">(M55)*(1+B1Ret)-($D$9*12*(1+Inflation)^(A56-1))</f>
        <v>90822187.9503087</v>
      </c>
      <c r="N56" s="52" t="n">
        <f aca="false">(N55)*(1+B2Ret)</f>
        <v>0</v>
      </c>
      <c r="O56" s="52" t="n">
        <f aca="false">(O55)*(1+B3Ret)</f>
        <v>952061976.639714</v>
      </c>
    </row>
    <row r="57" customFormat="false" ht="15" hidden="false" customHeight="false" outlineLevel="0" collapsed="false">
      <c r="A57" s="46" t="n">
        <v>44</v>
      </c>
      <c r="B57" s="46" t="n">
        <f aca="false">Age+A57-1</f>
        <v>105</v>
      </c>
      <c r="C57" s="47" t="n">
        <f aca="false">J57+K57+L57</f>
        <v>-866108837.076999</v>
      </c>
      <c r="D57" s="47" t="n">
        <f aca="false">C57/(1+Inflation)^A57</f>
        <v>-44125155.7828076</v>
      </c>
      <c r="E57" s="52" t="str">
        <f aca="false">IF(C57&gt;0,"OK","OUT OF MONEY")</f>
        <v>OUT OF MONEY</v>
      </c>
      <c r="F57" s="47" t="n">
        <f aca="false">M57+N57+O57</f>
        <v>1123150019.18899</v>
      </c>
      <c r="G57" s="47" t="n">
        <f aca="false">F57/(1+Inflation)^A57</f>
        <v>57220487.1288845</v>
      </c>
      <c r="H57" s="52" t="str">
        <f aca="false">IF(F57&gt;0,"OK","OUT OF MONEY")</f>
        <v>OK</v>
      </c>
      <c r="I57" s="52"/>
      <c r="J57" s="52" t="n">
        <f aca="false">(J56)*(1+B1Ret)-($D$8*12*(1+Inflation)^(A57-1))</f>
        <v>-866108837.076999</v>
      </c>
      <c r="K57" s="52" t="n">
        <f aca="false">(K56)*(1+B2Ret)</f>
        <v>0</v>
      </c>
      <c r="L57" s="52" t="n">
        <f aca="false">(L56)*(1+B3Ret)</f>
        <v>0</v>
      </c>
      <c r="M57" s="52" t="n">
        <f aca="false">(M56)*(1+B1Ret)-($D$9*12*(1+Inflation)^(A57-1))</f>
        <v>66361225.118908</v>
      </c>
      <c r="N57" s="52" t="n">
        <f aca="false">(N56)*(1+B2Ret)</f>
        <v>0</v>
      </c>
      <c r="O57" s="52" t="n">
        <f aca="false">(O56)*(1+B3Ret)</f>
        <v>1056788794.07008</v>
      </c>
    </row>
    <row r="58" customFormat="false" ht="15" hidden="false" customHeight="false" outlineLevel="0" collapsed="false">
      <c r="A58" s="46" t="n">
        <v>45</v>
      </c>
      <c r="B58" s="46" t="n">
        <f aca="false">Age+A58-1</f>
        <v>106</v>
      </c>
      <c r="C58" s="47" t="n">
        <f aca="false">J58+K58+L58</f>
        <v>-985621834.435026</v>
      </c>
      <c r="D58" s="47" t="n">
        <f aca="false">C58/(1+Inflation)^A58</f>
        <v>-46928894.1005646</v>
      </c>
      <c r="E58" s="52" t="str">
        <f aca="false">IF(C58&gt;0,"OK","OUT OF MONEY")</f>
        <v>OUT OF MONEY</v>
      </c>
      <c r="F58" s="47" t="n">
        <f aca="false">M58+N58+O58</f>
        <v>1211066260.18795</v>
      </c>
      <c r="G58" s="47" t="n">
        <f aca="false">F58/(1+Inflation)^A58</f>
        <v>57663089.724169</v>
      </c>
      <c r="H58" s="52" t="str">
        <f aca="false">IF(F58&gt;0,"OK","OUT OF MONEY")</f>
        <v>OK</v>
      </c>
      <c r="I58" s="52"/>
      <c r="J58" s="52" t="n">
        <f aca="false">((J57)*(1+B1Ret)-($D$8*12*(1+Inflation)^(A58-1)))+(MIN(MAX(($D$8*12*(1+Inflation)^(45+1-1)+$D$8*12*(1+Inflation)^(45+2-1)+$D$8*12*(1+Inflation)^(45+3-1)+$D$8*12*(1+Inflation)^(45+4-1)+$D$8*12*(1+Inflation)^(45+5-1))-((J57)*(1+B1Ret)-($D$8*12*(1+Inflation)^(A58-1))),0),(((K57)*(1+B2Ret))+(MIN(MAX(($D$8*12*(1+Inflation)^(45+1-1)+$D$8*12*(1+Inflation)^(45+2-1)+$D$8*12*(1+Inflation)^(45+3-1)+$D$8*12*(1+Inflation)^(45+4-1)+$D$8*12*(1+Inflation)^(45+5-1))-((J57)*(1+B1Ret)-($D$8*12*(1+Inflation)^(A58-1))),0),((L57)*(1+B3Ret)))))))</f>
        <v>-985621834.435026</v>
      </c>
      <c r="K58" s="52" t="n">
        <f aca="false">(((K57)*(1+B2Ret))+(MIN(MAX(($D$8*12*(1+Inflation)^(45+1-1)+$D$8*12*(1+Inflation)^(45+2-1)+$D$8*12*(1+Inflation)^(45+3-1)+$D$8*12*(1+Inflation)^(45+4-1)+$D$8*12*(1+Inflation)^(45+5-1))-((J57)*(1+B1Ret)-($D$8*12*(1+Inflation)^(A58-1))),0),((L57)*(1+B3Ret)))))-(MIN(MAX(($D$8*12*(1+Inflation)^(45+1-1)+$D$8*12*(1+Inflation)^(45+2-1)+$D$8*12*(1+Inflation)^(45+3-1)+$D$8*12*(1+Inflation)^(45+4-1)+$D$8*12*(1+Inflation)^(45+5-1))-((J57)*(1+B1Ret)-($D$8*12*(1+Inflation)^(A58-1))),0),(((K57)*(1+B2Ret))+(MIN(MAX(($D$8*12*(1+Inflation)^(45+1-1)+$D$8*12*(1+Inflation)^(45+2-1)+$D$8*12*(1+Inflation)^(45+3-1)+$D$8*12*(1+Inflation)^(45+4-1)+$D$8*12*(1+Inflation)^(45+5-1))-((J57)*(1+B1Ret)-($D$8*12*(1+Inflation)^(A58-1))),0),((L57)*(1+B3Ret)))))))</f>
        <v>0</v>
      </c>
      <c r="L58" s="52" t="n">
        <f aca="false">((L57)*(1+B3Ret))-(MIN(MAX(($D$8*12*(1+Inflation)^(45+1-1)+$D$8*12*(1+Inflation)^(45+2-1)+$D$8*12*(1+Inflation)^(45+3-1)+$D$8*12*(1+Inflation)^(45+4-1)+$D$8*12*(1+Inflation)^(45+5-1))-((J57)*(1+B1Ret)-($D$8*12*(1+Inflation)^(A58-1))),0),((L57)*(1+B3Ret))))</f>
        <v>0</v>
      </c>
      <c r="M58" s="52" t="n">
        <f aca="false">((M57)*(1+B1Ret)-($D$9*12*(1+Inflation)^(A58-1)))+(MIN(MAX(($D$9*12*(1+Inflation)^(45+1-1)+$D$9*12*(1+Inflation)^(45+2-1)+$D$9*12*(1+Inflation)^(45+3-1)+$D$9*12*(1+Inflation)^(45+4-1)+$D$9*12*(1+Inflation)^(45+5-1))-((M57)*(1+B1Ret)-($D$9*12*(1+Inflation)^(A58-1))),0),(((N57)*(1+B2Ret))+(MIN(MAX(($D$9*12*(1+Inflation)^(45+1-1)+$D$9*12*(1+Inflation)^(45+2-1)+$D$9*12*(1+Inflation)^(45+3-1)+$D$9*12*(1+Inflation)^(45+4-1)+$D$9*12*(1+Inflation)^(45+5-1))-((M57)*(1+B1Ret)-($D$9*12*(1+Inflation)^(A58-1))),0),((O57)*(1+B3Ret)))))))</f>
        <v>202909759.305539</v>
      </c>
      <c r="N58" s="52" t="n">
        <f aca="false">(((N57)*(1+B2Ret))+(MIN(MAX(($D$9*12*(1+Inflation)^(45+1-1)+$D$9*12*(1+Inflation)^(45+2-1)+$D$9*12*(1+Inflation)^(45+3-1)+$D$9*12*(1+Inflation)^(45+4-1)+$D$9*12*(1+Inflation)^(45+5-1))-((M57)*(1+B1Ret)-($D$9*12*(1+Inflation)^(A58-1))),0),((O57)*(1+B3Ret)))))-(MIN(MAX(($D$9*12*(1+Inflation)^(45+1-1)+$D$9*12*(1+Inflation)^(45+2-1)+$D$9*12*(1+Inflation)^(45+3-1)+$D$9*12*(1+Inflation)^(45+4-1)+$D$9*12*(1+Inflation)^(45+5-1))-((M57)*(1+B1Ret)-($D$9*12*(1+Inflation)^(A58-1))),0),(((N57)*(1+B2Ret))+(MIN(MAX(($D$9*12*(1+Inflation)^(45+1-1)+$D$9*12*(1+Inflation)^(45+2-1)+$D$9*12*(1+Inflation)^(45+3-1)+$D$9*12*(1+Inflation)^(45+4-1)+$D$9*12*(1+Inflation)^(45+5-1))-((M57)*(1+B1Ret)-($D$9*12*(1+Inflation)^(A58-1))),0),((O57)*(1+B3Ret)))))))</f>
        <v>0</v>
      </c>
      <c r="O58" s="52" t="n">
        <f aca="false">((O57)*(1+B3Ret))-(MIN(MAX(($D$9*12*(1+Inflation)^(45+1-1)+$D$9*12*(1+Inflation)^(45+2-1)+$D$9*12*(1+Inflation)^(45+3-1)+$D$9*12*(1+Inflation)^(45+4-1)+$D$9*12*(1+Inflation)^(45+5-1))-((M57)*(1+B1Ret)-($D$9*12*(1+Inflation)^(A58-1))),0),((O57)*(1+B3Ret))))</f>
        <v>1008156500.88241</v>
      </c>
    </row>
    <row r="59" customFormat="false" ht="15" hidden="false" customHeight="false" outlineLevel="0" collapsed="false">
      <c r="A59" s="46" t="n">
        <v>46</v>
      </c>
      <c r="B59" s="46" t="n">
        <f aca="false">Age+A59-1</f>
        <v>107</v>
      </c>
      <c r="C59" s="47" t="n">
        <f aca="false">J59+K59+L59</f>
        <v>-1117622718.1215</v>
      </c>
      <c r="D59" s="47" t="n">
        <f aca="false">C59/(1+Inflation)^A59</f>
        <v>-49732632.4183216</v>
      </c>
      <c r="E59" s="52" t="str">
        <f aca="false">IF(C59&gt;0,"OK","OUT OF MONEY")</f>
        <v>OUT OF MONEY</v>
      </c>
      <c r="F59" s="47" t="n">
        <f aca="false">M59+N59+O59</f>
        <v>1300883039.48183</v>
      </c>
      <c r="G59" s="47" t="n">
        <f aca="false">F59/(1+Inflation)^A59</f>
        <v>57887457.8807061</v>
      </c>
      <c r="H59" s="52" t="str">
        <f aca="false">IF(F59&gt;0,"OK","OUT OF MONEY")</f>
        <v>OK</v>
      </c>
      <c r="I59" s="52"/>
      <c r="J59" s="52" t="n">
        <f aca="false">(J58)*(1+B1Ret)-($D$8*12*(1+Inflation)^(A59-1))</f>
        <v>-1117622718.1215</v>
      </c>
      <c r="K59" s="52" t="n">
        <f aca="false">(K58)*(1+B2Ret)</f>
        <v>0</v>
      </c>
      <c r="L59" s="52" t="n">
        <f aca="false">(L58)*(1+B3Ret)</f>
        <v>0</v>
      </c>
      <c r="M59" s="52" t="n">
        <f aca="false">(M58)*(1+B1Ret)-($D$9*12*(1+Inflation)^(A59-1))</f>
        <v>181829323.502354</v>
      </c>
      <c r="N59" s="52" t="n">
        <f aca="false">(N58)*(1+B2Ret)</f>
        <v>0</v>
      </c>
      <c r="O59" s="52" t="n">
        <f aca="false">(O58)*(1+B3Ret)</f>
        <v>1119053715.97947</v>
      </c>
    </row>
    <row r="60" customFormat="false" ht="15" hidden="false" customHeight="false" outlineLevel="0" collapsed="false">
      <c r="A60" s="46" t="n">
        <v>47</v>
      </c>
      <c r="B60" s="46" t="n">
        <f aca="false">Age+A60-1</f>
        <v>108</v>
      </c>
      <c r="C60" s="47" t="n">
        <f aca="false">J60+K60+L60</f>
        <v>-1263274178.53535</v>
      </c>
      <c r="D60" s="47" t="n">
        <f aca="false">C60/(1+Inflation)^A60</f>
        <v>-52536370.7360786</v>
      </c>
      <c r="E60" s="52" t="str">
        <f aca="false">IF(C60&gt;0,"OK","OUT OF MONEY")</f>
        <v>OUT OF MONEY</v>
      </c>
      <c r="F60" s="47" t="n">
        <f aca="false">M60+N60+O60</f>
        <v>1398952993.60334</v>
      </c>
      <c r="G60" s="47" t="n">
        <f aca="false">F60/(1+Inflation)^A60</f>
        <v>58178908.7144202</v>
      </c>
      <c r="H60" s="52" t="str">
        <f aca="false">IF(F60&gt;0,"OK","OUT OF MONEY")</f>
        <v>OK</v>
      </c>
      <c r="I60" s="52"/>
      <c r="J60" s="52" t="n">
        <f aca="false">(J59)*(1+B1Ret)-($D$8*12*(1+Inflation)^(A60-1))</f>
        <v>-1263274178.53535</v>
      </c>
      <c r="K60" s="52" t="n">
        <f aca="false">(K59)*(1+B2Ret)</f>
        <v>0</v>
      </c>
      <c r="L60" s="52" t="n">
        <f aca="false">(L59)*(1+B3Ret)</f>
        <v>0</v>
      </c>
      <c r="M60" s="52" t="n">
        <f aca="false">(M59)*(1+B1Ret)-($D$9*12*(1+Inflation)^(A60-1))</f>
        <v>156803368.866127</v>
      </c>
      <c r="N60" s="52" t="n">
        <f aca="false">(N59)*(1+B2Ret)</f>
        <v>0</v>
      </c>
      <c r="O60" s="52" t="n">
        <f aca="false">(O59)*(1+B3Ret)</f>
        <v>1242149624.73721</v>
      </c>
    </row>
    <row r="61" customFormat="false" ht="15" hidden="false" customHeight="false" outlineLevel="0" collapsed="false">
      <c r="A61" s="46" t="n">
        <v>48</v>
      </c>
      <c r="B61" s="46" t="n">
        <f aca="false">Age+A61-1</f>
        <v>109</v>
      </c>
      <c r="C61" s="47" t="n">
        <f aca="false">J61+K61+L61</f>
        <v>-1423840492.08834</v>
      </c>
      <c r="D61" s="47" t="n">
        <f aca="false">C61/(1+Inflation)^A61</f>
        <v>-55340109.0538356</v>
      </c>
      <c r="E61" s="52" t="str">
        <f aca="false">IF(C61&gt;0,"OK","OUT OF MONEY")</f>
        <v>OUT OF MONEY</v>
      </c>
      <c r="F61" s="47" t="n">
        <f aca="false">M61+N61+O61</f>
        <v>1506168900.35397</v>
      </c>
      <c r="G61" s="47" t="n">
        <f aca="false">F61/(1+Inflation)^A61</f>
        <v>58539949.9889438</v>
      </c>
      <c r="H61" s="52" t="str">
        <f aca="false">IF(F61&gt;0,"OK","OUT OF MONEY")</f>
        <v>OK</v>
      </c>
      <c r="I61" s="52"/>
      <c r="J61" s="52" t="n">
        <f aca="false">(J60)*(1+B1Ret)-($D$8*12*(1+Inflation)^(A61-1))</f>
        <v>-1423840492.08834</v>
      </c>
      <c r="K61" s="52" t="n">
        <f aca="false">(K60)*(1+B2Ret)</f>
        <v>0</v>
      </c>
      <c r="L61" s="52" t="n">
        <f aca="false">(L60)*(1+B3Ret)</f>
        <v>0</v>
      </c>
      <c r="M61" s="52" t="n">
        <f aca="false">(M60)*(1+B1Ret)-($D$9*12*(1+Inflation)^(A61-1))</f>
        <v>127382816.895666</v>
      </c>
      <c r="N61" s="52" t="n">
        <f aca="false">(N60)*(1+B2Ret)</f>
        <v>0</v>
      </c>
      <c r="O61" s="52" t="n">
        <f aca="false">(O60)*(1+B3Ret)</f>
        <v>1378786083.45831</v>
      </c>
    </row>
    <row r="62" customFormat="false" ht="15" hidden="false" customHeight="false" outlineLevel="0" collapsed="false">
      <c r="A62" s="46" t="n">
        <v>49</v>
      </c>
      <c r="B62" s="46" t="n">
        <f aca="false">Age+A62-1</f>
        <v>110</v>
      </c>
      <c r="C62" s="47" t="n">
        <f aca="false">J62+K62+L62</f>
        <v>-1600696046.06393</v>
      </c>
      <c r="D62" s="47" t="n">
        <f aca="false">C62/(1+Inflation)^A62</f>
        <v>-58143847.3715926</v>
      </c>
      <c r="E62" s="52" t="str">
        <f aca="false">IF(C62&gt;0,"OK","OUT OF MONEY")</f>
        <v>OUT OF MONEY</v>
      </c>
      <c r="F62" s="47" t="n">
        <f aca="false">M62+N62+O62</f>
        <v>1623527603.78062</v>
      </c>
      <c r="G62" s="47" t="n">
        <f aca="false">F62/(1+Inflation)^A62</f>
        <v>58973183.2160831</v>
      </c>
      <c r="H62" s="52" t="str">
        <f aca="false">IF(F62&gt;0,"OK","OUT OF MONEY")</f>
        <v>OK</v>
      </c>
      <c r="I62" s="52"/>
      <c r="J62" s="52" t="n">
        <f aca="false">(J61)*(1+B1Ret)-($D$8*12*(1+Inflation)^(A62-1))</f>
        <v>-1600696046.06393</v>
      </c>
      <c r="K62" s="52" t="n">
        <f aca="false">(K61)*(1+B2Ret)</f>
        <v>0</v>
      </c>
      <c r="L62" s="52" t="n">
        <f aca="false">(L61)*(1+B3Ret)</f>
        <v>0</v>
      </c>
      <c r="M62" s="52" t="n">
        <f aca="false">(M61)*(1+B1Ret)-($D$9*12*(1+Inflation)^(A62-1))</f>
        <v>93075051.1418968</v>
      </c>
      <c r="N62" s="52" t="n">
        <f aca="false">(N61)*(1+B2Ret)</f>
        <v>0</v>
      </c>
      <c r="O62" s="52" t="n">
        <f aca="false">(O61)*(1+B3Ret)</f>
        <v>1530452552.63872</v>
      </c>
    </row>
    <row r="63" customFormat="false" ht="15" hidden="false" customHeight="false" outlineLevel="0" collapsed="false">
      <c r="A63" s="46" t="n">
        <v>50</v>
      </c>
      <c r="B63" s="46" t="n">
        <f aca="false">Age+A63-1</f>
        <v>111</v>
      </c>
      <c r="C63" s="47" t="n">
        <f aca="false">J63+K63+L63</f>
        <v>-1795334559.18486</v>
      </c>
      <c r="D63" s="47" t="n">
        <f aca="false">C63/(1+Inflation)^A63</f>
        <v>-60947585.6893496</v>
      </c>
      <c r="E63" s="52" t="str">
        <f aca="false">IF(C63&gt;0,"OK","OUT OF MONEY")</f>
        <v>OUT OF MONEY</v>
      </c>
      <c r="F63" s="47" t="n">
        <f aca="false">M63+N63+O63</f>
        <v>1752142355.80879</v>
      </c>
      <c r="G63" s="47" t="n">
        <f aca="false">F63/(1+Inflation)^A63</f>
        <v>59481307.1604218</v>
      </c>
      <c r="H63" s="52" t="str">
        <f aca="false">IF(F63&gt;0,"OK","OUT OF MONEY")</f>
        <v>OK</v>
      </c>
      <c r="I63" s="52"/>
      <c r="J63" s="52" t="n">
        <f aca="false">((J62)*(1+B1Ret)-($D$8*12*(1+Inflation)^(A63-1)))+(MIN(MAX(($D$8*12*(1+Inflation)^(50+1-1)+$D$8*12*(1+Inflation)^(50+2-1)+$D$8*12*(1+Inflation)^(50+3-1)+$D$8*12*(1+Inflation)^(50+4-1)+$D$8*12*(1+Inflation)^(50+5-1))-((J62)*(1+B1Ret)-($D$8*12*(1+Inflation)^(A63-1))),0),(((K62)*(1+B2Ret))+(MIN(MAX(($D$8*12*(1+Inflation)^(50+1-1)+$D$8*12*(1+Inflation)^(50+2-1)+$D$8*12*(1+Inflation)^(50+3-1)+$D$8*12*(1+Inflation)^(50+4-1)+$D$8*12*(1+Inflation)^(50+5-1))-((J62)*(1+B1Ret)-($D$8*12*(1+Inflation)^(A63-1))),0),((L62)*(1+B3Ret)))))))</f>
        <v>-1795334559.18486</v>
      </c>
      <c r="K63" s="52" t="n">
        <f aca="false">(((K62)*(1+B2Ret))+(MIN(MAX(($D$8*12*(1+Inflation)^(50+1-1)+$D$8*12*(1+Inflation)^(50+2-1)+$D$8*12*(1+Inflation)^(50+3-1)+$D$8*12*(1+Inflation)^(50+4-1)+$D$8*12*(1+Inflation)^(50+5-1))-((J62)*(1+B1Ret)-($D$8*12*(1+Inflation)^(A63-1))),0),((L62)*(1+B3Ret)))))-(MIN(MAX(($D$8*12*(1+Inflation)^(50+1-1)+$D$8*12*(1+Inflation)^(50+2-1)+$D$8*12*(1+Inflation)^(50+3-1)+$D$8*12*(1+Inflation)^(50+4-1)+$D$8*12*(1+Inflation)^(50+5-1))-((J62)*(1+B1Ret)-($D$8*12*(1+Inflation)^(A63-1))),0),(((K62)*(1+B2Ret))+(MIN(MAX(($D$8*12*(1+Inflation)^(50+1-1)+$D$8*12*(1+Inflation)^(50+2-1)+$D$8*12*(1+Inflation)^(50+3-1)+$D$8*12*(1+Inflation)^(50+4-1)+$D$8*12*(1+Inflation)^(50+5-1))-((J62)*(1+B1Ret)-($D$8*12*(1+Inflation)^(A63-1))),0),((L62)*(1+B3Ret)))))))</f>
        <v>0</v>
      </c>
      <c r="L63" s="52" t="n">
        <f aca="false">((L62)*(1+B3Ret))-(MIN(MAX(($D$8*12*(1+Inflation)^(50+1-1)+$D$8*12*(1+Inflation)^(50+2-1)+$D$8*12*(1+Inflation)^(50+3-1)+$D$8*12*(1+Inflation)^(50+4-1)+$D$8*12*(1+Inflation)^(50+5-1))-((J62)*(1+B1Ret)-($D$8*12*(1+Inflation)^(A63-1))),0),((L62)*(1+B3Ret))))</f>
        <v>0</v>
      </c>
      <c r="M63" s="52" t="n">
        <f aca="false">((M62)*(1+B1Ret)-($D$9*12*(1+Inflation)^(A63-1)))+(MIN(MAX(($D$9*12*(1+Inflation)^(50+1-1)+$D$9*12*(1+Inflation)^(50+2-1)+$D$9*12*(1+Inflation)^(50+3-1)+$D$9*12*(1+Inflation)^(50+4-1)+$D$9*12*(1+Inflation)^(50+5-1))-((M62)*(1+B1Ret)-($D$9*12*(1+Inflation)^(A63-1))),0),(((N62)*(1+B2Ret))+(MIN(MAX(($D$9*12*(1+Inflation)^(50+1-1)+$D$9*12*(1+Inflation)^(50+2-1)+$D$9*12*(1+Inflation)^(50+3-1)+$D$9*12*(1+Inflation)^(50+4-1)+$D$9*12*(1+Inflation)^(50+5-1))-((M62)*(1+B1Ret)-($D$9*12*(1+Inflation)^(A63-1))),0),((O62)*(1+B3Ret)))))))</f>
        <v>284591434.089904</v>
      </c>
      <c r="N63" s="52" t="n">
        <f aca="false">(((N62)*(1+B2Ret))+(MIN(MAX(($D$9*12*(1+Inflation)^(50+1-1)+$D$9*12*(1+Inflation)^(50+2-1)+$D$9*12*(1+Inflation)^(50+3-1)+$D$9*12*(1+Inflation)^(50+4-1)+$D$9*12*(1+Inflation)^(50+5-1))-((M62)*(1+B1Ret)-($D$9*12*(1+Inflation)^(A63-1))),0),((O62)*(1+B3Ret)))))-(MIN(MAX(($D$9*12*(1+Inflation)^(50+1-1)+$D$9*12*(1+Inflation)^(50+2-1)+$D$9*12*(1+Inflation)^(50+3-1)+$D$9*12*(1+Inflation)^(50+4-1)+$D$9*12*(1+Inflation)^(50+5-1))-((M62)*(1+B1Ret)-($D$9*12*(1+Inflation)^(A63-1))),0),(((N62)*(1+B2Ret))+(MIN(MAX(($D$9*12*(1+Inflation)^(50+1-1)+$D$9*12*(1+Inflation)^(50+2-1)+$D$9*12*(1+Inflation)^(50+3-1)+$D$9*12*(1+Inflation)^(50+4-1)+$D$9*12*(1+Inflation)^(50+5-1))-((M62)*(1+B1Ret)-($D$9*12*(1+Inflation)^(A63-1))),0),((O62)*(1+B3Ret)))))))</f>
        <v>0</v>
      </c>
      <c r="O63" s="52" t="n">
        <f aca="false">((O62)*(1+B3Ret))-(MIN(MAX(($D$9*12*(1+Inflation)^(50+1-1)+$D$9*12*(1+Inflation)^(50+2-1)+$D$9*12*(1+Inflation)^(50+3-1)+$D$9*12*(1+Inflation)^(50+4-1)+$D$9*12*(1+Inflation)^(50+5-1))-((M62)*(1+B1Ret)-($D$9*12*(1+Inflation)^(A63-1))),0),((O62)*(1+B3Ret))))</f>
        <v>1467550921.71889</v>
      </c>
    </row>
    <row r="64" customFormat="false" ht="15" hidden="false" customHeight="false" outlineLevel="0" collapsed="false">
      <c r="A64" s="46" t="n">
        <v>51</v>
      </c>
      <c r="B64" s="46" t="n">
        <f aca="false">Age+A64-1</f>
        <v>112</v>
      </c>
      <c r="C64" s="47" t="n">
        <f aca="false">J64+K64+L64</f>
        <v>-2009379053.51702</v>
      </c>
      <c r="D64" s="47" t="n">
        <f aca="false">C64/(1+Inflation)^A64</f>
        <v>-63751324.0071066</v>
      </c>
      <c r="E64" s="52" t="str">
        <f aca="false">IF(C64&gt;0,"OK","OUT OF MONEY")</f>
        <v>OUT OF MONEY</v>
      </c>
      <c r="F64" s="47" t="n">
        <f aca="false">M64+N64+O64</f>
        <v>1884006555.4782</v>
      </c>
      <c r="G64" s="47" t="n">
        <f aca="false">F64/(1+Inflation)^A64</f>
        <v>59773646.0622394</v>
      </c>
      <c r="H64" s="52" t="str">
        <f aca="false">IF(F64&gt;0,"OK","OUT OF MONEY")</f>
        <v>OK</v>
      </c>
      <c r="I64" s="52"/>
      <c r="J64" s="52" t="n">
        <f aca="false">(J63)*(1+B1Ret)-($D$8*12*(1+Inflation)^(A64-1))</f>
        <v>-2009379053.51702</v>
      </c>
      <c r="K64" s="52" t="n">
        <f aca="false">(K63)*(1+B2Ret)</f>
        <v>0</v>
      </c>
      <c r="L64" s="52" t="n">
        <f aca="false">(L63)*(1+B3Ret)</f>
        <v>0</v>
      </c>
      <c r="M64" s="52" t="n">
        <f aca="false">(M63)*(1+B1Ret)-($D$9*12*(1+Inflation)^(A64-1))</f>
        <v>255025032.370237</v>
      </c>
      <c r="N64" s="52" t="n">
        <f aca="false">(N63)*(1+B2Ret)</f>
        <v>0</v>
      </c>
      <c r="O64" s="52" t="n">
        <f aca="false">(O63)*(1+B3Ret)</f>
        <v>1628981523.10797</v>
      </c>
    </row>
    <row r="65" customFormat="false" ht="15" hidden="false" customHeight="false" outlineLevel="0" collapsed="false">
      <c r="A65" s="46" t="n">
        <v>52</v>
      </c>
      <c r="B65" s="46" t="n">
        <f aca="false">Age+A65-1</f>
        <v>113</v>
      </c>
      <c r="C65" s="47" t="n">
        <f aca="false">J65+K65+L65</f>
        <v>-2244592637.71567</v>
      </c>
      <c r="D65" s="47" t="n">
        <f aca="false">C65/(1+Inflation)^A65</f>
        <v>-66555062.3248637</v>
      </c>
      <c r="E65" s="52" t="str">
        <f aca="false">IF(C65&gt;0,"OK","OUT OF MONEY")</f>
        <v>OUT OF MONEY</v>
      </c>
      <c r="F65" s="47" t="n">
        <f aca="false">M65+N65+O65</f>
        <v>2028094327.03262</v>
      </c>
      <c r="G65" s="47" t="n">
        <f aca="false">F65/(1+Inflation)^A65</f>
        <v>60135608.6036743</v>
      </c>
      <c r="H65" s="52" t="str">
        <f aca="false">IF(F65&gt;0,"OK","OUT OF MONEY")</f>
        <v>OK</v>
      </c>
      <c r="I65" s="52"/>
      <c r="J65" s="52" t="n">
        <f aca="false">(J64)*(1+B1Ret)-($D$8*12*(1+Inflation)^(A65-1))</f>
        <v>-2244592637.71567</v>
      </c>
      <c r="K65" s="52" t="n">
        <f aca="false">(K64)*(1+B2Ret)</f>
        <v>0</v>
      </c>
      <c r="L65" s="52" t="n">
        <f aca="false">(L64)*(1+B3Ret)</f>
        <v>0</v>
      </c>
      <c r="M65" s="52" t="n">
        <f aca="false">(M64)*(1+B1Ret)-($D$9*12*(1+Inflation)^(A65-1))</f>
        <v>219924836.382777</v>
      </c>
      <c r="N65" s="52" t="n">
        <f aca="false">(N64)*(1+B2Ret)</f>
        <v>0</v>
      </c>
      <c r="O65" s="52" t="n">
        <f aca="false">(O64)*(1+B3Ret)</f>
        <v>1808169490.64984</v>
      </c>
    </row>
    <row r="66" customFormat="false" ht="15" hidden="false" customHeight="false" outlineLevel="0" collapsed="false">
      <c r="A66" s="46" t="n">
        <v>53</v>
      </c>
      <c r="B66" s="46" t="n">
        <f aca="false">Age+A66-1</f>
        <v>114</v>
      </c>
      <c r="C66" s="47" t="n">
        <f aca="false">J66+K66+L66</f>
        <v>-2502890166.3399</v>
      </c>
      <c r="D66" s="47" t="n">
        <f aca="false">C66/(1+Inflation)^A66</f>
        <v>-69358800.6426207</v>
      </c>
      <c r="E66" s="52" t="str">
        <f aca="false">IF(C66&gt;0,"OK","OUT OF MONEY")</f>
        <v>OUT OF MONEY</v>
      </c>
      <c r="F66" s="47" t="n">
        <f aca="false">M66+N66+O66</f>
        <v>2185729124.91978</v>
      </c>
      <c r="G66" s="47" t="n">
        <f aca="false">F66/(1+Inflation)^A66</f>
        <v>60569797.5376093</v>
      </c>
      <c r="H66" s="52" t="str">
        <f aca="false">IF(F66&gt;0,"OK","OUT OF MONEY")</f>
        <v>OK</v>
      </c>
      <c r="I66" s="52"/>
      <c r="J66" s="52" t="n">
        <f aca="false">(J65)*(1+B1Ret)-($D$8*12*(1+Inflation)^(A66-1))</f>
        <v>-2502890166.3399</v>
      </c>
      <c r="K66" s="52" t="n">
        <f aca="false">(K65)*(1+B2Ret)</f>
        <v>0</v>
      </c>
      <c r="L66" s="52" t="n">
        <f aca="false">(L65)*(1+B3Ret)</f>
        <v>0</v>
      </c>
      <c r="M66" s="52" t="n">
        <f aca="false">(M65)*(1+B1Ret)-($D$9*12*(1+Inflation)^(A66-1))</f>
        <v>178660990.298458</v>
      </c>
      <c r="N66" s="52" t="n">
        <f aca="false">(N65)*(1+B2Ret)</f>
        <v>0</v>
      </c>
      <c r="O66" s="52" t="n">
        <f aca="false">(O65)*(1+B3Ret)</f>
        <v>2007068134.62133</v>
      </c>
    </row>
    <row r="67" customFormat="false" ht="15" hidden="false" customHeight="false" outlineLevel="0" collapsed="false">
      <c r="A67" s="46" t="n">
        <v>54</v>
      </c>
      <c r="B67" s="46" t="n">
        <f aca="false">Age+A67-1</f>
        <v>115</v>
      </c>
      <c r="C67" s="47" t="n">
        <f aca="false">J67+K67+L67</f>
        <v>-2786350845.04671</v>
      </c>
      <c r="D67" s="47" t="n">
        <f aca="false">C67/(1+Inflation)^A67</f>
        <v>-72162538.9603777</v>
      </c>
      <c r="E67" s="52" t="str">
        <f aca="false">IF(C67&gt;0,"OK","OUT OF MONEY")</f>
        <v>OUT OF MONEY</v>
      </c>
      <c r="F67" s="47" t="n">
        <f aca="false">M67+N67+O67</f>
        <v>2358388203.49373</v>
      </c>
      <c r="G67" s="47" t="n">
        <f aca="false">F67/(1+Inflation)^A67</f>
        <v>61078912.9161006</v>
      </c>
      <c r="H67" s="52" t="str">
        <f aca="false">IF(F67&gt;0,"OK","OUT OF MONEY")</f>
        <v>OK</v>
      </c>
      <c r="I67" s="52"/>
      <c r="J67" s="52" t="n">
        <f aca="false">(J66)*(1+B1Ret)-($D$8*12*(1+Inflation)^(A67-1))</f>
        <v>-2786350845.04671</v>
      </c>
      <c r="K67" s="52" t="n">
        <f aca="false">(K66)*(1+B2Ret)</f>
        <v>0</v>
      </c>
      <c r="L67" s="52" t="n">
        <f aca="false">(L66)*(1+B3Ret)</f>
        <v>0</v>
      </c>
      <c r="M67" s="52" t="n">
        <f aca="false">(M66)*(1+B1Ret)-($D$9*12*(1+Inflation)^(A67-1))</f>
        <v>130542574.064058</v>
      </c>
      <c r="N67" s="52" t="n">
        <f aca="false">(N66)*(1+B2Ret)</f>
        <v>0</v>
      </c>
      <c r="O67" s="52" t="n">
        <f aca="false">(O66)*(1+B3Ret)</f>
        <v>2227845629.42967</v>
      </c>
    </row>
    <row r="68" customFormat="false" ht="15" hidden="false" customHeight="false" outlineLevel="0" collapsed="false">
      <c r="A68" s="46" t="n">
        <v>55</v>
      </c>
      <c r="B68" s="46" t="n">
        <f aca="false">Age+A68-1</f>
        <v>116</v>
      </c>
      <c r="C68" s="47" t="n">
        <f aca="false">J68+K68+L68</f>
        <v>-3097231856.95741</v>
      </c>
      <c r="D68" s="47" t="n">
        <f aca="false">C68/(1+Inflation)^A68</f>
        <v>-74966277.2781347</v>
      </c>
      <c r="E68" s="52" t="str">
        <f aca="false">IF(C68&gt;0,"OK","OUT OF MONEY")</f>
        <v>OUT OF MONEY</v>
      </c>
      <c r="F68" s="47" t="n">
        <f aca="false">M68+N68+O68</f>
        <v>2547720789.37132</v>
      </c>
      <c r="G68" s="47" t="n">
        <f aca="false">F68/(1+Inflation)^A68</f>
        <v>61665755.7277296</v>
      </c>
      <c r="H68" s="52" t="str">
        <f aca="false">IF(F68&gt;0,"OK","OUT OF MONEY")</f>
        <v>OK</v>
      </c>
      <c r="I68" s="52"/>
      <c r="J68" s="52" t="n">
        <f aca="false">((J67)*(1+B1Ret)-($D$8*12*(1+Inflation)^(A68-1)))+(MIN(MAX(($D$8*12*(1+Inflation)^(55+1-1)+$D$8*12*(1+Inflation)^(55+2-1)+$D$8*12*(1+Inflation)^(55+3-1)+$D$8*12*(1+Inflation)^(55+4-1)+$D$8*12*(1+Inflation)^(55+5-1))-((J67)*(1+B1Ret)-($D$8*12*(1+Inflation)^(A68-1))),0),(((K67)*(1+B2Ret))+(MIN(MAX(($D$8*12*(1+Inflation)^(55+1-1)+$D$8*12*(1+Inflation)^(55+2-1)+$D$8*12*(1+Inflation)^(55+3-1)+$D$8*12*(1+Inflation)^(55+4-1)+$D$8*12*(1+Inflation)^(55+5-1))-((J67)*(1+B1Ret)-($D$8*12*(1+Inflation)^(A68-1))),0),((L67)*(1+B3Ret)))))))</f>
        <v>-3097231856.95741</v>
      </c>
      <c r="K68" s="52" t="n">
        <f aca="false">(((K67)*(1+B2Ret))+(MIN(MAX(($D$8*12*(1+Inflation)^(55+1-1)+$D$8*12*(1+Inflation)^(55+2-1)+$D$8*12*(1+Inflation)^(55+3-1)+$D$8*12*(1+Inflation)^(55+4-1)+$D$8*12*(1+Inflation)^(55+5-1))-((J67)*(1+B1Ret)-($D$8*12*(1+Inflation)^(A68-1))),0),((L67)*(1+B3Ret)))))-(MIN(MAX(($D$8*12*(1+Inflation)^(55+1-1)+$D$8*12*(1+Inflation)^(55+2-1)+$D$8*12*(1+Inflation)^(55+3-1)+$D$8*12*(1+Inflation)^(55+4-1)+$D$8*12*(1+Inflation)^(55+5-1))-((J67)*(1+B1Ret)-($D$8*12*(1+Inflation)^(A68-1))),0),(((K67)*(1+B2Ret))+(MIN(MAX(($D$8*12*(1+Inflation)^(55+1-1)+$D$8*12*(1+Inflation)^(55+2-1)+$D$8*12*(1+Inflation)^(55+3-1)+$D$8*12*(1+Inflation)^(55+4-1)+$D$8*12*(1+Inflation)^(55+5-1))-((J67)*(1+B1Ret)-($D$8*12*(1+Inflation)^(A68-1))),0),((L67)*(1+B3Ret)))))))</f>
        <v>0</v>
      </c>
      <c r="L68" s="52" t="n">
        <f aca="false">((L67)*(1+B3Ret))-(MIN(MAX(($D$8*12*(1+Inflation)^(55+1-1)+$D$8*12*(1+Inflation)^(55+2-1)+$D$8*12*(1+Inflation)^(55+3-1)+$D$8*12*(1+Inflation)^(55+4-1)+$D$8*12*(1+Inflation)^(55+5-1))-((J67)*(1+B1Ret)-($D$8*12*(1+Inflation)^(A68-1))),0),((L67)*(1+B3Ret))))</f>
        <v>0</v>
      </c>
      <c r="M68" s="52" t="n">
        <f aca="false">((M67)*(1+B1Ret)-($D$9*12*(1+Inflation)^(A68-1)))+(MIN(MAX(($D$9*12*(1+Inflation)^(55+1-1)+$D$9*12*(1+Inflation)^(55+2-1)+$D$9*12*(1+Inflation)^(55+3-1)+$D$9*12*(1+Inflation)^(55+4-1)+$D$9*12*(1+Inflation)^(55+5-1))-((M67)*(1+B1Ret)-($D$9*12*(1+Inflation)^(A68-1))),0),(((N67)*(1+B2Ret))+(MIN(MAX(($D$9*12*(1+Inflation)^(55+1-1)+$D$9*12*(1+Inflation)^(55+2-1)+$D$9*12*(1+Inflation)^(55+3-1)+$D$9*12*(1+Inflation)^(55+4-1)+$D$9*12*(1+Inflation)^(55+5-1))-((M67)*(1+B1Ret)-($D$9*12*(1+Inflation)^(A68-1))),0),((O67)*(1+B3Ret)))))))</f>
        <v>399154208.42519</v>
      </c>
      <c r="N68" s="52" t="n">
        <f aca="false">(((N67)*(1+B2Ret))+(MIN(MAX(($D$9*12*(1+Inflation)^(55+1-1)+$D$9*12*(1+Inflation)^(55+2-1)+$D$9*12*(1+Inflation)^(55+3-1)+$D$9*12*(1+Inflation)^(55+4-1)+$D$9*12*(1+Inflation)^(55+5-1))-((M67)*(1+B1Ret)-($D$9*12*(1+Inflation)^(A68-1))),0),((O67)*(1+B3Ret)))))-(MIN(MAX(($D$9*12*(1+Inflation)^(55+1-1)+$D$9*12*(1+Inflation)^(55+2-1)+$D$9*12*(1+Inflation)^(55+3-1)+$D$9*12*(1+Inflation)^(55+4-1)+$D$9*12*(1+Inflation)^(55+5-1))-((M67)*(1+B1Ret)-($D$9*12*(1+Inflation)^(A68-1))),0),(((N67)*(1+B2Ret))+(MIN(MAX(($D$9*12*(1+Inflation)^(55+1-1)+$D$9*12*(1+Inflation)^(55+2-1)+$D$9*12*(1+Inflation)^(55+3-1)+$D$9*12*(1+Inflation)^(55+4-1)+$D$9*12*(1+Inflation)^(55+5-1))-((M67)*(1+B1Ret)-($D$9*12*(1+Inflation)^(A68-1))),0),((O67)*(1+B3Ret)))))))</f>
        <v>0</v>
      </c>
      <c r="O68" s="52" t="n">
        <f aca="false">((O67)*(1+B3Ret))-(MIN(MAX(($D$9*12*(1+Inflation)^(55+1-1)+$D$9*12*(1+Inflation)^(55+2-1)+$D$9*12*(1+Inflation)^(55+3-1)+$D$9*12*(1+Inflation)^(55+4-1)+$D$9*12*(1+Inflation)^(55+5-1))-((M67)*(1+B1Ret)-($D$9*12*(1+Inflation)^(A68-1))),0),((O67)*(1+B3Ret))))</f>
        <v>2148566580.94613</v>
      </c>
    </row>
    <row r="69" customFormat="false" ht="15" hidden="false" customHeight="false" outlineLevel="0" collapsed="false">
      <c r="A69" s="46" t="n">
        <v>56</v>
      </c>
      <c r="B69" s="46" t="n">
        <f aca="false">Age+A69-1</f>
        <v>117</v>
      </c>
      <c r="C69" s="47" t="n">
        <f aca="false">J69+K69+L69</f>
        <v>-3437983091.39489</v>
      </c>
      <c r="D69" s="47" t="n">
        <f aca="false">C69/(1+Inflation)^A69</f>
        <v>-77770015.5958917</v>
      </c>
      <c r="E69" s="52" t="str">
        <f aca="false">IF(C69&gt;0,"OK","OUT OF MONEY")</f>
        <v>OUT OF MONEY</v>
      </c>
      <c r="F69" s="47" t="n">
        <f aca="false">M69+N69+O69</f>
        <v>2742594705.3729</v>
      </c>
      <c r="G69" s="47" t="n">
        <f aca="false">F69/(1+Inflation)^A69</f>
        <v>62039756.2582316</v>
      </c>
      <c r="H69" s="52" t="str">
        <f aca="false">IF(F69&gt;0,"OK","OUT OF MONEY")</f>
        <v>OK</v>
      </c>
      <c r="I69" s="52"/>
      <c r="J69" s="52" t="n">
        <f aca="false">(J68)*(1+B1Ret)-($D$8*12*(1+Inflation)^(A69-1))</f>
        <v>-3437983091.39489</v>
      </c>
      <c r="K69" s="52" t="n">
        <f aca="false">(K68)*(1+B2Ret)</f>
        <v>0</v>
      </c>
      <c r="L69" s="52" t="n">
        <f aca="false">(L68)*(1+B3Ret)</f>
        <v>0</v>
      </c>
      <c r="M69" s="52" t="n">
        <f aca="false">(M68)*(1+B1Ret)-($D$9*12*(1+Inflation)^(A69-1))</f>
        <v>357685800.5227</v>
      </c>
      <c r="N69" s="52" t="n">
        <f aca="false">(N68)*(1+B2Ret)</f>
        <v>0</v>
      </c>
      <c r="O69" s="52" t="n">
        <f aca="false">(O68)*(1+B3Ret)</f>
        <v>2384908904.8502</v>
      </c>
    </row>
    <row r="70" customFormat="false" ht="15" hidden="false" customHeight="false" outlineLevel="0" collapsed="false">
      <c r="A70" s="46" t="n">
        <v>57</v>
      </c>
      <c r="B70" s="46" t="n">
        <f aca="false">Age+A70-1</f>
        <v>118</v>
      </c>
      <c r="C70" s="47" t="n">
        <f aca="false">J70+K70+L70</f>
        <v>-3811263062.55451</v>
      </c>
      <c r="D70" s="47" t="n">
        <f aca="false">C70/(1+Inflation)^A70</f>
        <v>-80573753.9136487</v>
      </c>
      <c r="E70" s="52" t="str">
        <f aca="false">IF(C70&gt;0,"OK","OUT OF MONEY")</f>
        <v>OUT OF MONEY</v>
      </c>
      <c r="F70" s="47" t="n">
        <f aca="false">M70+N70+O70</f>
        <v>2955704844.2763</v>
      </c>
      <c r="G70" s="47" t="n">
        <f aca="false">F70/(1+Inflation)^A70</f>
        <v>62486433.1995167</v>
      </c>
      <c r="H70" s="52" t="str">
        <f aca="false">IF(F70&gt;0,"OK","OUT OF MONEY")</f>
        <v>OK</v>
      </c>
      <c r="I70" s="52"/>
      <c r="J70" s="52" t="n">
        <f aca="false">(J69)*(1+B1Ret)-($D$8*12*(1+Inflation)^(A70-1))</f>
        <v>-3811263062.55451</v>
      </c>
      <c r="K70" s="52" t="n">
        <f aca="false">(K69)*(1+B2Ret)</f>
        <v>0</v>
      </c>
      <c r="L70" s="52" t="n">
        <f aca="false">(L69)*(1+B3Ret)</f>
        <v>0</v>
      </c>
      <c r="M70" s="52" t="n">
        <f aca="false">(M69)*(1+B1Ret)-($D$9*12*(1+Inflation)^(A70-1))</f>
        <v>308455959.892578</v>
      </c>
      <c r="N70" s="52" t="n">
        <f aca="false">(N69)*(1+B2Ret)</f>
        <v>0</v>
      </c>
      <c r="O70" s="52" t="n">
        <f aca="false">(O69)*(1+B3Ret)</f>
        <v>2647248884.38372</v>
      </c>
    </row>
    <row r="71" customFormat="false" ht="15" hidden="false" customHeight="false" outlineLevel="0" collapsed="false">
      <c r="A71" s="46" t="n">
        <v>58</v>
      </c>
      <c r="B71" s="46" t="n">
        <f aca="false">Age+A71-1</f>
        <v>119</v>
      </c>
      <c r="C71" s="47" t="n">
        <f aca="false">J71+K71+L71</f>
        <v>-4219956112.52865</v>
      </c>
      <c r="D71" s="47" t="n">
        <f aca="false">C71/(1+Inflation)^A71</f>
        <v>-83377492.2314057</v>
      </c>
      <c r="E71" s="52" t="str">
        <f aca="false">IF(C71&gt;0,"OK","OUT OF MONEY")</f>
        <v>OUT OF MONEY</v>
      </c>
      <c r="F71" s="47" t="n">
        <f aca="false">M71+N71+O71</f>
        <v>3189027542.81761</v>
      </c>
      <c r="G71" s="47" t="n">
        <f aca="false">F71/(1+Inflation)^A71</f>
        <v>63008503.4267543</v>
      </c>
      <c r="H71" s="52" t="str">
        <f aca="false">IF(F71&gt;0,"OK","OUT OF MONEY")</f>
        <v>OK</v>
      </c>
      <c r="I71" s="52"/>
      <c r="J71" s="52" t="n">
        <f aca="false">(J70)*(1+B1Ret)-($D$8*12*(1+Inflation)^(A71-1))</f>
        <v>-4219956112.52865</v>
      </c>
      <c r="K71" s="52" t="n">
        <f aca="false">(K70)*(1+B2Ret)</f>
        <v>0</v>
      </c>
      <c r="L71" s="52" t="n">
        <f aca="false">(L70)*(1+B3Ret)</f>
        <v>0</v>
      </c>
      <c r="M71" s="52" t="n">
        <f aca="false">(M70)*(1+B1Ret)-($D$9*12*(1+Inflation)^(A71-1))</f>
        <v>250581281.151678</v>
      </c>
      <c r="N71" s="52" t="n">
        <f aca="false">(N70)*(1+B2Ret)</f>
        <v>0</v>
      </c>
      <c r="O71" s="52" t="n">
        <f aca="false">(O70)*(1+B3Ret)</f>
        <v>2938446261.66593</v>
      </c>
    </row>
    <row r="72" customFormat="false" ht="15" hidden="false" customHeight="false" outlineLevel="0" collapsed="false">
      <c r="A72" s="46" t="n">
        <v>59</v>
      </c>
      <c r="B72" s="46" t="n">
        <f aca="false">Age+A72-1</f>
        <v>120</v>
      </c>
      <c r="C72" s="47" t="n">
        <f aca="false">J72+K72+L72</f>
        <v>-4667191000.49265</v>
      </c>
      <c r="D72" s="47" t="n">
        <f aca="false">C72/(1+Inflation)^A72</f>
        <v>-86181230.5491627</v>
      </c>
      <c r="E72" s="52" t="str">
        <f aca="false">IF(C72&gt;0,"OK","OUT OF MONEY")</f>
        <v>OUT OF MONEY</v>
      </c>
      <c r="F72" s="47" t="n">
        <f aca="false">M72+N72+O72</f>
        <v>3444768063.63276</v>
      </c>
      <c r="G72" s="47" t="n">
        <f aca="false">F72/(1+Inflation)^A72</f>
        <v>63608785.3805406</v>
      </c>
      <c r="H72" s="52" t="str">
        <f aca="false">IF(F72&gt;0,"OK","OUT OF MONEY")</f>
        <v>OK</v>
      </c>
      <c r="I72" s="52"/>
      <c r="J72" s="52" t="n">
        <f aca="false">(J71)*(1+B1Ret)-($D$8*12*(1+Inflation)^(A72-1))</f>
        <v>-4667191000.49265</v>
      </c>
      <c r="K72" s="52" t="n">
        <f aca="false">(K71)*(1+B2Ret)</f>
        <v>0</v>
      </c>
      <c r="L72" s="52" t="n">
        <f aca="false">(L71)*(1+B3Ret)</f>
        <v>0</v>
      </c>
      <c r="M72" s="52" t="n">
        <f aca="false">(M71)*(1+B1Ret)-($D$9*12*(1+Inflation)^(A72-1))</f>
        <v>183092713.183578</v>
      </c>
      <c r="N72" s="52" t="n">
        <f aca="false">(N71)*(1+B2Ret)</f>
        <v>0</v>
      </c>
      <c r="O72" s="52" t="n">
        <f aca="false">(O71)*(1+B3Ret)</f>
        <v>3261675350.44918</v>
      </c>
    </row>
    <row r="73" customFormat="false" ht="15" hidden="false" customHeight="false" outlineLevel="0" collapsed="false">
      <c r="A73" s="46" t="n">
        <v>60</v>
      </c>
      <c r="B73" s="46" t="n">
        <f aca="false">Age+A73-1</f>
        <v>121</v>
      </c>
      <c r="C73" s="47" t="n">
        <f aca="false">J73+K73+L73</f>
        <v>-5156360987.82022</v>
      </c>
      <c r="D73" s="47" t="n">
        <f aca="false">C73/(1+Inflation)^A73</f>
        <v>-88984968.8669197</v>
      </c>
      <c r="E73" s="52" t="str">
        <f aca="false">IF(C73&gt;0,"OK","OUT OF MONEY")</f>
        <v>OUT OF MONEY</v>
      </c>
      <c r="F73" s="47" t="n">
        <f aca="false">M73+N73+O73</f>
        <v>3725387536.42089</v>
      </c>
      <c r="G73" s="47" t="n">
        <f aca="false">F73/(1+Inflation)^A73</f>
        <v>64290202.8637375</v>
      </c>
      <c r="H73" s="52" t="str">
        <f aca="false">IF(F73&gt;0,"OK","OUT OF MONEY")</f>
        <v>OK</v>
      </c>
      <c r="I73" s="52"/>
      <c r="J73" s="52" t="n">
        <f aca="false">((J72)*(1+B1Ret)-($D$8*12*(1+Inflation)^(A73-1)))+(MIN(MAX(($D$8*12*(1+Inflation)^(60+1-1)+$D$8*12*(1+Inflation)^(60+2-1)+$D$8*12*(1+Inflation)^(60+3-1)+$D$8*12*(1+Inflation)^(60+4-1)+$D$8*12*(1+Inflation)^(60+5-1))-((J72)*(1+B1Ret)-($D$8*12*(1+Inflation)^(A73-1))),0),(((K72)*(1+B2Ret))+(MIN(MAX(($D$8*12*(1+Inflation)^(60+1-1)+$D$8*12*(1+Inflation)^(60+2-1)+$D$8*12*(1+Inflation)^(60+3-1)+$D$8*12*(1+Inflation)^(60+4-1)+$D$8*12*(1+Inflation)^(60+5-1))-((J72)*(1+B1Ret)-($D$8*12*(1+Inflation)^(A73-1))),0),((L72)*(1+B3Ret)))))))</f>
        <v>-5156360987.82022</v>
      </c>
      <c r="K73" s="52" t="n">
        <f aca="false">(((K72)*(1+B2Ret))+(MIN(MAX(($D$8*12*(1+Inflation)^(60+1-1)+$D$8*12*(1+Inflation)^(60+2-1)+$D$8*12*(1+Inflation)^(60+3-1)+$D$8*12*(1+Inflation)^(60+4-1)+$D$8*12*(1+Inflation)^(60+5-1))-((J72)*(1+B1Ret)-($D$8*12*(1+Inflation)^(A73-1))),0),((L72)*(1+B3Ret)))))-(MIN(MAX(($D$8*12*(1+Inflation)^(60+1-1)+$D$8*12*(1+Inflation)^(60+2-1)+$D$8*12*(1+Inflation)^(60+3-1)+$D$8*12*(1+Inflation)^(60+4-1)+$D$8*12*(1+Inflation)^(60+5-1))-((J72)*(1+B1Ret)-($D$8*12*(1+Inflation)^(A73-1))),0),(((K72)*(1+B2Ret))+(MIN(MAX(($D$8*12*(1+Inflation)^(60+1-1)+$D$8*12*(1+Inflation)^(60+2-1)+$D$8*12*(1+Inflation)^(60+3-1)+$D$8*12*(1+Inflation)^(60+4-1)+$D$8*12*(1+Inflation)^(60+5-1))-((J72)*(1+B1Ret)-($D$8*12*(1+Inflation)^(A73-1))),0),((L72)*(1+B3Ret)))))))</f>
        <v>0</v>
      </c>
      <c r="L73" s="52" t="n">
        <f aca="false">((L72)*(1+B3Ret))-(MIN(MAX(($D$8*12*(1+Inflation)^(60+1-1)+$D$8*12*(1+Inflation)^(60+2-1)+$D$8*12*(1+Inflation)^(60+3-1)+$D$8*12*(1+Inflation)^(60+4-1)+$D$8*12*(1+Inflation)^(60+5-1))-((J72)*(1+B1Ret)-($D$8*12*(1+Inflation)^(A73-1))),0),((L72)*(1+B3Ret))))</f>
        <v>0</v>
      </c>
      <c r="M73" s="52" t="n">
        <f aca="false">((M72)*(1+B1Ret)-($D$9*12*(1+Inflation)^(A73-1)))+(MIN(MAX(($D$9*12*(1+Inflation)^(60+1-1)+$D$9*12*(1+Inflation)^(60+2-1)+$D$9*12*(1+Inflation)^(60+3-1)+$D$9*12*(1+Inflation)^(60+4-1)+$D$9*12*(1+Inflation)^(60+5-1))-((M72)*(1+B1Ret)-($D$9*12*(1+Inflation)^(A73-1))),0),(((N72)*(1+B2Ret))+(MIN(MAX(($D$9*12*(1+Inflation)^(60+1-1)+$D$9*12*(1+Inflation)^(60+2-1)+$D$9*12*(1+Inflation)^(60+3-1)+$D$9*12*(1+Inflation)^(60+4-1)+$D$9*12*(1+Inflation)^(60+5-1))-((M72)*(1+B1Ret)-($D$9*12*(1+Inflation)^(A73-1))),0),((O72)*(1+B3Ret)))))))</f>
        <v>559834425.842939</v>
      </c>
      <c r="N73" s="52" t="n">
        <f aca="false">(((N72)*(1+B2Ret))+(MIN(MAX(($D$9*12*(1+Inflation)^(60+1-1)+$D$9*12*(1+Inflation)^(60+2-1)+$D$9*12*(1+Inflation)^(60+3-1)+$D$9*12*(1+Inflation)^(60+4-1)+$D$9*12*(1+Inflation)^(60+5-1))-((M72)*(1+B1Ret)-($D$9*12*(1+Inflation)^(A73-1))),0),((O72)*(1+B3Ret)))))-(MIN(MAX(($D$9*12*(1+Inflation)^(60+1-1)+$D$9*12*(1+Inflation)^(60+2-1)+$D$9*12*(1+Inflation)^(60+3-1)+$D$9*12*(1+Inflation)^(60+4-1)+$D$9*12*(1+Inflation)^(60+5-1))-((M72)*(1+B1Ret)-($D$9*12*(1+Inflation)^(A73-1))),0),(((N72)*(1+B2Ret))+(MIN(MAX(($D$9*12*(1+Inflation)^(60+1-1)+$D$9*12*(1+Inflation)^(60+2-1)+$D$9*12*(1+Inflation)^(60+3-1)+$D$9*12*(1+Inflation)^(60+4-1)+$D$9*12*(1+Inflation)^(60+5-1))-((M72)*(1+B1Ret)-($D$9*12*(1+Inflation)^(A73-1))),0),((O72)*(1+B3Ret)))))))</f>
        <v>0</v>
      </c>
      <c r="O73" s="52" t="n">
        <f aca="false">((O72)*(1+B3Ret))-(MIN(MAX(($D$9*12*(1+Inflation)^(60+1-1)+$D$9*12*(1+Inflation)^(60+2-1)+$D$9*12*(1+Inflation)^(60+3-1)+$D$9*12*(1+Inflation)^(60+4-1)+$D$9*12*(1+Inflation)^(60+5-1))-((M72)*(1+B1Ret)-($D$9*12*(1+Inflation)^(A73-1))),0),((O72)*(1+B3Ret))))</f>
        <v>3165553110.57796</v>
      </c>
    </row>
    <row r="75" customFormat="false" ht="19.5" hidden="false" customHeight="true" outlineLevel="0" collapsed="false">
      <c r="B75" s="2" t="s">
        <v>238</v>
      </c>
      <c r="C75" s="2"/>
      <c r="D75" s="2"/>
      <c r="E75" s="2"/>
      <c r="F75" s="2"/>
      <c r="G75" s="2"/>
      <c r="H75" s="2"/>
    </row>
    <row r="76" customFormat="false" ht="15" hidden="false" customHeight="false" outlineLevel="0" collapsed="false">
      <c r="B76" s="14" t="s">
        <v>255</v>
      </c>
      <c r="D76" s="53" t="n">
        <f aca="false">IFERROR(MATCH(TRUE(),INDEX(C14:C73&lt;=0,0),0),"Lasts full "&amp;60&amp;" yrs")</f>
        <v>29</v>
      </c>
      <c r="F76" s="14" t="s">
        <v>256</v>
      </c>
      <c r="G76" s="54" t="str">
        <f aca="false">IF(MIN(F14:F73)&gt;0,"YES","NO - reduce further")</f>
        <v>YES</v>
      </c>
    </row>
    <row r="77" customFormat="false" ht="15" hidden="false" customHeight="false" outlineLevel="0" collapsed="false">
      <c r="B77" s="14" t="s">
        <v>257</v>
      </c>
      <c r="D77" s="28" t="n">
        <f aca="false">D73</f>
        <v>-88984968.8669197</v>
      </c>
      <c r="F77" s="14" t="s">
        <v>258</v>
      </c>
      <c r="G77" s="28" t="n">
        <f aca="false">G73</f>
        <v>64290202.8637375</v>
      </c>
    </row>
    <row r="78" customFormat="false" ht="15" hidden="false" customHeight="false" outlineLevel="0" collapsed="false">
      <c r="F78" s="8" t="s">
        <v>259</v>
      </c>
      <c r="G78" s="55" t="n">
        <f aca="false">G14</f>
        <v>49878504.6728972</v>
      </c>
    </row>
    <row r="103" customFormat="false" ht="15" hidden="false" customHeight="false" outlineLevel="0" collapsed="false">
      <c r="B103" s="25" t="s">
        <v>260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 customFormat="false" ht="15" hidden="false" customHeight="false" outlineLevel="0" collapsed="false"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customFormat="false" ht="15" hidden="false" customHeight="false" outlineLevel="0" collapsed="false"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customFormat="false" ht="15" hidden="false" customHeight="false" outlineLevel="0" collapsed="false"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customFormat="false" ht="15" hidden="false" customHeight="false" outlineLevel="0" collapsed="false"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</sheetData>
  <mergeCells count="5">
    <mergeCell ref="A1:M1"/>
    <mergeCell ref="B3:M4"/>
    <mergeCell ref="B6:E6"/>
    <mergeCell ref="B75:H75"/>
    <mergeCell ref="B103:L107"/>
  </mergeCells>
  <conditionalFormatting sqref="E14:E73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2">
      <formula>"OUT OF MONEY"</formula>
    </cfRule>
  </conditionalFormatting>
  <conditionalFormatting sqref="H14:H73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2">
      <formula>"OUT OF MONEY"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8" min="3" style="0" width="16"/>
    <col collapsed="false" customWidth="true" hidden="false" outlineLevel="0" max="9" min="9" style="0" width="2"/>
  </cols>
  <sheetData>
    <row r="2" customFormat="false" ht="22.05" hidden="false" customHeight="false" outlineLevel="0" collapsed="false">
      <c r="B2" s="56" t="s">
        <v>261</v>
      </c>
      <c r="C2" s="56"/>
      <c r="D2" s="56"/>
      <c r="E2" s="56"/>
      <c r="F2" s="56"/>
      <c r="G2" s="56"/>
      <c r="H2" s="56"/>
    </row>
    <row r="3" customFormat="false" ht="15" hidden="false" customHeight="false" outlineLevel="0" collapsed="false">
      <c r="B3" s="57" t="s">
        <v>262</v>
      </c>
      <c r="C3" s="57"/>
      <c r="D3" s="57"/>
      <c r="E3" s="57"/>
      <c r="F3" s="57"/>
      <c r="G3" s="57"/>
      <c r="H3" s="57"/>
    </row>
    <row r="4" customFormat="false" ht="15" hidden="false" customHeight="false" outlineLevel="0" collapsed="false">
      <c r="B4" s="58" t="str">
        <f aca="true">TEXT(TODAY(),"dd mmmm yyyy")&amp;"  |  Prepared for a client aged "&amp;Age&amp;"  |  Retirement horizon: "&amp;RetYears&amp;" years"</f>
        <v>31 July 2026  |  Prepared for a client aged 62  |  Retirement horizon: 30 years</v>
      </c>
      <c r="C4" s="58"/>
      <c r="D4" s="58"/>
      <c r="E4" s="58"/>
      <c r="F4" s="58"/>
      <c r="G4" s="58"/>
      <c r="H4" s="58"/>
    </row>
    <row r="6" customFormat="false" ht="19.5" hidden="false" customHeight="true" outlineLevel="0" collapsed="false">
      <c r="B6" s="2" t="s">
        <v>263</v>
      </c>
      <c r="C6" s="2"/>
      <c r="D6" s="2"/>
      <c r="E6" s="2"/>
      <c r="F6" s="2"/>
      <c r="G6" s="2"/>
      <c r="H6" s="2"/>
    </row>
    <row r="7" customFormat="false" ht="15" hidden="false" customHeight="false" outlineLevel="0" collapsed="false">
      <c r="B7" s="14" t="s">
        <v>264</v>
      </c>
      <c r="D7" s="59" t="str">
        <f aca="false">TEXT(Corpus,"₹#,##0")&amp;"  (Gold ₹1 Cr + Cash ₹1 Cr)"</f>
        <v>₹20,000,000  (Gold ₹1 Cr + Cash ₹1 Cr)</v>
      </c>
      <c r="E7" s="59"/>
      <c r="F7" s="59"/>
    </row>
    <row r="8" customFormat="false" ht="15" hidden="false" customHeight="false" outlineLevel="0" collapsed="false">
      <c r="B8" s="14" t="s">
        <v>265</v>
      </c>
      <c r="D8" s="59" t="str">
        <f aca="false">TEXT(MonthlyExp,"₹#,##0")&amp;" per month"</f>
        <v>₹50,000 per month</v>
      </c>
      <c r="E8" s="59"/>
      <c r="F8" s="59"/>
    </row>
    <row r="9" customFormat="false" ht="15" hidden="false" customHeight="false" outlineLevel="0" collapsed="false">
      <c r="B9" s="14" t="s">
        <v>266</v>
      </c>
      <c r="D9" s="59" t="str">
        <f aca="false">TEXT(Inflation,"0.0%")&amp;" per annum"</f>
        <v>7.0% per annum</v>
      </c>
      <c r="E9" s="59"/>
      <c r="F9" s="59"/>
    </row>
    <row r="10" customFormat="false" ht="15" hidden="false" customHeight="false" outlineLevel="0" collapsed="false">
      <c r="B10" s="14" t="s">
        <v>267</v>
      </c>
      <c r="D10" s="59" t="str">
        <f aca="false">TEXT(GrowthReturn,"0.0%")&amp;" per annum"</f>
        <v>11.0% per annum</v>
      </c>
      <c r="E10" s="59"/>
      <c r="F10" s="59"/>
    </row>
    <row r="11" customFormat="false" ht="15" hidden="false" customHeight="false" outlineLevel="0" collapsed="false">
      <c r="B11" s="14" t="s">
        <v>268</v>
      </c>
      <c r="D11" s="59" t="str">
        <f aca="false">RetYears&amp;" years (Age "&amp;Age&amp;" to "&amp;Age+RetYears&amp;")"</f>
        <v>30 years (Age 62 to 92)</v>
      </c>
      <c r="E11" s="59"/>
      <c r="F11" s="59"/>
    </row>
    <row r="13" customFormat="false" ht="19.5" hidden="false" customHeight="true" outlineLevel="0" collapsed="false">
      <c r="B13" s="2" t="s">
        <v>269</v>
      </c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B14" s="14" t="s">
        <v>270</v>
      </c>
      <c r="D14" s="50" t="str">
        <f aca="false">TEXT(Corpus*B1Pct,"₹#,##0")</f>
        <v>₹3,000,000</v>
      </c>
      <c r="E14" s="25" t="s">
        <v>271</v>
      </c>
      <c r="F14" s="25"/>
      <c r="G14" s="25"/>
      <c r="H14" s="25"/>
    </row>
    <row r="15" customFormat="false" ht="15" hidden="false" customHeight="false" outlineLevel="0" collapsed="false">
      <c r="B15" s="14" t="s">
        <v>272</v>
      </c>
      <c r="D15" s="50" t="str">
        <f aca="false">TEXT(Corpus*B2Pct,"₹#,##0")</f>
        <v>₹7,000,000</v>
      </c>
      <c r="E15" s="25" t="s">
        <v>273</v>
      </c>
      <c r="F15" s="25"/>
      <c r="G15" s="25"/>
      <c r="H15" s="25"/>
    </row>
    <row r="16" customFormat="false" ht="15" hidden="false" customHeight="false" outlineLevel="0" collapsed="false">
      <c r="B16" s="14" t="s">
        <v>274</v>
      </c>
      <c r="D16" s="50" t="str">
        <f aca="false">TEXT(Corpus*B3Pct,"₹#,##0")</f>
        <v>₹10,000,000</v>
      </c>
      <c r="E16" s="25" t="s">
        <v>275</v>
      </c>
      <c r="F16" s="25"/>
      <c r="G16" s="25"/>
      <c r="H16" s="25"/>
    </row>
    <row r="18" customFormat="false" ht="19.5" hidden="false" customHeight="true" outlineLevel="0" collapsed="false">
      <c r="B18" s="2" t="s">
        <v>276</v>
      </c>
      <c r="C18" s="2"/>
      <c r="D18" s="2"/>
      <c r="E18" s="2"/>
      <c r="F18" s="2"/>
      <c r="G18" s="2"/>
      <c r="H18" s="2"/>
    </row>
    <row r="19" customFormat="false" ht="22.35" hidden="false" customHeight="false" outlineLevel="0" collapsed="false">
      <c r="B19" s="60" t="s">
        <v>64</v>
      </c>
      <c r="C19" s="60" t="s">
        <v>65</v>
      </c>
      <c r="D19" s="60" t="s">
        <v>277</v>
      </c>
      <c r="E19" s="60" t="s">
        <v>278</v>
      </c>
      <c r="F19" s="60" t="s">
        <v>279</v>
      </c>
      <c r="G19" s="60" t="s">
        <v>252</v>
      </c>
    </row>
    <row r="20" customFormat="false" ht="15" hidden="false" customHeight="false" outlineLevel="0" collapsed="false">
      <c r="B20" s="61" t="n">
        <v>1</v>
      </c>
      <c r="C20" s="61" t="n">
        <f aca="false">'Annual Summary'!B2</f>
        <v>62</v>
      </c>
      <c r="D20" s="62" t="n">
        <f aca="false">'Annual Summary'!E2</f>
        <v>50000</v>
      </c>
      <c r="E20" s="62" t="n">
        <f aca="false">'Annual Summary'!J2</f>
        <v>21411077.6237357</v>
      </c>
      <c r="F20" s="63" t="n">
        <f aca="false">'Annual Summary'!K2</f>
        <v>0.03</v>
      </c>
      <c r="G20" s="64" t="str">
        <f aca="false">'Annual Summary'!L2</f>
        <v>GREEN</v>
      </c>
    </row>
    <row r="21" customFormat="false" ht="15" hidden="false" customHeight="false" outlineLevel="0" collapsed="false">
      <c r="B21" s="61" t="n">
        <v>5</v>
      </c>
      <c r="C21" s="61" t="n">
        <f aca="false">'Annual Summary'!B6</f>
        <v>66</v>
      </c>
      <c r="D21" s="62" t="n">
        <f aca="false">'Annual Summary'!E6</f>
        <v>65539.8005</v>
      </c>
      <c r="E21" s="62" t="n">
        <f aca="false">'Annual Summary'!J6</f>
        <v>28423341.8154933</v>
      </c>
      <c r="F21" s="63" t="n">
        <f aca="false">'Annual Summary'!K6</f>
        <v>0.0297503310590692</v>
      </c>
      <c r="G21" s="64" t="str">
        <f aca="false">'Annual Summary'!L6</f>
        <v>GREEN</v>
      </c>
    </row>
    <row r="22" customFormat="false" ht="15" hidden="false" customHeight="false" outlineLevel="0" collapsed="false">
      <c r="B22" s="61" t="n">
        <v>10</v>
      </c>
      <c r="C22" s="61" t="n">
        <f aca="false">'Annual Summary'!B11</f>
        <v>71</v>
      </c>
      <c r="D22" s="62" t="n">
        <f aca="false">'Annual Summary'!E11</f>
        <v>91922.9606210078</v>
      </c>
      <c r="E22" s="62" t="n">
        <f aca="false">'Annual Summary'!J11</f>
        <v>40887323.6659593</v>
      </c>
      <c r="F22" s="63" t="n">
        <f aca="false">'Annual Summary'!K11</f>
        <v>0.0290839207015788</v>
      </c>
      <c r="G22" s="64" t="str">
        <f aca="false">'Annual Summary'!L11</f>
        <v>GREEN</v>
      </c>
    </row>
    <row r="23" customFormat="false" ht="15" hidden="false" customHeight="false" outlineLevel="0" collapsed="false">
      <c r="B23" s="61" t="n">
        <v>15</v>
      </c>
      <c r="C23" s="61" t="n">
        <f aca="false">'Annual Summary'!B16</f>
        <v>76</v>
      </c>
      <c r="D23" s="62" t="n">
        <f aca="false">'Annual Summary'!E16</f>
        <v>128926.707510062</v>
      </c>
      <c r="E23" s="62" t="n">
        <f aca="false">'Annual Summary'!J16</f>
        <v>59867956.2111481</v>
      </c>
      <c r="F23" s="63" t="n">
        <f aca="false">'Annual Summary'!K16</f>
        <v>0.0279642113065999</v>
      </c>
      <c r="G23" s="64" t="str">
        <f aca="false">'Annual Summary'!L16</f>
        <v>GREEN</v>
      </c>
    </row>
    <row r="24" customFormat="false" ht="15" hidden="false" customHeight="false" outlineLevel="0" collapsed="false">
      <c r="B24" s="61" t="n">
        <v>20</v>
      </c>
      <c r="C24" s="61" t="n">
        <f aca="false">'Annual Summary'!B21</f>
        <v>81</v>
      </c>
      <c r="D24" s="62" t="n">
        <f aca="false">'Annual Summary'!E21</f>
        <v>180826.376751691</v>
      </c>
      <c r="E24" s="62" t="n">
        <f aca="false">'Annual Summary'!J21</f>
        <v>88215081.5399873</v>
      </c>
      <c r="F24" s="63" t="n">
        <f aca="false">'Annual Summary'!K21</f>
        <v>0.0266501925725157</v>
      </c>
      <c r="G24" s="64" t="str">
        <f aca="false">'Annual Summary'!L21</f>
        <v>GREEN</v>
      </c>
    </row>
    <row r="25" customFormat="false" ht="15" hidden="false" customHeight="false" outlineLevel="0" collapsed="false">
      <c r="B25" s="61" t="n">
        <v>25</v>
      </c>
      <c r="C25" s="61" t="n">
        <f aca="false">'Annual Summary'!B26</f>
        <v>86</v>
      </c>
      <c r="D25" s="62" t="n">
        <f aca="false">'Annual Summary'!E26</f>
        <v>253618.347669294</v>
      </c>
      <c r="E25" s="62" t="n">
        <f aca="false">'Annual Summary'!J26</f>
        <v>130893774.854487</v>
      </c>
      <c r="F25" s="63" t="n">
        <f aca="false">'Annual Summary'!K26</f>
        <v>0.0252245325138342</v>
      </c>
      <c r="G25" s="64" t="str">
        <f aca="false">'Annual Summary'!L26</f>
        <v>GREEN</v>
      </c>
    </row>
    <row r="26" customFormat="false" ht="15" hidden="false" customHeight="false" outlineLevel="0" collapsed="false">
      <c r="B26" s="61" t="n">
        <v>30</v>
      </c>
      <c r="C26" s="61" t="n">
        <f aca="false">'Annual Summary'!B31</f>
        <v>91</v>
      </c>
      <c r="D26" s="62" t="n">
        <f aca="false">'Annual Summary'!E31</f>
        <v>355712.852460843</v>
      </c>
      <c r="E26" s="62" t="n">
        <f aca="false">'Annual Summary'!J31</f>
        <v>195702698.629876</v>
      </c>
      <c r="F26" s="63" t="n">
        <f aca="false">'Annual Summary'!K31</f>
        <v>0.0236970402041948</v>
      </c>
      <c r="G26" s="64" t="str">
        <f aca="false">'Annual Summary'!L31</f>
        <v>GREEN</v>
      </c>
    </row>
    <row r="28" customFormat="false" ht="19.5" hidden="false" customHeight="true" outlineLevel="0" collapsed="false">
      <c r="B28" s="2" t="s">
        <v>280</v>
      </c>
      <c r="C28" s="2"/>
      <c r="D28" s="2"/>
      <c r="E28" s="2"/>
      <c r="F28" s="2"/>
      <c r="G28" s="2"/>
      <c r="H28" s="2"/>
    </row>
    <row r="29" customFormat="false" ht="15" hidden="false" customHeight="false" outlineLevel="0" collapsed="false">
      <c r="B29" s="14" t="s">
        <v>281</v>
      </c>
      <c r="D29" s="65" t="n">
        <f aca="false">'Monte Carlo'!D51</f>
        <v>0.975</v>
      </c>
      <c r="E29" s="25" t="str">
        <f aca="false">IF('Monte Carlo'!D51&gt;=0.9,"Excellent — plan is robust across most market conditions",IF('Monte Carlo'!D51&gt;=0.75,"Good — plan holds in most scenarios, review yearly","Caution — consider reducing withdrawal or revising allocation"))</f>
        <v>Excellent — plan is robust across most market conditions</v>
      </c>
      <c r="F29" s="25"/>
      <c r="G29" s="25"/>
      <c r="H29" s="25"/>
    </row>
    <row r="30" customFormat="false" ht="15" hidden="false" customHeight="false" outlineLevel="0" collapsed="false">
      <c r="B30" s="14" t="s">
        <v>282</v>
      </c>
      <c r="D30" s="66" t="n">
        <f aca="false">'Annual Summary'!J31</f>
        <v>195702698.629876</v>
      </c>
    </row>
    <row r="31" customFormat="false" ht="15" hidden="false" customHeight="false" outlineLevel="0" collapsed="false">
      <c r="B31" s="14" t="s">
        <v>283</v>
      </c>
      <c r="D31" s="67" t="str">
        <f aca="false">'Scenario Analysis'!C40</f>
        <v>YES</v>
      </c>
    </row>
    <row r="33" customFormat="false" ht="15" hidden="false" customHeight="true" outlineLevel="0" collapsed="false">
      <c r="B33" s="68" t="s">
        <v>284</v>
      </c>
      <c r="C33" s="68"/>
      <c r="D33" s="68"/>
      <c r="E33" s="68"/>
      <c r="F33" s="68"/>
      <c r="G33" s="68"/>
      <c r="H33" s="68"/>
    </row>
    <row r="34" customFormat="false" ht="15" hidden="false" customHeight="false" outlineLevel="0" collapsed="false">
      <c r="B34" s="68"/>
      <c r="C34" s="68"/>
      <c r="D34" s="68"/>
      <c r="E34" s="68"/>
      <c r="F34" s="68"/>
      <c r="G34" s="68"/>
      <c r="H34" s="68"/>
    </row>
    <row r="35" customFormat="false" ht="15" hidden="false" customHeight="false" outlineLevel="0" collapsed="false">
      <c r="B35" s="68"/>
      <c r="C35" s="68"/>
      <c r="D35" s="68"/>
      <c r="E35" s="68"/>
      <c r="F35" s="68"/>
      <c r="G35" s="68"/>
      <c r="H35" s="68"/>
    </row>
    <row r="36" customFormat="false" ht="15" hidden="false" customHeight="false" outlineLevel="0" collapsed="false">
      <c r="B36" s="68"/>
      <c r="C36" s="68"/>
      <c r="D36" s="68"/>
      <c r="E36" s="68"/>
      <c r="F36" s="68"/>
      <c r="G36" s="68"/>
      <c r="H36" s="68"/>
    </row>
  </sheetData>
  <mergeCells count="17">
    <mergeCell ref="B2:H2"/>
    <mergeCell ref="B3:H3"/>
    <mergeCell ref="B4:H4"/>
    <mergeCell ref="B6:H6"/>
    <mergeCell ref="D7:F7"/>
    <mergeCell ref="D8:F8"/>
    <mergeCell ref="D9:F9"/>
    <mergeCell ref="D10:F10"/>
    <mergeCell ref="D11:F11"/>
    <mergeCell ref="B13:H13"/>
    <mergeCell ref="E14:H14"/>
    <mergeCell ref="E15:H15"/>
    <mergeCell ref="E16:H16"/>
    <mergeCell ref="B18:H18"/>
    <mergeCell ref="B28:H28"/>
    <mergeCell ref="E29:H29"/>
    <mergeCell ref="B33:H36"/>
  </mergeCells>
  <conditionalFormatting sqref="G20:G26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"YELLOW"</formula>
    </cfRule>
    <cfRule type="cellIs" priority="4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2026-07-31T09:07:01Z</dcterms:created>
  <dc:creator>openpyxl</dc:creator>
  <dc:description/>
  <dc:language>en-US</dc:language>
  <cp:lastModifiedBy/>
  <dcterms:modified xsi:type="dcterms:W3CDTF">2026-07-31T09:07:06Z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